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5834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8252</v>
      </c>
      <c r="D4" s="12" t="n">
        <v>19195</v>
      </c>
      <c r="E4" s="12" t="n">
        <v>2470</v>
      </c>
      <c r="F4" s="12" t="n">
        <v>17911</v>
      </c>
      <c r="G4" s="12" t="n">
        <v>11884</v>
      </c>
      <c r="H4" s="12" t="n">
        <v>9651</v>
      </c>
      <c r="I4" s="12" t="n">
        <v>10419</v>
      </c>
      <c r="J4" s="12" t="n">
        <v>15954</v>
      </c>
      <c r="K4" s="12" t="n">
        <v>23234</v>
      </c>
      <c r="L4" s="12" t="n">
        <v>14650</v>
      </c>
      <c r="M4" s="12" t="n">
        <v>22258</v>
      </c>
      <c r="N4" s="12" t="n">
        <v>10345</v>
      </c>
      <c r="O4" s="11" t="n"/>
      <c r="P4" s="12" t="n"/>
      <c r="Q4" s="12" t="n"/>
      <c r="R4" s="12" t="n"/>
      <c r="S4" s="12" t="n"/>
      <c r="T4" s="12" t="n">
        <v>29556</v>
      </c>
      <c r="U4" s="12" t="n">
        <v>39572</v>
      </c>
      <c r="V4" s="12" t="n">
        <v>54146</v>
      </c>
      <c r="W4" s="12" t="n">
        <v>41916</v>
      </c>
      <c r="X4" s="12" t="n">
        <v>64257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6143</v>
      </c>
      <c r="D11" s="22" t="n">
        <v>16960</v>
      </c>
      <c r="E11" s="22" t="n">
        <v>267</v>
      </c>
      <c r="F11" s="22" t="n">
        <v>15419</v>
      </c>
      <c r="G11" s="22" t="n">
        <v>9036</v>
      </c>
      <c r="H11" s="22" t="n">
        <v>6740</v>
      </c>
      <c r="I11" s="22" t="n">
        <v>6489</v>
      </c>
      <c r="J11" s="22" t="n">
        <v>12260</v>
      </c>
      <c r="K11" s="22" t="n">
        <v>19569</v>
      </c>
      <c r="L11" s="22" t="n">
        <v>12015</v>
      </c>
      <c r="M11" s="22" t="n">
        <v>16989</v>
      </c>
      <c r="N11" s="22" t="n">
        <v>6724</v>
      </c>
      <c r="O11" s="21" t="n"/>
      <c r="P11" s="22" t="n"/>
      <c r="Q11" s="22" t="n"/>
      <c r="R11" s="22" t="n"/>
      <c r="S11" s="22" t="n"/>
      <c r="T11" s="22" t="n">
        <v>24017</v>
      </c>
      <c r="U11" s="22" t="n">
        <v>32405</v>
      </c>
      <c r="V11" s="22" t="n">
        <v>45834</v>
      </c>
      <c r="W11" s="22" t="n">
        <v>31462</v>
      </c>
      <c r="X11" s="22" t="n">
        <v>50333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788</v>
      </c>
      <c r="D17" s="22" t="n">
        <v>846</v>
      </c>
      <c r="E17" s="22" t="n">
        <v>980</v>
      </c>
      <c r="F17" s="22" t="n">
        <v>731</v>
      </c>
      <c r="G17" s="22" t="n">
        <v>1000</v>
      </c>
      <c r="H17" s="22" t="n">
        <v>1014</v>
      </c>
      <c r="I17" s="22" t="n">
        <v>1358</v>
      </c>
      <c r="J17" s="22" t="n">
        <v>965</v>
      </c>
      <c r="K17" s="22" t="n">
        <v>988</v>
      </c>
      <c r="L17" s="22" t="n">
        <v>882</v>
      </c>
      <c r="M17" s="22" t="n">
        <v>1306</v>
      </c>
      <c r="N17" s="22" t="n">
        <v>1070</v>
      </c>
      <c r="O17" s="21" t="n"/>
      <c r="P17" s="22" t="n"/>
      <c r="Q17" s="22" t="n"/>
      <c r="R17" s="22" t="n"/>
      <c r="S17" s="22" t="n"/>
      <c r="T17" s="22" t="n">
        <v>2258</v>
      </c>
      <c r="U17" s="22" t="n">
        <v>3141</v>
      </c>
      <c r="V17" s="22" t="n">
        <v>3001</v>
      </c>
      <c r="W17" s="22" t="n">
        <v>3725</v>
      </c>
      <c r="X17" s="22" t="n">
        <v>4193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1321</v>
      </c>
      <c r="D19" s="12" t="n">
        <v>1389</v>
      </c>
      <c r="E19" s="12" t="n">
        <v>1223</v>
      </c>
      <c r="F19" s="12" t="n">
        <v>1761</v>
      </c>
      <c r="G19" s="12" t="n">
        <v>1846</v>
      </c>
      <c r="H19" s="12" t="n">
        <v>1898</v>
      </c>
      <c r="I19" s="12" t="n">
        <v>2571</v>
      </c>
      <c r="J19" s="12" t="n">
        <v>2729</v>
      </c>
      <c r="K19" s="12" t="n">
        <v>2677</v>
      </c>
      <c r="L19" s="12" t="n">
        <v>1753</v>
      </c>
      <c r="M19" s="12" t="n">
        <v>3963</v>
      </c>
      <c r="N19" s="12" t="n">
        <v>2550</v>
      </c>
      <c r="O19" s="11" t="n"/>
      <c r="P19" s="12" t="n"/>
      <c r="Q19" s="12" t="n"/>
      <c r="R19" s="12" t="n"/>
      <c r="S19" s="12" t="n"/>
      <c r="T19" s="12" t="n">
        <v>3280</v>
      </c>
      <c r="U19" s="12" t="n">
        <v>4025</v>
      </c>
      <c r="V19" s="12" t="n">
        <v>5310</v>
      </c>
      <c r="W19" s="12" t="n">
        <v>6728</v>
      </c>
      <c r="X19" s="12" t="n">
        <v>9730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>
        <v>7820</v>
      </c>
      <c r="U35" s="22" t="n">
        <v>0</v>
      </c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>
        <v>35</v>
      </c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>
        <v>6</v>
      </c>
      <c r="U37" s="22" t="n">
        <v>16</v>
      </c>
      <c r="V37" s="22" t="n">
        <v>35</v>
      </c>
      <c r="W37" s="22" t="n">
        <v>18</v>
      </c>
      <c r="X37" s="22" t="n">
        <v>28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46</v>
      </c>
      <c r="D39" s="22" t="n">
        <v>63</v>
      </c>
      <c r="E39" s="22" t="n">
        <v>156</v>
      </c>
      <c r="F39" s="22" t="n">
        <v>51</v>
      </c>
      <c r="G39" s="22" t="n">
        <v>113</v>
      </c>
      <c r="H39" s="22" t="n">
        <v>127</v>
      </c>
      <c r="I39" s="22" t="n">
        <v>143</v>
      </c>
      <c r="J39" s="22" t="n">
        <v>136</v>
      </c>
      <c r="K39" s="22" t="n">
        <v>98</v>
      </c>
      <c r="L39" s="22" t="n">
        <v>88</v>
      </c>
      <c r="M39" s="22" t="n">
        <v>188</v>
      </c>
      <c r="N39" s="22" t="n">
        <v>170</v>
      </c>
      <c r="O39" s="21" t="n"/>
      <c r="P39" s="22" t="n"/>
      <c r="Q39" s="22" t="n"/>
      <c r="R39" s="22" t="n"/>
      <c r="S39" s="22" t="n"/>
      <c r="T39" s="22" t="n">
        <v>225</v>
      </c>
      <c r="U39" s="22" t="n">
        <v>113</v>
      </c>
      <c r="V39" s="22" t="n">
        <v>232</v>
      </c>
      <c r="W39" s="22" t="n">
        <v>447</v>
      </c>
      <c r="X39" s="22" t="n">
        <v>465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147</v>
      </c>
      <c r="D41" s="22" t="n">
        <v>175</v>
      </c>
      <c r="E41" s="22" t="n">
        <v>171</v>
      </c>
      <c r="F41" s="22" t="n">
        <v>272</v>
      </c>
      <c r="G41" s="22" t="n">
        <v>255</v>
      </c>
      <c r="H41" s="22" t="n">
        <v>393</v>
      </c>
      <c r="I41" s="22" t="n">
        <v>318</v>
      </c>
      <c r="J41" s="22" t="n">
        <v>381</v>
      </c>
      <c r="K41" s="22" t="n">
        <v>346</v>
      </c>
      <c r="L41" s="22" t="n">
        <v>469</v>
      </c>
      <c r="M41" s="22" t="n">
        <v>352</v>
      </c>
      <c r="N41" s="22" t="n">
        <v>486</v>
      </c>
      <c r="O41" s="21" t="n"/>
      <c r="P41" s="22" t="n"/>
      <c r="Q41" s="22" t="n"/>
      <c r="R41" s="22" t="n"/>
      <c r="S41" s="22" t="n"/>
      <c r="T41" s="22" t="n">
        <v>692</v>
      </c>
      <c r="U41" s="22" t="n">
        <v>606</v>
      </c>
      <c r="V41" s="22" t="n">
        <v>597</v>
      </c>
      <c r="W41" s="22" t="n">
        <v>1091</v>
      </c>
      <c r="X41" s="22" t="n">
        <v>1514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1219</v>
      </c>
      <c r="D43" s="12" t="n">
        <v>1242</v>
      </c>
      <c r="E43" s="12" t="n">
        <v>1207</v>
      </c>
      <c r="F43" s="12" t="n">
        <v>1541</v>
      </c>
      <c r="G43" s="12" t="n">
        <v>1705</v>
      </c>
      <c r="H43" s="12" t="n">
        <v>1612</v>
      </c>
      <c r="I43" s="12" t="n">
        <v>2397</v>
      </c>
      <c r="J43" s="12" t="n">
        <v>2483</v>
      </c>
      <c r="K43" s="12" t="n">
        <v>2429</v>
      </c>
      <c r="L43" s="12" t="n">
        <v>1343</v>
      </c>
      <c r="M43" s="12" t="n">
        <v>3798</v>
      </c>
      <c r="N43" s="12" t="n">
        <v>2235</v>
      </c>
      <c r="O43" s="11" t="n"/>
      <c r="P43" s="12" t="n"/>
      <c r="Q43" s="12" t="n"/>
      <c r="R43" s="12" t="n"/>
      <c r="S43" s="12" t="n"/>
      <c r="T43" s="12" t="n">
        <v>10627</v>
      </c>
      <c r="U43" s="12" t="n">
        <v>3516</v>
      </c>
      <c r="V43" s="12" t="n">
        <v>4909</v>
      </c>
      <c r="W43" s="12" t="n">
        <v>6065</v>
      </c>
      <c r="X43" s="12" t="n">
        <v>8652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361</v>
      </c>
      <c r="D45" s="22" t="n">
        <v>379</v>
      </c>
      <c r="E45" s="22" t="n">
        <v>389</v>
      </c>
      <c r="F45" s="22" t="n">
        <v>457</v>
      </c>
      <c r="G45" s="22" t="n">
        <v>518</v>
      </c>
      <c r="H45" s="22" t="n">
        <v>312</v>
      </c>
      <c r="I45" s="22" t="n">
        <v>828</v>
      </c>
      <c r="J45" s="22" t="n">
        <v>747</v>
      </c>
      <c r="K45" s="22" t="n">
        <v>729</v>
      </c>
      <c r="L45" s="22" t="n">
        <v>296</v>
      </c>
      <c r="M45" s="22" t="n">
        <v>1257</v>
      </c>
      <c r="N45" s="22" t="n">
        <v>685</v>
      </c>
      <c r="O45" s="21" t="n"/>
      <c r="P45" s="22" t="n"/>
      <c r="Q45" s="22" t="n"/>
      <c r="R45" s="22" t="n"/>
      <c r="S45" s="22" t="n"/>
      <c r="T45" s="22" t="n">
        <v>264</v>
      </c>
      <c r="U45" s="22" t="n">
        <v>1073</v>
      </c>
      <c r="V45" s="22" t="n">
        <v>1461</v>
      </c>
      <c r="W45" s="22" t="n">
        <v>1676</v>
      </c>
      <c r="X45" s="22" t="n">
        <v>2600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858</v>
      </c>
      <c r="D47" s="12" t="n">
        <v>862</v>
      </c>
      <c r="E47" s="12" t="n">
        <v>817</v>
      </c>
      <c r="F47" s="12" t="n">
        <v>1085</v>
      </c>
      <c r="G47" s="12" t="n">
        <v>1186</v>
      </c>
      <c r="H47" s="12" t="n">
        <v>1300</v>
      </c>
      <c r="I47" s="12" t="n">
        <v>1568</v>
      </c>
      <c r="J47" s="12" t="n">
        <v>1736</v>
      </c>
      <c r="K47" s="12" t="n">
        <v>1701</v>
      </c>
      <c r="L47" s="12" t="n">
        <v>1046</v>
      </c>
      <c r="M47" s="12" t="n">
        <v>2541</v>
      </c>
      <c r="N47" s="12" t="n">
        <v>1550</v>
      </c>
      <c r="O47" s="11" t="n"/>
      <c r="P47" s="12" t="n"/>
      <c r="Q47" s="12" t="n"/>
      <c r="R47" s="12" t="n"/>
      <c r="S47" s="12" t="n"/>
      <c r="T47" s="12" t="n">
        <v>10363</v>
      </c>
      <c r="U47" s="12" t="n">
        <v>2443</v>
      </c>
      <c r="V47" s="12" t="n">
        <v>3447</v>
      </c>
      <c r="W47" s="12" t="n">
        <v>4388</v>
      </c>
      <c r="X47" s="12" t="n">
        <v>6051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858</v>
      </c>
      <c r="D49" s="12" t="n">
        <v>862</v>
      </c>
      <c r="E49" s="12" t="n">
        <v>817</v>
      </c>
      <c r="F49" s="12" t="n">
        <v>1085</v>
      </c>
      <c r="G49" s="12" t="n">
        <v>1186</v>
      </c>
      <c r="H49" s="12" t="n">
        <v>1300</v>
      </c>
      <c r="I49" s="12" t="n">
        <v>1568</v>
      </c>
      <c r="J49" s="12" t="n">
        <v>1736</v>
      </c>
      <c r="K49" s="12" t="n">
        <v>1701</v>
      </c>
      <c r="L49" s="12" t="n">
        <v>1046</v>
      </c>
      <c r="M49" s="12" t="n">
        <v>2541</v>
      </c>
      <c r="N49" s="12" t="n">
        <v>1550</v>
      </c>
      <c r="O49" s="11" t="n"/>
      <c r="P49" s="12" t="n"/>
      <c r="Q49" s="12" t="n"/>
      <c r="R49" s="12" t="n"/>
      <c r="S49" s="12" t="n"/>
      <c r="T49" s="12" t="n">
        <v>10363</v>
      </c>
      <c r="U49" s="12" t="n">
        <v>2443</v>
      </c>
      <c r="V49" s="12" t="n">
        <v>3447</v>
      </c>
      <c r="W49" s="12" t="n">
        <v>4388</v>
      </c>
      <c r="X49" s="12" t="n">
        <v>6051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2537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15943200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8252</v>
      </c>
      <c r="D84" s="12" t="n">
        <v>19195</v>
      </c>
      <c r="E84" s="12" t="n">
        <v>2470</v>
      </c>
      <c r="F84" s="12" t="n">
        <v>17911</v>
      </c>
      <c r="G84" s="12" t="n">
        <v>11884</v>
      </c>
      <c r="H84" s="12" t="n">
        <v>9651</v>
      </c>
      <c r="I84" s="12" t="n">
        <v>10419</v>
      </c>
      <c r="J84" s="12" t="n">
        <v>15954</v>
      </c>
      <c r="K84" s="12" t="n">
        <v>23234</v>
      </c>
      <c r="L84" s="12" t="n">
        <v>14650</v>
      </c>
      <c r="M84" s="12" t="n">
        <v>22258</v>
      </c>
      <c r="N84" s="12" t="n">
        <v>10345</v>
      </c>
      <c r="U84" s="12" t="n">
        <v>19846</v>
      </c>
      <c r="V84" s="12" t="n">
        <v>19195</v>
      </c>
      <c r="W84" s="12" t="n">
        <v>9651</v>
      </c>
      <c r="X84" s="12" t="n">
        <v>14650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6143</v>
      </c>
      <c r="D86" s="22" t="n">
        <v>16960</v>
      </c>
      <c r="E86" s="22" t="n">
        <v>267</v>
      </c>
      <c r="F86" s="22" t="n">
        <v>15419</v>
      </c>
      <c r="G86" s="22" t="n">
        <v>9036</v>
      </c>
      <c r="H86" s="22" t="n">
        <v>6740</v>
      </c>
      <c r="I86" s="22" t="n">
        <v>6489</v>
      </c>
      <c r="J86" s="22" t="n">
        <v>12260</v>
      </c>
      <c r="K86" s="22" t="n">
        <v>19569</v>
      </c>
      <c r="L86" s="22" t="n">
        <v>12015</v>
      </c>
      <c r="M86" s="22" t="n">
        <v>16989</v>
      </c>
      <c r="N86" s="22" t="n">
        <v>6724</v>
      </c>
      <c r="U86" s="22" t="n">
        <v>16841</v>
      </c>
      <c r="V86" s="22" t="n">
        <v>16960</v>
      </c>
      <c r="W86" s="22" t="n">
        <v>6740</v>
      </c>
      <c r="X86" s="22" t="n">
        <v>12015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2109</v>
      </c>
      <c r="D88" s="12" t="n">
        <v>2235</v>
      </c>
      <c r="E88" s="12" t="n">
        <v>2203</v>
      </c>
      <c r="F88" s="12" t="n">
        <v>2492</v>
      </c>
      <c r="G88" s="12" t="n">
        <v>2847</v>
      </c>
      <c r="H88" s="12" t="n">
        <v>2912</v>
      </c>
      <c r="I88" s="12" t="n">
        <v>3930</v>
      </c>
      <c r="J88" s="12" t="n">
        <v>3694</v>
      </c>
      <c r="K88" s="12" t="n">
        <v>3665</v>
      </c>
      <c r="L88" s="12" t="n">
        <v>2635</v>
      </c>
      <c r="M88" s="12" t="n">
        <v>5269</v>
      </c>
      <c r="N88" s="12" t="n">
        <v>3621</v>
      </c>
      <c r="U88" s="12" t="n">
        <v>3005</v>
      </c>
      <c r="V88" s="12" t="n">
        <v>2235</v>
      </c>
      <c r="W88" s="12" t="n">
        <v>2912</v>
      </c>
      <c r="X88" s="12" t="n">
        <v>2635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788</v>
      </c>
      <c r="D90" s="22" t="n">
        <v>846</v>
      </c>
      <c r="E90" s="22" t="n">
        <v>980</v>
      </c>
      <c r="F90" s="22" t="n">
        <v>731</v>
      </c>
      <c r="G90" s="22" t="n">
        <v>1000</v>
      </c>
      <c r="H90" s="22" t="n">
        <v>1014</v>
      </c>
      <c r="I90" s="22" t="n">
        <v>1358</v>
      </c>
      <c r="J90" s="22" t="n">
        <v>965</v>
      </c>
      <c r="K90" s="22" t="n">
        <v>988</v>
      </c>
      <c r="L90" s="22" t="n">
        <v>882</v>
      </c>
      <c r="M90" s="22" t="n">
        <v>1306</v>
      </c>
      <c r="N90" s="22" t="n">
        <v>1070</v>
      </c>
      <c r="U90" s="22" t="n">
        <v>852</v>
      </c>
      <c r="V90" s="22" t="n">
        <v>846</v>
      </c>
      <c r="W90" s="22" t="n">
        <v>1014</v>
      </c>
      <c r="X90" s="22" t="n">
        <v>882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1321</v>
      </c>
      <c r="D92" s="12" t="n">
        <v>1389</v>
      </c>
      <c r="E92" s="12" t="n">
        <v>1223</v>
      </c>
      <c r="F92" s="12" t="n">
        <v>1761</v>
      </c>
      <c r="G92" s="12" t="n">
        <v>1846</v>
      </c>
      <c r="H92" s="12" t="n">
        <v>1898</v>
      </c>
      <c r="I92" s="12" t="n">
        <v>2571</v>
      </c>
      <c r="J92" s="12" t="n">
        <v>2729</v>
      </c>
      <c r="K92" s="12" t="n">
        <v>2677</v>
      </c>
      <c r="L92" s="12" t="n">
        <v>1753</v>
      </c>
      <c r="M92" s="12" t="n">
        <v>3963</v>
      </c>
      <c r="N92" s="12" t="n">
        <v>2550</v>
      </c>
      <c r="U92" s="12" t="n">
        <v>2153</v>
      </c>
      <c r="V92" s="12" t="n">
        <v>1389</v>
      </c>
      <c r="W92" s="12" t="n">
        <v>1898</v>
      </c>
      <c r="X92" s="12" t="n">
        <v>1753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U95" s="22" t="n">
        <v>0</v>
      </c>
    </row>
    <row r="96">
      <c r="A96" s="20" t="inlineStr">
        <is>
          <t>이자·배당금 수익</t>
        </is>
      </c>
      <c r="C96" s="22" t="n">
        <v>0</v>
      </c>
      <c r="D96" s="22" t="n">
        <v>0</v>
      </c>
      <c r="E96" s="22" t="n">
        <v>0</v>
      </c>
      <c r="F96" s="22" t="n">
        <v>1</v>
      </c>
      <c r="G96" s="22" t="n">
        <v>0</v>
      </c>
      <c r="H96" s="22" t="n">
        <v>6</v>
      </c>
      <c r="I96" s="22" t="n">
        <v>0</v>
      </c>
      <c r="J96" s="22" t="n">
        <v>14</v>
      </c>
      <c r="K96" s="22" t="n">
        <v>0</v>
      </c>
      <c r="L96" s="22" t="n">
        <v>18</v>
      </c>
      <c r="M96" s="22" t="n">
        <v>0</v>
      </c>
      <c r="N96" s="22" t="n">
        <v>26</v>
      </c>
      <c r="U96" s="22" t="n">
        <v>0</v>
      </c>
      <c r="V96" s="22" t="n">
        <v>0</v>
      </c>
      <c r="W96" s="22" t="n">
        <v>6</v>
      </c>
      <c r="X96" s="22" t="n">
        <v>18</v>
      </c>
    </row>
    <row r="97">
      <c r="A97" s="20" t="inlineStr">
        <is>
          <t>Gain On Sale Of Equity Underwritten NOI</t>
        </is>
      </c>
      <c r="C97" s="22" t="n">
        <v>53</v>
      </c>
      <c r="D97" s="22" t="n">
        <v>58</v>
      </c>
      <c r="E97" s="22" t="n">
        <v>136</v>
      </c>
      <c r="F97" s="22" t="n">
        <v>70</v>
      </c>
      <c r="G97" s="22" t="n">
        <v>112</v>
      </c>
      <c r="H97" s="22" t="n">
        <v>120</v>
      </c>
      <c r="I97" s="22" t="n">
        <v>140</v>
      </c>
      <c r="J97" s="22" t="n">
        <v>120</v>
      </c>
      <c r="K97" s="22" t="n">
        <v>100</v>
      </c>
      <c r="L97" s="22" t="n">
        <v>58</v>
      </c>
      <c r="M97" s="22" t="n">
        <v>187</v>
      </c>
      <c r="N97" s="22" t="n">
        <v>139</v>
      </c>
      <c r="U97" s="22" t="n">
        <v>24</v>
      </c>
      <c r="V97" s="22" t="n">
        <v>58</v>
      </c>
      <c r="W97" s="22" t="n">
        <v>120</v>
      </c>
      <c r="X97" s="22" t="n">
        <v>58</v>
      </c>
    </row>
    <row r="98">
      <c r="A98" s="20" t="inlineStr">
        <is>
          <t>외환차익</t>
        </is>
      </c>
      <c r="C98" s="22" t="n">
        <v>-9</v>
      </c>
      <c r="D98" s="22" t="n">
        <v>4</v>
      </c>
      <c r="E98" s="22" t="n">
        <v>19</v>
      </c>
      <c r="F98" s="22" t="n">
        <v>-19</v>
      </c>
      <c r="G98" s="22" t="n">
        <v>0</v>
      </c>
      <c r="H98" s="22" t="n">
        <v>0</v>
      </c>
      <c r="I98" s="22" t="n">
        <v>3</v>
      </c>
      <c r="J98" s="22" t="n">
        <v>2</v>
      </c>
      <c r="K98" s="22" t="n">
        <v>-5</v>
      </c>
      <c r="L98" s="22" t="n">
        <v>12</v>
      </c>
      <c r="M98" s="22" t="n">
        <v>0</v>
      </c>
      <c r="N98" s="22" t="n">
        <v>4</v>
      </c>
      <c r="U98" s="22" t="n">
        <v>10</v>
      </c>
      <c r="V98" s="22" t="n">
        <v>4</v>
      </c>
      <c r="W98" s="22" t="n">
        <v>0</v>
      </c>
      <c r="X98" s="22" t="n">
        <v>12</v>
      </c>
    </row>
    <row r="99">
      <c r="A99" s="20" t="inlineStr">
        <is>
          <t>기타</t>
        </is>
      </c>
      <c r="C99" s="22" t="n">
        <v>1</v>
      </c>
      <c r="D99" s="22" t="n">
        <v>0</v>
      </c>
      <c r="E99" s="22" t="n">
        <v>0</v>
      </c>
      <c r="F99" s="22" t="n">
        <v>0</v>
      </c>
      <c r="G99" s="22" t="n">
        <v>1</v>
      </c>
      <c r="H99" s="22" t="n">
        <v>0</v>
      </c>
      <c r="I99" s="22" t="n">
        <v>0</v>
      </c>
      <c r="J99" s="22" t="n">
        <v>0</v>
      </c>
      <c r="K99" s="22" t="n">
        <v>1</v>
      </c>
      <c r="L99" s="22" t="n">
        <v>0</v>
      </c>
      <c r="M99" s="22" t="n">
        <v>0</v>
      </c>
      <c r="N99" s="22" t="n">
        <v>0</v>
      </c>
      <c r="U99" s="22" t="n">
        <v>0</v>
      </c>
      <c r="V99" s="22" t="n">
        <v>0</v>
      </c>
      <c r="W99" s="22" t="n">
        <v>0</v>
      </c>
      <c r="X99" s="22" t="n">
        <v>0</v>
      </c>
    </row>
    <row r="100">
      <c r="A100" s="20" t="inlineStr">
        <is>
          <t>영업외수익 합계</t>
        </is>
      </c>
      <c r="C100" s="22" t="n">
        <v>46</v>
      </c>
      <c r="D100" s="22" t="n">
        <v>63</v>
      </c>
      <c r="E100" s="22" t="n">
        <v>156</v>
      </c>
      <c r="F100" s="22" t="n">
        <v>51</v>
      </c>
      <c r="G100" s="22" t="n">
        <v>113</v>
      </c>
      <c r="H100" s="22" t="n">
        <v>127</v>
      </c>
      <c r="I100" s="22" t="n">
        <v>143</v>
      </c>
      <c r="J100" s="22" t="n">
        <v>136</v>
      </c>
      <c r="K100" s="22" t="n">
        <v>98</v>
      </c>
      <c r="L100" s="22" t="n">
        <v>88</v>
      </c>
      <c r="M100" s="22" t="n">
        <v>188</v>
      </c>
      <c r="N100" s="22" t="n">
        <v>170</v>
      </c>
      <c r="U100" s="22" t="n">
        <v>35</v>
      </c>
      <c r="V100" s="22" t="n">
        <v>63</v>
      </c>
      <c r="W100" s="22" t="n">
        <v>127</v>
      </c>
      <c r="X100" s="22" t="n">
        <v>88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IF(OR(G100="",C100=""),"",IF(G100*C100&lt;=0,"",IFERROR(G100/C100-1,"")))</f>
        <v/>
      </c>
      <c r="H101" s="17">
        <f>IF(OR(H100="",D100=""),"",IF(H100*D100&lt;=0,"",IFERROR(H100/D100-1,"")))</f>
        <v/>
      </c>
      <c r="I101" s="17">
        <f>IF(OR(I100="",E100=""),"",IF(I100*E100&lt;=0,"",IFERROR(I100/E100-1,"")))</f>
        <v/>
      </c>
      <c r="J101" s="17">
        <f>IF(OR(J100="",F100=""),"",IF(J100*F100&lt;=0,"",IFERROR(J100/F100-1,"")))</f>
        <v/>
      </c>
      <c r="K101" s="17">
        <f>IF(OR(K100="",G100=""),"",IF(K100*G100&lt;=0,"",IFERROR(K100/G100-1,"")))</f>
        <v/>
      </c>
      <c r="L101" s="17">
        <f>IF(OR(L100="",H100=""),"",IF(L100*H100&lt;=0,"",IFERROR(L100/H100-1,"")))</f>
        <v/>
      </c>
      <c r="M101" s="17">
        <f>IF(OR(M100="",I100=""),"",IF(M100*I100&lt;=0,"",IFERROR(M100/I100-1,"")))</f>
        <v/>
      </c>
      <c r="N101" s="17">
        <f>IF(OR(N100="",J100=""),"",IF(N100*J100&lt;=0,"",IFERROR(N100/J100-1,"")))</f>
        <v/>
      </c>
      <c r="U101" s="17">
        <f>IF(OR(U100="",T100=""),"",IF(U100*T100&lt;=0,"",IFERROR(U100/T100-1,"")))</f>
        <v/>
      </c>
      <c r="V101" s="17">
        <f>IF(OR(V100="",U100=""),"",IF(V100*U100&lt;=0,"",IFERROR(V100/U100-1,"")))</f>
        <v/>
      </c>
      <c r="W101" s="17">
        <f>IF(OR(W100="",V100=""),"",IF(W100*V100&lt;=0,"",IFERROR(W100/V100-1,"")))</f>
        <v/>
      </c>
      <c r="X101" s="17">
        <f>IF(OR(X100="",W100=""),"",IF(X100*W100&lt;=0,"",IFERROR(X100/W100-1,"")))</f>
        <v/>
      </c>
    </row>
    <row r="102">
      <c r="A102" s="20" t="inlineStr">
        <is>
          <t>이자비용</t>
        </is>
      </c>
      <c r="C102" s="22" t="n">
        <v>137</v>
      </c>
      <c r="D102" s="22" t="n">
        <v>145</v>
      </c>
      <c r="E102" s="22" t="n">
        <v>162</v>
      </c>
      <c r="F102" s="22" t="n">
        <v>191</v>
      </c>
      <c r="G102" s="22" t="n">
        <v>242</v>
      </c>
      <c r="H102" s="22" t="n">
        <v>282</v>
      </c>
      <c r="I102" s="22" t="n">
        <v>295</v>
      </c>
      <c r="J102" s="22" t="n">
        <v>303</v>
      </c>
      <c r="K102" s="22" t="n">
        <v>300</v>
      </c>
      <c r="L102" s="22" t="n">
        <v>332</v>
      </c>
      <c r="M102" s="22" t="n">
        <v>336</v>
      </c>
      <c r="N102" s="22" t="n">
        <v>412</v>
      </c>
      <c r="U102" s="22" t="n">
        <v>99</v>
      </c>
      <c r="V102" s="22" t="n">
        <v>145</v>
      </c>
      <c r="W102" s="22" t="n">
        <v>282</v>
      </c>
      <c r="X102" s="22" t="n">
        <v>332</v>
      </c>
    </row>
    <row r="103">
      <c r="A103" s="20" t="inlineStr">
        <is>
          <t>지급수수료</t>
        </is>
      </c>
      <c r="C103" s="22" t="n">
        <v>10</v>
      </c>
      <c r="D103" s="22" t="n">
        <v>30</v>
      </c>
      <c r="E103" s="22" t="n">
        <v>9</v>
      </c>
      <c r="F103" s="22" t="n">
        <v>70</v>
      </c>
      <c r="G103" s="22" t="n">
        <v>8</v>
      </c>
      <c r="H103" s="22" t="n">
        <v>68</v>
      </c>
      <c r="I103" s="22" t="n">
        <v>22</v>
      </c>
      <c r="J103" s="22" t="n">
        <v>77</v>
      </c>
      <c r="K103" s="22" t="n">
        <v>16</v>
      </c>
      <c r="L103" s="22" t="n">
        <v>137</v>
      </c>
      <c r="M103" s="22" t="n">
        <v>16</v>
      </c>
      <c r="N103" s="22" t="n">
        <v>74</v>
      </c>
      <c r="U103" s="22" t="n">
        <v>39</v>
      </c>
      <c r="V103" s="22" t="n">
        <v>30</v>
      </c>
      <c r="W103" s="22" t="n">
        <v>68</v>
      </c>
      <c r="X103" s="22" t="n">
        <v>137</v>
      </c>
    </row>
    <row r="104">
      <c r="A104" s="20" t="inlineStr">
        <is>
          <t>주식교부비</t>
        </is>
      </c>
      <c r="D104" s="22" t="n">
        <v>0</v>
      </c>
      <c r="U104" s="22" t="n">
        <v>0</v>
      </c>
      <c r="V104" s="22" t="n">
        <v>0</v>
      </c>
    </row>
    <row r="105">
      <c r="A105" s="20" t="inlineStr">
        <is>
          <t>사채발행비</t>
        </is>
      </c>
      <c r="H105" s="22" t="n">
        <v>26</v>
      </c>
      <c r="L105" s="22" t="n">
        <v>0</v>
      </c>
      <c r="W105" s="22" t="n">
        <v>26</v>
      </c>
      <c r="X105" s="22" t="n">
        <v>0</v>
      </c>
    </row>
    <row r="106">
      <c r="A106" s="20" t="inlineStr">
        <is>
          <t>외환차손</t>
        </is>
      </c>
      <c r="C106" s="22" t="n">
        <v>0</v>
      </c>
      <c r="D106" s="22" t="n">
        <v>0</v>
      </c>
      <c r="G106" s="22" t="n">
        <v>6</v>
      </c>
      <c r="H106" s="22" t="n">
        <v>16</v>
      </c>
      <c r="K106" s="22" t="n">
        <v>0</v>
      </c>
      <c r="L106" s="22" t="n">
        <v>0</v>
      </c>
      <c r="V106" s="22" t="n">
        <v>0</v>
      </c>
      <c r="W106" s="22" t="n">
        <v>16</v>
      </c>
      <c r="X106" s="22" t="n">
        <v>0</v>
      </c>
    </row>
    <row r="107">
      <c r="A107" s="20" t="inlineStr">
        <is>
          <t>기타</t>
        </is>
      </c>
      <c r="C107" s="22" t="n">
        <v>0</v>
      </c>
      <c r="D107" s="22" t="n">
        <v>0</v>
      </c>
      <c r="G107" s="22" t="n">
        <v>0</v>
      </c>
      <c r="H107" s="22" t="n">
        <v>0</v>
      </c>
      <c r="K107" s="22" t="n">
        <v>0</v>
      </c>
      <c r="L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</row>
    <row r="108">
      <c r="A108" s="20" t="inlineStr">
        <is>
          <t>영업외비용 합계</t>
        </is>
      </c>
      <c r="C108" s="22" t="n">
        <v>147</v>
      </c>
      <c r="D108" s="22" t="n">
        <v>175</v>
      </c>
      <c r="E108" s="22" t="n">
        <v>171</v>
      </c>
      <c r="F108" s="22" t="n">
        <v>272</v>
      </c>
      <c r="G108" s="22" t="n">
        <v>255</v>
      </c>
      <c r="H108" s="22" t="n">
        <v>393</v>
      </c>
      <c r="I108" s="22" t="n">
        <v>318</v>
      </c>
      <c r="J108" s="22" t="n">
        <v>381</v>
      </c>
      <c r="K108" s="22" t="n">
        <v>346</v>
      </c>
      <c r="L108" s="22" t="n">
        <v>469</v>
      </c>
      <c r="M108" s="22" t="n">
        <v>352</v>
      </c>
      <c r="N108" s="22" t="n">
        <v>486</v>
      </c>
      <c r="U108" s="22" t="n">
        <v>137</v>
      </c>
      <c r="V108" s="22" t="n">
        <v>175</v>
      </c>
      <c r="W108" s="22" t="n">
        <v>393</v>
      </c>
      <c r="X108" s="22" t="n">
        <v>469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IF(OR(G108="",C108=""),"",IF(G108*C108&lt;=0,"",IFERROR(G108/C108-1,"")))</f>
        <v/>
      </c>
      <c r="H109" s="17">
        <f>IF(OR(H108="",D108=""),"",IF(H108*D108&lt;=0,"",IFERROR(H108/D108-1,"")))</f>
        <v/>
      </c>
      <c r="I109" s="17">
        <f>IF(OR(I108="",E108=""),"",IF(I108*E108&lt;=0,"",IFERROR(I108/E108-1,"")))</f>
        <v/>
      </c>
      <c r="J109" s="17">
        <f>IF(OR(J108="",F108=""),"",IF(J108*F108&lt;=0,"",IFERROR(J108/F108-1,"")))</f>
        <v/>
      </c>
      <c r="K109" s="17">
        <f>IF(OR(K108="",G108=""),"",IF(K108*G108&lt;=0,"",IFERROR(K108/G108-1,"")))</f>
        <v/>
      </c>
      <c r="L109" s="17">
        <f>IF(OR(L108="",H108=""),"",IF(L108*H108&lt;=0,"",IFERROR(L108/H108-1,"")))</f>
        <v/>
      </c>
      <c r="M109" s="17">
        <f>IF(OR(M108="",I108=""),"",IF(M108*I108&lt;=0,"",IFERROR(M108/I108-1,"")))</f>
        <v/>
      </c>
      <c r="N109" s="17">
        <f>IF(OR(N108="",J108=""),"",IF(N108*J108&lt;=0,"",IFERROR(N108/J108-1,"")))</f>
        <v/>
      </c>
      <c r="U109" s="17">
        <f>IF(OR(U108="",T108=""),"",IF(U108*T108&lt;=0,"",IFERROR(U108/T108-1,"")))</f>
        <v/>
      </c>
      <c r="V109" s="17">
        <f>IF(OR(V108="",U108=""),"",IF(V108*U108&lt;=0,"",IFERROR(V108/U108-1,"")))</f>
        <v/>
      </c>
      <c r="W109" s="17">
        <f>IF(OR(W108="",V108=""),"",IF(W108*V108&lt;=0,"",IFERROR(W108/V108-1,"")))</f>
        <v/>
      </c>
      <c r="X109" s="17">
        <f>IF(OR(X108="",W108=""),"",IF(X108*W108&lt;=0,"",IFERROR(X108/W108-1,"")))</f>
        <v/>
      </c>
    </row>
    <row r="110">
      <c r="A110" s="9" t="inlineStr">
        <is>
          <t>경상이익</t>
        </is>
      </c>
      <c r="C110" s="12" t="n">
        <v>1219</v>
      </c>
      <c r="D110" s="12" t="n">
        <v>1277</v>
      </c>
      <c r="E110" s="12" t="n">
        <v>1207</v>
      </c>
      <c r="F110" s="12" t="n">
        <v>1541</v>
      </c>
      <c r="G110" s="12" t="n">
        <v>1705</v>
      </c>
      <c r="H110" s="12" t="n">
        <v>1631</v>
      </c>
      <c r="I110" s="12" t="n">
        <v>2397</v>
      </c>
      <c r="J110" s="12" t="n">
        <v>2483</v>
      </c>
      <c r="K110" s="12" t="n">
        <v>2429</v>
      </c>
      <c r="L110" s="12" t="n">
        <v>1372</v>
      </c>
      <c r="M110" s="12" t="n">
        <v>3798</v>
      </c>
      <c r="N110" s="12" t="n">
        <v>2235</v>
      </c>
      <c r="U110" s="12" t="n">
        <v>2050</v>
      </c>
      <c r="V110" s="12" t="n">
        <v>1277</v>
      </c>
      <c r="W110" s="12" t="n">
        <v>1631</v>
      </c>
      <c r="X110" s="12" t="n">
        <v>1372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IF(OR(G110="",C110=""),"",IF(C110&lt;=0,"",IFERROR(G110/C110-1,"")))</f>
        <v/>
      </c>
      <c r="H111" s="17">
        <f>IF(OR(H110="",D110=""),"",IF(D110&lt;=0,"",IFERROR(H110/D110-1,"")))</f>
        <v/>
      </c>
      <c r="I111" s="17">
        <f>IF(OR(I110="",E110=""),"",IF(E110&lt;=0,"",IFERROR(I110/E110-1,"")))</f>
        <v/>
      </c>
      <c r="J111" s="17">
        <f>IF(OR(J110="",F110=""),"",IF(F110&lt;=0,"",IFERROR(J110/F110-1,"")))</f>
        <v/>
      </c>
      <c r="K111" s="17">
        <f>IF(OR(K110="",G110=""),"",IF(G110&lt;=0,"",IFERROR(K110/G110-1,"")))</f>
        <v/>
      </c>
      <c r="L111" s="17">
        <f>IF(OR(L110="",H110=""),"",IF(H110&lt;=0,"",IFERROR(L110/H110-1,"")))</f>
        <v/>
      </c>
      <c r="M111" s="17">
        <f>IF(OR(M110="",I110=""),"",IF(I110&lt;=0,"",IFERROR(M110/I110-1,"")))</f>
        <v/>
      </c>
      <c r="N111" s="17">
        <f>IF(OR(N110="",J110=""),"",IF(J110&lt;=0,"",IFERROR(N110/J110-1,"")))</f>
        <v/>
      </c>
      <c r="U111" s="17">
        <f>IF(OR(U110="",T110=""),"",IF(T110&lt;=0,"",IFERROR(U110/T110-1,"")))</f>
        <v/>
      </c>
      <c r="V111" s="17">
        <f>IF(OR(V110="",U110=""),"",IF(U110&lt;=0,"",IFERROR(V110/U110-1,"")))</f>
        <v/>
      </c>
      <c r="W111" s="17">
        <f>IF(OR(W110="",V110=""),"",IF(V110&lt;=0,"",IFERROR(W110/V110-1,"")))</f>
        <v/>
      </c>
      <c r="X111" s="17">
        <f>IF(OR(X110="",W110=""),"",IF(W110&lt;=0,"",IFERROR(X110/W110-1,"")))</f>
        <v/>
      </c>
    </row>
    <row r="112">
      <c r="A112" s="20" t="inlineStr">
        <is>
          <t>관계회사 청산손실</t>
        </is>
      </c>
      <c r="D112" s="22" t="n">
        <v>0</v>
      </c>
      <c r="U112" s="22" t="n">
        <v>0</v>
      </c>
      <c r="V112" s="22" t="n">
        <v>0</v>
      </c>
    </row>
    <row r="113">
      <c r="A113" s="20" t="inlineStr">
        <is>
          <t>특별손실 합계</t>
        </is>
      </c>
      <c r="D113" s="22" t="n">
        <v>35</v>
      </c>
      <c r="U113" s="22" t="n">
        <v>13</v>
      </c>
      <c r="V113" s="22" t="n">
        <v>35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</row>
    <row r="115">
      <c r="A115" s="9" t="inlineStr">
        <is>
          <t>법인세차감전 순이익</t>
        </is>
      </c>
      <c r="C115" s="12" t="n">
        <v>1219</v>
      </c>
      <c r="D115" s="12" t="n">
        <v>1242</v>
      </c>
      <c r="E115" s="12" t="n">
        <v>1207</v>
      </c>
      <c r="F115" s="12" t="n">
        <v>1541</v>
      </c>
      <c r="G115" s="12" t="n">
        <v>1705</v>
      </c>
      <c r="H115" s="12" t="n">
        <v>1612</v>
      </c>
      <c r="I115" s="12" t="n">
        <v>2397</v>
      </c>
      <c r="J115" s="12" t="n">
        <v>2483</v>
      </c>
      <c r="K115" s="12" t="n">
        <v>2429</v>
      </c>
      <c r="L115" s="12" t="n">
        <v>1343</v>
      </c>
      <c r="M115" s="12" t="n">
        <v>3798</v>
      </c>
      <c r="N115" s="12" t="n">
        <v>2235</v>
      </c>
      <c r="U115" s="12" t="n">
        <v>2037</v>
      </c>
      <c r="V115" s="12" t="n">
        <v>1242</v>
      </c>
      <c r="W115" s="12" t="n">
        <v>1612</v>
      </c>
      <c r="X115" s="12" t="n">
        <v>1343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IF(OR(G115="",C115=""),"",IF(C115&lt;=0,"",IFERROR(G115/C115-1,"")))</f>
        <v/>
      </c>
      <c r="H116" s="17">
        <f>IF(OR(H115="",D115=""),"",IF(D115&lt;=0,"",IFERROR(H115/D115-1,"")))</f>
        <v/>
      </c>
      <c r="I116" s="17">
        <f>IF(OR(I115="",E115=""),"",IF(E115&lt;=0,"",IFERROR(I115/E115-1,"")))</f>
        <v/>
      </c>
      <c r="J116" s="17">
        <f>IF(OR(J115="",F115=""),"",IF(F115&lt;=0,"",IFERROR(J115/F115-1,"")))</f>
        <v/>
      </c>
      <c r="K116" s="17">
        <f>IF(OR(K115="",G115=""),"",IF(G115&lt;=0,"",IFERROR(K115/G115-1,"")))</f>
        <v/>
      </c>
      <c r="L116" s="17">
        <f>IF(OR(L115="",H115=""),"",IF(H115&lt;=0,"",IFERROR(L115/H115-1,"")))</f>
        <v/>
      </c>
      <c r="M116" s="17">
        <f>IF(OR(M115="",I115=""),"",IF(I115&lt;=0,"",IFERROR(M115/I115-1,"")))</f>
        <v/>
      </c>
      <c r="N116" s="17">
        <f>IF(OR(N115="",J115=""),"",IF(J115&lt;=0,"",IFERROR(N115/J115-1,"")))</f>
        <v/>
      </c>
      <c r="U116" s="17">
        <f>IF(OR(U115="",T115=""),"",IF(T115&lt;=0,"",IFERROR(U115/T115-1,"")))</f>
        <v/>
      </c>
      <c r="V116" s="17">
        <f>IF(OR(V115="",U115=""),"",IF(U115&lt;=0,"",IFERROR(V115/U115-1,"")))</f>
        <v/>
      </c>
      <c r="W116" s="17">
        <f>IF(OR(W115="",V115=""),"",IF(V115&lt;=0,"",IFERROR(W115/V115-1,"")))</f>
        <v/>
      </c>
      <c r="X116" s="17">
        <f>IF(OR(X115="",W115=""),"",IF(W115&lt;=0,"",IFERROR(X115/W115-1,"")))</f>
        <v/>
      </c>
    </row>
    <row r="117">
      <c r="A117" s="20" t="inlineStr">
        <is>
          <t>법인세·주민세·사업세</t>
        </is>
      </c>
      <c r="C117" s="22" t="n">
        <v>689</v>
      </c>
      <c r="D117" s="22" t="n">
        <v>675</v>
      </c>
      <c r="E117" s="22" t="n">
        <v>519</v>
      </c>
      <c r="F117" s="22" t="n">
        <v>759</v>
      </c>
      <c r="G117" s="22" t="n">
        <v>704</v>
      </c>
      <c r="H117" s="22" t="n">
        <v>669</v>
      </c>
      <c r="I117" s="22" t="n">
        <v>786</v>
      </c>
      <c r="J117" s="22" t="n">
        <v>758</v>
      </c>
      <c r="K117" s="22" t="n">
        <v>1113</v>
      </c>
      <c r="L117" s="22" t="n">
        <v>1174</v>
      </c>
      <c r="M117" s="22" t="n">
        <v>702</v>
      </c>
      <c r="N117" s="22" t="n">
        <v>1718</v>
      </c>
      <c r="U117" s="22" t="n">
        <v>1324</v>
      </c>
      <c r="V117" s="22" t="n">
        <v>675</v>
      </c>
      <c r="W117" s="22" t="n">
        <v>669</v>
      </c>
      <c r="X117" s="22" t="n">
        <v>1174</v>
      </c>
    </row>
    <row r="118">
      <c r="A118" s="20" t="inlineStr">
        <is>
          <t>법인세 조정액</t>
        </is>
      </c>
      <c r="C118" s="22" t="n">
        <v>-326</v>
      </c>
      <c r="D118" s="22" t="n">
        <v>-296</v>
      </c>
      <c r="E118" s="22" t="n">
        <v>-129</v>
      </c>
      <c r="F118" s="22" t="n">
        <v>-302</v>
      </c>
      <c r="G118" s="22" t="n">
        <v>-187</v>
      </c>
      <c r="H118" s="22" t="n">
        <v>-356</v>
      </c>
      <c r="I118" s="22" t="n">
        <v>42</v>
      </c>
      <c r="J118" s="22" t="n">
        <v>-11</v>
      </c>
      <c r="K118" s="22" t="n">
        <v>-383</v>
      </c>
      <c r="L118" s="22" t="n">
        <v>-878</v>
      </c>
      <c r="M118" s="22" t="n">
        <v>555</v>
      </c>
      <c r="N118" s="22" t="n">
        <v>-1033</v>
      </c>
      <c r="U118" s="22" t="n">
        <v>-710</v>
      </c>
      <c r="V118" s="22" t="n">
        <v>-296</v>
      </c>
      <c r="W118" s="22" t="n">
        <v>-356</v>
      </c>
      <c r="X118" s="22" t="n">
        <v>-878</v>
      </c>
    </row>
    <row r="119">
      <c r="A119" s="20" t="inlineStr">
        <is>
          <t>법인세 등 합계</t>
        </is>
      </c>
      <c r="C119" s="22" t="n">
        <v>361</v>
      </c>
      <c r="D119" s="22" t="n">
        <v>379</v>
      </c>
      <c r="E119" s="22" t="n">
        <v>389</v>
      </c>
      <c r="F119" s="22" t="n">
        <v>457</v>
      </c>
      <c r="G119" s="22" t="n">
        <v>518</v>
      </c>
      <c r="H119" s="22" t="n">
        <v>312</v>
      </c>
      <c r="I119" s="22" t="n">
        <v>828</v>
      </c>
      <c r="J119" s="22" t="n">
        <v>747</v>
      </c>
      <c r="K119" s="22" t="n">
        <v>729</v>
      </c>
      <c r="L119" s="22" t="n">
        <v>296</v>
      </c>
      <c r="M119" s="22" t="n">
        <v>1257</v>
      </c>
      <c r="N119" s="22" t="n">
        <v>685</v>
      </c>
      <c r="U119" s="22" t="n">
        <v>614</v>
      </c>
      <c r="V119" s="22" t="n">
        <v>379</v>
      </c>
      <c r="W119" s="22" t="n">
        <v>312</v>
      </c>
      <c r="X119" s="22" t="n">
        <v>296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IF(OR(G119="",C119=""),"",IF(G119*C119&lt;=0,"",IFERROR(G119/C119-1,"")))</f>
        <v/>
      </c>
      <c r="H120" s="17">
        <f>IF(OR(H119="",D119=""),"",IF(H119*D119&lt;=0,"",IFERROR(H119/D119-1,"")))</f>
        <v/>
      </c>
      <c r="I120" s="17">
        <f>IF(OR(I119="",E119=""),"",IF(I119*E119&lt;=0,"",IFERROR(I119/E119-1,"")))</f>
        <v/>
      </c>
      <c r="J120" s="17">
        <f>IF(OR(J119="",F119=""),"",IF(J119*F119&lt;=0,"",IFERROR(J119/F119-1,"")))</f>
        <v/>
      </c>
      <c r="K120" s="17">
        <f>IF(OR(K119="",G119=""),"",IF(K119*G119&lt;=0,"",IFERROR(K119/G119-1,"")))</f>
        <v/>
      </c>
      <c r="L120" s="17">
        <f>IF(OR(L119="",H119=""),"",IF(L119*H119&lt;=0,"",IFERROR(L119/H119-1,"")))</f>
        <v/>
      </c>
      <c r="M120" s="17">
        <f>IF(OR(M119="",I119=""),"",IF(M119*I119&lt;=0,"",IFERROR(M119/I119-1,"")))</f>
        <v/>
      </c>
      <c r="N120" s="17">
        <f>IF(OR(N119="",J119=""),"",IF(N119*J119&lt;=0,"",IFERROR(N119/J119-1,"")))</f>
        <v/>
      </c>
      <c r="U120" s="17">
        <f>IF(OR(U119="",T119=""),"",IF(U119*T119&lt;=0,"",IFERROR(U119/T119-1,"")))</f>
        <v/>
      </c>
      <c r="V120" s="17">
        <f>IF(OR(V119="",U119=""),"",IF(V119*U119&lt;=0,"",IFERROR(V119/U119-1,"")))</f>
        <v/>
      </c>
      <c r="W120" s="17">
        <f>IF(OR(W119="",V119=""),"",IF(W119*V119&lt;=0,"",IFERROR(W119/V119-1,"")))</f>
        <v/>
      </c>
      <c r="X120" s="17">
        <f>IF(OR(X119="",W119=""),"",IF(X119*W119&lt;=0,"",IFERROR(X119/W119-1,"")))</f>
        <v/>
      </c>
    </row>
    <row r="121">
      <c r="A121" s="9" t="inlineStr">
        <is>
          <t>순이익</t>
        </is>
      </c>
      <c r="C121" s="12" t="n">
        <v>858</v>
      </c>
      <c r="D121" s="12" t="n">
        <v>862</v>
      </c>
      <c r="E121" s="12" t="n">
        <v>817</v>
      </c>
      <c r="F121" s="12" t="n">
        <v>1085</v>
      </c>
      <c r="G121" s="12" t="n">
        <v>1186</v>
      </c>
      <c r="H121" s="12" t="n">
        <v>1300</v>
      </c>
      <c r="I121" s="12" t="n">
        <v>1568</v>
      </c>
      <c r="J121" s="12" t="n">
        <v>1736</v>
      </c>
      <c r="K121" s="12" t="n">
        <v>1701</v>
      </c>
      <c r="L121" s="12" t="n">
        <v>1046</v>
      </c>
      <c r="M121" s="12" t="n">
        <v>2541</v>
      </c>
      <c r="N121" s="12" t="n">
        <v>1550</v>
      </c>
      <c r="U121" s="12" t="n">
        <v>1423</v>
      </c>
      <c r="V121" s="12" t="n">
        <v>862</v>
      </c>
      <c r="W121" s="12" t="n">
        <v>1300</v>
      </c>
      <c r="X121" s="12" t="n">
        <v>1046</v>
      </c>
    </row>
    <row r="122">
      <c r="A122" s="45" t="inlineStr">
        <is>
          <t>YoY</t>
        </is>
      </c>
      <c r="B122" s="3" t="inlineStr">
        <is>
          <t>전년 같은 분기·전년 대비</t>
        </is>
      </c>
      <c r="G122" s="17">
        <f>IF(OR(G121="",C121=""),"",IF(C121&lt;=0,"",IFERROR(G121/C121-1,"")))</f>
        <v/>
      </c>
      <c r="H122" s="17">
        <f>IF(OR(H121="",D121=""),"",IF(D121&lt;=0,"",IFERROR(H121/D121-1,"")))</f>
        <v/>
      </c>
      <c r="I122" s="17">
        <f>IF(OR(I121="",E121=""),"",IF(E121&lt;=0,"",IFERROR(I121/E121-1,"")))</f>
        <v/>
      </c>
      <c r="J122" s="17">
        <f>IF(OR(J121="",F121=""),"",IF(F121&lt;=0,"",IFERROR(J121/F121-1,"")))</f>
        <v/>
      </c>
      <c r="K122" s="17">
        <f>IF(OR(K121="",G121=""),"",IF(G121&lt;=0,"",IFERROR(K121/G121-1,"")))</f>
        <v/>
      </c>
      <c r="L122" s="17">
        <f>IF(OR(L121="",H121=""),"",IF(H121&lt;=0,"",IFERROR(L121/H121-1,"")))</f>
        <v/>
      </c>
      <c r="M122" s="17">
        <f>IF(OR(M121="",I121=""),"",IF(I121&lt;=0,"",IFERROR(M121/I121-1,"")))</f>
        <v/>
      </c>
      <c r="N122" s="17">
        <f>IF(OR(N121="",J121=""),"",IF(J121&lt;=0,"",IFERROR(N121/J121-1,"")))</f>
        <v/>
      </c>
      <c r="U122" s="17">
        <f>IF(OR(U121="",T121=""),"",IF(T121&lt;=0,"",IFERROR(U121/T121-1,"")))</f>
        <v/>
      </c>
      <c r="V122" s="17">
        <f>IF(OR(V121="",U121=""),"",IF(U121&lt;=0,"",IFERROR(V121/U121-1,"")))</f>
        <v/>
      </c>
      <c r="W122" s="17">
        <f>IF(OR(W121="",V121=""),"",IF(V121&lt;=0,"",IFERROR(W121/V121-1,"")))</f>
        <v/>
      </c>
      <c r="X122" s="17">
        <f>IF(OR(X121="",W121=""),"",IF(W121&lt;=0,"",IFERROR(X121/W121-1,"")))</f>
        <v/>
      </c>
    </row>
    <row r="123">
      <c r="A123" s="9" t="inlineStr">
        <is>
          <t>지배주주 순이익</t>
        </is>
      </c>
      <c r="C123" s="12" t="n">
        <v>858</v>
      </c>
      <c r="D123" s="12" t="n">
        <v>862</v>
      </c>
      <c r="E123" s="12" t="n">
        <v>817</v>
      </c>
      <c r="F123" s="12" t="n">
        <v>1085</v>
      </c>
      <c r="G123" s="12" t="n">
        <v>1186</v>
      </c>
      <c r="H123" s="12" t="n">
        <v>1300</v>
      </c>
      <c r="I123" s="12" t="n">
        <v>1568</v>
      </c>
      <c r="J123" s="12" t="n">
        <v>1736</v>
      </c>
      <c r="K123" s="12" t="n">
        <v>1701</v>
      </c>
      <c r="L123" s="12" t="n">
        <v>1046</v>
      </c>
      <c r="M123" s="12" t="n">
        <v>2541</v>
      </c>
      <c r="N123" s="12" t="n">
        <v>1550</v>
      </c>
      <c r="U123" s="12" t="n">
        <v>1423</v>
      </c>
      <c r="V123" s="12" t="n">
        <v>862</v>
      </c>
      <c r="W123" s="12" t="n">
        <v>1300</v>
      </c>
      <c r="X123" s="12" t="n">
        <v>1046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IF(OR(G123="",C123=""),"",IF(C123&lt;=0,"",IFERROR(G123/C123-1,"")))</f>
        <v/>
      </c>
      <c r="H124" s="17">
        <f>IF(OR(H123="",D123=""),"",IF(D123&lt;=0,"",IFERROR(H123/D123-1,"")))</f>
        <v/>
      </c>
      <c r="I124" s="17">
        <f>IF(OR(I123="",E123=""),"",IF(E123&lt;=0,"",IFERROR(I123/E123-1,"")))</f>
        <v/>
      </c>
      <c r="J124" s="17">
        <f>IF(OR(J123="",F123=""),"",IF(F123&lt;=0,"",IFERROR(J123/F123-1,"")))</f>
        <v/>
      </c>
      <c r="K124" s="17">
        <f>IF(OR(K123="",G123=""),"",IF(G123&lt;=0,"",IFERROR(K123/G123-1,"")))</f>
        <v/>
      </c>
      <c r="L124" s="17">
        <f>IF(OR(L123="",H123=""),"",IF(H123&lt;=0,"",IFERROR(L123/H123-1,"")))</f>
        <v/>
      </c>
      <c r="M124" s="17">
        <f>IF(OR(M123="",I123=""),"",IF(I123&lt;=0,"",IFERROR(M123/I123-1,"")))</f>
        <v/>
      </c>
      <c r="N124" s="17">
        <f>IF(OR(N123="",J123=""),"",IF(J123&lt;=0,"",IFERROR(N123/J123-1,"")))</f>
        <v/>
      </c>
      <c r="U124" s="17">
        <f>IF(OR(U123="",T123=""),"",IF(T123&lt;=0,"",IFERROR(U123/T123-1,"")))</f>
        <v/>
      </c>
      <c r="V124" s="17">
        <f>IF(OR(V123="",U123=""),"",IF(U123&lt;=0,"",IFERROR(V123/U123-1,"")))</f>
        <v/>
      </c>
      <c r="W124" s="17">
        <f>IF(OR(W123="",V123=""),"",IF(V123&lt;=0,"",IFERROR(W123/V123-1,"")))</f>
        <v/>
      </c>
      <c r="X124" s="17">
        <f>IF(OR(X123="",W123=""),"",IF(W123&lt;=0,"",IFERROR(X123/W123-1,"")))</f>
        <v/>
      </c>
    </row>
    <row r="126">
      <c r="A126" s="18" t="inlineStr">
        <is>
          <t>포괄손익 · 전 항목</t>
        </is>
      </c>
      <c r="B126" s="44" t="inlineStr">
        <is>
          <t>분기 = 3개월 단독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2024.3Q</t>
        </is>
      </c>
      <c r="D127" s="5" t="inlineStr">
        <is>
          <t>2024.4Q</t>
        </is>
      </c>
      <c r="E127" s="5" t="inlineStr">
        <is>
          <t>2025.1Q</t>
        </is>
      </c>
      <c r="F127" s="5" t="inlineStr">
        <is>
          <t>2025.2Q</t>
        </is>
      </c>
      <c r="G127" s="5" t="inlineStr">
        <is>
          <t>2025.3Q</t>
        </is>
      </c>
      <c r="H127" s="5" t="inlineStr">
        <is>
          <t>2025.4Q</t>
        </is>
      </c>
      <c r="I127" s="5" t="inlineStr">
        <is>
          <t>2026.1Q</t>
        </is>
      </c>
      <c r="J127" s="5" t="inlineStr">
        <is>
          <t>2026.2Q</t>
        </is>
      </c>
      <c r="K127" s="5" t="inlineStr">
        <is>
          <t>2026.3Q</t>
        </is>
      </c>
      <c r="L127" s="5" t="inlineStr">
        <is>
          <t>2026.4Q</t>
        </is>
      </c>
      <c r="M127" s="5" t="inlineStr">
        <is>
          <t>2027.1Q</t>
        </is>
      </c>
      <c r="N127" s="5" t="inlineStr">
        <is>
          <t>2027.2Q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순이익</t>
        </is>
      </c>
      <c r="C128" s="12" t="n">
        <v>858</v>
      </c>
      <c r="D128" s="12" t="n">
        <v>862</v>
      </c>
      <c r="E128" s="12" t="n">
        <v>817</v>
      </c>
      <c r="F128" s="12" t="n">
        <v>1085</v>
      </c>
      <c r="G128" s="12" t="n">
        <v>1186</v>
      </c>
      <c r="H128" s="12" t="n">
        <v>1300</v>
      </c>
      <c r="I128" s="12" t="n">
        <v>1568</v>
      </c>
      <c r="J128" s="12" t="n">
        <v>1736</v>
      </c>
      <c r="K128" s="12" t="n">
        <v>1701</v>
      </c>
      <c r="L128" s="12" t="n">
        <v>1046</v>
      </c>
      <c r="M128" s="12" t="n">
        <v>2541</v>
      </c>
      <c r="N128" s="12" t="n">
        <v>1550</v>
      </c>
      <c r="U128" s="12" t="n">
        <v>1423</v>
      </c>
      <c r="V128" s="12" t="n">
        <v>862</v>
      </c>
      <c r="W128" s="12" t="n">
        <v>1300</v>
      </c>
      <c r="X128" s="12" t="n">
        <v>1046</v>
      </c>
    </row>
    <row r="129">
      <c r="A129" s="20" t="inlineStr">
        <is>
          <t>이연헤지손익</t>
        </is>
      </c>
      <c r="C129" s="22" t="n">
        <v>651</v>
      </c>
      <c r="D129" s="22" t="n">
        <v>-655</v>
      </c>
      <c r="E129" s="22" t="n">
        <v>-404</v>
      </c>
      <c r="F129" s="22" t="n">
        <v>788</v>
      </c>
      <c r="G129" s="22" t="n">
        <v>-1422</v>
      </c>
      <c r="H129" s="22" t="n">
        <v>1221</v>
      </c>
      <c r="I129" s="22" t="n">
        <v>162</v>
      </c>
      <c r="J129" s="22" t="n">
        <v>-881</v>
      </c>
      <c r="K129" s="22" t="n">
        <v>-502</v>
      </c>
      <c r="L129" s="22" t="n">
        <v>245</v>
      </c>
      <c r="M129" s="22" t="n">
        <v>697</v>
      </c>
      <c r="N129" s="22" t="n">
        <v>246</v>
      </c>
      <c r="U129" s="22" t="n">
        <v>-257</v>
      </c>
      <c r="V129" s="22" t="n">
        <v>-655</v>
      </c>
      <c r="W129" s="22" t="n">
        <v>1221</v>
      </c>
      <c r="X129" s="22" t="n">
        <v>245</v>
      </c>
    </row>
    <row r="130">
      <c r="A130" s="20" t="inlineStr">
        <is>
          <t>해외사업환산조정</t>
        </is>
      </c>
      <c r="C130" s="22" t="n">
        <v>0</v>
      </c>
      <c r="D130" s="22" t="n">
        <v>0</v>
      </c>
      <c r="U130" s="22" t="n">
        <v>0</v>
      </c>
      <c r="V130" s="22" t="n">
        <v>0</v>
      </c>
    </row>
    <row r="131">
      <c r="A131" s="20" t="inlineStr">
        <is>
          <t>기타포괄손익 합계</t>
        </is>
      </c>
      <c r="C131" s="22" t="n">
        <v>651</v>
      </c>
      <c r="D131" s="22" t="n">
        <v>-655</v>
      </c>
      <c r="E131" s="22" t="n">
        <v>-404</v>
      </c>
      <c r="F131" s="22" t="n">
        <v>788</v>
      </c>
      <c r="G131" s="22" t="n">
        <v>-1422</v>
      </c>
      <c r="H131" s="22" t="n">
        <v>1221</v>
      </c>
      <c r="I131" s="22" t="n">
        <v>162</v>
      </c>
      <c r="J131" s="22" t="n">
        <v>-881</v>
      </c>
      <c r="K131" s="22" t="n">
        <v>-502</v>
      </c>
      <c r="L131" s="22" t="n">
        <v>245</v>
      </c>
      <c r="M131" s="22" t="n">
        <v>697</v>
      </c>
      <c r="N131" s="22" t="n">
        <v>246</v>
      </c>
      <c r="U131" s="22" t="n">
        <v>-257</v>
      </c>
      <c r="V131" s="22" t="n">
        <v>-655</v>
      </c>
      <c r="W131" s="22" t="n">
        <v>1221</v>
      </c>
      <c r="X131" s="22" t="n">
        <v>245</v>
      </c>
    </row>
    <row r="132">
      <c r="A132" s="9" t="inlineStr">
        <is>
          <t>포괄이익</t>
        </is>
      </c>
      <c r="C132" s="12" t="n">
        <v>1509</v>
      </c>
      <c r="D132" s="12" t="n">
        <v>206</v>
      </c>
      <c r="E132" s="12" t="n">
        <v>413</v>
      </c>
      <c r="F132" s="12" t="n">
        <v>1873</v>
      </c>
      <c r="G132" s="12" t="n">
        <v>-236</v>
      </c>
      <c r="H132" s="12" t="n">
        <v>2522</v>
      </c>
      <c r="I132" s="12" t="n">
        <v>1730</v>
      </c>
      <c r="J132" s="12" t="n">
        <v>854</v>
      </c>
      <c r="K132" s="12" t="n">
        <v>1199</v>
      </c>
      <c r="L132" s="12" t="n">
        <v>1292</v>
      </c>
      <c r="M132" s="12" t="n">
        <v>3238</v>
      </c>
      <c r="N132" s="12" t="n">
        <v>1796</v>
      </c>
      <c r="U132" s="12" t="n">
        <v>1166</v>
      </c>
      <c r="V132" s="12" t="n">
        <v>206</v>
      </c>
      <c r="W132" s="12" t="n">
        <v>2522</v>
      </c>
      <c r="X132" s="12" t="n">
        <v>1292</v>
      </c>
    </row>
    <row r="133">
      <c r="A133" s="9" t="inlineStr">
        <is>
          <t>지배주주 포괄이익</t>
        </is>
      </c>
      <c r="C133" s="12" t="n">
        <v>1509</v>
      </c>
      <c r="D133" s="12" t="n">
        <v>206</v>
      </c>
      <c r="E133" s="12" t="n">
        <v>413</v>
      </c>
      <c r="F133" s="12" t="n">
        <v>1873</v>
      </c>
      <c r="G133" s="12" t="n">
        <v>-236</v>
      </c>
      <c r="H133" s="12" t="n">
        <v>2522</v>
      </c>
      <c r="I133" s="12" t="n">
        <v>1730</v>
      </c>
      <c r="J133" s="12" t="n">
        <v>854</v>
      </c>
      <c r="K133" s="12" t="n">
        <v>1199</v>
      </c>
      <c r="L133" s="12" t="n">
        <v>1292</v>
      </c>
      <c r="M133" s="12" t="n">
        <v>3238</v>
      </c>
      <c r="N133" s="12" t="n">
        <v>1796</v>
      </c>
      <c r="U133" s="12" t="n">
        <v>1166</v>
      </c>
      <c r="V133" s="12" t="n">
        <v>206</v>
      </c>
      <c r="W133" s="12" t="n">
        <v>2522</v>
      </c>
      <c r="X133" s="12" t="n">
        <v>1292</v>
      </c>
    </row>
    <row r="135">
      <c r="A135" s="18" t="inlineStr">
        <is>
          <t>현금흐름표 · 전 항목</t>
        </is>
      </c>
      <c r="B135" s="44" t="inlineStr">
        <is>
          <t>분기 = 결산기 첫날부터 누계(공시 그대로)</t>
        </is>
      </c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  <c r="AA135" s="18" t="n"/>
      <c r="AB135" s="18" t="n"/>
      <c r="AC135" s="18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2024.3Q</t>
        </is>
      </c>
      <c r="D136" s="5" t="inlineStr">
        <is>
          <t>2024.4Q</t>
        </is>
      </c>
      <c r="E136" s="5" t="inlineStr">
        <is>
          <t>2025.1Q</t>
        </is>
      </c>
      <c r="F136" s="5" t="inlineStr">
        <is>
          <t>2025.2Q</t>
        </is>
      </c>
      <c r="G136" s="5" t="inlineStr">
        <is>
          <t>2025.3Q</t>
        </is>
      </c>
      <c r="H136" s="5" t="inlineStr">
        <is>
          <t>2025.4Q</t>
        </is>
      </c>
      <c r="I136" s="5" t="inlineStr">
        <is>
          <t>2026.1Q</t>
        </is>
      </c>
      <c r="J136" s="5" t="inlineStr">
        <is>
          <t>2026.2Q</t>
        </is>
      </c>
      <c r="K136" s="5" t="inlineStr">
        <is>
          <t>2026.3Q</t>
        </is>
      </c>
      <c r="L136" s="5" t="inlineStr">
        <is>
          <t>2026.4Q</t>
        </is>
      </c>
      <c r="M136" s="5" t="inlineStr">
        <is>
          <t>2027.1Q</t>
        </is>
      </c>
      <c r="N136" s="5" t="inlineStr">
        <is>
          <t>2027.2Q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9" t="inlineStr">
        <is>
          <t>법인세차감전 순이익</t>
        </is>
      </c>
      <c r="D137" s="12" t="n">
        <v>4909</v>
      </c>
      <c r="F137" s="12" t="n">
        <v>2748</v>
      </c>
      <c r="H137" s="12" t="n">
        <v>6065</v>
      </c>
      <c r="J137" s="12" t="n">
        <v>4880</v>
      </c>
      <c r="L137" s="12" t="n">
        <v>8652</v>
      </c>
      <c r="N137" s="12" t="n">
        <v>6033</v>
      </c>
      <c r="T137" s="12" t="n">
        <v>10627</v>
      </c>
      <c r="U137" s="12" t="n">
        <v>3516</v>
      </c>
      <c r="V137" s="12" t="n">
        <v>4909</v>
      </c>
      <c r="W137" s="12" t="n">
        <v>6065</v>
      </c>
      <c r="X137" s="12" t="n">
        <v>8652</v>
      </c>
    </row>
    <row r="138">
      <c r="A138" s="20" t="inlineStr">
        <is>
          <t>감가상각비</t>
        </is>
      </c>
      <c r="D138" s="22" t="n">
        <v>676</v>
      </c>
      <c r="F138" s="22" t="n">
        <v>337</v>
      </c>
      <c r="H138" s="22" t="n">
        <v>675</v>
      </c>
      <c r="J138" s="22" t="n">
        <v>339</v>
      </c>
      <c r="L138" s="22" t="n">
        <v>679</v>
      </c>
      <c r="N138" s="22" t="n">
        <v>345</v>
      </c>
      <c r="T138" s="22" t="n">
        <v>170</v>
      </c>
      <c r="U138" s="22" t="n">
        <v>459</v>
      </c>
      <c r="V138" s="22" t="n">
        <v>676</v>
      </c>
      <c r="W138" s="22" t="n">
        <v>675</v>
      </c>
      <c r="X138" s="22" t="n">
        <v>679</v>
      </c>
    </row>
    <row r="139">
      <c r="A139" s="20" t="inlineStr">
        <is>
          <t>영업권 상각</t>
        </is>
      </c>
      <c r="D139" s="22" t="n">
        <v>52</v>
      </c>
      <c r="F139" s="22" t="n">
        <v>26</v>
      </c>
      <c r="H139" s="22" t="n">
        <v>52</v>
      </c>
      <c r="J139" s="22" t="n">
        <v>26</v>
      </c>
      <c r="L139" s="22" t="n">
        <v>52</v>
      </c>
      <c r="N139" s="22" t="n">
        <v>26</v>
      </c>
      <c r="T139" s="22" t="n">
        <v>52</v>
      </c>
      <c r="U139" s="22" t="n">
        <v>52</v>
      </c>
      <c r="V139" s="22" t="n">
        <v>52</v>
      </c>
      <c r="W139" s="22" t="n">
        <v>52</v>
      </c>
      <c r="X139" s="22" t="n">
        <v>52</v>
      </c>
    </row>
    <row r="140">
      <c r="A140" s="20" t="inlineStr">
        <is>
          <t>대손충당금 증감</t>
        </is>
      </c>
      <c r="T140" s="22" t="n">
        <v>-37</v>
      </c>
      <c r="U140" s="22" t="n">
        <v>0</v>
      </c>
    </row>
    <row r="141">
      <c r="A141" s="20" t="inlineStr">
        <is>
          <t>이자수익</t>
        </is>
      </c>
      <c r="T141" s="22" t="n">
        <v>-0</v>
      </c>
      <c r="U141" s="22" t="n">
        <v>-0</v>
      </c>
    </row>
    <row r="142">
      <c r="A142" s="20" t="inlineStr">
        <is>
          <t>상여충당금 증감</t>
        </is>
      </c>
      <c r="D142" s="22" t="n">
        <v>136</v>
      </c>
      <c r="F142" s="22" t="n">
        <v>-60</v>
      </c>
      <c r="H142" s="22" t="n">
        <v>38</v>
      </c>
      <c r="J142" s="22" t="n">
        <v>-75</v>
      </c>
      <c r="L142" s="22" t="n">
        <v>59</v>
      </c>
      <c r="N142" s="22" t="n">
        <v>-107</v>
      </c>
      <c r="U142" s="22" t="n">
        <v>0</v>
      </c>
      <c r="V142" s="22" t="n">
        <v>136</v>
      </c>
      <c r="W142" s="22" t="n">
        <v>38</v>
      </c>
      <c r="X142" s="22" t="n">
        <v>59</v>
      </c>
    </row>
    <row r="143">
      <c r="A143" s="20" t="inlineStr">
        <is>
          <t>이자·배당금 수익</t>
        </is>
      </c>
      <c r="D143" s="22" t="n">
        <v>-0</v>
      </c>
      <c r="F143" s="22" t="n">
        <v>-1</v>
      </c>
      <c r="H143" s="22" t="n">
        <v>-7</v>
      </c>
      <c r="J143" s="22" t="n">
        <v>-14</v>
      </c>
      <c r="L143" s="22" t="n">
        <v>-32</v>
      </c>
      <c r="N143" s="22" t="n">
        <v>-26</v>
      </c>
      <c r="U143" s="22" t="n">
        <v>-0</v>
      </c>
      <c r="V143" s="22" t="n">
        <v>-0</v>
      </c>
      <c r="W143" s="22" t="n">
        <v>-7</v>
      </c>
      <c r="X143" s="22" t="n">
        <v>-32</v>
      </c>
    </row>
    <row r="144">
      <c r="A144" s="20" t="inlineStr">
        <is>
          <t>이자비용</t>
        </is>
      </c>
      <c r="D144" s="22" t="n">
        <v>483</v>
      </c>
      <c r="F144" s="22" t="n">
        <v>353</v>
      </c>
      <c r="H144" s="22" t="n">
        <v>877</v>
      </c>
      <c r="J144" s="22" t="n">
        <v>598</v>
      </c>
      <c r="L144" s="22" t="n">
        <v>1230</v>
      </c>
      <c r="N144" s="22" t="n">
        <v>748</v>
      </c>
      <c r="T144" s="22" t="n">
        <v>625</v>
      </c>
      <c r="U144" s="22" t="n">
        <v>384</v>
      </c>
      <c r="V144" s="22" t="n">
        <v>483</v>
      </c>
      <c r="W144" s="22" t="n">
        <v>877</v>
      </c>
      <c r="X144" s="22" t="n">
        <v>1230</v>
      </c>
    </row>
    <row r="145">
      <c r="A145" s="20" t="inlineStr">
        <is>
          <t>유형자산 매각손익</t>
        </is>
      </c>
      <c r="T145" s="22" t="n">
        <v>-7820</v>
      </c>
      <c r="U145" s="22" t="n">
        <v>0</v>
      </c>
    </row>
    <row r="146">
      <c r="A146" s="20" t="inlineStr">
        <is>
          <t>고정자산 제각손실</t>
        </is>
      </c>
      <c r="D146" s="22" t="n">
        <v>17</v>
      </c>
      <c r="H146" s="22" t="n">
        <v>0</v>
      </c>
      <c r="U146" s="22" t="n">
        <v>0</v>
      </c>
      <c r="V146" s="22" t="n">
        <v>17</v>
      </c>
      <c r="W146" s="22" t="n">
        <v>0</v>
      </c>
    </row>
    <row r="147">
      <c r="A147" s="20" t="inlineStr">
        <is>
          <t>Decrease Increase In Operating Receivables Ope CF</t>
        </is>
      </c>
      <c r="D147" s="22" t="n">
        <v>150</v>
      </c>
      <c r="F147" s="22" t="n">
        <v>-117</v>
      </c>
      <c r="H147" s="22" t="n">
        <v>-746</v>
      </c>
      <c r="J147" s="22" t="n">
        <v>-78</v>
      </c>
      <c r="L147" s="22" t="n">
        <v>238</v>
      </c>
      <c r="N147" s="22" t="n">
        <v>-52</v>
      </c>
      <c r="T147" s="22" t="n">
        <v>-308</v>
      </c>
      <c r="U147" s="22" t="n">
        <v>373</v>
      </c>
      <c r="V147" s="22" t="n">
        <v>150</v>
      </c>
      <c r="W147" s="22" t="n">
        <v>-746</v>
      </c>
      <c r="X147" s="22" t="n">
        <v>238</v>
      </c>
    </row>
    <row r="148">
      <c r="A148" s="20" t="inlineStr">
        <is>
          <t>선급금 증감</t>
        </is>
      </c>
      <c r="D148" s="22" t="n">
        <v>556</v>
      </c>
      <c r="F148" s="22" t="n">
        <v>-1304</v>
      </c>
      <c r="H148" s="22" t="n">
        <v>-5834</v>
      </c>
      <c r="J148" s="22" t="n">
        <v>5922</v>
      </c>
      <c r="L148" s="22" t="n">
        <v>5965</v>
      </c>
      <c r="N148" s="22" t="n">
        <v>-254</v>
      </c>
      <c r="V148" s="22" t="n">
        <v>556</v>
      </c>
      <c r="W148" s="22" t="n">
        <v>-5834</v>
      </c>
      <c r="X148" s="22" t="n">
        <v>5965</v>
      </c>
    </row>
    <row r="149">
      <c r="A149" s="20" t="inlineStr">
        <is>
          <t>재고자산 증감</t>
        </is>
      </c>
      <c r="D149" s="22" t="n">
        <v>-29217</v>
      </c>
      <c r="F149" s="22" t="n">
        <v>-3993</v>
      </c>
      <c r="H149" s="22" t="n">
        <v>-26280</v>
      </c>
      <c r="J149" s="22" t="n">
        <v>1725</v>
      </c>
      <c r="L149" s="22" t="n">
        <v>-14246</v>
      </c>
      <c r="N149" s="22" t="n">
        <v>-10714</v>
      </c>
      <c r="T149" s="22" t="n">
        <v>-4182</v>
      </c>
      <c r="U149" s="22" t="n">
        <v>-3466</v>
      </c>
      <c r="V149" s="22" t="n">
        <v>-29217</v>
      </c>
      <c r="W149" s="22" t="n">
        <v>-26280</v>
      </c>
      <c r="X149" s="22" t="n">
        <v>-14246</v>
      </c>
    </row>
    <row r="150">
      <c r="A150" s="20" t="inlineStr">
        <is>
          <t>계약부채 증감</t>
        </is>
      </c>
      <c r="T150" s="22" t="n">
        <v>285</v>
      </c>
      <c r="U150" s="22" t="n">
        <v>2560</v>
      </c>
    </row>
    <row r="151">
      <c r="A151" s="20" t="inlineStr">
        <is>
          <t>계약부채 증감</t>
        </is>
      </c>
      <c r="D151" s="22" t="n">
        <v>198</v>
      </c>
      <c r="F151" s="22" t="n">
        <v>-607</v>
      </c>
      <c r="H151" s="22" t="n">
        <v>1441</v>
      </c>
      <c r="J151" s="22" t="n">
        <v>-667</v>
      </c>
      <c r="L151" s="22" t="n">
        <v>1633</v>
      </c>
      <c r="N151" s="22" t="n">
        <v>-1301</v>
      </c>
      <c r="U151" s="22" t="n">
        <v>2560</v>
      </c>
      <c r="V151" s="22" t="n">
        <v>198</v>
      </c>
      <c r="W151" s="22" t="n">
        <v>1441</v>
      </c>
      <c r="X151" s="22" t="n">
        <v>1633</v>
      </c>
    </row>
    <row r="152">
      <c r="A152" s="20" t="inlineStr">
        <is>
          <t>기타</t>
        </is>
      </c>
      <c r="D152" s="22" t="n">
        <v>-961</v>
      </c>
      <c r="F152" s="22" t="n">
        <v>797</v>
      </c>
      <c r="H152" s="22" t="n">
        <v>266</v>
      </c>
      <c r="J152" s="22" t="n">
        <v>55</v>
      </c>
      <c r="L152" s="22" t="n">
        <v>137</v>
      </c>
      <c r="N152" s="22" t="n">
        <v>755</v>
      </c>
      <c r="T152" s="22" t="n">
        <v>293</v>
      </c>
      <c r="U152" s="22" t="n">
        <v>142</v>
      </c>
      <c r="V152" s="22" t="n">
        <v>-961</v>
      </c>
      <c r="W152" s="22" t="n">
        <v>266</v>
      </c>
      <c r="X152" s="22" t="n">
        <v>137</v>
      </c>
    </row>
    <row r="153">
      <c r="A153" s="20" t="inlineStr">
        <is>
          <t>소계</t>
        </is>
      </c>
      <c r="D153" s="22" t="n">
        <v>-22998</v>
      </c>
      <c r="F153" s="22" t="n">
        <v>-1821</v>
      </c>
      <c r="H153" s="22" t="n">
        <v>-23452</v>
      </c>
      <c r="J153" s="22" t="n">
        <v>12712</v>
      </c>
      <c r="L153" s="22" t="n">
        <v>4368</v>
      </c>
      <c r="N153" s="22" t="n">
        <v>-4547</v>
      </c>
      <c r="T153" s="22" t="n">
        <v>-295</v>
      </c>
      <c r="U153" s="22" t="n">
        <v>4022</v>
      </c>
      <c r="V153" s="22" t="n">
        <v>-22998</v>
      </c>
      <c r="W153" s="22" t="n">
        <v>-23452</v>
      </c>
      <c r="X153" s="22" t="n">
        <v>4368</v>
      </c>
    </row>
    <row r="154">
      <c r="A154" s="20" t="inlineStr">
        <is>
          <t>이자 수취</t>
        </is>
      </c>
      <c r="T154" s="22" t="n">
        <v>0</v>
      </c>
      <c r="U154" s="22" t="n">
        <v>0</v>
      </c>
    </row>
    <row r="155">
      <c r="A155" s="20" t="inlineStr">
        <is>
          <t>이자·배당금 수취</t>
        </is>
      </c>
      <c r="D155" s="22" t="n">
        <v>0</v>
      </c>
      <c r="F155" s="22" t="n">
        <v>1</v>
      </c>
      <c r="H155" s="22" t="n">
        <v>7</v>
      </c>
      <c r="J155" s="22" t="n">
        <v>14</v>
      </c>
      <c r="L155" s="22" t="n">
        <v>32</v>
      </c>
      <c r="N155" s="22" t="n">
        <v>26</v>
      </c>
      <c r="U155" s="22" t="n">
        <v>0</v>
      </c>
      <c r="V155" s="22" t="n">
        <v>0</v>
      </c>
      <c r="W155" s="22" t="n">
        <v>7</v>
      </c>
      <c r="X155" s="22" t="n">
        <v>32</v>
      </c>
    </row>
    <row r="156">
      <c r="A156" s="20" t="inlineStr">
        <is>
          <t>이자 지급</t>
        </is>
      </c>
      <c r="D156" s="22" t="n">
        <v>-443</v>
      </c>
      <c r="F156" s="22" t="n">
        <v>-318</v>
      </c>
      <c r="H156" s="22" t="n">
        <v>-866</v>
      </c>
      <c r="J156" s="22" t="n">
        <v>-585</v>
      </c>
      <c r="L156" s="22" t="n">
        <v>-1223</v>
      </c>
      <c r="N156" s="22" t="n">
        <v>-716</v>
      </c>
      <c r="T156" s="22" t="n">
        <v>-730</v>
      </c>
      <c r="U156" s="22" t="n">
        <v>-306</v>
      </c>
      <c r="V156" s="22" t="n">
        <v>-443</v>
      </c>
      <c r="W156" s="22" t="n">
        <v>-866</v>
      </c>
      <c r="X156" s="22" t="n">
        <v>-1223</v>
      </c>
    </row>
    <row r="157">
      <c r="A157" s="20" t="inlineStr">
        <is>
          <t>법인세 납부</t>
        </is>
      </c>
      <c r="D157" s="22" t="n">
        <v>-3209</v>
      </c>
      <c r="F157" s="22" t="n">
        <v>-1292</v>
      </c>
      <c r="H157" s="22" t="n">
        <v>-2198</v>
      </c>
      <c r="J157" s="22" t="n">
        <v>-1806</v>
      </c>
      <c r="L157" s="22" t="n">
        <v>-3164</v>
      </c>
      <c r="N157" s="22" t="n">
        <v>-2453</v>
      </c>
      <c r="T157" s="22" t="n">
        <v>-3</v>
      </c>
      <c r="U157" s="22" t="n">
        <v>-5</v>
      </c>
      <c r="V157" s="22" t="n">
        <v>-3209</v>
      </c>
      <c r="W157" s="22" t="n">
        <v>-2198</v>
      </c>
      <c r="X157" s="22" t="n">
        <v>-3164</v>
      </c>
    </row>
    <row r="158">
      <c r="A158" s="20" t="inlineStr">
        <is>
          <t>법인세 환급</t>
        </is>
      </c>
      <c r="D158" s="22" t="n">
        <v>0</v>
      </c>
      <c r="F158" s="22" t="n">
        <v>2</v>
      </c>
      <c r="H158" s="22" t="n">
        <v>3</v>
      </c>
      <c r="J158" s="22" t="n">
        <v>0</v>
      </c>
      <c r="L158" s="22" t="n">
        <v>0</v>
      </c>
      <c r="T158" s="22" t="n">
        <v>256</v>
      </c>
      <c r="U158" s="22" t="n">
        <v>0</v>
      </c>
      <c r="V158" s="22" t="n">
        <v>0</v>
      </c>
      <c r="W158" s="22" t="n">
        <v>3</v>
      </c>
      <c r="X158" s="22" t="n">
        <v>0</v>
      </c>
    </row>
    <row r="159">
      <c r="A159" s="9" t="inlineStr">
        <is>
          <t>영업활동 현금흐름</t>
        </is>
      </c>
      <c r="D159" s="12" t="n">
        <v>-26652</v>
      </c>
      <c r="F159" s="12" t="n">
        <v>-3429</v>
      </c>
      <c r="H159" s="12" t="n">
        <v>-26506</v>
      </c>
      <c r="J159" s="12" t="n">
        <v>10334</v>
      </c>
      <c r="L159" s="12" t="n">
        <v>13</v>
      </c>
      <c r="N159" s="12" t="n">
        <v>-7691</v>
      </c>
      <c r="T159" s="12" t="n">
        <v>-772</v>
      </c>
      <c r="U159" s="12" t="n">
        <v>3711</v>
      </c>
      <c r="V159" s="12" t="n">
        <v>-26652</v>
      </c>
      <c r="W159" s="12" t="n">
        <v>-26506</v>
      </c>
      <c r="X159" s="12" t="n">
        <v>13</v>
      </c>
    </row>
    <row r="160">
      <c r="A160" s="20" t="inlineStr">
        <is>
          <t>유형자산 취득(설비투자)</t>
        </is>
      </c>
      <c r="D160" s="22" t="n">
        <v>-3</v>
      </c>
      <c r="F160" s="22" t="n">
        <v>-3</v>
      </c>
      <c r="H160" s="22" t="n">
        <v>-3</v>
      </c>
      <c r="J160" s="22" t="n">
        <v>-14</v>
      </c>
      <c r="L160" s="22" t="n">
        <v>-17</v>
      </c>
      <c r="N160" s="22" t="n">
        <v>-22</v>
      </c>
      <c r="T160" s="22" t="n">
        <v>-42</v>
      </c>
      <c r="U160" s="22" t="n">
        <v>-8228</v>
      </c>
      <c r="V160" s="22" t="n">
        <v>-3</v>
      </c>
      <c r="W160" s="22" t="n">
        <v>-3</v>
      </c>
      <c r="X160" s="22" t="n">
        <v>-17</v>
      </c>
    </row>
    <row r="161">
      <c r="A161" s="20" t="inlineStr">
        <is>
          <t>유형자산 매각</t>
        </is>
      </c>
      <c r="D161" s="22" t="n">
        <v>2</v>
      </c>
      <c r="H161" s="22" t="n">
        <v>0</v>
      </c>
      <c r="T161" s="22" t="n">
        <v>26214</v>
      </c>
      <c r="U161" s="22" t="n">
        <v>0</v>
      </c>
      <c r="V161" s="22" t="n">
        <v>2</v>
      </c>
      <c r="W161" s="22" t="n">
        <v>0</v>
      </c>
    </row>
    <row r="162">
      <c r="A162" s="20" t="inlineStr">
        <is>
          <t>무형자산 취득</t>
        </is>
      </c>
      <c r="D162" s="22" t="n">
        <v>-34</v>
      </c>
      <c r="F162" s="22" t="n">
        <v>-8</v>
      </c>
      <c r="H162" s="22" t="n">
        <v>-25</v>
      </c>
      <c r="J162" s="22" t="n">
        <v>0</v>
      </c>
      <c r="L162" s="22" t="n">
        <v>-1</v>
      </c>
      <c r="N162" s="22" t="n">
        <v>-31</v>
      </c>
      <c r="T162" s="22" t="n">
        <v>0</v>
      </c>
      <c r="U162" s="22" t="n">
        <v>-25</v>
      </c>
      <c r="V162" s="22" t="n">
        <v>-34</v>
      </c>
      <c r="W162" s="22" t="n">
        <v>-25</v>
      </c>
      <c r="X162" s="22" t="n">
        <v>-1</v>
      </c>
    </row>
    <row r="163">
      <c r="A163" s="20" t="inlineStr">
        <is>
          <t>관계회사 주식 취득</t>
        </is>
      </c>
      <c r="D163" s="22" t="n">
        <v>-114</v>
      </c>
      <c r="F163" s="22" t="n">
        <v>-28</v>
      </c>
      <c r="H163" s="22" t="n">
        <v>-60</v>
      </c>
      <c r="J163" s="22" t="n">
        <v>-76</v>
      </c>
      <c r="L163" s="22" t="n">
        <v>-215</v>
      </c>
      <c r="N163" s="22" t="n">
        <v>-100</v>
      </c>
      <c r="T163" s="22" t="n">
        <v>-72</v>
      </c>
      <c r="U163" s="22" t="n">
        <v>-84</v>
      </c>
      <c r="V163" s="22" t="n">
        <v>-114</v>
      </c>
      <c r="W163" s="22" t="n">
        <v>-60</v>
      </c>
      <c r="X163" s="22" t="n">
        <v>-215</v>
      </c>
    </row>
    <row r="164">
      <c r="A164" s="20" t="inlineStr">
        <is>
          <t>관계회사 출자금 납입</t>
        </is>
      </c>
      <c r="D164" s="22" t="n">
        <v>-38</v>
      </c>
      <c r="F164" s="22" t="n">
        <v>-10</v>
      </c>
      <c r="H164" s="22" t="n">
        <v>-34</v>
      </c>
      <c r="J164" s="22" t="n">
        <v>-4</v>
      </c>
      <c r="L164" s="22" t="n">
        <v>-20</v>
      </c>
      <c r="N164" s="22" t="n">
        <v>-23</v>
      </c>
      <c r="T164" s="22" t="n">
        <v>-6</v>
      </c>
      <c r="U164" s="22" t="n">
        <v>-29</v>
      </c>
      <c r="V164" s="22" t="n">
        <v>-38</v>
      </c>
      <c r="W164" s="22" t="n">
        <v>-34</v>
      </c>
      <c r="X164" s="22" t="n">
        <v>-20</v>
      </c>
    </row>
    <row r="165">
      <c r="A165" s="20" t="inlineStr">
        <is>
          <t>기타</t>
        </is>
      </c>
      <c r="D165" s="22" t="n">
        <v>-1</v>
      </c>
      <c r="F165" s="22" t="n">
        <v>-0</v>
      </c>
      <c r="H165" s="22" t="n">
        <v>-0</v>
      </c>
      <c r="J165" s="22" t="n">
        <v>-10</v>
      </c>
      <c r="L165" s="22" t="n">
        <v>-0</v>
      </c>
      <c r="N165" s="22" t="n">
        <v>-17</v>
      </c>
      <c r="T165" s="22" t="n">
        <v>-10</v>
      </c>
      <c r="U165" s="22" t="n">
        <v>-66</v>
      </c>
      <c r="V165" s="22" t="n">
        <v>-1</v>
      </c>
      <c r="W165" s="22" t="n">
        <v>-0</v>
      </c>
      <c r="X165" s="22" t="n">
        <v>-0</v>
      </c>
    </row>
    <row r="166">
      <c r="A166" s="9" t="inlineStr">
        <is>
          <t>투자활동 현금흐름</t>
        </is>
      </c>
      <c r="D166" s="12" t="n">
        <v>-189</v>
      </c>
      <c r="F166" s="12" t="n">
        <v>-50</v>
      </c>
      <c r="H166" s="12" t="n">
        <v>-123</v>
      </c>
      <c r="J166" s="12" t="n">
        <v>-105</v>
      </c>
      <c r="L166" s="12" t="n">
        <v>-254</v>
      </c>
      <c r="N166" s="12" t="n">
        <v>-194</v>
      </c>
      <c r="T166" s="12" t="n">
        <v>26082</v>
      </c>
      <c r="U166" s="12" t="n">
        <v>-8434</v>
      </c>
      <c r="V166" s="12" t="n">
        <v>-189</v>
      </c>
      <c r="W166" s="12" t="n">
        <v>-123</v>
      </c>
      <c r="X166" s="12" t="n">
        <v>-254</v>
      </c>
    </row>
    <row r="167">
      <c r="A167" s="20" t="inlineStr">
        <is>
          <t>단기차입금 순증감</t>
        </is>
      </c>
      <c r="D167" s="22" t="n">
        <v>24199</v>
      </c>
      <c r="F167" s="22" t="n">
        <v>7900</v>
      </c>
      <c r="H167" s="22" t="n">
        <v>18000</v>
      </c>
      <c r="J167" s="22" t="n">
        <v>-8442</v>
      </c>
      <c r="L167" s="22" t="n">
        <v>-7500</v>
      </c>
      <c r="N167" s="22" t="n">
        <v>11399</v>
      </c>
      <c r="T167" s="22" t="n">
        <v>-3690</v>
      </c>
      <c r="U167" s="22" t="n">
        <v>-6319</v>
      </c>
      <c r="V167" s="22" t="n">
        <v>24199</v>
      </c>
      <c r="W167" s="22" t="n">
        <v>18000</v>
      </c>
      <c r="X167" s="22" t="n">
        <v>-7500</v>
      </c>
    </row>
    <row r="168">
      <c r="A168" s="20" t="inlineStr">
        <is>
          <t>기업어음(CP) 순증감액</t>
        </is>
      </c>
      <c r="D168" s="22" t="n">
        <v>2000</v>
      </c>
      <c r="F168" s="22" t="n">
        <v>3000</v>
      </c>
      <c r="H168" s="22" t="n">
        <v>1000</v>
      </c>
      <c r="J168" s="22" t="n">
        <v>2000</v>
      </c>
      <c r="L168" s="22" t="n">
        <v>0</v>
      </c>
      <c r="N168" s="22" t="n">
        <v>4000</v>
      </c>
      <c r="U168" s="22" t="n">
        <v>0</v>
      </c>
      <c r="V168" s="22" t="n">
        <v>2000</v>
      </c>
      <c r="W168" s="22" t="n">
        <v>1000</v>
      </c>
      <c r="X168" s="22" t="n">
        <v>0</v>
      </c>
    </row>
    <row r="169">
      <c r="A169" s="20" t="inlineStr">
        <is>
          <t>장기차입</t>
        </is>
      </c>
      <c r="D169" s="22" t="n">
        <v>0</v>
      </c>
      <c r="F169" s="22" t="n">
        <v>0</v>
      </c>
      <c r="H169" s="22" t="n">
        <v>0</v>
      </c>
      <c r="J169" s="22" t="n">
        <v>1000</v>
      </c>
      <c r="L169" s="22" t="n">
        <v>10100</v>
      </c>
      <c r="N169" s="22" t="n">
        <v>0</v>
      </c>
      <c r="T169" s="22" t="n">
        <v>0</v>
      </c>
      <c r="U169" s="22" t="n">
        <v>14658</v>
      </c>
      <c r="V169" s="22" t="n">
        <v>0</v>
      </c>
      <c r="W169" s="22" t="n">
        <v>0</v>
      </c>
      <c r="X169" s="22" t="n">
        <v>10100</v>
      </c>
    </row>
    <row r="170">
      <c r="A170" s="20" t="inlineStr">
        <is>
          <t>장기차입금 상환</t>
        </is>
      </c>
      <c r="D170" s="22" t="n">
        <v>-502</v>
      </c>
      <c r="F170" s="22" t="n">
        <v>-251</v>
      </c>
      <c r="H170" s="22" t="n">
        <v>-502</v>
      </c>
      <c r="J170" s="22" t="n">
        <v>-251</v>
      </c>
      <c r="L170" s="22" t="n">
        <v>-8632</v>
      </c>
      <c r="N170" s="22" t="n">
        <v>-251</v>
      </c>
      <c r="T170" s="22" t="n">
        <v>0</v>
      </c>
      <c r="U170" s="22" t="n">
        <v>-251</v>
      </c>
      <c r="V170" s="22" t="n">
        <v>-502</v>
      </c>
      <c r="W170" s="22" t="n">
        <v>-502</v>
      </c>
      <c r="X170" s="22" t="n">
        <v>-8632</v>
      </c>
    </row>
    <row r="171">
      <c r="A171" s="20" t="inlineStr">
        <is>
          <t>Repayments Of Long Term Non Recourse Loans Fin CF</t>
        </is>
      </c>
      <c r="T171" s="22" t="n">
        <v>-18525</v>
      </c>
      <c r="U171" s="22" t="n">
        <v>0</v>
      </c>
    </row>
    <row r="172">
      <c r="A172" s="20" t="inlineStr">
        <is>
          <t>주식 발행</t>
        </is>
      </c>
      <c r="D172" s="22" t="n">
        <v>0</v>
      </c>
      <c r="F172" s="22" t="n">
        <v>59</v>
      </c>
      <c r="T172" s="22" t="n">
        <v>0</v>
      </c>
      <c r="U172" s="22" t="n">
        <v>1851</v>
      </c>
      <c r="V172" s="22" t="n">
        <v>0</v>
      </c>
    </row>
    <row r="173">
      <c r="A173" s="20" t="inlineStr">
        <is>
          <t>사채 발행</t>
        </is>
      </c>
      <c r="D173" s="22" t="n">
        <v>0</v>
      </c>
      <c r="H173" s="22" t="n">
        <v>4973</v>
      </c>
      <c r="L173" s="22" t="n">
        <v>5969</v>
      </c>
      <c r="V173" s="22" t="n">
        <v>0</v>
      </c>
      <c r="W173" s="22" t="n">
        <v>4973</v>
      </c>
      <c r="X173" s="22" t="n">
        <v>5969</v>
      </c>
    </row>
    <row r="174">
      <c r="A174" s="20" t="inlineStr">
        <is>
          <t>신주예약권 행사에 따른 주식 발행</t>
        </is>
      </c>
      <c r="D174" s="22" t="n">
        <v>0</v>
      </c>
      <c r="F174" s="22" t="n">
        <v>59</v>
      </c>
      <c r="H174" s="22" t="n">
        <v>229</v>
      </c>
      <c r="J174" s="22" t="n">
        <v>94</v>
      </c>
      <c r="L174" s="22" t="n">
        <v>190</v>
      </c>
      <c r="N174" s="22" t="n">
        <v>18</v>
      </c>
      <c r="V174" s="22" t="n">
        <v>0</v>
      </c>
      <c r="W174" s="22" t="n">
        <v>229</v>
      </c>
      <c r="X174" s="22" t="n">
        <v>190</v>
      </c>
    </row>
    <row r="175">
      <c r="A175" s="20" t="inlineStr">
        <is>
          <t>자기주식 취득</t>
        </is>
      </c>
      <c r="D175" s="22" t="n">
        <v>-0</v>
      </c>
      <c r="F175" s="22" t="n">
        <v>0</v>
      </c>
      <c r="H175" s="22" t="n">
        <v>0</v>
      </c>
      <c r="L175" s="22" t="n">
        <v>-0</v>
      </c>
      <c r="U175" s="22" t="n">
        <v>0</v>
      </c>
      <c r="V175" s="22" t="n">
        <v>-0</v>
      </c>
      <c r="W175" s="22" t="n">
        <v>0</v>
      </c>
      <c r="X175" s="22" t="n">
        <v>-0</v>
      </c>
    </row>
    <row r="176">
      <c r="A176" s="20" t="inlineStr">
        <is>
          <t>신주예약권 발행</t>
        </is>
      </c>
      <c r="D176" s="22" t="n">
        <v>0</v>
      </c>
      <c r="H176" s="22" t="n">
        <v>6</v>
      </c>
      <c r="L176" s="22" t="n">
        <v>0</v>
      </c>
      <c r="T176" s="22" t="n">
        <v>17</v>
      </c>
      <c r="U176" s="22" t="n">
        <v>0</v>
      </c>
      <c r="V176" s="22" t="n">
        <v>0</v>
      </c>
      <c r="W176" s="22" t="n">
        <v>6</v>
      </c>
      <c r="X176" s="22" t="n">
        <v>0</v>
      </c>
    </row>
    <row r="177">
      <c r="A177" s="20" t="inlineStr">
        <is>
          <t>배당금 지급</t>
        </is>
      </c>
      <c r="D177" s="22" t="n">
        <v>-77</v>
      </c>
      <c r="F177" s="22" t="n">
        <v>-776</v>
      </c>
      <c r="H177" s="22" t="n">
        <v>-776</v>
      </c>
      <c r="J177" s="22" t="n">
        <v>-1337</v>
      </c>
      <c r="L177" s="22" t="n">
        <v>-1733</v>
      </c>
      <c r="N177" s="22" t="n">
        <v>-1432</v>
      </c>
      <c r="U177" s="22" t="n">
        <v>0</v>
      </c>
      <c r="V177" s="22" t="n">
        <v>-77</v>
      </c>
      <c r="W177" s="22" t="n">
        <v>-776</v>
      </c>
      <c r="X177" s="22" t="n">
        <v>-1733</v>
      </c>
    </row>
    <row r="178">
      <c r="A178" s="9" t="inlineStr">
        <is>
          <t>재무활동 현금흐름</t>
        </is>
      </c>
      <c r="D178" s="12" t="n">
        <v>25619</v>
      </c>
      <c r="F178" s="12" t="n">
        <v>9932</v>
      </c>
      <c r="H178" s="12" t="n">
        <v>22931</v>
      </c>
      <c r="J178" s="12" t="n">
        <v>-6936</v>
      </c>
      <c r="L178" s="12" t="n">
        <v>-1605</v>
      </c>
      <c r="N178" s="12" t="n">
        <v>13733</v>
      </c>
      <c r="T178" s="12" t="n">
        <v>-22198</v>
      </c>
      <c r="U178" s="12" t="n">
        <v>9939</v>
      </c>
      <c r="V178" s="12" t="n">
        <v>25619</v>
      </c>
      <c r="W178" s="12" t="n">
        <v>22931</v>
      </c>
      <c r="X178" s="12" t="n">
        <v>-1605</v>
      </c>
    </row>
    <row r="179">
      <c r="A179" s="20" t="inlineStr">
        <is>
          <t>현금성자산 환산차이</t>
        </is>
      </c>
      <c r="D179" s="22" t="n">
        <v>63</v>
      </c>
      <c r="F179" s="22" t="n">
        <v>-17</v>
      </c>
      <c r="H179" s="22" t="n">
        <v>-18</v>
      </c>
      <c r="J179" s="22" t="n">
        <v>1</v>
      </c>
      <c r="L179" s="22" t="n">
        <v>5</v>
      </c>
      <c r="N179" s="22" t="n">
        <v>-0</v>
      </c>
      <c r="T179" s="22" t="n">
        <v>117</v>
      </c>
      <c r="U179" s="22" t="n">
        <v>-10</v>
      </c>
      <c r="V179" s="22" t="n">
        <v>63</v>
      </c>
      <c r="W179" s="22" t="n">
        <v>-18</v>
      </c>
      <c r="X179" s="22" t="n">
        <v>5</v>
      </c>
    </row>
    <row r="180">
      <c r="A180" s="20" t="inlineStr">
        <is>
          <t>현금성자산 증감</t>
        </is>
      </c>
      <c r="D180" s="22" t="n">
        <v>-1158</v>
      </c>
      <c r="F180" s="22" t="n">
        <v>6434</v>
      </c>
      <c r="H180" s="22" t="n">
        <v>-3717</v>
      </c>
      <c r="J180" s="22" t="n">
        <v>3293</v>
      </c>
      <c r="L180" s="22" t="n">
        <v>-1841</v>
      </c>
      <c r="N180" s="22" t="n">
        <v>5847</v>
      </c>
      <c r="T180" s="22" t="n">
        <v>3230</v>
      </c>
      <c r="U180" s="22" t="n">
        <v>5205</v>
      </c>
      <c r="V180" s="22" t="n">
        <v>-1158</v>
      </c>
      <c r="W180" s="22" t="n">
        <v>-3717</v>
      </c>
      <c r="X180" s="22" t="n">
        <v>-1841</v>
      </c>
    </row>
    <row r="181">
      <c r="A181" s="20" t="inlineStr">
        <is>
          <t>신규 연결 현금성자산 증가</t>
        </is>
      </c>
      <c r="D181" s="22" t="n">
        <v>0</v>
      </c>
      <c r="T181" s="22" t="n">
        <v>0</v>
      </c>
      <c r="U181" s="22" t="n">
        <v>1</v>
      </c>
      <c r="V181" s="22" t="n">
        <v>0</v>
      </c>
    </row>
    <row r="182">
      <c r="A182" s="20" t="inlineStr">
        <is>
          <t>연결 제외 현금성자산 감소</t>
        </is>
      </c>
      <c r="D182" s="22" t="n">
        <v>0</v>
      </c>
      <c r="T182" s="22" t="n">
        <v>-0</v>
      </c>
      <c r="U182" s="22" t="n">
        <v>-9</v>
      </c>
      <c r="V182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5834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89489</v>
      </c>
      <c r="D5" s="12" t="n">
        <v>93588</v>
      </c>
      <c r="E5" s="12" t="n">
        <v>100063</v>
      </c>
      <c r="F5" s="12" t="n">
        <v>88359</v>
      </c>
      <c r="G5" s="12" t="n">
        <v>117010</v>
      </c>
      <c r="H5" s="11" t="n">
        <v>28036</v>
      </c>
      <c r="I5" s="12" t="n">
        <v>37283</v>
      </c>
      <c r="J5" s="12" t="n">
        <v>64930</v>
      </c>
      <c r="K5" s="12" t="n">
        <v>94742</v>
      </c>
      <c r="L5" s="12" t="n">
        <v>100063</v>
      </c>
    </row>
    <row r="6">
      <c r="A6" s="20" t="inlineStr">
        <is>
          <t>현금및현금성자산</t>
        </is>
      </c>
      <c r="B6" s="10" t="n"/>
      <c r="C6" s="21" t="n">
        <v>12229</v>
      </c>
      <c r="D6" s="22" t="n">
        <v>13082</v>
      </c>
      <c r="E6" s="22" t="n">
        <v>7094</v>
      </c>
      <c r="F6" s="22" t="n">
        <v>14122</v>
      </c>
      <c r="G6" s="22" t="n">
        <v>12942</v>
      </c>
      <c r="H6" s="21" t="n">
        <v>8614</v>
      </c>
      <c r="I6" s="22" t="n">
        <v>13812</v>
      </c>
      <c r="J6" s="22" t="n">
        <v>12653</v>
      </c>
      <c r="K6" s="22" t="n">
        <v>8936</v>
      </c>
      <c r="L6" s="22" t="n">
        <v>7094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11030</v>
      </c>
      <c r="D11" s="12" t="n">
        <v>11505</v>
      </c>
      <c r="E11" s="12" t="n">
        <v>12201</v>
      </c>
      <c r="F11" s="12" t="n">
        <v>11236</v>
      </c>
      <c r="G11" s="12" t="n">
        <v>12065</v>
      </c>
      <c r="H11" s="11" t="n">
        <v>1759</v>
      </c>
      <c r="I11" s="12" t="n">
        <v>11071</v>
      </c>
      <c r="J11" s="12" t="n">
        <v>10769</v>
      </c>
      <c r="K11" s="12" t="n">
        <v>11034</v>
      </c>
      <c r="L11" s="12" t="n">
        <v>12201</v>
      </c>
    </row>
    <row r="12">
      <c r="A12" s="20" t="inlineStr">
        <is>
          <t>유형자산</t>
        </is>
      </c>
      <c r="B12" s="10" t="n"/>
      <c r="C12" s="21" t="n">
        <v>7254</v>
      </c>
      <c r="D12" s="22" t="n">
        <v>7087</v>
      </c>
      <c r="E12" s="22" t="n">
        <v>6922</v>
      </c>
      <c r="F12" s="22" t="n">
        <v>6756</v>
      </c>
      <c r="G12" s="22" t="n">
        <v>6618</v>
      </c>
      <c r="H12" s="21" t="n">
        <v>1189</v>
      </c>
      <c r="I12" s="22" t="n">
        <v>8960</v>
      </c>
      <c r="J12" s="22" t="n">
        <v>8233</v>
      </c>
      <c r="K12" s="22" t="n">
        <v>7571</v>
      </c>
      <c r="L12" s="22" t="n">
        <v>6922</v>
      </c>
    </row>
    <row r="13">
      <c r="A13" s="20" t="inlineStr">
        <is>
          <t>무형자산</t>
        </is>
      </c>
      <c r="B13" s="10" t="n"/>
      <c r="C13" s="21" t="n">
        <v>224</v>
      </c>
      <c r="D13" s="22" t="n">
        <v>208</v>
      </c>
      <c r="E13" s="22" t="n">
        <v>197</v>
      </c>
      <c r="F13" s="22" t="n">
        <v>207</v>
      </c>
      <c r="G13" s="22" t="n">
        <v>190</v>
      </c>
      <c r="H13" s="21" t="n">
        <v>364</v>
      </c>
      <c r="I13" s="22" t="n">
        <v>337</v>
      </c>
      <c r="J13" s="22" t="n">
        <v>294</v>
      </c>
      <c r="K13" s="22" t="n">
        <v>257</v>
      </c>
      <c r="L13" s="22" t="n">
        <v>197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100519</v>
      </c>
      <c r="D16" s="12" t="n">
        <v>105093</v>
      </c>
      <c r="E16" s="12" t="n">
        <v>112264</v>
      </c>
      <c r="F16" s="12" t="n">
        <v>99595</v>
      </c>
      <c r="G16" s="12" t="n">
        <v>129076</v>
      </c>
      <c r="H16" s="11" t="n">
        <v>29795</v>
      </c>
      <c r="I16" s="12" t="n">
        <v>48354</v>
      </c>
      <c r="J16" s="12" t="n">
        <v>75700</v>
      </c>
      <c r="K16" s="12" t="n">
        <v>105777</v>
      </c>
      <c r="L16" s="12" t="n">
        <v>112264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63434</v>
      </c>
      <c r="D18" s="12" t="n">
        <v>54206</v>
      </c>
      <c r="E18" s="12" t="n">
        <v>58116</v>
      </c>
      <c r="F18" s="12" t="n">
        <v>43746</v>
      </c>
      <c r="G18" s="12" t="n">
        <v>75553</v>
      </c>
      <c r="H18" s="11" t="n">
        <v>16478</v>
      </c>
      <c r="I18" s="12" t="n">
        <v>16643</v>
      </c>
      <c r="J18" s="12" t="n">
        <v>41155</v>
      </c>
      <c r="K18" s="12" t="n">
        <v>70806</v>
      </c>
      <c r="L18" s="12" t="n">
        <v>58116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42557</v>
      </c>
      <c r="D20" s="22" t="n">
        <v>40500</v>
      </c>
      <c r="E20" s="22" t="n">
        <v>43500</v>
      </c>
      <c r="F20" s="22" t="n">
        <v>30000</v>
      </c>
      <c r="G20" s="22" t="n">
        <v>54899</v>
      </c>
      <c r="H20" s="21" t="n">
        <v>15119</v>
      </c>
      <c r="I20" s="22" t="n">
        <v>8800</v>
      </c>
      <c r="J20" s="22" t="n">
        <v>32999</v>
      </c>
      <c r="K20" s="22" t="n">
        <v>51000</v>
      </c>
      <c r="L20" s="22" t="n">
        <v>43500</v>
      </c>
    </row>
    <row r="21">
      <c r="A21" s="20" t="inlineStr">
        <is>
          <t>유동성장기부채</t>
        </is>
      </c>
      <c r="B21" s="10" t="n"/>
      <c r="C21" s="21" t="n">
        <v>8632</v>
      </c>
      <c r="D21" s="22" t="n">
        <v>1002</v>
      </c>
      <c r="E21" s="22" t="n">
        <v>502</v>
      </c>
      <c r="F21" s="22" t="n">
        <v>502</v>
      </c>
      <c r="G21" s="22" t="n">
        <v>4519</v>
      </c>
      <c r="H21" s="21" t="n">
        <v>0</v>
      </c>
      <c r="I21" s="22" t="n">
        <v>502</v>
      </c>
      <c r="J21" s="22" t="n">
        <v>502</v>
      </c>
      <c r="K21" s="22" t="n">
        <v>8632</v>
      </c>
      <c r="L21" s="22" t="n">
        <v>502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10547</v>
      </c>
      <c r="D23" s="12" t="n">
        <v>23521</v>
      </c>
      <c r="E23" s="12" t="n">
        <v>25396</v>
      </c>
      <c r="F23" s="12" t="n">
        <v>25270</v>
      </c>
      <c r="G23" s="12" t="n">
        <v>21127</v>
      </c>
      <c r="H23" s="11" t="n">
        <v>157</v>
      </c>
      <c r="I23" s="12" t="n">
        <v>13932</v>
      </c>
      <c r="J23" s="12" t="n">
        <v>13430</v>
      </c>
      <c r="K23" s="12" t="n">
        <v>9798</v>
      </c>
      <c r="L23" s="12" t="n">
        <v>25396</v>
      </c>
    </row>
    <row r="24">
      <c r="A24" s="20" t="inlineStr">
        <is>
          <t>장기차입금</t>
        </is>
      </c>
      <c r="B24" s="10" t="n"/>
      <c r="C24" s="21" t="n">
        <v>5519</v>
      </c>
      <c r="D24" s="22" t="n">
        <v>12493</v>
      </c>
      <c r="E24" s="22" t="n">
        <v>14368</v>
      </c>
      <c r="F24" s="22" t="n">
        <v>14242</v>
      </c>
      <c r="G24" s="22" t="n">
        <v>10100</v>
      </c>
      <c r="H24" s="21" t="n">
        <v>0</v>
      </c>
      <c r="I24" s="22" t="n">
        <v>13904</v>
      </c>
      <c r="J24" s="22" t="n">
        <v>13402</v>
      </c>
      <c r="K24" s="22" t="n">
        <v>4770</v>
      </c>
      <c r="L24" s="22" t="n">
        <v>14368</v>
      </c>
    </row>
    <row r="25">
      <c r="A25" s="20" t="inlineStr">
        <is>
          <t>사채</t>
        </is>
      </c>
      <c r="B25" s="10" t="n"/>
      <c r="C25" s="21" t="n">
        <v>5000</v>
      </c>
      <c r="D25" s="22" t="n">
        <v>11000</v>
      </c>
      <c r="E25" s="22" t="n">
        <v>11000</v>
      </c>
      <c r="F25" s="22" t="n">
        <v>11000</v>
      </c>
      <c r="G25" s="22" t="n">
        <v>11000</v>
      </c>
      <c r="H25" s="21" t="n"/>
      <c r="I25" s="22" t="n"/>
      <c r="J25" s="22" t="n">
        <v>0</v>
      </c>
      <c r="K25" s="22" t="n">
        <v>5000</v>
      </c>
      <c r="L25" s="22" t="n">
        <v>11000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73981</v>
      </c>
      <c r="D27" s="12" t="n">
        <v>77728</v>
      </c>
      <c r="E27" s="12" t="n">
        <v>83512</v>
      </c>
      <c r="F27" s="12" t="n">
        <v>69017</v>
      </c>
      <c r="G27" s="12" t="n">
        <v>96681</v>
      </c>
      <c r="H27" s="11" t="n">
        <v>16636</v>
      </c>
      <c r="I27" s="12" t="n">
        <v>30575</v>
      </c>
      <c r="J27" s="12" t="n">
        <v>54585</v>
      </c>
      <c r="K27" s="12" t="n">
        <v>80604</v>
      </c>
      <c r="L27" s="12" t="n">
        <v>83512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26469</v>
      </c>
      <c r="D31" s="12" t="n">
        <v>27286</v>
      </c>
      <c r="E31" s="12" t="n">
        <v>28661</v>
      </c>
      <c r="F31" s="12" t="n">
        <v>30475</v>
      </c>
      <c r="G31" s="12" t="n">
        <v>32281</v>
      </c>
      <c r="H31" s="11" t="n">
        <v>13141</v>
      </c>
      <c r="I31" s="12" t="n">
        <v>17761</v>
      </c>
      <c r="J31" s="12" t="n">
        <v>21097</v>
      </c>
      <c r="K31" s="12" t="n">
        <v>25129</v>
      </c>
      <c r="L31" s="12" t="n">
        <v>28661</v>
      </c>
    </row>
    <row r="32">
      <c r="A32" s="20" t="inlineStr">
        <is>
          <t>자본금</t>
        </is>
      </c>
      <c r="B32" s="10" t="n"/>
      <c r="C32" s="21" t="n">
        <v>1198</v>
      </c>
      <c r="D32" s="22" t="n">
        <v>1205</v>
      </c>
      <c r="E32" s="22" t="n">
        <v>1247</v>
      </c>
      <c r="F32" s="22" t="n">
        <v>1251</v>
      </c>
      <c r="G32" s="22" t="n">
        <v>1256</v>
      </c>
      <c r="H32" s="21" t="n">
        <v>100</v>
      </c>
      <c r="I32" s="22" t="n">
        <v>1032</v>
      </c>
      <c r="J32" s="22" t="n">
        <v>1032</v>
      </c>
      <c r="K32" s="22" t="n">
        <v>1150</v>
      </c>
      <c r="L32" s="22" t="n">
        <v>1247</v>
      </c>
    </row>
    <row r="33">
      <c r="A33" s="20" t="inlineStr">
        <is>
          <t>이익잉여금</t>
        </is>
      </c>
      <c r="B33" s="10" t="n"/>
      <c r="C33" s="21" t="n">
        <v>21754</v>
      </c>
      <c r="D33" s="22" t="n">
        <v>23059</v>
      </c>
      <c r="E33" s="22" t="n">
        <v>24106</v>
      </c>
      <c r="F33" s="22" t="n">
        <v>25214</v>
      </c>
      <c r="G33" s="22" t="n">
        <v>26764</v>
      </c>
      <c r="H33" s="21" t="n">
        <v>10363</v>
      </c>
      <c r="I33" s="22" t="n">
        <v>12809</v>
      </c>
      <c r="J33" s="22" t="n">
        <v>16179</v>
      </c>
      <c r="K33" s="22" t="n">
        <v>19789</v>
      </c>
      <c r="L33" s="22" t="n">
        <v>24106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26537</v>
      </c>
      <c r="D35" s="12" t="n">
        <v>27365</v>
      </c>
      <c r="E35" s="12" t="n">
        <v>28752</v>
      </c>
      <c r="F35" s="12" t="n">
        <v>30578</v>
      </c>
      <c r="G35" s="12" t="n">
        <v>32395</v>
      </c>
      <c r="H35" s="11" t="n">
        <v>13158</v>
      </c>
      <c r="I35" s="12" t="n">
        <v>17778</v>
      </c>
      <c r="J35" s="12" t="n">
        <v>21114</v>
      </c>
      <c r="K35" s="12" t="n">
        <v>25173</v>
      </c>
      <c r="L35" s="12" t="n">
        <v>28752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-12743</v>
      </c>
      <c r="D37" s="12" t="n"/>
      <c r="E37" s="12" t="n">
        <v>13</v>
      </c>
      <c r="F37" s="12" t="n"/>
      <c r="G37" s="12" t="n">
        <v>-18012</v>
      </c>
      <c r="H37" s="11" t="n">
        <v>-772</v>
      </c>
      <c r="I37" s="12" t="n">
        <v>3711</v>
      </c>
      <c r="J37" s="12" t="n">
        <v>-26652</v>
      </c>
      <c r="K37" s="12" t="n">
        <v>-26506</v>
      </c>
      <c r="L37" s="12" t="n">
        <v>13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31</v>
      </c>
      <c r="D38" s="22" t="n"/>
      <c r="E38" s="22" t="n">
        <v>18</v>
      </c>
      <c r="F38" s="22" t="n"/>
      <c r="G38" s="22" t="n">
        <v>57</v>
      </c>
      <c r="H38" s="21" t="n">
        <v>42</v>
      </c>
      <c r="I38" s="22" t="n">
        <v>8253</v>
      </c>
      <c r="J38" s="22" t="n">
        <v>37</v>
      </c>
      <c r="K38" s="22" t="n">
        <v>28</v>
      </c>
      <c r="L38" s="22" t="n">
        <v>18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1337</v>
      </c>
      <c r="D40" s="22" t="n"/>
      <c r="E40" s="22" t="n">
        <v>1733</v>
      </c>
      <c r="F40" s="22" t="n"/>
      <c r="G40" s="22" t="n">
        <v>1828</v>
      </c>
      <c r="H40" s="21" t="n"/>
      <c r="I40" s="22" t="n">
        <v>0</v>
      </c>
      <c r="J40" s="22" t="n">
        <v>77</v>
      </c>
      <c r="K40" s="22" t="n">
        <v>776</v>
      </c>
      <c r="L40" s="22" t="n">
        <v>1733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12229</v>
      </c>
      <c r="D71" s="22" t="n">
        <v>13082</v>
      </c>
      <c r="E71" s="22" t="n">
        <v>7094</v>
      </c>
      <c r="F71" s="22" t="n">
        <v>14122</v>
      </c>
      <c r="G71" s="22" t="n">
        <v>12942</v>
      </c>
      <c r="H71" s="22" t="n">
        <v>8614</v>
      </c>
      <c r="I71" s="22" t="n">
        <v>13812</v>
      </c>
      <c r="J71" s="22" t="n">
        <v>12653</v>
      </c>
      <c r="K71" s="22" t="n">
        <v>8936</v>
      </c>
      <c r="L71" s="22" t="n">
        <v>7094</v>
      </c>
    </row>
    <row r="72">
      <c r="A72" s="20" t="inlineStr">
        <is>
          <t>Accounts Receivable Installment</t>
        </is>
      </c>
      <c r="H72" s="22" t="n">
        <v>92</v>
      </c>
      <c r="I72" s="22" t="n">
        <v>0</v>
      </c>
    </row>
    <row r="73">
      <c r="A73" s="20" t="inlineStr">
        <is>
          <t>영업미수금</t>
        </is>
      </c>
      <c r="C73" s="22" t="n">
        <v>1015</v>
      </c>
      <c r="D73" s="22" t="n">
        <v>991</v>
      </c>
      <c r="E73" s="22" t="n">
        <v>698</v>
      </c>
      <c r="F73" s="22" t="n">
        <v>775</v>
      </c>
      <c r="G73" s="22" t="n">
        <v>751</v>
      </c>
      <c r="H73" s="22" t="n">
        <v>607</v>
      </c>
      <c r="I73" s="22" t="n">
        <v>340</v>
      </c>
      <c r="J73" s="22" t="n">
        <v>190</v>
      </c>
      <c r="K73" s="22" t="n">
        <v>937</v>
      </c>
      <c r="L73" s="22" t="n">
        <v>698</v>
      </c>
    </row>
    <row r="74">
      <c r="A74" s="20" t="inlineStr">
        <is>
          <t>Accounts Receivable Lease CA</t>
        </is>
      </c>
      <c r="H74" s="22" t="n">
        <v>15</v>
      </c>
      <c r="I74" s="22" t="n">
        <v>0</v>
      </c>
    </row>
    <row r="75">
      <c r="A75" s="20" t="inlineStr">
        <is>
          <t>리스투자자산</t>
        </is>
      </c>
      <c r="H75" s="22" t="n">
        <v>59</v>
      </c>
      <c r="I75" s="22" t="n">
        <v>0</v>
      </c>
    </row>
    <row r="76">
      <c r="A76" s="20" t="inlineStr">
        <is>
          <t>선급금</t>
        </is>
      </c>
      <c r="C76" s="22" t="n">
        <v>523</v>
      </c>
      <c r="D76" s="22" t="n">
        <v>0</v>
      </c>
      <c r="E76" s="22" t="n">
        <v>480</v>
      </c>
      <c r="F76" s="22" t="n">
        <v>384</v>
      </c>
      <c r="G76" s="22" t="n">
        <v>735</v>
      </c>
      <c r="J76" s="22" t="n">
        <v>611</v>
      </c>
      <c r="K76" s="22" t="n">
        <v>6446</v>
      </c>
      <c r="L76" s="22" t="n">
        <v>480</v>
      </c>
    </row>
    <row r="77">
      <c r="A77" s="20" t="inlineStr">
        <is>
          <t>Equity Underwritten CA</t>
        </is>
      </c>
      <c r="C77" s="22" t="n">
        <v>50962</v>
      </c>
      <c r="D77" s="22" t="n">
        <v>60465</v>
      </c>
      <c r="E77" s="22" t="n">
        <v>76363</v>
      </c>
      <c r="F77" s="22" t="n">
        <v>66364</v>
      </c>
      <c r="G77" s="22" t="n">
        <v>92365</v>
      </c>
      <c r="H77" s="22" t="n">
        <v>11626</v>
      </c>
      <c r="I77" s="22" t="n">
        <v>21768</v>
      </c>
      <c r="J77" s="22" t="n">
        <v>50985</v>
      </c>
      <c r="K77" s="22" t="n">
        <v>51778</v>
      </c>
      <c r="L77" s="22" t="n">
        <v>76363</v>
      </c>
    </row>
    <row r="78">
      <c r="A78" s="20" t="inlineStr">
        <is>
          <t>Aircraft And Other Assets For Sale CA</t>
        </is>
      </c>
      <c r="C78" s="22" t="n">
        <v>24579</v>
      </c>
      <c r="D78" s="22" t="n">
        <v>18787</v>
      </c>
      <c r="E78" s="22" t="n">
        <v>15152</v>
      </c>
      <c r="F78" s="22" t="n">
        <v>6474</v>
      </c>
      <c r="G78" s="22" t="n">
        <v>9864</v>
      </c>
      <c r="H78" s="22" t="n">
        <v>6674</v>
      </c>
      <c r="I78" s="22" t="n">
        <v>0</v>
      </c>
      <c r="J78" s="22" t="n">
        <v>0</v>
      </c>
      <c r="K78" s="22" t="n">
        <v>25488</v>
      </c>
      <c r="L78" s="22" t="n">
        <v>15152</v>
      </c>
    </row>
    <row r="79">
      <c r="A79" s="20" t="inlineStr">
        <is>
          <t>선급비용</t>
        </is>
      </c>
      <c r="H79" s="22" t="n">
        <v>228</v>
      </c>
    </row>
    <row r="80">
      <c r="A80" s="20" t="inlineStr">
        <is>
          <t>기타</t>
        </is>
      </c>
      <c r="C80" s="22" t="n">
        <v>178</v>
      </c>
      <c r="D80" s="22" t="n">
        <v>261</v>
      </c>
      <c r="E80" s="22" t="n">
        <v>274</v>
      </c>
      <c r="F80" s="22" t="n">
        <v>238</v>
      </c>
      <c r="G80" s="22" t="n">
        <v>350</v>
      </c>
      <c r="H80" s="22" t="n">
        <v>346</v>
      </c>
      <c r="I80" s="22" t="n">
        <v>1360</v>
      </c>
      <c r="J80" s="22" t="n">
        <v>488</v>
      </c>
      <c r="K80" s="22" t="n">
        <v>1156</v>
      </c>
      <c r="L80" s="22" t="n">
        <v>274</v>
      </c>
    </row>
    <row r="81">
      <c r="A81" s="9" t="inlineStr">
        <is>
          <t>유동자산 합계</t>
        </is>
      </c>
      <c r="C81" s="12" t="n">
        <v>89489</v>
      </c>
      <c r="D81" s="12" t="n">
        <v>93588</v>
      </c>
      <c r="E81" s="12" t="n">
        <v>100063</v>
      </c>
      <c r="F81" s="12" t="n">
        <v>88359</v>
      </c>
      <c r="G81" s="12" t="n">
        <v>117010</v>
      </c>
      <c r="H81" s="12" t="n">
        <v>28036</v>
      </c>
      <c r="I81" s="12" t="n">
        <v>37283</v>
      </c>
      <c r="J81" s="12" t="n">
        <v>64930</v>
      </c>
      <c r="K81" s="12" t="n">
        <v>94742</v>
      </c>
      <c r="L81" s="12" t="n">
        <v>100063</v>
      </c>
    </row>
    <row r="82">
      <c r="A82" s="20" t="inlineStr">
        <is>
          <t>Assets For Lease PPE</t>
        </is>
      </c>
      <c r="C82" s="22" t="n">
        <v>7182</v>
      </c>
      <c r="D82" s="22" t="n">
        <v>7017</v>
      </c>
      <c r="E82" s="22" t="n">
        <v>6852</v>
      </c>
      <c r="F82" s="22" t="n">
        <v>6687</v>
      </c>
      <c r="G82" s="22" t="n">
        <v>6519</v>
      </c>
      <c r="H82" s="22" t="n">
        <v>1117</v>
      </c>
      <c r="I82" s="22" t="n">
        <v>8893</v>
      </c>
      <c r="J82" s="22" t="n">
        <v>8171</v>
      </c>
      <c r="K82" s="22" t="n">
        <v>7511</v>
      </c>
      <c r="L82" s="22" t="n">
        <v>6852</v>
      </c>
    </row>
    <row r="83">
      <c r="A83" s="20" t="inlineStr">
        <is>
          <t>Assets For Lease Total PPE</t>
        </is>
      </c>
      <c r="C83" s="22" t="n">
        <v>7182</v>
      </c>
      <c r="D83" s="22" t="n">
        <v>7017</v>
      </c>
      <c r="E83" s="22" t="n">
        <v>6852</v>
      </c>
      <c r="F83" s="22" t="n">
        <v>6687</v>
      </c>
      <c r="G83" s="22" t="n">
        <v>6519</v>
      </c>
      <c r="H83" s="22" t="n">
        <v>1117</v>
      </c>
      <c r="I83" s="22" t="n">
        <v>8893</v>
      </c>
      <c r="J83" s="22" t="n">
        <v>8171</v>
      </c>
      <c r="K83" s="22" t="n">
        <v>7511</v>
      </c>
      <c r="L83" s="22" t="n">
        <v>6852</v>
      </c>
    </row>
    <row r="84">
      <c r="A84" s="20" t="inlineStr">
        <is>
          <t>건물 부속설비</t>
        </is>
      </c>
      <c r="C84" s="22" t="n">
        <v>66</v>
      </c>
      <c r="D84" s="22" t="n">
        <v>65</v>
      </c>
      <c r="E84" s="22" t="n">
        <v>63</v>
      </c>
      <c r="F84" s="22" t="n">
        <v>62</v>
      </c>
      <c r="G84" s="22" t="n">
        <v>89</v>
      </c>
      <c r="H84" s="22" t="n">
        <v>65</v>
      </c>
      <c r="I84" s="22" t="n">
        <v>62</v>
      </c>
      <c r="J84" s="22" t="n">
        <v>59</v>
      </c>
      <c r="K84" s="22" t="n">
        <v>56</v>
      </c>
      <c r="L84" s="22" t="n">
        <v>63</v>
      </c>
    </row>
    <row r="85">
      <c r="A85" s="20" t="inlineStr">
        <is>
          <t>공구·기구·비품</t>
        </is>
      </c>
      <c r="C85" s="22" t="n">
        <v>5</v>
      </c>
      <c r="D85" s="22" t="n">
        <v>4</v>
      </c>
      <c r="E85" s="22" t="n">
        <v>6</v>
      </c>
      <c r="F85" s="22" t="n">
        <v>6</v>
      </c>
      <c r="G85" s="22" t="n">
        <v>8</v>
      </c>
      <c r="H85" s="22" t="n">
        <v>5</v>
      </c>
      <c r="I85" s="22" t="n">
        <v>4</v>
      </c>
      <c r="J85" s="22" t="n">
        <v>3</v>
      </c>
      <c r="K85" s="22" t="n">
        <v>3</v>
      </c>
      <c r="L85" s="22" t="n">
        <v>6</v>
      </c>
    </row>
    <row r="86">
      <c r="A86" s="20" t="inlineStr">
        <is>
          <t>Own Used Assets PPE</t>
        </is>
      </c>
      <c r="C86" s="22" t="n">
        <v>71</v>
      </c>
      <c r="D86" s="22" t="n">
        <v>70</v>
      </c>
      <c r="E86" s="22" t="n">
        <v>70</v>
      </c>
      <c r="F86" s="22" t="n">
        <v>68</v>
      </c>
      <c r="G86" s="22" t="n">
        <v>98</v>
      </c>
      <c r="H86" s="22" t="n">
        <v>71</v>
      </c>
      <c r="I86" s="22" t="n">
        <v>67</v>
      </c>
      <c r="J86" s="22" t="n">
        <v>62</v>
      </c>
      <c r="K86" s="22" t="n">
        <v>60</v>
      </c>
      <c r="L86" s="22" t="n">
        <v>70</v>
      </c>
    </row>
    <row r="87">
      <c r="A87" s="20" t="inlineStr">
        <is>
          <t>유형자산 합계</t>
        </is>
      </c>
      <c r="C87" s="22" t="n">
        <v>7254</v>
      </c>
      <c r="D87" s="22" t="n">
        <v>7087</v>
      </c>
      <c r="E87" s="22" t="n">
        <v>6922</v>
      </c>
      <c r="F87" s="22" t="n">
        <v>6756</v>
      </c>
      <c r="G87" s="22" t="n">
        <v>6618</v>
      </c>
      <c r="H87" s="22" t="n">
        <v>1189</v>
      </c>
      <c r="I87" s="22" t="n">
        <v>8960</v>
      </c>
      <c r="J87" s="22" t="n">
        <v>8233</v>
      </c>
      <c r="K87" s="22" t="n">
        <v>7571</v>
      </c>
      <c r="L87" s="22" t="n">
        <v>6922</v>
      </c>
    </row>
    <row r="88">
      <c r="A88" s="20" t="inlineStr">
        <is>
          <t>영업권</t>
        </is>
      </c>
      <c r="C88" s="22" t="n">
        <v>178</v>
      </c>
      <c r="D88" s="22" t="n">
        <v>165</v>
      </c>
      <c r="E88" s="22" t="n">
        <v>152</v>
      </c>
      <c r="F88" s="22" t="n">
        <v>139</v>
      </c>
      <c r="G88" s="22" t="n">
        <v>126</v>
      </c>
      <c r="H88" s="22" t="n">
        <v>361</v>
      </c>
      <c r="I88" s="22" t="n">
        <v>309</v>
      </c>
      <c r="J88" s="22" t="n">
        <v>257</v>
      </c>
      <c r="K88" s="22" t="n">
        <v>204</v>
      </c>
      <c r="L88" s="22" t="n">
        <v>152</v>
      </c>
    </row>
    <row r="89">
      <c r="A89" s="20" t="inlineStr">
        <is>
          <t>소프트웨어</t>
        </is>
      </c>
      <c r="C89" s="22" t="n">
        <v>45</v>
      </c>
      <c r="D89" s="22" t="n">
        <v>42</v>
      </c>
      <c r="E89" s="22" t="n">
        <v>44</v>
      </c>
      <c r="F89" s="22" t="n">
        <v>67</v>
      </c>
      <c r="G89" s="22" t="n">
        <v>64</v>
      </c>
      <c r="H89" s="22" t="n">
        <v>2</v>
      </c>
      <c r="I89" s="22" t="n">
        <v>28</v>
      </c>
      <c r="J89" s="22" t="n">
        <v>37</v>
      </c>
      <c r="K89" s="22" t="n">
        <v>52</v>
      </c>
      <c r="L89" s="22" t="n">
        <v>44</v>
      </c>
    </row>
    <row r="90">
      <c r="A90" s="20" t="inlineStr">
        <is>
          <t>무형자산 합계</t>
        </is>
      </c>
      <c r="C90" s="22" t="n">
        <v>224</v>
      </c>
      <c r="D90" s="22" t="n">
        <v>208</v>
      </c>
      <c r="E90" s="22" t="n">
        <v>197</v>
      </c>
      <c r="F90" s="22" t="n">
        <v>207</v>
      </c>
      <c r="G90" s="22" t="n">
        <v>190</v>
      </c>
      <c r="H90" s="22" t="n">
        <v>364</v>
      </c>
      <c r="I90" s="22" t="n">
        <v>337</v>
      </c>
      <c r="J90" s="22" t="n">
        <v>294</v>
      </c>
      <c r="K90" s="22" t="n">
        <v>257</v>
      </c>
      <c r="L90" s="22" t="n">
        <v>197</v>
      </c>
    </row>
    <row r="91">
      <c r="A91" s="20" t="inlineStr">
        <is>
          <t>관계회사 주식</t>
        </is>
      </c>
      <c r="C91" s="22" t="n">
        <v>402</v>
      </c>
      <c r="D91" s="22" t="n">
        <v>442</v>
      </c>
      <c r="E91" s="22" t="n">
        <v>514</v>
      </c>
      <c r="F91" s="22" t="n">
        <v>562</v>
      </c>
      <c r="G91" s="22" t="n">
        <v>614</v>
      </c>
      <c r="H91" s="22" t="n">
        <v>111</v>
      </c>
      <c r="I91" s="22" t="n">
        <v>193</v>
      </c>
      <c r="J91" s="22" t="n">
        <v>285</v>
      </c>
      <c r="K91" s="22" t="n">
        <v>344</v>
      </c>
      <c r="L91" s="22" t="n">
        <v>514</v>
      </c>
    </row>
    <row r="92">
      <c r="A92" s="20" t="inlineStr">
        <is>
          <t>관계회사 출자금</t>
        </is>
      </c>
      <c r="C92" s="22" t="n">
        <v>121</v>
      </c>
      <c r="D92" s="22" t="n">
        <v>123</v>
      </c>
      <c r="E92" s="22" t="n">
        <v>142</v>
      </c>
      <c r="F92" s="22" t="n">
        <v>153</v>
      </c>
      <c r="G92" s="22" t="n">
        <v>169</v>
      </c>
      <c r="H92" s="22" t="n">
        <v>15</v>
      </c>
      <c r="I92" s="22" t="n">
        <v>48</v>
      </c>
      <c r="J92" s="22" t="n">
        <v>83</v>
      </c>
      <c r="K92" s="22" t="n">
        <v>117</v>
      </c>
      <c r="L92" s="22" t="n">
        <v>142</v>
      </c>
    </row>
    <row r="93">
      <c r="A93" s="20" t="inlineStr">
        <is>
          <t>이연법인세자산</t>
        </is>
      </c>
      <c r="C93" s="22" t="n">
        <v>2919</v>
      </c>
      <c r="D93" s="22" t="n">
        <v>3525</v>
      </c>
      <c r="E93" s="22" t="n">
        <v>4310</v>
      </c>
      <c r="F93" s="22" t="n">
        <v>3434</v>
      </c>
      <c r="G93" s="22" t="n">
        <v>4354</v>
      </c>
      <c r="H93" s="22" t="n">
        <v>0</v>
      </c>
      <c r="I93" s="22" t="n">
        <v>1375</v>
      </c>
      <c r="J93" s="22" t="n">
        <v>1740</v>
      </c>
      <c r="K93" s="22" t="n">
        <v>2633</v>
      </c>
      <c r="L93" s="22" t="n">
        <v>4310</v>
      </c>
    </row>
    <row r="94">
      <c r="A94" s="20" t="inlineStr">
        <is>
          <t>기타</t>
        </is>
      </c>
      <c r="C94" s="22" t="n">
        <v>107</v>
      </c>
      <c r="D94" s="22" t="n">
        <v>118</v>
      </c>
      <c r="E94" s="22" t="n">
        <v>113</v>
      </c>
      <c r="F94" s="22" t="n">
        <v>122</v>
      </c>
      <c r="G94" s="22" t="n">
        <v>118</v>
      </c>
      <c r="H94" s="22" t="n">
        <v>79</v>
      </c>
      <c r="I94" s="22" t="n">
        <v>155</v>
      </c>
      <c r="J94" s="22" t="n">
        <v>132</v>
      </c>
      <c r="K94" s="22" t="n">
        <v>109</v>
      </c>
      <c r="L94" s="22" t="n">
        <v>113</v>
      </c>
    </row>
    <row r="95">
      <c r="A95" s="20" t="inlineStr">
        <is>
          <t>투자 및 기타자산 합계</t>
        </is>
      </c>
      <c r="C95" s="22" t="n">
        <v>3551</v>
      </c>
      <c r="D95" s="22" t="n">
        <v>4209</v>
      </c>
      <c r="E95" s="22" t="n">
        <v>5080</v>
      </c>
      <c r="F95" s="22" t="n">
        <v>4272</v>
      </c>
      <c r="G95" s="22" t="n">
        <v>5256</v>
      </c>
      <c r="H95" s="22" t="n">
        <v>206</v>
      </c>
      <c r="I95" s="22" t="n">
        <v>1773</v>
      </c>
      <c r="J95" s="22" t="n">
        <v>2241</v>
      </c>
      <c r="K95" s="22" t="n">
        <v>3205</v>
      </c>
      <c r="L95" s="22" t="n">
        <v>5080</v>
      </c>
    </row>
    <row r="96">
      <c r="A96" s="9" t="inlineStr">
        <is>
          <t>비유동자산 합계</t>
        </is>
      </c>
      <c r="C96" s="12" t="n">
        <v>11030</v>
      </c>
      <c r="D96" s="12" t="n">
        <v>11505</v>
      </c>
      <c r="E96" s="12" t="n">
        <v>12201</v>
      </c>
      <c r="F96" s="12" t="n">
        <v>11236</v>
      </c>
      <c r="G96" s="12" t="n">
        <v>12065</v>
      </c>
      <c r="H96" s="12" t="n">
        <v>1759</v>
      </c>
      <c r="I96" s="12" t="n">
        <v>11071</v>
      </c>
      <c r="J96" s="12" t="n">
        <v>10769</v>
      </c>
      <c r="K96" s="12" t="n">
        <v>11034</v>
      </c>
      <c r="L96" s="12" t="n">
        <v>12201</v>
      </c>
    </row>
    <row r="97">
      <c r="A97" s="9" t="inlineStr">
        <is>
          <t>자산 합계</t>
        </is>
      </c>
      <c r="C97" s="12" t="n">
        <v>100519</v>
      </c>
      <c r="D97" s="12" t="n">
        <v>105093</v>
      </c>
      <c r="E97" s="12" t="n">
        <v>112264</v>
      </c>
      <c r="F97" s="12" t="n">
        <v>99595</v>
      </c>
      <c r="G97" s="12" t="n">
        <v>129076</v>
      </c>
      <c r="H97" s="12" t="n">
        <v>29795</v>
      </c>
      <c r="I97" s="12" t="n">
        <v>48354</v>
      </c>
      <c r="J97" s="12" t="n">
        <v>75700</v>
      </c>
      <c r="K97" s="12" t="n">
        <v>105777</v>
      </c>
      <c r="L97" s="12" t="n">
        <v>112264</v>
      </c>
    </row>
    <row r="98">
      <c r="A98" s="20" t="inlineStr">
        <is>
          <t>단기차입금</t>
        </is>
      </c>
      <c r="C98" s="22" t="n">
        <v>42557</v>
      </c>
      <c r="D98" s="22" t="n">
        <v>40500</v>
      </c>
      <c r="E98" s="22" t="n">
        <v>43500</v>
      </c>
      <c r="F98" s="22" t="n">
        <v>30000</v>
      </c>
      <c r="G98" s="22" t="n">
        <v>54899</v>
      </c>
      <c r="H98" s="22" t="n">
        <v>15119</v>
      </c>
      <c r="I98" s="22" t="n">
        <v>8800</v>
      </c>
      <c r="J98" s="22" t="n">
        <v>32999</v>
      </c>
      <c r="K98" s="22" t="n">
        <v>51000</v>
      </c>
      <c r="L98" s="22" t="n">
        <v>43500</v>
      </c>
    </row>
    <row r="99">
      <c r="A99" s="20" t="inlineStr">
        <is>
          <t>기업어음(CP)</t>
        </is>
      </c>
      <c r="C99" s="22" t="n">
        <v>5000</v>
      </c>
      <c r="D99" s="22" t="n">
        <v>5000</v>
      </c>
      <c r="E99" s="22" t="n">
        <v>3000</v>
      </c>
      <c r="F99" s="22" t="n">
        <v>5000</v>
      </c>
      <c r="G99" s="22" t="n">
        <v>7000</v>
      </c>
      <c r="I99" s="22" t="n">
        <v>0</v>
      </c>
      <c r="J99" s="22" t="n">
        <v>2000</v>
      </c>
      <c r="K99" s="22" t="n">
        <v>3000</v>
      </c>
      <c r="L99" s="22" t="n">
        <v>3000</v>
      </c>
    </row>
    <row r="100">
      <c r="A100" s="20" t="inlineStr">
        <is>
          <t>1년 내 상환 장기차입금</t>
        </is>
      </c>
      <c r="C100" s="22" t="n">
        <v>8632</v>
      </c>
      <c r="D100" s="22" t="n">
        <v>1002</v>
      </c>
      <c r="E100" s="22" t="n">
        <v>502</v>
      </c>
      <c r="F100" s="22" t="n">
        <v>502</v>
      </c>
      <c r="G100" s="22" t="n">
        <v>4519</v>
      </c>
      <c r="H100" s="22" t="n">
        <v>0</v>
      </c>
      <c r="I100" s="22" t="n">
        <v>502</v>
      </c>
      <c r="J100" s="22" t="n">
        <v>502</v>
      </c>
      <c r="K100" s="22" t="n">
        <v>8632</v>
      </c>
      <c r="L100" s="22" t="n">
        <v>502</v>
      </c>
    </row>
    <row r="101">
      <c r="A101" s="20" t="inlineStr">
        <is>
          <t>미지급금</t>
        </is>
      </c>
      <c r="C101" s="22" t="n">
        <v>650</v>
      </c>
      <c r="D101" s="22" t="n">
        <v>716</v>
      </c>
      <c r="E101" s="22" t="n">
        <v>663</v>
      </c>
      <c r="F101" s="22" t="n">
        <v>679</v>
      </c>
      <c r="G101" s="22" t="n">
        <v>344</v>
      </c>
      <c r="H101" s="22" t="n">
        <v>149</v>
      </c>
      <c r="I101" s="22" t="n">
        <v>383</v>
      </c>
      <c r="J101" s="22" t="n">
        <v>216</v>
      </c>
      <c r="K101" s="22" t="n">
        <v>377</v>
      </c>
      <c r="L101" s="22" t="n">
        <v>663</v>
      </c>
    </row>
    <row r="102">
      <c r="A102" s="20" t="inlineStr">
        <is>
          <t>미지급비용</t>
        </is>
      </c>
      <c r="H102" s="22" t="n">
        <v>37</v>
      </c>
    </row>
    <row r="103">
      <c r="A103" s="20" t="inlineStr">
        <is>
          <t>미지급법인세</t>
        </is>
      </c>
      <c r="C103" s="22" t="n">
        <v>1627</v>
      </c>
      <c r="D103" s="22" t="n">
        <v>1363</v>
      </c>
      <c r="E103" s="22" t="n">
        <v>2594</v>
      </c>
      <c r="F103" s="22" t="n">
        <v>762</v>
      </c>
      <c r="G103" s="22" t="n">
        <v>2560</v>
      </c>
      <c r="H103" s="22" t="n">
        <v>5</v>
      </c>
      <c r="I103" s="22" t="n">
        <v>2914</v>
      </c>
      <c r="J103" s="22" t="n">
        <v>1417</v>
      </c>
      <c r="K103" s="22" t="n">
        <v>1898</v>
      </c>
      <c r="L103" s="22" t="n">
        <v>2594</v>
      </c>
    </row>
    <row r="104">
      <c r="A104" s="20" t="inlineStr">
        <is>
          <t>계약부채</t>
        </is>
      </c>
      <c r="C104" s="22" t="n">
        <v>4293</v>
      </c>
      <c r="D104" s="22" t="n">
        <v>4674</v>
      </c>
      <c r="E104" s="22" t="n">
        <v>6593</v>
      </c>
      <c r="F104" s="22" t="n">
        <v>4858</v>
      </c>
      <c r="G104" s="22" t="n">
        <v>5292</v>
      </c>
      <c r="H104" s="22" t="n">
        <v>759</v>
      </c>
      <c r="I104" s="22" t="n">
        <v>3320</v>
      </c>
      <c r="J104" s="22" t="n">
        <v>3518</v>
      </c>
      <c r="K104" s="22" t="n">
        <v>4960</v>
      </c>
      <c r="L104" s="22" t="n">
        <v>6593</v>
      </c>
    </row>
    <row r="105">
      <c r="A105" s="20" t="inlineStr">
        <is>
          <t>선수금</t>
        </is>
      </c>
      <c r="H105" s="22" t="n">
        <v>2</v>
      </c>
    </row>
    <row r="106">
      <c r="A106" s="20" t="inlineStr">
        <is>
          <t>상여충당금</t>
        </is>
      </c>
      <c r="C106" s="22" t="n">
        <v>99</v>
      </c>
      <c r="D106" s="22" t="n">
        <v>149</v>
      </c>
      <c r="E106" s="22" t="n">
        <v>233</v>
      </c>
      <c r="F106" s="22" t="n">
        <v>296</v>
      </c>
      <c r="G106" s="22" t="n">
        <v>126</v>
      </c>
      <c r="I106" s="22" t="n">
        <v>0</v>
      </c>
      <c r="J106" s="22" t="n">
        <v>136</v>
      </c>
      <c r="K106" s="22" t="n">
        <v>174</v>
      </c>
      <c r="L106" s="22" t="n">
        <v>233</v>
      </c>
    </row>
    <row r="107">
      <c r="A107" s="20" t="inlineStr">
        <is>
          <t>기타</t>
        </is>
      </c>
      <c r="C107" s="22" t="n">
        <v>574</v>
      </c>
      <c r="D107" s="22" t="n">
        <v>799</v>
      </c>
      <c r="E107" s="22" t="n">
        <v>1028</v>
      </c>
      <c r="F107" s="22" t="n">
        <v>1647</v>
      </c>
      <c r="G107" s="22" t="n">
        <v>810</v>
      </c>
      <c r="H107" s="22" t="n">
        <v>445</v>
      </c>
      <c r="I107" s="22" t="n">
        <v>722</v>
      </c>
      <c r="J107" s="22" t="n">
        <v>365</v>
      </c>
      <c r="K107" s="22" t="n">
        <v>763</v>
      </c>
      <c r="L107" s="22" t="n">
        <v>1028</v>
      </c>
    </row>
    <row r="108">
      <c r="A108" s="9" t="inlineStr">
        <is>
          <t>유동부채 합계</t>
        </is>
      </c>
      <c r="C108" s="12" t="n">
        <v>63434</v>
      </c>
      <c r="D108" s="12" t="n">
        <v>54206</v>
      </c>
      <c r="E108" s="12" t="n">
        <v>58116</v>
      </c>
      <c r="F108" s="12" t="n">
        <v>43746</v>
      </c>
      <c r="G108" s="12" t="n">
        <v>75553</v>
      </c>
      <c r="H108" s="12" t="n">
        <v>16478</v>
      </c>
      <c r="I108" s="12" t="n">
        <v>16643</v>
      </c>
      <c r="J108" s="12" t="n">
        <v>41155</v>
      </c>
      <c r="K108" s="12" t="n">
        <v>70806</v>
      </c>
      <c r="L108" s="12" t="n">
        <v>58116</v>
      </c>
    </row>
    <row r="109">
      <c r="A109" s="20" t="inlineStr">
        <is>
          <t>사채</t>
        </is>
      </c>
      <c r="C109" s="22" t="n">
        <v>5000</v>
      </c>
      <c r="D109" s="22" t="n">
        <v>11000</v>
      </c>
      <c r="E109" s="22" t="n">
        <v>11000</v>
      </c>
      <c r="F109" s="22" t="n">
        <v>11000</v>
      </c>
      <c r="G109" s="22" t="n">
        <v>11000</v>
      </c>
      <c r="J109" s="22" t="n">
        <v>0</v>
      </c>
      <c r="K109" s="22" t="n">
        <v>5000</v>
      </c>
      <c r="L109" s="22" t="n">
        <v>11000</v>
      </c>
    </row>
    <row r="110">
      <c r="A110" s="20" t="inlineStr">
        <is>
          <t>장기차입금</t>
        </is>
      </c>
      <c r="C110" s="22" t="n">
        <v>5519</v>
      </c>
      <c r="D110" s="22" t="n">
        <v>12493</v>
      </c>
      <c r="E110" s="22" t="n">
        <v>14368</v>
      </c>
      <c r="F110" s="22" t="n">
        <v>14242</v>
      </c>
      <c r="G110" s="22" t="n">
        <v>10100</v>
      </c>
      <c r="H110" s="22" t="n">
        <v>0</v>
      </c>
      <c r="I110" s="22" t="n">
        <v>13904</v>
      </c>
      <c r="J110" s="22" t="n">
        <v>13402</v>
      </c>
      <c r="K110" s="22" t="n">
        <v>4770</v>
      </c>
      <c r="L110" s="22" t="n">
        <v>14368</v>
      </c>
    </row>
    <row r="111">
      <c r="A111" s="20" t="inlineStr">
        <is>
          <t>자산복구부채</t>
        </is>
      </c>
      <c r="C111" s="22" t="n">
        <v>27</v>
      </c>
      <c r="D111" s="22" t="n">
        <v>27</v>
      </c>
      <c r="E111" s="22" t="n">
        <v>27</v>
      </c>
      <c r="F111" s="22" t="n">
        <v>27</v>
      </c>
      <c r="G111" s="22" t="n">
        <v>27</v>
      </c>
      <c r="H111" s="22" t="n">
        <v>27</v>
      </c>
      <c r="I111" s="22" t="n">
        <v>27</v>
      </c>
      <c r="J111" s="22" t="n">
        <v>27</v>
      </c>
      <c r="K111" s="22" t="n">
        <v>27</v>
      </c>
      <c r="L111" s="22" t="n">
        <v>27</v>
      </c>
    </row>
    <row r="112">
      <c r="A112" s="20" t="inlineStr">
        <is>
          <t>이연법인세부채</t>
        </is>
      </c>
      <c r="H112" s="22" t="n">
        <v>130</v>
      </c>
      <c r="I112" s="22" t="n">
        <v>0</v>
      </c>
    </row>
    <row r="113">
      <c r="A113" s="9" t="inlineStr">
        <is>
          <t>비유동부채 합계</t>
        </is>
      </c>
      <c r="C113" s="12" t="n">
        <v>10547</v>
      </c>
      <c r="D113" s="12" t="n">
        <v>23521</v>
      </c>
      <c r="E113" s="12" t="n">
        <v>25396</v>
      </c>
      <c r="F113" s="12" t="n">
        <v>25270</v>
      </c>
      <c r="G113" s="12" t="n">
        <v>21127</v>
      </c>
      <c r="H113" s="12" t="n">
        <v>157</v>
      </c>
      <c r="I113" s="12" t="n">
        <v>13932</v>
      </c>
      <c r="J113" s="12" t="n">
        <v>13430</v>
      </c>
      <c r="K113" s="12" t="n">
        <v>9798</v>
      </c>
      <c r="L113" s="12" t="n">
        <v>25396</v>
      </c>
    </row>
    <row r="114">
      <c r="A114" s="9" t="inlineStr">
        <is>
          <t>부채 합계</t>
        </is>
      </c>
      <c r="C114" s="12" t="n">
        <v>73981</v>
      </c>
      <c r="D114" s="12" t="n">
        <v>77728</v>
      </c>
      <c r="E114" s="12" t="n">
        <v>83512</v>
      </c>
      <c r="F114" s="12" t="n">
        <v>69017</v>
      </c>
      <c r="G114" s="12" t="n">
        <v>96681</v>
      </c>
      <c r="H114" s="12" t="n">
        <v>16636</v>
      </c>
      <c r="I114" s="12" t="n">
        <v>30575</v>
      </c>
      <c r="J114" s="12" t="n">
        <v>54585</v>
      </c>
      <c r="K114" s="12" t="n">
        <v>80604</v>
      </c>
      <c r="L114" s="12" t="n">
        <v>83512</v>
      </c>
    </row>
    <row r="115">
      <c r="A115" s="20" t="inlineStr">
        <is>
          <t>자본금</t>
        </is>
      </c>
      <c r="C115" s="22" t="n">
        <v>1198</v>
      </c>
      <c r="D115" s="22" t="n">
        <v>1205</v>
      </c>
      <c r="E115" s="22" t="n">
        <v>1247</v>
      </c>
      <c r="F115" s="22" t="n">
        <v>1251</v>
      </c>
      <c r="G115" s="22" t="n">
        <v>1256</v>
      </c>
      <c r="H115" s="22" t="n">
        <v>100</v>
      </c>
      <c r="I115" s="22" t="n">
        <v>1032</v>
      </c>
      <c r="J115" s="22" t="n">
        <v>1032</v>
      </c>
      <c r="K115" s="22" t="n">
        <v>1150</v>
      </c>
      <c r="L115" s="22" t="n">
        <v>1247</v>
      </c>
    </row>
    <row r="116">
      <c r="A116" s="20" t="inlineStr">
        <is>
          <t>자본잉여금</t>
        </is>
      </c>
      <c r="C116" s="22" t="n">
        <v>4079</v>
      </c>
      <c r="D116" s="22" t="n">
        <v>4085</v>
      </c>
      <c r="E116" s="22" t="n">
        <v>4127</v>
      </c>
      <c r="F116" s="22" t="n">
        <v>4131</v>
      </c>
      <c r="G116" s="22" t="n">
        <v>4136</v>
      </c>
      <c r="H116" s="22" t="n">
        <v>2980</v>
      </c>
      <c r="I116" s="22" t="n">
        <v>3912</v>
      </c>
      <c r="J116" s="22" t="n">
        <v>3912</v>
      </c>
      <c r="K116" s="22" t="n">
        <v>4031</v>
      </c>
      <c r="L116" s="22" t="n">
        <v>4127</v>
      </c>
    </row>
    <row r="117">
      <c r="A117" s="20" t="inlineStr">
        <is>
          <t>이익잉여금</t>
        </is>
      </c>
      <c r="C117" s="22" t="n">
        <v>21754</v>
      </c>
      <c r="D117" s="22" t="n">
        <v>23059</v>
      </c>
      <c r="E117" s="22" t="n">
        <v>24106</v>
      </c>
      <c r="F117" s="22" t="n">
        <v>25214</v>
      </c>
      <c r="G117" s="22" t="n">
        <v>26764</v>
      </c>
      <c r="H117" s="22" t="n">
        <v>10363</v>
      </c>
      <c r="I117" s="22" t="n">
        <v>12809</v>
      </c>
      <c r="J117" s="22" t="n">
        <v>16179</v>
      </c>
      <c r="K117" s="22" t="n">
        <v>19789</v>
      </c>
      <c r="L117" s="22" t="n">
        <v>24106</v>
      </c>
    </row>
    <row r="118">
      <c r="A118" s="20" t="inlineStr">
        <is>
          <t>자기주식</t>
        </is>
      </c>
      <c r="C118" s="22" t="n">
        <v>-0</v>
      </c>
      <c r="D118" s="22" t="n">
        <v>-0</v>
      </c>
      <c r="E118" s="22" t="n">
        <v>-0</v>
      </c>
      <c r="F118" s="22" t="n">
        <v>-0</v>
      </c>
      <c r="G118" s="22" t="n">
        <v>-0</v>
      </c>
      <c r="I118" s="22" t="n">
        <v>0</v>
      </c>
      <c r="J118" s="22" t="n">
        <v>-0</v>
      </c>
      <c r="K118" s="22" t="n">
        <v>-0</v>
      </c>
      <c r="L118" s="22" t="n">
        <v>-0</v>
      </c>
    </row>
    <row r="119">
      <c r="A119" s="9" t="inlineStr">
        <is>
          <t>주주자본 합계</t>
        </is>
      </c>
      <c r="C119" s="12" t="n">
        <v>27032</v>
      </c>
      <c r="D119" s="12" t="n">
        <v>28350</v>
      </c>
      <c r="E119" s="12" t="n">
        <v>29481</v>
      </c>
      <c r="F119" s="12" t="n">
        <v>30596</v>
      </c>
      <c r="G119" s="12" t="n">
        <v>32157</v>
      </c>
      <c r="H119" s="12" t="n">
        <v>13444</v>
      </c>
      <c r="I119" s="12" t="n">
        <v>17754</v>
      </c>
      <c r="J119" s="12" t="n">
        <v>21123</v>
      </c>
      <c r="K119" s="12" t="n">
        <v>24971</v>
      </c>
      <c r="L119" s="12" t="n">
        <v>29481</v>
      </c>
    </row>
    <row r="120">
      <c r="A120" s="20" t="inlineStr">
        <is>
          <t>이연헤지손익</t>
        </is>
      </c>
      <c r="C120" s="22" t="n">
        <v>-562</v>
      </c>
      <c r="D120" s="22" t="n">
        <v>-1064</v>
      </c>
      <c r="E120" s="22" t="n">
        <v>-819</v>
      </c>
      <c r="F120" s="22" t="n">
        <v>-122</v>
      </c>
      <c r="G120" s="22" t="n">
        <v>123</v>
      </c>
      <c r="H120" s="22" t="n">
        <v>-302</v>
      </c>
      <c r="I120" s="22" t="n">
        <v>6</v>
      </c>
      <c r="J120" s="22" t="n">
        <v>-26</v>
      </c>
      <c r="K120" s="22" t="n">
        <v>156</v>
      </c>
      <c r="L120" s="22" t="n">
        <v>-819</v>
      </c>
    </row>
    <row r="121">
      <c r="A121" s="20" t="inlineStr">
        <is>
          <t>해외사업환산조정</t>
        </is>
      </c>
      <c r="H121" s="22" t="n">
        <v>-0</v>
      </c>
      <c r="I121" s="22" t="n">
        <v>0</v>
      </c>
    </row>
    <row r="122">
      <c r="A122" s="20" t="inlineStr">
        <is>
          <t>기타포괄손익누계액 합계</t>
        </is>
      </c>
      <c r="C122" s="22" t="n">
        <v>-562</v>
      </c>
      <c r="D122" s="22" t="n">
        <v>-1064</v>
      </c>
      <c r="E122" s="22" t="n">
        <v>-819</v>
      </c>
      <c r="F122" s="22" t="n">
        <v>-122</v>
      </c>
      <c r="G122" s="22" t="n">
        <v>123</v>
      </c>
      <c r="H122" s="22" t="n">
        <v>-302</v>
      </c>
      <c r="I122" s="22" t="n">
        <v>6</v>
      </c>
      <c r="J122" s="22" t="n">
        <v>-26</v>
      </c>
      <c r="K122" s="22" t="n">
        <v>156</v>
      </c>
      <c r="L122" s="22" t="n">
        <v>-819</v>
      </c>
    </row>
    <row r="123">
      <c r="A123" s="20" t="inlineStr">
        <is>
          <t>신주예약권</t>
        </is>
      </c>
      <c r="C123" s="22" t="n">
        <v>68</v>
      </c>
      <c r="D123" s="22" t="n">
        <v>79</v>
      </c>
      <c r="E123" s="22" t="n">
        <v>91</v>
      </c>
      <c r="F123" s="22" t="n">
        <v>103</v>
      </c>
      <c r="G123" s="22" t="n">
        <v>114</v>
      </c>
      <c r="H123" s="22" t="n">
        <v>17</v>
      </c>
      <c r="I123" s="22" t="n">
        <v>17</v>
      </c>
      <c r="J123" s="22" t="n">
        <v>17</v>
      </c>
      <c r="K123" s="22" t="n">
        <v>44</v>
      </c>
      <c r="L123" s="22" t="n">
        <v>91</v>
      </c>
    </row>
    <row r="124">
      <c r="A124" s="9" t="inlineStr">
        <is>
          <t>순자산 합계</t>
        </is>
      </c>
      <c r="C124" s="12" t="n">
        <v>26537</v>
      </c>
      <c r="D124" s="12" t="n">
        <v>27365</v>
      </c>
      <c r="E124" s="12" t="n">
        <v>28752</v>
      </c>
      <c r="F124" s="12" t="n">
        <v>30578</v>
      </c>
      <c r="G124" s="12" t="n">
        <v>32395</v>
      </c>
      <c r="H124" s="12" t="n">
        <v>13158</v>
      </c>
      <c r="I124" s="12" t="n">
        <v>17778</v>
      </c>
      <c r="J124" s="12" t="n">
        <v>21114</v>
      </c>
      <c r="K124" s="12" t="n">
        <v>25173</v>
      </c>
      <c r="L124" s="12" t="n">
        <v>28752</v>
      </c>
    </row>
    <row r="125">
      <c r="A125" s="9" t="inlineStr">
        <is>
          <t>부채·순자산 합계</t>
        </is>
      </c>
      <c r="C125" s="12" t="n">
        <v>100519</v>
      </c>
      <c r="D125" s="12" t="n">
        <v>105093</v>
      </c>
      <c r="E125" s="12" t="n">
        <v>112264</v>
      </c>
      <c r="F125" s="12" t="n">
        <v>99595</v>
      </c>
      <c r="G125" s="12" t="n">
        <v>129076</v>
      </c>
      <c r="H125" s="12" t="n">
        <v>29795</v>
      </c>
      <c r="I125" s="12" t="n">
        <v>48354</v>
      </c>
      <c r="J125" s="12" t="n">
        <v>75700</v>
      </c>
      <c r="K125" s="12" t="n">
        <v>105777</v>
      </c>
      <c r="L125" s="12" t="n">
        <v>112264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https://www2.jpx.co.jp/disc/58340/140120261027557038.pdf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https://www2.jpx.co.jp/disc/58340/140120260728501146.pdf</t>
        </is>
      </c>
    </row>
    <row r="6">
      <c r="A6" t="inlineStr">
        <is>
          <t>2026-04-28</t>
        </is>
      </c>
      <c r="B6" t="inlineStr">
        <is>
          <t>2026년 3월 결산기 연간 결산단신</t>
        </is>
      </c>
      <c r="C6" t="inlineStr">
        <is>
          <t>https://www2.jpx.co.jp/disc/58340/140120260427511714.pdf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https://www2.jpx.co.jp/disc/58340/140120260128540560.pdf</t>
        </is>
      </c>
    </row>
    <row r="8">
      <c r="A8" t="inlineStr">
        <is>
          <t>2025-10-29</t>
        </is>
      </c>
      <c r="B8" t="inlineStr">
        <is>
          <t>2026년 3월 결산기 ２분기 결산단신</t>
        </is>
      </c>
      <c r="C8" t="inlineStr">
        <is>
          <t>https://www2.jpx.co.jp/disc/58340/140120251028580598.pdf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https://www2.jpx.co.jp/disc/58340/140120250728521891.pdf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https://www2.jpx.co.jp/disc/58340/140120250424523023.pdf</t>
        </is>
      </c>
    </row>
    <row r="11">
      <c r="A11" t="inlineStr">
        <is>
          <t>2025-01-30</t>
        </is>
      </c>
      <c r="B11" t="inlineStr">
        <is>
          <t>2025년 3월 결산기 ３분기 결산단신</t>
        </is>
      </c>
      <c r="C11" t="inlineStr">
        <is>
          <t>https://www2.jpx.co.jp/disc/58340/140120250130558145.pdf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https://www2.jpx.co.jp/disc/58340/140120241029504708.pdf</t>
        </is>
      </c>
    </row>
    <row r="13">
      <c r="A13" t="inlineStr">
        <is>
          <t>2024-07-29</t>
        </is>
      </c>
      <c r="B13" t="inlineStr">
        <is>
          <t>2025년 3월 결산기 １분기 결산단신</t>
        </is>
      </c>
      <c r="C13" t="inlineStr">
        <is>
          <t>https://www2.jpx.co.jp/disc/58340/140120240726555805.pdf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https://www2.jpx.co.jp/disc/58340/140120240425576281.pdf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https://www2.jpx.co.jp/disc/58340/140120240129521199.pdf</t>
        </is>
      </c>
    </row>
    <row r="16">
      <c r="A16" t="inlineStr">
        <is>
          <t>2023-10-27</t>
        </is>
      </c>
      <c r="B16" t="inlineStr">
        <is>
          <t>2024년 3월 결산기 ２분기 결산단신</t>
        </is>
      </c>
      <c r="C16" t="inlineStr">
        <is>
          <t>https://www2.jpx.co.jp/disc/58340/140120231026572340.pdf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https://www2.jpx.co.jp/disc/58340/140120230724525972.pdf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https://www2.jpx.co.jp/disc/58340/140120230425552432.pdf</t>
        </is>
      </c>
    </row>
    <row r="19">
      <c r="A19" t="inlineStr">
        <is>
          <t>2023-01-30</t>
        </is>
      </c>
      <c r="B19" t="inlineStr">
        <is>
          <t>2023년 3월 결산기 ３분기 결산단신</t>
        </is>
      </c>
      <c r="C19" t="inlineStr">
        <is>
          <t>https://www2.jpx.co.jp/disc/58340/140120230127595401.pdf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2026-10-28T07:03:53Z</dcterms:created>
  <dcterms:modified xmlns:dcterms="http://purl.org/dc/terms/" xmlns:xsi="http://www.w3.org/2001/XMLSchema-instance" xsi:type="dcterms:W3CDTF">2026-10-28T07:03:53Z</dcterms:modified>
</cp:coreProperties>
</file>