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8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62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5834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13755</v>
      </c>
      <c r="D4" s="12" t="n">
        <v>8252</v>
      </c>
      <c r="E4" s="12" t="n">
        <v>19195</v>
      </c>
      <c r="F4" s="12" t="n">
        <v>2470</v>
      </c>
      <c r="G4" s="12" t="n">
        <v>17911</v>
      </c>
      <c r="H4" s="12" t="n">
        <v>11884</v>
      </c>
      <c r="I4" s="12" t="n">
        <v>9651</v>
      </c>
      <c r="J4" s="12" t="n">
        <v>10419</v>
      </c>
      <c r="K4" s="12" t="n">
        <v>15954</v>
      </c>
      <c r="L4" s="12" t="n">
        <v>23234</v>
      </c>
      <c r="M4" s="12" t="n">
        <v>14650</v>
      </c>
      <c r="N4" s="12" t="n">
        <v>22258</v>
      </c>
      <c r="O4" s="11" t="n"/>
      <c r="P4" s="12" t="n"/>
      <c r="Q4" s="12" t="n"/>
      <c r="R4" s="12" t="n"/>
      <c r="S4" s="12" t="n"/>
      <c r="T4" s="12" t="n">
        <v>29556</v>
      </c>
      <c r="U4" s="12" t="n">
        <v>39572</v>
      </c>
      <c r="V4" s="12" t="n">
        <v>54146</v>
      </c>
      <c r="W4" s="12" t="n">
        <v>41916</v>
      </c>
      <c r="X4" s="12" t="n">
        <v>64257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11564</v>
      </c>
      <c r="D11" s="22" t="n">
        <v>6143</v>
      </c>
      <c r="E11" s="22" t="n">
        <v>16960</v>
      </c>
      <c r="F11" s="22" t="n">
        <v>267</v>
      </c>
      <c r="G11" s="22" t="n">
        <v>15419</v>
      </c>
      <c r="H11" s="22" t="n">
        <v>9036</v>
      </c>
      <c r="I11" s="22" t="n">
        <v>6740</v>
      </c>
      <c r="J11" s="22" t="n">
        <v>6489</v>
      </c>
      <c r="K11" s="22" t="n">
        <v>12260</v>
      </c>
      <c r="L11" s="22" t="n">
        <v>19569</v>
      </c>
      <c r="M11" s="22" t="n">
        <v>12015</v>
      </c>
      <c r="N11" s="22" t="n">
        <v>16989</v>
      </c>
      <c r="O11" s="21" t="n"/>
      <c r="P11" s="22" t="n"/>
      <c r="Q11" s="22" t="n"/>
      <c r="R11" s="22" t="n"/>
      <c r="S11" s="22" t="n"/>
      <c r="T11" s="22" t="n">
        <v>24017</v>
      </c>
      <c r="U11" s="22" t="n">
        <v>32405</v>
      </c>
      <c r="V11" s="22" t="n">
        <v>45834</v>
      </c>
      <c r="W11" s="22" t="n">
        <v>31462</v>
      </c>
      <c r="X11" s="22" t="n">
        <v>50333</v>
      </c>
      <c r="Y11" s="21" t="n"/>
      <c r="Z11" s="22" t="n"/>
      <c r="AA11" s="22" t="n"/>
      <c r="AB11" s="22" t="n"/>
      <c r="AC11" s="22" t="n"/>
    </row>
    <row r="12">
      <c r="A12" s="20" t="inlineStr">
        <is>
          <t>매출총이익</t>
        </is>
      </c>
      <c r="B12" s="10" t="n"/>
      <c r="C12" s="21">
        <f>IF(OR(C4="",C11=""),"",IFERROR(C4-C11,""))</f>
        <v/>
      </c>
      <c r="D12" s="22">
        <f>IF(OR(D4="",D11=""),"",IFERROR(D4-D11,""))</f>
        <v/>
      </c>
      <c r="E12" s="22">
        <f>IF(OR(E4="",E11=""),"",IFERROR(E4-E11,""))</f>
        <v/>
      </c>
      <c r="F12" s="22">
        <f>IF(OR(F4="",F11=""),"",IFERROR(F4-F11,""))</f>
        <v/>
      </c>
      <c r="G12" s="22">
        <f>IF(OR(G4="",G11=""),"",IFERROR(G4-G11,""))</f>
        <v/>
      </c>
      <c r="H12" s="22">
        <f>IF(OR(H4="",H11=""),"",IFERROR(H4-H11,""))</f>
        <v/>
      </c>
      <c r="I12" s="22">
        <f>IF(OR(I4="",I11=""),"",IFERROR(I4-I11,""))</f>
        <v/>
      </c>
      <c r="J12" s="22">
        <f>IF(OR(J4="",J11=""),"",IFERROR(J4-J11,""))</f>
        <v/>
      </c>
      <c r="K12" s="22">
        <f>IF(OR(K4="",K11=""),"",IFERROR(K4-K11,""))</f>
        <v/>
      </c>
      <c r="L12" s="22">
        <f>IF(OR(L4="",L11=""),"",IFERROR(L4-L11,""))</f>
        <v/>
      </c>
      <c r="M12" s="22">
        <f>IF(OR(M4="",M11=""),"",IFERROR(M4-M11,""))</f>
        <v/>
      </c>
      <c r="N12" s="22">
        <f>IF(OR(N4="",N11=""),"",IFERROR(N4-N11,""))</f>
        <v/>
      </c>
      <c r="O12" s="21">
        <f>IF(OR(O4="",O11=""),"",IFERROR(O4-O11,""))</f>
        <v/>
      </c>
      <c r="P12" s="22">
        <f>IF(OR(P4="",P11=""),"",IFERROR(P4-P11,""))</f>
        <v/>
      </c>
      <c r="Q12" s="22">
        <f>IF(OR(Q4="",Q11=""),"",IFERROR(Q4-Q11,""))</f>
        <v/>
      </c>
      <c r="R12" s="22">
        <f>IF(OR(R4="",R11=""),"",IFERROR(R4-R11,""))</f>
        <v/>
      </c>
      <c r="S12" s="22">
        <f>IF(OR(S4="",S11=""),"",IFERROR(S4-S11,""))</f>
        <v/>
      </c>
      <c r="T12" s="22">
        <f>IF(OR(T4="",T11=""),"",IFERROR(T4-T11,""))</f>
        <v/>
      </c>
      <c r="U12" s="22">
        <f>IF(OR(U4="",U11=""),"",IFERROR(U4-U11,""))</f>
        <v/>
      </c>
      <c r="V12" s="22">
        <f>IF(OR(V4="",V11=""),"",IFERROR(V4-V11,""))</f>
        <v/>
      </c>
      <c r="W12" s="22">
        <f>IF(OR(W4="",W11=""),"",IFERROR(W4-W11,""))</f>
        <v/>
      </c>
      <c r="X12" s="22">
        <f>IF(OR(X4="",X11=""),"",IFERROR(X4-X11,""))</f>
        <v/>
      </c>
      <c r="Y12" s="21" t="n"/>
      <c r="Z12" s="22" t="n"/>
      <c r="AA12" s="22" t="n"/>
      <c r="AB12" s="22" t="n"/>
      <c r="AC12" s="22" t="n"/>
    </row>
    <row r="13">
      <c r="A13" s="15" t="inlineStr">
        <is>
          <t>GPM</t>
        </is>
      </c>
      <c r="B13" s="10" t="n"/>
      <c r="C13" s="16">
        <f>IF(OR(C12="",C4=""),"",IFERROR(C12/C4,""))</f>
        <v/>
      </c>
      <c r="D13" s="17">
        <f>IF(OR(D12="",D4=""),"",IFERROR(D12/D4,""))</f>
        <v/>
      </c>
      <c r="E13" s="17">
        <f>IF(OR(E12="",E4=""),"",IFERROR(E12/E4,""))</f>
        <v/>
      </c>
      <c r="F13" s="17">
        <f>IF(OR(F12="",F4=""),"",IFERROR(F12/F4,""))</f>
        <v/>
      </c>
      <c r="G13" s="17">
        <f>IF(OR(G12="",G4=""),"",IFERROR(G12/G4,""))</f>
        <v/>
      </c>
      <c r="H13" s="17">
        <f>IF(OR(H12="",H4=""),"",IFERROR(H12/H4,""))</f>
        <v/>
      </c>
      <c r="I13" s="17">
        <f>IF(OR(I12="",I4=""),"",IFERROR(I12/I4,""))</f>
        <v/>
      </c>
      <c r="J13" s="17">
        <f>IF(OR(J12="",J4=""),"",IFERROR(J12/J4,""))</f>
        <v/>
      </c>
      <c r="K13" s="17">
        <f>IF(OR(K12="",K4=""),"",IFERROR(K12/K4,""))</f>
        <v/>
      </c>
      <c r="L13" s="17">
        <f>IF(OR(L12="",L4=""),"",IFERROR(L12/L4,""))</f>
        <v/>
      </c>
      <c r="M13" s="17">
        <f>IF(OR(M12="",M4=""),"",IFERROR(M12/M4,""))</f>
        <v/>
      </c>
      <c r="N13" s="17">
        <f>IF(OR(N12="",N4=""),"",IFERROR(N12/N4,""))</f>
        <v/>
      </c>
      <c r="O13" s="16">
        <f>IF(OR(O12="",O4=""),"",IFERROR(O12/O4,""))</f>
        <v/>
      </c>
      <c r="P13" s="17">
        <f>IF(OR(P12="",P4=""),"",IFERROR(P12/P4,""))</f>
        <v/>
      </c>
      <c r="Q13" s="17">
        <f>IF(OR(Q12="",Q4=""),"",IFERROR(Q12/Q4,""))</f>
        <v/>
      </c>
      <c r="R13" s="17">
        <f>IF(OR(R12="",R4=""),"",IFERROR(R12/R4,""))</f>
        <v/>
      </c>
      <c r="S13" s="17">
        <f>IF(OR(S12="",S4=""),"",IFERROR(S12/S4,""))</f>
        <v/>
      </c>
      <c r="T13" s="17">
        <f>IF(OR(T12="",T4=""),"",IFERROR(T12/T4,""))</f>
        <v/>
      </c>
      <c r="U13" s="17">
        <f>IF(OR(U12="",U4=""),"",IFERROR(U12/U4,""))</f>
        <v/>
      </c>
      <c r="V13" s="17">
        <f>IF(OR(V12="",V4=""),"",IFERROR(V12/V4,""))</f>
        <v/>
      </c>
      <c r="W13" s="17">
        <f>IF(OR(W12="",W4=""),"",IFERROR(W12/W4,""))</f>
        <v/>
      </c>
      <c r="X13" s="17">
        <f>IF(OR(X12="",X4=""),"",IFERROR(X12/X4,""))</f>
        <v/>
      </c>
      <c r="Y13" s="16">
        <f>IF(OR(Y12="",Y4=""),"",IFERROR(Y12/Y4,""))</f>
        <v/>
      </c>
      <c r="Z13" s="17">
        <f>IF(OR(Z12="",Z4=""),"",IFERROR(Z12/Z4,""))</f>
        <v/>
      </c>
      <c r="AA13" s="17">
        <f>IF(OR(AA12="",AA4=""),"",IFERROR(AA12/AA4,""))</f>
        <v/>
      </c>
      <c r="AB13" s="17">
        <f>IF(OR(AB12="",AB4=""),"",IFERROR(AB12/AB4,""))</f>
        <v/>
      </c>
      <c r="AC13" s="17">
        <f>IF(OR(AC12="",AC4=""),"",IFERROR(AC12/AC4,""))</f>
        <v/>
      </c>
    </row>
    <row r="14">
      <c r="A14" s="25" t="inlineStr">
        <is>
          <t>판매관리비</t>
        </is>
      </c>
      <c r="B14" s="25" t="n"/>
      <c r="C14" s="26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6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6" t="n"/>
      <c r="Z14" s="25" t="n"/>
      <c r="AA14" s="25" t="n"/>
      <c r="AB14" s="25" t="n"/>
      <c r="AC14" s="25" t="n"/>
    </row>
    <row r="15">
      <c r="A15" s="20" t="inlineStr">
        <is>
          <t>전체 판관비</t>
        </is>
      </c>
      <c r="B15" s="10" t="n"/>
      <c r="C15" s="21" t="n">
        <v>666</v>
      </c>
      <c r="D15" s="22" t="n">
        <v>788</v>
      </c>
      <c r="E15" s="22" t="n">
        <v>846</v>
      </c>
      <c r="F15" s="22" t="n">
        <v>980</v>
      </c>
      <c r="G15" s="22" t="n">
        <v>731</v>
      </c>
      <c r="H15" s="22" t="n">
        <v>1000</v>
      </c>
      <c r="I15" s="22" t="n">
        <v>1014</v>
      </c>
      <c r="J15" s="22" t="n">
        <v>1358</v>
      </c>
      <c r="K15" s="22" t="n">
        <v>965</v>
      </c>
      <c r="L15" s="22" t="n">
        <v>988</v>
      </c>
      <c r="M15" s="22" t="n">
        <v>882</v>
      </c>
      <c r="N15" s="22" t="n">
        <v>1306</v>
      </c>
      <c r="O15" s="21" t="n"/>
      <c r="P15" s="22" t="n"/>
      <c r="Q15" s="22" t="n"/>
      <c r="R15" s="22" t="n"/>
      <c r="S15" s="22" t="n"/>
      <c r="T15" s="22" t="n">
        <v>2258</v>
      </c>
      <c r="U15" s="22" t="n">
        <v>3141</v>
      </c>
      <c r="V15" s="22" t="n">
        <v>3001</v>
      </c>
      <c r="W15" s="22" t="n">
        <v>3725</v>
      </c>
      <c r="X15" s="22" t="n">
        <v>4193</v>
      </c>
      <c r="Y15" s="21" t="n"/>
      <c r="Z15" s="22" t="n"/>
      <c r="AA15" s="22" t="n"/>
      <c r="AB15" s="22" t="n"/>
      <c r="AC15" s="22" t="n"/>
    </row>
    <row r="16">
      <c r="A16" s="9" t="inlineStr">
        <is>
          <t>영업이익</t>
        </is>
      </c>
      <c r="B16" s="10" t="inlineStr">
        <is>
          <t>MW = 매출 × OPM</t>
        </is>
      </c>
      <c r="C16" s="11" t="n">
        <v>1526</v>
      </c>
      <c r="D16" s="12" t="n">
        <v>1321</v>
      </c>
      <c r="E16" s="12" t="n">
        <v>1389</v>
      </c>
      <c r="F16" s="12" t="n">
        <v>1223</v>
      </c>
      <c r="G16" s="12" t="n">
        <v>1761</v>
      </c>
      <c r="H16" s="12" t="n">
        <v>1846</v>
      </c>
      <c r="I16" s="12" t="n">
        <v>1898</v>
      </c>
      <c r="J16" s="12" t="n">
        <v>2571</v>
      </c>
      <c r="K16" s="12" t="n">
        <v>2729</v>
      </c>
      <c r="L16" s="12" t="n">
        <v>2677</v>
      </c>
      <c r="M16" s="12" t="n">
        <v>1753</v>
      </c>
      <c r="N16" s="12" t="n">
        <v>3963</v>
      </c>
      <c r="O16" s="11" t="n"/>
      <c r="P16" s="12" t="n"/>
      <c r="Q16" s="12" t="n"/>
      <c r="R16" s="12" t="n"/>
      <c r="S16" s="12" t="n"/>
      <c r="T16" s="12" t="n">
        <v>3280</v>
      </c>
      <c r="U16" s="12" t="n">
        <v>4025</v>
      </c>
      <c r="V16" s="12" t="n">
        <v>5310</v>
      </c>
      <c r="W16" s="12" t="n">
        <v>6728</v>
      </c>
      <c r="X16" s="12" t="n">
        <v>9730</v>
      </c>
      <c r="Y16" s="11">
        <f>IF(OR(Y4="",Y17=""),"",IFERROR(Y4*Y17,""))</f>
        <v/>
      </c>
      <c r="Z16" s="12">
        <f>IF(OR(Z4="",Z17=""),"",IFERROR(Z4*Z17,""))</f>
        <v/>
      </c>
      <c r="AA16" s="12">
        <f>IF(OR(AA4="",AA17=""),"",IFERROR(AA4*AA17,""))</f>
        <v/>
      </c>
      <c r="AB16" s="12">
        <f>IF(OR(AB4="",AB17=""),"",IFERROR(AB4*AB17,""))</f>
        <v/>
      </c>
      <c r="AC16" s="12">
        <f>IF(OR(AC4="",AC17=""),"",IFERROR(AC4*AC17,""))</f>
        <v/>
      </c>
    </row>
    <row r="17">
      <c r="A17" s="15" t="inlineStr">
        <is>
          <t>OPM</t>
        </is>
      </c>
      <c r="B17" s="10" t="inlineStr">
        <is>
          <t>MW 입력</t>
        </is>
      </c>
      <c r="C17" s="16">
        <f>IF(OR(C16="",C4=""),"",IFERROR(C16/C4,""))</f>
        <v/>
      </c>
      <c r="D17" s="17">
        <f>IF(OR(D16="",D4=""),"",IFERROR(D16/D4,""))</f>
        <v/>
      </c>
      <c r="E17" s="17">
        <f>IF(OR(E16="",E4=""),"",IFERROR(E16/E4,""))</f>
        <v/>
      </c>
      <c r="F17" s="17">
        <f>IF(OR(F16="",F4=""),"",IFERROR(F16/F4,""))</f>
        <v/>
      </c>
      <c r="G17" s="17">
        <f>IF(OR(G16="",G4=""),"",IFERROR(G16/G4,""))</f>
        <v/>
      </c>
      <c r="H17" s="17">
        <f>IF(OR(H16="",H4=""),"",IFERROR(H16/H4,""))</f>
        <v/>
      </c>
      <c r="I17" s="17">
        <f>IF(OR(I16="",I4=""),"",IFERROR(I16/I4,""))</f>
        <v/>
      </c>
      <c r="J17" s="17">
        <f>IF(OR(J16="",J4=""),"",IFERROR(J16/J4,""))</f>
        <v/>
      </c>
      <c r="K17" s="17">
        <f>IF(OR(K16="",K4=""),"",IFERROR(K16/K4,""))</f>
        <v/>
      </c>
      <c r="L17" s="17">
        <f>IF(OR(L16="",L4=""),"",IFERROR(L16/L4,""))</f>
        <v/>
      </c>
      <c r="M17" s="17">
        <f>IF(OR(M16="",M4=""),"",IFERROR(M16/M4,""))</f>
        <v/>
      </c>
      <c r="N17" s="17">
        <f>IF(OR(N16="",N4=""),"",IFERROR(N16/N4,""))</f>
        <v/>
      </c>
      <c r="O17" s="16">
        <f>IF(OR(O16="",O4=""),"",IFERROR(O16/O4,""))</f>
        <v/>
      </c>
      <c r="P17" s="17">
        <f>IF(OR(P16="",P4=""),"",IFERROR(P16/P4,""))</f>
        <v/>
      </c>
      <c r="Q17" s="17">
        <f>IF(OR(Q16="",Q4=""),"",IFERROR(Q16/Q4,""))</f>
        <v/>
      </c>
      <c r="R17" s="17">
        <f>IF(OR(R16="",R4=""),"",IFERROR(R16/R4,""))</f>
        <v/>
      </c>
      <c r="S17" s="17">
        <f>IF(OR(S16="",S4=""),"",IFERROR(S16/S4,""))</f>
        <v/>
      </c>
      <c r="T17" s="17">
        <f>IF(OR(T16="",T4=""),"",IFERROR(T16/T4,""))</f>
        <v/>
      </c>
      <c r="U17" s="17">
        <f>IF(OR(U16="",U4=""),"",IFERROR(U16/U4,""))</f>
        <v/>
      </c>
      <c r="V17" s="17">
        <f>IF(OR(V16="",V4=""),"",IFERROR(V16/V4,""))</f>
        <v/>
      </c>
      <c r="W17" s="17">
        <f>IF(OR(W16="",W4=""),"",IFERROR(W16/W4,""))</f>
        <v/>
      </c>
      <c r="X17" s="17">
        <f>IF(OR(X16="",X4=""),"",IFERROR(X16/X4,""))</f>
        <v/>
      </c>
      <c r="Y17" s="27" t="n"/>
      <c r="Z17" s="28" t="n"/>
      <c r="AA17" s="28" t="n"/>
      <c r="AB17" s="28" t="n"/>
      <c r="AC17" s="28" t="n"/>
    </row>
    <row r="18">
      <c r="A18" s="15" t="inlineStr">
        <is>
          <t>증가율</t>
        </is>
      </c>
      <c r="B18" s="10" t="n"/>
      <c r="C18" s="16" t="n"/>
      <c r="D18" s="17" t="n"/>
      <c r="E18" s="17" t="n"/>
      <c r="F18" s="17" t="n"/>
      <c r="G18" s="17">
        <f>IF(OR(G16="",C16=""),"",IFERROR(G16/C16-1,""))</f>
        <v/>
      </c>
      <c r="H18" s="17">
        <f>IF(OR(H16="",D16=""),"",IFERROR(H16/D16-1,""))</f>
        <v/>
      </c>
      <c r="I18" s="17">
        <f>IF(OR(I16="",E16=""),"",IFERROR(I16/E16-1,""))</f>
        <v/>
      </c>
      <c r="J18" s="17">
        <f>IF(OR(J16="",F16=""),"",IFERROR(J16/F16-1,""))</f>
        <v/>
      </c>
      <c r="K18" s="17">
        <f>IF(OR(K16="",G16=""),"",IFERROR(K16/G16-1,""))</f>
        <v/>
      </c>
      <c r="L18" s="17">
        <f>IF(OR(L16="",H16=""),"",IFERROR(L16/H16-1,""))</f>
        <v/>
      </c>
      <c r="M18" s="17">
        <f>IF(OR(M16="",I16=""),"",IFERROR(M16/I16-1,""))</f>
        <v/>
      </c>
      <c r="N18" s="17">
        <f>IF(OR(N16="",J16=""),"",IFERROR(N16/J16-1,""))</f>
        <v/>
      </c>
      <c r="O18" s="16" t="n"/>
      <c r="P18" s="17">
        <f>IF(OR(P16="",O16=""),"",IFERROR(P16/O16-1,""))</f>
        <v/>
      </c>
      <c r="Q18" s="17">
        <f>IF(OR(Q16="",P16=""),"",IFERROR(Q16/P16-1,""))</f>
        <v/>
      </c>
      <c r="R18" s="17">
        <f>IF(OR(R16="",Q16=""),"",IFERROR(R16/Q16-1,""))</f>
        <v/>
      </c>
      <c r="S18" s="17">
        <f>IF(OR(S16="",R16=""),"",IFERROR(S16/R16-1,""))</f>
        <v/>
      </c>
      <c r="T18" s="17">
        <f>IF(OR(T16="",S16=""),"",IFERROR(T16/S16-1,""))</f>
        <v/>
      </c>
      <c r="U18" s="17">
        <f>IF(OR(U16="",T16=""),"",IFERROR(U16/T16-1,""))</f>
        <v/>
      </c>
      <c r="V18" s="17">
        <f>IF(OR(V16="",U16=""),"",IFERROR(V16/U16-1,""))</f>
        <v/>
      </c>
      <c r="W18" s="17">
        <f>IF(OR(W16="",V16=""),"",IFERROR(W16/V16-1,""))</f>
        <v/>
      </c>
      <c r="X18" s="17">
        <f>IF(OR(X16="",W16=""),"",IFERROR(X16/W16-1,""))</f>
        <v/>
      </c>
      <c r="Y18" s="16">
        <f>IF(OR(Y16="",X16=""),"",IFERROR(Y16/X16-1,""))</f>
        <v/>
      </c>
      <c r="Z18" s="17">
        <f>IF(OR(Z16="",Y16=""),"",IFERROR(Z16/Y16-1,""))</f>
        <v/>
      </c>
      <c r="AA18" s="17">
        <f>IF(OR(AA16="",Z16=""),"",IFERROR(AA16/Z16-1,""))</f>
        <v/>
      </c>
      <c r="AB18" s="17">
        <f>IF(OR(AB16="",AA16=""),"",IFERROR(AB16/AA16-1,""))</f>
        <v/>
      </c>
      <c r="AC18" s="17">
        <f>IF(OR(AC16="",AB16=""),"",IFERROR(AC16/AB16-1,""))</f>
        <v/>
      </c>
    </row>
    <row r="19">
      <c r="A19" s="18" t="inlineStr">
        <is>
          <t>비용의 성격별 분류</t>
        </is>
      </c>
      <c r="B19" s="18" t="inlineStr">
        <is>
          <t>참고 데이터</t>
        </is>
      </c>
      <c r="C19" s="19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9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9" t="n"/>
      <c r="Z19" s="18" t="n"/>
      <c r="AA19" s="18" t="n"/>
      <c r="AB19" s="18" t="n"/>
      <c r="AC19" s="18" t="n"/>
    </row>
    <row r="20">
      <c r="A20" s="9" t="inlineStr">
        <is>
          <t>총 판관비</t>
        </is>
      </c>
      <c r="B20" s="10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1">
        <f>IF(O15="","",O15)</f>
        <v/>
      </c>
      <c r="P20" s="12">
        <f>IF(P15="","",P15)</f>
        <v/>
      </c>
      <c r="Q20" s="12">
        <f>IF(Q15="","",Q15)</f>
        <v/>
      </c>
      <c r="R20" s="12">
        <f>IF(R15="","",R15)</f>
        <v/>
      </c>
      <c r="S20" s="12">
        <f>IF(S15="","",S15)</f>
        <v/>
      </c>
      <c r="T20" s="12">
        <f>IF(T15="","",T15)</f>
        <v/>
      </c>
      <c r="U20" s="12">
        <f>IF(U15="","",U15)</f>
        <v/>
      </c>
      <c r="V20" s="12">
        <f>IF(V15="","",V15)</f>
        <v/>
      </c>
      <c r="W20" s="12">
        <f>IF(W15="","",W15)</f>
        <v/>
      </c>
      <c r="X20" s="12">
        <f>IF(X15="","",X15)</f>
        <v/>
      </c>
      <c r="Y20" s="11" t="n"/>
      <c r="Z20" s="12" t="n"/>
      <c r="AA20" s="12" t="n"/>
      <c r="AB20" s="12" t="n"/>
      <c r="AC20" s="12" t="n"/>
    </row>
    <row r="21">
      <c r="A21" s="20" t="inlineStr">
        <is>
          <t>급여</t>
        </is>
      </c>
      <c r="B21" s="10" t="inlineStr">
        <is>
          <t>고정비</t>
        </is>
      </c>
      <c r="C21" s="21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1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1" t="n"/>
      <c r="Z21" s="22" t="n"/>
      <c r="AA21" s="22" t="n"/>
      <c r="AB21" s="22" t="n"/>
      <c r="AC21" s="22" t="n"/>
    </row>
    <row r="22">
      <c r="A22" s="15" t="inlineStr">
        <is>
          <t>% of Sales</t>
        </is>
      </c>
      <c r="B22" s="10" t="n"/>
      <c r="C22" s="16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6">
        <f>IF(OR(O21="",O4=""),"",IFERROR(O21/O4,""))</f>
        <v/>
      </c>
      <c r="P22" s="17">
        <f>IF(OR(P21="",P4=""),"",IFERROR(P21/P4,""))</f>
        <v/>
      </c>
      <c r="Q22" s="17">
        <f>IF(OR(Q21="",Q4=""),"",IFERROR(Q21/Q4,""))</f>
        <v/>
      </c>
      <c r="R22" s="17">
        <f>IF(OR(R21="",R4=""),"",IFERROR(R21/R4,""))</f>
        <v/>
      </c>
      <c r="S22" s="17">
        <f>IF(OR(S21="",S4=""),"",IFERROR(S21/S4,""))</f>
        <v/>
      </c>
      <c r="T22" s="17">
        <f>IF(OR(T21="",T4=""),"",IFERROR(T21/T4,""))</f>
        <v/>
      </c>
      <c r="U22" s="17">
        <f>IF(OR(U21="",U4=""),"",IFERROR(U21/U4,""))</f>
        <v/>
      </c>
      <c r="V22" s="17">
        <f>IF(OR(V21="",V4=""),"",IFERROR(V21/V4,""))</f>
        <v/>
      </c>
      <c r="W22" s="17">
        <f>IF(OR(W21="",W4=""),"",IFERROR(W21/W4,""))</f>
        <v/>
      </c>
      <c r="X22" s="17">
        <f>IF(OR(X21="",X4=""),"",IFERROR(X21/X4,""))</f>
        <v/>
      </c>
      <c r="Y22" s="16" t="n"/>
      <c r="Z22" s="17" t="n"/>
      <c r="AA22" s="17" t="n"/>
      <c r="AB22" s="17" t="n"/>
      <c r="AC22" s="17" t="n"/>
    </row>
    <row r="23">
      <c r="A23" s="20" t="inlineStr">
        <is>
          <t>감가상각비</t>
        </is>
      </c>
      <c r="B23" s="10" t="inlineStr">
        <is>
          <t>고정비</t>
        </is>
      </c>
      <c r="C23" s="21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1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1" t="n"/>
      <c r="Z23" s="22" t="n"/>
      <c r="AA23" s="22" t="n"/>
      <c r="AB23" s="22" t="n"/>
      <c r="AC23" s="22" t="n"/>
    </row>
    <row r="24">
      <c r="A24" s="15" t="inlineStr">
        <is>
          <t>% of Sales</t>
        </is>
      </c>
      <c r="B24" s="10" t="n"/>
      <c r="C24" s="16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6">
        <f>IF(OR(O23="",O4=""),"",IFERROR(O23/O4,""))</f>
        <v/>
      </c>
      <c r="P24" s="17">
        <f>IF(OR(P23="",P4=""),"",IFERROR(P23/P4,""))</f>
        <v/>
      </c>
      <c r="Q24" s="17">
        <f>IF(OR(Q23="",Q4=""),"",IFERROR(Q23/Q4,""))</f>
        <v/>
      </c>
      <c r="R24" s="17">
        <f>IF(OR(R23="",R4=""),"",IFERROR(R23/R4,""))</f>
        <v/>
      </c>
      <c r="S24" s="17">
        <f>IF(OR(S23="",S4=""),"",IFERROR(S23/S4,""))</f>
        <v/>
      </c>
      <c r="T24" s="17">
        <f>IF(OR(T23="",T4=""),"",IFERROR(T23/T4,""))</f>
        <v/>
      </c>
      <c r="U24" s="17">
        <f>IF(OR(U23="",U4=""),"",IFERROR(U23/U4,""))</f>
        <v/>
      </c>
      <c r="V24" s="17">
        <f>IF(OR(V23="",V4=""),"",IFERROR(V23/V4,""))</f>
        <v/>
      </c>
      <c r="W24" s="17">
        <f>IF(OR(W23="",W4=""),"",IFERROR(W23/W4,""))</f>
        <v/>
      </c>
      <c r="X24" s="17">
        <f>IF(OR(X23="",X4=""),"",IFERROR(X23/X4,""))</f>
        <v/>
      </c>
      <c r="Y24" s="16" t="n"/>
      <c r="Z24" s="17" t="n"/>
      <c r="AA24" s="17" t="n"/>
      <c r="AB24" s="17" t="n"/>
      <c r="AC24" s="17" t="n"/>
    </row>
    <row r="25">
      <c r="A25" s="20" t="inlineStr">
        <is>
          <t>지급수수료</t>
        </is>
      </c>
      <c r="B25" s="10" t="inlineStr">
        <is>
          <t>고정비</t>
        </is>
      </c>
      <c r="C25" s="21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1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1" t="n"/>
      <c r="Z25" s="22" t="n"/>
      <c r="AA25" s="22" t="n"/>
      <c r="AB25" s="22" t="n"/>
      <c r="AC25" s="22" t="n"/>
    </row>
    <row r="26">
      <c r="A26" s="15" t="inlineStr">
        <is>
          <t>% of Sales</t>
        </is>
      </c>
      <c r="B26" s="10" t="n"/>
      <c r="C26" s="16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6">
        <f>IF(OR(O25="",O4=""),"",IFERROR(O25/O4,""))</f>
        <v/>
      </c>
      <c r="P26" s="17">
        <f>IF(OR(P25="",P4=""),"",IFERROR(P25/P4,""))</f>
        <v/>
      </c>
      <c r="Q26" s="17">
        <f>IF(OR(Q25="",Q4=""),"",IFERROR(Q25/Q4,""))</f>
        <v/>
      </c>
      <c r="R26" s="17">
        <f>IF(OR(R25="",R4=""),"",IFERROR(R25/R4,""))</f>
        <v/>
      </c>
      <c r="S26" s="17">
        <f>IF(OR(S25="",S4=""),"",IFERROR(S25/S4,""))</f>
        <v/>
      </c>
      <c r="T26" s="17">
        <f>IF(OR(T25="",T4=""),"",IFERROR(T25/T4,""))</f>
        <v/>
      </c>
      <c r="U26" s="17">
        <f>IF(OR(U25="",U4=""),"",IFERROR(U25/U4,""))</f>
        <v/>
      </c>
      <c r="V26" s="17">
        <f>IF(OR(V25="",V4=""),"",IFERROR(V25/V4,""))</f>
        <v/>
      </c>
      <c r="W26" s="17">
        <f>IF(OR(W25="",W4=""),"",IFERROR(W25/W4,""))</f>
        <v/>
      </c>
      <c r="X26" s="17">
        <f>IF(OR(X25="",X4=""),"",IFERROR(X25/X4,""))</f>
        <v/>
      </c>
      <c r="Y26" s="16" t="n"/>
      <c r="Z26" s="17" t="n"/>
      <c r="AA26" s="17" t="n"/>
      <c r="AB26" s="17" t="n"/>
      <c r="AC26" s="17" t="n"/>
    </row>
    <row r="27">
      <c r="A27" s="20" t="inlineStr">
        <is>
          <t>연구개발비</t>
        </is>
      </c>
      <c r="B27" s="10" t="inlineStr">
        <is>
          <t>변동비</t>
        </is>
      </c>
      <c r="C27" s="21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1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1" t="n"/>
      <c r="Z27" s="22" t="n"/>
      <c r="AA27" s="22" t="n"/>
      <c r="AB27" s="22" t="n"/>
      <c r="AC27" s="22" t="n"/>
    </row>
    <row r="28">
      <c r="A28" s="15" t="inlineStr">
        <is>
          <t>% of Sales</t>
        </is>
      </c>
      <c r="B28" s="10" t="n"/>
      <c r="C28" s="16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6">
        <f>IF(OR(O27="",O4=""),"",IFERROR(O27/O4,""))</f>
        <v/>
      </c>
      <c r="P28" s="17">
        <f>IF(OR(P27="",P4=""),"",IFERROR(P27/P4,""))</f>
        <v/>
      </c>
      <c r="Q28" s="17">
        <f>IF(OR(Q27="",Q4=""),"",IFERROR(Q27/Q4,""))</f>
        <v/>
      </c>
      <c r="R28" s="17">
        <f>IF(OR(R27="",R4=""),"",IFERROR(R27/R4,""))</f>
        <v/>
      </c>
      <c r="S28" s="17">
        <f>IF(OR(S27="",S4=""),"",IFERROR(S27/S4,""))</f>
        <v/>
      </c>
      <c r="T28" s="17">
        <f>IF(OR(T27="",T4=""),"",IFERROR(T27/T4,""))</f>
        <v/>
      </c>
      <c r="U28" s="17">
        <f>IF(OR(U27="",U4=""),"",IFERROR(U27/U4,""))</f>
        <v/>
      </c>
      <c r="V28" s="17">
        <f>IF(OR(V27="",V4=""),"",IFERROR(V27/V4,""))</f>
        <v/>
      </c>
      <c r="W28" s="17">
        <f>IF(OR(W27="",W4=""),"",IFERROR(W27/W4,""))</f>
        <v/>
      </c>
      <c r="X28" s="17">
        <f>IF(OR(X27="",X4=""),"",IFERROR(X27/X4,""))</f>
        <v/>
      </c>
      <c r="Y28" s="16" t="n"/>
      <c r="Z28" s="17" t="n"/>
      <c r="AA28" s="17" t="n"/>
      <c r="AB28" s="17" t="n"/>
      <c r="AC28" s="17" t="n"/>
    </row>
    <row r="29">
      <c r="A29" s="20" t="inlineStr">
        <is>
          <t>기타비용</t>
        </is>
      </c>
      <c r="B29" s="10" t="inlineStr">
        <is>
          <t>변동비</t>
        </is>
      </c>
      <c r="C29" s="21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1">
        <f>IF(OR(O20="",O21="",O23="",O25="",O27=""),"",IFERROR(O20-O21-O23-O25-O27,""))</f>
        <v/>
      </c>
      <c r="P29" s="22">
        <f>IF(OR(P20="",P21="",P23="",P25="",P27=""),"",IFERROR(P20-P21-P23-P25-P27,""))</f>
        <v/>
      </c>
      <c r="Q29" s="22">
        <f>IF(OR(Q20="",Q21="",Q23="",Q25="",Q27=""),"",IFERROR(Q20-Q21-Q23-Q25-Q27,""))</f>
        <v/>
      </c>
      <c r="R29" s="22">
        <f>IF(OR(R20="",R21="",R23="",R25="",R27=""),"",IFERROR(R20-R21-R23-R25-R27,""))</f>
        <v/>
      </c>
      <c r="S29" s="22">
        <f>IF(OR(S20="",S21="",S23="",S25="",S27=""),"",IFERROR(S20-S21-S23-S25-S27,""))</f>
        <v/>
      </c>
      <c r="T29" s="22">
        <f>IF(OR(T20="",T21="",T23="",T25="",T27=""),"",IFERROR(T20-T21-T23-T25-T27,""))</f>
        <v/>
      </c>
      <c r="U29" s="22">
        <f>IF(OR(U20="",U21="",U23="",U25="",U27=""),"",IFERROR(U20-U21-U23-U25-U27,""))</f>
        <v/>
      </c>
      <c r="V29" s="22">
        <f>IF(OR(V20="",V21="",V23="",V25="",V27=""),"",IFERROR(V20-V21-V23-V25-V27,""))</f>
        <v/>
      </c>
      <c r="W29" s="22">
        <f>IF(OR(W20="",W21="",W23="",W25="",W27=""),"",IFERROR(W20-W21-W23-W25-W27,""))</f>
        <v/>
      </c>
      <c r="X29" s="22">
        <f>IF(OR(X20="",X21="",X23="",X25="",X27=""),"",IFERROR(X20-X21-X23-X25-X27,""))</f>
        <v/>
      </c>
      <c r="Y29" s="21" t="n"/>
      <c r="Z29" s="22" t="n"/>
      <c r="AA29" s="22" t="n"/>
      <c r="AB29" s="22" t="n"/>
      <c r="AC29" s="22" t="n"/>
    </row>
    <row r="30">
      <c r="A30" s="15" t="inlineStr">
        <is>
          <t>% of Sales</t>
        </is>
      </c>
      <c r="B30" s="10" t="n"/>
      <c r="C30" s="16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6">
        <f>IF(OR(O29="",O4=""),"",IFERROR(O29/O4,""))</f>
        <v/>
      </c>
      <c r="P30" s="17">
        <f>IF(OR(P29="",P4=""),"",IFERROR(P29/P4,""))</f>
        <v/>
      </c>
      <c r="Q30" s="17">
        <f>IF(OR(Q29="",Q4=""),"",IFERROR(Q29/Q4,""))</f>
        <v/>
      </c>
      <c r="R30" s="17">
        <f>IF(OR(R29="",R4=""),"",IFERROR(R29/R4,""))</f>
        <v/>
      </c>
      <c r="S30" s="17">
        <f>IF(OR(S29="",S4=""),"",IFERROR(S29/S4,""))</f>
        <v/>
      </c>
      <c r="T30" s="17">
        <f>IF(OR(T29="",T4=""),"",IFERROR(T29/T4,""))</f>
        <v/>
      </c>
      <c r="U30" s="17">
        <f>IF(OR(U29="",U4=""),"",IFERROR(U29/U4,""))</f>
        <v/>
      </c>
      <c r="V30" s="17">
        <f>IF(OR(V29="",V4=""),"",IFERROR(V29/V4,""))</f>
        <v/>
      </c>
      <c r="W30" s="17">
        <f>IF(OR(W29="",W4=""),"",IFERROR(W29/W4,""))</f>
        <v/>
      </c>
      <c r="X30" s="17">
        <f>IF(OR(X29="",X4=""),"",IFERROR(X29/X4,""))</f>
        <v/>
      </c>
      <c r="Y30" s="16" t="n"/>
      <c r="Z30" s="17" t="n"/>
      <c r="AA30" s="17" t="n"/>
      <c r="AB30" s="17" t="n"/>
      <c r="AC30" s="17" t="n"/>
    </row>
    <row r="31">
      <c r="A31" s="18" t="inlineStr">
        <is>
          <t>당기순이익 추정</t>
        </is>
      </c>
      <c r="B31" s="18" t="n"/>
      <c r="C31" s="19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9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9" t="n"/>
      <c r="Z31" s="18" t="n"/>
      <c r="AA31" s="18" t="n"/>
      <c r="AB31" s="18" t="n"/>
      <c r="AC31" s="18" t="n"/>
    </row>
    <row r="32">
      <c r="A32" s="20" t="inlineStr">
        <is>
          <t>특별이익</t>
        </is>
      </c>
      <c r="B32" s="10" t="n"/>
      <c r="C32" s="21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1" t="n"/>
      <c r="P32" s="22" t="n"/>
      <c r="Q32" s="22" t="n"/>
      <c r="R32" s="22" t="n"/>
      <c r="S32" s="22" t="n"/>
      <c r="T32" s="22" t="n">
        <v>7820</v>
      </c>
      <c r="U32" s="22" t="n">
        <v>0</v>
      </c>
      <c r="V32" s="22" t="n"/>
      <c r="W32" s="22" t="n"/>
      <c r="X32" s="22" t="n"/>
      <c r="Y32" s="21">
        <f>IF(OR(Y4="",Y33=""),"",IFERROR(Y4*Y33,""))</f>
        <v/>
      </c>
      <c r="Z32" s="22">
        <f>IF(OR(Z4="",Z33=""),"",IFERROR(Z4*Z33,""))</f>
        <v/>
      </c>
      <c r="AA32" s="22">
        <f>IF(OR(AA4="",AA33=""),"",IFERROR(AA4*AA33,""))</f>
        <v/>
      </c>
      <c r="AB32" s="22">
        <f>IF(OR(AB4="",AB33=""),"",IFERROR(AB4*AB33,""))</f>
        <v/>
      </c>
      <c r="AC32" s="22">
        <f>IF(OR(AC4="",AC33=""),"",IFERROR(AC4*AC33,""))</f>
        <v/>
      </c>
    </row>
    <row r="33">
      <c r="A33" s="15" t="inlineStr">
        <is>
          <t>% of Sales</t>
        </is>
      </c>
      <c r="B33" s="10" t="inlineStr">
        <is>
          <t>MW = 최근 3년 평균</t>
        </is>
      </c>
      <c r="C33" s="16">
        <f>IF(OR(C32="",C4=""),"",IFERROR(C32/C4,""))</f>
        <v/>
      </c>
      <c r="D33" s="17">
        <f>IF(OR(D32="",D4=""),"",IFERROR(D32/D4,""))</f>
        <v/>
      </c>
      <c r="E33" s="17">
        <f>IF(OR(E32="",E4=""),"",IFERROR(E32/E4,""))</f>
        <v/>
      </c>
      <c r="F33" s="17">
        <f>IF(OR(F32="",F4=""),"",IFERROR(F32/F4,""))</f>
        <v/>
      </c>
      <c r="G33" s="17">
        <f>IF(OR(G32="",G4=""),"",IFERROR(G32/G4,""))</f>
        <v/>
      </c>
      <c r="H33" s="17">
        <f>IF(OR(H32="",H4=""),"",IFERROR(H32/H4,""))</f>
        <v/>
      </c>
      <c r="I33" s="17">
        <f>IF(OR(I32="",I4=""),"",IFERROR(I32/I4,""))</f>
        <v/>
      </c>
      <c r="J33" s="17">
        <f>IF(OR(J32="",J4=""),"",IFERROR(J32/J4,""))</f>
        <v/>
      </c>
      <c r="K33" s="17">
        <f>IF(OR(K32="",K4=""),"",IFERROR(K32/K4,""))</f>
        <v/>
      </c>
      <c r="L33" s="17">
        <f>IF(OR(L32="",L4=""),"",IFERROR(L32/L4,""))</f>
        <v/>
      </c>
      <c r="M33" s="17">
        <f>IF(OR(M32="",M4=""),"",IFERROR(M32/M4,""))</f>
        <v/>
      </c>
      <c r="N33" s="17">
        <f>IF(OR(N32="",N4=""),"",IFERROR(N32/N4,""))</f>
        <v/>
      </c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27">
        <f>IFERROR(AVERAGE(V33,W33,X33),"")</f>
        <v/>
      </c>
      <c r="Z33" s="28">
        <f>Y33</f>
        <v/>
      </c>
      <c r="AA33" s="28">
        <f>Z33</f>
        <v/>
      </c>
      <c r="AB33" s="28">
        <f>AA33</f>
        <v/>
      </c>
      <c r="AC33" s="28">
        <f>AB33</f>
        <v/>
      </c>
    </row>
    <row r="34">
      <c r="A34" s="20" t="inlineStr">
        <is>
          <t>특별손실</t>
        </is>
      </c>
      <c r="B34" s="10" t="n"/>
      <c r="C34" s="21" t="n"/>
      <c r="D34" s="22" t="n"/>
      <c r="E34" s="22" t="n">
        <v>35</v>
      </c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1" t="n"/>
      <c r="P34" s="22" t="n"/>
      <c r="Q34" s="22" t="n"/>
      <c r="R34" s="22" t="n"/>
      <c r="S34" s="22" t="n"/>
      <c r="T34" s="22" t="n">
        <v>6</v>
      </c>
      <c r="U34" s="22" t="n">
        <v>16</v>
      </c>
      <c r="V34" s="22" t="n">
        <v>35</v>
      </c>
      <c r="W34" s="22" t="n">
        <v>18</v>
      </c>
      <c r="X34" s="22" t="n">
        <v>28</v>
      </c>
      <c r="Y34" s="21">
        <f>IF(OR(Y4="",Y35=""),"",IFERROR(Y4*Y35,""))</f>
        <v/>
      </c>
      <c r="Z34" s="22">
        <f>IF(OR(Z4="",Z35=""),"",IFERROR(Z4*Z35,""))</f>
        <v/>
      </c>
      <c r="AA34" s="22">
        <f>IF(OR(AA4="",AA35=""),"",IFERROR(AA4*AA35,""))</f>
        <v/>
      </c>
      <c r="AB34" s="22">
        <f>IF(OR(AB4="",AB35=""),"",IFERROR(AB4*AB35,""))</f>
        <v/>
      </c>
      <c r="AC34" s="22">
        <f>IF(OR(AC4="",AC35=""),"",IFERROR(AC4*AC35,""))</f>
        <v/>
      </c>
    </row>
    <row r="35">
      <c r="A35" s="15" t="inlineStr">
        <is>
          <t>% of Sales</t>
        </is>
      </c>
      <c r="B35" s="10" t="n"/>
      <c r="C35" s="16">
        <f>IF(OR(C34="",C4=""),"",IFERROR(C34/C4,""))</f>
        <v/>
      </c>
      <c r="D35" s="17">
        <f>IF(OR(D34="",D4=""),"",IFERROR(D34/D4,""))</f>
        <v/>
      </c>
      <c r="E35" s="17">
        <f>IF(OR(E34="",E4=""),"",IFERROR(E34/E4,""))</f>
        <v/>
      </c>
      <c r="F35" s="17">
        <f>IF(OR(F34="",F4=""),"",IFERROR(F34/F4,""))</f>
        <v/>
      </c>
      <c r="G35" s="17">
        <f>IF(OR(G34="",G4=""),"",IFERROR(G34/G4,""))</f>
        <v/>
      </c>
      <c r="H35" s="17">
        <f>IF(OR(H34="",H4=""),"",IFERROR(H34/H4,""))</f>
        <v/>
      </c>
      <c r="I35" s="17">
        <f>IF(OR(I34="",I4=""),"",IFERROR(I34/I4,""))</f>
        <v/>
      </c>
      <c r="J35" s="17">
        <f>IF(OR(J34="",J4=""),"",IFERROR(J34/J4,""))</f>
        <v/>
      </c>
      <c r="K35" s="17">
        <f>IF(OR(K34="",K4=""),"",IFERROR(K34/K4,""))</f>
        <v/>
      </c>
      <c r="L35" s="17">
        <f>IF(OR(L34="",L4=""),"",IFERROR(L34/L4,""))</f>
        <v/>
      </c>
      <c r="M35" s="17">
        <f>IF(OR(M34="",M4=""),"",IFERROR(M34/M4,""))</f>
        <v/>
      </c>
      <c r="N35" s="17">
        <f>IF(OR(N34="",N4=""),"",IFERROR(N34/N4,""))</f>
        <v/>
      </c>
      <c r="O35" s="16">
        <f>IF(OR(O34="",O4=""),"",IFERROR(O34/O4,""))</f>
        <v/>
      </c>
      <c r="P35" s="17">
        <f>IF(OR(P34="",P4=""),"",IFERROR(P34/P4,""))</f>
        <v/>
      </c>
      <c r="Q35" s="17">
        <f>IF(OR(Q34="",Q4=""),"",IFERROR(Q34/Q4,""))</f>
        <v/>
      </c>
      <c r="R35" s="17">
        <f>IF(OR(R34="",R4=""),"",IFERROR(R34/R4,""))</f>
        <v/>
      </c>
      <c r="S35" s="17">
        <f>IF(OR(S34="",S4=""),"",IFERROR(S34/S4,""))</f>
        <v/>
      </c>
      <c r="T35" s="17">
        <f>IF(OR(T34="",T4=""),"",IFERROR(T34/T4,""))</f>
        <v/>
      </c>
      <c r="U35" s="17">
        <f>IF(OR(U34="",U4=""),"",IFERROR(U34/U4,""))</f>
        <v/>
      </c>
      <c r="V35" s="17">
        <f>IF(OR(V34="",V4=""),"",IFERROR(V34/V4,""))</f>
        <v/>
      </c>
      <c r="W35" s="17">
        <f>IF(OR(W34="",W4=""),"",IFERROR(W34/W4,""))</f>
        <v/>
      </c>
      <c r="X35" s="17">
        <f>IF(OR(X34="",X4=""),"",IFERROR(X34/X4,""))</f>
        <v/>
      </c>
      <c r="Y35" s="27">
        <f>IFERROR(AVERAGE(V35,W35,X35),"")</f>
        <v/>
      </c>
      <c r="Z35" s="28">
        <f>Y35</f>
        <v/>
      </c>
      <c r="AA35" s="28">
        <f>Z35</f>
        <v/>
      </c>
      <c r="AB35" s="28">
        <f>AA35</f>
        <v/>
      </c>
      <c r="AC35" s="28">
        <f>AB35</f>
        <v/>
      </c>
    </row>
    <row r="36">
      <c r="A36" s="20" t="inlineStr">
        <is>
          <t>영업외수익</t>
        </is>
      </c>
      <c r="B36" s="10" t="n"/>
      <c r="C36" s="21" t="n">
        <v>37</v>
      </c>
      <c r="D36" s="22" t="n">
        <v>46</v>
      </c>
      <c r="E36" s="22" t="n">
        <v>63</v>
      </c>
      <c r="F36" s="22" t="n">
        <v>156</v>
      </c>
      <c r="G36" s="22" t="n">
        <v>51</v>
      </c>
      <c r="H36" s="22" t="n">
        <v>113</v>
      </c>
      <c r="I36" s="22" t="n">
        <v>127</v>
      </c>
      <c r="J36" s="22" t="n">
        <v>143</v>
      </c>
      <c r="K36" s="22" t="n">
        <v>136</v>
      </c>
      <c r="L36" s="22" t="n">
        <v>98</v>
      </c>
      <c r="M36" s="22" t="n">
        <v>88</v>
      </c>
      <c r="N36" s="22" t="n">
        <v>188</v>
      </c>
      <c r="O36" s="21" t="n"/>
      <c r="P36" s="22" t="n"/>
      <c r="Q36" s="22" t="n"/>
      <c r="R36" s="22" t="n"/>
      <c r="S36" s="22" t="n"/>
      <c r="T36" s="22" t="n">
        <v>225</v>
      </c>
      <c r="U36" s="22" t="n">
        <v>113</v>
      </c>
      <c r="V36" s="22" t="n">
        <v>232</v>
      </c>
      <c r="W36" s="22" t="n">
        <v>447</v>
      </c>
      <c r="X36" s="22" t="n">
        <v>465</v>
      </c>
      <c r="Y36" s="21">
        <f>IF(OR(Y4="",Y37=""),"",IFERROR(Y4*Y37,""))</f>
        <v/>
      </c>
      <c r="Z36" s="22">
        <f>IF(OR(Z4="",Z37=""),"",IFERROR(Z4*Z37,""))</f>
        <v/>
      </c>
      <c r="AA36" s="22">
        <f>IF(OR(AA4="",AA37=""),"",IFERROR(AA4*AA37,""))</f>
        <v/>
      </c>
      <c r="AB36" s="22">
        <f>IF(OR(AB4="",AB37=""),"",IFERROR(AB4*AB37,""))</f>
        <v/>
      </c>
      <c r="AC36" s="22">
        <f>IF(OR(AC4="",AC37=""),"",IFERROR(AC4*AC37,""))</f>
        <v/>
      </c>
    </row>
    <row r="37">
      <c r="A37" s="15" t="inlineStr">
        <is>
          <t>% of Sales</t>
        </is>
      </c>
      <c r="B37" s="10" t="n"/>
      <c r="C37" s="16">
        <f>IF(OR(C36="",C4=""),"",IFERROR(C36/C4,""))</f>
        <v/>
      </c>
      <c r="D37" s="17">
        <f>IF(OR(D36="",D4=""),"",IFERROR(D36/D4,""))</f>
        <v/>
      </c>
      <c r="E37" s="17">
        <f>IF(OR(E36="",E4=""),"",IFERROR(E36/E4,""))</f>
        <v/>
      </c>
      <c r="F37" s="17">
        <f>IF(OR(F36="",F4=""),"",IFERROR(F36/F4,""))</f>
        <v/>
      </c>
      <c r="G37" s="17">
        <f>IF(OR(G36="",G4=""),"",IFERROR(G36/G4,""))</f>
        <v/>
      </c>
      <c r="H37" s="17">
        <f>IF(OR(H36="",H4=""),"",IFERROR(H36/H4,""))</f>
        <v/>
      </c>
      <c r="I37" s="17">
        <f>IF(OR(I36="",I4=""),"",IFERROR(I36/I4,""))</f>
        <v/>
      </c>
      <c r="J37" s="17">
        <f>IF(OR(J36="",J4=""),"",IFERROR(J36/J4,""))</f>
        <v/>
      </c>
      <c r="K37" s="17">
        <f>IF(OR(K36="",K4=""),"",IFERROR(K36/K4,""))</f>
        <v/>
      </c>
      <c r="L37" s="17">
        <f>IF(OR(L36="",L4=""),"",IFERROR(L36/L4,""))</f>
        <v/>
      </c>
      <c r="M37" s="17">
        <f>IF(OR(M36="",M4=""),"",IFERROR(M36/M4,""))</f>
        <v/>
      </c>
      <c r="N37" s="17">
        <f>IF(OR(N36="",N4=""),"",IFERROR(N36/N4,""))</f>
        <v/>
      </c>
      <c r="O37" s="16">
        <f>IF(OR(O36="",O4=""),"",IFERROR(O36/O4,""))</f>
        <v/>
      </c>
      <c r="P37" s="17">
        <f>IF(OR(P36="",P4=""),"",IFERROR(P36/P4,""))</f>
        <v/>
      </c>
      <c r="Q37" s="17">
        <f>IF(OR(Q36="",Q4=""),"",IFERROR(Q36/Q4,""))</f>
        <v/>
      </c>
      <c r="R37" s="17">
        <f>IF(OR(R36="",R4=""),"",IFERROR(R36/R4,""))</f>
        <v/>
      </c>
      <c r="S37" s="17">
        <f>IF(OR(S36="",S4=""),"",IFERROR(S36/S4,""))</f>
        <v/>
      </c>
      <c r="T37" s="17">
        <f>IF(OR(T36="",T4=""),"",IFERROR(T36/T4,""))</f>
        <v/>
      </c>
      <c r="U37" s="17">
        <f>IF(OR(U36="",U4=""),"",IFERROR(U36/U4,""))</f>
        <v/>
      </c>
      <c r="V37" s="17">
        <f>IF(OR(V36="",V4=""),"",IFERROR(V36/V4,""))</f>
        <v/>
      </c>
      <c r="W37" s="17">
        <f>IF(OR(W36="",W4=""),"",IFERROR(W36/W4,""))</f>
        <v/>
      </c>
      <c r="X37" s="17">
        <f>IF(OR(X36="",X4=""),"",IFERROR(X36/X4,""))</f>
        <v/>
      </c>
      <c r="Y37" s="27">
        <f>IFERROR(AVERAGE(V37,W37,X37),"")</f>
        <v/>
      </c>
      <c r="Z37" s="28">
        <f>Y37</f>
        <v/>
      </c>
      <c r="AA37" s="28">
        <f>Z37</f>
        <v/>
      </c>
      <c r="AB37" s="28">
        <f>AA37</f>
        <v/>
      </c>
      <c r="AC37" s="28">
        <f>AB37</f>
        <v/>
      </c>
    </row>
    <row r="38">
      <c r="A38" s="20" t="inlineStr">
        <is>
          <t>영업외비용</t>
        </is>
      </c>
      <c r="B38" s="10" t="n"/>
      <c r="C38" s="21" t="n">
        <v>167</v>
      </c>
      <c r="D38" s="22" t="n">
        <v>147</v>
      </c>
      <c r="E38" s="22" t="n">
        <v>175</v>
      </c>
      <c r="F38" s="22" t="n">
        <v>171</v>
      </c>
      <c r="G38" s="22" t="n">
        <v>272</v>
      </c>
      <c r="H38" s="22" t="n">
        <v>255</v>
      </c>
      <c r="I38" s="22" t="n">
        <v>393</v>
      </c>
      <c r="J38" s="22" t="n">
        <v>318</v>
      </c>
      <c r="K38" s="22" t="n">
        <v>381</v>
      </c>
      <c r="L38" s="22" t="n">
        <v>346</v>
      </c>
      <c r="M38" s="22" t="n">
        <v>469</v>
      </c>
      <c r="N38" s="22" t="n">
        <v>352</v>
      </c>
      <c r="O38" s="21" t="n"/>
      <c r="P38" s="22" t="n"/>
      <c r="Q38" s="22" t="n"/>
      <c r="R38" s="22" t="n"/>
      <c r="S38" s="22" t="n"/>
      <c r="T38" s="22" t="n">
        <v>692</v>
      </c>
      <c r="U38" s="22" t="n">
        <v>606</v>
      </c>
      <c r="V38" s="22" t="n">
        <v>597</v>
      </c>
      <c r="W38" s="22" t="n">
        <v>1091</v>
      </c>
      <c r="X38" s="22" t="n">
        <v>1514</v>
      </c>
      <c r="Y38" s="21">
        <f>IF(OR(Y4="",Y39=""),"",IFERROR(Y4*Y39,""))</f>
        <v/>
      </c>
      <c r="Z38" s="22">
        <f>IF(OR(Z4="",Z39=""),"",IFERROR(Z4*Z39,""))</f>
        <v/>
      </c>
      <c r="AA38" s="22">
        <f>IF(OR(AA4="",AA39=""),"",IFERROR(AA4*AA39,""))</f>
        <v/>
      </c>
      <c r="AB38" s="22">
        <f>IF(OR(AB4="",AB39=""),"",IFERROR(AB4*AB39,""))</f>
        <v/>
      </c>
      <c r="AC38" s="22">
        <f>IF(OR(AC4="",AC39=""),"",IFERROR(AC4*AC39,""))</f>
        <v/>
      </c>
    </row>
    <row r="39">
      <c r="A39" s="15" t="inlineStr">
        <is>
          <t>% of Sales</t>
        </is>
      </c>
      <c r="B39" s="10" t="n"/>
      <c r="C39" s="16">
        <f>IF(OR(C38="",C4=""),"",IFERROR(C38/C4,""))</f>
        <v/>
      </c>
      <c r="D39" s="17">
        <f>IF(OR(D38="",D4=""),"",IFERROR(D38/D4,""))</f>
        <v/>
      </c>
      <c r="E39" s="17">
        <f>IF(OR(E38="",E4=""),"",IFERROR(E38/E4,""))</f>
        <v/>
      </c>
      <c r="F39" s="17">
        <f>IF(OR(F38="",F4=""),"",IFERROR(F38/F4,""))</f>
        <v/>
      </c>
      <c r="G39" s="17">
        <f>IF(OR(G38="",G4=""),"",IFERROR(G38/G4,""))</f>
        <v/>
      </c>
      <c r="H39" s="17">
        <f>IF(OR(H38="",H4=""),"",IFERROR(H38/H4,""))</f>
        <v/>
      </c>
      <c r="I39" s="17">
        <f>IF(OR(I38="",I4=""),"",IFERROR(I38/I4,""))</f>
        <v/>
      </c>
      <c r="J39" s="17">
        <f>IF(OR(J38="",J4=""),"",IFERROR(J38/J4,""))</f>
        <v/>
      </c>
      <c r="K39" s="17">
        <f>IF(OR(K38="",K4=""),"",IFERROR(K38/K4,""))</f>
        <v/>
      </c>
      <c r="L39" s="17">
        <f>IF(OR(L38="",L4=""),"",IFERROR(L38/L4,""))</f>
        <v/>
      </c>
      <c r="M39" s="17">
        <f>IF(OR(M38="",M4=""),"",IFERROR(M38/M4,""))</f>
        <v/>
      </c>
      <c r="N39" s="17">
        <f>IF(OR(N38="",N4=""),"",IFERROR(N38/N4,""))</f>
        <v/>
      </c>
      <c r="O39" s="16">
        <f>IF(OR(O38="",O4=""),"",IFERROR(O38/O4,""))</f>
        <v/>
      </c>
      <c r="P39" s="17">
        <f>IF(OR(P38="",P4=""),"",IFERROR(P38/P4,""))</f>
        <v/>
      </c>
      <c r="Q39" s="17">
        <f>IF(OR(Q38="",Q4=""),"",IFERROR(Q38/Q4,""))</f>
        <v/>
      </c>
      <c r="R39" s="17">
        <f>IF(OR(R38="",R4=""),"",IFERROR(R38/R4,""))</f>
        <v/>
      </c>
      <c r="S39" s="17">
        <f>IF(OR(S38="",S4=""),"",IFERROR(S38/S4,""))</f>
        <v/>
      </c>
      <c r="T39" s="17">
        <f>IF(OR(T38="",T4=""),"",IFERROR(T38/T4,""))</f>
        <v/>
      </c>
      <c r="U39" s="17">
        <f>IF(OR(U38="",U4=""),"",IFERROR(U38/U4,""))</f>
        <v/>
      </c>
      <c r="V39" s="17">
        <f>IF(OR(V38="",V4=""),"",IFERROR(V38/V4,""))</f>
        <v/>
      </c>
      <c r="W39" s="17">
        <f>IF(OR(W38="",W4=""),"",IFERROR(W38/W4,""))</f>
        <v/>
      </c>
      <c r="X39" s="17">
        <f>IF(OR(X38="",X4=""),"",IFERROR(X38/X4,""))</f>
        <v/>
      </c>
      <c r="Y39" s="27">
        <f>IFERROR(AVERAGE(V39,W39,X39),"")</f>
        <v/>
      </c>
      <c r="Z39" s="28">
        <f>Y39</f>
        <v/>
      </c>
      <c r="AA39" s="28">
        <f>Z39</f>
        <v/>
      </c>
      <c r="AB39" s="28">
        <f>AA39</f>
        <v/>
      </c>
      <c r="AC39" s="28">
        <f>AB39</f>
        <v/>
      </c>
    </row>
    <row r="40">
      <c r="A40" s="9" t="inlineStr">
        <is>
          <t>법인세비용차감전순이익(손실)</t>
        </is>
      </c>
      <c r="B40" s="10" t="n"/>
      <c r="C40" s="11" t="n">
        <v>1396</v>
      </c>
      <c r="D40" s="12" t="n">
        <v>1219</v>
      </c>
      <c r="E40" s="12" t="n">
        <v>1242</v>
      </c>
      <c r="F40" s="12" t="n">
        <v>1207</v>
      </c>
      <c r="G40" s="12" t="n">
        <v>1541</v>
      </c>
      <c r="H40" s="12" t="n">
        <v>1705</v>
      </c>
      <c r="I40" s="12" t="n">
        <v>1612</v>
      </c>
      <c r="J40" s="12" t="n">
        <v>2397</v>
      </c>
      <c r="K40" s="12" t="n">
        <v>2483</v>
      </c>
      <c r="L40" s="12" t="n">
        <v>2429</v>
      </c>
      <c r="M40" s="12" t="n">
        <v>1343</v>
      </c>
      <c r="N40" s="12" t="n">
        <v>3798</v>
      </c>
      <c r="O40" s="11" t="n"/>
      <c r="P40" s="12" t="n"/>
      <c r="Q40" s="12" t="n"/>
      <c r="R40" s="12" t="n"/>
      <c r="S40" s="12" t="n"/>
      <c r="T40" s="12" t="n">
        <v>10627</v>
      </c>
      <c r="U40" s="12" t="n">
        <v>3516</v>
      </c>
      <c r="V40" s="12" t="n">
        <v>4909</v>
      </c>
      <c r="W40" s="12" t="n">
        <v>6065</v>
      </c>
      <c r="X40" s="12" t="n">
        <v>8652</v>
      </c>
      <c r="Y40" s="11">
        <f>IF(OR(Y16=""),"",IFERROR(Y16+N(Y32)-N(Y34)+N(Y36)-N(Y38),""))</f>
        <v/>
      </c>
      <c r="Z40" s="12">
        <f>IF(OR(Z16=""),"",IFERROR(Z16+N(Z32)-N(Z34)+N(Z36)-N(Z38),""))</f>
        <v/>
      </c>
      <c r="AA40" s="12">
        <f>IF(OR(AA16=""),"",IFERROR(AA16+N(AA32)-N(AA34)+N(AA36)-N(AA38),""))</f>
        <v/>
      </c>
      <c r="AB40" s="12">
        <f>IF(OR(AB16=""),"",IFERROR(AB16+N(AB32)-N(AB34)+N(AB36)-N(AB38),""))</f>
        <v/>
      </c>
      <c r="AC40" s="12">
        <f>IF(OR(AC16=""),"",IFERROR(AC16+N(AC32)-N(AC34)+N(AC36)-N(AC38),""))</f>
        <v/>
      </c>
    </row>
    <row r="41">
      <c r="A41" s="20" t="inlineStr">
        <is>
          <t>법인세비용(수익)</t>
        </is>
      </c>
      <c r="B41" s="10" t="n"/>
      <c r="C41" s="21" t="n">
        <v>420</v>
      </c>
      <c r="D41" s="22" t="n">
        <v>361</v>
      </c>
      <c r="E41" s="22" t="n">
        <v>379</v>
      </c>
      <c r="F41" s="22" t="n">
        <v>389</v>
      </c>
      <c r="G41" s="22" t="n">
        <v>457</v>
      </c>
      <c r="H41" s="22" t="n">
        <v>518</v>
      </c>
      <c r="I41" s="22" t="n">
        <v>312</v>
      </c>
      <c r="J41" s="22" t="n">
        <v>828</v>
      </c>
      <c r="K41" s="22" t="n">
        <v>747</v>
      </c>
      <c r="L41" s="22" t="n">
        <v>729</v>
      </c>
      <c r="M41" s="22" t="n">
        <v>296</v>
      </c>
      <c r="N41" s="22" t="n">
        <v>1257</v>
      </c>
      <c r="O41" s="21" t="n"/>
      <c r="P41" s="22" t="n"/>
      <c r="Q41" s="22" t="n"/>
      <c r="R41" s="22" t="n"/>
      <c r="S41" s="22" t="n"/>
      <c r="T41" s="22" t="n">
        <v>264</v>
      </c>
      <c r="U41" s="22" t="n">
        <v>1073</v>
      </c>
      <c r="V41" s="22" t="n">
        <v>1461</v>
      </c>
      <c r="W41" s="22" t="n">
        <v>1676</v>
      </c>
      <c r="X41" s="22" t="n">
        <v>2600</v>
      </c>
      <c r="Y41" s="21">
        <f>IF(OR(Y40="",Y42=""),"",IFERROR(MAX(Y40,0)*Y42,""))</f>
        <v/>
      </c>
      <c r="Z41" s="22">
        <f>IF(OR(Z40="",Z42=""),"",IFERROR(MAX(Z40,0)*Z42,""))</f>
        <v/>
      </c>
      <c r="AA41" s="22">
        <f>IF(OR(AA40="",AA42=""),"",IFERROR(MAX(AA40,0)*AA42,""))</f>
        <v/>
      </c>
      <c r="AB41" s="22">
        <f>IF(OR(AB40="",AB42=""),"",IFERROR(MAX(AB40,0)*AB42,""))</f>
        <v/>
      </c>
      <c r="AC41" s="22">
        <f>IF(OR(AC40="",AC42=""),"",IFERROR(MAX(AC40,0)*AC42,""))</f>
        <v/>
      </c>
    </row>
    <row r="42">
      <c r="A42" s="15" t="inlineStr">
        <is>
          <t>법인세율</t>
        </is>
      </c>
      <c r="B42" s="10" t="inlineStr">
        <is>
          <t>MW 기본 30%</t>
        </is>
      </c>
      <c r="C42" s="16">
        <f>IF(OR(C41="",C40=""),"",IFERROR(C41/C40,""))</f>
        <v/>
      </c>
      <c r="D42" s="17">
        <f>IF(OR(D41="",D40=""),"",IFERROR(D41/D40,""))</f>
        <v/>
      </c>
      <c r="E42" s="17">
        <f>IF(OR(E41="",E40=""),"",IFERROR(E41/E40,""))</f>
        <v/>
      </c>
      <c r="F42" s="17">
        <f>IF(OR(F41="",F40=""),"",IFERROR(F41/F40,""))</f>
        <v/>
      </c>
      <c r="G42" s="17">
        <f>IF(OR(G41="",G40=""),"",IFERROR(G41/G40,""))</f>
        <v/>
      </c>
      <c r="H42" s="17">
        <f>IF(OR(H41="",H40=""),"",IFERROR(H41/H40,""))</f>
        <v/>
      </c>
      <c r="I42" s="17">
        <f>IF(OR(I41="",I40=""),"",IFERROR(I41/I40,""))</f>
        <v/>
      </c>
      <c r="J42" s="17">
        <f>IF(OR(J41="",J40=""),"",IFERROR(J41/J40,""))</f>
        <v/>
      </c>
      <c r="K42" s="17">
        <f>IF(OR(K41="",K40=""),"",IFERROR(K41/K40,""))</f>
        <v/>
      </c>
      <c r="L42" s="17">
        <f>IF(OR(L41="",L40=""),"",IFERROR(L41/L40,""))</f>
        <v/>
      </c>
      <c r="M42" s="17">
        <f>IF(OR(M41="",M40=""),"",IFERROR(M41/M40,""))</f>
        <v/>
      </c>
      <c r="N42" s="17">
        <f>IF(OR(N41="",N40=""),"",IFERROR(N41/N40,""))</f>
        <v/>
      </c>
      <c r="O42" s="16">
        <f>IF(OR(O41="",O40=""),"",IFERROR(O41/O40,""))</f>
        <v/>
      </c>
      <c r="P42" s="17">
        <f>IF(OR(P41="",P40=""),"",IFERROR(P41/P40,""))</f>
        <v/>
      </c>
      <c r="Q42" s="17">
        <f>IF(OR(Q41="",Q40=""),"",IFERROR(Q41/Q40,""))</f>
        <v/>
      </c>
      <c r="R42" s="17">
        <f>IF(OR(R41="",R40=""),"",IFERROR(R41/R40,""))</f>
        <v/>
      </c>
      <c r="S42" s="17">
        <f>IF(OR(S41="",S40=""),"",IFERROR(S41/S40,""))</f>
        <v/>
      </c>
      <c r="T42" s="17">
        <f>IF(OR(T41="",T40=""),"",IFERROR(T41/T40,""))</f>
        <v/>
      </c>
      <c r="U42" s="17">
        <f>IF(OR(U41="",U40=""),"",IFERROR(U41/U40,""))</f>
        <v/>
      </c>
      <c r="V42" s="17">
        <f>IF(OR(V41="",V40=""),"",IFERROR(V41/V40,""))</f>
        <v/>
      </c>
      <c r="W42" s="17">
        <f>IF(OR(W41="",W40=""),"",IFERROR(W41/W40,""))</f>
        <v/>
      </c>
      <c r="X42" s="17">
        <f>IF(OR(X41="",X40=""),"",IFERROR(X41/X40,""))</f>
        <v/>
      </c>
      <c r="Y42" s="27" t="n">
        <v>0.3</v>
      </c>
      <c r="Z42" s="28" t="n">
        <v>0.3</v>
      </c>
      <c r="AA42" s="28" t="n">
        <v>0.3</v>
      </c>
      <c r="AB42" s="28" t="n">
        <v>0.3</v>
      </c>
      <c r="AC42" s="28" t="n">
        <v>0.3</v>
      </c>
    </row>
    <row r="43">
      <c r="A43" s="9" t="inlineStr">
        <is>
          <t>당기순이익(손실)</t>
        </is>
      </c>
      <c r="B43" s="10" t="n"/>
      <c r="C43" s="11" t="n">
        <v>976</v>
      </c>
      <c r="D43" s="12" t="n">
        <v>858</v>
      </c>
      <c r="E43" s="12" t="n">
        <v>862</v>
      </c>
      <c r="F43" s="12" t="n">
        <v>817</v>
      </c>
      <c r="G43" s="12" t="n">
        <v>1085</v>
      </c>
      <c r="H43" s="12" t="n">
        <v>1186</v>
      </c>
      <c r="I43" s="12" t="n">
        <v>1300</v>
      </c>
      <c r="J43" s="12" t="n">
        <v>1568</v>
      </c>
      <c r="K43" s="12" t="n">
        <v>1736</v>
      </c>
      <c r="L43" s="12" t="n">
        <v>1701</v>
      </c>
      <c r="M43" s="12" t="n">
        <v>1046</v>
      </c>
      <c r="N43" s="12" t="n">
        <v>2541</v>
      </c>
      <c r="O43" s="11" t="n"/>
      <c r="P43" s="12" t="n"/>
      <c r="Q43" s="12" t="n"/>
      <c r="R43" s="12" t="n"/>
      <c r="S43" s="12" t="n"/>
      <c r="T43" s="12" t="n">
        <v>10363</v>
      </c>
      <c r="U43" s="12" t="n">
        <v>2443</v>
      </c>
      <c r="V43" s="12" t="n">
        <v>3447</v>
      </c>
      <c r="W43" s="12" t="n">
        <v>4388</v>
      </c>
      <c r="X43" s="12" t="n">
        <v>6051</v>
      </c>
      <c r="Y43" s="11">
        <f>IF(OR(Y40=""),"",IFERROR(Y40-Y41,""))</f>
        <v/>
      </c>
      <c r="Z43" s="12">
        <f>IF(OR(Z40=""),"",IFERROR(Z40-Z41,""))</f>
        <v/>
      </c>
      <c r="AA43" s="12">
        <f>IF(OR(AA40=""),"",IFERROR(AA40-AA41,""))</f>
        <v/>
      </c>
      <c r="AB43" s="12">
        <f>IF(OR(AB40=""),"",IFERROR(AB40-AB41,""))</f>
        <v/>
      </c>
      <c r="AC43" s="12">
        <f>IF(OR(AC40=""),"",IFERROR(AC40-AC41,""))</f>
        <v/>
      </c>
    </row>
    <row r="44">
      <c r="A44" s="9" t="inlineStr">
        <is>
          <t>지배주주 순이익</t>
        </is>
      </c>
      <c r="B44" s="10" t="n"/>
      <c r="C44" s="11" t="n">
        <v>976</v>
      </c>
      <c r="D44" s="12" t="n">
        <v>858</v>
      </c>
      <c r="E44" s="12" t="n">
        <v>862</v>
      </c>
      <c r="F44" s="12" t="n">
        <v>817</v>
      </c>
      <c r="G44" s="12" t="n">
        <v>1085</v>
      </c>
      <c r="H44" s="12" t="n">
        <v>1186</v>
      </c>
      <c r="I44" s="12" t="n">
        <v>1300</v>
      </c>
      <c r="J44" s="12" t="n">
        <v>1568</v>
      </c>
      <c r="K44" s="12" t="n">
        <v>1736</v>
      </c>
      <c r="L44" s="12" t="n">
        <v>1701</v>
      </c>
      <c r="M44" s="12" t="n">
        <v>1046</v>
      </c>
      <c r="N44" s="12" t="n">
        <v>2541</v>
      </c>
      <c r="O44" s="11" t="n"/>
      <c r="P44" s="12" t="n"/>
      <c r="Q44" s="12" t="n"/>
      <c r="R44" s="12" t="n"/>
      <c r="S44" s="12" t="n"/>
      <c r="T44" s="12" t="n">
        <v>10363</v>
      </c>
      <c r="U44" s="12" t="n">
        <v>2443</v>
      </c>
      <c r="V44" s="12" t="n">
        <v>3447</v>
      </c>
      <c r="W44" s="12" t="n">
        <v>4388</v>
      </c>
      <c r="X44" s="12" t="n">
        <v>6051</v>
      </c>
      <c r="Y44" s="11">
        <f>IF(OR(Y43="",Y45=""),"",IFERROR(Y43*Y45,""))</f>
        <v/>
      </c>
      <c r="Z44" s="12">
        <f>IF(OR(Z43="",Z45=""),"",IFERROR(Z43*Z45,""))</f>
        <v/>
      </c>
      <c r="AA44" s="12">
        <f>IF(OR(AA43="",AA45=""),"",IFERROR(AA43*AA45,""))</f>
        <v/>
      </c>
      <c r="AB44" s="12">
        <f>IF(OR(AB43="",AB45=""),"",IFERROR(AB43*AB45,""))</f>
        <v/>
      </c>
      <c r="AC44" s="12">
        <f>IF(OR(AC43="",AC45=""),"",IFERROR(AC43*AC45,""))</f>
        <v/>
      </c>
    </row>
    <row r="45">
      <c r="A45" s="15" t="inlineStr">
        <is>
          <t>지배주주 순이익률</t>
        </is>
      </c>
      <c r="B45" s="10" t="inlineStr">
        <is>
          <t>MW 기본 100%</t>
        </is>
      </c>
      <c r="C45" s="16">
        <f>IF(OR(C44="",C43=""),"",IFERROR(C44/C43,""))</f>
        <v/>
      </c>
      <c r="D45" s="17">
        <f>IF(OR(D44="",D43=""),"",IFERROR(D44/D43,""))</f>
        <v/>
      </c>
      <c r="E45" s="17">
        <f>IF(OR(E44="",E43=""),"",IFERROR(E44/E43,""))</f>
        <v/>
      </c>
      <c r="F45" s="17">
        <f>IF(OR(F44="",F43=""),"",IFERROR(F44/F43,""))</f>
        <v/>
      </c>
      <c r="G45" s="17">
        <f>IF(OR(G44="",G43=""),"",IFERROR(G44/G43,""))</f>
        <v/>
      </c>
      <c r="H45" s="17">
        <f>IF(OR(H44="",H43=""),"",IFERROR(H44/H43,""))</f>
        <v/>
      </c>
      <c r="I45" s="17">
        <f>IF(OR(I44="",I43=""),"",IFERROR(I44/I43,""))</f>
        <v/>
      </c>
      <c r="J45" s="17">
        <f>IF(OR(J44="",J43=""),"",IFERROR(J44/J43,""))</f>
        <v/>
      </c>
      <c r="K45" s="17">
        <f>IF(OR(K44="",K43=""),"",IFERROR(K44/K43,""))</f>
        <v/>
      </c>
      <c r="L45" s="17">
        <f>IF(OR(L44="",L43=""),"",IFERROR(L44/L43,""))</f>
        <v/>
      </c>
      <c r="M45" s="17">
        <f>IF(OR(M44="",M43=""),"",IFERROR(M44/M43,""))</f>
        <v/>
      </c>
      <c r="N45" s="17">
        <f>IF(OR(N44="",N43=""),"",IFERROR(N44/N43,""))</f>
        <v/>
      </c>
      <c r="O45" s="16">
        <f>IF(OR(O44="",O43=""),"",IFERROR(O44/O43,""))</f>
        <v/>
      </c>
      <c r="P45" s="17">
        <f>IF(OR(P44="",P43=""),"",IFERROR(P44/P43,""))</f>
        <v/>
      </c>
      <c r="Q45" s="17">
        <f>IF(OR(Q44="",Q43=""),"",IFERROR(Q44/Q43,""))</f>
        <v/>
      </c>
      <c r="R45" s="17">
        <f>IF(OR(R44="",R43=""),"",IFERROR(R44/R43,""))</f>
        <v/>
      </c>
      <c r="S45" s="17">
        <f>IF(OR(S44="",S43=""),"",IFERROR(S44/S43,""))</f>
        <v/>
      </c>
      <c r="T45" s="17">
        <f>IF(OR(T44="",T43=""),"",IFERROR(T44/T43,""))</f>
        <v/>
      </c>
      <c r="U45" s="17">
        <f>IF(OR(U44="",U43=""),"",IFERROR(U44/U43,""))</f>
        <v/>
      </c>
      <c r="V45" s="17">
        <f>IF(OR(V44="",V43=""),"",IFERROR(V44/V43,""))</f>
        <v/>
      </c>
      <c r="W45" s="17">
        <f>IF(OR(W44="",W43=""),"",IFERROR(W44/W43,""))</f>
        <v/>
      </c>
      <c r="X45" s="17">
        <f>IF(OR(X44="",X43=""),"",IFERROR(X44/X43,""))</f>
        <v/>
      </c>
      <c r="Y45" s="27" t="n">
        <v>1</v>
      </c>
      <c r="Z45" s="28" t="n">
        <v>1</v>
      </c>
      <c r="AA45" s="28" t="n">
        <v>1</v>
      </c>
      <c r="AB45" s="28" t="n">
        <v>1</v>
      </c>
      <c r="AC45" s="28" t="n">
        <v>1</v>
      </c>
    </row>
    <row r="46">
      <c r="A46" s="18" t="inlineStr">
        <is>
          <t>목표주가 산출</t>
        </is>
      </c>
      <c r="B46" s="18" t="n"/>
      <c r="C46" s="19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9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9" t="n"/>
      <c r="Z46" s="18" t="n"/>
      <c r="AA46" s="18" t="n"/>
      <c r="AB46" s="18" t="n"/>
      <c r="AC46" s="18" t="n"/>
    </row>
    <row r="47">
      <c r="A47" s="20" t="inlineStr">
        <is>
          <t>현재 주가 ()</t>
        </is>
      </c>
      <c r="B47" s="29" t="n"/>
      <c r="C47" s="30" t="n"/>
      <c r="D47" s="31" t="n"/>
      <c r="E47" s="31" t="n"/>
      <c r="F47" s="31" t="n"/>
      <c r="G47" s="31" t="n"/>
      <c r="H47" s="31" t="n"/>
      <c r="I47" s="31" t="n"/>
      <c r="J47" s="31" t="n"/>
      <c r="K47" s="31" t="n"/>
      <c r="L47" s="31" t="n"/>
      <c r="M47" s="31" t="n"/>
      <c r="N47" s="31" t="n"/>
      <c r="O47" s="30" t="n"/>
      <c r="P47" s="31" t="n"/>
      <c r="Q47" s="31" t="n"/>
      <c r="R47" s="31" t="n"/>
      <c r="S47" s="31" t="n"/>
      <c r="T47" s="31" t="n"/>
      <c r="U47" s="31" t="n"/>
      <c r="V47" s="31" t="n"/>
      <c r="W47" s="31" t="n"/>
      <c r="X47" s="31" t="n"/>
      <c r="Y47" s="30" t="n"/>
      <c r="Z47" s="31" t="n"/>
      <c r="AA47" s="31" t="n"/>
      <c r="AB47" s="31" t="n"/>
      <c r="AC47" s="31" t="n"/>
    </row>
    <row r="48">
      <c r="A48" s="20" t="inlineStr">
        <is>
          <t>발행주식수 (보통주)</t>
        </is>
      </c>
      <c r="B48" s="29" t="n"/>
      <c r="C48" s="30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1" t="n"/>
      <c r="N48" s="31" t="n"/>
      <c r="O48" s="30" t="n"/>
      <c r="P48" s="31" t="n"/>
      <c r="Q48" s="31" t="n"/>
      <c r="R48" s="31" t="n"/>
      <c r="S48" s="31" t="n"/>
      <c r="T48" s="31" t="n"/>
      <c r="U48" s="31" t="n"/>
      <c r="V48" s="31" t="n"/>
      <c r="W48" s="31" t="n"/>
      <c r="X48" s="31" t="n"/>
      <c r="Y48" s="30" t="n"/>
      <c r="Z48" s="31" t="n"/>
      <c r="AA48" s="31" t="n"/>
      <c r="AB48" s="31" t="n"/>
      <c r="AC48" s="31" t="n"/>
    </row>
    <row r="49">
      <c r="A49" s="20" t="inlineStr">
        <is>
          <t>시가총액 (백만엔)</t>
        </is>
      </c>
      <c r="B49" s="12">
        <f>IF(OR(B47="",B48=""),"",B47*B48/1000000.0)</f>
        <v/>
      </c>
      <c r="C49" s="21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1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1" t="n"/>
      <c r="Z49" s="22" t="n"/>
      <c r="AA49" s="22" t="n"/>
      <c r="AB49" s="22" t="n"/>
      <c r="AC49" s="22" t="n"/>
    </row>
    <row r="50">
      <c r="A50" s="15" t="inlineStr">
        <is>
          <t>OPM</t>
        </is>
      </c>
      <c r="B50" s="10" t="n"/>
      <c r="C50" s="16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6">
        <f>IF(O17="","",O17)</f>
        <v/>
      </c>
      <c r="P50" s="17">
        <f>IF(P17="","",P17)</f>
        <v/>
      </c>
      <c r="Q50" s="17">
        <f>IF(Q17="","",Q17)</f>
        <v/>
      </c>
      <c r="R50" s="17">
        <f>IF(R17="","",R17)</f>
        <v/>
      </c>
      <c r="S50" s="17">
        <f>IF(S17="","",S17)</f>
        <v/>
      </c>
      <c r="T50" s="17">
        <f>IF(T17="","",T17)</f>
        <v/>
      </c>
      <c r="U50" s="17">
        <f>IF(U17="","",U17)</f>
        <v/>
      </c>
      <c r="V50" s="17">
        <f>IF(V17="","",V17)</f>
        <v/>
      </c>
      <c r="W50" s="17">
        <f>IF(W17="","",W17)</f>
        <v/>
      </c>
      <c r="X50" s="17">
        <f>IF(X17="","",X17)</f>
        <v/>
      </c>
      <c r="Y50" s="16">
        <f>IF(Y17="","",Y17)</f>
        <v/>
      </c>
      <c r="Z50" s="17">
        <f>IF(Z17="","",Z17)</f>
        <v/>
      </c>
      <c r="AA50" s="17">
        <f>IF(AA17="","",AA17)</f>
        <v/>
      </c>
      <c r="AB50" s="17">
        <f>IF(AB17="","",AB17)</f>
        <v/>
      </c>
      <c r="AC50" s="17">
        <f>IF(AC17="","",AC17)</f>
        <v/>
      </c>
    </row>
    <row r="51">
      <c r="A51" s="15" t="inlineStr">
        <is>
          <t>지배주주 순이익 증가율</t>
        </is>
      </c>
      <c r="B51" s="10" t="n"/>
      <c r="C51" s="16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6" t="n"/>
      <c r="P51" s="17">
        <f>IF(OR(P44="",O44=""),"",IFERROR(P44/O44-1,""))</f>
        <v/>
      </c>
      <c r="Q51" s="17">
        <f>IF(OR(Q44="",P44=""),"",IFERROR(Q44/P44-1,""))</f>
        <v/>
      </c>
      <c r="R51" s="17">
        <f>IF(OR(R44="",Q44=""),"",IFERROR(R44/Q44-1,""))</f>
        <v/>
      </c>
      <c r="S51" s="17">
        <f>IF(OR(S44="",R44=""),"",IFERROR(S44/R44-1,""))</f>
        <v/>
      </c>
      <c r="T51" s="17">
        <f>IF(OR(T44="",S44=""),"",IFERROR(T44/S44-1,""))</f>
        <v/>
      </c>
      <c r="U51" s="17">
        <f>IF(OR(U44="",T44=""),"",IFERROR(U44/T44-1,""))</f>
        <v/>
      </c>
      <c r="V51" s="17">
        <f>IF(OR(V44="",U44=""),"",IFERROR(V44/U44-1,""))</f>
        <v/>
      </c>
      <c r="W51" s="17">
        <f>IF(OR(W44="",V44=""),"",IFERROR(W44/V44-1,""))</f>
        <v/>
      </c>
      <c r="X51" s="17">
        <f>IF(OR(X44="",W44=""),"",IFERROR(X44/W44-1,""))</f>
        <v/>
      </c>
      <c r="Y51" s="16">
        <f>IF(OR(Y44="",X44=""),"",IFERROR(Y44/X44-1,""))</f>
        <v/>
      </c>
      <c r="Z51" s="17">
        <f>IF(OR(Z44="",Y44=""),"",IFERROR(Z44/Y44-1,""))</f>
        <v/>
      </c>
      <c r="AA51" s="17">
        <f>IF(OR(AA44="",Z44=""),"",IFERROR(AA44/Z44-1,""))</f>
        <v/>
      </c>
      <c r="AB51" s="17">
        <f>IF(OR(AB44="",AA44=""),"",IFERROR(AB44/AA44-1,""))</f>
        <v/>
      </c>
      <c r="AC51" s="17">
        <f>IF(OR(AC44="",AB44=""),"",IFERROR(AC44/AB44-1,""))</f>
        <v/>
      </c>
    </row>
    <row r="52">
      <c r="A52" s="20" t="inlineStr">
        <is>
          <t>P/E (현재 주가)</t>
        </is>
      </c>
      <c r="B52" s="10" t="inlineStr">
        <is>
          <t>시총 ÷ 지배순이익</t>
        </is>
      </c>
      <c r="C52" s="32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2" t="n"/>
      <c r="P52" s="33" t="n"/>
      <c r="Q52" s="33" t="n"/>
      <c r="R52" s="33" t="n"/>
      <c r="S52" s="33" t="n"/>
      <c r="T52" s="33" t="n"/>
      <c r="U52" s="33" t="n"/>
      <c r="V52" s="33" t="n"/>
      <c r="W52" s="33" t="n"/>
      <c r="X52" s="33">
        <f>IF(OR($B$49="",X44=""),"",IFERROR($B$49/X44,""))</f>
        <v/>
      </c>
      <c r="Y52" s="32">
        <f>IF(OR($B$49="",Y44=""),"",IFERROR($B$49/Y44,""))</f>
        <v/>
      </c>
      <c r="Z52" s="33">
        <f>IF(OR($B$49="",Z44=""),"",IFERROR($B$49/Z44,""))</f>
        <v/>
      </c>
      <c r="AA52" s="33">
        <f>IF(OR($B$49="",AA44=""),"",IFERROR($B$49/AA44,""))</f>
        <v/>
      </c>
      <c r="AB52" s="33">
        <f>IF(OR($B$49="",AB44=""),"",IFERROR($B$49/AB44,""))</f>
        <v/>
      </c>
      <c r="AC52" s="33">
        <f>IF(OR($B$49="",AC44=""),"",IFERROR($B$49/AC44,""))</f>
        <v/>
      </c>
    </row>
    <row r="53">
      <c r="A53" s="20" t="inlineStr">
        <is>
          <t>Target P/E</t>
        </is>
      </c>
      <c r="B53" s="10" t="inlineStr">
        <is>
          <t>직접 입력</t>
        </is>
      </c>
      <c r="C53" s="32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2" t="n"/>
      <c r="P53" s="33" t="n"/>
      <c r="Q53" s="33" t="n"/>
      <c r="R53" s="33" t="n"/>
      <c r="S53" s="33" t="n"/>
      <c r="T53" s="33" t="n"/>
      <c r="U53" s="33" t="n"/>
      <c r="V53" s="33" t="n"/>
      <c r="W53" s="33" t="n"/>
      <c r="X53" s="33" t="n"/>
      <c r="Y53" s="34" t="n"/>
      <c r="Z53" s="35" t="n"/>
      <c r="AA53" s="35" t="n"/>
      <c r="AB53" s="35" t="n"/>
      <c r="AC53" s="35" t="n"/>
    </row>
    <row r="54">
      <c r="A54" s="20" t="inlineStr">
        <is>
          <t>EPS</t>
        </is>
      </c>
      <c r="B54" s="10" t="inlineStr">
        <is>
          <t>지배순이익 ÷ 주식수</t>
        </is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>
        <f>IF(OR(O44="",$B$48=""),"",IFERROR(O44*1000000.0/$B$48,""))</f>
        <v/>
      </c>
      <c r="P54" s="31">
        <f>IF(OR(P44="",$B$48=""),"",IFERROR(P44*1000000.0/$B$48,""))</f>
        <v/>
      </c>
      <c r="Q54" s="31">
        <f>IF(OR(Q44="",$B$48=""),"",IFERROR(Q44*1000000.0/$B$48,""))</f>
        <v/>
      </c>
      <c r="R54" s="31">
        <f>IF(OR(R44="",$B$48=""),"",IFERROR(R44*1000000.0/$B$48,""))</f>
        <v/>
      </c>
      <c r="S54" s="31">
        <f>IF(OR(S44="",$B$48=""),"",IFERROR(S44*1000000.0/$B$48,""))</f>
        <v/>
      </c>
      <c r="T54" s="31">
        <f>IF(OR(T44="",$B$48=""),"",IFERROR(T44*1000000.0/$B$48,""))</f>
        <v/>
      </c>
      <c r="U54" s="31">
        <f>IF(OR(U44="",$B$48=""),"",IFERROR(U44*1000000.0/$B$48,""))</f>
        <v/>
      </c>
      <c r="V54" s="31">
        <f>IF(OR(V44="",$B$48=""),"",IFERROR(V44*1000000.0/$B$48,""))</f>
        <v/>
      </c>
      <c r="W54" s="31">
        <f>IF(OR(W44="",$B$48=""),"",IFERROR(W44*1000000.0/$B$48,""))</f>
        <v/>
      </c>
      <c r="X54" s="31">
        <f>IF(OR(X44="",$B$48=""),"",IFERROR(X44*1000000.0/$B$48,""))</f>
        <v/>
      </c>
      <c r="Y54" s="30">
        <f>IF(OR(Y44="",$B$48=""),"",IFERROR(Y44*1000000.0/$B$48,""))</f>
        <v/>
      </c>
      <c r="Z54" s="31">
        <f>IF(OR(Z44="",$B$48=""),"",IFERROR(Z44*1000000.0/$B$48,""))</f>
        <v/>
      </c>
      <c r="AA54" s="31">
        <f>IF(OR(AA44="",$B$48=""),"",IFERROR(AA44*1000000.0/$B$48,""))</f>
        <v/>
      </c>
      <c r="AB54" s="31">
        <f>IF(OR(AB44="",$B$48=""),"",IFERROR(AB44*1000000.0/$B$48,""))</f>
        <v/>
      </c>
      <c r="AC54" s="31">
        <f>IF(OR(AC44="",$B$48=""),"",IFERROR(AC44*1000000.0/$B$48,""))</f>
        <v/>
      </c>
    </row>
    <row r="55">
      <c r="A55" s="9" t="inlineStr">
        <is>
          <t>목표주가</t>
        </is>
      </c>
      <c r="B55" s="10" t="n"/>
      <c r="C55" s="36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36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36">
        <f>IF(OR(Y54="",Y53=""),"",IFERROR(Y54*Y53,""))</f>
        <v/>
      </c>
      <c r="Z55" s="29">
        <f>IF(OR(Z54="",Z53=""),"",IFERROR(Z54*Z53,""))</f>
        <v/>
      </c>
      <c r="AA55" s="29">
        <f>IF(OR(AA54="",AA53=""),"",IFERROR(AA54*AA53,""))</f>
        <v/>
      </c>
      <c r="AB55" s="29">
        <f>IF(OR(AB54="",AB53=""),"",IFERROR(AB54*AB53,""))</f>
        <v/>
      </c>
      <c r="AC55" s="29">
        <f>IF(OR(AC54="",AC53=""),"",IFERROR(AC54*AC53,""))</f>
        <v/>
      </c>
    </row>
    <row r="56">
      <c r="A56" s="20" t="inlineStr">
        <is>
          <t>상승여력</t>
        </is>
      </c>
      <c r="B56" s="10" t="n"/>
      <c r="C56" s="37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8" t="n"/>
      <c r="M56" s="38" t="n"/>
      <c r="N56" s="38" t="n"/>
      <c r="O56" s="37" t="n"/>
      <c r="P56" s="38" t="n"/>
      <c r="Q56" s="38" t="n"/>
      <c r="R56" s="38" t="n"/>
      <c r="S56" s="38" t="n"/>
      <c r="T56" s="38" t="n"/>
      <c r="U56" s="38" t="n"/>
      <c r="V56" s="38" t="n"/>
      <c r="W56" s="38" t="n"/>
      <c r="X56" s="38" t="n"/>
      <c r="Y56" s="39">
        <f>IF(OR(Y55="",$B$47=""),"",IFERROR(Y55/$B$47-1,""))</f>
        <v/>
      </c>
      <c r="Z56" s="40">
        <f>IF(OR(Z55="",$B$47=""),"",IFERROR(Z55/$B$47-1,""))</f>
        <v/>
      </c>
      <c r="AA56" s="40">
        <f>IF(OR(AA55="",$B$47=""),"",IFERROR(AA55/$B$47-1,""))</f>
        <v/>
      </c>
      <c r="AB56" s="40">
        <f>IF(OR(AB55="",$B$47=""),"",IFERROR(AB55/$B$47-1,""))</f>
        <v/>
      </c>
      <c r="AC56" s="40">
        <f>IF(OR(AC55="",$B$47=""),"",IFERROR(AC55/$B$47-1,""))</f>
        <v/>
      </c>
    </row>
    <row r="57">
      <c r="A57" s="18" t="inlineStr">
        <is>
          <t>자산가치 산출</t>
        </is>
      </c>
      <c r="B57" s="18" t="inlineStr">
        <is>
          <t>최신 분기 BS</t>
        </is>
      </c>
      <c r="C57" s="19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9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9" t="n"/>
      <c r="Z57" s="18" t="n"/>
      <c r="AA57" s="18" t="n"/>
      <c r="AB57" s="18" t="n"/>
      <c r="AC57" s="18" t="n"/>
    </row>
    <row r="58">
      <c r="A58" s="20" t="inlineStr">
        <is>
          <t>현금및현금성자산</t>
        </is>
      </c>
      <c r="B58" s="10" t="n"/>
      <c r="C58" s="21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1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>
        <f>'재무상태표'!G6</f>
        <v/>
      </c>
      <c r="Y58" s="21">
        <f>'재무상태표'!G6</f>
        <v/>
      </c>
      <c r="Z58" s="22">
        <f>'재무상태표'!G6</f>
        <v/>
      </c>
      <c r="AA58" s="22">
        <f>'재무상태표'!G6</f>
        <v/>
      </c>
      <c r="AB58" s="22">
        <f>'재무상태표'!G6</f>
        <v/>
      </c>
      <c r="AC58" s="22">
        <f>'재무상태표'!G6</f>
        <v/>
      </c>
    </row>
    <row r="59">
      <c r="A59" s="20" t="inlineStr">
        <is>
          <t>단기금융상품</t>
        </is>
      </c>
      <c r="B59" s="10" t="n"/>
      <c r="C59" s="21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1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>
        <f>'재무상태표'!G7</f>
        <v/>
      </c>
      <c r="Y59" s="21">
        <f>'재무상태표'!G7</f>
        <v/>
      </c>
      <c r="Z59" s="22">
        <f>'재무상태표'!G7</f>
        <v/>
      </c>
      <c r="AA59" s="22">
        <f>'재무상태표'!G7</f>
        <v/>
      </c>
      <c r="AB59" s="22">
        <f>'재무상태표'!G7</f>
        <v/>
      </c>
      <c r="AC59" s="22">
        <f>'재무상태표'!G7</f>
        <v/>
      </c>
    </row>
    <row r="60">
      <c r="A60" s="20" t="inlineStr">
        <is>
          <t>투자부동산</t>
        </is>
      </c>
      <c r="B60" s="10" t="n"/>
      <c r="C60" s="21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1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>
        <f>'재무상태표'!G14</f>
        <v/>
      </c>
      <c r="Y60" s="21">
        <f>'재무상태표'!G14</f>
        <v/>
      </c>
      <c r="Z60" s="22">
        <f>'재무상태표'!G14</f>
        <v/>
      </c>
      <c r="AA60" s="22">
        <f>'재무상태표'!G14</f>
        <v/>
      </c>
      <c r="AB60" s="22">
        <f>'재무상태표'!G14</f>
        <v/>
      </c>
      <c r="AC60" s="22">
        <f>'재무상태표'!G14</f>
        <v/>
      </c>
    </row>
    <row r="61">
      <c r="A61" s="20" t="inlineStr">
        <is>
          <t>지배자본</t>
        </is>
      </c>
      <c r="B61" s="10" t="n"/>
      <c r="C61" s="21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1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>
        <f>'재무상태표'!G31</f>
        <v/>
      </c>
      <c r="Y61" s="21">
        <f>'재무상태표'!G31</f>
        <v/>
      </c>
      <c r="Z61" s="22">
        <f>'재무상태표'!G31</f>
        <v/>
      </c>
      <c r="AA61" s="22">
        <f>'재무상태표'!G31</f>
        <v/>
      </c>
      <c r="AB61" s="22">
        <f>'재무상태표'!G31</f>
        <v/>
      </c>
      <c r="AC61" s="22">
        <f>'재무상태표'!G31</f>
        <v/>
      </c>
    </row>
    <row r="62">
      <c r="A62" s="20" t="inlineStr">
        <is>
          <t>부채</t>
        </is>
      </c>
      <c r="B62" s="10" t="n"/>
      <c r="C62" s="21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1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>
        <f>'재무상태표'!G27</f>
        <v/>
      </c>
      <c r="Y62" s="21">
        <f>'재무상태표'!G27</f>
        <v/>
      </c>
      <c r="Z62" s="22">
        <f>'재무상태표'!G27</f>
        <v/>
      </c>
      <c r="AA62" s="22">
        <f>'재무상태표'!G27</f>
        <v/>
      </c>
      <c r="AB62" s="22">
        <f>'재무상태표'!G27</f>
        <v/>
      </c>
      <c r="AC62" s="22">
        <f>'재무상태표'!G27</f>
        <v/>
      </c>
    </row>
    <row r="63">
      <c r="A63" s="15" t="inlineStr">
        <is>
          <t>부채비율</t>
        </is>
      </c>
      <c r="B63" s="10" t="n"/>
      <c r="C63" s="16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6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>
        <f>IF(OR(X62="",X61=""),"",IFERROR(X62/X61,""))</f>
        <v/>
      </c>
      <c r="Y63" s="16">
        <f>IF(OR(Y62="",Y61=""),"",IFERROR(Y62/Y61,""))</f>
        <v/>
      </c>
      <c r="Z63" s="17">
        <f>IF(OR(Z62="",Z61=""),"",IFERROR(Z62/Z61,""))</f>
        <v/>
      </c>
      <c r="AA63" s="17">
        <f>IF(OR(AA62="",AA61=""),"",IFERROR(AA62/AA61,""))</f>
        <v/>
      </c>
      <c r="AB63" s="17">
        <f>IF(OR(AB62="",AB61=""),"",IFERROR(AB62/AB61,""))</f>
        <v/>
      </c>
      <c r="AC63" s="17">
        <f>IF(OR(AC62="",AC61=""),"",IFERROR(AC62/AC61,""))</f>
        <v/>
      </c>
    </row>
    <row r="64">
      <c r="A64" s="9" t="inlineStr">
        <is>
          <t>자산가치</t>
        </is>
      </c>
      <c r="B64" s="10" t="inlineStr">
        <is>
          <t>현금+단기금융+투자부동산</t>
        </is>
      </c>
      <c r="C64" s="11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1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>
        <f>SUM(X58,X59,X60)</f>
        <v/>
      </c>
      <c r="Y64" s="11">
        <f>SUM(Y58,Y59,Y60)</f>
        <v/>
      </c>
      <c r="Z64" s="12">
        <f>SUM(Z58,Z59,Z60)</f>
        <v/>
      </c>
      <c r="AA64" s="12">
        <f>SUM(AA58,AA59,AA60)</f>
        <v/>
      </c>
      <c r="AB64" s="12">
        <f>SUM(AB58,AB59,AB60)</f>
        <v/>
      </c>
      <c r="AC64" s="12">
        <f>SUM(AC58,AC59,AC60)</f>
        <v/>
      </c>
    </row>
    <row r="65">
      <c r="A65" s="18" t="inlineStr">
        <is>
          <t>기업가치 산출</t>
        </is>
      </c>
      <c r="B65" s="18" t="n"/>
      <c r="C65" s="19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9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9" t="n"/>
      <c r="Z65" s="18" t="n"/>
      <c r="AA65" s="18" t="n"/>
      <c r="AB65" s="18" t="n"/>
      <c r="AC65" s="18" t="n"/>
    </row>
    <row r="66">
      <c r="A66" s="20" t="inlineStr">
        <is>
          <t>목표 시가총액 (P/E)</t>
        </is>
      </c>
      <c r="B66" s="10" t="inlineStr">
        <is>
          <t>지배순이익 × Target P/E</t>
        </is>
      </c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1">
        <f>IF(OR(Y44="",Y53=""),"",IFERROR(Y44*Y53,""))</f>
        <v/>
      </c>
      <c r="Z66" s="22">
        <f>IF(OR(Z44="",Z53=""),"",IFERROR(Z44*Z53,""))</f>
        <v/>
      </c>
      <c r="AA66" s="22">
        <f>IF(OR(AA44="",AA53=""),"",IFERROR(AA44*AA53,""))</f>
        <v/>
      </c>
      <c r="AB66" s="22">
        <f>IF(OR(AB44="",AB53=""),"",IFERROR(AB44*AB53,""))</f>
        <v/>
      </c>
      <c r="AC66" s="22">
        <f>IF(OR(AC44="",AC53=""),"",IFERROR(AC44*AC53,""))</f>
        <v/>
      </c>
    </row>
    <row r="67">
      <c r="A67" s="9" t="inlineStr">
        <is>
          <t>기업가치</t>
        </is>
      </c>
      <c r="B67" s="10" t="inlineStr">
        <is>
          <t>목표시총 + 자산가치</t>
        </is>
      </c>
      <c r="C67" s="11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1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1">
        <f>IF(OR(Y66=""),"",IFERROR(Y66+Y64,""))</f>
        <v/>
      </c>
      <c r="Z67" s="12">
        <f>IF(OR(Z66=""),"",IFERROR(Z66+Z64,""))</f>
        <v/>
      </c>
      <c r="AA67" s="12">
        <f>IF(OR(AA66=""),"",IFERROR(AA66+AA64,""))</f>
        <v/>
      </c>
      <c r="AB67" s="12">
        <f>IF(OR(AB66=""),"",IFERROR(AB66+AB64,""))</f>
        <v/>
      </c>
      <c r="AC67" s="12">
        <f>IF(OR(AC66=""),"",IFERROR(AC66+AC64,""))</f>
        <v/>
      </c>
    </row>
    <row r="68">
      <c r="A68" s="20" t="inlineStr">
        <is>
          <t>현재 시가총액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1">
        <f>$B$49</f>
        <v/>
      </c>
      <c r="Z68" s="22">
        <f>$B$49</f>
        <v/>
      </c>
      <c r="AA68" s="22">
        <f>$B$49</f>
        <v/>
      </c>
      <c r="AB68" s="22">
        <f>$B$49</f>
        <v/>
      </c>
      <c r="AC68" s="22">
        <f>$B$49</f>
        <v/>
      </c>
    </row>
    <row r="69">
      <c r="A69" s="20" t="inlineStr">
        <is>
          <t>상승여력</t>
        </is>
      </c>
      <c r="B69" s="10" t="n"/>
      <c r="C69" s="37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8" t="n"/>
      <c r="M69" s="38" t="n"/>
      <c r="N69" s="38" t="n"/>
      <c r="O69" s="37" t="n"/>
      <c r="P69" s="38" t="n"/>
      <c r="Q69" s="38" t="n"/>
      <c r="R69" s="38" t="n"/>
      <c r="S69" s="38" t="n"/>
      <c r="T69" s="38" t="n"/>
      <c r="U69" s="38" t="n"/>
      <c r="V69" s="38" t="n"/>
      <c r="W69" s="38" t="n"/>
      <c r="X69" s="38" t="n"/>
      <c r="Y69" s="39">
        <f>IF(OR(Y67="",Y68=""),"",IFERROR(Y67/Y68-1,""))</f>
        <v/>
      </c>
      <c r="Z69" s="40">
        <f>IF(OR(Z67="",Z68=""),"",IFERROR(Z67/Z68-1,""))</f>
        <v/>
      </c>
      <c r="AA69" s="40">
        <f>IF(OR(AA67="",AA68=""),"",IFERROR(AA67/AA68-1,""))</f>
        <v/>
      </c>
      <c r="AB69" s="40">
        <f>IF(OR(AB67="",AB68=""),"",IFERROR(AB67/AB68-1,""))</f>
        <v/>
      </c>
      <c r="AC69" s="40">
        <f>IF(OR(AC67="",AC68=""),"",IFERROR(AC67/AC68-1,""))</f>
        <v/>
      </c>
    </row>
    <row r="70">
      <c r="C70" s="41" t="n"/>
      <c r="O70" s="41" t="n"/>
      <c r="Y70" s="41" t="n"/>
    </row>
    <row r="71">
      <c r="A71" s="42" t="inlineStr">
        <is>
          <t>출처</t>
        </is>
      </c>
      <c r="C71" s="41" t="n"/>
      <c r="O71" s="41" t="n"/>
      <c r="Y71" s="41" t="n"/>
    </row>
    <row r="72">
      <c r="A72" s="43" t="inlineStr">
        <is>
          <t>결산단신 XBRL(TDnet·JPX 보관소) — 쓴 문서는 '출처' 시트</t>
        </is>
      </c>
      <c r="C72" s="41" t="n"/>
      <c r="O72" s="41" t="n"/>
      <c r="Y72" s="41" t="n"/>
    </row>
    <row r="73">
      <c r="A73" s="43" t="inlineStr">
        <is>
          <t>분기 = 누계에서 앞 분기를 뺀 3개월 값</t>
        </is>
      </c>
      <c r="C73" s="41" t="n"/>
      <c r="O73" s="41" t="n"/>
      <c r="Y73" s="41" t="n"/>
    </row>
    <row r="74">
      <c r="A74" s="43" t="inlineStr">
        <is>
          <t>주가: 야후 파이낸스 일봉</t>
        </is>
      </c>
      <c r="C74" s="41" t="n"/>
      <c r="O74" s="41" t="n"/>
      <c r="Y74" s="41" t="n"/>
    </row>
    <row r="76">
      <c r="A76" s="18" t="inlineStr">
        <is>
          <t>손익계산서 · 전 항목</t>
        </is>
      </c>
      <c r="B76" s="44" t="inlineStr">
        <is>
          <t>분기 = 3개월 단독</t>
        </is>
      </c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  <c r="AC76" s="18" t="n"/>
    </row>
    <row r="77">
      <c r="A77" s="5" t="inlineStr">
        <is>
          <t>항목</t>
        </is>
      </c>
      <c r="B77" s="5" t="inlineStr">
        <is>
          <t>참고</t>
        </is>
      </c>
      <c r="C77" s="5" t="inlineStr">
        <is>
          <t>2024.2Q</t>
        </is>
      </c>
      <c r="D77" s="5" t="inlineStr">
        <is>
          <t>2024.3Q</t>
        </is>
      </c>
      <c r="E77" s="5" t="inlineStr">
        <is>
          <t>2024.4Q</t>
        </is>
      </c>
      <c r="F77" s="5" t="inlineStr">
        <is>
          <t>2025.1Q</t>
        </is>
      </c>
      <c r="G77" s="5" t="inlineStr">
        <is>
          <t>2025.2Q</t>
        </is>
      </c>
      <c r="H77" s="5" t="inlineStr">
        <is>
          <t>2025.3Q</t>
        </is>
      </c>
      <c r="I77" s="5" t="inlineStr">
        <is>
          <t>2025.4Q</t>
        </is>
      </c>
      <c r="J77" s="5" t="inlineStr">
        <is>
          <t>2026.1Q</t>
        </is>
      </c>
      <c r="K77" s="5" t="inlineStr">
        <is>
          <t>2026.2Q</t>
        </is>
      </c>
      <c r="L77" s="5" t="inlineStr">
        <is>
          <t>2026.3Q</t>
        </is>
      </c>
      <c r="M77" s="5" t="inlineStr">
        <is>
          <t>2026.4Q</t>
        </is>
      </c>
      <c r="N77" s="5" t="inlineStr">
        <is>
          <t>2027.1Q</t>
        </is>
      </c>
      <c r="O77" s="5" t="inlineStr">
        <is>
          <t>2017</t>
        </is>
      </c>
      <c r="P77" s="5" t="inlineStr">
        <is>
          <t>2018</t>
        </is>
      </c>
      <c r="Q77" s="5" t="inlineStr">
        <is>
          <t>2019</t>
        </is>
      </c>
      <c r="R77" s="5" t="inlineStr">
        <is>
          <t>2020</t>
        </is>
      </c>
      <c r="S77" s="5" t="inlineStr">
        <is>
          <t>2021</t>
        </is>
      </c>
      <c r="T77" s="5" t="inlineStr">
        <is>
          <t>2022</t>
        </is>
      </c>
      <c r="U77" s="5" t="inlineStr">
        <is>
          <t>2023</t>
        </is>
      </c>
      <c r="V77" s="5" t="inlineStr">
        <is>
          <t>2024</t>
        </is>
      </c>
      <c r="W77" s="5" t="inlineStr">
        <is>
          <t>2025</t>
        </is>
      </c>
      <c r="X77" s="5" t="inlineStr">
        <is>
          <t>2026</t>
        </is>
      </c>
      <c r="Y77" s="5" t="inlineStr">
        <is>
          <t>2027(MW)</t>
        </is>
      </c>
      <c r="Z77" s="5" t="inlineStr">
        <is>
          <t>2028(MW)</t>
        </is>
      </c>
      <c r="AA77" s="5" t="inlineStr">
        <is>
          <t>2029(MW)</t>
        </is>
      </c>
      <c r="AB77" s="5" t="inlineStr">
        <is>
          <t>2030(MW)</t>
        </is>
      </c>
      <c r="AC77" s="5" t="inlineStr">
        <is>
          <t>2031(MW)</t>
        </is>
      </c>
    </row>
    <row r="78">
      <c r="A78" s="9" t="inlineStr">
        <is>
          <t>매출액</t>
        </is>
      </c>
      <c r="C78" s="12" t="n">
        <v>13755</v>
      </c>
      <c r="D78" s="12" t="n">
        <v>8252</v>
      </c>
      <c r="E78" s="12" t="n">
        <v>19195</v>
      </c>
      <c r="F78" s="12" t="n">
        <v>2470</v>
      </c>
      <c r="G78" s="12" t="n">
        <v>17911</v>
      </c>
      <c r="H78" s="12" t="n">
        <v>11884</v>
      </c>
      <c r="I78" s="12" t="n">
        <v>9651</v>
      </c>
      <c r="J78" s="12" t="n">
        <v>10419</v>
      </c>
      <c r="K78" s="12" t="n">
        <v>15954</v>
      </c>
      <c r="L78" s="12" t="n">
        <v>23234</v>
      </c>
      <c r="M78" s="12" t="n">
        <v>14650</v>
      </c>
      <c r="N78" s="12" t="n">
        <v>22258</v>
      </c>
      <c r="U78" s="12" t="n">
        <v>19846</v>
      </c>
      <c r="V78" s="12" t="n">
        <v>19195</v>
      </c>
      <c r="W78" s="12" t="n">
        <v>9651</v>
      </c>
      <c r="X78" s="12" t="n">
        <v>14650</v>
      </c>
    </row>
    <row r="79">
      <c r="A79" s="20" t="inlineStr">
        <is>
          <t>매출원가</t>
        </is>
      </c>
      <c r="C79" s="22" t="n">
        <v>11564</v>
      </c>
      <c r="D79" s="22" t="n">
        <v>6143</v>
      </c>
      <c r="E79" s="22" t="n">
        <v>16960</v>
      </c>
      <c r="F79" s="22" t="n">
        <v>267</v>
      </c>
      <c r="G79" s="22" t="n">
        <v>15419</v>
      </c>
      <c r="H79" s="22" t="n">
        <v>9036</v>
      </c>
      <c r="I79" s="22" t="n">
        <v>6740</v>
      </c>
      <c r="J79" s="22" t="n">
        <v>6489</v>
      </c>
      <c r="K79" s="22" t="n">
        <v>12260</v>
      </c>
      <c r="L79" s="22" t="n">
        <v>19569</v>
      </c>
      <c r="M79" s="22" t="n">
        <v>12015</v>
      </c>
      <c r="N79" s="22" t="n">
        <v>16989</v>
      </c>
      <c r="U79" s="22" t="n">
        <v>16841</v>
      </c>
      <c r="V79" s="22" t="n">
        <v>16960</v>
      </c>
      <c r="W79" s="22" t="n">
        <v>6740</v>
      </c>
      <c r="X79" s="22" t="n">
        <v>12015</v>
      </c>
    </row>
    <row r="80">
      <c r="A80" s="9" t="inlineStr">
        <is>
          <t>매출총이익</t>
        </is>
      </c>
      <c r="C80" s="12" t="n">
        <v>2191</v>
      </c>
      <c r="D80" s="12" t="n">
        <v>2109</v>
      </c>
      <c r="E80" s="12" t="n">
        <v>2235</v>
      </c>
      <c r="F80" s="12" t="n">
        <v>2203</v>
      </c>
      <c r="G80" s="12" t="n">
        <v>2492</v>
      </c>
      <c r="H80" s="12" t="n">
        <v>2847</v>
      </c>
      <c r="I80" s="12" t="n">
        <v>2912</v>
      </c>
      <c r="J80" s="12" t="n">
        <v>3930</v>
      </c>
      <c r="K80" s="12" t="n">
        <v>3694</v>
      </c>
      <c r="L80" s="12" t="n">
        <v>3665</v>
      </c>
      <c r="M80" s="12" t="n">
        <v>2635</v>
      </c>
      <c r="N80" s="12" t="n">
        <v>5269</v>
      </c>
      <c r="U80" s="12" t="n">
        <v>3005</v>
      </c>
      <c r="V80" s="12" t="n">
        <v>2235</v>
      </c>
      <c r="W80" s="12" t="n">
        <v>2912</v>
      </c>
      <c r="X80" s="12" t="n">
        <v>2635</v>
      </c>
    </row>
    <row r="81">
      <c r="A81" s="20" t="inlineStr">
        <is>
          <t>판매비와 관리비</t>
        </is>
      </c>
      <c r="C81" s="22" t="n">
        <v>666</v>
      </c>
      <c r="D81" s="22" t="n">
        <v>788</v>
      </c>
      <c r="E81" s="22" t="n">
        <v>846</v>
      </c>
      <c r="F81" s="22" t="n">
        <v>980</v>
      </c>
      <c r="G81" s="22" t="n">
        <v>731</v>
      </c>
      <c r="H81" s="22" t="n">
        <v>1000</v>
      </c>
      <c r="I81" s="22" t="n">
        <v>1014</v>
      </c>
      <c r="J81" s="22" t="n">
        <v>1358</v>
      </c>
      <c r="K81" s="22" t="n">
        <v>965</v>
      </c>
      <c r="L81" s="22" t="n">
        <v>988</v>
      </c>
      <c r="M81" s="22" t="n">
        <v>882</v>
      </c>
      <c r="N81" s="22" t="n">
        <v>1306</v>
      </c>
      <c r="U81" s="22" t="n">
        <v>852</v>
      </c>
      <c r="V81" s="22" t="n">
        <v>846</v>
      </c>
      <c r="W81" s="22" t="n">
        <v>1014</v>
      </c>
      <c r="X81" s="22" t="n">
        <v>882</v>
      </c>
    </row>
    <row r="82">
      <c r="A82" s="9" t="inlineStr">
        <is>
          <t>영업이익</t>
        </is>
      </c>
      <c r="C82" s="12" t="n">
        <v>1526</v>
      </c>
      <c r="D82" s="12" t="n">
        <v>1321</v>
      </c>
      <c r="E82" s="12" t="n">
        <v>1389</v>
      </c>
      <c r="F82" s="12" t="n">
        <v>1223</v>
      </c>
      <c r="G82" s="12" t="n">
        <v>1761</v>
      </c>
      <c r="H82" s="12" t="n">
        <v>1846</v>
      </c>
      <c r="I82" s="12" t="n">
        <v>1898</v>
      </c>
      <c r="J82" s="12" t="n">
        <v>2571</v>
      </c>
      <c r="K82" s="12" t="n">
        <v>2729</v>
      </c>
      <c r="L82" s="12" t="n">
        <v>2677</v>
      </c>
      <c r="M82" s="12" t="n">
        <v>1753</v>
      </c>
      <c r="N82" s="12" t="n">
        <v>3963</v>
      </c>
      <c r="U82" s="12" t="n">
        <v>2153</v>
      </c>
      <c r="V82" s="12" t="n">
        <v>1389</v>
      </c>
      <c r="W82" s="12" t="n">
        <v>1898</v>
      </c>
      <c r="X82" s="12" t="n">
        <v>1753</v>
      </c>
    </row>
    <row r="83">
      <c r="A83" s="20" t="inlineStr">
        <is>
          <t>이자수익</t>
        </is>
      </c>
      <c r="U83" s="22" t="n">
        <v>0</v>
      </c>
    </row>
    <row r="84">
      <c r="A84" s="20" t="inlineStr">
        <is>
          <t>이자·배당금 수익</t>
        </is>
      </c>
      <c r="C84" s="22" t="n">
        <v>0</v>
      </c>
      <c r="D84" s="22" t="n">
        <v>0</v>
      </c>
      <c r="E84" s="22" t="n">
        <v>0</v>
      </c>
      <c r="F84" s="22" t="n">
        <v>0</v>
      </c>
      <c r="G84" s="22" t="n">
        <v>1</v>
      </c>
      <c r="H84" s="22" t="n">
        <v>0</v>
      </c>
      <c r="I84" s="22" t="n">
        <v>6</v>
      </c>
      <c r="J84" s="22" t="n">
        <v>0</v>
      </c>
      <c r="K84" s="22" t="n">
        <v>14</v>
      </c>
      <c r="L84" s="22" t="n">
        <v>0</v>
      </c>
      <c r="M84" s="22" t="n">
        <v>18</v>
      </c>
      <c r="N84" s="22" t="n">
        <v>0</v>
      </c>
      <c r="U84" s="22" t="n">
        <v>0</v>
      </c>
      <c r="V84" s="22" t="n">
        <v>0</v>
      </c>
      <c r="W84" s="22" t="n">
        <v>6</v>
      </c>
      <c r="X84" s="22" t="n">
        <v>18</v>
      </c>
    </row>
    <row r="85">
      <c r="A85" s="20" t="inlineStr">
        <is>
          <t>Gain On Sale Of Equity Underwritten NOI</t>
        </is>
      </c>
      <c r="C85" s="22" t="n">
        <v>33</v>
      </c>
      <c r="D85" s="22" t="n">
        <v>53</v>
      </c>
      <c r="E85" s="22" t="n">
        <v>58</v>
      </c>
      <c r="F85" s="22" t="n">
        <v>136</v>
      </c>
      <c r="G85" s="22" t="n">
        <v>70</v>
      </c>
      <c r="H85" s="22" t="n">
        <v>112</v>
      </c>
      <c r="I85" s="22" t="n">
        <v>120</v>
      </c>
      <c r="J85" s="22" t="n">
        <v>140</v>
      </c>
      <c r="K85" s="22" t="n">
        <v>120</v>
      </c>
      <c r="L85" s="22" t="n">
        <v>100</v>
      </c>
      <c r="M85" s="22" t="n">
        <v>58</v>
      </c>
      <c r="N85" s="22" t="n">
        <v>187</v>
      </c>
      <c r="U85" s="22" t="n">
        <v>24</v>
      </c>
      <c r="V85" s="22" t="n">
        <v>58</v>
      </c>
      <c r="W85" s="22" t="n">
        <v>120</v>
      </c>
      <c r="X85" s="22" t="n">
        <v>58</v>
      </c>
    </row>
    <row r="86">
      <c r="A86" s="20" t="inlineStr">
        <is>
          <t>외환차익</t>
        </is>
      </c>
      <c r="C86" s="22" t="n">
        <v>4</v>
      </c>
      <c r="D86" s="22" t="n">
        <v>-9</v>
      </c>
      <c r="E86" s="22" t="n">
        <v>4</v>
      </c>
      <c r="F86" s="22" t="n">
        <v>19</v>
      </c>
      <c r="G86" s="22" t="n">
        <v>-19</v>
      </c>
      <c r="H86" s="22" t="n">
        <v>0</v>
      </c>
      <c r="I86" s="22" t="n">
        <v>0</v>
      </c>
      <c r="J86" s="22" t="n">
        <v>3</v>
      </c>
      <c r="K86" s="22" t="n">
        <v>2</v>
      </c>
      <c r="L86" s="22" t="n">
        <v>-5</v>
      </c>
      <c r="M86" s="22" t="n">
        <v>12</v>
      </c>
      <c r="N86" s="22" t="n">
        <v>0</v>
      </c>
      <c r="U86" s="22" t="n">
        <v>10</v>
      </c>
      <c r="V86" s="22" t="n">
        <v>4</v>
      </c>
      <c r="W86" s="22" t="n">
        <v>0</v>
      </c>
      <c r="X86" s="22" t="n">
        <v>12</v>
      </c>
    </row>
    <row r="87">
      <c r="A87" s="20" t="inlineStr">
        <is>
          <t>기타</t>
        </is>
      </c>
      <c r="C87" s="22" t="n">
        <v>0</v>
      </c>
      <c r="D87" s="22" t="n">
        <v>1</v>
      </c>
      <c r="E87" s="22" t="n">
        <v>0</v>
      </c>
      <c r="F87" s="22" t="n">
        <v>0</v>
      </c>
      <c r="G87" s="22" t="n">
        <v>0</v>
      </c>
      <c r="H87" s="22" t="n">
        <v>1</v>
      </c>
      <c r="I87" s="22" t="n">
        <v>0</v>
      </c>
      <c r="J87" s="22" t="n">
        <v>0</v>
      </c>
      <c r="K87" s="22" t="n">
        <v>0</v>
      </c>
      <c r="L87" s="22" t="n">
        <v>1</v>
      </c>
      <c r="M87" s="22" t="n">
        <v>0</v>
      </c>
      <c r="N87" s="22" t="n">
        <v>0</v>
      </c>
      <c r="U87" s="22" t="n">
        <v>0</v>
      </c>
      <c r="V87" s="22" t="n">
        <v>0</v>
      </c>
      <c r="W87" s="22" t="n">
        <v>0</v>
      </c>
      <c r="X87" s="22" t="n">
        <v>0</v>
      </c>
    </row>
    <row r="88">
      <c r="A88" s="20" t="inlineStr">
        <is>
          <t>영업외수익 합계</t>
        </is>
      </c>
      <c r="C88" s="22" t="n">
        <v>37</v>
      </c>
      <c r="D88" s="22" t="n">
        <v>46</v>
      </c>
      <c r="E88" s="22" t="n">
        <v>63</v>
      </c>
      <c r="F88" s="22" t="n">
        <v>156</v>
      </c>
      <c r="G88" s="22" t="n">
        <v>51</v>
      </c>
      <c r="H88" s="22" t="n">
        <v>113</v>
      </c>
      <c r="I88" s="22" t="n">
        <v>127</v>
      </c>
      <c r="J88" s="22" t="n">
        <v>143</v>
      </c>
      <c r="K88" s="22" t="n">
        <v>136</v>
      </c>
      <c r="L88" s="22" t="n">
        <v>98</v>
      </c>
      <c r="M88" s="22" t="n">
        <v>88</v>
      </c>
      <c r="N88" s="22" t="n">
        <v>188</v>
      </c>
      <c r="U88" s="22" t="n">
        <v>35</v>
      </c>
      <c r="V88" s="22" t="n">
        <v>63</v>
      </c>
      <c r="W88" s="22" t="n">
        <v>127</v>
      </c>
      <c r="X88" s="22" t="n">
        <v>88</v>
      </c>
    </row>
    <row r="89">
      <c r="A89" s="20" t="inlineStr">
        <is>
          <t>이자비용</t>
        </is>
      </c>
      <c r="C89" s="22" t="n">
        <v>104</v>
      </c>
      <c r="D89" s="22" t="n">
        <v>137</v>
      </c>
      <c r="E89" s="22" t="n">
        <v>145</v>
      </c>
      <c r="F89" s="22" t="n">
        <v>162</v>
      </c>
      <c r="G89" s="22" t="n">
        <v>191</v>
      </c>
      <c r="H89" s="22" t="n">
        <v>242</v>
      </c>
      <c r="I89" s="22" t="n">
        <v>282</v>
      </c>
      <c r="J89" s="22" t="n">
        <v>295</v>
      </c>
      <c r="K89" s="22" t="n">
        <v>303</v>
      </c>
      <c r="L89" s="22" t="n">
        <v>300</v>
      </c>
      <c r="M89" s="22" t="n">
        <v>332</v>
      </c>
      <c r="N89" s="22" t="n">
        <v>336</v>
      </c>
      <c r="U89" s="22" t="n">
        <v>99</v>
      </c>
      <c r="V89" s="22" t="n">
        <v>145</v>
      </c>
      <c r="W89" s="22" t="n">
        <v>282</v>
      </c>
      <c r="X89" s="22" t="n">
        <v>332</v>
      </c>
    </row>
    <row r="90">
      <c r="A90" s="20" t="inlineStr">
        <is>
          <t>지급수수료</t>
        </is>
      </c>
      <c r="C90" s="22" t="n">
        <v>62</v>
      </c>
      <c r="D90" s="22" t="n">
        <v>10</v>
      </c>
      <c r="E90" s="22" t="n">
        <v>30</v>
      </c>
      <c r="F90" s="22" t="n">
        <v>9</v>
      </c>
      <c r="G90" s="22" t="n">
        <v>70</v>
      </c>
      <c r="H90" s="22" t="n">
        <v>8</v>
      </c>
      <c r="I90" s="22" t="n">
        <v>68</v>
      </c>
      <c r="J90" s="22" t="n">
        <v>22</v>
      </c>
      <c r="K90" s="22" t="n">
        <v>77</v>
      </c>
      <c r="L90" s="22" t="n">
        <v>16</v>
      </c>
      <c r="M90" s="22" t="n">
        <v>137</v>
      </c>
      <c r="N90" s="22" t="n">
        <v>16</v>
      </c>
      <c r="U90" s="22" t="n">
        <v>39</v>
      </c>
      <c r="V90" s="22" t="n">
        <v>30</v>
      </c>
      <c r="W90" s="22" t="n">
        <v>68</v>
      </c>
      <c r="X90" s="22" t="n">
        <v>137</v>
      </c>
    </row>
    <row r="91">
      <c r="A91" s="20" t="inlineStr">
        <is>
          <t>주식교부비</t>
        </is>
      </c>
      <c r="E91" s="22" t="n">
        <v>0</v>
      </c>
      <c r="U91" s="22" t="n">
        <v>0</v>
      </c>
      <c r="V91" s="22" t="n">
        <v>0</v>
      </c>
    </row>
    <row r="92">
      <c r="A92" s="20" t="inlineStr">
        <is>
          <t>사채발행비</t>
        </is>
      </c>
      <c r="I92" s="22" t="n">
        <v>26</v>
      </c>
      <c r="M92" s="22" t="n">
        <v>0</v>
      </c>
      <c r="W92" s="22" t="n">
        <v>26</v>
      </c>
      <c r="X92" s="22" t="n">
        <v>0</v>
      </c>
    </row>
    <row r="93">
      <c r="A93" s="20" t="inlineStr">
        <is>
          <t>외환차손</t>
        </is>
      </c>
      <c r="D93" s="22" t="n">
        <v>0</v>
      </c>
      <c r="E93" s="22" t="n">
        <v>0</v>
      </c>
      <c r="H93" s="22" t="n">
        <v>6</v>
      </c>
      <c r="I93" s="22" t="n">
        <v>16</v>
      </c>
      <c r="L93" s="22" t="n">
        <v>0</v>
      </c>
      <c r="M93" s="22" t="n">
        <v>0</v>
      </c>
      <c r="V93" s="22" t="n">
        <v>0</v>
      </c>
      <c r="W93" s="22" t="n">
        <v>16</v>
      </c>
      <c r="X93" s="22" t="n">
        <v>0</v>
      </c>
    </row>
    <row r="94">
      <c r="A94" s="20" t="inlineStr">
        <is>
          <t>기타</t>
        </is>
      </c>
      <c r="C94" s="22" t="n">
        <v>0</v>
      </c>
      <c r="D94" s="22" t="n">
        <v>0</v>
      </c>
      <c r="E94" s="22" t="n">
        <v>0</v>
      </c>
      <c r="H94" s="22" t="n">
        <v>0</v>
      </c>
      <c r="I94" s="22" t="n">
        <v>0</v>
      </c>
      <c r="L94" s="22" t="n">
        <v>0</v>
      </c>
      <c r="M94" s="22" t="n">
        <v>0</v>
      </c>
      <c r="U94" s="22" t="n">
        <v>0</v>
      </c>
      <c r="V94" s="22" t="n">
        <v>0</v>
      </c>
      <c r="W94" s="22" t="n">
        <v>0</v>
      </c>
      <c r="X94" s="22" t="n">
        <v>0</v>
      </c>
    </row>
    <row r="95">
      <c r="A95" s="20" t="inlineStr">
        <is>
          <t>영업외비용 합계</t>
        </is>
      </c>
      <c r="C95" s="22" t="n">
        <v>167</v>
      </c>
      <c r="D95" s="22" t="n">
        <v>147</v>
      </c>
      <c r="E95" s="22" t="n">
        <v>175</v>
      </c>
      <c r="F95" s="22" t="n">
        <v>171</v>
      </c>
      <c r="G95" s="22" t="n">
        <v>272</v>
      </c>
      <c r="H95" s="22" t="n">
        <v>255</v>
      </c>
      <c r="I95" s="22" t="n">
        <v>393</v>
      </c>
      <c r="J95" s="22" t="n">
        <v>318</v>
      </c>
      <c r="K95" s="22" t="n">
        <v>381</v>
      </c>
      <c r="L95" s="22" t="n">
        <v>346</v>
      </c>
      <c r="M95" s="22" t="n">
        <v>469</v>
      </c>
      <c r="N95" s="22" t="n">
        <v>352</v>
      </c>
      <c r="U95" s="22" t="n">
        <v>137</v>
      </c>
      <c r="V95" s="22" t="n">
        <v>175</v>
      </c>
      <c r="W95" s="22" t="n">
        <v>393</v>
      </c>
      <c r="X95" s="22" t="n">
        <v>469</v>
      </c>
    </row>
    <row r="96">
      <c r="A96" s="9" t="inlineStr">
        <is>
          <t>경상이익</t>
        </is>
      </c>
      <c r="C96" s="12" t="n">
        <v>1396</v>
      </c>
      <c r="D96" s="12" t="n">
        <v>1219</v>
      </c>
      <c r="E96" s="12" t="n">
        <v>1277</v>
      </c>
      <c r="F96" s="12" t="n">
        <v>1207</v>
      </c>
      <c r="G96" s="12" t="n">
        <v>1541</v>
      </c>
      <c r="H96" s="12" t="n">
        <v>1705</v>
      </c>
      <c r="I96" s="12" t="n">
        <v>1631</v>
      </c>
      <c r="J96" s="12" t="n">
        <v>2397</v>
      </c>
      <c r="K96" s="12" t="n">
        <v>2483</v>
      </c>
      <c r="L96" s="12" t="n">
        <v>2429</v>
      </c>
      <c r="M96" s="12" t="n">
        <v>1372</v>
      </c>
      <c r="N96" s="12" t="n">
        <v>3798</v>
      </c>
      <c r="U96" s="12" t="n">
        <v>2050</v>
      </c>
      <c r="V96" s="12" t="n">
        <v>1277</v>
      </c>
      <c r="W96" s="12" t="n">
        <v>1631</v>
      </c>
      <c r="X96" s="12" t="n">
        <v>1372</v>
      </c>
    </row>
    <row r="97">
      <c r="A97" s="20" t="inlineStr">
        <is>
          <t>관계회사 청산손실</t>
        </is>
      </c>
      <c r="E97" s="22" t="n">
        <v>0</v>
      </c>
      <c r="U97" s="22" t="n">
        <v>0</v>
      </c>
      <c r="V97" s="22" t="n">
        <v>0</v>
      </c>
    </row>
    <row r="98">
      <c r="A98" s="20" t="inlineStr">
        <is>
          <t>특별손실 합계</t>
        </is>
      </c>
      <c r="E98" s="22" t="n">
        <v>35</v>
      </c>
      <c r="U98" s="22" t="n">
        <v>13</v>
      </c>
      <c r="V98" s="22" t="n">
        <v>35</v>
      </c>
    </row>
    <row r="99">
      <c r="A99" s="9" t="inlineStr">
        <is>
          <t>법인세차감전 순이익</t>
        </is>
      </c>
      <c r="C99" s="12" t="n">
        <v>1396</v>
      </c>
      <c r="D99" s="12" t="n">
        <v>1219</v>
      </c>
      <c r="E99" s="12" t="n">
        <v>1242</v>
      </c>
      <c r="F99" s="12" t="n">
        <v>1207</v>
      </c>
      <c r="G99" s="12" t="n">
        <v>1541</v>
      </c>
      <c r="H99" s="12" t="n">
        <v>1705</v>
      </c>
      <c r="I99" s="12" t="n">
        <v>1612</v>
      </c>
      <c r="J99" s="12" t="n">
        <v>2397</v>
      </c>
      <c r="K99" s="12" t="n">
        <v>2483</v>
      </c>
      <c r="L99" s="12" t="n">
        <v>2429</v>
      </c>
      <c r="M99" s="12" t="n">
        <v>1343</v>
      </c>
      <c r="N99" s="12" t="n">
        <v>3798</v>
      </c>
      <c r="U99" s="12" t="n">
        <v>2037</v>
      </c>
      <c r="V99" s="12" t="n">
        <v>1242</v>
      </c>
      <c r="W99" s="12" t="n">
        <v>1612</v>
      </c>
      <c r="X99" s="12" t="n">
        <v>1343</v>
      </c>
    </row>
    <row r="100">
      <c r="A100" s="20" t="inlineStr">
        <is>
          <t>법인세·주민세·사업세</t>
        </is>
      </c>
      <c r="C100" s="22" t="n">
        <v>268</v>
      </c>
      <c r="D100" s="22" t="n">
        <v>689</v>
      </c>
      <c r="E100" s="22" t="n">
        <v>675</v>
      </c>
      <c r="F100" s="22" t="n">
        <v>519</v>
      </c>
      <c r="G100" s="22" t="n">
        <v>759</v>
      </c>
      <c r="H100" s="22" t="n">
        <v>704</v>
      </c>
      <c r="I100" s="22" t="n">
        <v>669</v>
      </c>
      <c r="J100" s="22" t="n">
        <v>786</v>
      </c>
      <c r="K100" s="22" t="n">
        <v>758</v>
      </c>
      <c r="L100" s="22" t="n">
        <v>1113</v>
      </c>
      <c r="M100" s="22" t="n">
        <v>1174</v>
      </c>
      <c r="N100" s="22" t="n">
        <v>702</v>
      </c>
      <c r="U100" s="22" t="n">
        <v>1324</v>
      </c>
      <c r="V100" s="22" t="n">
        <v>675</v>
      </c>
      <c r="W100" s="22" t="n">
        <v>669</v>
      </c>
      <c r="X100" s="22" t="n">
        <v>1174</v>
      </c>
    </row>
    <row r="101">
      <c r="A101" s="20" t="inlineStr">
        <is>
          <t>법인세 조정액</t>
        </is>
      </c>
      <c r="C101" s="22" t="n">
        <v>151</v>
      </c>
      <c r="D101" s="22" t="n">
        <v>-326</v>
      </c>
      <c r="E101" s="22" t="n">
        <v>-296</v>
      </c>
      <c r="F101" s="22" t="n">
        <v>-129</v>
      </c>
      <c r="G101" s="22" t="n">
        <v>-302</v>
      </c>
      <c r="H101" s="22" t="n">
        <v>-187</v>
      </c>
      <c r="I101" s="22" t="n">
        <v>-356</v>
      </c>
      <c r="J101" s="22" t="n">
        <v>42</v>
      </c>
      <c r="K101" s="22" t="n">
        <v>-11</v>
      </c>
      <c r="L101" s="22" t="n">
        <v>-383</v>
      </c>
      <c r="M101" s="22" t="n">
        <v>-878</v>
      </c>
      <c r="N101" s="22" t="n">
        <v>555</v>
      </c>
      <c r="U101" s="22" t="n">
        <v>-710</v>
      </c>
      <c r="V101" s="22" t="n">
        <v>-296</v>
      </c>
      <c r="W101" s="22" t="n">
        <v>-356</v>
      </c>
      <c r="X101" s="22" t="n">
        <v>-878</v>
      </c>
    </row>
    <row r="102">
      <c r="A102" s="20" t="inlineStr">
        <is>
          <t>법인세 등 합계</t>
        </is>
      </c>
      <c r="C102" s="22" t="n">
        <v>420</v>
      </c>
      <c r="D102" s="22" t="n">
        <v>361</v>
      </c>
      <c r="E102" s="22" t="n">
        <v>379</v>
      </c>
      <c r="F102" s="22" t="n">
        <v>389</v>
      </c>
      <c r="G102" s="22" t="n">
        <v>457</v>
      </c>
      <c r="H102" s="22" t="n">
        <v>518</v>
      </c>
      <c r="I102" s="22" t="n">
        <v>312</v>
      </c>
      <c r="J102" s="22" t="n">
        <v>828</v>
      </c>
      <c r="K102" s="22" t="n">
        <v>747</v>
      </c>
      <c r="L102" s="22" t="n">
        <v>729</v>
      </c>
      <c r="M102" s="22" t="n">
        <v>296</v>
      </c>
      <c r="N102" s="22" t="n">
        <v>1257</v>
      </c>
      <c r="U102" s="22" t="n">
        <v>614</v>
      </c>
      <c r="V102" s="22" t="n">
        <v>379</v>
      </c>
      <c r="W102" s="22" t="n">
        <v>312</v>
      </c>
      <c r="X102" s="22" t="n">
        <v>296</v>
      </c>
    </row>
    <row r="103">
      <c r="A103" s="9" t="inlineStr">
        <is>
          <t>순이익</t>
        </is>
      </c>
      <c r="C103" s="12" t="n">
        <v>976</v>
      </c>
      <c r="D103" s="12" t="n">
        <v>858</v>
      </c>
      <c r="E103" s="12" t="n">
        <v>862</v>
      </c>
      <c r="F103" s="12" t="n">
        <v>817</v>
      </c>
      <c r="G103" s="12" t="n">
        <v>1085</v>
      </c>
      <c r="H103" s="12" t="n">
        <v>1186</v>
      </c>
      <c r="I103" s="12" t="n">
        <v>1300</v>
      </c>
      <c r="J103" s="12" t="n">
        <v>1568</v>
      </c>
      <c r="K103" s="12" t="n">
        <v>1736</v>
      </c>
      <c r="L103" s="12" t="n">
        <v>1701</v>
      </c>
      <c r="M103" s="12" t="n">
        <v>1046</v>
      </c>
      <c r="N103" s="12" t="n">
        <v>2541</v>
      </c>
      <c r="U103" s="12" t="n">
        <v>1423</v>
      </c>
      <c r="V103" s="12" t="n">
        <v>862</v>
      </c>
      <c r="W103" s="12" t="n">
        <v>1300</v>
      </c>
      <c r="X103" s="12" t="n">
        <v>1046</v>
      </c>
    </row>
    <row r="104">
      <c r="A104" s="9" t="inlineStr">
        <is>
          <t>지배주주 순이익</t>
        </is>
      </c>
      <c r="C104" s="12" t="n">
        <v>976</v>
      </c>
      <c r="D104" s="12" t="n">
        <v>858</v>
      </c>
      <c r="E104" s="12" t="n">
        <v>862</v>
      </c>
      <c r="F104" s="12" t="n">
        <v>817</v>
      </c>
      <c r="G104" s="12" t="n">
        <v>1085</v>
      </c>
      <c r="H104" s="12" t="n">
        <v>1186</v>
      </c>
      <c r="I104" s="12" t="n">
        <v>1300</v>
      </c>
      <c r="J104" s="12" t="n">
        <v>1568</v>
      </c>
      <c r="K104" s="12" t="n">
        <v>1736</v>
      </c>
      <c r="L104" s="12" t="n">
        <v>1701</v>
      </c>
      <c r="M104" s="12" t="n">
        <v>1046</v>
      </c>
      <c r="N104" s="12" t="n">
        <v>2541</v>
      </c>
      <c r="U104" s="12" t="n">
        <v>1423</v>
      </c>
      <c r="V104" s="12" t="n">
        <v>862</v>
      </c>
      <c r="W104" s="12" t="n">
        <v>1300</v>
      </c>
      <c r="X104" s="12" t="n">
        <v>1046</v>
      </c>
    </row>
    <row r="106">
      <c r="A106" s="18" t="inlineStr">
        <is>
          <t>포괄손익 · 전 항목</t>
        </is>
      </c>
      <c r="B106" s="44" t="inlineStr">
        <is>
          <t>분기 = 3개월 단독</t>
        </is>
      </c>
      <c r="C106" s="18" t="n"/>
      <c r="D106" s="18" t="n"/>
      <c r="E106" s="18" t="n"/>
      <c r="F106" s="18" t="n"/>
      <c r="G106" s="18" t="n"/>
      <c r="H106" s="18" t="n"/>
      <c r="I106" s="18" t="n"/>
      <c r="J106" s="18" t="n"/>
      <c r="K106" s="18" t="n"/>
      <c r="L106" s="18" t="n"/>
      <c r="M106" s="18" t="n"/>
      <c r="N106" s="18" t="n"/>
      <c r="O106" s="18" t="n"/>
      <c r="P106" s="18" t="n"/>
      <c r="Q106" s="18" t="n"/>
      <c r="R106" s="18" t="n"/>
      <c r="S106" s="18" t="n"/>
      <c r="T106" s="18" t="n"/>
      <c r="U106" s="18" t="n"/>
      <c r="V106" s="18" t="n"/>
      <c r="W106" s="18" t="n"/>
      <c r="X106" s="18" t="n"/>
      <c r="Y106" s="18" t="n"/>
      <c r="Z106" s="18" t="n"/>
      <c r="AA106" s="18" t="n"/>
      <c r="AB106" s="18" t="n"/>
      <c r="AC106" s="18" t="n"/>
    </row>
    <row r="107">
      <c r="A107" s="5" t="inlineStr">
        <is>
          <t>항목</t>
        </is>
      </c>
      <c r="B107" s="5" t="inlineStr">
        <is>
          <t>참고</t>
        </is>
      </c>
      <c r="C107" s="5" t="inlineStr">
        <is>
          <t>2024.2Q</t>
        </is>
      </c>
      <c r="D107" s="5" t="inlineStr">
        <is>
          <t>2024.3Q</t>
        </is>
      </c>
      <c r="E107" s="5" t="inlineStr">
        <is>
          <t>2024.4Q</t>
        </is>
      </c>
      <c r="F107" s="5" t="inlineStr">
        <is>
          <t>2025.1Q</t>
        </is>
      </c>
      <c r="G107" s="5" t="inlineStr">
        <is>
          <t>2025.2Q</t>
        </is>
      </c>
      <c r="H107" s="5" t="inlineStr">
        <is>
          <t>2025.3Q</t>
        </is>
      </c>
      <c r="I107" s="5" t="inlineStr">
        <is>
          <t>2025.4Q</t>
        </is>
      </c>
      <c r="J107" s="5" t="inlineStr">
        <is>
          <t>2026.1Q</t>
        </is>
      </c>
      <c r="K107" s="5" t="inlineStr">
        <is>
          <t>2026.2Q</t>
        </is>
      </c>
      <c r="L107" s="5" t="inlineStr">
        <is>
          <t>2026.3Q</t>
        </is>
      </c>
      <c r="M107" s="5" t="inlineStr">
        <is>
          <t>2026.4Q</t>
        </is>
      </c>
      <c r="N107" s="5" t="inlineStr">
        <is>
          <t>2027.1Q</t>
        </is>
      </c>
      <c r="O107" s="5" t="inlineStr">
        <is>
          <t>2017</t>
        </is>
      </c>
      <c r="P107" s="5" t="inlineStr">
        <is>
          <t>2018</t>
        </is>
      </c>
      <c r="Q107" s="5" t="inlineStr">
        <is>
          <t>2019</t>
        </is>
      </c>
      <c r="R107" s="5" t="inlineStr">
        <is>
          <t>2020</t>
        </is>
      </c>
      <c r="S107" s="5" t="inlineStr">
        <is>
          <t>2021</t>
        </is>
      </c>
      <c r="T107" s="5" t="inlineStr">
        <is>
          <t>2022</t>
        </is>
      </c>
      <c r="U107" s="5" t="inlineStr">
        <is>
          <t>2023</t>
        </is>
      </c>
      <c r="V107" s="5" t="inlineStr">
        <is>
          <t>2024</t>
        </is>
      </c>
      <c r="W107" s="5" t="inlineStr">
        <is>
          <t>2025</t>
        </is>
      </c>
      <c r="X107" s="5" t="inlineStr">
        <is>
          <t>2026</t>
        </is>
      </c>
      <c r="Y107" s="5" t="inlineStr">
        <is>
          <t>2027(MW)</t>
        </is>
      </c>
      <c r="Z107" s="5" t="inlineStr">
        <is>
          <t>2028(MW)</t>
        </is>
      </c>
      <c r="AA107" s="5" t="inlineStr">
        <is>
          <t>2029(MW)</t>
        </is>
      </c>
      <c r="AB107" s="5" t="inlineStr">
        <is>
          <t>2030(MW)</t>
        </is>
      </c>
      <c r="AC107" s="5" t="inlineStr">
        <is>
          <t>2031(MW)</t>
        </is>
      </c>
    </row>
    <row r="108">
      <c r="A108" s="9" t="inlineStr">
        <is>
          <t>순이익</t>
        </is>
      </c>
      <c r="C108" s="12" t="n">
        <v>976</v>
      </c>
      <c r="D108" s="12" t="n">
        <v>858</v>
      </c>
      <c r="E108" s="12" t="n">
        <v>862</v>
      </c>
      <c r="F108" s="12" t="n">
        <v>817</v>
      </c>
      <c r="G108" s="12" t="n">
        <v>1085</v>
      </c>
      <c r="H108" s="12" t="n">
        <v>1186</v>
      </c>
      <c r="I108" s="12" t="n">
        <v>1300</v>
      </c>
      <c r="J108" s="12" t="n">
        <v>1568</v>
      </c>
      <c r="K108" s="12" t="n">
        <v>1736</v>
      </c>
      <c r="L108" s="12" t="n">
        <v>1701</v>
      </c>
      <c r="M108" s="12" t="n">
        <v>1046</v>
      </c>
      <c r="N108" s="12" t="n">
        <v>2541</v>
      </c>
      <c r="U108" s="12" t="n">
        <v>1423</v>
      </c>
      <c r="V108" s="12" t="n">
        <v>862</v>
      </c>
      <c r="W108" s="12" t="n">
        <v>1300</v>
      </c>
      <c r="X108" s="12" t="n">
        <v>1046</v>
      </c>
    </row>
    <row r="109">
      <c r="A109" s="20" t="inlineStr">
        <is>
          <t>이연헤지손익</t>
        </is>
      </c>
      <c r="C109" s="22" t="n">
        <v>145</v>
      </c>
      <c r="D109" s="22" t="n">
        <v>651</v>
      </c>
      <c r="E109" s="22" t="n">
        <v>-655</v>
      </c>
      <c r="F109" s="22" t="n">
        <v>-404</v>
      </c>
      <c r="G109" s="22" t="n">
        <v>788</v>
      </c>
      <c r="H109" s="22" t="n">
        <v>-1422</v>
      </c>
      <c r="I109" s="22" t="n">
        <v>1221</v>
      </c>
      <c r="J109" s="22" t="n">
        <v>162</v>
      </c>
      <c r="K109" s="22" t="n">
        <v>-881</v>
      </c>
      <c r="L109" s="22" t="n">
        <v>-502</v>
      </c>
      <c r="M109" s="22" t="n">
        <v>245</v>
      </c>
      <c r="N109" s="22" t="n">
        <v>697</v>
      </c>
      <c r="U109" s="22" t="n">
        <v>-257</v>
      </c>
      <c r="V109" s="22" t="n">
        <v>-655</v>
      </c>
      <c r="W109" s="22" t="n">
        <v>1221</v>
      </c>
      <c r="X109" s="22" t="n">
        <v>245</v>
      </c>
    </row>
    <row r="110">
      <c r="A110" s="20" t="inlineStr">
        <is>
          <t>해외사업환산조정</t>
        </is>
      </c>
      <c r="C110" s="22" t="n">
        <v>0</v>
      </c>
      <c r="D110" s="22" t="n">
        <v>0</v>
      </c>
      <c r="E110" s="22" t="n">
        <v>0</v>
      </c>
      <c r="U110" s="22" t="n">
        <v>0</v>
      </c>
      <c r="V110" s="22" t="n">
        <v>0</v>
      </c>
    </row>
    <row r="111">
      <c r="A111" s="20" t="inlineStr">
        <is>
          <t>기타포괄손익 합계</t>
        </is>
      </c>
      <c r="C111" s="22" t="n">
        <v>145</v>
      </c>
      <c r="D111" s="22" t="n">
        <v>651</v>
      </c>
      <c r="E111" s="22" t="n">
        <v>-655</v>
      </c>
      <c r="F111" s="22" t="n">
        <v>-404</v>
      </c>
      <c r="G111" s="22" t="n">
        <v>788</v>
      </c>
      <c r="H111" s="22" t="n">
        <v>-1422</v>
      </c>
      <c r="I111" s="22" t="n">
        <v>1221</v>
      </c>
      <c r="J111" s="22" t="n">
        <v>162</v>
      </c>
      <c r="K111" s="22" t="n">
        <v>-881</v>
      </c>
      <c r="L111" s="22" t="n">
        <v>-502</v>
      </c>
      <c r="M111" s="22" t="n">
        <v>245</v>
      </c>
      <c r="N111" s="22" t="n">
        <v>697</v>
      </c>
      <c r="U111" s="22" t="n">
        <v>-257</v>
      </c>
      <c r="V111" s="22" t="n">
        <v>-655</v>
      </c>
      <c r="W111" s="22" t="n">
        <v>1221</v>
      </c>
      <c r="X111" s="22" t="n">
        <v>245</v>
      </c>
    </row>
    <row r="112">
      <c r="A112" s="9" t="inlineStr">
        <is>
          <t>포괄이익</t>
        </is>
      </c>
      <c r="C112" s="12" t="n">
        <v>1122</v>
      </c>
      <c r="D112" s="12" t="n">
        <v>1509</v>
      </c>
      <c r="E112" s="12" t="n">
        <v>206</v>
      </c>
      <c r="F112" s="12" t="n">
        <v>413</v>
      </c>
      <c r="G112" s="12" t="n">
        <v>1873</v>
      </c>
      <c r="H112" s="12" t="n">
        <v>-236</v>
      </c>
      <c r="I112" s="12" t="n">
        <v>2522</v>
      </c>
      <c r="J112" s="12" t="n">
        <v>1730</v>
      </c>
      <c r="K112" s="12" t="n">
        <v>854</v>
      </c>
      <c r="L112" s="12" t="n">
        <v>1199</v>
      </c>
      <c r="M112" s="12" t="n">
        <v>1292</v>
      </c>
      <c r="N112" s="12" t="n">
        <v>3238</v>
      </c>
      <c r="U112" s="12" t="n">
        <v>1166</v>
      </c>
      <c r="V112" s="12" t="n">
        <v>206</v>
      </c>
      <c r="W112" s="12" t="n">
        <v>2522</v>
      </c>
      <c r="X112" s="12" t="n">
        <v>1292</v>
      </c>
    </row>
    <row r="113">
      <c r="A113" s="9" t="inlineStr">
        <is>
          <t>지배주주 포괄이익</t>
        </is>
      </c>
      <c r="C113" s="12" t="n">
        <v>1122</v>
      </c>
      <c r="D113" s="12" t="n">
        <v>1509</v>
      </c>
      <c r="E113" s="12" t="n">
        <v>206</v>
      </c>
      <c r="F113" s="12" t="n">
        <v>413</v>
      </c>
      <c r="G113" s="12" t="n">
        <v>1873</v>
      </c>
      <c r="H113" s="12" t="n">
        <v>-236</v>
      </c>
      <c r="I113" s="12" t="n">
        <v>2522</v>
      </c>
      <c r="J113" s="12" t="n">
        <v>1730</v>
      </c>
      <c r="K113" s="12" t="n">
        <v>854</v>
      </c>
      <c r="L113" s="12" t="n">
        <v>1199</v>
      </c>
      <c r="M113" s="12" t="n">
        <v>1292</v>
      </c>
      <c r="N113" s="12" t="n">
        <v>3238</v>
      </c>
      <c r="U113" s="12" t="n">
        <v>1166</v>
      </c>
      <c r="V113" s="12" t="n">
        <v>206</v>
      </c>
      <c r="W113" s="12" t="n">
        <v>2522</v>
      </c>
      <c r="X113" s="12" t="n">
        <v>1292</v>
      </c>
    </row>
    <row r="115">
      <c r="A115" s="18" t="inlineStr">
        <is>
          <t>현금흐름표 · 전 항목</t>
        </is>
      </c>
      <c r="B115" s="44" t="inlineStr">
        <is>
          <t>분기 = 결산기 첫날부터 누계(공시 그대로)</t>
        </is>
      </c>
      <c r="C115" s="18" t="n"/>
      <c r="D115" s="18" t="n"/>
      <c r="E115" s="18" t="n"/>
      <c r="F115" s="18" t="n"/>
      <c r="G115" s="18" t="n"/>
      <c r="H115" s="18" t="n"/>
      <c r="I115" s="18" t="n"/>
      <c r="J115" s="18" t="n"/>
      <c r="K115" s="18" t="n"/>
      <c r="L115" s="18" t="n"/>
      <c r="M115" s="18" t="n"/>
      <c r="N115" s="18" t="n"/>
      <c r="O115" s="18" t="n"/>
      <c r="P115" s="18" t="n"/>
      <c r="Q115" s="18" t="n"/>
      <c r="R115" s="18" t="n"/>
      <c r="S115" s="18" t="n"/>
      <c r="T115" s="18" t="n"/>
      <c r="U115" s="18" t="n"/>
      <c r="V115" s="18" t="n"/>
      <c r="W115" s="18" t="n"/>
      <c r="X115" s="18" t="n"/>
      <c r="Y115" s="18" t="n"/>
      <c r="Z115" s="18" t="n"/>
      <c r="AA115" s="18" t="n"/>
      <c r="AB115" s="18" t="n"/>
      <c r="AC115" s="18" t="n"/>
    </row>
    <row r="116">
      <c r="A116" s="5" t="inlineStr">
        <is>
          <t>항목</t>
        </is>
      </c>
      <c r="B116" s="5" t="inlineStr">
        <is>
          <t>참고</t>
        </is>
      </c>
      <c r="C116" s="5" t="inlineStr">
        <is>
          <t>2024.2Q</t>
        </is>
      </c>
      <c r="D116" s="5" t="inlineStr">
        <is>
          <t>2024.3Q</t>
        </is>
      </c>
      <c r="E116" s="5" t="inlineStr">
        <is>
          <t>2024.4Q</t>
        </is>
      </c>
      <c r="F116" s="5" t="inlineStr">
        <is>
          <t>2025.1Q</t>
        </is>
      </c>
      <c r="G116" s="5" t="inlineStr">
        <is>
          <t>2025.2Q</t>
        </is>
      </c>
      <c r="H116" s="5" t="inlineStr">
        <is>
          <t>2025.3Q</t>
        </is>
      </c>
      <c r="I116" s="5" t="inlineStr">
        <is>
          <t>2025.4Q</t>
        </is>
      </c>
      <c r="J116" s="5" t="inlineStr">
        <is>
          <t>2026.1Q</t>
        </is>
      </c>
      <c r="K116" s="5" t="inlineStr">
        <is>
          <t>2026.2Q</t>
        </is>
      </c>
      <c r="L116" s="5" t="inlineStr">
        <is>
          <t>2026.3Q</t>
        </is>
      </c>
      <c r="M116" s="5" t="inlineStr">
        <is>
          <t>2026.4Q</t>
        </is>
      </c>
      <c r="N116" s="5" t="inlineStr">
        <is>
          <t>2027.1Q</t>
        </is>
      </c>
      <c r="O116" s="5" t="inlineStr">
        <is>
          <t>2017</t>
        </is>
      </c>
      <c r="P116" s="5" t="inlineStr">
        <is>
          <t>2018</t>
        </is>
      </c>
      <c r="Q116" s="5" t="inlineStr">
        <is>
          <t>2019</t>
        </is>
      </c>
      <c r="R116" s="5" t="inlineStr">
        <is>
          <t>2020</t>
        </is>
      </c>
      <c r="S116" s="5" t="inlineStr">
        <is>
          <t>2021</t>
        </is>
      </c>
      <c r="T116" s="5" t="inlineStr">
        <is>
          <t>2022</t>
        </is>
      </c>
      <c r="U116" s="5" t="inlineStr">
        <is>
          <t>2023</t>
        </is>
      </c>
      <c r="V116" s="5" t="inlineStr">
        <is>
          <t>2024</t>
        </is>
      </c>
      <c r="W116" s="5" t="inlineStr">
        <is>
          <t>2025</t>
        </is>
      </c>
      <c r="X116" s="5" t="inlineStr">
        <is>
          <t>2026</t>
        </is>
      </c>
      <c r="Y116" s="5" t="inlineStr">
        <is>
          <t>2027(MW)</t>
        </is>
      </c>
      <c r="Z116" s="5" t="inlineStr">
        <is>
          <t>2028(MW)</t>
        </is>
      </c>
      <c r="AA116" s="5" t="inlineStr">
        <is>
          <t>2029(MW)</t>
        </is>
      </c>
      <c r="AB116" s="5" t="inlineStr">
        <is>
          <t>2030(MW)</t>
        </is>
      </c>
      <c r="AC116" s="5" t="inlineStr">
        <is>
          <t>2031(MW)</t>
        </is>
      </c>
    </row>
    <row r="117">
      <c r="A117" s="9" t="inlineStr">
        <is>
          <t>법인세차감전 순이익</t>
        </is>
      </c>
      <c r="C117" s="12" t="n">
        <v>2448</v>
      </c>
      <c r="E117" s="12" t="n">
        <v>4909</v>
      </c>
      <c r="G117" s="12" t="n">
        <v>2748</v>
      </c>
      <c r="I117" s="12" t="n">
        <v>6065</v>
      </c>
      <c r="K117" s="12" t="n">
        <v>4880</v>
      </c>
      <c r="M117" s="12" t="n">
        <v>8652</v>
      </c>
      <c r="T117" s="12" t="n">
        <v>10627</v>
      </c>
      <c r="U117" s="12" t="n">
        <v>3516</v>
      </c>
      <c r="V117" s="12" t="n">
        <v>4909</v>
      </c>
      <c r="W117" s="12" t="n">
        <v>6065</v>
      </c>
      <c r="X117" s="12" t="n">
        <v>8652</v>
      </c>
    </row>
    <row r="118">
      <c r="A118" s="20" t="inlineStr">
        <is>
          <t>감가상각비</t>
        </is>
      </c>
      <c r="C118" s="22" t="n">
        <v>338</v>
      </c>
      <c r="E118" s="22" t="n">
        <v>676</v>
      </c>
      <c r="G118" s="22" t="n">
        <v>337</v>
      </c>
      <c r="I118" s="22" t="n">
        <v>675</v>
      </c>
      <c r="K118" s="22" t="n">
        <v>339</v>
      </c>
      <c r="M118" s="22" t="n">
        <v>679</v>
      </c>
      <c r="T118" s="22" t="n">
        <v>170</v>
      </c>
      <c r="U118" s="22" t="n">
        <v>459</v>
      </c>
      <c r="V118" s="22" t="n">
        <v>676</v>
      </c>
      <c r="W118" s="22" t="n">
        <v>675</v>
      </c>
      <c r="X118" s="22" t="n">
        <v>679</v>
      </c>
    </row>
    <row r="119">
      <c r="A119" s="20" t="inlineStr">
        <is>
          <t>영업권 상각</t>
        </is>
      </c>
      <c r="C119" s="22" t="n">
        <v>26</v>
      </c>
      <c r="E119" s="22" t="n">
        <v>52</v>
      </c>
      <c r="G119" s="22" t="n">
        <v>26</v>
      </c>
      <c r="I119" s="22" t="n">
        <v>52</v>
      </c>
      <c r="K119" s="22" t="n">
        <v>26</v>
      </c>
      <c r="M119" s="22" t="n">
        <v>52</v>
      </c>
      <c r="T119" s="22" t="n">
        <v>52</v>
      </c>
      <c r="U119" s="22" t="n">
        <v>52</v>
      </c>
      <c r="V119" s="22" t="n">
        <v>52</v>
      </c>
      <c r="W119" s="22" t="n">
        <v>52</v>
      </c>
      <c r="X119" s="22" t="n">
        <v>52</v>
      </c>
    </row>
    <row r="120">
      <c r="A120" s="20" t="inlineStr">
        <is>
          <t>대손충당금 증감</t>
        </is>
      </c>
      <c r="T120" s="22" t="n">
        <v>-37</v>
      </c>
      <c r="U120" s="22" t="n">
        <v>0</v>
      </c>
    </row>
    <row r="121">
      <c r="A121" s="20" t="inlineStr">
        <is>
          <t>이자수익</t>
        </is>
      </c>
      <c r="T121" s="22" t="n">
        <v>-0</v>
      </c>
      <c r="U121" s="22" t="n">
        <v>-0</v>
      </c>
    </row>
    <row r="122">
      <c r="A122" s="20" t="inlineStr">
        <is>
          <t>상여충당금 증감</t>
        </is>
      </c>
      <c r="C122" s="22" t="n">
        <v>0</v>
      </c>
      <c r="E122" s="22" t="n">
        <v>136</v>
      </c>
      <c r="G122" s="22" t="n">
        <v>-60</v>
      </c>
      <c r="I122" s="22" t="n">
        <v>38</v>
      </c>
      <c r="K122" s="22" t="n">
        <v>-75</v>
      </c>
      <c r="M122" s="22" t="n">
        <v>59</v>
      </c>
      <c r="U122" s="22" t="n">
        <v>0</v>
      </c>
      <c r="V122" s="22" t="n">
        <v>136</v>
      </c>
      <c r="W122" s="22" t="n">
        <v>38</v>
      </c>
      <c r="X122" s="22" t="n">
        <v>59</v>
      </c>
    </row>
    <row r="123">
      <c r="A123" s="20" t="inlineStr">
        <is>
          <t>이자·배당금 수익</t>
        </is>
      </c>
      <c r="C123" s="22" t="n">
        <v>-0</v>
      </c>
      <c r="E123" s="22" t="n">
        <v>-0</v>
      </c>
      <c r="G123" s="22" t="n">
        <v>-1</v>
      </c>
      <c r="I123" s="22" t="n">
        <v>-7</v>
      </c>
      <c r="K123" s="22" t="n">
        <v>-14</v>
      </c>
      <c r="M123" s="22" t="n">
        <v>-32</v>
      </c>
      <c r="U123" s="22" t="n">
        <v>-0</v>
      </c>
      <c r="V123" s="22" t="n">
        <v>-0</v>
      </c>
      <c r="W123" s="22" t="n">
        <v>-7</v>
      </c>
      <c r="X123" s="22" t="n">
        <v>-32</v>
      </c>
    </row>
    <row r="124">
      <c r="A124" s="20" t="inlineStr">
        <is>
          <t>이자비용</t>
        </is>
      </c>
      <c r="C124" s="22" t="n">
        <v>201</v>
      </c>
      <c r="E124" s="22" t="n">
        <v>483</v>
      </c>
      <c r="G124" s="22" t="n">
        <v>353</v>
      </c>
      <c r="I124" s="22" t="n">
        <v>877</v>
      </c>
      <c r="K124" s="22" t="n">
        <v>598</v>
      </c>
      <c r="M124" s="22" t="n">
        <v>1230</v>
      </c>
      <c r="T124" s="22" t="n">
        <v>625</v>
      </c>
      <c r="U124" s="22" t="n">
        <v>384</v>
      </c>
      <c r="V124" s="22" t="n">
        <v>483</v>
      </c>
      <c r="W124" s="22" t="n">
        <v>877</v>
      </c>
      <c r="X124" s="22" t="n">
        <v>1230</v>
      </c>
    </row>
    <row r="125">
      <c r="A125" s="20" t="inlineStr">
        <is>
          <t>유형자산 매각손익</t>
        </is>
      </c>
      <c r="T125" s="22" t="n">
        <v>-7820</v>
      </c>
      <c r="U125" s="22" t="n">
        <v>0</v>
      </c>
    </row>
    <row r="126">
      <c r="A126" s="20" t="inlineStr">
        <is>
          <t>고정자산 제각손실</t>
        </is>
      </c>
      <c r="E126" s="22" t="n">
        <v>17</v>
      </c>
      <c r="I126" s="22" t="n">
        <v>0</v>
      </c>
      <c r="U126" s="22" t="n">
        <v>0</v>
      </c>
      <c r="V126" s="22" t="n">
        <v>17</v>
      </c>
      <c r="W126" s="22" t="n">
        <v>0</v>
      </c>
    </row>
    <row r="127">
      <c r="A127" s="20" t="inlineStr">
        <is>
          <t>Decrease Increase In Operating Receivables Ope CF</t>
        </is>
      </c>
      <c r="C127" s="22" t="n">
        <v>-213</v>
      </c>
      <c r="E127" s="22" t="n">
        <v>150</v>
      </c>
      <c r="G127" s="22" t="n">
        <v>-117</v>
      </c>
      <c r="I127" s="22" t="n">
        <v>-746</v>
      </c>
      <c r="K127" s="22" t="n">
        <v>-78</v>
      </c>
      <c r="M127" s="22" t="n">
        <v>238</v>
      </c>
      <c r="T127" s="22" t="n">
        <v>-308</v>
      </c>
      <c r="U127" s="22" t="n">
        <v>373</v>
      </c>
      <c r="V127" s="22" t="n">
        <v>150</v>
      </c>
      <c r="W127" s="22" t="n">
        <v>-746</v>
      </c>
      <c r="X127" s="22" t="n">
        <v>238</v>
      </c>
    </row>
    <row r="128">
      <c r="A128" s="20" t="inlineStr">
        <is>
          <t>선급금 증감</t>
        </is>
      </c>
      <c r="E128" s="22" t="n">
        <v>556</v>
      </c>
      <c r="G128" s="22" t="n">
        <v>-1304</v>
      </c>
      <c r="I128" s="22" t="n">
        <v>-5834</v>
      </c>
      <c r="K128" s="22" t="n">
        <v>5922</v>
      </c>
      <c r="M128" s="22" t="n">
        <v>5965</v>
      </c>
      <c r="V128" s="22" t="n">
        <v>556</v>
      </c>
      <c r="W128" s="22" t="n">
        <v>-5834</v>
      </c>
      <c r="X128" s="22" t="n">
        <v>5965</v>
      </c>
    </row>
    <row r="129">
      <c r="A129" s="20" t="inlineStr">
        <is>
          <t>재고자산 증감</t>
        </is>
      </c>
      <c r="C129" s="22" t="n">
        <v>-10913</v>
      </c>
      <c r="E129" s="22" t="n">
        <v>-29217</v>
      </c>
      <c r="G129" s="22" t="n">
        <v>-3993</v>
      </c>
      <c r="I129" s="22" t="n">
        <v>-26280</v>
      </c>
      <c r="K129" s="22" t="n">
        <v>1725</v>
      </c>
      <c r="M129" s="22" t="n">
        <v>-14246</v>
      </c>
      <c r="T129" s="22" t="n">
        <v>-4182</v>
      </c>
      <c r="U129" s="22" t="n">
        <v>-3466</v>
      </c>
      <c r="V129" s="22" t="n">
        <v>-29217</v>
      </c>
      <c r="W129" s="22" t="n">
        <v>-26280</v>
      </c>
      <c r="X129" s="22" t="n">
        <v>-14246</v>
      </c>
    </row>
    <row r="130">
      <c r="A130" s="20" t="inlineStr">
        <is>
          <t>계약부채 증감</t>
        </is>
      </c>
      <c r="C130" s="22" t="n">
        <v>-600</v>
      </c>
      <c r="T130" s="22" t="n">
        <v>285</v>
      </c>
      <c r="U130" s="22" t="n">
        <v>2560</v>
      </c>
    </row>
    <row r="131">
      <c r="A131" s="20" t="inlineStr">
        <is>
          <t>계약부채 증감</t>
        </is>
      </c>
      <c r="C131" s="22" t="n">
        <v>-600</v>
      </c>
      <c r="E131" s="22" t="n">
        <v>198</v>
      </c>
      <c r="G131" s="22" t="n">
        <v>-607</v>
      </c>
      <c r="I131" s="22" t="n">
        <v>1441</v>
      </c>
      <c r="K131" s="22" t="n">
        <v>-667</v>
      </c>
      <c r="M131" s="22" t="n">
        <v>1633</v>
      </c>
      <c r="U131" s="22" t="n">
        <v>2560</v>
      </c>
      <c r="V131" s="22" t="n">
        <v>198</v>
      </c>
      <c r="W131" s="22" t="n">
        <v>1441</v>
      </c>
      <c r="X131" s="22" t="n">
        <v>1633</v>
      </c>
    </row>
    <row r="132">
      <c r="A132" s="20" t="inlineStr">
        <is>
          <t>기타</t>
        </is>
      </c>
      <c r="C132" s="22" t="n">
        <v>-443</v>
      </c>
      <c r="E132" s="22" t="n">
        <v>-961</v>
      </c>
      <c r="G132" s="22" t="n">
        <v>797</v>
      </c>
      <c r="I132" s="22" t="n">
        <v>266</v>
      </c>
      <c r="K132" s="22" t="n">
        <v>55</v>
      </c>
      <c r="M132" s="22" t="n">
        <v>137</v>
      </c>
      <c r="T132" s="22" t="n">
        <v>293</v>
      </c>
      <c r="U132" s="22" t="n">
        <v>142</v>
      </c>
      <c r="V132" s="22" t="n">
        <v>-961</v>
      </c>
      <c r="W132" s="22" t="n">
        <v>266</v>
      </c>
      <c r="X132" s="22" t="n">
        <v>137</v>
      </c>
    </row>
    <row r="133">
      <c r="A133" s="20" t="inlineStr">
        <is>
          <t>소계</t>
        </is>
      </c>
      <c r="C133" s="22" t="n">
        <v>-9156</v>
      </c>
      <c r="E133" s="22" t="n">
        <v>-22998</v>
      </c>
      <c r="G133" s="22" t="n">
        <v>-1821</v>
      </c>
      <c r="I133" s="22" t="n">
        <v>-23452</v>
      </c>
      <c r="K133" s="22" t="n">
        <v>12712</v>
      </c>
      <c r="M133" s="22" t="n">
        <v>4368</v>
      </c>
      <c r="T133" s="22" t="n">
        <v>-295</v>
      </c>
      <c r="U133" s="22" t="n">
        <v>4022</v>
      </c>
      <c r="V133" s="22" t="n">
        <v>-22998</v>
      </c>
      <c r="W133" s="22" t="n">
        <v>-23452</v>
      </c>
      <c r="X133" s="22" t="n">
        <v>4368</v>
      </c>
    </row>
    <row r="134">
      <c r="A134" s="20" t="inlineStr">
        <is>
          <t>이자 수취</t>
        </is>
      </c>
      <c r="T134" s="22" t="n">
        <v>0</v>
      </c>
      <c r="U134" s="22" t="n">
        <v>0</v>
      </c>
    </row>
    <row r="135">
      <c r="A135" s="20" t="inlineStr">
        <is>
          <t>이자·배당금 수취</t>
        </is>
      </c>
      <c r="C135" s="22" t="n">
        <v>0</v>
      </c>
      <c r="E135" s="22" t="n">
        <v>0</v>
      </c>
      <c r="G135" s="22" t="n">
        <v>1</v>
      </c>
      <c r="I135" s="22" t="n">
        <v>7</v>
      </c>
      <c r="K135" s="22" t="n">
        <v>14</v>
      </c>
      <c r="M135" s="22" t="n">
        <v>32</v>
      </c>
      <c r="U135" s="22" t="n">
        <v>0</v>
      </c>
      <c r="V135" s="22" t="n">
        <v>0</v>
      </c>
      <c r="W135" s="22" t="n">
        <v>7</v>
      </c>
      <c r="X135" s="22" t="n">
        <v>32</v>
      </c>
    </row>
    <row r="136">
      <c r="A136" s="20" t="inlineStr">
        <is>
          <t>이자 지급</t>
        </is>
      </c>
      <c r="C136" s="22" t="n">
        <v>-167</v>
      </c>
      <c r="E136" s="22" t="n">
        <v>-443</v>
      </c>
      <c r="G136" s="22" t="n">
        <v>-318</v>
      </c>
      <c r="I136" s="22" t="n">
        <v>-866</v>
      </c>
      <c r="K136" s="22" t="n">
        <v>-585</v>
      </c>
      <c r="M136" s="22" t="n">
        <v>-1223</v>
      </c>
      <c r="T136" s="22" t="n">
        <v>-730</v>
      </c>
      <c r="U136" s="22" t="n">
        <v>-306</v>
      </c>
      <c r="V136" s="22" t="n">
        <v>-443</v>
      </c>
      <c r="W136" s="22" t="n">
        <v>-866</v>
      </c>
      <c r="X136" s="22" t="n">
        <v>-1223</v>
      </c>
    </row>
    <row r="137">
      <c r="A137" s="20" t="inlineStr">
        <is>
          <t>법인세 납부</t>
        </is>
      </c>
      <c r="C137" s="22" t="n">
        <v>-2693</v>
      </c>
      <c r="E137" s="22" t="n">
        <v>-3209</v>
      </c>
      <c r="G137" s="22" t="n">
        <v>-1292</v>
      </c>
      <c r="I137" s="22" t="n">
        <v>-2198</v>
      </c>
      <c r="K137" s="22" t="n">
        <v>-1806</v>
      </c>
      <c r="M137" s="22" t="n">
        <v>-3164</v>
      </c>
      <c r="T137" s="22" t="n">
        <v>-3</v>
      </c>
      <c r="U137" s="22" t="n">
        <v>-5</v>
      </c>
      <c r="V137" s="22" t="n">
        <v>-3209</v>
      </c>
      <c r="W137" s="22" t="n">
        <v>-2198</v>
      </c>
      <c r="X137" s="22" t="n">
        <v>-3164</v>
      </c>
    </row>
    <row r="138">
      <c r="A138" s="20" t="inlineStr">
        <is>
          <t>법인세 환급</t>
        </is>
      </c>
      <c r="C138" s="22" t="n">
        <v>0</v>
      </c>
      <c r="E138" s="22" t="n">
        <v>0</v>
      </c>
      <c r="G138" s="22" t="n">
        <v>2</v>
      </c>
      <c r="I138" s="22" t="n">
        <v>3</v>
      </c>
      <c r="K138" s="22" t="n">
        <v>0</v>
      </c>
      <c r="M138" s="22" t="n">
        <v>0</v>
      </c>
      <c r="T138" s="22" t="n">
        <v>256</v>
      </c>
      <c r="U138" s="22" t="n">
        <v>0</v>
      </c>
      <c r="V138" s="22" t="n">
        <v>0</v>
      </c>
      <c r="W138" s="22" t="n">
        <v>3</v>
      </c>
      <c r="X138" s="22" t="n">
        <v>0</v>
      </c>
    </row>
    <row r="139">
      <c r="A139" s="9" t="inlineStr">
        <is>
          <t>영업활동 현금흐름</t>
        </is>
      </c>
      <c r="C139" s="12" t="n">
        <v>-12017</v>
      </c>
      <c r="E139" s="12" t="n">
        <v>-26652</v>
      </c>
      <c r="G139" s="12" t="n">
        <v>-3429</v>
      </c>
      <c r="I139" s="12" t="n">
        <v>-26506</v>
      </c>
      <c r="K139" s="12" t="n">
        <v>10334</v>
      </c>
      <c r="M139" s="12" t="n">
        <v>13</v>
      </c>
      <c r="T139" s="12" t="n">
        <v>-772</v>
      </c>
      <c r="U139" s="12" t="n">
        <v>3711</v>
      </c>
      <c r="V139" s="12" t="n">
        <v>-26652</v>
      </c>
      <c r="W139" s="12" t="n">
        <v>-26506</v>
      </c>
      <c r="X139" s="12" t="n">
        <v>13</v>
      </c>
    </row>
    <row r="140">
      <c r="A140" s="20" t="inlineStr">
        <is>
          <t>유형자산 취득(설비투자)</t>
        </is>
      </c>
      <c r="C140" s="22" t="n">
        <v>-3</v>
      </c>
      <c r="E140" s="22" t="n">
        <v>-3</v>
      </c>
      <c r="G140" s="22" t="n">
        <v>-3</v>
      </c>
      <c r="I140" s="22" t="n">
        <v>-3</v>
      </c>
      <c r="K140" s="22" t="n">
        <v>-14</v>
      </c>
      <c r="M140" s="22" t="n">
        <v>-17</v>
      </c>
      <c r="T140" s="22" t="n">
        <v>-42</v>
      </c>
      <c r="U140" s="22" t="n">
        <v>-8228</v>
      </c>
      <c r="V140" s="22" t="n">
        <v>-3</v>
      </c>
      <c r="W140" s="22" t="n">
        <v>-3</v>
      </c>
      <c r="X140" s="22" t="n">
        <v>-17</v>
      </c>
    </row>
    <row r="141">
      <c r="A141" s="20" t="inlineStr">
        <is>
          <t>유형자산 매각</t>
        </is>
      </c>
      <c r="E141" s="22" t="n">
        <v>2</v>
      </c>
      <c r="I141" s="22" t="n">
        <v>0</v>
      </c>
      <c r="T141" s="22" t="n">
        <v>26214</v>
      </c>
      <c r="U141" s="22" t="n">
        <v>0</v>
      </c>
      <c r="V141" s="22" t="n">
        <v>2</v>
      </c>
      <c r="W141" s="22" t="n">
        <v>0</v>
      </c>
    </row>
    <row r="142">
      <c r="A142" s="20" t="inlineStr">
        <is>
          <t>무형자산 취득</t>
        </is>
      </c>
      <c r="C142" s="22" t="n">
        <v>0</v>
      </c>
      <c r="E142" s="22" t="n">
        <v>-34</v>
      </c>
      <c r="G142" s="22" t="n">
        <v>-8</v>
      </c>
      <c r="I142" s="22" t="n">
        <v>-25</v>
      </c>
      <c r="K142" s="22" t="n">
        <v>0</v>
      </c>
      <c r="M142" s="22" t="n">
        <v>-1</v>
      </c>
      <c r="T142" s="22" t="n">
        <v>0</v>
      </c>
      <c r="U142" s="22" t="n">
        <v>-25</v>
      </c>
      <c r="V142" s="22" t="n">
        <v>-34</v>
      </c>
      <c r="W142" s="22" t="n">
        <v>-25</v>
      </c>
      <c r="X142" s="22" t="n">
        <v>-1</v>
      </c>
    </row>
    <row r="143">
      <c r="A143" s="20" t="inlineStr">
        <is>
          <t>관계회사 주식 취득</t>
        </is>
      </c>
      <c r="C143" s="22" t="n">
        <v>-53</v>
      </c>
      <c r="E143" s="22" t="n">
        <v>-114</v>
      </c>
      <c r="G143" s="22" t="n">
        <v>-28</v>
      </c>
      <c r="I143" s="22" t="n">
        <v>-60</v>
      </c>
      <c r="K143" s="22" t="n">
        <v>-76</v>
      </c>
      <c r="M143" s="22" t="n">
        <v>-215</v>
      </c>
      <c r="T143" s="22" t="n">
        <v>-72</v>
      </c>
      <c r="U143" s="22" t="n">
        <v>-84</v>
      </c>
      <c r="V143" s="22" t="n">
        <v>-114</v>
      </c>
      <c r="W143" s="22" t="n">
        <v>-60</v>
      </c>
      <c r="X143" s="22" t="n">
        <v>-215</v>
      </c>
    </row>
    <row r="144">
      <c r="A144" s="20" t="inlineStr">
        <is>
          <t>관계회사 출자금 납입</t>
        </is>
      </c>
      <c r="C144" s="22" t="n">
        <v>-8</v>
      </c>
      <c r="E144" s="22" t="n">
        <v>-38</v>
      </c>
      <c r="G144" s="22" t="n">
        <v>-10</v>
      </c>
      <c r="I144" s="22" t="n">
        <v>-34</v>
      </c>
      <c r="K144" s="22" t="n">
        <v>-4</v>
      </c>
      <c r="M144" s="22" t="n">
        <v>-20</v>
      </c>
      <c r="T144" s="22" t="n">
        <v>-6</v>
      </c>
      <c r="U144" s="22" t="n">
        <v>-29</v>
      </c>
      <c r="V144" s="22" t="n">
        <v>-38</v>
      </c>
      <c r="W144" s="22" t="n">
        <v>-34</v>
      </c>
      <c r="X144" s="22" t="n">
        <v>-20</v>
      </c>
    </row>
    <row r="145">
      <c r="A145" s="20" t="inlineStr">
        <is>
          <t>기타</t>
        </is>
      </c>
      <c r="C145" s="22" t="n">
        <v>-1</v>
      </c>
      <c r="E145" s="22" t="n">
        <v>-1</v>
      </c>
      <c r="G145" s="22" t="n">
        <v>-0</v>
      </c>
      <c r="I145" s="22" t="n">
        <v>-0</v>
      </c>
      <c r="K145" s="22" t="n">
        <v>-10</v>
      </c>
      <c r="M145" s="22" t="n">
        <v>-0</v>
      </c>
      <c r="T145" s="22" t="n">
        <v>-10</v>
      </c>
      <c r="U145" s="22" t="n">
        <v>-66</v>
      </c>
      <c r="V145" s="22" t="n">
        <v>-1</v>
      </c>
      <c r="W145" s="22" t="n">
        <v>-0</v>
      </c>
      <c r="X145" s="22" t="n">
        <v>-0</v>
      </c>
    </row>
    <row r="146">
      <c r="A146" s="9" t="inlineStr">
        <is>
          <t>투자활동 현금흐름</t>
        </is>
      </c>
      <c r="C146" s="12" t="n">
        <v>-66</v>
      </c>
      <c r="E146" s="12" t="n">
        <v>-189</v>
      </c>
      <c r="G146" s="12" t="n">
        <v>-50</v>
      </c>
      <c r="I146" s="12" t="n">
        <v>-123</v>
      </c>
      <c r="K146" s="12" t="n">
        <v>-105</v>
      </c>
      <c r="M146" s="12" t="n">
        <v>-254</v>
      </c>
      <c r="T146" s="12" t="n">
        <v>26082</v>
      </c>
      <c r="U146" s="12" t="n">
        <v>-8434</v>
      </c>
      <c r="V146" s="12" t="n">
        <v>-189</v>
      </c>
      <c r="W146" s="12" t="n">
        <v>-123</v>
      </c>
      <c r="X146" s="12" t="n">
        <v>-254</v>
      </c>
    </row>
    <row r="147">
      <c r="A147" s="20" t="inlineStr">
        <is>
          <t>단기차입금 순증감</t>
        </is>
      </c>
      <c r="C147" s="22" t="n">
        <v>10200</v>
      </c>
      <c r="E147" s="22" t="n">
        <v>24199</v>
      </c>
      <c r="G147" s="22" t="n">
        <v>7900</v>
      </c>
      <c r="I147" s="22" t="n">
        <v>18000</v>
      </c>
      <c r="K147" s="22" t="n">
        <v>-8442</v>
      </c>
      <c r="M147" s="22" t="n">
        <v>-7500</v>
      </c>
      <c r="T147" s="22" t="n">
        <v>-3690</v>
      </c>
      <c r="U147" s="22" t="n">
        <v>-6319</v>
      </c>
      <c r="V147" s="22" t="n">
        <v>24199</v>
      </c>
      <c r="W147" s="22" t="n">
        <v>18000</v>
      </c>
      <c r="X147" s="22" t="n">
        <v>-7500</v>
      </c>
    </row>
    <row r="148">
      <c r="A148" s="20" t="inlineStr">
        <is>
          <t>기업어음(CP) 순증감액</t>
        </is>
      </c>
      <c r="C148" s="22" t="n">
        <v>0</v>
      </c>
      <c r="E148" s="22" t="n">
        <v>2000</v>
      </c>
      <c r="G148" s="22" t="n">
        <v>3000</v>
      </c>
      <c r="I148" s="22" t="n">
        <v>1000</v>
      </c>
      <c r="K148" s="22" t="n">
        <v>2000</v>
      </c>
      <c r="M148" s="22" t="n">
        <v>0</v>
      </c>
      <c r="U148" s="22" t="n">
        <v>0</v>
      </c>
      <c r="V148" s="22" t="n">
        <v>2000</v>
      </c>
      <c r="W148" s="22" t="n">
        <v>1000</v>
      </c>
      <c r="X148" s="22" t="n">
        <v>0</v>
      </c>
    </row>
    <row r="149">
      <c r="A149" s="20" t="inlineStr">
        <is>
          <t>장기차입</t>
        </is>
      </c>
      <c r="C149" s="22" t="n">
        <v>0</v>
      </c>
      <c r="E149" s="22" t="n">
        <v>0</v>
      </c>
      <c r="G149" s="22" t="n">
        <v>0</v>
      </c>
      <c r="I149" s="22" t="n">
        <v>0</v>
      </c>
      <c r="K149" s="22" t="n">
        <v>1000</v>
      </c>
      <c r="M149" s="22" t="n">
        <v>10100</v>
      </c>
      <c r="T149" s="22" t="n">
        <v>0</v>
      </c>
      <c r="U149" s="22" t="n">
        <v>14658</v>
      </c>
      <c r="V149" s="22" t="n">
        <v>0</v>
      </c>
      <c r="W149" s="22" t="n">
        <v>0</v>
      </c>
      <c r="X149" s="22" t="n">
        <v>10100</v>
      </c>
    </row>
    <row r="150">
      <c r="A150" s="20" t="inlineStr">
        <is>
          <t>장기차입금 상환</t>
        </is>
      </c>
      <c r="C150" s="22" t="n">
        <v>-251</v>
      </c>
      <c r="E150" s="22" t="n">
        <v>-502</v>
      </c>
      <c r="G150" s="22" t="n">
        <v>-251</v>
      </c>
      <c r="I150" s="22" t="n">
        <v>-502</v>
      </c>
      <c r="K150" s="22" t="n">
        <v>-251</v>
      </c>
      <c r="M150" s="22" t="n">
        <v>-8632</v>
      </c>
      <c r="T150" s="22" t="n">
        <v>0</v>
      </c>
      <c r="U150" s="22" t="n">
        <v>-251</v>
      </c>
      <c r="V150" s="22" t="n">
        <v>-502</v>
      </c>
      <c r="W150" s="22" t="n">
        <v>-502</v>
      </c>
      <c r="X150" s="22" t="n">
        <v>-8632</v>
      </c>
    </row>
    <row r="151">
      <c r="A151" s="20" t="inlineStr">
        <is>
          <t>Repayments Of Long Term Non Recourse Loans Fin CF</t>
        </is>
      </c>
      <c r="T151" s="22" t="n">
        <v>-18525</v>
      </c>
      <c r="U151" s="22" t="n">
        <v>0</v>
      </c>
    </row>
    <row r="152">
      <c r="A152" s="20" t="inlineStr">
        <is>
          <t>주식 발행</t>
        </is>
      </c>
      <c r="C152" s="22" t="n">
        <v>0</v>
      </c>
      <c r="E152" s="22" t="n">
        <v>0</v>
      </c>
      <c r="G152" s="22" t="n">
        <v>59</v>
      </c>
      <c r="T152" s="22" t="n">
        <v>0</v>
      </c>
      <c r="U152" s="22" t="n">
        <v>1851</v>
      </c>
      <c r="V152" s="22" t="n">
        <v>0</v>
      </c>
    </row>
    <row r="153">
      <c r="A153" s="20" t="inlineStr">
        <is>
          <t>사채 발행</t>
        </is>
      </c>
      <c r="E153" s="22" t="n">
        <v>0</v>
      </c>
      <c r="I153" s="22" t="n">
        <v>4973</v>
      </c>
      <c r="M153" s="22" t="n">
        <v>5969</v>
      </c>
      <c r="V153" s="22" t="n">
        <v>0</v>
      </c>
      <c r="W153" s="22" t="n">
        <v>4973</v>
      </c>
      <c r="X153" s="22" t="n">
        <v>5969</v>
      </c>
    </row>
    <row r="154">
      <c r="A154" s="20" t="inlineStr">
        <is>
          <t>신주예약권 행사에 따른 주식 발행</t>
        </is>
      </c>
      <c r="E154" s="22" t="n">
        <v>0</v>
      </c>
      <c r="G154" s="22" t="n">
        <v>59</v>
      </c>
      <c r="I154" s="22" t="n">
        <v>229</v>
      </c>
      <c r="K154" s="22" t="n">
        <v>94</v>
      </c>
      <c r="M154" s="22" t="n">
        <v>190</v>
      </c>
      <c r="V154" s="22" t="n">
        <v>0</v>
      </c>
      <c r="W154" s="22" t="n">
        <v>229</v>
      </c>
      <c r="X154" s="22" t="n">
        <v>190</v>
      </c>
    </row>
    <row r="155">
      <c r="A155" s="20" t="inlineStr">
        <is>
          <t>자기주식 취득</t>
        </is>
      </c>
      <c r="C155" s="22" t="n">
        <v>-0</v>
      </c>
      <c r="E155" s="22" t="n">
        <v>-0</v>
      </c>
      <c r="G155" s="22" t="n">
        <v>0</v>
      </c>
      <c r="I155" s="22" t="n">
        <v>0</v>
      </c>
      <c r="M155" s="22" t="n">
        <v>-0</v>
      </c>
      <c r="U155" s="22" t="n">
        <v>0</v>
      </c>
      <c r="V155" s="22" t="n">
        <v>-0</v>
      </c>
      <c r="W155" s="22" t="n">
        <v>0</v>
      </c>
      <c r="X155" s="22" t="n">
        <v>-0</v>
      </c>
    </row>
    <row r="156">
      <c r="A156" s="20" t="inlineStr">
        <is>
          <t>신주예약권 발행</t>
        </is>
      </c>
      <c r="E156" s="22" t="n">
        <v>0</v>
      </c>
      <c r="I156" s="22" t="n">
        <v>6</v>
      </c>
      <c r="M156" s="22" t="n">
        <v>0</v>
      </c>
      <c r="T156" s="22" t="n">
        <v>17</v>
      </c>
      <c r="U156" s="22" t="n">
        <v>0</v>
      </c>
      <c r="V156" s="22" t="n">
        <v>0</v>
      </c>
      <c r="W156" s="22" t="n">
        <v>6</v>
      </c>
      <c r="X156" s="22" t="n">
        <v>0</v>
      </c>
    </row>
    <row r="157">
      <c r="A157" s="20" t="inlineStr">
        <is>
          <t>배당금 지급</t>
        </is>
      </c>
      <c r="C157" s="22" t="n">
        <v>-77</v>
      </c>
      <c r="E157" s="22" t="n">
        <v>-77</v>
      </c>
      <c r="G157" s="22" t="n">
        <v>-776</v>
      </c>
      <c r="I157" s="22" t="n">
        <v>-776</v>
      </c>
      <c r="K157" s="22" t="n">
        <v>-1337</v>
      </c>
      <c r="M157" s="22" t="n">
        <v>-1733</v>
      </c>
      <c r="U157" s="22" t="n">
        <v>0</v>
      </c>
      <c r="V157" s="22" t="n">
        <v>-77</v>
      </c>
      <c r="W157" s="22" t="n">
        <v>-776</v>
      </c>
      <c r="X157" s="22" t="n">
        <v>-1733</v>
      </c>
    </row>
    <row r="158">
      <c r="A158" s="9" t="inlineStr">
        <is>
          <t>재무활동 현금흐름</t>
        </is>
      </c>
      <c r="C158" s="12" t="n">
        <v>9871</v>
      </c>
      <c r="E158" s="12" t="n">
        <v>25619</v>
      </c>
      <c r="G158" s="12" t="n">
        <v>9932</v>
      </c>
      <c r="I158" s="12" t="n">
        <v>22931</v>
      </c>
      <c r="K158" s="12" t="n">
        <v>-6936</v>
      </c>
      <c r="M158" s="12" t="n">
        <v>-1605</v>
      </c>
      <c r="T158" s="12" t="n">
        <v>-22198</v>
      </c>
      <c r="U158" s="12" t="n">
        <v>9939</v>
      </c>
      <c r="V158" s="12" t="n">
        <v>25619</v>
      </c>
      <c r="W158" s="12" t="n">
        <v>22931</v>
      </c>
      <c r="X158" s="12" t="n">
        <v>-1605</v>
      </c>
    </row>
    <row r="159">
      <c r="A159" s="20" t="inlineStr">
        <is>
          <t>현금성자산 환산차이</t>
        </is>
      </c>
      <c r="C159" s="22" t="n">
        <v>65</v>
      </c>
      <c r="E159" s="22" t="n">
        <v>63</v>
      </c>
      <c r="G159" s="22" t="n">
        <v>-17</v>
      </c>
      <c r="I159" s="22" t="n">
        <v>-18</v>
      </c>
      <c r="K159" s="22" t="n">
        <v>1</v>
      </c>
      <c r="M159" s="22" t="n">
        <v>5</v>
      </c>
      <c r="T159" s="22" t="n">
        <v>117</v>
      </c>
      <c r="U159" s="22" t="n">
        <v>-10</v>
      </c>
      <c r="V159" s="22" t="n">
        <v>63</v>
      </c>
      <c r="W159" s="22" t="n">
        <v>-18</v>
      </c>
      <c r="X159" s="22" t="n">
        <v>5</v>
      </c>
    </row>
    <row r="160">
      <c r="A160" s="20" t="inlineStr">
        <is>
          <t>현금성자산 증감</t>
        </is>
      </c>
      <c r="C160" s="22" t="n">
        <v>-2147</v>
      </c>
      <c r="E160" s="22" t="n">
        <v>-1158</v>
      </c>
      <c r="G160" s="22" t="n">
        <v>6434</v>
      </c>
      <c r="I160" s="22" t="n">
        <v>-3717</v>
      </c>
      <c r="K160" s="22" t="n">
        <v>3293</v>
      </c>
      <c r="M160" s="22" t="n">
        <v>-1841</v>
      </c>
      <c r="T160" s="22" t="n">
        <v>3230</v>
      </c>
      <c r="U160" s="22" t="n">
        <v>5205</v>
      </c>
      <c r="V160" s="22" t="n">
        <v>-1158</v>
      </c>
      <c r="W160" s="22" t="n">
        <v>-3717</v>
      </c>
      <c r="X160" s="22" t="n">
        <v>-1841</v>
      </c>
    </row>
    <row r="161">
      <c r="A161" s="20" t="inlineStr">
        <is>
          <t>신규 연결 현금성자산 증가</t>
        </is>
      </c>
      <c r="C161" s="22" t="n">
        <v>0</v>
      </c>
      <c r="E161" s="22" t="n">
        <v>0</v>
      </c>
      <c r="T161" s="22" t="n">
        <v>0</v>
      </c>
      <c r="U161" s="22" t="n">
        <v>1</v>
      </c>
      <c r="V161" s="22" t="n">
        <v>0</v>
      </c>
    </row>
    <row r="162">
      <c r="A162" s="20" t="inlineStr">
        <is>
          <t>연결 제외 현금성자산 감소</t>
        </is>
      </c>
      <c r="C162" s="22" t="n">
        <v>0</v>
      </c>
      <c r="E162" s="22" t="n">
        <v>0</v>
      </c>
      <c r="T162" s="22" t="n">
        <v>-0</v>
      </c>
      <c r="U162" s="22" t="n">
        <v>-9</v>
      </c>
      <c r="V162" s="22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25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5834 재무상태표</t>
        </is>
      </c>
    </row>
    <row r="2">
      <c r="A2" s="45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97748</v>
      </c>
      <c r="D5" s="12" t="n">
        <v>89489</v>
      </c>
      <c r="E5" s="12" t="n">
        <v>93588</v>
      </c>
      <c r="F5" s="12" t="n">
        <v>100063</v>
      </c>
      <c r="G5" s="12" t="n">
        <v>88359</v>
      </c>
      <c r="H5" s="11" t="n">
        <v>28036</v>
      </c>
      <c r="I5" s="12" t="n">
        <v>37283</v>
      </c>
      <c r="J5" s="12" t="n">
        <v>64930</v>
      </c>
      <c r="K5" s="12" t="n">
        <v>94742</v>
      </c>
      <c r="L5" s="12" t="n">
        <v>100063</v>
      </c>
    </row>
    <row r="6">
      <c r="A6" s="20" t="inlineStr">
        <is>
          <t>현금및현금성자산</t>
        </is>
      </c>
      <c r="B6" s="10" t="n"/>
      <c r="C6" s="21" t="n">
        <v>11530</v>
      </c>
      <c r="D6" s="22" t="n">
        <v>12229</v>
      </c>
      <c r="E6" s="22" t="n">
        <v>13082</v>
      </c>
      <c r="F6" s="22" t="n">
        <v>7094</v>
      </c>
      <c r="G6" s="22" t="n">
        <v>14122</v>
      </c>
      <c r="H6" s="21" t="n">
        <v>8614</v>
      </c>
      <c r="I6" s="22" t="n">
        <v>13812</v>
      </c>
      <c r="J6" s="22" t="n">
        <v>12653</v>
      </c>
      <c r="K6" s="22" t="n">
        <v>8936</v>
      </c>
      <c r="L6" s="22" t="n">
        <v>7094</v>
      </c>
    </row>
    <row r="7">
      <c r="A7" s="20" t="inlineStr">
        <is>
          <t>단기금융상품</t>
        </is>
      </c>
      <c r="B7" s="10" t="n"/>
      <c r="C7" s="21" t="n"/>
      <c r="D7" s="22" t="n"/>
      <c r="E7" s="22" t="n"/>
      <c r="F7" s="22" t="n"/>
      <c r="G7" s="22" t="n"/>
      <c r="H7" s="21" t="n"/>
      <c r="I7" s="22" t="n"/>
      <c r="J7" s="22" t="n"/>
      <c r="K7" s="22" t="n"/>
      <c r="L7" s="22" t="n"/>
    </row>
    <row r="8">
      <c r="A8" s="20" t="inlineStr">
        <is>
          <t>매출채권</t>
        </is>
      </c>
      <c r="B8" s="10" t="n"/>
      <c r="C8" s="21" t="n"/>
      <c r="D8" s="22" t="n"/>
      <c r="E8" s="22" t="n"/>
      <c r="F8" s="22" t="n"/>
      <c r="G8" s="22" t="n"/>
      <c r="H8" s="21" t="n"/>
      <c r="I8" s="22" t="n"/>
      <c r="J8" s="22" t="n"/>
      <c r="K8" s="22" t="n"/>
      <c r="L8" s="22" t="n"/>
    </row>
    <row r="9">
      <c r="A9" s="20" t="inlineStr">
        <is>
          <t>재고자산</t>
        </is>
      </c>
      <c r="B9" s="10" t="n"/>
      <c r="C9" s="21" t="n"/>
      <c r="D9" s="22" t="n"/>
      <c r="E9" s="22" t="n"/>
      <c r="F9" s="22" t="n"/>
      <c r="G9" s="22" t="n"/>
      <c r="H9" s="21" t="n"/>
      <c r="I9" s="22" t="n"/>
      <c r="J9" s="22" t="n"/>
      <c r="K9" s="22" t="n"/>
      <c r="L9" s="22" t="n"/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10763</v>
      </c>
      <c r="D11" s="12" t="n">
        <v>11030</v>
      </c>
      <c r="E11" s="12" t="n">
        <v>11505</v>
      </c>
      <c r="F11" s="12" t="n">
        <v>12201</v>
      </c>
      <c r="G11" s="12" t="n">
        <v>11236</v>
      </c>
      <c r="H11" s="11" t="n">
        <v>1759</v>
      </c>
      <c r="I11" s="12" t="n">
        <v>11071</v>
      </c>
      <c r="J11" s="12" t="n">
        <v>10769</v>
      </c>
      <c r="K11" s="12" t="n">
        <v>11034</v>
      </c>
      <c r="L11" s="12" t="n">
        <v>12201</v>
      </c>
    </row>
    <row r="12">
      <c r="A12" s="20" t="inlineStr">
        <is>
          <t>유형자산</t>
        </is>
      </c>
      <c r="B12" s="10" t="n"/>
      <c r="C12" s="21" t="n">
        <v>7405</v>
      </c>
      <c r="D12" s="22" t="n">
        <v>7254</v>
      </c>
      <c r="E12" s="22" t="n">
        <v>7087</v>
      </c>
      <c r="F12" s="22" t="n">
        <v>6922</v>
      </c>
      <c r="G12" s="22" t="n">
        <v>6756</v>
      </c>
      <c r="H12" s="21" t="n">
        <v>1189</v>
      </c>
      <c r="I12" s="22" t="n">
        <v>8960</v>
      </c>
      <c r="J12" s="22" t="n">
        <v>8233</v>
      </c>
      <c r="K12" s="22" t="n">
        <v>7571</v>
      </c>
      <c r="L12" s="22" t="n">
        <v>6922</v>
      </c>
    </row>
    <row r="13">
      <c r="A13" s="20" t="inlineStr">
        <is>
          <t>무형자산</t>
        </is>
      </c>
      <c r="B13" s="10" t="n"/>
      <c r="C13" s="21" t="n">
        <v>241</v>
      </c>
      <c r="D13" s="22" t="n">
        <v>224</v>
      </c>
      <c r="E13" s="22" t="n">
        <v>208</v>
      </c>
      <c r="F13" s="22" t="n">
        <v>197</v>
      </c>
      <c r="G13" s="22" t="n">
        <v>207</v>
      </c>
      <c r="H13" s="21" t="n">
        <v>364</v>
      </c>
      <c r="I13" s="22" t="n">
        <v>337</v>
      </c>
      <c r="J13" s="22" t="n">
        <v>294</v>
      </c>
      <c r="K13" s="22" t="n">
        <v>257</v>
      </c>
      <c r="L13" s="22" t="n">
        <v>197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108512</v>
      </c>
      <c r="D16" s="12" t="n">
        <v>100519</v>
      </c>
      <c r="E16" s="12" t="n">
        <v>105093</v>
      </c>
      <c r="F16" s="12" t="n">
        <v>112264</v>
      </c>
      <c r="G16" s="12" t="n">
        <v>99595</v>
      </c>
      <c r="H16" s="11" t="n">
        <v>29795</v>
      </c>
      <c r="I16" s="12" t="n">
        <v>48354</v>
      </c>
      <c r="J16" s="12" t="n">
        <v>75700</v>
      </c>
      <c r="K16" s="12" t="n">
        <v>105777</v>
      </c>
      <c r="L16" s="12" t="n">
        <v>112264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73218</v>
      </c>
      <c r="D18" s="12" t="n">
        <v>63434</v>
      </c>
      <c r="E18" s="12" t="n">
        <v>54206</v>
      </c>
      <c r="F18" s="12" t="n">
        <v>58116</v>
      </c>
      <c r="G18" s="12" t="n">
        <v>43746</v>
      </c>
      <c r="H18" s="11" t="n">
        <v>16478</v>
      </c>
      <c r="I18" s="12" t="n">
        <v>16643</v>
      </c>
      <c r="J18" s="12" t="n">
        <v>41155</v>
      </c>
      <c r="K18" s="12" t="n">
        <v>70806</v>
      </c>
      <c r="L18" s="12" t="n">
        <v>58116</v>
      </c>
    </row>
    <row r="19">
      <c r="A19" s="20" t="inlineStr">
        <is>
          <t>매입채무</t>
        </is>
      </c>
      <c r="B19" s="10" t="n"/>
      <c r="C19" s="21" t="n"/>
      <c r="D19" s="22" t="n"/>
      <c r="E19" s="22" t="n"/>
      <c r="F19" s="22" t="n"/>
      <c r="G19" s="22" t="n"/>
      <c r="H19" s="21" t="n"/>
      <c r="I19" s="22" t="n"/>
      <c r="J19" s="22" t="n"/>
      <c r="K19" s="22" t="n"/>
      <c r="L19" s="22" t="n"/>
    </row>
    <row r="20">
      <c r="A20" s="20" t="inlineStr">
        <is>
          <t>단기차입금</t>
        </is>
      </c>
      <c r="B20" s="10" t="n"/>
      <c r="C20" s="21" t="n">
        <v>53623</v>
      </c>
      <c r="D20" s="22" t="n">
        <v>42557</v>
      </c>
      <c r="E20" s="22" t="n">
        <v>40500</v>
      </c>
      <c r="F20" s="22" t="n">
        <v>43500</v>
      </c>
      <c r="G20" s="22" t="n">
        <v>30000</v>
      </c>
      <c r="H20" s="21" t="n">
        <v>15119</v>
      </c>
      <c r="I20" s="22" t="n">
        <v>8800</v>
      </c>
      <c r="J20" s="22" t="n">
        <v>32999</v>
      </c>
      <c r="K20" s="22" t="n">
        <v>51000</v>
      </c>
      <c r="L20" s="22" t="n">
        <v>43500</v>
      </c>
    </row>
    <row r="21">
      <c r="A21" s="20" t="inlineStr">
        <is>
          <t>유동성장기부채</t>
        </is>
      </c>
      <c r="B21" s="10" t="n"/>
      <c r="C21" s="21" t="n">
        <v>8632</v>
      </c>
      <c r="D21" s="22" t="n">
        <v>8632</v>
      </c>
      <c r="E21" s="22" t="n">
        <v>1002</v>
      </c>
      <c r="F21" s="22" t="n">
        <v>502</v>
      </c>
      <c r="G21" s="22" t="n">
        <v>502</v>
      </c>
      <c r="H21" s="21" t="n">
        <v>0</v>
      </c>
      <c r="I21" s="22" t="n">
        <v>502</v>
      </c>
      <c r="J21" s="22" t="n">
        <v>502</v>
      </c>
      <c r="K21" s="22" t="n">
        <v>8632</v>
      </c>
      <c r="L21" s="22" t="n">
        <v>502</v>
      </c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9672</v>
      </c>
      <c r="D23" s="12" t="n">
        <v>10547</v>
      </c>
      <c r="E23" s="12" t="n">
        <v>23521</v>
      </c>
      <c r="F23" s="12" t="n">
        <v>25396</v>
      </c>
      <c r="G23" s="12" t="n">
        <v>25270</v>
      </c>
      <c r="H23" s="11" t="n">
        <v>157</v>
      </c>
      <c r="I23" s="12" t="n">
        <v>13932</v>
      </c>
      <c r="J23" s="12" t="n">
        <v>13430</v>
      </c>
      <c r="K23" s="12" t="n">
        <v>9798</v>
      </c>
      <c r="L23" s="12" t="n">
        <v>25396</v>
      </c>
    </row>
    <row r="24">
      <c r="A24" s="20" t="inlineStr">
        <is>
          <t>장기차입금</t>
        </is>
      </c>
      <c r="B24" s="10" t="n"/>
      <c r="C24" s="21" t="n">
        <v>4644</v>
      </c>
      <c r="D24" s="22" t="n">
        <v>5519</v>
      </c>
      <c r="E24" s="22" t="n">
        <v>12493</v>
      </c>
      <c r="F24" s="22" t="n">
        <v>14368</v>
      </c>
      <c r="G24" s="22" t="n">
        <v>14242</v>
      </c>
      <c r="H24" s="21" t="n">
        <v>0</v>
      </c>
      <c r="I24" s="22" t="n">
        <v>13904</v>
      </c>
      <c r="J24" s="22" t="n">
        <v>13402</v>
      </c>
      <c r="K24" s="22" t="n">
        <v>4770</v>
      </c>
      <c r="L24" s="22" t="n">
        <v>14368</v>
      </c>
    </row>
    <row r="25">
      <c r="A25" s="20" t="inlineStr">
        <is>
          <t>사채</t>
        </is>
      </c>
      <c r="B25" s="10" t="n"/>
      <c r="C25" s="21" t="n">
        <v>5000</v>
      </c>
      <c r="D25" s="22" t="n">
        <v>5000</v>
      </c>
      <c r="E25" s="22" t="n">
        <v>11000</v>
      </c>
      <c r="F25" s="22" t="n">
        <v>11000</v>
      </c>
      <c r="G25" s="22" t="n">
        <v>11000</v>
      </c>
      <c r="H25" s="21" t="n"/>
      <c r="I25" s="22" t="n"/>
      <c r="J25" s="22" t="n">
        <v>0</v>
      </c>
      <c r="K25" s="22" t="n">
        <v>5000</v>
      </c>
      <c r="L25" s="22" t="n">
        <v>11000</v>
      </c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82891</v>
      </c>
      <c r="D27" s="12" t="n">
        <v>73981</v>
      </c>
      <c r="E27" s="12" t="n">
        <v>77728</v>
      </c>
      <c r="F27" s="12" t="n">
        <v>83512</v>
      </c>
      <c r="G27" s="12" t="n">
        <v>69017</v>
      </c>
      <c r="H27" s="11" t="n">
        <v>16636</v>
      </c>
      <c r="I27" s="12" t="n">
        <v>30575</v>
      </c>
      <c r="J27" s="12" t="n">
        <v>54585</v>
      </c>
      <c r="K27" s="12" t="n">
        <v>80604</v>
      </c>
      <c r="L27" s="12" t="n">
        <v>83512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25564</v>
      </c>
      <c r="D31" s="12" t="n">
        <v>26469</v>
      </c>
      <c r="E31" s="12" t="n">
        <v>27286</v>
      </c>
      <c r="F31" s="12" t="n">
        <v>28661</v>
      </c>
      <c r="G31" s="12" t="n">
        <v>30475</v>
      </c>
      <c r="H31" s="11" t="n">
        <v>13141</v>
      </c>
      <c r="I31" s="12" t="n">
        <v>17761</v>
      </c>
      <c r="J31" s="12" t="n">
        <v>21097</v>
      </c>
      <c r="K31" s="12" t="n">
        <v>25129</v>
      </c>
      <c r="L31" s="12" t="n">
        <v>28661</v>
      </c>
    </row>
    <row r="32">
      <c r="A32" s="20" t="inlineStr">
        <is>
          <t>자본금</t>
        </is>
      </c>
      <c r="B32" s="10" t="n"/>
      <c r="C32" s="21" t="n">
        <v>1172</v>
      </c>
      <c r="D32" s="22" t="n">
        <v>1198</v>
      </c>
      <c r="E32" s="22" t="n">
        <v>1205</v>
      </c>
      <c r="F32" s="22" t="n">
        <v>1247</v>
      </c>
      <c r="G32" s="22" t="n">
        <v>1251</v>
      </c>
      <c r="H32" s="21" t="n">
        <v>100</v>
      </c>
      <c r="I32" s="22" t="n">
        <v>1032</v>
      </c>
      <c r="J32" s="22" t="n">
        <v>1032</v>
      </c>
      <c r="K32" s="22" t="n">
        <v>1150</v>
      </c>
      <c r="L32" s="22" t="n">
        <v>1247</v>
      </c>
    </row>
    <row r="33">
      <c r="A33" s="20" t="inlineStr">
        <is>
          <t>이익잉여금</t>
        </is>
      </c>
      <c r="B33" s="10" t="n"/>
      <c r="C33" s="21" t="n">
        <v>20018</v>
      </c>
      <c r="D33" s="22" t="n">
        <v>21754</v>
      </c>
      <c r="E33" s="22" t="n">
        <v>23059</v>
      </c>
      <c r="F33" s="22" t="n">
        <v>24106</v>
      </c>
      <c r="G33" s="22" t="n">
        <v>25214</v>
      </c>
      <c r="H33" s="21" t="n">
        <v>10363</v>
      </c>
      <c r="I33" s="22" t="n">
        <v>12809</v>
      </c>
      <c r="J33" s="22" t="n">
        <v>16179</v>
      </c>
      <c r="K33" s="22" t="n">
        <v>19789</v>
      </c>
      <c r="L33" s="22" t="n">
        <v>24106</v>
      </c>
    </row>
    <row r="34">
      <c r="A34" s="20" t="inlineStr">
        <is>
          <t>비지배지분</t>
        </is>
      </c>
      <c r="B34" s="10" t="n"/>
      <c r="C34" s="21" t="n"/>
      <c r="D34" s="22" t="n"/>
      <c r="E34" s="22" t="n"/>
      <c r="F34" s="22" t="n"/>
      <c r="G34" s="22" t="n"/>
      <c r="H34" s="21" t="n"/>
      <c r="I34" s="22" t="n"/>
      <c r="J34" s="22" t="n"/>
      <c r="K34" s="22" t="n"/>
      <c r="L34" s="22" t="n"/>
    </row>
    <row r="35">
      <c r="A35" s="9" t="inlineStr">
        <is>
          <t>자본총계</t>
        </is>
      </c>
      <c r="B35" s="10" t="n"/>
      <c r="C35" s="11" t="n">
        <v>25620</v>
      </c>
      <c r="D35" s="12" t="n">
        <v>26537</v>
      </c>
      <c r="E35" s="12" t="n">
        <v>27365</v>
      </c>
      <c r="F35" s="12" t="n">
        <v>28752</v>
      </c>
      <c r="G35" s="12" t="n">
        <v>30578</v>
      </c>
      <c r="H35" s="11" t="n">
        <v>13158</v>
      </c>
      <c r="I35" s="12" t="n">
        <v>17778</v>
      </c>
      <c r="J35" s="12" t="n">
        <v>21114</v>
      </c>
      <c r="K35" s="12" t="n">
        <v>25173</v>
      </c>
      <c r="L35" s="12" t="n">
        <v>28752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/>
      <c r="D37" s="12" t="n">
        <v>-12743</v>
      </c>
      <c r="E37" s="12" t="n"/>
      <c r="F37" s="12" t="n">
        <v>13</v>
      </c>
      <c r="G37" s="12" t="n"/>
      <c r="H37" s="11" t="n">
        <v>-772</v>
      </c>
      <c r="I37" s="12" t="n">
        <v>3711</v>
      </c>
      <c r="J37" s="12" t="n">
        <v>-26652</v>
      </c>
      <c r="K37" s="12" t="n">
        <v>-26506</v>
      </c>
      <c r="L37" s="12" t="n">
        <v>13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/>
      <c r="D38" s="22" t="n">
        <v>31</v>
      </c>
      <c r="E38" s="22" t="n"/>
      <c r="F38" s="22" t="n">
        <v>18</v>
      </c>
      <c r="G38" s="22" t="n"/>
      <c r="H38" s="21" t="n">
        <v>42</v>
      </c>
      <c r="I38" s="22" t="n">
        <v>8253</v>
      </c>
      <c r="J38" s="22" t="n">
        <v>37</v>
      </c>
      <c r="K38" s="22" t="n">
        <v>28</v>
      </c>
      <c r="L38" s="22" t="n">
        <v>18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/>
      <c r="D40" s="22" t="n">
        <v>1337</v>
      </c>
      <c r="E40" s="22" t="n"/>
      <c r="F40" s="22" t="n">
        <v>1733</v>
      </c>
      <c r="G40" s="22" t="n"/>
      <c r="H40" s="21" t="n"/>
      <c r="I40" s="22" t="n">
        <v>0</v>
      </c>
      <c r="J40" s="22" t="n">
        <v>77</v>
      </c>
      <c r="K40" s="22" t="n">
        <v>776</v>
      </c>
      <c r="L40" s="22" t="n">
        <v>1733</v>
      </c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6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6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6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6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6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6" t="inlineStr">
        <is>
          <t>이자보상배율</t>
        </is>
      </c>
      <c r="B48" s="10" t="inlineStr">
        <is>
          <t>5x↑ (금융원가 기준)</t>
        </is>
      </c>
      <c r="C48" s="32">
        <f>IFERROR((IF(COUNT('연간'!G16:J16)&lt;4,"",SUM('연간'!G16:J16)))/(IF(COUNT('연간'!G38:J38)&lt;4,"",SUM('연간'!G38:J38))),"")</f>
        <v/>
      </c>
      <c r="D48" s="33">
        <f>IFERROR((IF(COUNT('연간'!H16:K16)&lt;4,"",SUM('연간'!H16:K16)))/(IF(COUNT('연간'!H38:K38)&lt;4,"",SUM('연간'!H38:K38))),"")</f>
        <v/>
      </c>
      <c r="E48" s="33">
        <f>IFERROR((IF(COUNT('연간'!I16:L16)&lt;4,"",SUM('연간'!I16:L16)))/(IF(COUNT('연간'!I38:L38)&lt;4,"",SUM('연간'!I38:L38))),"")</f>
        <v/>
      </c>
      <c r="F48" s="33">
        <f>IFERROR((IF(COUNT('연간'!J16:M16)&lt;4,"",SUM('연간'!J16:M16)))/(IF(COUNT('연간'!J38:M38)&lt;4,"",SUM('연간'!J38:M38))),"")</f>
        <v/>
      </c>
      <c r="G48" s="33">
        <f>IFERROR((IF(COUNT('연간'!K16:N16)&lt;4,"",SUM('연간'!K16:N16)))/(IF(COUNT('연간'!K38:N38)&lt;4,"",SUM('연간'!K38:N38))),"")</f>
        <v/>
      </c>
      <c r="H48" s="32">
        <f>IFERROR(('연간'!T16)/('연간'!T38),"")</f>
        <v/>
      </c>
      <c r="I48" s="33">
        <f>IFERROR(('연간'!U16)/('연간'!U38),"")</f>
        <v/>
      </c>
      <c r="J48" s="33">
        <f>IFERROR(('연간'!V16)/('연간'!V38),"")</f>
        <v/>
      </c>
      <c r="K48" s="33">
        <f>IFERROR(('연간'!W16)/('연간'!W38),"")</f>
        <v/>
      </c>
      <c r="L48" s="33">
        <f>IFERROR(('연간'!X16)/('연간'!X38),"")</f>
        <v/>
      </c>
    </row>
    <row r="49">
      <c r="A49" s="46" t="inlineStr">
        <is>
          <t>차입금 상환연수</t>
        </is>
      </c>
      <c r="B49" s="10" t="inlineStr">
        <is>
          <t>4년↓ (버핏)</t>
        </is>
      </c>
      <c r="C49" s="47">
        <f>IFERROR(IF((IF(COUNT('연간'!G44:J44)&lt;4,"",SUM('연간'!G44:J44)))&lt;=0,"적자",C28/(IF(COUNT('연간'!G44:J44)&lt;4,"",SUM('연간'!G44:J44)))),"")</f>
        <v/>
      </c>
      <c r="D49" s="48">
        <f>IFERROR(IF((IF(COUNT('연간'!H44:K44)&lt;4,"",SUM('연간'!H44:K44)))&lt;=0,"적자",D28/(IF(COUNT('연간'!H44:K44)&lt;4,"",SUM('연간'!H44:K44)))),"")</f>
        <v/>
      </c>
      <c r="E49" s="48">
        <f>IFERROR(IF((IF(COUNT('연간'!I44:L44)&lt;4,"",SUM('연간'!I44:L44)))&lt;=0,"적자",E28/(IF(COUNT('연간'!I44:L44)&lt;4,"",SUM('연간'!I44:L44)))),"")</f>
        <v/>
      </c>
      <c r="F49" s="48">
        <f>IFERROR(IF((IF(COUNT('연간'!J44:M44)&lt;4,"",SUM('연간'!J44:M44)))&lt;=0,"적자",F28/(IF(COUNT('연간'!J44:M44)&lt;4,"",SUM('연간'!J44:M44)))),"")</f>
        <v/>
      </c>
      <c r="G49" s="48">
        <f>IFERROR(IF((IF(COUNT('연간'!K44:N44)&lt;4,"",SUM('연간'!K44:N44)))&lt;=0,"적자",G28/(IF(COUNT('연간'!K44:N44)&lt;4,"",SUM('연간'!K44:N44)))),"")</f>
        <v/>
      </c>
      <c r="H49" s="47">
        <f>IFERROR(IF(('연간'!T44)&lt;=0,"적자",H28/('연간'!T44)),"")</f>
        <v/>
      </c>
      <c r="I49" s="48">
        <f>IFERROR(IF(('연간'!U44)&lt;=0,"적자",I28/('연간'!U44)),"")</f>
        <v/>
      </c>
      <c r="J49" s="48">
        <f>IFERROR(IF(('연간'!V44)&lt;=0,"적자",J28/('연간'!V44)),"")</f>
        <v/>
      </c>
      <c r="K49" s="48">
        <f>IFERROR(IF(('연간'!W44)&lt;=0,"적자",K28/('연간'!W44)),"")</f>
        <v/>
      </c>
      <c r="L49" s="48">
        <f>IFERROR(IF(('연간'!X44)&lt;=0,"적자",L28/('연간'!X44)),"")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6" t="inlineStr">
        <is>
          <t>ROE</t>
        </is>
      </c>
      <c r="B51" s="10" t="inlineStr">
        <is>
          <t>15%↑ (버핏)</t>
        </is>
      </c>
      <c r="C51" s="37">
        <f>IFERROR((IF(COUNT('연간'!G44:J44)&lt;4,"",SUM('연간'!G44:J44)))/C31,"")</f>
        <v/>
      </c>
      <c r="D51" s="38">
        <f>IFERROR((IF(COUNT('연간'!H44:K44)&lt;4,"",SUM('연간'!H44:K44)))/D31,"")</f>
        <v/>
      </c>
      <c r="E51" s="38">
        <f>IFERROR((IF(COUNT('연간'!I44:L44)&lt;4,"",SUM('연간'!I44:L44)))/E31,"")</f>
        <v/>
      </c>
      <c r="F51" s="38">
        <f>IFERROR((IF(COUNT('연간'!J44:M44)&lt;4,"",SUM('연간'!J44:M44)))/F31,"")</f>
        <v/>
      </c>
      <c r="G51" s="38">
        <f>IFERROR((IF(COUNT('연간'!K44:N44)&lt;4,"",SUM('연간'!K44:N44)))/G31,"")</f>
        <v/>
      </c>
      <c r="H51" s="37">
        <f>IFERROR(('연간'!T44)/H31,"")</f>
        <v/>
      </c>
      <c r="I51" s="38">
        <f>IFERROR(('연간'!U44)/I31,"")</f>
        <v/>
      </c>
      <c r="J51" s="38">
        <f>IFERROR(('연간'!V44)/J31,"")</f>
        <v/>
      </c>
      <c r="K51" s="38">
        <f>IFERROR(('연간'!W44)/K31,"")</f>
        <v/>
      </c>
      <c r="L51" s="38">
        <f>IFERROR(('연간'!X44)/L31,"")</f>
        <v/>
      </c>
    </row>
    <row r="52">
      <c r="A52" s="46" t="inlineStr">
        <is>
          <t>ROA</t>
        </is>
      </c>
      <c r="B52" s="10" t="inlineStr">
        <is>
          <t>5%↑</t>
        </is>
      </c>
      <c r="C52" s="37">
        <f>IFERROR((IF(COUNT('연간'!G43:J43)&lt;4,"",SUM('연간'!G43:J43)))/C16,"")</f>
        <v/>
      </c>
      <c r="D52" s="38">
        <f>IFERROR((IF(COUNT('연간'!H43:K43)&lt;4,"",SUM('연간'!H43:K43)))/D16,"")</f>
        <v/>
      </c>
      <c r="E52" s="38">
        <f>IFERROR((IF(COUNT('연간'!I43:L43)&lt;4,"",SUM('연간'!I43:L43)))/E16,"")</f>
        <v/>
      </c>
      <c r="F52" s="38">
        <f>IFERROR((IF(COUNT('연간'!J43:M43)&lt;4,"",SUM('연간'!J43:M43)))/F16,"")</f>
        <v/>
      </c>
      <c r="G52" s="38">
        <f>IFERROR((IF(COUNT('연간'!K43:N43)&lt;4,"",SUM('연간'!K43:N43)))/G16,"")</f>
        <v/>
      </c>
      <c r="H52" s="37">
        <f>IFERROR(('연간'!T43)/H16,"")</f>
        <v/>
      </c>
      <c r="I52" s="38">
        <f>IFERROR(('연간'!U43)/I16,"")</f>
        <v/>
      </c>
      <c r="J52" s="38">
        <f>IFERROR(('연간'!V43)/J16,"")</f>
        <v/>
      </c>
      <c r="K52" s="38">
        <f>IFERROR(('연간'!W43)/K16,"")</f>
        <v/>
      </c>
      <c r="L52" s="38">
        <f>IFERROR(('연간'!X43)/L16,"")</f>
        <v/>
      </c>
    </row>
    <row r="53">
      <c r="A53" s="46" t="inlineStr">
        <is>
          <t>ROIC</t>
        </is>
      </c>
      <c r="B53" s="10" t="inlineStr">
        <is>
          <t>10%↑ (세후영업이익 기준)</t>
        </is>
      </c>
      <c r="C53" s="37">
        <f>IFERROR((IF(COUNT('연간'!G16:J16)&lt;4,"",SUM('연간'!G16:J16)))*(1-0.3)/(C35+C29),"")</f>
        <v/>
      </c>
      <c r="D53" s="38">
        <f>IFERROR((IF(COUNT('연간'!H16:K16)&lt;4,"",SUM('연간'!H16:K16)))*(1-0.3)/(D35+D29),"")</f>
        <v/>
      </c>
      <c r="E53" s="38">
        <f>IFERROR((IF(COUNT('연간'!I16:L16)&lt;4,"",SUM('연간'!I16:L16)))*(1-0.3)/(E35+E29),"")</f>
        <v/>
      </c>
      <c r="F53" s="38">
        <f>IFERROR((IF(COUNT('연간'!J16:M16)&lt;4,"",SUM('연간'!J16:M16)))*(1-0.3)/(F35+F29),"")</f>
        <v/>
      </c>
      <c r="G53" s="38">
        <f>IFERROR((IF(COUNT('연간'!K16:N16)&lt;4,"",SUM('연간'!K16:N16)))*(1-0.3)/(G35+G29),"")</f>
        <v/>
      </c>
      <c r="H53" s="37">
        <f>IFERROR(('연간'!T16)*(1-0.3)/(H35+H29),"")</f>
        <v/>
      </c>
      <c r="I53" s="38">
        <f>IFERROR(('연간'!U16)*(1-0.3)/(I35+I29),"")</f>
        <v/>
      </c>
      <c r="J53" s="38">
        <f>IFERROR(('연간'!V16)*(1-0.3)/(J35+J29),"")</f>
        <v/>
      </c>
      <c r="K53" s="38">
        <f>IFERROR(('연간'!W16)*(1-0.3)/(K35+K29),"")</f>
        <v/>
      </c>
      <c r="L53" s="38">
        <f>IFERROR(('연간'!X16)*(1-0.3)/(L35+L29),"")</f>
        <v/>
      </c>
    </row>
    <row r="54">
      <c r="A54" s="46" t="inlineStr">
        <is>
          <t>매출총이익률 (GPM)</t>
        </is>
      </c>
      <c r="B54" s="10" t="inlineStr">
        <is>
          <t>40%↑ (해자 신호)</t>
        </is>
      </c>
      <c r="C54" s="37">
        <f>IFERROR((IF(COUNT('연간'!G12:J12)&lt;4,"",SUM('연간'!G12:J12)))/(IF(COUNT('연간'!G4:J4)&lt;4,"",SUM('연간'!G4:J4))),"")</f>
        <v/>
      </c>
      <c r="D54" s="38">
        <f>IFERROR((IF(COUNT('연간'!H12:K12)&lt;4,"",SUM('연간'!H12:K12)))/(IF(COUNT('연간'!H4:K4)&lt;4,"",SUM('연간'!H4:K4))),"")</f>
        <v/>
      </c>
      <c r="E54" s="38">
        <f>IFERROR((IF(COUNT('연간'!I12:L12)&lt;4,"",SUM('연간'!I12:L12)))/(IF(COUNT('연간'!I4:L4)&lt;4,"",SUM('연간'!I4:L4))),"")</f>
        <v/>
      </c>
      <c r="F54" s="38">
        <f>IFERROR((IF(COUNT('연간'!J12:M12)&lt;4,"",SUM('연간'!J12:M12)))/(IF(COUNT('연간'!J4:M4)&lt;4,"",SUM('연간'!J4:M4))),"")</f>
        <v/>
      </c>
      <c r="G54" s="38">
        <f>IFERROR((IF(COUNT('연간'!K12:N12)&lt;4,"",SUM('연간'!K12:N12)))/(IF(COUNT('연간'!K4:N4)&lt;4,"",SUM('연간'!K4:N4))),"")</f>
        <v/>
      </c>
      <c r="H54" s="37">
        <f>IFERROR(('연간'!T12)/('연간'!T4),"")</f>
        <v/>
      </c>
      <c r="I54" s="38">
        <f>IFERROR(('연간'!U12)/('연간'!U4),"")</f>
        <v/>
      </c>
      <c r="J54" s="38">
        <f>IFERROR(('연간'!V12)/('연간'!V4),"")</f>
        <v/>
      </c>
      <c r="K54" s="38">
        <f>IFERROR(('연간'!W12)/('연간'!W4),"")</f>
        <v/>
      </c>
      <c r="L54" s="38">
        <f>IFERROR(('연간'!X12)/('연간'!X4),"")</f>
        <v/>
      </c>
    </row>
    <row r="55">
      <c r="A55" s="46" t="inlineStr">
        <is>
          <t>영업이익률 (OPM)</t>
        </is>
      </c>
      <c r="B55" s="10" t="inlineStr">
        <is>
          <t>15%↑</t>
        </is>
      </c>
      <c r="C55" s="37">
        <f>IFERROR((IF(COUNT('연간'!G16:J16)&lt;4,"",SUM('연간'!G16:J16)))/(IF(COUNT('연간'!G4:J4)&lt;4,"",SUM('연간'!G4:J4))),"")</f>
        <v/>
      </c>
      <c r="D55" s="38">
        <f>IFERROR((IF(COUNT('연간'!H16:K16)&lt;4,"",SUM('연간'!H16:K16)))/(IF(COUNT('연간'!H4:K4)&lt;4,"",SUM('연간'!H4:K4))),"")</f>
        <v/>
      </c>
      <c r="E55" s="38">
        <f>IFERROR((IF(COUNT('연간'!I16:L16)&lt;4,"",SUM('연간'!I16:L16)))/(IF(COUNT('연간'!I4:L4)&lt;4,"",SUM('연간'!I4:L4))),"")</f>
        <v/>
      </c>
      <c r="F55" s="38">
        <f>IFERROR((IF(COUNT('연간'!J16:M16)&lt;4,"",SUM('연간'!J16:M16)))/(IF(COUNT('연간'!J4:M4)&lt;4,"",SUM('연간'!J4:M4))),"")</f>
        <v/>
      </c>
      <c r="G55" s="38">
        <f>IFERROR((IF(COUNT('연간'!K16:N16)&lt;4,"",SUM('연간'!K16:N16)))/(IF(COUNT('연간'!K4:N4)&lt;4,"",SUM('연간'!K4:N4))),"")</f>
        <v/>
      </c>
      <c r="H55" s="37">
        <f>IFERROR(('연간'!T16)/('연간'!T4),"")</f>
        <v/>
      </c>
      <c r="I55" s="38">
        <f>IFERROR(('연간'!U16)/('연간'!U4),"")</f>
        <v/>
      </c>
      <c r="J55" s="38">
        <f>IFERROR(('연간'!V16)/('연간'!V4),"")</f>
        <v/>
      </c>
      <c r="K55" s="38">
        <f>IFERROR(('연간'!W16)/('연간'!W4),"")</f>
        <v/>
      </c>
      <c r="L55" s="38">
        <f>IFERROR(('연간'!X16)/('연간'!X4),"")</f>
        <v/>
      </c>
    </row>
    <row r="56">
      <c r="A56" s="46" t="inlineStr">
        <is>
          <t>순이익률</t>
        </is>
      </c>
      <c r="B56" s="10" t="inlineStr">
        <is>
          <t>10%↑</t>
        </is>
      </c>
      <c r="C56" s="37">
        <f>IFERROR((IF(COUNT('연간'!G43:J43)&lt;4,"",SUM('연간'!G43:J43)))/(IF(COUNT('연간'!G4:J4)&lt;4,"",SUM('연간'!G4:J4))),"")</f>
        <v/>
      </c>
      <c r="D56" s="38">
        <f>IFERROR((IF(COUNT('연간'!H43:K43)&lt;4,"",SUM('연간'!H43:K43)))/(IF(COUNT('연간'!H4:K4)&lt;4,"",SUM('연간'!H4:K4))),"")</f>
        <v/>
      </c>
      <c r="E56" s="38">
        <f>IFERROR((IF(COUNT('연간'!I43:L43)&lt;4,"",SUM('연간'!I43:L43)))/(IF(COUNT('연간'!I4:L4)&lt;4,"",SUM('연간'!I4:L4))),"")</f>
        <v/>
      </c>
      <c r="F56" s="38">
        <f>IFERROR((IF(COUNT('연간'!J43:M43)&lt;4,"",SUM('연간'!J43:M43)))/(IF(COUNT('연간'!J4:M4)&lt;4,"",SUM('연간'!J4:M4))),"")</f>
        <v/>
      </c>
      <c r="G56" s="38">
        <f>IFERROR((IF(COUNT('연간'!K43:N43)&lt;4,"",SUM('연간'!K43:N43)))/(IF(COUNT('연간'!K4:N4)&lt;4,"",SUM('연간'!K4:N4))),"")</f>
        <v/>
      </c>
      <c r="H56" s="37">
        <f>IFERROR(('연간'!T43)/('연간'!T4),"")</f>
        <v/>
      </c>
      <c r="I56" s="38">
        <f>IFERROR(('연간'!U43)/('연간'!U4),"")</f>
        <v/>
      </c>
      <c r="J56" s="38">
        <f>IFERROR(('연간'!V43)/('연간'!V4),"")</f>
        <v/>
      </c>
      <c r="K56" s="38">
        <f>IFERROR(('연간'!W43)/('연간'!W4),"")</f>
        <v/>
      </c>
      <c r="L56" s="38">
        <f>IFERROR(('연간'!X43)/('연간'!X4),"")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6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6" t="inlineStr">
        <is>
          <t>매출채권회전일수</t>
        </is>
      </c>
      <c r="B59" s="10" t="inlineStr">
        <is>
          <t>짧을수록↑</t>
        </is>
      </c>
      <c r="C59" s="49">
        <f>IFERROR(C8/(IF(COUNT('연간'!G4:J4)&lt;4,"",SUM('연간'!G4:J4)))*365,"")</f>
        <v/>
      </c>
      <c r="D59" s="50">
        <f>IFERROR(D8/(IF(COUNT('연간'!H4:K4)&lt;4,"",SUM('연간'!H4:K4)))*365,"")</f>
        <v/>
      </c>
      <c r="E59" s="50">
        <f>IFERROR(E8/(IF(COUNT('연간'!I4:L4)&lt;4,"",SUM('연간'!I4:L4)))*365,"")</f>
        <v/>
      </c>
      <c r="F59" s="50">
        <f>IFERROR(F8/(IF(COUNT('연간'!J4:M4)&lt;4,"",SUM('연간'!J4:M4)))*365,"")</f>
        <v/>
      </c>
      <c r="G59" s="50">
        <f>IFERROR(G8/(IF(COUNT('연간'!K4:N4)&lt;4,"",SUM('연간'!K4:N4)))*365,"")</f>
        <v/>
      </c>
      <c r="H59" s="49">
        <f>IFERROR(H8/('연간'!T4)*365,"")</f>
        <v/>
      </c>
      <c r="I59" s="50">
        <f>IFERROR(I8/('연간'!U4)*365,"")</f>
        <v/>
      </c>
      <c r="J59" s="50">
        <f>IFERROR(J8/('연간'!V4)*365,"")</f>
        <v/>
      </c>
      <c r="K59" s="50">
        <f>IFERROR(K8/('연간'!W4)*365,"")</f>
        <v/>
      </c>
      <c r="L59" s="50">
        <f>IFERROR(L8/('연간'!X4)*365,"")</f>
        <v/>
      </c>
    </row>
    <row r="60">
      <c r="A60" s="46" t="inlineStr">
        <is>
          <t>재고자산회전일수</t>
        </is>
      </c>
      <c r="B60" s="10" t="inlineStr">
        <is>
          <t>짧을수록↑</t>
        </is>
      </c>
      <c r="C60" s="49">
        <f>IFERROR(C9/(IF(COUNT('연간'!G11:J11)&lt;4,"",SUM('연간'!G11:J11)))*365,"")</f>
        <v/>
      </c>
      <c r="D60" s="50">
        <f>IFERROR(D9/(IF(COUNT('연간'!H11:K11)&lt;4,"",SUM('연간'!H11:K11)))*365,"")</f>
        <v/>
      </c>
      <c r="E60" s="50">
        <f>IFERROR(E9/(IF(COUNT('연간'!I11:L11)&lt;4,"",SUM('연간'!I11:L11)))*365,"")</f>
        <v/>
      </c>
      <c r="F60" s="50">
        <f>IFERROR(F9/(IF(COUNT('연간'!J11:M11)&lt;4,"",SUM('연간'!J11:M11)))*365,"")</f>
        <v/>
      </c>
      <c r="G60" s="50">
        <f>IFERROR(G9/(IF(COUNT('연간'!K11:N11)&lt;4,"",SUM('연간'!K11:N11)))*365,"")</f>
        <v/>
      </c>
      <c r="H60" s="49">
        <f>IFERROR(H9/('연간'!T11)*365,"")</f>
        <v/>
      </c>
      <c r="I60" s="50">
        <f>IFERROR(I9/('연간'!U11)*365,"")</f>
        <v/>
      </c>
      <c r="J60" s="50">
        <f>IFERROR(J9/('연간'!V11)*365,"")</f>
        <v/>
      </c>
      <c r="K60" s="50">
        <f>IFERROR(K9/('연간'!W11)*365,"")</f>
        <v/>
      </c>
      <c r="L60" s="50">
        <f>IFERROR(L9/('연간'!X11)*365,"")</f>
        <v/>
      </c>
    </row>
    <row r="61">
      <c r="A61" s="46" t="inlineStr">
        <is>
          <t>매입채무회전일수</t>
        </is>
      </c>
      <c r="B61" s="10" t="inlineStr">
        <is>
          <t>길수록 유리</t>
        </is>
      </c>
      <c r="C61" s="49">
        <f>IFERROR(C19/(IF(COUNT('연간'!G11:J11)&lt;4,"",SUM('연간'!G11:J11)))*365,"")</f>
        <v/>
      </c>
      <c r="D61" s="50">
        <f>IFERROR(D19/(IF(COUNT('연간'!H11:K11)&lt;4,"",SUM('연간'!H11:K11)))*365,"")</f>
        <v/>
      </c>
      <c r="E61" s="50">
        <f>IFERROR(E19/(IF(COUNT('연간'!I11:L11)&lt;4,"",SUM('연간'!I11:L11)))*365,"")</f>
        <v/>
      </c>
      <c r="F61" s="50">
        <f>IFERROR(F19/(IF(COUNT('연간'!J11:M11)&lt;4,"",SUM('연간'!J11:M11)))*365,"")</f>
        <v/>
      </c>
      <c r="G61" s="50">
        <f>IFERROR(G19/(IF(COUNT('연간'!K11:N11)&lt;4,"",SUM('연간'!K11:N11)))*365,"")</f>
        <v/>
      </c>
      <c r="H61" s="49">
        <f>IFERROR(H19/('연간'!T11)*365,"")</f>
        <v/>
      </c>
      <c r="I61" s="50">
        <f>IFERROR(I19/('연간'!U11)*365,"")</f>
        <v/>
      </c>
      <c r="J61" s="50">
        <f>IFERROR(J19/('연간'!V11)*365,"")</f>
        <v/>
      </c>
      <c r="K61" s="50">
        <f>IFERROR(K19/('연간'!W11)*365,"")</f>
        <v/>
      </c>
      <c r="L61" s="50">
        <f>IFERROR(L19/('연간'!X11)*365,"")</f>
        <v/>
      </c>
    </row>
    <row r="62">
      <c r="A62" s="46" t="inlineStr">
        <is>
          <t>현금전환주기 (CCC)</t>
        </is>
      </c>
      <c r="B62" s="10" t="inlineStr">
        <is>
          <t>짧을수록↑</t>
        </is>
      </c>
      <c r="C62" s="49">
        <f>IF(OR(C59="",C60="",C61=""),"",IFERROR(C59+C60-C61,""))</f>
        <v/>
      </c>
      <c r="D62" s="50">
        <f>IF(OR(D59="",D60="",D61=""),"",IFERROR(D59+D60-D61,""))</f>
        <v/>
      </c>
      <c r="E62" s="50">
        <f>IF(OR(E59="",E60="",E61=""),"",IFERROR(E59+E60-E61,""))</f>
        <v/>
      </c>
      <c r="F62" s="50">
        <f>IF(OR(F59="",F60="",F61=""),"",IFERROR(F59+F60-F61,""))</f>
        <v/>
      </c>
      <c r="G62" s="50">
        <f>IF(OR(G59="",G60="",G61=""),"",IFERROR(G59+G60-G61,""))</f>
        <v/>
      </c>
      <c r="H62" s="49">
        <f>IF(OR(H59="",H60="",H61=""),"",IFERROR(H59+H60-H61,""))</f>
        <v/>
      </c>
      <c r="I62" s="50">
        <f>IF(OR(I59="",I60="",I61=""),"",IFERROR(I59+I60-I61,""))</f>
        <v/>
      </c>
      <c r="J62" s="50">
        <f>IF(OR(J59="",J60="",J61=""),"",IFERROR(J59+J60-J61,""))</f>
        <v/>
      </c>
      <c r="K62" s="50">
        <f>IF(OR(K59="",K60="",K61=""),"",IFERROR(K59+K60-K61,""))</f>
        <v/>
      </c>
      <c r="L62" s="50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6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IF(C37="","",IFERROR(C37/(IF(COUNT('연간'!G43:J43)&lt;4,"",SUM('연간'!G43:J43))),""))</f>
        <v/>
      </c>
      <c r="D64" s="33">
        <f>IF(D37="","",IFERROR(D37/(IF(COUNT('연간'!H43:K43)&lt;4,"",SUM('연간'!H43:K43))),""))</f>
        <v/>
      </c>
      <c r="E64" s="33">
        <f>IF(E37="","",IFERROR(E37/(IF(COUNT('연간'!I43:L43)&lt;4,"",SUM('연간'!I43:L43))),""))</f>
        <v/>
      </c>
      <c r="F64" s="33">
        <f>IF(F37="","",IFERROR(F37/(IF(COUNT('연간'!J43:M43)&lt;4,"",SUM('연간'!J43:M43))),""))</f>
        <v/>
      </c>
      <c r="G64" s="33">
        <f>IF(G37="","",IFERROR(G37/(IF(COUNT('연간'!K43:N43)&lt;4,"",SUM('연간'!K43:N43))),""))</f>
        <v/>
      </c>
      <c r="H64" s="32">
        <f>IF(H37="","",IFERROR(H37/('연간'!T43),""))</f>
        <v/>
      </c>
      <c r="I64" s="33">
        <f>IF(I37="","",IFERROR(I37/('연간'!U43),""))</f>
        <v/>
      </c>
      <c r="J64" s="33">
        <f>IF(J37="","",IFERROR(J37/('연간'!V43),""))</f>
        <v/>
      </c>
      <c r="K64" s="33">
        <f>IF(K37="","",IFERROR(K37/('연간'!W43),""))</f>
        <v/>
      </c>
      <c r="L64" s="33">
        <f>IF(L37="","",IFERROR(L37/('연간'!X43),""))</f>
        <v/>
      </c>
    </row>
    <row r="65">
      <c r="A65" s="46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6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6" t="inlineStr">
        <is>
          <t>배당성향</t>
        </is>
      </c>
      <c r="B67" s="10" t="inlineStr">
        <is>
          <t>참고</t>
        </is>
      </c>
      <c r="C67" s="37">
        <f>IF(C40="","",IFERROR(C40/(IF(COUNT('연간'!G44:J44)&lt;4,"",SUM('연간'!G44:J44))),""))</f>
        <v/>
      </c>
      <c r="D67" s="38">
        <f>IF(D40="","",IFERROR(D40/(IF(COUNT('연간'!H44:K44)&lt;4,"",SUM('연간'!H44:K44))),""))</f>
        <v/>
      </c>
      <c r="E67" s="38">
        <f>IF(E40="","",IFERROR(E40/(IF(COUNT('연간'!I44:L44)&lt;4,"",SUM('연간'!I44:L44))),""))</f>
        <v/>
      </c>
      <c r="F67" s="38">
        <f>IF(F40="","",IFERROR(F40/(IF(COUNT('연간'!J44:M44)&lt;4,"",SUM('연간'!J44:M44))),""))</f>
        <v/>
      </c>
      <c r="G67" s="38">
        <f>IF(G40="","",IFERROR(G40/(IF(COUNT('연간'!K44:N44)&lt;4,"",SUM('연간'!K44:N44))),""))</f>
        <v/>
      </c>
      <c r="H67" s="37">
        <f>IF(H40="","",IFERROR(H40/('연간'!T44),""))</f>
        <v/>
      </c>
      <c r="I67" s="38">
        <f>IF(I40="","",IFERROR(I40/('연간'!U44),""))</f>
        <v/>
      </c>
      <c r="J67" s="38">
        <f>IF(J40="","",IFERROR(J40/('연간'!V44),""))</f>
        <v/>
      </c>
      <c r="K67" s="38">
        <f>IF(K40="","",IFERROR(K40/('연간'!W44),""))</f>
        <v/>
      </c>
      <c r="L67" s="38">
        <f>IF(L40="","",IFERROR(L40/('연간'!X44),""))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20" t="inlineStr">
        <is>
          <t>현금 및 예금</t>
        </is>
      </c>
      <c r="C71" s="22" t="n">
        <v>11530</v>
      </c>
      <c r="D71" s="22" t="n">
        <v>12229</v>
      </c>
      <c r="E71" s="22" t="n">
        <v>13082</v>
      </c>
      <c r="F71" s="22" t="n">
        <v>7094</v>
      </c>
      <c r="G71" s="22" t="n">
        <v>14122</v>
      </c>
      <c r="H71" s="22" t="n">
        <v>8614</v>
      </c>
      <c r="I71" s="22" t="n">
        <v>13812</v>
      </c>
      <c r="J71" s="22" t="n">
        <v>12653</v>
      </c>
      <c r="K71" s="22" t="n">
        <v>8936</v>
      </c>
      <c r="L71" s="22" t="n">
        <v>7094</v>
      </c>
    </row>
    <row r="72">
      <c r="A72" s="20" t="inlineStr">
        <is>
          <t>Accounts Receivable Installment</t>
        </is>
      </c>
      <c r="H72" s="22" t="n">
        <v>92</v>
      </c>
      <c r="I72" s="22" t="n">
        <v>0</v>
      </c>
    </row>
    <row r="73">
      <c r="A73" s="20" t="inlineStr">
        <is>
          <t>영업미수금</t>
        </is>
      </c>
      <c r="C73" s="22" t="n">
        <v>1063</v>
      </c>
      <c r="D73" s="22" t="n">
        <v>1015</v>
      </c>
      <c r="E73" s="22" t="n">
        <v>991</v>
      </c>
      <c r="F73" s="22" t="n">
        <v>698</v>
      </c>
      <c r="G73" s="22" t="n">
        <v>775</v>
      </c>
      <c r="H73" s="22" t="n">
        <v>607</v>
      </c>
      <c r="I73" s="22" t="n">
        <v>340</v>
      </c>
      <c r="J73" s="22" t="n">
        <v>190</v>
      </c>
      <c r="K73" s="22" t="n">
        <v>937</v>
      </c>
      <c r="L73" s="22" t="n">
        <v>698</v>
      </c>
    </row>
    <row r="74">
      <c r="A74" s="20" t="inlineStr">
        <is>
          <t>Accounts Receivable Lease CA</t>
        </is>
      </c>
      <c r="H74" s="22" t="n">
        <v>15</v>
      </c>
      <c r="I74" s="22" t="n">
        <v>0</v>
      </c>
    </row>
    <row r="75">
      <c r="A75" s="20" t="inlineStr">
        <is>
          <t>Lease Investment Assets CA</t>
        </is>
      </c>
      <c r="H75" s="22" t="n">
        <v>59</v>
      </c>
      <c r="I75" s="22" t="n">
        <v>0</v>
      </c>
    </row>
    <row r="76">
      <c r="A76" s="20" t="inlineStr">
        <is>
          <t>선급금</t>
        </is>
      </c>
      <c r="C76" s="22" t="n">
        <v>174</v>
      </c>
      <c r="D76" s="22" t="n">
        <v>523</v>
      </c>
      <c r="E76" s="22" t="n">
        <v>0</v>
      </c>
      <c r="F76" s="22" t="n">
        <v>480</v>
      </c>
      <c r="G76" s="22" t="n">
        <v>384</v>
      </c>
      <c r="J76" s="22" t="n">
        <v>611</v>
      </c>
      <c r="K76" s="22" t="n">
        <v>6446</v>
      </c>
      <c r="L76" s="22" t="n">
        <v>480</v>
      </c>
    </row>
    <row r="77">
      <c r="A77" s="20" t="inlineStr">
        <is>
          <t>Equity Underwritten CA</t>
        </is>
      </c>
      <c r="C77" s="22" t="n">
        <v>48478</v>
      </c>
      <c r="D77" s="22" t="n">
        <v>50962</v>
      </c>
      <c r="E77" s="22" t="n">
        <v>60465</v>
      </c>
      <c r="F77" s="22" t="n">
        <v>76363</v>
      </c>
      <c r="G77" s="22" t="n">
        <v>66364</v>
      </c>
      <c r="H77" s="22" t="n">
        <v>11626</v>
      </c>
      <c r="I77" s="22" t="n">
        <v>21768</v>
      </c>
      <c r="J77" s="22" t="n">
        <v>50985</v>
      </c>
      <c r="K77" s="22" t="n">
        <v>51778</v>
      </c>
      <c r="L77" s="22" t="n">
        <v>76363</v>
      </c>
    </row>
    <row r="78">
      <c r="A78" s="20" t="inlineStr">
        <is>
          <t>Aircraft And Other Assets For Sale CA</t>
        </is>
      </c>
      <c r="C78" s="22" t="n">
        <v>36200</v>
      </c>
      <c r="D78" s="22" t="n">
        <v>24579</v>
      </c>
      <c r="E78" s="22" t="n">
        <v>18787</v>
      </c>
      <c r="F78" s="22" t="n">
        <v>15152</v>
      </c>
      <c r="G78" s="22" t="n">
        <v>6474</v>
      </c>
      <c r="H78" s="22" t="n">
        <v>6674</v>
      </c>
      <c r="I78" s="22" t="n">
        <v>0</v>
      </c>
      <c r="J78" s="22" t="n">
        <v>0</v>
      </c>
      <c r="K78" s="22" t="n">
        <v>25488</v>
      </c>
      <c r="L78" s="22" t="n">
        <v>15152</v>
      </c>
    </row>
    <row r="79">
      <c r="A79" s="20" t="inlineStr">
        <is>
          <t>선급비용</t>
        </is>
      </c>
      <c r="H79" s="22" t="n">
        <v>228</v>
      </c>
    </row>
    <row r="80">
      <c r="A80" s="20" t="inlineStr">
        <is>
          <t>기타</t>
        </is>
      </c>
      <c r="C80" s="22" t="n">
        <v>300</v>
      </c>
      <c r="D80" s="22" t="n">
        <v>178</v>
      </c>
      <c r="E80" s="22" t="n">
        <v>261</v>
      </c>
      <c r="F80" s="22" t="n">
        <v>274</v>
      </c>
      <c r="G80" s="22" t="n">
        <v>238</v>
      </c>
      <c r="H80" s="22" t="n">
        <v>346</v>
      </c>
      <c r="I80" s="22" t="n">
        <v>1360</v>
      </c>
      <c r="J80" s="22" t="n">
        <v>488</v>
      </c>
      <c r="K80" s="22" t="n">
        <v>1156</v>
      </c>
      <c r="L80" s="22" t="n">
        <v>274</v>
      </c>
    </row>
    <row r="81">
      <c r="A81" s="9" t="inlineStr">
        <is>
          <t>유동자산 합계</t>
        </is>
      </c>
      <c r="C81" s="12" t="n">
        <v>97748</v>
      </c>
      <c r="D81" s="12" t="n">
        <v>89489</v>
      </c>
      <c r="E81" s="12" t="n">
        <v>93588</v>
      </c>
      <c r="F81" s="12" t="n">
        <v>100063</v>
      </c>
      <c r="G81" s="12" t="n">
        <v>88359</v>
      </c>
      <c r="H81" s="12" t="n">
        <v>28036</v>
      </c>
      <c r="I81" s="12" t="n">
        <v>37283</v>
      </c>
      <c r="J81" s="12" t="n">
        <v>64930</v>
      </c>
      <c r="K81" s="12" t="n">
        <v>94742</v>
      </c>
      <c r="L81" s="12" t="n">
        <v>100063</v>
      </c>
    </row>
    <row r="82">
      <c r="A82" s="20" t="inlineStr">
        <is>
          <t>Assets For Lease PPE</t>
        </is>
      </c>
      <c r="C82" s="22" t="n">
        <v>7347</v>
      </c>
      <c r="D82" s="22" t="n">
        <v>7182</v>
      </c>
      <c r="E82" s="22" t="n">
        <v>7017</v>
      </c>
      <c r="F82" s="22" t="n">
        <v>6852</v>
      </c>
      <c r="G82" s="22" t="n">
        <v>6687</v>
      </c>
      <c r="H82" s="22" t="n">
        <v>1117</v>
      </c>
      <c r="I82" s="22" t="n">
        <v>8893</v>
      </c>
      <c r="J82" s="22" t="n">
        <v>8171</v>
      </c>
      <c r="K82" s="22" t="n">
        <v>7511</v>
      </c>
      <c r="L82" s="22" t="n">
        <v>6852</v>
      </c>
    </row>
    <row r="83">
      <c r="A83" s="20" t="inlineStr">
        <is>
          <t>Assets For Lease Total PPE</t>
        </is>
      </c>
      <c r="C83" s="22" t="n">
        <v>7347</v>
      </c>
      <c r="D83" s="22" t="n">
        <v>7182</v>
      </c>
      <c r="E83" s="22" t="n">
        <v>7017</v>
      </c>
      <c r="F83" s="22" t="n">
        <v>6852</v>
      </c>
      <c r="G83" s="22" t="n">
        <v>6687</v>
      </c>
      <c r="H83" s="22" t="n">
        <v>1117</v>
      </c>
      <c r="I83" s="22" t="n">
        <v>8893</v>
      </c>
      <c r="J83" s="22" t="n">
        <v>8171</v>
      </c>
      <c r="K83" s="22" t="n">
        <v>7511</v>
      </c>
      <c r="L83" s="22" t="n">
        <v>6852</v>
      </c>
    </row>
    <row r="84">
      <c r="A84" s="20" t="inlineStr">
        <is>
          <t>건물 부속설비</t>
        </is>
      </c>
      <c r="C84" s="22" t="n">
        <v>55</v>
      </c>
      <c r="D84" s="22" t="n">
        <v>66</v>
      </c>
      <c r="E84" s="22" t="n">
        <v>65</v>
      </c>
      <c r="F84" s="22" t="n">
        <v>63</v>
      </c>
      <c r="G84" s="22" t="n">
        <v>62</v>
      </c>
      <c r="H84" s="22" t="n">
        <v>65</v>
      </c>
      <c r="I84" s="22" t="n">
        <v>62</v>
      </c>
      <c r="J84" s="22" t="n">
        <v>59</v>
      </c>
      <c r="K84" s="22" t="n">
        <v>56</v>
      </c>
      <c r="L84" s="22" t="n">
        <v>63</v>
      </c>
    </row>
    <row r="85">
      <c r="A85" s="20" t="inlineStr">
        <is>
          <t>공구·기구·비품</t>
        </is>
      </c>
      <c r="C85" s="22" t="n">
        <v>3</v>
      </c>
      <c r="D85" s="22" t="n">
        <v>5</v>
      </c>
      <c r="E85" s="22" t="n">
        <v>4</v>
      </c>
      <c r="F85" s="22" t="n">
        <v>6</v>
      </c>
      <c r="G85" s="22" t="n">
        <v>6</v>
      </c>
      <c r="H85" s="22" t="n">
        <v>5</v>
      </c>
      <c r="I85" s="22" t="n">
        <v>4</v>
      </c>
      <c r="J85" s="22" t="n">
        <v>3</v>
      </c>
      <c r="K85" s="22" t="n">
        <v>3</v>
      </c>
      <c r="L85" s="22" t="n">
        <v>6</v>
      </c>
    </row>
    <row r="86">
      <c r="A86" s="20" t="inlineStr">
        <is>
          <t>Own Used Assets PPE</t>
        </is>
      </c>
      <c r="C86" s="22" t="n">
        <v>58</v>
      </c>
      <c r="D86" s="22" t="n">
        <v>71</v>
      </c>
      <c r="E86" s="22" t="n">
        <v>70</v>
      </c>
      <c r="F86" s="22" t="n">
        <v>70</v>
      </c>
      <c r="G86" s="22" t="n">
        <v>68</v>
      </c>
      <c r="H86" s="22" t="n">
        <v>71</v>
      </c>
      <c r="I86" s="22" t="n">
        <v>67</v>
      </c>
      <c r="J86" s="22" t="n">
        <v>62</v>
      </c>
      <c r="K86" s="22" t="n">
        <v>60</v>
      </c>
      <c r="L86" s="22" t="n">
        <v>70</v>
      </c>
    </row>
    <row r="87">
      <c r="A87" s="20" t="inlineStr">
        <is>
          <t>유형자산 합계</t>
        </is>
      </c>
      <c r="C87" s="22" t="n">
        <v>7405</v>
      </c>
      <c r="D87" s="22" t="n">
        <v>7254</v>
      </c>
      <c r="E87" s="22" t="n">
        <v>7087</v>
      </c>
      <c r="F87" s="22" t="n">
        <v>6922</v>
      </c>
      <c r="G87" s="22" t="n">
        <v>6756</v>
      </c>
      <c r="H87" s="22" t="n">
        <v>1189</v>
      </c>
      <c r="I87" s="22" t="n">
        <v>8960</v>
      </c>
      <c r="J87" s="22" t="n">
        <v>8233</v>
      </c>
      <c r="K87" s="22" t="n">
        <v>7571</v>
      </c>
      <c r="L87" s="22" t="n">
        <v>6922</v>
      </c>
    </row>
    <row r="88">
      <c r="A88" s="20" t="inlineStr">
        <is>
          <t>영업권</t>
        </is>
      </c>
      <c r="C88" s="22" t="n">
        <v>191</v>
      </c>
      <c r="D88" s="22" t="n">
        <v>178</v>
      </c>
      <c r="E88" s="22" t="n">
        <v>165</v>
      </c>
      <c r="F88" s="22" t="n">
        <v>152</v>
      </c>
      <c r="G88" s="22" t="n">
        <v>139</v>
      </c>
      <c r="H88" s="22" t="n">
        <v>361</v>
      </c>
      <c r="I88" s="22" t="n">
        <v>309</v>
      </c>
      <c r="J88" s="22" t="n">
        <v>257</v>
      </c>
      <c r="K88" s="22" t="n">
        <v>204</v>
      </c>
      <c r="L88" s="22" t="n">
        <v>152</v>
      </c>
    </row>
    <row r="89">
      <c r="A89" s="20" t="inlineStr">
        <is>
          <t>소프트웨어</t>
        </is>
      </c>
      <c r="C89" s="22" t="n">
        <v>49</v>
      </c>
      <c r="D89" s="22" t="n">
        <v>45</v>
      </c>
      <c r="E89" s="22" t="n">
        <v>42</v>
      </c>
      <c r="F89" s="22" t="n">
        <v>44</v>
      </c>
      <c r="G89" s="22" t="n">
        <v>67</v>
      </c>
      <c r="H89" s="22" t="n">
        <v>2</v>
      </c>
      <c r="I89" s="22" t="n">
        <v>28</v>
      </c>
      <c r="J89" s="22" t="n">
        <v>37</v>
      </c>
      <c r="K89" s="22" t="n">
        <v>52</v>
      </c>
      <c r="L89" s="22" t="n">
        <v>44</v>
      </c>
    </row>
    <row r="90">
      <c r="A90" s="20" t="inlineStr">
        <is>
          <t>무형자산 합계</t>
        </is>
      </c>
      <c r="C90" s="22" t="n">
        <v>241</v>
      </c>
      <c r="D90" s="22" t="n">
        <v>224</v>
      </c>
      <c r="E90" s="22" t="n">
        <v>208</v>
      </c>
      <c r="F90" s="22" t="n">
        <v>197</v>
      </c>
      <c r="G90" s="22" t="n">
        <v>207</v>
      </c>
      <c r="H90" s="22" t="n">
        <v>364</v>
      </c>
      <c r="I90" s="22" t="n">
        <v>337</v>
      </c>
      <c r="J90" s="22" t="n">
        <v>294</v>
      </c>
      <c r="K90" s="22" t="n">
        <v>257</v>
      </c>
      <c r="L90" s="22" t="n">
        <v>197</v>
      </c>
    </row>
    <row r="91">
      <c r="A91" s="20" t="inlineStr">
        <is>
          <t>관계회사 주식</t>
        </is>
      </c>
      <c r="C91" s="22" t="n">
        <v>374</v>
      </c>
      <c r="D91" s="22" t="n">
        <v>402</v>
      </c>
      <c r="E91" s="22" t="n">
        <v>442</v>
      </c>
      <c r="F91" s="22" t="n">
        <v>514</v>
      </c>
      <c r="G91" s="22" t="n">
        <v>562</v>
      </c>
      <c r="H91" s="22" t="n">
        <v>111</v>
      </c>
      <c r="I91" s="22" t="n">
        <v>193</v>
      </c>
      <c r="J91" s="22" t="n">
        <v>285</v>
      </c>
      <c r="K91" s="22" t="n">
        <v>344</v>
      </c>
      <c r="L91" s="22" t="n">
        <v>514</v>
      </c>
    </row>
    <row r="92">
      <c r="A92" s="20" t="inlineStr">
        <is>
          <t>관계회사 출자금</t>
        </is>
      </c>
      <c r="C92" s="22" t="n">
        <v>117</v>
      </c>
      <c r="D92" s="22" t="n">
        <v>121</v>
      </c>
      <c r="E92" s="22" t="n">
        <v>123</v>
      </c>
      <c r="F92" s="22" t="n">
        <v>142</v>
      </c>
      <c r="G92" s="22" t="n">
        <v>153</v>
      </c>
      <c r="H92" s="22" t="n">
        <v>15</v>
      </c>
      <c r="I92" s="22" t="n">
        <v>48</v>
      </c>
      <c r="J92" s="22" t="n">
        <v>83</v>
      </c>
      <c r="K92" s="22" t="n">
        <v>117</v>
      </c>
      <c r="L92" s="22" t="n">
        <v>142</v>
      </c>
    </row>
    <row r="93">
      <c r="A93" s="20" t="inlineStr">
        <is>
          <t>이연법인세자산</t>
        </is>
      </c>
      <c r="C93" s="22" t="n">
        <v>2519</v>
      </c>
      <c r="D93" s="22" t="n">
        <v>2919</v>
      </c>
      <c r="E93" s="22" t="n">
        <v>3525</v>
      </c>
      <c r="F93" s="22" t="n">
        <v>4310</v>
      </c>
      <c r="G93" s="22" t="n">
        <v>3434</v>
      </c>
      <c r="H93" s="22" t="n">
        <v>0</v>
      </c>
      <c r="I93" s="22" t="n">
        <v>1375</v>
      </c>
      <c r="J93" s="22" t="n">
        <v>1740</v>
      </c>
      <c r="K93" s="22" t="n">
        <v>2633</v>
      </c>
      <c r="L93" s="22" t="n">
        <v>4310</v>
      </c>
    </row>
    <row r="94">
      <c r="A94" s="20" t="inlineStr">
        <is>
          <t>기타</t>
        </is>
      </c>
      <c r="C94" s="22" t="n">
        <v>105</v>
      </c>
      <c r="D94" s="22" t="n">
        <v>107</v>
      </c>
      <c r="E94" s="22" t="n">
        <v>118</v>
      </c>
      <c r="F94" s="22" t="n">
        <v>113</v>
      </c>
      <c r="G94" s="22" t="n">
        <v>122</v>
      </c>
      <c r="H94" s="22" t="n">
        <v>79</v>
      </c>
      <c r="I94" s="22" t="n">
        <v>155</v>
      </c>
      <c r="J94" s="22" t="n">
        <v>132</v>
      </c>
      <c r="K94" s="22" t="n">
        <v>109</v>
      </c>
      <c r="L94" s="22" t="n">
        <v>113</v>
      </c>
    </row>
    <row r="95">
      <c r="A95" s="20" t="inlineStr">
        <is>
          <t>투자 및 기타자산 합계</t>
        </is>
      </c>
      <c r="C95" s="22" t="n">
        <v>3116</v>
      </c>
      <c r="D95" s="22" t="n">
        <v>3551</v>
      </c>
      <c r="E95" s="22" t="n">
        <v>4209</v>
      </c>
      <c r="F95" s="22" t="n">
        <v>5080</v>
      </c>
      <c r="G95" s="22" t="n">
        <v>4272</v>
      </c>
      <c r="H95" s="22" t="n">
        <v>206</v>
      </c>
      <c r="I95" s="22" t="n">
        <v>1773</v>
      </c>
      <c r="J95" s="22" t="n">
        <v>2241</v>
      </c>
      <c r="K95" s="22" t="n">
        <v>3205</v>
      </c>
      <c r="L95" s="22" t="n">
        <v>5080</v>
      </c>
    </row>
    <row r="96">
      <c r="A96" s="9" t="inlineStr">
        <is>
          <t>비유동자산 합계</t>
        </is>
      </c>
      <c r="C96" s="12" t="n">
        <v>10763</v>
      </c>
      <c r="D96" s="12" t="n">
        <v>11030</v>
      </c>
      <c r="E96" s="12" t="n">
        <v>11505</v>
      </c>
      <c r="F96" s="12" t="n">
        <v>12201</v>
      </c>
      <c r="G96" s="12" t="n">
        <v>11236</v>
      </c>
      <c r="H96" s="12" t="n">
        <v>1759</v>
      </c>
      <c r="I96" s="12" t="n">
        <v>11071</v>
      </c>
      <c r="J96" s="12" t="n">
        <v>10769</v>
      </c>
      <c r="K96" s="12" t="n">
        <v>11034</v>
      </c>
      <c r="L96" s="12" t="n">
        <v>12201</v>
      </c>
    </row>
    <row r="97">
      <c r="A97" s="9" t="inlineStr">
        <is>
          <t>자산 합계</t>
        </is>
      </c>
      <c r="C97" s="12" t="n">
        <v>108512</v>
      </c>
      <c r="D97" s="12" t="n">
        <v>100519</v>
      </c>
      <c r="E97" s="12" t="n">
        <v>105093</v>
      </c>
      <c r="F97" s="12" t="n">
        <v>112264</v>
      </c>
      <c r="G97" s="12" t="n">
        <v>99595</v>
      </c>
      <c r="H97" s="12" t="n">
        <v>29795</v>
      </c>
      <c r="I97" s="12" t="n">
        <v>48354</v>
      </c>
      <c r="J97" s="12" t="n">
        <v>75700</v>
      </c>
      <c r="K97" s="12" t="n">
        <v>105777</v>
      </c>
      <c r="L97" s="12" t="n">
        <v>112264</v>
      </c>
    </row>
    <row r="98">
      <c r="A98" s="20" t="inlineStr">
        <is>
          <t>단기차입금</t>
        </is>
      </c>
      <c r="C98" s="22" t="n">
        <v>53623</v>
      </c>
      <c r="D98" s="22" t="n">
        <v>42557</v>
      </c>
      <c r="E98" s="22" t="n">
        <v>40500</v>
      </c>
      <c r="F98" s="22" t="n">
        <v>43500</v>
      </c>
      <c r="G98" s="22" t="n">
        <v>30000</v>
      </c>
      <c r="H98" s="22" t="n">
        <v>15119</v>
      </c>
      <c r="I98" s="22" t="n">
        <v>8800</v>
      </c>
      <c r="J98" s="22" t="n">
        <v>32999</v>
      </c>
      <c r="K98" s="22" t="n">
        <v>51000</v>
      </c>
      <c r="L98" s="22" t="n">
        <v>43500</v>
      </c>
    </row>
    <row r="99">
      <c r="A99" s="20" t="inlineStr">
        <is>
          <t>기업어음(CP)</t>
        </is>
      </c>
      <c r="C99" s="22" t="n">
        <v>5000</v>
      </c>
      <c r="D99" s="22" t="n">
        <v>5000</v>
      </c>
      <c r="E99" s="22" t="n">
        <v>5000</v>
      </c>
      <c r="F99" s="22" t="n">
        <v>3000</v>
      </c>
      <c r="G99" s="22" t="n">
        <v>5000</v>
      </c>
      <c r="I99" s="22" t="n">
        <v>0</v>
      </c>
      <c r="J99" s="22" t="n">
        <v>2000</v>
      </c>
      <c r="K99" s="22" t="n">
        <v>3000</v>
      </c>
      <c r="L99" s="22" t="n">
        <v>3000</v>
      </c>
    </row>
    <row r="100">
      <c r="A100" s="20" t="inlineStr">
        <is>
          <t>1년 내 상환 장기차입금</t>
        </is>
      </c>
      <c r="C100" s="22" t="n">
        <v>8632</v>
      </c>
      <c r="D100" s="22" t="n">
        <v>8632</v>
      </c>
      <c r="E100" s="22" t="n">
        <v>1002</v>
      </c>
      <c r="F100" s="22" t="n">
        <v>502</v>
      </c>
      <c r="G100" s="22" t="n">
        <v>502</v>
      </c>
      <c r="H100" s="22" t="n">
        <v>0</v>
      </c>
      <c r="I100" s="22" t="n">
        <v>502</v>
      </c>
      <c r="J100" s="22" t="n">
        <v>502</v>
      </c>
      <c r="K100" s="22" t="n">
        <v>8632</v>
      </c>
      <c r="L100" s="22" t="n">
        <v>502</v>
      </c>
    </row>
    <row r="101">
      <c r="A101" s="20" t="inlineStr">
        <is>
          <t>미지급금</t>
        </is>
      </c>
      <c r="C101" s="22" t="n">
        <v>561</v>
      </c>
      <c r="D101" s="22" t="n">
        <v>650</v>
      </c>
      <c r="E101" s="22" t="n">
        <v>716</v>
      </c>
      <c r="F101" s="22" t="n">
        <v>663</v>
      </c>
      <c r="G101" s="22" t="n">
        <v>679</v>
      </c>
      <c r="H101" s="22" t="n">
        <v>149</v>
      </c>
      <c r="I101" s="22" t="n">
        <v>383</v>
      </c>
      <c r="J101" s="22" t="n">
        <v>216</v>
      </c>
      <c r="K101" s="22" t="n">
        <v>377</v>
      </c>
      <c r="L101" s="22" t="n">
        <v>663</v>
      </c>
    </row>
    <row r="102">
      <c r="A102" s="20" t="inlineStr">
        <is>
          <t>미지급비용</t>
        </is>
      </c>
      <c r="H102" s="22" t="n">
        <v>37</v>
      </c>
    </row>
    <row r="103">
      <c r="A103" s="20" t="inlineStr">
        <is>
          <t>미지급법인세</t>
        </is>
      </c>
      <c r="C103" s="22" t="n">
        <v>825</v>
      </c>
      <c r="D103" s="22" t="n">
        <v>1627</v>
      </c>
      <c r="E103" s="22" t="n">
        <v>1363</v>
      </c>
      <c r="F103" s="22" t="n">
        <v>2594</v>
      </c>
      <c r="G103" s="22" t="n">
        <v>762</v>
      </c>
      <c r="H103" s="22" t="n">
        <v>5</v>
      </c>
      <c r="I103" s="22" t="n">
        <v>2914</v>
      </c>
      <c r="J103" s="22" t="n">
        <v>1417</v>
      </c>
      <c r="K103" s="22" t="n">
        <v>1898</v>
      </c>
      <c r="L103" s="22" t="n">
        <v>2594</v>
      </c>
    </row>
    <row r="104">
      <c r="A104" s="20" t="inlineStr">
        <is>
          <t>계약부채</t>
        </is>
      </c>
      <c r="C104" s="22" t="n">
        <v>3631</v>
      </c>
      <c r="D104" s="22" t="n">
        <v>4293</v>
      </c>
      <c r="E104" s="22" t="n">
        <v>4674</v>
      </c>
      <c r="F104" s="22" t="n">
        <v>6593</v>
      </c>
      <c r="G104" s="22" t="n">
        <v>4858</v>
      </c>
      <c r="H104" s="22" t="n">
        <v>759</v>
      </c>
      <c r="I104" s="22" t="n">
        <v>3320</v>
      </c>
      <c r="J104" s="22" t="n">
        <v>3518</v>
      </c>
      <c r="K104" s="22" t="n">
        <v>4960</v>
      </c>
      <c r="L104" s="22" t="n">
        <v>6593</v>
      </c>
    </row>
    <row r="105">
      <c r="A105" s="20" t="inlineStr">
        <is>
          <t>선수금</t>
        </is>
      </c>
      <c r="H105" s="22" t="n">
        <v>2</v>
      </c>
    </row>
    <row r="106">
      <c r="A106" s="20" t="inlineStr">
        <is>
          <t>상여충당금</t>
        </is>
      </c>
      <c r="C106" s="22" t="n">
        <v>224</v>
      </c>
      <c r="D106" s="22" t="n">
        <v>99</v>
      </c>
      <c r="E106" s="22" t="n">
        <v>149</v>
      </c>
      <c r="F106" s="22" t="n">
        <v>233</v>
      </c>
      <c r="G106" s="22" t="n">
        <v>296</v>
      </c>
      <c r="I106" s="22" t="n">
        <v>0</v>
      </c>
      <c r="J106" s="22" t="n">
        <v>136</v>
      </c>
      <c r="K106" s="22" t="n">
        <v>174</v>
      </c>
      <c r="L106" s="22" t="n">
        <v>233</v>
      </c>
    </row>
    <row r="107">
      <c r="A107" s="20" t="inlineStr">
        <is>
          <t>기타</t>
        </is>
      </c>
      <c r="C107" s="22" t="n">
        <v>720</v>
      </c>
      <c r="D107" s="22" t="n">
        <v>574</v>
      </c>
      <c r="E107" s="22" t="n">
        <v>799</v>
      </c>
      <c r="F107" s="22" t="n">
        <v>1028</v>
      </c>
      <c r="G107" s="22" t="n">
        <v>1647</v>
      </c>
      <c r="H107" s="22" t="n">
        <v>445</v>
      </c>
      <c r="I107" s="22" t="n">
        <v>722</v>
      </c>
      <c r="J107" s="22" t="n">
        <v>365</v>
      </c>
      <c r="K107" s="22" t="n">
        <v>763</v>
      </c>
      <c r="L107" s="22" t="n">
        <v>1028</v>
      </c>
    </row>
    <row r="108">
      <c r="A108" s="9" t="inlineStr">
        <is>
          <t>유동부채 합계</t>
        </is>
      </c>
      <c r="C108" s="12" t="n">
        <v>73218</v>
      </c>
      <c r="D108" s="12" t="n">
        <v>63434</v>
      </c>
      <c r="E108" s="12" t="n">
        <v>54206</v>
      </c>
      <c r="F108" s="12" t="n">
        <v>58116</v>
      </c>
      <c r="G108" s="12" t="n">
        <v>43746</v>
      </c>
      <c r="H108" s="12" t="n">
        <v>16478</v>
      </c>
      <c r="I108" s="12" t="n">
        <v>16643</v>
      </c>
      <c r="J108" s="12" t="n">
        <v>41155</v>
      </c>
      <c r="K108" s="12" t="n">
        <v>70806</v>
      </c>
      <c r="L108" s="12" t="n">
        <v>58116</v>
      </c>
    </row>
    <row r="109">
      <c r="A109" s="20" t="inlineStr">
        <is>
          <t>사채</t>
        </is>
      </c>
      <c r="C109" s="22" t="n">
        <v>5000</v>
      </c>
      <c r="D109" s="22" t="n">
        <v>5000</v>
      </c>
      <c r="E109" s="22" t="n">
        <v>11000</v>
      </c>
      <c r="F109" s="22" t="n">
        <v>11000</v>
      </c>
      <c r="G109" s="22" t="n">
        <v>11000</v>
      </c>
      <c r="J109" s="22" t="n">
        <v>0</v>
      </c>
      <c r="K109" s="22" t="n">
        <v>5000</v>
      </c>
      <c r="L109" s="22" t="n">
        <v>11000</v>
      </c>
    </row>
    <row r="110">
      <c r="A110" s="20" t="inlineStr">
        <is>
          <t>장기차입금</t>
        </is>
      </c>
      <c r="C110" s="22" t="n">
        <v>4644</v>
      </c>
      <c r="D110" s="22" t="n">
        <v>5519</v>
      </c>
      <c r="E110" s="22" t="n">
        <v>12493</v>
      </c>
      <c r="F110" s="22" t="n">
        <v>14368</v>
      </c>
      <c r="G110" s="22" t="n">
        <v>14242</v>
      </c>
      <c r="H110" s="22" t="n">
        <v>0</v>
      </c>
      <c r="I110" s="22" t="n">
        <v>13904</v>
      </c>
      <c r="J110" s="22" t="n">
        <v>13402</v>
      </c>
      <c r="K110" s="22" t="n">
        <v>4770</v>
      </c>
      <c r="L110" s="22" t="n">
        <v>14368</v>
      </c>
    </row>
    <row r="111">
      <c r="A111" s="20" t="inlineStr">
        <is>
          <t>자산복구부채</t>
        </is>
      </c>
      <c r="C111" s="22" t="n">
        <v>27</v>
      </c>
      <c r="D111" s="22" t="n">
        <v>27</v>
      </c>
      <c r="E111" s="22" t="n">
        <v>27</v>
      </c>
      <c r="F111" s="22" t="n">
        <v>27</v>
      </c>
      <c r="G111" s="22" t="n">
        <v>27</v>
      </c>
      <c r="H111" s="22" t="n">
        <v>27</v>
      </c>
      <c r="I111" s="22" t="n">
        <v>27</v>
      </c>
      <c r="J111" s="22" t="n">
        <v>27</v>
      </c>
      <c r="K111" s="22" t="n">
        <v>27</v>
      </c>
      <c r="L111" s="22" t="n">
        <v>27</v>
      </c>
    </row>
    <row r="112">
      <c r="A112" s="20" t="inlineStr">
        <is>
          <t>이연법인세부채</t>
        </is>
      </c>
      <c r="H112" s="22" t="n">
        <v>130</v>
      </c>
      <c r="I112" s="22" t="n">
        <v>0</v>
      </c>
    </row>
    <row r="113">
      <c r="A113" s="9" t="inlineStr">
        <is>
          <t>비유동부채 합계</t>
        </is>
      </c>
      <c r="C113" s="12" t="n">
        <v>9672</v>
      </c>
      <c r="D113" s="12" t="n">
        <v>10547</v>
      </c>
      <c r="E113" s="12" t="n">
        <v>23521</v>
      </c>
      <c r="F113" s="12" t="n">
        <v>25396</v>
      </c>
      <c r="G113" s="12" t="n">
        <v>25270</v>
      </c>
      <c r="H113" s="12" t="n">
        <v>157</v>
      </c>
      <c r="I113" s="12" t="n">
        <v>13932</v>
      </c>
      <c r="J113" s="12" t="n">
        <v>13430</v>
      </c>
      <c r="K113" s="12" t="n">
        <v>9798</v>
      </c>
      <c r="L113" s="12" t="n">
        <v>25396</v>
      </c>
    </row>
    <row r="114">
      <c r="A114" s="9" t="inlineStr">
        <is>
          <t>부채 합계</t>
        </is>
      </c>
      <c r="C114" s="12" t="n">
        <v>82891</v>
      </c>
      <c r="D114" s="12" t="n">
        <v>73981</v>
      </c>
      <c r="E114" s="12" t="n">
        <v>77728</v>
      </c>
      <c r="F114" s="12" t="n">
        <v>83512</v>
      </c>
      <c r="G114" s="12" t="n">
        <v>69017</v>
      </c>
      <c r="H114" s="12" t="n">
        <v>16636</v>
      </c>
      <c r="I114" s="12" t="n">
        <v>30575</v>
      </c>
      <c r="J114" s="12" t="n">
        <v>54585</v>
      </c>
      <c r="K114" s="12" t="n">
        <v>80604</v>
      </c>
      <c r="L114" s="12" t="n">
        <v>83512</v>
      </c>
    </row>
    <row r="115">
      <c r="A115" s="20" t="inlineStr">
        <is>
          <t>자본금</t>
        </is>
      </c>
      <c r="C115" s="22" t="n">
        <v>1172</v>
      </c>
      <c r="D115" s="22" t="n">
        <v>1198</v>
      </c>
      <c r="E115" s="22" t="n">
        <v>1205</v>
      </c>
      <c r="F115" s="22" t="n">
        <v>1247</v>
      </c>
      <c r="G115" s="22" t="n">
        <v>1251</v>
      </c>
      <c r="H115" s="22" t="n">
        <v>100</v>
      </c>
      <c r="I115" s="22" t="n">
        <v>1032</v>
      </c>
      <c r="J115" s="22" t="n">
        <v>1032</v>
      </c>
      <c r="K115" s="22" t="n">
        <v>1150</v>
      </c>
      <c r="L115" s="22" t="n">
        <v>1247</v>
      </c>
    </row>
    <row r="116">
      <c r="A116" s="20" t="inlineStr">
        <is>
          <t>자본잉여금</t>
        </is>
      </c>
      <c r="C116" s="22" t="n">
        <v>4053</v>
      </c>
      <c r="D116" s="22" t="n">
        <v>4079</v>
      </c>
      <c r="E116" s="22" t="n">
        <v>4085</v>
      </c>
      <c r="F116" s="22" t="n">
        <v>4127</v>
      </c>
      <c r="G116" s="22" t="n">
        <v>4131</v>
      </c>
      <c r="H116" s="22" t="n">
        <v>2980</v>
      </c>
      <c r="I116" s="22" t="n">
        <v>3912</v>
      </c>
      <c r="J116" s="22" t="n">
        <v>3912</v>
      </c>
      <c r="K116" s="22" t="n">
        <v>4031</v>
      </c>
      <c r="L116" s="22" t="n">
        <v>4127</v>
      </c>
    </row>
    <row r="117">
      <c r="A117" s="20" t="inlineStr">
        <is>
          <t>이익잉여금</t>
        </is>
      </c>
      <c r="C117" s="22" t="n">
        <v>20018</v>
      </c>
      <c r="D117" s="22" t="n">
        <v>21754</v>
      </c>
      <c r="E117" s="22" t="n">
        <v>23059</v>
      </c>
      <c r="F117" s="22" t="n">
        <v>24106</v>
      </c>
      <c r="G117" s="22" t="n">
        <v>25214</v>
      </c>
      <c r="H117" s="22" t="n">
        <v>10363</v>
      </c>
      <c r="I117" s="22" t="n">
        <v>12809</v>
      </c>
      <c r="J117" s="22" t="n">
        <v>16179</v>
      </c>
      <c r="K117" s="22" t="n">
        <v>19789</v>
      </c>
      <c r="L117" s="22" t="n">
        <v>24106</v>
      </c>
    </row>
    <row r="118">
      <c r="A118" s="20" t="inlineStr">
        <is>
          <t>자기주식</t>
        </is>
      </c>
      <c r="C118" s="22" t="n">
        <v>-0</v>
      </c>
      <c r="D118" s="22" t="n">
        <v>-0</v>
      </c>
      <c r="E118" s="22" t="n">
        <v>-0</v>
      </c>
      <c r="F118" s="22" t="n">
        <v>-0</v>
      </c>
      <c r="G118" s="22" t="n">
        <v>-0</v>
      </c>
      <c r="I118" s="22" t="n">
        <v>0</v>
      </c>
      <c r="J118" s="22" t="n">
        <v>-0</v>
      </c>
      <c r="K118" s="22" t="n">
        <v>-0</v>
      </c>
      <c r="L118" s="22" t="n">
        <v>-0</v>
      </c>
    </row>
    <row r="119">
      <c r="A119" s="9" t="inlineStr">
        <is>
          <t>주주자본 합계</t>
        </is>
      </c>
      <c r="C119" s="12" t="n">
        <v>25244</v>
      </c>
      <c r="D119" s="12" t="n">
        <v>27032</v>
      </c>
      <c r="E119" s="12" t="n">
        <v>28350</v>
      </c>
      <c r="F119" s="12" t="n">
        <v>29481</v>
      </c>
      <c r="G119" s="12" t="n">
        <v>30596</v>
      </c>
      <c r="H119" s="12" t="n">
        <v>13444</v>
      </c>
      <c r="I119" s="12" t="n">
        <v>17754</v>
      </c>
      <c r="J119" s="12" t="n">
        <v>21123</v>
      </c>
      <c r="K119" s="12" t="n">
        <v>24971</v>
      </c>
      <c r="L119" s="12" t="n">
        <v>29481</v>
      </c>
    </row>
    <row r="120">
      <c r="A120" s="20" t="inlineStr">
        <is>
          <t>이연헤지손익</t>
        </is>
      </c>
      <c r="C120" s="22" t="n">
        <v>319</v>
      </c>
      <c r="D120" s="22" t="n">
        <v>-562</v>
      </c>
      <c r="E120" s="22" t="n">
        <v>-1064</v>
      </c>
      <c r="F120" s="22" t="n">
        <v>-819</v>
      </c>
      <c r="G120" s="22" t="n">
        <v>-122</v>
      </c>
      <c r="H120" s="22" t="n">
        <v>-302</v>
      </c>
      <c r="I120" s="22" t="n">
        <v>6</v>
      </c>
      <c r="J120" s="22" t="n">
        <v>-26</v>
      </c>
      <c r="K120" s="22" t="n">
        <v>156</v>
      </c>
      <c r="L120" s="22" t="n">
        <v>-819</v>
      </c>
    </row>
    <row r="121">
      <c r="A121" s="20" t="inlineStr">
        <is>
          <t>해외사업환산조정</t>
        </is>
      </c>
      <c r="H121" s="22" t="n">
        <v>-0</v>
      </c>
      <c r="I121" s="22" t="n">
        <v>0</v>
      </c>
    </row>
    <row r="122">
      <c r="A122" s="20" t="inlineStr">
        <is>
          <t>기타포괄손익누계액 합계</t>
        </is>
      </c>
      <c r="C122" s="22" t="n">
        <v>319</v>
      </c>
      <c r="D122" s="22" t="n">
        <v>-562</v>
      </c>
      <c r="E122" s="22" t="n">
        <v>-1064</v>
      </c>
      <c r="F122" s="22" t="n">
        <v>-819</v>
      </c>
      <c r="G122" s="22" t="n">
        <v>-122</v>
      </c>
      <c r="H122" s="22" t="n">
        <v>-302</v>
      </c>
      <c r="I122" s="22" t="n">
        <v>6</v>
      </c>
      <c r="J122" s="22" t="n">
        <v>-26</v>
      </c>
      <c r="K122" s="22" t="n">
        <v>156</v>
      </c>
      <c r="L122" s="22" t="n">
        <v>-819</v>
      </c>
    </row>
    <row r="123">
      <c r="A123" s="20" t="inlineStr">
        <is>
          <t>신주예약권</t>
        </is>
      </c>
      <c r="C123" s="22" t="n">
        <v>56</v>
      </c>
      <c r="D123" s="22" t="n">
        <v>68</v>
      </c>
      <c r="E123" s="22" t="n">
        <v>79</v>
      </c>
      <c r="F123" s="22" t="n">
        <v>91</v>
      </c>
      <c r="G123" s="22" t="n">
        <v>103</v>
      </c>
      <c r="H123" s="22" t="n">
        <v>17</v>
      </c>
      <c r="I123" s="22" t="n">
        <v>17</v>
      </c>
      <c r="J123" s="22" t="n">
        <v>17</v>
      </c>
      <c r="K123" s="22" t="n">
        <v>44</v>
      </c>
      <c r="L123" s="22" t="n">
        <v>91</v>
      </c>
    </row>
    <row r="124">
      <c r="A124" s="9" t="inlineStr">
        <is>
          <t>순자산 합계</t>
        </is>
      </c>
      <c r="C124" s="12" t="n">
        <v>25620</v>
      </c>
      <c r="D124" s="12" t="n">
        <v>26537</v>
      </c>
      <c r="E124" s="12" t="n">
        <v>27365</v>
      </c>
      <c r="F124" s="12" t="n">
        <v>28752</v>
      </c>
      <c r="G124" s="12" t="n">
        <v>30578</v>
      </c>
      <c r="H124" s="12" t="n">
        <v>13158</v>
      </c>
      <c r="I124" s="12" t="n">
        <v>17778</v>
      </c>
      <c r="J124" s="12" t="n">
        <v>21114</v>
      </c>
      <c r="K124" s="12" t="n">
        <v>25173</v>
      </c>
      <c r="L124" s="12" t="n">
        <v>28752</v>
      </c>
    </row>
    <row r="125">
      <c r="A125" s="9" t="inlineStr">
        <is>
          <t>부채·순자산 합계</t>
        </is>
      </c>
      <c r="C125" s="12" t="n">
        <v>108512</v>
      </c>
      <c r="D125" s="12" t="n">
        <v>100519</v>
      </c>
      <c r="E125" s="12" t="n">
        <v>105093</v>
      </c>
      <c r="F125" s="12" t="n">
        <v>112264</v>
      </c>
      <c r="G125" s="12" t="n">
        <v>99595</v>
      </c>
      <c r="H125" s="12" t="n">
        <v>29795</v>
      </c>
      <c r="I125" s="12" t="n">
        <v>48354</v>
      </c>
      <c r="J125" s="12" t="n">
        <v>75700</v>
      </c>
      <c r="K125" s="12" t="n">
        <v>105777</v>
      </c>
      <c r="L125" s="12" t="n">
        <v>112264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1" t="inlineStr">
        <is>
          <t>출처 · 쓴 결산단신</t>
        </is>
      </c>
    </row>
    <row r="3">
      <c r="A3" s="52" t="inlineStr">
        <is>
          <t>공시일</t>
        </is>
      </c>
      <c r="B3" s="52" t="inlineStr">
        <is>
          <t>문서</t>
        </is>
      </c>
      <c r="C3" s="52" t="inlineStr">
        <is>
          <t>PDF</t>
        </is>
      </c>
    </row>
    <row r="4">
      <c r="A4" t="inlineStr">
        <is>
          <t>2026-07-29</t>
        </is>
      </c>
      <c r="B4" t="inlineStr">
        <is>
          <t>2027년 3월 결산기 １분기 결산단신</t>
        </is>
      </c>
      <c r="C4" t="inlineStr">
        <is>
          <t>https://www2.jpx.co.jp/disc/58340/140120260728501146.pdf</t>
        </is>
      </c>
    </row>
    <row r="5">
      <c r="A5" t="inlineStr">
        <is>
          <t>2026-04-28</t>
        </is>
      </c>
      <c r="B5" t="inlineStr">
        <is>
          <t>2026년 3월 결산기 연간 결산단신</t>
        </is>
      </c>
      <c r="C5" t="inlineStr">
        <is>
          <t>https://www2.jpx.co.jp/disc/58340/140120260427511714.pdf</t>
        </is>
      </c>
    </row>
    <row r="6">
      <c r="A6" t="inlineStr">
        <is>
          <t>2026-01-29</t>
        </is>
      </c>
      <c r="B6" t="inlineStr">
        <is>
          <t>2026년 3월 결산기 ３분기 결산단신</t>
        </is>
      </c>
      <c r="C6" t="inlineStr">
        <is>
          <t>https://www2.jpx.co.jp/disc/58340/140120260128540560.pdf</t>
        </is>
      </c>
    </row>
    <row r="7">
      <c r="A7" t="inlineStr">
        <is>
          <t>2025-10-29</t>
        </is>
      </c>
      <c r="B7" t="inlineStr">
        <is>
          <t>2026년 3월 결산기 ２분기 결산단신</t>
        </is>
      </c>
      <c r="C7" t="inlineStr">
        <is>
          <t>https://www2.jpx.co.jp/disc/58340/140120251028580598.pdf</t>
        </is>
      </c>
    </row>
    <row r="8">
      <c r="A8" t="inlineStr">
        <is>
          <t>2025-07-29</t>
        </is>
      </c>
      <c r="B8" t="inlineStr">
        <is>
          <t>2026년 3월 결산기 １분기 결산단신</t>
        </is>
      </c>
      <c r="C8" t="inlineStr">
        <is>
          <t>https://www2.jpx.co.jp/disc/58340/140120250728521891.pdf</t>
        </is>
      </c>
    </row>
    <row r="9">
      <c r="A9" t="inlineStr">
        <is>
          <t>2025-04-28</t>
        </is>
      </c>
      <c r="B9" t="inlineStr">
        <is>
          <t>2025년 3월 결산기 연간 결산단신</t>
        </is>
      </c>
      <c r="C9" t="inlineStr">
        <is>
          <t>https://www2.jpx.co.jp/disc/58340/140120250424523023.pdf</t>
        </is>
      </c>
    </row>
    <row r="10">
      <c r="A10" t="inlineStr">
        <is>
          <t>2025-01-30</t>
        </is>
      </c>
      <c r="B10" t="inlineStr">
        <is>
          <t>2025년 3월 결산기 ３분기 결산단신</t>
        </is>
      </c>
      <c r="C10" t="inlineStr">
        <is>
          <t>https://www2.jpx.co.jp/disc/58340/140120250130558145.pdf</t>
        </is>
      </c>
    </row>
    <row r="11">
      <c r="A11" t="inlineStr">
        <is>
          <t>2024-10-29</t>
        </is>
      </c>
      <c r="B11" t="inlineStr">
        <is>
          <t>2025년 3월 결산기 ２분기 결산단신</t>
        </is>
      </c>
      <c r="C11" t="inlineStr">
        <is>
          <t>https://www2.jpx.co.jp/disc/58340/140120241029504708.pdf</t>
        </is>
      </c>
    </row>
    <row r="12">
      <c r="A12" t="inlineStr">
        <is>
          <t>2024-07-29</t>
        </is>
      </c>
      <c r="B12" t="inlineStr">
        <is>
          <t>2025년 3월 결산기 １분기 결산단신</t>
        </is>
      </c>
      <c r="C12" t="inlineStr">
        <is>
          <t>https://www2.jpx.co.jp/disc/58340/140120240726555805.pdf</t>
        </is>
      </c>
    </row>
    <row r="13">
      <c r="A13" t="inlineStr">
        <is>
          <t>2024-04-26</t>
        </is>
      </c>
      <c r="B13" t="inlineStr">
        <is>
          <t>2024년 3월 결산기 연간 결산단신</t>
        </is>
      </c>
      <c r="C13" t="inlineStr">
        <is>
          <t>https://www2.jpx.co.jp/disc/58340/140120240425576281.pdf</t>
        </is>
      </c>
    </row>
    <row r="14">
      <c r="A14" t="inlineStr">
        <is>
          <t>2024-01-30</t>
        </is>
      </c>
      <c r="B14" t="inlineStr">
        <is>
          <t>2024년 3월 결산기 ３분기 결산단신</t>
        </is>
      </c>
      <c r="C14" t="inlineStr">
        <is>
          <t>https://www2.jpx.co.jp/disc/58340/140120240129521199.pdf</t>
        </is>
      </c>
    </row>
    <row r="15">
      <c r="A15" t="inlineStr">
        <is>
          <t>2023-10-27</t>
        </is>
      </c>
      <c r="B15" t="inlineStr">
        <is>
          <t>2024년 3월 결산기 ２분기 결산단신</t>
        </is>
      </c>
      <c r="C15" t="inlineStr">
        <is>
          <t>https://www2.jpx.co.jp/disc/58340/140120231026572340.pdf</t>
        </is>
      </c>
    </row>
    <row r="16">
      <c r="A16" t="inlineStr">
        <is>
          <t>2023-07-27</t>
        </is>
      </c>
      <c r="B16" t="inlineStr">
        <is>
          <t>2024년 3월 결산기 １분기 결산단신</t>
        </is>
      </c>
      <c r="C16" t="inlineStr">
        <is>
          <t>https://www2.jpx.co.jp/disc/58340/140120230724525972.pdf</t>
        </is>
      </c>
    </row>
    <row r="17">
      <c r="A17" t="inlineStr">
        <is>
          <t>2023-04-27</t>
        </is>
      </c>
      <c r="B17" t="inlineStr">
        <is>
          <t>2023년 3월 결산기 연간 결산단신</t>
        </is>
      </c>
      <c r="C17" t="inlineStr">
        <is>
          <t>https://www2.jpx.co.jp/disc/58340/140120230425552432.pdf</t>
        </is>
      </c>
    </row>
    <row r="18">
      <c r="A18" t="inlineStr">
        <is>
          <t>2023-01-30</t>
        </is>
      </c>
      <c r="B18" t="inlineStr">
        <is>
          <t>2023년 3월 결산기 ３분기 결산단신</t>
        </is>
      </c>
      <c r="C18" t="inlineStr">
        <is>
          <t>https://www2.jpx.co.jp/disc/58340/140120230127595401.pdf</t>
        </is>
      </c>
    </row>
    <row r="19">
      <c r="A19" t="inlineStr">
        <is>
          <t>2022-10-28</t>
        </is>
      </c>
      <c r="B19" t="inlineStr">
        <is>
          <t>2023년 3월 결산기 ２분기 결산단신</t>
        </is>
      </c>
      <c r="C19" t="inlineStr">
        <is>
          <t>https://www2.jpx.co.jp/disc/58340/140120221028551575.pdf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2026-10-25T11:32:59Z</dcterms:created>
  <dcterms:modified xmlns:dcterms="http://purl.org/dc/terms/" xmlns:xsi="http://www.w3.org/2001/XMLSchema-instance" xsi:type="dcterms:W3CDTF">2026-10-25T11:33:00Z</dcterms:modified>
</cp:coreProperties>
</file>