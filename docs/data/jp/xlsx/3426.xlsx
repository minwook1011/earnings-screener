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8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4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3426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6월 결산 · 일본 기준 · 2026.4Q = 2026년 6월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2024.1Q</t>
        </is>
      </c>
      <c r="D3" s="5" t="inlineStr">
        <is>
          <t>2024.2Q</t>
        </is>
      </c>
      <c r="E3" s="5" t="inlineStr">
        <is>
          <t>2024.3Q</t>
        </is>
      </c>
      <c r="F3" s="5" t="inlineStr">
        <is>
          <t>2024.4Q</t>
        </is>
      </c>
      <c r="G3" s="5" t="inlineStr">
        <is>
          <t>2025.1Q</t>
        </is>
      </c>
      <c r="H3" s="5" t="inlineStr">
        <is>
          <t>2025.2Q</t>
        </is>
      </c>
      <c r="I3" s="5" t="inlineStr">
        <is>
          <t>2025.3Q</t>
        </is>
      </c>
      <c r="J3" s="5" t="inlineStr">
        <is>
          <t>2025.4Q</t>
        </is>
      </c>
      <c r="K3" s="5" t="inlineStr">
        <is>
          <t>2026.1Q</t>
        </is>
      </c>
      <c r="L3" s="5" t="inlineStr">
        <is>
          <t>2026.2Q</t>
        </is>
      </c>
      <c r="M3" s="5" t="inlineStr">
        <is>
          <t>2026.3Q</t>
        </is>
      </c>
      <c r="N3" s="5" t="inlineStr">
        <is>
          <t>2026.4Q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2439.148</v>
      </c>
      <c r="D4" s="12" t="n">
        <v>2844.605</v>
      </c>
      <c r="E4" s="12" t="n">
        <v>2460.48</v>
      </c>
      <c r="F4" s="12" t="n">
        <v>2418.246</v>
      </c>
      <c r="G4" s="12" t="n">
        <v>2416.494</v>
      </c>
      <c r="H4" s="12" t="n">
        <v>2857.29</v>
      </c>
      <c r="I4" s="12" t="n">
        <v>2515.305</v>
      </c>
      <c r="J4" s="12" t="n">
        <v>2507.927</v>
      </c>
      <c r="K4" s="12" t="n">
        <v>2493.689</v>
      </c>
      <c r="L4" s="12" t="n">
        <v>2865.944</v>
      </c>
      <c r="M4" s="12" t="n">
        <v>2508.753</v>
      </c>
      <c r="N4" s="12" t="n">
        <v>2638.266</v>
      </c>
      <c r="O4" s="11" t="n">
        <v>10532.09</v>
      </c>
      <c r="P4" s="12" t="n">
        <v>10483.546</v>
      </c>
      <c r="Q4" s="12" t="n">
        <v>10589.833</v>
      </c>
      <c r="R4" s="12" t="n">
        <v>10394.001</v>
      </c>
      <c r="S4" s="12" t="n">
        <v>9627.427</v>
      </c>
      <c r="T4" s="12" t="n">
        <v>9990.862999999999</v>
      </c>
      <c r="U4" s="12" t="n">
        <v>10415.647</v>
      </c>
      <c r="V4" s="12" t="n">
        <v>10162.479</v>
      </c>
      <c r="W4" s="12" t="n">
        <v>10297.016</v>
      </c>
      <c r="X4" s="12" t="n">
        <v>10506.652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1830.059</v>
      </c>
      <c r="D11" s="22" t="n">
        <v>2152.201</v>
      </c>
      <c r="E11" s="22" t="n">
        <v>1849.126</v>
      </c>
      <c r="F11" s="22" t="n">
        <v>1801.875</v>
      </c>
      <c r="G11" s="22" t="n">
        <v>1781.475</v>
      </c>
      <c r="H11" s="22" t="n">
        <v>2090.998</v>
      </c>
      <c r="I11" s="22" t="n">
        <v>1858.051</v>
      </c>
      <c r="J11" s="22" t="n">
        <v>1832.827</v>
      </c>
      <c r="K11" s="22" t="n">
        <v>1847.847</v>
      </c>
      <c r="L11" s="22" t="n">
        <v>2116.196</v>
      </c>
      <c r="M11" s="22" t="n">
        <v>1845.059</v>
      </c>
      <c r="N11" s="22" t="n">
        <v>1925.207</v>
      </c>
      <c r="O11" s="21" t="n">
        <v>7744.26</v>
      </c>
      <c r="P11" s="22" t="n">
        <v>7621.778</v>
      </c>
      <c r="Q11" s="22" t="n">
        <v>7680.165</v>
      </c>
      <c r="R11" s="22" t="n">
        <v>7438.187</v>
      </c>
      <c r="S11" s="22" t="n">
        <v>6892.292</v>
      </c>
      <c r="T11" s="22" t="n">
        <v>7234.277</v>
      </c>
      <c r="U11" s="22" t="n">
        <v>7786.249</v>
      </c>
      <c r="V11" s="22" t="n">
        <v>7633.261</v>
      </c>
      <c r="W11" s="22" t="n">
        <v>7563.351</v>
      </c>
      <c r="X11" s="22" t="n">
        <v>7734.309</v>
      </c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>
        <v>534.567</v>
      </c>
      <c r="D15" s="22" t="n">
        <v>539.487</v>
      </c>
      <c r="E15" s="22" t="n">
        <v>552.98</v>
      </c>
      <c r="F15" s="22" t="n">
        <v>568.682</v>
      </c>
      <c r="G15" s="22" t="n">
        <v>543.737</v>
      </c>
      <c r="H15" s="22" t="n">
        <v>543.63</v>
      </c>
      <c r="I15" s="22" t="n">
        <v>542.341</v>
      </c>
      <c r="J15" s="22" t="n">
        <v>588.479</v>
      </c>
      <c r="K15" s="22" t="n">
        <v>557.728</v>
      </c>
      <c r="L15" s="22" t="n">
        <v>559.316</v>
      </c>
      <c r="M15" s="22" t="n">
        <v>557.6319999999999</v>
      </c>
      <c r="N15" s="22" t="n">
        <v>605.8339999999999</v>
      </c>
      <c r="O15" s="21" t="n">
        <v>2215.984</v>
      </c>
      <c r="P15" s="22" t="n">
        <v>2231.673</v>
      </c>
      <c r="Q15" s="22" t="n">
        <v>2245.005</v>
      </c>
      <c r="R15" s="22" t="n">
        <v>2274.922</v>
      </c>
      <c r="S15" s="22" t="n">
        <v>2104.392</v>
      </c>
      <c r="T15" s="22" t="n">
        <v>2179.284</v>
      </c>
      <c r="U15" s="22" t="n">
        <v>2255.12</v>
      </c>
      <c r="V15" s="22" t="n">
        <v>2195.716</v>
      </c>
      <c r="W15" s="22" t="n">
        <v>2218.187</v>
      </c>
      <c r="X15" s="22" t="n">
        <v>2280.51</v>
      </c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>
        <v>74.52</v>
      </c>
      <c r="D16" s="12" t="n">
        <v>152.918</v>
      </c>
      <c r="E16" s="12" t="n">
        <v>58.375</v>
      </c>
      <c r="F16" s="12" t="n">
        <v>47.688</v>
      </c>
      <c r="G16" s="12" t="n">
        <v>91.28100000000001</v>
      </c>
      <c r="H16" s="12" t="n">
        <v>222.662</v>
      </c>
      <c r="I16" s="12" t="n">
        <v>114.914</v>
      </c>
      <c r="J16" s="12" t="n">
        <v>86.619</v>
      </c>
      <c r="K16" s="12" t="n">
        <v>88.113</v>
      </c>
      <c r="L16" s="12" t="n">
        <v>190.432</v>
      </c>
      <c r="M16" s="12" t="n">
        <v>106.061</v>
      </c>
      <c r="N16" s="12" t="n">
        <v>107.226</v>
      </c>
      <c r="O16" s="11" t="n">
        <v>571.845</v>
      </c>
      <c r="P16" s="12" t="n">
        <v>630.0940000000001</v>
      </c>
      <c r="Q16" s="12" t="n">
        <v>664.663</v>
      </c>
      <c r="R16" s="12" t="n">
        <v>680.89</v>
      </c>
      <c r="S16" s="12" t="n">
        <v>630.742</v>
      </c>
      <c r="T16" s="12" t="n">
        <v>577.302</v>
      </c>
      <c r="U16" s="12" t="n">
        <v>374.278</v>
      </c>
      <c r="V16" s="12" t="n">
        <v>333.501</v>
      </c>
      <c r="W16" s="12" t="n">
        <v>515.476</v>
      </c>
      <c r="X16" s="12" t="n">
        <v>491.832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>
        <v>587.67</v>
      </c>
      <c r="P21" s="22" t="n">
        <v>591.603</v>
      </c>
      <c r="Q21" s="22" t="n">
        <v>606.578</v>
      </c>
      <c r="R21" s="22" t="n">
        <v>609.933</v>
      </c>
      <c r="S21" s="22" t="n">
        <v>602.225</v>
      </c>
      <c r="T21" s="22" t="n">
        <v>625.172</v>
      </c>
      <c r="U21" s="22" t="n">
        <v>644.879</v>
      </c>
      <c r="V21" s="22" t="n">
        <v>636.231</v>
      </c>
      <c r="W21" s="22" t="n">
        <v>631.336</v>
      </c>
      <c r="X21" s="22" t="n">
        <v>626.9059999999999</v>
      </c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>
        <v>203.092</v>
      </c>
      <c r="P23" s="22" t="n">
        <v>274.629</v>
      </c>
      <c r="Q23" s="22" t="n">
        <v>205.782</v>
      </c>
      <c r="R23" s="22" t="n">
        <v>195.397</v>
      </c>
      <c r="S23" s="22" t="n">
        <v>180.283</v>
      </c>
      <c r="T23" s="22" t="n">
        <v>196.476</v>
      </c>
      <c r="U23" s="22" t="n">
        <v>189.626</v>
      </c>
      <c r="V23" s="22" t="n">
        <v>184.483</v>
      </c>
      <c r="W23" s="22" t="n">
        <v>177.667</v>
      </c>
      <c r="X23" s="22" t="n">
        <v>262.339</v>
      </c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특별이익</t>
        </is>
      </c>
      <c r="B32" s="10" t="n"/>
      <c r="C32" s="21" t="n">
        <v>0</v>
      </c>
      <c r="D32" s="22" t="n">
        <v>0</v>
      </c>
      <c r="E32" s="22" t="n">
        <v>0</v>
      </c>
      <c r="F32" s="22" t="n">
        <v>0</v>
      </c>
      <c r="G32" s="22" t="n">
        <v>0</v>
      </c>
      <c r="H32" s="22" t="n">
        <v>0</v>
      </c>
      <c r="I32" s="22" t="n">
        <v>0</v>
      </c>
      <c r="J32" s="22" t="n">
        <v>0</v>
      </c>
      <c r="K32" s="22" t="n">
        <v>0</v>
      </c>
      <c r="L32" s="22" t="n">
        <v>0</v>
      </c>
      <c r="M32" s="22" t="n">
        <v>0</v>
      </c>
      <c r="N32" s="22" t="n">
        <v>0</v>
      </c>
      <c r="O32" s="21" t="n">
        <v>0</v>
      </c>
      <c r="P32" s="22" t="n">
        <v>0</v>
      </c>
      <c r="Q32" s="22" t="n">
        <v>0</v>
      </c>
      <c r="R32" s="22" t="n">
        <v>0</v>
      </c>
      <c r="S32" s="22" t="n">
        <v>0</v>
      </c>
      <c r="T32" s="22" t="n">
        <v>0</v>
      </c>
      <c r="U32" s="22" t="n">
        <v>0</v>
      </c>
      <c r="V32" s="22" t="n">
        <v>0</v>
      </c>
      <c r="W32" s="22" t="n">
        <v>0</v>
      </c>
      <c r="X32" s="22" t="n">
        <v>0</v>
      </c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특별손실</t>
        </is>
      </c>
      <c r="B34" s="10" t="n"/>
      <c r="C34" s="21" t="n">
        <v>0</v>
      </c>
      <c r="D34" s="22" t="n">
        <v>0</v>
      </c>
      <c r="E34" s="22" t="n">
        <v>0</v>
      </c>
      <c r="F34" s="22" t="n">
        <v>0</v>
      </c>
      <c r="G34" s="22" t="n">
        <v>0</v>
      </c>
      <c r="H34" s="22" t="n">
        <v>0.78</v>
      </c>
      <c r="I34" s="22" t="n">
        <v>0</v>
      </c>
      <c r="J34" s="22" t="n">
        <v>0</v>
      </c>
      <c r="K34" s="22" t="n">
        <v>0</v>
      </c>
      <c r="L34" s="22" t="n">
        <v>0</v>
      </c>
      <c r="M34" s="22" t="n">
        <v>0</v>
      </c>
      <c r="N34" s="22" t="n">
        <v>0</v>
      </c>
      <c r="O34" s="21" t="n">
        <v>32.043</v>
      </c>
      <c r="P34" s="22" t="n">
        <v>0.63</v>
      </c>
      <c r="Q34" s="22" t="n">
        <v>29.416</v>
      </c>
      <c r="R34" s="22" t="n">
        <v>0.387</v>
      </c>
      <c r="S34" s="22" t="n">
        <v>6.364</v>
      </c>
      <c r="T34" s="22" t="n">
        <v>0</v>
      </c>
      <c r="U34" s="22" t="n">
        <v>7.973</v>
      </c>
      <c r="V34" s="22" t="n">
        <v>0</v>
      </c>
      <c r="W34" s="22" t="n">
        <v>0.78</v>
      </c>
      <c r="X34" s="22" t="n">
        <v>0</v>
      </c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영업외수익</t>
        </is>
      </c>
      <c r="B36" s="10" t="n"/>
      <c r="C36" s="21" t="n">
        <v>9.933999999999999</v>
      </c>
      <c r="D36" s="22" t="n">
        <v>10.499</v>
      </c>
      <c r="E36" s="22" t="n">
        <v>9.257</v>
      </c>
      <c r="F36" s="22" t="n">
        <v>14.021</v>
      </c>
      <c r="G36" s="22" t="n">
        <v>12.043</v>
      </c>
      <c r="H36" s="22" t="n">
        <v>12.311</v>
      </c>
      <c r="I36" s="22" t="n">
        <v>10.732</v>
      </c>
      <c r="J36" s="22" t="n">
        <v>19.56</v>
      </c>
      <c r="K36" s="22" t="n">
        <v>16.743</v>
      </c>
      <c r="L36" s="22" t="n">
        <v>22.22</v>
      </c>
      <c r="M36" s="22" t="n">
        <v>16.38</v>
      </c>
      <c r="N36" s="22" t="n">
        <v>24.659</v>
      </c>
      <c r="O36" s="21" t="n">
        <v>23.1</v>
      </c>
      <c r="P36" s="22" t="n">
        <v>26.43</v>
      </c>
      <c r="Q36" s="22" t="n">
        <v>22.92</v>
      </c>
      <c r="R36" s="22" t="n">
        <v>31.658</v>
      </c>
      <c r="S36" s="22" t="n">
        <v>37.504</v>
      </c>
      <c r="T36" s="22" t="n">
        <v>35.313</v>
      </c>
      <c r="U36" s="22" t="n">
        <v>41.395</v>
      </c>
      <c r="V36" s="22" t="n">
        <v>43.711</v>
      </c>
      <c r="W36" s="22" t="n">
        <v>54.646</v>
      </c>
      <c r="X36" s="22" t="n">
        <v>80.002</v>
      </c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영업외비용</t>
        </is>
      </c>
      <c r="B38" s="10" t="n"/>
      <c r="C38" s="21" t="n">
        <v>0.508</v>
      </c>
      <c r="D38" s="22" t="n">
        <v>1.767</v>
      </c>
      <c r="E38" s="22" t="n">
        <v>-0.104</v>
      </c>
      <c r="F38" s="22" t="n">
        <v>3.111</v>
      </c>
      <c r="G38" s="22" t="n">
        <v>5.915</v>
      </c>
      <c r="H38" s="22" t="n">
        <v>-3.822</v>
      </c>
      <c r="I38" s="22" t="n">
        <v>3.992</v>
      </c>
      <c r="J38" s="22" t="n">
        <v>2.763</v>
      </c>
      <c r="K38" s="22" t="n">
        <v>1.639</v>
      </c>
      <c r="L38" s="22" t="n">
        <v>1.327</v>
      </c>
      <c r="M38" s="22" t="n">
        <v>3.141</v>
      </c>
      <c r="N38" s="22" t="n">
        <v>-1.129</v>
      </c>
      <c r="O38" s="21" t="n">
        <v>2.522</v>
      </c>
      <c r="P38" s="22" t="n">
        <v>0.493</v>
      </c>
      <c r="Q38" s="22" t="n">
        <v>0.448</v>
      </c>
      <c r="R38" s="22" t="n">
        <v>6.407</v>
      </c>
      <c r="S38" s="22" t="n">
        <v>12.631</v>
      </c>
      <c r="T38" s="22" t="n">
        <v>6.173</v>
      </c>
      <c r="U38" s="22" t="n">
        <v>0.395</v>
      </c>
      <c r="V38" s="22" t="n">
        <v>5.282</v>
      </c>
      <c r="W38" s="22" t="n">
        <v>8.848000000000001</v>
      </c>
      <c r="X38" s="22" t="n">
        <v>4.978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>
        <v>83.946</v>
      </c>
      <c r="D40" s="12" t="n">
        <v>161.65</v>
      </c>
      <c r="E40" s="12" t="n">
        <v>67.736</v>
      </c>
      <c r="F40" s="12" t="n">
        <v>58.598</v>
      </c>
      <c r="G40" s="12" t="n">
        <v>97.41</v>
      </c>
      <c r="H40" s="12" t="n">
        <v>238.014</v>
      </c>
      <c r="I40" s="12" t="n">
        <v>121.654</v>
      </c>
      <c r="J40" s="12" t="n">
        <v>103.416</v>
      </c>
      <c r="K40" s="12" t="n">
        <v>103.218</v>
      </c>
      <c r="L40" s="12" t="n">
        <v>211.324</v>
      </c>
      <c r="M40" s="12" t="n">
        <v>119.3</v>
      </c>
      <c r="N40" s="12" t="n">
        <v>133.015</v>
      </c>
      <c r="O40" s="11" t="n">
        <v>560.38</v>
      </c>
      <c r="P40" s="12" t="n">
        <v>655.4</v>
      </c>
      <c r="Q40" s="12" t="n">
        <v>657.7190000000001</v>
      </c>
      <c r="R40" s="12" t="n">
        <v>705.754</v>
      </c>
      <c r="S40" s="12" t="n">
        <v>649.251</v>
      </c>
      <c r="T40" s="12" t="n">
        <v>606.441</v>
      </c>
      <c r="U40" s="12" t="n">
        <v>407.305</v>
      </c>
      <c r="V40" s="12" t="n">
        <v>371.93</v>
      </c>
      <c r="W40" s="12" t="n">
        <v>560.494</v>
      </c>
      <c r="X40" s="12" t="n">
        <v>566.857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>
        <v>34.266</v>
      </c>
      <c r="D41" s="22" t="n">
        <v>56.12</v>
      </c>
      <c r="E41" s="22" t="n">
        <v>4.949</v>
      </c>
      <c r="F41" s="22" t="n">
        <v>21.892</v>
      </c>
      <c r="G41" s="22" t="n">
        <v>28.911</v>
      </c>
      <c r="H41" s="22" t="n">
        <v>78.86</v>
      </c>
      <c r="I41" s="22" t="n">
        <v>32.698</v>
      </c>
      <c r="J41" s="22" t="n">
        <v>29.167</v>
      </c>
      <c r="K41" s="22" t="n">
        <v>30.378</v>
      </c>
      <c r="L41" s="22" t="n">
        <v>69.161</v>
      </c>
      <c r="M41" s="22" t="n">
        <v>33.432</v>
      </c>
      <c r="N41" s="22" t="n">
        <v>43.427</v>
      </c>
      <c r="O41" s="21" t="n">
        <v>178.022</v>
      </c>
      <c r="P41" s="22" t="n">
        <v>208.494</v>
      </c>
      <c r="Q41" s="22" t="n">
        <v>223.113</v>
      </c>
      <c r="R41" s="22" t="n">
        <v>222.983</v>
      </c>
      <c r="S41" s="22" t="n">
        <v>208.079</v>
      </c>
      <c r="T41" s="22" t="n">
        <v>194.306</v>
      </c>
      <c r="U41" s="22" t="n">
        <v>60.442</v>
      </c>
      <c r="V41" s="22" t="n">
        <v>117.227</v>
      </c>
      <c r="W41" s="22" t="n">
        <v>169.636</v>
      </c>
      <c r="X41" s="22" t="n">
        <v>176.398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>
        <v>49.68</v>
      </c>
      <c r="D43" s="12" t="n">
        <v>105.53</v>
      </c>
      <c r="E43" s="12" t="n">
        <v>62.786</v>
      </c>
      <c r="F43" s="12" t="n">
        <v>36.706</v>
      </c>
      <c r="G43" s="12" t="n">
        <v>68.498</v>
      </c>
      <c r="H43" s="12" t="n">
        <v>159.155</v>
      </c>
      <c r="I43" s="12" t="n">
        <v>88.955</v>
      </c>
      <c r="J43" s="12" t="n">
        <v>74.249</v>
      </c>
      <c r="K43" s="12" t="n">
        <v>72.839</v>
      </c>
      <c r="L43" s="12" t="n">
        <v>142.164</v>
      </c>
      <c r="M43" s="12" t="n">
        <v>85.867</v>
      </c>
      <c r="N43" s="12" t="n">
        <v>89.589</v>
      </c>
      <c r="O43" s="11" t="n">
        <v>382.357</v>
      </c>
      <c r="P43" s="12" t="n">
        <v>446.906</v>
      </c>
      <c r="Q43" s="12" t="n">
        <v>434.605</v>
      </c>
      <c r="R43" s="12" t="n">
        <v>482.77</v>
      </c>
      <c r="S43" s="12" t="n">
        <v>441.171</v>
      </c>
      <c r="T43" s="12" t="n">
        <v>412.135</v>
      </c>
      <c r="U43" s="12" t="n">
        <v>346.863</v>
      </c>
      <c r="V43" s="12" t="n">
        <v>254.702</v>
      </c>
      <c r="W43" s="12" t="n">
        <v>390.857</v>
      </c>
      <c r="X43" s="12" t="n">
        <v>390.459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>
        <v>49.68</v>
      </c>
      <c r="D44" s="12" t="n">
        <v>105.53</v>
      </c>
      <c r="E44" s="12" t="n">
        <v>62.786</v>
      </c>
      <c r="F44" s="12" t="n">
        <v>36.706</v>
      </c>
      <c r="G44" s="12" t="n">
        <v>68.498</v>
      </c>
      <c r="H44" s="12" t="n">
        <v>159.155</v>
      </c>
      <c r="I44" s="12" t="n">
        <v>88.955</v>
      </c>
      <c r="J44" s="12" t="n">
        <v>74.249</v>
      </c>
      <c r="K44" s="12" t="n">
        <v>72.839</v>
      </c>
      <c r="L44" s="12" t="n">
        <v>142.164</v>
      </c>
      <c r="M44" s="12" t="n">
        <v>85.867</v>
      </c>
      <c r="N44" s="12" t="n">
        <v>89.589</v>
      </c>
      <c r="O44" s="11" t="n">
        <v>382.357</v>
      </c>
      <c r="P44" s="12" t="n">
        <v>446.906</v>
      </c>
      <c r="Q44" s="12" t="n">
        <v>434.605</v>
      </c>
      <c r="R44" s="12" t="n">
        <v>482.77</v>
      </c>
      <c r="S44" s="12" t="n">
        <v>441.171</v>
      </c>
      <c r="T44" s="12" t="n">
        <v>412.135</v>
      </c>
      <c r="U44" s="12" t="n">
        <v>346.863</v>
      </c>
      <c r="V44" s="12" t="n">
        <v>254.702</v>
      </c>
      <c r="W44" s="12" t="n">
        <v>390.857</v>
      </c>
      <c r="X44" s="12" t="n">
        <v>390.459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()</t>
        </is>
      </c>
      <c r="B47" s="29" t="n"/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/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</t>
        </is>
      </c>
      <c r="C74" s="41" t="n"/>
      <c r="O74" s="41" t="n"/>
      <c r="Y74" s="41" t="n"/>
    </row>
    <row r="76">
      <c r="A76" s="18" t="inlineStr">
        <is>
          <t>손익계산서 · 전 항목</t>
        </is>
      </c>
      <c r="B76" s="44" t="inlineStr">
        <is>
          <t>분기 = 3개월 단독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2024.1Q</t>
        </is>
      </c>
      <c r="D77" s="5" t="inlineStr">
        <is>
          <t>2024.2Q</t>
        </is>
      </c>
      <c r="E77" s="5" t="inlineStr">
        <is>
          <t>2024.3Q</t>
        </is>
      </c>
      <c r="F77" s="5" t="inlineStr">
        <is>
          <t>2024.4Q</t>
        </is>
      </c>
      <c r="G77" s="5" t="inlineStr">
        <is>
          <t>2025.1Q</t>
        </is>
      </c>
      <c r="H77" s="5" t="inlineStr">
        <is>
          <t>2025.2Q</t>
        </is>
      </c>
      <c r="I77" s="5" t="inlineStr">
        <is>
          <t>2025.3Q</t>
        </is>
      </c>
      <c r="J77" s="5" t="inlineStr">
        <is>
          <t>2025.4Q</t>
        </is>
      </c>
      <c r="K77" s="5" t="inlineStr">
        <is>
          <t>2026.1Q</t>
        </is>
      </c>
      <c r="L77" s="5" t="inlineStr">
        <is>
          <t>2026.2Q</t>
        </is>
      </c>
      <c r="M77" s="5" t="inlineStr">
        <is>
          <t>2026.3Q</t>
        </is>
      </c>
      <c r="N77" s="5" t="inlineStr">
        <is>
          <t>2026.4Q</t>
        </is>
      </c>
      <c r="O77" s="5" t="inlineStr">
        <is>
          <t>2017</t>
        </is>
      </c>
      <c r="P77" s="5" t="inlineStr">
        <is>
          <t>2018</t>
        </is>
      </c>
      <c r="Q77" s="5" t="inlineStr">
        <is>
          <t>2019</t>
        </is>
      </c>
      <c r="R77" s="5" t="inlineStr">
        <is>
          <t>2020</t>
        </is>
      </c>
      <c r="S77" s="5" t="inlineStr">
        <is>
          <t>2021</t>
        </is>
      </c>
      <c r="T77" s="5" t="inlineStr">
        <is>
          <t>2022</t>
        </is>
      </c>
      <c r="U77" s="5" t="inlineStr">
        <is>
          <t>2023</t>
        </is>
      </c>
      <c r="V77" s="5" t="inlineStr">
        <is>
          <t>2024</t>
        </is>
      </c>
      <c r="W77" s="5" t="inlineStr">
        <is>
          <t>2025</t>
        </is>
      </c>
      <c r="X77" s="5" t="inlineStr">
        <is>
          <t>2026</t>
        </is>
      </c>
      <c r="Y77" s="5" t="inlineStr">
        <is>
          <t>2027(MW)</t>
        </is>
      </c>
      <c r="Z77" s="5" t="inlineStr">
        <is>
          <t>2028(MW)</t>
        </is>
      </c>
      <c r="AA77" s="5" t="inlineStr">
        <is>
          <t>2029(MW)</t>
        </is>
      </c>
      <c r="AB77" s="5" t="inlineStr">
        <is>
          <t>2030(MW)</t>
        </is>
      </c>
      <c r="AC77" s="5" t="inlineStr">
        <is>
          <t>2031(MW)</t>
        </is>
      </c>
    </row>
    <row r="78">
      <c r="A78" s="9" t="inlineStr">
        <is>
          <t>매출액</t>
        </is>
      </c>
      <c r="C78" s="12" t="n">
        <v>2439.148</v>
      </c>
      <c r="D78" s="12" t="n">
        <v>2844.605</v>
      </c>
      <c r="E78" s="12" t="n">
        <v>2460.48</v>
      </c>
      <c r="F78" s="12" t="n">
        <v>2418.246</v>
      </c>
      <c r="G78" s="12" t="n">
        <v>2416.494</v>
      </c>
      <c r="H78" s="12" t="n">
        <v>2857.29</v>
      </c>
      <c r="I78" s="12" t="n">
        <v>2515.305</v>
      </c>
      <c r="J78" s="12" t="n">
        <v>2507.927</v>
      </c>
      <c r="K78" s="12" t="n">
        <v>2493.689</v>
      </c>
      <c r="L78" s="12" t="n">
        <v>2865.944</v>
      </c>
      <c r="M78" s="12" t="n">
        <v>2508.753</v>
      </c>
      <c r="N78" s="12" t="n">
        <v>2638.266</v>
      </c>
      <c r="T78" s="12" t="n">
        <v>2422.942</v>
      </c>
      <c r="U78" s="12" t="n">
        <v>2532.299</v>
      </c>
      <c r="V78" s="12" t="n">
        <v>2418.246</v>
      </c>
      <c r="W78" s="12" t="n">
        <v>2507.927</v>
      </c>
      <c r="X78" s="12" t="n">
        <v>2638.266</v>
      </c>
    </row>
    <row r="79">
      <c r="A79" s="20" t="inlineStr">
        <is>
          <t>Cost Of Sales</t>
        </is>
      </c>
      <c r="C79" s="22" t="n">
        <v>1830.059</v>
      </c>
      <c r="D79" s="22" t="n">
        <v>2152.201</v>
      </c>
      <c r="E79" s="22" t="n">
        <v>1849.126</v>
      </c>
      <c r="F79" s="22" t="n">
        <v>1801.875</v>
      </c>
      <c r="G79" s="22" t="n">
        <v>1781.475</v>
      </c>
      <c r="H79" s="22" t="n">
        <v>2090.998</v>
      </c>
      <c r="I79" s="22" t="n">
        <v>1858.051</v>
      </c>
      <c r="J79" s="22" t="n">
        <v>1832.827</v>
      </c>
      <c r="K79" s="22" t="n">
        <v>1847.847</v>
      </c>
      <c r="L79" s="22" t="n">
        <v>2116.196</v>
      </c>
      <c r="M79" s="22" t="n">
        <v>1845.059</v>
      </c>
      <c r="N79" s="22" t="n">
        <v>1925.207</v>
      </c>
      <c r="T79" s="22" t="n">
        <v>1770.904</v>
      </c>
      <c r="U79" s="22" t="n">
        <v>1904.036</v>
      </c>
      <c r="V79" s="22" t="n">
        <v>1801.875</v>
      </c>
      <c r="W79" s="22" t="n">
        <v>1832.827</v>
      </c>
      <c r="X79" s="22" t="n">
        <v>1925.207</v>
      </c>
    </row>
    <row r="80">
      <c r="A80" s="9" t="inlineStr">
        <is>
          <t>매출총이익</t>
        </is>
      </c>
      <c r="C80" s="12" t="n">
        <v>609.088</v>
      </c>
      <c r="D80" s="12" t="n">
        <v>692.405</v>
      </c>
      <c r="E80" s="12" t="n">
        <v>611.354</v>
      </c>
      <c r="F80" s="12" t="n">
        <v>616.371</v>
      </c>
      <c r="G80" s="12" t="n">
        <v>635.018</v>
      </c>
      <c r="H80" s="12" t="n">
        <v>766.293</v>
      </c>
      <c r="I80" s="12" t="n">
        <v>657.254</v>
      </c>
      <c r="J80" s="12" t="n">
        <v>675.099</v>
      </c>
      <c r="K80" s="12" t="n">
        <v>645.842</v>
      </c>
      <c r="L80" s="12" t="n">
        <v>749.747</v>
      </c>
      <c r="M80" s="12" t="n">
        <v>663.694</v>
      </c>
      <c r="N80" s="12" t="n">
        <v>713.0599999999999</v>
      </c>
      <c r="T80" s="12" t="n">
        <v>652.038</v>
      </c>
      <c r="U80" s="12" t="n">
        <v>628.263</v>
      </c>
      <c r="V80" s="12" t="n">
        <v>616.371</v>
      </c>
      <c r="W80" s="12" t="n">
        <v>675.099</v>
      </c>
      <c r="X80" s="12" t="n">
        <v>713.0599999999999</v>
      </c>
    </row>
    <row r="81">
      <c r="A81" s="20" t="inlineStr">
        <is>
          <t>판매비와 관리비 합계</t>
        </is>
      </c>
      <c r="C81" s="22" t="n">
        <v>534.567</v>
      </c>
      <c r="D81" s="22" t="n">
        <v>539.487</v>
      </c>
      <c r="E81" s="22" t="n">
        <v>552.98</v>
      </c>
      <c r="F81" s="22" t="n">
        <v>568.682</v>
      </c>
      <c r="G81" s="22" t="n">
        <v>543.737</v>
      </c>
      <c r="H81" s="22" t="n">
        <v>543.63</v>
      </c>
      <c r="I81" s="22" t="n">
        <v>542.341</v>
      </c>
      <c r="J81" s="22" t="n">
        <v>588.479</v>
      </c>
      <c r="K81" s="22" t="n">
        <v>557.728</v>
      </c>
      <c r="L81" s="22" t="n">
        <v>559.316</v>
      </c>
      <c r="M81" s="22" t="n">
        <v>557.6319999999999</v>
      </c>
      <c r="N81" s="22" t="n">
        <v>605.8339999999999</v>
      </c>
      <c r="T81" s="22" t="n">
        <v>582.768</v>
      </c>
      <c r="U81" s="22" t="n">
        <v>585.271</v>
      </c>
      <c r="V81" s="22" t="n">
        <v>568.682</v>
      </c>
      <c r="W81" s="22" t="n">
        <v>588.479</v>
      </c>
      <c r="X81" s="22" t="n">
        <v>605.8339999999999</v>
      </c>
    </row>
    <row r="82">
      <c r="A82" s="9" t="inlineStr">
        <is>
          <t>영업이익</t>
        </is>
      </c>
      <c r="C82" s="12" t="n">
        <v>74.52</v>
      </c>
      <c r="D82" s="12" t="n">
        <v>152.918</v>
      </c>
      <c r="E82" s="12" t="n">
        <v>58.375</v>
      </c>
      <c r="F82" s="12" t="n">
        <v>47.688</v>
      </c>
      <c r="G82" s="12" t="n">
        <v>91.28100000000001</v>
      </c>
      <c r="H82" s="12" t="n">
        <v>222.662</v>
      </c>
      <c r="I82" s="12" t="n">
        <v>114.914</v>
      </c>
      <c r="J82" s="12" t="n">
        <v>86.619</v>
      </c>
      <c r="K82" s="12" t="n">
        <v>88.113</v>
      </c>
      <c r="L82" s="12" t="n">
        <v>190.432</v>
      </c>
      <c r="M82" s="12" t="n">
        <v>106.061</v>
      </c>
      <c r="N82" s="12" t="n">
        <v>107.226</v>
      </c>
      <c r="T82" s="12" t="n">
        <v>69.27</v>
      </c>
      <c r="U82" s="12" t="n">
        <v>42.993</v>
      </c>
      <c r="V82" s="12" t="n">
        <v>47.688</v>
      </c>
      <c r="W82" s="12" t="n">
        <v>86.619</v>
      </c>
      <c r="X82" s="12" t="n">
        <v>107.226</v>
      </c>
    </row>
    <row r="83">
      <c r="A83" s="20" t="inlineStr">
        <is>
          <t>이자수익</t>
        </is>
      </c>
      <c r="C83" s="22" t="n">
        <v>5.625</v>
      </c>
      <c r="D83" s="22" t="n">
        <v>5.982</v>
      </c>
      <c r="E83" s="22" t="n">
        <v>5.807</v>
      </c>
      <c r="F83" s="22" t="n">
        <v>-16.3</v>
      </c>
      <c r="G83" s="22" t="n">
        <v>7.28</v>
      </c>
      <c r="H83" s="22" t="n">
        <v>8.779999999999999</v>
      </c>
      <c r="I83" s="22" t="n">
        <v>8.333</v>
      </c>
      <c r="J83" s="22" t="n">
        <v>-16.938</v>
      </c>
      <c r="K83" s="22" t="n">
        <v>11.585</v>
      </c>
      <c r="L83" s="22" t="n">
        <v>11.802</v>
      </c>
      <c r="M83" s="22" t="n">
        <v>12.745</v>
      </c>
      <c r="N83" s="22" t="n">
        <v>-18.645</v>
      </c>
      <c r="T83" s="22" t="n">
        <v>-10.787</v>
      </c>
      <c r="U83" s="22" t="n">
        <v>-12.394</v>
      </c>
      <c r="V83" s="22" t="n">
        <v>-16.3</v>
      </c>
      <c r="W83" s="22" t="n">
        <v>-16.938</v>
      </c>
      <c r="X83" s="22" t="n">
        <v>-18.645</v>
      </c>
    </row>
    <row r="84">
      <c r="A84" s="20" t="inlineStr">
        <is>
          <t>배당금수익</t>
        </is>
      </c>
      <c r="E84" s="22" t="n">
        <v>0</v>
      </c>
      <c r="F84" s="22" t="n">
        <v>3.297</v>
      </c>
      <c r="G84" s="22" t="n">
        <v>0</v>
      </c>
      <c r="H84" s="22" t="n">
        <v>3.403</v>
      </c>
      <c r="I84" s="22" t="n">
        <v>0</v>
      </c>
      <c r="J84" s="22" t="n">
        <v>4.88</v>
      </c>
      <c r="K84" s="22" t="n">
        <v>0.016</v>
      </c>
      <c r="L84" s="22" t="n">
        <v>4.93</v>
      </c>
      <c r="M84" s="22" t="n">
        <v>0</v>
      </c>
      <c r="N84" s="22" t="n">
        <v>6.097</v>
      </c>
      <c r="T84" s="22" t="n">
        <v>3.124</v>
      </c>
      <c r="U84" s="22" t="n">
        <v>2.966</v>
      </c>
      <c r="V84" s="22" t="n">
        <v>3.297</v>
      </c>
      <c r="W84" s="22" t="n">
        <v>4.88</v>
      </c>
      <c r="X84" s="22" t="n">
        <v>6.097</v>
      </c>
    </row>
    <row r="85">
      <c r="A85" s="20" t="inlineStr">
        <is>
          <t>매입할인</t>
        </is>
      </c>
      <c r="C85" s="22" t="n">
        <v>1.523</v>
      </c>
      <c r="D85" s="22" t="n">
        <v>1.64</v>
      </c>
      <c r="E85" s="22" t="n">
        <v>1.575</v>
      </c>
      <c r="F85" s="22" t="n">
        <v>1.251</v>
      </c>
      <c r="G85" s="22" t="n">
        <v>1.335</v>
      </c>
      <c r="H85" s="22" t="n">
        <v>1.642</v>
      </c>
      <c r="I85" s="22" t="n">
        <v>1.699</v>
      </c>
      <c r="J85" s="22" t="n">
        <v>1.529</v>
      </c>
      <c r="K85" s="22" t="n">
        <v>1.794</v>
      </c>
      <c r="L85" s="22" t="n">
        <v>1.942</v>
      </c>
      <c r="M85" s="22" t="n">
        <v>1.963</v>
      </c>
      <c r="N85" s="22" t="n">
        <v>1.962</v>
      </c>
      <c r="T85" s="22" t="n">
        <v>1.337</v>
      </c>
      <c r="U85" s="22" t="n">
        <v>1.363</v>
      </c>
      <c r="V85" s="22" t="n">
        <v>1.251</v>
      </c>
      <c r="W85" s="22" t="n">
        <v>1.529</v>
      </c>
      <c r="X85" s="22" t="n">
        <v>1.962</v>
      </c>
    </row>
    <row r="86">
      <c r="A86" s="20" t="inlineStr">
        <is>
          <t>외환차익</t>
        </is>
      </c>
      <c r="C86" s="22" t="n">
        <v>1.877</v>
      </c>
      <c r="D86" s="22" t="n">
        <v>-1.877</v>
      </c>
      <c r="E86" s="22" t="n">
        <v>2.29</v>
      </c>
      <c r="F86" s="22" t="n">
        <v>2.996</v>
      </c>
      <c r="G86" s="22" t="n">
        <v>0</v>
      </c>
      <c r="H86" s="22" t="n">
        <v>0</v>
      </c>
      <c r="I86" s="22" t="n">
        <v>0</v>
      </c>
      <c r="J86" s="22" t="n">
        <v>0</v>
      </c>
      <c r="K86" s="22" t="n">
        <v>1.241</v>
      </c>
      <c r="L86" s="22" t="n">
        <v>2.397</v>
      </c>
      <c r="M86" s="22" t="n">
        <v>1.076</v>
      </c>
      <c r="N86" s="22" t="n">
        <v>0.8149999999999999</v>
      </c>
      <c r="T86" s="22" t="n">
        <v>4.098</v>
      </c>
      <c r="U86" s="22" t="n">
        <v>4.457</v>
      </c>
      <c r="V86" s="22" t="n">
        <v>2.996</v>
      </c>
      <c r="W86" s="22" t="n">
        <v>0</v>
      </c>
      <c r="X86" s="22" t="n">
        <v>0.8149999999999999</v>
      </c>
    </row>
    <row r="87">
      <c r="A87" s="20" t="inlineStr">
        <is>
          <t>대손충당금 환입</t>
        </is>
      </c>
      <c r="C87" s="22" t="n">
        <v>0</v>
      </c>
      <c r="G87" s="22" t="n">
        <v>3.132</v>
      </c>
      <c r="K87" s="22" t="n">
        <v>0</v>
      </c>
    </row>
    <row r="88">
      <c r="A88" s="20" t="inlineStr">
        <is>
          <t>기타</t>
        </is>
      </c>
      <c r="C88" s="22" t="n">
        <v>0.907</v>
      </c>
      <c r="D88" s="22" t="n">
        <v>1.511</v>
      </c>
      <c r="E88" s="22" t="n">
        <v>-0.416</v>
      </c>
      <c r="G88" s="22" t="n">
        <v>0.295</v>
      </c>
      <c r="H88" s="22" t="n">
        <v>1.618</v>
      </c>
      <c r="I88" s="22" t="n">
        <v>0.699</v>
      </c>
      <c r="K88" s="22" t="n">
        <v>2.105</v>
      </c>
      <c r="L88" s="22" t="n">
        <v>1.148</v>
      </c>
      <c r="M88" s="22" t="n">
        <v>0.597</v>
      </c>
    </row>
    <row r="89">
      <c r="A89" s="20" t="inlineStr">
        <is>
          <t>영업외수익 합계</t>
        </is>
      </c>
      <c r="C89" s="22" t="n">
        <v>9.933999999999999</v>
      </c>
      <c r="D89" s="22" t="n">
        <v>10.499</v>
      </c>
      <c r="E89" s="22" t="n">
        <v>9.257</v>
      </c>
      <c r="F89" s="22" t="n">
        <v>14.021</v>
      </c>
      <c r="G89" s="22" t="n">
        <v>12.043</v>
      </c>
      <c r="H89" s="22" t="n">
        <v>12.311</v>
      </c>
      <c r="I89" s="22" t="n">
        <v>10.732</v>
      </c>
      <c r="J89" s="22" t="n">
        <v>19.56</v>
      </c>
      <c r="K89" s="22" t="n">
        <v>16.743</v>
      </c>
      <c r="L89" s="22" t="n">
        <v>22.22</v>
      </c>
      <c r="M89" s="22" t="n">
        <v>16.38</v>
      </c>
      <c r="N89" s="22" t="n">
        <v>24.659</v>
      </c>
      <c r="T89" s="22" t="n">
        <v>12.618</v>
      </c>
      <c r="U89" s="22" t="n">
        <v>12.056</v>
      </c>
      <c r="V89" s="22" t="n">
        <v>14.021</v>
      </c>
      <c r="W89" s="22" t="n">
        <v>19.56</v>
      </c>
      <c r="X89" s="22" t="n">
        <v>24.659</v>
      </c>
    </row>
    <row r="90">
      <c r="A90" s="20" t="inlineStr">
        <is>
          <t>투자유가증권 매각손실</t>
        </is>
      </c>
      <c r="C90" s="22" t="n">
        <v>0</v>
      </c>
      <c r="D90" s="22" t="n">
        <v>0</v>
      </c>
      <c r="E90" s="22" t="n">
        <v>0</v>
      </c>
      <c r="F90" s="22" t="n">
        <v>0</v>
      </c>
      <c r="T90" s="22" t="n">
        <v>0</v>
      </c>
      <c r="U90" s="22" t="n">
        <v>0</v>
      </c>
      <c r="V90" s="22" t="n">
        <v>0</v>
      </c>
    </row>
    <row r="91">
      <c r="A91" s="20" t="inlineStr">
        <is>
          <t>외환차손</t>
        </is>
      </c>
      <c r="C91" s="22" t="n">
        <v>0</v>
      </c>
      <c r="D91" s="22" t="n">
        <v>0.922</v>
      </c>
      <c r="E91" s="22" t="n">
        <v>-0.922</v>
      </c>
      <c r="F91" s="22" t="n">
        <v>0</v>
      </c>
      <c r="G91" s="22" t="n">
        <v>5.081</v>
      </c>
      <c r="H91" s="22" t="n">
        <v>-4.831</v>
      </c>
      <c r="I91" s="22" t="n">
        <v>2.595</v>
      </c>
      <c r="J91" s="22" t="n">
        <v>1.561</v>
      </c>
      <c r="K91" s="22" t="n">
        <v>0</v>
      </c>
      <c r="L91" s="22" t="n">
        <v>0</v>
      </c>
      <c r="M91" s="22" t="n">
        <v>0</v>
      </c>
      <c r="N91" s="22" t="n">
        <v>0</v>
      </c>
      <c r="V91" s="22" t="n">
        <v>0</v>
      </c>
      <c r="W91" s="22" t="n">
        <v>1.561</v>
      </c>
      <c r="X91" s="22" t="n">
        <v>0</v>
      </c>
    </row>
    <row r="92">
      <c r="A92" s="20" t="inlineStr">
        <is>
          <t>대손충당금 전입</t>
        </is>
      </c>
      <c r="G92" s="22" t="n">
        <v>0</v>
      </c>
      <c r="H92" s="22" t="n">
        <v>0</v>
      </c>
      <c r="I92" s="22" t="n">
        <v>0</v>
      </c>
      <c r="J92" s="22" t="n">
        <v>0</v>
      </c>
      <c r="K92" s="22" t="n">
        <v>0.509</v>
      </c>
      <c r="L92" s="22" t="n">
        <v>0.21</v>
      </c>
      <c r="M92" s="22" t="n">
        <v>2.566</v>
      </c>
      <c r="N92" s="22" t="n">
        <v>-1.134</v>
      </c>
      <c r="T92" s="22" t="n">
        <v>1.4</v>
      </c>
      <c r="U92" s="22" t="n">
        <v>0</v>
      </c>
      <c r="W92" s="22" t="n">
        <v>0</v>
      </c>
      <c r="X92" s="22" t="n">
        <v>-1.134</v>
      </c>
    </row>
    <row r="93">
      <c r="A93" s="20" t="inlineStr">
        <is>
          <t>잡손실</t>
        </is>
      </c>
      <c r="C93" s="22" t="n">
        <v>0.508</v>
      </c>
      <c r="D93" s="22" t="n">
        <v>0.845</v>
      </c>
      <c r="E93" s="22" t="n">
        <v>0.8179999999999999</v>
      </c>
      <c r="F93" s="22" t="n">
        <v>0.726</v>
      </c>
      <c r="G93" s="22" t="n">
        <v>0.833</v>
      </c>
      <c r="H93" s="22" t="n">
        <v>1.009</v>
      </c>
      <c r="I93" s="22" t="n">
        <v>1.397</v>
      </c>
      <c r="J93" s="22" t="n">
        <v>1.203</v>
      </c>
      <c r="K93" s="22" t="n">
        <v>1.129</v>
      </c>
      <c r="L93" s="22" t="n">
        <v>1.118</v>
      </c>
      <c r="M93" s="22" t="n">
        <v>0.574</v>
      </c>
      <c r="N93" s="22" t="n">
        <v>0.005</v>
      </c>
      <c r="U93" s="22" t="n">
        <v>0</v>
      </c>
      <c r="V93" s="22" t="n">
        <v>0.726</v>
      </c>
      <c r="W93" s="22" t="n">
        <v>1.203</v>
      </c>
      <c r="X93" s="22" t="n">
        <v>0.005</v>
      </c>
    </row>
    <row r="94">
      <c r="A94" s="20" t="inlineStr">
        <is>
          <t>영업외비용 합계</t>
        </is>
      </c>
      <c r="C94" s="22" t="n">
        <v>0.508</v>
      </c>
      <c r="D94" s="22" t="n">
        <v>1.767</v>
      </c>
      <c r="E94" s="22" t="n">
        <v>-0.104</v>
      </c>
      <c r="F94" s="22" t="n">
        <v>3.111</v>
      </c>
      <c r="G94" s="22" t="n">
        <v>5.915</v>
      </c>
      <c r="H94" s="22" t="n">
        <v>-3.822</v>
      </c>
      <c r="I94" s="22" t="n">
        <v>3.992</v>
      </c>
      <c r="J94" s="22" t="n">
        <v>2.763</v>
      </c>
      <c r="K94" s="22" t="n">
        <v>1.639</v>
      </c>
      <c r="L94" s="22" t="n">
        <v>1.327</v>
      </c>
      <c r="M94" s="22" t="n">
        <v>3.141</v>
      </c>
      <c r="N94" s="22" t="n">
        <v>-1.129</v>
      </c>
      <c r="T94" s="22" t="n">
        <v>1.4</v>
      </c>
      <c r="U94" s="22" t="n">
        <v>0</v>
      </c>
      <c r="V94" s="22" t="n">
        <v>3.111</v>
      </c>
      <c r="W94" s="22" t="n">
        <v>2.763</v>
      </c>
      <c r="X94" s="22" t="n">
        <v>-1.129</v>
      </c>
    </row>
    <row r="95">
      <c r="A95" s="9" t="inlineStr">
        <is>
          <t>경상이익</t>
        </is>
      </c>
      <c r="C95" s="12" t="n">
        <v>83.946</v>
      </c>
      <c r="D95" s="12" t="n">
        <v>161.65</v>
      </c>
      <c r="E95" s="12" t="n">
        <v>67.736</v>
      </c>
      <c r="F95" s="12" t="n">
        <v>58.598</v>
      </c>
      <c r="G95" s="12" t="n">
        <v>97.41</v>
      </c>
      <c r="H95" s="12" t="n">
        <v>238.794</v>
      </c>
      <c r="I95" s="12" t="n">
        <v>121.654</v>
      </c>
      <c r="J95" s="12" t="n">
        <v>103.416</v>
      </c>
      <c r="K95" s="12" t="n">
        <v>103.218</v>
      </c>
      <c r="L95" s="12" t="n">
        <v>211.324</v>
      </c>
      <c r="M95" s="12" t="n">
        <v>119.3</v>
      </c>
      <c r="N95" s="12" t="n">
        <v>133.015</v>
      </c>
      <c r="T95" s="12" t="n">
        <v>80.488</v>
      </c>
      <c r="U95" s="12" t="n">
        <v>55.049</v>
      </c>
      <c r="V95" s="12" t="n">
        <v>58.598</v>
      </c>
      <c r="W95" s="12" t="n">
        <v>103.416</v>
      </c>
      <c r="X95" s="12" t="n">
        <v>133.015</v>
      </c>
    </row>
    <row r="96">
      <c r="A96" s="20" t="inlineStr">
        <is>
          <t>특별이익</t>
        </is>
      </c>
      <c r="C96" s="22" t="n">
        <v>0</v>
      </c>
      <c r="D96" s="22" t="n">
        <v>0</v>
      </c>
      <c r="E96" s="22" t="n">
        <v>0</v>
      </c>
      <c r="F96" s="22" t="n">
        <v>0</v>
      </c>
      <c r="G96" s="22" t="n">
        <v>0</v>
      </c>
      <c r="H96" s="22" t="n">
        <v>0</v>
      </c>
      <c r="I96" s="22" t="n">
        <v>0</v>
      </c>
      <c r="J96" s="22" t="n">
        <v>0</v>
      </c>
      <c r="K96" s="22" t="n">
        <v>0</v>
      </c>
      <c r="L96" s="22" t="n">
        <v>0</v>
      </c>
      <c r="M96" s="22" t="n">
        <v>0</v>
      </c>
      <c r="N96" s="22" t="n">
        <v>0</v>
      </c>
      <c r="T96" s="22" t="n">
        <v>0</v>
      </c>
      <c r="U96" s="22" t="n">
        <v>0</v>
      </c>
      <c r="V96" s="22" t="n">
        <v>0</v>
      </c>
      <c r="W96" s="22" t="n">
        <v>0</v>
      </c>
      <c r="X96" s="22" t="n">
        <v>0</v>
      </c>
    </row>
    <row r="97">
      <c r="A97" s="20" t="inlineStr">
        <is>
          <t>고정자산 제각손실</t>
        </is>
      </c>
      <c r="E97" s="22" t="n">
        <v>0</v>
      </c>
      <c r="F97" s="22" t="n">
        <v>0</v>
      </c>
      <c r="I97" s="22" t="n">
        <v>0</v>
      </c>
      <c r="J97" s="22" t="n">
        <v>0</v>
      </c>
      <c r="M97" s="22" t="n">
        <v>0</v>
      </c>
      <c r="N97" s="22" t="n">
        <v>0</v>
      </c>
      <c r="T97" s="22" t="n">
        <v>0</v>
      </c>
      <c r="U97" s="22" t="n">
        <v>0</v>
      </c>
      <c r="V97" s="22" t="n">
        <v>0</v>
      </c>
      <c r="W97" s="22" t="n">
        <v>0</v>
      </c>
      <c r="X97" s="22" t="n">
        <v>0</v>
      </c>
    </row>
    <row r="98">
      <c r="A98" s="20" t="inlineStr">
        <is>
          <t>Company Funeral Expenses EL</t>
        </is>
      </c>
      <c r="E98" s="22" t="n">
        <v>0</v>
      </c>
      <c r="F98" s="22" t="n">
        <v>0</v>
      </c>
      <c r="T98" s="22" t="n">
        <v>0</v>
      </c>
      <c r="U98" s="22" t="n">
        <v>0</v>
      </c>
      <c r="V98" s="22" t="n">
        <v>0</v>
      </c>
    </row>
    <row r="99">
      <c r="A99" s="20" t="inlineStr">
        <is>
          <t>특별손실 합계</t>
        </is>
      </c>
      <c r="C99" s="22" t="n">
        <v>0</v>
      </c>
      <c r="D99" s="22" t="n">
        <v>0</v>
      </c>
      <c r="E99" s="22" t="n">
        <v>0</v>
      </c>
      <c r="F99" s="22" t="n">
        <v>0</v>
      </c>
      <c r="G99" s="22" t="n">
        <v>0</v>
      </c>
      <c r="H99" s="22" t="n">
        <v>0.78</v>
      </c>
      <c r="I99" s="22" t="n">
        <v>0</v>
      </c>
      <c r="J99" s="22" t="n">
        <v>0</v>
      </c>
      <c r="K99" s="22" t="n">
        <v>0</v>
      </c>
      <c r="L99" s="22" t="n">
        <v>0</v>
      </c>
      <c r="M99" s="22" t="n">
        <v>0</v>
      </c>
      <c r="N99" s="22" t="n">
        <v>0</v>
      </c>
      <c r="T99" s="22" t="n">
        <v>0</v>
      </c>
      <c r="U99" s="22" t="n">
        <v>0</v>
      </c>
      <c r="V99" s="22" t="n">
        <v>0</v>
      </c>
      <c r="W99" s="22" t="n">
        <v>0</v>
      </c>
      <c r="X99" s="22" t="n">
        <v>0</v>
      </c>
    </row>
    <row r="100">
      <c r="A100" s="9" t="inlineStr">
        <is>
          <t>법인세차감전 순이익</t>
        </is>
      </c>
      <c r="C100" s="12" t="n">
        <v>83.946</v>
      </c>
      <c r="D100" s="12" t="n">
        <v>161.65</v>
      </c>
      <c r="E100" s="12" t="n">
        <v>67.736</v>
      </c>
      <c r="F100" s="12" t="n">
        <v>58.598</v>
      </c>
      <c r="G100" s="12" t="n">
        <v>97.41</v>
      </c>
      <c r="H100" s="12" t="n">
        <v>238.014</v>
      </c>
      <c r="I100" s="12" t="n">
        <v>121.654</v>
      </c>
      <c r="J100" s="12" t="n">
        <v>103.416</v>
      </c>
      <c r="K100" s="12" t="n">
        <v>103.218</v>
      </c>
      <c r="L100" s="12" t="n">
        <v>211.324</v>
      </c>
      <c r="M100" s="12" t="n">
        <v>119.3</v>
      </c>
      <c r="N100" s="12" t="n">
        <v>133.015</v>
      </c>
      <c r="T100" s="12" t="n">
        <v>80.488</v>
      </c>
      <c r="U100" s="12" t="n">
        <v>55.049</v>
      </c>
      <c r="V100" s="12" t="n">
        <v>58.598</v>
      </c>
      <c r="W100" s="12" t="n">
        <v>103.416</v>
      </c>
      <c r="X100" s="12" t="n">
        <v>133.015</v>
      </c>
    </row>
    <row r="101">
      <c r="A101" s="20" t="inlineStr">
        <is>
          <t>법인세·주민세·사업세</t>
        </is>
      </c>
      <c r="C101" s="22" t="n">
        <v>52.115</v>
      </c>
      <c r="D101" s="22" t="n">
        <v>42.529</v>
      </c>
      <c r="E101" s="22" t="n">
        <v>21.932</v>
      </c>
      <c r="F101" s="22" t="n">
        <v>10.898</v>
      </c>
      <c r="G101" s="22" t="n">
        <v>33.303</v>
      </c>
      <c r="H101" s="22" t="n">
        <v>64.60299999999999</v>
      </c>
      <c r="I101" s="22" t="n">
        <v>51.254</v>
      </c>
      <c r="J101" s="22" t="n">
        <v>17.505</v>
      </c>
      <c r="K101" s="22" t="n">
        <v>39.789</v>
      </c>
      <c r="L101" s="22" t="n">
        <v>56.294</v>
      </c>
      <c r="M101" s="22" t="n">
        <v>48.655</v>
      </c>
      <c r="N101" s="22" t="n">
        <v>43</v>
      </c>
      <c r="T101" s="22" t="n">
        <v>11.719</v>
      </c>
      <c r="U101" s="22" t="n">
        <v>-1.965</v>
      </c>
      <c r="V101" s="22" t="n">
        <v>10.898</v>
      </c>
      <c r="W101" s="22" t="n">
        <v>17.505</v>
      </c>
      <c r="X101" s="22" t="n">
        <v>43</v>
      </c>
    </row>
    <row r="102">
      <c r="A102" s="20" t="inlineStr">
        <is>
          <t>법인세 조정액</t>
        </is>
      </c>
      <c r="C102" s="22" t="n">
        <v>-17.848</v>
      </c>
      <c r="D102" s="22" t="n">
        <v>13.59</v>
      </c>
      <c r="E102" s="22" t="n">
        <v>-16.982</v>
      </c>
      <c r="F102" s="22" t="n">
        <v>10.994</v>
      </c>
      <c r="G102" s="22" t="n">
        <v>-4.391</v>
      </c>
      <c r="H102" s="22" t="n">
        <v>14.255</v>
      </c>
      <c r="I102" s="22" t="n">
        <v>-18.555</v>
      </c>
      <c r="J102" s="22" t="n">
        <v>11.662</v>
      </c>
      <c r="K102" s="22" t="n">
        <v>-9.411</v>
      </c>
      <c r="L102" s="22" t="n">
        <v>12.867</v>
      </c>
      <c r="M102" s="22" t="n">
        <v>-15.222</v>
      </c>
      <c r="N102" s="22" t="n">
        <v>0.427</v>
      </c>
      <c r="T102" s="22" t="n">
        <v>15.376</v>
      </c>
      <c r="U102" s="22" t="n">
        <v>15.099</v>
      </c>
      <c r="V102" s="22" t="n">
        <v>10.994</v>
      </c>
      <c r="W102" s="22" t="n">
        <v>11.662</v>
      </c>
      <c r="X102" s="22" t="n">
        <v>0.427</v>
      </c>
    </row>
    <row r="103">
      <c r="A103" s="20" t="inlineStr">
        <is>
          <t>법인세 등 합계</t>
        </is>
      </c>
      <c r="C103" s="22" t="n">
        <v>34.266</v>
      </c>
      <c r="D103" s="22" t="n">
        <v>56.12</v>
      </c>
      <c r="E103" s="22" t="n">
        <v>4.949</v>
      </c>
      <c r="F103" s="22" t="n">
        <v>21.892</v>
      </c>
      <c r="G103" s="22" t="n">
        <v>28.911</v>
      </c>
      <c r="H103" s="22" t="n">
        <v>78.86</v>
      </c>
      <c r="I103" s="22" t="n">
        <v>32.698</v>
      </c>
      <c r="J103" s="22" t="n">
        <v>29.167</v>
      </c>
      <c r="K103" s="22" t="n">
        <v>30.378</v>
      </c>
      <c r="L103" s="22" t="n">
        <v>69.161</v>
      </c>
      <c r="M103" s="22" t="n">
        <v>33.432</v>
      </c>
      <c r="N103" s="22" t="n">
        <v>43.427</v>
      </c>
      <c r="T103" s="22" t="n">
        <v>27.095</v>
      </c>
      <c r="U103" s="22" t="n">
        <v>13.136</v>
      </c>
      <c r="V103" s="22" t="n">
        <v>21.892</v>
      </c>
      <c r="W103" s="22" t="n">
        <v>29.167</v>
      </c>
      <c r="X103" s="22" t="n">
        <v>43.427</v>
      </c>
    </row>
    <row r="104">
      <c r="A104" s="9" t="inlineStr">
        <is>
          <t>순이익</t>
        </is>
      </c>
      <c r="C104" s="12" t="n">
        <v>49.68</v>
      </c>
      <c r="D104" s="12" t="n">
        <v>105.53</v>
      </c>
      <c r="E104" s="12" t="n">
        <v>62.786</v>
      </c>
      <c r="F104" s="12" t="n">
        <v>36.706</v>
      </c>
      <c r="G104" s="12" t="n">
        <v>68.498</v>
      </c>
      <c r="H104" s="12" t="n">
        <v>159.155</v>
      </c>
      <c r="I104" s="12" t="n">
        <v>88.955</v>
      </c>
      <c r="J104" s="12" t="n">
        <v>74.249</v>
      </c>
      <c r="K104" s="12" t="n">
        <v>72.839</v>
      </c>
      <c r="L104" s="12" t="n">
        <v>142.164</v>
      </c>
      <c r="M104" s="12" t="n">
        <v>85.867</v>
      </c>
      <c r="N104" s="12" t="n">
        <v>89.589</v>
      </c>
      <c r="T104" s="12" t="n">
        <v>53.393</v>
      </c>
      <c r="U104" s="12" t="n">
        <v>41.914</v>
      </c>
      <c r="V104" s="12" t="n">
        <v>36.706</v>
      </c>
      <c r="W104" s="12" t="n">
        <v>74.249</v>
      </c>
      <c r="X104" s="12" t="n">
        <v>89.589</v>
      </c>
    </row>
    <row r="106">
      <c r="A106" s="18" t="inlineStr">
        <is>
          <t>현금흐름표 · 전 항목</t>
        </is>
      </c>
      <c r="B106" s="44" t="inlineStr">
        <is>
          <t>분기 = 결산기 첫날부터 누계(공시 그대로)</t>
        </is>
      </c>
      <c r="C106" s="18" t="n"/>
      <c r="D106" s="18" t="n"/>
      <c r="E106" s="18" t="n"/>
      <c r="F106" s="18" t="n"/>
      <c r="G106" s="18" t="n"/>
      <c r="H106" s="18" t="n"/>
      <c r="I106" s="18" t="n"/>
      <c r="J106" s="18" t="n"/>
      <c r="K106" s="18" t="n"/>
      <c r="L106" s="18" t="n"/>
      <c r="M106" s="18" t="n"/>
      <c r="N106" s="18" t="n"/>
      <c r="O106" s="18" t="n"/>
      <c r="P106" s="18" t="n"/>
      <c r="Q106" s="18" t="n"/>
      <c r="R106" s="18" t="n"/>
      <c r="S106" s="18" t="n"/>
      <c r="T106" s="18" t="n"/>
      <c r="U106" s="18" t="n"/>
      <c r="V106" s="18" t="n"/>
      <c r="W106" s="18" t="n"/>
      <c r="X106" s="18" t="n"/>
      <c r="Y106" s="18" t="n"/>
      <c r="Z106" s="18" t="n"/>
      <c r="AA106" s="18" t="n"/>
      <c r="AB106" s="18" t="n"/>
      <c r="AC106" s="18" t="n"/>
    </row>
    <row r="107">
      <c r="A107" s="5" t="inlineStr">
        <is>
          <t>항목</t>
        </is>
      </c>
      <c r="B107" s="5" t="inlineStr">
        <is>
          <t>참고</t>
        </is>
      </c>
      <c r="C107" s="5" t="inlineStr">
        <is>
          <t>2024.1Q</t>
        </is>
      </c>
      <c r="D107" s="5" t="inlineStr">
        <is>
          <t>2024.2Q</t>
        </is>
      </c>
      <c r="E107" s="5" t="inlineStr">
        <is>
          <t>2024.3Q</t>
        </is>
      </c>
      <c r="F107" s="5" t="inlineStr">
        <is>
          <t>2024.4Q</t>
        </is>
      </c>
      <c r="G107" s="5" t="inlineStr">
        <is>
          <t>2025.1Q</t>
        </is>
      </c>
      <c r="H107" s="5" t="inlineStr">
        <is>
          <t>2025.2Q</t>
        </is>
      </c>
      <c r="I107" s="5" t="inlineStr">
        <is>
          <t>2025.3Q</t>
        </is>
      </c>
      <c r="J107" s="5" t="inlineStr">
        <is>
          <t>2025.4Q</t>
        </is>
      </c>
      <c r="K107" s="5" t="inlineStr">
        <is>
          <t>2026.1Q</t>
        </is>
      </c>
      <c r="L107" s="5" t="inlineStr">
        <is>
          <t>2026.2Q</t>
        </is>
      </c>
      <c r="M107" s="5" t="inlineStr">
        <is>
          <t>2026.3Q</t>
        </is>
      </c>
      <c r="N107" s="5" t="inlineStr">
        <is>
          <t>2026.4Q</t>
        </is>
      </c>
      <c r="O107" s="5" t="inlineStr">
        <is>
          <t>2017</t>
        </is>
      </c>
      <c r="P107" s="5" t="inlineStr">
        <is>
          <t>2018</t>
        </is>
      </c>
      <c r="Q107" s="5" t="inlineStr">
        <is>
          <t>2019</t>
        </is>
      </c>
      <c r="R107" s="5" t="inlineStr">
        <is>
          <t>2020</t>
        </is>
      </c>
      <c r="S107" s="5" t="inlineStr">
        <is>
          <t>2021</t>
        </is>
      </c>
      <c r="T107" s="5" t="inlineStr">
        <is>
          <t>2022</t>
        </is>
      </c>
      <c r="U107" s="5" t="inlineStr">
        <is>
          <t>2023</t>
        </is>
      </c>
      <c r="V107" s="5" t="inlineStr">
        <is>
          <t>2024</t>
        </is>
      </c>
      <c r="W107" s="5" t="inlineStr">
        <is>
          <t>2025</t>
        </is>
      </c>
      <c r="X107" s="5" t="inlineStr">
        <is>
          <t>2026</t>
        </is>
      </c>
      <c r="Y107" s="5" t="inlineStr">
        <is>
          <t>2027(MW)</t>
        </is>
      </c>
      <c r="Z107" s="5" t="inlineStr">
        <is>
          <t>2028(MW)</t>
        </is>
      </c>
      <c r="AA107" s="5" t="inlineStr">
        <is>
          <t>2029(MW)</t>
        </is>
      </c>
      <c r="AB107" s="5" t="inlineStr">
        <is>
          <t>2030(MW)</t>
        </is>
      </c>
      <c r="AC107" s="5" t="inlineStr">
        <is>
          <t>2031(MW)</t>
        </is>
      </c>
    </row>
    <row r="108">
      <c r="A108" s="9" t="inlineStr">
        <is>
          <t>법인세차감전 순이익</t>
        </is>
      </c>
      <c r="D108" s="12" t="n">
        <v>245.596</v>
      </c>
      <c r="F108" s="12" t="n">
        <v>371.93</v>
      </c>
      <c r="H108" s="12" t="n">
        <v>335.424</v>
      </c>
      <c r="J108" s="12" t="n">
        <v>560.494</v>
      </c>
      <c r="L108" s="12" t="n">
        <v>314.542</v>
      </c>
      <c r="N108" s="12" t="n">
        <v>566.857</v>
      </c>
      <c r="O108" s="12" t="n">
        <v>560.38</v>
      </c>
      <c r="P108" s="12" t="n">
        <v>655.4</v>
      </c>
      <c r="Q108" s="12" t="n">
        <v>657.7190000000001</v>
      </c>
      <c r="R108" s="12" t="n">
        <v>705.754</v>
      </c>
      <c r="S108" s="12" t="n">
        <v>649.251</v>
      </c>
      <c r="T108" s="12" t="n">
        <v>606.441</v>
      </c>
      <c r="U108" s="12" t="n">
        <v>407.305</v>
      </c>
      <c r="V108" s="12" t="n">
        <v>371.93</v>
      </c>
      <c r="W108" s="12" t="n">
        <v>560.494</v>
      </c>
      <c r="X108" s="12" t="n">
        <v>566.857</v>
      </c>
    </row>
    <row r="109">
      <c r="A109" s="20" t="inlineStr">
        <is>
          <t>감가상각비</t>
        </is>
      </c>
      <c r="D109" s="22" t="n">
        <v>77.212</v>
      </c>
      <c r="F109" s="22" t="n">
        <v>184.483</v>
      </c>
      <c r="H109" s="22" t="n">
        <v>78.566</v>
      </c>
      <c r="J109" s="22" t="n">
        <v>177.667</v>
      </c>
      <c r="L109" s="22" t="n">
        <v>117.15</v>
      </c>
      <c r="N109" s="22" t="n">
        <v>262.339</v>
      </c>
      <c r="O109" s="22" t="n">
        <v>203.092</v>
      </c>
      <c r="P109" s="22" t="n">
        <v>274.629</v>
      </c>
      <c r="Q109" s="22" t="n">
        <v>205.782</v>
      </c>
      <c r="R109" s="22" t="n">
        <v>195.397</v>
      </c>
      <c r="S109" s="22" t="n">
        <v>180.283</v>
      </c>
      <c r="T109" s="22" t="n">
        <v>196.476</v>
      </c>
      <c r="U109" s="22" t="n">
        <v>189.626</v>
      </c>
      <c r="V109" s="22" t="n">
        <v>184.483</v>
      </c>
      <c r="W109" s="22" t="n">
        <v>177.667</v>
      </c>
      <c r="X109" s="22" t="n">
        <v>262.339</v>
      </c>
    </row>
    <row r="110">
      <c r="A110" s="20" t="inlineStr">
        <is>
          <t>대손충당금 증감</t>
        </is>
      </c>
      <c r="D110" s="22" t="n">
        <v>-1.196</v>
      </c>
      <c r="F110" s="22" t="n">
        <v>0.407</v>
      </c>
      <c r="H110" s="22" t="n">
        <v>-0.913</v>
      </c>
      <c r="J110" s="22" t="n">
        <v>-1.625</v>
      </c>
      <c r="L110" s="22" t="n">
        <v>0.797</v>
      </c>
      <c r="N110" s="22" t="n">
        <v>1.662</v>
      </c>
      <c r="O110" s="22" t="n">
        <v>0.002</v>
      </c>
      <c r="P110" s="22" t="n">
        <v>0.155</v>
      </c>
      <c r="Q110" s="22" t="n">
        <v>0.027</v>
      </c>
      <c r="R110" s="22" t="n">
        <v>5.813</v>
      </c>
      <c r="S110" s="22" t="n">
        <v>12.026</v>
      </c>
      <c r="T110" s="22" t="n">
        <v>6.187</v>
      </c>
      <c r="U110" s="22" t="n">
        <v>1.698</v>
      </c>
      <c r="V110" s="22" t="n">
        <v>0.407</v>
      </c>
      <c r="W110" s="22" t="n">
        <v>-1.625</v>
      </c>
      <c r="X110" s="22" t="n">
        <v>1.662</v>
      </c>
    </row>
    <row r="111">
      <c r="A111" s="20" t="inlineStr">
        <is>
          <t>Increase Decrease In Allowance For Investment Loss Ope CF</t>
        </is>
      </c>
      <c r="P111" s="22" t="n">
        <v>0</v>
      </c>
      <c r="Q111" s="22" t="n">
        <v>28.933</v>
      </c>
      <c r="R111" s="22" t="n">
        <v>0</v>
      </c>
    </row>
    <row r="112">
      <c r="A112" s="20" t="inlineStr">
        <is>
          <t>퇴직급여충당금 증감액</t>
        </is>
      </c>
      <c r="D112" s="22" t="n">
        <v>1.778</v>
      </c>
      <c r="F112" s="22" t="n">
        <v>2.516</v>
      </c>
      <c r="H112" s="22" t="n">
        <v>-12.95</v>
      </c>
      <c r="J112" s="22" t="n">
        <v>-8.311999999999999</v>
      </c>
      <c r="L112" s="22" t="n">
        <v>-1.821</v>
      </c>
      <c r="N112" s="22" t="n">
        <v>-1.734</v>
      </c>
      <c r="O112" s="22" t="n">
        <v>9.323</v>
      </c>
      <c r="P112" s="22" t="n">
        <v>6.58</v>
      </c>
      <c r="Q112" s="22" t="n">
        <v>7.902</v>
      </c>
      <c r="R112" s="22" t="n">
        <v>-9.436999999999999</v>
      </c>
      <c r="S112" s="22" t="n">
        <v>-9.782999999999999</v>
      </c>
      <c r="T112" s="22" t="n">
        <v>0.58</v>
      </c>
      <c r="U112" s="22" t="n">
        <v>1.67</v>
      </c>
      <c r="V112" s="22" t="n">
        <v>2.516</v>
      </c>
      <c r="W112" s="22" t="n">
        <v>-8.311999999999999</v>
      </c>
      <c r="X112" s="22" t="n">
        <v>-1.734</v>
      </c>
    </row>
    <row r="113">
      <c r="A113" s="20" t="inlineStr">
        <is>
          <t>임원 퇴직위로 충당금 증감</t>
        </is>
      </c>
      <c r="D113" s="22" t="n">
        <v>4.25</v>
      </c>
      <c r="F113" s="22" t="n">
        <v>8.5</v>
      </c>
      <c r="H113" s="22" t="n">
        <v>-6.75</v>
      </c>
      <c r="J113" s="22" t="n">
        <v>-2.5</v>
      </c>
      <c r="L113" s="22" t="n">
        <v>4.25</v>
      </c>
      <c r="N113" s="22" t="n">
        <v>8.5</v>
      </c>
      <c r="O113" s="22" t="n">
        <v>5.166</v>
      </c>
      <c r="P113" s="22" t="n">
        <v>11.25</v>
      </c>
      <c r="Q113" s="22" t="n">
        <v>11.25</v>
      </c>
      <c r="R113" s="22" t="n">
        <v>11.25</v>
      </c>
      <c r="S113" s="22" t="n">
        <v>-3.27</v>
      </c>
      <c r="T113" s="22" t="n">
        <v>12.5</v>
      </c>
      <c r="U113" s="22" t="n">
        <v>-187.575</v>
      </c>
      <c r="V113" s="22" t="n">
        <v>8.5</v>
      </c>
      <c r="W113" s="22" t="n">
        <v>-2.5</v>
      </c>
      <c r="X113" s="22" t="n">
        <v>8.5</v>
      </c>
    </row>
    <row r="114">
      <c r="A114" s="20" t="inlineStr">
        <is>
          <t>제품보상 충당금 증감</t>
        </is>
      </c>
      <c r="J114" s="22" t="n">
        <v>0</v>
      </c>
      <c r="N114" s="22" t="n">
        <v>17.708</v>
      </c>
      <c r="O114" s="22" t="n">
        <v>-16.807</v>
      </c>
      <c r="P114" s="22" t="n">
        <v>-18.481</v>
      </c>
      <c r="Q114" s="22" t="n">
        <v>-27.054</v>
      </c>
      <c r="R114" s="22" t="n">
        <v>-20.055</v>
      </c>
      <c r="S114" s="22" t="n">
        <v>0</v>
      </c>
      <c r="W114" s="22" t="n">
        <v>0</v>
      </c>
      <c r="X114" s="22" t="n">
        <v>17.708</v>
      </c>
    </row>
    <row r="115">
      <c r="A115" s="20" t="inlineStr">
        <is>
          <t>이자·배당금 수익</t>
        </is>
      </c>
      <c r="D115" s="22" t="n">
        <v>-14.851</v>
      </c>
      <c r="F115" s="22" t="n">
        <v>-30.54</v>
      </c>
      <c r="H115" s="22" t="n">
        <v>-19.463</v>
      </c>
      <c r="J115" s="22" t="n">
        <v>-42.765</v>
      </c>
      <c r="L115" s="22" t="n">
        <v>-28.334</v>
      </c>
      <c r="N115" s="22" t="n">
        <v>-62.752</v>
      </c>
      <c r="O115" s="22" t="n">
        <v>-14.185</v>
      </c>
      <c r="P115" s="22" t="n">
        <v>-15.857</v>
      </c>
      <c r="Q115" s="22" t="n">
        <v>-16.191</v>
      </c>
      <c r="R115" s="22" t="n">
        <v>-18.519</v>
      </c>
      <c r="S115" s="22" t="n">
        <v>-20.672</v>
      </c>
      <c r="T115" s="22" t="n">
        <v>-20.52</v>
      </c>
      <c r="U115" s="22" t="n">
        <v>-24.31</v>
      </c>
      <c r="V115" s="22" t="n">
        <v>-30.54</v>
      </c>
      <c r="W115" s="22" t="n">
        <v>-42.765</v>
      </c>
      <c r="X115" s="22" t="n">
        <v>-62.752</v>
      </c>
    </row>
    <row r="116">
      <c r="A116" s="20" t="inlineStr">
        <is>
          <t>외환차손익</t>
        </is>
      </c>
      <c r="D116" s="22" t="n">
        <v>2.361</v>
      </c>
      <c r="F116" s="22" t="n">
        <v>-4.111</v>
      </c>
      <c r="H116" s="22" t="n">
        <v>1.262</v>
      </c>
      <c r="J116" s="22" t="n">
        <v>5.037</v>
      </c>
      <c r="L116" s="22" t="n">
        <v>-3.402</v>
      </c>
      <c r="N116" s="22" t="n">
        <v>-5.607</v>
      </c>
      <c r="O116" s="22" t="n">
        <v>0.062</v>
      </c>
      <c r="P116" s="22" t="n">
        <v>0.001</v>
      </c>
      <c r="Q116" s="22" t="n">
        <v>0.06900000000000001</v>
      </c>
      <c r="R116" s="22" t="n">
        <v>0.614</v>
      </c>
      <c r="S116" s="22" t="n">
        <v>-1.896</v>
      </c>
      <c r="T116" s="22" t="n">
        <v>-6.533</v>
      </c>
      <c r="U116" s="22" t="n">
        <v>-2.996</v>
      </c>
      <c r="V116" s="22" t="n">
        <v>-4.111</v>
      </c>
      <c r="W116" s="22" t="n">
        <v>5.037</v>
      </c>
      <c r="X116" s="22" t="n">
        <v>-5.607</v>
      </c>
    </row>
    <row r="117">
      <c r="A117" s="20" t="inlineStr">
        <is>
          <t>고정자산 매각손익</t>
        </is>
      </c>
      <c r="O117" s="22" t="n">
        <v>1.217</v>
      </c>
      <c r="P117" s="22" t="n">
        <v>0</v>
      </c>
    </row>
    <row r="118">
      <c r="A118" s="20" t="inlineStr">
        <is>
          <t>유가증권 매각손익</t>
        </is>
      </c>
      <c r="R118" s="22" t="n">
        <v>0</v>
      </c>
      <c r="S118" s="22" t="n">
        <v>-0.023</v>
      </c>
      <c r="T118" s="22" t="n">
        <v>0</v>
      </c>
    </row>
    <row r="119">
      <c r="A119" s="20" t="inlineStr">
        <is>
          <t>투자유가증권 매각손익</t>
        </is>
      </c>
      <c r="D119" s="22" t="n">
        <v>0</v>
      </c>
      <c r="F119" s="22" t="n">
        <v>0</v>
      </c>
      <c r="T119" s="22" t="n">
        <v>0</v>
      </c>
      <c r="U119" s="22" t="n">
        <v>0.395</v>
      </c>
      <c r="V119" s="22" t="n">
        <v>0</v>
      </c>
    </row>
    <row r="120">
      <c r="A120" s="20" t="inlineStr">
        <is>
          <t>고정자산 제각손실</t>
        </is>
      </c>
      <c r="D120" s="22" t="n">
        <v>0</v>
      </c>
      <c r="F120" s="22" t="n">
        <v>0</v>
      </c>
      <c r="H120" s="22" t="n">
        <v>0.78</v>
      </c>
      <c r="J120" s="22" t="n">
        <v>0.78</v>
      </c>
      <c r="L120" s="22" t="n">
        <v>0</v>
      </c>
      <c r="N120" s="22" t="n">
        <v>0</v>
      </c>
      <c r="O120" s="22" t="n">
        <v>0.322</v>
      </c>
      <c r="P120" s="22" t="n">
        <v>0.63</v>
      </c>
      <c r="Q120" s="22" t="n">
        <v>0.482</v>
      </c>
      <c r="R120" s="22" t="n">
        <v>0.387</v>
      </c>
      <c r="S120" s="22" t="n">
        <v>6.364</v>
      </c>
      <c r="T120" s="22" t="n">
        <v>0</v>
      </c>
      <c r="U120" s="22" t="n">
        <v>0.115</v>
      </c>
      <c r="V120" s="22" t="n">
        <v>0</v>
      </c>
      <c r="W120" s="22" t="n">
        <v>0.78</v>
      </c>
      <c r="X120" s="22" t="n">
        <v>0</v>
      </c>
    </row>
    <row r="121">
      <c r="A121" s="20" t="inlineStr">
        <is>
          <t>매출채권 증감</t>
        </is>
      </c>
      <c r="D121" s="22" t="n">
        <v>-368.759</v>
      </c>
      <c r="F121" s="22" t="n">
        <v>-10.091</v>
      </c>
      <c r="H121" s="22" t="n">
        <v>-354.775</v>
      </c>
      <c r="J121" s="22" t="n">
        <v>39.453</v>
      </c>
      <c r="L121" s="22" t="n">
        <v>-262.63</v>
      </c>
      <c r="N121" s="22" t="n">
        <v>213.344</v>
      </c>
      <c r="O121" s="22" t="n">
        <v>-24.525</v>
      </c>
      <c r="P121" s="22" t="n">
        <v>-60.162</v>
      </c>
      <c r="Q121" s="22" t="n">
        <v>173.73</v>
      </c>
      <c r="R121" s="22" t="n">
        <v>260.996</v>
      </c>
      <c r="S121" s="22" t="n">
        <v>20.218</v>
      </c>
      <c r="T121" s="22" t="n">
        <v>-136.67</v>
      </c>
      <c r="U121" s="22" t="n">
        <v>-73.803</v>
      </c>
      <c r="V121" s="22" t="n">
        <v>-10.091</v>
      </c>
      <c r="W121" s="22" t="n">
        <v>39.453</v>
      </c>
      <c r="X121" s="22" t="n">
        <v>213.344</v>
      </c>
    </row>
    <row r="122">
      <c r="A122" s="20" t="inlineStr">
        <is>
          <t>재고자산 증감</t>
        </is>
      </c>
      <c r="D122" s="22" t="n">
        <v>-3.384</v>
      </c>
      <c r="F122" s="22" t="n">
        <v>2.945</v>
      </c>
      <c r="H122" s="22" t="n">
        <v>-16.214</v>
      </c>
      <c r="J122" s="22" t="n">
        <v>9.032</v>
      </c>
      <c r="L122" s="22" t="n">
        <v>-26.99</v>
      </c>
      <c r="N122" s="22" t="n">
        <v>19.038</v>
      </c>
      <c r="O122" s="22" t="n">
        <v>104.329</v>
      </c>
      <c r="P122" s="22" t="n">
        <v>-10.999</v>
      </c>
      <c r="Q122" s="22" t="n">
        <v>8.201000000000001</v>
      </c>
      <c r="R122" s="22" t="n">
        <v>-52.986</v>
      </c>
      <c r="S122" s="22" t="n">
        <v>88.03</v>
      </c>
      <c r="T122" s="22" t="n">
        <v>-119.61</v>
      </c>
      <c r="U122" s="22" t="n">
        <v>87.78</v>
      </c>
      <c r="V122" s="22" t="n">
        <v>2.945</v>
      </c>
      <c r="W122" s="22" t="n">
        <v>9.032</v>
      </c>
      <c r="X122" s="22" t="n">
        <v>19.038</v>
      </c>
    </row>
    <row r="123">
      <c r="A123" s="20" t="inlineStr">
        <is>
          <t>매입채무 증감</t>
        </is>
      </c>
      <c r="D123" s="22" t="n">
        <v>300.958</v>
      </c>
      <c r="F123" s="22" t="n">
        <v>-76.688</v>
      </c>
      <c r="H123" s="22" t="n">
        <v>-882.46</v>
      </c>
      <c r="J123" s="22" t="n">
        <v>-1723.468</v>
      </c>
      <c r="L123" s="22" t="n">
        <v>128.668</v>
      </c>
      <c r="N123" s="22" t="n">
        <v>81.28100000000001</v>
      </c>
      <c r="O123" s="22" t="n">
        <v>1580.318</v>
      </c>
      <c r="P123" s="22" t="n">
        <v>33.262</v>
      </c>
      <c r="Q123" s="22" t="n">
        <v>45.724</v>
      </c>
      <c r="R123" s="22" t="n">
        <v>-204.171</v>
      </c>
      <c r="S123" s="22" t="n">
        <v>70.896</v>
      </c>
      <c r="T123" s="22" t="n">
        <v>221.942</v>
      </c>
      <c r="U123" s="22" t="n">
        <v>44.333</v>
      </c>
      <c r="V123" s="22" t="n">
        <v>-76.688</v>
      </c>
      <c r="W123" s="22" t="n">
        <v>-1723.468</v>
      </c>
      <c r="X123" s="22" t="n">
        <v>81.28100000000001</v>
      </c>
    </row>
    <row r="124">
      <c r="A124" s="20" t="inlineStr">
        <is>
          <t>미지급 소비세 증감</t>
        </is>
      </c>
      <c r="D124" s="22" t="n">
        <v>-8.039</v>
      </c>
      <c r="F124" s="22" t="n">
        <v>-16.437</v>
      </c>
      <c r="H124" s="22" t="n">
        <v>37.537</v>
      </c>
      <c r="J124" s="22" t="n">
        <v>34.536</v>
      </c>
      <c r="L124" s="22" t="n">
        <v>-33.29</v>
      </c>
      <c r="N124" s="22" t="n">
        <v>-43.299</v>
      </c>
      <c r="O124" s="22" t="n">
        <v>10.379</v>
      </c>
      <c r="P124" s="22" t="n">
        <v>-15.312</v>
      </c>
      <c r="Q124" s="22" t="n">
        <v>9.566000000000001</v>
      </c>
      <c r="R124" s="22" t="n">
        <v>-3.972</v>
      </c>
      <c r="S124" s="22" t="n">
        <v>27.586</v>
      </c>
      <c r="T124" s="22" t="n">
        <v>-38.18</v>
      </c>
      <c r="U124" s="22" t="n">
        <v>15.641</v>
      </c>
      <c r="V124" s="22" t="n">
        <v>-16.437</v>
      </c>
      <c r="W124" s="22" t="n">
        <v>34.536</v>
      </c>
      <c r="X124" s="22" t="n">
        <v>-43.299</v>
      </c>
    </row>
    <row r="125">
      <c r="A125" s="20" t="inlineStr">
        <is>
          <t>기타</t>
        </is>
      </c>
      <c r="D125" s="22" t="n">
        <v>-1.534</v>
      </c>
      <c r="F125" s="22" t="n">
        <v>63.669</v>
      </c>
      <c r="H125" s="22" t="n">
        <v>-57.116</v>
      </c>
      <c r="J125" s="22" t="n">
        <v>-74.39</v>
      </c>
      <c r="L125" s="22" t="n">
        <v>44.517</v>
      </c>
      <c r="N125" s="22" t="n">
        <v>17.864</v>
      </c>
      <c r="O125" s="22" t="n">
        <v>-8.404</v>
      </c>
      <c r="P125" s="22" t="n">
        <v>-14.704</v>
      </c>
      <c r="Q125" s="22" t="n">
        <v>36.253</v>
      </c>
      <c r="R125" s="22" t="n">
        <v>-26.813</v>
      </c>
      <c r="S125" s="22" t="n">
        <v>-24.502</v>
      </c>
      <c r="T125" s="22" t="n">
        <v>12.127</v>
      </c>
      <c r="U125" s="22" t="n">
        <v>-28.85</v>
      </c>
      <c r="V125" s="22" t="n">
        <v>63.669</v>
      </c>
      <c r="W125" s="22" t="n">
        <v>-74.39</v>
      </c>
      <c r="X125" s="22" t="n">
        <v>17.864</v>
      </c>
    </row>
    <row r="126">
      <c r="A126" s="20" t="inlineStr">
        <is>
          <t>소계</t>
        </is>
      </c>
      <c r="D126" s="22" t="n">
        <v>234.389</v>
      </c>
      <c r="F126" s="22" t="n">
        <v>496.582</v>
      </c>
      <c r="H126" s="22" t="n">
        <v>-897.073</v>
      </c>
      <c r="J126" s="22" t="n">
        <v>-1026.059</v>
      </c>
      <c r="L126" s="22" t="n">
        <v>253.457</v>
      </c>
      <c r="N126" s="22" t="n">
        <v>1075.203</v>
      </c>
      <c r="O126" s="22" t="n">
        <v>2410.672</v>
      </c>
      <c r="P126" s="22" t="n">
        <v>846.394</v>
      </c>
      <c r="Q126" s="22" t="n">
        <v>1142.396</v>
      </c>
      <c r="R126" s="22" t="n">
        <v>844.258</v>
      </c>
      <c r="S126" s="22" t="n">
        <v>994.509</v>
      </c>
      <c r="T126" s="22" t="n">
        <v>734.741</v>
      </c>
      <c r="U126" s="22" t="n">
        <v>431.032</v>
      </c>
      <c r="V126" s="22" t="n">
        <v>496.582</v>
      </c>
      <c r="W126" s="22" t="n">
        <v>-1026.059</v>
      </c>
      <c r="X126" s="22" t="n">
        <v>1075.203</v>
      </c>
    </row>
    <row r="127">
      <c r="A127" s="20" t="inlineStr">
        <is>
          <t>이자·배당금 수취</t>
        </is>
      </c>
      <c r="D127" s="22" t="n">
        <v>12.73</v>
      </c>
      <c r="F127" s="22" t="n">
        <v>27.304</v>
      </c>
      <c r="H127" s="22" t="n">
        <v>17.046</v>
      </c>
      <c r="J127" s="22" t="n">
        <v>37.418</v>
      </c>
      <c r="L127" s="22" t="n">
        <v>25.473</v>
      </c>
      <c r="N127" s="22" t="n">
        <v>56.48</v>
      </c>
      <c r="O127" s="22" t="n">
        <v>11.826</v>
      </c>
      <c r="P127" s="22" t="n">
        <v>12.887</v>
      </c>
      <c r="Q127" s="22" t="n">
        <v>13.011</v>
      </c>
      <c r="R127" s="22" t="n">
        <v>14.709</v>
      </c>
      <c r="S127" s="22" t="n">
        <v>17.143</v>
      </c>
      <c r="T127" s="22" t="n">
        <v>16.499</v>
      </c>
      <c r="U127" s="22" t="n">
        <v>19.087</v>
      </c>
      <c r="V127" s="22" t="n">
        <v>27.304</v>
      </c>
      <c r="W127" s="22" t="n">
        <v>37.418</v>
      </c>
      <c r="X127" s="22" t="n">
        <v>56.48</v>
      </c>
    </row>
    <row r="128">
      <c r="A128" s="20" t="inlineStr">
        <is>
          <t>법인세 납부</t>
        </is>
      </c>
      <c r="O128" s="22" t="n">
        <v>-160.964</v>
      </c>
      <c r="P128" s="22" t="n">
        <v>-181.693</v>
      </c>
      <c r="Q128" s="22" t="n">
        <v>-227.603</v>
      </c>
      <c r="R128" s="22" t="n">
        <v>-231.984</v>
      </c>
      <c r="S128" s="22" t="n">
        <v>-199.197</v>
      </c>
      <c r="T128" s="22" t="n">
        <v>-205.665</v>
      </c>
      <c r="U128" s="22" t="n">
        <v>-189.893</v>
      </c>
    </row>
    <row r="129">
      <c r="A129" s="20" t="inlineStr">
        <is>
          <t>법인세 납부·환급</t>
        </is>
      </c>
      <c r="D129" s="22" t="n">
        <v>43.633</v>
      </c>
      <c r="F129" s="22" t="n">
        <v>16.586</v>
      </c>
      <c r="H129" s="22" t="n">
        <v>-101.101</v>
      </c>
      <c r="J129" s="22" t="n">
        <v>-165.913</v>
      </c>
      <c r="L129" s="22" t="n">
        <v>-103.189</v>
      </c>
      <c r="N129" s="22" t="n">
        <v>-188.447</v>
      </c>
      <c r="U129" s="22" t="n">
        <v>-189.893</v>
      </c>
      <c r="V129" s="22" t="n">
        <v>16.586</v>
      </c>
      <c r="W129" s="22" t="n">
        <v>-165.913</v>
      </c>
      <c r="X129" s="22" t="n">
        <v>-188.447</v>
      </c>
    </row>
    <row r="130">
      <c r="A130" s="9" t="inlineStr">
        <is>
          <t>영업활동 현금흐름</t>
        </is>
      </c>
      <c r="D130" s="12" t="n">
        <v>290.754</v>
      </c>
      <c r="F130" s="12" t="n">
        <v>540.473</v>
      </c>
      <c r="H130" s="12" t="n">
        <v>-981.129</v>
      </c>
      <c r="J130" s="12" t="n">
        <v>-1154.554</v>
      </c>
      <c r="L130" s="12" t="n">
        <v>175.74</v>
      </c>
      <c r="N130" s="12" t="n">
        <v>943.236</v>
      </c>
      <c r="O130" s="12" t="n">
        <v>2261.534</v>
      </c>
      <c r="P130" s="12" t="n">
        <v>677.5890000000001</v>
      </c>
      <c r="Q130" s="12" t="n">
        <v>927.8049999999999</v>
      </c>
      <c r="R130" s="12" t="n">
        <v>626.984</v>
      </c>
      <c r="S130" s="12" t="n">
        <v>812.456</v>
      </c>
      <c r="T130" s="12" t="n">
        <v>545.575</v>
      </c>
      <c r="U130" s="12" t="n">
        <v>260.226</v>
      </c>
      <c r="V130" s="12" t="n">
        <v>540.473</v>
      </c>
      <c r="W130" s="12" t="n">
        <v>-1154.554</v>
      </c>
      <c r="X130" s="12" t="n">
        <v>943.236</v>
      </c>
    </row>
    <row r="131">
      <c r="A131" s="20" t="inlineStr">
        <is>
          <t>정기예금 예입</t>
        </is>
      </c>
      <c r="D131" s="22" t="n">
        <v>0</v>
      </c>
      <c r="F131" s="22" t="n">
        <v>0</v>
      </c>
      <c r="H131" s="22" t="n">
        <v>-1500</v>
      </c>
      <c r="J131" s="22" t="n">
        <v>-5100</v>
      </c>
      <c r="L131" s="22" t="n">
        <v>-3100</v>
      </c>
      <c r="N131" s="22" t="n">
        <v>-7000</v>
      </c>
      <c r="V131" s="22" t="n">
        <v>0</v>
      </c>
      <c r="W131" s="22" t="n">
        <v>-5100</v>
      </c>
      <c r="X131" s="22" t="n">
        <v>-7000</v>
      </c>
    </row>
    <row r="132">
      <c r="A132" s="20" t="inlineStr">
        <is>
          <t>정기예금 인출</t>
        </is>
      </c>
      <c r="D132" s="22" t="n">
        <v>0</v>
      </c>
      <c r="F132" s="22" t="n">
        <v>0</v>
      </c>
      <c r="H132" s="22" t="n">
        <v>400</v>
      </c>
      <c r="J132" s="22" t="n">
        <v>3600</v>
      </c>
      <c r="L132" s="22" t="n">
        <v>2700</v>
      </c>
      <c r="N132" s="22" t="n">
        <v>6400</v>
      </c>
      <c r="V132" s="22" t="n">
        <v>0</v>
      </c>
      <c r="W132" s="22" t="n">
        <v>3600</v>
      </c>
      <c r="X132" s="22" t="n">
        <v>6400</v>
      </c>
    </row>
    <row r="133">
      <c r="A133" s="20" t="inlineStr">
        <is>
          <t>유가증권 상환 수입</t>
        </is>
      </c>
      <c r="F133" s="22" t="n">
        <v>0</v>
      </c>
      <c r="H133" s="22" t="n">
        <v>0</v>
      </c>
      <c r="J133" s="22" t="n">
        <v>300</v>
      </c>
      <c r="L133" s="22" t="n">
        <v>100</v>
      </c>
      <c r="N133" s="22" t="n">
        <v>200</v>
      </c>
      <c r="O133" s="22" t="n">
        <v>0</v>
      </c>
      <c r="P133" s="22" t="n">
        <v>200</v>
      </c>
      <c r="Q133" s="22" t="n">
        <v>100</v>
      </c>
      <c r="R133" s="22" t="n">
        <v>0</v>
      </c>
      <c r="V133" s="22" t="n">
        <v>0</v>
      </c>
      <c r="W133" s="22" t="n">
        <v>300</v>
      </c>
      <c r="X133" s="22" t="n">
        <v>200</v>
      </c>
    </row>
    <row r="134">
      <c r="A134" s="20" t="inlineStr">
        <is>
          <t>유형자산 취득(설비투자)</t>
        </is>
      </c>
      <c r="D134" s="22" t="n">
        <v>-74.43000000000001</v>
      </c>
      <c r="F134" s="22" t="n">
        <v>-140.543</v>
      </c>
      <c r="H134" s="22" t="n">
        <v>-192.847</v>
      </c>
      <c r="J134" s="22" t="n">
        <v>-233.174</v>
      </c>
      <c r="L134" s="22" t="n">
        <v>-73.506</v>
      </c>
      <c r="N134" s="22" t="n">
        <v>-126.998</v>
      </c>
      <c r="O134" s="22" t="n">
        <v>-119.876</v>
      </c>
      <c r="P134" s="22" t="n">
        <v>-333.896</v>
      </c>
      <c r="Q134" s="22" t="n">
        <v>-386.608</v>
      </c>
      <c r="R134" s="22" t="n">
        <v>-249.47</v>
      </c>
      <c r="S134" s="22" t="n">
        <v>-140.589</v>
      </c>
      <c r="T134" s="22" t="n">
        <v>-143.427</v>
      </c>
      <c r="U134" s="22" t="n">
        <v>-113.511</v>
      </c>
      <c r="V134" s="22" t="n">
        <v>-140.543</v>
      </c>
      <c r="W134" s="22" t="n">
        <v>-233.174</v>
      </c>
      <c r="X134" s="22" t="n">
        <v>-126.998</v>
      </c>
    </row>
    <row r="135">
      <c r="A135" s="20" t="inlineStr">
        <is>
          <t>무형자산 취득</t>
        </is>
      </c>
      <c r="D135" s="22" t="n">
        <v>-0.55</v>
      </c>
      <c r="F135" s="22" t="n">
        <v>-43.55</v>
      </c>
      <c r="H135" s="22" t="n">
        <v>-89.126</v>
      </c>
      <c r="J135" s="22" t="n">
        <v>-256.476</v>
      </c>
      <c r="L135" s="22" t="n">
        <v>-36.396</v>
      </c>
      <c r="N135" s="22" t="n">
        <v>-40.517</v>
      </c>
      <c r="O135" s="22" t="n">
        <v>0</v>
      </c>
      <c r="P135" s="22" t="n">
        <v>-6.255</v>
      </c>
      <c r="Q135" s="22" t="n">
        <v>0</v>
      </c>
      <c r="R135" s="22" t="n">
        <v>-26.937</v>
      </c>
      <c r="S135" s="22" t="n">
        <v>-8.5</v>
      </c>
      <c r="T135" s="22" t="n">
        <v>-2.2</v>
      </c>
      <c r="U135" s="22" t="n">
        <v>-6.56</v>
      </c>
      <c r="V135" s="22" t="n">
        <v>-43.55</v>
      </c>
      <c r="W135" s="22" t="n">
        <v>-256.476</v>
      </c>
      <c r="X135" s="22" t="n">
        <v>-40.517</v>
      </c>
    </row>
    <row r="136">
      <c r="A136" s="20" t="inlineStr">
        <is>
          <t>투자유가증권 취득</t>
        </is>
      </c>
      <c r="D136" s="22" t="n">
        <v>-201.499</v>
      </c>
      <c r="F136" s="22" t="n">
        <v>-402.999</v>
      </c>
      <c r="H136" s="22" t="n">
        <v>-301.499</v>
      </c>
      <c r="J136" s="22" t="n">
        <v>-502.999</v>
      </c>
      <c r="L136" s="22" t="n">
        <v>-201.499</v>
      </c>
      <c r="N136" s="22" t="n">
        <v>-502.999</v>
      </c>
      <c r="O136" s="22" t="n">
        <v>-403.599</v>
      </c>
      <c r="P136" s="22" t="n">
        <v>-503.599</v>
      </c>
      <c r="Q136" s="22" t="n">
        <v>-303.599</v>
      </c>
      <c r="R136" s="22" t="n">
        <v>-603.599</v>
      </c>
      <c r="S136" s="22" t="n">
        <v>-203.599</v>
      </c>
      <c r="T136" s="22" t="n">
        <v>-503.249</v>
      </c>
      <c r="U136" s="22" t="n">
        <v>-602.999</v>
      </c>
      <c r="V136" s="22" t="n">
        <v>-402.999</v>
      </c>
      <c r="W136" s="22" t="n">
        <v>-502.999</v>
      </c>
      <c r="X136" s="22" t="n">
        <v>-502.999</v>
      </c>
    </row>
    <row r="137">
      <c r="A137" s="20" t="inlineStr">
        <is>
          <t>투자유가증권 매각</t>
        </is>
      </c>
      <c r="D137" s="22" t="n">
        <v>0</v>
      </c>
      <c r="F137" s="22" t="n">
        <v>0</v>
      </c>
      <c r="R137" s="22" t="n">
        <v>0</v>
      </c>
      <c r="S137" s="22" t="n">
        <v>0.037</v>
      </c>
      <c r="T137" s="22" t="n">
        <v>0</v>
      </c>
      <c r="U137" s="22" t="n">
        <v>4.368</v>
      </c>
      <c r="V137" s="22" t="n">
        <v>0</v>
      </c>
    </row>
    <row r="138">
      <c r="A138" s="20" t="inlineStr">
        <is>
          <t>투자유가증권 상환</t>
        </is>
      </c>
      <c r="D138" s="22" t="n">
        <v>200</v>
      </c>
      <c r="F138" s="22" t="n">
        <v>300</v>
      </c>
      <c r="H138" s="22" t="n">
        <v>300</v>
      </c>
      <c r="J138" s="22" t="n">
        <v>300</v>
      </c>
      <c r="L138" s="22" t="n">
        <v>0</v>
      </c>
      <c r="N138" s="22" t="n">
        <v>0</v>
      </c>
      <c r="O138" s="22" t="n">
        <v>100</v>
      </c>
      <c r="P138" s="22" t="n">
        <v>100</v>
      </c>
      <c r="Q138" s="22" t="n">
        <v>100</v>
      </c>
      <c r="R138" s="22" t="n">
        <v>200</v>
      </c>
      <c r="S138" s="22" t="n">
        <v>52.99</v>
      </c>
      <c r="T138" s="22" t="n">
        <v>500</v>
      </c>
      <c r="U138" s="22" t="n">
        <v>500</v>
      </c>
      <c r="V138" s="22" t="n">
        <v>300</v>
      </c>
      <c r="W138" s="22" t="n">
        <v>300</v>
      </c>
      <c r="X138" s="22" t="n">
        <v>0</v>
      </c>
    </row>
    <row r="139">
      <c r="A139" s="20" t="inlineStr">
        <is>
          <t>자회사 주식 취득</t>
        </is>
      </c>
      <c r="O139" s="22" t="n">
        <v>-28.933</v>
      </c>
      <c r="P139" s="22" t="n">
        <v>0</v>
      </c>
    </row>
    <row r="140">
      <c r="A140" s="20" t="inlineStr">
        <is>
          <t>대여</t>
        </is>
      </c>
      <c r="D140" s="22" t="n">
        <v>-20.256</v>
      </c>
      <c r="F140" s="22" t="n">
        <v>-33.219</v>
      </c>
      <c r="H140" s="22" t="n">
        <v>-19.993</v>
      </c>
      <c r="J140" s="22" t="n">
        <v>-40.468</v>
      </c>
      <c r="L140" s="22" t="n">
        <v>-15.165</v>
      </c>
      <c r="N140" s="22" t="n">
        <v>-38.211</v>
      </c>
      <c r="P140" s="22" t="n">
        <v>0</v>
      </c>
      <c r="Q140" s="22" t="n">
        <v>-1</v>
      </c>
      <c r="R140" s="22" t="n">
        <v>-19.215</v>
      </c>
      <c r="S140" s="22" t="n">
        <v>-26.107</v>
      </c>
      <c r="T140" s="22" t="n">
        <v>-26.803</v>
      </c>
      <c r="U140" s="22" t="n">
        <v>-31.124</v>
      </c>
      <c r="V140" s="22" t="n">
        <v>-33.219</v>
      </c>
      <c r="W140" s="22" t="n">
        <v>-40.468</v>
      </c>
      <c r="X140" s="22" t="n">
        <v>-38.211</v>
      </c>
    </row>
    <row r="141">
      <c r="A141" s="20" t="inlineStr">
        <is>
          <t>대여금 회수</t>
        </is>
      </c>
      <c r="D141" s="22" t="n">
        <v>21.152</v>
      </c>
      <c r="F141" s="22" t="n">
        <v>34.86</v>
      </c>
      <c r="H141" s="22" t="n">
        <v>20.274</v>
      </c>
      <c r="J141" s="22" t="n">
        <v>36.405</v>
      </c>
      <c r="L141" s="22" t="n">
        <v>17.941</v>
      </c>
      <c r="N141" s="22" t="n">
        <v>40.862</v>
      </c>
      <c r="O141" s="22" t="n">
        <v>0.856</v>
      </c>
      <c r="P141" s="22" t="n">
        <v>0.777</v>
      </c>
      <c r="Q141" s="22" t="n">
        <v>0.8110000000000001</v>
      </c>
      <c r="R141" s="22" t="n">
        <v>4.565</v>
      </c>
      <c r="S141" s="22" t="n">
        <v>19.766</v>
      </c>
      <c r="T141" s="22" t="n">
        <v>24.212</v>
      </c>
      <c r="U141" s="22" t="n">
        <v>34.774</v>
      </c>
      <c r="V141" s="22" t="n">
        <v>34.86</v>
      </c>
      <c r="W141" s="22" t="n">
        <v>36.405</v>
      </c>
      <c r="X141" s="22" t="n">
        <v>40.862</v>
      </c>
    </row>
    <row r="142">
      <c r="A142" s="20" t="inlineStr">
        <is>
          <t>기타</t>
        </is>
      </c>
      <c r="D142" s="22" t="n">
        <v>0</v>
      </c>
      <c r="F142" s="22" t="n">
        <v>-4.33</v>
      </c>
      <c r="H142" s="22" t="n">
        <v>1.831</v>
      </c>
      <c r="J142" s="22" t="n">
        <v>1.831</v>
      </c>
      <c r="L142" s="22" t="n">
        <v>0</v>
      </c>
      <c r="N142" s="22" t="n">
        <v>0</v>
      </c>
      <c r="O142" s="22" t="n">
        <v>-0.051</v>
      </c>
      <c r="P142" s="22" t="n">
        <v>0.382</v>
      </c>
      <c r="Q142" s="22" t="n">
        <v>0</v>
      </c>
      <c r="R142" s="22" t="n">
        <v>5.231</v>
      </c>
      <c r="S142" s="22" t="n">
        <v>0</v>
      </c>
      <c r="U142" s="22" t="n">
        <v>0</v>
      </c>
      <c r="V142" s="22" t="n">
        <v>-4.33</v>
      </c>
      <c r="W142" s="22" t="n">
        <v>1.831</v>
      </c>
      <c r="X142" s="22" t="n">
        <v>0</v>
      </c>
    </row>
    <row r="143">
      <c r="A143" s="9" t="inlineStr">
        <is>
          <t>투자활동 현금흐름</t>
        </is>
      </c>
      <c r="D143" s="12" t="n">
        <v>-75.584</v>
      </c>
      <c r="F143" s="12" t="n">
        <v>-289.782</v>
      </c>
      <c r="H143" s="12" t="n">
        <v>-1381.36</v>
      </c>
      <c r="J143" s="12" t="n">
        <v>-1894.881</v>
      </c>
      <c r="L143" s="12" t="n">
        <v>-608.626</v>
      </c>
      <c r="N143" s="12" t="n">
        <v>-1067.863</v>
      </c>
      <c r="O143" s="12" t="n">
        <v>-451.604</v>
      </c>
      <c r="P143" s="12" t="n">
        <v>-542.591</v>
      </c>
      <c r="Q143" s="12" t="n">
        <v>-490.396</v>
      </c>
      <c r="R143" s="12" t="n">
        <v>-689.426</v>
      </c>
      <c r="S143" s="12" t="n">
        <v>-306.003</v>
      </c>
      <c r="T143" s="12" t="n">
        <v>-151.467</v>
      </c>
      <c r="U143" s="12" t="n">
        <v>-215.052</v>
      </c>
      <c r="V143" s="12" t="n">
        <v>-289.782</v>
      </c>
      <c r="W143" s="12" t="n">
        <v>-1894.881</v>
      </c>
      <c r="X143" s="12" t="n">
        <v>-1067.863</v>
      </c>
    </row>
    <row r="144">
      <c r="A144" s="20" t="inlineStr">
        <is>
          <t>자기주식 취득</t>
        </is>
      </c>
      <c r="F144" s="22" t="n">
        <v>-0.058</v>
      </c>
      <c r="J144" s="22" t="n">
        <v>0</v>
      </c>
      <c r="O144" s="22" t="n">
        <v>0</v>
      </c>
      <c r="P144" s="22" t="n">
        <v>-0.042</v>
      </c>
      <c r="Q144" s="22" t="n">
        <v>-0.036</v>
      </c>
      <c r="R144" s="22" t="n">
        <v>0</v>
      </c>
      <c r="S144" s="22" t="n">
        <v>0</v>
      </c>
      <c r="T144" s="22" t="n">
        <v>-0.03</v>
      </c>
      <c r="U144" s="22" t="n">
        <v>0</v>
      </c>
      <c r="V144" s="22" t="n">
        <v>-0.058</v>
      </c>
      <c r="W144" s="22" t="n">
        <v>0</v>
      </c>
    </row>
    <row r="145">
      <c r="A145" s="20" t="inlineStr">
        <is>
          <t>배당금 지급</t>
        </is>
      </c>
      <c r="D145" s="22" t="n">
        <v>-69.842</v>
      </c>
      <c r="F145" s="22" t="n">
        <v>-139.688</v>
      </c>
      <c r="H145" s="22" t="n">
        <v>-69.869</v>
      </c>
      <c r="J145" s="22" t="n">
        <v>-139.688</v>
      </c>
      <c r="L145" s="22" t="n">
        <v>-65.682</v>
      </c>
      <c r="N145" s="22" t="n">
        <v>-131.377</v>
      </c>
      <c r="O145" s="22" t="n">
        <v>-109.64</v>
      </c>
      <c r="P145" s="22" t="n">
        <v>-119.772</v>
      </c>
      <c r="Q145" s="22" t="n">
        <v>-129.714</v>
      </c>
      <c r="R145" s="22" t="n">
        <v>-139.623</v>
      </c>
      <c r="S145" s="22" t="n">
        <v>-135.651</v>
      </c>
      <c r="T145" s="22" t="n">
        <v>-131.743</v>
      </c>
      <c r="U145" s="22" t="n">
        <v>-131.568</v>
      </c>
      <c r="V145" s="22" t="n">
        <v>-139.688</v>
      </c>
      <c r="W145" s="22" t="n">
        <v>-139.688</v>
      </c>
      <c r="X145" s="22" t="n">
        <v>-131.377</v>
      </c>
    </row>
    <row r="146">
      <c r="A146" s="9" t="inlineStr">
        <is>
          <t>재무활동 현금흐름</t>
        </is>
      </c>
      <c r="D146" s="12" t="n">
        <v>-69.842</v>
      </c>
      <c r="F146" s="12" t="n">
        <v>-139.746</v>
      </c>
      <c r="H146" s="12" t="n">
        <v>-69.869</v>
      </c>
      <c r="J146" s="12" t="n">
        <v>-139.688</v>
      </c>
      <c r="L146" s="12" t="n">
        <v>-65.682</v>
      </c>
      <c r="N146" s="12" t="n">
        <v>-131.377</v>
      </c>
      <c r="O146" s="12" t="n">
        <v>-109.64</v>
      </c>
      <c r="P146" s="12" t="n">
        <v>-119.815</v>
      </c>
      <c r="Q146" s="12" t="n">
        <v>-129.751</v>
      </c>
      <c r="R146" s="12" t="n">
        <v>-139.623</v>
      </c>
      <c r="S146" s="12" t="n">
        <v>-135.651</v>
      </c>
      <c r="T146" s="12" t="n">
        <v>-131.774</v>
      </c>
      <c r="U146" s="12" t="n">
        <v>-131.568</v>
      </c>
      <c r="V146" s="12" t="n">
        <v>-139.746</v>
      </c>
      <c r="W146" s="12" t="n">
        <v>-139.688</v>
      </c>
      <c r="X146" s="12" t="n">
        <v>-131.377</v>
      </c>
    </row>
    <row r="147">
      <c r="A147" s="20" t="inlineStr">
        <is>
          <t>현금성자산 환산차이</t>
        </is>
      </c>
      <c r="D147" s="22" t="n">
        <v>-2.258</v>
      </c>
      <c r="F147" s="22" t="n">
        <v>-0.298</v>
      </c>
      <c r="H147" s="22" t="n">
        <v>-0.528</v>
      </c>
      <c r="J147" s="22" t="n">
        <v>-1.094</v>
      </c>
      <c r="L147" s="22" t="n">
        <v>0.533</v>
      </c>
      <c r="N147" s="22" t="n">
        <v>0.772</v>
      </c>
      <c r="O147" s="22" t="n">
        <v>0.004</v>
      </c>
      <c r="P147" s="22" t="n">
        <v>0</v>
      </c>
      <c r="Q147" s="22" t="n">
        <v>-0.06900000000000001</v>
      </c>
      <c r="R147" s="22" t="n">
        <v>-0.07199999999999999</v>
      </c>
      <c r="S147" s="22" t="n">
        <v>1.231</v>
      </c>
      <c r="T147" s="22" t="n">
        <v>-0.124</v>
      </c>
      <c r="U147" s="22" t="n">
        <v>0.437</v>
      </c>
      <c r="V147" s="22" t="n">
        <v>-0.298</v>
      </c>
      <c r="W147" s="22" t="n">
        <v>-1.094</v>
      </c>
      <c r="X147" s="22" t="n">
        <v>0.772</v>
      </c>
    </row>
    <row r="148">
      <c r="A148" s="20" t="inlineStr">
        <is>
          <t>현금성자산 증감</t>
        </is>
      </c>
      <c r="D148" s="22" t="n">
        <v>143.068</v>
      </c>
      <c r="F148" s="22" t="n">
        <v>110.646</v>
      </c>
      <c r="H148" s="22" t="n">
        <v>-2432.888</v>
      </c>
      <c r="J148" s="22" t="n">
        <v>-3190.219</v>
      </c>
      <c r="L148" s="22" t="n">
        <v>-498.035</v>
      </c>
      <c r="N148" s="22" t="n">
        <v>-255.231</v>
      </c>
      <c r="O148" s="22" t="n">
        <v>1700.293</v>
      </c>
      <c r="P148" s="22" t="n">
        <v>15.182</v>
      </c>
      <c r="Q148" s="22" t="n">
        <v>307.588</v>
      </c>
      <c r="R148" s="22" t="n">
        <v>-202.138</v>
      </c>
      <c r="S148" s="22" t="n">
        <v>372.032</v>
      </c>
      <c r="T148" s="22" t="n">
        <v>262.208</v>
      </c>
      <c r="U148" s="22" t="n">
        <v>-85.956</v>
      </c>
      <c r="V148" s="22" t="n">
        <v>110.646</v>
      </c>
      <c r="W148" s="22" t="n">
        <v>-3190.219</v>
      </c>
      <c r="X148" s="22" t="n">
        <v>-255.231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5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3426 재무상태표</t>
        </is>
      </c>
    </row>
    <row r="2">
      <c r="A2" s="45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2025.4Q</t>
        </is>
      </c>
      <c r="D3" s="5" t="inlineStr">
        <is>
          <t>2026.1Q</t>
        </is>
      </c>
      <c r="E3" s="5" t="inlineStr">
        <is>
          <t>2026.2Q</t>
        </is>
      </c>
      <c r="F3" s="5" t="inlineStr">
        <is>
          <t>2026.3Q</t>
        </is>
      </c>
      <c r="G3" s="5" t="inlineStr">
        <is>
          <t>2026.4Q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6284.412</v>
      </c>
      <c r="D5" s="12" t="n">
        <v>6143</v>
      </c>
      <c r="E5" s="12" t="n">
        <v>6569.712</v>
      </c>
      <c r="F5" s="12" t="n">
        <v>6422.47</v>
      </c>
      <c r="G5" s="12" t="n">
        <v>6499.379</v>
      </c>
      <c r="H5" s="11" t="n">
        <v>8014.219</v>
      </c>
      <c r="I5" s="12" t="n">
        <v>7939.588</v>
      </c>
      <c r="J5" s="12" t="n">
        <v>8018.043</v>
      </c>
      <c r="K5" s="12" t="n">
        <v>6284.412</v>
      </c>
      <c r="L5" s="12" t="n">
        <v>6499.379</v>
      </c>
    </row>
    <row r="6">
      <c r="A6" s="20" t="inlineStr">
        <is>
          <t>현금및현금성자산</t>
        </is>
      </c>
      <c r="B6" s="10" t="n"/>
      <c r="C6" s="21" t="n">
        <v>3424.388</v>
      </c>
      <c r="D6" s="22" t="n">
        <v>3255.24</v>
      </c>
      <c r="E6" s="22" t="n">
        <v>3326.353</v>
      </c>
      <c r="F6" s="22" t="n">
        <v>3596.009</v>
      </c>
      <c r="G6" s="22" t="n">
        <v>3769.157</v>
      </c>
      <c r="H6" s="21" t="n">
        <v>2289.918</v>
      </c>
      <c r="I6" s="22" t="n">
        <v>1503.962</v>
      </c>
      <c r="J6" s="22" t="n">
        <v>2014.608</v>
      </c>
      <c r="K6" s="22" t="n">
        <v>3424.388</v>
      </c>
      <c r="L6" s="22" t="n">
        <v>3769.157</v>
      </c>
    </row>
    <row r="7">
      <c r="A7" s="20" t="inlineStr">
        <is>
          <t>단기금융상품</t>
        </is>
      </c>
      <c r="B7" s="10" t="n"/>
      <c r="C7" s="21" t="n">
        <v>0</v>
      </c>
      <c r="D7" s="22" t="n"/>
      <c r="E7" s="22" t="n">
        <v>99.98</v>
      </c>
      <c r="F7" s="22" t="n"/>
      <c r="G7" s="22" t="n">
        <v>99.92</v>
      </c>
      <c r="H7" s="21" t="n">
        <v>2800</v>
      </c>
      <c r="I7" s="22" t="n">
        <v>3500</v>
      </c>
      <c r="J7" s="22" t="n">
        <v>3100</v>
      </c>
      <c r="K7" s="22" t="n">
        <v>0</v>
      </c>
      <c r="L7" s="22" t="n">
        <v>99.92</v>
      </c>
    </row>
    <row r="8">
      <c r="A8" s="20" t="inlineStr">
        <is>
          <t>매출채권</t>
        </is>
      </c>
      <c r="B8" s="10" t="n"/>
      <c r="C8" s="21" t="n">
        <v>1476.869</v>
      </c>
      <c r="D8" s="22" t="n">
        <v>1601.501</v>
      </c>
      <c r="E8" s="22" t="n">
        <v>1885.836</v>
      </c>
      <c r="F8" s="22" t="n">
        <v>1369.978</v>
      </c>
      <c r="G8" s="22" t="n">
        <v>1348.746</v>
      </c>
      <c r="H8" s="21" t="n">
        <v>1505.469</v>
      </c>
      <c r="I8" s="22" t="n">
        <v>1545.945</v>
      </c>
      <c r="J8" s="22" t="n">
        <v>1556.04</v>
      </c>
      <c r="K8" s="22" t="n">
        <v>1476.869</v>
      </c>
      <c r="L8" s="22" t="n">
        <v>1348.746</v>
      </c>
    </row>
    <row r="9">
      <c r="A9" s="20" t="inlineStr">
        <is>
          <t>재고자산</t>
        </is>
      </c>
      <c r="B9" s="10" t="n"/>
      <c r="C9" s="21" t="n">
        <v>455.313</v>
      </c>
      <c r="D9" s="22" t="n">
        <v>524.1079999999999</v>
      </c>
      <c r="E9" s="22" t="n">
        <v>482.303</v>
      </c>
      <c r="F9" s="22" t="n">
        <v>591.572</v>
      </c>
      <c r="G9" s="22" t="n">
        <v>436.274</v>
      </c>
      <c r="H9" s="21" t="n">
        <v>555.071</v>
      </c>
      <c r="I9" s="22" t="n">
        <v>467.291</v>
      </c>
      <c r="J9" s="22" t="n">
        <v>464.345</v>
      </c>
      <c r="K9" s="22" t="n">
        <v>455.313</v>
      </c>
      <c r="L9" s="22" t="n">
        <v>436.274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5323.728</v>
      </c>
      <c r="D11" s="12" t="n">
        <v>5388.365</v>
      </c>
      <c r="E11" s="12" t="n">
        <v>5250.999</v>
      </c>
      <c r="F11" s="12" t="n">
        <v>5317.788</v>
      </c>
      <c r="G11" s="12" t="n">
        <v>5398.559</v>
      </c>
      <c r="H11" s="11" t="n">
        <v>4874.241</v>
      </c>
      <c r="I11" s="12" t="n">
        <v>4940.49</v>
      </c>
      <c r="J11" s="12" t="n">
        <v>5169.51</v>
      </c>
      <c r="K11" s="12" t="n">
        <v>5323.728</v>
      </c>
      <c r="L11" s="12" t="n">
        <v>5398.559</v>
      </c>
    </row>
    <row r="12">
      <c r="A12" s="20" t="inlineStr">
        <is>
          <t>유형자산</t>
        </is>
      </c>
      <c r="B12" s="10" t="n"/>
      <c r="C12" s="21" t="n">
        <v>2361.899</v>
      </c>
      <c r="D12" s="22" t="n">
        <v>2338.95</v>
      </c>
      <c r="E12" s="22" t="n">
        <v>2318.276</v>
      </c>
      <c r="F12" s="22" t="n">
        <v>2300.07</v>
      </c>
      <c r="G12" s="22" t="n">
        <v>2280.932</v>
      </c>
      <c r="H12" s="21" t="n">
        <v>2389.609</v>
      </c>
      <c r="I12" s="22" t="n">
        <v>2347.495</v>
      </c>
      <c r="J12" s="22" t="n">
        <v>2398.261</v>
      </c>
      <c r="K12" s="22" t="n">
        <v>2361.899</v>
      </c>
      <c r="L12" s="22" t="n">
        <v>2280.932</v>
      </c>
    </row>
    <row r="13">
      <c r="A13" s="20" t="inlineStr">
        <is>
          <t>무형자산</t>
        </is>
      </c>
      <c r="B13" s="10" t="n"/>
      <c r="C13" s="21" t="n">
        <v>355.769</v>
      </c>
      <c r="D13" s="22" t="n">
        <v>327.614</v>
      </c>
      <c r="E13" s="22" t="n">
        <v>308.899</v>
      </c>
      <c r="F13" s="22" t="n">
        <v>290.183</v>
      </c>
      <c r="G13" s="22" t="n">
        <v>275.778</v>
      </c>
      <c r="H13" s="21" t="n">
        <v>31.317</v>
      </c>
      <c r="I13" s="22" t="n">
        <v>27.917</v>
      </c>
      <c r="J13" s="22" t="n">
        <v>100.028</v>
      </c>
      <c r="K13" s="22" t="n">
        <v>355.769</v>
      </c>
      <c r="L13" s="22" t="n">
        <v>275.778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11608.141</v>
      </c>
      <c r="D16" s="12" t="n">
        <v>11531.366</v>
      </c>
      <c r="E16" s="12" t="n">
        <v>11820.712</v>
      </c>
      <c r="F16" s="12" t="n">
        <v>11740.259</v>
      </c>
      <c r="G16" s="12" t="n">
        <v>11897.939</v>
      </c>
      <c r="H16" s="11" t="n">
        <v>12888.461</v>
      </c>
      <c r="I16" s="12" t="n">
        <v>12880.078</v>
      </c>
      <c r="J16" s="12" t="n">
        <v>13187.554</v>
      </c>
      <c r="K16" s="12" t="n">
        <v>11608.141</v>
      </c>
      <c r="L16" s="12" t="n">
        <v>11897.939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960.326</v>
      </c>
      <c r="D18" s="12" t="n">
        <v>871.0839999999999</v>
      </c>
      <c r="E18" s="12" t="n">
        <v>1000.775</v>
      </c>
      <c r="F18" s="12" t="n">
        <v>911.941</v>
      </c>
      <c r="G18" s="12" t="n">
        <v>962.364</v>
      </c>
      <c r="H18" s="11" t="n">
        <v>2703.662</v>
      </c>
      <c r="I18" s="12" t="n">
        <v>2645.733</v>
      </c>
      <c r="J18" s="12" t="n">
        <v>2814.787</v>
      </c>
      <c r="K18" s="12" t="n">
        <v>960.326</v>
      </c>
      <c r="L18" s="12" t="n">
        <v>962.364</v>
      </c>
    </row>
    <row r="19">
      <c r="A19" s="20" t="inlineStr">
        <is>
          <t>매입채무</t>
        </is>
      </c>
      <c r="B19" s="10" t="n"/>
      <c r="C19" s="21" t="n">
        <v>591.52</v>
      </c>
      <c r="D19" s="22" t="n">
        <v>643.086</v>
      </c>
      <c r="E19" s="22" t="n">
        <v>720.189</v>
      </c>
      <c r="F19" s="22" t="n">
        <v>653.401</v>
      </c>
      <c r="G19" s="22" t="n">
        <v>672.385</v>
      </c>
      <c r="H19" s="21" t="n">
        <v>579.706</v>
      </c>
      <c r="I19" s="22" t="n">
        <v>563.379</v>
      </c>
      <c r="J19" s="22" t="n">
        <v>539.788</v>
      </c>
      <c r="K19" s="22" t="n">
        <v>591.52</v>
      </c>
      <c r="L19" s="22" t="n">
        <v>672.385</v>
      </c>
    </row>
    <row r="20">
      <c r="A20" s="20" t="inlineStr">
        <is>
          <t>단기차입금</t>
        </is>
      </c>
      <c r="B20" s="10" t="n"/>
      <c r="C20" s="21" t="n"/>
      <c r="D20" s="22" t="n"/>
      <c r="E20" s="22" t="n"/>
      <c r="F20" s="22" t="n"/>
      <c r="G20" s="22" t="n"/>
      <c r="H20" s="21" t="n"/>
      <c r="I20" s="22" t="n"/>
      <c r="J20" s="22" t="n"/>
      <c r="K20" s="22" t="n"/>
      <c r="L20" s="22" t="n"/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/>
      <c r="I21" s="22" t="n"/>
      <c r="J21" s="22" t="n"/>
      <c r="K21" s="22" t="n"/>
      <c r="L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217.536</v>
      </c>
      <c r="D23" s="12" t="n">
        <v>216.31</v>
      </c>
      <c r="E23" s="12" t="n">
        <v>221.165</v>
      </c>
      <c r="F23" s="12" t="n">
        <v>222.711</v>
      </c>
      <c r="G23" s="12" t="n">
        <v>225.502</v>
      </c>
      <c r="H23" s="11" t="n">
        <v>373.237</v>
      </c>
      <c r="I23" s="12" t="n">
        <v>187.532</v>
      </c>
      <c r="J23" s="12" t="n">
        <v>222.348</v>
      </c>
      <c r="K23" s="12" t="n">
        <v>217.536</v>
      </c>
      <c r="L23" s="12" t="n">
        <v>225.502</v>
      </c>
    </row>
    <row r="24">
      <c r="A24" s="20" t="inlineStr">
        <is>
          <t>장기차입금</t>
        </is>
      </c>
      <c r="B24" s="10" t="n"/>
      <c r="C24" s="21" t="n"/>
      <c r="D24" s="22" t="n"/>
      <c r="E24" s="22" t="n"/>
      <c r="F24" s="22" t="n"/>
      <c r="G24" s="22" t="n"/>
      <c r="H24" s="21" t="n"/>
      <c r="I24" s="22" t="n"/>
      <c r="J24" s="22" t="n"/>
      <c r="K24" s="22" t="n"/>
      <c r="L24" s="22" t="n"/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1177.863</v>
      </c>
      <c r="D27" s="12" t="n">
        <v>1087.395</v>
      </c>
      <c r="E27" s="12" t="n">
        <v>1221.941</v>
      </c>
      <c r="F27" s="12" t="n">
        <v>1134.653</v>
      </c>
      <c r="G27" s="12" t="n">
        <v>1187.866</v>
      </c>
      <c r="H27" s="11" t="n">
        <v>3076.899</v>
      </c>
      <c r="I27" s="12" t="n">
        <v>2833.266</v>
      </c>
      <c r="J27" s="12" t="n">
        <v>3037.136</v>
      </c>
      <c r="K27" s="12" t="n">
        <v>1177.863</v>
      </c>
      <c r="L27" s="12" t="n">
        <v>1187.866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10430.277</v>
      </c>
      <c r="D31" s="12" t="n">
        <v>10443.971</v>
      </c>
      <c r="E31" s="12" t="n">
        <v>10598.77</v>
      </c>
      <c r="F31" s="12" t="n">
        <v>10605.606</v>
      </c>
      <c r="G31" s="12" t="n">
        <v>10710.072</v>
      </c>
      <c r="H31" s="11" t="n">
        <v>9811.562</v>
      </c>
      <c r="I31" s="12" t="n">
        <v>10046.812</v>
      </c>
      <c r="J31" s="12" t="n">
        <v>10150.417</v>
      </c>
      <c r="K31" s="12" t="n">
        <v>10430.277</v>
      </c>
      <c r="L31" s="12" t="n">
        <v>10710.072</v>
      </c>
    </row>
    <row r="32">
      <c r="A32" s="20" t="inlineStr">
        <is>
          <t>자본금</t>
        </is>
      </c>
      <c r="B32" s="10" t="n"/>
      <c r="C32" s="21" t="n">
        <v>300.745</v>
      </c>
      <c r="D32" s="22" t="n">
        <v>300.745</v>
      </c>
      <c r="E32" s="22" t="n">
        <v>300.745</v>
      </c>
      <c r="F32" s="22" t="n">
        <v>300.745</v>
      </c>
      <c r="G32" s="22" t="n">
        <v>300.745</v>
      </c>
      <c r="H32" s="21" t="n">
        <v>300.745</v>
      </c>
      <c r="I32" s="22" t="n">
        <v>300.745</v>
      </c>
      <c r="J32" s="22" t="n">
        <v>300.745</v>
      </c>
      <c r="K32" s="22" t="n">
        <v>300.745</v>
      </c>
      <c r="L32" s="22" t="n">
        <v>300.745</v>
      </c>
    </row>
    <row r="33">
      <c r="A33" s="20" t="inlineStr">
        <is>
          <t>이익잉여금</t>
        </is>
      </c>
      <c r="B33" s="10" t="n"/>
      <c r="C33" s="21" t="n">
        <v>9873.004000000001</v>
      </c>
      <c r="D33" s="22" t="n">
        <v>9880.013000000001</v>
      </c>
      <c r="E33" s="22" t="n">
        <v>10022.176</v>
      </c>
      <c r="F33" s="22" t="n">
        <v>10042.213</v>
      </c>
      <c r="G33" s="22" t="n">
        <v>10131.801</v>
      </c>
      <c r="H33" s="21" t="n">
        <v>9291.530000000001</v>
      </c>
      <c r="I33" s="22" t="n">
        <v>9506.728999999999</v>
      </c>
      <c r="J33" s="22" t="n">
        <v>9621.788</v>
      </c>
      <c r="K33" s="22" t="n">
        <v>9873.004000000001</v>
      </c>
      <c r="L33" s="22" t="n">
        <v>10131.801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10430.277</v>
      </c>
      <c r="D35" s="12" t="n">
        <v>10443.971</v>
      </c>
      <c r="E35" s="12" t="n">
        <v>10598.77</v>
      </c>
      <c r="F35" s="12" t="n">
        <v>10605.606</v>
      </c>
      <c r="G35" s="12" t="n">
        <v>10710.072</v>
      </c>
      <c r="H35" s="11" t="n">
        <v>9811.562</v>
      </c>
      <c r="I35" s="12" t="n">
        <v>10046.812</v>
      </c>
      <c r="J35" s="12" t="n">
        <v>10150.417</v>
      </c>
      <c r="K35" s="12" t="n">
        <v>10430.277</v>
      </c>
      <c r="L35" s="12" t="n">
        <v>10710.072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>
        <v>-1154.554</v>
      </c>
      <c r="D37" s="12" t="n"/>
      <c r="E37" s="12" t="n">
        <v>2.315</v>
      </c>
      <c r="F37" s="12" t="n"/>
      <c r="G37" s="12" t="n">
        <v>943.236</v>
      </c>
      <c r="H37" s="11" t="n">
        <v>545.575</v>
      </c>
      <c r="I37" s="12" t="n">
        <v>260.226</v>
      </c>
      <c r="J37" s="12" t="n">
        <v>540.473</v>
      </c>
      <c r="K37" s="12" t="n">
        <v>-1154.554</v>
      </c>
      <c r="L37" s="12" t="n">
        <v>943.236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>
        <v>489.65</v>
      </c>
      <c r="D38" s="22" t="n"/>
      <c r="E38" s="22" t="n">
        <v>317.579</v>
      </c>
      <c r="F38" s="22" t="n"/>
      <c r="G38" s="22" t="n">
        <v>167.515</v>
      </c>
      <c r="H38" s="21" t="n">
        <v>145.627</v>
      </c>
      <c r="I38" s="22" t="n">
        <v>120.071</v>
      </c>
      <c r="J38" s="22" t="n">
        <v>184.093</v>
      </c>
      <c r="K38" s="22" t="n">
        <v>489.65</v>
      </c>
      <c r="L38" s="22" t="n">
        <v>167.515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>
        <v>139.688</v>
      </c>
      <c r="D40" s="22" t="n"/>
      <c r="E40" s="22" t="n">
        <v>135.501</v>
      </c>
      <c r="F40" s="22" t="n"/>
      <c r="G40" s="22" t="n">
        <v>131.377</v>
      </c>
      <c r="H40" s="21" t="n">
        <v>131.743</v>
      </c>
      <c r="I40" s="22" t="n">
        <v>131.568</v>
      </c>
      <c r="J40" s="22" t="n">
        <v>139.688</v>
      </c>
      <c r="K40" s="22" t="n">
        <v>139.688</v>
      </c>
      <c r="L40" s="22" t="n">
        <v>131.377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6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6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6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6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6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6" t="inlineStr">
        <is>
          <t>이자보상배율</t>
        </is>
      </c>
      <c r="B48" s="10" t="inlineStr">
        <is>
          <t>5x↑ (금융원가 기준)</t>
        </is>
      </c>
      <c r="C48" s="32">
        <f>IFERROR((IF(COUNT('연간'!G16:J16)&lt;4,"",SUM('연간'!G16:J16)))/(IF(COUNT('연간'!G38:J38)&lt;4,"",SUM('연간'!G38:J38))),"")</f>
        <v/>
      </c>
      <c r="D48" s="33">
        <f>IFERROR((IF(COUNT('연간'!H16:K16)&lt;4,"",SUM('연간'!H16:K16)))/(IF(COUNT('연간'!H38:K38)&lt;4,"",SUM('연간'!H38:K38))),"")</f>
        <v/>
      </c>
      <c r="E48" s="33">
        <f>IFERROR((IF(COUNT('연간'!I16:L16)&lt;4,"",SUM('연간'!I16:L16)))/(IF(COUNT('연간'!I38:L38)&lt;4,"",SUM('연간'!I38:L38))),"")</f>
        <v/>
      </c>
      <c r="F48" s="33">
        <f>IFERROR((IF(COUNT('연간'!J16:M16)&lt;4,"",SUM('연간'!J16:M16)))/(IF(COUNT('연간'!J38:M38)&lt;4,"",SUM('연간'!J38:M38))),"")</f>
        <v/>
      </c>
      <c r="G48" s="33">
        <f>IFERROR((IF(COUNT('연간'!K16:N16)&lt;4,"",SUM('연간'!K16:N16)))/(IF(COUNT('연간'!K38:N38)&lt;4,"",SUM('연간'!K38:N38))),"")</f>
        <v/>
      </c>
      <c r="H48" s="32">
        <f>IFERROR(('연간'!T16)/('연간'!T38),"")</f>
        <v/>
      </c>
      <c r="I48" s="33">
        <f>IFERROR(('연간'!U16)/('연간'!U38),"")</f>
        <v/>
      </c>
      <c r="J48" s="33">
        <f>IFERROR(('연간'!V16)/('연간'!V38),"")</f>
        <v/>
      </c>
      <c r="K48" s="33">
        <f>IFERROR(('연간'!W16)/('연간'!W38),"")</f>
        <v/>
      </c>
      <c r="L48" s="33">
        <f>IFERROR(('연간'!X16)/('연간'!X38),"")</f>
        <v/>
      </c>
    </row>
    <row r="49">
      <c r="A49" s="46" t="inlineStr">
        <is>
          <t>차입금 상환연수</t>
        </is>
      </c>
      <c r="B49" s="10" t="inlineStr">
        <is>
          <t>4년↓ (버핏)</t>
        </is>
      </c>
      <c r="C49" s="47">
        <f>IFERROR(IF((IF(COUNT('연간'!G44:J44)&lt;4,"",SUM('연간'!G44:J44)))&lt;=0,"적자",C28/(IF(COUNT('연간'!G44:J44)&lt;4,"",SUM('연간'!G44:J44)))),"")</f>
        <v/>
      </c>
      <c r="D49" s="48">
        <f>IFERROR(IF((IF(COUNT('연간'!H44:K44)&lt;4,"",SUM('연간'!H44:K44)))&lt;=0,"적자",D28/(IF(COUNT('연간'!H44:K44)&lt;4,"",SUM('연간'!H44:K44)))),"")</f>
        <v/>
      </c>
      <c r="E49" s="48">
        <f>IFERROR(IF((IF(COUNT('연간'!I44:L44)&lt;4,"",SUM('연간'!I44:L44)))&lt;=0,"적자",E28/(IF(COUNT('연간'!I44:L44)&lt;4,"",SUM('연간'!I44:L44)))),"")</f>
        <v/>
      </c>
      <c r="F49" s="48">
        <f>IFERROR(IF((IF(COUNT('연간'!J44:M44)&lt;4,"",SUM('연간'!J44:M44)))&lt;=0,"적자",F28/(IF(COUNT('연간'!J44:M44)&lt;4,"",SUM('연간'!J44:M44)))),"")</f>
        <v/>
      </c>
      <c r="G49" s="48">
        <f>IFERROR(IF((IF(COUNT('연간'!K44:N44)&lt;4,"",SUM('연간'!K44:N44)))&lt;=0,"적자",G28/(IF(COUNT('연간'!K44:N44)&lt;4,"",SUM('연간'!K44:N44)))),"")</f>
        <v/>
      </c>
      <c r="H49" s="47">
        <f>IFERROR(IF(('연간'!T44)&lt;=0,"적자",H28/('연간'!T44)),"")</f>
        <v/>
      </c>
      <c r="I49" s="48">
        <f>IFERROR(IF(('연간'!U44)&lt;=0,"적자",I28/('연간'!U44)),"")</f>
        <v/>
      </c>
      <c r="J49" s="48">
        <f>IFERROR(IF(('연간'!V44)&lt;=0,"적자",J28/('연간'!V44)),"")</f>
        <v/>
      </c>
      <c r="K49" s="48">
        <f>IFERROR(IF(('연간'!W44)&lt;=0,"적자",K28/('연간'!W44)),"")</f>
        <v/>
      </c>
      <c r="L49" s="48">
        <f>IFERROR(IF(('연간'!X44)&lt;=0,"적자",L28/('연간'!X44)),"")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6" t="inlineStr">
        <is>
          <t>ROE</t>
        </is>
      </c>
      <c r="B51" s="10" t="inlineStr">
        <is>
          <t>15%↑ (버핏)</t>
        </is>
      </c>
      <c r="C51" s="37">
        <f>IFERROR((IF(COUNT('연간'!G44:J44)&lt;4,"",SUM('연간'!G44:J44)))/C31,"")</f>
        <v/>
      </c>
      <c r="D51" s="38">
        <f>IFERROR((IF(COUNT('연간'!H44:K44)&lt;4,"",SUM('연간'!H44:K44)))/D31,"")</f>
        <v/>
      </c>
      <c r="E51" s="38">
        <f>IFERROR((IF(COUNT('연간'!I44:L44)&lt;4,"",SUM('연간'!I44:L44)))/E31,"")</f>
        <v/>
      </c>
      <c r="F51" s="38">
        <f>IFERROR((IF(COUNT('연간'!J44:M44)&lt;4,"",SUM('연간'!J44:M44)))/F31,"")</f>
        <v/>
      </c>
      <c r="G51" s="38">
        <f>IFERROR((IF(COUNT('연간'!K44:N44)&lt;4,"",SUM('연간'!K44:N44)))/G31,"")</f>
        <v/>
      </c>
      <c r="H51" s="37">
        <f>IFERROR(('연간'!T44)/H31,"")</f>
        <v/>
      </c>
      <c r="I51" s="38">
        <f>IFERROR(('연간'!U44)/I31,"")</f>
        <v/>
      </c>
      <c r="J51" s="38">
        <f>IFERROR(('연간'!V44)/J31,"")</f>
        <v/>
      </c>
      <c r="K51" s="38">
        <f>IFERROR(('연간'!W44)/K31,"")</f>
        <v/>
      </c>
      <c r="L51" s="38">
        <f>IFERROR(('연간'!X44)/L31,"")</f>
        <v/>
      </c>
    </row>
    <row r="52">
      <c r="A52" s="46" t="inlineStr">
        <is>
          <t>ROA</t>
        </is>
      </c>
      <c r="B52" s="10" t="inlineStr">
        <is>
          <t>5%↑</t>
        </is>
      </c>
      <c r="C52" s="37">
        <f>IFERROR((IF(COUNT('연간'!G43:J43)&lt;4,"",SUM('연간'!G43:J43)))/C16,"")</f>
        <v/>
      </c>
      <c r="D52" s="38">
        <f>IFERROR((IF(COUNT('연간'!H43:K43)&lt;4,"",SUM('연간'!H43:K43)))/D16,"")</f>
        <v/>
      </c>
      <c r="E52" s="38">
        <f>IFERROR((IF(COUNT('연간'!I43:L43)&lt;4,"",SUM('연간'!I43:L43)))/E16,"")</f>
        <v/>
      </c>
      <c r="F52" s="38">
        <f>IFERROR((IF(COUNT('연간'!J43:M43)&lt;4,"",SUM('연간'!J43:M43)))/F16,"")</f>
        <v/>
      </c>
      <c r="G52" s="38">
        <f>IFERROR((IF(COUNT('연간'!K43:N43)&lt;4,"",SUM('연간'!K43:N43)))/G16,"")</f>
        <v/>
      </c>
      <c r="H52" s="37">
        <f>IFERROR(('연간'!T43)/H16,"")</f>
        <v/>
      </c>
      <c r="I52" s="38">
        <f>IFERROR(('연간'!U43)/I16,"")</f>
        <v/>
      </c>
      <c r="J52" s="38">
        <f>IFERROR(('연간'!V43)/J16,"")</f>
        <v/>
      </c>
      <c r="K52" s="38">
        <f>IFERROR(('연간'!W43)/K16,"")</f>
        <v/>
      </c>
      <c r="L52" s="38">
        <f>IFERROR(('연간'!X43)/L16,"")</f>
        <v/>
      </c>
    </row>
    <row r="53">
      <c r="A53" s="46" t="inlineStr">
        <is>
          <t>ROIC</t>
        </is>
      </c>
      <c r="B53" s="10" t="inlineStr">
        <is>
          <t>10%↑ (세후영업이익 기준)</t>
        </is>
      </c>
      <c r="C53" s="37">
        <f>IFERROR((IF(COUNT('연간'!G16:J16)&lt;4,"",SUM('연간'!G16:J16)))*(1-0.3)/(C35+C29),"")</f>
        <v/>
      </c>
      <c r="D53" s="38">
        <f>IFERROR((IF(COUNT('연간'!H16:K16)&lt;4,"",SUM('연간'!H16:K16)))*(1-0.3)/(D35+D29),"")</f>
        <v/>
      </c>
      <c r="E53" s="38">
        <f>IFERROR((IF(COUNT('연간'!I16:L16)&lt;4,"",SUM('연간'!I16:L16)))*(1-0.3)/(E35+E29),"")</f>
        <v/>
      </c>
      <c r="F53" s="38">
        <f>IFERROR((IF(COUNT('연간'!J16:M16)&lt;4,"",SUM('연간'!J16:M16)))*(1-0.3)/(F35+F29),"")</f>
        <v/>
      </c>
      <c r="G53" s="38">
        <f>IFERROR((IF(COUNT('연간'!K16:N16)&lt;4,"",SUM('연간'!K16:N16)))*(1-0.3)/(G35+G29),"")</f>
        <v/>
      </c>
      <c r="H53" s="37">
        <f>IFERROR(('연간'!T16)*(1-0.3)/(H35+H29),"")</f>
        <v/>
      </c>
      <c r="I53" s="38">
        <f>IFERROR(('연간'!U16)*(1-0.3)/(I35+I29),"")</f>
        <v/>
      </c>
      <c r="J53" s="38">
        <f>IFERROR(('연간'!V16)*(1-0.3)/(J35+J29),"")</f>
        <v/>
      </c>
      <c r="K53" s="38">
        <f>IFERROR(('연간'!W16)*(1-0.3)/(K35+K29),"")</f>
        <v/>
      </c>
      <c r="L53" s="38">
        <f>IFERROR(('연간'!X16)*(1-0.3)/(L35+L29),"")</f>
        <v/>
      </c>
    </row>
    <row r="54">
      <c r="A54" s="46" t="inlineStr">
        <is>
          <t>매출총이익률 (GPM)</t>
        </is>
      </c>
      <c r="B54" s="10" t="inlineStr">
        <is>
          <t>40%↑ (해자 신호)</t>
        </is>
      </c>
      <c r="C54" s="37">
        <f>IFERROR((IF(COUNT('연간'!G12:J12)&lt;4,"",SUM('연간'!G12:J12)))/(IF(COUNT('연간'!G4:J4)&lt;4,"",SUM('연간'!G4:J4))),"")</f>
        <v/>
      </c>
      <c r="D54" s="38">
        <f>IFERROR((IF(COUNT('연간'!H12:K12)&lt;4,"",SUM('연간'!H12:K12)))/(IF(COUNT('연간'!H4:K4)&lt;4,"",SUM('연간'!H4:K4))),"")</f>
        <v/>
      </c>
      <c r="E54" s="38">
        <f>IFERROR((IF(COUNT('연간'!I12:L12)&lt;4,"",SUM('연간'!I12:L12)))/(IF(COUNT('연간'!I4:L4)&lt;4,"",SUM('연간'!I4:L4))),"")</f>
        <v/>
      </c>
      <c r="F54" s="38">
        <f>IFERROR((IF(COUNT('연간'!J12:M12)&lt;4,"",SUM('연간'!J12:M12)))/(IF(COUNT('연간'!J4:M4)&lt;4,"",SUM('연간'!J4:M4))),"")</f>
        <v/>
      </c>
      <c r="G54" s="38">
        <f>IFERROR((IF(COUNT('연간'!K12:N12)&lt;4,"",SUM('연간'!K12:N12)))/(IF(COUNT('연간'!K4:N4)&lt;4,"",SUM('연간'!K4:N4))),"")</f>
        <v/>
      </c>
      <c r="H54" s="37">
        <f>IFERROR(('연간'!T12)/('연간'!T4),"")</f>
        <v/>
      </c>
      <c r="I54" s="38">
        <f>IFERROR(('연간'!U12)/('연간'!U4),"")</f>
        <v/>
      </c>
      <c r="J54" s="38">
        <f>IFERROR(('연간'!V12)/('연간'!V4),"")</f>
        <v/>
      </c>
      <c r="K54" s="38">
        <f>IFERROR(('연간'!W12)/('연간'!W4),"")</f>
        <v/>
      </c>
      <c r="L54" s="38">
        <f>IFERROR(('연간'!X12)/('연간'!X4),"")</f>
        <v/>
      </c>
    </row>
    <row r="55">
      <c r="A55" s="46" t="inlineStr">
        <is>
          <t>영업이익률 (OPM)</t>
        </is>
      </c>
      <c r="B55" s="10" t="inlineStr">
        <is>
          <t>15%↑</t>
        </is>
      </c>
      <c r="C55" s="37">
        <f>IFERROR((IF(COUNT('연간'!G16:J16)&lt;4,"",SUM('연간'!G16:J16)))/(IF(COUNT('연간'!G4:J4)&lt;4,"",SUM('연간'!G4:J4))),"")</f>
        <v/>
      </c>
      <c r="D55" s="38">
        <f>IFERROR((IF(COUNT('연간'!H16:K16)&lt;4,"",SUM('연간'!H16:K16)))/(IF(COUNT('연간'!H4:K4)&lt;4,"",SUM('연간'!H4:K4))),"")</f>
        <v/>
      </c>
      <c r="E55" s="38">
        <f>IFERROR((IF(COUNT('연간'!I16:L16)&lt;4,"",SUM('연간'!I16:L16)))/(IF(COUNT('연간'!I4:L4)&lt;4,"",SUM('연간'!I4:L4))),"")</f>
        <v/>
      </c>
      <c r="F55" s="38">
        <f>IFERROR((IF(COUNT('연간'!J16:M16)&lt;4,"",SUM('연간'!J16:M16)))/(IF(COUNT('연간'!J4:M4)&lt;4,"",SUM('연간'!J4:M4))),"")</f>
        <v/>
      </c>
      <c r="G55" s="38">
        <f>IFERROR((IF(COUNT('연간'!K16:N16)&lt;4,"",SUM('연간'!K16:N16)))/(IF(COUNT('연간'!K4:N4)&lt;4,"",SUM('연간'!K4:N4))),"")</f>
        <v/>
      </c>
      <c r="H55" s="37">
        <f>IFERROR(('연간'!T16)/('연간'!T4),"")</f>
        <v/>
      </c>
      <c r="I55" s="38">
        <f>IFERROR(('연간'!U16)/('연간'!U4),"")</f>
        <v/>
      </c>
      <c r="J55" s="38">
        <f>IFERROR(('연간'!V16)/('연간'!V4),"")</f>
        <v/>
      </c>
      <c r="K55" s="38">
        <f>IFERROR(('연간'!W16)/('연간'!W4),"")</f>
        <v/>
      </c>
      <c r="L55" s="38">
        <f>IFERROR(('연간'!X16)/('연간'!X4),"")</f>
        <v/>
      </c>
    </row>
    <row r="56">
      <c r="A56" s="46" t="inlineStr">
        <is>
          <t>순이익률</t>
        </is>
      </c>
      <c r="B56" s="10" t="inlineStr">
        <is>
          <t>10%↑</t>
        </is>
      </c>
      <c r="C56" s="37">
        <f>IFERROR((IF(COUNT('연간'!G43:J43)&lt;4,"",SUM('연간'!G43:J43)))/(IF(COUNT('연간'!G4:J4)&lt;4,"",SUM('연간'!G4:J4))),"")</f>
        <v/>
      </c>
      <c r="D56" s="38">
        <f>IFERROR((IF(COUNT('연간'!H43:K43)&lt;4,"",SUM('연간'!H43:K43)))/(IF(COUNT('연간'!H4:K4)&lt;4,"",SUM('연간'!H4:K4))),"")</f>
        <v/>
      </c>
      <c r="E56" s="38">
        <f>IFERROR((IF(COUNT('연간'!I43:L43)&lt;4,"",SUM('연간'!I43:L43)))/(IF(COUNT('연간'!I4:L4)&lt;4,"",SUM('연간'!I4:L4))),"")</f>
        <v/>
      </c>
      <c r="F56" s="38">
        <f>IFERROR((IF(COUNT('연간'!J43:M43)&lt;4,"",SUM('연간'!J43:M43)))/(IF(COUNT('연간'!J4:M4)&lt;4,"",SUM('연간'!J4:M4))),"")</f>
        <v/>
      </c>
      <c r="G56" s="38">
        <f>IFERROR((IF(COUNT('연간'!K43:N43)&lt;4,"",SUM('연간'!K43:N43)))/(IF(COUNT('연간'!K4:N4)&lt;4,"",SUM('연간'!K4:N4))),"")</f>
        <v/>
      </c>
      <c r="H56" s="37">
        <f>IFERROR(('연간'!T43)/('연간'!T4),"")</f>
        <v/>
      </c>
      <c r="I56" s="38">
        <f>IFERROR(('연간'!U43)/('연간'!U4),"")</f>
        <v/>
      </c>
      <c r="J56" s="38">
        <f>IFERROR(('연간'!V43)/('연간'!V4),"")</f>
        <v/>
      </c>
      <c r="K56" s="38">
        <f>IFERROR(('연간'!W43)/('연간'!W4),"")</f>
        <v/>
      </c>
      <c r="L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6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6" t="inlineStr">
        <is>
          <t>매출채권회전일수</t>
        </is>
      </c>
      <c r="B59" s="10" t="inlineStr">
        <is>
          <t>짧을수록↑</t>
        </is>
      </c>
      <c r="C59" s="49">
        <f>IFERROR(C8/(IF(COUNT('연간'!G4:J4)&lt;4,"",SUM('연간'!G4:J4)))*365,"")</f>
        <v/>
      </c>
      <c r="D59" s="50">
        <f>IFERROR(D8/(IF(COUNT('연간'!H4:K4)&lt;4,"",SUM('연간'!H4:K4)))*365,"")</f>
        <v/>
      </c>
      <c r="E59" s="50">
        <f>IFERROR(E8/(IF(COUNT('연간'!I4:L4)&lt;4,"",SUM('연간'!I4:L4)))*365,"")</f>
        <v/>
      </c>
      <c r="F59" s="50">
        <f>IFERROR(F8/(IF(COUNT('연간'!J4:M4)&lt;4,"",SUM('연간'!J4:M4)))*365,"")</f>
        <v/>
      </c>
      <c r="G59" s="50">
        <f>IFERROR(G8/(IF(COUNT('연간'!K4:N4)&lt;4,"",SUM('연간'!K4:N4)))*365,"")</f>
        <v/>
      </c>
      <c r="H59" s="49">
        <f>IFERROR(H8/('연간'!T4)*365,"")</f>
        <v/>
      </c>
      <c r="I59" s="50">
        <f>IFERROR(I8/('연간'!U4)*365,"")</f>
        <v/>
      </c>
      <c r="J59" s="50">
        <f>IFERROR(J8/('연간'!V4)*365,"")</f>
        <v/>
      </c>
      <c r="K59" s="50">
        <f>IFERROR(K8/('연간'!W4)*365,"")</f>
        <v/>
      </c>
      <c r="L59" s="50">
        <f>IFERROR(L8/('연간'!X4)*365,"")</f>
        <v/>
      </c>
    </row>
    <row r="60">
      <c r="A60" s="46" t="inlineStr">
        <is>
          <t>재고자산회전일수</t>
        </is>
      </c>
      <c r="B60" s="10" t="inlineStr">
        <is>
          <t>짧을수록↑</t>
        </is>
      </c>
      <c r="C60" s="49">
        <f>IFERROR(C9/(IF(COUNT('연간'!G11:J11)&lt;4,"",SUM('연간'!G11:J11)))*365,"")</f>
        <v/>
      </c>
      <c r="D60" s="50">
        <f>IFERROR(D9/(IF(COUNT('연간'!H11:K11)&lt;4,"",SUM('연간'!H11:K11)))*365,"")</f>
        <v/>
      </c>
      <c r="E60" s="50">
        <f>IFERROR(E9/(IF(COUNT('연간'!I11:L11)&lt;4,"",SUM('연간'!I11:L11)))*365,"")</f>
        <v/>
      </c>
      <c r="F60" s="50">
        <f>IFERROR(F9/(IF(COUNT('연간'!J11:M11)&lt;4,"",SUM('연간'!J11:M11)))*365,"")</f>
        <v/>
      </c>
      <c r="G60" s="50">
        <f>IFERROR(G9/(IF(COUNT('연간'!K11:N11)&lt;4,"",SUM('연간'!K11:N11)))*365,"")</f>
        <v/>
      </c>
      <c r="H60" s="49">
        <f>IFERROR(H9/('연간'!T11)*365,"")</f>
        <v/>
      </c>
      <c r="I60" s="50">
        <f>IFERROR(I9/('연간'!U11)*365,"")</f>
        <v/>
      </c>
      <c r="J60" s="50">
        <f>IFERROR(J9/('연간'!V11)*365,"")</f>
        <v/>
      </c>
      <c r="K60" s="50">
        <f>IFERROR(K9/('연간'!W11)*365,"")</f>
        <v/>
      </c>
      <c r="L60" s="50">
        <f>IFERROR(L9/('연간'!X11)*365,"")</f>
        <v/>
      </c>
    </row>
    <row r="61">
      <c r="A61" s="46" t="inlineStr">
        <is>
          <t>매입채무회전일수</t>
        </is>
      </c>
      <c r="B61" s="10" t="inlineStr">
        <is>
          <t>길수록 유리</t>
        </is>
      </c>
      <c r="C61" s="49">
        <f>IFERROR(C19/(IF(COUNT('연간'!G11:J11)&lt;4,"",SUM('연간'!G11:J11)))*365,"")</f>
        <v/>
      </c>
      <c r="D61" s="50">
        <f>IFERROR(D19/(IF(COUNT('연간'!H11:K11)&lt;4,"",SUM('연간'!H11:K11)))*365,"")</f>
        <v/>
      </c>
      <c r="E61" s="50">
        <f>IFERROR(E19/(IF(COUNT('연간'!I11:L11)&lt;4,"",SUM('연간'!I11:L11)))*365,"")</f>
        <v/>
      </c>
      <c r="F61" s="50">
        <f>IFERROR(F19/(IF(COUNT('연간'!J11:M11)&lt;4,"",SUM('연간'!J11:M11)))*365,"")</f>
        <v/>
      </c>
      <c r="G61" s="50">
        <f>IFERROR(G19/(IF(COUNT('연간'!K11:N11)&lt;4,"",SUM('연간'!K11:N11)))*365,"")</f>
        <v/>
      </c>
      <c r="H61" s="49">
        <f>IFERROR(H19/('연간'!T11)*365,"")</f>
        <v/>
      </c>
      <c r="I61" s="50">
        <f>IFERROR(I19/('연간'!U11)*365,"")</f>
        <v/>
      </c>
      <c r="J61" s="50">
        <f>IFERROR(J19/('연간'!V11)*365,"")</f>
        <v/>
      </c>
      <c r="K61" s="50">
        <f>IFERROR(K19/('연간'!W11)*365,"")</f>
        <v/>
      </c>
      <c r="L61" s="50">
        <f>IFERROR(L19/('연간'!X11)*365,"")</f>
        <v/>
      </c>
    </row>
    <row r="62">
      <c r="A62" s="46" t="inlineStr">
        <is>
          <t>현금전환주기 (CCC)</t>
        </is>
      </c>
      <c r="B62" s="10" t="inlineStr">
        <is>
          <t>짧을수록↑</t>
        </is>
      </c>
      <c r="C62" s="49">
        <f>IF(OR(C59="",C60="",C61=""),"",IFERROR(C59+C60-C61,""))</f>
        <v/>
      </c>
      <c r="D62" s="50">
        <f>IF(OR(D59="",D60="",D61=""),"",IFERROR(D59+D60-D61,""))</f>
        <v/>
      </c>
      <c r="E62" s="50">
        <f>IF(OR(E59="",E60="",E61=""),"",IFERROR(E59+E60-E61,""))</f>
        <v/>
      </c>
      <c r="F62" s="50">
        <f>IF(OR(F59="",F60="",F61=""),"",IFERROR(F59+F60-F61,""))</f>
        <v/>
      </c>
      <c r="G62" s="50">
        <f>IF(OR(G59="",G60="",G61=""),"",IFERROR(G59+G60-G61,""))</f>
        <v/>
      </c>
      <c r="H62" s="49">
        <f>IF(OR(H59="",H60="",H61=""),"",IFERROR(H59+H60-H61,""))</f>
        <v/>
      </c>
      <c r="I62" s="50">
        <f>IF(OR(I59="",I60="",I61=""),"",IFERROR(I59+I60-I61,""))</f>
        <v/>
      </c>
      <c r="J62" s="50">
        <f>IF(OR(J59="",J60="",J61=""),"",IFERROR(J59+J60-J61,""))</f>
        <v/>
      </c>
      <c r="K62" s="50">
        <f>IF(OR(K59="",K60="",K61=""),"",IFERROR(K59+K60-K61,""))</f>
        <v/>
      </c>
      <c r="L62" s="50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6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IF(C37="","",IFERROR(C37/(IF(COUNT('연간'!G43:J43)&lt;4,"",SUM('연간'!G43:J43))),""))</f>
        <v/>
      </c>
      <c r="D64" s="33">
        <f>IF(D37="","",IFERROR(D37/(IF(COUNT('연간'!H43:K43)&lt;4,"",SUM('연간'!H43:K43))),""))</f>
        <v/>
      </c>
      <c r="E64" s="33">
        <f>IF(E37="","",IFERROR(E37/(IF(COUNT('연간'!I43:L43)&lt;4,"",SUM('연간'!I43:L43))),""))</f>
        <v/>
      </c>
      <c r="F64" s="33">
        <f>IF(F37="","",IFERROR(F37/(IF(COUNT('연간'!J43:M43)&lt;4,"",SUM('연간'!J43:M43))),""))</f>
        <v/>
      </c>
      <c r="G64" s="33">
        <f>IF(G37="","",IFERROR(G37/(IF(COUNT('연간'!K43:N43)&lt;4,"",SUM('연간'!K43:N43))),""))</f>
        <v/>
      </c>
      <c r="H64" s="32">
        <f>IF(H37="","",IFERROR(H37/('연간'!T43),""))</f>
        <v/>
      </c>
      <c r="I64" s="33">
        <f>IF(I37="","",IFERROR(I37/('연간'!U43),""))</f>
        <v/>
      </c>
      <c r="J64" s="33">
        <f>IF(J37="","",IFERROR(J37/('연간'!V43),""))</f>
        <v/>
      </c>
      <c r="K64" s="33">
        <f>IF(K37="","",IFERROR(K37/('연간'!W43),""))</f>
        <v/>
      </c>
      <c r="L64" s="33">
        <f>IF(L37="","",IFERROR(L37/('연간'!X43),""))</f>
        <v/>
      </c>
    </row>
    <row r="65">
      <c r="A65" s="46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6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6" t="inlineStr">
        <is>
          <t>배당성향</t>
        </is>
      </c>
      <c r="B67" s="10" t="inlineStr">
        <is>
          <t>참고</t>
        </is>
      </c>
      <c r="C67" s="37">
        <f>IF(C40="","",IFERROR(C40/(IF(COUNT('연간'!G44:J44)&lt;4,"",SUM('연간'!G44:J44))),""))</f>
        <v/>
      </c>
      <c r="D67" s="38">
        <f>IF(D40="","",IFERROR(D40/(IF(COUNT('연간'!H44:K44)&lt;4,"",SUM('연간'!H44:K44))),""))</f>
        <v/>
      </c>
      <c r="E67" s="38">
        <f>IF(E40="","",IFERROR(E40/(IF(COUNT('연간'!I44:L44)&lt;4,"",SUM('연간'!I44:L44))),""))</f>
        <v/>
      </c>
      <c r="F67" s="38">
        <f>IF(F40="","",IFERROR(F40/(IF(COUNT('연간'!J44:M44)&lt;4,"",SUM('연간'!J44:M44))),""))</f>
        <v/>
      </c>
      <c r="G67" s="38">
        <f>IF(G40="","",IFERROR(G40/(IF(COUNT('연간'!K44:N44)&lt;4,"",SUM('연간'!K44:N44))),""))</f>
        <v/>
      </c>
      <c r="H67" s="37">
        <f>IF(H40="","",IFERROR(H40/('연간'!T44),""))</f>
        <v/>
      </c>
      <c r="I67" s="38">
        <f>IF(I40="","",IFERROR(I40/('연간'!U44),""))</f>
        <v/>
      </c>
      <c r="J67" s="38">
        <f>IF(J40="","",IFERROR(J40/('연간'!V44),""))</f>
        <v/>
      </c>
      <c r="K67" s="38">
        <f>IF(K40="","",IFERROR(K40/('연간'!W44),""))</f>
        <v/>
      </c>
      <c r="L67" s="38">
        <f>IF(L40="","",IFERROR(L40/('연간'!X44),""))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2025.4Q</t>
        </is>
      </c>
      <c r="D70" s="5" t="inlineStr">
        <is>
          <t>2026.1Q</t>
        </is>
      </c>
      <c r="E70" s="5" t="inlineStr">
        <is>
          <t>2026.2Q</t>
        </is>
      </c>
      <c r="F70" s="5" t="inlineStr">
        <is>
          <t>2026.3Q</t>
        </is>
      </c>
      <c r="G70" s="5" t="inlineStr">
        <is>
          <t>2026.4Q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3424.388</v>
      </c>
      <c r="D71" s="22" t="n">
        <v>3255.24</v>
      </c>
      <c r="E71" s="22" t="n">
        <v>3326.353</v>
      </c>
      <c r="F71" s="22" t="n">
        <v>3596.009</v>
      </c>
      <c r="G71" s="22" t="n">
        <v>3769.157</v>
      </c>
      <c r="H71" s="22" t="n">
        <v>2289.918</v>
      </c>
      <c r="I71" s="22" t="n">
        <v>1503.962</v>
      </c>
      <c r="J71" s="22" t="n">
        <v>2014.608</v>
      </c>
      <c r="K71" s="22" t="n">
        <v>3424.388</v>
      </c>
      <c r="L71" s="22" t="n">
        <v>3769.157</v>
      </c>
    </row>
    <row r="72">
      <c r="A72" s="20" t="inlineStr">
        <is>
          <t>받을어음·매출채권</t>
        </is>
      </c>
      <c r="C72" s="22" t="n">
        <v>1640.54</v>
      </c>
      <c r="D72" s="22" t="n">
        <v>1601.501</v>
      </c>
      <c r="E72" s="22" t="n">
        <v>1885.836</v>
      </c>
      <c r="F72" s="22" t="n">
        <v>1369.978</v>
      </c>
      <c r="H72" s="22" t="n">
        <v>1823.426</v>
      </c>
      <c r="I72" s="22" t="n">
        <v>1864.998</v>
      </c>
      <c r="J72" s="22" t="n">
        <v>1845.812</v>
      </c>
      <c r="K72" s="22" t="n">
        <v>1640.54</v>
      </c>
    </row>
    <row r="73">
      <c r="A73" s="20" t="inlineStr">
        <is>
          <t>받을어음</t>
        </is>
      </c>
      <c r="C73" s="22" t="n">
        <v>163.67</v>
      </c>
      <c r="G73" s="22" t="n">
        <v>6.949</v>
      </c>
      <c r="H73" s="22" t="n">
        <v>317.956</v>
      </c>
      <c r="I73" s="22" t="n">
        <v>319.052</v>
      </c>
      <c r="J73" s="22" t="n">
        <v>289.772</v>
      </c>
      <c r="K73" s="22" t="n">
        <v>163.67</v>
      </c>
      <c r="L73" s="22" t="n">
        <v>6.949</v>
      </c>
    </row>
    <row r="74">
      <c r="A74" s="20" t="inlineStr">
        <is>
          <t>전자기록채권</t>
        </is>
      </c>
      <c r="C74" s="22" t="n">
        <v>697.502</v>
      </c>
      <c r="D74" s="22" t="n">
        <v>698.095</v>
      </c>
      <c r="E74" s="22" t="n">
        <v>714.837</v>
      </c>
      <c r="F74" s="22" t="n">
        <v>797.527</v>
      </c>
      <c r="G74" s="22" t="n">
        <v>769.002</v>
      </c>
      <c r="H74" s="22" t="n">
        <v>470.173</v>
      </c>
      <c r="I74" s="22" t="n">
        <v>500.406</v>
      </c>
      <c r="J74" s="22" t="n">
        <v>531.664</v>
      </c>
      <c r="K74" s="22" t="n">
        <v>697.502</v>
      </c>
      <c r="L74" s="22" t="n">
        <v>769.002</v>
      </c>
    </row>
    <row r="75">
      <c r="A75" s="20" t="inlineStr">
        <is>
          <t>매출채권</t>
        </is>
      </c>
      <c r="C75" s="22" t="n">
        <v>1476.869</v>
      </c>
      <c r="G75" s="22" t="n">
        <v>1348.746</v>
      </c>
      <c r="H75" s="22" t="n">
        <v>1505.469</v>
      </c>
      <c r="I75" s="22" t="n">
        <v>1545.945</v>
      </c>
      <c r="J75" s="22" t="n">
        <v>1556.04</v>
      </c>
      <c r="K75" s="22" t="n">
        <v>1476.869</v>
      </c>
      <c r="L75" s="22" t="n">
        <v>1348.746</v>
      </c>
    </row>
    <row r="76">
      <c r="A76" s="20" t="inlineStr">
        <is>
          <t>유가증권</t>
        </is>
      </c>
      <c r="C76" s="22" t="n">
        <v>0</v>
      </c>
      <c r="E76" s="22" t="n">
        <v>99.98</v>
      </c>
      <c r="G76" s="22" t="n">
        <v>99.92</v>
      </c>
      <c r="H76" s="22" t="n">
        <v>2800</v>
      </c>
      <c r="I76" s="22" t="n">
        <v>3500</v>
      </c>
      <c r="J76" s="22" t="n">
        <v>3100</v>
      </c>
      <c r="K76" s="22" t="n">
        <v>0</v>
      </c>
      <c r="L76" s="22" t="n">
        <v>99.92</v>
      </c>
    </row>
    <row r="77">
      <c r="A77" s="20" t="inlineStr">
        <is>
          <t>상품</t>
        </is>
      </c>
      <c r="C77" s="22" t="n">
        <v>431.641</v>
      </c>
      <c r="D77" s="22" t="n">
        <v>501.433</v>
      </c>
      <c r="E77" s="22" t="n">
        <v>460.563</v>
      </c>
      <c r="F77" s="22" t="n">
        <v>571.494</v>
      </c>
      <c r="G77" s="22" t="n">
        <v>436.274</v>
      </c>
      <c r="H77" s="22" t="n">
        <v>529.749</v>
      </c>
      <c r="I77" s="22" t="n">
        <v>467.291</v>
      </c>
      <c r="J77" s="22" t="n">
        <v>464.345</v>
      </c>
      <c r="K77" s="22" t="n">
        <v>431.641</v>
      </c>
      <c r="L77" s="22" t="n">
        <v>436.274</v>
      </c>
    </row>
    <row r="78">
      <c r="A78" s="20" t="inlineStr">
        <is>
          <t>저장품</t>
        </is>
      </c>
      <c r="C78" s="22" t="n">
        <v>23.672</v>
      </c>
      <c r="D78" s="22" t="n">
        <v>22.675</v>
      </c>
      <c r="E78" s="22" t="n">
        <v>21.74</v>
      </c>
      <c r="F78" s="22" t="n">
        <v>20.078</v>
      </c>
      <c r="G78" s="22" t="n">
        <v>0</v>
      </c>
      <c r="H78" s="22" t="n">
        <v>25.322</v>
      </c>
      <c r="I78" s="22" t="n">
        <v>0</v>
      </c>
      <c r="J78" s="22" t="n">
        <v>0</v>
      </c>
      <c r="K78" s="22" t="n">
        <v>23.672</v>
      </c>
      <c r="L78" s="22" t="n">
        <v>0</v>
      </c>
    </row>
    <row r="79">
      <c r="A79" s="20" t="inlineStr">
        <is>
          <t>선급금</t>
        </is>
      </c>
      <c r="C79" s="22" t="n">
        <v>7.958</v>
      </c>
      <c r="G79" s="22" t="n">
        <v>2.237</v>
      </c>
      <c r="H79" s="22" t="n">
        <v>2.499</v>
      </c>
      <c r="I79" s="22" t="n">
        <v>1.631</v>
      </c>
      <c r="J79" s="22" t="n">
        <v>3.169</v>
      </c>
      <c r="K79" s="22" t="n">
        <v>7.958</v>
      </c>
      <c r="L79" s="22" t="n">
        <v>2.237</v>
      </c>
    </row>
    <row r="80">
      <c r="A80" s="20" t="inlineStr">
        <is>
          <t>선급비용</t>
        </is>
      </c>
      <c r="C80" s="22" t="n">
        <v>22.981</v>
      </c>
      <c r="G80" s="22" t="n">
        <v>25.341</v>
      </c>
      <c r="H80" s="22" t="n">
        <v>23.754</v>
      </c>
      <c r="I80" s="22" t="n">
        <v>23.767</v>
      </c>
      <c r="J80" s="22" t="n">
        <v>23.496</v>
      </c>
      <c r="K80" s="22" t="n">
        <v>22.981</v>
      </c>
      <c r="L80" s="22" t="n">
        <v>25.341</v>
      </c>
    </row>
    <row r="81">
      <c r="A81" s="20" t="inlineStr">
        <is>
          <t>미수 환급법인세</t>
        </is>
      </c>
      <c r="H81" s="22" t="n">
        <v>0</v>
      </c>
      <c r="I81" s="22" t="n">
        <v>43.096</v>
      </c>
      <c r="J81" s="22" t="n">
        <v>0</v>
      </c>
    </row>
    <row r="82">
      <c r="A82" s="20" t="inlineStr">
        <is>
          <t>기타</t>
        </is>
      </c>
      <c r="C82" s="22" t="n">
        <v>36.429</v>
      </c>
      <c r="D82" s="22" t="n">
        <v>64.744</v>
      </c>
      <c r="E82" s="22" t="n">
        <v>61.182</v>
      </c>
      <c r="F82" s="22" t="n">
        <v>68.03100000000001</v>
      </c>
      <c r="G82" s="22" t="n">
        <v>41.963</v>
      </c>
      <c r="H82" s="22" t="n">
        <v>49.603</v>
      </c>
      <c r="I82" s="22" t="n">
        <v>35.143</v>
      </c>
      <c r="J82" s="22" t="n">
        <v>35.659</v>
      </c>
      <c r="K82" s="22" t="n">
        <v>36.429</v>
      </c>
      <c r="L82" s="22" t="n">
        <v>41.963</v>
      </c>
    </row>
    <row r="83">
      <c r="A83" s="20" t="inlineStr">
        <is>
          <t>대손충당금</t>
        </is>
      </c>
      <c r="C83" s="22" t="n">
        <v>-0.701</v>
      </c>
      <c r="D83" s="22" t="n">
        <v>-0.6889999999999999</v>
      </c>
      <c r="E83" s="22" t="n">
        <v>-0.78</v>
      </c>
      <c r="F83" s="22" t="n">
        <v>-0.65</v>
      </c>
      <c r="G83" s="22" t="n">
        <v>-0.212</v>
      </c>
      <c r="H83" s="22" t="n">
        <v>-0.229</v>
      </c>
      <c r="I83" s="22" t="n">
        <v>-0.709</v>
      </c>
      <c r="J83" s="22" t="n">
        <v>-0.713</v>
      </c>
      <c r="K83" s="22" t="n">
        <v>-0.701</v>
      </c>
      <c r="L83" s="22" t="n">
        <v>-0.212</v>
      </c>
    </row>
    <row r="84">
      <c r="A84" s="9" t="inlineStr">
        <is>
          <t>유동자산 합계</t>
        </is>
      </c>
      <c r="C84" s="12" t="n">
        <v>6284.412</v>
      </c>
      <c r="D84" s="12" t="n">
        <v>6143</v>
      </c>
      <c r="E84" s="12" t="n">
        <v>6569.712</v>
      </c>
      <c r="F84" s="12" t="n">
        <v>6422.47</v>
      </c>
      <c r="G84" s="12" t="n">
        <v>6499.379</v>
      </c>
      <c r="H84" s="12" t="n">
        <v>8014.219</v>
      </c>
      <c r="I84" s="12" t="n">
        <v>7939.588</v>
      </c>
      <c r="J84" s="12" t="n">
        <v>8018.043</v>
      </c>
      <c r="K84" s="12" t="n">
        <v>6284.412</v>
      </c>
      <c r="L84" s="12" t="n">
        <v>6499.379</v>
      </c>
    </row>
    <row r="85">
      <c r="A85" s="20" t="inlineStr">
        <is>
          <t>건물</t>
        </is>
      </c>
      <c r="C85" s="22" t="n">
        <v>2887.321</v>
      </c>
      <c r="G85" s="22" t="n">
        <v>2891.108</v>
      </c>
      <c r="H85" s="22" t="n">
        <v>2871.958</v>
      </c>
      <c r="I85" s="22" t="n">
        <v>2872.322</v>
      </c>
      <c r="J85" s="22" t="n">
        <v>2880.862</v>
      </c>
      <c r="K85" s="22" t="n">
        <v>2887.321</v>
      </c>
      <c r="L85" s="22" t="n">
        <v>2891.108</v>
      </c>
    </row>
    <row r="86">
      <c r="A86" s="20" t="inlineStr">
        <is>
          <t>감가상각누계액</t>
        </is>
      </c>
      <c r="C86" s="22" t="n">
        <v>-1907.207</v>
      </c>
      <c r="G86" s="22" t="n">
        <v>-1950.922</v>
      </c>
      <c r="H86" s="22" t="n">
        <v>-1772.558</v>
      </c>
      <c r="I86" s="22" t="n">
        <v>-1818.621</v>
      </c>
      <c r="J86" s="22" t="n">
        <v>-1863.237</v>
      </c>
      <c r="K86" s="22" t="n">
        <v>-1907.207</v>
      </c>
      <c r="L86" s="22" t="n">
        <v>-1950.922</v>
      </c>
    </row>
    <row r="87">
      <c r="A87" s="20" t="inlineStr">
        <is>
          <t>건물(순액)</t>
        </is>
      </c>
      <c r="C87" s="22" t="n">
        <v>980.114</v>
      </c>
      <c r="D87" s="22" t="n">
        <v>972.971</v>
      </c>
      <c r="E87" s="22" t="n">
        <v>962.0410000000001</v>
      </c>
      <c r="F87" s="22" t="n">
        <v>951.112</v>
      </c>
      <c r="G87" s="22" t="n">
        <v>940.1849999999999</v>
      </c>
      <c r="H87" s="22" t="n">
        <v>1099.399</v>
      </c>
      <c r="I87" s="22" t="n">
        <v>1053.7</v>
      </c>
      <c r="J87" s="22" t="n">
        <v>1017.624</v>
      </c>
      <c r="K87" s="22" t="n">
        <v>980.114</v>
      </c>
      <c r="L87" s="22" t="n">
        <v>940.1849999999999</v>
      </c>
    </row>
    <row r="88">
      <c r="A88" s="20" t="inlineStr">
        <is>
          <t>구축물</t>
        </is>
      </c>
      <c r="C88" s="22" t="n">
        <v>28.657</v>
      </c>
      <c r="G88" s="22" t="n">
        <v>28.657</v>
      </c>
      <c r="H88" s="22" t="n">
        <v>28.657</v>
      </c>
      <c r="I88" s="22" t="n">
        <v>28.657</v>
      </c>
      <c r="J88" s="22" t="n">
        <v>28.657</v>
      </c>
      <c r="K88" s="22" t="n">
        <v>28.657</v>
      </c>
      <c r="L88" s="22" t="n">
        <v>28.657</v>
      </c>
    </row>
    <row r="89">
      <c r="A89" s="20" t="inlineStr">
        <is>
          <t>감가상각누계액</t>
        </is>
      </c>
      <c r="C89" s="22" t="n">
        <v>-24.412</v>
      </c>
      <c r="G89" s="22" t="n">
        <v>-25.273</v>
      </c>
      <c r="H89" s="22" t="n">
        <v>-21.195</v>
      </c>
      <c r="I89" s="22" t="n">
        <v>-22.683</v>
      </c>
      <c r="J89" s="22" t="n">
        <v>-23.548</v>
      </c>
      <c r="K89" s="22" t="n">
        <v>-24.412</v>
      </c>
      <c r="L89" s="22" t="n">
        <v>-25.273</v>
      </c>
    </row>
    <row r="90">
      <c r="A90" s="20" t="inlineStr">
        <is>
          <t>구축물(순액)</t>
        </is>
      </c>
      <c r="C90" s="22" t="n">
        <v>4.245</v>
      </c>
      <c r="G90" s="22" t="n">
        <v>3.383</v>
      </c>
      <c r="H90" s="22" t="n">
        <v>7.462</v>
      </c>
      <c r="I90" s="22" t="n">
        <v>5.974</v>
      </c>
      <c r="J90" s="22" t="n">
        <v>5.109</v>
      </c>
      <c r="K90" s="22" t="n">
        <v>4.245</v>
      </c>
      <c r="L90" s="22" t="n">
        <v>3.383</v>
      </c>
    </row>
    <row r="91">
      <c r="A91" s="20" t="inlineStr">
        <is>
          <t>기계장치</t>
        </is>
      </c>
      <c r="C91" s="22" t="n">
        <v>119.75</v>
      </c>
      <c r="G91" s="22" t="n">
        <v>119.75</v>
      </c>
      <c r="I91" s="22" t="n">
        <v>0</v>
      </c>
      <c r="J91" s="22" t="n">
        <v>119.75</v>
      </c>
      <c r="K91" s="22" t="n">
        <v>119.75</v>
      </c>
      <c r="L91" s="22" t="n">
        <v>119.75</v>
      </c>
    </row>
    <row r="92">
      <c r="A92" s="20" t="inlineStr">
        <is>
          <t>감가상각누계액</t>
        </is>
      </c>
      <c r="C92" s="22" t="n">
        <v>-27.143</v>
      </c>
      <c r="G92" s="22" t="n">
        <v>-45.664</v>
      </c>
      <c r="I92" s="22" t="n">
        <v>0</v>
      </c>
      <c r="J92" s="22" t="n">
        <v>-3.991</v>
      </c>
      <c r="K92" s="22" t="n">
        <v>-27.143</v>
      </c>
      <c r="L92" s="22" t="n">
        <v>-45.664</v>
      </c>
    </row>
    <row r="93">
      <c r="A93" s="20" t="inlineStr">
        <is>
          <t>기계장치(순액)</t>
        </is>
      </c>
      <c r="C93" s="22" t="n">
        <v>92.60599999999999</v>
      </c>
      <c r="G93" s="22" t="n">
        <v>74.08499999999999</v>
      </c>
      <c r="I93" s="22" t="n">
        <v>0</v>
      </c>
      <c r="J93" s="22" t="n">
        <v>115.758</v>
      </c>
      <c r="K93" s="22" t="n">
        <v>92.60599999999999</v>
      </c>
      <c r="L93" s="22" t="n">
        <v>74.08499999999999</v>
      </c>
    </row>
    <row r="94">
      <c r="A94" s="20" t="inlineStr">
        <is>
          <t>차량운반구</t>
        </is>
      </c>
      <c r="C94" s="22" t="n">
        <v>6.155</v>
      </c>
      <c r="G94" s="22" t="n">
        <v>6.155</v>
      </c>
      <c r="H94" s="22" t="n">
        <v>6.155</v>
      </c>
      <c r="I94" s="22" t="n">
        <v>6.155</v>
      </c>
      <c r="J94" s="22" t="n">
        <v>6.155</v>
      </c>
      <c r="K94" s="22" t="n">
        <v>6.155</v>
      </c>
      <c r="L94" s="22" t="n">
        <v>6.155</v>
      </c>
    </row>
    <row r="95">
      <c r="A95" s="20" t="inlineStr">
        <is>
          <t>감가상각누계액</t>
        </is>
      </c>
      <c r="C95" s="22" t="n">
        <v>-6.154</v>
      </c>
      <c r="G95" s="22" t="n">
        <v>-6.154</v>
      </c>
      <c r="H95" s="22" t="n">
        <v>-5.951</v>
      </c>
      <c r="I95" s="22" t="n">
        <v>-6.154</v>
      </c>
      <c r="J95" s="22" t="n">
        <v>-6.154</v>
      </c>
      <c r="K95" s="22" t="n">
        <v>-6.154</v>
      </c>
      <c r="L95" s="22" t="n">
        <v>-6.154</v>
      </c>
    </row>
    <row r="96">
      <c r="A96" s="20" t="inlineStr">
        <is>
          <t>차량운반구(순액)</t>
        </is>
      </c>
      <c r="C96" s="22" t="n">
        <v>0</v>
      </c>
      <c r="G96" s="22" t="n">
        <v>0</v>
      </c>
      <c r="H96" s="22" t="n">
        <v>0.203</v>
      </c>
      <c r="I96" s="22" t="n">
        <v>0</v>
      </c>
      <c r="J96" s="22" t="n">
        <v>0</v>
      </c>
      <c r="K96" s="22" t="n">
        <v>0</v>
      </c>
      <c r="L96" s="22" t="n">
        <v>0</v>
      </c>
    </row>
    <row r="97">
      <c r="A97" s="20" t="inlineStr">
        <is>
          <t>공구·기구·비품</t>
        </is>
      </c>
      <c r="C97" s="22" t="n">
        <v>2741.348</v>
      </c>
      <c r="G97" s="22" t="n">
        <v>2767.595</v>
      </c>
      <c r="H97" s="22" t="n">
        <v>2472.749</v>
      </c>
      <c r="I97" s="22" t="n">
        <v>2589.028</v>
      </c>
      <c r="J97" s="22" t="n">
        <v>2646.547</v>
      </c>
      <c r="K97" s="22" t="n">
        <v>2741.348</v>
      </c>
      <c r="L97" s="22" t="n">
        <v>2767.595</v>
      </c>
    </row>
    <row r="98">
      <c r="A98" s="20" t="inlineStr">
        <is>
          <t>감가상각누계액</t>
        </is>
      </c>
      <c r="C98" s="22" t="n">
        <v>-2617.7</v>
      </c>
      <c r="G98" s="22" t="n">
        <v>-2665.603</v>
      </c>
      <c r="H98" s="22" t="n">
        <v>-2351.49</v>
      </c>
      <c r="I98" s="22" t="n">
        <v>-2462.492</v>
      </c>
      <c r="J98" s="22" t="n">
        <v>-2548.063</v>
      </c>
      <c r="K98" s="22" t="n">
        <v>-2617.7</v>
      </c>
      <c r="L98" s="22" t="n">
        <v>-2665.603</v>
      </c>
    </row>
    <row r="99">
      <c r="A99" s="20" t="inlineStr">
        <is>
          <t>공구·기구·비품(순액)</t>
        </is>
      </c>
      <c r="C99" s="22" t="n">
        <v>123.647</v>
      </c>
      <c r="D99" s="22" t="n">
        <v>112.687</v>
      </c>
      <c r="E99" s="22" t="n">
        <v>107.788</v>
      </c>
      <c r="F99" s="22" t="n">
        <v>105.357</v>
      </c>
      <c r="G99" s="22" t="n">
        <v>101.991</v>
      </c>
      <c r="H99" s="22" t="n">
        <v>121.258</v>
      </c>
      <c r="I99" s="22" t="n">
        <v>126.535</v>
      </c>
      <c r="J99" s="22" t="n">
        <v>98.483</v>
      </c>
      <c r="K99" s="22" t="n">
        <v>123.647</v>
      </c>
      <c r="L99" s="22" t="n">
        <v>101.991</v>
      </c>
    </row>
    <row r="100">
      <c r="A100" s="20" t="inlineStr">
        <is>
          <t>토지</t>
        </is>
      </c>
      <c r="C100" s="22" t="n">
        <v>1161.285</v>
      </c>
      <c r="D100" s="22" t="n">
        <v>1161.285</v>
      </c>
      <c r="E100" s="22" t="n">
        <v>1161.285</v>
      </c>
      <c r="F100" s="22" t="n">
        <v>1161.285</v>
      </c>
      <c r="G100" s="22" t="n">
        <v>1161.285</v>
      </c>
      <c r="H100" s="22" t="n">
        <v>1161.285</v>
      </c>
      <c r="I100" s="22" t="n">
        <v>1161.285</v>
      </c>
      <c r="J100" s="22" t="n">
        <v>1161.285</v>
      </c>
      <c r="K100" s="22" t="n">
        <v>1161.285</v>
      </c>
      <c r="L100" s="22" t="n">
        <v>1161.285</v>
      </c>
    </row>
    <row r="101">
      <c r="A101" s="20" t="inlineStr">
        <is>
          <t>기타(순액)</t>
        </is>
      </c>
      <c r="C101" s="22" t="n">
        <v>96.852</v>
      </c>
      <c r="D101" s="22" t="n">
        <v>92.006</v>
      </c>
      <c r="E101" s="22" t="n">
        <v>87.16</v>
      </c>
      <c r="F101" s="22" t="n">
        <v>82.31399999999999</v>
      </c>
      <c r="H101" s="22" t="n">
        <v>7.665</v>
      </c>
      <c r="I101" s="22" t="n">
        <v>5.974</v>
      </c>
      <c r="J101" s="22" t="n">
        <v>120.867</v>
      </c>
      <c r="K101" s="22" t="n">
        <v>96.852</v>
      </c>
    </row>
    <row r="102">
      <c r="A102" s="20" t="inlineStr">
        <is>
          <t>유형자산 합계</t>
        </is>
      </c>
      <c r="C102" s="22" t="n">
        <v>2361.899</v>
      </c>
      <c r="D102" s="22" t="n">
        <v>2338.95</v>
      </c>
      <c r="E102" s="22" t="n">
        <v>2318.276</v>
      </c>
      <c r="F102" s="22" t="n">
        <v>2300.07</v>
      </c>
      <c r="G102" s="22" t="n">
        <v>2280.932</v>
      </c>
      <c r="H102" s="22" t="n">
        <v>2389.609</v>
      </c>
      <c r="I102" s="22" t="n">
        <v>2347.495</v>
      </c>
      <c r="J102" s="22" t="n">
        <v>2398.261</v>
      </c>
      <c r="K102" s="22" t="n">
        <v>2361.899</v>
      </c>
      <c r="L102" s="22" t="n">
        <v>2280.932</v>
      </c>
    </row>
    <row r="103">
      <c r="A103" s="20" t="inlineStr">
        <is>
          <t>상표권</t>
        </is>
      </c>
      <c r="C103" s="22" t="n">
        <v>0.734</v>
      </c>
      <c r="G103" s="22" t="n">
        <v>0.645</v>
      </c>
      <c r="H103" s="22" t="n">
        <v>0.135</v>
      </c>
      <c r="I103" s="22" t="n">
        <v>0.113</v>
      </c>
      <c r="J103" s="22" t="n">
        <v>0.091</v>
      </c>
      <c r="K103" s="22" t="n">
        <v>0.734</v>
      </c>
      <c r="L103" s="22" t="n">
        <v>0.645</v>
      </c>
    </row>
    <row r="104">
      <c r="A104" s="20" t="inlineStr">
        <is>
          <t>소프트웨어</t>
        </is>
      </c>
      <c r="C104" s="22" t="n">
        <v>18.513</v>
      </c>
      <c r="G104" s="22" t="n">
        <v>274.827</v>
      </c>
      <c r="H104" s="22" t="n">
        <v>30.876</v>
      </c>
      <c r="I104" s="22" t="n">
        <v>26.364</v>
      </c>
      <c r="J104" s="22" t="n">
        <v>18.78</v>
      </c>
      <c r="K104" s="22" t="n">
        <v>18.513</v>
      </c>
      <c r="L104" s="22" t="n">
        <v>274.827</v>
      </c>
    </row>
    <row r="105">
      <c r="A105" s="20" t="inlineStr">
        <is>
          <t>기타</t>
        </is>
      </c>
      <c r="C105" s="22" t="n">
        <v>336.521</v>
      </c>
      <c r="G105" s="22" t="n">
        <v>0.306</v>
      </c>
      <c r="H105" s="22" t="n">
        <v>0.306</v>
      </c>
      <c r="I105" s="22" t="n">
        <v>1.439</v>
      </c>
      <c r="J105" s="22" t="n">
        <v>81.15600000000001</v>
      </c>
      <c r="K105" s="22" t="n">
        <v>336.521</v>
      </c>
      <c r="L105" s="22" t="n">
        <v>0.306</v>
      </c>
    </row>
    <row r="106">
      <c r="A106" s="20" t="inlineStr">
        <is>
          <t>무형자산 합계</t>
        </is>
      </c>
      <c r="C106" s="22" t="n">
        <v>355.769</v>
      </c>
      <c r="D106" s="22" t="n">
        <v>327.614</v>
      </c>
      <c r="E106" s="22" t="n">
        <v>308.899</v>
      </c>
      <c r="F106" s="22" t="n">
        <v>290.183</v>
      </c>
      <c r="G106" s="22" t="n">
        <v>275.778</v>
      </c>
      <c r="H106" s="22" t="n">
        <v>31.317</v>
      </c>
      <c r="I106" s="22" t="n">
        <v>27.917</v>
      </c>
      <c r="J106" s="22" t="n">
        <v>100.028</v>
      </c>
      <c r="K106" s="22" t="n">
        <v>355.769</v>
      </c>
      <c r="L106" s="22" t="n">
        <v>275.778</v>
      </c>
    </row>
    <row r="107">
      <c r="A107" s="20" t="inlineStr">
        <is>
          <t>투자유가증권</t>
        </is>
      </c>
      <c r="C107" s="22" t="n">
        <v>2490.529</v>
      </c>
      <c r="D107" s="22" t="n">
        <v>2602.017</v>
      </c>
      <c r="E107" s="22" t="n">
        <v>2522.451</v>
      </c>
      <c r="F107" s="22" t="n">
        <v>2604.114</v>
      </c>
      <c r="G107" s="22" t="n">
        <v>2727.226</v>
      </c>
      <c r="H107" s="22" t="n">
        <v>2320.599</v>
      </c>
      <c r="I107" s="22" t="n">
        <v>2452.82</v>
      </c>
      <c r="J107" s="22" t="n">
        <v>2542.839</v>
      </c>
      <c r="K107" s="22" t="n">
        <v>2490.529</v>
      </c>
      <c r="L107" s="22" t="n">
        <v>2727.226</v>
      </c>
    </row>
    <row r="108">
      <c r="A108" s="20" t="inlineStr">
        <is>
          <t>기타</t>
        </is>
      </c>
      <c r="C108" s="22" t="n">
        <v>139.776</v>
      </c>
      <c r="D108" s="22" t="n">
        <v>144.539</v>
      </c>
      <c r="E108" s="22" t="n">
        <v>126.337</v>
      </c>
      <c r="F108" s="22" t="n">
        <v>150.952</v>
      </c>
      <c r="H108" s="22" t="n">
        <v>156.951</v>
      </c>
      <c r="I108" s="22" t="n">
        <v>137.711</v>
      </c>
      <c r="J108" s="22" t="n">
        <v>154.24</v>
      </c>
      <c r="K108" s="22" t="n">
        <v>139.776</v>
      </c>
    </row>
    <row r="109">
      <c r="A109" s="20" t="inlineStr">
        <is>
          <t>관계회사 주식</t>
        </is>
      </c>
      <c r="C109" s="22" t="n">
        <v>0</v>
      </c>
      <c r="G109" s="22" t="n">
        <v>0</v>
      </c>
      <c r="H109" s="22" t="n">
        <v>0</v>
      </c>
      <c r="I109" s="22" t="n">
        <v>0</v>
      </c>
      <c r="J109" s="22" t="n">
        <v>0</v>
      </c>
      <c r="K109" s="22" t="n">
        <v>0</v>
      </c>
      <c r="L109" s="22" t="n">
        <v>0</v>
      </c>
    </row>
    <row r="110">
      <c r="A110" s="20" t="inlineStr">
        <is>
          <t>Long Term Loans Receivable From Employees</t>
        </is>
      </c>
      <c r="H110" s="22" t="n">
        <v>0.035</v>
      </c>
      <c r="I110" s="22" t="n">
        <v>0</v>
      </c>
    </row>
    <row r="111">
      <c r="A111" s="20" t="inlineStr">
        <is>
          <t>관계회사 장기대여금</t>
        </is>
      </c>
      <c r="C111" s="22" t="n">
        <v>34.03</v>
      </c>
      <c r="G111" s="22" t="n">
        <v>36.212</v>
      </c>
      <c r="H111" s="22" t="n">
        <v>32.11</v>
      </c>
      <c r="I111" s="22" t="n">
        <v>31.172</v>
      </c>
      <c r="J111" s="22" t="n">
        <v>33.977</v>
      </c>
      <c r="K111" s="22" t="n">
        <v>34.03</v>
      </c>
      <c r="L111" s="22" t="n">
        <v>36.212</v>
      </c>
    </row>
    <row r="112">
      <c r="A112" s="20" t="inlineStr">
        <is>
          <t>파산갱생채권 등</t>
        </is>
      </c>
      <c r="C112" s="22" t="n">
        <v>0</v>
      </c>
      <c r="G112" s="22" t="n">
        <v>0</v>
      </c>
      <c r="H112" s="22" t="n">
        <v>0</v>
      </c>
      <c r="I112" s="22" t="n">
        <v>1.998</v>
      </c>
      <c r="J112" s="22" t="n">
        <v>0.018</v>
      </c>
      <c r="K112" s="22" t="n">
        <v>0</v>
      </c>
      <c r="L112" s="22" t="n">
        <v>0</v>
      </c>
    </row>
    <row r="113">
      <c r="A113" s="20" t="inlineStr">
        <is>
          <t>장기선급비용</t>
        </is>
      </c>
      <c r="C113" s="22" t="n">
        <v>4.741</v>
      </c>
      <c r="G113" s="22" t="n">
        <v>2.118</v>
      </c>
      <c r="H113" s="22" t="n">
        <v>5.38</v>
      </c>
      <c r="I113" s="22" t="n">
        <v>2.697</v>
      </c>
      <c r="J113" s="22" t="n">
        <v>0</v>
      </c>
      <c r="K113" s="22" t="n">
        <v>4.741</v>
      </c>
      <c r="L113" s="22" t="n">
        <v>2.118</v>
      </c>
    </row>
    <row r="114">
      <c r="A114" s="20" t="inlineStr">
        <is>
          <t>이연법인세자산</t>
        </is>
      </c>
      <c r="C114" s="22" t="n">
        <v>49.373</v>
      </c>
      <c r="G114" s="22" t="n">
        <v>51.057</v>
      </c>
      <c r="H114" s="22" t="n">
        <v>66.99299999999999</v>
      </c>
      <c r="I114" s="22" t="n">
        <v>50.61</v>
      </c>
      <c r="J114" s="22" t="n">
        <v>65.88200000000001</v>
      </c>
      <c r="K114" s="22" t="n">
        <v>49.373</v>
      </c>
      <c r="L114" s="22" t="n">
        <v>51.057</v>
      </c>
    </row>
    <row r="115">
      <c r="A115" s="20" t="inlineStr">
        <is>
          <t>임차보증금·보증금</t>
        </is>
      </c>
      <c r="C115" s="22" t="n">
        <v>51.63</v>
      </c>
      <c r="G115" s="22" t="n">
        <v>51.63</v>
      </c>
      <c r="H115" s="22" t="n">
        <v>49.131</v>
      </c>
      <c r="I115" s="22" t="n">
        <v>49.131</v>
      </c>
      <c r="J115" s="22" t="n">
        <v>53.462</v>
      </c>
      <c r="K115" s="22" t="n">
        <v>51.63</v>
      </c>
      <c r="L115" s="22" t="n">
        <v>51.63</v>
      </c>
    </row>
    <row r="116">
      <c r="A116" s="20" t="inlineStr">
        <is>
          <t>Long Term Accounts Receivable Other</t>
        </is>
      </c>
      <c r="C116" s="22" t="n">
        <v>0</v>
      </c>
      <c r="H116" s="22" t="n">
        <v>3.3</v>
      </c>
      <c r="I116" s="22" t="n">
        <v>2.1</v>
      </c>
      <c r="J116" s="22" t="n">
        <v>0.9</v>
      </c>
      <c r="K116" s="22" t="n">
        <v>0</v>
      </c>
    </row>
    <row r="117">
      <c r="A117" s="20" t="inlineStr">
        <is>
          <t>대손충당금</t>
        </is>
      </c>
      <c r="C117" s="22" t="n">
        <v>-24.246</v>
      </c>
      <c r="D117" s="22" t="n">
        <v>-24.755</v>
      </c>
      <c r="E117" s="22" t="n">
        <v>-24.965</v>
      </c>
      <c r="F117" s="22" t="n">
        <v>-27.531</v>
      </c>
      <c r="G117" s="22" t="n">
        <v>-26.397</v>
      </c>
      <c r="H117" s="22" t="n">
        <v>-24.236</v>
      </c>
      <c r="I117" s="22" t="n">
        <v>-25.455</v>
      </c>
      <c r="J117" s="22" t="n">
        <v>-25.859</v>
      </c>
      <c r="K117" s="22" t="n">
        <v>-24.246</v>
      </c>
      <c r="L117" s="22" t="n">
        <v>-26.397</v>
      </c>
    </row>
    <row r="118">
      <c r="A118" s="20" t="inlineStr">
        <is>
          <t>투자 및 기타자산 합계</t>
        </is>
      </c>
      <c r="C118" s="22" t="n">
        <v>2606.059</v>
      </c>
      <c r="D118" s="22" t="n">
        <v>2721.8</v>
      </c>
      <c r="E118" s="22" t="n">
        <v>2623.823</v>
      </c>
      <c r="F118" s="22" t="n">
        <v>2727.534</v>
      </c>
      <c r="G118" s="22" t="n">
        <v>2841.848</v>
      </c>
      <c r="H118" s="22" t="n">
        <v>2453.314</v>
      </c>
      <c r="I118" s="22" t="n">
        <v>2565.077</v>
      </c>
      <c r="J118" s="22" t="n">
        <v>2671.22</v>
      </c>
      <c r="K118" s="22" t="n">
        <v>2606.059</v>
      </c>
      <c r="L118" s="22" t="n">
        <v>2841.848</v>
      </c>
    </row>
    <row r="119">
      <c r="A119" s="9" t="inlineStr">
        <is>
          <t>비유동자산 합계</t>
        </is>
      </c>
      <c r="C119" s="12" t="n">
        <v>5323.728</v>
      </c>
      <c r="D119" s="12" t="n">
        <v>5388.365</v>
      </c>
      <c r="E119" s="12" t="n">
        <v>5250.999</v>
      </c>
      <c r="F119" s="12" t="n">
        <v>5317.788</v>
      </c>
      <c r="G119" s="12" t="n">
        <v>5398.559</v>
      </c>
      <c r="H119" s="12" t="n">
        <v>4874.241</v>
      </c>
      <c r="I119" s="12" t="n">
        <v>4940.49</v>
      </c>
      <c r="J119" s="12" t="n">
        <v>5169.51</v>
      </c>
      <c r="K119" s="12" t="n">
        <v>5323.728</v>
      </c>
      <c r="L119" s="12" t="n">
        <v>5398.559</v>
      </c>
    </row>
    <row r="120">
      <c r="A120" s="9" t="inlineStr">
        <is>
          <t>자산 합계</t>
        </is>
      </c>
      <c r="C120" s="12" t="n">
        <v>11608.141</v>
      </c>
      <c r="D120" s="12" t="n">
        <v>11531.366</v>
      </c>
      <c r="E120" s="12" t="n">
        <v>11820.712</v>
      </c>
      <c r="F120" s="12" t="n">
        <v>11740.259</v>
      </c>
      <c r="G120" s="12" t="n">
        <v>11897.939</v>
      </c>
      <c r="H120" s="12" t="n">
        <v>12888.461</v>
      </c>
      <c r="I120" s="12" t="n">
        <v>12880.078</v>
      </c>
      <c r="J120" s="12" t="n">
        <v>13187.554</v>
      </c>
      <c r="K120" s="12" t="n">
        <v>11608.141</v>
      </c>
      <c r="L120" s="12" t="n">
        <v>11897.939</v>
      </c>
    </row>
    <row r="121">
      <c r="A121" s="20" t="inlineStr">
        <is>
          <t>지급어음·매입채무</t>
        </is>
      </c>
      <c r="H121" s="22" t="n">
        <v>663.744</v>
      </c>
      <c r="I121" s="22" t="n">
        <v>664.462</v>
      </c>
      <c r="J121" s="22" t="n">
        <v>624.518</v>
      </c>
    </row>
    <row r="122">
      <c r="A122" s="20" t="inlineStr">
        <is>
          <t>지급어음</t>
        </is>
      </c>
      <c r="C122" s="22" t="n">
        <v>0</v>
      </c>
      <c r="H122" s="22" t="n">
        <v>84.03700000000001</v>
      </c>
      <c r="I122" s="22" t="n">
        <v>101.082</v>
      </c>
      <c r="J122" s="22" t="n">
        <v>84.73</v>
      </c>
      <c r="K122" s="22" t="n">
        <v>0</v>
      </c>
    </row>
    <row r="123">
      <c r="A123" s="20" t="inlineStr">
        <is>
          <t>전자기록채무</t>
        </is>
      </c>
      <c r="C123" s="22" t="n">
        <v>0</v>
      </c>
      <c r="G123" s="22" t="n">
        <v>0.416</v>
      </c>
      <c r="H123" s="22" t="n">
        <v>1778.071</v>
      </c>
      <c r="I123" s="22" t="n">
        <v>1790.808</v>
      </c>
      <c r="J123" s="22" t="n">
        <v>1857.713</v>
      </c>
      <c r="K123" s="22" t="n">
        <v>0</v>
      </c>
      <c r="L123" s="22" t="n">
        <v>0.416</v>
      </c>
    </row>
    <row r="124">
      <c r="A124" s="20" t="inlineStr">
        <is>
          <t>매입채무</t>
        </is>
      </c>
      <c r="C124" s="22" t="n">
        <v>591.52</v>
      </c>
      <c r="D124" s="22" t="n">
        <v>643.086</v>
      </c>
      <c r="E124" s="22" t="n">
        <v>720.189</v>
      </c>
      <c r="F124" s="22" t="n">
        <v>653.401</v>
      </c>
      <c r="G124" s="22" t="n">
        <v>672.385</v>
      </c>
      <c r="H124" s="22" t="n">
        <v>579.706</v>
      </c>
      <c r="I124" s="22" t="n">
        <v>563.379</v>
      </c>
      <c r="J124" s="22" t="n">
        <v>539.788</v>
      </c>
      <c r="K124" s="22" t="n">
        <v>591.52</v>
      </c>
      <c r="L124" s="22" t="n">
        <v>672.385</v>
      </c>
    </row>
    <row r="125">
      <c r="A125" s="20" t="inlineStr">
        <is>
          <t>미지급금</t>
        </is>
      </c>
      <c r="C125" s="22" t="n">
        <v>123.827</v>
      </c>
      <c r="G125" s="22" t="n">
        <v>74.012</v>
      </c>
      <c r="H125" s="22" t="n">
        <v>61.072</v>
      </c>
      <c r="I125" s="22" t="n">
        <v>69.13200000000001</v>
      </c>
      <c r="J125" s="22" t="n">
        <v>125.149</v>
      </c>
      <c r="K125" s="22" t="n">
        <v>123.827</v>
      </c>
      <c r="L125" s="22" t="n">
        <v>74.012</v>
      </c>
    </row>
    <row r="126">
      <c r="A126" s="20" t="inlineStr">
        <is>
          <t>미지급비용</t>
        </is>
      </c>
      <c r="C126" s="22" t="n">
        <v>39.809</v>
      </c>
      <c r="G126" s="22" t="n">
        <v>39.854</v>
      </c>
      <c r="H126" s="22" t="n">
        <v>41.693</v>
      </c>
      <c r="I126" s="22" t="n">
        <v>42.354</v>
      </c>
      <c r="J126" s="22" t="n">
        <v>45.774</v>
      </c>
      <c r="K126" s="22" t="n">
        <v>39.809</v>
      </c>
      <c r="L126" s="22" t="n">
        <v>39.854</v>
      </c>
    </row>
    <row r="127">
      <c r="A127" s="20" t="inlineStr">
        <is>
          <t>미지급법인세</t>
        </is>
      </c>
      <c r="C127" s="22" t="n">
        <v>110.057</v>
      </c>
      <c r="D127" s="22" t="n">
        <v>43.198</v>
      </c>
      <c r="E127" s="22" t="n">
        <v>102.414</v>
      </c>
      <c r="F127" s="22" t="n">
        <v>64.178</v>
      </c>
      <c r="G127" s="22" t="n">
        <v>108.938</v>
      </c>
      <c r="H127" s="22" t="n">
        <v>101.532</v>
      </c>
      <c r="I127" s="22" t="n">
        <v>4.966</v>
      </c>
      <c r="J127" s="22" t="n">
        <v>107.899</v>
      </c>
      <c r="K127" s="22" t="n">
        <v>110.057</v>
      </c>
      <c r="L127" s="22" t="n">
        <v>108.938</v>
      </c>
    </row>
    <row r="128">
      <c r="A128" s="20" t="inlineStr">
        <is>
          <t>상여충당금</t>
        </is>
      </c>
      <c r="C128" s="22" t="n">
        <v>0</v>
      </c>
      <c r="D128" s="22" t="n">
        <v>56.972</v>
      </c>
      <c r="F128" s="22" t="n">
        <v>56.835</v>
      </c>
      <c r="H128" s="22" t="n">
        <v>0</v>
      </c>
      <c r="I128" s="22" t="n">
        <v>0</v>
      </c>
      <c r="J128" s="22" t="n">
        <v>0</v>
      </c>
      <c r="K128" s="22" t="n">
        <v>0</v>
      </c>
    </row>
    <row r="129">
      <c r="A129" s="20" t="inlineStr">
        <is>
          <t>기타</t>
        </is>
      </c>
      <c r="C129" s="22" t="n">
        <v>258.748</v>
      </c>
      <c r="D129" s="22" t="n">
        <v>127.827</v>
      </c>
      <c r="E129" s="22" t="n">
        <v>178.172</v>
      </c>
      <c r="F129" s="22" t="n">
        <v>137.525</v>
      </c>
      <c r="H129" s="22" t="n">
        <v>160.313</v>
      </c>
      <c r="I129" s="22" t="n">
        <v>185.496</v>
      </c>
      <c r="J129" s="22" t="n">
        <v>224.656</v>
      </c>
      <c r="K129" s="22" t="n">
        <v>258.748</v>
      </c>
    </row>
    <row r="130">
      <c r="A130" s="20" t="inlineStr">
        <is>
          <t>미지급 소비세</t>
        </is>
      </c>
      <c r="C130" s="22" t="n">
        <v>52.152</v>
      </c>
      <c r="G130" s="22" t="n">
        <v>8.853</v>
      </c>
      <c r="H130" s="22" t="n">
        <v>18.412</v>
      </c>
      <c r="I130" s="22" t="n">
        <v>34.053</v>
      </c>
      <c r="J130" s="22" t="n">
        <v>17.615</v>
      </c>
      <c r="K130" s="22" t="n">
        <v>52.152</v>
      </c>
      <c r="L130" s="22" t="n">
        <v>8.853</v>
      </c>
    </row>
    <row r="131">
      <c r="A131" s="20" t="inlineStr">
        <is>
          <t>예수금</t>
        </is>
      </c>
      <c r="C131" s="22" t="n">
        <v>40.11</v>
      </c>
      <c r="G131" s="22" t="n">
        <v>40.195</v>
      </c>
      <c r="H131" s="22" t="n">
        <v>39.135</v>
      </c>
      <c r="I131" s="22" t="n">
        <v>39.955</v>
      </c>
      <c r="J131" s="22" t="n">
        <v>36.116</v>
      </c>
      <c r="K131" s="22" t="n">
        <v>40.11</v>
      </c>
      <c r="L131" s="22" t="n">
        <v>40.195</v>
      </c>
    </row>
    <row r="132">
      <c r="A132" s="20" t="inlineStr">
        <is>
          <t>선수금</t>
        </is>
      </c>
      <c r="C132" s="22" t="n">
        <v>2.849</v>
      </c>
      <c r="G132" s="22" t="n">
        <v>0</v>
      </c>
      <c r="J132" s="22" t="n">
        <v>0</v>
      </c>
      <c r="K132" s="22" t="n">
        <v>2.849</v>
      </c>
      <c r="L132" s="22" t="n">
        <v>0</v>
      </c>
    </row>
    <row r="133">
      <c r="A133" s="20" t="inlineStr">
        <is>
          <t>제품보상 충당금</t>
        </is>
      </c>
      <c r="C133" s="22" t="n">
        <v>0</v>
      </c>
      <c r="G133" s="22" t="n">
        <v>17.708</v>
      </c>
      <c r="K133" s="22" t="n">
        <v>0</v>
      </c>
      <c r="L133" s="22" t="n">
        <v>17.708</v>
      </c>
    </row>
    <row r="134">
      <c r="A134" s="9" t="inlineStr">
        <is>
          <t>유동부채 합계</t>
        </is>
      </c>
      <c r="C134" s="12" t="n">
        <v>960.326</v>
      </c>
      <c r="D134" s="12" t="n">
        <v>871.0839999999999</v>
      </c>
      <c r="E134" s="12" t="n">
        <v>1000.775</v>
      </c>
      <c r="F134" s="12" t="n">
        <v>911.941</v>
      </c>
      <c r="G134" s="12" t="n">
        <v>962.364</v>
      </c>
      <c r="H134" s="12" t="n">
        <v>2703.662</v>
      </c>
      <c r="I134" s="12" t="n">
        <v>2645.733</v>
      </c>
      <c r="J134" s="12" t="n">
        <v>2814.787</v>
      </c>
      <c r="K134" s="12" t="n">
        <v>960.326</v>
      </c>
      <c r="L134" s="12" t="n">
        <v>962.364</v>
      </c>
    </row>
    <row r="135">
      <c r="A135" s="20" t="inlineStr">
        <is>
          <t>퇴직급여충당금</t>
        </is>
      </c>
      <c r="C135" s="22" t="n">
        <v>134.486</v>
      </c>
      <c r="D135" s="22" t="n">
        <v>130.985</v>
      </c>
      <c r="E135" s="22" t="n">
        <v>132.665</v>
      </c>
      <c r="F135" s="22" t="n">
        <v>132.086</v>
      </c>
      <c r="G135" s="22" t="n">
        <v>132.752</v>
      </c>
      <c r="H135" s="22" t="n">
        <v>138.612</v>
      </c>
      <c r="I135" s="22" t="n">
        <v>140.282</v>
      </c>
      <c r="J135" s="22" t="n">
        <v>142.798</v>
      </c>
      <c r="K135" s="22" t="n">
        <v>134.486</v>
      </c>
      <c r="L135" s="22" t="n">
        <v>132.752</v>
      </c>
    </row>
    <row r="136">
      <c r="A136" s="20" t="inlineStr">
        <is>
          <t>임원 퇴직위로 충당금</t>
        </is>
      </c>
      <c r="C136" s="22" t="n">
        <v>50.25</v>
      </c>
      <c r="D136" s="22" t="n">
        <v>52.375</v>
      </c>
      <c r="E136" s="22" t="n">
        <v>54.5</v>
      </c>
      <c r="F136" s="22" t="n">
        <v>56.625</v>
      </c>
      <c r="G136" s="22" t="n">
        <v>58.75</v>
      </c>
      <c r="H136" s="22" t="n">
        <v>231.825</v>
      </c>
      <c r="I136" s="22" t="n">
        <v>44.25</v>
      </c>
      <c r="J136" s="22" t="n">
        <v>52.75</v>
      </c>
      <c r="K136" s="22" t="n">
        <v>50.25</v>
      </c>
      <c r="L136" s="22" t="n">
        <v>58.75</v>
      </c>
    </row>
    <row r="137">
      <c r="A137" s="20" t="inlineStr">
        <is>
          <t>기타</t>
        </is>
      </c>
      <c r="C137" s="22" t="n">
        <v>32.8</v>
      </c>
      <c r="D137" s="22" t="n">
        <v>32.95</v>
      </c>
      <c r="E137" s="22" t="n">
        <v>34</v>
      </c>
      <c r="F137" s="22" t="n">
        <v>34</v>
      </c>
      <c r="G137" s="22" t="n">
        <v>34</v>
      </c>
      <c r="H137" s="22" t="n">
        <v>2.8</v>
      </c>
      <c r="I137" s="22" t="n">
        <v>3</v>
      </c>
      <c r="J137" s="22" t="n">
        <v>26.8</v>
      </c>
      <c r="K137" s="22" t="n">
        <v>32.8</v>
      </c>
      <c r="L137" s="22" t="n">
        <v>34</v>
      </c>
    </row>
    <row r="138">
      <c r="A138" s="9" t="inlineStr">
        <is>
          <t>비유동부채 합계</t>
        </is>
      </c>
      <c r="C138" s="12" t="n">
        <v>217.536</v>
      </c>
      <c r="D138" s="12" t="n">
        <v>216.31</v>
      </c>
      <c r="E138" s="12" t="n">
        <v>221.165</v>
      </c>
      <c r="F138" s="12" t="n">
        <v>222.711</v>
      </c>
      <c r="G138" s="12" t="n">
        <v>225.502</v>
      </c>
      <c r="H138" s="12" t="n">
        <v>373.237</v>
      </c>
      <c r="I138" s="12" t="n">
        <v>187.532</v>
      </c>
      <c r="J138" s="12" t="n">
        <v>222.348</v>
      </c>
      <c r="K138" s="12" t="n">
        <v>217.536</v>
      </c>
      <c r="L138" s="12" t="n">
        <v>225.502</v>
      </c>
    </row>
    <row r="139">
      <c r="A139" s="9" t="inlineStr">
        <is>
          <t>부채 합계</t>
        </is>
      </c>
      <c r="C139" s="12" t="n">
        <v>1177.863</v>
      </c>
      <c r="D139" s="12" t="n">
        <v>1087.395</v>
      </c>
      <c r="E139" s="12" t="n">
        <v>1221.941</v>
      </c>
      <c r="F139" s="12" t="n">
        <v>1134.653</v>
      </c>
      <c r="G139" s="12" t="n">
        <v>1187.866</v>
      </c>
      <c r="H139" s="12" t="n">
        <v>3076.899</v>
      </c>
      <c r="I139" s="12" t="n">
        <v>2833.266</v>
      </c>
      <c r="J139" s="12" t="n">
        <v>3037.136</v>
      </c>
      <c r="K139" s="12" t="n">
        <v>1177.863</v>
      </c>
      <c r="L139" s="12" t="n">
        <v>1187.866</v>
      </c>
    </row>
    <row r="140">
      <c r="A140" s="20" t="inlineStr">
        <is>
          <t>자본금</t>
        </is>
      </c>
      <c r="C140" s="22" t="n">
        <v>300.745</v>
      </c>
      <c r="D140" s="22" t="n">
        <v>300.745</v>
      </c>
      <c r="E140" s="22" t="n">
        <v>300.745</v>
      </c>
      <c r="F140" s="22" t="n">
        <v>300.745</v>
      </c>
      <c r="G140" s="22" t="n">
        <v>300.745</v>
      </c>
      <c r="H140" s="22" t="n">
        <v>300.745</v>
      </c>
      <c r="I140" s="22" t="n">
        <v>300.745</v>
      </c>
      <c r="J140" s="22" t="n">
        <v>300.745</v>
      </c>
      <c r="K140" s="22" t="n">
        <v>300.745</v>
      </c>
      <c r="L140" s="22" t="n">
        <v>300.745</v>
      </c>
    </row>
    <row r="141">
      <c r="A141" s="20" t="inlineStr">
        <is>
          <t>자본준비금</t>
        </is>
      </c>
      <c r="C141" s="22" t="n">
        <v>273.245</v>
      </c>
      <c r="G141" s="22" t="n">
        <v>273.245</v>
      </c>
      <c r="H141" s="22" t="n">
        <v>273.245</v>
      </c>
      <c r="I141" s="22" t="n">
        <v>273.245</v>
      </c>
      <c r="J141" s="22" t="n">
        <v>273.245</v>
      </c>
      <c r="K141" s="22" t="n">
        <v>273.245</v>
      </c>
      <c r="L141" s="22" t="n">
        <v>273.245</v>
      </c>
    </row>
    <row r="142">
      <c r="A142" s="20" t="inlineStr">
        <is>
          <t>자본잉여금 합계</t>
        </is>
      </c>
      <c r="C142" s="22" t="n">
        <v>273.245</v>
      </c>
      <c r="D142" s="22" t="n">
        <v>273.245</v>
      </c>
      <c r="E142" s="22" t="n">
        <v>273.245</v>
      </c>
      <c r="F142" s="22" t="n">
        <v>273.245</v>
      </c>
      <c r="G142" s="22" t="n">
        <v>273.245</v>
      </c>
      <c r="H142" s="22" t="n">
        <v>273.245</v>
      </c>
      <c r="I142" s="22" t="n">
        <v>273.245</v>
      </c>
      <c r="J142" s="22" t="n">
        <v>273.245</v>
      </c>
      <c r="K142" s="22" t="n">
        <v>273.245</v>
      </c>
      <c r="L142" s="22" t="n">
        <v>273.245</v>
      </c>
    </row>
    <row r="143">
      <c r="A143" s="20" t="inlineStr">
        <is>
          <t>이익준비금</t>
        </is>
      </c>
      <c r="C143" s="22" t="n">
        <v>43.189</v>
      </c>
      <c r="G143" s="22" t="n">
        <v>43.189</v>
      </c>
      <c r="H143" s="22" t="n">
        <v>43.189</v>
      </c>
      <c r="I143" s="22" t="n">
        <v>43.189</v>
      </c>
      <c r="J143" s="22" t="n">
        <v>43.189</v>
      </c>
      <c r="K143" s="22" t="n">
        <v>43.189</v>
      </c>
      <c r="L143" s="22" t="n">
        <v>43.189</v>
      </c>
    </row>
    <row r="144">
      <c r="A144" s="20" t="inlineStr">
        <is>
          <t>Reserve For Reduction Entry Of Land</t>
        </is>
      </c>
      <c r="C144" s="22" t="n">
        <v>94.624</v>
      </c>
      <c r="G144" s="22" t="n">
        <v>94.624</v>
      </c>
      <c r="H144" s="22" t="n">
        <v>95.86799999999999</v>
      </c>
      <c r="I144" s="22" t="n">
        <v>95.86799999999999</v>
      </c>
      <c r="J144" s="22" t="n">
        <v>95.86799999999999</v>
      </c>
      <c r="K144" s="22" t="n">
        <v>94.624</v>
      </c>
      <c r="L144" s="22" t="n">
        <v>94.624</v>
      </c>
    </row>
    <row r="145">
      <c r="A145" s="20" t="inlineStr">
        <is>
          <t>별도적립금</t>
        </is>
      </c>
      <c r="C145" s="22" t="n">
        <v>6000</v>
      </c>
      <c r="G145" s="22" t="n">
        <v>6000</v>
      </c>
      <c r="H145" s="22" t="n">
        <v>6000</v>
      </c>
      <c r="I145" s="22" t="n">
        <v>6000</v>
      </c>
      <c r="J145" s="22" t="n">
        <v>6000</v>
      </c>
      <c r="K145" s="22" t="n">
        <v>6000</v>
      </c>
      <c r="L145" s="22" t="n">
        <v>6000</v>
      </c>
    </row>
    <row r="146">
      <c r="A146" s="20" t="inlineStr">
        <is>
          <t>이월이익잉여금</t>
        </is>
      </c>
      <c r="C146" s="22" t="n">
        <v>3735.19</v>
      </c>
      <c r="G146" s="22" t="n">
        <v>3993.987</v>
      </c>
      <c r="H146" s="22" t="n">
        <v>3152.472</v>
      </c>
      <c r="I146" s="22" t="n">
        <v>3367.672</v>
      </c>
      <c r="J146" s="22" t="n">
        <v>3482.731</v>
      </c>
      <c r="K146" s="22" t="n">
        <v>3735.19</v>
      </c>
      <c r="L146" s="22" t="n">
        <v>3993.987</v>
      </c>
    </row>
    <row r="147">
      <c r="A147" s="20" t="inlineStr">
        <is>
          <t>이익잉여금 합계</t>
        </is>
      </c>
      <c r="C147" s="22" t="n">
        <v>9873.004000000001</v>
      </c>
      <c r="D147" s="22" t="n">
        <v>9880.013000000001</v>
      </c>
      <c r="E147" s="22" t="n">
        <v>10022.176</v>
      </c>
      <c r="F147" s="22" t="n">
        <v>10042.213</v>
      </c>
      <c r="G147" s="22" t="n">
        <v>10131.801</v>
      </c>
      <c r="H147" s="22" t="n">
        <v>9291.530000000001</v>
      </c>
      <c r="I147" s="22" t="n">
        <v>9506.728999999999</v>
      </c>
      <c r="J147" s="22" t="n">
        <v>9621.788</v>
      </c>
      <c r="K147" s="22" t="n">
        <v>9873.004000000001</v>
      </c>
      <c r="L147" s="22" t="n">
        <v>10131.801</v>
      </c>
    </row>
    <row r="148">
      <c r="A148" s="20" t="inlineStr">
        <is>
          <t>자기주식</t>
        </is>
      </c>
      <c r="C148" s="22" t="n">
        <v>-64.643</v>
      </c>
      <c r="D148" s="22" t="n">
        <v>-64.643</v>
      </c>
      <c r="E148" s="22" t="n">
        <v>-64.643</v>
      </c>
      <c r="F148" s="22" t="n">
        <v>-64.643</v>
      </c>
      <c r="G148" s="22" t="n">
        <v>-64.643</v>
      </c>
      <c r="H148" s="22" t="n">
        <v>-64.58499999999999</v>
      </c>
      <c r="I148" s="22" t="n">
        <v>-64.58499999999999</v>
      </c>
      <c r="J148" s="22" t="n">
        <v>-64.643</v>
      </c>
      <c r="K148" s="22" t="n">
        <v>-64.643</v>
      </c>
      <c r="L148" s="22" t="n">
        <v>-64.643</v>
      </c>
    </row>
    <row r="149">
      <c r="A149" s="9" t="inlineStr">
        <is>
          <t>주주자본 합계</t>
        </is>
      </c>
      <c r="C149" s="12" t="n">
        <v>10382.351</v>
      </c>
      <c r="D149" s="12" t="n">
        <v>10389.359</v>
      </c>
      <c r="E149" s="12" t="n">
        <v>10531.523</v>
      </c>
      <c r="F149" s="12" t="n">
        <v>10551.559</v>
      </c>
      <c r="G149" s="12" t="n">
        <v>10641.147</v>
      </c>
      <c r="H149" s="12" t="n">
        <v>9800.933999999999</v>
      </c>
      <c r="I149" s="12" t="n">
        <v>10016.134</v>
      </c>
      <c r="J149" s="12" t="n">
        <v>10131.135</v>
      </c>
      <c r="K149" s="12" t="n">
        <v>10382.351</v>
      </c>
      <c r="L149" s="12" t="n">
        <v>10641.147</v>
      </c>
    </row>
    <row r="150">
      <c r="A150" s="20" t="inlineStr">
        <is>
          <t>기타유가증권 평가차액</t>
        </is>
      </c>
      <c r="C150" s="22" t="n">
        <v>47.926</v>
      </c>
      <c r="D150" s="22" t="n">
        <v>54.611</v>
      </c>
      <c r="E150" s="22" t="n">
        <v>67.247</v>
      </c>
      <c r="F150" s="22" t="n">
        <v>54.046</v>
      </c>
      <c r="G150" s="22" t="n">
        <v>68.925</v>
      </c>
      <c r="H150" s="22" t="n">
        <v>10.627</v>
      </c>
      <c r="I150" s="22" t="n">
        <v>30.678</v>
      </c>
      <c r="J150" s="22" t="n">
        <v>19.282</v>
      </c>
      <c r="K150" s="22" t="n">
        <v>47.926</v>
      </c>
      <c r="L150" s="22" t="n">
        <v>68.925</v>
      </c>
    </row>
    <row r="151">
      <c r="A151" s="20" t="inlineStr">
        <is>
          <t>평가·환산차액 합계</t>
        </is>
      </c>
      <c r="C151" s="22" t="n">
        <v>47.926</v>
      </c>
      <c r="D151" s="22" t="n">
        <v>54.611</v>
      </c>
      <c r="E151" s="22" t="n">
        <v>67.247</v>
      </c>
      <c r="F151" s="22" t="n">
        <v>54.046</v>
      </c>
      <c r="G151" s="22" t="n">
        <v>68.925</v>
      </c>
      <c r="H151" s="22" t="n">
        <v>10.627</v>
      </c>
      <c r="I151" s="22" t="n">
        <v>30.678</v>
      </c>
      <c r="J151" s="22" t="n">
        <v>19.282</v>
      </c>
      <c r="K151" s="22" t="n">
        <v>47.926</v>
      </c>
      <c r="L151" s="22" t="n">
        <v>68.925</v>
      </c>
    </row>
    <row r="152">
      <c r="A152" s="9" t="inlineStr">
        <is>
          <t>순자산 합계</t>
        </is>
      </c>
      <c r="C152" s="12" t="n">
        <v>10430.277</v>
      </c>
      <c r="D152" s="12" t="n">
        <v>10443.971</v>
      </c>
      <c r="E152" s="12" t="n">
        <v>10598.77</v>
      </c>
      <c r="F152" s="12" t="n">
        <v>10605.606</v>
      </c>
      <c r="G152" s="12" t="n">
        <v>10710.072</v>
      </c>
      <c r="H152" s="12" t="n">
        <v>9811.562</v>
      </c>
      <c r="I152" s="12" t="n">
        <v>10046.812</v>
      </c>
      <c r="J152" s="12" t="n">
        <v>10150.417</v>
      </c>
      <c r="K152" s="12" t="n">
        <v>10430.277</v>
      </c>
      <c r="L152" s="12" t="n">
        <v>10710.072</v>
      </c>
    </row>
    <row r="153">
      <c r="A153" s="9" t="inlineStr">
        <is>
          <t>부채·순자산 합계</t>
        </is>
      </c>
      <c r="C153" s="12" t="n">
        <v>11608.141</v>
      </c>
      <c r="D153" s="12" t="n">
        <v>11531.366</v>
      </c>
      <c r="E153" s="12" t="n">
        <v>11820.712</v>
      </c>
      <c r="F153" s="12" t="n">
        <v>11740.259</v>
      </c>
      <c r="G153" s="12" t="n">
        <v>11897.939</v>
      </c>
      <c r="H153" s="12" t="n">
        <v>12888.461</v>
      </c>
      <c r="I153" s="12" t="n">
        <v>12880.078</v>
      </c>
      <c r="J153" s="12" t="n">
        <v>13187.554</v>
      </c>
      <c r="K153" s="12" t="n">
        <v>11608.141</v>
      </c>
      <c r="L153" s="12" t="n">
        <v>11897.939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1" t="inlineStr">
        <is>
          <t>출처 · 쓴 결산단신</t>
        </is>
      </c>
    </row>
    <row r="3">
      <c r="A3" s="52" t="inlineStr">
        <is>
          <t>공시일</t>
        </is>
      </c>
      <c r="B3" s="52" t="inlineStr">
        <is>
          <t>문서</t>
        </is>
      </c>
      <c r="C3" s="52" t="inlineStr">
        <is>
          <t>PDF</t>
        </is>
      </c>
    </row>
    <row r="4">
      <c r="A4" t="inlineStr">
        <is>
          <t>2026-08-05</t>
        </is>
      </c>
      <c r="B4" t="inlineStr">
        <is>
          <t>연간 결산단신</t>
        </is>
      </c>
      <c r="C4" t="inlineStr">
        <is>
          <t>https://www2.jpx.co.jp/disc/34260/140120260804508472.pdf</t>
        </is>
      </c>
    </row>
    <row r="5">
      <c r="A5" t="inlineStr">
        <is>
          <t>2026-04-28</t>
        </is>
      </c>
      <c r="B5" t="inlineStr">
        <is>
          <t>3분기 결산단신</t>
        </is>
      </c>
      <c r="C5" t="inlineStr">
        <is>
          <t>https://www2.jpx.co.jp/disc/34260/140120260427511177.pdf</t>
        </is>
      </c>
    </row>
    <row r="6">
      <c r="A6" t="inlineStr">
        <is>
          <t>2026-01-29</t>
        </is>
      </c>
      <c r="B6" t="inlineStr">
        <is>
          <t>2분기 결산단신</t>
        </is>
      </c>
      <c r="C6" t="inlineStr">
        <is>
          <t>https://www2.jpx.co.jp/disc/34260/140120260128540341.pdf</t>
        </is>
      </c>
    </row>
    <row r="7">
      <c r="A7" t="inlineStr">
        <is>
          <t>2025-10-30</t>
        </is>
      </c>
      <c r="B7" t="inlineStr">
        <is>
          <t>1분기 결산단신</t>
        </is>
      </c>
      <c r="C7" t="inlineStr">
        <is>
          <t>https://www2.jpx.co.jp/disc/34260/140120251029581030.pdf</t>
        </is>
      </c>
    </row>
    <row r="8">
      <c r="A8" t="inlineStr">
        <is>
          <t>2025-08-05</t>
        </is>
      </c>
      <c r="B8" t="inlineStr">
        <is>
          <t>연간 결산단신</t>
        </is>
      </c>
      <c r="C8" t="inlineStr">
        <is>
          <t>https://www2.jpx.co.jp/disc/34260/140120250804528499.pdf</t>
        </is>
      </c>
    </row>
    <row r="9">
      <c r="A9" t="inlineStr">
        <is>
          <t>2025-04-28</t>
        </is>
      </c>
      <c r="B9" t="inlineStr">
        <is>
          <t>3분기 결산단신</t>
        </is>
      </c>
      <c r="C9" t="inlineStr">
        <is>
          <t>https://www2.jpx.co.jp/disc/34260/140120250425523597.pdf</t>
        </is>
      </c>
    </row>
    <row r="10">
      <c r="A10" t="inlineStr">
        <is>
          <t>2025-01-30</t>
        </is>
      </c>
      <c r="B10" t="inlineStr">
        <is>
          <t>2분기 결산단신</t>
        </is>
      </c>
      <c r="C10" t="inlineStr">
        <is>
          <t>https://www2.jpx.co.jp/disc/34260/140120250129556960.pdf</t>
        </is>
      </c>
    </row>
    <row r="11">
      <c r="A11" t="inlineStr">
        <is>
          <t>2024-10-30</t>
        </is>
      </c>
      <c r="B11" t="inlineStr">
        <is>
          <t>1분기 결산단신</t>
        </is>
      </c>
      <c r="C11" t="inlineStr">
        <is>
          <t>https://www2.jpx.co.jp/disc/34260/140120241029504497.pdf</t>
        </is>
      </c>
    </row>
    <row r="12">
      <c r="A12" t="inlineStr">
        <is>
          <t>2024-08-05</t>
        </is>
      </c>
      <c r="B12" t="inlineStr">
        <is>
          <t>연간 결산단신</t>
        </is>
      </c>
      <c r="C12" t="inlineStr">
        <is>
          <t>https://www2.jpx.co.jp/disc/34260/140120240802561213.pdf</t>
        </is>
      </c>
    </row>
    <row r="13">
      <c r="A13" t="inlineStr">
        <is>
          <t>2024-04-26</t>
        </is>
      </c>
      <c r="B13" t="inlineStr">
        <is>
          <t>3분기 결산단신</t>
        </is>
      </c>
      <c r="C13" t="inlineStr">
        <is>
          <t>https://www2.jpx.co.jp/disc/34260/140120240416571630.pdf</t>
        </is>
      </c>
    </row>
    <row r="14">
      <c r="A14" t="inlineStr">
        <is>
          <t>2024-01-30</t>
        </is>
      </c>
      <c r="B14" t="inlineStr">
        <is>
          <t>2분기 결산단신</t>
        </is>
      </c>
      <c r="C14" t="inlineStr">
        <is>
          <t>https://www2.jpx.co.jp/disc/34260/140120240122517289.pdf</t>
        </is>
      </c>
    </row>
    <row r="15">
      <c r="A15" t="inlineStr">
        <is>
          <t>2023-10-30</t>
        </is>
      </c>
      <c r="B15" t="inlineStr">
        <is>
          <t>1분기 결산단신</t>
        </is>
      </c>
      <c r="C15" t="inlineStr">
        <is>
          <t>https://www2.jpx.co.jp/disc/34260/140120231017567931.pdf</t>
        </is>
      </c>
    </row>
    <row r="16">
      <c r="A16" t="inlineStr">
        <is>
          <t>2023-08-04</t>
        </is>
      </c>
      <c r="B16" t="inlineStr">
        <is>
          <t>연간 결산단신</t>
        </is>
      </c>
      <c r="C16" t="inlineStr">
        <is>
          <t>https://www2.jpx.co.jp/disc/34260/140120230726527191.pdf</t>
        </is>
      </c>
    </row>
    <row r="17">
      <c r="A17" t="inlineStr">
        <is>
          <t>2023-04-27</t>
        </is>
      </c>
      <c r="B17" t="inlineStr">
        <is>
          <t>3분기 결산단신</t>
        </is>
      </c>
      <c r="C17" t="inlineStr">
        <is>
          <t>https://www2.jpx.co.jp/disc/34260/140120230418548805.pdf</t>
        </is>
      </c>
    </row>
    <row r="18">
      <c r="A18" t="inlineStr">
        <is>
          <t>2023-01-30</t>
        </is>
      </c>
      <c r="B18" t="inlineStr">
        <is>
          <t>2분기 결산단신</t>
        </is>
      </c>
      <c r="C18" t="inlineStr">
        <is>
          <t>https://www2.jpx.co.jp/disc/34260/140120230120591475.pdf</t>
        </is>
      </c>
    </row>
    <row r="19">
      <c r="A19" t="inlineStr">
        <is>
          <t>2022-10-28</t>
        </is>
      </c>
      <c r="B19" t="inlineStr">
        <is>
          <t>1분기 결산단신</t>
        </is>
      </c>
      <c r="C19" t="inlineStr">
        <is>
          <t>https://www2.jpx.co.jp/disc/34260/140120221019546285.pdf</t>
        </is>
      </c>
    </row>
    <row r="20">
      <c r="A20" t="inlineStr">
        <is>
          <t>2022-08-05</t>
        </is>
      </c>
      <c r="B20" t="inlineStr">
        <is>
          <t>연간 결산단신</t>
        </is>
      </c>
      <c r="C20" t="inlineStr">
        <is>
          <t>https://www2.jpx.co.jp/disc/34260/140120220726504821.pdf</t>
        </is>
      </c>
    </row>
    <row r="21">
      <c r="A21" t="inlineStr">
        <is>
          <t>2021-08-05</t>
        </is>
      </c>
      <c r="B21" t="inlineStr">
        <is>
          <t>연간 결산단신</t>
        </is>
      </c>
      <c r="C21" t="inlineStr">
        <is>
          <t>https://www2.jpx.co.jp/disc/34260/140120210727472085.pdf</t>
        </is>
      </c>
    </row>
    <row r="22">
      <c r="A22" t="inlineStr">
        <is>
          <t>2020-08-05</t>
        </is>
      </c>
      <c r="B22" t="inlineStr">
        <is>
          <t>연간 결산단신</t>
        </is>
      </c>
      <c r="C22" t="inlineStr">
        <is>
          <t>https://www2.jpx.co.jp/disc/34260/140120200727467137.pdf</t>
        </is>
      </c>
    </row>
    <row r="23">
      <c r="A23" t="inlineStr">
        <is>
          <t>2019-08-05</t>
        </is>
      </c>
      <c r="B23" t="inlineStr">
        <is>
          <t>연간 결산단신</t>
        </is>
      </c>
      <c r="C23" t="inlineStr">
        <is>
          <t>https://www2.jpx.co.jp/disc/34260/140120190725475779.pdf</t>
        </is>
      </c>
    </row>
    <row r="24">
      <c r="A24" t="inlineStr">
        <is>
          <t>2018-08-06</t>
        </is>
      </c>
      <c r="B24" t="inlineStr">
        <is>
          <t>연간 결산단신</t>
        </is>
      </c>
      <c r="C24" t="inlineStr">
        <is>
          <t>https://www2.jpx.co.jp/disc/34260/140120180720483043.pdf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2026-10-25T14:56:37Z</dcterms:created>
  <dcterms:modified xmlns:dcterms="http://purl.org/dc/terms/" xmlns:xsi="http://www.w3.org/2001/XMLSchema-instance" xsi:type="dcterms:W3CDTF">2026-10-25T14:56:37Z</dcterms:modified>
</cp:coreProperties>
</file>