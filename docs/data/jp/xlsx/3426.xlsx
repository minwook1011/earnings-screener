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8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6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3426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6월 결산 · 일본 기준 · 2026.4Q = 2026년 6월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2439.148</v>
      </c>
      <c r="D4" s="12" t="n">
        <v>2844.605</v>
      </c>
      <c r="E4" s="12" t="n">
        <v>2460.48</v>
      </c>
      <c r="F4" s="12" t="n">
        <v>2418.246</v>
      </c>
      <c r="G4" s="12" t="n">
        <v>2416.494</v>
      </c>
      <c r="H4" s="12" t="n">
        <v>2857.29</v>
      </c>
      <c r="I4" s="12" t="n">
        <v>2515.305</v>
      </c>
      <c r="J4" s="12" t="n">
        <v>2507.927</v>
      </c>
      <c r="K4" s="12" t="n">
        <v>2493.689</v>
      </c>
      <c r="L4" s="12" t="n">
        <v>2865.944</v>
      </c>
      <c r="M4" s="12" t="n">
        <v>2508.753</v>
      </c>
      <c r="N4" s="12" t="n">
        <v>2638.266</v>
      </c>
      <c r="O4" s="11" t="n">
        <v>10532.09</v>
      </c>
      <c r="P4" s="12" t="n">
        <v>10483.546</v>
      </c>
      <c r="Q4" s="12" t="n">
        <v>10589.833</v>
      </c>
      <c r="R4" s="12" t="n">
        <v>10394.001</v>
      </c>
      <c r="S4" s="12" t="n">
        <v>9627.427</v>
      </c>
      <c r="T4" s="12" t="n">
        <v>9990.862999999999</v>
      </c>
      <c r="U4" s="12" t="n">
        <v>10415.647</v>
      </c>
      <c r="V4" s="12" t="n">
        <v>10162.479</v>
      </c>
      <c r="W4" s="12" t="n">
        <v>10297.016</v>
      </c>
      <c r="X4" s="12" t="n">
        <v>10506.652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1830.059</v>
      </c>
      <c r="D11" s="22" t="n">
        <v>2152.201</v>
      </c>
      <c r="E11" s="22" t="n">
        <v>1849.126</v>
      </c>
      <c r="F11" s="22" t="n">
        <v>1801.875</v>
      </c>
      <c r="G11" s="22" t="n">
        <v>1781.475</v>
      </c>
      <c r="H11" s="22" t="n">
        <v>2090.998</v>
      </c>
      <c r="I11" s="22" t="n">
        <v>1858.051</v>
      </c>
      <c r="J11" s="22" t="n">
        <v>1832.827</v>
      </c>
      <c r="K11" s="22" t="n">
        <v>1847.847</v>
      </c>
      <c r="L11" s="22" t="n">
        <v>2116.196</v>
      </c>
      <c r="M11" s="22" t="n">
        <v>1845.059</v>
      </c>
      <c r="N11" s="22" t="n">
        <v>1925.207</v>
      </c>
      <c r="O11" s="21" t="n">
        <v>7744.26</v>
      </c>
      <c r="P11" s="22" t="n">
        <v>7621.778</v>
      </c>
      <c r="Q11" s="22" t="n">
        <v>7680.165</v>
      </c>
      <c r="R11" s="22" t="n">
        <v>7438.187</v>
      </c>
      <c r="S11" s="22" t="n">
        <v>6892.292</v>
      </c>
      <c r="T11" s="22" t="n">
        <v>7234.277</v>
      </c>
      <c r="U11" s="22" t="n">
        <v>7786.249</v>
      </c>
      <c r="V11" s="22" t="n">
        <v>7633.261</v>
      </c>
      <c r="W11" s="22" t="n">
        <v>7563.351</v>
      </c>
      <c r="X11" s="22" t="n">
        <v>7734.309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>
        <v>534.567</v>
      </c>
      <c r="D17" s="22" t="n">
        <v>539.487</v>
      </c>
      <c r="E17" s="22" t="n">
        <v>552.98</v>
      </c>
      <c r="F17" s="22" t="n">
        <v>568.682</v>
      </c>
      <c r="G17" s="22" t="n">
        <v>543.737</v>
      </c>
      <c r="H17" s="22" t="n">
        <v>543.63</v>
      </c>
      <c r="I17" s="22" t="n">
        <v>542.341</v>
      </c>
      <c r="J17" s="22" t="n">
        <v>588.479</v>
      </c>
      <c r="K17" s="22" t="n">
        <v>557.728</v>
      </c>
      <c r="L17" s="22" t="n">
        <v>559.316</v>
      </c>
      <c r="M17" s="22" t="n">
        <v>557.6319999999999</v>
      </c>
      <c r="N17" s="22" t="n">
        <v>605.8339999999999</v>
      </c>
      <c r="O17" s="21" t="n">
        <v>2215.984</v>
      </c>
      <c r="P17" s="22" t="n">
        <v>2231.673</v>
      </c>
      <c r="Q17" s="22" t="n">
        <v>2245.005</v>
      </c>
      <c r="R17" s="22" t="n">
        <v>2274.922</v>
      </c>
      <c r="S17" s="22" t="n">
        <v>2104.392</v>
      </c>
      <c r="T17" s="22" t="n">
        <v>2179.284</v>
      </c>
      <c r="U17" s="22" t="n">
        <v>2255.12</v>
      </c>
      <c r="V17" s="22" t="n">
        <v>2195.716</v>
      </c>
      <c r="W17" s="22" t="n">
        <v>2218.187</v>
      </c>
      <c r="X17" s="22" t="n">
        <v>2280.51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>
        <v>74.52</v>
      </c>
      <c r="D19" s="12" t="n">
        <v>152.918</v>
      </c>
      <c r="E19" s="12" t="n">
        <v>58.375</v>
      </c>
      <c r="F19" s="12" t="n">
        <v>47.688</v>
      </c>
      <c r="G19" s="12" t="n">
        <v>91.28100000000001</v>
      </c>
      <c r="H19" s="12" t="n">
        <v>222.662</v>
      </c>
      <c r="I19" s="12" t="n">
        <v>114.914</v>
      </c>
      <c r="J19" s="12" t="n">
        <v>86.619</v>
      </c>
      <c r="K19" s="12" t="n">
        <v>88.113</v>
      </c>
      <c r="L19" s="12" t="n">
        <v>190.432</v>
      </c>
      <c r="M19" s="12" t="n">
        <v>106.061</v>
      </c>
      <c r="N19" s="12" t="n">
        <v>107.226</v>
      </c>
      <c r="O19" s="11" t="n">
        <v>571.845</v>
      </c>
      <c r="P19" s="12" t="n">
        <v>630.0940000000001</v>
      </c>
      <c r="Q19" s="12" t="n">
        <v>664.663</v>
      </c>
      <c r="R19" s="12" t="n">
        <v>680.89</v>
      </c>
      <c r="S19" s="12" t="n">
        <v>630.742</v>
      </c>
      <c r="T19" s="12" t="n">
        <v>577.302</v>
      </c>
      <c r="U19" s="12" t="n">
        <v>374.278</v>
      </c>
      <c r="V19" s="12" t="n">
        <v>333.501</v>
      </c>
      <c r="W19" s="12" t="n">
        <v>515.476</v>
      </c>
      <c r="X19" s="12" t="n">
        <v>491.832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>
        <v>587.67</v>
      </c>
      <c r="P24" s="22" t="n">
        <v>591.603</v>
      </c>
      <c r="Q24" s="22" t="n">
        <v>606.578</v>
      </c>
      <c r="R24" s="22" t="n">
        <v>609.933</v>
      </c>
      <c r="S24" s="22" t="n">
        <v>602.225</v>
      </c>
      <c r="T24" s="22" t="n">
        <v>625.172</v>
      </c>
      <c r="U24" s="22" t="n">
        <v>644.879</v>
      </c>
      <c r="V24" s="22" t="n">
        <v>636.231</v>
      </c>
      <c r="W24" s="22" t="n">
        <v>631.336</v>
      </c>
      <c r="X24" s="22" t="n">
        <v>626.9059999999999</v>
      </c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>
        <v>203.092</v>
      </c>
      <c r="P26" s="22" t="n">
        <v>274.629</v>
      </c>
      <c r="Q26" s="22" t="n">
        <v>205.782</v>
      </c>
      <c r="R26" s="22" t="n">
        <v>195.397</v>
      </c>
      <c r="S26" s="22" t="n">
        <v>180.283</v>
      </c>
      <c r="T26" s="22" t="n">
        <v>196.476</v>
      </c>
      <c r="U26" s="22" t="n">
        <v>189.626</v>
      </c>
      <c r="V26" s="22" t="n">
        <v>184.483</v>
      </c>
      <c r="W26" s="22" t="n">
        <v>177.667</v>
      </c>
      <c r="X26" s="22" t="n">
        <v>262.339</v>
      </c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>
        <v>0</v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2" t="n">
        <v>0</v>
      </c>
      <c r="M35" s="22" t="n">
        <v>0</v>
      </c>
      <c r="N35" s="22" t="n">
        <v>0</v>
      </c>
      <c r="O35" s="21" t="n">
        <v>0</v>
      </c>
      <c r="P35" s="22" t="n">
        <v>0</v>
      </c>
      <c r="Q35" s="22" t="n">
        <v>0</v>
      </c>
      <c r="R35" s="22" t="n">
        <v>0</v>
      </c>
      <c r="S35" s="22" t="n">
        <v>0</v>
      </c>
      <c r="T35" s="22" t="n">
        <v>0</v>
      </c>
      <c r="U35" s="22" t="n">
        <v>0</v>
      </c>
      <c r="V35" s="22" t="n">
        <v>0</v>
      </c>
      <c r="W35" s="22" t="n">
        <v>0</v>
      </c>
      <c r="X35" s="22" t="n">
        <v>0</v>
      </c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>
        <v>0</v>
      </c>
      <c r="D37" s="22" t="n">
        <v>0</v>
      </c>
      <c r="E37" s="22" t="n">
        <v>0</v>
      </c>
      <c r="F37" s="22" t="n">
        <v>0</v>
      </c>
      <c r="G37" s="22" t="n">
        <v>0</v>
      </c>
      <c r="H37" s="22" t="n">
        <v>0.78</v>
      </c>
      <c r="I37" s="22" t="n">
        <v>0</v>
      </c>
      <c r="J37" s="22" t="n">
        <v>0</v>
      </c>
      <c r="K37" s="22" t="n">
        <v>0</v>
      </c>
      <c r="L37" s="22" t="n">
        <v>0</v>
      </c>
      <c r="M37" s="22" t="n">
        <v>0</v>
      </c>
      <c r="N37" s="22" t="n">
        <v>0</v>
      </c>
      <c r="O37" s="21" t="n">
        <v>32.043</v>
      </c>
      <c r="P37" s="22" t="n">
        <v>0.63</v>
      </c>
      <c r="Q37" s="22" t="n">
        <v>29.416</v>
      </c>
      <c r="R37" s="22" t="n">
        <v>0.387</v>
      </c>
      <c r="S37" s="22" t="n">
        <v>6.364</v>
      </c>
      <c r="T37" s="22" t="n">
        <v>0</v>
      </c>
      <c r="U37" s="22" t="n">
        <v>7.973</v>
      </c>
      <c r="V37" s="22" t="n">
        <v>0</v>
      </c>
      <c r="W37" s="22" t="n">
        <v>0.78</v>
      </c>
      <c r="X37" s="22" t="n">
        <v>0</v>
      </c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>
        <v>9.933999999999999</v>
      </c>
      <c r="D39" s="22" t="n">
        <v>10.499</v>
      </c>
      <c r="E39" s="22" t="n">
        <v>9.257</v>
      </c>
      <c r="F39" s="22" t="n">
        <v>14.021</v>
      </c>
      <c r="G39" s="22" t="n">
        <v>12.043</v>
      </c>
      <c r="H39" s="22" t="n">
        <v>12.311</v>
      </c>
      <c r="I39" s="22" t="n">
        <v>10.732</v>
      </c>
      <c r="J39" s="22" t="n">
        <v>19.56</v>
      </c>
      <c r="K39" s="22" t="n">
        <v>16.743</v>
      </c>
      <c r="L39" s="22" t="n">
        <v>22.22</v>
      </c>
      <c r="M39" s="22" t="n">
        <v>16.38</v>
      </c>
      <c r="N39" s="22" t="n">
        <v>24.659</v>
      </c>
      <c r="O39" s="21" t="n">
        <v>23.1</v>
      </c>
      <c r="P39" s="22" t="n">
        <v>26.43</v>
      </c>
      <c r="Q39" s="22" t="n">
        <v>22.92</v>
      </c>
      <c r="R39" s="22" t="n">
        <v>31.658</v>
      </c>
      <c r="S39" s="22" t="n">
        <v>37.504</v>
      </c>
      <c r="T39" s="22" t="n">
        <v>35.313</v>
      </c>
      <c r="U39" s="22" t="n">
        <v>41.395</v>
      </c>
      <c r="V39" s="22" t="n">
        <v>43.711</v>
      </c>
      <c r="W39" s="22" t="n">
        <v>54.646</v>
      </c>
      <c r="X39" s="22" t="n">
        <v>80.002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>
        <v>0.508</v>
      </c>
      <c r="D41" s="22" t="n">
        <v>1.767</v>
      </c>
      <c r="E41" s="22" t="n">
        <v>-0.104</v>
      </c>
      <c r="F41" s="22" t="n">
        <v>3.111</v>
      </c>
      <c r="G41" s="22" t="n">
        <v>5.915</v>
      </c>
      <c r="H41" s="22" t="n">
        <v>-3.822</v>
      </c>
      <c r="I41" s="22" t="n">
        <v>3.992</v>
      </c>
      <c r="J41" s="22" t="n">
        <v>2.763</v>
      </c>
      <c r="K41" s="22" t="n">
        <v>1.639</v>
      </c>
      <c r="L41" s="22" t="n">
        <v>1.327</v>
      </c>
      <c r="M41" s="22" t="n">
        <v>3.141</v>
      </c>
      <c r="N41" s="22" t="n">
        <v>-1.129</v>
      </c>
      <c r="O41" s="21" t="n">
        <v>2.522</v>
      </c>
      <c r="P41" s="22" t="n">
        <v>0.493</v>
      </c>
      <c r="Q41" s="22" t="n">
        <v>0.448</v>
      </c>
      <c r="R41" s="22" t="n">
        <v>6.407</v>
      </c>
      <c r="S41" s="22" t="n">
        <v>12.631</v>
      </c>
      <c r="T41" s="22" t="n">
        <v>6.173</v>
      </c>
      <c r="U41" s="22" t="n">
        <v>0.395</v>
      </c>
      <c r="V41" s="22" t="n">
        <v>5.282</v>
      </c>
      <c r="W41" s="22" t="n">
        <v>8.848000000000001</v>
      </c>
      <c r="X41" s="22" t="n">
        <v>4.978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>
        <v>83.946</v>
      </c>
      <c r="D43" s="12" t="n">
        <v>161.65</v>
      </c>
      <c r="E43" s="12" t="n">
        <v>67.736</v>
      </c>
      <c r="F43" s="12" t="n">
        <v>58.598</v>
      </c>
      <c r="G43" s="12" t="n">
        <v>97.41</v>
      </c>
      <c r="H43" s="12" t="n">
        <v>238.014</v>
      </c>
      <c r="I43" s="12" t="n">
        <v>121.654</v>
      </c>
      <c r="J43" s="12" t="n">
        <v>103.416</v>
      </c>
      <c r="K43" s="12" t="n">
        <v>103.218</v>
      </c>
      <c r="L43" s="12" t="n">
        <v>211.324</v>
      </c>
      <c r="M43" s="12" t="n">
        <v>119.3</v>
      </c>
      <c r="N43" s="12" t="n">
        <v>133.015</v>
      </c>
      <c r="O43" s="11" t="n">
        <v>560.38</v>
      </c>
      <c r="P43" s="12" t="n">
        <v>655.4</v>
      </c>
      <c r="Q43" s="12" t="n">
        <v>657.7190000000001</v>
      </c>
      <c r="R43" s="12" t="n">
        <v>705.754</v>
      </c>
      <c r="S43" s="12" t="n">
        <v>649.251</v>
      </c>
      <c r="T43" s="12" t="n">
        <v>606.441</v>
      </c>
      <c r="U43" s="12" t="n">
        <v>407.305</v>
      </c>
      <c r="V43" s="12" t="n">
        <v>371.93</v>
      </c>
      <c r="W43" s="12" t="n">
        <v>560.494</v>
      </c>
      <c r="X43" s="12" t="n">
        <v>566.857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>
        <v>34.266</v>
      </c>
      <c r="D45" s="22" t="n">
        <v>56.12</v>
      </c>
      <c r="E45" s="22" t="n">
        <v>4.949</v>
      </c>
      <c r="F45" s="22" t="n">
        <v>21.892</v>
      </c>
      <c r="G45" s="22" t="n">
        <v>28.911</v>
      </c>
      <c r="H45" s="22" t="n">
        <v>78.86</v>
      </c>
      <c r="I45" s="22" t="n">
        <v>32.698</v>
      </c>
      <c r="J45" s="22" t="n">
        <v>29.167</v>
      </c>
      <c r="K45" s="22" t="n">
        <v>30.378</v>
      </c>
      <c r="L45" s="22" t="n">
        <v>69.161</v>
      </c>
      <c r="M45" s="22" t="n">
        <v>33.432</v>
      </c>
      <c r="N45" s="22" t="n">
        <v>43.427</v>
      </c>
      <c r="O45" s="21" t="n">
        <v>178.022</v>
      </c>
      <c r="P45" s="22" t="n">
        <v>208.494</v>
      </c>
      <c r="Q45" s="22" t="n">
        <v>223.113</v>
      </c>
      <c r="R45" s="22" t="n">
        <v>222.983</v>
      </c>
      <c r="S45" s="22" t="n">
        <v>208.079</v>
      </c>
      <c r="T45" s="22" t="n">
        <v>194.306</v>
      </c>
      <c r="U45" s="22" t="n">
        <v>60.442</v>
      </c>
      <c r="V45" s="22" t="n">
        <v>117.227</v>
      </c>
      <c r="W45" s="22" t="n">
        <v>169.636</v>
      </c>
      <c r="X45" s="22" t="n">
        <v>176.398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>
        <v>49.68</v>
      </c>
      <c r="D47" s="12" t="n">
        <v>105.53</v>
      </c>
      <c r="E47" s="12" t="n">
        <v>62.786</v>
      </c>
      <c r="F47" s="12" t="n">
        <v>36.706</v>
      </c>
      <c r="G47" s="12" t="n">
        <v>68.498</v>
      </c>
      <c r="H47" s="12" t="n">
        <v>159.155</v>
      </c>
      <c r="I47" s="12" t="n">
        <v>88.955</v>
      </c>
      <c r="J47" s="12" t="n">
        <v>74.249</v>
      </c>
      <c r="K47" s="12" t="n">
        <v>72.839</v>
      </c>
      <c r="L47" s="12" t="n">
        <v>142.164</v>
      </c>
      <c r="M47" s="12" t="n">
        <v>85.867</v>
      </c>
      <c r="N47" s="12" t="n">
        <v>89.589</v>
      </c>
      <c r="O47" s="11" t="n">
        <v>382.357</v>
      </c>
      <c r="P47" s="12" t="n">
        <v>446.906</v>
      </c>
      <c r="Q47" s="12" t="n">
        <v>434.605</v>
      </c>
      <c r="R47" s="12" t="n">
        <v>482.77</v>
      </c>
      <c r="S47" s="12" t="n">
        <v>441.171</v>
      </c>
      <c r="T47" s="12" t="n">
        <v>412.135</v>
      </c>
      <c r="U47" s="12" t="n">
        <v>346.863</v>
      </c>
      <c r="V47" s="12" t="n">
        <v>254.702</v>
      </c>
      <c r="W47" s="12" t="n">
        <v>390.857</v>
      </c>
      <c r="X47" s="12" t="n">
        <v>390.459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>
        <v>49.68</v>
      </c>
      <c r="D49" s="12" t="n">
        <v>105.53</v>
      </c>
      <c r="E49" s="12" t="n">
        <v>62.786</v>
      </c>
      <c r="F49" s="12" t="n">
        <v>36.706</v>
      </c>
      <c r="G49" s="12" t="n">
        <v>68.498</v>
      </c>
      <c r="H49" s="12" t="n">
        <v>159.155</v>
      </c>
      <c r="I49" s="12" t="n">
        <v>88.955</v>
      </c>
      <c r="J49" s="12" t="n">
        <v>74.249</v>
      </c>
      <c r="K49" s="12" t="n">
        <v>72.839</v>
      </c>
      <c r="L49" s="12" t="n">
        <v>142.164</v>
      </c>
      <c r="M49" s="12" t="n">
        <v>85.867</v>
      </c>
      <c r="N49" s="12" t="n">
        <v>89.589</v>
      </c>
      <c r="O49" s="11" t="n">
        <v>382.357</v>
      </c>
      <c r="P49" s="12" t="n">
        <v>446.906</v>
      </c>
      <c r="Q49" s="12" t="n">
        <v>434.605</v>
      </c>
      <c r="R49" s="12" t="n">
        <v>482.77</v>
      </c>
      <c r="S49" s="12" t="n">
        <v>441.171</v>
      </c>
      <c r="T49" s="12" t="n">
        <v>412.135</v>
      </c>
      <c r="U49" s="12" t="n">
        <v>346.863</v>
      </c>
      <c r="V49" s="12" t="n">
        <v>254.702</v>
      </c>
      <c r="W49" s="12" t="n">
        <v>390.857</v>
      </c>
      <c r="X49" s="12" t="n">
        <v>390.459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(2026.10.28)</t>
        </is>
      </c>
      <c r="B53" s="29" t="n">
        <v>1311</v>
      </c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>
        <v>4105000</v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 2026.10.28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2024.1Q</t>
        </is>
      </c>
      <c r="D83" s="5" t="inlineStr">
        <is>
          <t>2024.2Q</t>
        </is>
      </c>
      <c r="E83" s="5" t="inlineStr">
        <is>
          <t>2024.3Q</t>
        </is>
      </c>
      <c r="F83" s="5" t="inlineStr">
        <is>
          <t>2024.4Q</t>
        </is>
      </c>
      <c r="G83" s="5" t="inlineStr">
        <is>
          <t>2025.1Q</t>
        </is>
      </c>
      <c r="H83" s="5" t="inlineStr">
        <is>
          <t>2025.2Q</t>
        </is>
      </c>
      <c r="I83" s="5" t="inlineStr">
        <is>
          <t>2025.3Q</t>
        </is>
      </c>
      <c r="J83" s="5" t="inlineStr">
        <is>
          <t>2025.4Q</t>
        </is>
      </c>
      <c r="K83" s="5" t="inlineStr">
        <is>
          <t>2026.1Q</t>
        </is>
      </c>
      <c r="L83" s="5" t="inlineStr">
        <is>
          <t>2026.2Q</t>
        </is>
      </c>
      <c r="M83" s="5" t="inlineStr">
        <is>
          <t>2026.3Q</t>
        </is>
      </c>
      <c r="N83" s="5" t="inlineStr">
        <is>
          <t>2026.4Q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C84" s="12" t="n">
        <v>2439.148</v>
      </c>
      <c r="D84" s="12" t="n">
        <v>2844.605</v>
      </c>
      <c r="E84" s="12" t="n">
        <v>2460.48</v>
      </c>
      <c r="F84" s="12" t="n">
        <v>2418.246</v>
      </c>
      <c r="G84" s="12" t="n">
        <v>2416.494</v>
      </c>
      <c r="H84" s="12" t="n">
        <v>2857.29</v>
      </c>
      <c r="I84" s="12" t="n">
        <v>2515.305</v>
      </c>
      <c r="J84" s="12" t="n">
        <v>2507.927</v>
      </c>
      <c r="K84" s="12" t="n">
        <v>2493.689</v>
      </c>
      <c r="L84" s="12" t="n">
        <v>2865.944</v>
      </c>
      <c r="M84" s="12" t="n">
        <v>2508.753</v>
      </c>
      <c r="N84" s="12" t="n">
        <v>2638.266</v>
      </c>
      <c r="T84" s="12" t="n">
        <v>2422.942</v>
      </c>
      <c r="U84" s="12" t="n">
        <v>2532.299</v>
      </c>
      <c r="V84" s="12" t="n">
        <v>2418.246</v>
      </c>
      <c r="W84" s="12" t="n">
        <v>2507.927</v>
      </c>
      <c r="X84" s="12" t="n">
        <v>2638.266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T85" s="17">
        <f>IF(OR(T84="",S84=""),"",IF(S84&lt;=0,"",IFERROR(T84/S84-1,"")))</f>
        <v/>
      </c>
      <c r="U85" s="17">
        <f>IF(OR(U84="",T84=""),"",IF(T84&lt;=0,"",IFERROR(U84/T84-1,"")))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Cost Of Sales</t>
        </is>
      </c>
      <c r="C86" s="22" t="n">
        <v>1830.059</v>
      </c>
      <c r="D86" s="22" t="n">
        <v>2152.201</v>
      </c>
      <c r="E86" s="22" t="n">
        <v>1849.126</v>
      </c>
      <c r="F86" s="22" t="n">
        <v>1801.875</v>
      </c>
      <c r="G86" s="22" t="n">
        <v>1781.475</v>
      </c>
      <c r="H86" s="22" t="n">
        <v>2090.998</v>
      </c>
      <c r="I86" s="22" t="n">
        <v>1858.051</v>
      </c>
      <c r="J86" s="22" t="n">
        <v>1832.827</v>
      </c>
      <c r="K86" s="22" t="n">
        <v>1847.847</v>
      </c>
      <c r="L86" s="22" t="n">
        <v>2116.196</v>
      </c>
      <c r="M86" s="22" t="n">
        <v>1845.059</v>
      </c>
      <c r="N86" s="22" t="n">
        <v>1925.207</v>
      </c>
      <c r="T86" s="22" t="n">
        <v>1770.904</v>
      </c>
      <c r="U86" s="22" t="n">
        <v>1904.036</v>
      </c>
      <c r="V86" s="22" t="n">
        <v>1801.875</v>
      </c>
      <c r="W86" s="22" t="n">
        <v>1832.827</v>
      </c>
      <c r="X86" s="22" t="n">
        <v>1925.207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T87" s="17">
        <f>IF(OR(T86="",S86=""),"",IF(T86*S86&lt;=0,"",IFERROR(T86/S86-1,"")))</f>
        <v/>
      </c>
      <c r="U87" s="17">
        <f>IF(OR(U86="",T86=""),"",IF(U86*T86&lt;=0,"",IFERROR(U86/T86-1,"")))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C88" s="12" t="n">
        <v>609.088</v>
      </c>
      <c r="D88" s="12" t="n">
        <v>692.405</v>
      </c>
      <c r="E88" s="12" t="n">
        <v>611.354</v>
      </c>
      <c r="F88" s="12" t="n">
        <v>616.371</v>
      </c>
      <c r="G88" s="12" t="n">
        <v>635.018</v>
      </c>
      <c r="H88" s="12" t="n">
        <v>766.293</v>
      </c>
      <c r="I88" s="12" t="n">
        <v>657.254</v>
      </c>
      <c r="J88" s="12" t="n">
        <v>675.099</v>
      </c>
      <c r="K88" s="12" t="n">
        <v>645.842</v>
      </c>
      <c r="L88" s="12" t="n">
        <v>749.747</v>
      </c>
      <c r="M88" s="12" t="n">
        <v>663.694</v>
      </c>
      <c r="N88" s="12" t="n">
        <v>713.0599999999999</v>
      </c>
      <c r="T88" s="12" t="n">
        <v>652.038</v>
      </c>
      <c r="U88" s="12" t="n">
        <v>628.263</v>
      </c>
      <c r="V88" s="12" t="n">
        <v>616.371</v>
      </c>
      <c r="W88" s="12" t="n">
        <v>675.099</v>
      </c>
      <c r="X88" s="12" t="n">
        <v>713.0599999999999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T89" s="17">
        <f>IF(OR(T88="",S88=""),"",IF(S88&lt;=0,"",IFERROR(T88/S88-1,"")))</f>
        <v/>
      </c>
      <c r="U89" s="17">
        <f>IF(OR(U88="",T88=""),"",IF(T88&lt;=0,"",IFERROR(U88/T88-1,"")))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 합계</t>
        </is>
      </c>
      <c r="C90" s="22" t="n">
        <v>534.567</v>
      </c>
      <c r="D90" s="22" t="n">
        <v>539.487</v>
      </c>
      <c r="E90" s="22" t="n">
        <v>552.98</v>
      </c>
      <c r="F90" s="22" t="n">
        <v>568.682</v>
      </c>
      <c r="G90" s="22" t="n">
        <v>543.737</v>
      </c>
      <c r="H90" s="22" t="n">
        <v>543.63</v>
      </c>
      <c r="I90" s="22" t="n">
        <v>542.341</v>
      </c>
      <c r="J90" s="22" t="n">
        <v>588.479</v>
      </c>
      <c r="K90" s="22" t="n">
        <v>557.728</v>
      </c>
      <c r="L90" s="22" t="n">
        <v>559.316</v>
      </c>
      <c r="M90" s="22" t="n">
        <v>557.6319999999999</v>
      </c>
      <c r="N90" s="22" t="n">
        <v>605.8339999999999</v>
      </c>
      <c r="T90" s="22" t="n">
        <v>582.768</v>
      </c>
      <c r="U90" s="22" t="n">
        <v>585.271</v>
      </c>
      <c r="V90" s="22" t="n">
        <v>568.682</v>
      </c>
      <c r="W90" s="22" t="n">
        <v>588.479</v>
      </c>
      <c r="X90" s="22" t="n">
        <v>605.8339999999999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T91" s="17">
        <f>IF(OR(T90="",S90=""),"",IF(T90*S90&lt;=0,"",IFERROR(T90/S90-1,"")))</f>
        <v/>
      </c>
      <c r="U91" s="17">
        <f>IF(OR(U90="",T90=""),"",IF(U90*T90&lt;=0,"",IFERROR(U90/T90-1,"")))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C92" s="12" t="n">
        <v>74.52</v>
      </c>
      <c r="D92" s="12" t="n">
        <v>152.918</v>
      </c>
      <c r="E92" s="12" t="n">
        <v>58.375</v>
      </c>
      <c r="F92" s="12" t="n">
        <v>47.688</v>
      </c>
      <c r="G92" s="12" t="n">
        <v>91.28100000000001</v>
      </c>
      <c r="H92" s="12" t="n">
        <v>222.662</v>
      </c>
      <c r="I92" s="12" t="n">
        <v>114.914</v>
      </c>
      <c r="J92" s="12" t="n">
        <v>86.619</v>
      </c>
      <c r="K92" s="12" t="n">
        <v>88.113</v>
      </c>
      <c r="L92" s="12" t="n">
        <v>190.432</v>
      </c>
      <c r="M92" s="12" t="n">
        <v>106.061</v>
      </c>
      <c r="N92" s="12" t="n">
        <v>107.226</v>
      </c>
      <c r="T92" s="12" t="n">
        <v>69.27</v>
      </c>
      <c r="U92" s="12" t="n">
        <v>42.993</v>
      </c>
      <c r="V92" s="12" t="n">
        <v>47.688</v>
      </c>
      <c r="W92" s="12" t="n">
        <v>86.619</v>
      </c>
      <c r="X92" s="12" t="n">
        <v>107.226</v>
      </c>
    </row>
    <row r="93">
      <c r="A93" s="45" t="inlineStr">
        <is>
          <t>OPM</t>
        </is>
      </c>
      <c r="B93" s="3" t="inlineStr">
        <is>
          <t>영업이익 ÷ 매출</t>
        </is>
      </c>
      <c r="C93" s="17">
        <f>IF(OR(C92="",C84=""),"",IF(C84&lt;=0,"",IFERROR(C92/C84,"")))</f>
        <v/>
      </c>
      <c r="D93" s="17">
        <f>IF(OR(D92="",D84=""),"",IF(D84&lt;=0,"",IFERROR(D92/D84,"")))</f>
        <v/>
      </c>
      <c r="E93" s="17">
        <f>IF(OR(E92="",E84=""),"",IF(E84&lt;=0,"",IFERROR(E92/E84,"")))</f>
        <v/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T93" s="17">
        <f>IF(OR(T92="",T84=""),"",IF(T84&lt;=0,"",IFERROR(T92/T84,"")))</f>
        <v/>
      </c>
      <c r="U93" s="17">
        <f>IF(OR(U92="",U84=""),"",IF(U84&lt;=0,"",IFERROR(U92/U84,"")))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T94" s="17">
        <f>IF(OR(T92="",S92=""),"",IF(S92&lt;=0,"",IFERROR(T92/S92-1,"")))</f>
        <v/>
      </c>
      <c r="U94" s="17">
        <f>IF(OR(U92="",T92=""),"",IF(T92&lt;=0,"",IFERROR(U92/T92-1,"")))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이자수익</t>
        </is>
      </c>
      <c r="C95" s="22" t="n">
        <v>5.625</v>
      </c>
      <c r="D95" s="22" t="n">
        <v>5.982</v>
      </c>
      <c r="E95" s="22" t="n">
        <v>5.807</v>
      </c>
      <c r="F95" s="22" t="n">
        <v>-16.3</v>
      </c>
      <c r="G95" s="22" t="n">
        <v>7.28</v>
      </c>
      <c r="H95" s="22" t="n">
        <v>8.779999999999999</v>
      </c>
      <c r="I95" s="22" t="n">
        <v>8.333</v>
      </c>
      <c r="J95" s="22" t="n">
        <v>-16.938</v>
      </c>
      <c r="K95" s="22" t="n">
        <v>11.585</v>
      </c>
      <c r="L95" s="22" t="n">
        <v>11.802</v>
      </c>
      <c r="M95" s="22" t="n">
        <v>12.745</v>
      </c>
      <c r="N95" s="22" t="n">
        <v>-18.645</v>
      </c>
      <c r="T95" s="22" t="n">
        <v>-10.787</v>
      </c>
      <c r="U95" s="22" t="n">
        <v>-12.394</v>
      </c>
      <c r="V95" s="22" t="n">
        <v>-16.3</v>
      </c>
      <c r="W95" s="22" t="n">
        <v>-16.938</v>
      </c>
      <c r="X95" s="22" t="n">
        <v>-18.645</v>
      </c>
    </row>
    <row r="96">
      <c r="A96" s="20" t="inlineStr">
        <is>
          <t>배당금수익</t>
        </is>
      </c>
      <c r="E96" s="22" t="n">
        <v>0</v>
      </c>
      <c r="F96" s="22" t="n">
        <v>3.297</v>
      </c>
      <c r="G96" s="22" t="n">
        <v>0</v>
      </c>
      <c r="H96" s="22" t="n">
        <v>3.403</v>
      </c>
      <c r="I96" s="22" t="n">
        <v>0</v>
      </c>
      <c r="J96" s="22" t="n">
        <v>4.88</v>
      </c>
      <c r="K96" s="22" t="n">
        <v>0.016</v>
      </c>
      <c r="L96" s="22" t="n">
        <v>4.93</v>
      </c>
      <c r="M96" s="22" t="n">
        <v>0</v>
      </c>
      <c r="N96" s="22" t="n">
        <v>6.097</v>
      </c>
      <c r="T96" s="22" t="n">
        <v>3.124</v>
      </c>
      <c r="U96" s="22" t="n">
        <v>2.966</v>
      </c>
      <c r="V96" s="22" t="n">
        <v>3.297</v>
      </c>
      <c r="W96" s="22" t="n">
        <v>4.88</v>
      </c>
      <c r="X96" s="22" t="n">
        <v>6.097</v>
      </c>
    </row>
    <row r="97">
      <c r="A97" s="20" t="inlineStr">
        <is>
          <t>매입할인</t>
        </is>
      </c>
      <c r="C97" s="22" t="n">
        <v>1.523</v>
      </c>
      <c r="D97" s="22" t="n">
        <v>1.64</v>
      </c>
      <c r="E97" s="22" t="n">
        <v>1.575</v>
      </c>
      <c r="F97" s="22" t="n">
        <v>1.251</v>
      </c>
      <c r="G97" s="22" t="n">
        <v>1.335</v>
      </c>
      <c r="H97" s="22" t="n">
        <v>1.642</v>
      </c>
      <c r="I97" s="22" t="n">
        <v>1.699</v>
      </c>
      <c r="J97" s="22" t="n">
        <v>1.529</v>
      </c>
      <c r="K97" s="22" t="n">
        <v>1.794</v>
      </c>
      <c r="L97" s="22" t="n">
        <v>1.942</v>
      </c>
      <c r="M97" s="22" t="n">
        <v>1.963</v>
      </c>
      <c r="N97" s="22" t="n">
        <v>1.962</v>
      </c>
      <c r="T97" s="22" t="n">
        <v>1.337</v>
      </c>
      <c r="U97" s="22" t="n">
        <v>1.363</v>
      </c>
      <c r="V97" s="22" t="n">
        <v>1.251</v>
      </c>
      <c r="W97" s="22" t="n">
        <v>1.529</v>
      </c>
      <c r="X97" s="22" t="n">
        <v>1.962</v>
      </c>
    </row>
    <row r="98">
      <c r="A98" s="20" t="inlineStr">
        <is>
          <t>외환차익</t>
        </is>
      </c>
      <c r="C98" s="22" t="n">
        <v>1.877</v>
      </c>
      <c r="D98" s="22" t="n">
        <v>-1.877</v>
      </c>
      <c r="E98" s="22" t="n">
        <v>2.29</v>
      </c>
      <c r="F98" s="22" t="n">
        <v>2.996</v>
      </c>
      <c r="G98" s="22" t="n">
        <v>0</v>
      </c>
      <c r="H98" s="22" t="n">
        <v>0</v>
      </c>
      <c r="I98" s="22" t="n">
        <v>0</v>
      </c>
      <c r="J98" s="22" t="n">
        <v>0</v>
      </c>
      <c r="K98" s="22" t="n">
        <v>1.241</v>
      </c>
      <c r="L98" s="22" t="n">
        <v>2.397</v>
      </c>
      <c r="M98" s="22" t="n">
        <v>1.076</v>
      </c>
      <c r="N98" s="22" t="n">
        <v>0.8149999999999999</v>
      </c>
      <c r="T98" s="22" t="n">
        <v>4.098</v>
      </c>
      <c r="U98" s="22" t="n">
        <v>4.457</v>
      </c>
      <c r="V98" s="22" t="n">
        <v>2.996</v>
      </c>
      <c r="W98" s="22" t="n">
        <v>0</v>
      </c>
      <c r="X98" s="22" t="n">
        <v>0.8149999999999999</v>
      </c>
    </row>
    <row r="99">
      <c r="A99" s="20" t="inlineStr">
        <is>
          <t>대손충당금 환입</t>
        </is>
      </c>
      <c r="C99" s="22" t="n">
        <v>0</v>
      </c>
      <c r="G99" s="22" t="n">
        <v>3.132</v>
      </c>
      <c r="K99" s="22" t="n">
        <v>0</v>
      </c>
    </row>
    <row r="100">
      <c r="A100" s="20" t="inlineStr">
        <is>
          <t>기타</t>
        </is>
      </c>
      <c r="C100" s="22" t="n">
        <v>0.907</v>
      </c>
      <c r="D100" s="22" t="n">
        <v>1.511</v>
      </c>
      <c r="E100" s="22" t="n">
        <v>-0.416</v>
      </c>
      <c r="G100" s="22" t="n">
        <v>0.295</v>
      </c>
      <c r="H100" s="22" t="n">
        <v>1.618</v>
      </c>
      <c r="I100" s="22" t="n">
        <v>0.699</v>
      </c>
      <c r="K100" s="22" t="n">
        <v>2.105</v>
      </c>
      <c r="L100" s="22" t="n">
        <v>1.148</v>
      </c>
      <c r="M100" s="22" t="n">
        <v>0.597</v>
      </c>
    </row>
    <row r="101">
      <c r="A101" s="20" t="inlineStr">
        <is>
          <t>영업외수익 합계</t>
        </is>
      </c>
      <c r="C101" s="22" t="n">
        <v>9.933999999999999</v>
      </c>
      <c r="D101" s="22" t="n">
        <v>10.499</v>
      </c>
      <c r="E101" s="22" t="n">
        <v>9.257</v>
      </c>
      <c r="F101" s="22" t="n">
        <v>14.021</v>
      </c>
      <c r="G101" s="22" t="n">
        <v>12.043</v>
      </c>
      <c r="H101" s="22" t="n">
        <v>12.311</v>
      </c>
      <c r="I101" s="22" t="n">
        <v>10.732</v>
      </c>
      <c r="J101" s="22" t="n">
        <v>19.56</v>
      </c>
      <c r="K101" s="22" t="n">
        <v>16.743</v>
      </c>
      <c r="L101" s="22" t="n">
        <v>22.22</v>
      </c>
      <c r="M101" s="22" t="n">
        <v>16.38</v>
      </c>
      <c r="N101" s="22" t="n">
        <v>24.659</v>
      </c>
      <c r="T101" s="22" t="n">
        <v>12.618</v>
      </c>
      <c r="U101" s="22" t="n">
        <v>12.056</v>
      </c>
      <c r="V101" s="22" t="n">
        <v>14.021</v>
      </c>
      <c r="W101" s="22" t="n">
        <v>19.56</v>
      </c>
      <c r="X101" s="22" t="n">
        <v>24.659</v>
      </c>
    </row>
    <row r="102">
      <c r="A102" s="45" t="inlineStr">
        <is>
          <t>YoY</t>
        </is>
      </c>
      <c r="B102" s="3" t="inlineStr">
        <is>
          <t>전년 같은 분기·전년 대비</t>
        </is>
      </c>
      <c r="G102" s="17">
        <f>IF(OR(G101="",C101=""),"",IF(G101*C101&lt;=0,"",IFERROR(G101/C101-1,"")))</f>
        <v/>
      </c>
      <c r="H102" s="17">
        <f>IF(OR(H101="",D101=""),"",IF(H101*D101&lt;=0,"",IFERROR(H101/D101-1,"")))</f>
        <v/>
      </c>
      <c r="I102" s="17">
        <f>IF(OR(I101="",E101=""),"",IF(I101*E101&lt;=0,"",IFERROR(I101/E101-1,"")))</f>
        <v/>
      </c>
      <c r="J102" s="17">
        <f>IF(OR(J101="",F101=""),"",IF(J101*F101&lt;=0,"",IFERROR(J101/F101-1,"")))</f>
        <v/>
      </c>
      <c r="K102" s="17">
        <f>IF(OR(K101="",G101=""),"",IF(K101*G101&lt;=0,"",IFERROR(K101/G101-1,"")))</f>
        <v/>
      </c>
      <c r="L102" s="17">
        <f>IF(OR(L101="",H101=""),"",IF(L101*H101&lt;=0,"",IFERROR(L101/H101-1,"")))</f>
        <v/>
      </c>
      <c r="M102" s="17">
        <f>IF(OR(M101="",I101=""),"",IF(M101*I101&lt;=0,"",IFERROR(M101/I101-1,"")))</f>
        <v/>
      </c>
      <c r="N102" s="17">
        <f>IF(OR(N101="",J101=""),"",IF(N101*J101&lt;=0,"",IFERROR(N101/J101-1,"")))</f>
        <v/>
      </c>
      <c r="T102" s="17">
        <f>IF(OR(T101="",S101=""),"",IF(T101*S101&lt;=0,"",IFERROR(T101/S101-1,"")))</f>
        <v/>
      </c>
      <c r="U102" s="17">
        <f>IF(OR(U101="",T101=""),"",IF(U101*T101&lt;=0,"",IFERROR(U101/T101-1,"")))</f>
        <v/>
      </c>
      <c r="V102" s="17">
        <f>IF(OR(V101="",U101=""),"",IF(V101*U101&lt;=0,"",IFERROR(V101/U101-1,"")))</f>
        <v/>
      </c>
      <c r="W102" s="17">
        <f>IF(OR(W101="",V101=""),"",IF(W101*V101&lt;=0,"",IFERROR(W101/V101-1,"")))</f>
        <v/>
      </c>
      <c r="X102" s="17">
        <f>IF(OR(X101="",W101=""),"",IF(X101*W101&lt;=0,"",IFERROR(X101/W101-1,"")))</f>
        <v/>
      </c>
    </row>
    <row r="103">
      <c r="A103" s="20" t="inlineStr">
        <is>
          <t>투자유가증권 매각손실</t>
        </is>
      </c>
      <c r="C103" s="22" t="n">
        <v>0</v>
      </c>
      <c r="D103" s="22" t="n">
        <v>0</v>
      </c>
      <c r="E103" s="22" t="n">
        <v>0</v>
      </c>
      <c r="F103" s="22" t="n">
        <v>0</v>
      </c>
      <c r="T103" s="22" t="n">
        <v>0</v>
      </c>
      <c r="U103" s="22" t="n">
        <v>0</v>
      </c>
      <c r="V103" s="22" t="n">
        <v>0</v>
      </c>
    </row>
    <row r="104">
      <c r="A104" s="20" t="inlineStr">
        <is>
          <t>외환차손</t>
        </is>
      </c>
      <c r="C104" s="22" t="n">
        <v>0</v>
      </c>
      <c r="D104" s="22" t="n">
        <v>0.922</v>
      </c>
      <c r="E104" s="22" t="n">
        <v>-0.922</v>
      </c>
      <c r="F104" s="22" t="n">
        <v>0</v>
      </c>
      <c r="G104" s="22" t="n">
        <v>5.081</v>
      </c>
      <c r="H104" s="22" t="n">
        <v>-4.831</v>
      </c>
      <c r="I104" s="22" t="n">
        <v>2.595</v>
      </c>
      <c r="J104" s="22" t="n">
        <v>1.561</v>
      </c>
      <c r="K104" s="22" t="n">
        <v>0</v>
      </c>
      <c r="L104" s="22" t="n">
        <v>0</v>
      </c>
      <c r="M104" s="22" t="n">
        <v>0</v>
      </c>
      <c r="N104" s="22" t="n">
        <v>0</v>
      </c>
      <c r="V104" s="22" t="n">
        <v>0</v>
      </c>
      <c r="W104" s="22" t="n">
        <v>1.561</v>
      </c>
      <c r="X104" s="22" t="n">
        <v>0</v>
      </c>
    </row>
    <row r="105">
      <c r="A105" s="20" t="inlineStr">
        <is>
          <t>대손충당금 전입</t>
        </is>
      </c>
      <c r="G105" s="22" t="n">
        <v>0</v>
      </c>
      <c r="H105" s="22" t="n">
        <v>0</v>
      </c>
      <c r="I105" s="22" t="n">
        <v>0</v>
      </c>
      <c r="J105" s="22" t="n">
        <v>0</v>
      </c>
      <c r="K105" s="22" t="n">
        <v>0.509</v>
      </c>
      <c r="L105" s="22" t="n">
        <v>0.21</v>
      </c>
      <c r="M105" s="22" t="n">
        <v>2.566</v>
      </c>
      <c r="N105" s="22" t="n">
        <v>-1.134</v>
      </c>
      <c r="T105" s="22" t="n">
        <v>1.4</v>
      </c>
      <c r="U105" s="22" t="n">
        <v>0</v>
      </c>
      <c r="W105" s="22" t="n">
        <v>0</v>
      </c>
      <c r="X105" s="22" t="n">
        <v>-1.134</v>
      </c>
    </row>
    <row r="106">
      <c r="A106" s="20" t="inlineStr">
        <is>
          <t>잡손실</t>
        </is>
      </c>
      <c r="C106" s="22" t="n">
        <v>0.508</v>
      </c>
      <c r="D106" s="22" t="n">
        <v>0.845</v>
      </c>
      <c r="E106" s="22" t="n">
        <v>0.8179999999999999</v>
      </c>
      <c r="F106" s="22" t="n">
        <v>0.726</v>
      </c>
      <c r="G106" s="22" t="n">
        <v>0.833</v>
      </c>
      <c r="H106" s="22" t="n">
        <v>1.009</v>
      </c>
      <c r="I106" s="22" t="n">
        <v>1.397</v>
      </c>
      <c r="J106" s="22" t="n">
        <v>1.203</v>
      </c>
      <c r="K106" s="22" t="n">
        <v>1.129</v>
      </c>
      <c r="L106" s="22" t="n">
        <v>1.118</v>
      </c>
      <c r="M106" s="22" t="n">
        <v>0.574</v>
      </c>
      <c r="N106" s="22" t="n">
        <v>0.005</v>
      </c>
      <c r="U106" s="22" t="n">
        <v>0</v>
      </c>
      <c r="V106" s="22" t="n">
        <v>0.726</v>
      </c>
      <c r="W106" s="22" t="n">
        <v>1.203</v>
      </c>
      <c r="X106" s="22" t="n">
        <v>0.005</v>
      </c>
    </row>
    <row r="107">
      <c r="A107" s="20" t="inlineStr">
        <is>
          <t>영업외비용 합계</t>
        </is>
      </c>
      <c r="C107" s="22" t="n">
        <v>0.508</v>
      </c>
      <c r="D107" s="22" t="n">
        <v>1.767</v>
      </c>
      <c r="E107" s="22" t="n">
        <v>-0.104</v>
      </c>
      <c r="F107" s="22" t="n">
        <v>3.111</v>
      </c>
      <c r="G107" s="22" t="n">
        <v>5.915</v>
      </c>
      <c r="H107" s="22" t="n">
        <v>-3.822</v>
      </c>
      <c r="I107" s="22" t="n">
        <v>3.992</v>
      </c>
      <c r="J107" s="22" t="n">
        <v>2.763</v>
      </c>
      <c r="K107" s="22" t="n">
        <v>1.639</v>
      </c>
      <c r="L107" s="22" t="n">
        <v>1.327</v>
      </c>
      <c r="M107" s="22" t="n">
        <v>3.141</v>
      </c>
      <c r="N107" s="22" t="n">
        <v>-1.129</v>
      </c>
      <c r="T107" s="22" t="n">
        <v>1.4</v>
      </c>
      <c r="U107" s="22" t="n">
        <v>0</v>
      </c>
      <c r="V107" s="22" t="n">
        <v>3.111</v>
      </c>
      <c r="W107" s="22" t="n">
        <v>2.763</v>
      </c>
      <c r="X107" s="22" t="n">
        <v>-1.129</v>
      </c>
    </row>
    <row r="108">
      <c r="A108" s="45" t="inlineStr">
        <is>
          <t>YoY</t>
        </is>
      </c>
      <c r="B108" s="3" t="inlineStr">
        <is>
          <t>전년 같은 분기·전년 대비</t>
        </is>
      </c>
      <c r="G108" s="17">
        <f>IF(OR(G107="",C107=""),"",IF(G107*C107&lt;=0,"",IFERROR(G107/C107-1,"")))</f>
        <v/>
      </c>
      <c r="H108" s="17">
        <f>IF(OR(H107="",D107=""),"",IF(H107*D107&lt;=0,"",IFERROR(H107/D107-1,"")))</f>
        <v/>
      </c>
      <c r="I108" s="17">
        <f>IF(OR(I107="",E107=""),"",IF(I107*E107&lt;=0,"",IFERROR(I107/E107-1,"")))</f>
        <v/>
      </c>
      <c r="J108" s="17">
        <f>IF(OR(J107="",F107=""),"",IF(J107*F107&lt;=0,"",IFERROR(J107/F107-1,"")))</f>
        <v/>
      </c>
      <c r="K108" s="17">
        <f>IF(OR(K107="",G107=""),"",IF(K107*G107&lt;=0,"",IFERROR(K107/G107-1,"")))</f>
        <v/>
      </c>
      <c r="L108" s="17">
        <f>IF(OR(L107="",H107=""),"",IF(L107*H107&lt;=0,"",IFERROR(L107/H107-1,"")))</f>
        <v/>
      </c>
      <c r="M108" s="17">
        <f>IF(OR(M107="",I107=""),"",IF(M107*I107&lt;=0,"",IFERROR(M107/I107-1,"")))</f>
        <v/>
      </c>
      <c r="N108" s="17">
        <f>IF(OR(N107="",J107=""),"",IF(N107*J107&lt;=0,"",IFERROR(N107/J107-1,"")))</f>
        <v/>
      </c>
      <c r="T108" s="17">
        <f>IF(OR(T107="",S107=""),"",IF(T107*S107&lt;=0,"",IFERROR(T107/S107-1,"")))</f>
        <v/>
      </c>
      <c r="U108" s="17">
        <f>IF(OR(U107="",T107=""),"",IF(U107*T107&lt;=0,"",IFERROR(U107/T107-1,"")))</f>
        <v/>
      </c>
      <c r="V108" s="17">
        <f>IF(OR(V107="",U107=""),"",IF(V107*U107&lt;=0,"",IFERROR(V107/U107-1,"")))</f>
        <v/>
      </c>
      <c r="W108" s="17">
        <f>IF(OR(W107="",V107=""),"",IF(W107*V107&lt;=0,"",IFERROR(W107/V107-1,"")))</f>
        <v/>
      </c>
      <c r="X108" s="17">
        <f>IF(OR(X107="",W107=""),"",IF(X107*W107&lt;=0,"",IFERROR(X107/W107-1,"")))</f>
        <v/>
      </c>
    </row>
    <row r="109">
      <c r="A109" s="9" t="inlineStr">
        <is>
          <t>경상이익</t>
        </is>
      </c>
      <c r="C109" s="12" t="n">
        <v>83.946</v>
      </c>
      <c r="D109" s="12" t="n">
        <v>161.65</v>
      </c>
      <c r="E109" s="12" t="n">
        <v>67.736</v>
      </c>
      <c r="F109" s="12" t="n">
        <v>58.598</v>
      </c>
      <c r="G109" s="12" t="n">
        <v>97.41</v>
      </c>
      <c r="H109" s="12" t="n">
        <v>238.794</v>
      </c>
      <c r="I109" s="12" t="n">
        <v>121.654</v>
      </c>
      <c r="J109" s="12" t="n">
        <v>103.416</v>
      </c>
      <c r="K109" s="12" t="n">
        <v>103.218</v>
      </c>
      <c r="L109" s="12" t="n">
        <v>211.324</v>
      </c>
      <c r="M109" s="12" t="n">
        <v>119.3</v>
      </c>
      <c r="N109" s="12" t="n">
        <v>133.015</v>
      </c>
      <c r="T109" s="12" t="n">
        <v>80.488</v>
      </c>
      <c r="U109" s="12" t="n">
        <v>55.049</v>
      </c>
      <c r="V109" s="12" t="n">
        <v>58.598</v>
      </c>
      <c r="W109" s="12" t="n">
        <v>103.416</v>
      </c>
      <c r="X109" s="12" t="n">
        <v>133.015</v>
      </c>
    </row>
    <row r="110">
      <c r="A110" s="45" t="inlineStr">
        <is>
          <t>YoY</t>
        </is>
      </c>
      <c r="B110" s="3" t="inlineStr">
        <is>
          <t>전년 같은 분기·전년 대비</t>
        </is>
      </c>
      <c r="G110" s="17">
        <f>IF(OR(G109="",C109=""),"",IF(C109&lt;=0,"",IFERROR(G109/C109-1,"")))</f>
        <v/>
      </c>
      <c r="H110" s="17">
        <f>IF(OR(H109="",D109=""),"",IF(D109&lt;=0,"",IFERROR(H109/D109-1,"")))</f>
        <v/>
      </c>
      <c r="I110" s="17">
        <f>IF(OR(I109="",E109=""),"",IF(E109&lt;=0,"",IFERROR(I109/E109-1,"")))</f>
        <v/>
      </c>
      <c r="J110" s="17">
        <f>IF(OR(J109="",F109=""),"",IF(F109&lt;=0,"",IFERROR(J109/F109-1,"")))</f>
        <v/>
      </c>
      <c r="K110" s="17">
        <f>IF(OR(K109="",G109=""),"",IF(G109&lt;=0,"",IFERROR(K109/G109-1,"")))</f>
        <v/>
      </c>
      <c r="L110" s="17">
        <f>IF(OR(L109="",H109=""),"",IF(H109&lt;=0,"",IFERROR(L109/H109-1,"")))</f>
        <v/>
      </c>
      <c r="M110" s="17">
        <f>IF(OR(M109="",I109=""),"",IF(I109&lt;=0,"",IFERROR(M109/I109-1,"")))</f>
        <v/>
      </c>
      <c r="N110" s="17">
        <f>IF(OR(N109="",J109=""),"",IF(J109&lt;=0,"",IFERROR(N109/J109-1,"")))</f>
        <v/>
      </c>
      <c r="T110" s="17">
        <f>IF(OR(T109="",S109=""),"",IF(S109&lt;=0,"",IFERROR(T109/S109-1,"")))</f>
        <v/>
      </c>
      <c r="U110" s="17">
        <f>IF(OR(U109="",T109=""),"",IF(T109&lt;=0,"",IFERROR(U109/T109-1,"")))</f>
        <v/>
      </c>
      <c r="V110" s="17">
        <f>IF(OR(V109="",U109=""),"",IF(U109&lt;=0,"",IFERROR(V109/U109-1,"")))</f>
        <v/>
      </c>
      <c r="W110" s="17">
        <f>IF(OR(W109="",V109=""),"",IF(V109&lt;=0,"",IFERROR(W109/V109-1,"")))</f>
        <v/>
      </c>
      <c r="X110" s="17">
        <f>IF(OR(X109="",W109=""),"",IF(W109&lt;=0,"",IFERROR(X109/W109-1,"")))</f>
        <v/>
      </c>
    </row>
    <row r="111">
      <c r="A111" s="20" t="inlineStr">
        <is>
          <t>특별이익</t>
        </is>
      </c>
      <c r="C111" s="22" t="n">
        <v>0</v>
      </c>
      <c r="D111" s="22" t="n">
        <v>0</v>
      </c>
      <c r="E111" s="22" t="n">
        <v>0</v>
      </c>
      <c r="F111" s="22" t="n">
        <v>0</v>
      </c>
      <c r="G111" s="22" t="n">
        <v>0</v>
      </c>
      <c r="H111" s="22" t="n">
        <v>0</v>
      </c>
      <c r="I111" s="22" t="n">
        <v>0</v>
      </c>
      <c r="J111" s="22" t="n">
        <v>0</v>
      </c>
      <c r="K111" s="22" t="n">
        <v>0</v>
      </c>
      <c r="L111" s="22" t="n">
        <v>0</v>
      </c>
      <c r="M111" s="22" t="n">
        <v>0</v>
      </c>
      <c r="N111" s="22" t="n">
        <v>0</v>
      </c>
      <c r="T111" s="22" t="n">
        <v>0</v>
      </c>
      <c r="U111" s="22" t="n">
        <v>0</v>
      </c>
      <c r="V111" s="22" t="n">
        <v>0</v>
      </c>
      <c r="W111" s="22" t="n">
        <v>0</v>
      </c>
      <c r="X111" s="22" t="n">
        <v>0</v>
      </c>
    </row>
    <row r="112">
      <c r="A112" s="45" t="inlineStr">
        <is>
          <t>YoY</t>
        </is>
      </c>
      <c r="B112" s="3" t="inlineStr">
        <is>
          <t>전년 같은 분기·전년 대비</t>
        </is>
      </c>
      <c r="G112" s="17">
        <f>IF(OR(G111="",C111=""),"",IF(G111*C111&lt;=0,"",IFERROR(G111/C111-1,"")))</f>
        <v/>
      </c>
      <c r="H112" s="17">
        <f>IF(OR(H111="",D111=""),"",IF(H111*D111&lt;=0,"",IFERROR(H111/D111-1,"")))</f>
        <v/>
      </c>
      <c r="I112" s="17">
        <f>IF(OR(I111="",E111=""),"",IF(I111*E111&lt;=0,"",IFERROR(I111/E111-1,"")))</f>
        <v/>
      </c>
      <c r="J112" s="17">
        <f>IF(OR(J111="",F111=""),"",IF(J111*F111&lt;=0,"",IFERROR(J111/F111-1,"")))</f>
        <v/>
      </c>
      <c r="K112" s="17">
        <f>IF(OR(K111="",G111=""),"",IF(K111*G111&lt;=0,"",IFERROR(K111/G111-1,"")))</f>
        <v/>
      </c>
      <c r="L112" s="17">
        <f>IF(OR(L111="",H111=""),"",IF(L111*H111&lt;=0,"",IFERROR(L111/H111-1,"")))</f>
        <v/>
      </c>
      <c r="M112" s="17">
        <f>IF(OR(M111="",I111=""),"",IF(M111*I111&lt;=0,"",IFERROR(M111/I111-1,"")))</f>
        <v/>
      </c>
      <c r="N112" s="17">
        <f>IF(OR(N111="",J111=""),"",IF(N111*J111&lt;=0,"",IFERROR(N111/J111-1,"")))</f>
        <v/>
      </c>
      <c r="T112" s="17">
        <f>IF(OR(T111="",S111=""),"",IF(T111*S111&lt;=0,"",IFERROR(T111/S111-1,"")))</f>
        <v/>
      </c>
      <c r="U112" s="17">
        <f>IF(OR(U111="",T111=""),"",IF(U111*T111&lt;=0,"",IFERROR(U111/T111-1,"")))</f>
        <v/>
      </c>
      <c r="V112" s="17">
        <f>IF(OR(V111="",U111=""),"",IF(V111*U111&lt;=0,"",IFERROR(V111/U111-1,"")))</f>
        <v/>
      </c>
      <c r="W112" s="17">
        <f>IF(OR(W111="",V111=""),"",IF(W111*V111&lt;=0,"",IFERROR(W111/V111-1,"")))</f>
        <v/>
      </c>
      <c r="X112" s="17">
        <f>IF(OR(X111="",W111=""),"",IF(X111*W111&lt;=0,"",IFERROR(X111/W111-1,"")))</f>
        <v/>
      </c>
    </row>
    <row r="113">
      <c r="A113" s="20" t="inlineStr">
        <is>
          <t>고정자산 제각손실</t>
        </is>
      </c>
      <c r="E113" s="22" t="n">
        <v>0</v>
      </c>
      <c r="F113" s="22" t="n">
        <v>0</v>
      </c>
      <c r="I113" s="22" t="n">
        <v>0</v>
      </c>
      <c r="J113" s="22" t="n">
        <v>0</v>
      </c>
      <c r="M113" s="22" t="n">
        <v>0</v>
      </c>
      <c r="N113" s="22" t="n">
        <v>0</v>
      </c>
      <c r="T113" s="22" t="n">
        <v>0</v>
      </c>
      <c r="U113" s="22" t="n">
        <v>0</v>
      </c>
      <c r="V113" s="22" t="n">
        <v>0</v>
      </c>
      <c r="W113" s="22" t="n">
        <v>0</v>
      </c>
      <c r="X113" s="22" t="n">
        <v>0</v>
      </c>
    </row>
    <row r="114">
      <c r="A114" s="20" t="inlineStr">
        <is>
          <t>Company Funeral Expenses EL</t>
        </is>
      </c>
      <c r="E114" s="22" t="n">
        <v>0</v>
      </c>
      <c r="F114" s="22" t="n">
        <v>0</v>
      </c>
      <c r="T114" s="22" t="n">
        <v>0</v>
      </c>
      <c r="U114" s="22" t="n">
        <v>0</v>
      </c>
      <c r="V114" s="22" t="n">
        <v>0</v>
      </c>
    </row>
    <row r="115">
      <c r="A115" s="20" t="inlineStr">
        <is>
          <t>특별손실 합계</t>
        </is>
      </c>
      <c r="C115" s="22" t="n">
        <v>0</v>
      </c>
      <c r="D115" s="22" t="n">
        <v>0</v>
      </c>
      <c r="E115" s="22" t="n">
        <v>0</v>
      </c>
      <c r="F115" s="22" t="n">
        <v>0</v>
      </c>
      <c r="G115" s="22" t="n">
        <v>0</v>
      </c>
      <c r="H115" s="22" t="n">
        <v>0.78</v>
      </c>
      <c r="I115" s="22" t="n">
        <v>0</v>
      </c>
      <c r="J115" s="22" t="n">
        <v>0</v>
      </c>
      <c r="K115" s="22" t="n">
        <v>0</v>
      </c>
      <c r="L115" s="22" t="n">
        <v>0</v>
      </c>
      <c r="M115" s="22" t="n">
        <v>0</v>
      </c>
      <c r="N115" s="22" t="n">
        <v>0</v>
      </c>
      <c r="T115" s="22" t="n">
        <v>0</v>
      </c>
      <c r="U115" s="22" t="n">
        <v>0</v>
      </c>
      <c r="V115" s="22" t="n">
        <v>0</v>
      </c>
      <c r="W115" s="22" t="n">
        <v>0</v>
      </c>
      <c r="X115" s="22" t="n">
        <v>0</v>
      </c>
    </row>
    <row r="116">
      <c r="A116" s="45" t="inlineStr">
        <is>
          <t>YoY</t>
        </is>
      </c>
      <c r="B116" s="3" t="inlineStr">
        <is>
          <t>전년 같은 분기·전년 대비</t>
        </is>
      </c>
      <c r="G116" s="17">
        <f>IF(OR(G115="",C115=""),"",IF(G115*C115&lt;=0,"",IFERROR(G115/C115-1,"")))</f>
        <v/>
      </c>
      <c r="H116" s="17">
        <f>IF(OR(H115="",D115=""),"",IF(H115*D115&lt;=0,"",IFERROR(H115/D115-1,"")))</f>
        <v/>
      </c>
      <c r="I116" s="17">
        <f>IF(OR(I115="",E115=""),"",IF(I115*E115&lt;=0,"",IFERROR(I115/E115-1,"")))</f>
        <v/>
      </c>
      <c r="J116" s="17">
        <f>IF(OR(J115="",F115=""),"",IF(J115*F115&lt;=0,"",IFERROR(J115/F115-1,"")))</f>
        <v/>
      </c>
      <c r="K116" s="17">
        <f>IF(OR(K115="",G115=""),"",IF(K115*G115&lt;=0,"",IFERROR(K115/G115-1,"")))</f>
        <v/>
      </c>
      <c r="L116" s="17">
        <f>IF(OR(L115="",H115=""),"",IF(L115*H115&lt;=0,"",IFERROR(L115/H115-1,"")))</f>
        <v/>
      </c>
      <c r="M116" s="17">
        <f>IF(OR(M115="",I115=""),"",IF(M115*I115&lt;=0,"",IFERROR(M115/I115-1,"")))</f>
        <v/>
      </c>
      <c r="N116" s="17">
        <f>IF(OR(N115="",J115=""),"",IF(N115*J115&lt;=0,"",IFERROR(N115/J115-1,"")))</f>
        <v/>
      </c>
      <c r="T116" s="17">
        <f>IF(OR(T115="",S115=""),"",IF(T115*S115&lt;=0,"",IFERROR(T115/S115-1,"")))</f>
        <v/>
      </c>
      <c r="U116" s="17">
        <f>IF(OR(U115="",T115=""),"",IF(U115*T115&lt;=0,"",IFERROR(U115/T115-1,"")))</f>
        <v/>
      </c>
      <c r="V116" s="17">
        <f>IF(OR(V115="",U115=""),"",IF(V115*U115&lt;=0,"",IFERROR(V115/U115-1,"")))</f>
        <v/>
      </c>
      <c r="W116" s="17">
        <f>IF(OR(W115="",V115=""),"",IF(W115*V115&lt;=0,"",IFERROR(W115/V115-1,"")))</f>
        <v/>
      </c>
      <c r="X116" s="17">
        <f>IF(OR(X115="",W115=""),"",IF(X115*W115&lt;=0,"",IFERROR(X115/W115-1,"")))</f>
        <v/>
      </c>
    </row>
    <row r="117">
      <c r="A117" s="9" t="inlineStr">
        <is>
          <t>법인세차감전 순이익</t>
        </is>
      </c>
      <c r="C117" s="12" t="n">
        <v>83.946</v>
      </c>
      <c r="D117" s="12" t="n">
        <v>161.65</v>
      </c>
      <c r="E117" s="12" t="n">
        <v>67.736</v>
      </c>
      <c r="F117" s="12" t="n">
        <v>58.598</v>
      </c>
      <c r="G117" s="12" t="n">
        <v>97.41</v>
      </c>
      <c r="H117" s="12" t="n">
        <v>238.014</v>
      </c>
      <c r="I117" s="12" t="n">
        <v>121.654</v>
      </c>
      <c r="J117" s="12" t="n">
        <v>103.416</v>
      </c>
      <c r="K117" s="12" t="n">
        <v>103.218</v>
      </c>
      <c r="L117" s="12" t="n">
        <v>211.324</v>
      </c>
      <c r="M117" s="12" t="n">
        <v>119.3</v>
      </c>
      <c r="N117" s="12" t="n">
        <v>133.015</v>
      </c>
      <c r="T117" s="12" t="n">
        <v>80.488</v>
      </c>
      <c r="U117" s="12" t="n">
        <v>55.049</v>
      </c>
      <c r="V117" s="12" t="n">
        <v>58.598</v>
      </c>
      <c r="W117" s="12" t="n">
        <v>103.416</v>
      </c>
      <c r="X117" s="12" t="n">
        <v>133.015</v>
      </c>
    </row>
    <row r="118">
      <c r="A118" s="45" t="inlineStr">
        <is>
          <t>YoY</t>
        </is>
      </c>
      <c r="B118" s="3" t="inlineStr">
        <is>
          <t>전년 같은 분기·전년 대비</t>
        </is>
      </c>
      <c r="G118" s="17">
        <f>IF(OR(G117="",C117=""),"",IF(C117&lt;=0,"",IFERROR(G117/C117-1,"")))</f>
        <v/>
      </c>
      <c r="H118" s="17">
        <f>IF(OR(H117="",D117=""),"",IF(D117&lt;=0,"",IFERROR(H117/D117-1,"")))</f>
        <v/>
      </c>
      <c r="I118" s="17">
        <f>IF(OR(I117="",E117=""),"",IF(E117&lt;=0,"",IFERROR(I117/E117-1,"")))</f>
        <v/>
      </c>
      <c r="J118" s="17">
        <f>IF(OR(J117="",F117=""),"",IF(F117&lt;=0,"",IFERROR(J117/F117-1,"")))</f>
        <v/>
      </c>
      <c r="K118" s="17">
        <f>IF(OR(K117="",G117=""),"",IF(G117&lt;=0,"",IFERROR(K117/G117-1,"")))</f>
        <v/>
      </c>
      <c r="L118" s="17">
        <f>IF(OR(L117="",H117=""),"",IF(H117&lt;=0,"",IFERROR(L117/H117-1,"")))</f>
        <v/>
      </c>
      <c r="M118" s="17">
        <f>IF(OR(M117="",I117=""),"",IF(I117&lt;=0,"",IFERROR(M117/I117-1,"")))</f>
        <v/>
      </c>
      <c r="N118" s="17">
        <f>IF(OR(N117="",J117=""),"",IF(J117&lt;=0,"",IFERROR(N117/J117-1,"")))</f>
        <v/>
      </c>
      <c r="T118" s="17">
        <f>IF(OR(T117="",S117=""),"",IF(S117&lt;=0,"",IFERROR(T117/S117-1,"")))</f>
        <v/>
      </c>
      <c r="U118" s="17">
        <f>IF(OR(U117="",T117=""),"",IF(T117&lt;=0,"",IFERROR(U117/T117-1,"")))</f>
        <v/>
      </c>
      <c r="V118" s="17">
        <f>IF(OR(V117="",U117=""),"",IF(U117&lt;=0,"",IFERROR(V117/U117-1,"")))</f>
        <v/>
      </c>
      <c r="W118" s="17">
        <f>IF(OR(W117="",V117=""),"",IF(V117&lt;=0,"",IFERROR(W117/V117-1,"")))</f>
        <v/>
      </c>
      <c r="X118" s="17">
        <f>IF(OR(X117="",W117=""),"",IF(W117&lt;=0,"",IFERROR(X117/W117-1,"")))</f>
        <v/>
      </c>
    </row>
    <row r="119">
      <c r="A119" s="20" t="inlineStr">
        <is>
          <t>법인세·주민세·사업세</t>
        </is>
      </c>
      <c r="C119" s="22" t="n">
        <v>52.115</v>
      </c>
      <c r="D119" s="22" t="n">
        <v>42.529</v>
      </c>
      <c r="E119" s="22" t="n">
        <v>21.932</v>
      </c>
      <c r="F119" s="22" t="n">
        <v>10.898</v>
      </c>
      <c r="G119" s="22" t="n">
        <v>33.303</v>
      </c>
      <c r="H119" s="22" t="n">
        <v>64.60299999999999</v>
      </c>
      <c r="I119" s="22" t="n">
        <v>51.254</v>
      </c>
      <c r="J119" s="22" t="n">
        <v>17.505</v>
      </c>
      <c r="K119" s="22" t="n">
        <v>39.789</v>
      </c>
      <c r="L119" s="22" t="n">
        <v>56.294</v>
      </c>
      <c r="M119" s="22" t="n">
        <v>48.655</v>
      </c>
      <c r="N119" s="22" t="n">
        <v>43</v>
      </c>
      <c r="T119" s="22" t="n">
        <v>11.719</v>
      </c>
      <c r="U119" s="22" t="n">
        <v>-1.965</v>
      </c>
      <c r="V119" s="22" t="n">
        <v>10.898</v>
      </c>
      <c r="W119" s="22" t="n">
        <v>17.505</v>
      </c>
      <c r="X119" s="22" t="n">
        <v>43</v>
      </c>
    </row>
    <row r="120">
      <c r="A120" s="20" t="inlineStr">
        <is>
          <t>법인세 조정액</t>
        </is>
      </c>
      <c r="C120" s="22" t="n">
        <v>-17.848</v>
      </c>
      <c r="D120" s="22" t="n">
        <v>13.59</v>
      </c>
      <c r="E120" s="22" t="n">
        <v>-16.982</v>
      </c>
      <c r="F120" s="22" t="n">
        <v>10.994</v>
      </c>
      <c r="G120" s="22" t="n">
        <v>-4.391</v>
      </c>
      <c r="H120" s="22" t="n">
        <v>14.255</v>
      </c>
      <c r="I120" s="22" t="n">
        <v>-18.555</v>
      </c>
      <c r="J120" s="22" t="n">
        <v>11.662</v>
      </c>
      <c r="K120" s="22" t="n">
        <v>-9.411</v>
      </c>
      <c r="L120" s="22" t="n">
        <v>12.867</v>
      </c>
      <c r="M120" s="22" t="n">
        <v>-15.222</v>
      </c>
      <c r="N120" s="22" t="n">
        <v>0.427</v>
      </c>
      <c r="T120" s="22" t="n">
        <v>15.376</v>
      </c>
      <c r="U120" s="22" t="n">
        <v>15.099</v>
      </c>
      <c r="V120" s="22" t="n">
        <v>10.994</v>
      </c>
      <c r="W120" s="22" t="n">
        <v>11.662</v>
      </c>
      <c r="X120" s="22" t="n">
        <v>0.427</v>
      </c>
    </row>
    <row r="121">
      <c r="A121" s="20" t="inlineStr">
        <is>
          <t>법인세 등 합계</t>
        </is>
      </c>
      <c r="C121" s="22" t="n">
        <v>34.266</v>
      </c>
      <c r="D121" s="22" t="n">
        <v>56.12</v>
      </c>
      <c r="E121" s="22" t="n">
        <v>4.949</v>
      </c>
      <c r="F121" s="22" t="n">
        <v>21.892</v>
      </c>
      <c r="G121" s="22" t="n">
        <v>28.911</v>
      </c>
      <c r="H121" s="22" t="n">
        <v>78.86</v>
      </c>
      <c r="I121" s="22" t="n">
        <v>32.698</v>
      </c>
      <c r="J121" s="22" t="n">
        <v>29.167</v>
      </c>
      <c r="K121" s="22" t="n">
        <v>30.378</v>
      </c>
      <c r="L121" s="22" t="n">
        <v>69.161</v>
      </c>
      <c r="M121" s="22" t="n">
        <v>33.432</v>
      </c>
      <c r="N121" s="22" t="n">
        <v>43.427</v>
      </c>
      <c r="T121" s="22" t="n">
        <v>27.095</v>
      </c>
      <c r="U121" s="22" t="n">
        <v>13.136</v>
      </c>
      <c r="V121" s="22" t="n">
        <v>21.892</v>
      </c>
      <c r="W121" s="22" t="n">
        <v>29.167</v>
      </c>
      <c r="X121" s="22" t="n">
        <v>43.427</v>
      </c>
    </row>
    <row r="122">
      <c r="A122" s="45" t="inlineStr">
        <is>
          <t>YoY</t>
        </is>
      </c>
      <c r="B122" s="3" t="inlineStr">
        <is>
          <t>전년 같은 분기·전년 대비</t>
        </is>
      </c>
      <c r="G122" s="17">
        <f>IF(OR(G121="",C121=""),"",IF(G121*C121&lt;=0,"",IFERROR(G121/C121-1,"")))</f>
        <v/>
      </c>
      <c r="H122" s="17">
        <f>IF(OR(H121="",D121=""),"",IF(H121*D121&lt;=0,"",IFERROR(H121/D121-1,"")))</f>
        <v/>
      </c>
      <c r="I122" s="17">
        <f>IF(OR(I121="",E121=""),"",IF(I121*E121&lt;=0,"",IFERROR(I121/E121-1,"")))</f>
        <v/>
      </c>
      <c r="J122" s="17">
        <f>IF(OR(J121="",F121=""),"",IF(J121*F121&lt;=0,"",IFERROR(J121/F121-1,"")))</f>
        <v/>
      </c>
      <c r="K122" s="17">
        <f>IF(OR(K121="",G121=""),"",IF(K121*G121&lt;=0,"",IFERROR(K121/G121-1,"")))</f>
        <v/>
      </c>
      <c r="L122" s="17">
        <f>IF(OR(L121="",H121=""),"",IF(L121*H121&lt;=0,"",IFERROR(L121/H121-1,"")))</f>
        <v/>
      </c>
      <c r="M122" s="17">
        <f>IF(OR(M121="",I121=""),"",IF(M121*I121&lt;=0,"",IFERROR(M121/I121-1,"")))</f>
        <v/>
      </c>
      <c r="N122" s="17">
        <f>IF(OR(N121="",J121=""),"",IF(N121*J121&lt;=0,"",IFERROR(N121/J121-1,"")))</f>
        <v/>
      </c>
      <c r="T122" s="17">
        <f>IF(OR(T121="",S121=""),"",IF(T121*S121&lt;=0,"",IFERROR(T121/S121-1,"")))</f>
        <v/>
      </c>
      <c r="U122" s="17">
        <f>IF(OR(U121="",T121=""),"",IF(U121*T121&lt;=0,"",IFERROR(U121/T121-1,"")))</f>
        <v/>
      </c>
      <c r="V122" s="17">
        <f>IF(OR(V121="",U121=""),"",IF(V121*U121&lt;=0,"",IFERROR(V121/U121-1,"")))</f>
        <v/>
      </c>
      <c r="W122" s="17">
        <f>IF(OR(W121="",V121=""),"",IF(W121*V121&lt;=0,"",IFERROR(W121/V121-1,"")))</f>
        <v/>
      </c>
      <c r="X122" s="17">
        <f>IF(OR(X121="",W121=""),"",IF(X121*W121&lt;=0,"",IFERROR(X121/W121-1,"")))</f>
        <v/>
      </c>
    </row>
    <row r="123">
      <c r="A123" s="9" t="inlineStr">
        <is>
          <t>순이익</t>
        </is>
      </c>
      <c r="C123" s="12" t="n">
        <v>49.68</v>
      </c>
      <c r="D123" s="12" t="n">
        <v>105.53</v>
      </c>
      <c r="E123" s="12" t="n">
        <v>62.786</v>
      </c>
      <c r="F123" s="12" t="n">
        <v>36.706</v>
      </c>
      <c r="G123" s="12" t="n">
        <v>68.498</v>
      </c>
      <c r="H123" s="12" t="n">
        <v>159.155</v>
      </c>
      <c r="I123" s="12" t="n">
        <v>88.955</v>
      </c>
      <c r="J123" s="12" t="n">
        <v>74.249</v>
      </c>
      <c r="K123" s="12" t="n">
        <v>72.839</v>
      </c>
      <c r="L123" s="12" t="n">
        <v>142.164</v>
      </c>
      <c r="M123" s="12" t="n">
        <v>85.867</v>
      </c>
      <c r="N123" s="12" t="n">
        <v>89.589</v>
      </c>
      <c r="T123" s="12" t="n">
        <v>53.393</v>
      </c>
      <c r="U123" s="12" t="n">
        <v>41.914</v>
      </c>
      <c r="V123" s="12" t="n">
        <v>36.706</v>
      </c>
      <c r="W123" s="12" t="n">
        <v>74.249</v>
      </c>
      <c r="X123" s="12" t="n">
        <v>89.589</v>
      </c>
    </row>
    <row r="124">
      <c r="A124" s="45" t="inlineStr">
        <is>
          <t>YoY</t>
        </is>
      </c>
      <c r="B124" s="3" t="inlineStr">
        <is>
          <t>전년 같은 분기·전년 대비</t>
        </is>
      </c>
      <c r="G124" s="17">
        <f>IF(OR(G123="",C123=""),"",IF(C123&lt;=0,"",IFERROR(G123/C123-1,"")))</f>
        <v/>
      </c>
      <c r="H124" s="17">
        <f>IF(OR(H123="",D123=""),"",IF(D123&lt;=0,"",IFERROR(H123/D123-1,"")))</f>
        <v/>
      </c>
      <c r="I124" s="17">
        <f>IF(OR(I123="",E123=""),"",IF(E123&lt;=0,"",IFERROR(I123/E123-1,"")))</f>
        <v/>
      </c>
      <c r="J124" s="17">
        <f>IF(OR(J123="",F123=""),"",IF(F123&lt;=0,"",IFERROR(J123/F123-1,"")))</f>
        <v/>
      </c>
      <c r="K124" s="17">
        <f>IF(OR(K123="",G123=""),"",IF(G123&lt;=0,"",IFERROR(K123/G123-1,"")))</f>
        <v/>
      </c>
      <c r="L124" s="17">
        <f>IF(OR(L123="",H123=""),"",IF(H123&lt;=0,"",IFERROR(L123/H123-1,"")))</f>
        <v/>
      </c>
      <c r="M124" s="17">
        <f>IF(OR(M123="",I123=""),"",IF(I123&lt;=0,"",IFERROR(M123/I123-1,"")))</f>
        <v/>
      </c>
      <c r="N124" s="17">
        <f>IF(OR(N123="",J123=""),"",IF(J123&lt;=0,"",IFERROR(N123/J123-1,"")))</f>
        <v/>
      </c>
      <c r="T124" s="17">
        <f>IF(OR(T123="",S123=""),"",IF(S123&lt;=0,"",IFERROR(T123/S123-1,"")))</f>
        <v/>
      </c>
      <c r="U124" s="17">
        <f>IF(OR(U123="",T123=""),"",IF(T123&lt;=0,"",IFERROR(U123/T123-1,"")))</f>
        <v/>
      </c>
      <c r="V124" s="17">
        <f>IF(OR(V123="",U123=""),"",IF(U123&lt;=0,"",IFERROR(V123/U123-1,"")))</f>
        <v/>
      </c>
      <c r="W124" s="17">
        <f>IF(OR(W123="",V123=""),"",IF(V123&lt;=0,"",IFERROR(W123/V123-1,"")))</f>
        <v/>
      </c>
      <c r="X124" s="17">
        <f>IF(OR(X123="",W123=""),"",IF(W123&lt;=0,"",IFERROR(X123/W123-1,"")))</f>
        <v/>
      </c>
    </row>
    <row r="126">
      <c r="A126" s="18" t="inlineStr">
        <is>
          <t>현금흐름표 · 전 항목</t>
        </is>
      </c>
      <c r="B126" s="44" t="inlineStr">
        <is>
          <t>분기 = 결산기 첫날부터 누계(공시 그대로)</t>
        </is>
      </c>
      <c r="C126" s="18" t="n"/>
      <c r="D126" s="18" t="n"/>
      <c r="E126" s="18" t="n"/>
      <c r="F126" s="18" t="n"/>
      <c r="G126" s="18" t="n"/>
      <c r="H126" s="18" t="n"/>
      <c r="I126" s="18" t="n"/>
      <c r="J126" s="18" t="n"/>
      <c r="K126" s="18" t="n"/>
      <c r="L126" s="18" t="n"/>
      <c r="M126" s="18" t="n"/>
      <c r="N126" s="18" t="n"/>
      <c r="O126" s="18" t="n"/>
      <c r="P126" s="18" t="n"/>
      <c r="Q126" s="18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</row>
    <row r="127">
      <c r="A127" s="5" t="inlineStr">
        <is>
          <t>항목</t>
        </is>
      </c>
      <c r="B127" s="5" t="inlineStr">
        <is>
          <t>참고</t>
        </is>
      </c>
      <c r="C127" s="5" t="inlineStr">
        <is>
          <t>2024.1Q</t>
        </is>
      </c>
      <c r="D127" s="5" t="inlineStr">
        <is>
          <t>2024.2Q</t>
        </is>
      </c>
      <c r="E127" s="5" t="inlineStr">
        <is>
          <t>2024.3Q</t>
        </is>
      </c>
      <c r="F127" s="5" t="inlineStr">
        <is>
          <t>2024.4Q</t>
        </is>
      </c>
      <c r="G127" s="5" t="inlineStr">
        <is>
          <t>2025.1Q</t>
        </is>
      </c>
      <c r="H127" s="5" t="inlineStr">
        <is>
          <t>2025.2Q</t>
        </is>
      </c>
      <c r="I127" s="5" t="inlineStr">
        <is>
          <t>2025.3Q</t>
        </is>
      </c>
      <c r="J127" s="5" t="inlineStr">
        <is>
          <t>2025.4Q</t>
        </is>
      </c>
      <c r="K127" s="5" t="inlineStr">
        <is>
          <t>2026.1Q</t>
        </is>
      </c>
      <c r="L127" s="5" t="inlineStr">
        <is>
          <t>2026.2Q</t>
        </is>
      </c>
      <c r="M127" s="5" t="inlineStr">
        <is>
          <t>2026.3Q</t>
        </is>
      </c>
      <c r="N127" s="5" t="inlineStr">
        <is>
          <t>2026.4Q</t>
        </is>
      </c>
      <c r="O127" s="5" t="inlineStr">
        <is>
          <t>2017</t>
        </is>
      </c>
      <c r="P127" s="5" t="inlineStr">
        <is>
          <t>2018</t>
        </is>
      </c>
      <c r="Q127" s="5" t="inlineStr">
        <is>
          <t>2019</t>
        </is>
      </c>
      <c r="R127" s="5" t="inlineStr">
        <is>
          <t>2020</t>
        </is>
      </c>
      <c r="S127" s="5" t="inlineStr">
        <is>
          <t>2021</t>
        </is>
      </c>
      <c r="T127" s="5" t="inlineStr">
        <is>
          <t>2022</t>
        </is>
      </c>
      <c r="U127" s="5" t="inlineStr">
        <is>
          <t>2023</t>
        </is>
      </c>
      <c r="V127" s="5" t="inlineStr">
        <is>
          <t>2024</t>
        </is>
      </c>
      <c r="W127" s="5" t="inlineStr">
        <is>
          <t>2025</t>
        </is>
      </c>
      <c r="X127" s="5" t="inlineStr">
        <is>
          <t>2026</t>
        </is>
      </c>
      <c r="Y127" s="5" t="inlineStr">
        <is>
          <t>2027(MW)</t>
        </is>
      </c>
      <c r="Z127" s="5" t="inlineStr">
        <is>
          <t>2028(MW)</t>
        </is>
      </c>
      <c r="AA127" s="5" t="inlineStr">
        <is>
          <t>2029(MW)</t>
        </is>
      </c>
      <c r="AB127" s="5" t="inlineStr">
        <is>
          <t>2030(MW)</t>
        </is>
      </c>
      <c r="AC127" s="5" t="inlineStr">
        <is>
          <t>2031(MW)</t>
        </is>
      </c>
    </row>
    <row r="128">
      <c r="A128" s="9" t="inlineStr">
        <is>
          <t>법인세차감전 순이익</t>
        </is>
      </c>
      <c r="D128" s="12" t="n">
        <v>245.596</v>
      </c>
      <c r="F128" s="12" t="n">
        <v>371.93</v>
      </c>
      <c r="H128" s="12" t="n">
        <v>335.424</v>
      </c>
      <c r="J128" s="12" t="n">
        <v>560.494</v>
      </c>
      <c r="L128" s="12" t="n">
        <v>314.542</v>
      </c>
      <c r="N128" s="12" t="n">
        <v>566.857</v>
      </c>
      <c r="O128" s="12" t="n">
        <v>560.38</v>
      </c>
      <c r="P128" s="12" t="n">
        <v>655.4</v>
      </c>
      <c r="Q128" s="12" t="n">
        <v>657.7190000000001</v>
      </c>
      <c r="R128" s="12" t="n">
        <v>705.754</v>
      </c>
      <c r="S128" s="12" t="n">
        <v>649.251</v>
      </c>
      <c r="T128" s="12" t="n">
        <v>606.441</v>
      </c>
      <c r="U128" s="12" t="n">
        <v>407.305</v>
      </c>
      <c r="V128" s="12" t="n">
        <v>371.93</v>
      </c>
      <c r="W128" s="12" t="n">
        <v>560.494</v>
      </c>
      <c r="X128" s="12" t="n">
        <v>566.857</v>
      </c>
    </row>
    <row r="129">
      <c r="A129" s="20" t="inlineStr">
        <is>
          <t>감가상각비</t>
        </is>
      </c>
      <c r="D129" s="22" t="n">
        <v>77.212</v>
      </c>
      <c r="F129" s="22" t="n">
        <v>184.483</v>
      </c>
      <c r="H129" s="22" t="n">
        <v>78.566</v>
      </c>
      <c r="J129" s="22" t="n">
        <v>177.667</v>
      </c>
      <c r="L129" s="22" t="n">
        <v>117.15</v>
      </c>
      <c r="N129" s="22" t="n">
        <v>262.339</v>
      </c>
      <c r="O129" s="22" t="n">
        <v>203.092</v>
      </c>
      <c r="P129" s="22" t="n">
        <v>274.629</v>
      </c>
      <c r="Q129" s="22" t="n">
        <v>205.782</v>
      </c>
      <c r="R129" s="22" t="n">
        <v>195.397</v>
      </c>
      <c r="S129" s="22" t="n">
        <v>180.283</v>
      </c>
      <c r="T129" s="22" t="n">
        <v>196.476</v>
      </c>
      <c r="U129" s="22" t="n">
        <v>189.626</v>
      </c>
      <c r="V129" s="22" t="n">
        <v>184.483</v>
      </c>
      <c r="W129" s="22" t="n">
        <v>177.667</v>
      </c>
      <c r="X129" s="22" t="n">
        <v>262.339</v>
      </c>
    </row>
    <row r="130">
      <c r="A130" s="20" t="inlineStr">
        <is>
          <t>대손충당금 증감</t>
        </is>
      </c>
      <c r="D130" s="22" t="n">
        <v>-1.196</v>
      </c>
      <c r="F130" s="22" t="n">
        <v>0.407</v>
      </c>
      <c r="H130" s="22" t="n">
        <v>-0.913</v>
      </c>
      <c r="J130" s="22" t="n">
        <v>-1.625</v>
      </c>
      <c r="L130" s="22" t="n">
        <v>0.797</v>
      </c>
      <c r="N130" s="22" t="n">
        <v>1.662</v>
      </c>
      <c r="O130" s="22" t="n">
        <v>0.002</v>
      </c>
      <c r="P130" s="22" t="n">
        <v>0.155</v>
      </c>
      <c r="Q130" s="22" t="n">
        <v>0.027</v>
      </c>
      <c r="R130" s="22" t="n">
        <v>5.813</v>
      </c>
      <c r="S130" s="22" t="n">
        <v>12.026</v>
      </c>
      <c r="T130" s="22" t="n">
        <v>6.187</v>
      </c>
      <c r="U130" s="22" t="n">
        <v>1.698</v>
      </c>
      <c r="V130" s="22" t="n">
        <v>0.407</v>
      </c>
      <c r="W130" s="22" t="n">
        <v>-1.625</v>
      </c>
      <c r="X130" s="22" t="n">
        <v>1.662</v>
      </c>
    </row>
    <row r="131">
      <c r="A131" s="20" t="inlineStr">
        <is>
          <t>Increase Decrease In Allowance For Investment Loss Ope CF</t>
        </is>
      </c>
      <c r="P131" s="22" t="n">
        <v>0</v>
      </c>
      <c r="Q131" s="22" t="n">
        <v>28.933</v>
      </c>
      <c r="R131" s="22" t="n">
        <v>0</v>
      </c>
    </row>
    <row r="132">
      <c r="A132" s="20" t="inlineStr">
        <is>
          <t>퇴직급여충당금 증감액</t>
        </is>
      </c>
      <c r="D132" s="22" t="n">
        <v>1.778</v>
      </c>
      <c r="F132" s="22" t="n">
        <v>2.516</v>
      </c>
      <c r="H132" s="22" t="n">
        <v>-12.95</v>
      </c>
      <c r="J132" s="22" t="n">
        <v>-8.311999999999999</v>
      </c>
      <c r="L132" s="22" t="n">
        <v>-1.821</v>
      </c>
      <c r="N132" s="22" t="n">
        <v>-1.734</v>
      </c>
      <c r="O132" s="22" t="n">
        <v>9.323</v>
      </c>
      <c r="P132" s="22" t="n">
        <v>6.58</v>
      </c>
      <c r="Q132" s="22" t="n">
        <v>7.902</v>
      </c>
      <c r="R132" s="22" t="n">
        <v>-9.436999999999999</v>
      </c>
      <c r="S132" s="22" t="n">
        <v>-9.782999999999999</v>
      </c>
      <c r="T132" s="22" t="n">
        <v>0.58</v>
      </c>
      <c r="U132" s="22" t="n">
        <v>1.67</v>
      </c>
      <c r="V132" s="22" t="n">
        <v>2.516</v>
      </c>
      <c r="W132" s="22" t="n">
        <v>-8.311999999999999</v>
      </c>
      <c r="X132" s="22" t="n">
        <v>-1.734</v>
      </c>
    </row>
    <row r="133">
      <c r="A133" s="20" t="inlineStr">
        <is>
          <t>임원 퇴직위로 충당금 증감</t>
        </is>
      </c>
      <c r="D133" s="22" t="n">
        <v>4.25</v>
      </c>
      <c r="F133" s="22" t="n">
        <v>8.5</v>
      </c>
      <c r="H133" s="22" t="n">
        <v>-6.75</v>
      </c>
      <c r="J133" s="22" t="n">
        <v>-2.5</v>
      </c>
      <c r="L133" s="22" t="n">
        <v>4.25</v>
      </c>
      <c r="N133" s="22" t="n">
        <v>8.5</v>
      </c>
      <c r="O133" s="22" t="n">
        <v>5.166</v>
      </c>
      <c r="P133" s="22" t="n">
        <v>11.25</v>
      </c>
      <c r="Q133" s="22" t="n">
        <v>11.25</v>
      </c>
      <c r="R133" s="22" t="n">
        <v>11.25</v>
      </c>
      <c r="S133" s="22" t="n">
        <v>-3.27</v>
      </c>
      <c r="T133" s="22" t="n">
        <v>12.5</v>
      </c>
      <c r="U133" s="22" t="n">
        <v>-187.575</v>
      </c>
      <c r="V133" s="22" t="n">
        <v>8.5</v>
      </c>
      <c r="W133" s="22" t="n">
        <v>-2.5</v>
      </c>
      <c r="X133" s="22" t="n">
        <v>8.5</v>
      </c>
    </row>
    <row r="134">
      <c r="A134" s="20" t="inlineStr">
        <is>
          <t>제품보상 충당금 증감</t>
        </is>
      </c>
      <c r="J134" s="22" t="n">
        <v>0</v>
      </c>
      <c r="N134" s="22" t="n">
        <v>17.708</v>
      </c>
      <c r="O134" s="22" t="n">
        <v>-16.807</v>
      </c>
      <c r="P134" s="22" t="n">
        <v>-18.481</v>
      </c>
      <c r="Q134" s="22" t="n">
        <v>-27.054</v>
      </c>
      <c r="R134" s="22" t="n">
        <v>-20.055</v>
      </c>
      <c r="S134" s="22" t="n">
        <v>0</v>
      </c>
      <c r="W134" s="22" t="n">
        <v>0</v>
      </c>
      <c r="X134" s="22" t="n">
        <v>17.708</v>
      </c>
    </row>
    <row r="135">
      <c r="A135" s="20" t="inlineStr">
        <is>
          <t>이자·배당금 수익</t>
        </is>
      </c>
      <c r="D135" s="22" t="n">
        <v>-14.851</v>
      </c>
      <c r="F135" s="22" t="n">
        <v>-30.54</v>
      </c>
      <c r="H135" s="22" t="n">
        <v>-19.463</v>
      </c>
      <c r="J135" s="22" t="n">
        <v>-42.765</v>
      </c>
      <c r="L135" s="22" t="n">
        <v>-28.334</v>
      </c>
      <c r="N135" s="22" t="n">
        <v>-62.752</v>
      </c>
      <c r="O135" s="22" t="n">
        <v>-14.185</v>
      </c>
      <c r="P135" s="22" t="n">
        <v>-15.857</v>
      </c>
      <c r="Q135" s="22" t="n">
        <v>-16.191</v>
      </c>
      <c r="R135" s="22" t="n">
        <v>-18.519</v>
      </c>
      <c r="S135" s="22" t="n">
        <v>-20.672</v>
      </c>
      <c r="T135" s="22" t="n">
        <v>-20.52</v>
      </c>
      <c r="U135" s="22" t="n">
        <v>-24.31</v>
      </c>
      <c r="V135" s="22" t="n">
        <v>-30.54</v>
      </c>
      <c r="W135" s="22" t="n">
        <v>-42.765</v>
      </c>
      <c r="X135" s="22" t="n">
        <v>-62.752</v>
      </c>
    </row>
    <row r="136">
      <c r="A136" s="20" t="inlineStr">
        <is>
          <t>외환차손익</t>
        </is>
      </c>
      <c r="D136" s="22" t="n">
        <v>2.361</v>
      </c>
      <c r="F136" s="22" t="n">
        <v>-4.111</v>
      </c>
      <c r="H136" s="22" t="n">
        <v>1.262</v>
      </c>
      <c r="J136" s="22" t="n">
        <v>5.037</v>
      </c>
      <c r="L136" s="22" t="n">
        <v>-3.402</v>
      </c>
      <c r="N136" s="22" t="n">
        <v>-5.607</v>
      </c>
      <c r="O136" s="22" t="n">
        <v>0.062</v>
      </c>
      <c r="P136" s="22" t="n">
        <v>0.001</v>
      </c>
      <c r="Q136" s="22" t="n">
        <v>0.06900000000000001</v>
      </c>
      <c r="R136" s="22" t="n">
        <v>0.614</v>
      </c>
      <c r="S136" s="22" t="n">
        <v>-1.896</v>
      </c>
      <c r="T136" s="22" t="n">
        <v>-6.533</v>
      </c>
      <c r="U136" s="22" t="n">
        <v>-2.996</v>
      </c>
      <c r="V136" s="22" t="n">
        <v>-4.111</v>
      </c>
      <c r="W136" s="22" t="n">
        <v>5.037</v>
      </c>
      <c r="X136" s="22" t="n">
        <v>-5.607</v>
      </c>
    </row>
    <row r="137">
      <c r="A137" s="20" t="inlineStr">
        <is>
          <t>고정자산 매각손익</t>
        </is>
      </c>
      <c r="O137" s="22" t="n">
        <v>1.217</v>
      </c>
      <c r="P137" s="22" t="n">
        <v>0</v>
      </c>
    </row>
    <row r="138">
      <c r="A138" s="20" t="inlineStr">
        <is>
          <t>유가증권 매각손익</t>
        </is>
      </c>
      <c r="R138" s="22" t="n">
        <v>0</v>
      </c>
      <c r="S138" s="22" t="n">
        <v>-0.023</v>
      </c>
      <c r="T138" s="22" t="n">
        <v>0</v>
      </c>
    </row>
    <row r="139">
      <c r="A139" s="20" t="inlineStr">
        <is>
          <t>투자유가증권 매각손익</t>
        </is>
      </c>
      <c r="D139" s="22" t="n">
        <v>0</v>
      </c>
      <c r="F139" s="22" t="n">
        <v>0</v>
      </c>
      <c r="T139" s="22" t="n">
        <v>0</v>
      </c>
      <c r="U139" s="22" t="n">
        <v>0.395</v>
      </c>
      <c r="V139" s="22" t="n">
        <v>0</v>
      </c>
    </row>
    <row r="140">
      <c r="A140" s="20" t="inlineStr">
        <is>
          <t>고정자산 제각손실</t>
        </is>
      </c>
      <c r="D140" s="22" t="n">
        <v>0</v>
      </c>
      <c r="F140" s="22" t="n">
        <v>0</v>
      </c>
      <c r="H140" s="22" t="n">
        <v>0.78</v>
      </c>
      <c r="J140" s="22" t="n">
        <v>0.78</v>
      </c>
      <c r="L140" s="22" t="n">
        <v>0</v>
      </c>
      <c r="N140" s="22" t="n">
        <v>0</v>
      </c>
      <c r="O140" s="22" t="n">
        <v>0.322</v>
      </c>
      <c r="P140" s="22" t="n">
        <v>0.63</v>
      </c>
      <c r="Q140" s="22" t="n">
        <v>0.482</v>
      </c>
      <c r="R140" s="22" t="n">
        <v>0.387</v>
      </c>
      <c r="S140" s="22" t="n">
        <v>6.364</v>
      </c>
      <c r="T140" s="22" t="n">
        <v>0</v>
      </c>
      <c r="U140" s="22" t="n">
        <v>0.115</v>
      </c>
      <c r="V140" s="22" t="n">
        <v>0</v>
      </c>
      <c r="W140" s="22" t="n">
        <v>0.78</v>
      </c>
      <c r="X140" s="22" t="n">
        <v>0</v>
      </c>
    </row>
    <row r="141">
      <c r="A141" s="20" t="inlineStr">
        <is>
          <t>매출채권 증감</t>
        </is>
      </c>
      <c r="D141" s="22" t="n">
        <v>-368.759</v>
      </c>
      <c r="F141" s="22" t="n">
        <v>-10.091</v>
      </c>
      <c r="H141" s="22" t="n">
        <v>-354.775</v>
      </c>
      <c r="J141" s="22" t="n">
        <v>39.453</v>
      </c>
      <c r="L141" s="22" t="n">
        <v>-262.63</v>
      </c>
      <c r="N141" s="22" t="n">
        <v>213.344</v>
      </c>
      <c r="O141" s="22" t="n">
        <v>-24.525</v>
      </c>
      <c r="P141" s="22" t="n">
        <v>-60.162</v>
      </c>
      <c r="Q141" s="22" t="n">
        <v>173.73</v>
      </c>
      <c r="R141" s="22" t="n">
        <v>260.996</v>
      </c>
      <c r="S141" s="22" t="n">
        <v>20.218</v>
      </c>
      <c r="T141" s="22" t="n">
        <v>-136.67</v>
      </c>
      <c r="U141" s="22" t="n">
        <v>-73.803</v>
      </c>
      <c r="V141" s="22" t="n">
        <v>-10.091</v>
      </c>
      <c r="W141" s="22" t="n">
        <v>39.453</v>
      </c>
      <c r="X141" s="22" t="n">
        <v>213.344</v>
      </c>
    </row>
    <row r="142">
      <c r="A142" s="20" t="inlineStr">
        <is>
          <t>재고자산 증감</t>
        </is>
      </c>
      <c r="D142" s="22" t="n">
        <v>-3.384</v>
      </c>
      <c r="F142" s="22" t="n">
        <v>2.945</v>
      </c>
      <c r="H142" s="22" t="n">
        <v>-16.214</v>
      </c>
      <c r="J142" s="22" t="n">
        <v>9.032</v>
      </c>
      <c r="L142" s="22" t="n">
        <v>-26.99</v>
      </c>
      <c r="N142" s="22" t="n">
        <v>19.038</v>
      </c>
      <c r="O142" s="22" t="n">
        <v>104.329</v>
      </c>
      <c r="P142" s="22" t="n">
        <v>-10.999</v>
      </c>
      <c r="Q142" s="22" t="n">
        <v>8.201000000000001</v>
      </c>
      <c r="R142" s="22" t="n">
        <v>-52.986</v>
      </c>
      <c r="S142" s="22" t="n">
        <v>88.03</v>
      </c>
      <c r="T142" s="22" t="n">
        <v>-119.61</v>
      </c>
      <c r="U142" s="22" t="n">
        <v>87.78</v>
      </c>
      <c r="V142" s="22" t="n">
        <v>2.945</v>
      </c>
      <c r="W142" s="22" t="n">
        <v>9.032</v>
      </c>
      <c r="X142" s="22" t="n">
        <v>19.038</v>
      </c>
    </row>
    <row r="143">
      <c r="A143" s="20" t="inlineStr">
        <is>
          <t>매입채무 증감</t>
        </is>
      </c>
      <c r="D143" s="22" t="n">
        <v>300.958</v>
      </c>
      <c r="F143" s="22" t="n">
        <v>-76.688</v>
      </c>
      <c r="H143" s="22" t="n">
        <v>-882.46</v>
      </c>
      <c r="J143" s="22" t="n">
        <v>-1723.468</v>
      </c>
      <c r="L143" s="22" t="n">
        <v>128.668</v>
      </c>
      <c r="N143" s="22" t="n">
        <v>81.28100000000001</v>
      </c>
      <c r="O143" s="22" t="n">
        <v>1580.318</v>
      </c>
      <c r="P143" s="22" t="n">
        <v>33.262</v>
      </c>
      <c r="Q143" s="22" t="n">
        <v>45.724</v>
      </c>
      <c r="R143" s="22" t="n">
        <v>-204.171</v>
      </c>
      <c r="S143" s="22" t="n">
        <v>70.896</v>
      </c>
      <c r="T143" s="22" t="n">
        <v>221.942</v>
      </c>
      <c r="U143" s="22" t="n">
        <v>44.333</v>
      </c>
      <c r="V143" s="22" t="n">
        <v>-76.688</v>
      </c>
      <c r="W143" s="22" t="n">
        <v>-1723.468</v>
      </c>
      <c r="X143" s="22" t="n">
        <v>81.28100000000001</v>
      </c>
    </row>
    <row r="144">
      <c r="A144" s="20" t="inlineStr">
        <is>
          <t>미지급 소비세 증감</t>
        </is>
      </c>
      <c r="D144" s="22" t="n">
        <v>-8.039</v>
      </c>
      <c r="F144" s="22" t="n">
        <v>-16.437</v>
      </c>
      <c r="H144" s="22" t="n">
        <v>37.537</v>
      </c>
      <c r="J144" s="22" t="n">
        <v>34.536</v>
      </c>
      <c r="L144" s="22" t="n">
        <v>-33.29</v>
      </c>
      <c r="N144" s="22" t="n">
        <v>-43.299</v>
      </c>
      <c r="O144" s="22" t="n">
        <v>10.379</v>
      </c>
      <c r="P144" s="22" t="n">
        <v>-15.312</v>
      </c>
      <c r="Q144" s="22" t="n">
        <v>9.566000000000001</v>
      </c>
      <c r="R144" s="22" t="n">
        <v>-3.972</v>
      </c>
      <c r="S144" s="22" t="n">
        <v>27.586</v>
      </c>
      <c r="T144" s="22" t="n">
        <v>-38.18</v>
      </c>
      <c r="U144" s="22" t="n">
        <v>15.641</v>
      </c>
      <c r="V144" s="22" t="n">
        <v>-16.437</v>
      </c>
      <c r="W144" s="22" t="n">
        <v>34.536</v>
      </c>
      <c r="X144" s="22" t="n">
        <v>-43.299</v>
      </c>
    </row>
    <row r="145">
      <c r="A145" s="20" t="inlineStr">
        <is>
          <t>기타</t>
        </is>
      </c>
      <c r="D145" s="22" t="n">
        <v>-1.534</v>
      </c>
      <c r="F145" s="22" t="n">
        <v>63.669</v>
      </c>
      <c r="H145" s="22" t="n">
        <v>-57.116</v>
      </c>
      <c r="J145" s="22" t="n">
        <v>-74.39</v>
      </c>
      <c r="L145" s="22" t="n">
        <v>44.517</v>
      </c>
      <c r="N145" s="22" t="n">
        <v>17.864</v>
      </c>
      <c r="O145" s="22" t="n">
        <v>-8.404</v>
      </c>
      <c r="P145" s="22" t="n">
        <v>-14.704</v>
      </c>
      <c r="Q145" s="22" t="n">
        <v>36.253</v>
      </c>
      <c r="R145" s="22" t="n">
        <v>-26.813</v>
      </c>
      <c r="S145" s="22" t="n">
        <v>-24.502</v>
      </c>
      <c r="T145" s="22" t="n">
        <v>12.127</v>
      </c>
      <c r="U145" s="22" t="n">
        <v>-28.85</v>
      </c>
      <c r="V145" s="22" t="n">
        <v>63.669</v>
      </c>
      <c r="W145" s="22" t="n">
        <v>-74.39</v>
      </c>
      <c r="X145" s="22" t="n">
        <v>17.864</v>
      </c>
    </row>
    <row r="146">
      <c r="A146" s="20" t="inlineStr">
        <is>
          <t>소계</t>
        </is>
      </c>
      <c r="D146" s="22" t="n">
        <v>234.389</v>
      </c>
      <c r="F146" s="22" t="n">
        <v>496.582</v>
      </c>
      <c r="H146" s="22" t="n">
        <v>-897.073</v>
      </c>
      <c r="J146" s="22" t="n">
        <v>-1026.059</v>
      </c>
      <c r="L146" s="22" t="n">
        <v>253.457</v>
      </c>
      <c r="N146" s="22" t="n">
        <v>1075.203</v>
      </c>
      <c r="O146" s="22" t="n">
        <v>2410.672</v>
      </c>
      <c r="P146" s="22" t="n">
        <v>846.394</v>
      </c>
      <c r="Q146" s="22" t="n">
        <v>1142.396</v>
      </c>
      <c r="R146" s="22" t="n">
        <v>844.258</v>
      </c>
      <c r="S146" s="22" t="n">
        <v>994.509</v>
      </c>
      <c r="T146" s="22" t="n">
        <v>734.741</v>
      </c>
      <c r="U146" s="22" t="n">
        <v>431.032</v>
      </c>
      <c r="V146" s="22" t="n">
        <v>496.582</v>
      </c>
      <c r="W146" s="22" t="n">
        <v>-1026.059</v>
      </c>
      <c r="X146" s="22" t="n">
        <v>1075.203</v>
      </c>
    </row>
    <row r="147">
      <c r="A147" s="20" t="inlineStr">
        <is>
          <t>이자·배당금 수취</t>
        </is>
      </c>
      <c r="D147" s="22" t="n">
        <v>12.73</v>
      </c>
      <c r="F147" s="22" t="n">
        <v>27.304</v>
      </c>
      <c r="H147" s="22" t="n">
        <v>17.046</v>
      </c>
      <c r="J147" s="22" t="n">
        <v>37.418</v>
      </c>
      <c r="L147" s="22" t="n">
        <v>25.473</v>
      </c>
      <c r="N147" s="22" t="n">
        <v>56.48</v>
      </c>
      <c r="O147" s="22" t="n">
        <v>11.826</v>
      </c>
      <c r="P147" s="22" t="n">
        <v>12.887</v>
      </c>
      <c r="Q147" s="22" t="n">
        <v>13.011</v>
      </c>
      <c r="R147" s="22" t="n">
        <v>14.709</v>
      </c>
      <c r="S147" s="22" t="n">
        <v>17.143</v>
      </c>
      <c r="T147" s="22" t="n">
        <v>16.499</v>
      </c>
      <c r="U147" s="22" t="n">
        <v>19.087</v>
      </c>
      <c r="V147" s="22" t="n">
        <v>27.304</v>
      </c>
      <c r="W147" s="22" t="n">
        <v>37.418</v>
      </c>
      <c r="X147" s="22" t="n">
        <v>56.48</v>
      </c>
    </row>
    <row r="148">
      <c r="A148" s="20" t="inlineStr">
        <is>
          <t>법인세 납부</t>
        </is>
      </c>
      <c r="O148" s="22" t="n">
        <v>-160.964</v>
      </c>
      <c r="P148" s="22" t="n">
        <v>-181.693</v>
      </c>
      <c r="Q148" s="22" t="n">
        <v>-227.603</v>
      </c>
      <c r="R148" s="22" t="n">
        <v>-231.984</v>
      </c>
      <c r="S148" s="22" t="n">
        <v>-199.197</v>
      </c>
      <c r="T148" s="22" t="n">
        <v>-205.665</v>
      </c>
      <c r="U148" s="22" t="n">
        <v>-189.893</v>
      </c>
    </row>
    <row r="149">
      <c r="A149" s="20" t="inlineStr">
        <is>
          <t>법인세 납부·환급</t>
        </is>
      </c>
      <c r="D149" s="22" t="n">
        <v>43.633</v>
      </c>
      <c r="F149" s="22" t="n">
        <v>16.586</v>
      </c>
      <c r="H149" s="22" t="n">
        <v>-101.101</v>
      </c>
      <c r="J149" s="22" t="n">
        <v>-165.913</v>
      </c>
      <c r="L149" s="22" t="n">
        <v>-103.189</v>
      </c>
      <c r="N149" s="22" t="n">
        <v>-188.447</v>
      </c>
      <c r="U149" s="22" t="n">
        <v>-189.893</v>
      </c>
      <c r="V149" s="22" t="n">
        <v>16.586</v>
      </c>
      <c r="W149" s="22" t="n">
        <v>-165.913</v>
      </c>
      <c r="X149" s="22" t="n">
        <v>-188.447</v>
      </c>
    </row>
    <row r="150">
      <c r="A150" s="9" t="inlineStr">
        <is>
          <t>영업활동 현금흐름</t>
        </is>
      </c>
      <c r="D150" s="12" t="n">
        <v>290.754</v>
      </c>
      <c r="F150" s="12" t="n">
        <v>540.473</v>
      </c>
      <c r="H150" s="12" t="n">
        <v>-981.129</v>
      </c>
      <c r="J150" s="12" t="n">
        <v>-1154.554</v>
      </c>
      <c r="L150" s="12" t="n">
        <v>175.74</v>
      </c>
      <c r="N150" s="12" t="n">
        <v>943.236</v>
      </c>
      <c r="O150" s="12" t="n">
        <v>2261.534</v>
      </c>
      <c r="P150" s="12" t="n">
        <v>677.5890000000001</v>
      </c>
      <c r="Q150" s="12" t="n">
        <v>927.8049999999999</v>
      </c>
      <c r="R150" s="12" t="n">
        <v>626.984</v>
      </c>
      <c r="S150" s="12" t="n">
        <v>812.456</v>
      </c>
      <c r="T150" s="12" t="n">
        <v>545.575</v>
      </c>
      <c r="U150" s="12" t="n">
        <v>260.226</v>
      </c>
      <c r="V150" s="12" t="n">
        <v>540.473</v>
      </c>
      <c r="W150" s="12" t="n">
        <v>-1154.554</v>
      </c>
      <c r="X150" s="12" t="n">
        <v>943.236</v>
      </c>
    </row>
    <row r="151">
      <c r="A151" s="20" t="inlineStr">
        <is>
          <t>정기예금 예입</t>
        </is>
      </c>
      <c r="D151" s="22" t="n">
        <v>0</v>
      </c>
      <c r="F151" s="22" t="n">
        <v>0</v>
      </c>
      <c r="H151" s="22" t="n">
        <v>-1500</v>
      </c>
      <c r="J151" s="22" t="n">
        <v>-5100</v>
      </c>
      <c r="L151" s="22" t="n">
        <v>-3100</v>
      </c>
      <c r="N151" s="22" t="n">
        <v>-7000</v>
      </c>
      <c r="V151" s="22" t="n">
        <v>0</v>
      </c>
      <c r="W151" s="22" t="n">
        <v>-5100</v>
      </c>
      <c r="X151" s="22" t="n">
        <v>-7000</v>
      </c>
    </row>
    <row r="152">
      <c r="A152" s="20" t="inlineStr">
        <is>
          <t>정기예금 인출</t>
        </is>
      </c>
      <c r="D152" s="22" t="n">
        <v>0</v>
      </c>
      <c r="F152" s="22" t="n">
        <v>0</v>
      </c>
      <c r="H152" s="22" t="n">
        <v>400</v>
      </c>
      <c r="J152" s="22" t="n">
        <v>3600</v>
      </c>
      <c r="L152" s="22" t="n">
        <v>2700</v>
      </c>
      <c r="N152" s="22" t="n">
        <v>6400</v>
      </c>
      <c r="V152" s="22" t="n">
        <v>0</v>
      </c>
      <c r="W152" s="22" t="n">
        <v>3600</v>
      </c>
      <c r="X152" s="22" t="n">
        <v>6400</v>
      </c>
    </row>
    <row r="153">
      <c r="A153" s="20" t="inlineStr">
        <is>
          <t>유가증권 상환 수입</t>
        </is>
      </c>
      <c r="F153" s="22" t="n">
        <v>0</v>
      </c>
      <c r="H153" s="22" t="n">
        <v>0</v>
      </c>
      <c r="J153" s="22" t="n">
        <v>300</v>
      </c>
      <c r="L153" s="22" t="n">
        <v>100</v>
      </c>
      <c r="N153" s="22" t="n">
        <v>200</v>
      </c>
      <c r="O153" s="22" t="n">
        <v>0</v>
      </c>
      <c r="P153" s="22" t="n">
        <v>200</v>
      </c>
      <c r="Q153" s="22" t="n">
        <v>100</v>
      </c>
      <c r="R153" s="22" t="n">
        <v>0</v>
      </c>
      <c r="V153" s="22" t="n">
        <v>0</v>
      </c>
      <c r="W153" s="22" t="n">
        <v>300</v>
      </c>
      <c r="X153" s="22" t="n">
        <v>200</v>
      </c>
    </row>
    <row r="154">
      <c r="A154" s="20" t="inlineStr">
        <is>
          <t>유형자산 취득(설비투자)</t>
        </is>
      </c>
      <c r="D154" s="22" t="n">
        <v>-74.43000000000001</v>
      </c>
      <c r="F154" s="22" t="n">
        <v>-140.543</v>
      </c>
      <c r="H154" s="22" t="n">
        <v>-192.847</v>
      </c>
      <c r="J154" s="22" t="n">
        <v>-233.174</v>
      </c>
      <c r="L154" s="22" t="n">
        <v>-73.506</v>
      </c>
      <c r="N154" s="22" t="n">
        <v>-126.998</v>
      </c>
      <c r="O154" s="22" t="n">
        <v>-119.876</v>
      </c>
      <c r="P154" s="22" t="n">
        <v>-333.896</v>
      </c>
      <c r="Q154" s="22" t="n">
        <v>-386.608</v>
      </c>
      <c r="R154" s="22" t="n">
        <v>-249.47</v>
      </c>
      <c r="S154" s="22" t="n">
        <v>-140.589</v>
      </c>
      <c r="T154" s="22" t="n">
        <v>-143.427</v>
      </c>
      <c r="U154" s="22" t="n">
        <v>-113.511</v>
      </c>
      <c r="V154" s="22" t="n">
        <v>-140.543</v>
      </c>
      <c r="W154" s="22" t="n">
        <v>-233.174</v>
      </c>
      <c r="X154" s="22" t="n">
        <v>-126.998</v>
      </c>
    </row>
    <row r="155">
      <c r="A155" s="20" t="inlineStr">
        <is>
          <t>무형자산 취득</t>
        </is>
      </c>
      <c r="D155" s="22" t="n">
        <v>-0.55</v>
      </c>
      <c r="F155" s="22" t="n">
        <v>-43.55</v>
      </c>
      <c r="H155" s="22" t="n">
        <v>-89.126</v>
      </c>
      <c r="J155" s="22" t="n">
        <v>-256.476</v>
      </c>
      <c r="L155" s="22" t="n">
        <v>-36.396</v>
      </c>
      <c r="N155" s="22" t="n">
        <v>-40.517</v>
      </c>
      <c r="O155" s="22" t="n">
        <v>0</v>
      </c>
      <c r="P155" s="22" t="n">
        <v>-6.255</v>
      </c>
      <c r="Q155" s="22" t="n">
        <v>0</v>
      </c>
      <c r="R155" s="22" t="n">
        <v>-26.937</v>
      </c>
      <c r="S155" s="22" t="n">
        <v>-8.5</v>
      </c>
      <c r="T155" s="22" t="n">
        <v>-2.2</v>
      </c>
      <c r="U155" s="22" t="n">
        <v>-6.56</v>
      </c>
      <c r="V155" s="22" t="n">
        <v>-43.55</v>
      </c>
      <c r="W155" s="22" t="n">
        <v>-256.476</v>
      </c>
      <c r="X155" s="22" t="n">
        <v>-40.517</v>
      </c>
    </row>
    <row r="156">
      <c r="A156" s="20" t="inlineStr">
        <is>
          <t>투자유가증권 취득</t>
        </is>
      </c>
      <c r="D156" s="22" t="n">
        <v>-201.499</v>
      </c>
      <c r="F156" s="22" t="n">
        <v>-402.999</v>
      </c>
      <c r="H156" s="22" t="n">
        <v>-301.499</v>
      </c>
      <c r="J156" s="22" t="n">
        <v>-502.999</v>
      </c>
      <c r="L156" s="22" t="n">
        <v>-201.499</v>
      </c>
      <c r="N156" s="22" t="n">
        <v>-502.999</v>
      </c>
      <c r="O156" s="22" t="n">
        <v>-403.599</v>
      </c>
      <c r="P156" s="22" t="n">
        <v>-503.599</v>
      </c>
      <c r="Q156" s="22" t="n">
        <v>-303.599</v>
      </c>
      <c r="R156" s="22" t="n">
        <v>-603.599</v>
      </c>
      <c r="S156" s="22" t="n">
        <v>-203.599</v>
      </c>
      <c r="T156" s="22" t="n">
        <v>-503.249</v>
      </c>
      <c r="U156" s="22" t="n">
        <v>-602.999</v>
      </c>
      <c r="V156" s="22" t="n">
        <v>-402.999</v>
      </c>
      <c r="W156" s="22" t="n">
        <v>-502.999</v>
      </c>
      <c r="X156" s="22" t="n">
        <v>-502.999</v>
      </c>
    </row>
    <row r="157">
      <c r="A157" s="20" t="inlineStr">
        <is>
          <t>투자유가증권 매각</t>
        </is>
      </c>
      <c r="D157" s="22" t="n">
        <v>0</v>
      </c>
      <c r="F157" s="22" t="n">
        <v>0</v>
      </c>
      <c r="R157" s="22" t="n">
        <v>0</v>
      </c>
      <c r="S157" s="22" t="n">
        <v>0.037</v>
      </c>
      <c r="T157" s="22" t="n">
        <v>0</v>
      </c>
      <c r="U157" s="22" t="n">
        <v>4.368</v>
      </c>
      <c r="V157" s="22" t="n">
        <v>0</v>
      </c>
    </row>
    <row r="158">
      <c r="A158" s="20" t="inlineStr">
        <is>
          <t>투자유가증권 상환</t>
        </is>
      </c>
      <c r="D158" s="22" t="n">
        <v>200</v>
      </c>
      <c r="F158" s="22" t="n">
        <v>300</v>
      </c>
      <c r="H158" s="22" t="n">
        <v>300</v>
      </c>
      <c r="J158" s="22" t="n">
        <v>300</v>
      </c>
      <c r="L158" s="22" t="n">
        <v>0</v>
      </c>
      <c r="N158" s="22" t="n">
        <v>0</v>
      </c>
      <c r="O158" s="22" t="n">
        <v>100</v>
      </c>
      <c r="P158" s="22" t="n">
        <v>100</v>
      </c>
      <c r="Q158" s="22" t="n">
        <v>100</v>
      </c>
      <c r="R158" s="22" t="n">
        <v>200</v>
      </c>
      <c r="S158" s="22" t="n">
        <v>52.99</v>
      </c>
      <c r="T158" s="22" t="n">
        <v>500</v>
      </c>
      <c r="U158" s="22" t="n">
        <v>500</v>
      </c>
      <c r="V158" s="22" t="n">
        <v>300</v>
      </c>
      <c r="W158" s="22" t="n">
        <v>300</v>
      </c>
      <c r="X158" s="22" t="n">
        <v>0</v>
      </c>
    </row>
    <row r="159">
      <c r="A159" s="20" t="inlineStr">
        <is>
          <t>자회사 주식 취득</t>
        </is>
      </c>
      <c r="O159" s="22" t="n">
        <v>-28.933</v>
      </c>
      <c r="P159" s="22" t="n">
        <v>0</v>
      </c>
    </row>
    <row r="160">
      <c r="A160" s="20" t="inlineStr">
        <is>
          <t>대여</t>
        </is>
      </c>
      <c r="D160" s="22" t="n">
        <v>-20.256</v>
      </c>
      <c r="F160" s="22" t="n">
        <v>-33.219</v>
      </c>
      <c r="H160" s="22" t="n">
        <v>-19.993</v>
      </c>
      <c r="J160" s="22" t="n">
        <v>-40.468</v>
      </c>
      <c r="L160" s="22" t="n">
        <v>-15.165</v>
      </c>
      <c r="N160" s="22" t="n">
        <v>-38.211</v>
      </c>
      <c r="P160" s="22" t="n">
        <v>0</v>
      </c>
      <c r="Q160" s="22" t="n">
        <v>-1</v>
      </c>
      <c r="R160" s="22" t="n">
        <v>-19.215</v>
      </c>
      <c r="S160" s="22" t="n">
        <v>-26.107</v>
      </c>
      <c r="T160" s="22" t="n">
        <v>-26.803</v>
      </c>
      <c r="U160" s="22" t="n">
        <v>-31.124</v>
      </c>
      <c r="V160" s="22" t="n">
        <v>-33.219</v>
      </c>
      <c r="W160" s="22" t="n">
        <v>-40.468</v>
      </c>
      <c r="X160" s="22" t="n">
        <v>-38.211</v>
      </c>
    </row>
    <row r="161">
      <c r="A161" s="20" t="inlineStr">
        <is>
          <t>대여금 회수</t>
        </is>
      </c>
      <c r="D161" s="22" t="n">
        <v>21.152</v>
      </c>
      <c r="F161" s="22" t="n">
        <v>34.86</v>
      </c>
      <c r="H161" s="22" t="n">
        <v>20.274</v>
      </c>
      <c r="J161" s="22" t="n">
        <v>36.405</v>
      </c>
      <c r="L161" s="22" t="n">
        <v>17.941</v>
      </c>
      <c r="N161" s="22" t="n">
        <v>40.862</v>
      </c>
      <c r="O161" s="22" t="n">
        <v>0.856</v>
      </c>
      <c r="P161" s="22" t="n">
        <v>0.777</v>
      </c>
      <c r="Q161" s="22" t="n">
        <v>0.8110000000000001</v>
      </c>
      <c r="R161" s="22" t="n">
        <v>4.565</v>
      </c>
      <c r="S161" s="22" t="n">
        <v>19.766</v>
      </c>
      <c r="T161" s="22" t="n">
        <v>24.212</v>
      </c>
      <c r="U161" s="22" t="n">
        <v>34.774</v>
      </c>
      <c r="V161" s="22" t="n">
        <v>34.86</v>
      </c>
      <c r="W161" s="22" t="n">
        <v>36.405</v>
      </c>
      <c r="X161" s="22" t="n">
        <v>40.862</v>
      </c>
    </row>
    <row r="162">
      <c r="A162" s="20" t="inlineStr">
        <is>
          <t>기타</t>
        </is>
      </c>
      <c r="D162" s="22" t="n">
        <v>0</v>
      </c>
      <c r="F162" s="22" t="n">
        <v>-4.33</v>
      </c>
      <c r="H162" s="22" t="n">
        <v>1.831</v>
      </c>
      <c r="J162" s="22" t="n">
        <v>1.831</v>
      </c>
      <c r="L162" s="22" t="n">
        <v>0</v>
      </c>
      <c r="N162" s="22" t="n">
        <v>0</v>
      </c>
      <c r="O162" s="22" t="n">
        <v>-0.051</v>
      </c>
      <c r="P162" s="22" t="n">
        <v>0.382</v>
      </c>
      <c r="Q162" s="22" t="n">
        <v>0</v>
      </c>
      <c r="R162" s="22" t="n">
        <v>5.231</v>
      </c>
      <c r="S162" s="22" t="n">
        <v>0</v>
      </c>
      <c r="U162" s="22" t="n">
        <v>0</v>
      </c>
      <c r="V162" s="22" t="n">
        <v>-4.33</v>
      </c>
      <c r="W162" s="22" t="n">
        <v>1.831</v>
      </c>
      <c r="X162" s="22" t="n">
        <v>0</v>
      </c>
    </row>
    <row r="163">
      <c r="A163" s="9" t="inlineStr">
        <is>
          <t>투자활동 현금흐름</t>
        </is>
      </c>
      <c r="D163" s="12" t="n">
        <v>-75.584</v>
      </c>
      <c r="F163" s="12" t="n">
        <v>-289.782</v>
      </c>
      <c r="H163" s="12" t="n">
        <v>-1381.36</v>
      </c>
      <c r="J163" s="12" t="n">
        <v>-1894.881</v>
      </c>
      <c r="L163" s="12" t="n">
        <v>-608.626</v>
      </c>
      <c r="N163" s="12" t="n">
        <v>-1067.863</v>
      </c>
      <c r="O163" s="12" t="n">
        <v>-451.604</v>
      </c>
      <c r="P163" s="12" t="n">
        <v>-542.591</v>
      </c>
      <c r="Q163" s="12" t="n">
        <v>-490.396</v>
      </c>
      <c r="R163" s="12" t="n">
        <v>-689.426</v>
      </c>
      <c r="S163" s="12" t="n">
        <v>-306.003</v>
      </c>
      <c r="T163" s="12" t="n">
        <v>-151.467</v>
      </c>
      <c r="U163" s="12" t="n">
        <v>-215.052</v>
      </c>
      <c r="V163" s="12" t="n">
        <v>-289.782</v>
      </c>
      <c r="W163" s="12" t="n">
        <v>-1894.881</v>
      </c>
      <c r="X163" s="12" t="n">
        <v>-1067.863</v>
      </c>
    </row>
    <row r="164">
      <c r="A164" s="20" t="inlineStr">
        <is>
          <t>자기주식 취득</t>
        </is>
      </c>
      <c r="F164" s="22" t="n">
        <v>-0.058</v>
      </c>
      <c r="J164" s="22" t="n">
        <v>0</v>
      </c>
      <c r="O164" s="22" t="n">
        <v>0</v>
      </c>
      <c r="P164" s="22" t="n">
        <v>-0.042</v>
      </c>
      <c r="Q164" s="22" t="n">
        <v>-0.036</v>
      </c>
      <c r="R164" s="22" t="n">
        <v>0</v>
      </c>
      <c r="S164" s="22" t="n">
        <v>0</v>
      </c>
      <c r="T164" s="22" t="n">
        <v>-0.03</v>
      </c>
      <c r="U164" s="22" t="n">
        <v>0</v>
      </c>
      <c r="V164" s="22" t="n">
        <v>-0.058</v>
      </c>
      <c r="W164" s="22" t="n">
        <v>0</v>
      </c>
    </row>
    <row r="165">
      <c r="A165" s="20" t="inlineStr">
        <is>
          <t>배당금 지급</t>
        </is>
      </c>
      <c r="D165" s="22" t="n">
        <v>-69.842</v>
      </c>
      <c r="F165" s="22" t="n">
        <v>-139.688</v>
      </c>
      <c r="H165" s="22" t="n">
        <v>-69.869</v>
      </c>
      <c r="J165" s="22" t="n">
        <v>-139.688</v>
      </c>
      <c r="L165" s="22" t="n">
        <v>-65.682</v>
      </c>
      <c r="N165" s="22" t="n">
        <v>-131.377</v>
      </c>
      <c r="O165" s="22" t="n">
        <v>-109.64</v>
      </c>
      <c r="P165" s="22" t="n">
        <v>-119.772</v>
      </c>
      <c r="Q165" s="22" t="n">
        <v>-129.714</v>
      </c>
      <c r="R165" s="22" t="n">
        <v>-139.623</v>
      </c>
      <c r="S165" s="22" t="n">
        <v>-135.651</v>
      </c>
      <c r="T165" s="22" t="n">
        <v>-131.743</v>
      </c>
      <c r="U165" s="22" t="n">
        <v>-131.568</v>
      </c>
      <c r="V165" s="22" t="n">
        <v>-139.688</v>
      </c>
      <c r="W165" s="22" t="n">
        <v>-139.688</v>
      </c>
      <c r="X165" s="22" t="n">
        <v>-131.377</v>
      </c>
    </row>
    <row r="166">
      <c r="A166" s="9" t="inlineStr">
        <is>
          <t>재무활동 현금흐름</t>
        </is>
      </c>
      <c r="D166" s="12" t="n">
        <v>-69.842</v>
      </c>
      <c r="F166" s="12" t="n">
        <v>-139.746</v>
      </c>
      <c r="H166" s="12" t="n">
        <v>-69.869</v>
      </c>
      <c r="J166" s="12" t="n">
        <v>-139.688</v>
      </c>
      <c r="L166" s="12" t="n">
        <v>-65.682</v>
      </c>
      <c r="N166" s="12" t="n">
        <v>-131.377</v>
      </c>
      <c r="O166" s="12" t="n">
        <v>-109.64</v>
      </c>
      <c r="P166" s="12" t="n">
        <v>-119.815</v>
      </c>
      <c r="Q166" s="12" t="n">
        <v>-129.751</v>
      </c>
      <c r="R166" s="12" t="n">
        <v>-139.623</v>
      </c>
      <c r="S166" s="12" t="n">
        <v>-135.651</v>
      </c>
      <c r="T166" s="12" t="n">
        <v>-131.774</v>
      </c>
      <c r="U166" s="12" t="n">
        <v>-131.568</v>
      </c>
      <c r="V166" s="12" t="n">
        <v>-139.746</v>
      </c>
      <c r="W166" s="12" t="n">
        <v>-139.688</v>
      </c>
      <c r="X166" s="12" t="n">
        <v>-131.377</v>
      </c>
    </row>
    <row r="167">
      <c r="A167" s="20" t="inlineStr">
        <is>
          <t>현금성자산 환산차이</t>
        </is>
      </c>
      <c r="D167" s="22" t="n">
        <v>-2.258</v>
      </c>
      <c r="F167" s="22" t="n">
        <v>-0.298</v>
      </c>
      <c r="H167" s="22" t="n">
        <v>-0.528</v>
      </c>
      <c r="J167" s="22" t="n">
        <v>-1.094</v>
      </c>
      <c r="L167" s="22" t="n">
        <v>0.533</v>
      </c>
      <c r="N167" s="22" t="n">
        <v>0.772</v>
      </c>
      <c r="O167" s="22" t="n">
        <v>0.004</v>
      </c>
      <c r="P167" s="22" t="n">
        <v>0</v>
      </c>
      <c r="Q167" s="22" t="n">
        <v>-0.06900000000000001</v>
      </c>
      <c r="R167" s="22" t="n">
        <v>-0.07199999999999999</v>
      </c>
      <c r="S167" s="22" t="n">
        <v>1.231</v>
      </c>
      <c r="T167" s="22" t="n">
        <v>-0.124</v>
      </c>
      <c r="U167" s="22" t="n">
        <v>0.437</v>
      </c>
      <c r="V167" s="22" t="n">
        <v>-0.298</v>
      </c>
      <c r="W167" s="22" t="n">
        <v>-1.094</v>
      </c>
      <c r="X167" s="22" t="n">
        <v>0.772</v>
      </c>
    </row>
    <row r="168">
      <c r="A168" s="20" t="inlineStr">
        <is>
          <t>현금성자산 증감</t>
        </is>
      </c>
      <c r="D168" s="22" t="n">
        <v>143.068</v>
      </c>
      <c r="F168" s="22" t="n">
        <v>110.646</v>
      </c>
      <c r="H168" s="22" t="n">
        <v>-2432.888</v>
      </c>
      <c r="J168" s="22" t="n">
        <v>-3190.219</v>
      </c>
      <c r="L168" s="22" t="n">
        <v>-498.035</v>
      </c>
      <c r="N168" s="22" t="n">
        <v>-255.231</v>
      </c>
      <c r="O168" s="22" t="n">
        <v>1700.293</v>
      </c>
      <c r="P168" s="22" t="n">
        <v>15.182</v>
      </c>
      <c r="Q168" s="22" t="n">
        <v>307.588</v>
      </c>
      <c r="R168" s="22" t="n">
        <v>-202.138</v>
      </c>
      <c r="S168" s="22" t="n">
        <v>372.032</v>
      </c>
      <c r="T168" s="22" t="n">
        <v>262.208</v>
      </c>
      <c r="U168" s="22" t="n">
        <v>-85.956</v>
      </c>
      <c r="V168" s="22" t="n">
        <v>110.646</v>
      </c>
      <c r="W168" s="22" t="n">
        <v>-3190.219</v>
      </c>
      <c r="X168" s="22" t="n">
        <v>-255.231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5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3426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6284.412</v>
      </c>
      <c r="D5" s="12" t="n">
        <v>6143</v>
      </c>
      <c r="E5" s="12" t="n">
        <v>6569.712</v>
      </c>
      <c r="F5" s="12" t="n">
        <v>6422.47</v>
      </c>
      <c r="G5" s="12" t="n">
        <v>6499.379</v>
      </c>
      <c r="H5" s="11" t="n">
        <v>8014.219</v>
      </c>
      <c r="I5" s="12" t="n">
        <v>7939.588</v>
      </c>
      <c r="J5" s="12" t="n">
        <v>8018.043</v>
      </c>
      <c r="K5" s="12" t="n">
        <v>6284.412</v>
      </c>
      <c r="L5" s="12" t="n">
        <v>6499.379</v>
      </c>
    </row>
    <row r="6">
      <c r="A6" s="20" t="inlineStr">
        <is>
          <t>현금및현금성자산</t>
        </is>
      </c>
      <c r="B6" s="10" t="n"/>
      <c r="C6" s="21" t="n">
        <v>3424.388</v>
      </c>
      <c r="D6" s="22" t="n">
        <v>3255.24</v>
      </c>
      <c r="E6" s="22" t="n">
        <v>3326.353</v>
      </c>
      <c r="F6" s="22" t="n">
        <v>3596.009</v>
      </c>
      <c r="G6" s="22" t="n">
        <v>3769.157</v>
      </c>
      <c r="H6" s="21" t="n">
        <v>2289.918</v>
      </c>
      <c r="I6" s="22" t="n">
        <v>1503.962</v>
      </c>
      <c r="J6" s="22" t="n">
        <v>2014.608</v>
      </c>
      <c r="K6" s="22" t="n">
        <v>3424.388</v>
      </c>
      <c r="L6" s="22" t="n">
        <v>3769.157</v>
      </c>
    </row>
    <row r="7">
      <c r="A7" s="20" t="inlineStr">
        <is>
          <t>단기금융상품</t>
        </is>
      </c>
      <c r="B7" s="10" t="n"/>
      <c r="C7" s="21" t="n">
        <v>0</v>
      </c>
      <c r="D7" s="22" t="n"/>
      <c r="E7" s="22" t="n">
        <v>99.98</v>
      </c>
      <c r="F7" s="22" t="n"/>
      <c r="G7" s="22" t="n">
        <v>99.92</v>
      </c>
      <c r="H7" s="21" t="n">
        <v>2800</v>
      </c>
      <c r="I7" s="22" t="n">
        <v>3500</v>
      </c>
      <c r="J7" s="22" t="n">
        <v>3100</v>
      </c>
      <c r="K7" s="22" t="n">
        <v>0</v>
      </c>
      <c r="L7" s="22" t="n">
        <v>99.92</v>
      </c>
    </row>
    <row r="8">
      <c r="A8" s="20" t="inlineStr">
        <is>
          <t>매출채권</t>
        </is>
      </c>
      <c r="B8" s="10" t="n"/>
      <c r="C8" s="21" t="n">
        <v>1476.869</v>
      </c>
      <c r="D8" s="22" t="n">
        <v>1601.501</v>
      </c>
      <c r="E8" s="22" t="n">
        <v>1885.836</v>
      </c>
      <c r="F8" s="22" t="n">
        <v>1369.978</v>
      </c>
      <c r="G8" s="22" t="n">
        <v>1348.746</v>
      </c>
      <c r="H8" s="21" t="n">
        <v>1505.469</v>
      </c>
      <c r="I8" s="22" t="n">
        <v>1545.945</v>
      </c>
      <c r="J8" s="22" t="n">
        <v>1556.04</v>
      </c>
      <c r="K8" s="22" t="n">
        <v>1476.869</v>
      </c>
      <c r="L8" s="22" t="n">
        <v>1348.746</v>
      </c>
    </row>
    <row r="9">
      <c r="A9" s="20" t="inlineStr">
        <is>
          <t>재고자산</t>
        </is>
      </c>
      <c r="B9" s="10" t="n"/>
      <c r="C9" s="21" t="n">
        <v>455.313</v>
      </c>
      <c r="D9" s="22" t="n">
        <v>524.1079999999999</v>
      </c>
      <c r="E9" s="22" t="n">
        <v>482.303</v>
      </c>
      <c r="F9" s="22" t="n">
        <v>591.572</v>
      </c>
      <c r="G9" s="22" t="n">
        <v>436.274</v>
      </c>
      <c r="H9" s="21" t="n">
        <v>555.071</v>
      </c>
      <c r="I9" s="22" t="n">
        <v>467.291</v>
      </c>
      <c r="J9" s="22" t="n">
        <v>464.345</v>
      </c>
      <c r="K9" s="22" t="n">
        <v>455.313</v>
      </c>
      <c r="L9" s="22" t="n">
        <v>436.274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5323.728</v>
      </c>
      <c r="D11" s="12" t="n">
        <v>5388.365</v>
      </c>
      <c r="E11" s="12" t="n">
        <v>5250.999</v>
      </c>
      <c r="F11" s="12" t="n">
        <v>5317.788</v>
      </c>
      <c r="G11" s="12" t="n">
        <v>5398.559</v>
      </c>
      <c r="H11" s="11" t="n">
        <v>4874.241</v>
      </c>
      <c r="I11" s="12" t="n">
        <v>4940.49</v>
      </c>
      <c r="J11" s="12" t="n">
        <v>5169.51</v>
      </c>
      <c r="K11" s="12" t="n">
        <v>5323.728</v>
      </c>
      <c r="L11" s="12" t="n">
        <v>5398.559</v>
      </c>
    </row>
    <row r="12">
      <c r="A12" s="20" t="inlineStr">
        <is>
          <t>유형자산</t>
        </is>
      </c>
      <c r="B12" s="10" t="n"/>
      <c r="C12" s="21" t="n">
        <v>2361.899</v>
      </c>
      <c r="D12" s="22" t="n">
        <v>2338.95</v>
      </c>
      <c r="E12" s="22" t="n">
        <v>2318.276</v>
      </c>
      <c r="F12" s="22" t="n">
        <v>2300.07</v>
      </c>
      <c r="G12" s="22" t="n">
        <v>2280.932</v>
      </c>
      <c r="H12" s="21" t="n">
        <v>2389.609</v>
      </c>
      <c r="I12" s="22" t="n">
        <v>2347.495</v>
      </c>
      <c r="J12" s="22" t="n">
        <v>2398.261</v>
      </c>
      <c r="K12" s="22" t="n">
        <v>2361.899</v>
      </c>
      <c r="L12" s="22" t="n">
        <v>2280.932</v>
      </c>
    </row>
    <row r="13">
      <c r="A13" s="20" t="inlineStr">
        <is>
          <t>무형자산</t>
        </is>
      </c>
      <c r="B13" s="10" t="n"/>
      <c r="C13" s="21" t="n">
        <v>355.769</v>
      </c>
      <c r="D13" s="22" t="n">
        <v>327.614</v>
      </c>
      <c r="E13" s="22" t="n">
        <v>308.899</v>
      </c>
      <c r="F13" s="22" t="n">
        <v>290.183</v>
      </c>
      <c r="G13" s="22" t="n">
        <v>275.778</v>
      </c>
      <c r="H13" s="21" t="n">
        <v>31.317</v>
      </c>
      <c r="I13" s="22" t="n">
        <v>27.917</v>
      </c>
      <c r="J13" s="22" t="n">
        <v>100.028</v>
      </c>
      <c r="K13" s="22" t="n">
        <v>355.769</v>
      </c>
      <c r="L13" s="22" t="n">
        <v>275.778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11608.141</v>
      </c>
      <c r="D16" s="12" t="n">
        <v>11531.366</v>
      </c>
      <c r="E16" s="12" t="n">
        <v>11820.712</v>
      </c>
      <c r="F16" s="12" t="n">
        <v>11740.259</v>
      </c>
      <c r="G16" s="12" t="n">
        <v>11897.939</v>
      </c>
      <c r="H16" s="11" t="n">
        <v>12888.461</v>
      </c>
      <c r="I16" s="12" t="n">
        <v>12880.078</v>
      </c>
      <c r="J16" s="12" t="n">
        <v>13187.554</v>
      </c>
      <c r="K16" s="12" t="n">
        <v>11608.141</v>
      </c>
      <c r="L16" s="12" t="n">
        <v>11897.939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960.326</v>
      </c>
      <c r="D18" s="12" t="n">
        <v>871.0839999999999</v>
      </c>
      <c r="E18" s="12" t="n">
        <v>1000.775</v>
      </c>
      <c r="F18" s="12" t="n">
        <v>911.941</v>
      </c>
      <c r="G18" s="12" t="n">
        <v>962.364</v>
      </c>
      <c r="H18" s="11" t="n">
        <v>2703.662</v>
      </c>
      <c r="I18" s="12" t="n">
        <v>2645.733</v>
      </c>
      <c r="J18" s="12" t="n">
        <v>2814.787</v>
      </c>
      <c r="K18" s="12" t="n">
        <v>960.326</v>
      </c>
      <c r="L18" s="12" t="n">
        <v>962.364</v>
      </c>
    </row>
    <row r="19">
      <c r="A19" s="20" t="inlineStr">
        <is>
          <t>매입채무</t>
        </is>
      </c>
      <c r="B19" s="10" t="n"/>
      <c r="C19" s="21" t="n">
        <v>591.52</v>
      </c>
      <c r="D19" s="22" t="n">
        <v>643.086</v>
      </c>
      <c r="E19" s="22" t="n">
        <v>720.189</v>
      </c>
      <c r="F19" s="22" t="n">
        <v>653.401</v>
      </c>
      <c r="G19" s="22" t="n">
        <v>672.385</v>
      </c>
      <c r="H19" s="21" t="n">
        <v>579.706</v>
      </c>
      <c r="I19" s="22" t="n">
        <v>563.379</v>
      </c>
      <c r="J19" s="22" t="n">
        <v>539.788</v>
      </c>
      <c r="K19" s="22" t="n">
        <v>591.52</v>
      </c>
      <c r="L19" s="22" t="n">
        <v>672.385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  <c r="K20" s="22" t="n"/>
      <c r="L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217.536</v>
      </c>
      <c r="D23" s="12" t="n">
        <v>216.31</v>
      </c>
      <c r="E23" s="12" t="n">
        <v>221.165</v>
      </c>
      <c r="F23" s="12" t="n">
        <v>222.711</v>
      </c>
      <c r="G23" s="12" t="n">
        <v>225.502</v>
      </c>
      <c r="H23" s="11" t="n">
        <v>373.237</v>
      </c>
      <c r="I23" s="12" t="n">
        <v>187.532</v>
      </c>
      <c r="J23" s="12" t="n">
        <v>222.348</v>
      </c>
      <c r="K23" s="12" t="n">
        <v>217.536</v>
      </c>
      <c r="L23" s="12" t="n">
        <v>225.502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  <c r="K24" s="22" t="n"/>
      <c r="L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1177.863</v>
      </c>
      <c r="D27" s="12" t="n">
        <v>1087.395</v>
      </c>
      <c r="E27" s="12" t="n">
        <v>1221.941</v>
      </c>
      <c r="F27" s="12" t="n">
        <v>1134.653</v>
      </c>
      <c r="G27" s="12" t="n">
        <v>1187.866</v>
      </c>
      <c r="H27" s="11" t="n">
        <v>3076.899</v>
      </c>
      <c r="I27" s="12" t="n">
        <v>2833.266</v>
      </c>
      <c r="J27" s="12" t="n">
        <v>3037.136</v>
      </c>
      <c r="K27" s="12" t="n">
        <v>1177.863</v>
      </c>
      <c r="L27" s="12" t="n">
        <v>1187.866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10430.277</v>
      </c>
      <c r="D31" s="12" t="n">
        <v>10443.971</v>
      </c>
      <c r="E31" s="12" t="n">
        <v>10598.77</v>
      </c>
      <c r="F31" s="12" t="n">
        <v>10605.606</v>
      </c>
      <c r="G31" s="12" t="n">
        <v>10710.072</v>
      </c>
      <c r="H31" s="11" t="n">
        <v>9811.562</v>
      </c>
      <c r="I31" s="12" t="n">
        <v>10046.812</v>
      </c>
      <c r="J31" s="12" t="n">
        <v>10150.417</v>
      </c>
      <c r="K31" s="12" t="n">
        <v>10430.277</v>
      </c>
      <c r="L31" s="12" t="n">
        <v>10710.072</v>
      </c>
    </row>
    <row r="32">
      <c r="A32" s="20" t="inlineStr">
        <is>
          <t>자본금</t>
        </is>
      </c>
      <c r="B32" s="10" t="n"/>
      <c r="C32" s="21" t="n">
        <v>300.745</v>
      </c>
      <c r="D32" s="22" t="n">
        <v>300.745</v>
      </c>
      <c r="E32" s="22" t="n">
        <v>300.745</v>
      </c>
      <c r="F32" s="22" t="n">
        <v>300.745</v>
      </c>
      <c r="G32" s="22" t="n">
        <v>300.745</v>
      </c>
      <c r="H32" s="21" t="n">
        <v>300.745</v>
      </c>
      <c r="I32" s="22" t="n">
        <v>300.745</v>
      </c>
      <c r="J32" s="22" t="n">
        <v>300.745</v>
      </c>
      <c r="K32" s="22" t="n">
        <v>300.745</v>
      </c>
      <c r="L32" s="22" t="n">
        <v>300.745</v>
      </c>
    </row>
    <row r="33">
      <c r="A33" s="20" t="inlineStr">
        <is>
          <t>이익잉여금</t>
        </is>
      </c>
      <c r="B33" s="10" t="n"/>
      <c r="C33" s="21" t="n">
        <v>9873.004000000001</v>
      </c>
      <c r="D33" s="22" t="n">
        <v>9880.013000000001</v>
      </c>
      <c r="E33" s="22" t="n">
        <v>10022.176</v>
      </c>
      <c r="F33" s="22" t="n">
        <v>10042.213</v>
      </c>
      <c r="G33" s="22" t="n">
        <v>10131.801</v>
      </c>
      <c r="H33" s="21" t="n">
        <v>9291.530000000001</v>
      </c>
      <c r="I33" s="22" t="n">
        <v>9506.728999999999</v>
      </c>
      <c r="J33" s="22" t="n">
        <v>9621.788</v>
      </c>
      <c r="K33" s="22" t="n">
        <v>9873.004000000001</v>
      </c>
      <c r="L33" s="22" t="n">
        <v>10131.801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10430.277</v>
      </c>
      <c r="D35" s="12" t="n">
        <v>10443.971</v>
      </c>
      <c r="E35" s="12" t="n">
        <v>10598.77</v>
      </c>
      <c r="F35" s="12" t="n">
        <v>10605.606</v>
      </c>
      <c r="G35" s="12" t="n">
        <v>10710.072</v>
      </c>
      <c r="H35" s="11" t="n">
        <v>9811.562</v>
      </c>
      <c r="I35" s="12" t="n">
        <v>10046.812</v>
      </c>
      <c r="J35" s="12" t="n">
        <v>10150.417</v>
      </c>
      <c r="K35" s="12" t="n">
        <v>10430.277</v>
      </c>
      <c r="L35" s="12" t="n">
        <v>10710.072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>
        <v>-1154.554</v>
      </c>
      <c r="D37" s="12" t="n"/>
      <c r="E37" s="12" t="n">
        <v>2.315</v>
      </c>
      <c r="F37" s="12" t="n"/>
      <c r="G37" s="12" t="n">
        <v>943.236</v>
      </c>
      <c r="H37" s="11" t="n">
        <v>545.575</v>
      </c>
      <c r="I37" s="12" t="n">
        <v>260.226</v>
      </c>
      <c r="J37" s="12" t="n">
        <v>540.473</v>
      </c>
      <c r="K37" s="12" t="n">
        <v>-1154.554</v>
      </c>
      <c r="L37" s="12" t="n">
        <v>943.236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489.65</v>
      </c>
      <c r="D38" s="22" t="n"/>
      <c r="E38" s="22" t="n">
        <v>317.579</v>
      </c>
      <c r="F38" s="22" t="n"/>
      <c r="G38" s="22" t="n">
        <v>167.515</v>
      </c>
      <c r="H38" s="21" t="n">
        <v>145.627</v>
      </c>
      <c r="I38" s="22" t="n">
        <v>120.071</v>
      </c>
      <c r="J38" s="22" t="n">
        <v>184.093</v>
      </c>
      <c r="K38" s="22" t="n">
        <v>489.65</v>
      </c>
      <c r="L38" s="22" t="n">
        <v>167.515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>
        <v>139.688</v>
      </c>
      <c r="D40" s="22" t="n"/>
      <c r="E40" s="22" t="n">
        <v>135.501</v>
      </c>
      <c r="F40" s="22" t="n"/>
      <c r="G40" s="22" t="n">
        <v>131.377</v>
      </c>
      <c r="H40" s="21" t="n">
        <v>131.743</v>
      </c>
      <c r="I40" s="22" t="n">
        <v>131.568</v>
      </c>
      <c r="J40" s="22" t="n">
        <v>139.688</v>
      </c>
      <c r="K40" s="22" t="n">
        <v>139.688</v>
      </c>
      <c r="L40" s="22" t="n">
        <v>131.377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IFERROR(('연간'!T19)/('연간'!T41),"")</f>
        <v/>
      </c>
      <c r="I48" s="33">
        <f>IFERROR(('연간'!U19)/('연간'!U41),"")</f>
        <v/>
      </c>
      <c r="J48" s="33">
        <f>IFERROR(('연간'!V19)/('연간'!V41),"")</f>
        <v/>
      </c>
      <c r="K48" s="33">
        <f>IFERROR(('연간'!W19)/('연간'!W41),"")</f>
        <v/>
      </c>
      <c r="L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IFERROR(IF(('연간'!T49)&lt;=0,"적자",H28/('연간'!T49)),"")</f>
        <v/>
      </c>
      <c r="I49" s="49">
        <f>IFERROR(IF(('연간'!U49)&lt;=0,"적자",I28/('연간'!U49)),"")</f>
        <v/>
      </c>
      <c r="J49" s="49">
        <f>IFERROR(IF(('연간'!V49)&lt;=0,"적자",J28/('연간'!V49)),"")</f>
        <v/>
      </c>
      <c r="K49" s="49">
        <f>IFERROR(IF(('연간'!W49)&lt;=0,"적자",K28/('연간'!W49)),"")</f>
        <v/>
      </c>
      <c r="L49" s="49">
        <f>IFERROR(IF(('연간'!X49)&lt;=0,"적자",L28/('연간'!X49)),"")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IFERROR(('연간'!T49)/H31,"")</f>
        <v/>
      </c>
      <c r="I51" s="38">
        <f>IFERROR(('연간'!U49)/I31,"")</f>
        <v/>
      </c>
      <c r="J51" s="38">
        <f>IFERROR(('연간'!V49)/J31,"")</f>
        <v/>
      </c>
      <c r="K51" s="38">
        <f>IFERROR(('연간'!W49)/K31,"")</f>
        <v/>
      </c>
      <c r="L51" s="38">
        <f>IFERROR(('연간'!X49)/L31,"")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IFERROR(('연간'!T47)/H16,"")</f>
        <v/>
      </c>
      <c r="I52" s="38">
        <f>IFERROR(('연간'!U47)/I16,"")</f>
        <v/>
      </c>
      <c r="J52" s="38">
        <f>IFERROR(('연간'!V47)/J16,"")</f>
        <v/>
      </c>
      <c r="K52" s="38">
        <f>IFERROR(('연간'!W47)/K16,"")</f>
        <v/>
      </c>
      <c r="L52" s="38">
        <f>IFERROR(('연간'!X47)/L16,"")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IFERROR(('연간'!T19)*(1-0.3)/(H35+H29),"")</f>
        <v/>
      </c>
      <c r="I53" s="38">
        <f>IFERROR(('연간'!U19)*(1-0.3)/(I35+I29),"")</f>
        <v/>
      </c>
      <c r="J53" s="38">
        <f>IFERROR(('연간'!V19)*(1-0.3)/(J35+J29),"")</f>
        <v/>
      </c>
      <c r="K53" s="38">
        <f>IFERROR(('연간'!W19)*(1-0.3)/(K35+K29),"")</f>
        <v/>
      </c>
      <c r="L53" s="38">
        <f>IFERROR(('연간'!X19)*(1-0.3)/(L35+L29),"")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IFERROR(('연간'!T13)/('연간'!T4),"")</f>
        <v/>
      </c>
      <c r="I54" s="38">
        <f>IFERROR(('연간'!U13)/('연간'!U4),"")</f>
        <v/>
      </c>
      <c r="J54" s="38">
        <f>IFERROR(('연간'!V13)/('연간'!V4),"")</f>
        <v/>
      </c>
      <c r="K54" s="38">
        <f>IFERROR(('연간'!W13)/('연간'!W4),"")</f>
        <v/>
      </c>
      <c r="L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IFERROR(('연간'!T19)/('연간'!T4),"")</f>
        <v/>
      </c>
      <c r="I55" s="38">
        <f>IFERROR(('연간'!U19)/('연간'!U4),"")</f>
        <v/>
      </c>
      <c r="J55" s="38">
        <f>IFERROR(('연간'!V19)/('연간'!V4),"")</f>
        <v/>
      </c>
      <c r="K55" s="38">
        <f>IFERROR(('연간'!W19)/('연간'!W4),"")</f>
        <v/>
      </c>
      <c r="L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IFERROR(('연간'!T47)/('연간'!T4),"")</f>
        <v/>
      </c>
      <c r="I56" s="38">
        <f>IFERROR(('연간'!U47)/('연간'!U4),"")</f>
        <v/>
      </c>
      <c r="J56" s="38">
        <f>IFERROR(('연간'!V47)/('연간'!V4),"")</f>
        <v/>
      </c>
      <c r="K56" s="38">
        <f>IFERROR(('연간'!W47)/('연간'!W4),"")</f>
        <v/>
      </c>
      <c r="L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IFERROR(('연간'!T4)/H16,"")</f>
        <v/>
      </c>
      <c r="I58" s="33">
        <f>IFERROR(('연간'!U4)/I16,"")</f>
        <v/>
      </c>
      <c r="J58" s="33">
        <f>IFERROR(('연간'!V4)/J16,"")</f>
        <v/>
      </c>
      <c r="K58" s="33">
        <f>IFERROR(('연간'!W4)/K16,"")</f>
        <v/>
      </c>
      <c r="L58" s="33">
        <f>IFERROR(('연간'!X4)/L16,"")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IFERROR(H8/('연간'!T4)*365,"")</f>
        <v/>
      </c>
      <c r="I59" s="51">
        <f>IFERROR(I8/('연간'!U4)*365,"")</f>
        <v/>
      </c>
      <c r="J59" s="51">
        <f>IFERROR(J8/('연간'!V4)*365,"")</f>
        <v/>
      </c>
      <c r="K59" s="51">
        <f>IFERROR(K8/('연간'!W4)*365,"")</f>
        <v/>
      </c>
      <c r="L59" s="51">
        <f>IFERROR(L8/('연간'!X4)*365,"")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IFERROR(H9/('연간'!T11)*365,"")</f>
        <v/>
      </c>
      <c r="I60" s="51">
        <f>IFERROR(I9/('연간'!U11)*365,"")</f>
        <v/>
      </c>
      <c r="J60" s="51">
        <f>IFERROR(J9/('연간'!V11)*365,"")</f>
        <v/>
      </c>
      <c r="K60" s="51">
        <f>IFERROR(K9/('연간'!W11)*365,"")</f>
        <v/>
      </c>
      <c r="L60" s="51">
        <f>IFERROR(L9/('연간'!X11)*365,"")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IFERROR(H19/('연간'!T11)*365,"")</f>
        <v/>
      </c>
      <c r="I61" s="51">
        <f>IFERROR(I19/('연간'!U11)*365,"")</f>
        <v/>
      </c>
      <c r="J61" s="51">
        <f>IFERROR(J19/('연간'!V11)*365,"")</f>
        <v/>
      </c>
      <c r="K61" s="51">
        <f>IFERROR(K19/('연간'!W11)*365,"")</f>
        <v/>
      </c>
      <c r="L61" s="51">
        <f>IFERROR(L19/('연간'!X11)*365,"")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IF(H37="","",IFERROR(H37/('연간'!T47),""))</f>
        <v/>
      </c>
      <c r="I64" s="33">
        <f>IF(I37="","",IFERROR(I37/('연간'!U47),""))</f>
        <v/>
      </c>
      <c r="J64" s="33">
        <f>IF(J37="","",IFERROR(J37/('연간'!V47),""))</f>
        <v/>
      </c>
      <c r="K64" s="33">
        <f>IF(K37="","",IFERROR(K37/('연간'!W47),""))</f>
        <v/>
      </c>
      <c r="L64" s="33">
        <f>IF(L37="","",IFERROR(L37/('연간'!X47),""))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IF(H39="","",IFERROR(H39/('연간'!T4),""))</f>
        <v/>
      </c>
      <c r="I65" s="38">
        <f>IF(I39="","",IFERROR(I39/('연간'!U4),""))</f>
        <v/>
      </c>
      <c r="J65" s="38">
        <f>IF(J39="","",IFERROR(J39/('연간'!V4),""))</f>
        <v/>
      </c>
      <c r="K65" s="38">
        <f>IF(K39="","",IFERROR(K39/('연간'!W4),""))</f>
        <v/>
      </c>
      <c r="L65" s="38">
        <f>IF(L39="","",IFERROR(L39/('연간'!X4),""))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IF(H38="","",IFERROR(H38/('연간'!T4),""))</f>
        <v/>
      </c>
      <c r="I66" s="38">
        <f>IF(I38="","",IFERROR(I38/('연간'!U4),""))</f>
        <v/>
      </c>
      <c r="J66" s="38">
        <f>IF(J38="","",IFERROR(J38/('연간'!V4),""))</f>
        <v/>
      </c>
      <c r="K66" s="38">
        <f>IF(K38="","",IFERROR(K38/('연간'!W4),""))</f>
        <v/>
      </c>
      <c r="L66" s="38">
        <f>IF(L38="","",IFERROR(L38/('연간'!X4),""))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IF(H40="","",IFERROR(H40/('연간'!T49),""))</f>
        <v/>
      </c>
      <c r="I67" s="38">
        <f>IF(I40="","",IFERROR(I40/('연간'!U49),""))</f>
        <v/>
      </c>
      <c r="J67" s="38">
        <f>IF(J40="","",IFERROR(J40/('연간'!V49),""))</f>
        <v/>
      </c>
      <c r="K67" s="38">
        <f>IF(K40="","",IFERROR(K40/('연간'!W49),""))</f>
        <v/>
      </c>
      <c r="L67" s="38">
        <f>IF(L40="","",IFERROR(L40/('연간'!X49),""))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3424.388</v>
      </c>
      <c r="D71" s="22" t="n">
        <v>3255.24</v>
      </c>
      <c r="E71" s="22" t="n">
        <v>3326.353</v>
      </c>
      <c r="F71" s="22" t="n">
        <v>3596.009</v>
      </c>
      <c r="G71" s="22" t="n">
        <v>3769.157</v>
      </c>
      <c r="H71" s="22" t="n">
        <v>2289.918</v>
      </c>
      <c r="I71" s="22" t="n">
        <v>1503.962</v>
      </c>
      <c r="J71" s="22" t="n">
        <v>2014.608</v>
      </c>
      <c r="K71" s="22" t="n">
        <v>3424.388</v>
      </c>
      <c r="L71" s="22" t="n">
        <v>3769.157</v>
      </c>
    </row>
    <row r="72">
      <c r="A72" s="20" t="inlineStr">
        <is>
          <t>받을어음·매출채권</t>
        </is>
      </c>
      <c r="C72" s="22" t="n">
        <v>1640.54</v>
      </c>
      <c r="D72" s="22" t="n">
        <v>1601.501</v>
      </c>
      <c r="E72" s="22" t="n">
        <v>1885.836</v>
      </c>
      <c r="F72" s="22" t="n">
        <v>1369.978</v>
      </c>
      <c r="H72" s="22" t="n">
        <v>1823.426</v>
      </c>
      <c r="I72" s="22" t="n">
        <v>1864.998</v>
      </c>
      <c r="J72" s="22" t="n">
        <v>1845.812</v>
      </c>
      <c r="K72" s="22" t="n">
        <v>1640.54</v>
      </c>
    </row>
    <row r="73">
      <c r="A73" s="20" t="inlineStr">
        <is>
          <t>받을어음</t>
        </is>
      </c>
      <c r="C73" s="22" t="n">
        <v>163.67</v>
      </c>
      <c r="G73" s="22" t="n">
        <v>6.949</v>
      </c>
      <c r="H73" s="22" t="n">
        <v>317.956</v>
      </c>
      <c r="I73" s="22" t="n">
        <v>319.052</v>
      </c>
      <c r="J73" s="22" t="n">
        <v>289.772</v>
      </c>
      <c r="K73" s="22" t="n">
        <v>163.67</v>
      </c>
      <c r="L73" s="22" t="n">
        <v>6.949</v>
      </c>
    </row>
    <row r="74">
      <c r="A74" s="20" t="inlineStr">
        <is>
          <t>전자기록채권</t>
        </is>
      </c>
      <c r="C74" s="22" t="n">
        <v>697.502</v>
      </c>
      <c r="D74" s="22" t="n">
        <v>698.095</v>
      </c>
      <c r="E74" s="22" t="n">
        <v>714.837</v>
      </c>
      <c r="F74" s="22" t="n">
        <v>797.527</v>
      </c>
      <c r="G74" s="22" t="n">
        <v>769.002</v>
      </c>
      <c r="H74" s="22" t="n">
        <v>470.173</v>
      </c>
      <c r="I74" s="22" t="n">
        <v>500.406</v>
      </c>
      <c r="J74" s="22" t="n">
        <v>531.664</v>
      </c>
      <c r="K74" s="22" t="n">
        <v>697.502</v>
      </c>
      <c r="L74" s="22" t="n">
        <v>769.002</v>
      </c>
    </row>
    <row r="75">
      <c r="A75" s="20" t="inlineStr">
        <is>
          <t>매출채권</t>
        </is>
      </c>
      <c r="C75" s="22" t="n">
        <v>1476.869</v>
      </c>
      <c r="G75" s="22" t="n">
        <v>1348.746</v>
      </c>
      <c r="H75" s="22" t="n">
        <v>1505.469</v>
      </c>
      <c r="I75" s="22" t="n">
        <v>1545.945</v>
      </c>
      <c r="J75" s="22" t="n">
        <v>1556.04</v>
      </c>
      <c r="K75" s="22" t="n">
        <v>1476.869</v>
      </c>
      <c r="L75" s="22" t="n">
        <v>1348.746</v>
      </c>
    </row>
    <row r="76">
      <c r="A76" s="20" t="inlineStr">
        <is>
          <t>유가증권</t>
        </is>
      </c>
      <c r="C76" s="22" t="n">
        <v>0</v>
      </c>
      <c r="E76" s="22" t="n">
        <v>99.98</v>
      </c>
      <c r="G76" s="22" t="n">
        <v>99.92</v>
      </c>
      <c r="H76" s="22" t="n">
        <v>2800</v>
      </c>
      <c r="I76" s="22" t="n">
        <v>3500</v>
      </c>
      <c r="J76" s="22" t="n">
        <v>3100</v>
      </c>
      <c r="K76" s="22" t="n">
        <v>0</v>
      </c>
      <c r="L76" s="22" t="n">
        <v>99.92</v>
      </c>
    </row>
    <row r="77">
      <c r="A77" s="20" t="inlineStr">
        <is>
          <t>상품</t>
        </is>
      </c>
      <c r="C77" s="22" t="n">
        <v>431.641</v>
      </c>
      <c r="D77" s="22" t="n">
        <v>501.433</v>
      </c>
      <c r="E77" s="22" t="n">
        <v>460.563</v>
      </c>
      <c r="F77" s="22" t="n">
        <v>571.494</v>
      </c>
      <c r="G77" s="22" t="n">
        <v>436.274</v>
      </c>
      <c r="H77" s="22" t="n">
        <v>529.749</v>
      </c>
      <c r="I77" s="22" t="n">
        <v>467.291</v>
      </c>
      <c r="J77" s="22" t="n">
        <v>464.345</v>
      </c>
      <c r="K77" s="22" t="n">
        <v>431.641</v>
      </c>
      <c r="L77" s="22" t="n">
        <v>436.274</v>
      </c>
    </row>
    <row r="78">
      <c r="A78" s="20" t="inlineStr">
        <is>
          <t>저장품</t>
        </is>
      </c>
      <c r="C78" s="22" t="n">
        <v>23.672</v>
      </c>
      <c r="D78" s="22" t="n">
        <v>22.675</v>
      </c>
      <c r="E78" s="22" t="n">
        <v>21.74</v>
      </c>
      <c r="F78" s="22" t="n">
        <v>20.078</v>
      </c>
      <c r="G78" s="22" t="n">
        <v>0</v>
      </c>
      <c r="H78" s="22" t="n">
        <v>25.322</v>
      </c>
      <c r="I78" s="22" t="n">
        <v>0</v>
      </c>
      <c r="J78" s="22" t="n">
        <v>0</v>
      </c>
      <c r="K78" s="22" t="n">
        <v>23.672</v>
      </c>
      <c r="L78" s="22" t="n">
        <v>0</v>
      </c>
    </row>
    <row r="79">
      <c r="A79" s="20" t="inlineStr">
        <is>
          <t>선급금</t>
        </is>
      </c>
      <c r="C79" s="22" t="n">
        <v>7.958</v>
      </c>
      <c r="G79" s="22" t="n">
        <v>2.237</v>
      </c>
      <c r="H79" s="22" t="n">
        <v>2.499</v>
      </c>
      <c r="I79" s="22" t="n">
        <v>1.631</v>
      </c>
      <c r="J79" s="22" t="n">
        <v>3.169</v>
      </c>
      <c r="K79" s="22" t="n">
        <v>7.958</v>
      </c>
      <c r="L79" s="22" t="n">
        <v>2.237</v>
      </c>
    </row>
    <row r="80">
      <c r="A80" s="20" t="inlineStr">
        <is>
          <t>선급비용</t>
        </is>
      </c>
      <c r="C80" s="22" t="n">
        <v>22.981</v>
      </c>
      <c r="G80" s="22" t="n">
        <v>25.341</v>
      </c>
      <c r="H80" s="22" t="n">
        <v>23.754</v>
      </c>
      <c r="I80" s="22" t="n">
        <v>23.767</v>
      </c>
      <c r="J80" s="22" t="n">
        <v>23.496</v>
      </c>
      <c r="K80" s="22" t="n">
        <v>22.981</v>
      </c>
      <c r="L80" s="22" t="n">
        <v>25.341</v>
      </c>
    </row>
    <row r="81">
      <c r="A81" s="20" t="inlineStr">
        <is>
          <t>미수 환급법인세</t>
        </is>
      </c>
      <c r="H81" s="22" t="n">
        <v>0</v>
      </c>
      <c r="I81" s="22" t="n">
        <v>43.096</v>
      </c>
      <c r="J81" s="22" t="n">
        <v>0</v>
      </c>
    </row>
    <row r="82">
      <c r="A82" s="20" t="inlineStr">
        <is>
          <t>기타</t>
        </is>
      </c>
      <c r="C82" s="22" t="n">
        <v>36.429</v>
      </c>
      <c r="D82" s="22" t="n">
        <v>64.744</v>
      </c>
      <c r="E82" s="22" t="n">
        <v>61.182</v>
      </c>
      <c r="F82" s="22" t="n">
        <v>68.03100000000001</v>
      </c>
      <c r="G82" s="22" t="n">
        <v>41.963</v>
      </c>
      <c r="H82" s="22" t="n">
        <v>49.603</v>
      </c>
      <c r="I82" s="22" t="n">
        <v>35.143</v>
      </c>
      <c r="J82" s="22" t="n">
        <v>35.659</v>
      </c>
      <c r="K82" s="22" t="n">
        <v>36.429</v>
      </c>
      <c r="L82" s="22" t="n">
        <v>41.963</v>
      </c>
    </row>
    <row r="83">
      <c r="A83" s="20" t="inlineStr">
        <is>
          <t>대손충당금</t>
        </is>
      </c>
      <c r="C83" s="22" t="n">
        <v>-0.701</v>
      </c>
      <c r="D83" s="22" t="n">
        <v>-0.6889999999999999</v>
      </c>
      <c r="E83" s="22" t="n">
        <v>-0.78</v>
      </c>
      <c r="F83" s="22" t="n">
        <v>-0.65</v>
      </c>
      <c r="G83" s="22" t="n">
        <v>-0.212</v>
      </c>
      <c r="H83" s="22" t="n">
        <v>-0.229</v>
      </c>
      <c r="I83" s="22" t="n">
        <v>-0.709</v>
      </c>
      <c r="J83" s="22" t="n">
        <v>-0.713</v>
      </c>
      <c r="K83" s="22" t="n">
        <v>-0.701</v>
      </c>
      <c r="L83" s="22" t="n">
        <v>-0.212</v>
      </c>
    </row>
    <row r="84">
      <c r="A84" s="9" t="inlineStr">
        <is>
          <t>유동자산 합계</t>
        </is>
      </c>
      <c r="C84" s="12" t="n">
        <v>6284.412</v>
      </c>
      <c r="D84" s="12" t="n">
        <v>6143</v>
      </c>
      <c r="E84" s="12" t="n">
        <v>6569.712</v>
      </c>
      <c r="F84" s="12" t="n">
        <v>6422.47</v>
      </c>
      <c r="G84" s="12" t="n">
        <v>6499.379</v>
      </c>
      <c r="H84" s="12" t="n">
        <v>8014.219</v>
      </c>
      <c r="I84" s="12" t="n">
        <v>7939.588</v>
      </c>
      <c r="J84" s="12" t="n">
        <v>8018.043</v>
      </c>
      <c r="K84" s="12" t="n">
        <v>6284.412</v>
      </c>
      <c r="L84" s="12" t="n">
        <v>6499.379</v>
      </c>
    </row>
    <row r="85">
      <c r="A85" s="20" t="inlineStr">
        <is>
          <t>건물</t>
        </is>
      </c>
      <c r="C85" s="22" t="n">
        <v>2887.321</v>
      </c>
      <c r="G85" s="22" t="n">
        <v>2891.108</v>
      </c>
      <c r="H85" s="22" t="n">
        <v>2871.958</v>
      </c>
      <c r="I85" s="22" t="n">
        <v>2872.322</v>
      </c>
      <c r="J85" s="22" t="n">
        <v>2880.862</v>
      </c>
      <c r="K85" s="22" t="n">
        <v>2887.321</v>
      </c>
      <c r="L85" s="22" t="n">
        <v>2891.108</v>
      </c>
    </row>
    <row r="86">
      <c r="A86" s="20" t="inlineStr">
        <is>
          <t>감가상각누계액</t>
        </is>
      </c>
      <c r="C86" s="22" t="n">
        <v>-1907.207</v>
      </c>
      <c r="G86" s="22" t="n">
        <v>-1950.922</v>
      </c>
      <c r="H86" s="22" t="n">
        <v>-1772.558</v>
      </c>
      <c r="I86" s="22" t="n">
        <v>-1818.621</v>
      </c>
      <c r="J86" s="22" t="n">
        <v>-1863.237</v>
      </c>
      <c r="K86" s="22" t="n">
        <v>-1907.207</v>
      </c>
      <c r="L86" s="22" t="n">
        <v>-1950.922</v>
      </c>
    </row>
    <row r="87">
      <c r="A87" s="20" t="inlineStr">
        <is>
          <t>건물(순액)</t>
        </is>
      </c>
      <c r="C87" s="22" t="n">
        <v>980.114</v>
      </c>
      <c r="D87" s="22" t="n">
        <v>972.971</v>
      </c>
      <c r="E87" s="22" t="n">
        <v>962.0410000000001</v>
      </c>
      <c r="F87" s="22" t="n">
        <v>951.112</v>
      </c>
      <c r="G87" s="22" t="n">
        <v>940.1849999999999</v>
      </c>
      <c r="H87" s="22" t="n">
        <v>1099.399</v>
      </c>
      <c r="I87" s="22" t="n">
        <v>1053.7</v>
      </c>
      <c r="J87" s="22" t="n">
        <v>1017.624</v>
      </c>
      <c r="K87" s="22" t="n">
        <v>980.114</v>
      </c>
      <c r="L87" s="22" t="n">
        <v>940.1849999999999</v>
      </c>
    </row>
    <row r="88">
      <c r="A88" s="20" t="inlineStr">
        <is>
          <t>구축물</t>
        </is>
      </c>
      <c r="C88" s="22" t="n">
        <v>28.657</v>
      </c>
      <c r="G88" s="22" t="n">
        <v>28.657</v>
      </c>
      <c r="H88" s="22" t="n">
        <v>28.657</v>
      </c>
      <c r="I88" s="22" t="n">
        <v>28.657</v>
      </c>
      <c r="J88" s="22" t="n">
        <v>28.657</v>
      </c>
      <c r="K88" s="22" t="n">
        <v>28.657</v>
      </c>
      <c r="L88" s="22" t="n">
        <v>28.657</v>
      </c>
    </row>
    <row r="89">
      <c r="A89" s="20" t="inlineStr">
        <is>
          <t>감가상각누계액</t>
        </is>
      </c>
      <c r="C89" s="22" t="n">
        <v>-24.412</v>
      </c>
      <c r="G89" s="22" t="n">
        <v>-25.273</v>
      </c>
      <c r="H89" s="22" t="n">
        <v>-21.195</v>
      </c>
      <c r="I89" s="22" t="n">
        <v>-22.683</v>
      </c>
      <c r="J89" s="22" t="n">
        <v>-23.548</v>
      </c>
      <c r="K89" s="22" t="n">
        <v>-24.412</v>
      </c>
      <c r="L89" s="22" t="n">
        <v>-25.273</v>
      </c>
    </row>
    <row r="90">
      <c r="A90" s="20" t="inlineStr">
        <is>
          <t>구축물(순액)</t>
        </is>
      </c>
      <c r="C90" s="22" t="n">
        <v>4.245</v>
      </c>
      <c r="G90" s="22" t="n">
        <v>3.383</v>
      </c>
      <c r="H90" s="22" t="n">
        <v>7.462</v>
      </c>
      <c r="I90" s="22" t="n">
        <v>5.974</v>
      </c>
      <c r="J90" s="22" t="n">
        <v>5.109</v>
      </c>
      <c r="K90" s="22" t="n">
        <v>4.245</v>
      </c>
      <c r="L90" s="22" t="n">
        <v>3.383</v>
      </c>
    </row>
    <row r="91">
      <c r="A91" s="20" t="inlineStr">
        <is>
          <t>기계장치</t>
        </is>
      </c>
      <c r="C91" s="22" t="n">
        <v>119.75</v>
      </c>
      <c r="G91" s="22" t="n">
        <v>119.75</v>
      </c>
      <c r="I91" s="22" t="n">
        <v>0</v>
      </c>
      <c r="J91" s="22" t="n">
        <v>119.75</v>
      </c>
      <c r="K91" s="22" t="n">
        <v>119.75</v>
      </c>
      <c r="L91" s="22" t="n">
        <v>119.75</v>
      </c>
    </row>
    <row r="92">
      <c r="A92" s="20" t="inlineStr">
        <is>
          <t>감가상각누계액</t>
        </is>
      </c>
      <c r="C92" s="22" t="n">
        <v>-27.143</v>
      </c>
      <c r="G92" s="22" t="n">
        <v>-45.664</v>
      </c>
      <c r="I92" s="22" t="n">
        <v>0</v>
      </c>
      <c r="J92" s="22" t="n">
        <v>-3.991</v>
      </c>
      <c r="K92" s="22" t="n">
        <v>-27.143</v>
      </c>
      <c r="L92" s="22" t="n">
        <v>-45.664</v>
      </c>
    </row>
    <row r="93">
      <c r="A93" s="20" t="inlineStr">
        <is>
          <t>기계장치(순액)</t>
        </is>
      </c>
      <c r="C93" s="22" t="n">
        <v>92.60599999999999</v>
      </c>
      <c r="G93" s="22" t="n">
        <v>74.08499999999999</v>
      </c>
      <c r="I93" s="22" t="n">
        <v>0</v>
      </c>
      <c r="J93" s="22" t="n">
        <v>115.758</v>
      </c>
      <c r="K93" s="22" t="n">
        <v>92.60599999999999</v>
      </c>
      <c r="L93" s="22" t="n">
        <v>74.08499999999999</v>
      </c>
    </row>
    <row r="94">
      <c r="A94" s="20" t="inlineStr">
        <is>
          <t>차량운반구</t>
        </is>
      </c>
      <c r="C94" s="22" t="n">
        <v>6.155</v>
      </c>
      <c r="G94" s="22" t="n">
        <v>6.155</v>
      </c>
      <c r="H94" s="22" t="n">
        <v>6.155</v>
      </c>
      <c r="I94" s="22" t="n">
        <v>6.155</v>
      </c>
      <c r="J94" s="22" t="n">
        <v>6.155</v>
      </c>
      <c r="K94" s="22" t="n">
        <v>6.155</v>
      </c>
      <c r="L94" s="22" t="n">
        <v>6.155</v>
      </c>
    </row>
    <row r="95">
      <c r="A95" s="20" t="inlineStr">
        <is>
          <t>감가상각누계액</t>
        </is>
      </c>
      <c r="C95" s="22" t="n">
        <v>-6.154</v>
      </c>
      <c r="G95" s="22" t="n">
        <v>-6.154</v>
      </c>
      <c r="H95" s="22" t="n">
        <v>-5.951</v>
      </c>
      <c r="I95" s="22" t="n">
        <v>-6.154</v>
      </c>
      <c r="J95" s="22" t="n">
        <v>-6.154</v>
      </c>
      <c r="K95" s="22" t="n">
        <v>-6.154</v>
      </c>
      <c r="L95" s="22" t="n">
        <v>-6.154</v>
      </c>
    </row>
    <row r="96">
      <c r="A96" s="20" t="inlineStr">
        <is>
          <t>차량운반구(순액)</t>
        </is>
      </c>
      <c r="C96" s="22" t="n">
        <v>0</v>
      </c>
      <c r="G96" s="22" t="n">
        <v>0</v>
      </c>
      <c r="H96" s="22" t="n">
        <v>0.203</v>
      </c>
      <c r="I96" s="22" t="n">
        <v>0</v>
      </c>
      <c r="J96" s="22" t="n">
        <v>0</v>
      </c>
      <c r="K96" s="22" t="n">
        <v>0</v>
      </c>
      <c r="L96" s="22" t="n">
        <v>0</v>
      </c>
    </row>
    <row r="97">
      <c r="A97" s="20" t="inlineStr">
        <is>
          <t>공구·기구·비품</t>
        </is>
      </c>
      <c r="C97" s="22" t="n">
        <v>2741.348</v>
      </c>
      <c r="G97" s="22" t="n">
        <v>2767.595</v>
      </c>
      <c r="H97" s="22" t="n">
        <v>2472.749</v>
      </c>
      <c r="I97" s="22" t="n">
        <v>2589.028</v>
      </c>
      <c r="J97" s="22" t="n">
        <v>2646.547</v>
      </c>
      <c r="K97" s="22" t="n">
        <v>2741.348</v>
      </c>
      <c r="L97" s="22" t="n">
        <v>2767.595</v>
      </c>
    </row>
    <row r="98">
      <c r="A98" s="20" t="inlineStr">
        <is>
          <t>감가상각누계액</t>
        </is>
      </c>
      <c r="C98" s="22" t="n">
        <v>-2617.7</v>
      </c>
      <c r="G98" s="22" t="n">
        <v>-2665.603</v>
      </c>
      <c r="H98" s="22" t="n">
        <v>-2351.49</v>
      </c>
      <c r="I98" s="22" t="n">
        <v>-2462.492</v>
      </c>
      <c r="J98" s="22" t="n">
        <v>-2548.063</v>
      </c>
      <c r="K98" s="22" t="n">
        <v>-2617.7</v>
      </c>
      <c r="L98" s="22" t="n">
        <v>-2665.603</v>
      </c>
    </row>
    <row r="99">
      <c r="A99" s="20" t="inlineStr">
        <is>
          <t>공구·기구·비품(순액)</t>
        </is>
      </c>
      <c r="C99" s="22" t="n">
        <v>123.647</v>
      </c>
      <c r="D99" s="22" t="n">
        <v>112.687</v>
      </c>
      <c r="E99" s="22" t="n">
        <v>107.788</v>
      </c>
      <c r="F99" s="22" t="n">
        <v>105.357</v>
      </c>
      <c r="G99" s="22" t="n">
        <v>101.991</v>
      </c>
      <c r="H99" s="22" t="n">
        <v>121.258</v>
      </c>
      <c r="I99" s="22" t="n">
        <v>126.535</v>
      </c>
      <c r="J99" s="22" t="n">
        <v>98.483</v>
      </c>
      <c r="K99" s="22" t="n">
        <v>123.647</v>
      </c>
      <c r="L99" s="22" t="n">
        <v>101.991</v>
      </c>
    </row>
    <row r="100">
      <c r="A100" s="20" t="inlineStr">
        <is>
          <t>토지</t>
        </is>
      </c>
      <c r="C100" s="22" t="n">
        <v>1161.285</v>
      </c>
      <c r="D100" s="22" t="n">
        <v>1161.285</v>
      </c>
      <c r="E100" s="22" t="n">
        <v>1161.285</v>
      </c>
      <c r="F100" s="22" t="n">
        <v>1161.285</v>
      </c>
      <c r="G100" s="22" t="n">
        <v>1161.285</v>
      </c>
      <c r="H100" s="22" t="n">
        <v>1161.285</v>
      </c>
      <c r="I100" s="22" t="n">
        <v>1161.285</v>
      </c>
      <c r="J100" s="22" t="n">
        <v>1161.285</v>
      </c>
      <c r="K100" s="22" t="n">
        <v>1161.285</v>
      </c>
      <c r="L100" s="22" t="n">
        <v>1161.285</v>
      </c>
    </row>
    <row r="101">
      <c r="A101" s="20" t="inlineStr">
        <is>
          <t>기타(순액)</t>
        </is>
      </c>
      <c r="C101" s="22" t="n">
        <v>96.852</v>
      </c>
      <c r="D101" s="22" t="n">
        <v>92.006</v>
      </c>
      <c r="E101" s="22" t="n">
        <v>87.16</v>
      </c>
      <c r="F101" s="22" t="n">
        <v>82.31399999999999</v>
      </c>
      <c r="H101" s="22" t="n">
        <v>7.665</v>
      </c>
      <c r="I101" s="22" t="n">
        <v>5.974</v>
      </c>
      <c r="J101" s="22" t="n">
        <v>120.867</v>
      </c>
      <c r="K101" s="22" t="n">
        <v>96.852</v>
      </c>
    </row>
    <row r="102">
      <c r="A102" s="20" t="inlineStr">
        <is>
          <t>유형자산 합계</t>
        </is>
      </c>
      <c r="C102" s="22" t="n">
        <v>2361.899</v>
      </c>
      <c r="D102" s="22" t="n">
        <v>2338.95</v>
      </c>
      <c r="E102" s="22" t="n">
        <v>2318.276</v>
      </c>
      <c r="F102" s="22" t="n">
        <v>2300.07</v>
      </c>
      <c r="G102" s="22" t="n">
        <v>2280.932</v>
      </c>
      <c r="H102" s="22" t="n">
        <v>2389.609</v>
      </c>
      <c r="I102" s="22" t="n">
        <v>2347.495</v>
      </c>
      <c r="J102" s="22" t="n">
        <v>2398.261</v>
      </c>
      <c r="K102" s="22" t="n">
        <v>2361.899</v>
      </c>
      <c r="L102" s="22" t="n">
        <v>2280.932</v>
      </c>
    </row>
    <row r="103">
      <c r="A103" s="20" t="inlineStr">
        <is>
          <t>상표권</t>
        </is>
      </c>
      <c r="C103" s="22" t="n">
        <v>0.734</v>
      </c>
      <c r="G103" s="22" t="n">
        <v>0.645</v>
      </c>
      <c r="H103" s="22" t="n">
        <v>0.135</v>
      </c>
      <c r="I103" s="22" t="n">
        <v>0.113</v>
      </c>
      <c r="J103" s="22" t="n">
        <v>0.091</v>
      </c>
      <c r="K103" s="22" t="n">
        <v>0.734</v>
      </c>
      <c r="L103" s="22" t="n">
        <v>0.645</v>
      </c>
    </row>
    <row r="104">
      <c r="A104" s="20" t="inlineStr">
        <is>
          <t>소프트웨어</t>
        </is>
      </c>
      <c r="C104" s="22" t="n">
        <v>18.513</v>
      </c>
      <c r="G104" s="22" t="n">
        <v>274.827</v>
      </c>
      <c r="H104" s="22" t="n">
        <v>30.876</v>
      </c>
      <c r="I104" s="22" t="n">
        <v>26.364</v>
      </c>
      <c r="J104" s="22" t="n">
        <v>18.78</v>
      </c>
      <c r="K104" s="22" t="n">
        <v>18.513</v>
      </c>
      <c r="L104" s="22" t="n">
        <v>274.827</v>
      </c>
    </row>
    <row r="105">
      <c r="A105" s="20" t="inlineStr">
        <is>
          <t>기타</t>
        </is>
      </c>
      <c r="C105" s="22" t="n">
        <v>336.521</v>
      </c>
      <c r="G105" s="22" t="n">
        <v>0.306</v>
      </c>
      <c r="H105" s="22" t="n">
        <v>0.306</v>
      </c>
      <c r="I105" s="22" t="n">
        <v>1.439</v>
      </c>
      <c r="J105" s="22" t="n">
        <v>81.15600000000001</v>
      </c>
      <c r="K105" s="22" t="n">
        <v>336.521</v>
      </c>
      <c r="L105" s="22" t="n">
        <v>0.306</v>
      </c>
    </row>
    <row r="106">
      <c r="A106" s="20" t="inlineStr">
        <is>
          <t>무형자산 합계</t>
        </is>
      </c>
      <c r="C106" s="22" t="n">
        <v>355.769</v>
      </c>
      <c r="D106" s="22" t="n">
        <v>327.614</v>
      </c>
      <c r="E106" s="22" t="n">
        <v>308.899</v>
      </c>
      <c r="F106" s="22" t="n">
        <v>290.183</v>
      </c>
      <c r="G106" s="22" t="n">
        <v>275.778</v>
      </c>
      <c r="H106" s="22" t="n">
        <v>31.317</v>
      </c>
      <c r="I106" s="22" t="n">
        <v>27.917</v>
      </c>
      <c r="J106" s="22" t="n">
        <v>100.028</v>
      </c>
      <c r="K106" s="22" t="n">
        <v>355.769</v>
      </c>
      <c r="L106" s="22" t="n">
        <v>275.778</v>
      </c>
    </row>
    <row r="107">
      <c r="A107" s="20" t="inlineStr">
        <is>
          <t>투자유가증권</t>
        </is>
      </c>
      <c r="C107" s="22" t="n">
        <v>2490.529</v>
      </c>
      <c r="D107" s="22" t="n">
        <v>2602.017</v>
      </c>
      <c r="E107" s="22" t="n">
        <v>2522.451</v>
      </c>
      <c r="F107" s="22" t="n">
        <v>2604.114</v>
      </c>
      <c r="G107" s="22" t="n">
        <v>2727.226</v>
      </c>
      <c r="H107" s="22" t="n">
        <v>2320.599</v>
      </c>
      <c r="I107" s="22" t="n">
        <v>2452.82</v>
      </c>
      <c r="J107" s="22" t="n">
        <v>2542.839</v>
      </c>
      <c r="K107" s="22" t="n">
        <v>2490.529</v>
      </c>
      <c r="L107" s="22" t="n">
        <v>2727.226</v>
      </c>
    </row>
    <row r="108">
      <c r="A108" s="20" t="inlineStr">
        <is>
          <t>기타</t>
        </is>
      </c>
      <c r="C108" s="22" t="n">
        <v>139.776</v>
      </c>
      <c r="D108" s="22" t="n">
        <v>144.539</v>
      </c>
      <c r="E108" s="22" t="n">
        <v>126.337</v>
      </c>
      <c r="F108" s="22" t="n">
        <v>150.952</v>
      </c>
      <c r="H108" s="22" t="n">
        <v>156.951</v>
      </c>
      <c r="I108" s="22" t="n">
        <v>137.711</v>
      </c>
      <c r="J108" s="22" t="n">
        <v>154.24</v>
      </c>
      <c r="K108" s="22" t="n">
        <v>139.776</v>
      </c>
    </row>
    <row r="109">
      <c r="A109" s="20" t="inlineStr">
        <is>
          <t>관계회사 주식</t>
        </is>
      </c>
      <c r="C109" s="22" t="n">
        <v>0</v>
      </c>
      <c r="G109" s="22" t="n">
        <v>0</v>
      </c>
      <c r="H109" s="22" t="n">
        <v>0</v>
      </c>
      <c r="I109" s="22" t="n">
        <v>0</v>
      </c>
      <c r="J109" s="22" t="n">
        <v>0</v>
      </c>
      <c r="K109" s="22" t="n">
        <v>0</v>
      </c>
      <c r="L109" s="22" t="n">
        <v>0</v>
      </c>
    </row>
    <row r="110">
      <c r="A110" s="20" t="inlineStr">
        <is>
          <t>Long Term Loans Receivable From Employees</t>
        </is>
      </c>
      <c r="H110" s="22" t="n">
        <v>0.035</v>
      </c>
      <c r="I110" s="22" t="n">
        <v>0</v>
      </c>
    </row>
    <row r="111">
      <c r="A111" s="20" t="inlineStr">
        <is>
          <t>관계회사 장기대여금</t>
        </is>
      </c>
      <c r="C111" s="22" t="n">
        <v>34.03</v>
      </c>
      <c r="G111" s="22" t="n">
        <v>36.212</v>
      </c>
      <c r="H111" s="22" t="n">
        <v>32.11</v>
      </c>
      <c r="I111" s="22" t="n">
        <v>31.172</v>
      </c>
      <c r="J111" s="22" t="n">
        <v>33.977</v>
      </c>
      <c r="K111" s="22" t="n">
        <v>34.03</v>
      </c>
      <c r="L111" s="22" t="n">
        <v>36.212</v>
      </c>
    </row>
    <row r="112">
      <c r="A112" s="20" t="inlineStr">
        <is>
          <t>파산갱생채권 등</t>
        </is>
      </c>
      <c r="C112" s="22" t="n">
        <v>0</v>
      </c>
      <c r="G112" s="22" t="n">
        <v>0</v>
      </c>
      <c r="H112" s="22" t="n">
        <v>0</v>
      </c>
      <c r="I112" s="22" t="n">
        <v>1.998</v>
      </c>
      <c r="J112" s="22" t="n">
        <v>0.018</v>
      </c>
      <c r="K112" s="22" t="n">
        <v>0</v>
      </c>
      <c r="L112" s="22" t="n">
        <v>0</v>
      </c>
    </row>
    <row r="113">
      <c r="A113" s="20" t="inlineStr">
        <is>
          <t>장기선급비용</t>
        </is>
      </c>
      <c r="C113" s="22" t="n">
        <v>4.741</v>
      </c>
      <c r="G113" s="22" t="n">
        <v>2.118</v>
      </c>
      <c r="H113" s="22" t="n">
        <v>5.38</v>
      </c>
      <c r="I113" s="22" t="n">
        <v>2.697</v>
      </c>
      <c r="J113" s="22" t="n">
        <v>0</v>
      </c>
      <c r="K113" s="22" t="n">
        <v>4.741</v>
      </c>
      <c r="L113" s="22" t="n">
        <v>2.118</v>
      </c>
    </row>
    <row r="114">
      <c r="A114" s="20" t="inlineStr">
        <is>
          <t>이연법인세자산</t>
        </is>
      </c>
      <c r="C114" s="22" t="n">
        <v>49.373</v>
      </c>
      <c r="G114" s="22" t="n">
        <v>51.057</v>
      </c>
      <c r="H114" s="22" t="n">
        <v>66.99299999999999</v>
      </c>
      <c r="I114" s="22" t="n">
        <v>50.61</v>
      </c>
      <c r="J114" s="22" t="n">
        <v>65.88200000000001</v>
      </c>
      <c r="K114" s="22" t="n">
        <v>49.373</v>
      </c>
      <c r="L114" s="22" t="n">
        <v>51.057</v>
      </c>
    </row>
    <row r="115">
      <c r="A115" s="20" t="inlineStr">
        <is>
          <t>임차보증금·보증금</t>
        </is>
      </c>
      <c r="C115" s="22" t="n">
        <v>51.63</v>
      </c>
      <c r="G115" s="22" t="n">
        <v>51.63</v>
      </c>
      <c r="H115" s="22" t="n">
        <v>49.131</v>
      </c>
      <c r="I115" s="22" t="n">
        <v>49.131</v>
      </c>
      <c r="J115" s="22" t="n">
        <v>53.462</v>
      </c>
      <c r="K115" s="22" t="n">
        <v>51.63</v>
      </c>
      <c r="L115" s="22" t="n">
        <v>51.63</v>
      </c>
    </row>
    <row r="116">
      <c r="A116" s="20" t="inlineStr">
        <is>
          <t>Long Term Accounts Receivable Other</t>
        </is>
      </c>
      <c r="C116" s="22" t="n">
        <v>0</v>
      </c>
      <c r="H116" s="22" t="n">
        <v>3.3</v>
      </c>
      <c r="I116" s="22" t="n">
        <v>2.1</v>
      </c>
      <c r="J116" s="22" t="n">
        <v>0.9</v>
      </c>
      <c r="K116" s="22" t="n">
        <v>0</v>
      </c>
    </row>
    <row r="117">
      <c r="A117" s="20" t="inlineStr">
        <is>
          <t>대손충당금</t>
        </is>
      </c>
      <c r="C117" s="22" t="n">
        <v>-24.246</v>
      </c>
      <c r="D117" s="22" t="n">
        <v>-24.755</v>
      </c>
      <c r="E117" s="22" t="n">
        <v>-24.965</v>
      </c>
      <c r="F117" s="22" t="n">
        <v>-27.531</v>
      </c>
      <c r="G117" s="22" t="n">
        <v>-26.397</v>
      </c>
      <c r="H117" s="22" t="n">
        <v>-24.236</v>
      </c>
      <c r="I117" s="22" t="n">
        <v>-25.455</v>
      </c>
      <c r="J117" s="22" t="n">
        <v>-25.859</v>
      </c>
      <c r="K117" s="22" t="n">
        <v>-24.246</v>
      </c>
      <c r="L117" s="22" t="n">
        <v>-26.397</v>
      </c>
    </row>
    <row r="118">
      <c r="A118" s="20" t="inlineStr">
        <is>
          <t>투자 및 기타자산 합계</t>
        </is>
      </c>
      <c r="C118" s="22" t="n">
        <v>2606.059</v>
      </c>
      <c r="D118" s="22" t="n">
        <v>2721.8</v>
      </c>
      <c r="E118" s="22" t="n">
        <v>2623.823</v>
      </c>
      <c r="F118" s="22" t="n">
        <v>2727.534</v>
      </c>
      <c r="G118" s="22" t="n">
        <v>2841.848</v>
      </c>
      <c r="H118" s="22" t="n">
        <v>2453.314</v>
      </c>
      <c r="I118" s="22" t="n">
        <v>2565.077</v>
      </c>
      <c r="J118" s="22" t="n">
        <v>2671.22</v>
      </c>
      <c r="K118" s="22" t="n">
        <v>2606.059</v>
      </c>
      <c r="L118" s="22" t="n">
        <v>2841.848</v>
      </c>
    </row>
    <row r="119">
      <c r="A119" s="9" t="inlineStr">
        <is>
          <t>비유동자산 합계</t>
        </is>
      </c>
      <c r="C119" s="12" t="n">
        <v>5323.728</v>
      </c>
      <c r="D119" s="12" t="n">
        <v>5388.365</v>
      </c>
      <c r="E119" s="12" t="n">
        <v>5250.999</v>
      </c>
      <c r="F119" s="12" t="n">
        <v>5317.788</v>
      </c>
      <c r="G119" s="12" t="n">
        <v>5398.559</v>
      </c>
      <c r="H119" s="12" t="n">
        <v>4874.241</v>
      </c>
      <c r="I119" s="12" t="n">
        <v>4940.49</v>
      </c>
      <c r="J119" s="12" t="n">
        <v>5169.51</v>
      </c>
      <c r="K119" s="12" t="n">
        <v>5323.728</v>
      </c>
      <c r="L119" s="12" t="n">
        <v>5398.559</v>
      </c>
    </row>
    <row r="120">
      <c r="A120" s="9" t="inlineStr">
        <is>
          <t>자산 합계</t>
        </is>
      </c>
      <c r="C120" s="12" t="n">
        <v>11608.141</v>
      </c>
      <c r="D120" s="12" t="n">
        <v>11531.366</v>
      </c>
      <c r="E120" s="12" t="n">
        <v>11820.712</v>
      </c>
      <c r="F120" s="12" t="n">
        <v>11740.259</v>
      </c>
      <c r="G120" s="12" t="n">
        <v>11897.939</v>
      </c>
      <c r="H120" s="12" t="n">
        <v>12888.461</v>
      </c>
      <c r="I120" s="12" t="n">
        <v>12880.078</v>
      </c>
      <c r="J120" s="12" t="n">
        <v>13187.554</v>
      </c>
      <c r="K120" s="12" t="n">
        <v>11608.141</v>
      </c>
      <c r="L120" s="12" t="n">
        <v>11897.939</v>
      </c>
    </row>
    <row r="121">
      <c r="A121" s="20" t="inlineStr">
        <is>
          <t>지급어음·매입채무</t>
        </is>
      </c>
      <c r="H121" s="22" t="n">
        <v>663.744</v>
      </c>
      <c r="I121" s="22" t="n">
        <v>664.462</v>
      </c>
      <c r="J121" s="22" t="n">
        <v>624.518</v>
      </c>
    </row>
    <row r="122">
      <c r="A122" s="20" t="inlineStr">
        <is>
          <t>지급어음</t>
        </is>
      </c>
      <c r="C122" s="22" t="n">
        <v>0</v>
      </c>
      <c r="H122" s="22" t="n">
        <v>84.03700000000001</v>
      </c>
      <c r="I122" s="22" t="n">
        <v>101.082</v>
      </c>
      <c r="J122" s="22" t="n">
        <v>84.73</v>
      </c>
      <c r="K122" s="22" t="n">
        <v>0</v>
      </c>
    </row>
    <row r="123">
      <c r="A123" s="20" t="inlineStr">
        <is>
          <t>전자기록채무</t>
        </is>
      </c>
      <c r="C123" s="22" t="n">
        <v>0</v>
      </c>
      <c r="G123" s="22" t="n">
        <v>0.416</v>
      </c>
      <c r="H123" s="22" t="n">
        <v>1778.071</v>
      </c>
      <c r="I123" s="22" t="n">
        <v>1790.808</v>
      </c>
      <c r="J123" s="22" t="n">
        <v>1857.713</v>
      </c>
      <c r="K123" s="22" t="n">
        <v>0</v>
      </c>
      <c r="L123" s="22" t="n">
        <v>0.416</v>
      </c>
    </row>
    <row r="124">
      <c r="A124" s="20" t="inlineStr">
        <is>
          <t>매입채무</t>
        </is>
      </c>
      <c r="C124" s="22" t="n">
        <v>591.52</v>
      </c>
      <c r="D124" s="22" t="n">
        <v>643.086</v>
      </c>
      <c r="E124" s="22" t="n">
        <v>720.189</v>
      </c>
      <c r="F124" s="22" t="n">
        <v>653.401</v>
      </c>
      <c r="G124" s="22" t="n">
        <v>672.385</v>
      </c>
      <c r="H124" s="22" t="n">
        <v>579.706</v>
      </c>
      <c r="I124" s="22" t="n">
        <v>563.379</v>
      </c>
      <c r="J124" s="22" t="n">
        <v>539.788</v>
      </c>
      <c r="K124" s="22" t="n">
        <v>591.52</v>
      </c>
      <c r="L124" s="22" t="n">
        <v>672.385</v>
      </c>
    </row>
    <row r="125">
      <c r="A125" s="20" t="inlineStr">
        <is>
          <t>미지급금</t>
        </is>
      </c>
      <c r="C125" s="22" t="n">
        <v>123.827</v>
      </c>
      <c r="G125" s="22" t="n">
        <v>74.012</v>
      </c>
      <c r="H125" s="22" t="n">
        <v>61.072</v>
      </c>
      <c r="I125" s="22" t="n">
        <v>69.13200000000001</v>
      </c>
      <c r="J125" s="22" t="n">
        <v>125.149</v>
      </c>
      <c r="K125" s="22" t="n">
        <v>123.827</v>
      </c>
      <c r="L125" s="22" t="n">
        <v>74.012</v>
      </c>
    </row>
    <row r="126">
      <c r="A126" s="20" t="inlineStr">
        <is>
          <t>미지급비용</t>
        </is>
      </c>
      <c r="C126" s="22" t="n">
        <v>39.809</v>
      </c>
      <c r="G126" s="22" t="n">
        <v>39.854</v>
      </c>
      <c r="H126" s="22" t="n">
        <v>41.693</v>
      </c>
      <c r="I126" s="22" t="n">
        <v>42.354</v>
      </c>
      <c r="J126" s="22" t="n">
        <v>45.774</v>
      </c>
      <c r="K126" s="22" t="n">
        <v>39.809</v>
      </c>
      <c r="L126" s="22" t="n">
        <v>39.854</v>
      </c>
    </row>
    <row r="127">
      <c r="A127" s="20" t="inlineStr">
        <is>
          <t>미지급법인세</t>
        </is>
      </c>
      <c r="C127" s="22" t="n">
        <v>110.057</v>
      </c>
      <c r="D127" s="22" t="n">
        <v>43.198</v>
      </c>
      <c r="E127" s="22" t="n">
        <v>102.414</v>
      </c>
      <c r="F127" s="22" t="n">
        <v>64.178</v>
      </c>
      <c r="G127" s="22" t="n">
        <v>108.938</v>
      </c>
      <c r="H127" s="22" t="n">
        <v>101.532</v>
      </c>
      <c r="I127" s="22" t="n">
        <v>4.966</v>
      </c>
      <c r="J127" s="22" t="n">
        <v>107.899</v>
      </c>
      <c r="K127" s="22" t="n">
        <v>110.057</v>
      </c>
      <c r="L127" s="22" t="n">
        <v>108.938</v>
      </c>
    </row>
    <row r="128">
      <c r="A128" s="20" t="inlineStr">
        <is>
          <t>상여충당금</t>
        </is>
      </c>
      <c r="C128" s="22" t="n">
        <v>0</v>
      </c>
      <c r="D128" s="22" t="n">
        <v>56.972</v>
      </c>
      <c r="F128" s="22" t="n">
        <v>56.835</v>
      </c>
      <c r="H128" s="22" t="n">
        <v>0</v>
      </c>
      <c r="I128" s="22" t="n">
        <v>0</v>
      </c>
      <c r="J128" s="22" t="n">
        <v>0</v>
      </c>
      <c r="K128" s="22" t="n">
        <v>0</v>
      </c>
    </row>
    <row r="129">
      <c r="A129" s="20" t="inlineStr">
        <is>
          <t>기타</t>
        </is>
      </c>
      <c r="C129" s="22" t="n">
        <v>258.748</v>
      </c>
      <c r="D129" s="22" t="n">
        <v>127.827</v>
      </c>
      <c r="E129" s="22" t="n">
        <v>178.172</v>
      </c>
      <c r="F129" s="22" t="n">
        <v>137.525</v>
      </c>
      <c r="H129" s="22" t="n">
        <v>160.313</v>
      </c>
      <c r="I129" s="22" t="n">
        <v>185.496</v>
      </c>
      <c r="J129" s="22" t="n">
        <v>224.656</v>
      </c>
      <c r="K129" s="22" t="n">
        <v>258.748</v>
      </c>
    </row>
    <row r="130">
      <c r="A130" s="20" t="inlineStr">
        <is>
          <t>미지급 소비세</t>
        </is>
      </c>
      <c r="C130" s="22" t="n">
        <v>52.152</v>
      </c>
      <c r="G130" s="22" t="n">
        <v>8.853</v>
      </c>
      <c r="H130" s="22" t="n">
        <v>18.412</v>
      </c>
      <c r="I130" s="22" t="n">
        <v>34.053</v>
      </c>
      <c r="J130" s="22" t="n">
        <v>17.615</v>
      </c>
      <c r="K130" s="22" t="n">
        <v>52.152</v>
      </c>
      <c r="L130" s="22" t="n">
        <v>8.853</v>
      </c>
    </row>
    <row r="131">
      <c r="A131" s="20" t="inlineStr">
        <is>
          <t>예수금</t>
        </is>
      </c>
      <c r="C131" s="22" t="n">
        <v>40.11</v>
      </c>
      <c r="G131" s="22" t="n">
        <v>40.195</v>
      </c>
      <c r="H131" s="22" t="n">
        <v>39.135</v>
      </c>
      <c r="I131" s="22" t="n">
        <v>39.955</v>
      </c>
      <c r="J131" s="22" t="n">
        <v>36.116</v>
      </c>
      <c r="K131" s="22" t="n">
        <v>40.11</v>
      </c>
      <c r="L131" s="22" t="n">
        <v>40.195</v>
      </c>
    </row>
    <row r="132">
      <c r="A132" s="20" t="inlineStr">
        <is>
          <t>선수금</t>
        </is>
      </c>
      <c r="C132" s="22" t="n">
        <v>2.849</v>
      </c>
      <c r="G132" s="22" t="n">
        <v>0</v>
      </c>
      <c r="J132" s="22" t="n">
        <v>0</v>
      </c>
      <c r="K132" s="22" t="n">
        <v>2.849</v>
      </c>
      <c r="L132" s="22" t="n">
        <v>0</v>
      </c>
    </row>
    <row r="133">
      <c r="A133" s="20" t="inlineStr">
        <is>
          <t>제품보상 충당금</t>
        </is>
      </c>
      <c r="C133" s="22" t="n">
        <v>0</v>
      </c>
      <c r="G133" s="22" t="n">
        <v>17.708</v>
      </c>
      <c r="K133" s="22" t="n">
        <v>0</v>
      </c>
      <c r="L133" s="22" t="n">
        <v>17.708</v>
      </c>
    </row>
    <row r="134">
      <c r="A134" s="9" t="inlineStr">
        <is>
          <t>유동부채 합계</t>
        </is>
      </c>
      <c r="C134" s="12" t="n">
        <v>960.326</v>
      </c>
      <c r="D134" s="12" t="n">
        <v>871.0839999999999</v>
      </c>
      <c r="E134" s="12" t="n">
        <v>1000.775</v>
      </c>
      <c r="F134" s="12" t="n">
        <v>911.941</v>
      </c>
      <c r="G134" s="12" t="n">
        <v>962.364</v>
      </c>
      <c r="H134" s="12" t="n">
        <v>2703.662</v>
      </c>
      <c r="I134" s="12" t="n">
        <v>2645.733</v>
      </c>
      <c r="J134" s="12" t="n">
        <v>2814.787</v>
      </c>
      <c r="K134" s="12" t="n">
        <v>960.326</v>
      </c>
      <c r="L134" s="12" t="n">
        <v>962.364</v>
      </c>
    </row>
    <row r="135">
      <c r="A135" s="20" t="inlineStr">
        <is>
          <t>퇴직급여충당금</t>
        </is>
      </c>
      <c r="C135" s="22" t="n">
        <v>134.486</v>
      </c>
      <c r="D135" s="22" t="n">
        <v>130.985</v>
      </c>
      <c r="E135" s="22" t="n">
        <v>132.665</v>
      </c>
      <c r="F135" s="22" t="n">
        <v>132.086</v>
      </c>
      <c r="G135" s="22" t="n">
        <v>132.752</v>
      </c>
      <c r="H135" s="22" t="n">
        <v>138.612</v>
      </c>
      <c r="I135" s="22" t="n">
        <v>140.282</v>
      </c>
      <c r="J135" s="22" t="n">
        <v>142.798</v>
      </c>
      <c r="K135" s="22" t="n">
        <v>134.486</v>
      </c>
      <c r="L135" s="22" t="n">
        <v>132.752</v>
      </c>
    </row>
    <row r="136">
      <c r="A136" s="20" t="inlineStr">
        <is>
          <t>임원 퇴직위로 충당금</t>
        </is>
      </c>
      <c r="C136" s="22" t="n">
        <v>50.25</v>
      </c>
      <c r="D136" s="22" t="n">
        <v>52.375</v>
      </c>
      <c r="E136" s="22" t="n">
        <v>54.5</v>
      </c>
      <c r="F136" s="22" t="n">
        <v>56.625</v>
      </c>
      <c r="G136" s="22" t="n">
        <v>58.75</v>
      </c>
      <c r="H136" s="22" t="n">
        <v>231.825</v>
      </c>
      <c r="I136" s="22" t="n">
        <v>44.25</v>
      </c>
      <c r="J136" s="22" t="n">
        <v>52.75</v>
      </c>
      <c r="K136" s="22" t="n">
        <v>50.25</v>
      </c>
      <c r="L136" s="22" t="n">
        <v>58.75</v>
      </c>
    </row>
    <row r="137">
      <c r="A137" s="20" t="inlineStr">
        <is>
          <t>기타</t>
        </is>
      </c>
      <c r="C137" s="22" t="n">
        <v>32.8</v>
      </c>
      <c r="D137" s="22" t="n">
        <v>32.95</v>
      </c>
      <c r="E137" s="22" t="n">
        <v>34</v>
      </c>
      <c r="F137" s="22" t="n">
        <v>34</v>
      </c>
      <c r="G137" s="22" t="n">
        <v>34</v>
      </c>
      <c r="H137" s="22" t="n">
        <v>2.8</v>
      </c>
      <c r="I137" s="22" t="n">
        <v>3</v>
      </c>
      <c r="J137" s="22" t="n">
        <v>26.8</v>
      </c>
      <c r="K137" s="22" t="n">
        <v>32.8</v>
      </c>
      <c r="L137" s="22" t="n">
        <v>34</v>
      </c>
    </row>
    <row r="138">
      <c r="A138" s="9" t="inlineStr">
        <is>
          <t>비유동부채 합계</t>
        </is>
      </c>
      <c r="C138" s="12" t="n">
        <v>217.536</v>
      </c>
      <c r="D138" s="12" t="n">
        <v>216.31</v>
      </c>
      <c r="E138" s="12" t="n">
        <v>221.165</v>
      </c>
      <c r="F138" s="12" t="n">
        <v>222.711</v>
      </c>
      <c r="G138" s="12" t="n">
        <v>225.502</v>
      </c>
      <c r="H138" s="12" t="n">
        <v>373.237</v>
      </c>
      <c r="I138" s="12" t="n">
        <v>187.532</v>
      </c>
      <c r="J138" s="12" t="n">
        <v>222.348</v>
      </c>
      <c r="K138" s="12" t="n">
        <v>217.536</v>
      </c>
      <c r="L138" s="12" t="n">
        <v>225.502</v>
      </c>
    </row>
    <row r="139">
      <c r="A139" s="9" t="inlineStr">
        <is>
          <t>부채 합계</t>
        </is>
      </c>
      <c r="C139" s="12" t="n">
        <v>1177.863</v>
      </c>
      <c r="D139" s="12" t="n">
        <v>1087.395</v>
      </c>
      <c r="E139" s="12" t="n">
        <v>1221.941</v>
      </c>
      <c r="F139" s="12" t="n">
        <v>1134.653</v>
      </c>
      <c r="G139" s="12" t="n">
        <v>1187.866</v>
      </c>
      <c r="H139" s="12" t="n">
        <v>3076.899</v>
      </c>
      <c r="I139" s="12" t="n">
        <v>2833.266</v>
      </c>
      <c r="J139" s="12" t="n">
        <v>3037.136</v>
      </c>
      <c r="K139" s="12" t="n">
        <v>1177.863</v>
      </c>
      <c r="L139" s="12" t="n">
        <v>1187.866</v>
      </c>
    </row>
    <row r="140">
      <c r="A140" s="20" t="inlineStr">
        <is>
          <t>자본금</t>
        </is>
      </c>
      <c r="C140" s="22" t="n">
        <v>300.745</v>
      </c>
      <c r="D140" s="22" t="n">
        <v>300.745</v>
      </c>
      <c r="E140" s="22" t="n">
        <v>300.745</v>
      </c>
      <c r="F140" s="22" t="n">
        <v>300.745</v>
      </c>
      <c r="G140" s="22" t="n">
        <v>300.745</v>
      </c>
      <c r="H140" s="22" t="n">
        <v>300.745</v>
      </c>
      <c r="I140" s="22" t="n">
        <v>300.745</v>
      </c>
      <c r="J140" s="22" t="n">
        <v>300.745</v>
      </c>
      <c r="K140" s="22" t="n">
        <v>300.745</v>
      </c>
      <c r="L140" s="22" t="n">
        <v>300.745</v>
      </c>
    </row>
    <row r="141">
      <c r="A141" s="20" t="inlineStr">
        <is>
          <t>자본준비금</t>
        </is>
      </c>
      <c r="C141" s="22" t="n">
        <v>273.245</v>
      </c>
      <c r="G141" s="22" t="n">
        <v>273.245</v>
      </c>
      <c r="H141" s="22" t="n">
        <v>273.245</v>
      </c>
      <c r="I141" s="22" t="n">
        <v>273.245</v>
      </c>
      <c r="J141" s="22" t="n">
        <v>273.245</v>
      </c>
      <c r="K141" s="22" t="n">
        <v>273.245</v>
      </c>
      <c r="L141" s="22" t="n">
        <v>273.245</v>
      </c>
    </row>
    <row r="142">
      <c r="A142" s="20" t="inlineStr">
        <is>
          <t>자본잉여금 합계</t>
        </is>
      </c>
      <c r="C142" s="22" t="n">
        <v>273.245</v>
      </c>
      <c r="D142" s="22" t="n">
        <v>273.245</v>
      </c>
      <c r="E142" s="22" t="n">
        <v>273.245</v>
      </c>
      <c r="F142" s="22" t="n">
        <v>273.245</v>
      </c>
      <c r="G142" s="22" t="n">
        <v>273.245</v>
      </c>
      <c r="H142" s="22" t="n">
        <v>273.245</v>
      </c>
      <c r="I142" s="22" t="n">
        <v>273.245</v>
      </c>
      <c r="J142" s="22" t="n">
        <v>273.245</v>
      </c>
      <c r="K142" s="22" t="n">
        <v>273.245</v>
      </c>
      <c r="L142" s="22" t="n">
        <v>273.245</v>
      </c>
    </row>
    <row r="143">
      <c r="A143" s="20" t="inlineStr">
        <is>
          <t>이익준비금</t>
        </is>
      </c>
      <c r="C143" s="22" t="n">
        <v>43.189</v>
      </c>
      <c r="G143" s="22" t="n">
        <v>43.189</v>
      </c>
      <c r="H143" s="22" t="n">
        <v>43.189</v>
      </c>
      <c r="I143" s="22" t="n">
        <v>43.189</v>
      </c>
      <c r="J143" s="22" t="n">
        <v>43.189</v>
      </c>
      <c r="K143" s="22" t="n">
        <v>43.189</v>
      </c>
      <c r="L143" s="22" t="n">
        <v>43.189</v>
      </c>
    </row>
    <row r="144">
      <c r="A144" s="20" t="inlineStr">
        <is>
          <t>Reserve For Reduction Entry Of Land</t>
        </is>
      </c>
      <c r="C144" s="22" t="n">
        <v>94.624</v>
      </c>
      <c r="G144" s="22" t="n">
        <v>94.624</v>
      </c>
      <c r="H144" s="22" t="n">
        <v>95.86799999999999</v>
      </c>
      <c r="I144" s="22" t="n">
        <v>95.86799999999999</v>
      </c>
      <c r="J144" s="22" t="n">
        <v>95.86799999999999</v>
      </c>
      <c r="K144" s="22" t="n">
        <v>94.624</v>
      </c>
      <c r="L144" s="22" t="n">
        <v>94.624</v>
      </c>
    </row>
    <row r="145">
      <c r="A145" s="20" t="inlineStr">
        <is>
          <t>별도적립금</t>
        </is>
      </c>
      <c r="C145" s="22" t="n">
        <v>6000</v>
      </c>
      <c r="G145" s="22" t="n">
        <v>6000</v>
      </c>
      <c r="H145" s="22" t="n">
        <v>6000</v>
      </c>
      <c r="I145" s="22" t="n">
        <v>6000</v>
      </c>
      <c r="J145" s="22" t="n">
        <v>6000</v>
      </c>
      <c r="K145" s="22" t="n">
        <v>6000</v>
      </c>
      <c r="L145" s="22" t="n">
        <v>6000</v>
      </c>
    </row>
    <row r="146">
      <c r="A146" s="20" t="inlineStr">
        <is>
          <t>이월이익잉여금</t>
        </is>
      </c>
      <c r="C146" s="22" t="n">
        <v>3735.19</v>
      </c>
      <c r="G146" s="22" t="n">
        <v>3993.987</v>
      </c>
      <c r="H146" s="22" t="n">
        <v>3152.472</v>
      </c>
      <c r="I146" s="22" t="n">
        <v>3367.672</v>
      </c>
      <c r="J146" s="22" t="n">
        <v>3482.731</v>
      </c>
      <c r="K146" s="22" t="n">
        <v>3735.19</v>
      </c>
      <c r="L146" s="22" t="n">
        <v>3993.987</v>
      </c>
    </row>
    <row r="147">
      <c r="A147" s="20" t="inlineStr">
        <is>
          <t>이익잉여금 합계</t>
        </is>
      </c>
      <c r="C147" s="22" t="n">
        <v>9873.004000000001</v>
      </c>
      <c r="D147" s="22" t="n">
        <v>9880.013000000001</v>
      </c>
      <c r="E147" s="22" t="n">
        <v>10022.176</v>
      </c>
      <c r="F147" s="22" t="n">
        <v>10042.213</v>
      </c>
      <c r="G147" s="22" t="n">
        <v>10131.801</v>
      </c>
      <c r="H147" s="22" t="n">
        <v>9291.530000000001</v>
      </c>
      <c r="I147" s="22" t="n">
        <v>9506.728999999999</v>
      </c>
      <c r="J147" s="22" t="n">
        <v>9621.788</v>
      </c>
      <c r="K147" s="22" t="n">
        <v>9873.004000000001</v>
      </c>
      <c r="L147" s="22" t="n">
        <v>10131.801</v>
      </c>
    </row>
    <row r="148">
      <c r="A148" s="20" t="inlineStr">
        <is>
          <t>자기주식</t>
        </is>
      </c>
      <c r="C148" s="22" t="n">
        <v>-64.643</v>
      </c>
      <c r="D148" s="22" t="n">
        <v>-64.643</v>
      </c>
      <c r="E148" s="22" t="n">
        <v>-64.643</v>
      </c>
      <c r="F148" s="22" t="n">
        <v>-64.643</v>
      </c>
      <c r="G148" s="22" t="n">
        <v>-64.643</v>
      </c>
      <c r="H148" s="22" t="n">
        <v>-64.58499999999999</v>
      </c>
      <c r="I148" s="22" t="n">
        <v>-64.58499999999999</v>
      </c>
      <c r="J148" s="22" t="n">
        <v>-64.643</v>
      </c>
      <c r="K148" s="22" t="n">
        <v>-64.643</v>
      </c>
      <c r="L148" s="22" t="n">
        <v>-64.643</v>
      </c>
    </row>
    <row r="149">
      <c r="A149" s="9" t="inlineStr">
        <is>
          <t>주주자본 합계</t>
        </is>
      </c>
      <c r="C149" s="12" t="n">
        <v>10382.351</v>
      </c>
      <c r="D149" s="12" t="n">
        <v>10389.359</v>
      </c>
      <c r="E149" s="12" t="n">
        <v>10531.523</v>
      </c>
      <c r="F149" s="12" t="n">
        <v>10551.559</v>
      </c>
      <c r="G149" s="12" t="n">
        <v>10641.147</v>
      </c>
      <c r="H149" s="12" t="n">
        <v>9800.933999999999</v>
      </c>
      <c r="I149" s="12" t="n">
        <v>10016.134</v>
      </c>
      <c r="J149" s="12" t="n">
        <v>10131.135</v>
      </c>
      <c r="K149" s="12" t="n">
        <v>10382.351</v>
      </c>
      <c r="L149" s="12" t="n">
        <v>10641.147</v>
      </c>
    </row>
    <row r="150">
      <c r="A150" s="20" t="inlineStr">
        <is>
          <t>기타유가증권 평가차액</t>
        </is>
      </c>
      <c r="C150" s="22" t="n">
        <v>47.926</v>
      </c>
      <c r="D150" s="22" t="n">
        <v>54.611</v>
      </c>
      <c r="E150" s="22" t="n">
        <v>67.247</v>
      </c>
      <c r="F150" s="22" t="n">
        <v>54.046</v>
      </c>
      <c r="G150" s="22" t="n">
        <v>68.925</v>
      </c>
      <c r="H150" s="22" t="n">
        <v>10.627</v>
      </c>
      <c r="I150" s="22" t="n">
        <v>30.678</v>
      </c>
      <c r="J150" s="22" t="n">
        <v>19.282</v>
      </c>
      <c r="K150" s="22" t="n">
        <v>47.926</v>
      </c>
      <c r="L150" s="22" t="n">
        <v>68.925</v>
      </c>
    </row>
    <row r="151">
      <c r="A151" s="20" t="inlineStr">
        <is>
          <t>평가·환산차액 합계</t>
        </is>
      </c>
      <c r="C151" s="22" t="n">
        <v>47.926</v>
      </c>
      <c r="D151" s="22" t="n">
        <v>54.611</v>
      </c>
      <c r="E151" s="22" t="n">
        <v>67.247</v>
      </c>
      <c r="F151" s="22" t="n">
        <v>54.046</v>
      </c>
      <c r="G151" s="22" t="n">
        <v>68.925</v>
      </c>
      <c r="H151" s="22" t="n">
        <v>10.627</v>
      </c>
      <c r="I151" s="22" t="n">
        <v>30.678</v>
      </c>
      <c r="J151" s="22" t="n">
        <v>19.282</v>
      </c>
      <c r="K151" s="22" t="n">
        <v>47.926</v>
      </c>
      <c r="L151" s="22" t="n">
        <v>68.925</v>
      </c>
    </row>
    <row r="152">
      <c r="A152" s="9" t="inlineStr">
        <is>
          <t>순자산 합계</t>
        </is>
      </c>
      <c r="C152" s="12" t="n">
        <v>10430.277</v>
      </c>
      <c r="D152" s="12" t="n">
        <v>10443.971</v>
      </c>
      <c r="E152" s="12" t="n">
        <v>10598.77</v>
      </c>
      <c r="F152" s="12" t="n">
        <v>10605.606</v>
      </c>
      <c r="G152" s="12" t="n">
        <v>10710.072</v>
      </c>
      <c r="H152" s="12" t="n">
        <v>9811.562</v>
      </c>
      <c r="I152" s="12" t="n">
        <v>10046.812</v>
      </c>
      <c r="J152" s="12" t="n">
        <v>10150.417</v>
      </c>
      <c r="K152" s="12" t="n">
        <v>10430.277</v>
      </c>
      <c r="L152" s="12" t="n">
        <v>10710.072</v>
      </c>
    </row>
    <row r="153">
      <c r="A153" s="9" t="inlineStr">
        <is>
          <t>부채·순자산 합계</t>
        </is>
      </c>
      <c r="C153" s="12" t="n">
        <v>11608.141</v>
      </c>
      <c r="D153" s="12" t="n">
        <v>11531.366</v>
      </c>
      <c r="E153" s="12" t="n">
        <v>11820.712</v>
      </c>
      <c r="F153" s="12" t="n">
        <v>11740.259</v>
      </c>
      <c r="G153" s="12" t="n">
        <v>11897.939</v>
      </c>
      <c r="H153" s="12" t="n">
        <v>12888.461</v>
      </c>
      <c r="I153" s="12" t="n">
        <v>12880.078</v>
      </c>
      <c r="J153" s="12" t="n">
        <v>13187.554</v>
      </c>
      <c r="K153" s="12" t="n">
        <v>11608.141</v>
      </c>
      <c r="L153" s="12" t="n">
        <v>11897.939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53" t="inlineStr">
        <is>
          <t>공시일</t>
        </is>
      </c>
      <c r="B3" s="53" t="inlineStr">
        <is>
          <t>문서</t>
        </is>
      </c>
      <c r="C3" s="53" t="inlineStr">
        <is>
          <t>PDF</t>
        </is>
      </c>
    </row>
    <row r="4">
      <c r="A4" t="inlineStr">
        <is>
          <t>2026-08-05</t>
        </is>
      </c>
      <c r="B4" t="inlineStr">
        <is>
          <t>연간 결산단신</t>
        </is>
      </c>
      <c r="C4" t="inlineStr">
        <is>
          <t>https://www2.jpx.co.jp/disc/34260/140120260804508472.pdf</t>
        </is>
      </c>
    </row>
    <row r="5">
      <c r="A5" t="inlineStr">
        <is>
          <t>2026-04-28</t>
        </is>
      </c>
      <c r="B5" t="inlineStr">
        <is>
          <t>3분기 결산단신</t>
        </is>
      </c>
      <c r="C5" t="inlineStr">
        <is>
          <t>https://www2.jpx.co.jp/disc/34260/140120260427511177.pdf</t>
        </is>
      </c>
    </row>
    <row r="6">
      <c r="A6" t="inlineStr">
        <is>
          <t>2026-01-29</t>
        </is>
      </c>
      <c r="B6" t="inlineStr">
        <is>
          <t>2분기 결산단신</t>
        </is>
      </c>
      <c r="C6" t="inlineStr">
        <is>
          <t>https://www2.jpx.co.jp/disc/34260/140120260128540341.pdf</t>
        </is>
      </c>
    </row>
    <row r="7">
      <c r="A7" t="inlineStr">
        <is>
          <t>2025-10-30</t>
        </is>
      </c>
      <c r="B7" t="inlineStr">
        <is>
          <t>1분기 결산단신</t>
        </is>
      </c>
      <c r="C7" t="inlineStr">
        <is>
          <t>https://www2.jpx.co.jp/disc/34260/140120251029581030.pdf</t>
        </is>
      </c>
    </row>
    <row r="8">
      <c r="A8" t="inlineStr">
        <is>
          <t>2025-08-05</t>
        </is>
      </c>
      <c r="B8" t="inlineStr">
        <is>
          <t>연간 결산단신</t>
        </is>
      </c>
      <c r="C8" t="inlineStr">
        <is>
          <t>https://www2.jpx.co.jp/disc/34260/140120250804528499.pdf</t>
        </is>
      </c>
    </row>
    <row r="9">
      <c r="A9" t="inlineStr">
        <is>
          <t>2025-04-28</t>
        </is>
      </c>
      <c r="B9" t="inlineStr">
        <is>
          <t>3분기 결산단신</t>
        </is>
      </c>
      <c r="C9" t="inlineStr">
        <is>
          <t>https://www2.jpx.co.jp/disc/34260/140120250425523597.pdf</t>
        </is>
      </c>
    </row>
    <row r="10">
      <c r="A10" t="inlineStr">
        <is>
          <t>2025-01-30</t>
        </is>
      </c>
      <c r="B10" t="inlineStr">
        <is>
          <t>2분기 결산단신</t>
        </is>
      </c>
      <c r="C10" t="inlineStr">
        <is>
          <t>https://www2.jpx.co.jp/disc/34260/140120250129556960.pdf</t>
        </is>
      </c>
    </row>
    <row r="11">
      <c r="A11" t="inlineStr">
        <is>
          <t>2024-10-30</t>
        </is>
      </c>
      <c r="B11" t="inlineStr">
        <is>
          <t>1분기 결산단신</t>
        </is>
      </c>
      <c r="C11" t="inlineStr">
        <is>
          <t>https://www2.jpx.co.jp/disc/34260/140120241029504497.pdf</t>
        </is>
      </c>
    </row>
    <row r="12">
      <c r="A12" t="inlineStr">
        <is>
          <t>2024-08-05</t>
        </is>
      </c>
      <c r="B12" t="inlineStr">
        <is>
          <t>연간 결산단신</t>
        </is>
      </c>
      <c r="C12" t="inlineStr">
        <is>
          <t>https://www2.jpx.co.jp/disc/34260/140120240802561213.pdf</t>
        </is>
      </c>
    </row>
    <row r="13">
      <c r="A13" t="inlineStr">
        <is>
          <t>2024-04-26</t>
        </is>
      </c>
      <c r="B13" t="inlineStr">
        <is>
          <t>3분기 결산단신</t>
        </is>
      </c>
      <c r="C13" t="inlineStr">
        <is>
          <t>https://www2.jpx.co.jp/disc/34260/140120240416571630.pdf</t>
        </is>
      </c>
    </row>
    <row r="14">
      <c r="A14" t="inlineStr">
        <is>
          <t>2024-01-30</t>
        </is>
      </c>
      <c r="B14" t="inlineStr">
        <is>
          <t>2분기 결산단신</t>
        </is>
      </c>
      <c r="C14" t="inlineStr">
        <is>
          <t>https://www2.jpx.co.jp/disc/34260/140120240122517289.pdf</t>
        </is>
      </c>
    </row>
    <row r="15">
      <c r="A15" t="inlineStr">
        <is>
          <t>2023-10-30</t>
        </is>
      </c>
      <c r="B15" t="inlineStr">
        <is>
          <t>1분기 결산단신</t>
        </is>
      </c>
      <c r="C15" t="inlineStr">
        <is>
          <t>https://www2.jpx.co.jp/disc/34260/140120231017567931.pdf</t>
        </is>
      </c>
    </row>
    <row r="16">
      <c r="A16" t="inlineStr">
        <is>
          <t>2023-08-04</t>
        </is>
      </c>
      <c r="B16" t="inlineStr">
        <is>
          <t>연간 결산단신</t>
        </is>
      </c>
      <c r="C16" t="inlineStr">
        <is>
          <t>https://www2.jpx.co.jp/disc/34260/140120230726527191.pdf</t>
        </is>
      </c>
    </row>
    <row r="17">
      <c r="A17" t="inlineStr">
        <is>
          <t>2023-04-27</t>
        </is>
      </c>
      <c r="B17" t="inlineStr">
        <is>
          <t>3분기 결산단신</t>
        </is>
      </c>
      <c r="C17" t="inlineStr">
        <is>
          <t>https://www2.jpx.co.jp/disc/34260/140120230418548805.pdf</t>
        </is>
      </c>
    </row>
    <row r="18">
      <c r="A18" t="inlineStr">
        <is>
          <t>2023-01-30</t>
        </is>
      </c>
      <c r="B18" t="inlineStr">
        <is>
          <t>2분기 결산단신</t>
        </is>
      </c>
      <c r="C18" t="inlineStr">
        <is>
          <t>https://www2.jpx.co.jp/disc/34260/140120230120591475.pdf</t>
        </is>
      </c>
    </row>
    <row r="19">
      <c r="A19" t="inlineStr">
        <is>
          <t>2022-10-28</t>
        </is>
      </c>
      <c r="B19" t="inlineStr">
        <is>
          <t>1분기 결산단신</t>
        </is>
      </c>
      <c r="C19" t="inlineStr">
        <is>
          <t>https://www2.jpx.co.jp/disc/34260/140120221019546285.pdf</t>
        </is>
      </c>
    </row>
    <row r="20">
      <c r="A20" t="inlineStr">
        <is>
          <t>2022-08-05</t>
        </is>
      </c>
      <c r="B20" t="inlineStr">
        <is>
          <t>연간 결산단신</t>
        </is>
      </c>
      <c r="C20" t="inlineStr">
        <is>
          <t>https://www2.jpx.co.jp/disc/34260/140120220726504821.pdf</t>
        </is>
      </c>
    </row>
    <row r="21">
      <c r="A21" t="inlineStr">
        <is>
          <t>2021-08-05</t>
        </is>
      </c>
      <c r="B21" t="inlineStr">
        <is>
          <t>연간 결산단신</t>
        </is>
      </c>
      <c r="C21" t="inlineStr">
        <is>
          <t>https://www2.jpx.co.jp/disc/34260/140120210727472085.pdf</t>
        </is>
      </c>
    </row>
    <row r="22">
      <c r="A22" t="inlineStr">
        <is>
          <t>2020-08-05</t>
        </is>
      </c>
      <c r="B22" t="inlineStr">
        <is>
          <t>연간 결산단신</t>
        </is>
      </c>
      <c r="C22" t="inlineStr">
        <is>
          <t>https://www2.jpx.co.jp/disc/34260/140120200727467137.pdf</t>
        </is>
      </c>
    </row>
    <row r="23">
      <c r="A23" t="inlineStr">
        <is>
          <t>2019-08-05</t>
        </is>
      </c>
      <c r="B23" t="inlineStr">
        <is>
          <t>연간 결산단신</t>
        </is>
      </c>
      <c r="C23" t="inlineStr">
        <is>
          <t>https://www2.jpx.co.jp/disc/34260/140120190725475779.pdf</t>
        </is>
      </c>
    </row>
    <row r="24">
      <c r="A24" t="inlineStr">
        <is>
          <t>2018-08-06</t>
        </is>
      </c>
      <c r="B24" t="inlineStr">
        <is>
          <t>연간 결산단신</t>
        </is>
      </c>
      <c r="C24" t="inlineStr">
        <is>
          <t>https://www2.jpx.co.jp/disc/34260/140120180720483043.pdf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2026-10-28T07:02:07Z</dcterms:created>
  <dcterms:modified xmlns:dcterms="http://purl.org/dc/terms/" xmlns:xsi="http://www.w3.org/2001/XMLSchema-instance" xsi:type="dcterms:W3CDTF">2026-10-28T07:02:07Z</dcterms:modified>
</cp:coreProperties>
</file>