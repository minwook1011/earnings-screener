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ser>
          <idx val="1"/>
          <order val="1"/>
          <tx>
            <strRef>
              <f>'재무제표 한눈에 보기'!A25</f>
            </strRef>
          </tx>
          <spPr>
            <a:ln xmlns:a="http://schemas.openxmlformats.org/drawingml/2006/main" w="22000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보기'!$B$25:$AO$25</f>
            </numRef>
          </val>
          <smooth val="0"/>
        </ser>
        <ser>
          <idx val="2"/>
          <order val="2"/>
          <tx>
            <strRef>
              <f>'재무제표 한눈에 보기'!A26</f>
            </strRef>
          </tx>
          <spPr>
            <a:ln xmlns:a="http://schemas.openxmlformats.org/drawingml/2006/main" w="22000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보기'!$B$26:$AO$26</f>
            </numRef>
          </val>
          <smooth val="0"/>
        </ser>
        <ser>
          <idx val="3"/>
          <order val="3"/>
          <tx>
            <strRef>
              <f>'재무제표 한눈에 보기'!A27</f>
            </strRef>
          </tx>
          <spPr>
            <a:ln xmlns:a="http://schemas.openxmlformats.org/drawingml/2006/main" w="22000">
              <a:solidFill>
                <a:srgbClr val="FFC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solidFill>
                  <a:srgbClr val="FFC000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보기'!$B$27:$AO$27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29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29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48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48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9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4968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17374</v>
      </c>
      <c r="D4" s="12" t="n">
        <v>19041</v>
      </c>
      <c r="E4" s="12" t="n">
        <v>18509</v>
      </c>
      <c r="F4" s="12" t="n">
        <v>19261</v>
      </c>
      <c r="G4" s="12" t="n">
        <v>20066</v>
      </c>
      <c r="H4" s="12" t="n">
        <v>20878</v>
      </c>
      <c r="I4" s="12" t="n">
        <v>20031</v>
      </c>
      <c r="J4" s="12" t="n">
        <v>19899</v>
      </c>
      <c r="K4" s="12" t="n">
        <v>20468</v>
      </c>
      <c r="L4" s="12" t="n">
        <v>21006</v>
      </c>
      <c r="M4" s="12" t="n">
        <v>20762</v>
      </c>
      <c r="N4" s="12" t="n">
        <v>22282</v>
      </c>
      <c r="O4" s="11" t="n">
        <v>77380</v>
      </c>
      <c r="P4" s="12" t="n">
        <v>80782</v>
      </c>
      <c r="Q4" s="12" t="n">
        <v>79501</v>
      </c>
      <c r="R4" s="12" t="n">
        <v>72967</v>
      </c>
      <c r="S4" s="12" t="n">
        <v>70572</v>
      </c>
      <c r="T4" s="12" t="n">
        <v>80515</v>
      </c>
      <c r="U4" s="12" t="n">
        <v>79431</v>
      </c>
      <c r="V4" s="12" t="n">
        <v>72222</v>
      </c>
      <c r="W4" s="12" t="n">
        <v>80236</v>
      </c>
      <c r="X4" s="12" t="n">
        <v>82135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FunctionalCoatingChemicalsReportableSegmentMember</t>
        </is>
      </c>
      <c r="B7" s="10" t="n"/>
      <c r="C7" s="19" t="n">
        <v>3401</v>
      </c>
      <c r="D7" s="20" t="n">
        <v>4114</v>
      </c>
      <c r="E7" s="20" t="n">
        <v>3880</v>
      </c>
      <c r="F7" s="20" t="n">
        <v>4059</v>
      </c>
      <c r="G7" s="20" t="n">
        <v>4152</v>
      </c>
      <c r="H7" s="20" t="n">
        <v>4492</v>
      </c>
      <c r="I7" s="20" t="n">
        <v>4139</v>
      </c>
      <c r="J7" s="20" t="n">
        <v>4474</v>
      </c>
      <c r="K7" s="20" t="n">
        <v>4503</v>
      </c>
      <c r="L7" s="20" t="n">
        <v>4886</v>
      </c>
      <c r="M7" s="20" t="n">
        <v>4343</v>
      </c>
      <c r="N7" s="20" t="n">
        <v>5159</v>
      </c>
      <c r="O7" s="19" t="n"/>
      <c r="P7" s="20" t="n"/>
      <c r="Q7" s="20" t="n"/>
      <c r="R7" s="20" t="n"/>
      <c r="S7" s="20" t="n"/>
      <c r="T7" s="20" t="n"/>
      <c r="U7" s="20" t="n"/>
      <c r="V7" s="20" t="n">
        <v>14931</v>
      </c>
      <c r="W7" s="20" t="n">
        <v>16842</v>
      </c>
      <c r="X7" s="20" t="n">
        <v>18206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PaperChemicalsAndEnvironmentalBusinessReportableSegmentMember</t>
        </is>
      </c>
      <c r="B10" s="10" t="n"/>
      <c r="C10" s="19" t="n">
        <v>5175</v>
      </c>
      <c r="D10" s="20" t="n">
        <v>5679</v>
      </c>
      <c r="E10" s="20" t="n">
        <v>5558</v>
      </c>
      <c r="F10" s="20" t="n">
        <v>5314</v>
      </c>
      <c r="G10" s="20" t="n">
        <v>5679</v>
      </c>
      <c r="H10" s="20" t="n">
        <v>5620</v>
      </c>
      <c r="I10" s="20" t="n">
        <v>5428</v>
      </c>
      <c r="J10" s="20" t="n">
        <v>4904</v>
      </c>
      <c r="K10" s="20" t="n">
        <v>5190</v>
      </c>
      <c r="L10" s="20" t="n">
        <v>5288</v>
      </c>
      <c r="M10" s="20" t="n">
        <v>5284</v>
      </c>
      <c r="N10" s="20" t="n">
        <v>5291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21120</v>
      </c>
      <c r="W10" s="20" t="n">
        <v>22041</v>
      </c>
      <c r="X10" s="20" t="n">
        <v>20666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AdhesiveAndBiomassMaterialsReportableSegmentMember</t>
        </is>
      </c>
      <c r="B13" s="10" t="n"/>
      <c r="C13" s="19" t="n">
        <v>6170</v>
      </c>
      <c r="D13" s="20" t="n">
        <v>6450</v>
      </c>
      <c r="E13" s="20" t="n">
        <v>6292</v>
      </c>
      <c r="F13" s="20" t="n">
        <v>6560</v>
      </c>
      <c r="G13" s="20" t="n">
        <v>6670</v>
      </c>
      <c r="H13" s="20" t="n">
        <v>7342</v>
      </c>
      <c r="I13" s="20" t="n">
        <v>7228</v>
      </c>
      <c r="J13" s="20" t="n">
        <v>6907</v>
      </c>
      <c r="K13" s="20" t="n">
        <v>6983</v>
      </c>
      <c r="L13" s="20" t="n">
        <v>7175</v>
      </c>
      <c r="M13" s="20" t="n">
        <v>7370</v>
      </c>
      <c r="N13" s="20" t="n">
        <v>7804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25135</v>
      </c>
      <c r="W13" s="20" t="n">
        <v>27800</v>
      </c>
      <c r="X13" s="20" t="n">
        <v>28435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FineChemicalsAndElectronicsReportableSegmentMember</t>
        </is>
      </c>
      <c r="B16" s="10" t="n"/>
      <c r="C16" s="19" t="n">
        <v>2607</v>
      </c>
      <c r="D16" s="20" t="n">
        <v>2777</v>
      </c>
      <c r="E16" s="20" t="n">
        <v>2759</v>
      </c>
      <c r="F16" s="20" t="n">
        <v>3309</v>
      </c>
      <c r="G16" s="20" t="n">
        <v>3534</v>
      </c>
      <c r="H16" s="20" t="n">
        <v>3404</v>
      </c>
      <c r="I16" s="20" t="n">
        <v>3212</v>
      </c>
      <c r="J16" s="20" t="n">
        <v>3597</v>
      </c>
      <c r="K16" s="20" t="n">
        <v>3769</v>
      </c>
      <c r="L16" s="20" t="n">
        <v>3638</v>
      </c>
      <c r="M16" s="20" t="n">
        <v>3744</v>
      </c>
      <c r="N16" s="20" t="n">
        <v>4005</v>
      </c>
      <c r="O16" s="19" t="n"/>
      <c r="P16" s="20" t="n"/>
      <c r="Q16" s="20" t="n"/>
      <c r="R16" s="20" t="n"/>
      <c r="S16" s="20" t="n"/>
      <c r="T16" s="20" t="n"/>
      <c r="U16" s="20" t="n"/>
      <c r="V16" s="20" t="n">
        <v>10955</v>
      </c>
      <c r="W16" s="20" t="n">
        <v>13459</v>
      </c>
      <c r="X16" s="20" t="n">
        <v>14748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21</v>
      </c>
      <c r="D19" s="20" t="n">
        <v>20</v>
      </c>
      <c r="E19" s="20" t="n">
        <v>22</v>
      </c>
      <c r="F19" s="20" t="n">
        <v>18</v>
      </c>
      <c r="G19" s="20" t="n">
        <v>29</v>
      </c>
      <c r="H19" s="20" t="n">
        <v>22</v>
      </c>
      <c r="I19" s="20" t="n">
        <v>24</v>
      </c>
      <c r="J19" s="20" t="n">
        <v>15</v>
      </c>
      <c r="K19" s="20" t="n">
        <v>22</v>
      </c>
      <c r="L19" s="20" t="n">
        <v>20</v>
      </c>
      <c r="M19" s="20" t="n">
        <v>22</v>
      </c>
      <c r="N19" s="20" t="n">
        <v>20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80</v>
      </c>
      <c r="W19" s="20" t="n">
        <v>93</v>
      </c>
      <c r="X19" s="20" t="n">
        <v>79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14942</v>
      </c>
      <c r="D23" s="20" t="n">
        <v>15521</v>
      </c>
      <c r="E23" s="20" t="n">
        <v>15492</v>
      </c>
      <c r="F23" s="20" t="n">
        <v>15002</v>
      </c>
      <c r="G23" s="20" t="n">
        <v>16566</v>
      </c>
      <c r="H23" s="20" t="n">
        <v>16197</v>
      </c>
      <c r="I23" s="20" t="n">
        <v>15978</v>
      </c>
      <c r="J23" s="20" t="n">
        <v>15265</v>
      </c>
      <c r="K23" s="20" t="n">
        <v>16590</v>
      </c>
      <c r="L23" s="20" t="n">
        <v>16269</v>
      </c>
      <c r="M23" s="20" t="n">
        <v>16159</v>
      </c>
      <c r="N23" s="20" t="n">
        <v>16532</v>
      </c>
      <c r="O23" s="19" t="n">
        <v>59111</v>
      </c>
      <c r="P23" s="20" t="n">
        <v>62478</v>
      </c>
      <c r="Q23" s="20" t="n">
        <v>62123</v>
      </c>
      <c r="R23" s="20" t="n">
        <v>57014</v>
      </c>
      <c r="S23" s="20" t="n">
        <v>53884</v>
      </c>
      <c r="T23" s="20" t="n">
        <v>62544</v>
      </c>
      <c r="U23" s="20" t="n">
        <v>67859</v>
      </c>
      <c r="V23" s="20" t="n">
        <v>60540</v>
      </c>
      <c r="W23" s="20" t="n">
        <v>63743</v>
      </c>
      <c r="X23" s="20" t="n">
        <v>64283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18" t="inlineStr">
        <is>
          <t>매출총이익</t>
        </is>
      </c>
      <c r="B25" s="10" t="n"/>
      <c r="C25" s="19">
        <f>IF(OR(C4="",C23=""),"",IFERROR(C4-C23,""))</f>
        <v/>
      </c>
      <c r="D25" s="20">
        <f>IF(OR(D4="",D23=""),"",IFERROR(D4-D23,""))</f>
        <v/>
      </c>
      <c r="E25" s="20">
        <f>IF(OR(E4="",E23=""),"",IFERROR(E4-E23,""))</f>
        <v/>
      </c>
      <c r="F25" s="20">
        <f>IF(OR(F4="",F23=""),"",IFERROR(F4-F23,""))</f>
        <v/>
      </c>
      <c r="G25" s="20">
        <f>IF(OR(G4="",G23=""),"",IFERROR(G4-G23,""))</f>
        <v/>
      </c>
      <c r="H25" s="20">
        <f>IF(OR(H4="",H23=""),"",IFERROR(H4-H23,""))</f>
        <v/>
      </c>
      <c r="I25" s="20">
        <f>IF(OR(I4="",I23=""),"",IFERROR(I4-I23,""))</f>
        <v/>
      </c>
      <c r="J25" s="20">
        <f>IF(OR(J4="",J23=""),"",IFERROR(J4-J23,""))</f>
        <v/>
      </c>
      <c r="K25" s="20">
        <f>IF(OR(K4="",K23=""),"",IFERROR(K4-K23,""))</f>
        <v/>
      </c>
      <c r="L25" s="20">
        <f>IF(OR(L4="",L23=""),"",IFERROR(L4-L23,""))</f>
        <v/>
      </c>
      <c r="M25" s="20">
        <f>IF(OR(M4="",M23=""),"",IFERROR(M4-M23,""))</f>
        <v/>
      </c>
      <c r="N25" s="20">
        <f>IF(OR(N4="",N23=""),"",IFERROR(N4-N23,""))</f>
        <v/>
      </c>
      <c r="O25" s="19">
        <f>IF(OR(O4="",O23=""),"",IFERROR(O4-O23,""))</f>
        <v/>
      </c>
      <c r="P25" s="20">
        <f>IF(OR(P4="",P23=""),"",IFERROR(P4-P23,""))</f>
        <v/>
      </c>
      <c r="Q25" s="20">
        <f>IF(OR(Q4="",Q23=""),"",IFERROR(Q4-Q23,""))</f>
        <v/>
      </c>
      <c r="R25" s="20">
        <f>IF(OR(R4="",R23=""),"",IFERROR(R4-R23,""))</f>
        <v/>
      </c>
      <c r="S25" s="20">
        <f>IF(OR(S4="",S23=""),"",IFERROR(S4-S23,""))</f>
        <v/>
      </c>
      <c r="T25" s="20">
        <f>IF(OR(T4="",T23=""),"",IFERROR(T4-T23,""))</f>
        <v/>
      </c>
      <c r="U25" s="20">
        <f>IF(OR(U4="",U23=""),"",IFERROR(U4-U23,""))</f>
        <v/>
      </c>
      <c r="V25" s="20">
        <f>IF(OR(V4="",V23=""),"",IFERROR(V4-V23,""))</f>
        <v/>
      </c>
      <c r="W25" s="20">
        <f>IF(OR(W4="",W23=""),"",IFERROR(W4-W23,""))</f>
        <v/>
      </c>
      <c r="X25" s="20">
        <f>IF(OR(X4="",X23=""),"",IFERROR(X4-X23,""))</f>
        <v/>
      </c>
      <c r="Y25" s="19" t="n"/>
      <c r="Z25" s="20" t="n"/>
      <c r="AA25" s="20" t="n"/>
      <c r="AB25" s="20" t="n"/>
      <c r="AC25" s="20" t="n"/>
    </row>
    <row r="26">
      <c r="A26" s="13" t="inlineStr">
        <is>
          <t>GPM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IF(OR(G25="",C25=""),"",IF(C25&lt;=0,"",IFERROR(G25/C25-1,"")))</f>
        <v/>
      </c>
      <c r="H27" s="15">
        <f>IF(OR(H25="",D25=""),"",IF(D25&lt;=0,"",IFERROR(H25/D25-1,"")))</f>
        <v/>
      </c>
      <c r="I27" s="15">
        <f>IF(OR(I25="",E25=""),"",IF(E25&lt;=0,"",IFERROR(I25/E25-1,"")))</f>
        <v/>
      </c>
      <c r="J27" s="15">
        <f>IF(OR(J25="",F25=""),"",IF(F25&lt;=0,"",IFERROR(J25/F25-1,"")))</f>
        <v/>
      </c>
      <c r="K27" s="15">
        <f>IF(OR(K25="",G25=""),"",IF(G25&lt;=0,"",IFERROR(K25/G25-1,"")))</f>
        <v/>
      </c>
      <c r="L27" s="15">
        <f>IF(OR(L25="",H25=""),"",IF(H25&lt;=0,"",IFERROR(L25/H25-1,"")))</f>
        <v/>
      </c>
      <c r="M27" s="15">
        <f>IF(OR(M25="",I25=""),"",IF(I25&lt;=0,"",IFERROR(M25/I25-1,"")))</f>
        <v/>
      </c>
      <c r="N27" s="15">
        <f>IF(OR(N25="",J25=""),"",IF(J25&lt;=0,"",IFERROR(N25/J25-1,"")))</f>
        <v/>
      </c>
      <c r="O27" s="14" t="n"/>
      <c r="P27" s="15">
        <f>IF(OR(P25="",O25=""),"",IF(O25&lt;=0,"",IFERROR(P25/O25-1,"")))</f>
        <v/>
      </c>
      <c r="Q27" s="15">
        <f>IF(OR(Q25="",P25=""),"",IF(P25&lt;=0,"",IFERROR(Q25/P25-1,"")))</f>
        <v/>
      </c>
      <c r="R27" s="15">
        <f>IF(OR(R25="",Q25=""),"",IF(Q25&lt;=0,"",IFERROR(R25/Q25-1,"")))</f>
        <v/>
      </c>
      <c r="S27" s="15">
        <f>IF(OR(S25="",R25=""),"",IF(R25&lt;=0,"",IFERROR(S25/R25-1,"")))</f>
        <v/>
      </c>
      <c r="T27" s="15">
        <f>IF(OR(T25="",S25=""),"",IF(S25&lt;=0,"",IFERROR(T25/S25-1,"")))</f>
        <v/>
      </c>
      <c r="U27" s="15">
        <f>IF(OR(U25="",T25=""),"",IF(T25&lt;=0,"",IFERROR(U25/T25-1,"")))</f>
        <v/>
      </c>
      <c r="V27" s="15">
        <f>IF(OR(V25="",U25=""),"",IF(U25&lt;=0,"",IFERROR(V25/U25-1,"")))</f>
        <v/>
      </c>
      <c r="W27" s="15">
        <f>IF(OR(W25="",V25=""),"",IF(V25&lt;=0,"",IFERROR(W25/V25-1,"")))</f>
        <v/>
      </c>
      <c r="X27" s="15">
        <f>IF(OR(X25="",W25=""),"",IF(W25&lt;=0,"",IFERROR(X25/W25-1,"")))</f>
        <v/>
      </c>
      <c r="Y27" s="14">
        <f>IF(OR(Y25="",X25=""),"",IF(X25&lt;=0,"",IFERROR(Y25/X25-1,"")))</f>
        <v/>
      </c>
      <c r="Z27" s="15">
        <f>IF(OR(Z25="",Y25=""),"",IF(Y25&lt;=0,"",IFERROR(Z25/Y25-1,"")))</f>
        <v/>
      </c>
      <c r="AA27" s="15">
        <f>IF(OR(AA25="",Z25=""),"",IF(Z25&lt;=0,"",IFERROR(AA25/Z25-1,"")))</f>
        <v/>
      </c>
      <c r="AB27" s="15">
        <f>IF(OR(AB25="",AA25=""),"",IF(AA25&lt;=0,"",IFERROR(AB25/AA25-1,"")))</f>
        <v/>
      </c>
      <c r="AC27" s="15">
        <f>IF(OR(AC25="",AB25=""),"",IF(AB25&lt;=0,"",IFERROR(AC25/AB25-1,"")))</f>
        <v/>
      </c>
    </row>
    <row r="28">
      <c r="A28" s="23" t="inlineStr">
        <is>
          <t>판매관리비</t>
        </is>
      </c>
      <c r="B28" s="23" t="n"/>
      <c r="C28" s="24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4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4" t="n"/>
      <c r="Z28" s="23" t="n"/>
      <c r="AA28" s="23" t="n"/>
      <c r="AB28" s="23" t="n"/>
      <c r="AC28" s="23" t="n"/>
    </row>
    <row r="29">
      <c r="A29" s="18" t="inlineStr">
        <is>
          <t>전체 판관비</t>
        </is>
      </c>
      <c r="B29" s="10" t="n"/>
      <c r="C29" s="19" t="n">
        <v>3425</v>
      </c>
      <c r="D29" s="20" t="n">
        <v>3607</v>
      </c>
      <c r="E29" s="20" t="n">
        <v>3720</v>
      </c>
      <c r="F29" s="20" t="n">
        <v>3637</v>
      </c>
      <c r="G29" s="20" t="n">
        <v>3808</v>
      </c>
      <c r="H29" s="20" t="n">
        <v>3980</v>
      </c>
      <c r="I29" s="20" t="n">
        <v>4011</v>
      </c>
      <c r="J29" s="20" t="n">
        <v>3952</v>
      </c>
      <c r="K29" s="20" t="n">
        <v>3630</v>
      </c>
      <c r="L29" s="20" t="n">
        <v>3836</v>
      </c>
      <c r="M29" s="20" t="n">
        <v>3934</v>
      </c>
      <c r="N29" s="20" t="n">
        <v>4111</v>
      </c>
      <c r="O29" s="19" t="n">
        <v>13173</v>
      </c>
      <c r="P29" s="20" t="n">
        <v>13410</v>
      </c>
      <c r="Q29" s="20" t="n">
        <v>13813</v>
      </c>
      <c r="R29" s="20" t="n">
        <v>13378</v>
      </c>
      <c r="S29" s="20" t="n">
        <v>13431</v>
      </c>
      <c r="T29" s="20" t="n">
        <v>14667</v>
      </c>
      <c r="U29" s="20" t="n">
        <v>14479</v>
      </c>
      <c r="V29" s="20" t="n">
        <v>14299</v>
      </c>
      <c r="W29" s="20" t="n">
        <v>15436</v>
      </c>
      <c r="X29" s="20" t="n">
        <v>15352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9" t="inlineStr">
        <is>
          <t>영업이익</t>
        </is>
      </c>
      <c r="B31" s="10" t="inlineStr">
        <is>
          <t>MW = 매출 × OPM</t>
        </is>
      </c>
      <c r="C31" s="11" t="n">
        <v>-993</v>
      </c>
      <c r="D31" s="12" t="n">
        <v>-87</v>
      </c>
      <c r="E31" s="12" t="n">
        <v>-703</v>
      </c>
      <c r="F31" s="12" t="n">
        <v>622</v>
      </c>
      <c r="G31" s="12" t="n">
        <v>-309</v>
      </c>
      <c r="H31" s="12" t="n">
        <v>701</v>
      </c>
      <c r="I31" s="12" t="n">
        <v>43</v>
      </c>
      <c r="J31" s="12" t="n">
        <v>681</v>
      </c>
      <c r="K31" s="12" t="n">
        <v>248</v>
      </c>
      <c r="L31" s="12" t="n">
        <v>901</v>
      </c>
      <c r="M31" s="12" t="n">
        <v>670</v>
      </c>
      <c r="N31" s="12" t="n">
        <v>1637</v>
      </c>
      <c r="O31" s="11" t="n">
        <v>5095</v>
      </c>
      <c r="P31" s="12" t="n">
        <v>4892</v>
      </c>
      <c r="Q31" s="12" t="n">
        <v>3564</v>
      </c>
      <c r="R31" s="12" t="n">
        <v>2574</v>
      </c>
      <c r="S31" s="12" t="n">
        <v>3257</v>
      </c>
      <c r="T31" s="12" t="n">
        <v>3304</v>
      </c>
      <c r="U31" s="12" t="n">
        <v>-2907</v>
      </c>
      <c r="V31" s="12" t="n">
        <v>-2617</v>
      </c>
      <c r="W31" s="12" t="n">
        <v>1057</v>
      </c>
      <c r="X31" s="12" t="n">
        <v>2500</v>
      </c>
      <c r="Y31" s="11">
        <f>IF(OR(Y4="",Y32=""),"",IFERROR(Y4*Y32,""))</f>
        <v/>
      </c>
      <c r="Z31" s="12">
        <f>IF(OR(Z4="",Z32=""),"",IFERROR(Z4*Z32,""))</f>
        <v/>
      </c>
      <c r="AA31" s="12">
        <f>IF(OR(AA4="",AA32=""),"",IFERROR(AA4*AA32,""))</f>
        <v/>
      </c>
      <c r="AB31" s="12">
        <f>IF(OR(AB4="",AB32=""),"",IFERROR(AB4*AB32,""))</f>
        <v/>
      </c>
      <c r="AC31" s="12">
        <f>IF(OR(AC4="",AC32=""),"",IFERROR(AC4*AC32,""))</f>
        <v/>
      </c>
    </row>
    <row r="32">
      <c r="A32" s="13" t="inlineStr">
        <is>
          <t>OPM</t>
        </is>
      </c>
      <c r="B32" s="10" t="inlineStr">
        <is>
          <t>MW 입력</t>
        </is>
      </c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25" t="n"/>
      <c r="Z32" s="26" t="n"/>
      <c r="AA32" s="26" t="n"/>
      <c r="AB32" s="26" t="n"/>
      <c r="AC32" s="26" t="n"/>
    </row>
    <row r="33">
      <c r="A33" s="13" t="inlineStr">
        <is>
          <t>증가율</t>
        </is>
      </c>
      <c r="B33" s="10" t="n"/>
      <c r="C33" s="14" t="n"/>
      <c r="D33" s="15" t="n"/>
      <c r="E33" s="15" t="n"/>
      <c r="F33" s="15" t="n"/>
      <c r="G33" s="15">
        <f>IF(OR(G31="",C31=""),"",IFERROR(G31/C31-1,""))</f>
        <v/>
      </c>
      <c r="H33" s="15">
        <f>IF(OR(H31="",D31=""),"",IFERROR(H31/D31-1,""))</f>
        <v/>
      </c>
      <c r="I33" s="15">
        <f>IF(OR(I31="",E31=""),"",IFERROR(I31/E31-1,""))</f>
        <v/>
      </c>
      <c r="J33" s="15">
        <f>IF(OR(J31="",F31=""),"",IFERROR(J31/F31-1,""))</f>
        <v/>
      </c>
      <c r="K33" s="15">
        <f>IF(OR(K31="",G31=""),"",IFERROR(K31/G31-1,""))</f>
        <v/>
      </c>
      <c r="L33" s="15">
        <f>IF(OR(L31="",H31=""),"",IFERROR(L31/H31-1,""))</f>
        <v/>
      </c>
      <c r="M33" s="15">
        <f>IF(OR(M31="",I31=""),"",IFERROR(M31/I31-1,""))</f>
        <v/>
      </c>
      <c r="N33" s="15">
        <f>IF(OR(N31="",J31=""),"",IFERROR(N31/J31-1,""))</f>
        <v/>
      </c>
      <c r="O33" s="14" t="n"/>
      <c r="P33" s="15">
        <f>IF(OR(P31="",O31=""),"",IFERROR(P31/O31-1,""))</f>
        <v/>
      </c>
      <c r="Q33" s="15">
        <f>IF(OR(Q31="",P31=""),"",IFERROR(Q31/P31-1,""))</f>
        <v/>
      </c>
      <c r="R33" s="15">
        <f>IF(OR(R31="",Q31=""),"",IFERROR(R31/Q31-1,""))</f>
        <v/>
      </c>
      <c r="S33" s="15">
        <f>IF(OR(S31="",R31=""),"",IFERROR(S31/R31-1,""))</f>
        <v/>
      </c>
      <c r="T33" s="15">
        <f>IF(OR(T31="",S31=""),"",IFERROR(T31/S31-1,""))</f>
        <v/>
      </c>
      <c r="U33" s="15">
        <f>IF(OR(U31="",T31=""),"",IFERROR(U31/T31-1,""))</f>
        <v/>
      </c>
      <c r="V33" s="15">
        <f>IF(OR(V31="",U31=""),"",IFERROR(V31/U31-1,""))</f>
        <v/>
      </c>
      <c r="W33" s="15">
        <f>IF(OR(W31="",V31=""),"",IFERROR(W31/V31-1,""))</f>
        <v/>
      </c>
      <c r="X33" s="15">
        <f>IF(OR(X31="",W31=""),"",IFERROR(X31/W31-1,""))</f>
        <v/>
      </c>
      <c r="Y33" s="14">
        <f>IF(OR(Y31="",X31=""),"",IFERROR(Y31/X31-1,""))</f>
        <v/>
      </c>
      <c r="Z33" s="15">
        <f>IF(OR(Z31="",Y31=""),"",IFERROR(Z31/Y31-1,""))</f>
        <v/>
      </c>
      <c r="AA33" s="15">
        <f>IF(OR(AA31="",Z31=""),"",IFERROR(AA31/Z31-1,""))</f>
        <v/>
      </c>
      <c r="AB33" s="15">
        <f>IF(OR(AB31="",AA31=""),"",IFERROR(AB31/AA31-1,""))</f>
        <v/>
      </c>
      <c r="AC33" s="15">
        <f>IF(OR(AC31="",AB31=""),"",IFERROR(AC31/AB31-1,""))</f>
        <v/>
      </c>
    </row>
    <row r="34">
      <c r="A34" s="16" t="inlineStr">
        <is>
          <t>비용의 성격별 분류</t>
        </is>
      </c>
      <c r="B34" s="16" t="inlineStr">
        <is>
          <t>참고 데이터</t>
        </is>
      </c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9" t="inlineStr">
        <is>
          <t>총 판관비</t>
        </is>
      </c>
      <c r="B35" s="10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1">
        <f>IF(O29="","",O29)</f>
        <v/>
      </c>
      <c r="P35" s="12">
        <f>IF(P29="","",P29)</f>
        <v/>
      </c>
      <c r="Q35" s="12">
        <f>IF(Q29="","",Q29)</f>
        <v/>
      </c>
      <c r="R35" s="12">
        <f>IF(R29="","",R29)</f>
        <v/>
      </c>
      <c r="S35" s="12">
        <f>IF(S29="","",S29)</f>
        <v/>
      </c>
      <c r="T35" s="12">
        <f>IF(T29="","",T29)</f>
        <v/>
      </c>
      <c r="U35" s="12">
        <f>IF(U29="","",U29)</f>
        <v/>
      </c>
      <c r="V35" s="12">
        <f>IF(V29="","",V29)</f>
        <v/>
      </c>
      <c r="W35" s="12">
        <f>IF(W29="","",W29)</f>
        <v/>
      </c>
      <c r="X35" s="12">
        <f>IF(X29="","",X29)</f>
        <v/>
      </c>
      <c r="Y35" s="11" t="n"/>
      <c r="Z35" s="12" t="n"/>
      <c r="AA35" s="12" t="n"/>
      <c r="AB35" s="12" t="n"/>
      <c r="AC35" s="12" t="n"/>
    </row>
    <row r="36">
      <c r="A36" s="18" t="inlineStr">
        <is>
          <t>급여</t>
        </is>
      </c>
      <c r="B36" s="10" t="inlineStr">
        <is>
          <t>고정비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감가상각비</t>
        </is>
      </c>
      <c r="B38" s="10" t="inlineStr">
        <is>
          <t>고정비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8" t="inlineStr">
        <is>
          <t>지급수수료</t>
        </is>
      </c>
      <c r="B40" s="10" t="inlineStr">
        <is>
          <t>고정비</t>
        </is>
      </c>
      <c r="C40" s="19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19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19" t="n"/>
      <c r="Z40" s="20" t="n"/>
      <c r="AA40" s="20" t="n"/>
      <c r="AB40" s="20" t="n"/>
      <c r="AC40" s="20" t="n"/>
    </row>
    <row r="41">
      <c r="A41" s="13" t="inlineStr">
        <is>
          <t>% of Sales</t>
        </is>
      </c>
      <c r="B41" s="10" t="n"/>
      <c r="C41" s="14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4">
        <f>IF(OR(O40="",O4=""),"",IFERROR(O40/O4,""))</f>
        <v/>
      </c>
      <c r="P41" s="15">
        <f>IF(OR(P40="",P4=""),"",IFERROR(P40/P4,""))</f>
        <v/>
      </c>
      <c r="Q41" s="15">
        <f>IF(OR(Q40="",Q4=""),"",IFERROR(Q40/Q4,""))</f>
        <v/>
      </c>
      <c r="R41" s="15">
        <f>IF(OR(R40="",R4=""),"",IFERROR(R40/R4,""))</f>
        <v/>
      </c>
      <c r="S41" s="15">
        <f>IF(OR(S40="",S4=""),"",IFERROR(S40/S4,""))</f>
        <v/>
      </c>
      <c r="T41" s="15">
        <f>IF(OR(T40="",T4=""),"",IFERROR(T40/T4,""))</f>
        <v/>
      </c>
      <c r="U41" s="15">
        <f>IF(OR(U40="",U4=""),"",IFERROR(U40/U4,""))</f>
        <v/>
      </c>
      <c r="V41" s="15">
        <f>IF(OR(V40="",V4=""),"",IFERROR(V40/V4,""))</f>
        <v/>
      </c>
      <c r="W41" s="15">
        <f>IF(OR(W40="",W4=""),"",IFERROR(W40/W4,""))</f>
        <v/>
      </c>
      <c r="X41" s="15">
        <f>IF(OR(X40="",X4=""),"",IFERROR(X40/X4,""))</f>
        <v/>
      </c>
      <c r="Y41" s="14" t="n"/>
      <c r="Z41" s="15" t="n"/>
      <c r="AA41" s="15" t="n"/>
      <c r="AB41" s="15" t="n"/>
      <c r="AC41" s="15" t="n"/>
    </row>
    <row r="42">
      <c r="A42" s="18" t="inlineStr">
        <is>
          <t>연구개발비</t>
        </is>
      </c>
      <c r="B42" s="10" t="inlineStr">
        <is>
          <t>변동비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기타비용</t>
        </is>
      </c>
      <c r="B44" s="10" t="inlineStr">
        <is>
          <t>변동비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>
        <f>IF(OR(O35="",O36="",O38="",O40="",O42=""),"",IFERROR(O35-O36-O38-O40-O42,""))</f>
        <v/>
      </c>
      <c r="P44" s="20">
        <f>IF(OR(P35="",P36="",P38="",P40="",P42=""),"",IFERROR(P35-P36-P38-P40-P42,""))</f>
        <v/>
      </c>
      <c r="Q44" s="20">
        <f>IF(OR(Q35="",Q36="",Q38="",Q40="",Q42=""),"",IFERROR(Q35-Q36-Q38-Q40-Q42,""))</f>
        <v/>
      </c>
      <c r="R44" s="20">
        <f>IF(OR(R35="",R36="",R38="",R40="",R42=""),"",IFERROR(R35-R36-R38-R40-R42,""))</f>
        <v/>
      </c>
      <c r="S44" s="20">
        <f>IF(OR(S35="",S36="",S38="",S40="",S42=""),"",IFERROR(S35-S36-S38-S40-S42,""))</f>
        <v/>
      </c>
      <c r="T44" s="20">
        <f>IF(OR(T35="",T36="",T38="",T40="",T42=""),"",IFERROR(T35-T36-T38-T40-T42,""))</f>
        <v/>
      </c>
      <c r="U44" s="20">
        <f>IF(OR(U35="",U36="",U38="",U40="",U42=""),"",IFERROR(U35-U36-U38-U40-U42,""))</f>
        <v/>
      </c>
      <c r="V44" s="20">
        <f>IF(OR(V35="",V36="",V38="",V40="",V42=""),"",IFERROR(V35-V36-V38-V40-V42,""))</f>
        <v/>
      </c>
      <c r="W44" s="20">
        <f>IF(OR(W35="",W36="",W38="",W40="",W42=""),"",IFERROR(W35-W36-W38-W40-W42,""))</f>
        <v/>
      </c>
      <c r="X44" s="20">
        <f>IF(OR(X35="",X36="",X38="",X40="",X42=""),"",IFERROR(X35-X36-X38-X40-X42,""))</f>
        <v/>
      </c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6" t="inlineStr">
        <is>
          <t>당기순이익 추정</t>
        </is>
      </c>
      <c r="B46" s="16" t="n"/>
      <c r="C46" s="17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7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7" t="n"/>
      <c r="Z46" s="16" t="n"/>
      <c r="AA46" s="16" t="n"/>
      <c r="AB46" s="16" t="n"/>
      <c r="AC46" s="16" t="n"/>
    </row>
    <row r="47">
      <c r="A47" s="18" t="inlineStr">
        <is>
          <t>특별이익</t>
        </is>
      </c>
      <c r="B47" s="10" t="n"/>
      <c r="C47" s="19" t="n">
        <v>11</v>
      </c>
      <c r="D47" s="20" t="n">
        <v>579</v>
      </c>
      <c r="E47" s="20" t="n">
        <v>830</v>
      </c>
      <c r="F47" s="20" t="n">
        <v>1293</v>
      </c>
      <c r="G47" s="20" t="n">
        <v>6</v>
      </c>
      <c r="H47" s="20" t="n">
        <v>163</v>
      </c>
      <c r="I47" s="20" t="n">
        <v>790</v>
      </c>
      <c r="J47" s="20" t="n">
        <v>0</v>
      </c>
      <c r="K47" s="20" t="n">
        <v>121</v>
      </c>
      <c r="L47" s="20" t="n">
        <v>258</v>
      </c>
      <c r="M47" s="20" t="n">
        <v>637</v>
      </c>
      <c r="N47" s="20" t="n">
        <v>8</v>
      </c>
      <c r="O47" s="19" t="n">
        <v>36</v>
      </c>
      <c r="P47" s="20" t="n">
        <v>452</v>
      </c>
      <c r="Q47" s="20" t="n">
        <v>2130</v>
      </c>
      <c r="R47" s="20" t="n">
        <v>482</v>
      </c>
      <c r="S47" s="20" t="n">
        <v>327</v>
      </c>
      <c r="T47" s="20" t="n">
        <v>7</v>
      </c>
      <c r="U47" s="20" t="n">
        <v>1363</v>
      </c>
      <c r="V47" s="20" t="n">
        <v>1463</v>
      </c>
      <c r="W47" s="20" t="n">
        <v>2252</v>
      </c>
      <c r="X47" s="20" t="n">
        <v>1016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inlineStr">
        <is>
          <t>MW = 최근 3년 평균</t>
        </is>
      </c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18" t="inlineStr">
        <is>
          <t>특별손실</t>
        </is>
      </c>
      <c r="B49" s="10" t="n"/>
      <c r="C49" s="19" t="n">
        <v>85</v>
      </c>
      <c r="D49" s="20" t="n">
        <v>222</v>
      </c>
      <c r="E49" s="20" t="n">
        <v>127</v>
      </c>
      <c r="F49" s="20" t="n">
        <v>18</v>
      </c>
      <c r="G49" s="20" t="n">
        <v>27</v>
      </c>
      <c r="H49" s="20" t="n">
        <v>27</v>
      </c>
      <c r="I49" s="20" t="n">
        <v>167</v>
      </c>
      <c r="J49" s="20" t="n">
        <v>5</v>
      </c>
      <c r="K49" s="20" t="n">
        <v>88</v>
      </c>
      <c r="L49" s="20" t="n">
        <v>497</v>
      </c>
      <c r="M49" s="20" t="n">
        <v>412</v>
      </c>
      <c r="N49" s="20" t="n">
        <v>33</v>
      </c>
      <c r="O49" s="19" t="n">
        <v>174</v>
      </c>
      <c r="P49" s="20" t="n">
        <v>949</v>
      </c>
      <c r="Q49" s="20" t="n">
        <v>250</v>
      </c>
      <c r="R49" s="20" t="n">
        <v>286</v>
      </c>
      <c r="S49" s="20" t="n">
        <v>137</v>
      </c>
      <c r="T49" s="20" t="n">
        <v>633</v>
      </c>
      <c r="U49" s="20" t="n">
        <v>3328</v>
      </c>
      <c r="V49" s="20" t="n">
        <v>470</v>
      </c>
      <c r="W49" s="20" t="n">
        <v>239</v>
      </c>
      <c r="X49" s="20" t="n">
        <v>1002</v>
      </c>
      <c r="Y49" s="19">
        <f>IF(OR(Y4="",Y50=""),"",IFERROR(Y4*Y50,""))</f>
        <v/>
      </c>
      <c r="Z49" s="20">
        <f>IF(OR(Z4="",Z50=""),"",IFERROR(Z4*Z50,""))</f>
        <v/>
      </c>
      <c r="AA49" s="20">
        <f>IF(OR(AA4="",AA50=""),"",IFERROR(AA4*AA50,""))</f>
        <v/>
      </c>
      <c r="AB49" s="20">
        <f>IF(OR(AB4="",AB50=""),"",IFERROR(AB4*AB50,""))</f>
        <v/>
      </c>
      <c r="AC49" s="20">
        <f>IF(OR(AC4="",AC50=""),"",IFERROR(AC4*AC50,""))</f>
        <v/>
      </c>
    </row>
    <row r="50">
      <c r="A50" s="13" t="inlineStr">
        <is>
          <t>% of Sales</t>
        </is>
      </c>
      <c r="B50" s="10" t="n"/>
      <c r="C50" s="14">
        <f>IF(OR(C49="",C4=""),"",IFERROR(C49/C4,""))</f>
        <v/>
      </c>
      <c r="D50" s="15">
        <f>IF(OR(D49="",D4=""),"",IFERROR(D49/D4,""))</f>
        <v/>
      </c>
      <c r="E50" s="15">
        <f>IF(OR(E49="",E4=""),"",IFERROR(E49/E4,""))</f>
        <v/>
      </c>
      <c r="F50" s="15">
        <f>IF(OR(F49="",F4=""),"",IFERROR(F49/F4,""))</f>
        <v/>
      </c>
      <c r="G50" s="15">
        <f>IF(OR(G49="",G4=""),"",IFERROR(G49/G4,""))</f>
        <v/>
      </c>
      <c r="H50" s="15">
        <f>IF(OR(H49="",H4=""),"",IFERROR(H49/H4,""))</f>
        <v/>
      </c>
      <c r="I50" s="15">
        <f>IF(OR(I49="",I4=""),"",IFERROR(I49/I4,""))</f>
        <v/>
      </c>
      <c r="J50" s="15">
        <f>IF(OR(J49="",J4=""),"",IFERROR(J49/J4,""))</f>
        <v/>
      </c>
      <c r="K50" s="15">
        <f>IF(OR(K49="",K4=""),"",IFERROR(K49/K4,""))</f>
        <v/>
      </c>
      <c r="L50" s="15">
        <f>IF(OR(L49="",L4=""),"",IFERROR(L49/L4,""))</f>
        <v/>
      </c>
      <c r="M50" s="15">
        <f>IF(OR(M49="",M4=""),"",IFERROR(M49/M4,""))</f>
        <v/>
      </c>
      <c r="N50" s="15">
        <f>IF(OR(N49="",N4=""),"",IFERROR(N49/N4,""))</f>
        <v/>
      </c>
      <c r="O50" s="14">
        <f>IF(OR(O49="",O4=""),"",IFERROR(O49/O4,""))</f>
        <v/>
      </c>
      <c r="P50" s="15">
        <f>IF(OR(P49="",P4=""),"",IFERROR(P49/P4,""))</f>
        <v/>
      </c>
      <c r="Q50" s="15">
        <f>IF(OR(Q49="",Q4=""),"",IFERROR(Q49/Q4,""))</f>
        <v/>
      </c>
      <c r="R50" s="15">
        <f>IF(OR(R49="",R4=""),"",IFERROR(R49/R4,""))</f>
        <v/>
      </c>
      <c r="S50" s="15">
        <f>IF(OR(S49="",S4=""),"",IFERROR(S49/S4,""))</f>
        <v/>
      </c>
      <c r="T50" s="15">
        <f>IF(OR(T49="",T4=""),"",IFERROR(T49/T4,""))</f>
        <v/>
      </c>
      <c r="U50" s="15">
        <f>IF(OR(U49="",U4=""),"",IFERROR(U49/U4,""))</f>
        <v/>
      </c>
      <c r="V50" s="15">
        <f>IF(OR(V49="",V4=""),"",IFERROR(V49/V4,""))</f>
        <v/>
      </c>
      <c r="W50" s="15">
        <f>IF(OR(W49="",W4=""),"",IFERROR(W49/W4,""))</f>
        <v/>
      </c>
      <c r="X50" s="15">
        <f>IF(OR(X49="",X4=""),"",IFERROR(X49/X4,""))</f>
        <v/>
      </c>
      <c r="Y50" s="25">
        <f>IFERROR(AVERAGE(V50,W50,X50),"")</f>
        <v/>
      </c>
      <c r="Z50" s="26">
        <f>Y50</f>
        <v/>
      </c>
      <c r="AA50" s="26">
        <f>Z50</f>
        <v/>
      </c>
      <c r="AB50" s="26">
        <f>AA50</f>
        <v/>
      </c>
      <c r="AC50" s="26">
        <f>AB50</f>
        <v/>
      </c>
    </row>
    <row r="51">
      <c r="A51" s="18" t="inlineStr">
        <is>
          <t>영업외수익</t>
        </is>
      </c>
      <c r="B51" s="10" t="n"/>
      <c r="C51" s="19" t="n">
        <v>332</v>
      </c>
      <c r="D51" s="20" t="n">
        <v>157</v>
      </c>
      <c r="E51" s="20" t="n">
        <v>78</v>
      </c>
      <c r="F51" s="20" t="n">
        <v>397</v>
      </c>
      <c r="G51" s="20" t="n">
        <v>30</v>
      </c>
      <c r="H51" s="20" t="n">
        <v>162</v>
      </c>
      <c r="I51" s="20" t="n">
        <v>163</v>
      </c>
      <c r="J51" s="20" t="n">
        <v>201</v>
      </c>
      <c r="K51" s="20" t="n">
        <v>149</v>
      </c>
      <c r="L51" s="20" t="n">
        <v>205</v>
      </c>
      <c r="M51" s="20" t="n">
        <v>281</v>
      </c>
      <c r="N51" s="20" t="n">
        <v>318</v>
      </c>
      <c r="O51" s="19" t="n">
        <v>527</v>
      </c>
      <c r="P51" s="20" t="n">
        <v>568</v>
      </c>
      <c r="Q51" s="20" t="n">
        <v>667</v>
      </c>
      <c r="R51" s="20" t="n">
        <v>600</v>
      </c>
      <c r="S51" s="20" t="n">
        <v>642</v>
      </c>
      <c r="T51" s="20" t="n">
        <v>967</v>
      </c>
      <c r="U51" s="20" t="n">
        <v>935</v>
      </c>
      <c r="V51" s="20" t="n">
        <v>821</v>
      </c>
      <c r="W51" s="20" t="n">
        <v>752</v>
      </c>
      <c r="X51" s="20" t="n">
        <v>836</v>
      </c>
      <c r="Y51" s="19">
        <f>IF(OR(Y4="",Y52=""),"",IFERROR(Y4*Y52,""))</f>
        <v/>
      </c>
      <c r="Z51" s="20">
        <f>IF(OR(Z4="",Z52=""),"",IFERROR(Z4*Z52,""))</f>
        <v/>
      </c>
      <c r="AA51" s="20">
        <f>IF(OR(AA4="",AA52=""),"",IFERROR(AA4*AA52,""))</f>
        <v/>
      </c>
      <c r="AB51" s="20">
        <f>IF(OR(AB4="",AB52=""),"",IFERROR(AB4*AB52,""))</f>
        <v/>
      </c>
      <c r="AC51" s="20">
        <f>IF(OR(AC4="",AC52=""),"",IFERROR(AC4*AC52,""))</f>
        <v/>
      </c>
    </row>
    <row r="52">
      <c r="A52" s="13" t="inlineStr">
        <is>
          <t>% of Sales</t>
        </is>
      </c>
      <c r="B52" s="10" t="n"/>
      <c r="C52" s="14">
        <f>IF(OR(C51="",C4=""),"",IFERROR(C51/C4,""))</f>
        <v/>
      </c>
      <c r="D52" s="15">
        <f>IF(OR(D51="",D4=""),"",IFERROR(D51/D4,""))</f>
        <v/>
      </c>
      <c r="E52" s="15">
        <f>IF(OR(E51="",E4=""),"",IFERROR(E51/E4,""))</f>
        <v/>
      </c>
      <c r="F52" s="15">
        <f>IF(OR(F51="",F4=""),"",IFERROR(F51/F4,""))</f>
        <v/>
      </c>
      <c r="G52" s="15">
        <f>IF(OR(G51="",G4=""),"",IFERROR(G51/G4,""))</f>
        <v/>
      </c>
      <c r="H52" s="15">
        <f>IF(OR(H51="",H4=""),"",IFERROR(H51/H4,""))</f>
        <v/>
      </c>
      <c r="I52" s="15">
        <f>IF(OR(I51="",I4=""),"",IFERROR(I51/I4,""))</f>
        <v/>
      </c>
      <c r="J52" s="15">
        <f>IF(OR(J51="",J4=""),"",IFERROR(J51/J4,""))</f>
        <v/>
      </c>
      <c r="K52" s="15">
        <f>IF(OR(K51="",K4=""),"",IFERROR(K51/K4,""))</f>
        <v/>
      </c>
      <c r="L52" s="15">
        <f>IF(OR(L51="",L4=""),"",IFERROR(L51/L4,""))</f>
        <v/>
      </c>
      <c r="M52" s="15">
        <f>IF(OR(M51="",M4=""),"",IFERROR(M51/M4,""))</f>
        <v/>
      </c>
      <c r="N52" s="15">
        <f>IF(OR(N51="",N4=""),"",IFERROR(N51/N4,""))</f>
        <v/>
      </c>
      <c r="O52" s="14">
        <f>IF(OR(O51="",O4=""),"",IFERROR(O51/O4,""))</f>
        <v/>
      </c>
      <c r="P52" s="15">
        <f>IF(OR(P51="",P4=""),"",IFERROR(P51/P4,""))</f>
        <v/>
      </c>
      <c r="Q52" s="15">
        <f>IF(OR(Q51="",Q4=""),"",IFERROR(Q51/Q4,""))</f>
        <v/>
      </c>
      <c r="R52" s="15">
        <f>IF(OR(R51="",R4=""),"",IFERROR(R51/R4,""))</f>
        <v/>
      </c>
      <c r="S52" s="15">
        <f>IF(OR(S51="",S4=""),"",IFERROR(S51/S4,""))</f>
        <v/>
      </c>
      <c r="T52" s="15">
        <f>IF(OR(T51="",T4=""),"",IFERROR(T51/T4,""))</f>
        <v/>
      </c>
      <c r="U52" s="15">
        <f>IF(OR(U51="",U4=""),"",IFERROR(U51/U4,""))</f>
        <v/>
      </c>
      <c r="V52" s="15">
        <f>IF(OR(V51="",V4=""),"",IFERROR(V51/V4,""))</f>
        <v/>
      </c>
      <c r="W52" s="15">
        <f>IF(OR(W51="",W4=""),"",IFERROR(W51/W4,""))</f>
        <v/>
      </c>
      <c r="X52" s="15">
        <f>IF(OR(X51="",X4=""),"",IFERROR(X51/X4,""))</f>
        <v/>
      </c>
      <c r="Y52" s="25">
        <f>IFERROR(AVERAGE(V52,W52,X52),"")</f>
        <v/>
      </c>
      <c r="Z52" s="26">
        <f>Y52</f>
        <v/>
      </c>
      <c r="AA52" s="26">
        <f>Z52</f>
        <v/>
      </c>
      <c r="AB52" s="26">
        <f>AA52</f>
        <v/>
      </c>
      <c r="AC52" s="26">
        <f>AB52</f>
        <v/>
      </c>
    </row>
    <row r="53">
      <c r="A53" s="18" t="inlineStr">
        <is>
          <t>영업외비용</t>
        </is>
      </c>
      <c r="B53" s="10" t="n"/>
      <c r="C53" s="19" t="n">
        <v>120</v>
      </c>
      <c r="D53" s="20" t="n">
        <v>122</v>
      </c>
      <c r="E53" s="20" t="n">
        <v>283</v>
      </c>
      <c r="F53" s="20" t="n">
        <v>213</v>
      </c>
      <c r="G53" s="20" t="n">
        <v>214</v>
      </c>
      <c r="H53" s="20" t="n">
        <v>232</v>
      </c>
      <c r="I53" s="20" t="n">
        <v>296</v>
      </c>
      <c r="J53" s="20" t="n">
        <v>296</v>
      </c>
      <c r="K53" s="20" t="n">
        <v>344</v>
      </c>
      <c r="L53" s="20" t="n">
        <v>75</v>
      </c>
      <c r="M53" s="20" t="n">
        <v>230</v>
      </c>
      <c r="N53" s="20" t="n">
        <v>339</v>
      </c>
      <c r="O53" s="19" t="n">
        <v>308</v>
      </c>
      <c r="P53" s="20" t="n">
        <v>242</v>
      </c>
      <c r="Q53" s="20" t="n">
        <v>280</v>
      </c>
      <c r="R53" s="20" t="n">
        <v>247</v>
      </c>
      <c r="S53" s="20" t="n">
        <v>247</v>
      </c>
      <c r="T53" s="20" t="n">
        <v>704</v>
      </c>
      <c r="U53" s="20" t="n">
        <v>715</v>
      </c>
      <c r="V53" s="20" t="n">
        <v>615</v>
      </c>
      <c r="W53" s="20" t="n">
        <v>955</v>
      </c>
      <c r="X53" s="20" t="n">
        <v>945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n"/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9" t="inlineStr">
        <is>
          <t>법인세비용차감전순이익(손실)</t>
        </is>
      </c>
      <c r="B55" s="10" t="n"/>
      <c r="C55" s="11" t="n">
        <v>-856</v>
      </c>
      <c r="D55" s="12" t="n">
        <v>306</v>
      </c>
      <c r="E55" s="12" t="n">
        <v>-205</v>
      </c>
      <c r="F55" s="12" t="n">
        <v>2081</v>
      </c>
      <c r="G55" s="12" t="n">
        <v>-515</v>
      </c>
      <c r="H55" s="12" t="n">
        <v>768</v>
      </c>
      <c r="I55" s="12" t="n">
        <v>533</v>
      </c>
      <c r="J55" s="12" t="n">
        <v>580</v>
      </c>
      <c r="K55" s="12" t="n">
        <v>87</v>
      </c>
      <c r="L55" s="12" t="n">
        <v>793</v>
      </c>
      <c r="M55" s="12" t="n">
        <v>944</v>
      </c>
      <c r="N55" s="12" t="n">
        <v>1591</v>
      </c>
      <c r="O55" s="11" t="n">
        <v>5176</v>
      </c>
      <c r="P55" s="12" t="n">
        <v>4721</v>
      </c>
      <c r="Q55" s="12" t="n">
        <v>5831</v>
      </c>
      <c r="R55" s="12" t="n">
        <v>3122</v>
      </c>
      <c r="S55" s="12" t="n">
        <v>3842</v>
      </c>
      <c r="T55" s="12" t="n">
        <v>2941</v>
      </c>
      <c r="U55" s="12" t="n">
        <v>-4652</v>
      </c>
      <c r="V55" s="12" t="n">
        <v>-1418</v>
      </c>
      <c r="W55" s="12" t="n">
        <v>2867</v>
      </c>
      <c r="X55" s="12" t="n">
        <v>2404</v>
      </c>
      <c r="Y55" s="11">
        <f>IF(OR(Y31=""),"",IFERROR(Y31+N(Y47)-N(Y49)+N(Y51)-N(Y53),""))</f>
        <v/>
      </c>
      <c r="Z55" s="12">
        <f>IF(OR(Z31=""),"",IFERROR(Z31+N(Z47)-N(Z49)+N(Z51)-N(Z53),""))</f>
        <v/>
      </c>
      <c r="AA55" s="12">
        <f>IF(OR(AA31=""),"",IFERROR(AA31+N(AA47)-N(AA49)+N(AA51)-N(AA53),""))</f>
        <v/>
      </c>
      <c r="AB55" s="12">
        <f>IF(OR(AB31=""),"",IFERROR(AB31+N(AB47)-N(AB49)+N(AB51)-N(AB53),""))</f>
        <v/>
      </c>
      <c r="AC55" s="12">
        <f>IF(OR(AC31=""),"",IFERROR(AC31+N(AC47)-N(AC49)+N(AC51)-N(AC53),""))</f>
        <v/>
      </c>
    </row>
    <row r="56">
      <c r="A56" s="13" t="inlineStr">
        <is>
          <t>YoY</t>
        </is>
      </c>
      <c r="B56" s="10" t="n"/>
      <c r="C56" s="14" t="n"/>
      <c r="D56" s="15" t="n"/>
      <c r="E56" s="15" t="n"/>
      <c r="F56" s="15" t="n"/>
      <c r="G56" s="15">
        <f>IF(OR(G55="",C55=""),"",IF(C55&lt;=0,"",IFERROR(G55/C55-1,"")))</f>
        <v/>
      </c>
      <c r="H56" s="15">
        <f>IF(OR(H55="",D55=""),"",IF(D55&lt;=0,"",IFERROR(H55/D55-1,"")))</f>
        <v/>
      </c>
      <c r="I56" s="15">
        <f>IF(OR(I55="",E55=""),"",IF(E55&lt;=0,"",IFERROR(I55/E55-1,"")))</f>
        <v/>
      </c>
      <c r="J56" s="15">
        <f>IF(OR(J55="",F55=""),"",IF(F55&lt;=0,"",IFERROR(J55/F55-1,"")))</f>
        <v/>
      </c>
      <c r="K56" s="15">
        <f>IF(OR(K55="",G55=""),"",IF(G55&lt;=0,"",IFERROR(K55/G55-1,"")))</f>
        <v/>
      </c>
      <c r="L56" s="15">
        <f>IF(OR(L55="",H55=""),"",IF(H55&lt;=0,"",IFERROR(L55/H55-1,"")))</f>
        <v/>
      </c>
      <c r="M56" s="15">
        <f>IF(OR(M55="",I55=""),"",IF(I55&lt;=0,"",IFERROR(M55/I55-1,"")))</f>
        <v/>
      </c>
      <c r="N56" s="15">
        <f>IF(OR(N55="",J55=""),"",IF(J55&lt;=0,"",IFERROR(N55/J55-1,"")))</f>
        <v/>
      </c>
      <c r="O56" s="14" t="n"/>
      <c r="P56" s="15">
        <f>IF(OR(P55="",O55=""),"",IF(O55&lt;=0,"",IFERROR(P55/O55-1,"")))</f>
        <v/>
      </c>
      <c r="Q56" s="15">
        <f>IF(OR(Q55="",P55=""),"",IF(P55&lt;=0,"",IFERROR(Q55/P55-1,"")))</f>
        <v/>
      </c>
      <c r="R56" s="15">
        <f>IF(OR(R55="",Q55=""),"",IF(Q55&lt;=0,"",IFERROR(R55/Q55-1,"")))</f>
        <v/>
      </c>
      <c r="S56" s="15">
        <f>IF(OR(S55="",R55=""),"",IF(R55&lt;=0,"",IFERROR(S55/R55-1,"")))</f>
        <v/>
      </c>
      <c r="T56" s="15">
        <f>IF(OR(T55="",S55=""),"",IF(S55&lt;=0,"",IFERROR(T55/S55-1,"")))</f>
        <v/>
      </c>
      <c r="U56" s="15">
        <f>IF(OR(U55="",T55=""),"",IF(T55&lt;=0,"",IFERROR(U55/T55-1,"")))</f>
        <v/>
      </c>
      <c r="V56" s="15">
        <f>IF(OR(V55="",U55=""),"",IF(U55&lt;=0,"",IFERROR(V55/U55-1,"")))</f>
        <v/>
      </c>
      <c r="W56" s="15">
        <f>IF(OR(W55="",V55=""),"",IF(V55&lt;=0,"",IFERROR(W55/V55-1,"")))</f>
        <v/>
      </c>
      <c r="X56" s="15">
        <f>IF(OR(X55="",W55=""),"",IF(W55&lt;=0,"",IFERROR(X55/W55-1,"")))</f>
        <v/>
      </c>
      <c r="Y56" s="14">
        <f>IF(OR(Y55="",X55=""),"",IF(X55&lt;=0,"",IFERROR(Y55/X55-1,"")))</f>
        <v/>
      </c>
      <c r="Z56" s="15">
        <f>IF(OR(Z55="",Y55=""),"",IF(Y55&lt;=0,"",IFERROR(Z55/Y55-1,"")))</f>
        <v/>
      </c>
      <c r="AA56" s="15">
        <f>IF(OR(AA55="",Z55=""),"",IF(Z55&lt;=0,"",IFERROR(AA55/Z55-1,"")))</f>
        <v/>
      </c>
      <c r="AB56" s="15">
        <f>IF(OR(AB55="",AA55=""),"",IF(AA55&lt;=0,"",IFERROR(AB55/AA55-1,"")))</f>
        <v/>
      </c>
      <c r="AC56" s="15">
        <f>IF(OR(AC55="",AB55=""),"",IF(AB55&lt;=0,"",IFERROR(AC55/AB55-1,"")))</f>
        <v/>
      </c>
    </row>
    <row r="57">
      <c r="A57" s="18" t="inlineStr">
        <is>
          <t>법인세비용(수익)</t>
        </is>
      </c>
      <c r="B57" s="10" t="n"/>
      <c r="C57" s="19" t="n">
        <v>22</v>
      </c>
      <c r="D57" s="20" t="n">
        <v>352</v>
      </c>
      <c r="E57" s="20" t="n">
        <v>455</v>
      </c>
      <c r="F57" s="20" t="n">
        <v>696</v>
      </c>
      <c r="G57" s="20" t="n">
        <v>134</v>
      </c>
      <c r="H57" s="20" t="n">
        <v>532</v>
      </c>
      <c r="I57" s="20" t="n">
        <v>443</v>
      </c>
      <c r="J57" s="20" t="n">
        <v>419</v>
      </c>
      <c r="K57" s="20" t="n">
        <v>256</v>
      </c>
      <c r="L57" s="20" t="n">
        <v>626</v>
      </c>
      <c r="M57" s="20" t="n">
        <v>437</v>
      </c>
      <c r="N57" s="20" t="n">
        <v>706</v>
      </c>
      <c r="O57" s="19" t="n">
        <v>1452</v>
      </c>
      <c r="P57" s="20" t="n">
        <v>1134</v>
      </c>
      <c r="Q57" s="20" t="n">
        <v>1596</v>
      </c>
      <c r="R57" s="20" t="n">
        <v>1004</v>
      </c>
      <c r="S57" s="20" t="n">
        <v>1460</v>
      </c>
      <c r="T57" s="20" t="n">
        <v>1132</v>
      </c>
      <c r="U57" s="20" t="n">
        <v>883</v>
      </c>
      <c r="V57" s="20" t="n">
        <v>938</v>
      </c>
      <c r="W57" s="20" t="n">
        <v>1805</v>
      </c>
      <c r="X57" s="20" t="n">
        <v>1738</v>
      </c>
      <c r="Y57" s="19">
        <f>IF(OR(Y55="",Y58=""),"",IFERROR(MAX(Y55,0)*Y58,""))</f>
        <v/>
      </c>
      <c r="Z57" s="20">
        <f>IF(OR(Z55="",Z58=""),"",IFERROR(MAX(Z55,0)*Z58,""))</f>
        <v/>
      </c>
      <c r="AA57" s="20">
        <f>IF(OR(AA55="",AA58=""),"",IFERROR(MAX(AA55,0)*AA58,""))</f>
        <v/>
      </c>
      <c r="AB57" s="20">
        <f>IF(OR(AB55="",AB58=""),"",IFERROR(MAX(AB55,0)*AB58,""))</f>
        <v/>
      </c>
      <c r="AC57" s="20">
        <f>IF(OR(AC55="",AC58=""),"",IFERROR(MAX(AC55,0)*AC58,""))</f>
        <v/>
      </c>
    </row>
    <row r="58">
      <c r="A58" s="13" t="inlineStr">
        <is>
          <t>법인세율</t>
        </is>
      </c>
      <c r="B58" s="10" t="inlineStr">
        <is>
          <t>MW 기본 30%</t>
        </is>
      </c>
      <c r="C58" s="14">
        <f>IF(OR(C57="",C55=""),"",IFERROR(C57/C55,""))</f>
        <v/>
      </c>
      <c r="D58" s="15">
        <f>IF(OR(D57="",D55=""),"",IFERROR(D57/D55,""))</f>
        <v/>
      </c>
      <c r="E58" s="15">
        <f>IF(OR(E57="",E55=""),"",IFERROR(E57/E55,""))</f>
        <v/>
      </c>
      <c r="F58" s="15">
        <f>IF(OR(F57="",F55=""),"",IFERROR(F57/F55,""))</f>
        <v/>
      </c>
      <c r="G58" s="15">
        <f>IF(OR(G57="",G55=""),"",IFERROR(G57/G55,""))</f>
        <v/>
      </c>
      <c r="H58" s="15">
        <f>IF(OR(H57="",H55=""),"",IFERROR(H57/H55,""))</f>
        <v/>
      </c>
      <c r="I58" s="15">
        <f>IF(OR(I57="",I55=""),"",IFERROR(I57/I55,""))</f>
        <v/>
      </c>
      <c r="J58" s="15">
        <f>IF(OR(J57="",J55=""),"",IFERROR(J57/J55,""))</f>
        <v/>
      </c>
      <c r="K58" s="15">
        <f>IF(OR(K57="",K55=""),"",IFERROR(K57/K55,""))</f>
        <v/>
      </c>
      <c r="L58" s="15">
        <f>IF(OR(L57="",L55=""),"",IFERROR(L57/L55,""))</f>
        <v/>
      </c>
      <c r="M58" s="15">
        <f>IF(OR(M57="",M55=""),"",IFERROR(M57/M55,""))</f>
        <v/>
      </c>
      <c r="N58" s="15">
        <f>IF(OR(N57="",N55=""),"",IFERROR(N57/N55,""))</f>
        <v/>
      </c>
      <c r="O58" s="14">
        <f>IF(OR(O57="",O55=""),"",IFERROR(O57/O55,""))</f>
        <v/>
      </c>
      <c r="P58" s="15">
        <f>IF(OR(P57="",P55=""),"",IFERROR(P57/P55,""))</f>
        <v/>
      </c>
      <c r="Q58" s="15">
        <f>IF(OR(Q57="",Q55=""),"",IFERROR(Q57/Q55,""))</f>
        <v/>
      </c>
      <c r="R58" s="15">
        <f>IF(OR(R57="",R55=""),"",IFERROR(R57/R55,""))</f>
        <v/>
      </c>
      <c r="S58" s="15">
        <f>IF(OR(S57="",S55=""),"",IFERROR(S57/S55,""))</f>
        <v/>
      </c>
      <c r="T58" s="15">
        <f>IF(OR(T57="",T55=""),"",IFERROR(T57/T55,""))</f>
        <v/>
      </c>
      <c r="U58" s="15">
        <f>IF(OR(U57="",U55=""),"",IFERROR(U57/U55,""))</f>
        <v/>
      </c>
      <c r="V58" s="15">
        <f>IF(OR(V57="",V55=""),"",IFERROR(V57/V55,""))</f>
        <v/>
      </c>
      <c r="W58" s="15">
        <f>IF(OR(W57="",W55=""),"",IFERROR(W57/W55,""))</f>
        <v/>
      </c>
      <c r="X58" s="15">
        <f>IF(OR(X57="",X55=""),"",IFERROR(X57/X55,""))</f>
        <v/>
      </c>
      <c r="Y58" s="25" t="n">
        <v>0.3</v>
      </c>
      <c r="Z58" s="26" t="n">
        <v>0.3</v>
      </c>
      <c r="AA58" s="26" t="n">
        <v>0.3</v>
      </c>
      <c r="AB58" s="26" t="n">
        <v>0.3</v>
      </c>
      <c r="AC58" s="26" t="n">
        <v>0.3</v>
      </c>
    </row>
    <row r="59">
      <c r="A59" s="9" t="inlineStr">
        <is>
          <t>당기순이익(손실)</t>
        </is>
      </c>
      <c r="B59" s="10" t="n"/>
      <c r="C59" s="11" t="n">
        <v>-877</v>
      </c>
      <c r="D59" s="12" t="n">
        <v>-47</v>
      </c>
      <c r="E59" s="12" t="n">
        <v>-659</v>
      </c>
      <c r="F59" s="12" t="n">
        <v>1384</v>
      </c>
      <c r="G59" s="12" t="n">
        <v>-648</v>
      </c>
      <c r="H59" s="12" t="n">
        <v>235</v>
      </c>
      <c r="I59" s="12" t="n">
        <v>91</v>
      </c>
      <c r="J59" s="12" t="n">
        <v>160</v>
      </c>
      <c r="K59" s="12" t="n">
        <v>-168</v>
      </c>
      <c r="L59" s="12" t="n">
        <v>167</v>
      </c>
      <c r="M59" s="12" t="n">
        <v>507</v>
      </c>
      <c r="N59" s="12" t="n">
        <v>885</v>
      </c>
      <c r="O59" s="11" t="n">
        <v>3724</v>
      </c>
      <c r="P59" s="12" t="n">
        <v>3587</v>
      </c>
      <c r="Q59" s="12" t="n">
        <v>4235</v>
      </c>
      <c r="R59" s="12" t="n">
        <v>2117</v>
      </c>
      <c r="S59" s="12" t="n">
        <v>2381</v>
      </c>
      <c r="T59" s="12" t="n">
        <v>1808</v>
      </c>
      <c r="U59" s="12" t="n">
        <v>-5536</v>
      </c>
      <c r="V59" s="12" t="n">
        <v>-2356</v>
      </c>
      <c r="W59" s="12" t="n">
        <v>1062</v>
      </c>
      <c r="X59" s="12" t="n">
        <v>666</v>
      </c>
      <c r="Y59" s="11">
        <f>IF(OR(Y55=""),"",IFERROR(Y55-Y57,""))</f>
        <v/>
      </c>
      <c r="Z59" s="12">
        <f>IF(OR(Z55=""),"",IFERROR(Z55-Z57,""))</f>
        <v/>
      </c>
      <c r="AA59" s="12">
        <f>IF(OR(AA55=""),"",IFERROR(AA55-AA57,""))</f>
        <v/>
      </c>
      <c r="AB59" s="12">
        <f>IF(OR(AB55=""),"",IFERROR(AB55-AB57,""))</f>
        <v/>
      </c>
      <c r="AC59" s="12">
        <f>IF(OR(AC55=""),"",IFERROR(AC55-AC57,""))</f>
        <v/>
      </c>
    </row>
    <row r="60">
      <c r="A60" s="13" t="inlineStr">
        <is>
          <t>YoY</t>
        </is>
      </c>
      <c r="B60" s="10" t="n"/>
      <c r="C60" s="14" t="n"/>
      <c r="D60" s="15" t="n"/>
      <c r="E60" s="15" t="n"/>
      <c r="F60" s="15" t="n"/>
      <c r="G60" s="15">
        <f>IF(OR(G59="",C59=""),"",IF(C59&lt;=0,"",IFERROR(G59/C59-1,"")))</f>
        <v/>
      </c>
      <c r="H60" s="15">
        <f>IF(OR(H59="",D59=""),"",IF(D59&lt;=0,"",IFERROR(H59/D59-1,"")))</f>
        <v/>
      </c>
      <c r="I60" s="15">
        <f>IF(OR(I59="",E59=""),"",IF(E59&lt;=0,"",IFERROR(I59/E59-1,"")))</f>
        <v/>
      </c>
      <c r="J60" s="15">
        <f>IF(OR(J59="",F59=""),"",IF(F59&lt;=0,"",IFERROR(J59/F59-1,"")))</f>
        <v/>
      </c>
      <c r="K60" s="15">
        <f>IF(OR(K59="",G59=""),"",IF(G59&lt;=0,"",IFERROR(K59/G59-1,"")))</f>
        <v/>
      </c>
      <c r="L60" s="15">
        <f>IF(OR(L59="",H59=""),"",IF(H59&lt;=0,"",IFERROR(L59/H59-1,"")))</f>
        <v/>
      </c>
      <c r="M60" s="15">
        <f>IF(OR(M59="",I59=""),"",IF(I59&lt;=0,"",IFERROR(M59/I59-1,"")))</f>
        <v/>
      </c>
      <c r="N60" s="15">
        <f>IF(OR(N59="",J59=""),"",IF(J59&lt;=0,"",IFERROR(N59/J59-1,"")))</f>
        <v/>
      </c>
      <c r="O60" s="14" t="n"/>
      <c r="P60" s="15">
        <f>IF(OR(P59="",O59=""),"",IF(O59&lt;=0,"",IFERROR(P59/O59-1,"")))</f>
        <v/>
      </c>
      <c r="Q60" s="15">
        <f>IF(OR(Q59="",P59=""),"",IF(P59&lt;=0,"",IFERROR(Q59/P59-1,"")))</f>
        <v/>
      </c>
      <c r="R60" s="15">
        <f>IF(OR(R59="",Q59=""),"",IF(Q59&lt;=0,"",IFERROR(R59/Q59-1,"")))</f>
        <v/>
      </c>
      <c r="S60" s="15">
        <f>IF(OR(S59="",R59=""),"",IF(R59&lt;=0,"",IFERROR(S59/R59-1,"")))</f>
        <v/>
      </c>
      <c r="T60" s="15">
        <f>IF(OR(T59="",S59=""),"",IF(S59&lt;=0,"",IFERROR(T59/S59-1,"")))</f>
        <v/>
      </c>
      <c r="U60" s="15">
        <f>IF(OR(U59="",T59=""),"",IF(T59&lt;=0,"",IFERROR(U59/T59-1,"")))</f>
        <v/>
      </c>
      <c r="V60" s="15">
        <f>IF(OR(V59="",U59=""),"",IF(U59&lt;=0,"",IFERROR(V59/U59-1,"")))</f>
        <v/>
      </c>
      <c r="W60" s="15">
        <f>IF(OR(W59="",V59=""),"",IF(V59&lt;=0,"",IFERROR(W59/V59-1,"")))</f>
        <v/>
      </c>
      <c r="X60" s="15">
        <f>IF(OR(X59="",W59=""),"",IF(W59&lt;=0,"",IFERROR(X59/W59-1,"")))</f>
        <v/>
      </c>
      <c r="Y60" s="14">
        <f>IF(OR(Y59="",X59=""),"",IF(X59&lt;=0,"",IFERROR(Y59/X59-1,"")))</f>
        <v/>
      </c>
      <c r="Z60" s="15">
        <f>IF(OR(Z59="",Y59=""),"",IF(Y59&lt;=0,"",IFERROR(Z59/Y59-1,"")))</f>
        <v/>
      </c>
      <c r="AA60" s="15">
        <f>IF(OR(AA59="",Z59=""),"",IF(Z59&lt;=0,"",IFERROR(AA59/Z59-1,"")))</f>
        <v/>
      </c>
      <c r="AB60" s="15">
        <f>IF(OR(AB59="",AA59=""),"",IF(AA59&lt;=0,"",IFERROR(AB59/AA59-1,"")))</f>
        <v/>
      </c>
      <c r="AC60" s="15">
        <f>IF(OR(AC59="",AB59=""),"",IF(AB59&lt;=0,"",IFERROR(AC59/AB59-1,"")))</f>
        <v/>
      </c>
    </row>
    <row r="61">
      <c r="A61" s="9" t="inlineStr">
        <is>
          <t>지배주주 순이익</t>
        </is>
      </c>
      <c r="B61" s="10" t="n"/>
      <c r="C61" s="11" t="n">
        <v>-439</v>
      </c>
      <c r="D61" s="12" t="n">
        <v>171</v>
      </c>
      <c r="E61" s="12" t="n">
        <v>-460</v>
      </c>
      <c r="F61" s="12" t="n">
        <v>1799</v>
      </c>
      <c r="G61" s="12" t="n">
        <v>-165</v>
      </c>
      <c r="H61" s="12" t="n">
        <v>633</v>
      </c>
      <c r="I61" s="12" t="n">
        <v>377</v>
      </c>
      <c r="J61" s="12" t="n">
        <v>533</v>
      </c>
      <c r="K61" s="12" t="n">
        <v>191</v>
      </c>
      <c r="L61" s="12" t="n">
        <v>607</v>
      </c>
      <c r="M61" s="12" t="n">
        <v>870</v>
      </c>
      <c r="N61" s="12" t="n">
        <v>1296</v>
      </c>
      <c r="O61" s="11" t="n">
        <v>3416</v>
      </c>
      <c r="P61" s="12" t="n">
        <v>3111</v>
      </c>
      <c r="Q61" s="12" t="n">
        <v>3890</v>
      </c>
      <c r="R61" s="12" t="n">
        <v>1732</v>
      </c>
      <c r="S61" s="12" t="n">
        <v>2169</v>
      </c>
      <c r="T61" s="12" t="n">
        <v>1502</v>
      </c>
      <c r="U61" s="12" t="n">
        <v>-4941</v>
      </c>
      <c r="V61" s="12" t="n">
        <v>-1042</v>
      </c>
      <c r="W61" s="12" t="n">
        <v>2644</v>
      </c>
      <c r="X61" s="12" t="n">
        <v>2201</v>
      </c>
      <c r="Y61" s="11">
        <f>IF(OR(Y59="",Y62=""),"",IFERROR(Y59*Y62,""))</f>
        <v/>
      </c>
      <c r="Z61" s="12">
        <f>IF(OR(Z59="",Z62=""),"",IFERROR(Z59*Z62,""))</f>
        <v/>
      </c>
      <c r="AA61" s="12">
        <f>IF(OR(AA59="",AA62=""),"",IFERROR(AA59*AA62,""))</f>
        <v/>
      </c>
      <c r="AB61" s="12">
        <f>IF(OR(AB59="",AB62=""),"",IFERROR(AB59*AB62,""))</f>
        <v/>
      </c>
      <c r="AC61" s="12">
        <f>IF(OR(AC59="",AC62=""),"",IFERROR(AC59*AC62,""))</f>
        <v/>
      </c>
    </row>
    <row r="62">
      <c r="A62" s="13" t="inlineStr">
        <is>
          <t>지배주주 순이익률</t>
        </is>
      </c>
      <c r="B62" s="10" t="inlineStr">
        <is>
          <t>MW 기본 100%</t>
        </is>
      </c>
      <c r="C62" s="14">
        <f>IF(OR(C61="",C59=""),"",IFERROR(C61/C59,""))</f>
        <v/>
      </c>
      <c r="D62" s="15">
        <f>IF(OR(D61="",D59=""),"",IFERROR(D61/D59,""))</f>
        <v/>
      </c>
      <c r="E62" s="15">
        <f>IF(OR(E61="",E59=""),"",IFERROR(E61/E59,""))</f>
        <v/>
      </c>
      <c r="F62" s="15">
        <f>IF(OR(F61="",F59=""),"",IFERROR(F61/F59,""))</f>
        <v/>
      </c>
      <c r="G62" s="15">
        <f>IF(OR(G61="",G59=""),"",IFERROR(G61/G59,""))</f>
        <v/>
      </c>
      <c r="H62" s="15">
        <f>IF(OR(H61="",H59=""),"",IFERROR(H61/H59,""))</f>
        <v/>
      </c>
      <c r="I62" s="15">
        <f>IF(OR(I61="",I59=""),"",IFERROR(I61/I59,""))</f>
        <v/>
      </c>
      <c r="J62" s="15">
        <f>IF(OR(J61="",J59=""),"",IFERROR(J61/J59,""))</f>
        <v/>
      </c>
      <c r="K62" s="15">
        <f>IF(OR(K61="",K59=""),"",IFERROR(K61/K59,""))</f>
        <v/>
      </c>
      <c r="L62" s="15">
        <f>IF(OR(L61="",L59=""),"",IFERROR(L61/L59,""))</f>
        <v/>
      </c>
      <c r="M62" s="15">
        <f>IF(OR(M61="",M59=""),"",IFERROR(M61/M59,""))</f>
        <v/>
      </c>
      <c r="N62" s="15">
        <f>IF(OR(N61="",N59=""),"",IFERROR(N61/N59,""))</f>
        <v/>
      </c>
      <c r="O62" s="14">
        <f>IF(OR(O61="",O59=""),"",IFERROR(O61/O59,""))</f>
        <v/>
      </c>
      <c r="P62" s="15">
        <f>IF(OR(P61="",P59=""),"",IFERROR(P61/P59,""))</f>
        <v/>
      </c>
      <c r="Q62" s="15">
        <f>IF(OR(Q61="",Q59=""),"",IFERROR(Q61/Q59,""))</f>
        <v/>
      </c>
      <c r="R62" s="15">
        <f>IF(OR(R61="",R59=""),"",IFERROR(R61/R59,""))</f>
        <v/>
      </c>
      <c r="S62" s="15">
        <f>IF(OR(S61="",S59=""),"",IFERROR(S61/S59,""))</f>
        <v/>
      </c>
      <c r="T62" s="15">
        <f>IF(OR(T61="",T59=""),"",IFERROR(T61/T59,""))</f>
        <v/>
      </c>
      <c r="U62" s="15">
        <f>IF(OR(U61="",U59=""),"",IFERROR(U61/U59,""))</f>
        <v/>
      </c>
      <c r="V62" s="15">
        <f>IF(OR(V61="",V59=""),"",IFERROR(V61/V59,""))</f>
        <v/>
      </c>
      <c r="W62" s="15">
        <f>IF(OR(W61="",W59=""),"",IFERROR(W61/W59,""))</f>
        <v/>
      </c>
      <c r="X62" s="15">
        <f>IF(OR(X61="",X59=""),"",IFERROR(X61/X59,""))</f>
        <v/>
      </c>
      <c r="Y62" s="25" t="n">
        <v>1</v>
      </c>
      <c r="Z62" s="26" t="n">
        <v>1</v>
      </c>
      <c r="AA62" s="26" t="n">
        <v>1</v>
      </c>
      <c r="AB62" s="26" t="n">
        <v>1</v>
      </c>
      <c r="AC62" s="26" t="n">
        <v>1</v>
      </c>
    </row>
    <row r="63">
      <c r="A63" s="13" t="inlineStr">
        <is>
          <t>지배주주 순이익 YoY</t>
        </is>
      </c>
      <c r="B63" s="10" t="n"/>
      <c r="C63" s="14" t="n"/>
      <c r="D63" s="15" t="n"/>
      <c r="E63" s="15" t="n"/>
      <c r="F63" s="15" t="n"/>
      <c r="G63" s="15">
        <f>IF(OR(G61="",C61=""),"",IF(C61&lt;=0,"",IFERROR(G61/C61-1,"")))</f>
        <v/>
      </c>
      <c r="H63" s="15">
        <f>IF(OR(H61="",D61=""),"",IF(D61&lt;=0,"",IFERROR(H61/D61-1,"")))</f>
        <v/>
      </c>
      <c r="I63" s="15">
        <f>IF(OR(I61="",E61=""),"",IF(E61&lt;=0,"",IFERROR(I61/E61-1,"")))</f>
        <v/>
      </c>
      <c r="J63" s="15">
        <f>IF(OR(J61="",F61=""),"",IF(F61&lt;=0,"",IFERROR(J61/F61-1,"")))</f>
        <v/>
      </c>
      <c r="K63" s="15">
        <f>IF(OR(K61="",G61=""),"",IF(G61&lt;=0,"",IFERROR(K61/G61-1,"")))</f>
        <v/>
      </c>
      <c r="L63" s="15">
        <f>IF(OR(L61="",H61=""),"",IF(H61&lt;=0,"",IFERROR(L61/H61-1,"")))</f>
        <v/>
      </c>
      <c r="M63" s="15">
        <f>IF(OR(M61="",I61=""),"",IF(I61&lt;=0,"",IFERROR(M61/I61-1,"")))</f>
        <v/>
      </c>
      <c r="N63" s="15">
        <f>IF(OR(N61="",J61=""),"",IF(J61&lt;=0,"",IFERROR(N61/J61-1,"")))</f>
        <v/>
      </c>
      <c r="O63" s="14" t="n"/>
      <c r="P63" s="15">
        <f>IF(OR(P61="",O61=""),"",IF(O61&lt;=0,"",IFERROR(P61/O61-1,"")))</f>
        <v/>
      </c>
      <c r="Q63" s="15">
        <f>IF(OR(Q61="",P61=""),"",IF(P61&lt;=0,"",IFERROR(Q61/P61-1,"")))</f>
        <v/>
      </c>
      <c r="R63" s="15">
        <f>IF(OR(R61="",Q61=""),"",IF(Q61&lt;=0,"",IFERROR(R61/Q61-1,"")))</f>
        <v/>
      </c>
      <c r="S63" s="15">
        <f>IF(OR(S61="",R61=""),"",IF(R61&lt;=0,"",IFERROR(S61/R61-1,"")))</f>
        <v/>
      </c>
      <c r="T63" s="15">
        <f>IF(OR(T61="",S61=""),"",IF(S61&lt;=0,"",IFERROR(T61/S61-1,"")))</f>
        <v/>
      </c>
      <c r="U63" s="15">
        <f>IF(OR(U61="",T61=""),"",IF(T61&lt;=0,"",IFERROR(U61/T61-1,"")))</f>
        <v/>
      </c>
      <c r="V63" s="15">
        <f>IF(OR(V61="",U61=""),"",IF(U61&lt;=0,"",IFERROR(V61/U61-1,"")))</f>
        <v/>
      </c>
      <c r="W63" s="15">
        <f>IF(OR(W61="",V61=""),"",IF(V61&lt;=0,"",IFERROR(W61/V61-1,"")))</f>
        <v/>
      </c>
      <c r="X63" s="15">
        <f>IF(OR(X61="",W61=""),"",IF(W61&lt;=0,"",IFERROR(X61/W61-1,"")))</f>
        <v/>
      </c>
      <c r="Y63" s="14">
        <f>IF(OR(Y61="",X61=""),"",IF(X61&lt;=0,"",IFERROR(Y61/X61-1,"")))</f>
        <v/>
      </c>
      <c r="Z63" s="15">
        <f>IF(OR(Z61="",Y61=""),"",IF(Y61&lt;=0,"",IFERROR(Z61/Y61-1,"")))</f>
        <v/>
      </c>
      <c r="AA63" s="15">
        <f>IF(OR(AA61="",Z61=""),"",IF(Z61&lt;=0,"",IFERROR(AA61/Z61-1,"")))</f>
        <v/>
      </c>
      <c r="AB63" s="15">
        <f>IF(OR(AB61="",AA61=""),"",IF(AA61&lt;=0,"",IFERROR(AB61/AA61-1,"")))</f>
        <v/>
      </c>
      <c r="AC63" s="15">
        <f>IF(OR(AC61="",AB61=""),"",IF(AB61&lt;=0,"",IFERROR(AC61/AB61-1,"")))</f>
        <v/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()</t>
        </is>
      </c>
      <c r="B65" s="27" t="n"/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/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IF(O32="","",O32)</f>
        <v/>
      </c>
      <c r="P68" s="15">
        <f>IF(P32="","",P32)</f>
        <v/>
      </c>
      <c r="Q68" s="15">
        <f>IF(Q32="","",Q32)</f>
        <v/>
      </c>
      <c r="R68" s="15">
        <f>IF(R32="","",R32)</f>
        <v/>
      </c>
      <c r="S68" s="15">
        <f>IF(S32="","",S32)</f>
        <v/>
      </c>
      <c r="T68" s="15">
        <f>IF(T32="","",T32)</f>
        <v/>
      </c>
      <c r="U68" s="15">
        <f>IF(U32="","",U32)</f>
        <v/>
      </c>
      <c r="V68" s="15">
        <f>IF(V32="","",V32)</f>
        <v/>
      </c>
      <c r="W68" s="15">
        <f>IF(W32="","",W32)</f>
        <v/>
      </c>
      <c r="X68" s="15">
        <f>IF(X32="","",X32)</f>
        <v/>
      </c>
      <c r="Y68" s="14">
        <f>IF(Y32="","",Y32)</f>
        <v/>
      </c>
      <c r="Z68" s="15">
        <f>IF(Z32="","",Z32)</f>
        <v/>
      </c>
      <c r="AA68" s="15">
        <f>IF(AA32="","",AA32)</f>
        <v/>
      </c>
      <c r="AB68" s="15">
        <f>IF(AB32="","",AB32)</f>
        <v/>
      </c>
      <c r="AC68" s="15">
        <f>IF(AC32="","",AC32)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IF(OR(P61="",O61=""),"",IFERROR(P61/O61-1,""))</f>
        <v/>
      </c>
      <c r="Q69" s="15">
        <f>IF(OR(Q61="",P61=""),"",IFERROR(Q61/P61-1,""))</f>
        <v/>
      </c>
      <c r="R69" s="15">
        <f>IF(OR(R61="",Q61=""),"",IFERROR(R61/Q61-1,""))</f>
        <v/>
      </c>
      <c r="S69" s="15">
        <f>IF(OR(S61="",R61=""),"",IFERROR(S61/R61-1,""))</f>
        <v/>
      </c>
      <c r="T69" s="15">
        <f>IF(OR(T61="",S61=""),"",IFERROR(T61/S61-1,""))</f>
        <v/>
      </c>
      <c r="U69" s="15">
        <f>IF(OR(U61="",T61=""),"",IFERROR(U61/T61-1,""))</f>
        <v/>
      </c>
      <c r="V69" s="15">
        <f>IF(OR(V61="",U61=""),"",IFERROR(V61/U61-1,""))</f>
        <v/>
      </c>
      <c r="W69" s="15">
        <f>IF(OR(W61="",V61=""),"",IFERROR(W61/V61-1,""))</f>
        <v/>
      </c>
      <c r="X69" s="15">
        <f>IF(OR(X61="",W61=""),"",IFERROR(X61/W61-1,""))</f>
        <v/>
      </c>
      <c r="Y69" s="14">
        <f>IF(OR(Y61="",X61=""),"",IFERROR(Y61/X61-1,""))</f>
        <v/>
      </c>
      <c r="Z69" s="15">
        <f>IF(OR(Z61="",Y61=""),"",IFERROR(Z61/Y61-1,""))</f>
        <v/>
      </c>
      <c r="AA69" s="15">
        <f>IF(OR(AA61="",Z61=""),"",IFERROR(AA61/Z61-1,""))</f>
        <v/>
      </c>
      <c r="AB69" s="15">
        <f>IF(OR(AB61="",AA61=""),"",IFERROR(AB61/AA61-1,""))</f>
        <v/>
      </c>
      <c r="AC69" s="15">
        <f>IF(OR(AC61="",AB61=""),"",IFERROR(AC61/AB61-1,""))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IF(OR($B$67="",X61=""),"",IFERROR($B$67/X61,""))</f>
        <v/>
      </c>
      <c r="Y70" s="30">
        <f>IF(OR($B$67="",Y61=""),"",IFERROR($B$67/Y61,""))</f>
        <v/>
      </c>
      <c r="Z70" s="31">
        <f>IF(OR($B$67="",Z61=""),"",IFERROR($B$67/Z61,""))</f>
        <v/>
      </c>
      <c r="AA70" s="31">
        <f>IF(OR($B$67="",AA61=""),"",IFERROR($B$67/AA61,""))</f>
        <v/>
      </c>
      <c r="AB70" s="31">
        <f>IF(OR($B$67="",AB61=""),"",IFERROR($B$67/AB61,""))</f>
        <v/>
      </c>
      <c r="AC70" s="31">
        <f>IF(OR($B$67="",AC61=""),"",IFERROR($B$67/AC61,""))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IF(OR(O61="",$B$66=""),"",IFERROR(O61*1000000.0/$B$66,""))</f>
        <v/>
      </c>
      <c r="P72" s="29">
        <f>IF(OR(P61="",$B$66=""),"",IFERROR(P61*1000000.0/$B$66,""))</f>
        <v/>
      </c>
      <c r="Q72" s="29">
        <f>IF(OR(Q61="",$B$66=""),"",IFERROR(Q61*1000000.0/$B$66,""))</f>
        <v/>
      </c>
      <c r="R72" s="29">
        <f>IF(OR(R61="",$B$66=""),"",IFERROR(R61*1000000.0/$B$66,""))</f>
        <v/>
      </c>
      <c r="S72" s="29">
        <f>IF(OR(S61="",$B$66=""),"",IFERROR(S61*1000000.0/$B$66,""))</f>
        <v/>
      </c>
      <c r="T72" s="29">
        <f>IF(OR(T61="",$B$66=""),"",IFERROR(T61*1000000.0/$B$66,""))</f>
        <v/>
      </c>
      <c r="U72" s="29">
        <f>IF(OR(U61="",$B$66=""),"",IFERROR(U61*1000000.0/$B$66,""))</f>
        <v/>
      </c>
      <c r="V72" s="29">
        <f>IF(OR(V61="",$B$66=""),"",IFERROR(V61*1000000.0/$B$66,""))</f>
        <v/>
      </c>
      <c r="W72" s="29">
        <f>IF(OR(W61="",$B$66=""),"",IFERROR(W61*1000000.0/$B$66,""))</f>
        <v/>
      </c>
      <c r="X72" s="29">
        <f>IF(OR(X61="",$B$66=""),"",IFERROR(X61*1000000.0/$B$66,""))</f>
        <v/>
      </c>
      <c r="Y72" s="28">
        <f>IF(OR(Y61="",$B$66=""),"",IFERROR(Y61*1000000.0/$B$66,""))</f>
        <v/>
      </c>
      <c r="Z72" s="29">
        <f>IF(OR(Z61="",$B$66=""),"",IFERROR(Z61*1000000.0/$B$66,""))</f>
        <v/>
      </c>
      <c r="AA72" s="29">
        <f>IF(OR(AA61="",$B$66=""),"",IFERROR(AA61*1000000.0/$B$66,""))</f>
        <v/>
      </c>
      <c r="AB72" s="29">
        <f>IF(OR(AB61="",$B$66=""),"",IFERROR(AB61*1000000.0/$B$66,""))</f>
        <v/>
      </c>
      <c r="AC72" s="29">
        <f>IF(OR(AC61="",$B$66=""),"",IFERROR(AC61*1000000.0/$B$66,""))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IF(OR(Y61="",Y71=""),"",IFERROR(Y61*Y71,""))</f>
        <v/>
      </c>
      <c r="Z84" s="20">
        <f>IF(OR(Z61="",Z71=""),"",IFERROR(Z61*Z71,""))</f>
        <v/>
      </c>
      <c r="AA84" s="20">
        <f>IF(OR(AA61="",AA71=""),"",IFERROR(AA61*AA71,""))</f>
        <v/>
      </c>
      <c r="AB84" s="20">
        <f>IF(OR(AB61="",AB71=""),"",IFERROR(AB61*AB71,""))</f>
        <v/>
      </c>
      <c r="AC84" s="20">
        <f>IF(OR(AC61="",AC71=""),"",IFERROR(AC61*AC71,""))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2024.2Q</t>
        </is>
      </c>
      <c r="D95" s="5" t="inlineStr">
        <is>
          <t>2024.3Q</t>
        </is>
      </c>
      <c r="E95" s="5" t="inlineStr">
        <is>
          <t>2024.4Q</t>
        </is>
      </c>
      <c r="F95" s="5" t="inlineStr">
        <is>
          <t>2025.1Q</t>
        </is>
      </c>
      <c r="G95" s="5" t="inlineStr">
        <is>
          <t>2025.2Q</t>
        </is>
      </c>
      <c r="H95" s="5" t="inlineStr">
        <is>
          <t>2025.3Q</t>
        </is>
      </c>
      <c r="I95" s="5" t="inlineStr">
        <is>
          <t>2025.4Q</t>
        </is>
      </c>
      <c r="J95" s="5" t="inlineStr">
        <is>
          <t>2026.1Q</t>
        </is>
      </c>
      <c r="K95" s="5" t="inlineStr">
        <is>
          <t>2026.2Q</t>
        </is>
      </c>
      <c r="L95" s="5" t="inlineStr">
        <is>
          <t>2026.3Q</t>
        </is>
      </c>
      <c r="M95" s="5" t="inlineStr">
        <is>
          <t>2026.4Q</t>
        </is>
      </c>
      <c r="N95" s="5" t="inlineStr">
        <is>
          <t>2027.1Q</t>
        </is>
      </c>
      <c r="O95" s="5" t="inlineStr">
        <is>
          <t>2017</t>
        </is>
      </c>
      <c r="P95" s="5" t="inlineStr">
        <is>
          <t>2018</t>
        </is>
      </c>
      <c r="Q95" s="5" t="inlineStr">
        <is>
          <t>2019</t>
        </is>
      </c>
      <c r="R95" s="5" t="inlineStr">
        <is>
          <t>2020</t>
        </is>
      </c>
      <c r="S95" s="5" t="inlineStr">
        <is>
          <t>2021</t>
        </is>
      </c>
      <c r="T95" s="5" t="inlineStr">
        <is>
          <t>2022</t>
        </is>
      </c>
      <c r="U95" s="5" t="inlineStr">
        <is>
          <t>2023</t>
        </is>
      </c>
      <c r="V95" s="5" t="inlineStr">
        <is>
          <t>2024</t>
        </is>
      </c>
      <c r="W95" s="5" t="inlineStr">
        <is>
          <t>2025</t>
        </is>
      </c>
      <c r="X95" s="5" t="inlineStr">
        <is>
          <t>2026</t>
        </is>
      </c>
      <c r="Y95" s="5" t="inlineStr">
        <is>
          <t>2027(MW)</t>
        </is>
      </c>
      <c r="Z95" s="5" t="inlineStr">
        <is>
          <t>2028(MW)</t>
        </is>
      </c>
      <c r="AA95" s="5" t="inlineStr">
        <is>
          <t>2029(MW)</t>
        </is>
      </c>
      <c r="AB95" s="5" t="inlineStr">
        <is>
          <t>2030(MW)</t>
        </is>
      </c>
      <c r="AC95" s="5" t="inlineStr">
        <is>
          <t>2031(MW)</t>
        </is>
      </c>
    </row>
    <row r="96">
      <c r="A96" s="9" t="inlineStr">
        <is>
          <t>매출액</t>
        </is>
      </c>
      <c r="C96" s="12" t="n">
        <v>17374</v>
      </c>
      <c r="D96" s="12" t="n">
        <v>19041</v>
      </c>
      <c r="E96" s="12" t="n">
        <v>18509</v>
      </c>
      <c r="F96" s="12" t="n">
        <v>19261</v>
      </c>
      <c r="G96" s="12" t="n">
        <v>20066</v>
      </c>
      <c r="H96" s="12" t="n">
        <v>20878</v>
      </c>
      <c r="I96" s="12" t="n">
        <v>20031</v>
      </c>
      <c r="J96" s="12" t="n">
        <v>19899</v>
      </c>
      <c r="K96" s="12" t="n">
        <v>20468</v>
      </c>
      <c r="L96" s="12" t="n">
        <v>21006</v>
      </c>
      <c r="M96" s="12" t="n">
        <v>20762</v>
      </c>
      <c r="N96" s="12" t="n">
        <v>22282</v>
      </c>
      <c r="T96" s="12" t="n">
        <v>20578</v>
      </c>
      <c r="U96" s="12" t="n">
        <v>18031</v>
      </c>
      <c r="V96" s="12" t="n">
        <v>18509</v>
      </c>
      <c r="W96" s="12" t="n">
        <v>20031</v>
      </c>
      <c r="X96" s="12" t="n">
        <v>20762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T97" s="15">
        <f>IF(OR(T96="",S96=""),"",IF(S96&lt;=0,"",IFERROR(T96/S96-1,"")))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14942</v>
      </c>
      <c r="D98" s="20" t="n">
        <v>15521</v>
      </c>
      <c r="E98" s="20" t="n">
        <v>15492</v>
      </c>
      <c r="F98" s="20" t="n">
        <v>15002</v>
      </c>
      <c r="G98" s="20" t="n">
        <v>16566</v>
      </c>
      <c r="H98" s="20" t="n">
        <v>16197</v>
      </c>
      <c r="I98" s="20" t="n">
        <v>15978</v>
      </c>
      <c r="J98" s="20" t="n">
        <v>15265</v>
      </c>
      <c r="K98" s="20" t="n">
        <v>16590</v>
      </c>
      <c r="L98" s="20" t="n">
        <v>16269</v>
      </c>
      <c r="M98" s="20" t="n">
        <v>16159</v>
      </c>
      <c r="N98" s="20" t="n">
        <v>16532</v>
      </c>
      <c r="T98" s="20" t="n">
        <v>16671</v>
      </c>
      <c r="U98" s="20" t="n">
        <v>16406</v>
      </c>
      <c r="V98" s="20" t="n">
        <v>15492</v>
      </c>
      <c r="W98" s="20" t="n">
        <v>15978</v>
      </c>
      <c r="X98" s="20" t="n">
        <v>16159</v>
      </c>
    </row>
    <row r="99">
      <c r="A99" s="43" t="inlineStr">
        <is>
          <t>YoY</t>
        </is>
      </c>
      <c r="B99" s="3" t="inlineStr">
        <is>
          <t>전년 같은 분기·전년 대비</t>
        </is>
      </c>
      <c r="G99" s="15">
        <f>IF(OR(G98="",C98=""),"",IF(G98*C98&lt;=0,"",IFERROR(G98/C98-1,"")))</f>
        <v/>
      </c>
      <c r="H99" s="15">
        <f>IF(OR(H98="",D98=""),"",IF(H98*D98&lt;=0,"",IFERROR(H98/D98-1,"")))</f>
        <v/>
      </c>
      <c r="I99" s="15">
        <f>IF(OR(I98="",E98=""),"",IF(I98*E98&lt;=0,"",IFERROR(I98/E98-1,"")))</f>
        <v/>
      </c>
      <c r="J99" s="15">
        <f>IF(OR(J98="",F98=""),"",IF(J98*F98&lt;=0,"",IFERROR(J98/F98-1,"")))</f>
        <v/>
      </c>
      <c r="K99" s="15">
        <f>IF(OR(K98="",G98=""),"",IF(K98*G98&lt;=0,"",IFERROR(K98/G98-1,"")))</f>
        <v/>
      </c>
      <c r="L99" s="15">
        <f>IF(OR(L98="",H98=""),"",IF(L98*H98&lt;=0,"",IFERROR(L98/H98-1,"")))</f>
        <v/>
      </c>
      <c r="M99" s="15">
        <f>IF(OR(M98="",I98=""),"",IF(M98*I98&lt;=0,"",IFERROR(M98/I98-1,"")))</f>
        <v/>
      </c>
      <c r="N99" s="15">
        <f>IF(OR(N98="",J98=""),"",IF(N98*J98&lt;=0,"",IFERROR(N98/J98-1,"")))</f>
        <v/>
      </c>
      <c r="T99" s="15">
        <f>IF(OR(T98="",S98=""),"",IF(T98*S98&lt;=0,"",IFERROR(T98/S98-1,"")))</f>
        <v/>
      </c>
      <c r="U99" s="15">
        <f>IF(OR(U98="",T98=""),"",IF(U98*T98&lt;=0,"",IFERROR(U98/T98-1,"")))</f>
        <v/>
      </c>
      <c r="V99" s="15">
        <f>IF(OR(V98="",U98=""),"",IF(V98*U98&lt;=0,"",IFERROR(V98/U98-1,"")))</f>
        <v/>
      </c>
      <c r="W99" s="15">
        <f>IF(OR(W98="",V98=""),"",IF(W98*V98&lt;=0,"",IFERROR(W98/V98-1,"")))</f>
        <v/>
      </c>
      <c r="X99" s="15">
        <f>IF(OR(X98="",W98=""),"",IF(X98*W98&lt;=0,"",IFERROR(X98/W98-1,"")))</f>
        <v/>
      </c>
    </row>
    <row r="100">
      <c r="A100" s="9" t="inlineStr">
        <is>
          <t>매출총이익</t>
        </is>
      </c>
      <c r="C100" s="12" t="n">
        <v>2432</v>
      </c>
      <c r="D100" s="12" t="n">
        <v>3520</v>
      </c>
      <c r="E100" s="12" t="n">
        <v>3017</v>
      </c>
      <c r="F100" s="12" t="n">
        <v>4259</v>
      </c>
      <c r="G100" s="12" t="n">
        <v>3500</v>
      </c>
      <c r="H100" s="12" t="n">
        <v>4681</v>
      </c>
      <c r="I100" s="12" t="n">
        <v>4053</v>
      </c>
      <c r="J100" s="12" t="n">
        <v>4634</v>
      </c>
      <c r="K100" s="12" t="n">
        <v>3877</v>
      </c>
      <c r="L100" s="12" t="n">
        <v>4737</v>
      </c>
      <c r="M100" s="12" t="n">
        <v>4604</v>
      </c>
      <c r="N100" s="12" t="n">
        <v>5749</v>
      </c>
      <c r="T100" s="12" t="n">
        <v>3907</v>
      </c>
      <c r="U100" s="12" t="n">
        <v>1625</v>
      </c>
      <c r="V100" s="12" t="n">
        <v>3017</v>
      </c>
      <c r="W100" s="12" t="n">
        <v>4053</v>
      </c>
      <c r="X100" s="12" t="n">
        <v>4604</v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IF(OR(G100="",C100=""),"",IF(C100&lt;=0,"",IFERROR(G100/C100-1,"")))</f>
        <v/>
      </c>
      <c r="H101" s="15">
        <f>IF(OR(H100="",D100=""),"",IF(D100&lt;=0,"",IFERROR(H100/D100-1,"")))</f>
        <v/>
      </c>
      <c r="I101" s="15">
        <f>IF(OR(I100="",E100=""),"",IF(E100&lt;=0,"",IFERROR(I100/E100-1,"")))</f>
        <v/>
      </c>
      <c r="J101" s="15">
        <f>IF(OR(J100="",F100=""),"",IF(F100&lt;=0,"",IFERROR(J100/F100-1,"")))</f>
        <v/>
      </c>
      <c r="K101" s="15">
        <f>IF(OR(K100="",G100=""),"",IF(G100&lt;=0,"",IFERROR(K100/G100-1,"")))</f>
        <v/>
      </c>
      <c r="L101" s="15">
        <f>IF(OR(L100="",H100=""),"",IF(H100&lt;=0,"",IFERROR(L100/H100-1,"")))</f>
        <v/>
      </c>
      <c r="M101" s="15">
        <f>IF(OR(M100="",I100=""),"",IF(I100&lt;=0,"",IFERROR(M100/I100-1,"")))</f>
        <v/>
      </c>
      <c r="N101" s="15">
        <f>IF(OR(N100="",J100=""),"",IF(J100&lt;=0,"",IFERROR(N100/J100-1,"")))</f>
        <v/>
      </c>
      <c r="T101" s="15">
        <f>IF(OR(T100="",S100=""),"",IF(S100&lt;=0,"",IFERROR(T100/S100-1,"")))</f>
        <v/>
      </c>
      <c r="U101" s="15">
        <f>IF(OR(U100="",T100=""),"",IF(T100&lt;=0,"",IFERROR(U100/T100-1,"")))</f>
        <v/>
      </c>
      <c r="V101" s="15">
        <f>IF(OR(V100="",U100=""),"",IF(U100&lt;=0,"",IFERROR(V100/U100-1,"")))</f>
        <v/>
      </c>
      <c r="W101" s="15">
        <f>IF(OR(W100="",V100=""),"",IF(V100&lt;=0,"",IFERROR(W100/V100-1,"")))</f>
        <v/>
      </c>
      <c r="X101" s="15">
        <f>IF(OR(X100="",W100=""),"",IF(W100&lt;=0,"",IFERROR(X100/W100-1,"")))</f>
        <v/>
      </c>
    </row>
    <row r="102">
      <c r="A102" s="18" t="inlineStr">
        <is>
          <t>판매비와 관리비</t>
        </is>
      </c>
      <c r="C102" s="20" t="n">
        <v>3425</v>
      </c>
      <c r="D102" s="20" t="n">
        <v>3607</v>
      </c>
      <c r="E102" s="20" t="n">
        <v>3720</v>
      </c>
      <c r="F102" s="20" t="n">
        <v>3637</v>
      </c>
      <c r="G102" s="20" t="n">
        <v>3808</v>
      </c>
      <c r="H102" s="20" t="n">
        <v>3980</v>
      </c>
      <c r="I102" s="20" t="n">
        <v>4011</v>
      </c>
      <c r="J102" s="20" t="n">
        <v>3952</v>
      </c>
      <c r="K102" s="20" t="n">
        <v>3630</v>
      </c>
      <c r="L102" s="20" t="n">
        <v>3836</v>
      </c>
      <c r="M102" s="20" t="n">
        <v>3934</v>
      </c>
      <c r="N102" s="20" t="n">
        <v>4111</v>
      </c>
      <c r="T102" s="20" t="n">
        <v>3869</v>
      </c>
      <c r="U102" s="20" t="n">
        <v>3543</v>
      </c>
      <c r="V102" s="20" t="n">
        <v>3720</v>
      </c>
      <c r="W102" s="20" t="n">
        <v>4011</v>
      </c>
      <c r="X102" s="20" t="n">
        <v>3934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IF(OR(G102="",C102=""),"",IF(G102*C102&lt;=0,"",IFERROR(G102/C102-1,"")))</f>
        <v/>
      </c>
      <c r="H103" s="15">
        <f>IF(OR(H102="",D102=""),"",IF(H102*D102&lt;=0,"",IFERROR(H102/D102-1,"")))</f>
        <v/>
      </c>
      <c r="I103" s="15">
        <f>IF(OR(I102="",E102=""),"",IF(I102*E102&lt;=0,"",IFERROR(I102/E102-1,"")))</f>
        <v/>
      </c>
      <c r="J103" s="15">
        <f>IF(OR(J102="",F102=""),"",IF(J102*F102&lt;=0,"",IFERROR(J102/F102-1,"")))</f>
        <v/>
      </c>
      <c r="K103" s="15">
        <f>IF(OR(K102="",G102=""),"",IF(K102*G102&lt;=0,"",IFERROR(K102/G102-1,"")))</f>
        <v/>
      </c>
      <c r="L103" s="15">
        <f>IF(OR(L102="",H102=""),"",IF(L102*H102&lt;=0,"",IFERROR(L102/H102-1,"")))</f>
        <v/>
      </c>
      <c r="M103" s="15">
        <f>IF(OR(M102="",I102=""),"",IF(M102*I102&lt;=0,"",IFERROR(M102/I102-1,"")))</f>
        <v/>
      </c>
      <c r="N103" s="15">
        <f>IF(OR(N102="",J102=""),"",IF(N102*J102&lt;=0,"",IFERROR(N102/J102-1,"")))</f>
        <v/>
      </c>
      <c r="T103" s="15">
        <f>IF(OR(T102="",S102=""),"",IF(T102*S102&lt;=0,"",IFERROR(T102/S102-1,"")))</f>
        <v/>
      </c>
      <c r="U103" s="15">
        <f>IF(OR(U102="",T102=""),"",IF(U102*T102&lt;=0,"",IFERROR(U102/T102-1,"")))</f>
        <v/>
      </c>
      <c r="V103" s="15">
        <f>IF(OR(V102="",U102=""),"",IF(V102*U102&lt;=0,"",IFERROR(V102/U102-1,"")))</f>
        <v/>
      </c>
      <c r="W103" s="15">
        <f>IF(OR(W102="",V102=""),"",IF(W102*V102&lt;=0,"",IFERROR(W102/V102-1,"")))</f>
        <v/>
      </c>
      <c r="X103" s="15">
        <f>IF(OR(X102="",W102=""),"",IF(X102*W102&lt;=0,"",IFERROR(X102/W102-1,"")))</f>
        <v/>
      </c>
    </row>
    <row r="104">
      <c r="A104" s="9" t="inlineStr">
        <is>
          <t>영업이익</t>
        </is>
      </c>
      <c r="C104" s="12" t="n">
        <v>-993</v>
      </c>
      <c r="D104" s="12" t="n">
        <v>-87</v>
      </c>
      <c r="E104" s="12" t="n">
        <v>-703</v>
      </c>
      <c r="F104" s="12" t="n">
        <v>622</v>
      </c>
      <c r="G104" s="12" t="n">
        <v>-309</v>
      </c>
      <c r="H104" s="12" t="n">
        <v>701</v>
      </c>
      <c r="I104" s="12" t="n">
        <v>43</v>
      </c>
      <c r="J104" s="12" t="n">
        <v>681</v>
      </c>
      <c r="K104" s="12" t="n">
        <v>248</v>
      </c>
      <c r="L104" s="12" t="n">
        <v>901</v>
      </c>
      <c r="M104" s="12" t="n">
        <v>670</v>
      </c>
      <c r="N104" s="12" t="n">
        <v>1637</v>
      </c>
      <c r="T104" s="12" t="n">
        <v>39</v>
      </c>
      <c r="U104" s="12" t="n">
        <v>-1917</v>
      </c>
      <c r="V104" s="12" t="n">
        <v>-703</v>
      </c>
      <c r="W104" s="12" t="n">
        <v>43</v>
      </c>
      <c r="X104" s="12" t="n">
        <v>670</v>
      </c>
    </row>
    <row r="105">
      <c r="A105" s="43" t="inlineStr">
        <is>
          <t>OPM</t>
        </is>
      </c>
      <c r="B105" s="3" t="inlineStr">
        <is>
          <t>영업이익 ÷ 매출</t>
        </is>
      </c>
      <c r="C105" s="15">
        <f>IF(OR(C104="",C96=""),"",IF(C96&lt;=0,"",IFERROR(C104/C96,"")))</f>
        <v/>
      </c>
      <c r="D105" s="15">
        <f>IF(OR(D104="",D96=""),"",IF(D96&lt;=0,"",IFERROR(D104/D96,"")))</f>
        <v/>
      </c>
      <c r="E105" s="15">
        <f>IF(OR(E104="",E96=""),"",IF(E96&lt;=0,"",IFERROR(E104/E96,"")))</f>
        <v/>
      </c>
      <c r="F105" s="15">
        <f>IF(OR(F104="",F96=""),"",IF(F96&lt;=0,"",IFERROR(F104/F96,"")))</f>
        <v/>
      </c>
      <c r="G105" s="15">
        <f>IF(OR(G104="",G96=""),"",IF(G96&lt;=0,"",IFERROR(G104/G96,"")))</f>
        <v/>
      </c>
      <c r="H105" s="15">
        <f>IF(OR(H104="",H96=""),"",IF(H96&lt;=0,"",IFERROR(H104/H96,"")))</f>
        <v/>
      </c>
      <c r="I105" s="15">
        <f>IF(OR(I104="",I96=""),"",IF(I96&lt;=0,"",IFERROR(I104/I96,"")))</f>
        <v/>
      </c>
      <c r="J105" s="15">
        <f>IF(OR(J104="",J96=""),"",IF(J96&lt;=0,"",IFERROR(J104/J96,"")))</f>
        <v/>
      </c>
      <c r="K105" s="15">
        <f>IF(OR(K104="",K96=""),"",IF(K96&lt;=0,"",IFERROR(K104/K96,"")))</f>
        <v/>
      </c>
      <c r="L105" s="15">
        <f>IF(OR(L104="",L96=""),"",IF(L96&lt;=0,"",IFERROR(L104/L96,"")))</f>
        <v/>
      </c>
      <c r="M105" s="15">
        <f>IF(OR(M104="",M96=""),"",IF(M96&lt;=0,"",IFERROR(M104/M96,"")))</f>
        <v/>
      </c>
      <c r="N105" s="15">
        <f>IF(OR(N104="",N96=""),"",IF(N96&lt;=0,"",IFERROR(N104/N96,"")))</f>
        <v/>
      </c>
      <c r="T105" s="15">
        <f>IF(OR(T104="",T96=""),"",IF(T96&lt;=0,"",IFERROR(T104/T96,"")))</f>
        <v/>
      </c>
      <c r="U105" s="15">
        <f>IF(OR(U104="",U96=""),"",IF(U96&lt;=0,"",IFERROR(U104/U96,"")))</f>
        <v/>
      </c>
      <c r="V105" s="15">
        <f>IF(OR(V104="",V96=""),"",IF(V96&lt;=0,"",IFERROR(V104/V96,"")))</f>
        <v/>
      </c>
      <c r="W105" s="15">
        <f>IF(OR(W104="",W96=""),"",IF(W96&lt;=0,"",IFERROR(W104/W96,"")))</f>
        <v/>
      </c>
      <c r="X105" s="15">
        <f>IF(OR(X104="",X96=""),"",IF(X96&lt;=0,"",IFERROR(X104/X96,"")))</f>
        <v/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IF(OR(G104="",C104=""),"",IF(C104&lt;=0,"",IFERROR(G104/C104-1,"")))</f>
        <v/>
      </c>
      <c r="H106" s="15">
        <f>IF(OR(H104="",D104=""),"",IF(D104&lt;=0,"",IFERROR(H104/D104-1,"")))</f>
        <v/>
      </c>
      <c r="I106" s="15">
        <f>IF(OR(I104="",E104=""),"",IF(E104&lt;=0,"",IFERROR(I104/E104-1,"")))</f>
        <v/>
      </c>
      <c r="J106" s="15">
        <f>IF(OR(J104="",F104=""),"",IF(F104&lt;=0,"",IFERROR(J104/F104-1,"")))</f>
        <v/>
      </c>
      <c r="K106" s="15">
        <f>IF(OR(K104="",G104=""),"",IF(G104&lt;=0,"",IFERROR(K104/G104-1,"")))</f>
        <v/>
      </c>
      <c r="L106" s="15">
        <f>IF(OR(L104="",H104=""),"",IF(H104&lt;=0,"",IFERROR(L104/H104-1,"")))</f>
        <v/>
      </c>
      <c r="M106" s="15">
        <f>IF(OR(M104="",I104=""),"",IF(I104&lt;=0,"",IFERROR(M104/I104-1,"")))</f>
        <v/>
      </c>
      <c r="N106" s="15">
        <f>IF(OR(N104="",J104=""),"",IF(J104&lt;=0,"",IFERROR(N104/J104-1,"")))</f>
        <v/>
      </c>
      <c r="T106" s="15">
        <f>IF(OR(T104="",S104=""),"",IF(S104&lt;=0,"",IFERROR(T104/S104-1,"")))</f>
        <v/>
      </c>
      <c r="U106" s="15">
        <f>IF(OR(U104="",T104=""),"",IF(T104&lt;=0,"",IFERROR(U104/T104-1,"")))</f>
        <v/>
      </c>
      <c r="V106" s="15">
        <f>IF(OR(V104="",U104=""),"",IF(U104&lt;=0,"",IFERROR(V104/U104-1,"")))</f>
        <v/>
      </c>
      <c r="W106" s="15">
        <f>IF(OR(W104="",V104=""),"",IF(V104&lt;=0,"",IFERROR(W104/V104-1,"")))</f>
        <v/>
      </c>
      <c r="X106" s="15">
        <f>IF(OR(X104="",W104=""),"",IF(W104&lt;=0,"",IFERROR(X104/W104-1,"")))</f>
        <v/>
      </c>
    </row>
    <row r="107">
      <c r="A107" s="18" t="inlineStr">
        <is>
          <t>이자수익</t>
        </is>
      </c>
      <c r="C107" s="20" t="n">
        <v>25</v>
      </c>
      <c r="D107" s="20" t="n">
        <v>22</v>
      </c>
      <c r="E107" s="20" t="n">
        <v>29</v>
      </c>
      <c r="F107" s="20" t="n">
        <v>30</v>
      </c>
      <c r="G107" s="20" t="n">
        <v>25</v>
      </c>
      <c r="H107" s="20" t="n">
        <v>20</v>
      </c>
      <c r="I107" s="20" t="n">
        <v>27</v>
      </c>
      <c r="J107" s="20" t="n">
        <v>23</v>
      </c>
      <c r="K107" s="20" t="n">
        <v>26</v>
      </c>
      <c r="L107" s="20" t="n">
        <v>16</v>
      </c>
      <c r="M107" s="20" t="n">
        <v>27</v>
      </c>
      <c r="N107" s="20" t="n">
        <v>22</v>
      </c>
      <c r="T107" s="20" t="n">
        <v>9</v>
      </c>
      <c r="U107" s="20" t="n">
        <v>12</v>
      </c>
      <c r="V107" s="20" t="n">
        <v>29</v>
      </c>
      <c r="W107" s="20" t="n">
        <v>27</v>
      </c>
      <c r="X107" s="20" t="n">
        <v>27</v>
      </c>
    </row>
    <row r="108">
      <c r="A108" s="18" t="inlineStr">
        <is>
          <t>배당금수익</t>
        </is>
      </c>
      <c r="C108" s="20" t="n">
        <v>38</v>
      </c>
      <c r="D108" s="20" t="n">
        <v>80</v>
      </c>
      <c r="E108" s="20" t="n">
        <v>31</v>
      </c>
      <c r="F108" s="20" t="n">
        <v>79</v>
      </c>
      <c r="G108" s="20" t="n">
        <v>35</v>
      </c>
      <c r="H108" s="20" t="n">
        <v>87</v>
      </c>
      <c r="I108" s="20" t="n">
        <v>38</v>
      </c>
      <c r="J108" s="20" t="n">
        <v>94</v>
      </c>
      <c r="K108" s="20" t="n">
        <v>52</v>
      </c>
      <c r="L108" s="20" t="n">
        <v>93</v>
      </c>
      <c r="M108" s="20" t="n">
        <v>36</v>
      </c>
      <c r="N108" s="20" t="n">
        <v>108</v>
      </c>
      <c r="T108" s="20" t="n">
        <v>38</v>
      </c>
      <c r="U108" s="20" t="n">
        <v>37</v>
      </c>
      <c r="V108" s="20" t="n">
        <v>31</v>
      </c>
      <c r="W108" s="20" t="n">
        <v>38</v>
      </c>
      <c r="X108" s="20" t="n">
        <v>36</v>
      </c>
    </row>
    <row r="109">
      <c r="A109" s="18" t="inlineStr">
        <is>
          <t>부동산 임대료</t>
        </is>
      </c>
      <c r="C109" s="20" t="n">
        <v>11</v>
      </c>
      <c r="D109" s="20" t="n">
        <v>14</v>
      </c>
      <c r="E109" s="20" t="n">
        <v>14</v>
      </c>
      <c r="F109" s="20" t="n">
        <v>13</v>
      </c>
      <c r="G109" s="20" t="n">
        <v>14</v>
      </c>
      <c r="H109" s="20" t="n">
        <v>15</v>
      </c>
      <c r="I109" s="20" t="n">
        <v>15</v>
      </c>
      <c r="J109" s="20" t="n">
        <v>14</v>
      </c>
      <c r="K109" s="20" t="n">
        <v>14</v>
      </c>
      <c r="L109" s="20" t="n">
        <v>15</v>
      </c>
      <c r="M109" s="20" t="n">
        <v>14</v>
      </c>
      <c r="N109" s="20" t="n">
        <v>14</v>
      </c>
      <c r="T109" s="20" t="n">
        <v>24</v>
      </c>
      <c r="U109" s="20" t="n">
        <v>16</v>
      </c>
      <c r="V109" s="20" t="n">
        <v>14</v>
      </c>
      <c r="W109" s="20" t="n">
        <v>15</v>
      </c>
      <c r="X109" s="20" t="n">
        <v>14</v>
      </c>
    </row>
    <row r="110">
      <c r="A110" s="18" t="inlineStr">
        <is>
          <t>외환차익</t>
        </is>
      </c>
      <c r="C110" s="20" t="n">
        <v>164</v>
      </c>
      <c r="D110" s="20" t="n">
        <v>5</v>
      </c>
      <c r="E110" s="20" t="n">
        <v>-82</v>
      </c>
      <c r="F110" s="20" t="n">
        <v>228</v>
      </c>
      <c r="G110" s="20" t="n">
        <v>-91</v>
      </c>
      <c r="H110" s="20" t="n">
        <v>-13</v>
      </c>
      <c r="I110" s="20" t="n">
        <v>27</v>
      </c>
      <c r="J110" s="20" t="n">
        <v>0</v>
      </c>
      <c r="K110" s="20" t="n">
        <v>0</v>
      </c>
      <c r="L110" s="20" t="n">
        <v>3</v>
      </c>
      <c r="M110" s="20" t="n">
        <v>58</v>
      </c>
      <c r="N110" s="20" t="n">
        <v>74</v>
      </c>
      <c r="T110" s="20" t="n">
        <v>136</v>
      </c>
      <c r="U110" s="20" t="n">
        <v>-164</v>
      </c>
      <c r="V110" s="20" t="n">
        <v>-82</v>
      </c>
      <c r="W110" s="20" t="n">
        <v>27</v>
      </c>
      <c r="X110" s="20" t="n">
        <v>58</v>
      </c>
    </row>
    <row r="111">
      <c r="A111" s="18" t="inlineStr">
        <is>
          <t>보험금 수익</t>
        </is>
      </c>
      <c r="T111" s="20" t="n">
        <v>0</v>
      </c>
      <c r="U111" s="20" t="n">
        <v>0</v>
      </c>
    </row>
    <row r="112">
      <c r="A112" s="18" t="inlineStr">
        <is>
          <t>기타</t>
        </is>
      </c>
      <c r="C112" s="20" t="n">
        <v>94</v>
      </c>
      <c r="D112" s="20" t="n">
        <v>36</v>
      </c>
      <c r="E112" s="20" t="n">
        <v>85</v>
      </c>
      <c r="F112" s="20" t="n">
        <v>45</v>
      </c>
      <c r="G112" s="20" t="n">
        <v>46</v>
      </c>
      <c r="H112" s="20" t="n">
        <v>54</v>
      </c>
      <c r="I112" s="20" t="n">
        <v>15</v>
      </c>
      <c r="J112" s="20" t="n">
        <v>68</v>
      </c>
      <c r="K112" s="20" t="n">
        <v>57</v>
      </c>
      <c r="L112" s="20" t="n">
        <v>79</v>
      </c>
      <c r="M112" s="20" t="n">
        <v>40</v>
      </c>
      <c r="N112" s="20" t="n">
        <v>98</v>
      </c>
      <c r="T112" s="20" t="n">
        <v>44</v>
      </c>
      <c r="U112" s="20" t="n">
        <v>33</v>
      </c>
      <c r="V112" s="20" t="n">
        <v>85</v>
      </c>
      <c r="W112" s="20" t="n">
        <v>15</v>
      </c>
      <c r="X112" s="20" t="n">
        <v>40</v>
      </c>
    </row>
    <row r="113">
      <c r="A113" s="18" t="inlineStr">
        <is>
          <t>영업외수익 합계</t>
        </is>
      </c>
      <c r="C113" s="20" t="n">
        <v>332</v>
      </c>
      <c r="D113" s="20" t="n">
        <v>157</v>
      </c>
      <c r="E113" s="20" t="n">
        <v>78</v>
      </c>
      <c r="F113" s="20" t="n">
        <v>397</v>
      </c>
      <c r="G113" s="20" t="n">
        <v>30</v>
      </c>
      <c r="H113" s="20" t="n">
        <v>162</v>
      </c>
      <c r="I113" s="20" t="n">
        <v>163</v>
      </c>
      <c r="J113" s="20" t="n">
        <v>201</v>
      </c>
      <c r="K113" s="20" t="n">
        <v>149</v>
      </c>
      <c r="L113" s="20" t="n">
        <v>205</v>
      </c>
      <c r="M113" s="20" t="n">
        <v>281</v>
      </c>
      <c r="N113" s="20" t="n">
        <v>318</v>
      </c>
      <c r="T113" s="20" t="n">
        <v>251</v>
      </c>
      <c r="U113" s="20" t="n">
        <v>-67</v>
      </c>
      <c r="V113" s="20" t="n">
        <v>78</v>
      </c>
      <c r="W113" s="20" t="n">
        <v>163</v>
      </c>
      <c r="X113" s="20" t="n">
        <v>281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IF(OR(G113="",C113=""),"",IF(G113*C113&lt;=0,"",IFERROR(G113/C113-1,"")))</f>
        <v/>
      </c>
      <c r="H114" s="15">
        <f>IF(OR(H113="",D113=""),"",IF(H113*D113&lt;=0,"",IFERROR(H113/D113-1,"")))</f>
        <v/>
      </c>
      <c r="I114" s="15">
        <f>IF(OR(I113="",E113=""),"",IF(I113*E113&lt;=0,"",IFERROR(I113/E113-1,"")))</f>
        <v/>
      </c>
      <c r="J114" s="15">
        <f>IF(OR(J113="",F113=""),"",IF(J113*F113&lt;=0,"",IFERROR(J113/F113-1,"")))</f>
        <v/>
      </c>
      <c r="K114" s="15">
        <f>IF(OR(K113="",G113=""),"",IF(K113*G113&lt;=0,"",IFERROR(K113/G113-1,"")))</f>
        <v/>
      </c>
      <c r="L114" s="15">
        <f>IF(OR(L113="",H113=""),"",IF(L113*H113&lt;=0,"",IFERROR(L113/H113-1,"")))</f>
        <v/>
      </c>
      <c r="M114" s="15">
        <f>IF(OR(M113="",I113=""),"",IF(M113*I113&lt;=0,"",IFERROR(M113/I113-1,"")))</f>
        <v/>
      </c>
      <c r="N114" s="15">
        <f>IF(OR(N113="",J113=""),"",IF(N113*J113&lt;=0,"",IFERROR(N113/J113-1,"")))</f>
        <v/>
      </c>
      <c r="T114" s="15">
        <f>IF(OR(T113="",S113=""),"",IF(T113*S113&lt;=0,"",IFERROR(T113/S113-1,"")))</f>
        <v/>
      </c>
      <c r="U114" s="15">
        <f>IF(OR(U113="",T113=""),"",IF(U113*T113&lt;=0,"",IFERROR(U113/T113-1,"")))</f>
        <v/>
      </c>
      <c r="V114" s="15">
        <f>IF(OR(V113="",U113=""),"",IF(V113*U113&lt;=0,"",IFERROR(V113/U113-1,"")))</f>
        <v/>
      </c>
      <c r="W114" s="15">
        <f>IF(OR(W113="",V113=""),"",IF(W113*V113&lt;=0,"",IFERROR(W113/V113-1,"")))</f>
        <v/>
      </c>
      <c r="X114" s="15">
        <f>IF(OR(X113="",W113=""),"",IF(X113*W113&lt;=0,"",IFERROR(X113/W113-1,"")))</f>
        <v/>
      </c>
    </row>
    <row r="115">
      <c r="A115" s="18" t="inlineStr">
        <is>
          <t>이자비용</t>
        </is>
      </c>
      <c r="C115" s="20" t="n">
        <v>79</v>
      </c>
      <c r="D115" s="20" t="n">
        <v>91</v>
      </c>
      <c r="E115" s="20" t="n">
        <v>95</v>
      </c>
      <c r="F115" s="20" t="n">
        <v>96</v>
      </c>
      <c r="G115" s="20" t="n">
        <v>93</v>
      </c>
      <c r="H115" s="20" t="n">
        <v>92</v>
      </c>
      <c r="I115" s="20" t="n">
        <v>112</v>
      </c>
      <c r="J115" s="20" t="n">
        <v>112</v>
      </c>
      <c r="K115" s="20" t="n">
        <v>124</v>
      </c>
      <c r="L115" s="20" t="n">
        <v>115</v>
      </c>
      <c r="M115" s="20" t="n">
        <v>128</v>
      </c>
      <c r="N115" s="20" t="n">
        <v>128</v>
      </c>
      <c r="T115" s="20" t="n">
        <v>40</v>
      </c>
      <c r="U115" s="20" t="n">
        <v>70</v>
      </c>
      <c r="V115" s="20" t="n">
        <v>95</v>
      </c>
      <c r="W115" s="20" t="n">
        <v>112</v>
      </c>
      <c r="X115" s="20" t="n">
        <v>128</v>
      </c>
    </row>
    <row r="116">
      <c r="A116" s="18" t="inlineStr">
        <is>
          <t>사채발행비</t>
        </is>
      </c>
      <c r="E116" s="20" t="n">
        <v>0</v>
      </c>
      <c r="I116" s="20" t="n">
        <v>0</v>
      </c>
      <c r="M116" s="20" t="n">
        <v>0</v>
      </c>
      <c r="T116" s="20" t="n">
        <v>0</v>
      </c>
      <c r="U116" s="20" t="n">
        <v>0</v>
      </c>
      <c r="V116" s="20" t="n">
        <v>0</v>
      </c>
      <c r="W116" s="20" t="n">
        <v>0</v>
      </c>
      <c r="X116" s="20" t="n">
        <v>0</v>
      </c>
    </row>
    <row r="117">
      <c r="A117" s="18" t="inlineStr">
        <is>
          <t>투자조합 운용손실</t>
        </is>
      </c>
      <c r="J117" s="20" t="n">
        <v>0</v>
      </c>
      <c r="N117" s="20" t="n">
        <v>75</v>
      </c>
    </row>
    <row r="118">
      <c r="A118" s="18" t="inlineStr">
        <is>
          <t>외환차손</t>
        </is>
      </c>
      <c r="F118" s="20" t="n">
        <v>0</v>
      </c>
      <c r="G118" s="20" t="n">
        <v>0</v>
      </c>
      <c r="J118" s="20" t="n">
        <v>52</v>
      </c>
      <c r="K118" s="20" t="n">
        <v>101</v>
      </c>
      <c r="N118" s="20" t="n">
        <v>0</v>
      </c>
    </row>
    <row r="119">
      <c r="A119" s="18" t="inlineStr">
        <is>
          <t>개업비 상각</t>
        </is>
      </c>
      <c r="C119" s="20" t="n">
        <v>3</v>
      </c>
      <c r="D119" s="20" t="n">
        <v>3</v>
      </c>
      <c r="E119" s="20" t="n">
        <v>35</v>
      </c>
      <c r="F119" s="20" t="n">
        <v>99</v>
      </c>
      <c r="G119" s="20" t="n">
        <v>99</v>
      </c>
      <c r="H119" s="20" t="n">
        <v>99</v>
      </c>
      <c r="I119" s="20" t="n">
        <v>99</v>
      </c>
      <c r="J119" s="20" t="n">
        <v>99</v>
      </c>
      <c r="K119" s="20" t="n">
        <v>99</v>
      </c>
      <c r="L119" s="20" t="n">
        <v>99</v>
      </c>
      <c r="M119" s="20" t="n">
        <v>99</v>
      </c>
      <c r="N119" s="20" t="n">
        <v>99</v>
      </c>
      <c r="V119" s="20" t="n">
        <v>35</v>
      </c>
      <c r="W119" s="20" t="n">
        <v>99</v>
      </c>
      <c r="X119" s="20" t="n">
        <v>99</v>
      </c>
    </row>
    <row r="120">
      <c r="A120" s="18" t="inlineStr">
        <is>
          <t>수선충당금 전입액</t>
        </is>
      </c>
      <c r="C120" s="20" t="n">
        <v>0</v>
      </c>
      <c r="D120" s="20" t="n">
        <v>0</v>
      </c>
      <c r="E120" s="20" t="n">
        <v>0</v>
      </c>
      <c r="T120" s="20" t="n">
        <v>4</v>
      </c>
      <c r="U120" s="20" t="n">
        <v>0</v>
      </c>
      <c r="V120" s="20" t="n">
        <v>0</v>
      </c>
    </row>
    <row r="121">
      <c r="A121" s="18" t="inlineStr">
        <is>
          <t>기타</t>
        </is>
      </c>
      <c r="C121" s="20" t="n">
        <v>39</v>
      </c>
      <c r="D121" s="20" t="n">
        <v>28</v>
      </c>
      <c r="E121" s="20" t="n">
        <v>86</v>
      </c>
      <c r="F121" s="20" t="n">
        <v>17</v>
      </c>
      <c r="G121" s="20" t="n">
        <v>22</v>
      </c>
      <c r="H121" s="20" t="n">
        <v>17</v>
      </c>
      <c r="I121" s="20" t="n">
        <v>56</v>
      </c>
      <c r="J121" s="20" t="n">
        <v>32</v>
      </c>
      <c r="K121" s="20" t="n">
        <v>19</v>
      </c>
      <c r="L121" s="20" t="n">
        <v>15</v>
      </c>
      <c r="M121" s="20" t="n">
        <v>4</v>
      </c>
      <c r="N121" s="20" t="n">
        <v>36</v>
      </c>
      <c r="T121" s="20" t="n">
        <v>19</v>
      </c>
      <c r="U121" s="20" t="n">
        <v>11</v>
      </c>
      <c r="V121" s="20" t="n">
        <v>86</v>
      </c>
      <c r="W121" s="20" t="n">
        <v>56</v>
      </c>
      <c r="X121" s="20" t="n">
        <v>4</v>
      </c>
    </row>
    <row r="122">
      <c r="A122" s="18" t="inlineStr">
        <is>
          <t>영업외비용 합계</t>
        </is>
      </c>
      <c r="C122" s="20" t="n">
        <v>120</v>
      </c>
      <c r="D122" s="20" t="n">
        <v>122</v>
      </c>
      <c r="E122" s="20" t="n">
        <v>283</v>
      </c>
      <c r="F122" s="20" t="n">
        <v>213</v>
      </c>
      <c r="G122" s="20" t="n">
        <v>214</v>
      </c>
      <c r="H122" s="20" t="n">
        <v>232</v>
      </c>
      <c r="I122" s="20" t="n">
        <v>296</v>
      </c>
      <c r="J122" s="20" t="n">
        <v>296</v>
      </c>
      <c r="K122" s="20" t="n">
        <v>344</v>
      </c>
      <c r="L122" s="20" t="n">
        <v>75</v>
      </c>
      <c r="M122" s="20" t="n">
        <v>230</v>
      </c>
      <c r="N122" s="20" t="n">
        <v>339</v>
      </c>
      <c r="T122" s="20" t="n">
        <v>75</v>
      </c>
      <c r="U122" s="20" t="n">
        <v>94</v>
      </c>
      <c r="V122" s="20" t="n">
        <v>283</v>
      </c>
      <c r="W122" s="20" t="n">
        <v>296</v>
      </c>
      <c r="X122" s="20" t="n">
        <v>230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G123" s="15">
        <f>IF(OR(G122="",C122=""),"",IF(G122*C122&lt;=0,"",IFERROR(G122/C122-1,"")))</f>
        <v/>
      </c>
      <c r="H123" s="15">
        <f>IF(OR(H122="",D122=""),"",IF(H122*D122&lt;=0,"",IFERROR(H122/D122-1,"")))</f>
        <v/>
      </c>
      <c r="I123" s="15">
        <f>IF(OR(I122="",E122=""),"",IF(I122*E122&lt;=0,"",IFERROR(I122/E122-1,"")))</f>
        <v/>
      </c>
      <c r="J123" s="15">
        <f>IF(OR(J122="",F122=""),"",IF(J122*F122&lt;=0,"",IFERROR(J122/F122-1,"")))</f>
        <v/>
      </c>
      <c r="K123" s="15">
        <f>IF(OR(K122="",G122=""),"",IF(K122*G122&lt;=0,"",IFERROR(K122/G122-1,"")))</f>
        <v/>
      </c>
      <c r="L123" s="15">
        <f>IF(OR(L122="",H122=""),"",IF(L122*H122&lt;=0,"",IFERROR(L122/H122-1,"")))</f>
        <v/>
      </c>
      <c r="M123" s="15">
        <f>IF(OR(M122="",I122=""),"",IF(M122*I122&lt;=0,"",IFERROR(M122/I122-1,"")))</f>
        <v/>
      </c>
      <c r="N123" s="15">
        <f>IF(OR(N122="",J122=""),"",IF(N122*J122&lt;=0,"",IFERROR(N122/J122-1,"")))</f>
        <v/>
      </c>
      <c r="T123" s="15">
        <f>IF(OR(T122="",S122=""),"",IF(T122*S122&lt;=0,"",IFERROR(T122/S122-1,"")))</f>
        <v/>
      </c>
      <c r="U123" s="15">
        <f>IF(OR(U122="",T122=""),"",IF(U122*T122&lt;=0,"",IFERROR(U122/T122-1,"")))</f>
        <v/>
      </c>
      <c r="V123" s="15">
        <f>IF(OR(V122="",U122=""),"",IF(V122*U122&lt;=0,"",IFERROR(V122/U122-1,"")))</f>
        <v/>
      </c>
      <c r="W123" s="15">
        <f>IF(OR(W122="",V122=""),"",IF(W122*V122&lt;=0,"",IFERROR(W122/V122-1,"")))</f>
        <v/>
      </c>
      <c r="X123" s="15">
        <f>IF(OR(X122="",W122=""),"",IF(X122*W122&lt;=0,"",IFERROR(X122/W122-1,"")))</f>
        <v/>
      </c>
    </row>
    <row r="124">
      <c r="A124" s="9" t="inlineStr">
        <is>
          <t>경상이익</t>
        </is>
      </c>
      <c r="C124" s="12" t="n">
        <v>-781</v>
      </c>
      <c r="D124" s="12" t="n">
        <v>-52</v>
      </c>
      <c r="E124" s="12" t="n">
        <v>-909</v>
      </c>
      <c r="F124" s="12" t="n">
        <v>806</v>
      </c>
      <c r="G124" s="12" t="n">
        <v>-493</v>
      </c>
      <c r="H124" s="12" t="n">
        <v>632</v>
      </c>
      <c r="I124" s="12" t="n">
        <v>-91</v>
      </c>
      <c r="J124" s="12" t="n">
        <v>585</v>
      </c>
      <c r="K124" s="12" t="n">
        <v>54</v>
      </c>
      <c r="L124" s="12" t="n">
        <v>1032</v>
      </c>
      <c r="M124" s="12" t="n">
        <v>719</v>
      </c>
      <c r="N124" s="12" t="n">
        <v>1616</v>
      </c>
      <c r="T124" s="12" t="n">
        <v>215</v>
      </c>
      <c r="U124" s="12" t="n">
        <v>-2078</v>
      </c>
      <c r="V124" s="12" t="n">
        <v>-909</v>
      </c>
      <c r="W124" s="12" t="n">
        <v>-91</v>
      </c>
      <c r="X124" s="12" t="n">
        <v>719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IF(OR(G124="",C124=""),"",IF(C124&lt;=0,"",IFERROR(G124/C124-1,"")))</f>
        <v/>
      </c>
      <c r="H125" s="15">
        <f>IF(OR(H124="",D124=""),"",IF(D124&lt;=0,"",IFERROR(H124/D124-1,"")))</f>
        <v/>
      </c>
      <c r="I125" s="15">
        <f>IF(OR(I124="",E124=""),"",IF(E124&lt;=0,"",IFERROR(I124/E124-1,"")))</f>
        <v/>
      </c>
      <c r="J125" s="15">
        <f>IF(OR(J124="",F124=""),"",IF(F124&lt;=0,"",IFERROR(J124/F124-1,"")))</f>
        <v/>
      </c>
      <c r="K125" s="15">
        <f>IF(OR(K124="",G124=""),"",IF(G124&lt;=0,"",IFERROR(K124/G124-1,"")))</f>
        <v/>
      </c>
      <c r="L125" s="15">
        <f>IF(OR(L124="",H124=""),"",IF(H124&lt;=0,"",IFERROR(L124/H124-1,"")))</f>
        <v/>
      </c>
      <c r="M125" s="15">
        <f>IF(OR(M124="",I124=""),"",IF(I124&lt;=0,"",IFERROR(M124/I124-1,"")))</f>
        <v/>
      </c>
      <c r="N125" s="15">
        <f>IF(OR(N124="",J124=""),"",IF(J124&lt;=0,"",IFERROR(N124/J124-1,"")))</f>
        <v/>
      </c>
      <c r="T125" s="15">
        <f>IF(OR(T124="",S124=""),"",IF(S124&lt;=0,"",IFERROR(T124/S124-1,"")))</f>
        <v/>
      </c>
      <c r="U125" s="15">
        <f>IF(OR(U124="",T124=""),"",IF(T124&lt;=0,"",IFERROR(U124/T124-1,"")))</f>
        <v/>
      </c>
      <c r="V125" s="15">
        <f>IF(OR(V124="",U124=""),"",IF(U124&lt;=0,"",IFERROR(V124/U124-1,"")))</f>
        <v/>
      </c>
      <c r="W125" s="15">
        <f>IF(OR(W124="",V124=""),"",IF(V124&lt;=0,"",IFERROR(W124/V124-1,"")))</f>
        <v/>
      </c>
      <c r="X125" s="15">
        <f>IF(OR(X124="",W124=""),"",IF(W124&lt;=0,"",IFERROR(X124/W124-1,"")))</f>
        <v/>
      </c>
    </row>
    <row r="126">
      <c r="A126" s="18" t="inlineStr">
        <is>
          <t>고정자산 매각이익</t>
        </is>
      </c>
      <c r="C126" s="20" t="n">
        <v>0</v>
      </c>
      <c r="D126" s="20" t="n">
        <v>1</v>
      </c>
      <c r="E126" s="20" t="n">
        <v>0</v>
      </c>
      <c r="F126" s="20" t="n">
        <v>979</v>
      </c>
      <c r="G126" s="20" t="n">
        <v>5</v>
      </c>
      <c r="H126" s="20" t="n">
        <v>0</v>
      </c>
      <c r="I126" s="20" t="n">
        <v>0</v>
      </c>
      <c r="J126" s="20" t="n">
        <v>0</v>
      </c>
      <c r="K126" s="20" t="n">
        <v>0</v>
      </c>
      <c r="L126" s="20" t="n">
        <v>2</v>
      </c>
      <c r="M126" s="20" t="n">
        <v>0</v>
      </c>
      <c r="N126" s="20" t="n">
        <v>8</v>
      </c>
      <c r="T126" s="20" t="n">
        <v>0</v>
      </c>
      <c r="U126" s="20" t="n">
        <v>1057</v>
      </c>
      <c r="V126" s="20" t="n">
        <v>0</v>
      </c>
      <c r="W126" s="20" t="n">
        <v>0</v>
      </c>
      <c r="X126" s="20" t="n">
        <v>0</v>
      </c>
    </row>
    <row r="127">
      <c r="A127" s="18" t="inlineStr">
        <is>
          <t>투자유가증권 매각이익</t>
        </is>
      </c>
      <c r="C127" s="20" t="n">
        <v>11</v>
      </c>
      <c r="D127" s="20" t="n">
        <v>147</v>
      </c>
      <c r="E127" s="20" t="n">
        <v>315</v>
      </c>
      <c r="F127" s="20" t="n">
        <v>314</v>
      </c>
      <c r="G127" s="20" t="n">
        <v>0</v>
      </c>
      <c r="H127" s="20" t="n">
        <v>164</v>
      </c>
      <c r="I127" s="20" t="n">
        <v>790</v>
      </c>
      <c r="J127" s="20" t="n">
        <v>0</v>
      </c>
      <c r="K127" s="20" t="n">
        <v>121</v>
      </c>
      <c r="L127" s="20" t="n">
        <v>256</v>
      </c>
      <c r="M127" s="20" t="n">
        <v>636</v>
      </c>
      <c r="T127" s="20" t="n">
        <v>3</v>
      </c>
      <c r="U127" s="20" t="n">
        <v>181</v>
      </c>
      <c r="V127" s="20" t="n">
        <v>315</v>
      </c>
      <c r="W127" s="20" t="n">
        <v>790</v>
      </c>
      <c r="X127" s="20" t="n">
        <v>636</v>
      </c>
    </row>
    <row r="128">
      <c r="A128" s="18" t="inlineStr">
        <is>
          <t>보상금 수취</t>
        </is>
      </c>
      <c r="E128" s="20" t="n">
        <v>0</v>
      </c>
      <c r="I128" s="20" t="n">
        <v>0</v>
      </c>
      <c r="U128" s="20" t="n">
        <v>0</v>
      </c>
      <c r="V128" s="20" t="n">
        <v>0</v>
      </c>
      <c r="W128" s="20" t="n">
        <v>0</v>
      </c>
    </row>
    <row r="129">
      <c r="A129" s="18" t="inlineStr">
        <is>
          <t>특별이익 합계</t>
        </is>
      </c>
      <c r="C129" s="20" t="n">
        <v>11</v>
      </c>
      <c r="D129" s="20" t="n">
        <v>579</v>
      </c>
      <c r="E129" s="20" t="n">
        <v>830</v>
      </c>
      <c r="F129" s="20" t="n">
        <v>1293</v>
      </c>
      <c r="G129" s="20" t="n">
        <v>6</v>
      </c>
      <c r="H129" s="20" t="n">
        <v>163</v>
      </c>
      <c r="I129" s="20" t="n">
        <v>790</v>
      </c>
      <c r="J129" s="20" t="n">
        <v>0</v>
      </c>
      <c r="K129" s="20" t="n">
        <v>121</v>
      </c>
      <c r="L129" s="20" t="n">
        <v>258</v>
      </c>
      <c r="M129" s="20" t="n">
        <v>637</v>
      </c>
      <c r="N129" s="20" t="n">
        <v>8</v>
      </c>
      <c r="T129" s="20" t="n">
        <v>2</v>
      </c>
      <c r="U129" s="20" t="n">
        <v>1239</v>
      </c>
      <c r="V129" s="20" t="n">
        <v>830</v>
      </c>
      <c r="W129" s="20" t="n">
        <v>790</v>
      </c>
      <c r="X129" s="20" t="n">
        <v>637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IF(OR(G129="",C129=""),"",IF(G129*C129&lt;=0,"",IFERROR(G129/C129-1,"")))</f>
        <v/>
      </c>
      <c r="H130" s="15">
        <f>IF(OR(H129="",D129=""),"",IF(H129*D129&lt;=0,"",IFERROR(H129/D129-1,"")))</f>
        <v/>
      </c>
      <c r="I130" s="15">
        <f>IF(OR(I129="",E129=""),"",IF(I129*E129&lt;=0,"",IFERROR(I129/E129-1,"")))</f>
        <v/>
      </c>
      <c r="J130" s="15">
        <f>IF(OR(J129="",F129=""),"",IF(J129*F129&lt;=0,"",IFERROR(J129/F129-1,"")))</f>
        <v/>
      </c>
      <c r="K130" s="15">
        <f>IF(OR(K129="",G129=""),"",IF(K129*G129&lt;=0,"",IFERROR(K129/G129-1,"")))</f>
        <v/>
      </c>
      <c r="L130" s="15">
        <f>IF(OR(L129="",H129=""),"",IF(L129*H129&lt;=0,"",IFERROR(L129/H129-1,"")))</f>
        <v/>
      </c>
      <c r="M130" s="15">
        <f>IF(OR(M129="",I129=""),"",IF(M129*I129&lt;=0,"",IFERROR(M129/I129-1,"")))</f>
        <v/>
      </c>
      <c r="N130" s="15">
        <f>IF(OR(N129="",J129=""),"",IF(N129*J129&lt;=0,"",IFERROR(N129/J129-1,"")))</f>
        <v/>
      </c>
      <c r="T130" s="15">
        <f>IF(OR(T129="",S129=""),"",IF(T129*S129&lt;=0,"",IFERROR(T129/S129-1,"")))</f>
        <v/>
      </c>
      <c r="U130" s="15">
        <f>IF(OR(U129="",T129=""),"",IF(U129*T129&lt;=0,"",IFERROR(U129/T129-1,"")))</f>
        <v/>
      </c>
      <c r="V130" s="15">
        <f>IF(OR(V129="",U129=""),"",IF(V129*U129&lt;=0,"",IFERROR(V129/U129-1,"")))</f>
        <v/>
      </c>
      <c r="W130" s="15">
        <f>IF(OR(W129="",V129=""),"",IF(W129*V129&lt;=0,"",IFERROR(W129/V129-1,"")))</f>
        <v/>
      </c>
      <c r="X130" s="15">
        <f>IF(OR(X129="",W129=""),"",IF(X129*W129&lt;=0,"",IFERROR(X129/W129-1,"")))</f>
        <v/>
      </c>
    </row>
    <row r="131">
      <c r="A131" s="18" t="inlineStr">
        <is>
          <t>고정자산 제각·매각손실</t>
        </is>
      </c>
      <c r="C131" s="20" t="n">
        <v>85</v>
      </c>
      <c r="D131" s="20" t="n">
        <v>222</v>
      </c>
      <c r="E131" s="20" t="n">
        <v>119</v>
      </c>
      <c r="F131" s="20" t="n">
        <v>18</v>
      </c>
      <c r="G131" s="20" t="n">
        <v>27</v>
      </c>
      <c r="H131" s="20" t="n">
        <v>27</v>
      </c>
      <c r="I131" s="20" t="n">
        <v>167</v>
      </c>
      <c r="J131" s="20" t="n">
        <v>5</v>
      </c>
      <c r="K131" s="20" t="n">
        <v>88</v>
      </c>
      <c r="L131" s="20" t="n">
        <v>36</v>
      </c>
      <c r="M131" s="20" t="n">
        <v>80</v>
      </c>
      <c r="N131" s="20" t="n">
        <v>33</v>
      </c>
      <c r="T131" s="20" t="n">
        <v>197</v>
      </c>
      <c r="U131" s="20" t="n">
        <v>113</v>
      </c>
      <c r="V131" s="20" t="n">
        <v>119</v>
      </c>
      <c r="W131" s="20" t="n">
        <v>167</v>
      </c>
      <c r="X131" s="20" t="n">
        <v>80</v>
      </c>
    </row>
    <row r="132">
      <c r="A132" s="18" t="inlineStr">
        <is>
          <t>손상차손</t>
        </is>
      </c>
      <c r="D132" s="20" t="n">
        <v>0</v>
      </c>
      <c r="E132" s="20" t="n">
        <v>0</v>
      </c>
      <c r="T132" s="20" t="n">
        <v>346</v>
      </c>
      <c r="U132" s="20" t="n">
        <v>203</v>
      </c>
      <c r="V132" s="20" t="n">
        <v>0</v>
      </c>
    </row>
    <row r="133">
      <c r="A133" s="18" t="inlineStr">
        <is>
          <t>고정자산 평가손</t>
        </is>
      </c>
      <c r="T133" s="20" t="n">
        <v>0</v>
      </c>
      <c r="U133" s="20" t="n">
        <v>0</v>
      </c>
    </row>
    <row r="134">
      <c r="A134" s="18" t="inlineStr">
        <is>
          <t>투자유가증권 평가손실</t>
        </is>
      </c>
      <c r="D134" s="20" t="n">
        <v>0</v>
      </c>
      <c r="E134" s="20" t="n">
        <v>0</v>
      </c>
      <c r="T134" s="20" t="n">
        <v>0</v>
      </c>
      <c r="U134" s="20" t="n">
        <v>0</v>
      </c>
      <c r="V134" s="20" t="n">
        <v>0</v>
      </c>
    </row>
    <row r="135">
      <c r="A135" s="18" t="inlineStr">
        <is>
          <t>사업정리 손실</t>
        </is>
      </c>
      <c r="E135" s="20" t="n">
        <v>0</v>
      </c>
      <c r="T135" s="20" t="n">
        <v>0</v>
      </c>
      <c r="U135" s="20" t="n">
        <v>1154</v>
      </c>
      <c r="V135" s="20" t="n">
        <v>0</v>
      </c>
    </row>
    <row r="136">
      <c r="A136" s="18" t="inlineStr">
        <is>
          <t>해결금</t>
        </is>
      </c>
      <c r="I136" s="20" t="n">
        <v>0</v>
      </c>
      <c r="M136" s="20" t="n">
        <v>0</v>
      </c>
      <c r="W136" s="20" t="n">
        <v>0</v>
      </c>
      <c r="X136" s="20" t="n">
        <v>0</v>
      </c>
    </row>
    <row r="137">
      <c r="A137" s="18" t="inlineStr">
        <is>
          <t>특별손실 합계</t>
        </is>
      </c>
      <c r="C137" s="20" t="n">
        <v>85</v>
      </c>
      <c r="D137" s="20" t="n">
        <v>222</v>
      </c>
      <c r="E137" s="20" t="n">
        <v>127</v>
      </c>
      <c r="F137" s="20" t="n">
        <v>18</v>
      </c>
      <c r="G137" s="20" t="n">
        <v>27</v>
      </c>
      <c r="H137" s="20" t="n">
        <v>27</v>
      </c>
      <c r="I137" s="20" t="n">
        <v>167</v>
      </c>
      <c r="J137" s="20" t="n">
        <v>5</v>
      </c>
      <c r="K137" s="20" t="n">
        <v>88</v>
      </c>
      <c r="L137" s="20" t="n">
        <v>497</v>
      </c>
      <c r="M137" s="20" t="n">
        <v>412</v>
      </c>
      <c r="N137" s="20" t="n">
        <v>33</v>
      </c>
      <c r="T137" s="20" t="n">
        <v>543</v>
      </c>
      <c r="U137" s="20" t="n">
        <v>1470</v>
      </c>
      <c r="V137" s="20" t="n">
        <v>127</v>
      </c>
      <c r="W137" s="20" t="n">
        <v>167</v>
      </c>
      <c r="X137" s="20" t="n">
        <v>412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IF(OR(G137="",C137=""),"",IF(G137*C137&lt;=0,"",IFERROR(G137/C137-1,"")))</f>
        <v/>
      </c>
      <c r="H138" s="15">
        <f>IF(OR(H137="",D137=""),"",IF(H137*D137&lt;=0,"",IFERROR(H137/D137-1,"")))</f>
        <v/>
      </c>
      <c r="I138" s="15">
        <f>IF(OR(I137="",E137=""),"",IF(I137*E137&lt;=0,"",IFERROR(I137/E137-1,"")))</f>
        <v/>
      </c>
      <c r="J138" s="15">
        <f>IF(OR(J137="",F137=""),"",IF(J137*F137&lt;=0,"",IFERROR(J137/F137-1,"")))</f>
        <v/>
      </c>
      <c r="K138" s="15">
        <f>IF(OR(K137="",G137=""),"",IF(K137*G137&lt;=0,"",IFERROR(K137/G137-1,"")))</f>
        <v/>
      </c>
      <c r="L138" s="15">
        <f>IF(OR(L137="",H137=""),"",IF(L137*H137&lt;=0,"",IFERROR(L137/H137-1,"")))</f>
        <v/>
      </c>
      <c r="M138" s="15">
        <f>IF(OR(M137="",I137=""),"",IF(M137*I137&lt;=0,"",IFERROR(M137/I137-1,"")))</f>
        <v/>
      </c>
      <c r="N138" s="15">
        <f>IF(OR(N137="",J137=""),"",IF(N137*J137&lt;=0,"",IFERROR(N137/J137-1,"")))</f>
        <v/>
      </c>
      <c r="T138" s="15">
        <f>IF(OR(T137="",S137=""),"",IF(T137*S137&lt;=0,"",IFERROR(T137/S137-1,"")))</f>
        <v/>
      </c>
      <c r="U138" s="15">
        <f>IF(OR(U137="",T137=""),"",IF(U137*T137&lt;=0,"",IFERROR(U137/T137-1,"")))</f>
        <v/>
      </c>
      <c r="V138" s="15">
        <f>IF(OR(V137="",U137=""),"",IF(V137*U137&lt;=0,"",IFERROR(V137/U137-1,"")))</f>
        <v/>
      </c>
      <c r="W138" s="15">
        <f>IF(OR(W137="",V137=""),"",IF(W137*V137&lt;=0,"",IFERROR(W137/V137-1,"")))</f>
        <v/>
      </c>
      <c r="X138" s="15">
        <f>IF(OR(X137="",W137=""),"",IF(X137*W137&lt;=0,"",IFERROR(X137/W137-1,"")))</f>
        <v/>
      </c>
    </row>
    <row r="139">
      <c r="A139" s="9" t="inlineStr">
        <is>
          <t>법인세차감전 순이익</t>
        </is>
      </c>
      <c r="C139" s="12" t="n">
        <v>-856</v>
      </c>
      <c r="D139" s="12" t="n">
        <v>306</v>
      </c>
      <c r="E139" s="12" t="n">
        <v>-205</v>
      </c>
      <c r="F139" s="12" t="n">
        <v>2081</v>
      </c>
      <c r="G139" s="12" t="n">
        <v>-515</v>
      </c>
      <c r="H139" s="12" t="n">
        <v>768</v>
      </c>
      <c r="I139" s="12" t="n">
        <v>533</v>
      </c>
      <c r="J139" s="12" t="n">
        <v>580</v>
      </c>
      <c r="K139" s="12" t="n">
        <v>87</v>
      </c>
      <c r="L139" s="12" t="n">
        <v>793</v>
      </c>
      <c r="M139" s="12" t="n">
        <v>944</v>
      </c>
      <c r="N139" s="12" t="n">
        <v>1591</v>
      </c>
      <c r="T139" s="12" t="n">
        <v>-325</v>
      </c>
      <c r="U139" s="12" t="n">
        <v>-2310</v>
      </c>
      <c r="V139" s="12" t="n">
        <v>-205</v>
      </c>
      <c r="W139" s="12" t="n">
        <v>533</v>
      </c>
      <c r="X139" s="12" t="n">
        <v>944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T140" s="15">
        <f>IF(OR(T139="",S139=""),"",IF(S139&lt;=0,"",IFERROR(T139/S139-1,"")))</f>
        <v/>
      </c>
      <c r="U140" s="15">
        <f>IF(OR(U139="",T139=""),"",IF(T139&lt;=0,"",IFERROR(U139/T139-1,"")))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18" t="inlineStr">
        <is>
          <t>법인세·주민세·사업세</t>
        </is>
      </c>
      <c r="C141" s="20" t="n">
        <v>239</v>
      </c>
      <c r="D141" s="20" t="n">
        <v>224</v>
      </c>
      <c r="E141" s="20" t="n">
        <v>398</v>
      </c>
      <c r="F141" s="20" t="n">
        <v>370</v>
      </c>
      <c r="G141" s="20" t="n">
        <v>303</v>
      </c>
      <c r="H141" s="20" t="n">
        <v>288</v>
      </c>
      <c r="I141" s="20" t="n">
        <v>457</v>
      </c>
      <c r="J141" s="20" t="n">
        <v>163</v>
      </c>
      <c r="K141" s="20" t="n">
        <v>211</v>
      </c>
      <c r="L141" s="20" t="n">
        <v>282</v>
      </c>
      <c r="M141" s="20" t="n">
        <v>581</v>
      </c>
      <c r="N141" s="20" t="n">
        <v>409</v>
      </c>
      <c r="T141" s="20" t="n">
        <v>380</v>
      </c>
      <c r="U141" s="20" t="n">
        <v>274</v>
      </c>
      <c r="V141" s="20" t="n">
        <v>398</v>
      </c>
      <c r="W141" s="20" t="n">
        <v>457</v>
      </c>
      <c r="X141" s="20" t="n">
        <v>581</v>
      </c>
    </row>
    <row r="142">
      <c r="A142" s="18" t="inlineStr">
        <is>
          <t>법인세 조정액</t>
        </is>
      </c>
      <c r="C142" s="20" t="n">
        <v>-218</v>
      </c>
      <c r="D142" s="20" t="n">
        <v>128</v>
      </c>
      <c r="E142" s="20" t="n">
        <v>58</v>
      </c>
      <c r="F142" s="20" t="n">
        <v>326</v>
      </c>
      <c r="G142" s="20" t="n">
        <v>-170</v>
      </c>
      <c r="H142" s="20" t="n">
        <v>245</v>
      </c>
      <c r="I142" s="20" t="n">
        <v>-15</v>
      </c>
      <c r="J142" s="20" t="n">
        <v>256</v>
      </c>
      <c r="K142" s="20" t="n">
        <v>45</v>
      </c>
      <c r="L142" s="20" t="n">
        <v>344</v>
      </c>
      <c r="M142" s="20" t="n">
        <v>-145</v>
      </c>
      <c r="N142" s="20" t="n">
        <v>296</v>
      </c>
      <c r="T142" s="20" t="n">
        <v>-208</v>
      </c>
      <c r="U142" s="20" t="n">
        <v>-9</v>
      </c>
      <c r="V142" s="20" t="n">
        <v>58</v>
      </c>
      <c r="W142" s="20" t="n">
        <v>-15</v>
      </c>
      <c r="X142" s="20" t="n">
        <v>-145</v>
      </c>
    </row>
    <row r="143">
      <c r="A143" s="18" t="inlineStr">
        <is>
          <t>법인세 등 합계</t>
        </is>
      </c>
      <c r="C143" s="20" t="n">
        <v>22</v>
      </c>
      <c r="D143" s="20" t="n">
        <v>352</v>
      </c>
      <c r="E143" s="20" t="n">
        <v>455</v>
      </c>
      <c r="F143" s="20" t="n">
        <v>696</v>
      </c>
      <c r="G143" s="20" t="n">
        <v>134</v>
      </c>
      <c r="H143" s="20" t="n">
        <v>532</v>
      </c>
      <c r="I143" s="20" t="n">
        <v>443</v>
      </c>
      <c r="J143" s="20" t="n">
        <v>419</v>
      </c>
      <c r="K143" s="20" t="n">
        <v>256</v>
      </c>
      <c r="L143" s="20" t="n">
        <v>626</v>
      </c>
      <c r="M143" s="20" t="n">
        <v>437</v>
      </c>
      <c r="N143" s="20" t="n">
        <v>706</v>
      </c>
      <c r="T143" s="20" t="n">
        <v>171</v>
      </c>
      <c r="U143" s="20" t="n">
        <v>266</v>
      </c>
      <c r="V143" s="20" t="n">
        <v>455</v>
      </c>
      <c r="W143" s="20" t="n">
        <v>443</v>
      </c>
      <c r="X143" s="20" t="n">
        <v>437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IF(OR(G143="",C143=""),"",IF(G143*C143&lt;=0,"",IFERROR(G143/C143-1,"")))</f>
        <v/>
      </c>
      <c r="H144" s="15">
        <f>IF(OR(H143="",D143=""),"",IF(H143*D143&lt;=0,"",IFERROR(H143/D143-1,"")))</f>
        <v/>
      </c>
      <c r="I144" s="15">
        <f>IF(OR(I143="",E143=""),"",IF(I143*E143&lt;=0,"",IFERROR(I143/E143-1,"")))</f>
        <v/>
      </c>
      <c r="J144" s="15">
        <f>IF(OR(J143="",F143=""),"",IF(J143*F143&lt;=0,"",IFERROR(J143/F143-1,"")))</f>
        <v/>
      </c>
      <c r="K144" s="15">
        <f>IF(OR(K143="",G143=""),"",IF(K143*G143&lt;=0,"",IFERROR(K143/G143-1,"")))</f>
        <v/>
      </c>
      <c r="L144" s="15">
        <f>IF(OR(L143="",H143=""),"",IF(L143*H143&lt;=0,"",IFERROR(L143/H143-1,"")))</f>
        <v/>
      </c>
      <c r="M144" s="15">
        <f>IF(OR(M143="",I143=""),"",IF(M143*I143&lt;=0,"",IFERROR(M143/I143-1,"")))</f>
        <v/>
      </c>
      <c r="N144" s="15">
        <f>IF(OR(N143="",J143=""),"",IF(N143*J143&lt;=0,"",IFERROR(N143/J143-1,"")))</f>
        <v/>
      </c>
      <c r="T144" s="15">
        <f>IF(OR(T143="",S143=""),"",IF(T143*S143&lt;=0,"",IFERROR(T143/S143-1,"")))</f>
        <v/>
      </c>
      <c r="U144" s="15">
        <f>IF(OR(U143="",T143=""),"",IF(U143*T143&lt;=0,"",IFERROR(U143/T143-1,"")))</f>
        <v/>
      </c>
      <c r="V144" s="15">
        <f>IF(OR(V143="",U143=""),"",IF(V143*U143&lt;=0,"",IFERROR(V143/U143-1,"")))</f>
        <v/>
      </c>
      <c r="W144" s="15">
        <f>IF(OR(W143="",V143=""),"",IF(W143*V143&lt;=0,"",IFERROR(W143/V143-1,"")))</f>
        <v/>
      </c>
      <c r="X144" s="15">
        <f>IF(OR(X143="",W143=""),"",IF(X143*W143&lt;=0,"",IFERROR(X143/W143-1,"")))</f>
        <v/>
      </c>
    </row>
    <row r="145">
      <c r="A145" s="9" t="inlineStr">
        <is>
          <t>순이익</t>
        </is>
      </c>
      <c r="C145" s="12" t="n">
        <v>-877</v>
      </c>
      <c r="D145" s="12" t="n">
        <v>-47</v>
      </c>
      <c r="E145" s="12" t="n">
        <v>-659</v>
      </c>
      <c r="F145" s="12" t="n">
        <v>1384</v>
      </c>
      <c r="G145" s="12" t="n">
        <v>-648</v>
      </c>
      <c r="H145" s="12" t="n">
        <v>235</v>
      </c>
      <c r="I145" s="12" t="n">
        <v>91</v>
      </c>
      <c r="J145" s="12" t="n">
        <v>160</v>
      </c>
      <c r="K145" s="12" t="n">
        <v>-168</v>
      </c>
      <c r="L145" s="12" t="n">
        <v>167</v>
      </c>
      <c r="M145" s="12" t="n">
        <v>507</v>
      </c>
      <c r="N145" s="12" t="n">
        <v>885</v>
      </c>
      <c r="T145" s="12" t="n">
        <v>-497</v>
      </c>
      <c r="U145" s="12" t="n">
        <v>-2576</v>
      </c>
      <c r="V145" s="12" t="n">
        <v>-659</v>
      </c>
      <c r="W145" s="12" t="n">
        <v>91</v>
      </c>
      <c r="X145" s="12" t="n">
        <v>507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T146" s="15">
        <f>IF(OR(T145="",S145=""),"",IF(S145&lt;=0,"",IFERROR(T145/S145-1,"")))</f>
        <v/>
      </c>
      <c r="U146" s="15">
        <f>IF(OR(U145="",T145=""),"",IF(T145&lt;=0,"",IFERROR(U145/T145-1,"")))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7">
      <c r="A147" s="9" t="inlineStr">
        <is>
          <t>비지배주주 당기순손실</t>
        </is>
      </c>
      <c r="C147" s="12" t="n">
        <v>-438</v>
      </c>
      <c r="D147" s="12" t="n">
        <v>-218</v>
      </c>
      <c r="E147" s="12" t="n">
        <v>-199</v>
      </c>
      <c r="F147" s="12" t="n">
        <v>-414</v>
      </c>
      <c r="G147" s="12" t="n">
        <v>-484</v>
      </c>
      <c r="H147" s="12" t="n">
        <v>-398</v>
      </c>
      <c r="I147" s="12" t="n">
        <v>-286</v>
      </c>
      <c r="J147" s="12" t="n">
        <v>-372</v>
      </c>
      <c r="K147" s="12" t="n">
        <v>-360</v>
      </c>
      <c r="L147" s="12" t="n">
        <v>-440</v>
      </c>
      <c r="M147" s="12" t="n">
        <v>-363</v>
      </c>
      <c r="N147" s="12" t="n">
        <v>-411</v>
      </c>
      <c r="T147" s="12" t="n">
        <v>117</v>
      </c>
      <c r="U147" s="12" t="n">
        <v>-356</v>
      </c>
      <c r="V147" s="12" t="n">
        <v>-199</v>
      </c>
      <c r="W147" s="12" t="n">
        <v>-286</v>
      </c>
      <c r="X147" s="12" t="n">
        <v>-363</v>
      </c>
    </row>
    <row r="148">
      <c r="A148" s="9" t="inlineStr">
        <is>
          <t>지배주주 순이익</t>
        </is>
      </c>
      <c r="C148" s="12" t="n">
        <v>-439</v>
      </c>
      <c r="D148" s="12" t="n">
        <v>171</v>
      </c>
      <c r="E148" s="12" t="n">
        <v>-460</v>
      </c>
      <c r="F148" s="12" t="n">
        <v>1799</v>
      </c>
      <c r="G148" s="12" t="n">
        <v>-165</v>
      </c>
      <c r="H148" s="12" t="n">
        <v>633</v>
      </c>
      <c r="I148" s="12" t="n">
        <v>377</v>
      </c>
      <c r="J148" s="12" t="n">
        <v>533</v>
      </c>
      <c r="K148" s="12" t="n">
        <v>191</v>
      </c>
      <c r="L148" s="12" t="n">
        <v>607</v>
      </c>
      <c r="M148" s="12" t="n">
        <v>870</v>
      </c>
      <c r="N148" s="12" t="n">
        <v>1296</v>
      </c>
      <c r="T148" s="12" t="n">
        <v>-615</v>
      </c>
      <c r="U148" s="12" t="n">
        <v>-2220</v>
      </c>
      <c r="V148" s="12" t="n">
        <v>-460</v>
      </c>
      <c r="W148" s="12" t="n">
        <v>377</v>
      </c>
      <c r="X148" s="12" t="n">
        <v>870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T149" s="15">
        <f>IF(OR(T148="",S148=""),"",IF(S148&lt;=0,"",IFERROR(T148/S148-1,"")))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1">
      <c r="A151" s="16" t="inlineStr">
        <is>
          <t>포괄손익 · 전 항목</t>
        </is>
      </c>
      <c r="B151" s="42" t="inlineStr">
        <is>
          <t>분기 = 3개월 단독</t>
        </is>
      </c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  <c r="AA151" s="16" t="n"/>
      <c r="AB151" s="16" t="n"/>
      <c r="AC151" s="16" t="n"/>
    </row>
    <row r="152">
      <c r="A152" s="5" t="inlineStr">
        <is>
          <t>항목</t>
        </is>
      </c>
      <c r="B152" s="5" t="inlineStr">
        <is>
          <t>참고</t>
        </is>
      </c>
      <c r="C152" s="5" t="inlineStr">
        <is>
          <t>2024.2Q</t>
        </is>
      </c>
      <c r="D152" s="5" t="inlineStr">
        <is>
          <t>2024.3Q</t>
        </is>
      </c>
      <c r="E152" s="5" t="inlineStr">
        <is>
          <t>2024.4Q</t>
        </is>
      </c>
      <c r="F152" s="5" t="inlineStr">
        <is>
          <t>2025.1Q</t>
        </is>
      </c>
      <c r="G152" s="5" t="inlineStr">
        <is>
          <t>2025.2Q</t>
        </is>
      </c>
      <c r="H152" s="5" t="inlineStr">
        <is>
          <t>2025.3Q</t>
        </is>
      </c>
      <c r="I152" s="5" t="inlineStr">
        <is>
          <t>2025.4Q</t>
        </is>
      </c>
      <c r="J152" s="5" t="inlineStr">
        <is>
          <t>2026.1Q</t>
        </is>
      </c>
      <c r="K152" s="5" t="inlineStr">
        <is>
          <t>2026.2Q</t>
        </is>
      </c>
      <c r="L152" s="5" t="inlineStr">
        <is>
          <t>2026.3Q</t>
        </is>
      </c>
      <c r="M152" s="5" t="inlineStr">
        <is>
          <t>2026.4Q</t>
        </is>
      </c>
      <c r="N152" s="5" t="inlineStr">
        <is>
          <t>2027.1Q</t>
        </is>
      </c>
      <c r="O152" s="5" t="inlineStr">
        <is>
          <t>2017</t>
        </is>
      </c>
      <c r="P152" s="5" t="inlineStr">
        <is>
          <t>2018</t>
        </is>
      </c>
      <c r="Q152" s="5" t="inlineStr">
        <is>
          <t>2019</t>
        </is>
      </c>
      <c r="R152" s="5" t="inlineStr">
        <is>
          <t>2020</t>
        </is>
      </c>
      <c r="S152" s="5" t="inlineStr">
        <is>
          <t>2021</t>
        </is>
      </c>
      <c r="T152" s="5" t="inlineStr">
        <is>
          <t>2022</t>
        </is>
      </c>
      <c r="U152" s="5" t="inlineStr">
        <is>
          <t>2023</t>
        </is>
      </c>
      <c r="V152" s="5" t="inlineStr">
        <is>
          <t>2024</t>
        </is>
      </c>
      <c r="W152" s="5" t="inlineStr">
        <is>
          <t>2025</t>
        </is>
      </c>
      <c r="X152" s="5" t="inlineStr">
        <is>
          <t>2026</t>
        </is>
      </c>
      <c r="Y152" s="5" t="inlineStr">
        <is>
          <t>2027(MW)</t>
        </is>
      </c>
      <c r="Z152" s="5" t="inlineStr">
        <is>
          <t>2028(MW)</t>
        </is>
      </c>
      <c r="AA152" s="5" t="inlineStr">
        <is>
          <t>2029(MW)</t>
        </is>
      </c>
      <c r="AB152" s="5" t="inlineStr">
        <is>
          <t>2030(MW)</t>
        </is>
      </c>
      <c r="AC152" s="5" t="inlineStr">
        <is>
          <t>2031(MW)</t>
        </is>
      </c>
    </row>
    <row r="153">
      <c r="A153" s="9" t="inlineStr">
        <is>
          <t>순이익</t>
        </is>
      </c>
      <c r="C153" s="12" t="n">
        <v>-877</v>
      </c>
      <c r="D153" s="12" t="n">
        <v>-47</v>
      </c>
      <c r="E153" s="12" t="n">
        <v>-659</v>
      </c>
      <c r="F153" s="12" t="n">
        <v>1384</v>
      </c>
      <c r="G153" s="12" t="n">
        <v>-648</v>
      </c>
      <c r="H153" s="12" t="n">
        <v>235</v>
      </c>
      <c r="I153" s="12" t="n">
        <v>91</v>
      </c>
      <c r="J153" s="12" t="n">
        <v>160</v>
      </c>
      <c r="K153" s="12" t="n">
        <v>-168</v>
      </c>
      <c r="L153" s="12" t="n">
        <v>167</v>
      </c>
      <c r="M153" s="12" t="n">
        <v>507</v>
      </c>
      <c r="N153" s="12" t="n">
        <v>885</v>
      </c>
      <c r="T153" s="12" t="n">
        <v>-497</v>
      </c>
      <c r="U153" s="12" t="n">
        <v>-2576</v>
      </c>
      <c r="V153" s="12" t="n">
        <v>-659</v>
      </c>
      <c r="W153" s="12" t="n">
        <v>91</v>
      </c>
      <c r="X153" s="12" t="n">
        <v>507</v>
      </c>
    </row>
    <row r="154">
      <c r="A154" s="18" t="inlineStr">
        <is>
          <t>기타유가증권 평가차액</t>
        </is>
      </c>
      <c r="C154" s="20" t="n">
        <v>415</v>
      </c>
      <c r="D154" s="20" t="n">
        <v>459</v>
      </c>
      <c r="E154" s="20" t="n">
        <v>515</v>
      </c>
      <c r="F154" s="20" t="n">
        <v>445</v>
      </c>
      <c r="G154" s="20" t="n">
        <v>-546</v>
      </c>
      <c r="H154" s="20" t="n">
        <v>143</v>
      </c>
      <c r="I154" s="20" t="n">
        <v>-831</v>
      </c>
      <c r="J154" s="20" t="n">
        <v>335</v>
      </c>
      <c r="K154" s="20" t="n">
        <v>572</v>
      </c>
      <c r="L154" s="20" t="n">
        <v>429</v>
      </c>
      <c r="M154" s="20" t="n">
        <v>-213</v>
      </c>
      <c r="N154" s="20" t="n">
        <v>1531</v>
      </c>
      <c r="T154" s="20" t="n">
        <v>143</v>
      </c>
      <c r="U154" s="20" t="n">
        <v>228</v>
      </c>
      <c r="V154" s="20" t="n">
        <v>515</v>
      </c>
      <c r="W154" s="20" t="n">
        <v>-831</v>
      </c>
      <c r="X154" s="20" t="n">
        <v>-213</v>
      </c>
    </row>
    <row r="155">
      <c r="A155" s="18" t="inlineStr">
        <is>
          <t>해외사업환산조정</t>
        </is>
      </c>
      <c r="C155" s="20" t="n">
        <v>825</v>
      </c>
      <c r="D155" s="20" t="n">
        <v>229</v>
      </c>
      <c r="E155" s="20" t="n">
        <v>-399</v>
      </c>
      <c r="F155" s="20" t="n">
        <v>660</v>
      </c>
      <c r="G155" s="20" t="n">
        <v>1046</v>
      </c>
      <c r="H155" s="20" t="n">
        <v>-1700</v>
      </c>
      <c r="I155" s="20" t="n">
        <v>1231</v>
      </c>
      <c r="J155" s="20" t="n">
        <v>-1124</v>
      </c>
      <c r="K155" s="20" t="n">
        <v>370</v>
      </c>
      <c r="L155" s="20" t="n">
        <v>188</v>
      </c>
      <c r="M155" s="20" t="n">
        <v>1153</v>
      </c>
      <c r="N155" s="20" t="n">
        <v>380</v>
      </c>
      <c r="T155" s="20" t="n">
        <v>549</v>
      </c>
      <c r="U155" s="20" t="n">
        <v>-1280</v>
      </c>
      <c r="V155" s="20" t="n">
        <v>-399</v>
      </c>
      <c r="W155" s="20" t="n">
        <v>1231</v>
      </c>
      <c r="X155" s="20" t="n">
        <v>1153</v>
      </c>
    </row>
    <row r="156">
      <c r="A156" s="18" t="inlineStr">
        <is>
          <t>퇴직급여 조정액</t>
        </is>
      </c>
      <c r="C156" s="20" t="n">
        <v>-57</v>
      </c>
      <c r="D156" s="20" t="n">
        <v>-55</v>
      </c>
      <c r="E156" s="20" t="n">
        <v>1261</v>
      </c>
      <c r="F156" s="20" t="n">
        <v>-79</v>
      </c>
      <c r="G156" s="20" t="n">
        <v>-81</v>
      </c>
      <c r="H156" s="20" t="n">
        <v>-75</v>
      </c>
      <c r="I156" s="20" t="n">
        <v>533</v>
      </c>
      <c r="J156" s="20" t="n">
        <v>-93</v>
      </c>
      <c r="K156" s="20" t="n">
        <v>-100</v>
      </c>
      <c r="L156" s="20" t="n">
        <v>-95</v>
      </c>
      <c r="M156" s="20" t="n">
        <v>1336</v>
      </c>
      <c r="N156" s="20" t="n">
        <v>-137</v>
      </c>
      <c r="T156" s="20" t="n">
        <v>274</v>
      </c>
      <c r="U156" s="20" t="n">
        <v>610</v>
      </c>
      <c r="V156" s="20" t="n">
        <v>1261</v>
      </c>
      <c r="W156" s="20" t="n">
        <v>533</v>
      </c>
      <c r="X156" s="20" t="n">
        <v>1336</v>
      </c>
    </row>
    <row r="157">
      <c r="A157" s="18" t="inlineStr">
        <is>
          <t>기타포괄손익 합계</t>
        </is>
      </c>
      <c r="C157" s="20" t="n">
        <v>1182</v>
      </c>
      <c r="D157" s="20" t="n">
        <v>634</v>
      </c>
      <c r="E157" s="20" t="n">
        <v>1378</v>
      </c>
      <c r="F157" s="20" t="n">
        <v>1027</v>
      </c>
      <c r="G157" s="20" t="n">
        <v>417</v>
      </c>
      <c r="H157" s="20" t="n">
        <v>-1630</v>
      </c>
      <c r="I157" s="20" t="n">
        <v>932</v>
      </c>
      <c r="J157" s="20" t="n">
        <v>-881</v>
      </c>
      <c r="K157" s="20" t="n">
        <v>841</v>
      </c>
      <c r="L157" s="20" t="n">
        <v>521</v>
      </c>
      <c r="M157" s="20" t="n">
        <v>2278</v>
      </c>
      <c r="N157" s="20" t="n">
        <v>1774</v>
      </c>
      <c r="T157" s="20" t="n">
        <v>967</v>
      </c>
      <c r="U157" s="20" t="n">
        <v>-441</v>
      </c>
      <c r="V157" s="20" t="n">
        <v>1378</v>
      </c>
      <c r="W157" s="20" t="n">
        <v>932</v>
      </c>
      <c r="X157" s="20" t="n">
        <v>2278</v>
      </c>
    </row>
    <row r="158">
      <c r="A158" s="9" t="inlineStr">
        <is>
          <t>포괄이익</t>
        </is>
      </c>
      <c r="C158" s="12" t="n">
        <v>304</v>
      </c>
      <c r="D158" s="12" t="n">
        <v>587</v>
      </c>
      <c r="E158" s="12" t="n">
        <v>719</v>
      </c>
      <c r="F158" s="12" t="n">
        <v>2411</v>
      </c>
      <c r="G158" s="12" t="n">
        <v>-230</v>
      </c>
      <c r="H158" s="12" t="n">
        <v>-1396</v>
      </c>
      <c r="I158" s="12" t="n">
        <v>1023</v>
      </c>
      <c r="J158" s="12" t="n">
        <v>-721</v>
      </c>
      <c r="K158" s="12" t="n">
        <v>672</v>
      </c>
      <c r="L158" s="12" t="n">
        <v>689</v>
      </c>
      <c r="M158" s="12" t="n">
        <v>2785</v>
      </c>
      <c r="N158" s="12" t="n">
        <v>2659</v>
      </c>
      <c r="T158" s="12" t="n">
        <v>470</v>
      </c>
      <c r="U158" s="12" t="n">
        <v>-3017</v>
      </c>
      <c r="V158" s="12" t="n">
        <v>719</v>
      </c>
      <c r="W158" s="12" t="n">
        <v>1023</v>
      </c>
      <c r="X158" s="12" t="n">
        <v>2785</v>
      </c>
    </row>
    <row r="159">
      <c r="A159" s="9" t="inlineStr">
        <is>
          <t>지배주주 포괄이익</t>
        </is>
      </c>
      <c r="C159" s="12" t="n">
        <v>605</v>
      </c>
      <c r="D159" s="12" t="n">
        <v>806</v>
      </c>
      <c r="E159" s="12" t="n">
        <v>945</v>
      </c>
      <c r="F159" s="12" t="n">
        <v>2770</v>
      </c>
      <c r="G159" s="12" t="n">
        <v>144</v>
      </c>
      <c r="H159" s="12" t="n">
        <v>-765</v>
      </c>
      <c r="I159" s="12" t="n">
        <v>1143</v>
      </c>
      <c r="J159" s="12" t="n">
        <v>-194</v>
      </c>
      <c r="K159" s="12" t="n">
        <v>781</v>
      </c>
      <c r="L159" s="12" t="n">
        <v>1181</v>
      </c>
      <c r="M159" s="12" t="n">
        <v>3106</v>
      </c>
      <c r="N159" s="12" t="n">
        <v>3075</v>
      </c>
      <c r="T159" s="12" t="n">
        <v>296</v>
      </c>
      <c r="U159" s="12" t="n">
        <v>-2544</v>
      </c>
      <c r="V159" s="12" t="n">
        <v>945</v>
      </c>
      <c r="W159" s="12" t="n">
        <v>1143</v>
      </c>
      <c r="X159" s="12" t="n">
        <v>3106</v>
      </c>
    </row>
    <row r="160">
      <c r="A160" s="9" t="inlineStr">
        <is>
          <t>비지배주주 포괄이익</t>
        </is>
      </c>
      <c r="C160" s="12" t="n">
        <v>-300</v>
      </c>
      <c r="D160" s="12" t="n">
        <v>-219</v>
      </c>
      <c r="E160" s="12" t="n">
        <v>-227</v>
      </c>
      <c r="F160" s="12" t="n">
        <v>-358</v>
      </c>
      <c r="G160" s="12" t="n">
        <v>-374</v>
      </c>
      <c r="H160" s="12" t="n">
        <v>-632</v>
      </c>
      <c r="I160" s="12" t="n">
        <v>-120</v>
      </c>
      <c r="J160" s="12" t="n">
        <v>-526</v>
      </c>
      <c r="K160" s="12" t="n">
        <v>-111</v>
      </c>
      <c r="L160" s="12" t="n">
        <v>-490</v>
      </c>
      <c r="M160" s="12" t="n">
        <v>-322</v>
      </c>
      <c r="N160" s="12" t="n">
        <v>-415</v>
      </c>
      <c r="T160" s="12" t="n">
        <v>174</v>
      </c>
      <c r="U160" s="12" t="n">
        <v>-472</v>
      </c>
      <c r="V160" s="12" t="n">
        <v>-227</v>
      </c>
      <c r="W160" s="12" t="n">
        <v>-120</v>
      </c>
      <c r="X160" s="12" t="n">
        <v>-322</v>
      </c>
    </row>
    <row r="162">
      <c r="A162" s="16" t="inlineStr">
        <is>
          <t>부문 · 전 항목</t>
        </is>
      </c>
      <c r="B162" s="42" t="inlineStr">
        <is>
          <t>부문 · 항목</t>
        </is>
      </c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</row>
    <row r="163">
      <c r="A163" s="5" t="inlineStr">
        <is>
          <t>항목</t>
        </is>
      </c>
      <c r="B163" s="5" t="inlineStr">
        <is>
          <t>참고</t>
        </is>
      </c>
      <c r="C163" s="5" t="inlineStr">
        <is>
          <t>2024.2Q</t>
        </is>
      </c>
      <c r="D163" s="5" t="inlineStr">
        <is>
          <t>2024.3Q</t>
        </is>
      </c>
      <c r="E163" s="5" t="inlineStr">
        <is>
          <t>2024.4Q</t>
        </is>
      </c>
      <c r="F163" s="5" t="inlineStr">
        <is>
          <t>2025.1Q</t>
        </is>
      </c>
      <c r="G163" s="5" t="inlineStr">
        <is>
          <t>2025.2Q</t>
        </is>
      </c>
      <c r="H163" s="5" t="inlineStr">
        <is>
          <t>2025.3Q</t>
        </is>
      </c>
      <c r="I163" s="5" t="inlineStr">
        <is>
          <t>2025.4Q</t>
        </is>
      </c>
      <c r="J163" s="5" t="inlineStr">
        <is>
          <t>2026.1Q</t>
        </is>
      </c>
      <c r="K163" s="5" t="inlineStr">
        <is>
          <t>2026.2Q</t>
        </is>
      </c>
      <c r="L163" s="5" t="inlineStr">
        <is>
          <t>2026.3Q</t>
        </is>
      </c>
      <c r="M163" s="5" t="inlineStr">
        <is>
          <t>2026.4Q</t>
        </is>
      </c>
      <c r="N163" s="5" t="inlineStr">
        <is>
          <t>2027.1Q</t>
        </is>
      </c>
      <c r="O163" s="5" t="inlineStr">
        <is>
          <t>2017</t>
        </is>
      </c>
      <c r="P163" s="5" t="inlineStr">
        <is>
          <t>2018</t>
        </is>
      </c>
      <c r="Q163" s="5" t="inlineStr">
        <is>
          <t>2019</t>
        </is>
      </c>
      <c r="R163" s="5" t="inlineStr">
        <is>
          <t>2020</t>
        </is>
      </c>
      <c r="S163" s="5" t="inlineStr">
        <is>
          <t>2021</t>
        </is>
      </c>
      <c r="T163" s="5" t="inlineStr">
        <is>
          <t>2022</t>
        </is>
      </c>
      <c r="U163" s="5" t="inlineStr">
        <is>
          <t>2023</t>
        </is>
      </c>
      <c r="V163" s="5" t="inlineStr">
        <is>
          <t>2024</t>
        </is>
      </c>
      <c r="W163" s="5" t="inlineStr">
        <is>
          <t>2025</t>
        </is>
      </c>
      <c r="X163" s="5" t="inlineStr">
        <is>
          <t>2026</t>
        </is>
      </c>
      <c r="Y163" s="5" t="inlineStr">
        <is>
          <t>2027(MW)</t>
        </is>
      </c>
      <c r="Z163" s="5" t="inlineStr">
        <is>
          <t>2028(MW)</t>
        </is>
      </c>
      <c r="AA163" s="5" t="inlineStr">
        <is>
          <t>2029(MW)</t>
        </is>
      </c>
      <c r="AB163" s="5" t="inlineStr">
        <is>
          <t>2030(MW)</t>
        </is>
      </c>
      <c r="AC163" s="5" t="inlineStr">
        <is>
          <t>2031(MW)</t>
        </is>
      </c>
    </row>
    <row r="164">
      <c r="A164" s="18" t="inlineStr">
        <is>
          <t>FunctionalCoatingChemicalsReportableSegmentMember · 외부 고객 매출</t>
        </is>
      </c>
      <c r="C164" s="20" t="n">
        <v>3401</v>
      </c>
      <c r="D164" s="20" t="n">
        <v>4114</v>
      </c>
      <c r="E164" s="20" t="n">
        <v>3880</v>
      </c>
      <c r="F164" s="20" t="n">
        <v>4059</v>
      </c>
      <c r="G164" s="20" t="n">
        <v>4152</v>
      </c>
      <c r="H164" s="20" t="n">
        <v>4492</v>
      </c>
      <c r="I164" s="20" t="n">
        <v>4139</v>
      </c>
      <c r="J164" s="20" t="n">
        <v>4474</v>
      </c>
      <c r="K164" s="20" t="n">
        <v>4503</v>
      </c>
      <c r="L164" s="20" t="n">
        <v>4886</v>
      </c>
      <c r="M164" s="20" t="n">
        <v>4343</v>
      </c>
      <c r="N164" s="20" t="n">
        <v>5159</v>
      </c>
      <c r="V164" s="20" t="n">
        <v>3880</v>
      </c>
      <c r="W164" s="20" t="n">
        <v>4139</v>
      </c>
      <c r="X164" s="20" t="n">
        <v>4343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PaperChemicalsAndEnvironmentalBusinessReportableSegmentMember · 외부 고객 매출</t>
        </is>
      </c>
      <c r="C166" s="20" t="n">
        <v>5175</v>
      </c>
      <c r="D166" s="20" t="n">
        <v>5679</v>
      </c>
      <c r="E166" s="20" t="n">
        <v>5558</v>
      </c>
      <c r="F166" s="20" t="n">
        <v>5314</v>
      </c>
      <c r="G166" s="20" t="n">
        <v>5679</v>
      </c>
      <c r="H166" s="20" t="n">
        <v>5620</v>
      </c>
      <c r="I166" s="20" t="n">
        <v>5428</v>
      </c>
      <c r="J166" s="20" t="n">
        <v>4904</v>
      </c>
      <c r="K166" s="20" t="n">
        <v>5190</v>
      </c>
      <c r="L166" s="20" t="n">
        <v>5288</v>
      </c>
      <c r="M166" s="20" t="n">
        <v>5284</v>
      </c>
      <c r="N166" s="20" t="n">
        <v>5291</v>
      </c>
      <c r="V166" s="20" t="n">
        <v>5558</v>
      </c>
      <c r="W166" s="20" t="n">
        <v>5428</v>
      </c>
      <c r="X166" s="20" t="n">
        <v>5284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AdhesiveAndBiomassMaterialsReportableSegmentMember · 외부 고객 매출</t>
        </is>
      </c>
      <c r="C168" s="20" t="n">
        <v>6170</v>
      </c>
      <c r="D168" s="20" t="n">
        <v>6450</v>
      </c>
      <c r="E168" s="20" t="n">
        <v>6292</v>
      </c>
      <c r="F168" s="20" t="n">
        <v>6560</v>
      </c>
      <c r="G168" s="20" t="n">
        <v>6670</v>
      </c>
      <c r="H168" s="20" t="n">
        <v>7342</v>
      </c>
      <c r="I168" s="20" t="n">
        <v>7228</v>
      </c>
      <c r="J168" s="20" t="n">
        <v>6907</v>
      </c>
      <c r="K168" s="20" t="n">
        <v>6983</v>
      </c>
      <c r="L168" s="20" t="n">
        <v>7175</v>
      </c>
      <c r="M168" s="20" t="n">
        <v>7370</v>
      </c>
      <c r="N168" s="20" t="n">
        <v>7804</v>
      </c>
      <c r="V168" s="20" t="n">
        <v>6292</v>
      </c>
      <c r="W168" s="20" t="n">
        <v>7228</v>
      </c>
      <c r="X168" s="20" t="n">
        <v>7370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FineChemicalsAndElectronicsReportableSegmentMember · 외부 고객 매출</t>
        </is>
      </c>
      <c r="C170" s="20" t="n">
        <v>2607</v>
      </c>
      <c r="D170" s="20" t="n">
        <v>2777</v>
      </c>
      <c r="E170" s="20" t="n">
        <v>2759</v>
      </c>
      <c r="F170" s="20" t="n">
        <v>3309</v>
      </c>
      <c r="G170" s="20" t="n">
        <v>3534</v>
      </c>
      <c r="H170" s="20" t="n">
        <v>3404</v>
      </c>
      <c r="I170" s="20" t="n">
        <v>3212</v>
      </c>
      <c r="J170" s="20" t="n">
        <v>3597</v>
      </c>
      <c r="K170" s="20" t="n">
        <v>3769</v>
      </c>
      <c r="L170" s="20" t="n">
        <v>3638</v>
      </c>
      <c r="M170" s="20" t="n">
        <v>3744</v>
      </c>
      <c r="N170" s="20" t="n">
        <v>4005</v>
      </c>
      <c r="V170" s="20" t="n">
        <v>2759</v>
      </c>
      <c r="W170" s="20" t="n">
        <v>3212</v>
      </c>
      <c r="X170" s="20" t="n">
        <v>3744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보고부문 합계 · 외부 고객 매출</t>
        </is>
      </c>
      <c r="C172" s="20" t="n">
        <v>17352</v>
      </c>
      <c r="D172" s="20" t="n">
        <v>19021</v>
      </c>
      <c r="E172" s="20" t="n">
        <v>18487</v>
      </c>
      <c r="F172" s="20" t="n">
        <v>19243</v>
      </c>
      <c r="G172" s="20" t="n">
        <v>20037</v>
      </c>
      <c r="H172" s="20" t="n">
        <v>20856</v>
      </c>
      <c r="I172" s="20" t="n">
        <v>20007</v>
      </c>
      <c r="J172" s="20" t="n">
        <v>19883</v>
      </c>
      <c r="K172" s="20" t="n">
        <v>20447</v>
      </c>
      <c r="L172" s="20" t="n">
        <v>20985</v>
      </c>
      <c r="M172" s="20" t="n">
        <v>20741</v>
      </c>
      <c r="N172" s="20" t="n">
        <v>22261</v>
      </c>
      <c r="V172" s="20" t="n">
        <v>18487</v>
      </c>
      <c r="W172" s="20" t="n">
        <v>20007</v>
      </c>
      <c r="X172" s="20" t="n">
        <v>20741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기타 · 외부 고객 매출</t>
        </is>
      </c>
      <c r="C174" s="20" t="n">
        <v>21</v>
      </c>
      <c r="D174" s="20" t="n">
        <v>20</v>
      </c>
      <c r="E174" s="20" t="n">
        <v>22</v>
      </c>
      <c r="F174" s="20" t="n">
        <v>18</v>
      </c>
      <c r="G174" s="20" t="n">
        <v>29</v>
      </c>
      <c r="H174" s="20" t="n">
        <v>22</v>
      </c>
      <c r="I174" s="20" t="n">
        <v>24</v>
      </c>
      <c r="J174" s="20" t="n">
        <v>15</v>
      </c>
      <c r="K174" s="20" t="n">
        <v>22</v>
      </c>
      <c r="L174" s="20" t="n">
        <v>20</v>
      </c>
      <c r="M174" s="20" t="n">
        <v>22</v>
      </c>
      <c r="N174" s="20" t="n">
        <v>20</v>
      </c>
      <c r="V174" s="20" t="n">
        <v>22</v>
      </c>
      <c r="W174" s="20" t="n">
        <v>24</v>
      </c>
      <c r="X174" s="20" t="n">
        <v>22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N175" s="15">
        <f>IF(OR(N174="",J174=""),"",IF(J174&lt;=0,"",IFERROR(N174/J174-1,"")))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  <c r="X175" s="15">
        <f>IF(OR(X174="",W174=""),"",IF(W174&lt;=0,"",IFERROR(X174/W174-1,"")))</f>
        <v/>
      </c>
    </row>
    <row r="176">
      <c r="A176" s="18" t="inlineStr">
        <is>
          <t>합계 · 외부 고객 매출</t>
        </is>
      </c>
      <c r="C176" s="20" t="n">
        <v>17374</v>
      </c>
      <c r="D176" s="20" t="n">
        <v>19041</v>
      </c>
      <c r="E176" s="20" t="n">
        <v>18509</v>
      </c>
      <c r="F176" s="20" t="n">
        <v>19261</v>
      </c>
      <c r="G176" s="20" t="n">
        <v>20066</v>
      </c>
      <c r="H176" s="20" t="n">
        <v>20878</v>
      </c>
      <c r="I176" s="20" t="n">
        <v>20031</v>
      </c>
      <c r="J176" s="20" t="n">
        <v>19899</v>
      </c>
      <c r="K176" s="20" t="n">
        <v>20468</v>
      </c>
      <c r="L176" s="20" t="n">
        <v>21006</v>
      </c>
      <c r="M176" s="20" t="n">
        <v>20762</v>
      </c>
      <c r="N176" s="20" t="n">
        <v>22282</v>
      </c>
      <c r="V176" s="20" t="n">
        <v>18509</v>
      </c>
      <c r="W176" s="20" t="n">
        <v>20031</v>
      </c>
      <c r="X176" s="20" t="n">
        <v>20762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FunctionalCoatingChemicalsReportableSegmentMember · 부문 간 내부매출·대체</t>
        </is>
      </c>
      <c r="C178" s="20" t="n">
        <v>0</v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</v>
      </c>
      <c r="K178" s="20" t="n">
        <v>0</v>
      </c>
      <c r="L178" s="20" t="n">
        <v>0</v>
      </c>
      <c r="M178" s="20" t="n">
        <v>0</v>
      </c>
      <c r="N178" s="20" t="n">
        <v>0</v>
      </c>
      <c r="V178" s="20" t="n">
        <v>0</v>
      </c>
      <c r="W178" s="20" t="n">
        <v>0</v>
      </c>
      <c r="X178" s="20" t="n">
        <v>0</v>
      </c>
    </row>
    <row r="179">
      <c r="A179" s="18" t="inlineStr">
        <is>
          <t>PaperChemicalsAndEnvironmentalBusinessReportableSegmentMember · 부문 간 내부매출·대체</t>
        </is>
      </c>
      <c r="C179" s="20" t="n">
        <v>0</v>
      </c>
      <c r="D179" s="20" t="n">
        <v>0</v>
      </c>
      <c r="E179" s="20" t="n">
        <v>0</v>
      </c>
      <c r="F179" s="20" t="n">
        <v>0</v>
      </c>
      <c r="G179" s="20" t="n">
        <v>0</v>
      </c>
      <c r="H179" s="20" t="n">
        <v>0</v>
      </c>
      <c r="I179" s="20" t="n">
        <v>0</v>
      </c>
      <c r="J179" s="20" t="n">
        <v>0</v>
      </c>
      <c r="K179" s="20" t="n">
        <v>0</v>
      </c>
      <c r="L179" s="20" t="n">
        <v>0</v>
      </c>
      <c r="M179" s="20" t="n">
        <v>0</v>
      </c>
      <c r="N179" s="20" t="n">
        <v>0</v>
      </c>
      <c r="V179" s="20" t="n">
        <v>0</v>
      </c>
      <c r="W179" s="20" t="n">
        <v>0</v>
      </c>
      <c r="X179" s="20" t="n">
        <v>0</v>
      </c>
    </row>
    <row r="180">
      <c r="A180" s="18" t="inlineStr">
        <is>
          <t>AdhesiveAndBiomassMaterialsReportableSegmentMember · 부문 간 내부매출·대체</t>
        </is>
      </c>
      <c r="C180" s="20" t="n">
        <v>0</v>
      </c>
      <c r="D180" s="20" t="n">
        <v>0</v>
      </c>
      <c r="E180" s="20" t="n">
        <v>0</v>
      </c>
      <c r="F180" s="20" t="n">
        <v>0</v>
      </c>
      <c r="G180" s="20" t="n">
        <v>0</v>
      </c>
      <c r="H180" s="20" t="n">
        <v>0</v>
      </c>
      <c r="I180" s="20" t="n">
        <v>0</v>
      </c>
      <c r="J180" s="20" t="n">
        <v>0</v>
      </c>
      <c r="K180" s="20" t="n">
        <v>0</v>
      </c>
      <c r="L180" s="20" t="n">
        <v>0</v>
      </c>
      <c r="M180" s="20" t="n">
        <v>0</v>
      </c>
      <c r="N180" s="20" t="n">
        <v>0</v>
      </c>
      <c r="V180" s="20" t="n">
        <v>0</v>
      </c>
      <c r="W180" s="20" t="n">
        <v>0</v>
      </c>
      <c r="X180" s="20" t="n">
        <v>0</v>
      </c>
    </row>
    <row r="181">
      <c r="A181" s="18" t="inlineStr">
        <is>
          <t>FineChemicalsAndElectronicsReportableSegmentMember · 부문 간 내부매출·대체</t>
        </is>
      </c>
      <c r="C181" s="20" t="n">
        <v>0</v>
      </c>
      <c r="D181" s="20" t="n">
        <v>0</v>
      </c>
      <c r="E181" s="20" t="n">
        <v>0</v>
      </c>
      <c r="F181" s="20" t="n">
        <v>0</v>
      </c>
      <c r="G181" s="20" t="n">
        <v>0</v>
      </c>
      <c r="H181" s="20" t="n">
        <v>0</v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0" t="n">
        <v>0</v>
      </c>
      <c r="V181" s="20" t="n">
        <v>0</v>
      </c>
      <c r="W181" s="20" t="n">
        <v>0</v>
      </c>
      <c r="X181" s="20" t="n">
        <v>0</v>
      </c>
    </row>
    <row r="182">
      <c r="A182" s="18" t="inlineStr">
        <is>
          <t>보고부문 합계 · 부문 간 내부매출·대체</t>
        </is>
      </c>
      <c r="C182" s="20" t="n">
        <v>0</v>
      </c>
      <c r="D182" s="20" t="n">
        <v>0</v>
      </c>
      <c r="E182" s="20" t="n">
        <v>0</v>
      </c>
      <c r="F182" s="20" t="n">
        <v>0</v>
      </c>
      <c r="G182" s="20" t="n">
        <v>0</v>
      </c>
      <c r="H182" s="20" t="n">
        <v>0</v>
      </c>
      <c r="I182" s="20" t="n">
        <v>0</v>
      </c>
      <c r="J182" s="20" t="n">
        <v>0</v>
      </c>
      <c r="K182" s="20" t="n">
        <v>0</v>
      </c>
      <c r="L182" s="20" t="n">
        <v>0</v>
      </c>
      <c r="M182" s="20" t="n">
        <v>0</v>
      </c>
      <c r="N182" s="20" t="n">
        <v>0</v>
      </c>
      <c r="V182" s="20" t="n">
        <v>0</v>
      </c>
      <c r="W182" s="20" t="n">
        <v>0</v>
      </c>
      <c r="X182" s="20" t="n">
        <v>0</v>
      </c>
    </row>
    <row r="183">
      <c r="A183" s="18" t="inlineStr">
        <is>
          <t>기타 · 부문 간 내부매출·대체</t>
        </is>
      </c>
      <c r="C183" s="20" t="n">
        <v>9</v>
      </c>
      <c r="D183" s="20" t="n">
        <v>10</v>
      </c>
      <c r="E183" s="20" t="n">
        <v>14</v>
      </c>
      <c r="F183" s="20" t="n">
        <v>7</v>
      </c>
      <c r="G183" s="20" t="n">
        <v>7</v>
      </c>
      <c r="H183" s="20" t="n">
        <v>14</v>
      </c>
      <c r="I183" s="20" t="n">
        <v>-1</v>
      </c>
      <c r="J183" s="20" t="n">
        <v>6</v>
      </c>
      <c r="K183" s="20" t="n">
        <v>15</v>
      </c>
      <c r="L183" s="20" t="n">
        <v>8</v>
      </c>
      <c r="M183" s="20" t="n">
        <v>-3</v>
      </c>
      <c r="N183" s="20" t="n">
        <v>6</v>
      </c>
      <c r="V183" s="20" t="n">
        <v>14</v>
      </c>
      <c r="W183" s="20" t="n">
        <v>-1</v>
      </c>
      <c r="X183" s="20" t="n">
        <v>-3</v>
      </c>
    </row>
    <row r="184">
      <c r="A184" s="18" t="inlineStr">
        <is>
          <t>합계 · 부문 간 내부매출·대체</t>
        </is>
      </c>
      <c r="C184" s="20" t="n">
        <v>9</v>
      </c>
      <c r="D184" s="20" t="n">
        <v>10</v>
      </c>
      <c r="E184" s="20" t="n">
        <v>14</v>
      </c>
      <c r="F184" s="20" t="n">
        <v>7</v>
      </c>
      <c r="G184" s="20" t="n">
        <v>7</v>
      </c>
      <c r="H184" s="20" t="n">
        <v>14</v>
      </c>
      <c r="I184" s="20" t="n">
        <v>-1</v>
      </c>
      <c r="J184" s="20" t="n">
        <v>6</v>
      </c>
      <c r="K184" s="20" t="n">
        <v>15</v>
      </c>
      <c r="L184" s="20" t="n">
        <v>8</v>
      </c>
      <c r="M184" s="20" t="n">
        <v>-3</v>
      </c>
      <c r="N184" s="20" t="n">
        <v>6</v>
      </c>
      <c r="V184" s="20" t="n">
        <v>14</v>
      </c>
      <c r="W184" s="20" t="n">
        <v>-1</v>
      </c>
      <c r="X184" s="20" t="n">
        <v>-3</v>
      </c>
    </row>
    <row r="185">
      <c r="A185" s="18" t="inlineStr">
        <is>
          <t>FunctionalCoatingChemicalsReportableSegmentMember · 계</t>
        </is>
      </c>
      <c r="C185" s="20" t="n">
        <v>3401</v>
      </c>
      <c r="D185" s="20" t="n">
        <v>4114</v>
      </c>
      <c r="E185" s="20" t="n">
        <v>3880</v>
      </c>
      <c r="F185" s="20" t="n">
        <v>4059</v>
      </c>
      <c r="G185" s="20" t="n">
        <v>4152</v>
      </c>
      <c r="H185" s="20" t="n">
        <v>4492</v>
      </c>
      <c r="I185" s="20" t="n">
        <v>4139</v>
      </c>
      <c r="J185" s="20" t="n">
        <v>4474</v>
      </c>
      <c r="K185" s="20" t="n">
        <v>4503</v>
      </c>
      <c r="L185" s="20" t="n">
        <v>4886</v>
      </c>
      <c r="M185" s="20" t="n">
        <v>4343</v>
      </c>
      <c r="N185" s="20" t="n">
        <v>5159</v>
      </c>
      <c r="V185" s="20" t="n">
        <v>3880</v>
      </c>
      <c r="W185" s="20" t="n">
        <v>4139</v>
      </c>
      <c r="X185" s="20" t="n">
        <v>4343</v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IF(OR(G185="",C185=""),"",IF(C185&lt;=0,"",IFERROR(G185/C185-1,"")))</f>
        <v/>
      </c>
      <c r="H186" s="15">
        <f>IF(OR(H185="",D185=""),"",IF(D185&lt;=0,"",IFERROR(H185/D185-1,"")))</f>
        <v/>
      </c>
      <c r="I186" s="15">
        <f>IF(OR(I185="",E185=""),"",IF(E185&lt;=0,"",IFERROR(I185/E185-1,"")))</f>
        <v/>
      </c>
      <c r="J186" s="15">
        <f>IF(OR(J185="",F185=""),"",IF(F185&lt;=0,"",IFERROR(J185/F185-1,"")))</f>
        <v/>
      </c>
      <c r="K186" s="15">
        <f>IF(OR(K185="",G185=""),"",IF(G185&lt;=0,"",IFERROR(K185/G185-1,"")))</f>
        <v/>
      </c>
      <c r="L186" s="15">
        <f>IF(OR(L185="",H185=""),"",IF(H185&lt;=0,"",IFERROR(L185/H185-1,"")))</f>
        <v/>
      </c>
      <c r="M186" s="15">
        <f>IF(OR(M185="",I185=""),"",IF(I185&lt;=0,"",IFERROR(M185/I185-1,"")))</f>
        <v/>
      </c>
      <c r="N186" s="15">
        <f>IF(OR(N185="",J185=""),"",IF(J185&lt;=0,"",IFERROR(N185/J185-1,"")))</f>
        <v/>
      </c>
      <c r="V186" s="15">
        <f>IF(OR(V185="",U185=""),"",IF(U185&lt;=0,"",IFERROR(V185/U185-1,"")))</f>
        <v/>
      </c>
      <c r="W186" s="15">
        <f>IF(OR(W185="",V185=""),"",IF(V185&lt;=0,"",IFERROR(W185/V185-1,"")))</f>
        <v/>
      </c>
      <c r="X186" s="15">
        <f>IF(OR(X185="",W185=""),"",IF(W185&lt;=0,"",IFERROR(X185/W185-1,"")))</f>
        <v/>
      </c>
    </row>
    <row r="187">
      <c r="A187" s="18" t="inlineStr">
        <is>
          <t>PaperChemicalsAndEnvironmentalBusinessReportableSegmentMember · 계</t>
        </is>
      </c>
      <c r="C187" s="20" t="n">
        <v>5175</v>
      </c>
      <c r="D187" s="20" t="n">
        <v>5679</v>
      </c>
      <c r="E187" s="20" t="n">
        <v>5558</v>
      </c>
      <c r="F187" s="20" t="n">
        <v>5314</v>
      </c>
      <c r="G187" s="20" t="n">
        <v>5679</v>
      </c>
      <c r="H187" s="20" t="n">
        <v>5620</v>
      </c>
      <c r="I187" s="20" t="n">
        <v>5428</v>
      </c>
      <c r="J187" s="20" t="n">
        <v>4904</v>
      </c>
      <c r="K187" s="20" t="n">
        <v>5190</v>
      </c>
      <c r="L187" s="20" t="n">
        <v>5288</v>
      </c>
      <c r="M187" s="20" t="n">
        <v>5284</v>
      </c>
      <c r="N187" s="20" t="n">
        <v>5291</v>
      </c>
      <c r="V187" s="20" t="n">
        <v>5558</v>
      </c>
      <c r="W187" s="20" t="n">
        <v>5428</v>
      </c>
      <c r="X187" s="20" t="n">
        <v>5284</v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IF(OR(G187="",C187=""),"",IF(C187&lt;=0,"",IFERROR(G187/C187-1,"")))</f>
        <v/>
      </c>
      <c r="H188" s="15">
        <f>IF(OR(H187="",D187=""),"",IF(D187&lt;=0,"",IFERROR(H187/D187-1,"")))</f>
        <v/>
      </c>
      <c r="I188" s="15">
        <f>IF(OR(I187="",E187=""),"",IF(E187&lt;=0,"",IFERROR(I187/E187-1,"")))</f>
        <v/>
      </c>
      <c r="J188" s="15">
        <f>IF(OR(J187="",F187=""),"",IF(F187&lt;=0,"",IFERROR(J187/F187-1,"")))</f>
        <v/>
      </c>
      <c r="K188" s="15">
        <f>IF(OR(K187="",G187=""),"",IF(G187&lt;=0,"",IFERROR(K187/G187-1,"")))</f>
        <v/>
      </c>
      <c r="L188" s="15">
        <f>IF(OR(L187="",H187=""),"",IF(H187&lt;=0,"",IFERROR(L187/H187-1,"")))</f>
        <v/>
      </c>
      <c r="M188" s="15">
        <f>IF(OR(M187="",I187=""),"",IF(I187&lt;=0,"",IFERROR(M187/I187-1,"")))</f>
        <v/>
      </c>
      <c r="N188" s="15">
        <f>IF(OR(N187="",J187=""),"",IF(J187&lt;=0,"",IFERROR(N187/J187-1,"")))</f>
        <v/>
      </c>
      <c r="V188" s="15">
        <f>IF(OR(V187="",U187=""),"",IF(U187&lt;=0,"",IFERROR(V187/U187-1,"")))</f>
        <v/>
      </c>
      <c r="W188" s="15">
        <f>IF(OR(W187="",V187=""),"",IF(V187&lt;=0,"",IFERROR(W187/V187-1,"")))</f>
        <v/>
      </c>
      <c r="X188" s="15">
        <f>IF(OR(X187="",W187=""),"",IF(W187&lt;=0,"",IFERROR(X187/W187-1,"")))</f>
        <v/>
      </c>
    </row>
    <row r="189">
      <c r="A189" s="18" t="inlineStr">
        <is>
          <t>AdhesiveAndBiomassMaterialsReportableSegmentMember · 계</t>
        </is>
      </c>
      <c r="C189" s="20" t="n">
        <v>6170</v>
      </c>
      <c r="D189" s="20" t="n">
        <v>6450</v>
      </c>
      <c r="E189" s="20" t="n">
        <v>6292</v>
      </c>
      <c r="F189" s="20" t="n">
        <v>6560</v>
      </c>
      <c r="G189" s="20" t="n">
        <v>6670</v>
      </c>
      <c r="H189" s="20" t="n">
        <v>7342</v>
      </c>
      <c r="I189" s="20" t="n">
        <v>7228</v>
      </c>
      <c r="J189" s="20" t="n">
        <v>6907</v>
      </c>
      <c r="K189" s="20" t="n">
        <v>6983</v>
      </c>
      <c r="L189" s="20" t="n">
        <v>7175</v>
      </c>
      <c r="M189" s="20" t="n">
        <v>7370</v>
      </c>
      <c r="N189" s="20" t="n">
        <v>7804</v>
      </c>
      <c r="V189" s="20" t="n">
        <v>6292</v>
      </c>
      <c r="W189" s="20" t="n">
        <v>7228</v>
      </c>
      <c r="X189" s="20" t="n">
        <v>7370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G190" s="15">
        <f>IF(OR(G189="",C189=""),"",IF(C189&lt;=0,"",IFERROR(G189/C189-1,"")))</f>
        <v/>
      </c>
      <c r="H190" s="15">
        <f>IF(OR(H189="",D189=""),"",IF(D189&lt;=0,"",IFERROR(H189/D189-1,"")))</f>
        <v/>
      </c>
      <c r="I190" s="15">
        <f>IF(OR(I189="",E189=""),"",IF(E189&lt;=0,"",IFERROR(I189/E189-1,"")))</f>
        <v/>
      </c>
      <c r="J190" s="15">
        <f>IF(OR(J189="",F189=""),"",IF(F189&lt;=0,"",IFERROR(J189/F189-1,"")))</f>
        <v/>
      </c>
      <c r="K190" s="15">
        <f>IF(OR(K189="",G189=""),"",IF(G189&lt;=0,"",IFERROR(K189/G189-1,"")))</f>
        <v/>
      </c>
      <c r="L190" s="15">
        <f>IF(OR(L189="",H189=""),"",IF(H189&lt;=0,"",IFERROR(L189/H189-1,"")))</f>
        <v/>
      </c>
      <c r="M190" s="15">
        <f>IF(OR(M189="",I189=""),"",IF(I189&lt;=0,"",IFERROR(M189/I189-1,"")))</f>
        <v/>
      </c>
      <c r="N190" s="15">
        <f>IF(OR(N189="",J189=""),"",IF(J189&lt;=0,"",IFERROR(N189/J189-1,"")))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  <c r="X190" s="15">
        <f>IF(OR(X189="",W189=""),"",IF(W189&lt;=0,"",IFERROR(X189/W189-1,"")))</f>
        <v/>
      </c>
    </row>
    <row r="191">
      <c r="A191" s="18" t="inlineStr">
        <is>
          <t>FineChemicalsAndElectronicsReportableSegmentMember · 계</t>
        </is>
      </c>
      <c r="C191" s="20" t="n">
        <v>2607</v>
      </c>
      <c r="D191" s="20" t="n">
        <v>2777</v>
      </c>
      <c r="E191" s="20" t="n">
        <v>2759</v>
      </c>
      <c r="F191" s="20" t="n">
        <v>3309</v>
      </c>
      <c r="G191" s="20" t="n">
        <v>3534</v>
      </c>
      <c r="H191" s="20" t="n">
        <v>3404</v>
      </c>
      <c r="I191" s="20" t="n">
        <v>3212</v>
      </c>
      <c r="J191" s="20" t="n">
        <v>3597</v>
      </c>
      <c r="K191" s="20" t="n">
        <v>3769</v>
      </c>
      <c r="L191" s="20" t="n">
        <v>3638</v>
      </c>
      <c r="M191" s="20" t="n">
        <v>3744</v>
      </c>
      <c r="N191" s="20" t="n">
        <v>4005</v>
      </c>
      <c r="V191" s="20" t="n">
        <v>2759</v>
      </c>
      <c r="W191" s="20" t="n">
        <v>3212</v>
      </c>
      <c r="X191" s="20" t="n">
        <v>3744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IF(OR(G191="",C191=""),"",IF(C191&lt;=0,"",IFERROR(G191/C191-1,"")))</f>
        <v/>
      </c>
      <c r="H192" s="15">
        <f>IF(OR(H191="",D191=""),"",IF(D191&lt;=0,"",IFERROR(H191/D191-1,"")))</f>
        <v/>
      </c>
      <c r="I192" s="15">
        <f>IF(OR(I191="",E191=""),"",IF(E191&lt;=0,"",IFERROR(I191/E191-1,"")))</f>
        <v/>
      </c>
      <c r="J192" s="15">
        <f>IF(OR(J191="",F191=""),"",IF(F191&lt;=0,"",IFERROR(J191/F191-1,"")))</f>
        <v/>
      </c>
      <c r="K192" s="15">
        <f>IF(OR(K191="",G191=""),"",IF(G191&lt;=0,"",IFERROR(K191/G191-1,"")))</f>
        <v/>
      </c>
      <c r="L192" s="15">
        <f>IF(OR(L191="",H191=""),"",IF(H191&lt;=0,"",IFERROR(L191/H191-1,"")))</f>
        <v/>
      </c>
      <c r="M192" s="15">
        <f>IF(OR(M191="",I191=""),"",IF(I191&lt;=0,"",IFERROR(M191/I191-1,"")))</f>
        <v/>
      </c>
      <c r="N192" s="15">
        <f>IF(OR(N191="",J191=""),"",IF(J191&lt;=0,"",IFERROR(N191/J191-1,"")))</f>
        <v/>
      </c>
      <c r="V192" s="15">
        <f>IF(OR(V191="",U191=""),"",IF(U191&lt;=0,"",IFERROR(V191/U191-1,"")))</f>
        <v/>
      </c>
      <c r="W192" s="15">
        <f>IF(OR(W191="",V191=""),"",IF(V191&lt;=0,"",IFERROR(W191/V191-1,"")))</f>
        <v/>
      </c>
      <c r="X192" s="15">
        <f>IF(OR(X191="",W191=""),"",IF(W191&lt;=0,"",IFERROR(X191/W191-1,"")))</f>
        <v/>
      </c>
    </row>
    <row r="193">
      <c r="A193" s="18" t="inlineStr">
        <is>
          <t>보고부문 합계 · 계</t>
        </is>
      </c>
      <c r="C193" s="20" t="n">
        <v>17352</v>
      </c>
      <c r="D193" s="20" t="n">
        <v>19021</v>
      </c>
      <c r="E193" s="20" t="n">
        <v>18487</v>
      </c>
      <c r="F193" s="20" t="n">
        <v>19243</v>
      </c>
      <c r="G193" s="20" t="n">
        <v>20037</v>
      </c>
      <c r="H193" s="20" t="n">
        <v>20856</v>
      </c>
      <c r="I193" s="20" t="n">
        <v>20007</v>
      </c>
      <c r="J193" s="20" t="n">
        <v>19883</v>
      </c>
      <c r="K193" s="20" t="n">
        <v>20447</v>
      </c>
      <c r="L193" s="20" t="n">
        <v>20985</v>
      </c>
      <c r="M193" s="20" t="n">
        <v>20741</v>
      </c>
      <c r="N193" s="20" t="n">
        <v>22261</v>
      </c>
      <c r="V193" s="20" t="n">
        <v>18487</v>
      </c>
      <c r="W193" s="20" t="n">
        <v>20007</v>
      </c>
      <c r="X193" s="20" t="n">
        <v>20741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IF(OR(G193="",C193=""),"",IF(C193&lt;=0,"",IFERROR(G193/C193-1,"")))</f>
        <v/>
      </c>
      <c r="H194" s="15">
        <f>IF(OR(H193="",D193=""),"",IF(D193&lt;=0,"",IFERROR(H193/D193-1,"")))</f>
        <v/>
      </c>
      <c r="I194" s="15">
        <f>IF(OR(I193="",E193=""),"",IF(E193&lt;=0,"",IFERROR(I193/E193-1,"")))</f>
        <v/>
      </c>
      <c r="J194" s="15">
        <f>IF(OR(J193="",F193=""),"",IF(F193&lt;=0,"",IFERROR(J193/F193-1,"")))</f>
        <v/>
      </c>
      <c r="K194" s="15">
        <f>IF(OR(K193="",G193=""),"",IF(G193&lt;=0,"",IFERROR(K193/G193-1,"")))</f>
        <v/>
      </c>
      <c r="L194" s="15">
        <f>IF(OR(L193="",H193=""),"",IF(H193&lt;=0,"",IFERROR(L193/H193-1,"")))</f>
        <v/>
      </c>
      <c r="M194" s="15">
        <f>IF(OR(M193="",I193=""),"",IF(I193&lt;=0,"",IFERROR(M193/I193-1,"")))</f>
        <v/>
      </c>
      <c r="N194" s="15">
        <f>IF(OR(N193="",J193=""),"",IF(J193&lt;=0,"",IFERROR(N193/J193-1,"")))</f>
        <v/>
      </c>
      <c r="V194" s="15">
        <f>IF(OR(V193="",U193=""),"",IF(U193&lt;=0,"",IFERROR(V193/U193-1,"")))</f>
        <v/>
      </c>
      <c r="W194" s="15">
        <f>IF(OR(W193="",V193=""),"",IF(V193&lt;=0,"",IFERROR(W193/V193-1,"")))</f>
        <v/>
      </c>
      <c r="X194" s="15">
        <f>IF(OR(X193="",W193=""),"",IF(W193&lt;=0,"",IFERROR(X193/W193-1,"")))</f>
        <v/>
      </c>
    </row>
    <row r="195">
      <c r="A195" s="18" t="inlineStr">
        <is>
          <t>기타 · 계</t>
        </is>
      </c>
      <c r="C195" s="20" t="n">
        <v>31</v>
      </c>
      <c r="D195" s="20" t="n">
        <v>29</v>
      </c>
      <c r="E195" s="20" t="n">
        <v>37</v>
      </c>
      <c r="F195" s="20" t="n">
        <v>25</v>
      </c>
      <c r="G195" s="20" t="n">
        <v>37</v>
      </c>
      <c r="H195" s="20" t="n">
        <v>35</v>
      </c>
      <c r="I195" s="20" t="n">
        <v>24</v>
      </c>
      <c r="J195" s="20" t="n">
        <v>22</v>
      </c>
      <c r="K195" s="20" t="n">
        <v>36</v>
      </c>
      <c r="L195" s="20" t="n">
        <v>29</v>
      </c>
      <c r="M195" s="20" t="n">
        <v>18</v>
      </c>
      <c r="N195" s="20" t="n">
        <v>26</v>
      </c>
      <c r="V195" s="20" t="n">
        <v>37</v>
      </c>
      <c r="W195" s="20" t="n">
        <v>24</v>
      </c>
      <c r="X195" s="20" t="n">
        <v>18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M196" s="15">
        <f>IF(OR(M195="",I195=""),"",IF(I195&lt;=0,"",IFERROR(M195/I195-1,"")))</f>
        <v/>
      </c>
      <c r="N196" s="15">
        <f>IF(OR(N195="",J195=""),"",IF(J195&lt;=0,"",IFERROR(N195/J195-1,"")))</f>
        <v/>
      </c>
      <c r="V196" s="15">
        <f>IF(OR(V195="",U195=""),"",IF(U195&lt;=0,"",IFERROR(V195/U195-1,"")))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합계 · 계</t>
        </is>
      </c>
      <c r="C197" s="20" t="n">
        <v>17382</v>
      </c>
      <c r="D197" s="20" t="n">
        <v>19051</v>
      </c>
      <c r="E197" s="20" t="n">
        <v>18523</v>
      </c>
      <c r="F197" s="20" t="n">
        <v>19269</v>
      </c>
      <c r="G197" s="20" t="n">
        <v>20073</v>
      </c>
      <c r="H197" s="20" t="n">
        <v>20892</v>
      </c>
      <c r="I197" s="20" t="n">
        <v>20030</v>
      </c>
      <c r="J197" s="20" t="n">
        <v>19906</v>
      </c>
      <c r="K197" s="20" t="n">
        <v>20483</v>
      </c>
      <c r="L197" s="20" t="n">
        <v>21014</v>
      </c>
      <c r="M197" s="20" t="n">
        <v>20759</v>
      </c>
      <c r="N197" s="20" t="n">
        <v>22288</v>
      </c>
      <c r="V197" s="20" t="n">
        <v>18523</v>
      </c>
      <c r="W197" s="20" t="n">
        <v>20030</v>
      </c>
      <c r="X197" s="20" t="n">
        <v>20759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IF(OR(G197="",C197=""),"",IF(C197&lt;=0,"",IFERROR(G197/C197-1,"")))</f>
        <v/>
      </c>
      <c r="H198" s="15">
        <f>IF(OR(H197="",D197=""),"",IF(D197&lt;=0,"",IFERROR(H197/D197-1,"")))</f>
        <v/>
      </c>
      <c r="I198" s="15">
        <f>IF(OR(I197="",E197=""),"",IF(E197&lt;=0,"",IFERROR(I197/E197-1,"")))</f>
        <v/>
      </c>
      <c r="J198" s="15">
        <f>IF(OR(J197="",F197=""),"",IF(F197&lt;=0,"",IFERROR(J197/F197-1,"")))</f>
        <v/>
      </c>
      <c r="K198" s="15">
        <f>IF(OR(K197="",G197=""),"",IF(G197&lt;=0,"",IFERROR(K197/G197-1,"")))</f>
        <v/>
      </c>
      <c r="L198" s="15">
        <f>IF(OR(L197="",H197=""),"",IF(H197&lt;=0,"",IFERROR(L197/H197-1,"")))</f>
        <v/>
      </c>
      <c r="M198" s="15">
        <f>IF(OR(M197="",I197=""),"",IF(I197&lt;=0,"",IFERROR(M197/I197-1,"")))</f>
        <v/>
      </c>
      <c r="N198" s="15">
        <f>IF(OR(N197="",J197=""),"",IF(J197&lt;=0,"",IFERROR(N197/J197-1,"")))</f>
        <v/>
      </c>
      <c r="V198" s="15">
        <f>IF(OR(V197="",U197=""),"",IF(U197&lt;=0,"",IFERROR(V197/U197-1,"")))</f>
        <v/>
      </c>
      <c r="W198" s="15">
        <f>IF(OR(W197="",V197=""),"",IF(V197&lt;=0,"",IFERROR(W197/V197-1,"")))</f>
        <v/>
      </c>
      <c r="X198" s="15">
        <f>IF(OR(X197="",W197=""),"",IF(W197&lt;=0,"",IFERROR(X197/W197-1,"")))</f>
        <v/>
      </c>
    </row>
    <row r="199">
      <c r="A199" s="18" t="inlineStr">
        <is>
          <t>FunctionalCoatingChemicalsReportableSegmentMember · 부문 이익(손실)</t>
        </is>
      </c>
      <c r="C199" s="20" t="n">
        <v>76</v>
      </c>
      <c r="D199" s="20" t="n">
        <v>216</v>
      </c>
      <c r="E199" s="20" t="n">
        <v>195</v>
      </c>
      <c r="F199" s="20" t="n">
        <v>429</v>
      </c>
      <c r="G199" s="20" t="n">
        <v>170</v>
      </c>
      <c r="H199" s="20" t="n">
        <v>383</v>
      </c>
      <c r="I199" s="20" t="n">
        <v>237</v>
      </c>
      <c r="J199" s="20" t="n">
        <v>561</v>
      </c>
      <c r="K199" s="20" t="n">
        <v>447</v>
      </c>
      <c r="L199" s="20" t="n">
        <v>671</v>
      </c>
      <c r="M199" s="20" t="n">
        <v>524</v>
      </c>
      <c r="N199" s="20" t="n">
        <v>1017</v>
      </c>
      <c r="V199" s="20" t="n">
        <v>195</v>
      </c>
      <c r="W199" s="20" t="n">
        <v>237</v>
      </c>
      <c r="X199" s="20" t="n">
        <v>524</v>
      </c>
    </row>
    <row r="200">
      <c r="A200" s="43" t="inlineStr">
        <is>
          <t>OPM</t>
        </is>
      </c>
      <c r="B200" s="3" t="inlineStr">
        <is>
          <t>영업이익 ÷ 매출</t>
        </is>
      </c>
      <c r="C200" s="15">
        <f>IF(OR(C199="",C185=""),"",IF(C185&lt;=0,"",IFERROR(C199/C185,"")))</f>
        <v/>
      </c>
      <c r="D200" s="15">
        <f>IF(OR(D199="",D185=""),"",IF(D185&lt;=0,"",IFERROR(D199/D185,"")))</f>
        <v/>
      </c>
      <c r="E200" s="15">
        <f>IF(OR(E199="",E185=""),"",IF(E185&lt;=0,"",IFERROR(E199/E185,"")))</f>
        <v/>
      </c>
      <c r="F200" s="15">
        <f>IF(OR(F199="",F185=""),"",IF(F185&lt;=0,"",IFERROR(F199/F185,"")))</f>
        <v/>
      </c>
      <c r="G200" s="15">
        <f>IF(OR(G199="",G185=""),"",IF(G185&lt;=0,"",IFERROR(G199/G185,"")))</f>
        <v/>
      </c>
      <c r="H200" s="15">
        <f>IF(OR(H199="",H185=""),"",IF(H185&lt;=0,"",IFERROR(H199/H185,"")))</f>
        <v/>
      </c>
      <c r="I200" s="15">
        <f>IF(OR(I199="",I185=""),"",IF(I185&lt;=0,"",IFERROR(I199/I185,"")))</f>
        <v/>
      </c>
      <c r="J200" s="15">
        <f>IF(OR(J199="",J185=""),"",IF(J185&lt;=0,"",IFERROR(J199/J185,"")))</f>
        <v/>
      </c>
      <c r="K200" s="15">
        <f>IF(OR(K199="",K185=""),"",IF(K185&lt;=0,"",IFERROR(K199/K185,"")))</f>
        <v/>
      </c>
      <c r="L200" s="15">
        <f>IF(OR(L199="",L185=""),"",IF(L185&lt;=0,"",IFERROR(L199/L185,"")))</f>
        <v/>
      </c>
      <c r="M200" s="15">
        <f>IF(OR(M199="",M185=""),"",IF(M185&lt;=0,"",IFERROR(M199/M185,"")))</f>
        <v/>
      </c>
      <c r="N200" s="15">
        <f>IF(OR(N199="",N185=""),"",IF(N185&lt;=0,"",IFERROR(N199/N185,"")))</f>
        <v/>
      </c>
      <c r="V200" s="15">
        <f>IF(OR(V199="",V185=""),"",IF(V185&lt;=0,"",IFERROR(V199/V185,"")))</f>
        <v/>
      </c>
      <c r="W200" s="15">
        <f>IF(OR(W199="",W185=""),"",IF(W185&lt;=0,"",IFERROR(W199/W185,"")))</f>
        <v/>
      </c>
      <c r="X200" s="15">
        <f>IF(OR(X199="",X185=""),"",IF(X185&lt;=0,"",IFERROR(X199/X185,"")))</f>
        <v/>
      </c>
    </row>
    <row r="201">
      <c r="A201" s="43" t="inlineStr">
        <is>
          <t>YoY</t>
        </is>
      </c>
      <c r="B201" s="3" t="inlineStr">
        <is>
          <t>전년 같은 분기·전년 대비</t>
        </is>
      </c>
      <c r="G201" s="15">
        <f>IF(OR(G199="",C199=""),"",IF(C199&lt;=0,"",IFERROR(G199/C199-1,"")))</f>
        <v/>
      </c>
      <c r="H201" s="15">
        <f>IF(OR(H199="",D199=""),"",IF(D199&lt;=0,"",IFERROR(H199/D199-1,"")))</f>
        <v/>
      </c>
      <c r="I201" s="15">
        <f>IF(OR(I199="",E199=""),"",IF(E199&lt;=0,"",IFERROR(I199/E199-1,"")))</f>
        <v/>
      </c>
      <c r="J201" s="15">
        <f>IF(OR(J199="",F199=""),"",IF(F199&lt;=0,"",IFERROR(J199/F199-1,"")))</f>
        <v/>
      </c>
      <c r="K201" s="15">
        <f>IF(OR(K199="",G199=""),"",IF(G199&lt;=0,"",IFERROR(K199/G199-1,"")))</f>
        <v/>
      </c>
      <c r="L201" s="15">
        <f>IF(OR(L199="",H199=""),"",IF(H199&lt;=0,"",IFERROR(L199/H199-1,"")))</f>
        <v/>
      </c>
      <c r="M201" s="15">
        <f>IF(OR(M199="",I199=""),"",IF(I199&lt;=0,"",IFERROR(M199/I199-1,"")))</f>
        <v/>
      </c>
      <c r="N201" s="15">
        <f>IF(OR(N199="",J199=""),"",IF(J199&lt;=0,"",IFERROR(N199/J199-1,"")))</f>
        <v/>
      </c>
      <c r="V201" s="15">
        <f>IF(OR(V199="",U199=""),"",IF(U199&lt;=0,"",IFERROR(V199/U199-1,"")))</f>
        <v/>
      </c>
      <c r="W201" s="15">
        <f>IF(OR(W199="",V199=""),"",IF(V199&lt;=0,"",IFERROR(W199/V199-1,"")))</f>
        <v/>
      </c>
      <c r="X201" s="15">
        <f>IF(OR(X199="",W199=""),"",IF(W199&lt;=0,"",IFERROR(X199/W199-1,"")))</f>
        <v/>
      </c>
    </row>
    <row r="202">
      <c r="A202" s="18" t="inlineStr">
        <is>
          <t>PaperChemicalsAndEnvironmentalBusinessReportableSegmentMember · 부문 이익(손실)</t>
        </is>
      </c>
      <c r="C202" s="20" t="n">
        <v>241</v>
      </c>
      <c r="D202" s="20" t="n">
        <v>578</v>
      </c>
      <c r="E202" s="20" t="n">
        <v>431</v>
      </c>
      <c r="F202" s="20" t="n">
        <v>583</v>
      </c>
      <c r="G202" s="20" t="n">
        <v>428</v>
      </c>
      <c r="H202" s="20" t="n">
        <v>455</v>
      </c>
      <c r="I202" s="20" t="n">
        <v>383</v>
      </c>
      <c r="J202" s="20" t="n">
        <v>314</v>
      </c>
      <c r="K202" s="20" t="n">
        <v>220</v>
      </c>
      <c r="L202" s="20" t="n">
        <v>530</v>
      </c>
      <c r="M202" s="20" t="n">
        <v>317</v>
      </c>
      <c r="N202" s="20" t="n">
        <v>520</v>
      </c>
      <c r="V202" s="20" t="n">
        <v>431</v>
      </c>
      <c r="W202" s="20" t="n">
        <v>383</v>
      </c>
      <c r="X202" s="20" t="n">
        <v>317</v>
      </c>
    </row>
    <row r="203">
      <c r="A203" s="43" t="inlineStr">
        <is>
          <t>OPM</t>
        </is>
      </c>
      <c r="B203" s="3" t="inlineStr">
        <is>
          <t>영업이익 ÷ 매출</t>
        </is>
      </c>
      <c r="C203" s="15">
        <f>IF(OR(C202="",C187=""),"",IF(C187&lt;=0,"",IFERROR(C202/C187,"")))</f>
        <v/>
      </c>
      <c r="D203" s="15">
        <f>IF(OR(D202="",D187=""),"",IF(D187&lt;=0,"",IFERROR(D202/D187,"")))</f>
        <v/>
      </c>
      <c r="E203" s="15">
        <f>IF(OR(E202="",E187=""),"",IF(E187&lt;=0,"",IFERROR(E202/E187,"")))</f>
        <v/>
      </c>
      <c r="F203" s="15">
        <f>IF(OR(F202="",F187=""),"",IF(F187&lt;=0,"",IFERROR(F202/F187,"")))</f>
        <v/>
      </c>
      <c r="G203" s="15">
        <f>IF(OR(G202="",G187=""),"",IF(G187&lt;=0,"",IFERROR(G202/G187,"")))</f>
        <v/>
      </c>
      <c r="H203" s="15">
        <f>IF(OR(H202="",H187=""),"",IF(H187&lt;=0,"",IFERROR(H202/H187,"")))</f>
        <v/>
      </c>
      <c r="I203" s="15">
        <f>IF(OR(I202="",I187=""),"",IF(I187&lt;=0,"",IFERROR(I202/I187,"")))</f>
        <v/>
      </c>
      <c r="J203" s="15">
        <f>IF(OR(J202="",J187=""),"",IF(J187&lt;=0,"",IFERROR(J202/J187,"")))</f>
        <v/>
      </c>
      <c r="K203" s="15">
        <f>IF(OR(K202="",K187=""),"",IF(K187&lt;=0,"",IFERROR(K202/K187,"")))</f>
        <v/>
      </c>
      <c r="L203" s="15">
        <f>IF(OR(L202="",L187=""),"",IF(L187&lt;=0,"",IFERROR(L202/L187,"")))</f>
        <v/>
      </c>
      <c r="M203" s="15">
        <f>IF(OR(M202="",M187=""),"",IF(M187&lt;=0,"",IFERROR(M202/M187,"")))</f>
        <v/>
      </c>
      <c r="N203" s="15">
        <f>IF(OR(N202="",N187=""),"",IF(N187&lt;=0,"",IFERROR(N202/N187,"")))</f>
        <v/>
      </c>
      <c r="V203" s="15">
        <f>IF(OR(V202="",V187=""),"",IF(V187&lt;=0,"",IFERROR(V202/V187,"")))</f>
        <v/>
      </c>
      <c r="W203" s="15">
        <f>IF(OR(W202="",W187=""),"",IF(W187&lt;=0,"",IFERROR(W202/W187,"")))</f>
        <v/>
      </c>
      <c r="X203" s="15">
        <f>IF(OR(X202="",X187=""),"",IF(X187&lt;=0,"",IFERROR(X202/X187,"")))</f>
        <v/>
      </c>
    </row>
    <row r="204">
      <c r="A204" s="43" t="inlineStr">
        <is>
          <t>YoY</t>
        </is>
      </c>
      <c r="B204" s="3" t="inlineStr">
        <is>
          <t>전년 같은 분기·전년 대비</t>
        </is>
      </c>
      <c r="G204" s="15">
        <f>IF(OR(G202="",C202=""),"",IF(C202&lt;=0,"",IFERROR(G202/C202-1,"")))</f>
        <v/>
      </c>
      <c r="H204" s="15">
        <f>IF(OR(H202="",D202=""),"",IF(D202&lt;=0,"",IFERROR(H202/D202-1,"")))</f>
        <v/>
      </c>
      <c r="I204" s="15">
        <f>IF(OR(I202="",E202=""),"",IF(E202&lt;=0,"",IFERROR(I202/E202-1,"")))</f>
        <v/>
      </c>
      <c r="J204" s="15">
        <f>IF(OR(J202="",F202=""),"",IF(F202&lt;=0,"",IFERROR(J202/F202-1,"")))</f>
        <v/>
      </c>
      <c r="K204" s="15">
        <f>IF(OR(K202="",G202=""),"",IF(G202&lt;=0,"",IFERROR(K202/G202-1,"")))</f>
        <v/>
      </c>
      <c r="L204" s="15">
        <f>IF(OR(L202="",H202=""),"",IF(H202&lt;=0,"",IFERROR(L202/H202-1,"")))</f>
        <v/>
      </c>
      <c r="M204" s="15">
        <f>IF(OR(M202="",I202=""),"",IF(I202&lt;=0,"",IFERROR(M202/I202-1,"")))</f>
        <v/>
      </c>
      <c r="N204" s="15">
        <f>IF(OR(N202="",J202=""),"",IF(J202&lt;=0,"",IFERROR(N202/J202-1,"")))</f>
        <v/>
      </c>
      <c r="V204" s="15">
        <f>IF(OR(V202="",U202=""),"",IF(U202&lt;=0,"",IFERROR(V202/U202-1,"")))</f>
        <v/>
      </c>
      <c r="W204" s="15">
        <f>IF(OR(W202="",V202=""),"",IF(V202&lt;=0,"",IFERROR(W202/V202-1,"")))</f>
        <v/>
      </c>
      <c r="X204" s="15">
        <f>IF(OR(X202="",W202=""),"",IF(W202&lt;=0,"",IFERROR(X202/W202-1,"")))</f>
        <v/>
      </c>
    </row>
    <row r="205">
      <c r="A205" s="18" t="inlineStr">
        <is>
          <t>AdhesiveAndBiomassMaterialsReportableSegmentMember · 부문 이익(손실)</t>
        </is>
      </c>
      <c r="C205" s="20" t="n">
        <v>-858</v>
      </c>
      <c r="D205" s="20" t="n">
        <v>-994</v>
      </c>
      <c r="E205" s="20" t="n">
        <v>-1252</v>
      </c>
      <c r="F205" s="20" t="n">
        <v>-493</v>
      </c>
      <c r="G205" s="20" t="n">
        <v>-799</v>
      </c>
      <c r="H205" s="20" t="n">
        <v>-383</v>
      </c>
      <c r="I205" s="20" t="n">
        <v>-566</v>
      </c>
      <c r="J205" s="20" t="n">
        <v>-274</v>
      </c>
      <c r="K205" s="20" t="n">
        <v>-329</v>
      </c>
      <c r="L205" s="20" t="n">
        <v>-438</v>
      </c>
      <c r="M205" s="20" t="n">
        <v>-359</v>
      </c>
      <c r="N205" s="20" t="n">
        <v>-263</v>
      </c>
      <c r="V205" s="20" t="n">
        <v>-1252</v>
      </c>
      <c r="W205" s="20" t="n">
        <v>-566</v>
      </c>
      <c r="X205" s="20" t="n">
        <v>-359</v>
      </c>
    </row>
    <row r="206">
      <c r="A206" s="43" t="inlineStr">
        <is>
          <t>OPM</t>
        </is>
      </c>
      <c r="B206" s="3" t="inlineStr">
        <is>
          <t>영업이익 ÷ 매출</t>
        </is>
      </c>
      <c r="C206" s="15">
        <f>IF(OR(C205="",C189=""),"",IF(C189&lt;=0,"",IFERROR(C205/C189,"")))</f>
        <v/>
      </c>
      <c r="D206" s="15">
        <f>IF(OR(D205="",D189=""),"",IF(D189&lt;=0,"",IFERROR(D205/D189,"")))</f>
        <v/>
      </c>
      <c r="E206" s="15">
        <f>IF(OR(E205="",E189=""),"",IF(E189&lt;=0,"",IFERROR(E205/E189,"")))</f>
        <v/>
      </c>
      <c r="F206" s="15">
        <f>IF(OR(F205="",F189=""),"",IF(F189&lt;=0,"",IFERROR(F205/F189,"")))</f>
        <v/>
      </c>
      <c r="G206" s="15">
        <f>IF(OR(G205="",G189=""),"",IF(G189&lt;=0,"",IFERROR(G205/G189,"")))</f>
        <v/>
      </c>
      <c r="H206" s="15">
        <f>IF(OR(H205="",H189=""),"",IF(H189&lt;=0,"",IFERROR(H205/H189,"")))</f>
        <v/>
      </c>
      <c r="I206" s="15">
        <f>IF(OR(I205="",I189=""),"",IF(I189&lt;=0,"",IFERROR(I205/I189,"")))</f>
        <v/>
      </c>
      <c r="J206" s="15">
        <f>IF(OR(J205="",J189=""),"",IF(J189&lt;=0,"",IFERROR(J205/J189,"")))</f>
        <v/>
      </c>
      <c r="K206" s="15">
        <f>IF(OR(K205="",K189=""),"",IF(K189&lt;=0,"",IFERROR(K205/K189,"")))</f>
        <v/>
      </c>
      <c r="L206" s="15">
        <f>IF(OR(L205="",L189=""),"",IF(L189&lt;=0,"",IFERROR(L205/L189,"")))</f>
        <v/>
      </c>
      <c r="M206" s="15">
        <f>IF(OR(M205="",M189=""),"",IF(M189&lt;=0,"",IFERROR(M205/M189,"")))</f>
        <v/>
      </c>
      <c r="N206" s="15">
        <f>IF(OR(N205="",N189=""),"",IF(N189&lt;=0,"",IFERROR(N205/N189,"")))</f>
        <v/>
      </c>
      <c r="V206" s="15">
        <f>IF(OR(V205="",V189=""),"",IF(V189&lt;=0,"",IFERROR(V205/V189,"")))</f>
        <v/>
      </c>
      <c r="W206" s="15">
        <f>IF(OR(W205="",W189=""),"",IF(W189&lt;=0,"",IFERROR(W205/W189,"")))</f>
        <v/>
      </c>
      <c r="X206" s="15">
        <f>IF(OR(X205="",X189=""),"",IF(X189&lt;=0,"",IFERROR(X205/X189,"")))</f>
        <v/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G207" s="15">
        <f>IF(OR(G205="",C205=""),"",IF(C205&lt;=0,"",IFERROR(G205/C205-1,"")))</f>
        <v/>
      </c>
      <c r="H207" s="15">
        <f>IF(OR(H205="",D205=""),"",IF(D205&lt;=0,"",IFERROR(H205/D205-1,"")))</f>
        <v/>
      </c>
      <c r="I207" s="15">
        <f>IF(OR(I205="",E205=""),"",IF(E205&lt;=0,"",IFERROR(I205/E205-1,"")))</f>
        <v/>
      </c>
      <c r="J207" s="15">
        <f>IF(OR(J205="",F205=""),"",IF(F205&lt;=0,"",IFERROR(J205/F205-1,"")))</f>
        <v/>
      </c>
      <c r="K207" s="15">
        <f>IF(OR(K205="",G205=""),"",IF(G205&lt;=0,"",IFERROR(K205/G205-1,"")))</f>
        <v/>
      </c>
      <c r="L207" s="15">
        <f>IF(OR(L205="",H205=""),"",IF(H205&lt;=0,"",IFERROR(L205/H205-1,"")))</f>
        <v/>
      </c>
      <c r="M207" s="15">
        <f>IF(OR(M205="",I205=""),"",IF(I205&lt;=0,"",IFERROR(M205/I205-1,"")))</f>
        <v/>
      </c>
      <c r="N207" s="15">
        <f>IF(OR(N205="",J205=""),"",IF(J205&lt;=0,"",IFERROR(N205/J205-1,"")))</f>
        <v/>
      </c>
      <c r="V207" s="15">
        <f>IF(OR(V205="",U205=""),"",IF(U205&lt;=0,"",IFERROR(V205/U205-1,"")))</f>
        <v/>
      </c>
      <c r="W207" s="15">
        <f>IF(OR(W205="",V205=""),"",IF(V205&lt;=0,"",IFERROR(W205/V205-1,"")))</f>
        <v/>
      </c>
      <c r="X207" s="15">
        <f>IF(OR(X205="",W205=""),"",IF(W205&lt;=0,"",IFERROR(X205/W205-1,"")))</f>
        <v/>
      </c>
    </row>
    <row r="208">
      <c r="A208" s="18" t="inlineStr">
        <is>
          <t>FineChemicalsAndElectronicsReportableSegmentMember · 부문 이익(손실)</t>
        </is>
      </c>
      <c r="C208" s="20" t="n">
        <v>-221</v>
      </c>
      <c r="D208" s="20" t="n">
        <v>113</v>
      </c>
      <c r="E208" s="20" t="n">
        <v>-187</v>
      </c>
      <c r="F208" s="20" t="n">
        <v>270</v>
      </c>
      <c r="G208" s="20" t="n">
        <v>97</v>
      </c>
      <c r="H208" s="20" t="n">
        <v>368</v>
      </c>
      <c r="I208" s="20" t="n">
        <v>112</v>
      </c>
      <c r="J208" s="20" t="n">
        <v>184</v>
      </c>
      <c r="K208" s="20" t="n">
        <v>90</v>
      </c>
      <c r="L208" s="20" t="n">
        <v>323</v>
      </c>
      <c r="M208" s="20" t="n">
        <v>298</v>
      </c>
      <c r="N208" s="20" t="n">
        <v>413</v>
      </c>
      <c r="V208" s="20" t="n">
        <v>-187</v>
      </c>
      <c r="W208" s="20" t="n">
        <v>112</v>
      </c>
      <c r="X208" s="20" t="n">
        <v>298</v>
      </c>
    </row>
    <row r="209">
      <c r="A209" s="43" t="inlineStr">
        <is>
          <t>OPM</t>
        </is>
      </c>
      <c r="B209" s="3" t="inlineStr">
        <is>
          <t>영업이익 ÷ 매출</t>
        </is>
      </c>
      <c r="C209" s="15">
        <f>IF(OR(C208="",C191=""),"",IF(C191&lt;=0,"",IFERROR(C208/C191,"")))</f>
        <v/>
      </c>
      <c r="D209" s="15">
        <f>IF(OR(D208="",D191=""),"",IF(D191&lt;=0,"",IFERROR(D208/D191,"")))</f>
        <v/>
      </c>
      <c r="E209" s="15">
        <f>IF(OR(E208="",E191=""),"",IF(E191&lt;=0,"",IFERROR(E208/E191,"")))</f>
        <v/>
      </c>
      <c r="F209" s="15">
        <f>IF(OR(F208="",F191=""),"",IF(F191&lt;=0,"",IFERROR(F208/F191,"")))</f>
        <v/>
      </c>
      <c r="G209" s="15">
        <f>IF(OR(G208="",G191=""),"",IF(G191&lt;=0,"",IFERROR(G208/G191,"")))</f>
        <v/>
      </c>
      <c r="H209" s="15">
        <f>IF(OR(H208="",H191=""),"",IF(H191&lt;=0,"",IFERROR(H208/H191,"")))</f>
        <v/>
      </c>
      <c r="I209" s="15">
        <f>IF(OR(I208="",I191=""),"",IF(I191&lt;=0,"",IFERROR(I208/I191,"")))</f>
        <v/>
      </c>
      <c r="J209" s="15">
        <f>IF(OR(J208="",J191=""),"",IF(J191&lt;=0,"",IFERROR(J208/J191,"")))</f>
        <v/>
      </c>
      <c r="K209" s="15">
        <f>IF(OR(K208="",K191=""),"",IF(K191&lt;=0,"",IFERROR(K208/K191,"")))</f>
        <v/>
      </c>
      <c r="L209" s="15">
        <f>IF(OR(L208="",L191=""),"",IF(L191&lt;=0,"",IFERROR(L208/L191,"")))</f>
        <v/>
      </c>
      <c r="M209" s="15">
        <f>IF(OR(M208="",M191=""),"",IF(M191&lt;=0,"",IFERROR(M208/M191,"")))</f>
        <v/>
      </c>
      <c r="N209" s="15">
        <f>IF(OR(N208="",N191=""),"",IF(N191&lt;=0,"",IFERROR(N208/N191,"")))</f>
        <v/>
      </c>
      <c r="V209" s="15">
        <f>IF(OR(V208="",V191=""),"",IF(V191&lt;=0,"",IFERROR(V208/V191,"")))</f>
        <v/>
      </c>
      <c r="W209" s="15">
        <f>IF(OR(W208="",W191=""),"",IF(W191&lt;=0,"",IFERROR(W208/W191,"")))</f>
        <v/>
      </c>
      <c r="X209" s="15">
        <f>IF(OR(X208="",X191=""),"",IF(X191&lt;=0,"",IFERROR(X208/X191,"")))</f>
        <v/>
      </c>
    </row>
    <row r="210">
      <c r="A210" s="43" t="inlineStr">
        <is>
          <t>YoY</t>
        </is>
      </c>
      <c r="B210" s="3" t="inlineStr">
        <is>
          <t>전년 같은 분기·전년 대비</t>
        </is>
      </c>
      <c r="G210" s="15">
        <f>IF(OR(G208="",C208=""),"",IF(C208&lt;=0,"",IFERROR(G208/C208-1,"")))</f>
        <v/>
      </c>
      <c r="H210" s="15">
        <f>IF(OR(H208="",D208=""),"",IF(D208&lt;=0,"",IFERROR(H208/D208-1,"")))</f>
        <v/>
      </c>
      <c r="I210" s="15">
        <f>IF(OR(I208="",E208=""),"",IF(E208&lt;=0,"",IFERROR(I208/E208-1,"")))</f>
        <v/>
      </c>
      <c r="J210" s="15">
        <f>IF(OR(J208="",F208=""),"",IF(F208&lt;=0,"",IFERROR(J208/F208-1,"")))</f>
        <v/>
      </c>
      <c r="K210" s="15">
        <f>IF(OR(K208="",G208=""),"",IF(G208&lt;=0,"",IFERROR(K208/G208-1,"")))</f>
        <v/>
      </c>
      <c r="L210" s="15">
        <f>IF(OR(L208="",H208=""),"",IF(H208&lt;=0,"",IFERROR(L208/H208-1,"")))</f>
        <v/>
      </c>
      <c r="M210" s="15">
        <f>IF(OR(M208="",I208=""),"",IF(I208&lt;=0,"",IFERROR(M208/I208-1,"")))</f>
        <v/>
      </c>
      <c r="N210" s="15">
        <f>IF(OR(N208="",J208=""),"",IF(J208&lt;=0,"",IFERROR(N208/J208-1,"")))</f>
        <v/>
      </c>
      <c r="V210" s="15">
        <f>IF(OR(V208="",U208=""),"",IF(U208&lt;=0,"",IFERROR(V208/U208-1,"")))</f>
        <v/>
      </c>
      <c r="W210" s="15">
        <f>IF(OR(W208="",V208=""),"",IF(V208&lt;=0,"",IFERROR(W208/V208-1,"")))</f>
        <v/>
      </c>
      <c r="X210" s="15">
        <f>IF(OR(X208="",W208=""),"",IF(W208&lt;=0,"",IFERROR(X208/W208-1,"")))</f>
        <v/>
      </c>
    </row>
    <row r="211">
      <c r="A211" s="18" t="inlineStr">
        <is>
          <t>보고부문 합계 · 부문 이익(손실)</t>
        </is>
      </c>
      <c r="C211" s="20" t="n">
        <v>-762</v>
      </c>
      <c r="D211" s="20" t="n">
        <v>-87</v>
      </c>
      <c r="E211" s="20" t="n">
        <v>-812</v>
      </c>
      <c r="F211" s="20" t="n">
        <v>790</v>
      </c>
      <c r="G211" s="20" t="n">
        <v>-105</v>
      </c>
      <c r="H211" s="20" t="n">
        <v>824</v>
      </c>
      <c r="I211" s="20" t="n">
        <v>166</v>
      </c>
      <c r="J211" s="20" t="n">
        <v>784</v>
      </c>
      <c r="K211" s="20" t="n">
        <v>429</v>
      </c>
      <c r="L211" s="20" t="n">
        <v>1087</v>
      </c>
      <c r="M211" s="20" t="n">
        <v>781</v>
      </c>
      <c r="N211" s="20" t="n">
        <v>1687</v>
      </c>
      <c r="V211" s="20" t="n">
        <v>-812</v>
      </c>
      <c r="W211" s="20" t="n">
        <v>166</v>
      </c>
      <c r="X211" s="20" t="n">
        <v>781</v>
      </c>
    </row>
    <row r="212">
      <c r="A212" s="43" t="inlineStr">
        <is>
          <t>OPM</t>
        </is>
      </c>
      <c r="B212" s="3" t="inlineStr">
        <is>
          <t>영업이익 ÷ 매출</t>
        </is>
      </c>
      <c r="C212" s="15">
        <f>IF(OR(C211="",C193=""),"",IF(C193&lt;=0,"",IFERROR(C211/C193,"")))</f>
        <v/>
      </c>
      <c r="D212" s="15">
        <f>IF(OR(D211="",D193=""),"",IF(D193&lt;=0,"",IFERROR(D211/D193,"")))</f>
        <v/>
      </c>
      <c r="E212" s="15">
        <f>IF(OR(E211="",E193=""),"",IF(E193&lt;=0,"",IFERROR(E211/E193,"")))</f>
        <v/>
      </c>
      <c r="F212" s="15">
        <f>IF(OR(F211="",F193=""),"",IF(F193&lt;=0,"",IFERROR(F211/F193,"")))</f>
        <v/>
      </c>
      <c r="G212" s="15">
        <f>IF(OR(G211="",G193=""),"",IF(G193&lt;=0,"",IFERROR(G211/G193,"")))</f>
        <v/>
      </c>
      <c r="H212" s="15">
        <f>IF(OR(H211="",H193=""),"",IF(H193&lt;=0,"",IFERROR(H211/H193,"")))</f>
        <v/>
      </c>
      <c r="I212" s="15">
        <f>IF(OR(I211="",I193=""),"",IF(I193&lt;=0,"",IFERROR(I211/I193,"")))</f>
        <v/>
      </c>
      <c r="J212" s="15">
        <f>IF(OR(J211="",J193=""),"",IF(J193&lt;=0,"",IFERROR(J211/J193,"")))</f>
        <v/>
      </c>
      <c r="K212" s="15">
        <f>IF(OR(K211="",K193=""),"",IF(K193&lt;=0,"",IFERROR(K211/K193,"")))</f>
        <v/>
      </c>
      <c r="L212" s="15">
        <f>IF(OR(L211="",L193=""),"",IF(L193&lt;=0,"",IFERROR(L211/L193,"")))</f>
        <v/>
      </c>
      <c r="M212" s="15">
        <f>IF(OR(M211="",M193=""),"",IF(M193&lt;=0,"",IFERROR(M211/M193,"")))</f>
        <v/>
      </c>
      <c r="N212" s="15">
        <f>IF(OR(N211="",N193=""),"",IF(N193&lt;=0,"",IFERROR(N211/N193,"")))</f>
        <v/>
      </c>
      <c r="V212" s="15">
        <f>IF(OR(V211="",V193=""),"",IF(V193&lt;=0,"",IFERROR(V211/V193,"")))</f>
        <v/>
      </c>
      <c r="W212" s="15">
        <f>IF(OR(W211="",W193=""),"",IF(W193&lt;=0,"",IFERROR(W211/W193,"")))</f>
        <v/>
      </c>
      <c r="X212" s="15">
        <f>IF(OR(X211="",X193=""),"",IF(X193&lt;=0,"",IFERROR(X211/X193,"")))</f>
        <v/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G213" s="15">
        <f>IF(OR(G211="",C211=""),"",IF(C211&lt;=0,"",IFERROR(G211/C211-1,"")))</f>
        <v/>
      </c>
      <c r="H213" s="15">
        <f>IF(OR(H211="",D211=""),"",IF(D211&lt;=0,"",IFERROR(H211/D211-1,"")))</f>
        <v/>
      </c>
      <c r="I213" s="15">
        <f>IF(OR(I211="",E211=""),"",IF(E211&lt;=0,"",IFERROR(I211/E211-1,"")))</f>
        <v/>
      </c>
      <c r="J213" s="15">
        <f>IF(OR(J211="",F211=""),"",IF(F211&lt;=0,"",IFERROR(J211/F211-1,"")))</f>
        <v/>
      </c>
      <c r="K213" s="15">
        <f>IF(OR(K211="",G211=""),"",IF(G211&lt;=0,"",IFERROR(K211/G211-1,"")))</f>
        <v/>
      </c>
      <c r="L213" s="15">
        <f>IF(OR(L211="",H211=""),"",IF(H211&lt;=0,"",IFERROR(L211/H211-1,"")))</f>
        <v/>
      </c>
      <c r="M213" s="15">
        <f>IF(OR(M211="",I211=""),"",IF(I211&lt;=0,"",IFERROR(M211/I211-1,"")))</f>
        <v/>
      </c>
      <c r="N213" s="15">
        <f>IF(OR(N211="",J211=""),"",IF(J211&lt;=0,"",IFERROR(N211/J211-1,"")))</f>
        <v/>
      </c>
      <c r="V213" s="15">
        <f>IF(OR(V211="",U211=""),"",IF(U211&lt;=0,"",IFERROR(V211/U211-1,"")))</f>
        <v/>
      </c>
      <c r="W213" s="15">
        <f>IF(OR(W211="",V211=""),"",IF(V211&lt;=0,"",IFERROR(W211/V211-1,"")))</f>
        <v/>
      </c>
      <c r="X213" s="15">
        <f>IF(OR(X211="",W211=""),"",IF(W211&lt;=0,"",IFERROR(X211/W211-1,"")))</f>
        <v/>
      </c>
    </row>
    <row r="214">
      <c r="A214" s="18" t="inlineStr">
        <is>
          <t>기타 · 부문 이익(손실)</t>
        </is>
      </c>
      <c r="C214" s="20" t="n">
        <v>9</v>
      </c>
      <c r="D214" s="20" t="n">
        <v>11</v>
      </c>
      <c r="E214" s="20" t="n">
        <v>11</v>
      </c>
      <c r="F214" s="20" t="n">
        <v>8</v>
      </c>
      <c r="G214" s="20" t="n">
        <v>20</v>
      </c>
      <c r="H214" s="20" t="n">
        <v>13</v>
      </c>
      <c r="I214" s="20" t="n">
        <v>15</v>
      </c>
      <c r="J214" s="20" t="n">
        <v>6</v>
      </c>
      <c r="K214" s="20" t="n">
        <v>10</v>
      </c>
      <c r="L214" s="20" t="n">
        <v>13</v>
      </c>
      <c r="M214" s="20" t="n">
        <v>11</v>
      </c>
      <c r="N214" s="20" t="n">
        <v>12</v>
      </c>
      <c r="V214" s="20" t="n">
        <v>11</v>
      </c>
      <c r="W214" s="20" t="n">
        <v>15</v>
      </c>
      <c r="X214" s="20" t="n">
        <v>11</v>
      </c>
    </row>
    <row r="215">
      <c r="A215" s="43" t="inlineStr">
        <is>
          <t>OPM</t>
        </is>
      </c>
      <c r="B215" s="3" t="inlineStr">
        <is>
          <t>영업이익 ÷ 매출</t>
        </is>
      </c>
      <c r="C215" s="15">
        <f>IF(OR(C214="",C195=""),"",IF(C195&lt;=0,"",IFERROR(C214/C195,"")))</f>
        <v/>
      </c>
      <c r="D215" s="15">
        <f>IF(OR(D214="",D195=""),"",IF(D195&lt;=0,"",IFERROR(D214/D195,"")))</f>
        <v/>
      </c>
      <c r="E215" s="15">
        <f>IF(OR(E214="",E195=""),"",IF(E195&lt;=0,"",IFERROR(E214/E195,"")))</f>
        <v/>
      </c>
      <c r="F215" s="15">
        <f>IF(OR(F214="",F195=""),"",IF(F195&lt;=0,"",IFERROR(F214/F195,"")))</f>
        <v/>
      </c>
      <c r="G215" s="15">
        <f>IF(OR(G214="",G195=""),"",IF(G195&lt;=0,"",IFERROR(G214/G195,"")))</f>
        <v/>
      </c>
      <c r="H215" s="15">
        <f>IF(OR(H214="",H195=""),"",IF(H195&lt;=0,"",IFERROR(H214/H195,"")))</f>
        <v/>
      </c>
      <c r="I215" s="15">
        <f>IF(OR(I214="",I195=""),"",IF(I195&lt;=0,"",IFERROR(I214/I195,"")))</f>
        <v/>
      </c>
      <c r="J215" s="15">
        <f>IF(OR(J214="",J195=""),"",IF(J195&lt;=0,"",IFERROR(J214/J195,"")))</f>
        <v/>
      </c>
      <c r="K215" s="15">
        <f>IF(OR(K214="",K195=""),"",IF(K195&lt;=0,"",IFERROR(K214/K195,"")))</f>
        <v/>
      </c>
      <c r="L215" s="15">
        <f>IF(OR(L214="",L195=""),"",IF(L195&lt;=0,"",IFERROR(L214/L195,"")))</f>
        <v/>
      </c>
      <c r="M215" s="15">
        <f>IF(OR(M214="",M195=""),"",IF(M195&lt;=0,"",IFERROR(M214/M195,"")))</f>
        <v/>
      </c>
      <c r="N215" s="15">
        <f>IF(OR(N214="",N195=""),"",IF(N195&lt;=0,"",IFERROR(N214/N195,"")))</f>
        <v/>
      </c>
      <c r="V215" s="15">
        <f>IF(OR(V214="",V195=""),"",IF(V195&lt;=0,"",IFERROR(V214/V195,"")))</f>
        <v/>
      </c>
      <c r="W215" s="15">
        <f>IF(OR(W214="",W195=""),"",IF(W195&lt;=0,"",IFERROR(W214/W195,"")))</f>
        <v/>
      </c>
      <c r="X215" s="15">
        <f>IF(OR(X214="",X195=""),"",IF(X195&lt;=0,"",IFERROR(X214/X195,"")))</f>
        <v/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G216" s="15">
        <f>IF(OR(G214="",C214=""),"",IF(C214&lt;=0,"",IFERROR(G214/C214-1,"")))</f>
        <v/>
      </c>
      <c r="H216" s="15">
        <f>IF(OR(H214="",D214=""),"",IF(D214&lt;=0,"",IFERROR(H214/D214-1,"")))</f>
        <v/>
      </c>
      <c r="I216" s="15">
        <f>IF(OR(I214="",E214=""),"",IF(E214&lt;=0,"",IFERROR(I214/E214-1,"")))</f>
        <v/>
      </c>
      <c r="J216" s="15">
        <f>IF(OR(J214="",F214=""),"",IF(F214&lt;=0,"",IFERROR(J214/F214-1,"")))</f>
        <v/>
      </c>
      <c r="K216" s="15">
        <f>IF(OR(K214="",G214=""),"",IF(G214&lt;=0,"",IFERROR(K214/G214-1,"")))</f>
        <v/>
      </c>
      <c r="L216" s="15">
        <f>IF(OR(L214="",H214=""),"",IF(H214&lt;=0,"",IFERROR(L214/H214-1,"")))</f>
        <v/>
      </c>
      <c r="M216" s="15">
        <f>IF(OR(M214="",I214=""),"",IF(I214&lt;=0,"",IFERROR(M214/I214-1,"")))</f>
        <v/>
      </c>
      <c r="N216" s="15">
        <f>IF(OR(N214="",J214=""),"",IF(J214&lt;=0,"",IFERROR(N214/J214-1,"")))</f>
        <v/>
      </c>
      <c r="V216" s="15">
        <f>IF(OR(V214="",U214=""),"",IF(U214&lt;=0,"",IFERROR(V214/U214-1,"")))</f>
        <v/>
      </c>
      <c r="W216" s="15">
        <f>IF(OR(W214="",V214=""),"",IF(V214&lt;=0,"",IFERROR(W214/V214-1,"")))</f>
        <v/>
      </c>
      <c r="X216" s="15">
        <f>IF(OR(X214="",W214=""),"",IF(W214&lt;=0,"",IFERROR(X214/W214-1,"")))</f>
        <v/>
      </c>
    </row>
    <row r="217">
      <c r="A217" s="18" t="inlineStr">
        <is>
          <t>합계 · 부문 이익(손실)</t>
        </is>
      </c>
      <c r="C217" s="20" t="n">
        <v>-753</v>
      </c>
      <c r="D217" s="20" t="n">
        <v>-76</v>
      </c>
      <c r="E217" s="20" t="n">
        <v>-800</v>
      </c>
      <c r="F217" s="20" t="n">
        <v>798</v>
      </c>
      <c r="G217" s="20" t="n">
        <v>-84</v>
      </c>
      <c r="H217" s="20" t="n">
        <v>836</v>
      </c>
      <c r="I217" s="20" t="n">
        <v>182</v>
      </c>
      <c r="J217" s="20" t="n">
        <v>791</v>
      </c>
      <c r="K217" s="20" t="n">
        <v>439</v>
      </c>
      <c r="L217" s="20" t="n">
        <v>1100</v>
      </c>
      <c r="M217" s="20" t="n">
        <v>791</v>
      </c>
      <c r="N217" s="20" t="n">
        <v>1700</v>
      </c>
      <c r="V217" s="20" t="n">
        <v>-800</v>
      </c>
      <c r="W217" s="20" t="n">
        <v>182</v>
      </c>
      <c r="X217" s="20" t="n">
        <v>791</v>
      </c>
    </row>
    <row r="218">
      <c r="A218" s="43" t="inlineStr">
        <is>
          <t>OPM</t>
        </is>
      </c>
      <c r="B218" s="3" t="inlineStr">
        <is>
          <t>영업이익 ÷ 매출</t>
        </is>
      </c>
      <c r="C218" s="15">
        <f>IF(OR(C217="",C197=""),"",IF(C197&lt;=0,"",IFERROR(C217/C197,"")))</f>
        <v/>
      </c>
      <c r="D218" s="15">
        <f>IF(OR(D217="",D197=""),"",IF(D197&lt;=0,"",IFERROR(D217/D197,"")))</f>
        <v/>
      </c>
      <c r="E218" s="15">
        <f>IF(OR(E217="",E197=""),"",IF(E197&lt;=0,"",IFERROR(E217/E197,"")))</f>
        <v/>
      </c>
      <c r="F218" s="15">
        <f>IF(OR(F217="",F197=""),"",IF(F197&lt;=0,"",IFERROR(F217/F197,"")))</f>
        <v/>
      </c>
      <c r="G218" s="15">
        <f>IF(OR(G217="",G197=""),"",IF(G197&lt;=0,"",IFERROR(G217/G197,"")))</f>
        <v/>
      </c>
      <c r="H218" s="15">
        <f>IF(OR(H217="",H197=""),"",IF(H197&lt;=0,"",IFERROR(H217/H197,"")))</f>
        <v/>
      </c>
      <c r="I218" s="15">
        <f>IF(OR(I217="",I197=""),"",IF(I197&lt;=0,"",IFERROR(I217/I197,"")))</f>
        <v/>
      </c>
      <c r="J218" s="15">
        <f>IF(OR(J217="",J197=""),"",IF(J197&lt;=0,"",IFERROR(J217/J197,"")))</f>
        <v/>
      </c>
      <c r="K218" s="15">
        <f>IF(OR(K217="",K197=""),"",IF(K197&lt;=0,"",IFERROR(K217/K197,"")))</f>
        <v/>
      </c>
      <c r="L218" s="15">
        <f>IF(OR(L217="",L197=""),"",IF(L197&lt;=0,"",IFERROR(L217/L197,"")))</f>
        <v/>
      </c>
      <c r="M218" s="15">
        <f>IF(OR(M217="",M197=""),"",IF(M197&lt;=0,"",IFERROR(M217/M197,"")))</f>
        <v/>
      </c>
      <c r="N218" s="15">
        <f>IF(OR(N217="",N197=""),"",IF(N197&lt;=0,"",IFERROR(N217/N197,"")))</f>
        <v/>
      </c>
      <c r="V218" s="15">
        <f>IF(OR(V217="",V197=""),"",IF(V197&lt;=0,"",IFERROR(V217/V197,"")))</f>
        <v/>
      </c>
      <c r="W218" s="15">
        <f>IF(OR(W217="",W197=""),"",IF(W197&lt;=0,"",IFERROR(W217/W197,"")))</f>
        <v/>
      </c>
      <c r="X218" s="15">
        <f>IF(OR(X217="",X197=""),"",IF(X197&lt;=0,"",IFERROR(X217/X197,"")))</f>
        <v/>
      </c>
    </row>
    <row r="219">
      <c r="A219" s="43" t="inlineStr">
        <is>
          <t>YoY</t>
        </is>
      </c>
      <c r="B219" s="3" t="inlineStr">
        <is>
          <t>전년 같은 분기·전년 대비</t>
        </is>
      </c>
      <c r="G219" s="15">
        <f>IF(OR(G217="",C217=""),"",IF(C217&lt;=0,"",IFERROR(G217/C217-1,"")))</f>
        <v/>
      </c>
      <c r="H219" s="15">
        <f>IF(OR(H217="",D217=""),"",IF(D217&lt;=0,"",IFERROR(H217/D217-1,"")))</f>
        <v/>
      </c>
      <c r="I219" s="15">
        <f>IF(OR(I217="",E217=""),"",IF(E217&lt;=0,"",IFERROR(I217/E217-1,"")))</f>
        <v/>
      </c>
      <c r="J219" s="15">
        <f>IF(OR(J217="",F217=""),"",IF(F217&lt;=0,"",IFERROR(J217/F217-1,"")))</f>
        <v/>
      </c>
      <c r="K219" s="15">
        <f>IF(OR(K217="",G217=""),"",IF(G217&lt;=0,"",IFERROR(K217/G217-1,"")))</f>
        <v/>
      </c>
      <c r="L219" s="15">
        <f>IF(OR(L217="",H217=""),"",IF(H217&lt;=0,"",IFERROR(L217/H217-1,"")))</f>
        <v/>
      </c>
      <c r="M219" s="15">
        <f>IF(OR(M217="",I217=""),"",IF(I217&lt;=0,"",IFERROR(M217/I217-1,"")))</f>
        <v/>
      </c>
      <c r="N219" s="15">
        <f>IF(OR(N217="",J217=""),"",IF(J217&lt;=0,"",IFERROR(N217/J217-1,"")))</f>
        <v/>
      </c>
      <c r="V219" s="15">
        <f>IF(OR(V217="",U217=""),"",IF(U217&lt;=0,"",IFERROR(V217/U217-1,"")))</f>
        <v/>
      </c>
      <c r="W219" s="15">
        <f>IF(OR(W217="",V217=""),"",IF(V217&lt;=0,"",IFERROR(W217/V217-1,"")))</f>
        <v/>
      </c>
      <c r="X219" s="15">
        <f>IF(OR(X217="",W217=""),"",IF(W217&lt;=0,"",IFERROR(X217/W217-1,"")))</f>
        <v/>
      </c>
    </row>
    <row r="221">
      <c r="A221" s="16" t="inlineStr">
        <is>
          <t>현금흐름표 · 전 항목</t>
        </is>
      </c>
      <c r="B221" s="42" t="inlineStr">
        <is>
          <t>분기 = 결산기 첫날부터 누계(공시 그대로)</t>
        </is>
      </c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  <c r="AA221" s="16" t="n"/>
      <c r="AB221" s="16" t="n"/>
      <c r="AC221" s="16" t="n"/>
    </row>
    <row r="222">
      <c r="A222" s="5" t="inlineStr">
        <is>
          <t>항목</t>
        </is>
      </c>
      <c r="B222" s="5" t="inlineStr">
        <is>
          <t>참고</t>
        </is>
      </c>
      <c r="C222" s="5" t="inlineStr">
        <is>
          <t>2024.2Q</t>
        </is>
      </c>
      <c r="D222" s="5" t="inlineStr">
        <is>
          <t>2024.3Q</t>
        </is>
      </c>
      <c r="E222" s="5" t="inlineStr">
        <is>
          <t>2024.4Q</t>
        </is>
      </c>
      <c r="F222" s="5" t="inlineStr">
        <is>
          <t>2025.1Q</t>
        </is>
      </c>
      <c r="G222" s="5" t="inlineStr">
        <is>
          <t>2025.2Q</t>
        </is>
      </c>
      <c r="H222" s="5" t="inlineStr">
        <is>
          <t>2025.3Q</t>
        </is>
      </c>
      <c r="I222" s="5" t="inlineStr">
        <is>
          <t>2025.4Q</t>
        </is>
      </c>
      <c r="J222" s="5" t="inlineStr">
        <is>
          <t>2026.1Q</t>
        </is>
      </c>
      <c r="K222" s="5" t="inlineStr">
        <is>
          <t>2026.2Q</t>
        </is>
      </c>
      <c r="L222" s="5" t="inlineStr">
        <is>
          <t>2026.3Q</t>
        </is>
      </c>
      <c r="M222" s="5" t="inlineStr">
        <is>
          <t>2026.4Q</t>
        </is>
      </c>
      <c r="N222" s="5" t="inlineStr">
        <is>
          <t>2027.1Q</t>
        </is>
      </c>
      <c r="O222" s="5" t="inlineStr">
        <is>
          <t>2017</t>
        </is>
      </c>
      <c r="P222" s="5" t="inlineStr">
        <is>
          <t>2018</t>
        </is>
      </c>
      <c r="Q222" s="5" t="inlineStr">
        <is>
          <t>2019</t>
        </is>
      </c>
      <c r="R222" s="5" t="inlineStr">
        <is>
          <t>2020</t>
        </is>
      </c>
      <c r="S222" s="5" t="inlineStr">
        <is>
          <t>2021</t>
        </is>
      </c>
      <c r="T222" s="5" t="inlineStr">
        <is>
          <t>2022</t>
        </is>
      </c>
      <c r="U222" s="5" t="inlineStr">
        <is>
          <t>2023</t>
        </is>
      </c>
      <c r="V222" s="5" t="inlineStr">
        <is>
          <t>2024</t>
        </is>
      </c>
      <c r="W222" s="5" t="inlineStr">
        <is>
          <t>2025</t>
        </is>
      </c>
      <c r="X222" s="5" t="inlineStr">
        <is>
          <t>2026</t>
        </is>
      </c>
      <c r="Y222" s="5" t="inlineStr">
        <is>
          <t>2027(MW)</t>
        </is>
      </c>
      <c r="Z222" s="5" t="inlineStr">
        <is>
          <t>2028(MW)</t>
        </is>
      </c>
      <c r="AA222" s="5" t="inlineStr">
        <is>
          <t>2029(MW)</t>
        </is>
      </c>
      <c r="AB222" s="5" t="inlineStr">
        <is>
          <t>2030(MW)</t>
        </is>
      </c>
      <c r="AC222" s="5" t="inlineStr">
        <is>
          <t>2031(MW)</t>
        </is>
      </c>
    </row>
    <row r="223">
      <c r="A223" s="9" t="inlineStr">
        <is>
          <t>법인세차감전 순이익</t>
        </is>
      </c>
      <c r="C223" s="12" t="n">
        <v>-1519</v>
      </c>
      <c r="D223" s="12" t="n">
        <v>-1213</v>
      </c>
      <c r="E223" s="12" t="n">
        <v>-1418</v>
      </c>
      <c r="F223" s="12" t="n">
        <v>2081</v>
      </c>
      <c r="G223" s="12" t="n">
        <v>1566</v>
      </c>
      <c r="H223" s="12" t="n">
        <v>2334</v>
      </c>
      <c r="I223" s="12" t="n">
        <v>2867</v>
      </c>
      <c r="J223" s="12" t="n">
        <v>580</v>
      </c>
      <c r="K223" s="12" t="n">
        <v>667</v>
      </c>
      <c r="L223" s="12" t="n">
        <v>1460</v>
      </c>
      <c r="M223" s="12" t="n">
        <v>2404</v>
      </c>
      <c r="N223" s="12" t="n">
        <v>1591</v>
      </c>
      <c r="O223" s="12" t="n">
        <v>5176</v>
      </c>
      <c r="P223" s="12" t="n">
        <v>4721</v>
      </c>
      <c r="Q223" s="12" t="n">
        <v>5831</v>
      </c>
      <c r="R223" s="12" t="n">
        <v>3122</v>
      </c>
      <c r="S223" s="12" t="n">
        <v>3842</v>
      </c>
      <c r="T223" s="12" t="n">
        <v>2941</v>
      </c>
      <c r="U223" s="12" t="n">
        <v>-4652</v>
      </c>
      <c r="V223" s="12" t="n">
        <v>-1418</v>
      </c>
      <c r="W223" s="12" t="n">
        <v>2867</v>
      </c>
      <c r="X223" s="12" t="n">
        <v>2404</v>
      </c>
    </row>
    <row r="224">
      <c r="A224" s="18" t="inlineStr">
        <is>
          <t>감가상각비</t>
        </is>
      </c>
      <c r="C224" s="20" t="n">
        <v>2779</v>
      </c>
      <c r="D224" s="20" t="n">
        <v>4242</v>
      </c>
      <c r="E224" s="20" t="n">
        <v>5808</v>
      </c>
      <c r="F224" s="20" t="n">
        <v>1294</v>
      </c>
      <c r="G224" s="20" t="n">
        <v>2709</v>
      </c>
      <c r="H224" s="20" t="n">
        <v>4157</v>
      </c>
      <c r="I224" s="20" t="n">
        <v>5720</v>
      </c>
      <c r="J224" s="20" t="n">
        <v>1318</v>
      </c>
      <c r="K224" s="20" t="n">
        <v>2710</v>
      </c>
      <c r="L224" s="20" t="n">
        <v>4126</v>
      </c>
      <c r="M224" s="20" t="n">
        <v>5588</v>
      </c>
      <c r="N224" s="20" t="n">
        <v>1226</v>
      </c>
      <c r="O224" s="20" t="n">
        <v>2661</v>
      </c>
      <c r="P224" s="20" t="n">
        <v>2613</v>
      </c>
      <c r="Q224" s="20" t="n">
        <v>2870</v>
      </c>
      <c r="R224" s="20" t="n">
        <v>2887</v>
      </c>
      <c r="S224" s="20" t="n">
        <v>2980</v>
      </c>
      <c r="T224" s="20" t="n">
        <v>3120</v>
      </c>
      <c r="U224" s="20" t="n">
        <v>4477</v>
      </c>
      <c r="V224" s="20" t="n">
        <v>5808</v>
      </c>
      <c r="W224" s="20" t="n">
        <v>5720</v>
      </c>
      <c r="X224" s="20" t="n">
        <v>5588</v>
      </c>
    </row>
    <row r="225">
      <c r="A225" s="18" t="inlineStr">
        <is>
          <t>손상차손</t>
        </is>
      </c>
      <c r="C225" s="20" t="n">
        <v>0</v>
      </c>
      <c r="E225" s="20" t="n">
        <v>0</v>
      </c>
      <c r="S225" s="20" t="n">
        <v>0</v>
      </c>
      <c r="T225" s="20" t="n">
        <v>346</v>
      </c>
      <c r="U225" s="20" t="n">
        <v>1838</v>
      </c>
      <c r="V225" s="20" t="n">
        <v>0</v>
      </c>
    </row>
    <row r="226">
      <c r="A226" s="18" t="inlineStr">
        <is>
          <t>영업권 상각</t>
        </is>
      </c>
      <c r="O226" s="20" t="n">
        <v>210</v>
      </c>
      <c r="P226" s="20" t="n">
        <v>282</v>
      </c>
      <c r="Q226" s="20" t="n">
        <v>281</v>
      </c>
      <c r="R226" s="20" t="n">
        <v>281</v>
      </c>
      <c r="S226" s="20" t="n">
        <v>185</v>
      </c>
      <c r="T226" s="20" t="n">
        <v>76</v>
      </c>
      <c r="U226" s="20" t="n">
        <v>0</v>
      </c>
    </row>
    <row r="227">
      <c r="A227" s="18" t="inlineStr">
        <is>
          <t>개업비 상각액</t>
        </is>
      </c>
      <c r="C227" s="20" t="n">
        <v>5</v>
      </c>
      <c r="D227" s="20" t="n">
        <v>8</v>
      </c>
      <c r="E227" s="20" t="n">
        <v>43</v>
      </c>
      <c r="F227" s="20" t="n">
        <v>99</v>
      </c>
      <c r="G227" s="20" t="n">
        <v>198</v>
      </c>
      <c r="H227" s="20" t="n">
        <v>297</v>
      </c>
      <c r="I227" s="20" t="n">
        <v>396</v>
      </c>
      <c r="J227" s="20" t="n">
        <v>99</v>
      </c>
      <c r="K227" s="20" t="n">
        <v>198</v>
      </c>
      <c r="L227" s="20" t="n">
        <v>297</v>
      </c>
      <c r="M227" s="20" t="n">
        <v>396</v>
      </c>
      <c r="N227" s="20" t="n">
        <v>99</v>
      </c>
      <c r="U227" s="20" t="n">
        <v>10</v>
      </c>
      <c r="V227" s="20" t="n">
        <v>43</v>
      </c>
      <c r="W227" s="20" t="n">
        <v>396</v>
      </c>
      <c r="X227" s="20" t="n">
        <v>396</v>
      </c>
    </row>
    <row r="228">
      <c r="A228" s="18" t="inlineStr">
        <is>
          <t>대손충당금 증감</t>
        </is>
      </c>
      <c r="C228" s="20" t="n">
        <v>-4</v>
      </c>
      <c r="D228" s="20" t="n">
        <v>-3</v>
      </c>
      <c r="E228" s="20" t="n">
        <v>2</v>
      </c>
      <c r="F228" s="20" t="n">
        <v>-0</v>
      </c>
      <c r="G228" s="20" t="n">
        <v>2</v>
      </c>
      <c r="H228" s="20" t="n">
        <v>-2</v>
      </c>
      <c r="I228" s="20" t="n">
        <v>5</v>
      </c>
      <c r="J228" s="20" t="n">
        <v>-6</v>
      </c>
      <c r="K228" s="20" t="n">
        <v>-9</v>
      </c>
      <c r="L228" s="20" t="n">
        <v>-5</v>
      </c>
      <c r="M228" s="20" t="n">
        <v>-13</v>
      </c>
      <c r="N228" s="20" t="n">
        <v>3</v>
      </c>
      <c r="O228" s="20" t="n">
        <v>30</v>
      </c>
      <c r="P228" s="20" t="n">
        <v>-47</v>
      </c>
      <c r="Q228" s="20" t="n">
        <v>-7</v>
      </c>
      <c r="R228" s="20" t="n">
        <v>-4</v>
      </c>
      <c r="S228" s="20" t="n">
        <v>-4</v>
      </c>
      <c r="T228" s="20" t="n">
        <v>42</v>
      </c>
      <c r="U228" s="20" t="n">
        <v>-54</v>
      </c>
      <c r="V228" s="20" t="n">
        <v>2</v>
      </c>
      <c r="W228" s="20" t="n">
        <v>5</v>
      </c>
      <c r="X228" s="20" t="n">
        <v>-13</v>
      </c>
    </row>
    <row r="229">
      <c r="A229" s="18" t="inlineStr">
        <is>
          <t>상여충당금 증감</t>
        </is>
      </c>
      <c r="C229" s="20" t="n">
        <v>5</v>
      </c>
      <c r="D229" s="20" t="n">
        <v>-417</v>
      </c>
      <c r="E229" s="20" t="n">
        <v>144</v>
      </c>
      <c r="F229" s="20" t="n">
        <v>-574</v>
      </c>
      <c r="G229" s="20" t="n">
        <v>-25</v>
      </c>
      <c r="H229" s="20" t="n">
        <v>-534</v>
      </c>
      <c r="I229" s="20" t="n">
        <v>164</v>
      </c>
      <c r="J229" s="20" t="n">
        <v>-701</v>
      </c>
      <c r="K229" s="20" t="n">
        <v>-115</v>
      </c>
      <c r="L229" s="20" t="n">
        <v>-639</v>
      </c>
      <c r="M229" s="20" t="n">
        <v>-10</v>
      </c>
      <c r="N229" s="20" t="n">
        <v>-634</v>
      </c>
      <c r="O229" s="20" t="n">
        <v>192</v>
      </c>
      <c r="P229" s="20" t="n">
        <v>-6</v>
      </c>
      <c r="Q229" s="20" t="n">
        <v>-43</v>
      </c>
      <c r="R229" s="20" t="n">
        <v>-43</v>
      </c>
      <c r="S229" s="20" t="n">
        <v>311</v>
      </c>
      <c r="T229" s="20" t="n">
        <v>-133</v>
      </c>
      <c r="U229" s="20" t="n">
        <v>-348</v>
      </c>
      <c r="V229" s="20" t="n">
        <v>144</v>
      </c>
      <c r="W229" s="20" t="n">
        <v>164</v>
      </c>
      <c r="X229" s="20" t="n">
        <v>-10</v>
      </c>
    </row>
    <row r="230">
      <c r="A230" s="18" t="inlineStr">
        <is>
          <t>임원 상여충당금 증감</t>
        </is>
      </c>
      <c r="C230" s="20" t="n">
        <v>0</v>
      </c>
      <c r="D230" s="20" t="n">
        <v>0</v>
      </c>
      <c r="E230" s="20" t="n">
        <v>0</v>
      </c>
      <c r="F230" s="20" t="n">
        <v>10</v>
      </c>
      <c r="G230" s="20" t="n">
        <v>10</v>
      </c>
      <c r="H230" s="20" t="n">
        <v>20</v>
      </c>
      <c r="I230" s="20" t="n">
        <v>27</v>
      </c>
      <c r="J230" s="20" t="n">
        <v>-18</v>
      </c>
      <c r="K230" s="20" t="n">
        <v>-17</v>
      </c>
      <c r="L230" s="20" t="n">
        <v>-5</v>
      </c>
      <c r="M230" s="20" t="n">
        <v>7</v>
      </c>
      <c r="N230" s="20" t="n">
        <v>-13</v>
      </c>
      <c r="O230" s="20" t="n">
        <v>23</v>
      </c>
      <c r="P230" s="20" t="n">
        <v>0</v>
      </c>
      <c r="Q230" s="20" t="n">
        <v>-20</v>
      </c>
      <c r="R230" s="20" t="n">
        <v>-15</v>
      </c>
      <c r="S230" s="20" t="n">
        <v>11</v>
      </c>
      <c r="T230" s="20" t="n">
        <v>2</v>
      </c>
      <c r="U230" s="20" t="n">
        <v>-58</v>
      </c>
      <c r="V230" s="20" t="n">
        <v>0</v>
      </c>
      <c r="W230" s="20" t="n">
        <v>27</v>
      </c>
      <c r="X230" s="20" t="n">
        <v>7</v>
      </c>
    </row>
    <row r="231">
      <c r="A231" s="18" t="inlineStr">
        <is>
          <t>퇴직급여부채 증감</t>
        </is>
      </c>
      <c r="C231" s="20" t="n">
        <v>15</v>
      </c>
      <c r="D231" s="20" t="n">
        <v>17</v>
      </c>
      <c r="E231" s="20" t="n">
        <v>-0</v>
      </c>
      <c r="F231" s="20" t="n">
        <v>5</v>
      </c>
      <c r="G231" s="20" t="n">
        <v>-0</v>
      </c>
      <c r="H231" s="20" t="n">
        <v>10</v>
      </c>
      <c r="I231" s="20" t="n">
        <v>-40</v>
      </c>
      <c r="J231" s="20" t="n">
        <v>3</v>
      </c>
      <c r="K231" s="20" t="n">
        <v>10</v>
      </c>
      <c r="L231" s="20" t="n">
        <v>4</v>
      </c>
      <c r="M231" s="20" t="n">
        <v>-0</v>
      </c>
      <c r="N231" s="20" t="n">
        <v>10</v>
      </c>
      <c r="O231" s="20" t="n">
        <v>-427</v>
      </c>
      <c r="P231" s="20" t="n">
        <v>-9</v>
      </c>
      <c r="Q231" s="20" t="n">
        <v>-21</v>
      </c>
      <c r="R231" s="20" t="n">
        <v>15</v>
      </c>
      <c r="S231" s="20" t="n">
        <v>-20</v>
      </c>
      <c r="T231" s="20" t="n">
        <v>-2</v>
      </c>
      <c r="U231" s="20" t="n">
        <v>-3</v>
      </c>
      <c r="V231" s="20" t="n">
        <v>-0</v>
      </c>
      <c r="W231" s="20" t="n">
        <v>-40</v>
      </c>
      <c r="X231" s="20" t="n">
        <v>-0</v>
      </c>
    </row>
    <row r="232">
      <c r="A232" s="18" t="inlineStr">
        <is>
          <t>퇴직급여자산 증감</t>
        </is>
      </c>
      <c r="C232" s="20" t="n">
        <v>-133</v>
      </c>
      <c r="D232" s="20" t="n">
        <v>-200</v>
      </c>
      <c r="E232" s="20" t="n">
        <v>-2190</v>
      </c>
      <c r="F232" s="20" t="n">
        <v>-83</v>
      </c>
      <c r="G232" s="20" t="n">
        <v>-167</v>
      </c>
      <c r="H232" s="20" t="n">
        <v>-250</v>
      </c>
      <c r="I232" s="20" t="n">
        <v>-1301</v>
      </c>
      <c r="J232" s="20" t="n">
        <v>-100</v>
      </c>
      <c r="K232" s="20" t="n">
        <v>-189</v>
      </c>
      <c r="L232" s="20" t="n">
        <v>-282</v>
      </c>
      <c r="M232" s="20" t="n">
        <v>-2469</v>
      </c>
      <c r="N232" s="20" t="n">
        <v>-104</v>
      </c>
      <c r="O232" s="20" t="n">
        <v>-386</v>
      </c>
      <c r="P232" s="20" t="n">
        <v>-1151</v>
      </c>
      <c r="Q232" s="20" t="n">
        <v>433</v>
      </c>
      <c r="R232" s="20" t="n">
        <v>840</v>
      </c>
      <c r="S232" s="20" t="n">
        <v>-2174</v>
      </c>
      <c r="T232" s="20" t="n">
        <v>-468</v>
      </c>
      <c r="U232" s="20" t="n">
        <v>-988</v>
      </c>
      <c r="V232" s="20" t="n">
        <v>-2190</v>
      </c>
      <c r="W232" s="20" t="n">
        <v>-1301</v>
      </c>
      <c r="X232" s="20" t="n">
        <v>-2469</v>
      </c>
    </row>
    <row r="233">
      <c r="A233" s="18" t="inlineStr">
        <is>
          <t>사업 정리 손실 충당금 증감액(△는 감소)</t>
        </is>
      </c>
      <c r="C233" s="20" t="n">
        <v>-340</v>
      </c>
      <c r="D233" s="20" t="n">
        <v>-680</v>
      </c>
      <c r="E233" s="20" t="n">
        <v>-1169</v>
      </c>
      <c r="F233" s="20" t="n">
        <v>-31</v>
      </c>
      <c r="G233" s="20" t="n">
        <v>-40</v>
      </c>
      <c r="H233" s="20" t="n">
        <v>-40</v>
      </c>
      <c r="I233" s="20" t="n">
        <v>-59</v>
      </c>
      <c r="J233" s="20" t="n">
        <v>0</v>
      </c>
      <c r="K233" s="20" t="n">
        <v>0</v>
      </c>
      <c r="L233" s="20" t="n">
        <v>0</v>
      </c>
      <c r="M233" s="20" t="n">
        <v>0</v>
      </c>
      <c r="T233" s="20" t="n">
        <v>0</v>
      </c>
      <c r="U233" s="20" t="n">
        <v>1155</v>
      </c>
      <c r="V233" s="20" t="n">
        <v>-1169</v>
      </c>
      <c r="W233" s="20" t="n">
        <v>-59</v>
      </c>
      <c r="X233" s="20" t="n">
        <v>0</v>
      </c>
    </row>
    <row r="234">
      <c r="A234" s="18" t="inlineStr">
        <is>
          <t>고정자산 제각·매각손익</t>
        </is>
      </c>
      <c r="C234" s="20" t="n">
        <v>116</v>
      </c>
      <c r="D234" s="20" t="n">
        <v>337</v>
      </c>
      <c r="E234" s="20" t="n">
        <v>456</v>
      </c>
      <c r="F234" s="20" t="n">
        <v>-960</v>
      </c>
      <c r="G234" s="20" t="n">
        <v>-938</v>
      </c>
      <c r="H234" s="20" t="n">
        <v>-911</v>
      </c>
      <c r="I234" s="20" t="n">
        <v>-743</v>
      </c>
      <c r="J234" s="20" t="n">
        <v>5</v>
      </c>
      <c r="K234" s="20" t="n">
        <v>93</v>
      </c>
      <c r="L234" s="20" t="n">
        <v>127</v>
      </c>
      <c r="M234" s="20" t="n">
        <v>206</v>
      </c>
      <c r="N234" s="20" t="n">
        <v>25</v>
      </c>
      <c r="O234" s="20" t="n">
        <v>74</v>
      </c>
      <c r="P234" s="20" t="n">
        <v>98</v>
      </c>
      <c r="Q234" s="20" t="n">
        <v>230</v>
      </c>
      <c r="R234" s="20" t="n">
        <v>153</v>
      </c>
      <c r="S234" s="20" t="n">
        <v>129</v>
      </c>
      <c r="T234" s="20" t="n">
        <v>279</v>
      </c>
      <c r="U234" s="20" t="n">
        <v>-775</v>
      </c>
      <c r="V234" s="20" t="n">
        <v>456</v>
      </c>
      <c r="W234" s="20" t="n">
        <v>-743</v>
      </c>
      <c r="X234" s="20" t="n">
        <v>206</v>
      </c>
    </row>
    <row r="235">
      <c r="A235" s="18" t="inlineStr">
        <is>
          <t>관계회사 출자금 평가손실</t>
        </is>
      </c>
      <c r="O235" s="20" t="n">
        <v>91</v>
      </c>
      <c r="P235" s="20" t="n">
        <v>0</v>
      </c>
    </row>
    <row r="236">
      <c r="A236" s="18" t="inlineStr">
        <is>
          <t>고정자산 평가손</t>
        </is>
      </c>
      <c r="E236" s="20" t="n">
        <v>7</v>
      </c>
      <c r="I236" s="20" t="n">
        <v>0</v>
      </c>
      <c r="O236" s="20" t="n">
        <v>2</v>
      </c>
      <c r="P236" s="20" t="n">
        <v>0</v>
      </c>
      <c r="Q236" s="20" t="n">
        <v>0</v>
      </c>
      <c r="R236" s="20" t="n">
        <v>1</v>
      </c>
      <c r="S236" s="20" t="n">
        <v>0</v>
      </c>
      <c r="T236" s="20" t="n">
        <v>3</v>
      </c>
      <c r="U236" s="20" t="n">
        <v>0</v>
      </c>
      <c r="V236" s="20" t="n">
        <v>7</v>
      </c>
      <c r="W236" s="20" t="n">
        <v>0</v>
      </c>
    </row>
    <row r="237">
      <c r="A237" s="18" t="inlineStr">
        <is>
          <t>투자유가증권 매각손익</t>
        </is>
      </c>
      <c r="C237" s="20" t="n">
        <v>-49</v>
      </c>
      <c r="D237" s="20" t="n">
        <v>-196</v>
      </c>
      <c r="E237" s="20" t="n">
        <v>-511</v>
      </c>
      <c r="F237" s="20" t="n">
        <v>-314</v>
      </c>
      <c r="G237" s="20" t="n">
        <v>-314</v>
      </c>
      <c r="H237" s="20" t="n">
        <v>-478</v>
      </c>
      <c r="I237" s="20" t="n">
        <v>-1268</v>
      </c>
      <c r="J237" s="20" t="n">
        <v>0</v>
      </c>
      <c r="K237" s="20" t="n">
        <v>-121</v>
      </c>
      <c r="L237" s="20" t="n">
        <v>-377</v>
      </c>
      <c r="M237" s="20" t="n">
        <v>-1012</v>
      </c>
      <c r="O237" s="20" t="n">
        <v>-1</v>
      </c>
      <c r="P237" s="20" t="n">
        <v>-151</v>
      </c>
      <c r="Q237" s="20" t="n">
        <v>-7</v>
      </c>
      <c r="R237" s="20" t="n">
        <v>-473</v>
      </c>
      <c r="S237" s="20" t="n">
        <v>-321</v>
      </c>
      <c r="T237" s="20" t="n">
        <v>-3</v>
      </c>
      <c r="U237" s="20" t="n">
        <v>-303</v>
      </c>
      <c r="V237" s="20" t="n">
        <v>-511</v>
      </c>
      <c r="W237" s="20" t="n">
        <v>-1268</v>
      </c>
      <c r="X237" s="20" t="n">
        <v>-1012</v>
      </c>
    </row>
    <row r="238">
      <c r="A238" s="18" t="inlineStr">
        <is>
          <t>신주예약권 환입이익</t>
        </is>
      </c>
      <c r="O238" s="20" t="n">
        <v>-13</v>
      </c>
      <c r="P238" s="20" t="n">
        <v>0</v>
      </c>
    </row>
    <row r="239">
      <c r="A239" s="18" t="inlineStr">
        <is>
          <t>관계회사 주식 평가손실</t>
        </is>
      </c>
      <c r="H239" s="20" t="n">
        <v>0</v>
      </c>
      <c r="L239" s="20" t="n">
        <v>305</v>
      </c>
    </row>
    <row r="240">
      <c r="A240" s="18" t="inlineStr">
        <is>
          <t>투자유가증권 평가손실</t>
        </is>
      </c>
      <c r="C240" s="20" t="n">
        <v>0</v>
      </c>
      <c r="E240" s="20" t="n">
        <v>0</v>
      </c>
      <c r="I240" s="20" t="n">
        <v>0</v>
      </c>
      <c r="M240" s="20" t="n">
        <v>166</v>
      </c>
      <c r="O240" s="20" t="n">
        <v>0</v>
      </c>
      <c r="P240" s="20" t="n">
        <v>44</v>
      </c>
      <c r="Q240" s="20" t="n">
        <v>14</v>
      </c>
      <c r="R240" s="20" t="n">
        <v>26</v>
      </c>
      <c r="S240" s="20" t="n">
        <v>0</v>
      </c>
      <c r="T240" s="20" t="n">
        <v>0</v>
      </c>
      <c r="U240" s="20" t="n">
        <v>0</v>
      </c>
      <c r="V240" s="20" t="n">
        <v>0</v>
      </c>
      <c r="W240" s="20" t="n">
        <v>0</v>
      </c>
      <c r="X240" s="20" t="n">
        <v>166</v>
      </c>
    </row>
    <row r="241">
      <c r="A241" s="18" t="inlineStr">
        <is>
          <t>출자금 매각 손익(△는 이익)</t>
        </is>
      </c>
      <c r="Q241" s="20" t="n">
        <v>0</v>
      </c>
      <c r="R241" s="20" t="n">
        <v>15</v>
      </c>
      <c r="S241" s="20" t="n">
        <v>0</v>
      </c>
    </row>
    <row r="242">
      <c r="A242" s="18" t="inlineStr">
        <is>
          <t>출자금 평가손</t>
        </is>
      </c>
      <c r="R242" s="20" t="n">
        <v>0</v>
      </c>
      <c r="S242" s="20" t="n">
        <v>2</v>
      </c>
      <c r="T242" s="20" t="n">
        <v>0</v>
      </c>
    </row>
    <row r="243">
      <c r="A243" s="18" t="inlineStr">
        <is>
          <t>환산조정 환입이익</t>
        </is>
      </c>
      <c r="O243" s="20" t="n">
        <v>0</v>
      </c>
      <c r="P243" s="20" t="n">
        <v>-285</v>
      </c>
      <c r="Q243" s="20" t="n">
        <v>0</v>
      </c>
      <c r="R243" s="20" t="n">
        <v>-7</v>
      </c>
      <c r="S243" s="20" t="n">
        <v>0</v>
      </c>
    </row>
    <row r="244">
      <c r="A244" s="18" t="inlineStr">
        <is>
          <t>폭발 화재 사고 손실</t>
        </is>
      </c>
      <c r="O244" s="20" t="n">
        <v>0</v>
      </c>
      <c r="P244" s="20" t="n">
        <v>554</v>
      </c>
      <c r="Q244" s="20" t="n">
        <v>0</v>
      </c>
    </row>
    <row r="245">
      <c r="A245" s="18" t="inlineStr">
        <is>
          <t>관계회사 사업 정리 손실</t>
        </is>
      </c>
      <c r="O245" s="20" t="n">
        <v>0</v>
      </c>
      <c r="P245" s="20" t="n">
        <v>251</v>
      </c>
      <c r="Q245" s="20" t="n">
        <v>0</v>
      </c>
    </row>
    <row r="246">
      <c r="A246" s="18" t="inlineStr">
        <is>
          <t>보험금 수익</t>
        </is>
      </c>
      <c r="P246" s="20" t="n">
        <v>0</v>
      </c>
      <c r="Q246" s="20" t="n">
        <v>-2118</v>
      </c>
      <c r="R246" s="20" t="n">
        <v>0</v>
      </c>
    </row>
    <row r="247">
      <c r="A247" s="18" t="inlineStr">
        <is>
          <t>조업중단 관련 비용</t>
        </is>
      </c>
      <c r="Q247" s="20" t="n">
        <v>0</v>
      </c>
      <c r="R247" s="20" t="n">
        <v>89</v>
      </c>
      <c r="S247" s="20" t="n">
        <v>0</v>
      </c>
    </row>
    <row r="248">
      <c r="A248" s="18" t="inlineStr">
        <is>
          <t>관계회사 정리손실</t>
        </is>
      </c>
      <c r="I248" s="20" t="n">
        <v>0</v>
      </c>
      <c r="M248" s="20" t="n">
        <v>470</v>
      </c>
      <c r="W248" s="20" t="n">
        <v>0</v>
      </c>
      <c r="X248" s="20" t="n">
        <v>470</v>
      </c>
    </row>
    <row r="249">
      <c r="A249" s="18" t="inlineStr">
        <is>
          <t>해결금</t>
        </is>
      </c>
      <c r="H249" s="20" t="n">
        <v>0</v>
      </c>
      <c r="I249" s="20" t="n">
        <v>0</v>
      </c>
      <c r="L249" s="20" t="n">
        <v>155</v>
      </c>
      <c r="M249" s="20" t="n">
        <v>155</v>
      </c>
      <c r="W249" s="20" t="n">
        <v>0</v>
      </c>
      <c r="X249" s="20" t="n">
        <v>155</v>
      </c>
    </row>
    <row r="250">
      <c r="A250" s="18" t="inlineStr">
        <is>
          <t>투자사업조합 운용 손익(△는 이익)</t>
        </is>
      </c>
      <c r="E250" s="20" t="n">
        <v>67</v>
      </c>
      <c r="I250" s="20" t="n">
        <v>28</v>
      </c>
      <c r="J250" s="20" t="n">
        <v>0</v>
      </c>
      <c r="M250" s="20" t="n">
        <v>-28</v>
      </c>
      <c r="N250" s="20" t="n">
        <v>75</v>
      </c>
      <c r="R250" s="20" t="n">
        <v>0</v>
      </c>
      <c r="S250" s="20" t="n">
        <v>27</v>
      </c>
      <c r="T250" s="20" t="n">
        <v>11</v>
      </c>
      <c r="U250" s="20" t="n">
        <v>0</v>
      </c>
      <c r="V250" s="20" t="n">
        <v>67</v>
      </c>
      <c r="W250" s="20" t="n">
        <v>28</v>
      </c>
      <c r="X250" s="20" t="n">
        <v>-28</v>
      </c>
    </row>
    <row r="251">
      <c r="A251" s="18" t="inlineStr">
        <is>
          <t>보상금 수취</t>
        </is>
      </c>
      <c r="E251" s="20" t="n">
        <v>-431</v>
      </c>
      <c r="I251" s="20" t="n">
        <v>0</v>
      </c>
      <c r="U251" s="20" t="n">
        <v>0</v>
      </c>
      <c r="V251" s="20" t="n">
        <v>-431</v>
      </c>
      <c r="W251" s="20" t="n">
        <v>0</v>
      </c>
    </row>
    <row r="252">
      <c r="A252" s="18" t="inlineStr">
        <is>
          <t>자산복구부채 환입이익</t>
        </is>
      </c>
      <c r="E252" s="20" t="n">
        <v>-514</v>
      </c>
      <c r="I252" s="20" t="n">
        <v>0</v>
      </c>
      <c r="U252" s="20" t="n">
        <v>0</v>
      </c>
      <c r="V252" s="20" t="n">
        <v>-514</v>
      </c>
      <c r="W252" s="20" t="n">
        <v>0</v>
      </c>
    </row>
    <row r="253">
      <c r="A253" s="18" t="inlineStr">
        <is>
          <t>이자·배당금 수익</t>
        </is>
      </c>
      <c r="C253" s="20" t="n">
        <v>-161</v>
      </c>
      <c r="D253" s="20" t="n">
        <v>-263</v>
      </c>
      <c r="E253" s="20" t="n">
        <v>-324</v>
      </c>
      <c r="F253" s="20" t="n">
        <v>-109</v>
      </c>
      <c r="G253" s="20" t="n">
        <v>-170</v>
      </c>
      <c r="H253" s="20" t="n">
        <v>-277</v>
      </c>
      <c r="I253" s="20" t="n">
        <v>-342</v>
      </c>
      <c r="J253" s="20" t="n">
        <v>-117</v>
      </c>
      <c r="K253" s="20" t="n">
        <v>-196</v>
      </c>
      <c r="L253" s="20" t="n">
        <v>-305</v>
      </c>
      <c r="M253" s="20" t="n">
        <v>-367</v>
      </c>
      <c r="N253" s="20" t="n">
        <v>-131</v>
      </c>
      <c r="O253" s="20" t="n">
        <v>-182</v>
      </c>
      <c r="P253" s="20" t="n">
        <v>-198</v>
      </c>
      <c r="Q253" s="20" t="n">
        <v>-216</v>
      </c>
      <c r="R253" s="20" t="n">
        <v>-244</v>
      </c>
      <c r="S253" s="20" t="n">
        <v>-234</v>
      </c>
      <c r="T253" s="20" t="n">
        <v>-257</v>
      </c>
      <c r="U253" s="20" t="n">
        <v>-280</v>
      </c>
      <c r="V253" s="20" t="n">
        <v>-324</v>
      </c>
      <c r="W253" s="20" t="n">
        <v>-342</v>
      </c>
      <c r="X253" s="20" t="n">
        <v>-367</v>
      </c>
    </row>
    <row r="254">
      <c r="A254" s="18" t="inlineStr">
        <is>
          <t>이자비용</t>
        </is>
      </c>
      <c r="C254" s="20" t="n">
        <v>145</v>
      </c>
      <c r="D254" s="20" t="n">
        <v>236</v>
      </c>
      <c r="E254" s="20" t="n">
        <v>331</v>
      </c>
      <c r="F254" s="20" t="n">
        <v>96</v>
      </c>
      <c r="G254" s="20" t="n">
        <v>189</v>
      </c>
      <c r="H254" s="20" t="n">
        <v>281</v>
      </c>
      <c r="I254" s="20" t="n">
        <v>393</v>
      </c>
      <c r="J254" s="20" t="n">
        <v>112</v>
      </c>
      <c r="K254" s="20" t="n">
        <v>236</v>
      </c>
      <c r="L254" s="20" t="n">
        <v>351</v>
      </c>
      <c r="M254" s="20" t="n">
        <v>479</v>
      </c>
      <c r="N254" s="20" t="n">
        <v>128</v>
      </c>
      <c r="O254" s="20" t="n">
        <v>209</v>
      </c>
      <c r="P254" s="20" t="n">
        <v>164</v>
      </c>
      <c r="Q254" s="20" t="n">
        <v>149</v>
      </c>
      <c r="R254" s="20" t="n">
        <v>176</v>
      </c>
      <c r="S254" s="20" t="n">
        <v>138</v>
      </c>
      <c r="T254" s="20" t="n">
        <v>186</v>
      </c>
      <c r="U254" s="20" t="n">
        <v>224</v>
      </c>
      <c r="V254" s="20" t="n">
        <v>331</v>
      </c>
      <c r="W254" s="20" t="n">
        <v>393</v>
      </c>
      <c r="X254" s="20" t="n">
        <v>479</v>
      </c>
    </row>
    <row r="255">
      <c r="A255" s="18" t="inlineStr">
        <is>
          <t>매출채권 증감</t>
        </is>
      </c>
      <c r="C255" s="20" t="n">
        <v>-726</v>
      </c>
      <c r="D255" s="20" t="n">
        <v>-2247</v>
      </c>
      <c r="E255" s="20" t="n">
        <v>-2281</v>
      </c>
      <c r="F255" s="20" t="n">
        <v>-690</v>
      </c>
      <c r="G255" s="20" t="n">
        <v>1615</v>
      </c>
      <c r="H255" s="20" t="n">
        <v>-2847</v>
      </c>
      <c r="I255" s="20" t="n">
        <v>627</v>
      </c>
      <c r="J255" s="20" t="n">
        <v>570</v>
      </c>
      <c r="K255" s="20" t="n">
        <v>-262</v>
      </c>
      <c r="L255" s="20" t="n">
        <v>-4214</v>
      </c>
      <c r="M255" s="20" t="n">
        <v>175</v>
      </c>
      <c r="N255" s="20" t="n">
        <v>-1233</v>
      </c>
      <c r="O255" s="20" t="n">
        <v>-166</v>
      </c>
      <c r="P255" s="20" t="n">
        <v>-2705</v>
      </c>
      <c r="Q255" s="20" t="n">
        <v>649</v>
      </c>
      <c r="R255" s="20" t="n">
        <v>4452</v>
      </c>
      <c r="S255" s="20" t="n">
        <v>-295</v>
      </c>
      <c r="T255" s="20" t="n">
        <v>-1958</v>
      </c>
      <c r="U255" s="20" t="n">
        <v>2863</v>
      </c>
      <c r="V255" s="20" t="n">
        <v>-2281</v>
      </c>
      <c r="W255" s="20" t="n">
        <v>627</v>
      </c>
      <c r="X255" s="20" t="n">
        <v>175</v>
      </c>
    </row>
    <row r="256">
      <c r="A256" s="18" t="inlineStr">
        <is>
          <t>재고자산 증감</t>
        </is>
      </c>
      <c r="C256" s="20" t="n">
        <v>510</v>
      </c>
      <c r="D256" s="20" t="n">
        <v>891</v>
      </c>
      <c r="E256" s="20" t="n">
        <v>1386</v>
      </c>
      <c r="F256" s="20" t="n">
        <v>677</v>
      </c>
      <c r="G256" s="20" t="n">
        <v>1715</v>
      </c>
      <c r="H256" s="20" t="n">
        <v>521</v>
      </c>
      <c r="I256" s="20" t="n">
        <v>-124</v>
      </c>
      <c r="J256" s="20" t="n">
        <v>-84</v>
      </c>
      <c r="K256" s="20" t="n">
        <v>677</v>
      </c>
      <c r="L256" s="20" t="n">
        <v>-486</v>
      </c>
      <c r="M256" s="20" t="n">
        <v>-1021</v>
      </c>
      <c r="N256" s="20" t="n">
        <v>54</v>
      </c>
      <c r="O256" s="20" t="n">
        <v>944</v>
      </c>
      <c r="P256" s="20" t="n">
        <v>-912</v>
      </c>
      <c r="Q256" s="20" t="n">
        <v>-1962</v>
      </c>
      <c r="R256" s="20" t="n">
        <v>1559</v>
      </c>
      <c r="S256" s="20" t="n">
        <v>-1634</v>
      </c>
      <c r="T256" s="20" t="n">
        <v>-3665</v>
      </c>
      <c r="U256" s="20" t="n">
        <v>-1898</v>
      </c>
      <c r="V256" s="20" t="n">
        <v>1386</v>
      </c>
      <c r="W256" s="20" t="n">
        <v>-124</v>
      </c>
      <c r="X256" s="20" t="n">
        <v>-1021</v>
      </c>
    </row>
    <row r="257">
      <c r="A257" s="18" t="inlineStr">
        <is>
          <t>매입채무 증감</t>
        </is>
      </c>
      <c r="C257" s="20" t="n">
        <v>-1569</v>
      </c>
      <c r="D257" s="20" t="n">
        <v>-164</v>
      </c>
      <c r="E257" s="20" t="n">
        <v>-435</v>
      </c>
      <c r="F257" s="20" t="n">
        <v>-1907</v>
      </c>
      <c r="G257" s="20" t="n">
        <v>-1884</v>
      </c>
      <c r="H257" s="20" t="n">
        <v>681</v>
      </c>
      <c r="I257" s="20" t="n">
        <v>-715</v>
      </c>
      <c r="J257" s="20" t="n">
        <v>-791</v>
      </c>
      <c r="K257" s="20" t="n">
        <v>-1241</v>
      </c>
      <c r="L257" s="20" t="n">
        <v>837</v>
      </c>
      <c r="M257" s="20" t="n">
        <v>-693</v>
      </c>
      <c r="N257" s="20" t="n">
        <v>-6</v>
      </c>
      <c r="O257" s="20" t="n">
        <v>-139</v>
      </c>
      <c r="P257" s="20" t="n">
        <v>1897</v>
      </c>
      <c r="Q257" s="20" t="n">
        <v>339</v>
      </c>
      <c r="R257" s="20" t="n">
        <v>-2934</v>
      </c>
      <c r="S257" s="20" t="n">
        <v>422</v>
      </c>
      <c r="T257" s="20" t="n">
        <v>2206</v>
      </c>
      <c r="U257" s="20" t="n">
        <v>-1603</v>
      </c>
      <c r="V257" s="20" t="n">
        <v>-435</v>
      </c>
      <c r="W257" s="20" t="n">
        <v>-715</v>
      </c>
      <c r="X257" s="20" t="n">
        <v>-693</v>
      </c>
    </row>
    <row r="258">
      <c r="A258" s="18" t="inlineStr">
        <is>
          <t>미지급 소비세 증감</t>
        </is>
      </c>
      <c r="C258" s="20" t="n">
        <v>330</v>
      </c>
      <c r="D258" s="20" t="n">
        <v>246</v>
      </c>
      <c r="E258" s="20" t="n">
        <v>71</v>
      </c>
      <c r="F258" s="20" t="n">
        <v>214</v>
      </c>
      <c r="G258" s="20" t="n">
        <v>307</v>
      </c>
      <c r="H258" s="20" t="n">
        <v>207</v>
      </c>
      <c r="I258" s="20" t="n">
        <v>-15</v>
      </c>
      <c r="J258" s="20" t="n">
        <v>142</v>
      </c>
      <c r="K258" s="20" t="n">
        <v>320</v>
      </c>
      <c r="L258" s="20" t="n">
        <v>294</v>
      </c>
      <c r="M258" s="20" t="n">
        <v>284</v>
      </c>
      <c r="N258" s="20" t="n">
        <v>-18</v>
      </c>
      <c r="O258" s="20" t="n">
        <v>-30</v>
      </c>
      <c r="P258" s="20" t="n">
        <v>-54</v>
      </c>
      <c r="Q258" s="20" t="n">
        <v>45</v>
      </c>
      <c r="R258" s="20" t="n">
        <v>201</v>
      </c>
      <c r="S258" s="20" t="n">
        <v>-187</v>
      </c>
      <c r="T258" s="20" t="n">
        <v>518</v>
      </c>
      <c r="U258" s="20" t="n">
        <v>135</v>
      </c>
      <c r="V258" s="20" t="n">
        <v>71</v>
      </c>
      <c r="W258" s="20" t="n">
        <v>-15</v>
      </c>
      <c r="X258" s="20" t="n">
        <v>284</v>
      </c>
    </row>
    <row r="259">
      <c r="A259" s="18" t="inlineStr">
        <is>
          <t>기타</t>
        </is>
      </c>
      <c r="C259" s="20" t="n">
        <v>-658</v>
      </c>
      <c r="D259" s="20" t="n">
        <v>529</v>
      </c>
      <c r="E259" s="20" t="n">
        <v>3021</v>
      </c>
      <c r="F259" s="20" t="n">
        <v>-121</v>
      </c>
      <c r="G259" s="20" t="n">
        <v>-939</v>
      </c>
      <c r="H259" s="20" t="n">
        <v>-367</v>
      </c>
      <c r="I259" s="20" t="n">
        <v>566</v>
      </c>
      <c r="J259" s="20" t="n">
        <v>-747</v>
      </c>
      <c r="K259" s="20" t="n">
        <v>-707</v>
      </c>
      <c r="L259" s="20" t="n">
        <v>-251</v>
      </c>
      <c r="M259" s="20" t="n">
        <v>1329</v>
      </c>
      <c r="N259" s="20" t="n">
        <v>328</v>
      </c>
      <c r="O259" s="20" t="n">
        <v>870</v>
      </c>
      <c r="P259" s="20" t="n">
        <v>203</v>
      </c>
      <c r="Q259" s="20" t="n">
        <v>-1163</v>
      </c>
      <c r="R259" s="20" t="n">
        <v>-1176</v>
      </c>
      <c r="S259" s="20" t="n">
        <v>945</v>
      </c>
      <c r="T259" s="20" t="n">
        <v>2044</v>
      </c>
      <c r="U259" s="20" t="n">
        <v>616</v>
      </c>
      <c r="V259" s="20" t="n">
        <v>3021</v>
      </c>
      <c r="W259" s="20" t="n">
        <v>566</v>
      </c>
      <c r="X259" s="20" t="n">
        <v>1329</v>
      </c>
    </row>
    <row r="260">
      <c r="A260" s="18" t="inlineStr">
        <is>
          <t>소계</t>
        </is>
      </c>
      <c r="C260" s="20" t="n">
        <v>-1255</v>
      </c>
      <c r="D260" s="20" t="n">
        <v>1123</v>
      </c>
      <c r="E260" s="20" t="n">
        <v>2062</v>
      </c>
      <c r="F260" s="20" t="n">
        <v>-317</v>
      </c>
      <c r="G260" s="20" t="n">
        <v>3833</v>
      </c>
      <c r="H260" s="20" t="n">
        <v>2802</v>
      </c>
      <c r="I260" s="20" t="n">
        <v>6186</v>
      </c>
      <c r="J260" s="20" t="n">
        <v>265</v>
      </c>
      <c r="K260" s="20" t="n">
        <v>2055</v>
      </c>
      <c r="L260" s="20" t="n">
        <v>1393</v>
      </c>
      <c r="M260" s="20" t="n">
        <v>6047</v>
      </c>
      <c r="N260" s="20" t="n">
        <v>1402</v>
      </c>
      <c r="O260" s="20" t="n">
        <v>9140</v>
      </c>
      <c r="P260" s="20" t="n">
        <v>5310</v>
      </c>
      <c r="Q260" s="20" t="n">
        <v>5285</v>
      </c>
      <c r="R260" s="20" t="n">
        <v>8924</v>
      </c>
      <c r="S260" s="20" t="n">
        <v>4125</v>
      </c>
      <c r="T260" s="20" t="n">
        <v>5291</v>
      </c>
      <c r="U260" s="20" t="n">
        <v>354</v>
      </c>
      <c r="V260" s="20" t="n">
        <v>2062</v>
      </c>
      <c r="W260" s="20" t="n">
        <v>6186</v>
      </c>
      <c r="X260" s="20" t="n">
        <v>6047</v>
      </c>
    </row>
    <row r="261">
      <c r="A261" s="18" t="inlineStr">
        <is>
          <t>이자·배당금 수취</t>
        </is>
      </c>
      <c r="C261" s="20" t="n">
        <v>160</v>
      </c>
      <c r="D261" s="20" t="n">
        <v>257</v>
      </c>
      <c r="E261" s="20" t="n">
        <v>324</v>
      </c>
      <c r="F261" s="20" t="n">
        <v>111</v>
      </c>
      <c r="G261" s="20" t="n">
        <v>176</v>
      </c>
      <c r="H261" s="20" t="n">
        <v>282</v>
      </c>
      <c r="I261" s="20" t="n">
        <v>342</v>
      </c>
      <c r="J261" s="20" t="n">
        <v>122</v>
      </c>
      <c r="K261" s="20" t="n">
        <v>200</v>
      </c>
      <c r="L261" s="20" t="n">
        <v>309</v>
      </c>
      <c r="M261" s="20" t="n">
        <v>364</v>
      </c>
      <c r="N261" s="20" t="n">
        <v>138</v>
      </c>
      <c r="O261" s="20" t="n">
        <v>183</v>
      </c>
      <c r="P261" s="20" t="n">
        <v>194</v>
      </c>
      <c r="Q261" s="20" t="n">
        <v>215</v>
      </c>
      <c r="R261" s="20" t="n">
        <v>245</v>
      </c>
      <c r="S261" s="20" t="n">
        <v>234</v>
      </c>
      <c r="T261" s="20" t="n">
        <v>253</v>
      </c>
      <c r="U261" s="20" t="n">
        <v>284</v>
      </c>
      <c r="V261" s="20" t="n">
        <v>324</v>
      </c>
      <c r="W261" s="20" t="n">
        <v>342</v>
      </c>
      <c r="X261" s="20" t="n">
        <v>364</v>
      </c>
    </row>
    <row r="262">
      <c r="A262" s="18" t="inlineStr">
        <is>
          <t>이자 지급</t>
        </is>
      </c>
      <c r="C262" s="20" t="n">
        <v>-126</v>
      </c>
      <c r="D262" s="20" t="n">
        <v>-232</v>
      </c>
      <c r="E262" s="20" t="n">
        <v>-358</v>
      </c>
      <c r="F262" s="20" t="n">
        <v>-96</v>
      </c>
      <c r="G262" s="20" t="n">
        <v>-177</v>
      </c>
      <c r="H262" s="20" t="n">
        <v>-276</v>
      </c>
      <c r="I262" s="20" t="n">
        <v>-372</v>
      </c>
      <c r="J262" s="20" t="n">
        <v>-131</v>
      </c>
      <c r="K262" s="20" t="n">
        <v>-215</v>
      </c>
      <c r="L262" s="20" t="n">
        <v>-347</v>
      </c>
      <c r="M262" s="20" t="n">
        <v>-487</v>
      </c>
      <c r="N262" s="20" t="n">
        <v>-142</v>
      </c>
      <c r="O262" s="20" t="n">
        <v>-212</v>
      </c>
      <c r="P262" s="20" t="n">
        <v>-145</v>
      </c>
      <c r="Q262" s="20" t="n">
        <v>-168</v>
      </c>
      <c r="R262" s="20" t="n">
        <v>-135</v>
      </c>
      <c r="S262" s="20" t="n">
        <v>-135</v>
      </c>
      <c r="T262" s="20" t="n">
        <v>-155</v>
      </c>
      <c r="U262" s="20" t="n">
        <v>-218</v>
      </c>
      <c r="V262" s="20" t="n">
        <v>-358</v>
      </c>
      <c r="W262" s="20" t="n">
        <v>-372</v>
      </c>
      <c r="X262" s="20" t="n">
        <v>-487</v>
      </c>
    </row>
    <row r="263">
      <c r="A263" s="18" t="inlineStr">
        <is>
          <t>보험금 수취</t>
        </is>
      </c>
      <c r="P263" s="20" t="n">
        <v>0</v>
      </c>
      <c r="Q263" s="20" t="n">
        <v>2621</v>
      </c>
      <c r="R263" s="20" t="n">
        <v>0</v>
      </c>
    </row>
    <row r="264">
      <c r="A264" s="18" t="inlineStr">
        <is>
          <t>해결금 지급액</t>
        </is>
      </c>
      <c r="H264" s="20" t="n">
        <v>0</v>
      </c>
      <c r="I264" s="20" t="n">
        <v>0</v>
      </c>
      <c r="L264" s="20" t="n">
        <v>-160</v>
      </c>
      <c r="M264" s="20" t="n">
        <v>-185</v>
      </c>
      <c r="W264" s="20" t="n">
        <v>0</v>
      </c>
      <c r="X264" s="20" t="n">
        <v>-185</v>
      </c>
    </row>
    <row r="265">
      <c r="A265" s="18" t="inlineStr">
        <is>
          <t>법인세 납부·환급</t>
        </is>
      </c>
      <c r="C265" s="20" t="n">
        <v>-297</v>
      </c>
      <c r="D265" s="20" t="n">
        <v>-591</v>
      </c>
      <c r="E265" s="20" t="n">
        <v>-871</v>
      </c>
      <c r="F265" s="20" t="n">
        <v>-162</v>
      </c>
      <c r="G265" s="20" t="n">
        <v>-434</v>
      </c>
      <c r="H265" s="20" t="n">
        <v>-784</v>
      </c>
      <c r="I265" s="20" t="n">
        <v>-1036</v>
      </c>
      <c r="J265" s="20" t="n">
        <v>-500</v>
      </c>
      <c r="K265" s="20" t="n">
        <v>-790</v>
      </c>
      <c r="L265" s="20" t="n">
        <v>-1301</v>
      </c>
      <c r="M265" s="20" t="n">
        <v>-1562</v>
      </c>
      <c r="N265" s="20" t="n">
        <v>-310</v>
      </c>
      <c r="O265" s="20" t="n">
        <v>-1267</v>
      </c>
      <c r="P265" s="20" t="n">
        <v>-1551</v>
      </c>
      <c r="Q265" s="20" t="n">
        <v>-1225</v>
      </c>
      <c r="R265" s="20" t="n">
        <v>-1500</v>
      </c>
      <c r="S265" s="20" t="n">
        <v>-538</v>
      </c>
      <c r="T265" s="20" t="n">
        <v>-1399</v>
      </c>
      <c r="U265" s="20" t="n">
        <v>-996</v>
      </c>
      <c r="V265" s="20" t="n">
        <v>-871</v>
      </c>
      <c r="W265" s="20" t="n">
        <v>-1036</v>
      </c>
      <c r="X265" s="20" t="n">
        <v>-1562</v>
      </c>
    </row>
    <row r="266">
      <c r="A266" s="9" t="inlineStr">
        <is>
          <t>영업활동 현금흐름</t>
        </is>
      </c>
      <c r="C266" s="12" t="n">
        <v>-1518</v>
      </c>
      <c r="D266" s="12" t="n">
        <v>556</v>
      </c>
      <c r="E266" s="12" t="n">
        <v>1157</v>
      </c>
      <c r="F266" s="12" t="n">
        <v>-465</v>
      </c>
      <c r="G266" s="12" t="n">
        <v>3398</v>
      </c>
      <c r="H266" s="12" t="n">
        <v>2023</v>
      </c>
      <c r="I266" s="12" t="n">
        <v>5119</v>
      </c>
      <c r="J266" s="12" t="n">
        <v>-244</v>
      </c>
      <c r="K266" s="12" t="n">
        <v>1249</v>
      </c>
      <c r="L266" s="12" t="n">
        <v>-105</v>
      </c>
      <c r="M266" s="12" t="n">
        <v>4176</v>
      </c>
      <c r="N266" s="12" t="n">
        <v>1087</v>
      </c>
      <c r="O266" s="12" t="n">
        <v>7843</v>
      </c>
      <c r="P266" s="12" t="n">
        <v>3808</v>
      </c>
      <c r="Q266" s="12" t="n">
        <v>6728</v>
      </c>
      <c r="R266" s="12" t="n">
        <v>7534</v>
      </c>
      <c r="S266" s="12" t="n">
        <v>3685</v>
      </c>
      <c r="T266" s="12" t="n">
        <v>3989</v>
      </c>
      <c r="U266" s="12" t="n">
        <v>-575</v>
      </c>
      <c r="V266" s="12" t="n">
        <v>1157</v>
      </c>
      <c r="W266" s="12" t="n">
        <v>5119</v>
      </c>
      <c r="X266" s="12" t="n">
        <v>4176</v>
      </c>
    </row>
    <row r="267">
      <c r="A267" s="18" t="inlineStr">
        <is>
          <t>정기예금 증감</t>
        </is>
      </c>
      <c r="C267" s="20" t="n">
        <v>38</v>
      </c>
      <c r="D267" s="20" t="n">
        <v>-197</v>
      </c>
      <c r="E267" s="20" t="n">
        <v>-428</v>
      </c>
      <c r="F267" s="20" t="n">
        <v>676</v>
      </c>
      <c r="G267" s="20" t="n">
        <v>393</v>
      </c>
      <c r="H267" s="20" t="n">
        <v>299</v>
      </c>
      <c r="I267" s="20" t="n">
        <v>-471</v>
      </c>
      <c r="J267" s="20" t="n">
        <v>812</v>
      </c>
      <c r="K267" s="20" t="n">
        <v>1302</v>
      </c>
      <c r="L267" s="20" t="n">
        <v>1159</v>
      </c>
      <c r="M267" s="20" t="n">
        <v>872</v>
      </c>
      <c r="N267" s="20" t="n">
        <v>-170</v>
      </c>
      <c r="O267" s="20" t="n">
        <v>138</v>
      </c>
      <c r="P267" s="20" t="n">
        <v>26</v>
      </c>
      <c r="Q267" s="20" t="n">
        <v>-25</v>
      </c>
      <c r="R267" s="20" t="n">
        <v>0</v>
      </c>
      <c r="S267" s="20" t="n">
        <v>-1014</v>
      </c>
      <c r="T267" s="20" t="n">
        <v>136</v>
      </c>
      <c r="U267" s="20" t="n">
        <v>-701</v>
      </c>
      <c r="V267" s="20" t="n">
        <v>-428</v>
      </c>
      <c r="W267" s="20" t="n">
        <v>-471</v>
      </c>
      <c r="X267" s="20" t="n">
        <v>872</v>
      </c>
    </row>
    <row r="268">
      <c r="A268" s="18" t="inlineStr">
        <is>
          <t>유형자산 취득(설비투자)</t>
        </is>
      </c>
      <c r="C268" s="20" t="n">
        <v>-3295</v>
      </c>
      <c r="D268" s="20" t="n">
        <v>-5288</v>
      </c>
      <c r="E268" s="20" t="n">
        <v>-6768</v>
      </c>
      <c r="F268" s="20" t="n">
        <v>-689</v>
      </c>
      <c r="G268" s="20" t="n">
        <v>-1806</v>
      </c>
      <c r="H268" s="20" t="n">
        <v>-2383</v>
      </c>
      <c r="I268" s="20" t="n">
        <v>-4407</v>
      </c>
      <c r="J268" s="20" t="n">
        <v>-890</v>
      </c>
      <c r="K268" s="20" t="n">
        <v>-1886</v>
      </c>
      <c r="L268" s="20" t="n">
        <v>-2453</v>
      </c>
      <c r="M268" s="20" t="n">
        <v>-3680</v>
      </c>
      <c r="N268" s="20" t="n">
        <v>-521</v>
      </c>
      <c r="O268" s="20" t="n">
        <v>-1801</v>
      </c>
      <c r="P268" s="20" t="n">
        <v>-2160</v>
      </c>
      <c r="Q268" s="20" t="n">
        <v>-7954</v>
      </c>
      <c r="R268" s="20" t="n">
        <v>-8493</v>
      </c>
      <c r="S268" s="20" t="n">
        <v>-5425</v>
      </c>
      <c r="T268" s="20" t="n">
        <v>-6149</v>
      </c>
      <c r="U268" s="20" t="n">
        <v>-6046</v>
      </c>
      <c r="V268" s="20" t="n">
        <v>-6768</v>
      </c>
      <c r="W268" s="20" t="n">
        <v>-4407</v>
      </c>
      <c r="X268" s="20" t="n">
        <v>-3680</v>
      </c>
    </row>
    <row r="269">
      <c r="A269" s="18" t="inlineStr">
        <is>
          <t>유형자산 매각</t>
        </is>
      </c>
      <c r="C269" s="20" t="n">
        <v>5</v>
      </c>
      <c r="D269" s="20" t="n">
        <v>14</v>
      </c>
      <c r="E269" s="20" t="n">
        <v>14</v>
      </c>
      <c r="F269" s="20" t="n">
        <v>768</v>
      </c>
      <c r="G269" s="20" t="n">
        <v>769</v>
      </c>
      <c r="H269" s="20" t="n">
        <v>772</v>
      </c>
      <c r="I269" s="20" t="n">
        <v>773</v>
      </c>
      <c r="J269" s="20" t="n">
        <v>0</v>
      </c>
      <c r="K269" s="20" t="n">
        <v>0</v>
      </c>
      <c r="L269" s="20" t="n">
        <v>2</v>
      </c>
      <c r="M269" s="20" t="n">
        <v>4</v>
      </c>
      <c r="N269" s="20" t="n">
        <v>4</v>
      </c>
      <c r="O269" s="20" t="n">
        <v>42</v>
      </c>
      <c r="P269" s="20" t="n">
        <v>21</v>
      </c>
      <c r="Q269" s="20" t="n">
        <v>69</v>
      </c>
      <c r="R269" s="20" t="n">
        <v>11</v>
      </c>
      <c r="S269" s="20" t="n">
        <v>160</v>
      </c>
      <c r="T269" s="20" t="n">
        <v>8</v>
      </c>
      <c r="U269" s="20" t="n">
        <v>1231</v>
      </c>
      <c r="V269" s="20" t="n">
        <v>14</v>
      </c>
      <c r="W269" s="20" t="n">
        <v>773</v>
      </c>
      <c r="X269" s="20" t="n">
        <v>4</v>
      </c>
    </row>
    <row r="270">
      <c r="A270" s="18" t="inlineStr">
        <is>
          <t>투자유가증권 취득</t>
        </is>
      </c>
      <c r="C270" s="20" t="n">
        <v>-19</v>
      </c>
      <c r="D270" s="20" t="n">
        <v>-32</v>
      </c>
      <c r="E270" s="20" t="n">
        <v>-38</v>
      </c>
      <c r="F270" s="20" t="n">
        <v>-11</v>
      </c>
      <c r="G270" s="20" t="n">
        <v>-19</v>
      </c>
      <c r="H270" s="20" t="n">
        <v>-47</v>
      </c>
      <c r="I270" s="20" t="n">
        <v>-303</v>
      </c>
      <c r="J270" s="20" t="n">
        <v>-12</v>
      </c>
      <c r="K270" s="20" t="n">
        <v>-21</v>
      </c>
      <c r="L270" s="20" t="n">
        <v>-35</v>
      </c>
      <c r="M270" s="20" t="n">
        <v>-42</v>
      </c>
      <c r="N270" s="20" t="n">
        <v>-11</v>
      </c>
      <c r="O270" s="20" t="n">
        <v>-35</v>
      </c>
      <c r="P270" s="20" t="n">
        <v>-32</v>
      </c>
      <c r="Q270" s="20" t="n">
        <v>-33</v>
      </c>
      <c r="R270" s="20" t="n">
        <v>-40</v>
      </c>
      <c r="S270" s="20" t="n">
        <v>-234</v>
      </c>
      <c r="T270" s="20" t="n">
        <v>-172</v>
      </c>
      <c r="U270" s="20" t="n">
        <v>-247</v>
      </c>
      <c r="V270" s="20" t="n">
        <v>-38</v>
      </c>
      <c r="W270" s="20" t="n">
        <v>-303</v>
      </c>
      <c r="X270" s="20" t="n">
        <v>-42</v>
      </c>
    </row>
    <row r="271">
      <c r="A271" s="18" t="inlineStr">
        <is>
          <t>투자유가증권 매각</t>
        </is>
      </c>
      <c r="C271" s="20" t="n">
        <v>51</v>
      </c>
      <c r="D271" s="20" t="n">
        <v>253</v>
      </c>
      <c r="E271" s="20" t="n">
        <v>655</v>
      </c>
      <c r="F271" s="20" t="n">
        <v>355</v>
      </c>
      <c r="G271" s="20" t="n">
        <v>355</v>
      </c>
      <c r="H271" s="20" t="n">
        <v>606</v>
      </c>
      <c r="I271" s="20" t="n">
        <v>1578</v>
      </c>
      <c r="J271" s="20" t="n">
        <v>0</v>
      </c>
      <c r="K271" s="20" t="n">
        <v>155</v>
      </c>
      <c r="L271" s="20" t="n">
        <v>470</v>
      </c>
      <c r="M271" s="20" t="n">
        <v>1331</v>
      </c>
      <c r="O271" s="20" t="n">
        <v>8</v>
      </c>
      <c r="P271" s="20" t="n">
        <v>179</v>
      </c>
      <c r="Q271" s="20" t="n">
        <v>9</v>
      </c>
      <c r="R271" s="20" t="n">
        <v>517</v>
      </c>
      <c r="S271" s="20" t="n">
        <v>324</v>
      </c>
      <c r="T271" s="20" t="n">
        <v>21</v>
      </c>
      <c r="U271" s="20" t="n">
        <v>478</v>
      </c>
      <c r="V271" s="20" t="n">
        <v>655</v>
      </c>
      <c r="W271" s="20" t="n">
        <v>1578</v>
      </c>
      <c r="X271" s="20" t="n">
        <v>1331</v>
      </c>
    </row>
    <row r="272">
      <c r="A272" s="18" t="inlineStr">
        <is>
          <t>무형자산 취득</t>
        </is>
      </c>
      <c r="C272" s="20" t="n">
        <v>-29</v>
      </c>
      <c r="D272" s="20" t="n">
        <v>-69</v>
      </c>
      <c r="E272" s="20" t="n">
        <v>-89</v>
      </c>
      <c r="F272" s="20" t="n">
        <v>-6</v>
      </c>
      <c r="G272" s="20" t="n">
        <v>-58</v>
      </c>
      <c r="H272" s="20" t="n">
        <v>-68</v>
      </c>
      <c r="I272" s="20" t="n">
        <v>-110</v>
      </c>
      <c r="J272" s="20" t="n">
        <v>-9</v>
      </c>
      <c r="K272" s="20" t="n">
        <v>-18</v>
      </c>
      <c r="L272" s="20" t="n">
        <v>-40</v>
      </c>
      <c r="M272" s="20" t="n">
        <v>-114</v>
      </c>
      <c r="N272" s="20" t="n">
        <v>-25</v>
      </c>
      <c r="O272" s="20" t="n">
        <v>-55</v>
      </c>
      <c r="P272" s="20" t="n">
        <v>-55</v>
      </c>
      <c r="Q272" s="20" t="n">
        <v>-41</v>
      </c>
      <c r="R272" s="20" t="n">
        <v>-658</v>
      </c>
      <c r="S272" s="20" t="n">
        <v>-604</v>
      </c>
      <c r="T272" s="20" t="n">
        <v>-274</v>
      </c>
      <c r="U272" s="20" t="n">
        <v>-69</v>
      </c>
      <c r="V272" s="20" t="n">
        <v>-89</v>
      </c>
      <c r="W272" s="20" t="n">
        <v>-110</v>
      </c>
      <c r="X272" s="20" t="n">
        <v>-114</v>
      </c>
    </row>
    <row r="273">
      <c r="A273" s="18" t="inlineStr">
        <is>
          <t>사업양수 지출</t>
        </is>
      </c>
      <c r="O273" s="20" t="n">
        <v>-911</v>
      </c>
      <c r="P273" s="20" t="n">
        <v>0</v>
      </c>
    </row>
    <row r="274">
      <c r="A274" s="18" t="inlineStr">
        <is>
          <t>단기대여금 증감(△는 증가)</t>
        </is>
      </c>
      <c r="O274" s="20" t="n">
        <v>-34</v>
      </c>
      <c r="P274" s="20" t="n">
        <v>34</v>
      </c>
      <c r="Q274" s="20" t="n">
        <v>0</v>
      </c>
    </row>
    <row r="275">
      <c r="A275" s="18" t="inlineStr">
        <is>
          <t>관계회사 주식 취득</t>
        </is>
      </c>
      <c r="E275" s="20" t="n">
        <v>-305</v>
      </c>
      <c r="I275" s="20" t="n">
        <v>0</v>
      </c>
      <c r="M275" s="20" t="n">
        <v>-157</v>
      </c>
      <c r="U275" s="20" t="n">
        <v>0</v>
      </c>
      <c r="V275" s="20" t="n">
        <v>-305</v>
      </c>
      <c r="W275" s="20" t="n">
        <v>0</v>
      </c>
      <c r="X275" s="20" t="n">
        <v>-157</v>
      </c>
    </row>
    <row r="276">
      <c r="A276" s="18" t="inlineStr">
        <is>
          <t>이연자산 취득 지출</t>
        </is>
      </c>
      <c r="C276" s="20" t="n">
        <v>-28</v>
      </c>
      <c r="D276" s="20" t="n">
        <v>-49</v>
      </c>
      <c r="E276" s="20" t="n">
        <v>-64</v>
      </c>
      <c r="F276" s="20" t="n">
        <v>0</v>
      </c>
      <c r="G276" s="20" t="n">
        <v>0</v>
      </c>
      <c r="H276" s="20" t="n">
        <v>0</v>
      </c>
      <c r="I276" s="20" t="n">
        <v>0</v>
      </c>
      <c r="P276" s="20" t="n">
        <v>0</v>
      </c>
      <c r="Q276" s="20" t="n">
        <v>-16</v>
      </c>
      <c r="R276" s="20" t="n">
        <v>-211</v>
      </c>
      <c r="S276" s="20" t="n">
        <v>-411</v>
      </c>
      <c r="T276" s="20" t="n">
        <v>-742</v>
      </c>
      <c r="U276" s="20" t="n">
        <v>-542</v>
      </c>
      <c r="V276" s="20" t="n">
        <v>-64</v>
      </c>
      <c r="W276" s="20" t="n">
        <v>0</v>
      </c>
    </row>
    <row r="277">
      <c r="A277" s="18" t="inlineStr">
        <is>
          <t>투자 및 기타자산 증감액</t>
        </is>
      </c>
      <c r="C277" s="20" t="n">
        <v>0</v>
      </c>
      <c r="D277" s="20" t="n">
        <v>0</v>
      </c>
      <c r="E277" s="20" t="n">
        <v>-1</v>
      </c>
      <c r="F277" s="20" t="n">
        <v>3</v>
      </c>
      <c r="G277" s="20" t="n">
        <v>-8</v>
      </c>
      <c r="H277" s="20" t="n">
        <v>-9</v>
      </c>
      <c r="I277" s="20" t="n">
        <v>-9</v>
      </c>
      <c r="J277" s="20" t="n">
        <v>-2</v>
      </c>
      <c r="K277" s="20" t="n">
        <v>-26</v>
      </c>
      <c r="L277" s="20" t="n">
        <v>-33</v>
      </c>
      <c r="M277" s="20" t="n">
        <v>-106</v>
      </c>
      <c r="N277" s="20" t="n">
        <v>76</v>
      </c>
      <c r="O277" s="20" t="n">
        <v>8</v>
      </c>
      <c r="P277" s="20" t="n">
        <v>5</v>
      </c>
      <c r="Q277" s="20" t="n">
        <v>3</v>
      </c>
      <c r="R277" s="20" t="n">
        <v>2</v>
      </c>
      <c r="S277" s="20" t="n">
        <v>2</v>
      </c>
      <c r="T277" s="20" t="n">
        <v>17</v>
      </c>
      <c r="U277" s="20" t="n">
        <v>7</v>
      </c>
      <c r="V277" s="20" t="n">
        <v>-1</v>
      </c>
      <c r="W277" s="20" t="n">
        <v>-9</v>
      </c>
      <c r="X277" s="20" t="n">
        <v>-106</v>
      </c>
    </row>
    <row r="278">
      <c r="A278" s="18" t="inlineStr">
        <is>
          <t>기타</t>
        </is>
      </c>
      <c r="C278" s="20" t="n">
        <v>-1</v>
      </c>
      <c r="D278" s="20" t="n">
        <v>-18</v>
      </c>
      <c r="E278" s="20" t="n">
        <v>-113</v>
      </c>
      <c r="F278" s="20" t="n">
        <v>-25</v>
      </c>
      <c r="G278" s="20" t="n">
        <v>-34</v>
      </c>
      <c r="H278" s="20" t="n">
        <v>-174</v>
      </c>
      <c r="I278" s="20" t="n">
        <v>-292</v>
      </c>
      <c r="J278" s="20" t="n">
        <v>-22</v>
      </c>
      <c r="K278" s="20" t="n">
        <v>-128</v>
      </c>
      <c r="L278" s="20" t="n">
        <v>-137</v>
      </c>
      <c r="M278" s="20" t="n">
        <v>-209</v>
      </c>
      <c r="N278" s="20" t="n">
        <v>-53</v>
      </c>
      <c r="O278" s="20" t="n">
        <v>-56</v>
      </c>
      <c r="P278" s="20" t="n">
        <v>-66</v>
      </c>
      <c r="Q278" s="20" t="n">
        <v>-220</v>
      </c>
      <c r="R278" s="20" t="n">
        <v>-128</v>
      </c>
      <c r="S278" s="20" t="n">
        <v>-94</v>
      </c>
      <c r="T278" s="20" t="n">
        <v>-245</v>
      </c>
      <c r="U278" s="20" t="n">
        <v>-156</v>
      </c>
      <c r="V278" s="20" t="n">
        <v>-113</v>
      </c>
      <c r="W278" s="20" t="n">
        <v>-292</v>
      </c>
      <c r="X278" s="20" t="n">
        <v>-209</v>
      </c>
    </row>
    <row r="279">
      <c r="A279" s="9" t="inlineStr">
        <is>
          <t>투자활동 현금흐름</t>
        </is>
      </c>
      <c r="C279" s="12" t="n">
        <v>-3277</v>
      </c>
      <c r="D279" s="12" t="n">
        <v>-5386</v>
      </c>
      <c r="E279" s="12" t="n">
        <v>-7140</v>
      </c>
      <c r="F279" s="12" t="n">
        <v>1070</v>
      </c>
      <c r="G279" s="12" t="n">
        <v>-407</v>
      </c>
      <c r="H279" s="12" t="n">
        <v>-1005</v>
      </c>
      <c r="I279" s="12" t="n">
        <v>-3243</v>
      </c>
      <c r="J279" s="12" t="n">
        <v>-124</v>
      </c>
      <c r="K279" s="12" t="n">
        <v>-622</v>
      </c>
      <c r="L279" s="12" t="n">
        <v>-1067</v>
      </c>
      <c r="M279" s="12" t="n">
        <v>-2103</v>
      </c>
      <c r="N279" s="12" t="n">
        <v>-701</v>
      </c>
      <c r="O279" s="12" t="n">
        <v>-2698</v>
      </c>
      <c r="P279" s="12" t="n">
        <v>-2048</v>
      </c>
      <c r="Q279" s="12" t="n">
        <v>-8208</v>
      </c>
      <c r="R279" s="12" t="n">
        <v>-9001</v>
      </c>
      <c r="S279" s="12" t="n">
        <v>-7298</v>
      </c>
      <c r="T279" s="12" t="n">
        <v>-7401</v>
      </c>
      <c r="U279" s="12" t="n">
        <v>-6046</v>
      </c>
      <c r="V279" s="12" t="n">
        <v>-7140</v>
      </c>
      <c r="W279" s="12" t="n">
        <v>-3243</v>
      </c>
      <c r="X279" s="12" t="n">
        <v>-2103</v>
      </c>
    </row>
    <row r="280">
      <c r="A280" s="18" t="inlineStr">
        <is>
          <t>단기차입금 순증감</t>
        </is>
      </c>
      <c r="C280" s="20" t="n">
        <v>5499</v>
      </c>
      <c r="D280" s="20" t="n">
        <v>-928</v>
      </c>
      <c r="E280" s="20" t="n">
        <v>309</v>
      </c>
      <c r="F280" s="20" t="n">
        <v>-529</v>
      </c>
      <c r="G280" s="20" t="n">
        <v>-1126</v>
      </c>
      <c r="H280" s="20" t="n">
        <v>900</v>
      </c>
      <c r="I280" s="20" t="n">
        <v>-243</v>
      </c>
      <c r="J280" s="20" t="n">
        <v>2357</v>
      </c>
      <c r="K280" s="20" t="n">
        <v>2231</v>
      </c>
      <c r="L280" s="20" t="n">
        <v>5414</v>
      </c>
      <c r="M280" s="20" t="n">
        <v>4364</v>
      </c>
      <c r="N280" s="20" t="n">
        <v>-40</v>
      </c>
      <c r="O280" s="20" t="n">
        <v>-1715</v>
      </c>
      <c r="P280" s="20" t="n">
        <v>-549</v>
      </c>
      <c r="Q280" s="20" t="n">
        <v>-122</v>
      </c>
      <c r="R280" s="20" t="n">
        <v>-338</v>
      </c>
      <c r="S280" s="20" t="n">
        <v>2974</v>
      </c>
      <c r="T280" s="20" t="n">
        <v>4647</v>
      </c>
      <c r="U280" s="20" t="n">
        <v>1506</v>
      </c>
      <c r="V280" s="20" t="n">
        <v>309</v>
      </c>
      <c r="W280" s="20" t="n">
        <v>-243</v>
      </c>
      <c r="X280" s="20" t="n">
        <v>4364</v>
      </c>
    </row>
    <row r="281">
      <c r="A281" s="18" t="inlineStr">
        <is>
          <t>장기차입</t>
        </is>
      </c>
      <c r="C281" s="20" t="n">
        <v>391</v>
      </c>
      <c r="D281" s="20" t="n">
        <v>11994</v>
      </c>
      <c r="E281" s="20" t="n">
        <v>12162</v>
      </c>
      <c r="G281" s="20" t="n">
        <v>0</v>
      </c>
      <c r="H281" s="20" t="n">
        <v>405</v>
      </c>
      <c r="I281" s="20" t="n">
        <v>405</v>
      </c>
      <c r="L281" s="20" t="n">
        <v>0</v>
      </c>
      <c r="M281" s="20" t="n">
        <v>0</v>
      </c>
      <c r="P281" s="20" t="n">
        <v>0</v>
      </c>
      <c r="Q281" s="20" t="n">
        <v>4000</v>
      </c>
      <c r="R281" s="20" t="n">
        <v>200</v>
      </c>
      <c r="S281" s="20" t="n">
        <v>0</v>
      </c>
      <c r="T281" s="20" t="n">
        <v>0</v>
      </c>
      <c r="U281" s="20" t="n">
        <v>7109</v>
      </c>
      <c r="V281" s="20" t="n">
        <v>12162</v>
      </c>
      <c r="W281" s="20" t="n">
        <v>405</v>
      </c>
      <c r="X281" s="20" t="n">
        <v>0</v>
      </c>
    </row>
    <row r="282">
      <c r="A282" s="18" t="inlineStr">
        <is>
          <t>장기차입금 상환</t>
        </is>
      </c>
      <c r="C282" s="20" t="n">
        <v>-695</v>
      </c>
      <c r="D282" s="20" t="n">
        <v>-4735</v>
      </c>
      <c r="E282" s="20" t="n">
        <v>-5503</v>
      </c>
      <c r="F282" s="20" t="n">
        <v>-875</v>
      </c>
      <c r="G282" s="20" t="n">
        <v>-1652</v>
      </c>
      <c r="H282" s="20" t="n">
        <v>-2633</v>
      </c>
      <c r="I282" s="20" t="n">
        <v>-3337</v>
      </c>
      <c r="J282" s="20" t="n">
        <v>-702</v>
      </c>
      <c r="K282" s="20" t="n">
        <v>-1405</v>
      </c>
      <c r="L282" s="20" t="n">
        <v>-2107</v>
      </c>
      <c r="M282" s="20" t="n">
        <v>-3215</v>
      </c>
      <c r="N282" s="20" t="n">
        <v>-702</v>
      </c>
      <c r="O282" s="20" t="n">
        <v>-2001</v>
      </c>
      <c r="P282" s="20" t="n">
        <v>-1688</v>
      </c>
      <c r="Q282" s="20" t="n">
        <v>-567</v>
      </c>
      <c r="R282" s="20" t="n">
        <v>-78</v>
      </c>
      <c r="S282" s="20" t="n">
        <v>-310</v>
      </c>
      <c r="T282" s="20" t="n">
        <v>-132</v>
      </c>
      <c r="U282" s="20" t="n">
        <v>-438</v>
      </c>
      <c r="V282" s="20" t="n">
        <v>-5503</v>
      </c>
      <c r="W282" s="20" t="n">
        <v>-3337</v>
      </c>
      <c r="X282" s="20" t="n">
        <v>-3215</v>
      </c>
    </row>
    <row r="283">
      <c r="A283" s="18" t="inlineStr">
        <is>
          <t>사채 발행</t>
        </is>
      </c>
      <c r="D283" s="20" t="n">
        <v>0</v>
      </c>
      <c r="E283" s="20" t="n">
        <v>0</v>
      </c>
      <c r="H283" s="20" t="n">
        <v>4975</v>
      </c>
      <c r="I283" s="20" t="n">
        <v>4975</v>
      </c>
      <c r="L283" s="20" t="n">
        <v>0</v>
      </c>
      <c r="M283" s="20" t="n">
        <v>0</v>
      </c>
      <c r="O283" s="20" t="n">
        <v>5000</v>
      </c>
      <c r="P283" s="20" t="n">
        <v>0</v>
      </c>
      <c r="Q283" s="20" t="n">
        <v>0</v>
      </c>
      <c r="R283" s="20" t="n">
        <v>4974</v>
      </c>
      <c r="S283" s="20" t="n">
        <v>0</v>
      </c>
      <c r="T283" s="20" t="n">
        <v>4972</v>
      </c>
      <c r="U283" s="20" t="n">
        <v>0</v>
      </c>
      <c r="V283" s="20" t="n">
        <v>0</v>
      </c>
      <c r="W283" s="20" t="n">
        <v>4975</v>
      </c>
      <c r="X283" s="20" t="n">
        <v>0</v>
      </c>
    </row>
    <row r="284">
      <c r="A284" s="18" t="inlineStr">
        <is>
          <t>사채 상환</t>
        </is>
      </c>
      <c r="D284" s="20" t="n">
        <v>0</v>
      </c>
      <c r="E284" s="20" t="n">
        <v>0</v>
      </c>
      <c r="H284" s="20" t="n">
        <v>-5000</v>
      </c>
      <c r="I284" s="20" t="n">
        <v>-5000</v>
      </c>
      <c r="L284" s="20" t="n">
        <v>0</v>
      </c>
      <c r="M284" s="20" t="n">
        <v>0</v>
      </c>
      <c r="O284" s="20" t="n">
        <v>-5000</v>
      </c>
      <c r="P284" s="20" t="n">
        <v>0</v>
      </c>
      <c r="S284" s="20" t="n">
        <v>0</v>
      </c>
      <c r="T284" s="20" t="n">
        <v>-5000</v>
      </c>
      <c r="U284" s="20" t="n">
        <v>0</v>
      </c>
      <c r="V284" s="20" t="n">
        <v>0</v>
      </c>
      <c r="W284" s="20" t="n">
        <v>-5000</v>
      </c>
      <c r="X284" s="20" t="n">
        <v>0</v>
      </c>
    </row>
    <row r="285">
      <c r="A285" s="18" t="inlineStr">
        <is>
          <t>신주예약권 행사에 따른 주식 발행</t>
        </is>
      </c>
      <c r="O285" s="20" t="n">
        <v>95</v>
      </c>
      <c r="P285" s="20" t="n">
        <v>0</v>
      </c>
    </row>
    <row r="286">
      <c r="A286" s="18" t="inlineStr">
        <is>
          <t>자기주식 취득</t>
        </is>
      </c>
      <c r="C286" s="20" t="n">
        <v>0</v>
      </c>
      <c r="E286" s="20" t="n">
        <v>-0</v>
      </c>
      <c r="G286" s="20" t="n">
        <v>0</v>
      </c>
      <c r="H286" s="20" t="n">
        <v>0</v>
      </c>
      <c r="I286" s="20" t="n">
        <v>0</v>
      </c>
      <c r="K286" s="20" t="n">
        <v>-0</v>
      </c>
      <c r="L286" s="20" t="n">
        <v>-0</v>
      </c>
      <c r="M286" s="20" t="n">
        <v>-0</v>
      </c>
      <c r="O286" s="20" t="n">
        <v>-0</v>
      </c>
      <c r="P286" s="20" t="n">
        <v>-0</v>
      </c>
      <c r="Q286" s="20" t="n">
        <v>-0</v>
      </c>
      <c r="R286" s="20" t="n">
        <v>-1197</v>
      </c>
      <c r="S286" s="20" t="n">
        <v>-0</v>
      </c>
      <c r="T286" s="20" t="n">
        <v>-0</v>
      </c>
      <c r="U286" s="20" t="n">
        <v>-0</v>
      </c>
      <c r="V286" s="20" t="n">
        <v>-0</v>
      </c>
      <c r="W286" s="20" t="n">
        <v>0</v>
      </c>
      <c r="X286" s="20" t="n">
        <v>-0</v>
      </c>
    </row>
    <row r="287">
      <c r="A287" s="18" t="inlineStr">
        <is>
          <t>비지배주주 환급</t>
        </is>
      </c>
      <c r="Q287" s="20" t="n">
        <v>0</v>
      </c>
      <c r="R287" s="20" t="n">
        <v>-170</v>
      </c>
      <c r="S287" s="20" t="n">
        <v>0</v>
      </c>
    </row>
    <row r="288">
      <c r="A288" s="18" t="inlineStr">
        <is>
          <t>배당금 지급</t>
        </is>
      </c>
      <c r="C288" s="20" t="n">
        <v>-476</v>
      </c>
      <c r="D288" s="20" t="n">
        <v>-952</v>
      </c>
      <c r="E288" s="20" t="n">
        <v>-952</v>
      </c>
      <c r="F288" s="20" t="n">
        <v>-476</v>
      </c>
      <c r="G288" s="20" t="n">
        <v>-476</v>
      </c>
      <c r="H288" s="20" t="n">
        <v>-952</v>
      </c>
      <c r="I288" s="20" t="n">
        <v>-952</v>
      </c>
      <c r="J288" s="20" t="n">
        <v>-495</v>
      </c>
      <c r="K288" s="20" t="n">
        <v>-495</v>
      </c>
      <c r="L288" s="20" t="n">
        <v>-991</v>
      </c>
      <c r="M288" s="20" t="n">
        <v>-991</v>
      </c>
      <c r="N288" s="20" t="n">
        <v>-495</v>
      </c>
      <c r="O288" s="20" t="n">
        <v>-636</v>
      </c>
      <c r="P288" s="20" t="n">
        <v>-846</v>
      </c>
      <c r="Q288" s="20" t="n">
        <v>-804</v>
      </c>
      <c r="R288" s="20" t="n">
        <v>-901</v>
      </c>
      <c r="S288" s="20" t="n">
        <v>-872</v>
      </c>
      <c r="T288" s="20" t="n">
        <v>-952</v>
      </c>
      <c r="U288" s="20" t="n">
        <v>-952</v>
      </c>
      <c r="V288" s="20" t="n">
        <v>-952</v>
      </c>
      <c r="W288" s="20" t="n">
        <v>-952</v>
      </c>
      <c r="X288" s="20" t="n">
        <v>-991</v>
      </c>
    </row>
    <row r="289">
      <c r="A289" s="18" t="inlineStr">
        <is>
          <t>비지배주주 배당금 지급</t>
        </is>
      </c>
      <c r="E289" s="20" t="n">
        <v>-460</v>
      </c>
      <c r="I289" s="20" t="n">
        <v>-537</v>
      </c>
      <c r="M289" s="20" t="n">
        <v>-430</v>
      </c>
      <c r="O289" s="20" t="n">
        <v>-194</v>
      </c>
      <c r="P289" s="20" t="n">
        <v>-521</v>
      </c>
      <c r="Q289" s="20" t="n">
        <v>-262</v>
      </c>
      <c r="R289" s="20" t="n">
        <v>-317</v>
      </c>
      <c r="S289" s="20" t="n">
        <v>-345</v>
      </c>
      <c r="T289" s="20" t="n">
        <v>-425</v>
      </c>
      <c r="U289" s="20" t="n">
        <v>-448</v>
      </c>
      <c r="V289" s="20" t="n">
        <v>-460</v>
      </c>
      <c r="W289" s="20" t="n">
        <v>-537</v>
      </c>
      <c r="X289" s="20" t="n">
        <v>-430</v>
      </c>
    </row>
    <row r="290">
      <c r="A290" s="18" t="inlineStr">
        <is>
          <t>비지배주주 납입</t>
        </is>
      </c>
      <c r="O290" s="20" t="n">
        <v>0</v>
      </c>
      <c r="P290" s="20" t="n">
        <v>19</v>
      </c>
      <c r="Q290" s="20" t="n">
        <v>0</v>
      </c>
      <c r="S290" s="20" t="n">
        <v>0</v>
      </c>
      <c r="T290" s="20" t="n">
        <v>1940</v>
      </c>
      <c r="U290" s="20" t="n">
        <v>0</v>
      </c>
    </row>
    <row r="291">
      <c r="A291" s="18" t="inlineStr">
        <is>
          <t>기타</t>
        </is>
      </c>
      <c r="C291" s="20" t="n">
        <v>-41</v>
      </c>
      <c r="D291" s="20" t="n">
        <v>-59</v>
      </c>
      <c r="E291" s="20" t="n">
        <v>-71</v>
      </c>
      <c r="F291" s="20" t="n">
        <v>-5</v>
      </c>
      <c r="G291" s="20" t="n">
        <v>-8</v>
      </c>
      <c r="H291" s="20" t="n">
        <v>-11</v>
      </c>
      <c r="I291" s="20" t="n">
        <v>-14</v>
      </c>
      <c r="J291" s="20" t="n">
        <v>-3</v>
      </c>
      <c r="K291" s="20" t="n">
        <v>-6</v>
      </c>
      <c r="L291" s="20" t="n">
        <v>-9</v>
      </c>
      <c r="M291" s="20" t="n">
        <v>-12</v>
      </c>
      <c r="N291" s="20" t="n">
        <v>-2</v>
      </c>
      <c r="Q291" s="20" t="n">
        <v>0</v>
      </c>
      <c r="R291" s="20" t="n">
        <v>-86</v>
      </c>
      <c r="S291" s="20" t="n">
        <v>-90</v>
      </c>
      <c r="T291" s="20" t="n">
        <v>-121</v>
      </c>
      <c r="U291" s="20" t="n">
        <v>-110</v>
      </c>
      <c r="V291" s="20" t="n">
        <v>-71</v>
      </c>
      <c r="W291" s="20" t="n">
        <v>-14</v>
      </c>
      <c r="X291" s="20" t="n">
        <v>-12</v>
      </c>
    </row>
    <row r="292">
      <c r="A292" s="9" t="inlineStr">
        <is>
          <t>재무활동 현금흐름</t>
        </is>
      </c>
      <c r="C292" s="12" t="n">
        <v>4677</v>
      </c>
      <c r="D292" s="12" t="n">
        <v>5319</v>
      </c>
      <c r="E292" s="12" t="n">
        <v>5484</v>
      </c>
      <c r="F292" s="12" t="n">
        <v>-1886</v>
      </c>
      <c r="G292" s="12" t="n">
        <v>-3264</v>
      </c>
      <c r="H292" s="12" t="n">
        <v>-2315</v>
      </c>
      <c r="I292" s="12" t="n">
        <v>-4704</v>
      </c>
      <c r="J292" s="12" t="n">
        <v>1156</v>
      </c>
      <c r="K292" s="12" t="n">
        <v>324</v>
      </c>
      <c r="L292" s="12" t="n">
        <v>2305</v>
      </c>
      <c r="M292" s="12" t="n">
        <v>-286</v>
      </c>
      <c r="N292" s="12" t="n">
        <v>-1241</v>
      </c>
      <c r="O292" s="12" t="n">
        <v>-4452</v>
      </c>
      <c r="P292" s="12" t="n">
        <v>-3586</v>
      </c>
      <c r="Q292" s="12" t="n">
        <v>2243</v>
      </c>
      <c r="R292" s="12" t="n">
        <v>2084</v>
      </c>
      <c r="S292" s="12" t="n">
        <v>1354</v>
      </c>
      <c r="T292" s="12" t="n">
        <v>4927</v>
      </c>
      <c r="U292" s="12" t="n">
        <v>6666</v>
      </c>
      <c r="V292" s="12" t="n">
        <v>5484</v>
      </c>
      <c r="W292" s="12" t="n">
        <v>-4704</v>
      </c>
      <c r="X292" s="12" t="n">
        <v>-286</v>
      </c>
    </row>
    <row r="293">
      <c r="A293" s="18" t="inlineStr">
        <is>
          <t>현금성자산 환산차이</t>
        </is>
      </c>
      <c r="C293" s="20" t="n">
        <v>318</v>
      </c>
      <c r="D293" s="20" t="n">
        <v>404</v>
      </c>
      <c r="E293" s="20" t="n">
        <v>376</v>
      </c>
      <c r="F293" s="20" t="n">
        <v>136</v>
      </c>
      <c r="G293" s="20" t="n">
        <v>361</v>
      </c>
      <c r="H293" s="20" t="n">
        <v>-41</v>
      </c>
      <c r="I293" s="20" t="n">
        <v>97</v>
      </c>
      <c r="J293" s="20" t="n">
        <v>-120</v>
      </c>
      <c r="K293" s="20" t="n">
        <v>-19</v>
      </c>
      <c r="L293" s="20" t="n">
        <v>-4</v>
      </c>
      <c r="M293" s="20" t="n">
        <v>192</v>
      </c>
      <c r="N293" s="20" t="n">
        <v>60</v>
      </c>
      <c r="O293" s="20" t="n">
        <v>-196</v>
      </c>
      <c r="P293" s="20" t="n">
        <v>111</v>
      </c>
      <c r="Q293" s="20" t="n">
        <v>-196</v>
      </c>
      <c r="R293" s="20" t="n">
        <v>-43</v>
      </c>
      <c r="S293" s="20" t="n">
        <v>55</v>
      </c>
      <c r="T293" s="20" t="n">
        <v>391</v>
      </c>
      <c r="U293" s="20" t="n">
        <v>-7</v>
      </c>
      <c r="V293" s="20" t="n">
        <v>376</v>
      </c>
      <c r="W293" s="20" t="n">
        <v>97</v>
      </c>
      <c r="X293" s="20" t="n">
        <v>192</v>
      </c>
    </row>
    <row r="294">
      <c r="A294" s="18" t="inlineStr">
        <is>
          <t>현금성자산 증감</t>
        </is>
      </c>
      <c r="C294" s="20" t="n">
        <v>200</v>
      </c>
      <c r="D294" s="20" t="n">
        <v>893</v>
      </c>
      <c r="E294" s="20" t="n">
        <v>-121</v>
      </c>
      <c r="F294" s="20" t="n">
        <v>-1144</v>
      </c>
      <c r="G294" s="20" t="n">
        <v>88</v>
      </c>
      <c r="H294" s="20" t="n">
        <v>-1338</v>
      </c>
      <c r="I294" s="20" t="n">
        <v>-2730</v>
      </c>
      <c r="J294" s="20" t="n">
        <v>666</v>
      </c>
      <c r="K294" s="20" t="n">
        <v>932</v>
      </c>
      <c r="L294" s="20" t="n">
        <v>1128</v>
      </c>
      <c r="M294" s="20" t="n">
        <v>1978</v>
      </c>
      <c r="N294" s="20" t="n">
        <v>-796</v>
      </c>
      <c r="O294" s="20" t="n">
        <v>496</v>
      </c>
      <c r="P294" s="20" t="n">
        <v>-1714</v>
      </c>
      <c r="Q294" s="20" t="n">
        <v>566</v>
      </c>
      <c r="R294" s="20" t="n">
        <v>574</v>
      </c>
      <c r="S294" s="20" t="n">
        <v>-2203</v>
      </c>
      <c r="T294" s="20" t="n">
        <v>1907</v>
      </c>
      <c r="U294" s="20" t="n">
        <v>36</v>
      </c>
      <c r="V294" s="20" t="n">
        <v>-121</v>
      </c>
      <c r="W294" s="20" t="n">
        <v>-2730</v>
      </c>
      <c r="X294" s="20" t="n">
        <v>1978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4968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61127</v>
      </c>
      <c r="D5" s="12" t="n">
        <v>61341</v>
      </c>
      <c r="E5" s="12" t="n">
        <v>67164</v>
      </c>
      <c r="F5" s="12" t="n">
        <v>64897</v>
      </c>
      <c r="G5" s="12" t="n">
        <v>65620</v>
      </c>
      <c r="H5" s="11" t="n">
        <v>62477</v>
      </c>
      <c r="I5" s="12" t="n">
        <v>62799</v>
      </c>
      <c r="J5" s="12" t="n">
        <v>64159</v>
      </c>
      <c r="K5" s="12" t="n">
        <v>62264</v>
      </c>
      <c r="L5" s="12" t="n">
        <v>64897</v>
      </c>
    </row>
    <row r="6">
      <c r="A6" s="18" t="inlineStr">
        <is>
          <t>현금및현금성자산</t>
        </is>
      </c>
      <c r="B6" s="10" t="n"/>
      <c r="C6" s="19" t="n">
        <v>9104</v>
      </c>
      <c r="D6" s="20" t="n">
        <v>9074</v>
      </c>
      <c r="E6" s="20" t="n">
        <v>9400</v>
      </c>
      <c r="F6" s="20" t="n">
        <v>10595</v>
      </c>
      <c r="G6" s="20" t="n">
        <v>9968</v>
      </c>
      <c r="H6" s="19" t="n">
        <v>10374</v>
      </c>
      <c r="I6" s="20" t="n">
        <v>11140</v>
      </c>
      <c r="J6" s="20" t="n">
        <v>11578</v>
      </c>
      <c r="K6" s="20" t="n">
        <v>9431</v>
      </c>
      <c r="L6" s="20" t="n">
        <v>10595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24893</v>
      </c>
      <c r="D8" s="20" t="n">
        <v>25778</v>
      </c>
      <c r="E8" s="20" t="n">
        <v>29259</v>
      </c>
      <c r="F8" s="20" t="n">
        <v>25847</v>
      </c>
      <c r="G8" s="20" t="n">
        <v>27239</v>
      </c>
      <c r="H8" s="19" t="n">
        <v>25713</v>
      </c>
      <c r="I8" s="20" t="n">
        <v>23461</v>
      </c>
      <c r="J8" s="20" t="n">
        <v>25683</v>
      </c>
      <c r="K8" s="20" t="n">
        <v>25884</v>
      </c>
      <c r="L8" s="20" t="n">
        <v>25847</v>
      </c>
    </row>
    <row r="9">
      <c r="A9" s="18" t="inlineStr">
        <is>
          <t>재고자산</t>
        </is>
      </c>
      <c r="B9" s="10" t="n"/>
      <c r="C9" s="19" t="n">
        <v>23621</v>
      </c>
      <c r="D9" s="20" t="n">
        <v>22929</v>
      </c>
      <c r="E9" s="20" t="n">
        <v>24201</v>
      </c>
      <c r="F9" s="20" t="n">
        <v>25069</v>
      </c>
      <c r="G9" s="20" t="n">
        <v>25124</v>
      </c>
      <c r="H9" s="19" t="n">
        <v>22158</v>
      </c>
      <c r="I9" s="20" t="n">
        <v>24212</v>
      </c>
      <c r="J9" s="20" t="n">
        <v>23293</v>
      </c>
      <c r="K9" s="20" t="n">
        <v>23817</v>
      </c>
      <c r="L9" s="20" t="n">
        <v>25069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57872</v>
      </c>
      <c r="D11" s="12" t="n">
        <v>58587</v>
      </c>
      <c r="E11" s="12" t="n">
        <v>58225</v>
      </c>
      <c r="F11" s="12" t="n">
        <v>60027</v>
      </c>
      <c r="G11" s="12" t="n">
        <v>61833</v>
      </c>
      <c r="H11" s="11" t="n">
        <v>53895</v>
      </c>
      <c r="I11" s="12" t="n">
        <v>54331</v>
      </c>
      <c r="J11" s="12" t="n">
        <v>59332</v>
      </c>
      <c r="K11" s="12" t="n">
        <v>58500</v>
      </c>
      <c r="L11" s="12" t="n">
        <v>60027</v>
      </c>
    </row>
    <row r="12">
      <c r="A12" s="18" t="inlineStr">
        <is>
          <t>유형자산</t>
        </is>
      </c>
      <c r="B12" s="10" t="n"/>
      <c r="C12" s="19" t="n">
        <v>37993</v>
      </c>
      <c r="D12" s="20" t="n">
        <v>37847</v>
      </c>
      <c r="E12" s="20" t="n">
        <v>37225</v>
      </c>
      <c r="F12" s="20" t="n">
        <v>37168</v>
      </c>
      <c r="G12" s="20" t="n">
        <v>36837</v>
      </c>
      <c r="H12" s="19" t="n">
        <v>40277</v>
      </c>
      <c r="I12" s="20" t="n">
        <v>40442</v>
      </c>
      <c r="J12" s="20" t="n">
        <v>39952</v>
      </c>
      <c r="K12" s="20" t="n">
        <v>39039</v>
      </c>
      <c r="L12" s="20" t="n">
        <v>37168</v>
      </c>
    </row>
    <row r="13">
      <c r="A13" s="18" t="inlineStr">
        <is>
          <t>무형자산</t>
        </is>
      </c>
      <c r="B13" s="10" t="n"/>
      <c r="C13" s="19" t="n">
        <v>1266</v>
      </c>
      <c r="D13" s="20" t="n">
        <v>1180</v>
      </c>
      <c r="E13" s="20" t="n">
        <v>1136</v>
      </c>
      <c r="F13" s="20" t="n">
        <v>1180</v>
      </c>
      <c r="G13" s="20" t="n">
        <v>1146</v>
      </c>
      <c r="H13" s="19" t="n">
        <v>1851</v>
      </c>
      <c r="I13" s="20" t="n">
        <v>1678</v>
      </c>
      <c r="J13" s="20" t="n">
        <v>1529</v>
      </c>
      <c r="K13" s="20" t="n">
        <v>1374</v>
      </c>
      <c r="L13" s="20" t="n">
        <v>1180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120431</v>
      </c>
      <c r="D16" s="12" t="n">
        <v>121261</v>
      </c>
      <c r="E16" s="12" t="n">
        <v>126623</v>
      </c>
      <c r="F16" s="12" t="n">
        <v>126059</v>
      </c>
      <c r="G16" s="12" t="n">
        <v>128490</v>
      </c>
      <c r="H16" s="11" t="n">
        <v>117739</v>
      </c>
      <c r="I16" s="12" t="n">
        <v>119035</v>
      </c>
      <c r="J16" s="12" t="n">
        <v>125418</v>
      </c>
      <c r="K16" s="12" t="n">
        <v>122297</v>
      </c>
      <c r="L16" s="12" t="n">
        <v>126059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37397</v>
      </c>
      <c r="D18" s="12" t="n">
        <v>37953</v>
      </c>
      <c r="E18" s="12" t="n">
        <v>48382</v>
      </c>
      <c r="F18" s="12" t="n">
        <v>46110</v>
      </c>
      <c r="G18" s="12" t="n">
        <v>46161</v>
      </c>
      <c r="H18" s="11" t="n">
        <v>36474</v>
      </c>
      <c r="I18" s="12" t="n">
        <v>42113</v>
      </c>
      <c r="J18" s="12" t="n">
        <v>43406</v>
      </c>
      <c r="K18" s="12" t="n">
        <v>37608</v>
      </c>
      <c r="L18" s="12" t="n">
        <v>46110</v>
      </c>
    </row>
    <row r="19">
      <c r="A19" s="18" t="inlineStr">
        <is>
          <t>매입채무</t>
        </is>
      </c>
      <c r="B19" s="10" t="n"/>
      <c r="C19" s="19" t="n">
        <v>8272</v>
      </c>
      <c r="D19" s="20" t="n">
        <v>7920</v>
      </c>
      <c r="E19" s="20" t="n">
        <v>9796</v>
      </c>
      <c r="F19" s="20" t="n">
        <v>8646</v>
      </c>
      <c r="G19" s="20" t="n">
        <v>8669</v>
      </c>
      <c r="H19" s="19" t="n">
        <v>10965</v>
      </c>
      <c r="I19" s="20" t="n">
        <v>9973</v>
      </c>
      <c r="J19" s="20" t="n">
        <v>9478</v>
      </c>
      <c r="K19" s="20" t="n">
        <v>9200</v>
      </c>
      <c r="L19" s="20" t="n">
        <v>8646</v>
      </c>
    </row>
    <row r="20">
      <c r="A20" s="18" t="inlineStr">
        <is>
          <t>단기차입금</t>
        </is>
      </c>
      <c r="B20" s="10" t="n"/>
      <c r="C20" s="19" t="n">
        <v>20604</v>
      </c>
      <c r="D20" s="20" t="n">
        <v>20482</v>
      </c>
      <c r="E20" s="20" t="n">
        <v>23752</v>
      </c>
      <c r="F20" s="20" t="n">
        <v>22716</v>
      </c>
      <c r="G20" s="20" t="n">
        <v>22726</v>
      </c>
      <c r="H20" s="19" t="n">
        <v>12965</v>
      </c>
      <c r="I20" s="20" t="n">
        <v>19645</v>
      </c>
      <c r="J20" s="20" t="n">
        <v>18512</v>
      </c>
      <c r="K20" s="20" t="n">
        <v>18319</v>
      </c>
      <c r="L20" s="20" t="n">
        <v>22716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>
        <v>5000</v>
      </c>
      <c r="F21" s="20" t="n">
        <v>5000</v>
      </c>
      <c r="G21" s="20" t="n">
        <v>5000</v>
      </c>
      <c r="H21" s="19" t="n">
        <v>0</v>
      </c>
      <c r="I21" s="20" t="n">
        <v>0</v>
      </c>
      <c r="J21" s="20" t="n">
        <v>5000</v>
      </c>
      <c r="K21" s="20" t="n">
        <v>0</v>
      </c>
      <c r="L21" s="20" t="n">
        <v>5000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27013</v>
      </c>
      <c r="D23" s="12" t="n">
        <v>26615</v>
      </c>
      <c r="E23" s="12" t="n">
        <v>21354</v>
      </c>
      <c r="F23" s="12" t="n">
        <v>20708</v>
      </c>
      <c r="G23" s="12" t="n">
        <v>20924</v>
      </c>
      <c r="H23" s="11" t="n">
        <v>18686</v>
      </c>
      <c r="I23" s="12" t="n">
        <v>20412</v>
      </c>
      <c r="J23" s="12" t="n">
        <v>25093</v>
      </c>
      <c r="K23" s="12" t="n">
        <v>27451</v>
      </c>
      <c r="L23" s="12" t="n">
        <v>20708</v>
      </c>
    </row>
    <row r="24">
      <c r="A24" s="18" t="inlineStr">
        <is>
          <t>장기차입금</t>
        </is>
      </c>
      <c r="B24" s="10" t="n"/>
      <c r="C24" s="19" t="n">
        <v>10348</v>
      </c>
      <c r="D24" s="20" t="n">
        <v>9654</v>
      </c>
      <c r="E24" s="20" t="n">
        <v>8970</v>
      </c>
      <c r="F24" s="20" t="n">
        <v>7907</v>
      </c>
      <c r="G24" s="20" t="n">
        <v>7205</v>
      </c>
      <c r="H24" s="19" t="n">
        <v>3715</v>
      </c>
      <c r="I24" s="20" t="n">
        <v>5407</v>
      </c>
      <c r="J24" s="20" t="n">
        <v>13875</v>
      </c>
      <c r="K24" s="20" t="n">
        <v>11061</v>
      </c>
      <c r="L24" s="20" t="n">
        <v>7907</v>
      </c>
    </row>
    <row r="25">
      <c r="A25" s="18" t="inlineStr">
        <is>
          <t>사채</t>
        </is>
      </c>
      <c r="B25" s="10" t="n"/>
      <c r="C25" s="19" t="n">
        <v>10000</v>
      </c>
      <c r="D25" s="20" t="n">
        <v>10000</v>
      </c>
      <c r="E25" s="20" t="n">
        <v>5000</v>
      </c>
      <c r="F25" s="20" t="n">
        <v>5000</v>
      </c>
      <c r="G25" s="20" t="n">
        <v>5000</v>
      </c>
      <c r="H25" s="19" t="n">
        <v>10000</v>
      </c>
      <c r="I25" s="20" t="n">
        <v>10000</v>
      </c>
      <c r="J25" s="20" t="n">
        <v>5000</v>
      </c>
      <c r="K25" s="20" t="n">
        <v>10000</v>
      </c>
      <c r="L25" s="20" t="n">
        <v>5000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64411</v>
      </c>
      <c r="D27" s="12" t="n">
        <v>64568</v>
      </c>
      <c r="E27" s="12" t="n">
        <v>69737</v>
      </c>
      <c r="F27" s="12" t="n">
        <v>66819</v>
      </c>
      <c r="G27" s="12" t="n">
        <v>67086</v>
      </c>
      <c r="H27" s="11" t="n">
        <v>55160</v>
      </c>
      <c r="I27" s="12" t="n">
        <v>62526</v>
      </c>
      <c r="J27" s="12" t="n">
        <v>68500</v>
      </c>
      <c r="K27" s="12" t="n">
        <v>65060</v>
      </c>
      <c r="L27" s="12" t="n">
        <v>66819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57784</v>
      </c>
      <c r="D31" s="12" t="n">
        <v>58566</v>
      </c>
      <c r="E31" s="12" t="n">
        <v>59251</v>
      </c>
      <c r="F31" s="12" t="n">
        <v>62357</v>
      </c>
      <c r="G31" s="12" t="n">
        <v>64936</v>
      </c>
      <c r="H31" s="11" t="n">
        <v>59184</v>
      </c>
      <c r="I31" s="12" t="n">
        <v>54083</v>
      </c>
      <c r="J31" s="12" t="n">
        <v>56135</v>
      </c>
      <c r="K31" s="12" t="n">
        <v>58474</v>
      </c>
      <c r="L31" s="12" t="n">
        <v>62357</v>
      </c>
    </row>
    <row r="32">
      <c r="A32" s="18" t="inlineStr">
        <is>
          <t>자본금</t>
        </is>
      </c>
      <c r="B32" s="10" t="n"/>
      <c r="C32" s="19" t="n">
        <v>3343</v>
      </c>
      <c r="D32" s="20" t="n">
        <v>3343</v>
      </c>
      <c r="E32" s="20" t="n">
        <v>3343</v>
      </c>
      <c r="F32" s="20" t="n">
        <v>3343</v>
      </c>
      <c r="G32" s="20" t="n">
        <v>3343</v>
      </c>
      <c r="H32" s="19" t="n">
        <v>3343</v>
      </c>
      <c r="I32" s="20" t="n">
        <v>3343</v>
      </c>
      <c r="J32" s="20" t="n">
        <v>3343</v>
      </c>
      <c r="K32" s="20" t="n">
        <v>3343</v>
      </c>
      <c r="L32" s="20" t="n">
        <v>3343</v>
      </c>
    </row>
    <row r="33">
      <c r="A33" s="18" t="inlineStr">
        <is>
          <t>이익잉여금</t>
        </is>
      </c>
      <c r="B33" s="10" t="n"/>
      <c r="C33" s="19" t="n">
        <v>40656</v>
      </c>
      <c r="D33" s="20" t="n">
        <v>40848</v>
      </c>
      <c r="E33" s="20" t="n">
        <v>40958</v>
      </c>
      <c r="F33" s="20" t="n">
        <v>41829</v>
      </c>
      <c r="G33" s="20" t="n">
        <v>42629</v>
      </c>
      <c r="H33" s="19" t="n">
        <v>46816</v>
      </c>
      <c r="I33" s="20" t="n">
        <v>40922</v>
      </c>
      <c r="J33" s="20" t="n">
        <v>38927</v>
      </c>
      <c r="K33" s="20" t="n">
        <v>40619</v>
      </c>
      <c r="L33" s="20" t="n">
        <v>41829</v>
      </c>
    </row>
    <row r="34">
      <c r="A34" s="18" t="inlineStr">
        <is>
          <t>비지배지분</t>
        </is>
      </c>
      <c r="B34" s="10" t="n"/>
      <c r="C34" s="19" t="n">
        <v>-1764</v>
      </c>
      <c r="D34" s="20" t="n">
        <v>-1874</v>
      </c>
      <c r="E34" s="20" t="n">
        <v>-2365</v>
      </c>
      <c r="F34" s="20" t="n">
        <v>-3117</v>
      </c>
      <c r="G34" s="20" t="n">
        <v>-3533</v>
      </c>
      <c r="H34" s="19" t="n">
        <v>3394</v>
      </c>
      <c r="I34" s="20" t="n">
        <v>2426</v>
      </c>
      <c r="J34" s="20" t="n">
        <v>783</v>
      </c>
      <c r="K34" s="20" t="n">
        <v>-1237</v>
      </c>
      <c r="L34" s="20" t="n">
        <v>-3117</v>
      </c>
    </row>
    <row r="35">
      <c r="A35" s="9" t="inlineStr">
        <is>
          <t>자본총계</t>
        </is>
      </c>
      <c r="B35" s="10" t="n"/>
      <c r="C35" s="11" t="n">
        <v>56020</v>
      </c>
      <c r="D35" s="12" t="n">
        <v>56692</v>
      </c>
      <c r="E35" s="12" t="n">
        <v>56886</v>
      </c>
      <c r="F35" s="12" t="n">
        <v>59240</v>
      </c>
      <c r="G35" s="12" t="n">
        <v>61403</v>
      </c>
      <c r="H35" s="11" t="n">
        <v>62578</v>
      </c>
      <c r="I35" s="12" t="n">
        <v>56509</v>
      </c>
      <c r="J35" s="12" t="n">
        <v>56918</v>
      </c>
      <c r="K35" s="12" t="n">
        <v>57237</v>
      </c>
      <c r="L35" s="12" t="n">
        <v>59240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5340</v>
      </c>
      <c r="D37" s="12" t="n">
        <v>2970</v>
      </c>
      <c r="E37" s="12" t="n">
        <v>2991</v>
      </c>
      <c r="F37" s="12" t="n">
        <v>4176</v>
      </c>
      <c r="G37" s="12" t="n">
        <v>5507</v>
      </c>
      <c r="H37" s="11" t="n">
        <v>3989</v>
      </c>
      <c r="I37" s="12" t="n">
        <v>-575</v>
      </c>
      <c r="J37" s="12" t="n">
        <v>1157</v>
      </c>
      <c r="K37" s="12" t="n">
        <v>5119</v>
      </c>
      <c r="L37" s="12" t="n">
        <v>4176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4721</v>
      </c>
      <c r="D38" s="20" t="n">
        <v>4557</v>
      </c>
      <c r="E38" s="20" t="n">
        <v>4559</v>
      </c>
      <c r="F38" s="20" t="n">
        <v>3794</v>
      </c>
      <c r="G38" s="20" t="n">
        <v>3441</v>
      </c>
      <c r="H38" s="19" t="n">
        <v>6423</v>
      </c>
      <c r="I38" s="20" t="n">
        <v>6115</v>
      </c>
      <c r="J38" s="20" t="n">
        <v>6857</v>
      </c>
      <c r="K38" s="20" t="n">
        <v>4517</v>
      </c>
      <c r="L38" s="20" t="n">
        <v>3794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971</v>
      </c>
      <c r="D40" s="20" t="n">
        <v>971</v>
      </c>
      <c r="E40" s="20" t="n">
        <v>991</v>
      </c>
      <c r="F40" s="20" t="n">
        <v>991</v>
      </c>
      <c r="G40" s="20" t="n">
        <v>991</v>
      </c>
      <c r="H40" s="19" t="n">
        <v>952</v>
      </c>
      <c r="I40" s="20" t="n">
        <v>952</v>
      </c>
      <c r="J40" s="20" t="n">
        <v>952</v>
      </c>
      <c r="K40" s="20" t="n">
        <v>952</v>
      </c>
      <c r="L40" s="20" t="n">
        <v>991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IFERROR((IF(COUNT('연간'!G31:J31)&lt;4,"",SUM('연간'!G31:J31)))/(IF(COUNT('연간'!G53:J53)&lt;4,"",SUM('연간'!G53:J53))),"")</f>
        <v/>
      </c>
      <c r="D48" s="31">
        <f>IFERROR((IF(COUNT('연간'!H31:K31)&lt;4,"",SUM('연간'!H31:K31)))/(IF(COUNT('연간'!H53:K53)&lt;4,"",SUM('연간'!H53:K53))),"")</f>
        <v/>
      </c>
      <c r="E48" s="31">
        <f>IFERROR((IF(COUNT('연간'!I31:L31)&lt;4,"",SUM('연간'!I31:L31)))/(IF(COUNT('연간'!I53:L53)&lt;4,"",SUM('연간'!I53:L53))),"")</f>
        <v/>
      </c>
      <c r="F48" s="31">
        <f>IFERROR((IF(COUNT('연간'!J31:M31)&lt;4,"",SUM('연간'!J31:M31)))/(IF(COUNT('연간'!J53:M53)&lt;4,"",SUM('연간'!J53:M53))),"")</f>
        <v/>
      </c>
      <c r="G48" s="31">
        <f>IFERROR((IF(COUNT('연간'!K31:N31)&lt;4,"",SUM('연간'!K31:N31)))/(IF(COUNT('연간'!K53:N53)&lt;4,"",SUM('연간'!K53:N53))),"")</f>
        <v/>
      </c>
      <c r="H48" s="30">
        <f>IFERROR(('연간'!T31)/('연간'!T53),"")</f>
        <v/>
      </c>
      <c r="I48" s="31">
        <f>IFERROR(('연간'!U31)/('연간'!U53),"")</f>
        <v/>
      </c>
      <c r="J48" s="31">
        <f>IFERROR(('연간'!V31)/('연간'!V53),"")</f>
        <v/>
      </c>
      <c r="K48" s="31">
        <f>IFERROR(('연간'!W31)/('연간'!W53),"")</f>
        <v/>
      </c>
      <c r="L48" s="31">
        <f>IFERROR(('연간'!X31)/('연간'!X53),"")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IFERROR(IF((IF(COUNT('연간'!G61:J61)&lt;4,"",SUM('연간'!G61:J61)))&lt;=0,"적자",C28/(IF(COUNT('연간'!G61:J61)&lt;4,"",SUM('연간'!G61:J61)))),"")</f>
        <v/>
      </c>
      <c r="D49" s="47">
        <f>IFERROR(IF((IF(COUNT('연간'!H61:K61)&lt;4,"",SUM('연간'!H61:K61)))&lt;=0,"적자",D28/(IF(COUNT('연간'!H61:K61)&lt;4,"",SUM('연간'!H61:K61)))),"")</f>
        <v/>
      </c>
      <c r="E49" s="47">
        <f>IFERROR(IF((IF(COUNT('연간'!I61:L61)&lt;4,"",SUM('연간'!I61:L61)))&lt;=0,"적자",E28/(IF(COUNT('연간'!I61:L61)&lt;4,"",SUM('연간'!I61:L61)))),"")</f>
        <v/>
      </c>
      <c r="F49" s="47">
        <f>IFERROR(IF((IF(COUNT('연간'!J61:M61)&lt;4,"",SUM('연간'!J61:M61)))&lt;=0,"적자",F28/(IF(COUNT('연간'!J61:M61)&lt;4,"",SUM('연간'!J61:M61)))),"")</f>
        <v/>
      </c>
      <c r="G49" s="47">
        <f>IFERROR(IF((IF(COUNT('연간'!K61:N61)&lt;4,"",SUM('연간'!K61:N61)))&lt;=0,"적자",G28/(IF(COUNT('연간'!K61:N61)&lt;4,"",SUM('연간'!K61:N61)))),"")</f>
        <v/>
      </c>
      <c r="H49" s="46">
        <f>IFERROR(IF(('연간'!T61)&lt;=0,"적자",H28/('연간'!T61)),"")</f>
        <v/>
      </c>
      <c r="I49" s="47">
        <f>IFERROR(IF(('연간'!U61)&lt;=0,"적자",I28/('연간'!U61)),"")</f>
        <v/>
      </c>
      <c r="J49" s="47">
        <f>IFERROR(IF(('연간'!V61)&lt;=0,"적자",J28/('연간'!V61)),"")</f>
        <v/>
      </c>
      <c r="K49" s="47">
        <f>IFERROR(IF(('연간'!W61)&lt;=0,"적자",K28/('연간'!W61)),"")</f>
        <v/>
      </c>
      <c r="L49" s="47">
        <f>IFERROR(IF(('연간'!X61)&lt;=0,"적자",L28/('연간'!X61)),"")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IFERROR((IF(COUNT('연간'!G61:J61)&lt;4,"",SUM('연간'!G61:J61)))/C31,"")</f>
        <v/>
      </c>
      <c r="D51" s="36">
        <f>IFERROR((IF(COUNT('연간'!H61:K61)&lt;4,"",SUM('연간'!H61:K61)))/D31,"")</f>
        <v/>
      </c>
      <c r="E51" s="36">
        <f>IFERROR((IF(COUNT('연간'!I61:L61)&lt;4,"",SUM('연간'!I61:L61)))/E31,"")</f>
        <v/>
      </c>
      <c r="F51" s="36">
        <f>IFERROR((IF(COUNT('연간'!J61:M61)&lt;4,"",SUM('연간'!J61:M61)))/F31,"")</f>
        <v/>
      </c>
      <c r="G51" s="36">
        <f>IFERROR((IF(COUNT('연간'!K61:N61)&lt;4,"",SUM('연간'!K61:N61)))/G31,"")</f>
        <v/>
      </c>
      <c r="H51" s="35">
        <f>IFERROR(('연간'!T61)/H31,"")</f>
        <v/>
      </c>
      <c r="I51" s="36">
        <f>IFERROR(('연간'!U61)/I31,"")</f>
        <v/>
      </c>
      <c r="J51" s="36">
        <f>IFERROR(('연간'!V61)/J31,"")</f>
        <v/>
      </c>
      <c r="K51" s="36">
        <f>IFERROR(('연간'!W61)/K31,"")</f>
        <v/>
      </c>
      <c r="L51" s="36">
        <f>IFERROR(('연간'!X61)/L31,"")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IFERROR((IF(COUNT('연간'!G59:J59)&lt;4,"",SUM('연간'!G59:J59)))/C16,"")</f>
        <v/>
      </c>
      <c r="D52" s="36">
        <f>IFERROR((IF(COUNT('연간'!H59:K59)&lt;4,"",SUM('연간'!H59:K59)))/D16,"")</f>
        <v/>
      </c>
      <c r="E52" s="36">
        <f>IFERROR((IF(COUNT('연간'!I59:L59)&lt;4,"",SUM('연간'!I59:L59)))/E16,"")</f>
        <v/>
      </c>
      <c r="F52" s="36">
        <f>IFERROR((IF(COUNT('연간'!J59:M59)&lt;4,"",SUM('연간'!J59:M59)))/F16,"")</f>
        <v/>
      </c>
      <c r="G52" s="36">
        <f>IFERROR((IF(COUNT('연간'!K59:N59)&lt;4,"",SUM('연간'!K59:N59)))/G16,"")</f>
        <v/>
      </c>
      <c r="H52" s="35">
        <f>IFERROR(('연간'!T59)/H16,"")</f>
        <v/>
      </c>
      <c r="I52" s="36">
        <f>IFERROR(('연간'!U59)/I16,"")</f>
        <v/>
      </c>
      <c r="J52" s="36">
        <f>IFERROR(('연간'!V59)/J16,"")</f>
        <v/>
      </c>
      <c r="K52" s="36">
        <f>IFERROR(('연간'!W59)/K16,"")</f>
        <v/>
      </c>
      <c r="L52" s="36">
        <f>IFERROR(('연간'!X59)/L16,"")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IFERROR((IF(COUNT('연간'!G31:J31)&lt;4,"",SUM('연간'!G31:J31)))*(1-0.3)/(C35+C29),"")</f>
        <v/>
      </c>
      <c r="D53" s="36">
        <f>IFERROR((IF(COUNT('연간'!H31:K31)&lt;4,"",SUM('연간'!H31:K31)))*(1-0.3)/(D35+D29),"")</f>
        <v/>
      </c>
      <c r="E53" s="36">
        <f>IFERROR((IF(COUNT('연간'!I31:L31)&lt;4,"",SUM('연간'!I31:L31)))*(1-0.3)/(E35+E29),"")</f>
        <v/>
      </c>
      <c r="F53" s="36">
        <f>IFERROR((IF(COUNT('연간'!J31:M31)&lt;4,"",SUM('연간'!J31:M31)))*(1-0.3)/(F35+F29),"")</f>
        <v/>
      </c>
      <c r="G53" s="36">
        <f>IFERROR((IF(COUNT('연간'!K31:N31)&lt;4,"",SUM('연간'!K31:N31)))*(1-0.3)/(G35+G29),"")</f>
        <v/>
      </c>
      <c r="H53" s="35">
        <f>IFERROR(('연간'!T31)*(1-0.3)/(H35+H29),"")</f>
        <v/>
      </c>
      <c r="I53" s="36">
        <f>IFERROR(('연간'!U31)*(1-0.3)/(I35+I29),"")</f>
        <v/>
      </c>
      <c r="J53" s="36">
        <f>IFERROR(('연간'!V31)*(1-0.3)/(J35+J29),"")</f>
        <v/>
      </c>
      <c r="K53" s="36">
        <f>IFERROR(('연간'!W31)*(1-0.3)/(K35+K29),"")</f>
        <v/>
      </c>
      <c r="L53" s="36">
        <f>IFERROR(('연간'!X31)*(1-0.3)/(L35+L29),"")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IFERROR((IF(COUNT('연간'!G25:J25)&lt;4,"",SUM('연간'!G25:J25)))/(IF(COUNT('연간'!G4:J4)&lt;4,"",SUM('연간'!G4:J4))),"")</f>
        <v/>
      </c>
      <c r="D54" s="36">
        <f>IFERROR((IF(COUNT('연간'!H25:K25)&lt;4,"",SUM('연간'!H25:K25)))/(IF(COUNT('연간'!H4:K4)&lt;4,"",SUM('연간'!H4:K4))),"")</f>
        <v/>
      </c>
      <c r="E54" s="36">
        <f>IFERROR((IF(COUNT('연간'!I25:L25)&lt;4,"",SUM('연간'!I25:L25)))/(IF(COUNT('연간'!I4:L4)&lt;4,"",SUM('연간'!I4:L4))),"")</f>
        <v/>
      </c>
      <c r="F54" s="36">
        <f>IFERROR((IF(COUNT('연간'!J25:M25)&lt;4,"",SUM('연간'!J25:M25)))/(IF(COUNT('연간'!J4:M4)&lt;4,"",SUM('연간'!J4:M4))),"")</f>
        <v/>
      </c>
      <c r="G54" s="36">
        <f>IFERROR((IF(COUNT('연간'!K25:N25)&lt;4,"",SUM('연간'!K25:N25)))/(IF(COUNT('연간'!K4:N4)&lt;4,"",SUM('연간'!K4:N4))),"")</f>
        <v/>
      </c>
      <c r="H54" s="35">
        <f>IFERROR(('연간'!T25)/('연간'!T4),"")</f>
        <v/>
      </c>
      <c r="I54" s="36">
        <f>IFERROR(('연간'!U25)/('연간'!U4),"")</f>
        <v/>
      </c>
      <c r="J54" s="36">
        <f>IFERROR(('연간'!V25)/('연간'!V4),"")</f>
        <v/>
      </c>
      <c r="K54" s="36">
        <f>IFERROR(('연간'!W25)/('연간'!W4),"")</f>
        <v/>
      </c>
      <c r="L54" s="36">
        <f>IFERROR(('연간'!X25)/('연간'!X4),"")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IFERROR((IF(COUNT('연간'!G31:J31)&lt;4,"",SUM('연간'!G31:J31)))/(IF(COUNT('연간'!G4:J4)&lt;4,"",SUM('연간'!G4:J4))),"")</f>
        <v/>
      </c>
      <c r="D55" s="36">
        <f>IFERROR((IF(COUNT('연간'!H31:K31)&lt;4,"",SUM('연간'!H31:K31)))/(IF(COUNT('연간'!H4:K4)&lt;4,"",SUM('연간'!H4:K4))),"")</f>
        <v/>
      </c>
      <c r="E55" s="36">
        <f>IFERROR((IF(COUNT('연간'!I31:L31)&lt;4,"",SUM('연간'!I31:L31)))/(IF(COUNT('연간'!I4:L4)&lt;4,"",SUM('연간'!I4:L4))),"")</f>
        <v/>
      </c>
      <c r="F55" s="36">
        <f>IFERROR((IF(COUNT('연간'!J31:M31)&lt;4,"",SUM('연간'!J31:M31)))/(IF(COUNT('연간'!J4:M4)&lt;4,"",SUM('연간'!J4:M4))),"")</f>
        <v/>
      </c>
      <c r="G55" s="36">
        <f>IFERROR((IF(COUNT('연간'!K31:N31)&lt;4,"",SUM('연간'!K31:N31)))/(IF(COUNT('연간'!K4:N4)&lt;4,"",SUM('연간'!K4:N4))),"")</f>
        <v/>
      </c>
      <c r="H55" s="35">
        <f>IFERROR(('연간'!T31)/('연간'!T4),"")</f>
        <v/>
      </c>
      <c r="I55" s="36">
        <f>IFERROR(('연간'!U31)/('연간'!U4),"")</f>
        <v/>
      </c>
      <c r="J55" s="36">
        <f>IFERROR(('연간'!V31)/('연간'!V4),"")</f>
        <v/>
      </c>
      <c r="K55" s="36">
        <f>IFERROR(('연간'!W31)/('연간'!W4),"")</f>
        <v/>
      </c>
      <c r="L55" s="36">
        <f>IFERROR(('연간'!X31)/('연간'!X4),"")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IFERROR((IF(COUNT('연간'!G59:J59)&lt;4,"",SUM('연간'!G59:J59)))/(IF(COUNT('연간'!G4:J4)&lt;4,"",SUM('연간'!G4:J4))),"")</f>
        <v/>
      </c>
      <c r="D56" s="36">
        <f>IFERROR((IF(COUNT('연간'!H59:K59)&lt;4,"",SUM('연간'!H59:K59)))/(IF(COUNT('연간'!H4:K4)&lt;4,"",SUM('연간'!H4:K4))),"")</f>
        <v/>
      </c>
      <c r="E56" s="36">
        <f>IFERROR((IF(COUNT('연간'!I59:L59)&lt;4,"",SUM('연간'!I59:L59)))/(IF(COUNT('연간'!I4:L4)&lt;4,"",SUM('연간'!I4:L4))),"")</f>
        <v/>
      </c>
      <c r="F56" s="36">
        <f>IFERROR((IF(COUNT('연간'!J59:M59)&lt;4,"",SUM('연간'!J59:M59)))/(IF(COUNT('연간'!J4:M4)&lt;4,"",SUM('연간'!J4:M4))),"")</f>
        <v/>
      </c>
      <c r="G56" s="36">
        <f>IFERROR((IF(COUNT('연간'!K59:N59)&lt;4,"",SUM('연간'!K59:N59)))/(IF(COUNT('연간'!K4:N4)&lt;4,"",SUM('연간'!K4:N4))),"")</f>
        <v/>
      </c>
      <c r="H56" s="35">
        <f>IFERROR(('연간'!T59)/('연간'!T4),"")</f>
        <v/>
      </c>
      <c r="I56" s="36">
        <f>IFERROR(('연간'!U59)/('연간'!U4),"")</f>
        <v/>
      </c>
      <c r="J56" s="36">
        <f>IFERROR(('연간'!V59)/('연간'!V4),"")</f>
        <v/>
      </c>
      <c r="K56" s="36">
        <f>IFERROR(('연간'!W59)/('연간'!W4),"")</f>
        <v/>
      </c>
      <c r="L56" s="36">
        <f>IFERROR(('연간'!X59)/('연간'!X4),"")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IF(C37="","",IFERROR(C37/(IF(COUNT('연간'!G59:J59)&lt;4,"",SUM('연간'!G59:J59))),""))</f>
        <v/>
      </c>
      <c r="D64" s="31">
        <f>IF(D37="","",IFERROR(D37/(IF(COUNT('연간'!H59:K59)&lt;4,"",SUM('연간'!H59:K59))),""))</f>
        <v/>
      </c>
      <c r="E64" s="31">
        <f>IF(E37="","",IFERROR(E37/(IF(COUNT('연간'!I59:L59)&lt;4,"",SUM('연간'!I59:L59))),""))</f>
        <v/>
      </c>
      <c r="F64" s="31">
        <f>IF(F37="","",IFERROR(F37/(IF(COUNT('연간'!J59:M59)&lt;4,"",SUM('연간'!J59:M59))),""))</f>
        <v/>
      </c>
      <c r="G64" s="31">
        <f>IF(G37="","",IFERROR(G37/(IF(COUNT('연간'!K59:N59)&lt;4,"",SUM('연간'!K59:N59))),""))</f>
        <v/>
      </c>
      <c r="H64" s="30">
        <f>IF(H37="","",IFERROR(H37/('연간'!T59),""))</f>
        <v/>
      </c>
      <c r="I64" s="31">
        <f>IF(I37="","",IFERROR(I37/('연간'!U59),""))</f>
        <v/>
      </c>
      <c r="J64" s="31">
        <f>IF(J37="","",IFERROR(J37/('연간'!V59),""))</f>
        <v/>
      </c>
      <c r="K64" s="31">
        <f>IF(K37="","",IFERROR(K37/('연간'!W59),""))</f>
        <v/>
      </c>
      <c r="L64" s="31">
        <f>IF(L37="","",IFERROR(L37/('연간'!X59),""))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IF(C40="","",IFERROR(C40/(IF(COUNT('연간'!G61:J61)&lt;4,"",SUM('연간'!G61:J61))),""))</f>
        <v/>
      </c>
      <c r="D67" s="36">
        <f>IF(D40="","",IFERROR(D40/(IF(COUNT('연간'!H61:K61)&lt;4,"",SUM('연간'!H61:K61))),""))</f>
        <v/>
      </c>
      <c r="E67" s="36">
        <f>IF(E40="","",IFERROR(E40/(IF(COUNT('연간'!I61:L61)&lt;4,"",SUM('연간'!I61:L61))),""))</f>
        <v/>
      </c>
      <c r="F67" s="36">
        <f>IF(F40="","",IFERROR(F40/(IF(COUNT('연간'!J61:M61)&lt;4,"",SUM('연간'!J61:M61))),""))</f>
        <v/>
      </c>
      <c r="G67" s="36">
        <f>IF(G40="","",IFERROR(G40/(IF(COUNT('연간'!K61:N61)&lt;4,"",SUM('연간'!K61:N61))),""))</f>
        <v/>
      </c>
      <c r="H67" s="35">
        <f>IF(H40="","",IFERROR(H40/('연간'!T61),""))</f>
        <v/>
      </c>
      <c r="I67" s="36">
        <f>IF(I40="","",IFERROR(I40/('연간'!U61),""))</f>
        <v/>
      </c>
      <c r="J67" s="36">
        <f>IF(J40="","",IFERROR(J40/('연간'!V61),""))</f>
        <v/>
      </c>
      <c r="K67" s="36">
        <f>IF(K40="","",IFERROR(K40/('연간'!W61),""))</f>
        <v/>
      </c>
      <c r="L67" s="36">
        <f>IF(L40="","",IFERROR(L40/('연간'!X61),""))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9104</v>
      </c>
      <c r="D71" s="20" t="n">
        <v>9074</v>
      </c>
      <c r="E71" s="20" t="n">
        <v>9400</v>
      </c>
      <c r="F71" s="20" t="n">
        <v>10595</v>
      </c>
      <c r="G71" s="20" t="n">
        <v>9968</v>
      </c>
      <c r="H71" s="20" t="n">
        <v>10374</v>
      </c>
      <c r="I71" s="20" t="n">
        <v>11140</v>
      </c>
      <c r="J71" s="20" t="n">
        <v>11578</v>
      </c>
      <c r="K71" s="20" t="n">
        <v>9431</v>
      </c>
      <c r="L71" s="20" t="n">
        <v>10595</v>
      </c>
    </row>
    <row r="72">
      <c r="A72" s="18" t="inlineStr">
        <is>
          <t>받을어음·매출채권</t>
        </is>
      </c>
      <c r="C72" s="20" t="n">
        <v>24893</v>
      </c>
      <c r="D72" s="20" t="n">
        <v>25778</v>
      </c>
      <c r="E72" s="20" t="n">
        <v>29259</v>
      </c>
      <c r="F72" s="20" t="n">
        <v>25847</v>
      </c>
      <c r="G72" s="20" t="n">
        <v>27239</v>
      </c>
      <c r="H72" s="20" t="n">
        <v>25713</v>
      </c>
      <c r="I72" s="20" t="n">
        <v>23461</v>
      </c>
      <c r="J72" s="20" t="n">
        <v>25683</v>
      </c>
      <c r="K72" s="20" t="n">
        <v>25884</v>
      </c>
      <c r="L72" s="20" t="n">
        <v>25847</v>
      </c>
    </row>
    <row r="73">
      <c r="A73" s="18" t="inlineStr">
        <is>
          <t>전자기록채권</t>
        </is>
      </c>
      <c r="C73" s="20" t="n">
        <v>2181</v>
      </c>
      <c r="D73" s="20" t="n">
        <v>2241</v>
      </c>
      <c r="E73" s="20" t="n">
        <v>2858</v>
      </c>
      <c r="F73" s="20" t="n">
        <v>2358</v>
      </c>
      <c r="G73" s="20" t="n">
        <v>2383</v>
      </c>
      <c r="H73" s="20" t="n">
        <v>1953</v>
      </c>
      <c r="I73" s="20" t="n">
        <v>1965</v>
      </c>
      <c r="J73" s="20" t="n">
        <v>2504</v>
      </c>
      <c r="K73" s="20" t="n">
        <v>2258</v>
      </c>
      <c r="L73" s="20" t="n">
        <v>2358</v>
      </c>
    </row>
    <row r="74">
      <c r="A74" s="18" t="inlineStr">
        <is>
          <t>상품·제품</t>
        </is>
      </c>
      <c r="C74" s="20" t="n">
        <v>12540</v>
      </c>
      <c r="D74" s="20" t="n">
        <v>11798</v>
      </c>
      <c r="E74" s="20" t="n">
        <v>12994</v>
      </c>
      <c r="F74" s="20" t="n">
        <v>13351</v>
      </c>
      <c r="G74" s="20" t="n">
        <v>13581</v>
      </c>
      <c r="H74" s="20" t="n">
        <v>10826</v>
      </c>
      <c r="I74" s="20" t="n">
        <v>12609</v>
      </c>
      <c r="J74" s="20" t="n">
        <v>12423</v>
      </c>
      <c r="K74" s="20" t="n">
        <v>12619</v>
      </c>
      <c r="L74" s="20" t="n">
        <v>13351</v>
      </c>
    </row>
    <row r="75">
      <c r="A75" s="18" t="inlineStr">
        <is>
          <t>재공품</t>
        </is>
      </c>
      <c r="C75" s="20" t="n">
        <v>1624</v>
      </c>
      <c r="D75" s="20" t="n">
        <v>1439</v>
      </c>
      <c r="E75" s="20" t="n">
        <v>1634</v>
      </c>
      <c r="F75" s="20" t="n">
        <v>1412</v>
      </c>
      <c r="G75" s="20" t="n">
        <v>1629</v>
      </c>
      <c r="H75" s="20" t="n">
        <v>1196</v>
      </c>
      <c r="I75" s="20" t="n">
        <v>1649</v>
      </c>
      <c r="J75" s="20" t="n">
        <v>1603</v>
      </c>
      <c r="K75" s="20" t="n">
        <v>1468</v>
      </c>
      <c r="L75" s="20" t="n">
        <v>1412</v>
      </c>
    </row>
    <row r="76">
      <c r="A76" s="18" t="inlineStr">
        <is>
          <t>원재료·저장품</t>
        </is>
      </c>
      <c r="C76" s="20" t="n">
        <v>9457</v>
      </c>
      <c r="D76" s="20" t="n">
        <v>9692</v>
      </c>
      <c r="E76" s="20" t="n">
        <v>9573</v>
      </c>
      <c r="F76" s="20" t="n">
        <v>10306</v>
      </c>
      <c r="G76" s="20" t="n">
        <v>9914</v>
      </c>
      <c r="H76" s="20" t="n">
        <v>10136</v>
      </c>
      <c r="I76" s="20" t="n">
        <v>9954</v>
      </c>
      <c r="J76" s="20" t="n">
        <v>9267</v>
      </c>
      <c r="K76" s="20" t="n">
        <v>9730</v>
      </c>
      <c r="L76" s="20" t="n">
        <v>10306</v>
      </c>
    </row>
    <row r="77">
      <c r="A77" s="18" t="inlineStr">
        <is>
          <t>기타</t>
        </is>
      </c>
      <c r="C77" s="20" t="n">
        <v>1441</v>
      </c>
      <c r="D77" s="20" t="n">
        <v>1432</v>
      </c>
      <c r="E77" s="20" t="n">
        <v>1563</v>
      </c>
      <c r="F77" s="20" t="n">
        <v>1140</v>
      </c>
      <c r="G77" s="20" t="n">
        <v>1022</v>
      </c>
      <c r="H77" s="20" t="n">
        <v>2392</v>
      </c>
      <c r="I77" s="20" t="n">
        <v>2129</v>
      </c>
      <c r="J77" s="20" t="n">
        <v>1215</v>
      </c>
      <c r="K77" s="20" t="n">
        <v>997</v>
      </c>
      <c r="L77" s="20" t="n">
        <v>1140</v>
      </c>
    </row>
    <row r="78">
      <c r="A78" s="18" t="inlineStr">
        <is>
          <t>대손충당금</t>
        </is>
      </c>
      <c r="C78" s="20" t="n">
        <v>-116</v>
      </c>
      <c r="D78" s="20" t="n">
        <v>-115</v>
      </c>
      <c r="E78" s="20" t="n">
        <v>-119</v>
      </c>
      <c r="F78" s="20" t="n">
        <v>-114</v>
      </c>
      <c r="G78" s="20" t="n">
        <v>-119</v>
      </c>
      <c r="H78" s="20" t="n">
        <v>-115</v>
      </c>
      <c r="I78" s="20" t="n">
        <v>-110</v>
      </c>
      <c r="J78" s="20" t="n">
        <v>-116</v>
      </c>
      <c r="K78" s="20" t="n">
        <v>-126</v>
      </c>
      <c r="L78" s="20" t="n">
        <v>-114</v>
      </c>
    </row>
    <row r="79">
      <c r="A79" s="9" t="inlineStr">
        <is>
          <t>유동자산 합계</t>
        </is>
      </c>
      <c r="C79" s="12" t="n">
        <v>61127</v>
      </c>
      <c r="D79" s="12" t="n">
        <v>61341</v>
      </c>
      <c r="E79" s="12" t="n">
        <v>67164</v>
      </c>
      <c r="F79" s="12" t="n">
        <v>64897</v>
      </c>
      <c r="G79" s="12" t="n">
        <v>65620</v>
      </c>
      <c r="H79" s="12" t="n">
        <v>62477</v>
      </c>
      <c r="I79" s="12" t="n">
        <v>62799</v>
      </c>
      <c r="J79" s="12" t="n">
        <v>64159</v>
      </c>
      <c r="K79" s="12" t="n">
        <v>62264</v>
      </c>
      <c r="L79" s="12" t="n">
        <v>64897</v>
      </c>
    </row>
    <row r="80">
      <c r="A80" s="18" t="inlineStr">
        <is>
          <t>건물·구축물(순액)</t>
        </is>
      </c>
      <c r="C80" s="20" t="n">
        <v>18194</v>
      </c>
      <c r="D80" s="20" t="n">
        <v>18134</v>
      </c>
      <c r="E80" s="20" t="n">
        <v>17987</v>
      </c>
      <c r="F80" s="20" t="n">
        <v>18130</v>
      </c>
      <c r="G80" s="20" t="n">
        <v>18135</v>
      </c>
      <c r="H80" s="20" t="n">
        <v>16823</v>
      </c>
      <c r="I80" s="20" t="n">
        <v>16628</v>
      </c>
      <c r="J80" s="20" t="n">
        <v>17723</v>
      </c>
      <c r="K80" s="20" t="n">
        <v>18604</v>
      </c>
      <c r="L80" s="20" t="n">
        <v>18130</v>
      </c>
    </row>
    <row r="81">
      <c r="A81" s="18" t="inlineStr">
        <is>
          <t>기계장치·운반구(순액)</t>
        </is>
      </c>
      <c r="C81" s="20" t="n">
        <v>12772</v>
      </c>
      <c r="D81" s="20" t="n">
        <v>12303</v>
      </c>
      <c r="E81" s="20" t="n">
        <v>12159</v>
      </c>
      <c r="F81" s="20" t="n">
        <v>12027</v>
      </c>
      <c r="G81" s="20" t="n">
        <v>11801</v>
      </c>
      <c r="H81" s="20" t="n">
        <v>16385</v>
      </c>
      <c r="I81" s="20" t="n">
        <v>14809</v>
      </c>
      <c r="J81" s="20" t="n">
        <v>14126</v>
      </c>
      <c r="K81" s="20" t="n">
        <v>13487</v>
      </c>
      <c r="L81" s="20" t="n">
        <v>12027</v>
      </c>
    </row>
    <row r="82">
      <c r="A82" s="18" t="inlineStr">
        <is>
          <t>토지</t>
        </is>
      </c>
      <c r="C82" s="20" t="n">
        <v>5001</v>
      </c>
      <c r="D82" s="20" t="n">
        <v>5003</v>
      </c>
      <c r="E82" s="20" t="n">
        <v>5008</v>
      </c>
      <c r="F82" s="20" t="n">
        <v>5017</v>
      </c>
      <c r="G82" s="20" t="n">
        <v>5014</v>
      </c>
      <c r="H82" s="20" t="n">
        <v>4994</v>
      </c>
      <c r="I82" s="20" t="n">
        <v>4993</v>
      </c>
      <c r="J82" s="20" t="n">
        <v>4996</v>
      </c>
      <c r="K82" s="20" t="n">
        <v>5008</v>
      </c>
      <c r="L82" s="20" t="n">
        <v>5017</v>
      </c>
    </row>
    <row r="83">
      <c r="A83" s="18" t="inlineStr">
        <is>
          <t>건설중인자산</t>
        </is>
      </c>
      <c r="C83" s="20" t="n">
        <v>976</v>
      </c>
      <c r="D83" s="20" t="n">
        <v>1346</v>
      </c>
      <c r="E83" s="20" t="n">
        <v>1083</v>
      </c>
      <c r="F83" s="20" t="n">
        <v>1026</v>
      </c>
      <c r="G83" s="20" t="n">
        <v>937</v>
      </c>
      <c r="H83" s="20" t="n">
        <v>1038</v>
      </c>
      <c r="I83" s="20" t="n">
        <v>2927</v>
      </c>
      <c r="J83" s="20" t="n">
        <v>1969</v>
      </c>
      <c r="K83" s="20" t="n">
        <v>846</v>
      </c>
      <c r="L83" s="20" t="n">
        <v>1026</v>
      </c>
    </row>
    <row r="84">
      <c r="A84" s="18" t="inlineStr">
        <is>
          <t>기타(순액)</t>
        </is>
      </c>
      <c r="C84" s="20" t="n">
        <v>1046</v>
      </c>
      <c r="D84" s="20" t="n">
        <v>1059</v>
      </c>
      <c r="E84" s="20" t="n">
        <v>986</v>
      </c>
      <c r="F84" s="20" t="n">
        <v>966</v>
      </c>
      <c r="G84" s="20" t="n">
        <v>948</v>
      </c>
      <c r="H84" s="20" t="n">
        <v>1035</v>
      </c>
      <c r="I84" s="20" t="n">
        <v>1083</v>
      </c>
      <c r="J84" s="20" t="n">
        <v>1136</v>
      </c>
      <c r="K84" s="20" t="n">
        <v>1092</v>
      </c>
      <c r="L84" s="20" t="n">
        <v>966</v>
      </c>
    </row>
    <row r="85">
      <c r="A85" s="18" t="inlineStr">
        <is>
          <t>유형자산 합계</t>
        </is>
      </c>
      <c r="C85" s="20" t="n">
        <v>37993</v>
      </c>
      <c r="D85" s="20" t="n">
        <v>37847</v>
      </c>
      <c r="E85" s="20" t="n">
        <v>37225</v>
      </c>
      <c r="F85" s="20" t="n">
        <v>37168</v>
      </c>
      <c r="G85" s="20" t="n">
        <v>36837</v>
      </c>
      <c r="H85" s="20" t="n">
        <v>40277</v>
      </c>
      <c r="I85" s="20" t="n">
        <v>40442</v>
      </c>
      <c r="J85" s="20" t="n">
        <v>39952</v>
      </c>
      <c r="K85" s="20" t="n">
        <v>39039</v>
      </c>
      <c r="L85" s="20" t="n">
        <v>37168</v>
      </c>
    </row>
    <row r="86">
      <c r="A86" s="18" t="inlineStr">
        <is>
          <t>영업권</t>
        </is>
      </c>
      <c r="H86" s="20" t="n">
        <v>0</v>
      </c>
    </row>
    <row r="87">
      <c r="A87" s="18" t="inlineStr">
        <is>
          <t>기타</t>
        </is>
      </c>
      <c r="H87" s="20" t="n">
        <v>1851</v>
      </c>
    </row>
    <row r="88">
      <c r="A88" s="18" t="inlineStr">
        <is>
          <t>무형자산</t>
        </is>
      </c>
      <c r="C88" s="20" t="n">
        <v>1266</v>
      </c>
      <c r="D88" s="20" t="n">
        <v>1180</v>
      </c>
      <c r="E88" s="20" t="n">
        <v>1136</v>
      </c>
      <c r="F88" s="20" t="n">
        <v>1180</v>
      </c>
      <c r="G88" s="20" t="n">
        <v>1146</v>
      </c>
      <c r="H88" s="20" t="n">
        <v>1851</v>
      </c>
      <c r="I88" s="20" t="n">
        <v>1678</v>
      </c>
      <c r="J88" s="20" t="n">
        <v>1529</v>
      </c>
      <c r="K88" s="20" t="n">
        <v>1374</v>
      </c>
      <c r="L88" s="20" t="n">
        <v>1180</v>
      </c>
    </row>
    <row r="89">
      <c r="A89" s="18" t="inlineStr">
        <is>
          <t>투자유가증권</t>
        </is>
      </c>
      <c r="C89" s="20" t="n">
        <v>10609</v>
      </c>
      <c r="D89" s="20" t="n">
        <v>11407</v>
      </c>
      <c r="E89" s="20" t="n">
        <v>11684</v>
      </c>
      <c r="F89" s="20" t="n">
        <v>11185</v>
      </c>
      <c r="G89" s="20" t="n">
        <v>13360</v>
      </c>
      <c r="H89" s="20" t="n">
        <v>8342</v>
      </c>
      <c r="I89" s="20" t="n">
        <v>7837</v>
      </c>
      <c r="J89" s="20" t="n">
        <v>11200</v>
      </c>
      <c r="K89" s="20" t="n">
        <v>10105</v>
      </c>
      <c r="L89" s="20" t="n">
        <v>11185</v>
      </c>
    </row>
    <row r="90">
      <c r="A90" s="18" t="inlineStr">
        <is>
          <t>퇴직급여자산</t>
        </is>
      </c>
      <c r="C90" s="20" t="n">
        <v>7487</v>
      </c>
      <c r="D90" s="20" t="n">
        <v>7585</v>
      </c>
      <c r="E90" s="20" t="n">
        <v>7675</v>
      </c>
      <c r="F90" s="20" t="n">
        <v>9864</v>
      </c>
      <c r="G90" s="20" t="n">
        <v>9968</v>
      </c>
      <c r="H90" s="20" t="n">
        <v>2907</v>
      </c>
      <c r="I90" s="20" t="n">
        <v>3895</v>
      </c>
      <c r="J90" s="20" t="n">
        <v>6087</v>
      </c>
      <c r="K90" s="20" t="n">
        <v>7392</v>
      </c>
      <c r="L90" s="20" t="n">
        <v>9864</v>
      </c>
    </row>
    <row r="91">
      <c r="A91" s="18" t="inlineStr">
        <is>
          <t>이연법인세자산</t>
        </is>
      </c>
      <c r="C91" s="20" t="n">
        <v>213</v>
      </c>
      <c r="D91" s="20" t="n">
        <v>237</v>
      </c>
      <c r="E91" s="20" t="n">
        <v>173</v>
      </c>
      <c r="F91" s="20" t="n">
        <v>207</v>
      </c>
      <c r="G91" s="20" t="n">
        <v>158</v>
      </c>
      <c r="H91" s="20" t="n">
        <v>267</v>
      </c>
      <c r="I91" s="20" t="n">
        <v>231</v>
      </c>
      <c r="J91" s="20" t="n">
        <v>286</v>
      </c>
      <c r="K91" s="20" t="n">
        <v>288</v>
      </c>
      <c r="L91" s="20" t="n">
        <v>207</v>
      </c>
    </row>
    <row r="92">
      <c r="A92" s="18" t="inlineStr">
        <is>
          <t>기타</t>
        </is>
      </c>
      <c r="C92" s="20" t="n">
        <v>384</v>
      </c>
      <c r="D92" s="20" t="n">
        <v>409</v>
      </c>
      <c r="E92" s="20" t="n">
        <v>414</v>
      </c>
      <c r="F92" s="20" t="n">
        <v>509</v>
      </c>
      <c r="G92" s="20" t="n">
        <v>455</v>
      </c>
      <c r="H92" s="20" t="n">
        <v>365</v>
      </c>
      <c r="I92" s="20" t="n">
        <v>322</v>
      </c>
      <c r="J92" s="20" t="n">
        <v>354</v>
      </c>
      <c r="K92" s="20" t="n">
        <v>386</v>
      </c>
      <c r="L92" s="20" t="n">
        <v>509</v>
      </c>
    </row>
    <row r="93">
      <c r="A93" s="18" t="inlineStr">
        <is>
          <t>대손충당금</t>
        </is>
      </c>
      <c r="C93" s="20" t="n">
        <v>-81</v>
      </c>
      <c r="D93" s="20" t="n">
        <v>-80</v>
      </c>
      <c r="E93" s="20" t="n">
        <v>-83</v>
      </c>
      <c r="F93" s="20" t="n">
        <v>-89</v>
      </c>
      <c r="G93" s="20" t="n">
        <v>-92</v>
      </c>
      <c r="H93" s="20" t="n">
        <v>-115</v>
      </c>
      <c r="I93" s="20" t="n">
        <v>-75</v>
      </c>
      <c r="J93" s="20" t="n">
        <v>-79</v>
      </c>
      <c r="K93" s="20" t="n">
        <v>-86</v>
      </c>
      <c r="L93" s="20" t="n">
        <v>-89</v>
      </c>
    </row>
    <row r="94">
      <c r="A94" s="18" t="inlineStr">
        <is>
          <t>투자 및 기타자산 합계</t>
        </is>
      </c>
      <c r="C94" s="20" t="n">
        <v>18612</v>
      </c>
      <c r="D94" s="20" t="n">
        <v>19559</v>
      </c>
      <c r="E94" s="20" t="n">
        <v>19864</v>
      </c>
      <c r="F94" s="20" t="n">
        <v>21678</v>
      </c>
      <c r="G94" s="20" t="n">
        <v>23850</v>
      </c>
      <c r="H94" s="20" t="n">
        <v>11766</v>
      </c>
      <c r="I94" s="20" t="n">
        <v>12210</v>
      </c>
      <c r="J94" s="20" t="n">
        <v>17850</v>
      </c>
      <c r="K94" s="20" t="n">
        <v>18086</v>
      </c>
      <c r="L94" s="20" t="n">
        <v>21678</v>
      </c>
    </row>
    <row r="95">
      <c r="A95" s="9" t="inlineStr">
        <is>
          <t>비유동자산 합계</t>
        </is>
      </c>
      <c r="C95" s="12" t="n">
        <v>57872</v>
      </c>
      <c r="D95" s="12" t="n">
        <v>58587</v>
      </c>
      <c r="E95" s="12" t="n">
        <v>58225</v>
      </c>
      <c r="F95" s="12" t="n">
        <v>60027</v>
      </c>
      <c r="G95" s="12" t="n">
        <v>61833</v>
      </c>
      <c r="H95" s="12" t="n">
        <v>53895</v>
      </c>
      <c r="I95" s="12" t="n">
        <v>54331</v>
      </c>
      <c r="J95" s="12" t="n">
        <v>59332</v>
      </c>
      <c r="K95" s="12" t="n">
        <v>58500</v>
      </c>
      <c r="L95" s="12" t="n">
        <v>60027</v>
      </c>
    </row>
    <row r="96">
      <c r="A96" s="18" t="inlineStr">
        <is>
          <t>개업비</t>
        </is>
      </c>
      <c r="C96" s="20" t="n">
        <v>1431</v>
      </c>
      <c r="D96" s="20" t="n">
        <v>1331</v>
      </c>
      <c r="E96" s="20" t="n">
        <v>1232</v>
      </c>
      <c r="F96" s="20" t="n">
        <v>1134</v>
      </c>
      <c r="G96" s="20" t="n">
        <v>1035</v>
      </c>
      <c r="H96" s="20" t="n">
        <v>1366</v>
      </c>
      <c r="I96" s="20" t="n">
        <v>1904</v>
      </c>
      <c r="J96" s="20" t="n">
        <v>1927</v>
      </c>
      <c r="K96" s="20" t="n">
        <v>1532</v>
      </c>
      <c r="L96" s="20" t="n">
        <v>1134</v>
      </c>
    </row>
    <row r="97">
      <c r="A97" s="18" t="inlineStr">
        <is>
          <t>이연자산 합계</t>
        </is>
      </c>
      <c r="C97" s="20" t="n">
        <v>1431</v>
      </c>
      <c r="D97" s="20" t="n">
        <v>1331</v>
      </c>
      <c r="E97" s="20" t="n">
        <v>1232</v>
      </c>
      <c r="F97" s="20" t="n">
        <v>1134</v>
      </c>
      <c r="G97" s="20" t="n">
        <v>1035</v>
      </c>
      <c r="H97" s="20" t="n">
        <v>1366</v>
      </c>
      <c r="I97" s="20" t="n">
        <v>1904</v>
      </c>
      <c r="J97" s="20" t="n">
        <v>1927</v>
      </c>
      <c r="K97" s="20" t="n">
        <v>1532</v>
      </c>
      <c r="L97" s="20" t="n">
        <v>1134</v>
      </c>
    </row>
    <row r="98">
      <c r="A98" s="9" t="inlineStr">
        <is>
          <t>자산 합계</t>
        </is>
      </c>
      <c r="C98" s="12" t="n">
        <v>120431</v>
      </c>
      <c r="D98" s="12" t="n">
        <v>121261</v>
      </c>
      <c r="E98" s="12" t="n">
        <v>126623</v>
      </c>
      <c r="F98" s="12" t="n">
        <v>126059</v>
      </c>
      <c r="G98" s="12" t="n">
        <v>128490</v>
      </c>
      <c r="H98" s="12" t="n">
        <v>117739</v>
      </c>
      <c r="I98" s="12" t="n">
        <v>119035</v>
      </c>
      <c r="J98" s="12" t="n">
        <v>125418</v>
      </c>
      <c r="K98" s="12" t="n">
        <v>122297</v>
      </c>
      <c r="L98" s="12" t="n">
        <v>126059</v>
      </c>
    </row>
    <row r="99">
      <c r="A99" s="18" t="inlineStr">
        <is>
          <t>지급어음·매입채무</t>
        </is>
      </c>
      <c r="C99" s="20" t="n">
        <v>8272</v>
      </c>
      <c r="D99" s="20" t="n">
        <v>7920</v>
      </c>
      <c r="E99" s="20" t="n">
        <v>9796</v>
      </c>
      <c r="F99" s="20" t="n">
        <v>8646</v>
      </c>
      <c r="G99" s="20" t="n">
        <v>8669</v>
      </c>
      <c r="H99" s="20" t="n">
        <v>10965</v>
      </c>
      <c r="I99" s="20" t="n">
        <v>9973</v>
      </c>
      <c r="J99" s="20" t="n">
        <v>9478</v>
      </c>
      <c r="K99" s="20" t="n">
        <v>9200</v>
      </c>
      <c r="L99" s="20" t="n">
        <v>8646</v>
      </c>
    </row>
    <row r="100">
      <c r="A100" s="18" t="inlineStr">
        <is>
          <t>전자기록채무</t>
        </is>
      </c>
      <c r="C100" s="20" t="n">
        <v>1149</v>
      </c>
      <c r="D100" s="20" t="n">
        <v>1057</v>
      </c>
      <c r="E100" s="20" t="n">
        <v>1341</v>
      </c>
      <c r="F100" s="20" t="n">
        <v>1134</v>
      </c>
      <c r="G100" s="20" t="n">
        <v>1158</v>
      </c>
      <c r="H100" s="20" t="n">
        <v>1257</v>
      </c>
      <c r="I100" s="20" t="n">
        <v>1074</v>
      </c>
      <c r="J100" s="20" t="n">
        <v>1403</v>
      </c>
      <c r="K100" s="20" t="n">
        <v>1172</v>
      </c>
      <c r="L100" s="20" t="n">
        <v>1134</v>
      </c>
    </row>
    <row r="101">
      <c r="A101" s="18" t="inlineStr">
        <is>
          <t>단기차입금</t>
        </is>
      </c>
      <c r="C101" s="20" t="n">
        <v>20604</v>
      </c>
      <c r="D101" s="20" t="n">
        <v>20482</v>
      </c>
      <c r="E101" s="20" t="n">
        <v>23752</v>
      </c>
      <c r="F101" s="20" t="n">
        <v>22716</v>
      </c>
      <c r="G101" s="20" t="n">
        <v>22726</v>
      </c>
      <c r="H101" s="20" t="n">
        <v>12965</v>
      </c>
      <c r="I101" s="20" t="n">
        <v>19645</v>
      </c>
      <c r="J101" s="20" t="n">
        <v>18512</v>
      </c>
      <c r="K101" s="20" t="n">
        <v>18319</v>
      </c>
      <c r="L101" s="20" t="n">
        <v>22716</v>
      </c>
    </row>
    <row r="102">
      <c r="A102" s="18" t="inlineStr">
        <is>
          <t>1년 내 상환 예정 사채</t>
        </is>
      </c>
      <c r="E102" s="20" t="n">
        <v>5000</v>
      </c>
      <c r="F102" s="20" t="n">
        <v>5000</v>
      </c>
      <c r="G102" s="20" t="n">
        <v>5000</v>
      </c>
      <c r="H102" s="20" t="n">
        <v>0</v>
      </c>
      <c r="I102" s="20" t="n">
        <v>0</v>
      </c>
      <c r="J102" s="20" t="n">
        <v>5000</v>
      </c>
      <c r="K102" s="20" t="n">
        <v>0</v>
      </c>
      <c r="L102" s="20" t="n">
        <v>5000</v>
      </c>
    </row>
    <row r="103">
      <c r="A103" s="18" t="inlineStr">
        <is>
          <t>미지급법인세</t>
        </is>
      </c>
      <c r="C103" s="20" t="n">
        <v>430</v>
      </c>
      <c r="D103" s="20" t="n">
        <v>370</v>
      </c>
      <c r="E103" s="20" t="n">
        <v>197</v>
      </c>
      <c r="F103" s="20" t="n">
        <v>473</v>
      </c>
      <c r="G103" s="20" t="n">
        <v>564</v>
      </c>
      <c r="H103" s="20" t="n">
        <v>526</v>
      </c>
      <c r="I103" s="20" t="n">
        <v>336</v>
      </c>
      <c r="J103" s="20" t="n">
        <v>434</v>
      </c>
      <c r="K103" s="20" t="n">
        <v>774</v>
      </c>
      <c r="L103" s="20" t="n">
        <v>473</v>
      </c>
    </row>
    <row r="104">
      <c r="A104" s="18" t="inlineStr">
        <is>
          <t>미지급 소비세</t>
        </is>
      </c>
      <c r="C104" s="20" t="n">
        <v>106</v>
      </c>
      <c r="D104" s="20" t="n">
        <v>238</v>
      </c>
      <c r="E104" s="20" t="n">
        <v>260</v>
      </c>
      <c r="F104" s="20" t="n">
        <v>256</v>
      </c>
      <c r="G104" s="20" t="n">
        <v>146</v>
      </c>
      <c r="H104" s="20" t="n">
        <v>54</v>
      </c>
      <c r="I104" s="20" t="n">
        <v>67</v>
      </c>
      <c r="J104" s="20" t="n">
        <v>100</v>
      </c>
      <c r="K104" s="20" t="n">
        <v>52</v>
      </c>
      <c r="L104" s="20" t="n">
        <v>256</v>
      </c>
    </row>
    <row r="105">
      <c r="A105" s="18" t="inlineStr">
        <is>
          <t>상여충당금</t>
        </is>
      </c>
      <c r="C105" s="20" t="n">
        <v>656</v>
      </c>
      <c r="D105" s="20" t="n">
        <v>1246</v>
      </c>
      <c r="E105" s="20" t="n">
        <v>725</v>
      </c>
      <c r="F105" s="20" t="n">
        <v>1370</v>
      </c>
      <c r="G105" s="20" t="n">
        <v>739</v>
      </c>
      <c r="H105" s="20" t="n">
        <v>1375</v>
      </c>
      <c r="I105" s="20" t="n">
        <v>1036</v>
      </c>
      <c r="J105" s="20" t="n">
        <v>1190</v>
      </c>
      <c r="K105" s="20" t="n">
        <v>1370</v>
      </c>
      <c r="L105" s="20" t="n">
        <v>1370</v>
      </c>
    </row>
    <row r="106">
      <c r="A106" s="18" t="inlineStr">
        <is>
          <t>임원 상여충당금</t>
        </is>
      </c>
      <c r="C106" s="20" t="n">
        <v>9</v>
      </c>
      <c r="D106" s="20" t="n">
        <v>10</v>
      </c>
      <c r="E106" s="20" t="n">
        <v>22</v>
      </c>
      <c r="F106" s="20" t="n">
        <v>34</v>
      </c>
      <c r="G106" s="20" t="n">
        <v>21</v>
      </c>
      <c r="H106" s="20" t="n">
        <v>58</v>
      </c>
      <c r="I106" s="20" t="n">
        <v>0</v>
      </c>
      <c r="J106" s="20" t="n">
        <v>0</v>
      </c>
      <c r="K106" s="20" t="n">
        <v>27</v>
      </c>
      <c r="L106" s="20" t="n">
        <v>34</v>
      </c>
    </row>
    <row r="107">
      <c r="A107" s="18" t="inlineStr">
        <is>
          <t>수선충당금</t>
        </is>
      </c>
      <c r="C107" s="20" t="n">
        <v>521</v>
      </c>
      <c r="D107" s="20" t="n">
        <v>525</v>
      </c>
      <c r="E107" s="20" t="n">
        <v>957</v>
      </c>
      <c r="F107" s="20" t="n">
        <v>971</v>
      </c>
      <c r="G107" s="20" t="n">
        <v>1084</v>
      </c>
      <c r="H107" s="20" t="n">
        <v>255</v>
      </c>
      <c r="I107" s="20" t="n">
        <v>414</v>
      </c>
      <c r="J107" s="20" t="n">
        <v>732</v>
      </c>
      <c r="K107" s="20" t="n">
        <v>820</v>
      </c>
      <c r="L107" s="20" t="n">
        <v>971</v>
      </c>
    </row>
    <row r="108">
      <c r="A108" s="18" t="inlineStr">
        <is>
          <t>사업정리손실 충당금</t>
        </is>
      </c>
      <c r="C108" s="20" t="n">
        <v>55</v>
      </c>
      <c r="D108" s="20" t="n">
        <v>57</v>
      </c>
      <c r="E108" s="20" t="n">
        <v>59</v>
      </c>
      <c r="F108" s="20" t="n">
        <v>62</v>
      </c>
      <c r="G108" s="20" t="n">
        <v>62</v>
      </c>
      <c r="H108" s="20" t="n">
        <v>0</v>
      </c>
      <c r="I108" s="20" t="n">
        <v>1179</v>
      </c>
      <c r="J108" s="20" t="n">
        <v>110</v>
      </c>
      <c r="K108" s="20" t="n">
        <v>56</v>
      </c>
      <c r="L108" s="20" t="n">
        <v>62</v>
      </c>
    </row>
    <row r="109">
      <c r="A109" s="18" t="inlineStr">
        <is>
          <t>자산복구부채</t>
        </is>
      </c>
      <c r="C109" s="20" t="n">
        <v>26</v>
      </c>
      <c r="D109" s="20" t="n">
        <v>0</v>
      </c>
      <c r="E109" s="20" t="n">
        <v>0</v>
      </c>
      <c r="F109" s="20" t="n">
        <v>0</v>
      </c>
      <c r="J109" s="20" t="n">
        <v>0</v>
      </c>
      <c r="K109" s="20" t="n">
        <v>26</v>
      </c>
      <c r="L109" s="20" t="n">
        <v>0</v>
      </c>
    </row>
    <row r="110">
      <c r="A110" s="18" t="inlineStr">
        <is>
          <t>설비관련 지급어음</t>
        </is>
      </c>
      <c r="C110" s="20" t="n">
        <v>84</v>
      </c>
      <c r="D110" s="20" t="n">
        <v>132</v>
      </c>
      <c r="E110" s="20" t="n">
        <v>133</v>
      </c>
      <c r="F110" s="20" t="n">
        <v>157</v>
      </c>
      <c r="G110" s="20" t="n">
        <v>208</v>
      </c>
      <c r="H110" s="20" t="n">
        <v>76</v>
      </c>
      <c r="I110" s="20" t="n">
        <v>219</v>
      </c>
      <c r="J110" s="20" t="n">
        <v>297</v>
      </c>
      <c r="K110" s="20" t="n">
        <v>104</v>
      </c>
      <c r="L110" s="20" t="n">
        <v>157</v>
      </c>
    </row>
    <row r="111">
      <c r="A111" s="18" t="inlineStr">
        <is>
          <t>기타</t>
        </is>
      </c>
      <c r="C111" s="20" t="n">
        <v>5482</v>
      </c>
      <c r="D111" s="20" t="n">
        <v>5910</v>
      </c>
      <c r="E111" s="20" t="n">
        <v>6137</v>
      </c>
      <c r="F111" s="20" t="n">
        <v>5287</v>
      </c>
      <c r="G111" s="20" t="n">
        <v>5780</v>
      </c>
      <c r="H111" s="20" t="n">
        <v>8938</v>
      </c>
      <c r="I111" s="20" t="n">
        <v>8167</v>
      </c>
      <c r="J111" s="20" t="n">
        <v>6146</v>
      </c>
      <c r="K111" s="20" t="n">
        <v>5682</v>
      </c>
      <c r="L111" s="20" t="n">
        <v>5287</v>
      </c>
    </row>
    <row r="112">
      <c r="A112" s="9" t="inlineStr">
        <is>
          <t>유동부채 합계</t>
        </is>
      </c>
      <c r="C112" s="12" t="n">
        <v>37397</v>
      </c>
      <c r="D112" s="12" t="n">
        <v>37953</v>
      </c>
      <c r="E112" s="12" t="n">
        <v>48382</v>
      </c>
      <c r="F112" s="12" t="n">
        <v>46110</v>
      </c>
      <c r="G112" s="12" t="n">
        <v>46161</v>
      </c>
      <c r="H112" s="12" t="n">
        <v>36474</v>
      </c>
      <c r="I112" s="12" t="n">
        <v>42113</v>
      </c>
      <c r="J112" s="12" t="n">
        <v>43406</v>
      </c>
      <c r="K112" s="12" t="n">
        <v>37608</v>
      </c>
      <c r="L112" s="12" t="n">
        <v>46110</v>
      </c>
    </row>
    <row r="113">
      <c r="A113" s="18" t="inlineStr">
        <is>
          <t>사채</t>
        </is>
      </c>
      <c r="C113" s="20" t="n">
        <v>10000</v>
      </c>
      <c r="D113" s="20" t="n">
        <v>10000</v>
      </c>
      <c r="E113" s="20" t="n">
        <v>5000</v>
      </c>
      <c r="F113" s="20" t="n">
        <v>5000</v>
      </c>
      <c r="G113" s="20" t="n">
        <v>5000</v>
      </c>
      <c r="H113" s="20" t="n">
        <v>10000</v>
      </c>
      <c r="I113" s="20" t="n">
        <v>10000</v>
      </c>
      <c r="J113" s="20" t="n">
        <v>5000</v>
      </c>
      <c r="K113" s="20" t="n">
        <v>10000</v>
      </c>
      <c r="L113" s="20" t="n">
        <v>5000</v>
      </c>
    </row>
    <row r="114">
      <c r="A114" s="18" t="inlineStr">
        <is>
          <t>장기차입금</t>
        </is>
      </c>
      <c r="C114" s="20" t="n">
        <v>10348</v>
      </c>
      <c r="D114" s="20" t="n">
        <v>9654</v>
      </c>
      <c r="E114" s="20" t="n">
        <v>8970</v>
      </c>
      <c r="F114" s="20" t="n">
        <v>7907</v>
      </c>
      <c r="G114" s="20" t="n">
        <v>7205</v>
      </c>
      <c r="H114" s="20" t="n">
        <v>3715</v>
      </c>
      <c r="I114" s="20" t="n">
        <v>5407</v>
      </c>
      <c r="J114" s="20" t="n">
        <v>13875</v>
      </c>
      <c r="K114" s="20" t="n">
        <v>11061</v>
      </c>
      <c r="L114" s="20" t="n">
        <v>7907</v>
      </c>
    </row>
    <row r="115">
      <c r="A115" s="18" t="inlineStr">
        <is>
          <t>이연법인세부채</t>
        </is>
      </c>
      <c r="C115" s="20" t="n">
        <v>4453</v>
      </c>
      <c r="D115" s="20" t="n">
        <v>4742</v>
      </c>
      <c r="E115" s="20" t="n">
        <v>5172</v>
      </c>
      <c r="F115" s="20" t="n">
        <v>5586</v>
      </c>
      <c r="G115" s="20" t="n">
        <v>6476</v>
      </c>
      <c r="H115" s="20" t="n">
        <v>2313</v>
      </c>
      <c r="I115" s="20" t="n">
        <v>2372</v>
      </c>
      <c r="J115" s="20" t="n">
        <v>3847</v>
      </c>
      <c r="K115" s="20" t="n">
        <v>4161</v>
      </c>
      <c r="L115" s="20" t="n">
        <v>5586</v>
      </c>
    </row>
    <row r="116">
      <c r="A116" s="18" t="inlineStr">
        <is>
          <t>퇴직급여부채</t>
        </is>
      </c>
      <c r="C116" s="20" t="n">
        <v>262</v>
      </c>
      <c r="D116" s="20" t="n">
        <v>270</v>
      </c>
      <c r="E116" s="20" t="n">
        <v>264</v>
      </c>
      <c r="F116" s="20" t="n">
        <v>261</v>
      </c>
      <c r="G116" s="20" t="n">
        <v>270</v>
      </c>
      <c r="H116" s="20" t="n">
        <v>300</v>
      </c>
      <c r="I116" s="20" t="n">
        <v>298</v>
      </c>
      <c r="J116" s="20" t="n">
        <v>299</v>
      </c>
      <c r="K116" s="20" t="n">
        <v>259</v>
      </c>
      <c r="L116" s="20" t="n">
        <v>261</v>
      </c>
    </row>
    <row r="117">
      <c r="A117" s="18" t="inlineStr">
        <is>
          <t>자산복구부채</t>
        </is>
      </c>
      <c r="C117" s="20" t="n">
        <v>1829</v>
      </c>
      <c r="D117" s="20" t="n">
        <v>1829</v>
      </c>
      <c r="E117" s="20" t="n">
        <v>1833</v>
      </c>
      <c r="F117" s="20" t="n">
        <v>1842</v>
      </c>
      <c r="G117" s="20" t="n">
        <v>1864</v>
      </c>
      <c r="H117" s="20" t="n">
        <v>2120</v>
      </c>
      <c r="I117" s="20" t="n">
        <v>2161</v>
      </c>
      <c r="J117" s="20" t="n">
        <v>1919</v>
      </c>
      <c r="K117" s="20" t="n">
        <v>1832</v>
      </c>
      <c r="L117" s="20" t="n">
        <v>1842</v>
      </c>
    </row>
    <row r="118">
      <c r="A118" s="18" t="inlineStr">
        <is>
          <t>기타</t>
        </is>
      </c>
      <c r="C118" s="20" t="n">
        <v>120</v>
      </c>
      <c r="D118" s="20" t="n">
        <v>117</v>
      </c>
      <c r="E118" s="20" t="n">
        <v>113</v>
      </c>
      <c r="F118" s="20" t="n">
        <v>111</v>
      </c>
      <c r="G118" s="20" t="n">
        <v>108</v>
      </c>
      <c r="H118" s="20" t="n">
        <v>236</v>
      </c>
      <c r="I118" s="20" t="n">
        <v>172</v>
      </c>
      <c r="J118" s="20" t="n">
        <v>151</v>
      </c>
      <c r="K118" s="20" t="n">
        <v>135</v>
      </c>
      <c r="L118" s="20" t="n">
        <v>111</v>
      </c>
    </row>
    <row r="119">
      <c r="A119" s="9" t="inlineStr">
        <is>
          <t>비유동부채 합계</t>
        </is>
      </c>
      <c r="C119" s="12" t="n">
        <v>27013</v>
      </c>
      <c r="D119" s="12" t="n">
        <v>26615</v>
      </c>
      <c r="E119" s="12" t="n">
        <v>21354</v>
      </c>
      <c r="F119" s="12" t="n">
        <v>20708</v>
      </c>
      <c r="G119" s="12" t="n">
        <v>20924</v>
      </c>
      <c r="H119" s="12" t="n">
        <v>18686</v>
      </c>
      <c r="I119" s="12" t="n">
        <v>20412</v>
      </c>
      <c r="J119" s="12" t="n">
        <v>25093</v>
      </c>
      <c r="K119" s="12" t="n">
        <v>27451</v>
      </c>
      <c r="L119" s="12" t="n">
        <v>20708</v>
      </c>
    </row>
    <row r="120">
      <c r="A120" s="9" t="inlineStr">
        <is>
          <t>부채 합계</t>
        </is>
      </c>
      <c r="C120" s="12" t="n">
        <v>64411</v>
      </c>
      <c r="D120" s="12" t="n">
        <v>64568</v>
      </c>
      <c r="E120" s="12" t="n">
        <v>69737</v>
      </c>
      <c r="F120" s="12" t="n">
        <v>66819</v>
      </c>
      <c r="G120" s="12" t="n">
        <v>67086</v>
      </c>
      <c r="H120" s="12" t="n">
        <v>55160</v>
      </c>
      <c r="I120" s="12" t="n">
        <v>62526</v>
      </c>
      <c r="J120" s="12" t="n">
        <v>68500</v>
      </c>
      <c r="K120" s="12" t="n">
        <v>65060</v>
      </c>
      <c r="L120" s="12" t="n">
        <v>66819</v>
      </c>
    </row>
    <row r="121">
      <c r="A121" s="18" t="inlineStr">
        <is>
          <t>자본금</t>
        </is>
      </c>
      <c r="C121" s="20" t="n">
        <v>3343</v>
      </c>
      <c r="D121" s="20" t="n">
        <v>3343</v>
      </c>
      <c r="E121" s="20" t="n">
        <v>3343</v>
      </c>
      <c r="F121" s="20" t="n">
        <v>3343</v>
      </c>
      <c r="G121" s="20" t="n">
        <v>3343</v>
      </c>
      <c r="H121" s="20" t="n">
        <v>3343</v>
      </c>
      <c r="I121" s="20" t="n">
        <v>3343</v>
      </c>
      <c r="J121" s="20" t="n">
        <v>3343</v>
      </c>
      <c r="K121" s="20" t="n">
        <v>3343</v>
      </c>
      <c r="L121" s="20" t="n">
        <v>3343</v>
      </c>
    </row>
    <row r="122">
      <c r="A122" s="18" t="inlineStr">
        <is>
          <t>자본잉여금</t>
        </is>
      </c>
      <c r="C122" s="20" t="n">
        <v>3564</v>
      </c>
      <c r="D122" s="20" t="n">
        <v>3564</v>
      </c>
      <c r="E122" s="20" t="n">
        <v>3564</v>
      </c>
      <c r="F122" s="20" t="n">
        <v>3564</v>
      </c>
      <c r="G122" s="20" t="n">
        <v>3564</v>
      </c>
      <c r="H122" s="20" t="n">
        <v>3564</v>
      </c>
      <c r="I122" s="20" t="n">
        <v>3564</v>
      </c>
      <c r="J122" s="20" t="n">
        <v>3564</v>
      </c>
      <c r="K122" s="20" t="n">
        <v>3564</v>
      </c>
      <c r="L122" s="20" t="n">
        <v>3564</v>
      </c>
    </row>
    <row r="123">
      <c r="A123" s="18" t="inlineStr">
        <is>
          <t>이익잉여금</t>
        </is>
      </c>
      <c r="C123" s="20" t="n">
        <v>40656</v>
      </c>
      <c r="D123" s="20" t="n">
        <v>40848</v>
      </c>
      <c r="E123" s="20" t="n">
        <v>40958</v>
      </c>
      <c r="F123" s="20" t="n">
        <v>41829</v>
      </c>
      <c r="G123" s="20" t="n">
        <v>42629</v>
      </c>
      <c r="H123" s="20" t="n">
        <v>46816</v>
      </c>
      <c r="I123" s="20" t="n">
        <v>40922</v>
      </c>
      <c r="J123" s="20" t="n">
        <v>38927</v>
      </c>
      <c r="K123" s="20" t="n">
        <v>40619</v>
      </c>
      <c r="L123" s="20" t="n">
        <v>41829</v>
      </c>
    </row>
    <row r="124">
      <c r="A124" s="18" t="inlineStr">
        <is>
          <t>자기주식</t>
        </is>
      </c>
      <c r="C124" s="20" t="n">
        <v>-1211</v>
      </c>
      <c r="D124" s="20" t="n">
        <v>-1211</v>
      </c>
      <c r="E124" s="20" t="n">
        <v>-1211</v>
      </c>
      <c r="F124" s="20" t="n">
        <v>-1211</v>
      </c>
      <c r="G124" s="20" t="n">
        <v>-1211</v>
      </c>
      <c r="H124" s="20" t="n">
        <v>-1211</v>
      </c>
      <c r="I124" s="20" t="n">
        <v>-1211</v>
      </c>
      <c r="J124" s="20" t="n">
        <v>-1211</v>
      </c>
      <c r="K124" s="20" t="n">
        <v>-1211</v>
      </c>
      <c r="L124" s="20" t="n">
        <v>-1211</v>
      </c>
    </row>
    <row r="125">
      <c r="A125" s="9" t="inlineStr">
        <is>
          <t>주주자본 합계</t>
        </is>
      </c>
      <c r="C125" s="12" t="n">
        <v>46352</v>
      </c>
      <c r="D125" s="12" t="n">
        <v>46544</v>
      </c>
      <c r="E125" s="12" t="n">
        <v>46654</v>
      </c>
      <c r="F125" s="12" t="n">
        <v>47524</v>
      </c>
      <c r="G125" s="12" t="n">
        <v>48325</v>
      </c>
      <c r="H125" s="12" t="n">
        <v>52512</v>
      </c>
      <c r="I125" s="12" t="n">
        <v>46618</v>
      </c>
      <c r="J125" s="12" t="n">
        <v>44623</v>
      </c>
      <c r="K125" s="12" t="n">
        <v>46315</v>
      </c>
      <c r="L125" s="12" t="n">
        <v>47524</v>
      </c>
    </row>
    <row r="126">
      <c r="A126" s="18" t="inlineStr">
        <is>
          <t>기타유가증권 평가차액</t>
        </is>
      </c>
      <c r="C126" s="20" t="n">
        <v>4720</v>
      </c>
      <c r="D126" s="20" t="n">
        <v>5291</v>
      </c>
      <c r="E126" s="20" t="n">
        <v>5720</v>
      </c>
      <c r="F126" s="20" t="n">
        <v>5507</v>
      </c>
      <c r="G126" s="20" t="n">
        <v>7038</v>
      </c>
      <c r="H126" s="20" t="n">
        <v>3334</v>
      </c>
      <c r="I126" s="20" t="n">
        <v>2933</v>
      </c>
      <c r="J126" s="20" t="n">
        <v>5173</v>
      </c>
      <c r="K126" s="20" t="n">
        <v>4384</v>
      </c>
      <c r="L126" s="20" t="n">
        <v>5507</v>
      </c>
    </row>
    <row r="127">
      <c r="A127" s="18" t="inlineStr">
        <is>
          <t>해외사업환산조정</t>
        </is>
      </c>
      <c r="C127" s="20" t="n">
        <v>3701</v>
      </c>
      <c r="D127" s="20" t="n">
        <v>3819</v>
      </c>
      <c r="E127" s="20" t="n">
        <v>4060</v>
      </c>
      <c r="F127" s="20" t="n">
        <v>5174</v>
      </c>
      <c r="G127" s="20" t="n">
        <v>5558</v>
      </c>
      <c r="H127" s="20" t="n">
        <v>2112</v>
      </c>
      <c r="I127" s="20" t="n">
        <v>2819</v>
      </c>
      <c r="J127" s="20" t="n">
        <v>3530</v>
      </c>
      <c r="K127" s="20" t="n">
        <v>4671</v>
      </c>
      <c r="L127" s="20" t="n">
        <v>5174</v>
      </c>
    </row>
    <row r="128">
      <c r="A128" s="18" t="inlineStr">
        <is>
          <t>퇴직급여 조정누계액</t>
        </is>
      </c>
      <c r="C128" s="20" t="n">
        <v>3009</v>
      </c>
      <c r="D128" s="20" t="n">
        <v>2911</v>
      </c>
      <c r="E128" s="20" t="n">
        <v>2815</v>
      </c>
      <c r="F128" s="20" t="n">
        <v>4150</v>
      </c>
      <c r="G128" s="20" t="n">
        <v>4013</v>
      </c>
      <c r="H128" s="20" t="n">
        <v>1225</v>
      </c>
      <c r="I128" s="20" t="n">
        <v>1710</v>
      </c>
      <c r="J128" s="20" t="n">
        <v>2807</v>
      </c>
      <c r="K128" s="20" t="n">
        <v>3103</v>
      </c>
      <c r="L128" s="20" t="n">
        <v>4150</v>
      </c>
    </row>
    <row r="129">
      <c r="A129" s="18" t="inlineStr">
        <is>
          <t>기타포괄손익누계액 합계</t>
        </is>
      </c>
      <c r="C129" s="20" t="n">
        <v>11431</v>
      </c>
      <c r="D129" s="20" t="n">
        <v>12022</v>
      </c>
      <c r="E129" s="20" t="n">
        <v>12597</v>
      </c>
      <c r="F129" s="20" t="n">
        <v>14832</v>
      </c>
      <c r="G129" s="20" t="n">
        <v>16611</v>
      </c>
      <c r="H129" s="20" t="n">
        <v>6671</v>
      </c>
      <c r="I129" s="20" t="n">
        <v>7464</v>
      </c>
      <c r="J129" s="20" t="n">
        <v>11511</v>
      </c>
      <c r="K129" s="20" t="n">
        <v>12159</v>
      </c>
      <c r="L129" s="20" t="n">
        <v>14832</v>
      </c>
    </row>
    <row r="130">
      <c r="A130" s="18" t="inlineStr">
        <is>
          <t>비지배지분</t>
        </is>
      </c>
      <c r="C130" s="20" t="n">
        <v>-1764</v>
      </c>
      <c r="D130" s="20" t="n">
        <v>-1874</v>
      </c>
      <c r="E130" s="20" t="n">
        <v>-2365</v>
      </c>
      <c r="F130" s="20" t="n">
        <v>-3117</v>
      </c>
      <c r="G130" s="20" t="n">
        <v>-3533</v>
      </c>
      <c r="H130" s="20" t="n">
        <v>3394</v>
      </c>
      <c r="I130" s="20" t="n">
        <v>2426</v>
      </c>
      <c r="J130" s="20" t="n">
        <v>783</v>
      </c>
      <c r="K130" s="20" t="n">
        <v>-1237</v>
      </c>
      <c r="L130" s="20" t="n">
        <v>-3117</v>
      </c>
    </row>
    <row r="131">
      <c r="A131" s="9" t="inlineStr">
        <is>
          <t>순자산 합계</t>
        </is>
      </c>
      <c r="C131" s="12" t="n">
        <v>56020</v>
      </c>
      <c r="D131" s="12" t="n">
        <v>56692</v>
      </c>
      <c r="E131" s="12" t="n">
        <v>56886</v>
      </c>
      <c r="F131" s="12" t="n">
        <v>59240</v>
      </c>
      <c r="G131" s="12" t="n">
        <v>61403</v>
      </c>
      <c r="H131" s="12" t="n">
        <v>62578</v>
      </c>
      <c r="I131" s="12" t="n">
        <v>56509</v>
      </c>
      <c r="J131" s="12" t="n">
        <v>56918</v>
      </c>
      <c r="K131" s="12" t="n">
        <v>57237</v>
      </c>
      <c r="L131" s="12" t="n">
        <v>59240</v>
      </c>
    </row>
    <row r="132">
      <c r="A132" s="9" t="inlineStr">
        <is>
          <t>부채·순자산 합계</t>
        </is>
      </c>
      <c r="C132" s="12" t="n">
        <v>120431</v>
      </c>
      <c r="D132" s="12" t="n">
        <v>121261</v>
      </c>
      <c r="E132" s="12" t="n">
        <v>126623</v>
      </c>
      <c r="F132" s="12" t="n">
        <v>126059</v>
      </c>
      <c r="G132" s="12" t="n">
        <v>128490</v>
      </c>
      <c r="H132" s="12" t="n">
        <v>117739</v>
      </c>
      <c r="I132" s="12" t="n">
        <v>119035</v>
      </c>
      <c r="J132" s="12" t="n">
        <v>125418</v>
      </c>
      <c r="K132" s="12" t="n">
        <v>122297</v>
      </c>
      <c r="L132" s="12" t="n">
        <v>126059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44" customWidth="1" min="18" max="18"/>
  </cols>
  <sheetData>
    <row r="1">
      <c r="A1" s="50" t="inlineStr">
        <is>
          <t>4968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revision · 2Q calc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</row>
    <row r="5">
      <c r="A5" s="53" t="inlineStr">
        <is>
          <t>항목</t>
        </is>
      </c>
      <c r="B5" s="53" t="inlineStr">
        <is>
          <t>값</t>
        </is>
      </c>
      <c r="R5" s="53" t="inlineStr">
        <is>
          <t>출처</t>
        </is>
      </c>
    </row>
    <row r="6">
      <c r="A6" s="54" t="inlineStr">
        <is>
          <t>매출</t>
        </is>
      </c>
      <c r="B6" s="55" t="n">
        <v>242.2</v>
      </c>
      <c r="R6" s="56" t="inlineStr">
        <is>
          <t>2단계 보고서 자료(회사 설명회 자료·공시)</t>
        </is>
      </c>
    </row>
    <row r="7">
      <c r="A7" s="54" t="inlineStr">
        <is>
          <t>영업이익</t>
        </is>
      </c>
      <c r="B7" s="55" t="n">
        <v>8.6</v>
      </c>
    </row>
    <row r="8">
      <c r="A8" s="54" t="inlineStr">
        <is>
          <t>ord</t>
        </is>
      </c>
      <c r="B8" s="55" t="n">
        <v>6.4</v>
      </c>
    </row>
    <row r="9">
      <c r="A9" s="54" t="inlineStr">
        <is>
          <t>순이익</t>
        </is>
      </c>
      <c r="B9" s="55" t="n">
        <v>8.6</v>
      </c>
    </row>
    <row r="10">
      <c r="A10" s="54" t="inlineStr">
        <is>
          <t>EPS</t>
        </is>
      </c>
      <c r="B10" s="55" t="n">
        <v>43.51</v>
      </c>
    </row>
    <row r="12">
      <c r="A12" s="52" t="inlineStr">
        <is>
          <t>revision · 하반기 implied</t>
        </is>
      </c>
      <c r="B12" s="52" t="n"/>
      <c r="C12" s="52" t="n"/>
      <c r="D12" s="52" t="n"/>
      <c r="E12" s="52" t="n"/>
      <c r="F12" s="52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</row>
    <row r="13">
      <c r="A13" s="53" t="inlineStr">
        <is>
          <t>항목</t>
        </is>
      </c>
      <c r="B13" s="53" t="inlineStr">
        <is>
          <t>값</t>
        </is>
      </c>
      <c r="R13" s="53" t="inlineStr">
        <is>
          <t>출처</t>
        </is>
      </c>
    </row>
    <row r="14">
      <c r="A14" s="54" t="inlineStr">
        <is>
          <t>매출</t>
        </is>
      </c>
      <c r="B14" s="55" t="n">
        <v>475</v>
      </c>
      <c r="R14" s="56" t="inlineStr">
        <is>
          <t>2단계 보고서 자료(회사 설명회 자료·공시)</t>
        </is>
      </c>
    </row>
    <row r="15">
      <c r="A15" s="54" t="inlineStr">
        <is>
          <t>영업이익</t>
        </is>
      </c>
      <c r="B15" s="55" t="n">
        <v>21</v>
      </c>
    </row>
    <row r="16">
      <c r="A16" s="54" t="inlineStr">
        <is>
          <t>ord</t>
        </is>
      </c>
      <c r="B16" s="55" t="n">
        <v>18.4</v>
      </c>
    </row>
    <row r="17">
      <c r="A17" s="54" t="inlineStr">
        <is>
          <t>순이익</t>
        </is>
      </c>
      <c r="B17" s="55" t="n">
        <v>10.4</v>
      </c>
    </row>
    <row r="19">
      <c r="A19" s="52" t="inlineStr">
        <is>
          <t>annual extra</t>
        </is>
      </c>
      <c r="B19" s="52" t="n"/>
      <c r="C19" s="52" t="n"/>
      <c r="D19" s="52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</row>
    <row r="20">
      <c r="A20" s="53" t="inlineStr">
        <is>
          <t>항목</t>
        </is>
      </c>
      <c r="B20" s="53" t="inlineStr">
        <is>
          <t>2017</t>
        </is>
      </c>
      <c r="C20" s="53" t="inlineStr">
        <is>
          <t>2018</t>
        </is>
      </c>
      <c r="D20" s="53" t="inlineStr">
        <is>
          <t>2019</t>
        </is>
      </c>
      <c r="E20" s="53" t="inlineStr">
        <is>
          <t>2020</t>
        </is>
      </c>
      <c r="F20" s="53" t="inlineStr">
        <is>
          <t>2021</t>
        </is>
      </c>
      <c r="G20" s="53" t="inlineStr">
        <is>
          <t>2022</t>
        </is>
      </c>
      <c r="H20" s="53" t="inlineStr">
        <is>
          <t>2023</t>
        </is>
      </c>
      <c r="I20" s="53" t="inlineStr">
        <is>
          <t>2024</t>
        </is>
      </c>
      <c r="J20" s="53" t="inlineStr">
        <is>
          <t>2025</t>
        </is>
      </c>
      <c r="K20" s="53" t="inlineStr">
        <is>
          <t>2026</t>
        </is>
      </c>
      <c r="R20" s="53" t="inlineStr">
        <is>
          <t>출처</t>
        </is>
      </c>
    </row>
    <row r="21">
      <c r="A21" s="54" t="inlineStr">
        <is>
          <t>labels</t>
        </is>
      </c>
      <c r="B21" s="57" t="n">
        <v>2017</v>
      </c>
      <c r="C21" s="57" t="n">
        <v>2018</v>
      </c>
      <c r="D21" s="57" t="n">
        <v>2019</v>
      </c>
      <c r="E21" s="57" t="n">
        <v>2020</v>
      </c>
      <c r="F21" s="57" t="n">
        <v>2021</v>
      </c>
      <c r="G21" s="57" t="n">
        <v>2022</v>
      </c>
      <c r="H21" s="57" t="n">
        <v>2023</v>
      </c>
      <c r="I21" s="57" t="n">
        <v>2024</v>
      </c>
      <c r="J21" s="57" t="n">
        <v>2025</v>
      </c>
      <c r="K21" s="57" t="n">
        <v>2026</v>
      </c>
      <c r="R21" s="56" t="inlineStr">
        <is>
          <t>2단계 보고서 자료(회사 설명회 자료·공시)</t>
        </is>
      </c>
    </row>
    <row r="22">
      <c r="A22" s="54" t="inlineStr">
        <is>
          <t>ordinary</t>
        </is>
      </c>
      <c r="B22" s="55" t="n">
        <v>53.1</v>
      </c>
      <c r="C22" s="55" t="n">
        <v>52.2</v>
      </c>
      <c r="D22" s="55" t="n">
        <v>39.5</v>
      </c>
      <c r="E22" s="55" t="n">
        <v>29.3</v>
      </c>
      <c r="F22" s="55" t="n">
        <v>36.5</v>
      </c>
      <c r="G22" s="55" t="n">
        <v>35.7</v>
      </c>
      <c r="H22" s="55" t="n">
        <v>-26.9</v>
      </c>
      <c r="I22" s="55" t="n">
        <v>-24.1</v>
      </c>
      <c r="J22" s="55" t="n">
        <v>8.5</v>
      </c>
      <c r="K22" s="55" t="n">
        <v>23.9</v>
      </c>
    </row>
    <row r="23">
      <c r="A23" s="54" t="inlineStr">
        <is>
          <t>EPS</t>
        </is>
      </c>
      <c r="B23" s="55" t="n">
        <v>166.18</v>
      </c>
      <c r="C23" s="55" t="n">
        <v>150.76</v>
      </c>
      <c r="D23" s="55" t="n">
        <v>188.5</v>
      </c>
      <c r="E23" s="55" t="n">
        <v>85.34999999999999</v>
      </c>
      <c r="F23" s="55" t="n">
        <v>109.35</v>
      </c>
      <c r="G23" s="55" t="n">
        <v>75.75</v>
      </c>
      <c r="H23" s="55" t="n">
        <v>-249.08</v>
      </c>
      <c r="I23" s="55" t="n">
        <v>-52.56</v>
      </c>
      <c r="J23" s="55" t="n">
        <v>133.31</v>
      </c>
      <c r="K23" s="55" t="n">
        <v>110.96</v>
      </c>
    </row>
    <row r="24">
      <c r="A24" s="54" t="inlineStr">
        <is>
          <t>dps</t>
        </is>
      </c>
      <c r="B24" s="57" t="n">
        <v>38</v>
      </c>
      <c r="C24" s="57" t="n">
        <v>38</v>
      </c>
      <c r="D24" s="57" t="n">
        <v>42</v>
      </c>
      <c r="E24" s="57" t="n">
        <v>44</v>
      </c>
      <c r="F24" s="57" t="n">
        <v>46</v>
      </c>
      <c r="G24" s="57" t="n">
        <v>48</v>
      </c>
      <c r="H24" s="57" t="n">
        <v>48</v>
      </c>
      <c r="I24" s="57" t="n">
        <v>48</v>
      </c>
      <c r="J24" s="57" t="n">
        <v>49</v>
      </c>
      <c r="K24" s="57" t="n">
        <v>50</v>
      </c>
    </row>
    <row r="26">
      <c r="A26" s="52" t="inlineStr">
        <is>
          <t>quarterly extra</t>
        </is>
      </c>
      <c r="B26" s="52" t="n"/>
      <c r="C26" s="52" t="n"/>
      <c r="D26" s="52" t="n"/>
      <c r="E26" s="52" t="n"/>
      <c r="F26" s="52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</row>
    <row r="27">
      <c r="A27" s="53" t="inlineStr">
        <is>
          <t>항목</t>
        </is>
      </c>
      <c r="B27" s="53" t="inlineStr">
        <is>
          <t>2023.2Q</t>
        </is>
      </c>
      <c r="C27" s="53" t="inlineStr">
        <is>
          <t>2023.3Q</t>
        </is>
      </c>
      <c r="D27" s="53" t="inlineStr">
        <is>
          <t>2023.4Q</t>
        </is>
      </c>
      <c r="E27" s="53" t="inlineStr">
        <is>
          <t>2024.1Q</t>
        </is>
      </c>
      <c r="F27" s="53" t="inlineStr">
        <is>
          <t>2024.2Q</t>
        </is>
      </c>
      <c r="G27" s="53" t="inlineStr">
        <is>
          <t>2024.3Q</t>
        </is>
      </c>
      <c r="H27" s="53" t="inlineStr">
        <is>
          <t>2024.4Q</t>
        </is>
      </c>
      <c r="I27" s="53" t="inlineStr">
        <is>
          <t>2025.1Q</t>
        </is>
      </c>
      <c r="J27" s="53" t="inlineStr">
        <is>
          <t>2025.2Q</t>
        </is>
      </c>
      <c r="K27" s="53" t="inlineStr">
        <is>
          <t>2025.3Q</t>
        </is>
      </c>
      <c r="L27" s="53" t="inlineStr">
        <is>
          <t>2025.4Q</t>
        </is>
      </c>
      <c r="M27" s="53" t="inlineStr">
        <is>
          <t>2026.1Q</t>
        </is>
      </c>
      <c r="N27" s="53" t="inlineStr">
        <is>
          <t>2026.2Q</t>
        </is>
      </c>
      <c r="O27" s="53" t="inlineStr">
        <is>
          <t>2026.3Q</t>
        </is>
      </c>
      <c r="P27" s="53" t="inlineStr">
        <is>
          <t>2026.4Q</t>
        </is>
      </c>
      <c r="Q27" s="53" t="inlineStr">
        <is>
          <t>2027.1Q</t>
        </is>
      </c>
      <c r="R27" s="53" t="inlineStr">
        <is>
          <t>출처</t>
        </is>
      </c>
    </row>
    <row r="28">
      <c r="A28" s="54" t="inlineStr">
        <is>
          <t>매출</t>
        </is>
      </c>
      <c r="B28" s="55" t="n">
        <v>205.5</v>
      </c>
      <c r="C28" s="55" t="n">
        <v>196.9</v>
      </c>
      <c r="D28" s="55" t="n">
        <v>180.3</v>
      </c>
      <c r="E28" s="55" t="n">
        <v>173</v>
      </c>
      <c r="F28" s="55" t="n">
        <v>173.7</v>
      </c>
      <c r="G28" s="55" t="n">
        <v>190.4</v>
      </c>
      <c r="H28" s="55" t="n">
        <v>185.1</v>
      </c>
      <c r="I28" s="55" t="n">
        <v>192.6</v>
      </c>
      <c r="J28" s="55" t="n">
        <v>200.7</v>
      </c>
      <c r="K28" s="55" t="n">
        <v>208.8</v>
      </c>
      <c r="L28" s="55" t="n">
        <v>200.3</v>
      </c>
      <c r="M28" s="55" t="n">
        <v>199</v>
      </c>
      <c r="N28" s="55" t="n">
        <v>204.7</v>
      </c>
      <c r="O28" s="55" t="n">
        <v>210.1</v>
      </c>
      <c r="P28" s="55" t="n">
        <v>207.6</v>
      </c>
      <c r="Q28" s="55" t="n">
        <v>222.8</v>
      </c>
      <c r="R28" s="56" t="inlineStr">
        <is>
          <t>2단계 보고서 자료(회사 설명회 자료·공시)</t>
        </is>
      </c>
    </row>
    <row r="29">
      <c r="A29" s="54" t="inlineStr">
        <is>
          <t>영업이익</t>
        </is>
      </c>
      <c r="B29" s="55" t="n">
        <v>-1.4</v>
      </c>
      <c r="C29" s="55" t="n">
        <v>-14.3</v>
      </c>
      <c r="D29" s="55" t="n">
        <v>-19.2</v>
      </c>
      <c r="E29" s="55" t="n">
        <v>-8.300000000000001</v>
      </c>
      <c r="F29" s="55" t="n">
        <v>-9.9</v>
      </c>
      <c r="G29" s="55" t="n">
        <v>-0.9</v>
      </c>
      <c r="H29" s="55" t="n">
        <v>-7</v>
      </c>
      <c r="I29" s="55" t="n">
        <v>6.2</v>
      </c>
      <c r="J29" s="55" t="n">
        <v>-3.1</v>
      </c>
      <c r="K29" s="55" t="n">
        <v>7</v>
      </c>
      <c r="L29" s="55" t="n">
        <v>0.4</v>
      </c>
      <c r="M29" s="55" t="n">
        <v>6.8</v>
      </c>
      <c r="N29" s="55" t="n">
        <v>2.5</v>
      </c>
      <c r="O29" s="55" t="n">
        <v>9</v>
      </c>
      <c r="P29" s="55" t="n">
        <v>6.7</v>
      </c>
      <c r="Q29" s="55" t="n">
        <v>16.4</v>
      </c>
    </row>
    <row r="30">
      <c r="A30" s="54" t="inlineStr">
        <is>
          <t>ordinary</t>
        </is>
      </c>
      <c r="B30" s="55" t="n">
        <v>0.3</v>
      </c>
      <c r="C30" s="55" t="n">
        <v>-13.7</v>
      </c>
      <c r="D30" s="55" t="n">
        <v>-20.8</v>
      </c>
      <c r="E30" s="55" t="n">
        <v>-6.7</v>
      </c>
      <c r="F30" s="55" t="n">
        <v>-7.8</v>
      </c>
      <c r="G30" s="55" t="n">
        <v>-0.5</v>
      </c>
      <c r="H30" s="55" t="n">
        <v>-9.1</v>
      </c>
      <c r="I30" s="55" t="n">
        <v>8.1</v>
      </c>
      <c r="J30" s="55" t="n">
        <v>-4.9</v>
      </c>
      <c r="K30" s="55" t="n">
        <v>6.3</v>
      </c>
      <c r="L30" s="55" t="n">
        <v>-0.9</v>
      </c>
      <c r="M30" s="55" t="n">
        <v>5.9</v>
      </c>
      <c r="N30" s="55" t="n">
        <v>0.5</v>
      </c>
      <c r="O30" s="55" t="n">
        <v>10.3</v>
      </c>
      <c r="P30" s="55" t="n">
        <v>7.2</v>
      </c>
      <c r="Q30" s="55" t="n">
        <v>16.2</v>
      </c>
    </row>
    <row r="31">
      <c r="A31" s="54" t="inlineStr">
        <is>
          <t>순이익</t>
        </is>
      </c>
      <c r="B31" s="55" t="n">
        <v>-16</v>
      </c>
      <c r="C31" s="55" t="n">
        <v>-15</v>
      </c>
      <c r="D31" s="55" t="n">
        <v>-22.2</v>
      </c>
      <c r="E31" s="55" t="n">
        <v>-3.1</v>
      </c>
      <c r="F31" s="55" t="n">
        <v>-4.4</v>
      </c>
      <c r="G31" s="55" t="n">
        <v>1.7</v>
      </c>
      <c r="H31" s="55" t="n">
        <v>-4.6</v>
      </c>
      <c r="I31" s="55" t="n">
        <v>18</v>
      </c>
      <c r="J31" s="55" t="n">
        <v>-1.7</v>
      </c>
      <c r="K31" s="55" t="n">
        <v>6.3</v>
      </c>
      <c r="L31" s="55" t="n">
        <v>3.8</v>
      </c>
      <c r="M31" s="55" t="n">
        <v>5.3</v>
      </c>
      <c r="N31" s="55" t="n">
        <v>1.9</v>
      </c>
      <c r="O31" s="55" t="n">
        <v>6.1</v>
      </c>
      <c r="P31" s="55" t="n">
        <v>8.699999999999999</v>
      </c>
      <c r="Q31" s="55" t="n">
        <v>13</v>
      </c>
    </row>
    <row r="33">
      <c r="A33" s="52" t="inlineStr">
        <is>
          <t>부문별 매출 quarterly</t>
        </is>
      </c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</row>
    <row r="34">
      <c r="A34" s="53" t="inlineStr">
        <is>
          <t>항목</t>
        </is>
      </c>
      <c r="B34" s="53" t="inlineStr">
        <is>
          <t>2024.2Q</t>
        </is>
      </c>
      <c r="C34" s="53" t="inlineStr">
        <is>
          <t>2024.3Q</t>
        </is>
      </c>
      <c r="D34" s="53" t="inlineStr">
        <is>
          <t>2024.4Q</t>
        </is>
      </c>
      <c r="E34" s="53" t="inlineStr">
        <is>
          <t>2025.1Q</t>
        </is>
      </c>
      <c r="F34" s="53" t="inlineStr">
        <is>
          <t>2025.2Q</t>
        </is>
      </c>
      <c r="G34" s="53" t="inlineStr">
        <is>
          <t>2025.3Q</t>
        </is>
      </c>
      <c r="H34" s="53" t="inlineStr">
        <is>
          <t>2025.4Q</t>
        </is>
      </c>
      <c r="I34" s="53" t="inlineStr">
        <is>
          <t>2026.1Q</t>
        </is>
      </c>
      <c r="J34" s="53" t="inlineStr">
        <is>
          <t>2026.2Q</t>
        </is>
      </c>
      <c r="K34" s="53" t="inlineStr">
        <is>
          <t>2026.3Q</t>
        </is>
      </c>
      <c r="L34" s="53" t="inlineStr">
        <is>
          <t>2026.4Q</t>
        </is>
      </c>
      <c r="M34" s="53" t="inlineStr">
        <is>
          <t>2027.1Q</t>
        </is>
      </c>
      <c r="R34" s="53" t="inlineStr">
        <is>
          <t>출처</t>
        </is>
      </c>
    </row>
    <row r="35">
      <c r="A35" s="54" t="inlineStr">
        <is>
          <t>기능성 코팅</t>
        </is>
      </c>
      <c r="B35" s="55" t="n">
        <v>34</v>
      </c>
      <c r="C35" s="55" t="n">
        <v>41.1</v>
      </c>
      <c r="D35" s="55" t="n">
        <v>38.8</v>
      </c>
      <c r="E35" s="55" t="n">
        <v>40.6</v>
      </c>
      <c r="F35" s="55" t="n">
        <v>41.5</v>
      </c>
      <c r="G35" s="55" t="n">
        <v>44.9</v>
      </c>
      <c r="H35" s="55" t="n">
        <v>41.4</v>
      </c>
      <c r="I35" s="55" t="n">
        <v>44.7</v>
      </c>
      <c r="J35" s="55" t="n">
        <v>45</v>
      </c>
      <c r="K35" s="55" t="n">
        <v>48.9</v>
      </c>
      <c r="L35" s="55" t="n">
        <v>43.4</v>
      </c>
      <c r="M35" s="55" t="n">
        <v>51.6</v>
      </c>
      <c r="R35" s="56" t="inlineStr">
        <is>
          <t>2단계 보고서 자료(회사 설명회 자료·공시)</t>
        </is>
      </c>
    </row>
    <row r="36">
      <c r="A36" s="54" t="inlineStr">
        <is>
          <t>제지·환경</t>
        </is>
      </c>
      <c r="B36" s="55" t="n">
        <v>51.8</v>
      </c>
      <c r="C36" s="55" t="n">
        <v>56.8</v>
      </c>
      <c r="D36" s="55" t="n">
        <v>55.6</v>
      </c>
      <c r="E36" s="55" t="n">
        <v>53.1</v>
      </c>
      <c r="F36" s="55" t="n">
        <v>56.8</v>
      </c>
      <c r="G36" s="55" t="n">
        <v>56.2</v>
      </c>
      <c r="H36" s="55" t="n">
        <v>54.3</v>
      </c>
      <c r="I36" s="55" t="n">
        <v>49</v>
      </c>
      <c r="J36" s="55" t="n">
        <v>51.9</v>
      </c>
      <c r="K36" s="55" t="n">
        <v>52.9</v>
      </c>
      <c r="L36" s="55" t="n">
        <v>52.8</v>
      </c>
      <c r="M36" s="55" t="n">
        <v>52.9</v>
      </c>
    </row>
    <row r="37">
      <c r="A37" s="54" t="inlineStr">
        <is>
          <t>점접착·바이오매스</t>
        </is>
      </c>
      <c r="B37" s="55" t="n">
        <v>61.7</v>
      </c>
      <c r="C37" s="55" t="n">
        <v>64.5</v>
      </c>
      <c r="D37" s="55" t="n">
        <v>62.9</v>
      </c>
      <c r="E37" s="55" t="n">
        <v>65.59999999999999</v>
      </c>
      <c r="F37" s="55" t="n">
        <v>66.7</v>
      </c>
      <c r="G37" s="55" t="n">
        <v>73.40000000000001</v>
      </c>
      <c r="H37" s="55" t="n">
        <v>72.3</v>
      </c>
      <c r="I37" s="55" t="n">
        <v>69.09999999999999</v>
      </c>
      <c r="J37" s="55" t="n">
        <v>69.8</v>
      </c>
      <c r="K37" s="55" t="n">
        <v>71.8</v>
      </c>
      <c r="L37" s="55" t="n">
        <v>73.7</v>
      </c>
      <c r="M37" s="55" t="n">
        <v>78</v>
      </c>
    </row>
    <row r="38">
      <c r="A38" s="54" t="inlineStr">
        <is>
          <t>파인·일렉트로닉스</t>
        </is>
      </c>
      <c r="B38" s="55" t="n">
        <v>26.1</v>
      </c>
      <c r="C38" s="55" t="n">
        <v>27.8</v>
      </c>
      <c r="D38" s="55" t="n">
        <v>27.6</v>
      </c>
      <c r="E38" s="55" t="n">
        <v>33.1</v>
      </c>
      <c r="F38" s="55" t="n">
        <v>35.3</v>
      </c>
      <c r="G38" s="55" t="n">
        <v>34</v>
      </c>
      <c r="H38" s="55" t="n">
        <v>32.1</v>
      </c>
      <c r="I38" s="55" t="n">
        <v>36</v>
      </c>
      <c r="J38" s="55" t="n">
        <v>37.7</v>
      </c>
      <c r="K38" s="55" t="n">
        <v>36.4</v>
      </c>
      <c r="L38" s="55" t="n">
        <v>37.4</v>
      </c>
      <c r="M38" s="55" t="n">
        <v>40</v>
      </c>
    </row>
    <row r="39">
      <c r="A39" s="54" t="inlineStr">
        <is>
          <t>기타</t>
        </is>
      </c>
      <c r="B39" s="55" t="n">
        <v>0.2</v>
      </c>
      <c r="C39" s="55" t="n">
        <v>0.2</v>
      </c>
      <c r="D39" s="55" t="n">
        <v>0.2</v>
      </c>
      <c r="E39" s="55" t="n">
        <v>0.2</v>
      </c>
      <c r="F39" s="55" t="n">
        <v>0.3</v>
      </c>
      <c r="G39" s="55" t="n">
        <v>0.2</v>
      </c>
      <c r="H39" s="55" t="n">
        <v>0.2</v>
      </c>
      <c r="I39" s="55" t="n">
        <v>0.1</v>
      </c>
      <c r="J39" s="55" t="n">
        <v>0.2</v>
      </c>
      <c r="K39" s="55" t="n">
        <v>0.2</v>
      </c>
      <c r="L39" s="55" t="n">
        <v>0.2</v>
      </c>
      <c r="M39" s="55" t="n">
        <v>0.2</v>
      </c>
    </row>
    <row r="41">
      <c r="A41" s="52" t="inlineStr">
        <is>
          <t>부문별 annual</t>
        </is>
      </c>
      <c r="B41" s="52" t="n"/>
      <c r="C41" s="52" t="n"/>
      <c r="D41" s="52" t="n"/>
      <c r="E41" s="52" t="n"/>
      <c r="F41" s="52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</row>
    <row r="42">
      <c r="A42" s="53" t="inlineStr">
        <is>
          <t>항목</t>
        </is>
      </c>
      <c r="B42" s="53" t="inlineStr">
        <is>
          <t>2024</t>
        </is>
      </c>
      <c r="C42" s="53" t="inlineStr">
        <is>
          <t>2025</t>
        </is>
      </c>
      <c r="D42" s="53" t="inlineStr">
        <is>
          <t>2026</t>
        </is>
      </c>
      <c r="R42" s="53" t="inlineStr">
        <is>
          <t>출처</t>
        </is>
      </c>
    </row>
    <row r="43">
      <c r="A43" s="54" t="inlineStr">
        <is>
          <t>labels</t>
        </is>
      </c>
      <c r="B43" s="57" t="n">
        <v>2024</v>
      </c>
      <c r="C43" s="57" t="n">
        <v>2025</v>
      </c>
      <c r="D43" s="57" t="n">
        <v>2026</v>
      </c>
      <c r="R43" s="56" t="inlineStr">
        <is>
          <t>2단계 보고서 자료(회사 설명회 자료·공시)</t>
        </is>
      </c>
    </row>
    <row r="44">
      <c r="A44" s="54" t="inlineStr">
        <is>
          <t>기능성 코팅</t>
        </is>
      </c>
      <c r="B44" s="55" t="n">
        <v>149.3</v>
      </c>
      <c r="C44" s="55" t="n">
        <v>168.4</v>
      </c>
      <c r="D44" s="55" t="n">
        <v>182.1</v>
      </c>
    </row>
    <row r="45">
      <c r="A45" s="54" t="inlineStr">
        <is>
          <t>제지·환경</t>
        </is>
      </c>
      <c r="B45" s="55" t="n">
        <v>211.2</v>
      </c>
      <c r="C45" s="55" t="n">
        <v>220.4</v>
      </c>
      <c r="D45" s="55" t="n">
        <v>206.7</v>
      </c>
    </row>
    <row r="46">
      <c r="A46" s="54" t="inlineStr">
        <is>
          <t>점접착·바이오매스</t>
        </is>
      </c>
      <c r="B46" s="55" t="n">
        <v>251.3</v>
      </c>
      <c r="C46" s="55" t="n">
        <v>278</v>
      </c>
      <c r="D46" s="55" t="n">
        <v>284.4</v>
      </c>
    </row>
    <row r="47">
      <c r="A47" s="54" t="inlineStr">
        <is>
          <t>파인·일렉트로닉스</t>
        </is>
      </c>
      <c r="B47" s="55" t="n">
        <v>109.5</v>
      </c>
      <c r="C47" s="55" t="n">
        <v>134.6</v>
      </c>
      <c r="D47" s="55" t="n">
        <v>147.5</v>
      </c>
    </row>
    <row r="49">
      <c r="A49" s="52" t="inlineStr">
        <is>
          <t>부문 profit · FY2025</t>
        </is>
      </c>
      <c r="B49" s="52" t="n"/>
      <c r="C49" s="52" t="n"/>
      <c r="D49" s="52" t="n"/>
      <c r="E49" s="52" t="n"/>
      <c r="F49" s="52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</row>
    <row r="50">
      <c r="A50" s="53" t="inlineStr">
        <is>
          <t>항목</t>
        </is>
      </c>
      <c r="B50" s="53" t="inlineStr">
        <is>
          <t>값</t>
        </is>
      </c>
      <c r="R50" s="53" t="inlineStr">
        <is>
          <t>출처</t>
        </is>
      </c>
    </row>
    <row r="51">
      <c r="A51" s="54" t="inlineStr">
        <is>
          <t>기능성 코팅</t>
        </is>
      </c>
      <c r="B51" s="55" t="n">
        <v>12.19</v>
      </c>
      <c r="R51" s="56" t="inlineStr">
        <is>
          <t>세그먼트 이익(영업이익 기준, 억 엔). 분기는 누계 차분(계산). 조정액(전사비용 배부차·코퍼릿 R&amp;D·영업외 손익 조정) 별도</t>
        </is>
      </c>
    </row>
    <row r="52">
      <c r="A52" s="54" t="inlineStr">
        <is>
          <t>제지·환경</t>
        </is>
      </c>
      <c r="B52" s="55" t="n">
        <v>18.49</v>
      </c>
    </row>
    <row r="53">
      <c r="A53" s="54" t="inlineStr">
        <is>
          <t>점접착·바이오매스</t>
        </is>
      </c>
      <c r="B53" s="55" t="n">
        <v>-22.41</v>
      </c>
    </row>
    <row r="54">
      <c r="A54" s="54" t="inlineStr">
        <is>
          <t>파인·일렉트로닉스</t>
        </is>
      </c>
      <c r="B54" s="55" t="n">
        <v>8.470000000000001</v>
      </c>
    </row>
    <row r="56">
      <c r="A56" s="52" t="inlineStr">
        <is>
          <t>부문 profit · FY2026</t>
        </is>
      </c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</row>
    <row r="57">
      <c r="A57" s="53" t="inlineStr">
        <is>
          <t>항목</t>
        </is>
      </c>
      <c r="B57" s="53" t="inlineStr">
        <is>
          <t>값</t>
        </is>
      </c>
      <c r="R57" s="53" t="inlineStr">
        <is>
          <t>출처</t>
        </is>
      </c>
    </row>
    <row r="58">
      <c r="A58" s="54" t="inlineStr">
        <is>
          <t>기능성 코팅</t>
        </is>
      </c>
      <c r="B58" s="55" t="n">
        <v>22.03</v>
      </c>
      <c r="R58" s="56" t="inlineStr">
        <is>
          <t>세그먼트 이익(영업이익 기준, 억 엔). 분기는 누계 차분(계산). 조정액(전사비용 배부차·코퍼릿 R&amp;D·영업외 손익 조정) 별도</t>
        </is>
      </c>
    </row>
    <row r="59">
      <c r="A59" s="54" t="inlineStr">
        <is>
          <t>제지·환경</t>
        </is>
      </c>
      <c r="B59" s="55" t="n">
        <v>13.81</v>
      </c>
    </row>
    <row r="60">
      <c r="A60" s="54" t="inlineStr">
        <is>
          <t>점접착·바이오매스</t>
        </is>
      </c>
      <c r="B60" s="55" t="n">
        <v>-14</v>
      </c>
    </row>
    <row r="61">
      <c r="A61" s="54" t="inlineStr">
        <is>
          <t>파인·일렉트로닉스</t>
        </is>
      </c>
      <c r="B61" s="55" t="n">
        <v>8.949999999999999</v>
      </c>
    </row>
    <row r="63">
      <c r="A63" s="52" t="inlineStr">
        <is>
          <t>segment_profit · 2025.H1</t>
        </is>
      </c>
      <c r="B63" s="52" t="n"/>
      <c r="C63" s="52" t="n"/>
      <c r="D63" s="52" t="n"/>
      <c r="E63" s="52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</row>
    <row r="64">
      <c r="A64" s="53" t="inlineStr">
        <is>
          <t>항목</t>
        </is>
      </c>
      <c r="B64" s="53" t="inlineStr">
        <is>
          <t>값</t>
        </is>
      </c>
      <c r="R64" s="53" t="inlineStr">
        <is>
          <t>출처</t>
        </is>
      </c>
    </row>
    <row r="65">
      <c r="A65" s="54" t="inlineStr">
        <is>
          <t>기능성 코팅</t>
        </is>
      </c>
      <c r="B65" s="55" t="n">
        <v>5.99</v>
      </c>
      <c r="R65" s="56" t="inlineStr">
        <is>
          <t>세그먼트 이익(영업이익 기준, 억 엔). 분기는 누계 차분(계산). 조정액(전사비용 배부차·코퍼릿 R&amp;D·영업외 손익 조정) 별도</t>
        </is>
      </c>
    </row>
    <row r="66">
      <c r="A66" s="54" t="inlineStr">
        <is>
          <t>제지·환경</t>
        </is>
      </c>
      <c r="B66" s="55" t="n">
        <v>10.11</v>
      </c>
    </row>
    <row r="67">
      <c r="A67" s="54" t="inlineStr">
        <is>
          <t>점접착·바이오매스</t>
        </is>
      </c>
      <c r="B67" s="55" t="n">
        <v>-12.92</v>
      </c>
    </row>
    <row r="68">
      <c r="A68" s="54" t="inlineStr">
        <is>
          <t>파인·일렉트로닉스</t>
        </is>
      </c>
      <c r="B68" s="55" t="n">
        <v>3.67</v>
      </c>
    </row>
    <row r="70">
      <c r="A70" s="52" t="inlineStr">
        <is>
          <t>segment_profit · 2025.9M</t>
        </is>
      </c>
      <c r="B70" s="52" t="n"/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</row>
    <row r="71">
      <c r="A71" s="53" t="inlineStr">
        <is>
          <t>항목</t>
        </is>
      </c>
      <c r="B71" s="53" t="inlineStr">
        <is>
          <t>값</t>
        </is>
      </c>
      <c r="R71" s="53" t="inlineStr">
        <is>
          <t>출처</t>
        </is>
      </c>
    </row>
    <row r="72">
      <c r="A72" s="54" t="inlineStr">
        <is>
          <t>기능성 코팅</t>
        </is>
      </c>
      <c r="B72" s="55" t="n">
        <v>9.82</v>
      </c>
      <c r="R72" s="56" t="inlineStr">
        <is>
          <t>세그먼트 이익(영업이익 기준, 억 엔). 분기는 누계 차분(계산). 조정액(전사비용 배부차·코퍼릿 R&amp;D·영업외 손익 조정) 별도</t>
        </is>
      </c>
    </row>
    <row r="73">
      <c r="A73" s="54" t="inlineStr">
        <is>
          <t>제지·환경</t>
        </is>
      </c>
      <c r="B73" s="55" t="n">
        <v>14.66</v>
      </c>
    </row>
    <row r="74">
      <c r="A74" s="54" t="inlineStr">
        <is>
          <t>점접착·바이오매스</t>
        </is>
      </c>
      <c r="B74" s="55" t="n">
        <v>-16.75</v>
      </c>
    </row>
    <row r="75">
      <c r="A75" s="54" t="inlineStr">
        <is>
          <t>파인·일렉트로닉스</t>
        </is>
      </c>
      <c r="B75" s="55" t="n">
        <v>7.35</v>
      </c>
    </row>
    <row r="77">
      <c r="A77" s="52" t="inlineStr">
        <is>
          <t>segment_profit · 2026.1Q</t>
        </is>
      </c>
      <c r="B77" s="52" t="n"/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</row>
    <row r="78">
      <c r="A78" s="53" t="inlineStr">
        <is>
          <t>항목</t>
        </is>
      </c>
      <c r="B78" s="53" t="inlineStr">
        <is>
          <t>값</t>
        </is>
      </c>
      <c r="R78" s="53" t="inlineStr">
        <is>
          <t>출처</t>
        </is>
      </c>
    </row>
    <row r="79">
      <c r="A79" s="54" t="inlineStr">
        <is>
          <t>기능성 코팅</t>
        </is>
      </c>
      <c r="B79" s="55" t="n">
        <v>5.61</v>
      </c>
      <c r="R79" s="56" t="inlineStr">
        <is>
          <t>세그먼트 이익(영업이익 기준, 억 엔). 분기는 누계 차분(계산). 조정액(전사비용 배부차·코퍼릿 R&amp;D·영업외 손익 조정) 별도</t>
        </is>
      </c>
    </row>
    <row r="80">
      <c r="A80" s="54" t="inlineStr">
        <is>
          <t>제지·환경</t>
        </is>
      </c>
      <c r="B80" s="55" t="n">
        <v>3.14</v>
      </c>
    </row>
    <row r="81">
      <c r="A81" s="54" t="inlineStr">
        <is>
          <t>점접착·바이오매스</t>
        </is>
      </c>
      <c r="B81" s="55" t="n">
        <v>-2.74</v>
      </c>
    </row>
    <row r="82">
      <c r="A82" s="54" t="inlineStr">
        <is>
          <t>파인·일렉트로닉스</t>
        </is>
      </c>
      <c r="B82" s="55" t="n">
        <v>1.84</v>
      </c>
    </row>
    <row r="84">
      <c r="A84" s="52" t="inlineStr">
        <is>
          <t>segment_profit · 2026.2Q</t>
        </is>
      </c>
      <c r="B84" s="52" t="n"/>
      <c r="C84" s="52" t="n"/>
      <c r="D84" s="52" t="n"/>
      <c r="E84" s="52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</row>
    <row r="85">
      <c r="A85" s="53" t="inlineStr">
        <is>
          <t>항목</t>
        </is>
      </c>
      <c r="B85" s="53" t="inlineStr">
        <is>
          <t>값</t>
        </is>
      </c>
      <c r="R85" s="53" t="inlineStr">
        <is>
          <t>출처</t>
        </is>
      </c>
    </row>
    <row r="86">
      <c r="A86" s="54" t="inlineStr">
        <is>
          <t>기능성 코팅</t>
        </is>
      </c>
      <c r="B86" s="55" t="n">
        <v>4.47</v>
      </c>
      <c r="R86" s="56" t="inlineStr">
        <is>
          <t>세그먼트 이익(영업이익 기준, 억 엔). 분기는 누계 차분(계산). 조정액(전사비용 배부차·코퍼릿 R&amp;D·영업외 손익 조정) 별도</t>
        </is>
      </c>
    </row>
    <row r="87">
      <c r="A87" s="54" t="inlineStr">
        <is>
          <t>제지·환경</t>
        </is>
      </c>
      <c r="B87" s="55" t="n">
        <v>2.2</v>
      </c>
    </row>
    <row r="88">
      <c r="A88" s="54" t="inlineStr">
        <is>
          <t>점접착·바이오매스</t>
        </is>
      </c>
      <c r="B88" s="55" t="n">
        <v>-3.29</v>
      </c>
    </row>
    <row r="89">
      <c r="A89" s="54" t="inlineStr">
        <is>
          <t>파인·일렉트로닉스</t>
        </is>
      </c>
      <c r="B89" s="55" t="n">
        <v>0.9</v>
      </c>
    </row>
    <row r="91">
      <c r="A91" s="52" t="inlineStr">
        <is>
          <t>segment_profit · 2026.3Q</t>
        </is>
      </c>
      <c r="B91" s="52" t="n"/>
      <c r="C91" s="52" t="n"/>
      <c r="D91" s="52" t="n"/>
      <c r="E91" s="52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</row>
    <row r="92">
      <c r="A92" s="53" t="inlineStr">
        <is>
          <t>항목</t>
        </is>
      </c>
      <c r="B92" s="53" t="inlineStr">
        <is>
          <t>값</t>
        </is>
      </c>
      <c r="R92" s="53" t="inlineStr">
        <is>
          <t>출처</t>
        </is>
      </c>
    </row>
    <row r="93">
      <c r="A93" s="54" t="inlineStr">
        <is>
          <t>기능성 코팅</t>
        </is>
      </c>
      <c r="B93" s="55" t="n">
        <v>6.71</v>
      </c>
      <c r="R93" s="56" t="inlineStr">
        <is>
          <t>세그먼트 이익(영업이익 기준, 억 엔). 분기는 누계 차분(계산). 조정액(전사비용 배부차·코퍼릿 R&amp;D·영업외 손익 조정) 별도</t>
        </is>
      </c>
    </row>
    <row r="94">
      <c r="A94" s="54" t="inlineStr">
        <is>
          <t>제지·환경</t>
        </is>
      </c>
      <c r="B94" s="55" t="n">
        <v>5.3</v>
      </c>
    </row>
    <row r="95">
      <c r="A95" s="54" t="inlineStr">
        <is>
          <t>점접착·바이오매스</t>
        </is>
      </c>
      <c r="B95" s="55" t="n">
        <v>-4.38</v>
      </c>
    </row>
    <row r="96">
      <c r="A96" s="54" t="inlineStr">
        <is>
          <t>파인·일렉트로닉스</t>
        </is>
      </c>
      <c r="B96" s="55" t="n">
        <v>3.23</v>
      </c>
    </row>
    <row r="98">
      <c r="A98" s="52" t="inlineStr">
        <is>
          <t>segment_profit · 2026.4Q</t>
        </is>
      </c>
      <c r="B98" s="52" t="n"/>
      <c r="C98" s="52" t="n"/>
      <c r="D98" s="52" t="n"/>
      <c r="E98" s="52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</row>
    <row r="99">
      <c r="A99" s="53" t="inlineStr">
        <is>
          <t>항목</t>
        </is>
      </c>
      <c r="B99" s="53" t="inlineStr">
        <is>
          <t>값</t>
        </is>
      </c>
      <c r="R99" s="53" t="inlineStr">
        <is>
          <t>출처</t>
        </is>
      </c>
    </row>
    <row r="100">
      <c r="A100" s="54" t="inlineStr">
        <is>
          <t>기능성 코팅</t>
        </is>
      </c>
      <c r="B100" s="55" t="n">
        <v>5.24</v>
      </c>
      <c r="R100" s="56" t="inlineStr">
        <is>
          <t>세그먼트 이익(영업이익 기준, 억 엔). 분기는 누계 차분(계산). 조정액(전사비용 배부차·코퍼릿 R&amp;D·영업외 손익 조정) 별도</t>
        </is>
      </c>
    </row>
    <row r="101">
      <c r="A101" s="54" t="inlineStr">
        <is>
          <t>제지·환경</t>
        </is>
      </c>
      <c r="B101" s="55" t="n">
        <v>3.17</v>
      </c>
    </row>
    <row r="102">
      <c r="A102" s="54" t="inlineStr">
        <is>
          <t>점접착·바이오매스</t>
        </is>
      </c>
      <c r="B102" s="55" t="n">
        <v>-3.59</v>
      </c>
    </row>
    <row r="103">
      <c r="A103" s="54" t="inlineStr">
        <is>
          <t>파인·일렉트로닉스</t>
        </is>
      </c>
      <c r="B103" s="55" t="n">
        <v>2.98</v>
      </c>
    </row>
    <row r="105">
      <c r="A105" s="52" t="inlineStr">
        <is>
          <t>segment_profit · 2027.1Q</t>
        </is>
      </c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</row>
    <row r="106">
      <c r="A106" s="53" t="inlineStr">
        <is>
          <t>항목</t>
        </is>
      </c>
      <c r="B106" s="53" t="inlineStr">
        <is>
          <t>값</t>
        </is>
      </c>
      <c r="R106" s="53" t="inlineStr">
        <is>
          <t>출처</t>
        </is>
      </c>
    </row>
    <row r="107">
      <c r="A107" s="54" t="inlineStr">
        <is>
          <t>기능성 코팅</t>
        </is>
      </c>
      <c r="B107" s="55" t="n">
        <v>10.17</v>
      </c>
      <c r="R107" s="56" t="inlineStr">
        <is>
          <t>세그먼트 이익(영업이익 기준, 억 엔). 분기는 누계 차분(계산). 조정액(전사비용 배부차·코퍼릿 R&amp;D·영업외 손익 조정) 별도</t>
        </is>
      </c>
    </row>
    <row r="108">
      <c r="A108" s="54" t="inlineStr">
        <is>
          <t>제지·환경</t>
        </is>
      </c>
      <c r="B108" s="55" t="n">
        <v>5.2</v>
      </c>
    </row>
    <row r="109">
      <c r="A109" s="54" t="inlineStr">
        <is>
          <t>점접착·바이오매스</t>
        </is>
      </c>
      <c r="B109" s="55" t="n">
        <v>-2.63</v>
      </c>
    </row>
    <row r="110">
      <c r="A110" s="54" t="inlineStr">
        <is>
          <t>파인·일렉트로닉스</t>
        </is>
      </c>
      <c r="B110" s="55" t="n">
        <v>4.13</v>
      </c>
    </row>
    <row r="112">
      <c r="A112" s="52" t="inlineStr">
        <is>
          <t>bs annual</t>
        </is>
      </c>
      <c r="B112" s="52" t="n"/>
      <c r="C112" s="52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</row>
    <row r="113">
      <c r="A113" s="53" t="inlineStr">
        <is>
          <t>항목</t>
        </is>
      </c>
      <c r="B113" s="53" t="inlineStr">
        <is>
          <t>2022</t>
        </is>
      </c>
      <c r="C113" s="53" t="inlineStr">
        <is>
          <t>2023</t>
        </is>
      </c>
      <c r="D113" s="53" t="inlineStr">
        <is>
          <t>2024</t>
        </is>
      </c>
      <c r="E113" s="53" t="inlineStr">
        <is>
          <t>2025</t>
        </is>
      </c>
      <c r="F113" s="53" t="inlineStr">
        <is>
          <t>2026</t>
        </is>
      </c>
      <c r="R113" s="53" t="inlineStr">
        <is>
          <t>출처</t>
        </is>
      </c>
    </row>
    <row r="114">
      <c r="A114" s="54" t="inlineStr">
        <is>
          <t>labels</t>
        </is>
      </c>
      <c r="B114" s="57" t="n">
        <v>2022</v>
      </c>
      <c r="C114" s="57" t="n">
        <v>2023</v>
      </c>
      <c r="D114" s="57" t="n">
        <v>2024</v>
      </c>
      <c r="E114" s="57" t="n">
        <v>2025</v>
      </c>
      <c r="F114" s="57" t="n">
        <v>2026</v>
      </c>
      <c r="R114" s="56" t="inlineStr">
        <is>
          <t>2단계 보고서 자료(회사 설명회 자료·공시)</t>
        </is>
      </c>
    </row>
    <row r="115">
      <c r="A115" s="54" t="inlineStr">
        <is>
          <t>current assets</t>
        </is>
      </c>
      <c r="B115" s="55" t="n">
        <v>624.8</v>
      </c>
      <c r="C115" s="55" t="n">
        <v>628</v>
      </c>
      <c r="D115" s="55" t="n">
        <v>641.6</v>
      </c>
      <c r="E115" s="55" t="n">
        <v>622.6</v>
      </c>
      <c r="F115" s="55" t="n">
        <v>649</v>
      </c>
    </row>
    <row r="116">
      <c r="A116" s="54" t="inlineStr">
        <is>
          <t>cash</t>
        </is>
      </c>
      <c r="B116" s="55" t="n">
        <v>103.7</v>
      </c>
      <c r="C116" s="55" t="n">
        <v>111.4</v>
      </c>
      <c r="D116" s="55" t="n">
        <v>115.8</v>
      </c>
      <c r="E116" s="55" t="n">
        <v>94.3</v>
      </c>
      <c r="F116" s="55" t="n">
        <v>106</v>
      </c>
    </row>
    <row r="117">
      <c r="A117" s="54" t="inlineStr">
        <is>
          <t>st fin</t>
        </is>
      </c>
      <c r="B117" s="58" t="n"/>
      <c r="C117" s="58" t="n"/>
      <c r="D117" s="58" t="n"/>
      <c r="E117" s="58" t="n"/>
      <c r="F117" s="58" t="n"/>
    </row>
    <row r="118">
      <c r="A118" s="54" t="inlineStr">
        <is>
          <t>receivables</t>
        </is>
      </c>
      <c r="B118" s="55" t="n">
        <v>257.1</v>
      </c>
      <c r="C118" s="55" t="n">
        <v>234.6</v>
      </c>
      <c r="D118" s="55" t="n">
        <v>256.8</v>
      </c>
      <c r="E118" s="55" t="n">
        <v>258.8</v>
      </c>
      <c r="F118" s="55" t="n">
        <v>258.5</v>
      </c>
    </row>
    <row r="119">
      <c r="A119" s="54" t="inlineStr">
        <is>
          <t>inventory</t>
        </is>
      </c>
      <c r="B119" s="55" t="n">
        <v>221.6</v>
      </c>
      <c r="C119" s="55" t="n">
        <v>242.1</v>
      </c>
      <c r="D119" s="55" t="n">
        <v>232.9</v>
      </c>
      <c r="E119" s="55" t="n">
        <v>238.2</v>
      </c>
      <c r="F119" s="55" t="n">
        <v>250.7</v>
      </c>
    </row>
    <row r="120">
      <c r="A120" s="54" t="inlineStr">
        <is>
          <t>noncurrent assets</t>
        </is>
      </c>
      <c r="B120" s="55" t="n">
        <v>539</v>
      </c>
      <c r="C120" s="55" t="n">
        <v>543.3</v>
      </c>
      <c r="D120" s="55" t="n">
        <v>593.3</v>
      </c>
      <c r="E120" s="55" t="n">
        <v>585</v>
      </c>
      <c r="F120" s="55" t="n">
        <v>600.3</v>
      </c>
    </row>
    <row r="121">
      <c r="A121" s="54" t="inlineStr">
        <is>
          <t>ppe</t>
        </is>
      </c>
      <c r="B121" s="55" t="n">
        <v>402.8</v>
      </c>
      <c r="C121" s="55" t="n">
        <v>404.4</v>
      </c>
      <c r="D121" s="55" t="n">
        <v>399.5</v>
      </c>
      <c r="E121" s="55" t="n">
        <v>390.4</v>
      </c>
      <c r="F121" s="55" t="n">
        <v>371.7</v>
      </c>
    </row>
    <row r="122">
      <c r="A122" s="54" t="inlineStr">
        <is>
          <t>intangibles</t>
        </is>
      </c>
      <c r="B122" s="55" t="n">
        <v>18.5</v>
      </c>
      <c r="C122" s="55" t="n">
        <v>16.8</v>
      </c>
      <c r="D122" s="55" t="n">
        <v>15.3</v>
      </c>
      <c r="E122" s="55" t="n">
        <v>13.7</v>
      </c>
      <c r="F122" s="55" t="n">
        <v>11.8</v>
      </c>
    </row>
    <row r="123">
      <c r="A123" s="54" t="inlineStr">
        <is>
          <t>inv property</t>
        </is>
      </c>
      <c r="B123" s="58" t="n"/>
      <c r="C123" s="58" t="n"/>
      <c r="D123" s="58" t="n"/>
      <c r="E123" s="58" t="n"/>
      <c r="F123" s="58" t="n"/>
    </row>
    <row r="124">
      <c r="A124" s="54" t="inlineStr">
        <is>
          <t>합계 assets</t>
        </is>
      </c>
      <c r="B124" s="55" t="n">
        <v>1177.4</v>
      </c>
      <c r="C124" s="55" t="n">
        <v>1190.3</v>
      </c>
      <c r="D124" s="55" t="n">
        <v>1254.2</v>
      </c>
      <c r="E124" s="55" t="n">
        <v>1223</v>
      </c>
      <c r="F124" s="55" t="n">
        <v>1260.6</v>
      </c>
    </row>
    <row r="125">
      <c r="A125" s="54" t="inlineStr">
        <is>
          <t>current liab</t>
        </is>
      </c>
      <c r="B125" s="55" t="n">
        <v>364.7</v>
      </c>
      <c r="C125" s="55" t="n">
        <v>421.1</v>
      </c>
      <c r="D125" s="55" t="n">
        <v>434.1</v>
      </c>
      <c r="E125" s="55" t="n">
        <v>376.1</v>
      </c>
      <c r="F125" s="55" t="n">
        <v>461.1</v>
      </c>
    </row>
    <row r="126">
      <c r="A126" s="54" t="inlineStr">
        <is>
          <t>payables</t>
        </is>
      </c>
      <c r="B126" s="55" t="n">
        <v>109.7</v>
      </c>
      <c r="C126" s="55" t="n">
        <v>99.7</v>
      </c>
      <c r="D126" s="55" t="n">
        <v>94.8</v>
      </c>
      <c r="E126" s="55" t="n">
        <v>92</v>
      </c>
      <c r="F126" s="55" t="n">
        <v>86.5</v>
      </c>
    </row>
    <row r="127">
      <c r="A127" s="54" t="inlineStr">
        <is>
          <t>st debt</t>
        </is>
      </c>
      <c r="B127" s="55" t="n">
        <v>129.7</v>
      </c>
      <c r="C127" s="55" t="n">
        <v>196.4</v>
      </c>
      <c r="D127" s="55" t="n">
        <v>185.1</v>
      </c>
      <c r="E127" s="55" t="n">
        <v>183.2</v>
      </c>
      <c r="F127" s="55" t="n">
        <v>227.2</v>
      </c>
    </row>
    <row r="128">
      <c r="A128" s="54" t="inlineStr">
        <is>
          <t>noncurrent liab</t>
        </is>
      </c>
      <c r="B128" s="55" t="n">
        <v>186.9</v>
      </c>
      <c r="C128" s="55" t="n">
        <v>204.1</v>
      </c>
      <c r="D128" s="55" t="n">
        <v>250.9</v>
      </c>
      <c r="E128" s="55" t="n">
        <v>274.5</v>
      </c>
      <c r="F128" s="55" t="n">
        <v>207.1</v>
      </c>
    </row>
    <row r="129">
      <c r="A129" s="54" t="inlineStr">
        <is>
          <t>lt debt</t>
        </is>
      </c>
      <c r="B129" s="55" t="n">
        <v>37.1</v>
      </c>
      <c r="C129" s="55" t="n">
        <v>54.1</v>
      </c>
      <c r="D129" s="55" t="n">
        <v>138.8</v>
      </c>
      <c r="E129" s="55" t="n">
        <v>110.6</v>
      </c>
      <c r="F129" s="55" t="n">
        <v>79.09999999999999</v>
      </c>
    </row>
    <row r="130">
      <c r="A130" s="54" t="inlineStr">
        <is>
          <t>bonds</t>
        </is>
      </c>
      <c r="B130" s="55" t="n">
        <v>100</v>
      </c>
      <c r="C130" s="55" t="n">
        <v>100</v>
      </c>
      <c r="D130" s="55" t="n">
        <v>50</v>
      </c>
      <c r="E130" s="55" t="n">
        <v>100</v>
      </c>
      <c r="F130" s="55" t="n">
        <v>50</v>
      </c>
    </row>
    <row r="131">
      <c r="A131" s="54" t="inlineStr">
        <is>
          <t>합계 liab</t>
        </is>
      </c>
      <c r="B131" s="55" t="n">
        <v>551.6</v>
      </c>
      <c r="C131" s="55" t="n">
        <v>625.3</v>
      </c>
      <c r="D131" s="55" t="n">
        <v>685</v>
      </c>
      <c r="E131" s="55" t="n">
        <v>650.6</v>
      </c>
      <c r="F131" s="55" t="n">
        <v>668.2</v>
      </c>
    </row>
    <row r="132">
      <c r="A132" s="54" t="inlineStr">
        <is>
          <t>capital stock</t>
        </is>
      </c>
      <c r="B132" s="55" t="n">
        <v>33.4</v>
      </c>
      <c r="C132" s="55" t="n">
        <v>33.4</v>
      </c>
      <c r="D132" s="55" t="n">
        <v>33.4</v>
      </c>
      <c r="E132" s="55" t="n">
        <v>33.4</v>
      </c>
      <c r="F132" s="55" t="n">
        <v>33.4</v>
      </c>
    </row>
    <row r="133">
      <c r="A133" s="54" t="inlineStr">
        <is>
          <t>retained</t>
        </is>
      </c>
      <c r="B133" s="55" t="n">
        <v>468.2</v>
      </c>
      <c r="C133" s="55" t="n">
        <v>409.2</v>
      </c>
      <c r="D133" s="55" t="n">
        <v>389.3</v>
      </c>
      <c r="E133" s="55" t="n">
        <v>406.2</v>
      </c>
      <c r="F133" s="55" t="n">
        <v>418.3</v>
      </c>
    </row>
    <row r="134">
      <c r="A134" s="54" t="inlineStr">
        <is>
          <t>nci</t>
        </is>
      </c>
      <c r="B134" s="55" t="n">
        <v>33.9</v>
      </c>
      <c r="C134" s="55" t="n">
        <v>24.3</v>
      </c>
      <c r="D134" s="55" t="n">
        <v>7.8</v>
      </c>
      <c r="E134" s="55" t="n">
        <v>-12.4</v>
      </c>
      <c r="F134" s="55" t="n">
        <v>-31.2</v>
      </c>
    </row>
    <row r="135">
      <c r="A135" s="54" t="inlineStr">
        <is>
          <t>합계 equity</t>
        </is>
      </c>
      <c r="B135" s="55" t="n">
        <v>625.8</v>
      </c>
      <c r="C135" s="55" t="n">
        <v>565.1</v>
      </c>
      <c r="D135" s="55" t="n">
        <v>569.2</v>
      </c>
      <c r="E135" s="55" t="n">
        <v>572.4</v>
      </c>
      <c r="F135" s="55" t="n">
        <v>592.4</v>
      </c>
    </row>
    <row r="136">
      <c r="A136" s="54" t="inlineStr">
        <is>
          <t>current ltd</t>
        </is>
      </c>
      <c r="B136" s="55" t="n">
        <v>0</v>
      </c>
      <c r="C136" s="55" t="n">
        <v>0</v>
      </c>
      <c r="D136" s="55" t="n">
        <v>50</v>
      </c>
      <c r="E136" s="55" t="n">
        <v>0</v>
      </c>
      <c r="F136" s="55" t="n">
        <v>50</v>
      </c>
    </row>
    <row r="137">
      <c r="A137" s="54" t="inlineStr">
        <is>
          <t>equity owner</t>
        </is>
      </c>
      <c r="B137" s="55" t="n">
        <v>591.8</v>
      </c>
      <c r="C137" s="55" t="n">
        <v>540.8</v>
      </c>
      <c r="D137" s="55" t="n">
        <v>561.4</v>
      </c>
      <c r="E137" s="55" t="n">
        <v>584.7</v>
      </c>
      <c r="F137" s="55" t="n">
        <v>623.6</v>
      </c>
    </row>
    <row r="139">
      <c r="A139" s="52" t="inlineStr">
        <is>
          <t>cf annual</t>
        </is>
      </c>
      <c r="B139" s="52" t="n"/>
      <c r="C139" s="52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</row>
    <row r="140">
      <c r="A140" s="53" t="inlineStr">
        <is>
          <t>항목</t>
        </is>
      </c>
      <c r="B140" s="53" t="inlineStr">
        <is>
          <t>2022</t>
        </is>
      </c>
      <c r="C140" s="53" t="inlineStr">
        <is>
          <t>2023</t>
        </is>
      </c>
      <c r="D140" s="53" t="inlineStr">
        <is>
          <t>2024</t>
        </is>
      </c>
      <c r="E140" s="53" t="inlineStr">
        <is>
          <t>2025</t>
        </is>
      </c>
      <c r="F140" s="53" t="inlineStr">
        <is>
          <t>2026</t>
        </is>
      </c>
      <c r="R140" s="53" t="inlineStr">
        <is>
          <t>출처</t>
        </is>
      </c>
    </row>
    <row r="141">
      <c r="A141" s="54" t="inlineStr">
        <is>
          <t>labels</t>
        </is>
      </c>
      <c r="B141" s="57" t="n">
        <v>2022</v>
      </c>
      <c r="C141" s="57" t="n">
        <v>2023</v>
      </c>
      <c r="D141" s="57" t="n">
        <v>2024</v>
      </c>
      <c r="E141" s="57" t="n">
        <v>2025</v>
      </c>
      <c r="F141" s="57" t="n">
        <v>2026</v>
      </c>
      <c r="R141" s="56" t="inlineStr">
        <is>
          <t>2단계 보고서 자료(회사 설명회 자료·공시)</t>
        </is>
      </c>
    </row>
    <row r="142">
      <c r="A142" s="54" t="inlineStr">
        <is>
          <t>ocf</t>
        </is>
      </c>
      <c r="B142" s="55" t="n">
        <v>39.9</v>
      </c>
      <c r="C142" s="55" t="n">
        <v>-5.8</v>
      </c>
      <c r="D142" s="55" t="n">
        <v>11.6</v>
      </c>
      <c r="E142" s="55" t="n">
        <v>51.2</v>
      </c>
      <c r="F142" s="55" t="n">
        <v>41.8</v>
      </c>
    </row>
    <row r="143">
      <c r="A143" s="54" t="inlineStr">
        <is>
          <t>설비투자</t>
        </is>
      </c>
      <c r="B143" s="55" t="n">
        <v>64.2</v>
      </c>
      <c r="C143" s="55" t="n">
        <v>61.1</v>
      </c>
      <c r="D143" s="55" t="n">
        <v>68.59999999999999</v>
      </c>
      <c r="E143" s="55" t="n">
        <v>45.2</v>
      </c>
      <c r="F143" s="55" t="n">
        <v>37.9</v>
      </c>
    </row>
    <row r="144">
      <c r="A144" s="54" t="inlineStr">
        <is>
          <t>dividends</t>
        </is>
      </c>
      <c r="B144" s="55" t="n">
        <v>9.5</v>
      </c>
      <c r="C144" s="55" t="n">
        <v>9.5</v>
      </c>
      <c r="D144" s="55" t="n">
        <v>9.5</v>
      </c>
      <c r="E144" s="55" t="n">
        <v>9.5</v>
      </c>
      <c r="F144" s="55" t="n">
        <v>9.9</v>
      </c>
    </row>
    <row r="146">
      <c r="A146" s="52" t="inlineStr">
        <is>
          <t>컨센서스</t>
        </is>
      </c>
      <c r="B146" s="52" t="n"/>
      <c r="C146" s="52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</row>
    <row r="147">
      <c r="A147" s="53" t="inlineStr">
        <is>
          <t>항목</t>
        </is>
      </c>
      <c r="B147" s="53" t="inlineStr">
        <is>
          <t>값</t>
        </is>
      </c>
      <c r="R147" s="53" t="inlineStr">
        <is>
          <t>출처</t>
        </is>
      </c>
    </row>
    <row r="148">
      <c r="A148" s="54" t="inlineStr">
        <is>
          <t>FY2027 매출</t>
        </is>
      </c>
      <c r="B148" s="57" t="n">
        <v>881</v>
      </c>
      <c r="R148" s="56" t="inlineStr">
        <is>
          <t>애널리스트 1명 추정(야후) — 컨센이라 부르지 않음. 목표주가 없음</t>
        </is>
      </c>
    </row>
    <row r="149">
      <c r="A149" s="54" t="inlineStr">
        <is>
          <t>FY2027 EPS</t>
        </is>
      </c>
      <c r="B149" s="55" t="n">
        <v>161.3</v>
      </c>
    </row>
    <row r="150">
      <c r="A150" s="54" t="inlineStr">
        <is>
          <t>FY2028 매출</t>
        </is>
      </c>
      <c r="B150" s="57" t="n">
        <v>931</v>
      </c>
    </row>
    <row r="151">
      <c r="A151" s="54" t="inlineStr">
        <is>
          <t>FY2028 EPS</t>
        </is>
      </c>
      <c r="B151" s="55" t="n">
        <v>201.6</v>
      </c>
    </row>
    <row r="152">
      <c r="A152" s="54" t="inlineStr">
        <is>
          <t>2Q 매출</t>
        </is>
      </c>
      <c r="B152" s="55" t="n">
        <v>212.2</v>
      </c>
    </row>
    <row r="153">
      <c r="A153" s="54" t="inlineStr">
        <is>
          <t>3Q 매출</t>
        </is>
      </c>
      <c r="B153" s="55" t="n">
        <v>224</v>
      </c>
    </row>
    <row r="155">
      <c r="A155" s="52" t="inlineStr">
        <is>
          <t>컨센서스 · EPS trend FY27</t>
        </is>
      </c>
      <c r="B155" s="52" t="n"/>
      <c r="C155" s="52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</row>
    <row r="156">
      <c r="A156" s="53" t="inlineStr">
        <is>
          <t>항목</t>
        </is>
      </c>
      <c r="B156" s="53" t="inlineStr">
        <is>
          <t>값</t>
        </is>
      </c>
      <c r="R156" s="53" t="inlineStr">
        <is>
          <t>출처</t>
        </is>
      </c>
    </row>
    <row r="157">
      <c r="A157" s="54" t="inlineStr">
        <is>
          <t>90d</t>
        </is>
      </c>
      <c r="B157" s="55" t="n">
        <v>126</v>
      </c>
      <c r="R157" s="56" t="inlineStr">
        <is>
          <t>애널리스트 1명 추정(야후) — 컨센이라 부르지 않음. 목표주가 없음</t>
        </is>
      </c>
    </row>
    <row r="158">
      <c r="A158" s="54" t="inlineStr">
        <is>
          <t>30d</t>
        </is>
      </c>
      <c r="B158" s="55" t="n">
        <v>151.2</v>
      </c>
    </row>
    <row r="159">
      <c r="A159" s="54" t="inlineStr">
        <is>
          <t>now</t>
        </is>
      </c>
      <c r="B159" s="55" t="n">
        <v>161.3</v>
      </c>
    </row>
    <row r="161">
      <c r="A161" s="52" t="inlineStr">
        <is>
          <t>peer 가격 changes % · 4968</t>
        </is>
      </c>
      <c r="B161" s="52" t="n"/>
      <c r="C161" s="52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</row>
    <row r="162">
      <c r="A162" s="53" t="inlineStr">
        <is>
          <t>항목</t>
        </is>
      </c>
      <c r="B162" s="53" t="inlineStr">
        <is>
          <t>값</t>
        </is>
      </c>
      <c r="R162" s="53" t="inlineStr">
        <is>
          <t>출처</t>
        </is>
      </c>
    </row>
    <row r="163">
      <c r="A163" s="54" t="inlineStr">
        <is>
          <t>1w</t>
        </is>
      </c>
      <c r="B163" s="55" t="n">
        <v>-1.7</v>
      </c>
      <c r="R163" s="56" t="inlineStr">
        <is>
          <t>2단계 보고서 자료(회사 설명회 자료·공시)</t>
        </is>
      </c>
    </row>
    <row r="164">
      <c r="A164" s="54" t="inlineStr">
        <is>
          <t>1m</t>
        </is>
      </c>
      <c r="B164" s="55" t="n">
        <v>-17</v>
      </c>
    </row>
    <row r="165">
      <c r="A165" s="54" t="inlineStr">
        <is>
          <t>3m</t>
        </is>
      </c>
      <c r="B165" s="55" t="n">
        <v>7.9</v>
      </c>
    </row>
    <row r="166">
      <c r="A166" s="54" t="inlineStr">
        <is>
          <t>6m</t>
        </is>
      </c>
      <c r="B166" s="55" t="n">
        <v>56.8</v>
      </c>
    </row>
    <row r="167">
      <c r="A167" s="54" t="inlineStr">
        <is>
          <t>1y</t>
        </is>
      </c>
      <c r="B167" s="55" t="n">
        <v>78.59999999999999</v>
      </c>
    </row>
    <row r="168">
      <c r="A168" s="54" t="inlineStr">
        <is>
          <t>ytd</t>
        </is>
      </c>
      <c r="B168" s="55" t="n">
        <v>60.9</v>
      </c>
    </row>
    <row r="170">
      <c r="A170" s="52" t="inlineStr">
        <is>
          <t>peer 가격 changes % · 4410</t>
        </is>
      </c>
      <c r="B170" s="52" t="n"/>
      <c r="C170" s="52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</row>
    <row r="171">
      <c r="A171" s="53" t="inlineStr">
        <is>
          <t>항목</t>
        </is>
      </c>
      <c r="B171" s="53" t="inlineStr">
        <is>
          <t>값</t>
        </is>
      </c>
      <c r="R171" s="53" t="inlineStr">
        <is>
          <t>출처</t>
        </is>
      </c>
    </row>
    <row r="172">
      <c r="A172" s="54" t="inlineStr">
        <is>
          <t>1w</t>
        </is>
      </c>
      <c r="B172" s="55" t="n">
        <v>31.7</v>
      </c>
      <c r="R172" s="56" t="inlineStr">
        <is>
          <t>2단계 보고서 자료(회사 설명회 자료·공시)</t>
        </is>
      </c>
    </row>
    <row r="173">
      <c r="A173" s="54" t="inlineStr">
        <is>
          <t>1m</t>
        </is>
      </c>
      <c r="B173" s="55" t="n">
        <v>18.7</v>
      </c>
    </row>
    <row r="174">
      <c r="A174" s="54" t="inlineStr">
        <is>
          <t>3m</t>
        </is>
      </c>
      <c r="B174" s="55" t="n">
        <v>21</v>
      </c>
    </row>
    <row r="175">
      <c r="A175" s="54" t="inlineStr">
        <is>
          <t>6m</t>
        </is>
      </c>
      <c r="B175" s="55" t="n">
        <v>49.6</v>
      </c>
    </row>
    <row r="176">
      <c r="A176" s="54" t="inlineStr">
        <is>
          <t>1y</t>
        </is>
      </c>
      <c r="B176" s="55" t="n">
        <v>53.1</v>
      </c>
    </row>
    <row r="177">
      <c r="A177" s="54" t="inlineStr">
        <is>
          <t>ytd</t>
        </is>
      </c>
      <c r="B177" s="55" t="n">
        <v>46.2</v>
      </c>
    </row>
    <row r="179">
      <c r="A179" s="52" t="inlineStr">
        <is>
          <t>peer 가격 changes % · 4045</t>
        </is>
      </c>
      <c r="B179" s="52" t="n"/>
      <c r="C179" s="52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</row>
    <row r="180">
      <c r="A180" s="53" t="inlineStr">
        <is>
          <t>항목</t>
        </is>
      </c>
      <c r="B180" s="53" t="inlineStr">
        <is>
          <t>값</t>
        </is>
      </c>
      <c r="R180" s="53" t="inlineStr">
        <is>
          <t>출처</t>
        </is>
      </c>
    </row>
    <row r="181">
      <c r="A181" s="54" t="inlineStr">
        <is>
          <t>1w</t>
        </is>
      </c>
      <c r="B181" s="55" t="n">
        <v>-1.2</v>
      </c>
      <c r="R181" s="56" t="inlineStr">
        <is>
          <t>2단계 보고서 자료(회사 설명회 자료·공시)</t>
        </is>
      </c>
    </row>
    <row r="182">
      <c r="A182" s="54" t="inlineStr">
        <is>
          <t>1m</t>
        </is>
      </c>
      <c r="B182" s="55" t="n">
        <v>-0.5</v>
      </c>
    </row>
    <row r="183">
      <c r="A183" s="54" t="inlineStr">
        <is>
          <t>3m</t>
        </is>
      </c>
      <c r="B183" s="55" t="n">
        <v>0.8</v>
      </c>
    </row>
    <row r="184">
      <c r="A184" s="54" t="inlineStr">
        <is>
          <t>6m</t>
        </is>
      </c>
      <c r="B184" s="55" t="n">
        <v>5.5</v>
      </c>
    </row>
    <row r="185">
      <c r="A185" s="54" t="inlineStr">
        <is>
          <t>1y</t>
        </is>
      </c>
      <c r="B185" s="55" t="n">
        <v>17</v>
      </c>
    </row>
    <row r="186">
      <c r="A186" s="54" t="inlineStr">
        <is>
          <t>ytd</t>
        </is>
      </c>
      <c r="B186" s="55" t="n">
        <v>10.3</v>
      </c>
    </row>
    <row r="188">
      <c r="A188" s="52" t="inlineStr">
        <is>
          <t>peer 가격 changes % · 4187</t>
        </is>
      </c>
      <c r="B188" s="52" t="n"/>
      <c r="C188" s="52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</row>
    <row r="189">
      <c r="A189" s="53" t="inlineStr">
        <is>
          <t>항목</t>
        </is>
      </c>
      <c r="B189" s="53" t="inlineStr">
        <is>
          <t>값</t>
        </is>
      </c>
      <c r="R189" s="53" t="inlineStr">
        <is>
          <t>출처</t>
        </is>
      </c>
    </row>
    <row r="190">
      <c r="A190" s="54" t="inlineStr">
        <is>
          <t>1w</t>
        </is>
      </c>
      <c r="B190" s="55" t="n">
        <v>0.7</v>
      </c>
      <c r="R190" s="56" t="inlineStr">
        <is>
          <t>2단계 보고서 자료(회사 설명회 자료·공시)</t>
        </is>
      </c>
    </row>
    <row r="191">
      <c r="A191" s="54" t="inlineStr">
        <is>
          <t>1m</t>
        </is>
      </c>
      <c r="B191" s="55" t="n">
        <v>-0.2</v>
      </c>
    </row>
    <row r="192">
      <c r="A192" s="54" t="inlineStr">
        <is>
          <t>3m</t>
        </is>
      </c>
      <c r="B192" s="55" t="n">
        <v>-3.6</v>
      </c>
    </row>
    <row r="193">
      <c r="A193" s="54" t="inlineStr">
        <is>
          <t>6m</t>
        </is>
      </c>
      <c r="B193" s="55" t="n">
        <v>-6.6</v>
      </c>
    </row>
    <row r="194">
      <c r="A194" s="54" t="inlineStr">
        <is>
          <t>1y</t>
        </is>
      </c>
      <c r="B194" s="55" t="n">
        <v>16.4</v>
      </c>
    </row>
    <row r="195">
      <c r="A195" s="54" t="inlineStr">
        <is>
          <t>ytd</t>
        </is>
      </c>
      <c r="B195" s="55" t="n">
        <v>9.300000000000001</v>
      </c>
    </row>
    <row r="197">
      <c r="A197" s="52" t="inlineStr">
        <is>
          <t>peer 가격 changes % · 4272</t>
        </is>
      </c>
      <c r="B197" s="52" t="n"/>
      <c r="C197" s="52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</row>
    <row r="198">
      <c r="A198" s="53" t="inlineStr">
        <is>
          <t>항목</t>
        </is>
      </c>
      <c r="B198" s="53" t="inlineStr">
        <is>
          <t>값</t>
        </is>
      </c>
      <c r="R198" s="53" t="inlineStr">
        <is>
          <t>출처</t>
        </is>
      </c>
    </row>
    <row r="199">
      <c r="A199" s="54" t="inlineStr">
        <is>
          <t>1w</t>
        </is>
      </c>
      <c r="B199" s="55" t="n">
        <v>-1.8</v>
      </c>
      <c r="R199" s="56" t="inlineStr">
        <is>
          <t>2단계 보고서 자료(회사 설명회 자료·공시)</t>
        </is>
      </c>
    </row>
    <row r="200">
      <c r="A200" s="54" t="inlineStr">
        <is>
          <t>1m</t>
        </is>
      </c>
      <c r="B200" s="55" t="n">
        <v>-5.1</v>
      </c>
    </row>
    <row r="201">
      <c r="A201" s="54" t="inlineStr">
        <is>
          <t>3m</t>
        </is>
      </c>
      <c r="B201" s="55" t="n">
        <v>4.1</v>
      </c>
    </row>
    <row r="202">
      <c r="A202" s="54" t="inlineStr">
        <is>
          <t>6m</t>
        </is>
      </c>
      <c r="B202" s="55" t="n">
        <v>15.9</v>
      </c>
    </row>
    <row r="203">
      <c r="A203" s="54" t="inlineStr">
        <is>
          <t>1y</t>
        </is>
      </c>
      <c r="B203" s="55" t="n">
        <v>41.9</v>
      </c>
    </row>
    <row r="204">
      <c r="A204" s="54" t="inlineStr">
        <is>
          <t>ytd</t>
        </is>
      </c>
      <c r="B204" s="55" t="n">
        <v>18.9</v>
      </c>
    </row>
    <row r="206">
      <c r="A206" s="52" t="inlineStr">
        <is>
          <t>reactions</t>
        </is>
      </c>
      <c r="B206" s="52" t="n"/>
      <c r="C206" s="52" t="n"/>
      <c r="D206" s="52" t="n"/>
      <c r="E206" s="52" t="n"/>
      <c r="F206" s="52" t="n"/>
      <c r="G206" s="52" t="n"/>
      <c r="H206" s="52" t="n"/>
      <c r="I206" s="52" t="n"/>
      <c r="J206" s="52" t="n"/>
      <c r="K206" s="52" t="n"/>
      <c r="L206" s="52" t="n"/>
      <c r="M206" s="52" t="n"/>
      <c r="N206" s="52" t="n"/>
      <c r="O206" s="52" t="n"/>
      <c r="P206" s="52" t="n"/>
      <c r="Q206" s="52" t="n"/>
      <c r="R206" s="52" t="n"/>
    </row>
    <row r="207">
      <c r="A207" s="53" t="inlineStr">
        <is>
          <t>항목</t>
        </is>
      </c>
      <c r="B207" s="53" t="inlineStr">
        <is>
          <t>기준일</t>
        </is>
      </c>
      <c r="C207" s="53" t="inlineStr">
        <is>
          <t>다음날</t>
        </is>
      </c>
      <c r="D207" s="53" t="inlineStr">
        <is>
          <t>등락%</t>
        </is>
      </c>
      <c r="R207" s="53" t="inlineStr">
        <is>
          <t>출처</t>
        </is>
      </c>
    </row>
    <row r="208">
      <c r="A208" s="54" t="inlineStr">
        <is>
          <t>2024-11-05</t>
        </is>
      </c>
      <c r="B208" s="58" t="inlineStr">
        <is>
          <t>2024-11-05</t>
        </is>
      </c>
      <c r="C208" s="58" t="inlineStr">
        <is>
          <t>2024-11-06</t>
        </is>
      </c>
      <c r="D208" s="55" t="n">
        <v>-0.8</v>
      </c>
      <c r="R208" s="56" t="inlineStr">
        <is>
          <t>2단계 보고서 자료(회사 설명회 자료·공시)</t>
        </is>
      </c>
    </row>
    <row r="209">
      <c r="A209" s="54" t="inlineStr">
        <is>
          <t>2025-02-05</t>
        </is>
      </c>
      <c r="B209" s="58" t="inlineStr">
        <is>
          <t>2025-02-05</t>
        </is>
      </c>
      <c r="C209" s="58" t="inlineStr">
        <is>
          <t>2025-02-06</t>
        </is>
      </c>
      <c r="D209" s="55" t="n">
        <v>1.3</v>
      </c>
    </row>
    <row r="210">
      <c r="A210" s="54" t="inlineStr">
        <is>
          <t>2025-05-14</t>
        </is>
      </c>
      <c r="B210" s="58" t="inlineStr">
        <is>
          <t>2025-05-14</t>
        </is>
      </c>
      <c r="C210" s="58" t="inlineStr">
        <is>
          <t>2025-05-15</t>
        </is>
      </c>
      <c r="D210" s="55" t="n">
        <v>2.7</v>
      </c>
    </row>
    <row r="211">
      <c r="A211" s="54" t="inlineStr">
        <is>
          <t>2025-08-04</t>
        </is>
      </c>
      <c r="B211" s="58" t="inlineStr">
        <is>
          <t>2025-08-04</t>
        </is>
      </c>
      <c r="C211" s="58" t="inlineStr">
        <is>
          <t>2025-08-05</t>
        </is>
      </c>
      <c r="D211" s="55" t="n">
        <v>3.7</v>
      </c>
    </row>
    <row r="212">
      <c r="A212" s="54" t="inlineStr">
        <is>
          <t>2025-11-05</t>
        </is>
      </c>
      <c r="B212" s="58" t="inlineStr">
        <is>
          <t>2025-11-05</t>
        </is>
      </c>
      <c r="C212" s="58" t="inlineStr">
        <is>
          <t>2025-11-06</t>
        </is>
      </c>
      <c r="D212" s="55" t="n">
        <v>-0.6</v>
      </c>
    </row>
    <row r="213">
      <c r="A213" s="54" t="inlineStr">
        <is>
          <t>2026-02-05</t>
        </is>
      </c>
      <c r="B213" s="58" t="inlineStr">
        <is>
          <t>2026-02-05</t>
        </is>
      </c>
      <c r="C213" s="58" t="inlineStr">
        <is>
          <t>2026-02-06</t>
        </is>
      </c>
      <c r="D213" s="55" t="n">
        <v>12</v>
      </c>
    </row>
    <row r="214">
      <c r="A214" s="54" t="inlineStr">
        <is>
          <t>2026-05-14</t>
        </is>
      </c>
      <c r="B214" s="58" t="inlineStr">
        <is>
          <t>2026-05-14</t>
        </is>
      </c>
      <c r="C214" s="58" t="inlineStr">
        <is>
          <t>2026-05-15</t>
        </is>
      </c>
      <c r="D214" s="55" t="n">
        <v>-1.5</v>
      </c>
    </row>
    <row r="215">
      <c r="A215" s="54" t="inlineStr">
        <is>
          <t>2026-08-05</t>
        </is>
      </c>
      <c r="B215" s="58" t="inlineStr">
        <is>
          <t>2026-08-05</t>
        </is>
      </c>
      <c r="C215" s="58" t="inlineStr">
        <is>
          <t>2026-08-06</t>
        </is>
      </c>
      <c r="D215" s="55" t="n">
        <v>4.4</v>
      </c>
    </row>
    <row r="217">
      <c r="A217" s="52" t="inlineStr">
        <is>
          <t>filings</t>
        </is>
      </c>
      <c r="B217" s="52" t="n"/>
      <c r="C217" s="52" t="n"/>
      <c r="D217" s="52" t="n"/>
      <c r="E217" s="52" t="n"/>
      <c r="F217" s="52" t="n"/>
      <c r="G217" s="52" t="n"/>
      <c r="H217" s="52" t="n"/>
      <c r="I217" s="52" t="n"/>
      <c r="J217" s="52" t="n"/>
      <c r="K217" s="52" t="n"/>
      <c r="L217" s="52" t="n"/>
      <c r="M217" s="52" t="n"/>
      <c r="N217" s="52" t="n"/>
      <c r="O217" s="52" t="n"/>
      <c r="P217" s="52" t="n"/>
      <c r="Q217" s="52" t="n"/>
      <c r="R217" s="52" t="n"/>
    </row>
    <row r="218">
      <c r="A218" s="53" t="inlineStr">
        <is>
          <t>항목</t>
        </is>
      </c>
      <c r="B218" s="53" t="inlineStr">
        <is>
          <t>title</t>
        </is>
      </c>
      <c r="C218" s="53" t="inlineStr">
        <is>
          <t>doc</t>
        </is>
      </c>
      <c r="R218" s="53" t="inlineStr">
        <is>
          <t>출처</t>
        </is>
      </c>
    </row>
    <row r="219">
      <c r="A219" s="54" t="inlineStr">
        <is>
          <t>2026-08-05</t>
        </is>
      </c>
      <c r="B219" s="58" t="inlineStr">
        <is>
          <t>2027年３月期　第１四半期　決算短信〔日本基準〕（連結）</t>
        </is>
      </c>
      <c r="C219" s="58" t="inlineStr">
        <is>
          <t>140120260805509781</t>
        </is>
      </c>
      <c r="R219" s="56" t="inlineStr">
        <is>
          <t>2단계 보고서 자료(회사 설명회 자료·공시)</t>
        </is>
      </c>
    </row>
    <row r="220">
      <c r="A220" s="54" t="inlineStr">
        <is>
          <t>2026-05-14</t>
        </is>
      </c>
      <c r="B220" s="58" t="inlineStr">
        <is>
          <t>2026年３月期　決算短信〔日本基準〕（連結）</t>
        </is>
      </c>
      <c r="C220" s="58" t="inlineStr">
        <is>
          <t>140120260514533754</t>
        </is>
      </c>
    </row>
    <row r="221">
      <c r="A221" s="54" t="inlineStr">
        <is>
          <t>2026-02-05</t>
        </is>
      </c>
      <c r="B221" s="58" t="inlineStr">
        <is>
          <t>2026年３月期　第３四半期決算短信〔日本基準〕（連結）</t>
        </is>
      </c>
      <c r="C221" s="58" t="inlineStr">
        <is>
          <t>140120260205548671</t>
        </is>
      </c>
    </row>
    <row r="222">
      <c r="A222" s="54" t="inlineStr">
        <is>
          <t>2025-11-05</t>
        </is>
      </c>
      <c r="B222" s="58" t="inlineStr">
        <is>
          <t>2026年３月期　第２四半期（中間期）決算短信〔日本基準〕（連結）</t>
        </is>
      </c>
      <c r="C222" s="58" t="inlineStr">
        <is>
          <t>140120251105587750</t>
        </is>
      </c>
    </row>
    <row r="223">
      <c r="A223" s="54" t="inlineStr">
        <is>
          <t>2025-08-04</t>
        </is>
      </c>
      <c r="B223" s="58" t="inlineStr">
        <is>
          <t>2026年３月期　第１四半期決算短信〔日本基準〕（連結）</t>
        </is>
      </c>
      <c r="C223" s="58" t="inlineStr">
        <is>
          <t>140120250804528659</t>
        </is>
      </c>
    </row>
    <row r="224">
      <c r="A224" s="54" t="inlineStr">
        <is>
          <t>2025-05-14</t>
        </is>
      </c>
      <c r="B224" s="58" t="inlineStr">
        <is>
          <t>2025年３月期　決算短信〔日本基準〕（連結）</t>
        </is>
      </c>
      <c r="C224" s="58" t="inlineStr">
        <is>
          <t>140120250514549637</t>
        </is>
      </c>
    </row>
    <row r="225">
      <c r="A225" s="54" t="inlineStr">
        <is>
          <t>2025-02-05</t>
        </is>
      </c>
      <c r="B225" s="58" t="inlineStr">
        <is>
          <t>2025年３月期　第３四半期決算短信〔日本基準〕（連結）</t>
        </is>
      </c>
      <c r="C225" s="58" t="inlineStr">
        <is>
          <t>140120250205563516</t>
        </is>
      </c>
    </row>
    <row r="226">
      <c r="A226" s="54" t="inlineStr">
        <is>
          <t>2024-11-05</t>
        </is>
      </c>
      <c r="B226" s="58" t="inlineStr">
        <is>
          <t>2025年３月期　第２四半期（中間期）決算短信〔日本基準〕（連結）</t>
        </is>
      </c>
      <c r="C226" s="58" t="inlineStr">
        <is>
          <t>140120241105510633</t>
        </is>
      </c>
    </row>
    <row r="227">
      <c r="A227" s="54" t="inlineStr">
        <is>
          <t>2024-08-02</t>
        </is>
      </c>
      <c r="B227" s="58" t="inlineStr">
        <is>
          <t>2025年３月期　第１四半期決算短信〔日本基準〕（連結）</t>
        </is>
      </c>
      <c r="C227" s="58" t="inlineStr">
        <is>
          <t>140120240802561528</t>
        </is>
      </c>
    </row>
    <row r="228">
      <c r="A228" s="54" t="inlineStr">
        <is>
          <t>2024-05-14</t>
        </is>
      </c>
      <c r="B228" s="58" t="inlineStr">
        <is>
          <t>2024年３月期　決算短信〔日本基準〕（連結）</t>
        </is>
      </c>
      <c r="C228" s="58" t="inlineStr">
        <is>
          <t>140120240514595006</t>
        </is>
      </c>
    </row>
    <row r="229">
      <c r="A229" s="54" t="inlineStr">
        <is>
          <t>2024-02-05</t>
        </is>
      </c>
      <c r="B229" s="58" t="inlineStr">
        <is>
          <t>2024年３月期　第３四半期決算短信〔日本基準〕（連結）</t>
        </is>
      </c>
      <c r="C229" s="58" t="inlineStr">
        <is>
          <t>140120240202525491</t>
        </is>
      </c>
    </row>
    <row r="230">
      <c r="A230" s="54" t="inlineStr">
        <is>
          <t>2023-11-02</t>
        </is>
      </c>
      <c r="B230" s="58" t="inlineStr">
        <is>
          <t>2024年３月期　第２四半期決算短信〔日本基準〕（連結）</t>
        </is>
      </c>
      <c r="C230" s="58" t="inlineStr">
        <is>
          <t>140120231102578137</t>
        </is>
      </c>
    </row>
    <row r="231">
      <c r="A231" s="54" t="inlineStr">
        <is>
          <t>2023-08-03</t>
        </is>
      </c>
      <c r="B231" s="58" t="inlineStr">
        <is>
          <t>2024年３月期　第１四半期決算短信〔日本基準〕（連結）</t>
        </is>
      </c>
      <c r="C231" s="58" t="inlineStr">
        <is>
          <t>140120230803533261</t>
        </is>
      </c>
    </row>
    <row r="232">
      <c r="A232" s="54" t="inlineStr">
        <is>
          <t>2023-05-11</t>
        </is>
      </c>
      <c r="B232" s="58" t="inlineStr">
        <is>
          <t>2023年３月期決算短信〔日本基準〕(連結)</t>
        </is>
      </c>
      <c r="C232" s="58" t="inlineStr">
        <is>
          <t>140120230511565117</t>
        </is>
      </c>
    </row>
    <row r="233">
      <c r="A233" s="54" t="inlineStr">
        <is>
          <t>2023-02-02</t>
        </is>
      </c>
      <c r="B233" s="58" t="inlineStr">
        <is>
          <t>2023年３月期第３四半期決算短信〔日本基準〕(連結)</t>
        </is>
      </c>
      <c r="C233" s="58" t="inlineStr">
        <is>
          <t>140120230201598596</t>
        </is>
      </c>
    </row>
    <row r="234">
      <c r="A234" s="54" t="inlineStr">
        <is>
          <t>2022-11-02</t>
        </is>
      </c>
      <c r="B234" s="58" t="inlineStr">
        <is>
          <t>2023年３月期　第２四半期決算短信〔日本基準〕(連結)</t>
        </is>
      </c>
      <c r="C234" s="58" t="inlineStr">
        <is>
          <t>140120221101555062</t>
        </is>
      </c>
    </row>
    <row r="235">
      <c r="A235" s="54" t="inlineStr">
        <is>
          <t>2022-05-11</t>
        </is>
      </c>
      <c r="B235" s="58" t="inlineStr">
        <is>
          <t>2022年３月期　決算短信〔日本基準〕（連結）</t>
        </is>
      </c>
      <c r="C235" s="58" t="inlineStr">
        <is>
          <t>140120220510538381</t>
        </is>
      </c>
    </row>
    <row r="236">
      <c r="A236" s="54" t="inlineStr">
        <is>
          <t>2021-05-11</t>
        </is>
      </c>
      <c r="B236" s="58" t="inlineStr">
        <is>
          <t>2021年３月期　決算短信〔日本基準〕（連結）</t>
        </is>
      </c>
      <c r="C236" s="58" t="inlineStr">
        <is>
          <t>140120210510410358</t>
        </is>
      </c>
    </row>
    <row r="237">
      <c r="A237" s="54" t="inlineStr">
        <is>
          <t>2020-05-08</t>
        </is>
      </c>
      <c r="B237" s="58" t="inlineStr">
        <is>
          <t>2020年３月期　決算短信〔日本基準〕（連結）</t>
        </is>
      </c>
      <c r="C237" s="58" t="inlineStr">
        <is>
          <t>140120200508406839</t>
        </is>
      </c>
    </row>
    <row r="238">
      <c r="A238" s="54" t="inlineStr">
        <is>
          <t>2019-05-09</t>
        </is>
      </c>
      <c r="B238" s="58" t="inlineStr">
        <is>
          <t>2019年３月期　決算短信〔日本基準〕（連結）</t>
        </is>
      </c>
      <c r="C238" s="58" t="inlineStr">
        <is>
          <t>140120190508417121</t>
        </is>
      </c>
    </row>
    <row r="239">
      <c r="A239" s="54" t="inlineStr">
        <is>
          <t>2018-05-08</t>
        </is>
      </c>
      <c r="B239" s="58" t="inlineStr">
        <is>
          <t>平成30年３月期　決算短信〔日本基準〕（連結）</t>
        </is>
      </c>
      <c r="C239" s="58" t="inlineStr">
        <is>
          <t>140120180507427981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2026-08-05</t>
        </is>
      </c>
      <c r="B4" t="inlineStr">
        <is>
          <t>2027년 3월 결산기 １분기 결산단신</t>
        </is>
      </c>
      <c r="C4" t="inlineStr">
        <is>
          <t>https://www2.jpx.co.jp/disc/49680/140120260805509781.pdf</t>
        </is>
      </c>
    </row>
    <row r="5">
      <c r="A5" t="inlineStr">
        <is>
          <t>2026-05-14</t>
        </is>
      </c>
      <c r="B5" t="inlineStr">
        <is>
          <t>2026년 3월 결산기 연간 결산단신</t>
        </is>
      </c>
      <c r="C5" t="inlineStr">
        <is>
          <t>https://www2.jpx.co.jp/disc/49680/140120260514533754.pdf</t>
        </is>
      </c>
    </row>
    <row r="6">
      <c r="A6" t="inlineStr">
        <is>
          <t>2026-02-05</t>
        </is>
      </c>
      <c r="B6" t="inlineStr">
        <is>
          <t>2026년 3월 결산기 ３분기 결산단신</t>
        </is>
      </c>
      <c r="C6" t="inlineStr">
        <is>
          <t>https://www2.jpx.co.jp/disc/49680/140120260205548671.pdf</t>
        </is>
      </c>
    </row>
    <row r="7">
      <c r="A7" t="inlineStr">
        <is>
          <t>2025-11-05</t>
        </is>
      </c>
      <c r="B7" t="inlineStr">
        <is>
          <t>2026년 3월 결산기 ２분기 결산단신</t>
        </is>
      </c>
      <c r="C7" t="inlineStr">
        <is>
          <t>https://www2.jpx.co.jp/disc/49680/140120251105587750.pdf</t>
        </is>
      </c>
    </row>
    <row r="8">
      <c r="A8" t="inlineStr">
        <is>
          <t>2025-08-04</t>
        </is>
      </c>
      <c r="B8" t="inlineStr">
        <is>
          <t>2026년 3월 결산기 １분기 결산단신</t>
        </is>
      </c>
      <c r="C8" t="inlineStr">
        <is>
          <t>https://www2.jpx.co.jp/disc/49680/140120250804528659.pdf</t>
        </is>
      </c>
    </row>
    <row r="9">
      <c r="A9" t="inlineStr">
        <is>
          <t>2025-05-14</t>
        </is>
      </c>
      <c r="B9" t="inlineStr">
        <is>
          <t>2025년 3월 결산기 연간 결산단신</t>
        </is>
      </c>
      <c r="C9" t="inlineStr">
        <is>
          <t>https://www2.jpx.co.jp/disc/49680/140120250514549637.pdf</t>
        </is>
      </c>
    </row>
    <row r="10">
      <c r="A10" t="inlineStr">
        <is>
          <t>2025-02-05</t>
        </is>
      </c>
      <c r="B10" t="inlineStr">
        <is>
          <t>2025년 3월 결산기 ３분기 결산단신</t>
        </is>
      </c>
      <c r="C10" t="inlineStr">
        <is>
          <t>https://www2.jpx.co.jp/disc/49680/140120250205563516.pdf</t>
        </is>
      </c>
    </row>
    <row r="11">
      <c r="A11" t="inlineStr">
        <is>
          <t>2024-11-05</t>
        </is>
      </c>
      <c r="B11" t="inlineStr">
        <is>
          <t>2025년 3월 결산기 ２분기 결산단신</t>
        </is>
      </c>
      <c r="C11" t="inlineStr">
        <is>
          <t>https://www2.jpx.co.jp/disc/49680/140120241105510633.pdf</t>
        </is>
      </c>
    </row>
    <row r="12">
      <c r="A12" t="inlineStr">
        <is>
          <t>2024-08-02</t>
        </is>
      </c>
      <c r="B12" t="inlineStr">
        <is>
          <t>2025년 3월 결산기 １분기 결산단신</t>
        </is>
      </c>
      <c r="C12" t="inlineStr">
        <is>
          <t>https://www2.jpx.co.jp/disc/49680/140120240802561528.pdf</t>
        </is>
      </c>
    </row>
    <row r="13">
      <c r="A13" t="inlineStr">
        <is>
          <t>2024-05-14</t>
        </is>
      </c>
      <c r="B13" t="inlineStr">
        <is>
          <t>2024년 3월 결산기 연간 결산단신</t>
        </is>
      </c>
      <c r="C13" t="inlineStr">
        <is>
          <t>https://www2.jpx.co.jp/disc/49680/140120240514595006.pdf</t>
        </is>
      </c>
    </row>
    <row r="14">
      <c r="A14" t="inlineStr">
        <is>
          <t>2024-02-05</t>
        </is>
      </c>
      <c r="B14" t="inlineStr">
        <is>
          <t>2024년 3월 결산기 ３분기 결산단신</t>
        </is>
      </c>
      <c r="C14" t="inlineStr">
        <is>
          <t>https://www2.jpx.co.jp/disc/49680/140120240202525491.pdf</t>
        </is>
      </c>
    </row>
    <row r="15">
      <c r="A15" t="inlineStr">
        <is>
          <t>2023-11-02</t>
        </is>
      </c>
      <c r="B15" t="inlineStr">
        <is>
          <t>2024년 3월 결산기 ２분기 결산단신</t>
        </is>
      </c>
      <c r="C15" t="inlineStr">
        <is>
          <t>https://www2.jpx.co.jp/disc/49680/140120231102578137.pdf</t>
        </is>
      </c>
    </row>
    <row r="16">
      <c r="A16" t="inlineStr">
        <is>
          <t>2023-08-03</t>
        </is>
      </c>
      <c r="B16" t="inlineStr">
        <is>
          <t>2024년 3월 결산기 １분기 결산단신</t>
        </is>
      </c>
      <c r="C16" t="inlineStr">
        <is>
          <t>https://www2.jpx.co.jp/disc/49680/140120230803533261.pdf</t>
        </is>
      </c>
    </row>
    <row r="17">
      <c r="A17" t="inlineStr">
        <is>
          <t>2023-05-11</t>
        </is>
      </c>
      <c r="B17" t="inlineStr">
        <is>
          <t>2023년 3월 결산기 연간 결산단신</t>
        </is>
      </c>
      <c r="C17" t="inlineStr">
        <is>
          <t>https://www2.jpx.co.jp/disc/49680/140120230511565117.pdf</t>
        </is>
      </c>
    </row>
    <row r="18">
      <c r="A18" t="inlineStr">
        <is>
          <t>2023-02-02</t>
        </is>
      </c>
      <c r="B18" t="inlineStr">
        <is>
          <t>2023년 3월 결산기 ３분기 결산단신</t>
        </is>
      </c>
      <c r="C18" t="inlineStr">
        <is>
          <t>https://www2.jpx.co.jp/disc/49680/140120230201598596.pdf</t>
        </is>
      </c>
    </row>
    <row r="19">
      <c r="A19" t="inlineStr">
        <is>
          <t>2022-11-02</t>
        </is>
      </c>
      <c r="B19" t="inlineStr">
        <is>
          <t>2023년 3월 결산기 ２분기 결산단신</t>
        </is>
      </c>
      <c r="C19" t="inlineStr">
        <is>
          <t>https://www2.jpx.co.jp/disc/49680/140120221101555062.pdf</t>
        </is>
      </c>
    </row>
    <row r="20">
      <c r="A20" t="inlineStr">
        <is>
          <t>2022-05-11</t>
        </is>
      </c>
      <c r="B20" t="inlineStr">
        <is>
          <t>2022년 3월 결산기 연간 결산단신</t>
        </is>
      </c>
      <c r="C20" t="inlineStr">
        <is>
          <t>https://www2.jpx.co.jp/disc/49680/140120220510538381.pdf</t>
        </is>
      </c>
    </row>
    <row r="21">
      <c r="A21" t="inlineStr">
        <is>
          <t>2021-05-11</t>
        </is>
      </c>
      <c r="B21" t="inlineStr">
        <is>
          <t>2021년 3월 결산기 연간 결산단신</t>
        </is>
      </c>
      <c r="C21" t="inlineStr">
        <is>
          <t>https://www2.jpx.co.jp/disc/49680/140120210510410358.pdf</t>
        </is>
      </c>
    </row>
    <row r="22">
      <c r="A22" t="inlineStr">
        <is>
          <t>2020-05-08</t>
        </is>
      </c>
      <c r="B22" t="inlineStr">
        <is>
          <t>2020년 3월 결산기 연간 결산단신</t>
        </is>
      </c>
      <c r="C22" t="inlineStr">
        <is>
          <t>https://www2.jpx.co.jp/disc/49680/140120200508406839.pdf</t>
        </is>
      </c>
    </row>
    <row r="23">
      <c r="A23" t="inlineStr">
        <is>
          <t>2019-05-09</t>
        </is>
      </c>
      <c r="B23" t="inlineStr">
        <is>
          <t>2019년 3월 결산기 연간 결산단신</t>
        </is>
      </c>
      <c r="C23" t="inlineStr">
        <is>
          <t>https://www2.jpx.co.jp/disc/49680/140120190508417121.pdf</t>
        </is>
      </c>
    </row>
    <row r="24">
      <c r="A24" t="inlineStr">
        <is>
          <t>2018-05-08</t>
        </is>
      </c>
      <c r="B24" t="inlineStr">
        <is>
          <t>연간 결산단신</t>
        </is>
      </c>
      <c r="C24" t="inlineStr">
        <is>
          <t>https://www2.jpx.co.jp/disc/49680/140120180507427981.pdf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4968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36건(2017-11-01~2026-08-05).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3Q16</t>
        </is>
      </c>
      <c r="C4" s="63" t="inlineStr">
        <is>
          <t>4Q16</t>
        </is>
      </c>
      <c r="D4" s="63" t="inlineStr">
        <is>
          <t>1Q17</t>
        </is>
      </c>
      <c r="E4" s="63" t="inlineStr">
        <is>
          <t>2Q17</t>
        </is>
      </c>
      <c r="F4" s="63" t="inlineStr">
        <is>
          <t>3Q17</t>
        </is>
      </c>
      <c r="G4" s="63" t="inlineStr">
        <is>
          <t>4Q17</t>
        </is>
      </c>
      <c r="H4" s="63" t="inlineStr">
        <is>
          <t>1Q18</t>
        </is>
      </c>
      <c r="I4" s="63" t="inlineStr">
        <is>
          <t>2Q18</t>
        </is>
      </c>
      <c r="J4" s="63" t="inlineStr">
        <is>
          <t>3Q18</t>
        </is>
      </c>
      <c r="K4" s="63" t="inlineStr">
        <is>
          <t>4Q18</t>
        </is>
      </c>
      <c r="L4" s="63" t="inlineStr">
        <is>
          <t>1Q19</t>
        </is>
      </c>
      <c r="M4" s="63" t="inlineStr">
        <is>
          <t>2Q19</t>
        </is>
      </c>
      <c r="N4" s="63" t="inlineStr">
        <is>
          <t>3Q19</t>
        </is>
      </c>
      <c r="O4" s="63" t="inlineStr">
        <is>
          <t>4Q19</t>
        </is>
      </c>
      <c r="P4" s="63" t="inlineStr">
        <is>
          <t>1Q20</t>
        </is>
      </c>
      <c r="Q4" s="63" t="inlineStr">
        <is>
          <t>2Q20</t>
        </is>
      </c>
      <c r="R4" s="63" t="inlineStr">
        <is>
          <t>3Q20</t>
        </is>
      </c>
      <c r="S4" s="63" t="inlineStr">
        <is>
          <t>4Q20</t>
        </is>
      </c>
      <c r="T4" s="63" t="inlineStr">
        <is>
          <t>1Q21</t>
        </is>
      </c>
      <c r="U4" s="63" t="inlineStr">
        <is>
          <t>2Q21</t>
        </is>
      </c>
      <c r="V4" s="63" t="inlineStr">
        <is>
          <t>3Q21</t>
        </is>
      </c>
      <c r="W4" s="63" t="inlineStr">
        <is>
          <t>4Q21</t>
        </is>
      </c>
      <c r="X4" s="63" t="inlineStr">
        <is>
          <t>1Q22</t>
        </is>
      </c>
      <c r="Y4" s="63" t="inlineStr">
        <is>
          <t>2Q22</t>
        </is>
      </c>
      <c r="Z4" s="63" t="inlineStr">
        <is>
          <t>3Q22</t>
        </is>
      </c>
      <c r="AA4" s="63" t="inlineStr">
        <is>
          <t>4Q22</t>
        </is>
      </c>
      <c r="AB4" s="63" t="inlineStr">
        <is>
          <t>1Q23</t>
        </is>
      </c>
      <c r="AC4" s="63" t="inlineStr">
        <is>
          <t>2Q23</t>
        </is>
      </c>
      <c r="AD4" s="63" t="inlineStr">
        <is>
          <t>3Q23</t>
        </is>
      </c>
      <c r="AE4" s="63" t="inlineStr">
        <is>
          <t>4Q23</t>
        </is>
      </c>
      <c r="AF4" s="63" t="inlineStr">
        <is>
          <t>1Q24</t>
        </is>
      </c>
      <c r="AG4" s="63" t="inlineStr">
        <is>
          <t>2Q24</t>
        </is>
      </c>
      <c r="AH4" s="63" t="inlineStr">
        <is>
          <t>3Q24</t>
        </is>
      </c>
      <c r="AI4" s="63" t="inlineStr">
        <is>
          <t>4Q24</t>
        </is>
      </c>
      <c r="AJ4" s="63" t="inlineStr">
        <is>
          <t>1Q25</t>
        </is>
      </c>
      <c r="AK4" s="63" t="inlineStr">
        <is>
          <t>2Q25</t>
        </is>
      </c>
      <c r="AL4" s="63" t="inlineStr">
        <is>
          <t>3Q25</t>
        </is>
      </c>
      <c r="AM4" s="63" t="inlineStr">
        <is>
          <t>4Q25</t>
        </is>
      </c>
      <c r="AN4" s="63" t="inlineStr">
        <is>
          <t>1Q26</t>
        </is>
      </c>
      <c r="AO4" s="63" t="inlineStr">
        <is>
          <t>2Q26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196.7</v>
      </c>
      <c r="D5" s="65" t="n">
        <v>197.8</v>
      </c>
      <c r="E5" s="65" t="n">
        <v>198.4</v>
      </c>
      <c r="F5" s="65" t="n">
        <v>200.5</v>
      </c>
      <c r="G5" s="65" t="n">
        <v>211.7</v>
      </c>
      <c r="H5" s="65" t="n">
        <v>197.2</v>
      </c>
      <c r="I5" s="65" t="n">
        <v>197.6</v>
      </c>
      <c r="J5" s="65" t="n">
        <v>197.4</v>
      </c>
      <c r="K5" s="65" t="n">
        <v>210.3</v>
      </c>
      <c r="L5" s="65" t="n">
        <v>189.7</v>
      </c>
      <c r="M5" s="65" t="n">
        <v>182.3</v>
      </c>
      <c r="N5" s="65" t="n">
        <v>183.3</v>
      </c>
      <c r="O5" s="65" t="n">
        <v>185.5</v>
      </c>
      <c r="P5" s="65" t="n">
        <v>178.6</v>
      </c>
      <c r="Q5" s="65" t="n">
        <v>159.8</v>
      </c>
      <c r="R5" s="65" t="n">
        <v>162.4</v>
      </c>
      <c r="S5" s="65" t="n">
        <v>187.9</v>
      </c>
      <c r="T5" s="65" t="n">
        <v>195.6</v>
      </c>
      <c r="U5" s="65" t="n">
        <v>196.4</v>
      </c>
      <c r="V5" s="65" t="n">
        <v>200.2</v>
      </c>
      <c r="W5" s="65" t="n">
        <v>202.7</v>
      </c>
      <c r="X5" s="65" t="n">
        <v>205.8</v>
      </c>
      <c r="Y5" s="65" t="n">
        <v>211.6</v>
      </c>
      <c r="Z5" s="65" t="n">
        <v>205.5</v>
      </c>
      <c r="AA5" s="65" t="n">
        <v>196.9</v>
      </c>
      <c r="AB5" s="65" t="n">
        <v>180.3</v>
      </c>
      <c r="AC5" s="65" t="n">
        <v>173</v>
      </c>
      <c r="AD5" s="65" t="n">
        <v>173.7</v>
      </c>
      <c r="AE5" s="65" t="n">
        <v>190.4</v>
      </c>
      <c r="AF5" s="65" t="n">
        <v>185.1</v>
      </c>
      <c r="AG5" s="65" t="n">
        <v>192.6</v>
      </c>
      <c r="AH5" s="65" t="n">
        <v>200.7</v>
      </c>
      <c r="AI5" s="65" t="n">
        <v>208.8</v>
      </c>
      <c r="AJ5" s="65" t="n">
        <v>200.3</v>
      </c>
      <c r="AK5" s="65" t="n">
        <v>199</v>
      </c>
      <c r="AL5" s="65" t="n">
        <v>204.7</v>
      </c>
      <c r="AM5" s="65" t="n">
        <v>210.1</v>
      </c>
      <c r="AN5" s="65" t="n">
        <v>207.6</v>
      </c>
      <c r="AO5" s="65" t="n">
        <v>222.8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7.6</v>
      </c>
      <c r="H6" s="66" t="n">
        <v>-0.3</v>
      </c>
      <c r="I6" s="66" t="n">
        <v>-0.4</v>
      </c>
      <c r="J6" s="66" t="n">
        <v>-1.5</v>
      </c>
      <c r="K6" s="66" t="n">
        <v>-0.7</v>
      </c>
      <c r="L6" s="66" t="n">
        <v>-3.8</v>
      </c>
      <c r="M6" s="66" t="n">
        <v>-7.7</v>
      </c>
      <c r="N6" s="66" t="n">
        <v>-7.1</v>
      </c>
      <c r="O6" s="66" t="n">
        <v>-11.8</v>
      </c>
      <c r="P6" s="66" t="n">
        <v>-5.9</v>
      </c>
      <c r="Q6" s="66" t="n">
        <v>-12.3</v>
      </c>
      <c r="R6" s="66" t="n">
        <v>-11.4</v>
      </c>
      <c r="S6" s="66" t="n">
        <v>1.3</v>
      </c>
      <c r="T6" s="66" t="n">
        <v>9.5</v>
      </c>
      <c r="U6" s="66" t="n">
        <v>22.9</v>
      </c>
      <c r="V6" s="66" t="n">
        <v>23.3</v>
      </c>
      <c r="W6" s="66" t="n">
        <v>7.9</v>
      </c>
      <c r="X6" s="66" t="n">
        <v>5.2</v>
      </c>
      <c r="Y6" s="66" t="n">
        <v>7.7</v>
      </c>
      <c r="Z6" s="66" t="n">
        <v>2.6</v>
      </c>
      <c r="AA6" s="66" t="n">
        <v>-2.9</v>
      </c>
      <c r="AB6" s="66" t="n">
        <v>-12.4</v>
      </c>
      <c r="AC6" s="66" t="n">
        <v>-18.2</v>
      </c>
      <c r="AD6" s="66" t="n">
        <v>-15.5</v>
      </c>
      <c r="AE6" s="66" t="n">
        <v>-3.3</v>
      </c>
      <c r="AF6" s="66" t="n">
        <v>2.7</v>
      </c>
      <c r="AG6" s="66" t="n">
        <v>11.3</v>
      </c>
      <c r="AH6" s="66" t="n">
        <v>15.5</v>
      </c>
      <c r="AI6" s="66" t="n">
        <v>9.699999999999999</v>
      </c>
      <c r="AJ6" s="66" t="n">
        <v>8.199999999999999</v>
      </c>
      <c r="AK6" s="66" t="n">
        <v>3.3</v>
      </c>
      <c r="AL6" s="66" t="n">
        <v>2</v>
      </c>
      <c r="AM6" s="66" t="n">
        <v>0.6</v>
      </c>
      <c r="AN6" s="66" t="n">
        <v>3.6</v>
      </c>
      <c r="AO6" s="66" t="n">
        <v>12</v>
      </c>
    </row>
    <row r="7">
      <c r="A7" s="64" t="inlineStr">
        <is>
          <t>영업이익</t>
        </is>
      </c>
      <c r="B7" s="65" t="n"/>
      <c r="C7" s="65" t="n">
        <v>14.9</v>
      </c>
      <c r="D7" s="65" t="n">
        <v>10.5</v>
      </c>
      <c r="E7" s="65" t="n">
        <v>16.3</v>
      </c>
      <c r="F7" s="65" t="n">
        <v>10.3</v>
      </c>
      <c r="G7" s="65" t="n">
        <v>15.4</v>
      </c>
      <c r="H7" s="65" t="n">
        <v>6.9</v>
      </c>
      <c r="I7" s="65" t="n">
        <v>10.7</v>
      </c>
      <c r="J7" s="65" t="n">
        <v>8.199999999999999</v>
      </c>
      <c r="K7" s="65" t="n">
        <v>12</v>
      </c>
      <c r="L7" s="65" t="n">
        <v>4.7</v>
      </c>
      <c r="M7" s="65" t="n">
        <v>8.699999999999999</v>
      </c>
      <c r="N7" s="65" t="n">
        <v>0.5</v>
      </c>
      <c r="O7" s="65" t="n">
        <v>11.5</v>
      </c>
      <c r="P7" s="65" t="n">
        <v>5</v>
      </c>
      <c r="Q7" s="65" t="n">
        <v>8</v>
      </c>
      <c r="R7" s="65" t="n">
        <v>1.7</v>
      </c>
      <c r="S7" s="65" t="n">
        <v>13.2</v>
      </c>
      <c r="T7" s="65" t="n">
        <v>9.699999999999999</v>
      </c>
      <c r="U7" s="65" t="n">
        <v>17</v>
      </c>
      <c r="V7" s="65" t="n">
        <v>7.7</v>
      </c>
      <c r="W7" s="65" t="n">
        <v>7.9</v>
      </c>
      <c r="X7" s="65" t="n">
        <v>0.4</v>
      </c>
      <c r="Y7" s="65" t="n">
        <v>5.7</v>
      </c>
      <c r="Z7" s="65" t="n">
        <v>-1.4</v>
      </c>
      <c r="AA7" s="65" t="n">
        <v>-14.3</v>
      </c>
      <c r="AB7" s="65" t="n">
        <v>-19.2</v>
      </c>
      <c r="AC7" s="65" t="n">
        <v>-8.300000000000001</v>
      </c>
      <c r="AD7" s="65" t="n">
        <v>-9.9</v>
      </c>
      <c r="AE7" s="65" t="n">
        <v>-0.9</v>
      </c>
      <c r="AF7" s="65" t="n">
        <v>-7</v>
      </c>
      <c r="AG7" s="65" t="n">
        <v>6.2</v>
      </c>
      <c r="AH7" s="65" t="n">
        <v>-3.1</v>
      </c>
      <c r="AI7" s="65" t="n">
        <v>7</v>
      </c>
      <c r="AJ7" s="65" t="n">
        <v>0.4</v>
      </c>
      <c r="AK7" s="65" t="n">
        <v>6.8</v>
      </c>
      <c r="AL7" s="65" t="n">
        <v>2.5</v>
      </c>
      <c r="AM7" s="65" t="n">
        <v>9</v>
      </c>
      <c r="AN7" s="65" t="n">
        <v>6.7</v>
      </c>
      <c r="AO7" s="65" t="n">
        <v>16.4</v>
      </c>
    </row>
    <row r="8">
      <c r="A8" s="64" t="inlineStr">
        <is>
          <t>영업이익률</t>
        </is>
      </c>
      <c r="B8" s="66" t="n"/>
      <c r="C8" s="66" t="n">
        <v>7.6</v>
      </c>
      <c r="D8" s="66" t="n">
        <v>5.3</v>
      </c>
      <c r="E8" s="66" t="n">
        <v>8.199999999999999</v>
      </c>
      <c r="F8" s="66" t="n">
        <v>5.1</v>
      </c>
      <c r="G8" s="66" t="n">
        <v>7.3</v>
      </c>
      <c r="H8" s="66" t="n">
        <v>3.5</v>
      </c>
      <c r="I8" s="66" t="n">
        <v>5.4</v>
      </c>
      <c r="J8" s="66" t="n">
        <v>4.2</v>
      </c>
      <c r="K8" s="66" t="n">
        <v>5.7</v>
      </c>
      <c r="L8" s="66" t="n">
        <v>2.5</v>
      </c>
      <c r="M8" s="66" t="n">
        <v>4.8</v>
      </c>
      <c r="N8" s="66" t="n">
        <v>0.3</v>
      </c>
      <c r="O8" s="66" t="n">
        <v>6.2</v>
      </c>
      <c r="P8" s="66" t="n">
        <v>2.8</v>
      </c>
      <c r="Q8" s="66" t="n">
        <v>5</v>
      </c>
      <c r="R8" s="66" t="n">
        <v>1</v>
      </c>
      <c r="S8" s="66" t="n">
        <v>7</v>
      </c>
      <c r="T8" s="66" t="n">
        <v>5</v>
      </c>
      <c r="U8" s="66" t="n">
        <v>8.699999999999999</v>
      </c>
      <c r="V8" s="66" t="n">
        <v>3.8</v>
      </c>
      <c r="W8" s="66" t="n">
        <v>3.9</v>
      </c>
      <c r="X8" s="66" t="n">
        <v>0.2</v>
      </c>
      <c r="Y8" s="66" t="n">
        <v>2.7</v>
      </c>
      <c r="Z8" s="66" t="n">
        <v>-0.7</v>
      </c>
      <c r="AA8" s="66" t="n">
        <v>-7.3</v>
      </c>
      <c r="AB8" s="66" t="n">
        <v>-10.6</v>
      </c>
      <c r="AC8" s="66" t="n">
        <v>-4.8</v>
      </c>
      <c r="AD8" s="66" t="n">
        <v>-5.7</v>
      </c>
      <c r="AE8" s="66" t="n">
        <v>-0.5</v>
      </c>
      <c r="AF8" s="66" t="n">
        <v>-3.8</v>
      </c>
      <c r="AG8" s="66" t="n">
        <v>3.2</v>
      </c>
      <c r="AH8" s="66" t="n">
        <v>-1.5</v>
      </c>
      <c r="AI8" s="66" t="n">
        <v>3.4</v>
      </c>
      <c r="AJ8" s="66" t="n">
        <v>0.2</v>
      </c>
      <c r="AK8" s="66" t="n">
        <v>3.4</v>
      </c>
      <c r="AL8" s="66" t="n">
        <v>1.2</v>
      </c>
      <c r="AM8" s="66" t="n">
        <v>4.3</v>
      </c>
      <c r="AN8" s="66" t="n">
        <v>3.2</v>
      </c>
      <c r="AO8" s="66" t="n">
        <v>7.4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3.4</v>
      </c>
      <c r="H9" s="66" t="n">
        <v>-34.3</v>
      </c>
      <c r="I9" s="66" t="n">
        <v>-34.4</v>
      </c>
      <c r="J9" s="66" t="n">
        <v>-20.4</v>
      </c>
      <c r="K9" s="66" t="n">
        <v>-22.1</v>
      </c>
      <c r="L9" s="66" t="n">
        <v>-31.9</v>
      </c>
      <c r="M9" s="66" t="n">
        <v>-18.7</v>
      </c>
      <c r="N9" s="66" t="n">
        <v>-93.90000000000001</v>
      </c>
      <c r="O9" s="66" t="n">
        <v>-4.2</v>
      </c>
      <c r="P9" s="66" t="n">
        <v>6.4</v>
      </c>
      <c r="Q9" s="66" t="n">
        <v>-8</v>
      </c>
      <c r="R9" s="66" t="n">
        <v>240</v>
      </c>
      <c r="S9" s="66" t="n">
        <v>14.8</v>
      </c>
      <c r="T9" s="66" t="n">
        <v>94</v>
      </c>
      <c r="U9" s="66" t="n">
        <v>112.5</v>
      </c>
      <c r="V9" s="66" t="n">
        <v>352.9</v>
      </c>
      <c r="W9" s="66" t="n">
        <v>-40.2</v>
      </c>
      <c r="X9" s="66" t="n">
        <v>-95.90000000000001</v>
      </c>
      <c r="Y9" s="66" t="n">
        <v>-66.5</v>
      </c>
      <c r="Z9" s="66" t="n">
        <v>-118.2</v>
      </c>
      <c r="AA9" s="66" t="n">
        <v>-281</v>
      </c>
      <c r="AB9" s="66" t="n">
        <v>-4900</v>
      </c>
      <c r="AC9" s="66" t="n">
        <v>-245.6</v>
      </c>
      <c r="AD9" s="66" t="n"/>
      <c r="AE9" s="66" t="n"/>
      <c r="AF9" s="66" t="n"/>
      <c r="AG9" s="66" t="n"/>
      <c r="AH9" s="66" t="n"/>
      <c r="AI9" s="66" t="n"/>
      <c r="AJ9" s="66" t="n"/>
      <c r="AK9" s="66" t="n">
        <v>9.699999999999999</v>
      </c>
      <c r="AL9" s="66" t="n"/>
      <c r="AM9" s="66" t="n">
        <v>28.6</v>
      </c>
      <c r="AN9" s="66" t="n">
        <v>1575</v>
      </c>
      <c r="AO9" s="66" t="n">
        <v>141.2</v>
      </c>
    </row>
    <row r="10">
      <c r="A10" s="64" t="inlineStr">
        <is>
          <t>유동자산</t>
        </is>
      </c>
      <c r="B10" s="65" t="n"/>
      <c r="C10" s="65" t="n"/>
      <c r="D10" s="65" t="n">
        <v>538</v>
      </c>
      <c r="E10" s="65" t="n"/>
      <c r="F10" s="65" t="n">
        <v>548.7</v>
      </c>
      <c r="G10" s="65" t="n">
        <v>561.8</v>
      </c>
      <c r="H10" s="65" t="n">
        <v>561.6</v>
      </c>
      <c r="I10" s="65" t="n">
        <v>537.8</v>
      </c>
      <c r="J10" s="65" t="n">
        <v>540.7</v>
      </c>
      <c r="K10" s="65" t="n">
        <v>577.5</v>
      </c>
      <c r="L10" s="65" t="n">
        <v>569.6</v>
      </c>
      <c r="M10" s="65" t="n">
        <v>546.4</v>
      </c>
      <c r="N10" s="65" t="n">
        <v>486.6</v>
      </c>
      <c r="O10" s="65" t="n">
        <v>544.6</v>
      </c>
      <c r="P10" s="65" t="n">
        <v>513.4</v>
      </c>
      <c r="Q10" s="65" t="n">
        <v>501.3</v>
      </c>
      <c r="R10" s="65" t="n">
        <v>492.6</v>
      </c>
      <c r="S10" s="65" t="n">
        <v>523.6</v>
      </c>
      <c r="T10" s="65" t="n">
        <v>537.1</v>
      </c>
      <c r="U10" s="65" t="n">
        <v>558.1</v>
      </c>
      <c r="V10" s="65" t="n">
        <v>560.4</v>
      </c>
      <c r="W10" s="65" t="n">
        <v>609.7</v>
      </c>
      <c r="X10" s="65" t="n">
        <v>624.8</v>
      </c>
      <c r="Y10" s="65" t="n">
        <v>652</v>
      </c>
      <c r="Z10" s="65" t="n">
        <v>646</v>
      </c>
      <c r="AA10" s="65" t="n">
        <v>699.9</v>
      </c>
      <c r="AB10" s="65" t="n">
        <v>628</v>
      </c>
      <c r="AC10" s="65" t="n">
        <v>611</v>
      </c>
      <c r="AD10" s="65" t="n">
        <v>637.7</v>
      </c>
      <c r="AE10" s="65" t="n">
        <v>657.9</v>
      </c>
      <c r="AF10" s="65" t="n">
        <v>641.6</v>
      </c>
      <c r="AG10" s="65" t="n">
        <v>626.7</v>
      </c>
      <c r="AH10" s="65" t="n">
        <v>619</v>
      </c>
      <c r="AI10" s="65" t="n">
        <v>652.2</v>
      </c>
      <c r="AJ10" s="65" t="n">
        <v>622.6</v>
      </c>
      <c r="AK10" s="65" t="n">
        <v>611.3</v>
      </c>
      <c r="AL10" s="65" t="n">
        <v>613.4</v>
      </c>
      <c r="AM10" s="65" t="n">
        <v>671.6</v>
      </c>
      <c r="AN10" s="65" t="n">
        <v>649</v>
      </c>
      <c r="AO10" s="65" t="n">
        <v>656.2</v>
      </c>
    </row>
    <row r="11">
      <c r="A11" s="64" t="inlineStr">
        <is>
          <t>유동부채</t>
        </is>
      </c>
      <c r="B11" s="65" t="n"/>
      <c r="C11" s="65" t="n"/>
      <c r="D11" s="65" t="n">
        <v>244.6</v>
      </c>
      <c r="E11" s="65" t="n"/>
      <c r="F11" s="65" t="n">
        <v>240.5</v>
      </c>
      <c r="G11" s="65" t="n">
        <v>245</v>
      </c>
      <c r="H11" s="65" t="n">
        <v>256.5</v>
      </c>
      <c r="I11" s="65" t="n">
        <v>235.7</v>
      </c>
      <c r="J11" s="65" t="n">
        <v>236</v>
      </c>
      <c r="K11" s="65" t="n">
        <v>250.3</v>
      </c>
      <c r="L11" s="65" t="n">
        <v>248.5</v>
      </c>
      <c r="M11" s="65" t="n">
        <v>222.4</v>
      </c>
      <c r="N11" s="65" t="n">
        <v>220.8</v>
      </c>
      <c r="O11" s="65" t="n">
        <v>230.8</v>
      </c>
      <c r="P11" s="65" t="n">
        <v>210.1</v>
      </c>
      <c r="Q11" s="65" t="n">
        <v>221.2</v>
      </c>
      <c r="R11" s="65" t="n">
        <v>213.1</v>
      </c>
      <c r="S11" s="65" t="n">
        <v>292.2</v>
      </c>
      <c r="T11" s="65" t="n">
        <v>337.7</v>
      </c>
      <c r="U11" s="65" t="n">
        <v>325.6</v>
      </c>
      <c r="V11" s="65" t="n">
        <v>335.3</v>
      </c>
      <c r="W11" s="65" t="n">
        <v>338.1</v>
      </c>
      <c r="X11" s="65" t="n">
        <v>364.7</v>
      </c>
      <c r="Y11" s="65" t="n">
        <v>391.5</v>
      </c>
      <c r="Z11" s="65" t="n">
        <v>391.7</v>
      </c>
      <c r="AA11" s="65" t="n">
        <v>443.9</v>
      </c>
      <c r="AB11" s="65" t="n">
        <v>421.1</v>
      </c>
      <c r="AC11" s="65" t="n">
        <v>416.3</v>
      </c>
      <c r="AD11" s="65" t="n">
        <v>455.7</v>
      </c>
      <c r="AE11" s="65" t="n">
        <v>424.2</v>
      </c>
      <c r="AF11" s="65" t="n">
        <v>434.1</v>
      </c>
      <c r="AG11" s="65" t="n">
        <v>403.5</v>
      </c>
      <c r="AH11" s="65" t="n">
        <v>400.6</v>
      </c>
      <c r="AI11" s="65" t="n">
        <v>399.6</v>
      </c>
      <c r="AJ11" s="65" t="n">
        <v>376.1</v>
      </c>
      <c r="AK11" s="65" t="n">
        <v>374</v>
      </c>
      <c r="AL11" s="65" t="n">
        <v>379.5</v>
      </c>
      <c r="AM11" s="65" t="n">
        <v>483.8</v>
      </c>
      <c r="AN11" s="65" t="n">
        <v>461.1</v>
      </c>
      <c r="AO11" s="65" t="n">
        <v>461.6</v>
      </c>
    </row>
    <row r="12">
      <c r="A12" s="64" t="inlineStr">
        <is>
          <t>부채총계</t>
        </is>
      </c>
      <c r="B12" s="65" t="n"/>
      <c r="C12" s="65" t="n"/>
      <c r="D12" s="65" t="n">
        <v>323.4</v>
      </c>
      <c r="E12" s="65" t="n"/>
      <c r="F12" s="65" t="n">
        <v>319.4</v>
      </c>
      <c r="G12" s="65" t="n">
        <v>327.4</v>
      </c>
      <c r="H12" s="65" t="n">
        <v>333.2</v>
      </c>
      <c r="I12" s="65" t="n">
        <v>316.6</v>
      </c>
      <c r="J12" s="65" t="n">
        <v>315.4</v>
      </c>
      <c r="K12" s="65" t="n">
        <v>362.8</v>
      </c>
      <c r="L12" s="65" t="n">
        <v>358.5</v>
      </c>
      <c r="M12" s="65" t="n">
        <v>332.2</v>
      </c>
      <c r="N12" s="65" t="n">
        <v>330.6</v>
      </c>
      <c r="O12" s="65" t="n">
        <v>395.9</v>
      </c>
      <c r="P12" s="65" t="n">
        <v>365.7</v>
      </c>
      <c r="Q12" s="65" t="n">
        <v>380.2</v>
      </c>
      <c r="R12" s="65" t="n">
        <v>371.3</v>
      </c>
      <c r="S12" s="65" t="n">
        <v>402</v>
      </c>
      <c r="T12" s="65" t="n">
        <v>471.7</v>
      </c>
      <c r="U12" s="65" t="n">
        <v>461.9</v>
      </c>
      <c r="V12" s="65" t="n">
        <v>469.4</v>
      </c>
      <c r="W12" s="65" t="n">
        <v>522.4</v>
      </c>
      <c r="X12" s="65" t="n">
        <v>551.6</v>
      </c>
      <c r="Y12" s="65" t="n">
        <v>577.8</v>
      </c>
      <c r="Z12" s="65" t="n">
        <v>574.5</v>
      </c>
      <c r="AA12" s="65" t="n">
        <v>645.6</v>
      </c>
      <c r="AB12" s="65" t="n">
        <v>625.3</v>
      </c>
      <c r="AC12" s="65" t="n">
        <v>620.6</v>
      </c>
      <c r="AD12" s="65" t="n">
        <v>661.7</v>
      </c>
      <c r="AE12" s="65" t="n">
        <v>682.8</v>
      </c>
      <c r="AF12" s="65" t="n">
        <v>685</v>
      </c>
      <c r="AG12" s="65" t="n">
        <v>650.7</v>
      </c>
      <c r="AH12" s="65" t="n">
        <v>636.2</v>
      </c>
      <c r="AI12" s="65" t="n">
        <v>685.2</v>
      </c>
      <c r="AJ12" s="65" t="n">
        <v>650.6</v>
      </c>
      <c r="AK12" s="65" t="n">
        <v>644.1</v>
      </c>
      <c r="AL12" s="65" t="n">
        <v>645.7</v>
      </c>
      <c r="AM12" s="65" t="n">
        <v>697.4</v>
      </c>
      <c r="AN12" s="65" t="n">
        <v>668.2</v>
      </c>
      <c r="AO12" s="65" t="n">
        <v>670.9</v>
      </c>
    </row>
    <row r="13">
      <c r="A13" s="64" t="inlineStr">
        <is>
          <t>자기자본</t>
        </is>
      </c>
      <c r="B13" s="66" t="n"/>
      <c r="C13" s="66" t="n"/>
      <c r="D13" s="66" t="n">
        <v>515.6</v>
      </c>
      <c r="E13" s="66" t="n"/>
      <c r="F13" s="66" t="n">
        <v>538.1</v>
      </c>
      <c r="G13" s="66" t="n">
        <v>552.7</v>
      </c>
      <c r="H13" s="66" t="n">
        <v>557</v>
      </c>
      <c r="I13" s="66" t="n">
        <v>557.1</v>
      </c>
      <c r="J13" s="66" t="n">
        <v>561.4</v>
      </c>
      <c r="K13" s="66" t="n">
        <v>568.4</v>
      </c>
      <c r="L13" s="66" t="n">
        <v>563.3</v>
      </c>
      <c r="M13" s="66" t="n">
        <v>560.8</v>
      </c>
      <c r="N13" s="66" t="n">
        <v>552.6</v>
      </c>
      <c r="O13" s="66" t="n">
        <v>555.5</v>
      </c>
      <c r="P13" s="66" t="n">
        <v>540.3</v>
      </c>
      <c r="Q13" s="66" t="n">
        <v>544.7</v>
      </c>
      <c r="R13" s="66" t="n">
        <v>551</v>
      </c>
      <c r="S13" s="66" t="n">
        <v>562.4</v>
      </c>
      <c r="T13" s="66" t="n">
        <v>585.9</v>
      </c>
      <c r="U13" s="66" t="n">
        <v>621</v>
      </c>
      <c r="V13" s="66" t="n">
        <v>627.1</v>
      </c>
      <c r="W13" s="66" t="n">
        <v>625.3</v>
      </c>
      <c r="X13" s="66" t="n">
        <v>625.8</v>
      </c>
      <c r="Y13" s="66" t="n">
        <v>628.5</v>
      </c>
      <c r="Z13" s="66" t="n">
        <v>620</v>
      </c>
      <c r="AA13" s="66" t="n">
        <v>599.7</v>
      </c>
      <c r="AB13" s="66" t="n">
        <v>565.1</v>
      </c>
      <c r="AC13" s="66" t="n">
        <v>562.6</v>
      </c>
      <c r="AD13" s="66" t="n">
        <v>565.5</v>
      </c>
      <c r="AE13" s="66" t="n">
        <v>566.6</v>
      </c>
      <c r="AF13" s="66" t="n">
        <v>569.2</v>
      </c>
      <c r="AG13" s="66" t="n">
        <v>588.5</v>
      </c>
      <c r="AH13" s="66" t="n">
        <v>586.2</v>
      </c>
      <c r="AI13" s="66" t="n">
        <v>567.5</v>
      </c>
      <c r="AJ13" s="66" t="n">
        <v>572.4</v>
      </c>
      <c r="AK13" s="66" t="n">
        <v>560.2</v>
      </c>
      <c r="AL13" s="66" t="n">
        <v>566.9</v>
      </c>
      <c r="AM13" s="66" t="n">
        <v>568.9</v>
      </c>
      <c r="AN13" s="66" t="n">
        <v>592.4</v>
      </c>
      <c r="AO13" s="66" t="n">
        <v>614</v>
      </c>
    </row>
    <row r="14">
      <c r="A14" s="64" t="inlineStr">
        <is>
          <t>유동비율</t>
        </is>
      </c>
      <c r="B14" s="66" t="n"/>
      <c r="C14" s="66" t="n"/>
      <c r="D14" s="66" t="n">
        <v>220</v>
      </c>
      <c r="E14" s="66" t="n"/>
      <c r="F14" s="66" t="n">
        <v>228.1</v>
      </c>
      <c r="G14" s="66" t="n">
        <v>229.3</v>
      </c>
      <c r="H14" s="66" t="n">
        <v>218.9</v>
      </c>
      <c r="I14" s="66" t="n">
        <v>228.2</v>
      </c>
      <c r="J14" s="66" t="n">
        <v>229.1</v>
      </c>
      <c r="K14" s="66" t="n">
        <v>230.7</v>
      </c>
      <c r="L14" s="66" t="n">
        <v>229.2</v>
      </c>
      <c r="M14" s="66" t="n">
        <v>245.7</v>
      </c>
      <c r="N14" s="66" t="n">
        <v>220.4</v>
      </c>
      <c r="O14" s="66" t="n">
        <v>236</v>
      </c>
      <c r="P14" s="66" t="n">
        <v>244.4</v>
      </c>
      <c r="Q14" s="66" t="n">
        <v>226.6</v>
      </c>
      <c r="R14" s="66" t="n">
        <v>231.2</v>
      </c>
      <c r="S14" s="66" t="n">
        <v>179.2</v>
      </c>
      <c r="T14" s="66" t="n">
        <v>159</v>
      </c>
      <c r="U14" s="66" t="n">
        <v>171.4</v>
      </c>
      <c r="V14" s="66" t="n">
        <v>167.1</v>
      </c>
      <c r="W14" s="66" t="n">
        <v>180.3</v>
      </c>
      <c r="X14" s="66" t="n">
        <v>171.3</v>
      </c>
      <c r="Y14" s="66" t="n">
        <v>166.5</v>
      </c>
      <c r="Z14" s="66" t="n">
        <v>164.9</v>
      </c>
      <c r="AA14" s="66" t="n">
        <v>157.7</v>
      </c>
      <c r="AB14" s="66" t="n">
        <v>149.1</v>
      </c>
      <c r="AC14" s="66" t="n">
        <v>146.8</v>
      </c>
      <c r="AD14" s="66" t="n">
        <v>139.9</v>
      </c>
      <c r="AE14" s="66" t="n">
        <v>155.1</v>
      </c>
      <c r="AF14" s="66" t="n">
        <v>147.8</v>
      </c>
      <c r="AG14" s="66" t="n">
        <v>155.3</v>
      </c>
      <c r="AH14" s="66" t="n">
        <v>154.5</v>
      </c>
      <c r="AI14" s="66" t="n">
        <v>163.2</v>
      </c>
      <c r="AJ14" s="66" t="n">
        <v>165.5</v>
      </c>
      <c r="AK14" s="66" t="n">
        <v>163.4</v>
      </c>
      <c r="AL14" s="66" t="n">
        <v>161.6</v>
      </c>
      <c r="AM14" s="66" t="n">
        <v>138.8</v>
      </c>
      <c r="AN14" s="66" t="n">
        <v>140.8</v>
      </c>
      <c r="AO14" s="66" t="n">
        <v>142.2</v>
      </c>
    </row>
    <row r="15">
      <c r="A15" s="64" t="inlineStr">
        <is>
          <t>부채비율</t>
        </is>
      </c>
      <c r="B15" s="66" t="n"/>
      <c r="C15" s="66" t="n"/>
      <c r="D15" s="66" t="n">
        <v>62.7</v>
      </c>
      <c r="E15" s="66" t="n"/>
      <c r="F15" s="66" t="n">
        <v>59.4</v>
      </c>
      <c r="G15" s="66" t="n">
        <v>59.2</v>
      </c>
      <c r="H15" s="66" t="n">
        <v>59.8</v>
      </c>
      <c r="I15" s="66" t="n">
        <v>56.8</v>
      </c>
      <c r="J15" s="66" t="n">
        <v>56.2</v>
      </c>
      <c r="K15" s="66" t="n">
        <v>63.8</v>
      </c>
      <c r="L15" s="66" t="n">
        <v>63.6</v>
      </c>
      <c r="M15" s="66" t="n">
        <v>59.2</v>
      </c>
      <c r="N15" s="66" t="n">
        <v>59.8</v>
      </c>
      <c r="O15" s="66" t="n">
        <v>71.3</v>
      </c>
      <c r="P15" s="66" t="n">
        <v>67.7</v>
      </c>
      <c r="Q15" s="66" t="n">
        <v>69.8</v>
      </c>
      <c r="R15" s="66" t="n">
        <v>67.40000000000001</v>
      </c>
      <c r="S15" s="66" t="n">
        <v>71.5</v>
      </c>
      <c r="T15" s="66" t="n">
        <v>80.5</v>
      </c>
      <c r="U15" s="66" t="n">
        <v>74.40000000000001</v>
      </c>
      <c r="V15" s="66" t="n">
        <v>74.90000000000001</v>
      </c>
      <c r="W15" s="66" t="n">
        <v>83.5</v>
      </c>
      <c r="X15" s="66" t="n">
        <v>88.09999999999999</v>
      </c>
      <c r="Y15" s="66" t="n">
        <v>91.90000000000001</v>
      </c>
      <c r="Z15" s="66" t="n">
        <v>92.7</v>
      </c>
      <c r="AA15" s="66" t="n">
        <v>107.7</v>
      </c>
      <c r="AB15" s="66" t="n">
        <v>110.7</v>
      </c>
      <c r="AC15" s="66" t="n">
        <v>110.3</v>
      </c>
      <c r="AD15" s="66" t="n">
        <v>117</v>
      </c>
      <c r="AE15" s="66" t="n">
        <v>120.5</v>
      </c>
      <c r="AF15" s="66" t="n">
        <v>120.3</v>
      </c>
      <c r="AG15" s="66" t="n">
        <v>110.6</v>
      </c>
      <c r="AH15" s="66" t="n">
        <v>108.5</v>
      </c>
      <c r="AI15" s="66" t="n">
        <v>120.7</v>
      </c>
      <c r="AJ15" s="66" t="n">
        <v>113.7</v>
      </c>
      <c r="AK15" s="66" t="n">
        <v>115</v>
      </c>
      <c r="AL15" s="66" t="n">
        <v>113.9</v>
      </c>
      <c r="AM15" s="66" t="n">
        <v>122.6</v>
      </c>
      <c r="AN15" s="66" t="n">
        <v>112.8</v>
      </c>
      <c r="AO15" s="66" t="n">
        <v>109.3</v>
      </c>
    </row>
    <row r="16">
      <c r="A16" s="64" t="inlineStr">
        <is>
          <t>순차입금/자기자본</t>
        </is>
      </c>
      <c r="B16" s="66" t="n"/>
      <c r="C16" s="66" t="n"/>
      <c r="D16" s="66" t="n">
        <v>6</v>
      </c>
      <c r="E16" s="66" t="n"/>
      <c r="F16" s="66" t="n">
        <v>6.5</v>
      </c>
      <c r="G16" s="66" t="n">
        <v>5</v>
      </c>
      <c r="H16" s="66" t="n">
        <v>5</v>
      </c>
      <c r="I16" s="66" t="n">
        <v>8.4</v>
      </c>
      <c r="J16" s="66" t="n">
        <v>5.4</v>
      </c>
      <c r="K16" s="66" t="n">
        <v>10.3</v>
      </c>
      <c r="L16" s="66" t="n">
        <v>9.4</v>
      </c>
      <c r="M16" s="66" t="n">
        <v>9.5</v>
      </c>
      <c r="N16" s="66" t="n">
        <v>15.7</v>
      </c>
      <c r="O16" s="66" t="n">
        <v>18.6</v>
      </c>
      <c r="P16" s="66" t="n">
        <v>17.4</v>
      </c>
      <c r="Q16" s="66" t="n">
        <v>21.2</v>
      </c>
      <c r="R16" s="66" t="n">
        <v>20.3</v>
      </c>
      <c r="S16" s="66" t="n">
        <v>22.5</v>
      </c>
      <c r="T16" s="66" t="n">
        <v>22.8</v>
      </c>
      <c r="U16" s="66" t="n">
        <v>21.6</v>
      </c>
      <c r="V16" s="66" t="n">
        <v>20.4</v>
      </c>
      <c r="W16" s="66" t="n">
        <v>25.3</v>
      </c>
      <c r="X16" s="66" t="n">
        <v>26.1</v>
      </c>
      <c r="Y16" s="66" t="n">
        <v>30.7</v>
      </c>
      <c r="Z16" s="66" t="n">
        <v>32.6</v>
      </c>
      <c r="AA16" s="66" t="n">
        <v>41</v>
      </c>
      <c r="AB16" s="66" t="n">
        <v>42.3</v>
      </c>
      <c r="AC16" s="66" t="n">
        <v>47.8</v>
      </c>
      <c r="AD16" s="66" t="n">
        <v>51.6</v>
      </c>
      <c r="AE16" s="66" t="n">
        <v>51.9</v>
      </c>
      <c r="AF16" s="66" t="n">
        <v>54.1</v>
      </c>
      <c r="AG16" s="66" t="n">
        <v>53.2</v>
      </c>
      <c r="AH16" s="66" t="n">
        <v>48.5</v>
      </c>
      <c r="AI16" s="66" t="n">
        <v>55.1</v>
      </c>
      <c r="AJ16" s="66" t="n">
        <v>52.3</v>
      </c>
      <c r="AK16" s="66" t="n">
        <v>56.9</v>
      </c>
      <c r="AL16" s="66" t="n">
        <v>54.8</v>
      </c>
      <c r="AM16" s="66" t="n">
        <v>58.6</v>
      </c>
      <c r="AN16" s="66" t="n">
        <v>50.7</v>
      </c>
      <c r="AO16" s="66" t="n">
        <v>48.8</v>
      </c>
    </row>
    <row r="17">
      <c r="A17" s="64" t="inlineStr">
        <is>
          <t>재고자산</t>
        </is>
      </c>
      <c r="B17" s="65" t="n"/>
      <c r="C17" s="65" t="n"/>
      <c r="D17" s="65" t="n">
        <v>150.2</v>
      </c>
      <c r="E17" s="65" t="n"/>
      <c r="F17" s="65" t="n">
        <v>155.5</v>
      </c>
      <c r="G17" s="65" t="n">
        <v>150.8</v>
      </c>
      <c r="H17" s="65" t="n">
        <v>162.1</v>
      </c>
      <c r="I17" s="65" t="n">
        <v>165.7</v>
      </c>
      <c r="J17" s="65" t="n">
        <v>160.7</v>
      </c>
      <c r="K17" s="65" t="n">
        <v>172.7</v>
      </c>
      <c r="L17" s="65" t="n">
        <v>178.3</v>
      </c>
      <c r="M17" s="65" t="n">
        <v>172.1</v>
      </c>
      <c r="N17" s="65" t="n">
        <v>157.6</v>
      </c>
      <c r="O17" s="65" t="n">
        <v>161.4</v>
      </c>
      <c r="P17" s="65" t="n">
        <v>161.1</v>
      </c>
      <c r="Q17" s="65" t="n">
        <v>163.9</v>
      </c>
      <c r="R17" s="65" t="n">
        <v>165.4</v>
      </c>
      <c r="S17" s="65" t="n">
        <v>162.4</v>
      </c>
      <c r="T17" s="65" t="n">
        <v>178.7</v>
      </c>
      <c r="U17" s="65" t="n">
        <v>185.2</v>
      </c>
      <c r="V17" s="65" t="n">
        <v>188.3</v>
      </c>
      <c r="W17" s="65" t="n">
        <v>201.3</v>
      </c>
      <c r="X17" s="65" t="n">
        <v>221.7</v>
      </c>
      <c r="Y17" s="65" t="n">
        <v>237.7</v>
      </c>
      <c r="Z17" s="65" t="n">
        <v>236.5</v>
      </c>
      <c r="AA17" s="65" t="n">
        <v>240.1</v>
      </c>
      <c r="AB17" s="65" t="n">
        <v>242.1</v>
      </c>
      <c r="AC17" s="65" t="n">
        <v>244</v>
      </c>
      <c r="AD17" s="65" t="n">
        <v>242.3</v>
      </c>
      <c r="AE17" s="65" t="n">
        <v>238.8</v>
      </c>
      <c r="AF17" s="65" t="n">
        <v>232.9</v>
      </c>
      <c r="AG17" s="65" t="n">
        <v>228.4</v>
      </c>
      <c r="AH17" s="65" t="n">
        <v>220.8</v>
      </c>
      <c r="AI17" s="65" t="n">
        <v>228.7</v>
      </c>
      <c r="AJ17" s="65" t="n">
        <v>238.2</v>
      </c>
      <c r="AK17" s="65" t="n">
        <v>236.2</v>
      </c>
      <c r="AL17" s="65" t="n">
        <v>229.3</v>
      </c>
      <c r="AM17" s="65" t="n">
        <v>241.9</v>
      </c>
      <c r="AN17" s="65" t="n">
        <v>250.7</v>
      </c>
      <c r="AO17" s="65" t="n">
        <v>251.2</v>
      </c>
    </row>
    <row r="18">
      <c r="A18" s="64" t="inlineStr">
        <is>
          <t>재고자산 회전일수</t>
        </is>
      </c>
      <c r="B18" s="65" t="n"/>
      <c r="C18" s="65" t="n"/>
      <c r="D18" s="65" t="n">
        <v>90</v>
      </c>
      <c r="E18" s="65" t="n"/>
      <c r="F18" s="65" t="n">
        <v>90</v>
      </c>
      <c r="G18" s="65" t="n">
        <v>84</v>
      </c>
      <c r="H18" s="65" t="n">
        <v>95</v>
      </c>
      <c r="I18" s="65" t="n">
        <v>99</v>
      </c>
      <c r="J18" s="65" t="n">
        <v>95</v>
      </c>
      <c r="K18" s="65" t="n">
        <v>96</v>
      </c>
      <c r="L18" s="65" t="n">
        <v>108</v>
      </c>
      <c r="M18" s="65" t="n">
        <v>112</v>
      </c>
      <c r="N18" s="65" t="n">
        <v>96</v>
      </c>
      <c r="O18" s="65" t="n">
        <v>104</v>
      </c>
      <c r="P18" s="65" t="n">
        <v>105</v>
      </c>
      <c r="Q18" s="65" t="n">
        <v>125</v>
      </c>
      <c r="R18" s="65" t="n">
        <v>117</v>
      </c>
      <c r="S18" s="65" t="n">
        <v>104</v>
      </c>
      <c r="T18" s="65" t="n">
        <v>109</v>
      </c>
      <c r="U18" s="65" t="n">
        <v>118</v>
      </c>
      <c r="V18" s="65" t="n">
        <v>109</v>
      </c>
      <c r="W18" s="65" t="n">
        <v>115</v>
      </c>
      <c r="X18" s="65" t="n">
        <v>121</v>
      </c>
      <c r="Y18" s="65" t="n">
        <v>129</v>
      </c>
      <c r="Z18" s="65" t="n">
        <v>126</v>
      </c>
      <c r="AA18" s="65" t="n">
        <v>125</v>
      </c>
      <c r="AB18" s="65" t="n">
        <v>134</v>
      </c>
      <c r="AC18" s="65" t="n">
        <v>152</v>
      </c>
      <c r="AD18" s="65" t="n">
        <v>148</v>
      </c>
      <c r="AE18" s="65" t="n">
        <v>140</v>
      </c>
      <c r="AF18" s="65" t="n">
        <v>137</v>
      </c>
      <c r="AG18" s="65" t="n">
        <v>139</v>
      </c>
      <c r="AH18" s="65" t="n">
        <v>121</v>
      </c>
      <c r="AI18" s="65" t="n">
        <v>128</v>
      </c>
      <c r="AJ18" s="65" t="n">
        <v>136</v>
      </c>
      <c r="AK18" s="65" t="n">
        <v>141</v>
      </c>
      <c r="AL18" s="65" t="n">
        <v>126</v>
      </c>
      <c r="AM18" s="65" t="n">
        <v>135</v>
      </c>
      <c r="AN18" s="65" t="n">
        <v>141</v>
      </c>
      <c r="AO18" s="65" t="n">
        <v>138</v>
      </c>
    </row>
    <row r="19">
      <c r="A19" s="64" t="inlineStr">
        <is>
          <t>매출채권 회전일수</t>
        </is>
      </c>
      <c r="B19" s="65" t="n"/>
      <c r="C19" s="65" t="n"/>
      <c r="D19" s="65" t="n">
        <v>119</v>
      </c>
      <c r="E19" s="65" t="n"/>
      <c r="F19" s="65" t="n">
        <v>128</v>
      </c>
      <c r="G19" s="65" t="n">
        <v>126</v>
      </c>
      <c r="H19" s="65" t="n">
        <v>131</v>
      </c>
      <c r="I19" s="65" t="n">
        <v>127</v>
      </c>
      <c r="J19" s="65" t="n">
        <v>124</v>
      </c>
      <c r="K19" s="65" t="n">
        <v>123</v>
      </c>
      <c r="L19" s="65" t="n">
        <v>130</v>
      </c>
      <c r="M19" s="65" t="n">
        <v>125</v>
      </c>
      <c r="N19" s="65" t="n">
        <v>108</v>
      </c>
      <c r="O19" s="65" t="n">
        <v>125</v>
      </c>
      <c r="P19" s="65" t="n">
        <v>116</v>
      </c>
      <c r="Q19" s="65" t="n">
        <v>119</v>
      </c>
      <c r="R19" s="65" t="n">
        <v>110</v>
      </c>
      <c r="S19" s="65" t="n">
        <v>116</v>
      </c>
      <c r="T19" s="65" t="n">
        <v>107</v>
      </c>
      <c r="U19" s="65" t="n">
        <v>114</v>
      </c>
      <c r="V19" s="65" t="n">
        <v>110</v>
      </c>
      <c r="W19" s="65" t="n">
        <v>125</v>
      </c>
      <c r="X19" s="65" t="n">
        <v>114</v>
      </c>
      <c r="Y19" s="65" t="n">
        <v>117</v>
      </c>
      <c r="Z19" s="65" t="n">
        <v>118</v>
      </c>
      <c r="AA19" s="65" t="n">
        <v>132</v>
      </c>
      <c r="AB19" s="65" t="n">
        <v>118</v>
      </c>
      <c r="AC19" s="65" t="n">
        <v>121</v>
      </c>
      <c r="AD19" s="65" t="n">
        <v>127</v>
      </c>
      <c r="AE19" s="65" t="n">
        <v>123</v>
      </c>
      <c r="AF19" s="65" t="n">
        <v>126</v>
      </c>
      <c r="AG19" s="65" t="n">
        <v>127</v>
      </c>
      <c r="AH19" s="65" t="n">
        <v>114</v>
      </c>
      <c r="AI19" s="65" t="n">
        <v>124</v>
      </c>
      <c r="AJ19" s="65" t="n">
        <v>118</v>
      </c>
      <c r="AK19" s="65" t="n">
        <v>114</v>
      </c>
      <c r="AL19" s="65" t="n">
        <v>115</v>
      </c>
      <c r="AM19" s="65" t="n">
        <v>127</v>
      </c>
      <c r="AN19" s="65" t="n">
        <v>113</v>
      </c>
      <c r="AO19" s="65" t="n">
        <v>111</v>
      </c>
    </row>
    <row r="20">
      <c r="A20" s="64" t="inlineStr">
        <is>
          <t>매입채무 회전일수</t>
        </is>
      </c>
      <c r="B20" s="65" t="n"/>
      <c r="C20" s="65" t="n"/>
      <c r="D20" s="65" t="n">
        <v>60</v>
      </c>
      <c r="E20" s="65" t="n"/>
      <c r="F20" s="65" t="n">
        <v>65</v>
      </c>
      <c r="G20" s="65" t="n">
        <v>66</v>
      </c>
      <c r="H20" s="65" t="n">
        <v>71</v>
      </c>
      <c r="I20" s="65" t="n">
        <v>69</v>
      </c>
      <c r="J20" s="65" t="n">
        <v>68</v>
      </c>
      <c r="K20" s="65" t="n">
        <v>71</v>
      </c>
      <c r="L20" s="65" t="n">
        <v>74</v>
      </c>
      <c r="M20" s="65" t="n">
        <v>66</v>
      </c>
      <c r="N20" s="65" t="n">
        <v>53</v>
      </c>
      <c r="O20" s="65" t="n">
        <v>71</v>
      </c>
      <c r="P20" s="65" t="n">
        <v>60</v>
      </c>
      <c r="Q20" s="65" t="n">
        <v>62</v>
      </c>
      <c r="R20" s="65" t="n">
        <v>54</v>
      </c>
      <c r="S20" s="65" t="n">
        <v>63</v>
      </c>
      <c r="T20" s="65" t="n">
        <v>53</v>
      </c>
      <c r="U20" s="65" t="n">
        <v>60</v>
      </c>
      <c r="V20" s="65" t="n">
        <v>52</v>
      </c>
      <c r="W20" s="65" t="n">
        <v>61</v>
      </c>
      <c r="X20" s="65" t="n">
        <v>60</v>
      </c>
      <c r="Y20" s="65" t="n">
        <v>64</v>
      </c>
      <c r="Z20" s="65" t="n">
        <v>55</v>
      </c>
      <c r="AA20" s="65" t="n">
        <v>58</v>
      </c>
      <c r="AB20" s="65" t="n">
        <v>55</v>
      </c>
      <c r="AC20" s="65" t="n">
        <v>53</v>
      </c>
      <c r="AD20" s="65" t="n">
        <v>52</v>
      </c>
      <c r="AE20" s="65" t="n">
        <v>58</v>
      </c>
      <c r="AF20" s="65" t="n">
        <v>56</v>
      </c>
      <c r="AG20" s="65" t="n">
        <v>47</v>
      </c>
      <c r="AH20" s="65" t="n">
        <v>44</v>
      </c>
      <c r="AI20" s="65" t="n">
        <v>57</v>
      </c>
      <c r="AJ20" s="65" t="n">
        <v>52</v>
      </c>
      <c r="AK20" s="65" t="n">
        <v>49</v>
      </c>
      <c r="AL20" s="65" t="n">
        <v>43</v>
      </c>
      <c r="AM20" s="65" t="n">
        <v>55</v>
      </c>
      <c r="AN20" s="65" t="n">
        <v>49</v>
      </c>
      <c r="AO20" s="65" t="n">
        <v>48</v>
      </c>
    </row>
    <row r="21">
      <c r="A21" s="64" t="inlineStr">
        <is>
          <t>현금전환주기(CCC)</t>
        </is>
      </c>
      <c r="B21" s="65" t="n"/>
      <c r="C21" s="65" t="n"/>
      <c r="D21" s="65" t="n">
        <v>149</v>
      </c>
      <c r="E21" s="65" t="n"/>
      <c r="F21" s="65" t="n">
        <v>153</v>
      </c>
      <c r="G21" s="65" t="n">
        <v>144</v>
      </c>
      <c r="H21" s="65" t="n">
        <v>155</v>
      </c>
      <c r="I21" s="65" t="n">
        <v>157</v>
      </c>
      <c r="J21" s="65" t="n">
        <v>151</v>
      </c>
      <c r="K21" s="65" t="n">
        <v>148</v>
      </c>
      <c r="L21" s="65" t="n">
        <v>164</v>
      </c>
      <c r="M21" s="65" t="n">
        <v>171</v>
      </c>
      <c r="N21" s="65" t="n">
        <v>151</v>
      </c>
      <c r="O21" s="65" t="n">
        <v>158</v>
      </c>
      <c r="P21" s="65" t="n">
        <v>161</v>
      </c>
      <c r="Q21" s="65" t="n">
        <v>182</v>
      </c>
      <c r="R21" s="65" t="n">
        <v>173</v>
      </c>
      <c r="S21" s="65" t="n">
        <v>157</v>
      </c>
      <c r="T21" s="65" t="n">
        <v>163</v>
      </c>
      <c r="U21" s="65" t="n">
        <v>172</v>
      </c>
      <c r="V21" s="65" t="n">
        <v>167</v>
      </c>
      <c r="W21" s="65" t="n">
        <v>179</v>
      </c>
      <c r="X21" s="65" t="n">
        <v>175</v>
      </c>
      <c r="Y21" s="65" t="n">
        <v>182</v>
      </c>
      <c r="Z21" s="65" t="n">
        <v>189</v>
      </c>
      <c r="AA21" s="65" t="n">
        <v>199</v>
      </c>
      <c r="AB21" s="65" t="n">
        <v>197</v>
      </c>
      <c r="AC21" s="65" t="n">
        <v>220</v>
      </c>
      <c r="AD21" s="65" t="n">
        <v>223</v>
      </c>
      <c r="AE21" s="65" t="n">
        <v>205</v>
      </c>
      <c r="AF21" s="65" t="n">
        <v>207</v>
      </c>
      <c r="AG21" s="65" t="n">
        <v>219</v>
      </c>
      <c r="AH21" s="65" t="n">
        <v>191</v>
      </c>
      <c r="AI21" s="65" t="n">
        <v>195</v>
      </c>
      <c r="AJ21" s="65" t="n">
        <v>202</v>
      </c>
      <c r="AK21" s="65" t="n">
        <v>206</v>
      </c>
      <c r="AL21" s="65" t="n">
        <v>198</v>
      </c>
      <c r="AM21" s="65" t="n">
        <v>207</v>
      </c>
      <c r="AN21" s="65" t="n">
        <v>205</v>
      </c>
      <c r="AO21" s="65" t="n">
        <v>201</v>
      </c>
    </row>
    <row r="22">
      <c r="A22" s="64" t="inlineStr">
        <is>
          <t>총 차입금</t>
        </is>
      </c>
      <c r="B22" s="65" t="n"/>
      <c r="C22" s="65" t="n"/>
      <c r="D22" s="65" t="n">
        <v>133</v>
      </c>
      <c r="E22" s="65" t="n"/>
      <c r="F22" s="65" t="n">
        <v>115.5</v>
      </c>
      <c r="G22" s="65" t="n">
        <v>113.6</v>
      </c>
      <c r="H22" s="65" t="n">
        <v>112.7</v>
      </c>
      <c r="I22" s="65" t="n">
        <v>112.5</v>
      </c>
      <c r="J22" s="65" t="n">
        <v>108.7</v>
      </c>
      <c r="K22" s="65" t="n">
        <v>145.6</v>
      </c>
      <c r="L22" s="65" t="n">
        <v>143.5</v>
      </c>
      <c r="M22" s="65" t="n">
        <v>146.9</v>
      </c>
      <c r="N22" s="65" t="n">
        <v>157.6</v>
      </c>
      <c r="O22" s="65" t="n">
        <v>193.6</v>
      </c>
      <c r="P22" s="65" t="n">
        <v>190.5</v>
      </c>
      <c r="Q22" s="65" t="n">
        <v>217.1</v>
      </c>
      <c r="R22" s="65" t="n">
        <v>217</v>
      </c>
      <c r="S22" s="65" t="n">
        <v>217.8</v>
      </c>
      <c r="T22" s="65" t="n">
        <v>217.9</v>
      </c>
      <c r="U22" s="65" t="n">
        <v>221.7</v>
      </c>
      <c r="V22" s="65" t="n">
        <v>223.5</v>
      </c>
      <c r="W22" s="65" t="n">
        <v>247.4</v>
      </c>
      <c r="X22" s="65" t="n">
        <v>266.8</v>
      </c>
      <c r="Y22" s="65" t="n">
        <v>294</v>
      </c>
      <c r="Z22" s="65" t="n">
        <v>311.7</v>
      </c>
      <c r="AA22" s="65" t="n">
        <v>384.4</v>
      </c>
      <c r="AB22" s="65" t="n">
        <v>350.5</v>
      </c>
      <c r="AC22" s="65" t="n">
        <v>368.4</v>
      </c>
      <c r="AD22" s="65" t="n">
        <v>406.3</v>
      </c>
      <c r="AE22" s="65" t="n">
        <v>417.7</v>
      </c>
      <c r="AF22" s="65" t="n">
        <v>423.9</v>
      </c>
      <c r="AG22" s="65" t="n">
        <v>411.2</v>
      </c>
      <c r="AH22" s="65" t="n">
        <v>398.6</v>
      </c>
      <c r="AI22" s="65" t="n">
        <v>411.8</v>
      </c>
      <c r="AJ22" s="65" t="n">
        <v>393.8</v>
      </c>
      <c r="AK22" s="65" t="n">
        <v>409.5</v>
      </c>
      <c r="AL22" s="65" t="n">
        <v>401.3</v>
      </c>
      <c r="AM22" s="65" t="n">
        <v>427.2</v>
      </c>
      <c r="AN22" s="65" t="n">
        <v>406.3</v>
      </c>
      <c r="AO22" s="65" t="n">
        <v>399.3</v>
      </c>
    </row>
    <row r="23">
      <c r="A23" s="64" t="inlineStr">
        <is>
          <t>현금</t>
        </is>
      </c>
      <c r="B23" s="65" t="n"/>
      <c r="C23" s="65" t="n"/>
      <c r="D23" s="65" t="n">
        <v>102.1</v>
      </c>
      <c r="E23" s="65" t="n"/>
      <c r="F23" s="65" t="n">
        <v>80.5</v>
      </c>
      <c r="G23" s="65" t="n">
        <v>85.8</v>
      </c>
      <c r="H23" s="65" t="n">
        <v>84.7</v>
      </c>
      <c r="I23" s="65" t="n">
        <v>65.90000000000001</v>
      </c>
      <c r="J23" s="65" t="n">
        <v>78.5</v>
      </c>
      <c r="K23" s="65" t="n">
        <v>87.09999999999999</v>
      </c>
      <c r="L23" s="65" t="n">
        <v>90.59999999999999</v>
      </c>
      <c r="M23" s="65" t="n">
        <v>93.7</v>
      </c>
      <c r="N23" s="65" t="n">
        <v>70.90000000000001</v>
      </c>
      <c r="O23" s="65" t="n">
        <v>90.40000000000001</v>
      </c>
      <c r="P23" s="65" t="n">
        <v>96.40000000000001</v>
      </c>
      <c r="Q23" s="65" t="n">
        <v>101.5</v>
      </c>
      <c r="R23" s="65" t="n">
        <v>105.3</v>
      </c>
      <c r="S23" s="65" t="n">
        <v>91.09999999999999</v>
      </c>
      <c r="T23" s="65" t="n">
        <v>84.59999999999999</v>
      </c>
      <c r="U23" s="65" t="n">
        <v>87.8</v>
      </c>
      <c r="V23" s="65" t="n">
        <v>95.8</v>
      </c>
      <c r="W23" s="65" t="n">
        <v>89</v>
      </c>
      <c r="X23" s="65" t="n">
        <v>103.7</v>
      </c>
      <c r="Y23" s="65" t="n">
        <v>101</v>
      </c>
      <c r="Z23" s="65" t="n">
        <v>109.5</v>
      </c>
      <c r="AA23" s="65" t="n">
        <v>138.6</v>
      </c>
      <c r="AB23" s="65" t="n">
        <v>111.4</v>
      </c>
      <c r="AC23" s="65" t="n">
        <v>99.5</v>
      </c>
      <c r="AD23" s="65" t="n">
        <v>114.5</v>
      </c>
      <c r="AE23" s="65" t="n">
        <v>123.8</v>
      </c>
      <c r="AF23" s="65" t="n">
        <v>115.8</v>
      </c>
      <c r="AG23" s="65" t="n">
        <v>98.2</v>
      </c>
      <c r="AH23" s="65" t="n">
        <v>114.3</v>
      </c>
      <c r="AI23" s="65" t="n">
        <v>99</v>
      </c>
      <c r="AJ23" s="65" t="n">
        <v>94.3</v>
      </c>
      <c r="AK23" s="65" t="n">
        <v>91</v>
      </c>
      <c r="AL23" s="65" t="n">
        <v>90.7</v>
      </c>
      <c r="AM23" s="65" t="n">
        <v>94</v>
      </c>
      <c r="AN23" s="65" t="n">
        <v>106</v>
      </c>
      <c r="AO23" s="65" t="n">
        <v>99.7</v>
      </c>
    </row>
    <row r="24">
      <c r="A24" s="64" t="inlineStr">
        <is>
          <t>부문별 매출 · FunctionalCoatingChemicalsReportableSegmentMember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>
        <v>35.4</v>
      </c>
      <c r="AD24" s="65" t="n">
        <v>34</v>
      </c>
      <c r="AE24" s="65" t="n">
        <v>41.1</v>
      </c>
      <c r="AF24" s="65" t="n">
        <v>38.8</v>
      </c>
      <c r="AG24" s="65" t="n">
        <v>40.6</v>
      </c>
      <c r="AH24" s="65" t="n">
        <v>41.5</v>
      </c>
      <c r="AI24" s="65" t="n">
        <v>44.9</v>
      </c>
      <c r="AJ24" s="65" t="n">
        <v>41.4</v>
      </c>
      <c r="AK24" s="65" t="n">
        <v>44.7</v>
      </c>
      <c r="AL24" s="65" t="n">
        <v>45</v>
      </c>
      <c r="AM24" s="65" t="n">
        <v>48.9</v>
      </c>
      <c r="AN24" s="65" t="n">
        <v>43.4</v>
      </c>
      <c r="AO24" s="65" t="n">
        <v>51.6</v>
      </c>
      <c r="AP24" s="61" t="inlineStr">
        <is>
          <t>결산단신 부문 정보(외부 고객 매출)</t>
        </is>
      </c>
    </row>
    <row r="25">
      <c r="A25" s="64" t="inlineStr">
        <is>
          <t>부문별 매출 · PaperChemicalsAndEnvironmentalBusinessReportableSegmentMember</t>
        </is>
      </c>
      <c r="B25" s="65" t="n"/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>
        <v>47.1</v>
      </c>
      <c r="AD25" s="65" t="n">
        <v>51.8</v>
      </c>
      <c r="AE25" s="65" t="n">
        <v>56.8</v>
      </c>
      <c r="AF25" s="65" t="n">
        <v>55.6</v>
      </c>
      <c r="AG25" s="65" t="n">
        <v>53.1</v>
      </c>
      <c r="AH25" s="65" t="n">
        <v>56.8</v>
      </c>
      <c r="AI25" s="65" t="n">
        <v>56.2</v>
      </c>
      <c r="AJ25" s="65" t="n">
        <v>54.3</v>
      </c>
      <c r="AK25" s="65" t="n">
        <v>49</v>
      </c>
      <c r="AL25" s="65" t="n">
        <v>51.9</v>
      </c>
      <c r="AM25" s="65" t="n">
        <v>52.9</v>
      </c>
      <c r="AN25" s="65" t="n">
        <v>52.8</v>
      </c>
      <c r="AO25" s="65" t="n">
        <v>52.9</v>
      </c>
      <c r="AP25" s="61" t="inlineStr">
        <is>
          <t>결산단신 부문 정보(외부 고객 매출)</t>
        </is>
      </c>
    </row>
    <row r="26">
      <c r="A26" s="64" t="inlineStr">
        <is>
          <t>부문별 매출 · AdhesiveAndBiomassMaterialsReportableSegmentMember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>
        <v>62.2</v>
      </c>
      <c r="AD26" s="65" t="n">
        <v>61.7</v>
      </c>
      <c r="AE26" s="65" t="n">
        <v>64.5</v>
      </c>
      <c r="AF26" s="65" t="n">
        <v>62.9</v>
      </c>
      <c r="AG26" s="65" t="n">
        <v>65.59999999999999</v>
      </c>
      <c r="AH26" s="65" t="n">
        <v>66.7</v>
      </c>
      <c r="AI26" s="65" t="n">
        <v>73.40000000000001</v>
      </c>
      <c r="AJ26" s="65" t="n">
        <v>72.3</v>
      </c>
      <c r="AK26" s="65" t="n">
        <v>69.09999999999999</v>
      </c>
      <c r="AL26" s="65" t="n">
        <v>69.8</v>
      </c>
      <c r="AM26" s="65" t="n">
        <v>71.8</v>
      </c>
      <c r="AN26" s="65" t="n">
        <v>73.7</v>
      </c>
      <c r="AO26" s="65" t="n">
        <v>78</v>
      </c>
      <c r="AP26" s="61" t="inlineStr">
        <is>
          <t>결산단신 부문 정보(외부 고객 매출)</t>
        </is>
      </c>
    </row>
    <row r="27">
      <c r="A27" s="64" t="inlineStr">
        <is>
          <t>부문별 매출 · FineChemicalsAndElectronicsReportableSegmentMember</t>
        </is>
      </c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>
        <v>28.1</v>
      </c>
      <c r="AD27" s="65" t="n">
        <v>26.1</v>
      </c>
      <c r="AE27" s="65" t="n">
        <v>27.8</v>
      </c>
      <c r="AF27" s="65" t="n">
        <v>27.6</v>
      </c>
      <c r="AG27" s="65" t="n">
        <v>33.1</v>
      </c>
      <c r="AH27" s="65" t="n">
        <v>35.3</v>
      </c>
      <c r="AI27" s="65" t="n">
        <v>34</v>
      </c>
      <c r="AJ27" s="65" t="n">
        <v>32.1</v>
      </c>
      <c r="AK27" s="65" t="n">
        <v>36</v>
      </c>
      <c r="AL27" s="65" t="n">
        <v>37.7</v>
      </c>
      <c r="AM27" s="65" t="n">
        <v>36.4</v>
      </c>
      <c r="AN27" s="65" t="n">
        <v>37.4</v>
      </c>
      <c r="AO27" s="65" t="n">
        <v>40</v>
      </c>
      <c r="AP27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2026-10-30T11:42:00Z</dcterms:created>
  <dcterms:modified xmlns:dcterms="http://purl.org/dc/terms/" xmlns:xsi="http://www.w3.org/2001/XMLSchema-instance" xsi:type="dcterms:W3CDTF">2026-10-30T11:42:21Z</dcterms:modified>
</cp:coreProperties>
</file>