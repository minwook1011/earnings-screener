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섹터 데이터" sheetId="3" state="visible" r:id="rId3"/>
    <sheet xmlns:r="http://schemas.openxmlformats.org/officeDocument/2006/relationships" name="출처" sheetId="4" state="visible" r:id="rId4"/>
    <sheet xmlns:r="http://schemas.openxmlformats.org/officeDocument/2006/relationships" name="재무제표 한눈에 보기" sheetId="5" state="visible" r:id="rId5"/>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7">
    <numFmt numFmtId="164" formatCode="0.0%;-0.0%;&quot;-&quot;"/>
    <numFmt numFmtId="165" formatCode="#,##0;(#,##0);&quot;-&quot;"/>
    <numFmt numFmtId="166" formatCode="0.0&quot;x&quot;;-0.0&quot;x&quot;;&quot;-&quot;"/>
    <numFmt numFmtId="167" formatCode="0.0&quot;년&quot;;-0.0&quot;년&quot;;&quot;-&quot;"/>
    <numFmt numFmtId="168" formatCode="0&quot;일&quot;;-0&quot;일&quot;;&quot;-&quot;"/>
    <numFmt numFmtId="169" formatCode="#,##0.0;\(#,##0.0\);&quot;-&quot;"/>
    <numFmt numFmtId="170" formatCode="0.0&quot;%&quot;"/>
  </numFmts>
  <fonts count="25">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color rgb="FFFF0000"/>
      <sz val="9"/>
    </font>
    <font>
      <name val="맑은 고딕"/>
      <b val="1"/>
      <color rgb="FFFFFFFF"/>
      <sz val="11"/>
    </font>
    <font>
      <name val="맑은 고딕"/>
      <b val="1"/>
      <sz val="10"/>
    </font>
    <font>
      <name val="맑은 고딕"/>
      <sz val="11"/>
    </font>
    <font>
      <name val="맑은 고딕"/>
      <color rgb="FF808080"/>
      <sz val="9"/>
    </font>
    <font>
      <name val="맑은 고딕"/>
      <b val="1"/>
      <sz val="12"/>
    </font>
    <font>
      <name val="맑은 고딕"/>
      <color rgb="00666666"/>
      <sz val="8"/>
    </font>
    <font>
      <name val="맑은 고딕"/>
      <b val="1"/>
      <sz val="9"/>
    </font>
    <font>
      <name val="맑은 고딕"/>
      <sz val="9"/>
    </font>
  </fonts>
  <fills count="9">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808080"/>
      </patternFill>
    </fill>
    <fill>
      <patternFill patternType="solid">
        <fgColor rgb="FFD9D9D9"/>
      </patternFill>
    </fill>
    <fill>
      <patternFill patternType="solid">
        <fgColor rgb="00D9E1F2"/>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1" fillId="0" borderId="3" applyAlignment="1" pivotButton="0" quotePrefix="0" xfId="0">
      <alignment horizontal="center" vertical="center"/>
    </xf>
    <xf numFmtId="164" fontId="11" fillId="0" borderId="0" applyAlignment="1" pivotButton="0" quotePrefix="0" xfId="0">
      <alignment horizontal="center" vertical="center"/>
    </xf>
    <xf numFmtId="0" fontId="0" fillId="0" borderId="3" pivotButton="0" quotePrefix="0" xfId="0"/>
    <xf numFmtId="0" fontId="12" fillId="0" borderId="0" applyAlignment="1" pivotButton="0" quotePrefix="0" xfId="0">
      <alignment horizontal="left"/>
    </xf>
    <xf numFmtId="0" fontId="3" fillId="0" borderId="0" applyAlignment="1" pivotButton="0" quotePrefix="0" xfId="0">
      <alignment horizontal="left"/>
    </xf>
    <xf numFmtId="0" fontId="14" fillId="3" borderId="0" applyAlignment="1" pivotButton="0" quotePrefix="0" xfId="0">
      <alignment horizontal="center" vertical="center"/>
    </xf>
    <xf numFmtId="0" fontId="6" fillId="0" borderId="0" applyAlignment="1" pivotButton="0" quotePrefix="0" xfId="0">
      <alignment horizontal="center" vertical="center"/>
    </xf>
    <xf numFmtId="0" fontId="13"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5" fillId="0" borderId="0" pivotButton="0" quotePrefix="0" xfId="0"/>
    <xf numFmtId="0" fontId="16" fillId="0" borderId="0" pivotButton="0" quotePrefix="0" xfId="0"/>
    <xf numFmtId="0" fontId="17" fillId="6" borderId="0" applyAlignment="1" pivotButton="0" quotePrefix="0" xfId="0">
      <alignment horizontal="center" vertical="center"/>
    </xf>
    <xf numFmtId="0" fontId="18" fillId="7" borderId="0" applyAlignment="1" pivotButton="0" quotePrefix="0" xfId="0">
      <alignment horizontal="center" vertical="center"/>
    </xf>
    <xf numFmtId="0" fontId="19" fillId="0" borderId="0" pivotButton="0" quotePrefix="0" xfId="0"/>
    <xf numFmtId="3" fontId="19" fillId="0" borderId="0" applyAlignment="1" pivotButton="0" quotePrefix="0" xfId="0">
      <alignment horizontal="center" vertical="center"/>
    </xf>
    <xf numFmtId="0" fontId="20" fillId="0" borderId="0" pivotButton="0" quotePrefix="0" xfId="0"/>
    <xf numFmtId="169" fontId="19" fillId="0" borderId="0" applyAlignment="1" pivotButton="0" quotePrefix="0" xfId="0">
      <alignment horizontal="center" vertical="center"/>
    </xf>
    <xf numFmtId="0" fontId="18" fillId="7"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8" borderId="0" applyAlignment="1" pivotButton="0" quotePrefix="0" xfId="0">
      <alignment horizontal="center"/>
    </xf>
    <xf numFmtId="0" fontId="24" fillId="0" borderId="0" pivotButton="0" quotePrefix="0" xfId="0"/>
    <xf numFmtId="3" fontId="24" fillId="0" borderId="0" pivotButton="0" quotePrefix="0" xfId="0"/>
    <xf numFmtId="170" fontId="24" fillId="0"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매출액 (억 엔) · YoY (%)</a:t>
            </a:r>
          </a:p>
        </rich>
      </tx>
    </title>
    <plotArea>
      <barChart>
        <barDir val="col"/>
        <grouping val="clustered"/>
        <varyColors val="0"/>
        <ser>
          <idx val="0"/>
          <order val="0"/>
          <tx>
            <strRef>
              <f>'재무제표 한눈에 보기'!A5</f>
            </strRef>
          </tx>
          <spPr>
            <a:solidFill xmlns:a="http://schemas.openxmlformats.org/drawingml/2006/main">
              <a:srgbClr val="4472C4"/>
            </a:solidFill>
            <a:ln xmlns:a="http://schemas.openxmlformats.org/drawingml/2006/main">
              <a:solidFill>
                <a:srgbClr val="4472C4"/>
              </a:solidFill>
              <a:prstDash val="solid"/>
            </a:ln>
          </spPr>
          <cat>
            <numRef>
              <f>'재무제표 한눈에 보기'!$B$4:$AO$4</f>
            </numRef>
          </cat>
          <val>
            <numRef>
              <f>'재무제표 한눈에 보기'!$B$5:$AO$5</f>
            </numRef>
          </val>
        </ser>
        <dLbls>
          <numFmt formatCode="#,##0"/>
          <dLblPos val="outEnd"/>
          <showLegendKey val="0"/>
          <showVal val="1"/>
          <showCatName val="0"/>
          <showSerName val="0"/>
        </dLbls>
        <gapWidth val="40"/>
        <axId val="10"/>
        <axId val="100"/>
      </barChart>
      <lineChart>
        <grouping val="standard"/>
        <ser>
          <idx val="1"/>
          <order val="1"/>
          <tx>
            <strRef>
              <f>'재무제표 한눈에 보기'!A6</f>
            </strRef>
          </tx>
          <spPr>
            <a:ln xmlns:a="http://schemas.openxmlformats.org/drawingml/2006/main">
              <a:solidFill>
                <a:srgbClr val="ED7D31"/>
              </a:solidFill>
              <a:prstDash val="solid"/>
            </a:ln>
          </spPr>
          <marker>
            <symbol val="circle"/>
            <size val="5"/>
            <spPr>
              <a:solidFill xmlns:a="http://schemas.openxmlformats.org/drawingml/2006/main">
                <a:srgbClr val="ED7D31"/>
              </a:solidFill>
              <a:ln xmlns:a="http://schemas.openxmlformats.org/drawingml/2006/main">
                <a:solidFill>
                  <a:srgbClr val="ED7D31"/>
                </a:solidFill>
                <a:prstDash val="solid"/>
              </a:ln>
            </spPr>
          </marker>
          <val>
            <numRef>
              <f>'재무제표 한눈에 보기'!$B$6:$AO$6</f>
            </numRef>
          </val>
          <smooth val="0"/>
        </ser>
        <dLbls>
          <numFmt formatCode="0&quot;%&quot;"/>
          <dLblPos val="t"/>
          <showLegendKey val="0"/>
          <showVal val="1"/>
          <showCatName val="0"/>
          <showSerNam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delete val="0"/>
        <axPos val="l"/>
        <majorTickMark val="none"/>
        <minorTickMark val="none"/>
        <crossAx val="10"/>
      </valAx>
      <valAx>
        <axId val="200"/>
        <scaling>
          <orientation val="minMax"/>
        </scaling>
        <delete val="0"/>
        <axPos val="l"/>
        <title>
          <tx>
            <rich>
              <a:bodyPr xmlns:a="http://schemas.openxmlformats.org/drawingml/2006/main"/>
              <a:p xmlns:a="http://schemas.openxmlformats.org/drawingml/2006/main">
                <a:pPr>
                  <a:defRPr/>
                </a:pPr>
                <a:r>
                  <a:t>%</a:t>
                </a:r>
              </a:p>
            </rich>
          </tx>
        </title>
        <majorTickMark val="none"/>
        <minorTickMark val="none"/>
        <crossAx val="10"/>
        <crosses val="max"/>
      </valAx>
    </plotArea>
    <legend>
      <legendPos val="t"/>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영업이익 (억 엔) · OPM·YoY (%)</a:t>
            </a:r>
          </a:p>
        </rich>
      </tx>
    </title>
    <plotArea>
      <barChart>
        <barDir val="col"/>
        <grouping val="clustered"/>
        <varyColors val="0"/>
        <ser>
          <idx val="0"/>
          <order val="0"/>
          <tx>
            <strRef>
              <f>'재무제표 한눈에 보기'!A7</f>
            </strRef>
          </tx>
          <spPr>
            <a:solidFill xmlns:a="http://schemas.openxmlformats.org/drawingml/2006/main">
              <a:srgbClr val="4472C4"/>
            </a:solidFill>
            <a:ln xmlns:a="http://schemas.openxmlformats.org/drawingml/2006/main">
              <a:solidFill>
                <a:srgbClr val="4472C4"/>
              </a:solidFill>
              <a:prstDash val="solid"/>
            </a:ln>
          </spPr>
          <cat>
            <numRef>
              <f>'재무제표 한눈에 보기'!$B$4:$AO$4</f>
            </numRef>
          </cat>
          <val>
            <numRef>
              <f>'재무제표 한눈에 보기'!$B$7:$AO$7</f>
            </numRef>
          </val>
        </ser>
        <dLbls>
          <numFmt formatCode="#,##0"/>
          <dLblPos val="outEnd"/>
          <showLegendKey val="0"/>
          <showVal val="1"/>
          <showCatName val="0"/>
          <showSerName val="0"/>
        </dLbls>
        <gapWidth val="40"/>
        <axId val="10"/>
        <axId val="100"/>
      </barChart>
      <lineChart>
        <grouping val="standard"/>
        <ser>
          <idx val="1"/>
          <order val="1"/>
          <tx>
            <strRef>
              <f>'재무제표 한눈에 보기'!A8</f>
            </strRef>
          </tx>
          <spPr>
            <a:ln xmlns:a="http://schemas.openxmlformats.org/drawingml/2006/main">
              <a:solidFill>
                <a:srgbClr val="ED7D31"/>
              </a:solidFill>
              <a:prstDash val="solid"/>
            </a:ln>
          </spPr>
          <marker>
            <symbol val="circle"/>
            <size val="5"/>
            <spPr>
              <a:solidFill xmlns:a="http://schemas.openxmlformats.org/drawingml/2006/main">
                <a:srgbClr val="ED7D31"/>
              </a:solidFill>
              <a:ln xmlns:a="http://schemas.openxmlformats.org/drawingml/2006/main">
                <a:solidFill>
                  <a:srgbClr val="ED7D31"/>
                </a:solidFill>
                <a:prstDash val="solid"/>
              </a:ln>
            </spPr>
          </marker>
          <val>
            <numRef>
              <f>'재무제표 한눈에 보기'!$B$8:$AO$8</f>
            </numRef>
          </val>
          <smooth val="0"/>
        </ser>
        <ser>
          <idx val="2"/>
          <order val="2"/>
          <tx>
            <strRef>
              <f>'재무제표 한눈에 보기'!A9</f>
            </strRef>
          </tx>
          <spPr>
            <a:ln xmlns:a="http://schemas.openxmlformats.org/drawingml/2006/main">
              <a:solidFill>
                <a:srgbClr val="A5A5A5"/>
              </a:solidFill>
              <a:prstDash val="solid"/>
            </a:ln>
          </spPr>
          <marker>
            <symbol val="circle"/>
            <size val="5"/>
            <spPr>
              <a:solidFill xmlns:a="http://schemas.openxmlformats.org/drawingml/2006/main">
                <a:srgbClr val="A5A5A5"/>
              </a:solidFill>
              <a:ln xmlns:a="http://schemas.openxmlformats.org/drawingml/2006/main">
                <a:solidFill>
                  <a:srgbClr val="A5A5A5"/>
                </a:solidFill>
                <a:prstDash val="solid"/>
              </a:ln>
            </spPr>
          </marker>
          <val>
            <numRef>
              <f>'재무제표 한눈에 보기'!$B$9:$AO$9</f>
            </numRef>
          </val>
          <smooth val="0"/>
        </ser>
        <dLbls>
          <numFmt formatCode="0&quot;%&quot;"/>
          <dLblPos val="t"/>
          <showLegendKey val="0"/>
          <showVal val="1"/>
          <showCatName val="0"/>
          <showSerNam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delete val="0"/>
        <axPos val="l"/>
        <majorTickMark val="none"/>
        <minorTickMark val="none"/>
        <crossAx val="10"/>
      </valAx>
      <valAx>
        <axId val="200"/>
        <scaling>
          <orientation val="minMax"/>
        </scaling>
        <delete val="0"/>
        <axPos val="l"/>
        <title>
          <tx>
            <rich>
              <a:bodyPr xmlns:a="http://schemas.openxmlformats.org/drawingml/2006/main"/>
              <a:p xmlns:a="http://schemas.openxmlformats.org/drawingml/2006/main">
                <a:pPr>
                  <a:defRPr/>
                </a:pPr>
                <a:r>
                  <a:t>%</a:t>
                </a:r>
              </a:p>
            </rich>
          </tx>
        </title>
        <majorTickMark val="none"/>
        <minorTickMark val="none"/>
        <crossAx val="10"/>
        <crosses val="max"/>
      </valAx>
    </plotArea>
    <legend>
      <legendPos val="t"/>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재무 안정성 — 총 차입금·현금 (억 엔) · 부채비율 (%)</a:t>
            </a:r>
          </a:p>
        </rich>
      </tx>
    </title>
    <plotArea>
      <barChart>
        <barDir val="col"/>
        <grouping val="clustered"/>
        <varyColors val="0"/>
        <ser>
          <idx val="0"/>
          <order val="0"/>
          <tx>
            <strRef>
              <f>'재무제표 한눈에 보기'!A22</f>
            </strRef>
          </tx>
          <spPr>
            <a:solidFill xmlns:a="http://schemas.openxmlformats.org/drawingml/2006/main">
              <a:srgbClr val="4472C4"/>
            </a:solidFill>
            <a:ln xmlns:a="http://schemas.openxmlformats.org/drawingml/2006/main">
              <a:solidFill>
                <a:srgbClr val="4472C4"/>
              </a:solidFill>
              <a:prstDash val="solid"/>
            </a:ln>
          </spPr>
          <cat>
            <numRef>
              <f>'재무제표 한눈에 보기'!$B$4:$AO$4</f>
            </numRef>
          </cat>
          <val>
            <numRef>
              <f>'재무제표 한눈에 보기'!$B$22:$AO$22</f>
            </numRef>
          </val>
        </ser>
        <ser>
          <idx val="1"/>
          <order val="1"/>
          <tx>
            <strRef>
              <f>'재무제표 한눈에 보기'!A23</f>
            </strRef>
          </tx>
          <spPr>
            <a:solidFill xmlns:a="http://schemas.openxmlformats.org/drawingml/2006/main">
              <a:srgbClr val="ED7D31"/>
            </a:solidFill>
            <a:ln xmlns:a="http://schemas.openxmlformats.org/drawingml/2006/main">
              <a:solidFill>
                <a:srgbClr val="ED7D31"/>
              </a:solidFill>
              <a:prstDash val="solid"/>
            </a:ln>
          </spPr>
          <cat>
            <numRef>
              <f>'재무제표 한눈에 보기'!$B$4:$AO$4</f>
            </numRef>
          </cat>
          <val>
            <numRef>
              <f>'재무제표 한눈에 보기'!$B$23:$AO$23</f>
            </numRef>
          </val>
        </ser>
        <dLbls>
          <numFmt formatCode="#,##0"/>
          <dLblPos val="outEnd"/>
          <showLegendKey val="0"/>
          <showVal val="1"/>
          <showCatName val="0"/>
          <showSerName val="0"/>
        </dLbls>
        <gapWidth val="40"/>
        <axId val="10"/>
        <axId val="100"/>
      </barChart>
      <lineChart>
        <grouping val="standard"/>
        <ser>
          <idx val="2"/>
          <order val="2"/>
          <tx>
            <strRef>
              <f>'재무제표 한눈에 보기'!A15</f>
            </strRef>
          </tx>
          <spPr>
            <a:ln xmlns:a="http://schemas.openxmlformats.org/drawingml/2006/main">
              <a:solidFill>
                <a:srgbClr val="A5A5A5"/>
              </a:solidFill>
              <a:prstDash val="solid"/>
            </a:ln>
          </spPr>
          <marker>
            <symbol val="circle"/>
            <size val="5"/>
            <spPr>
              <a:solidFill xmlns:a="http://schemas.openxmlformats.org/drawingml/2006/main">
                <a:srgbClr val="A5A5A5"/>
              </a:solidFill>
              <a:ln xmlns:a="http://schemas.openxmlformats.org/drawingml/2006/main">
                <a:solidFill>
                  <a:srgbClr val="A5A5A5"/>
                </a:solidFill>
                <a:prstDash val="solid"/>
              </a:ln>
            </spPr>
          </marker>
          <val>
            <numRef>
              <f>'재무제표 한눈에 보기'!$B$15:$AO$15</f>
            </numRef>
          </val>
          <smooth val="0"/>
        </ser>
        <dLbls>
          <numFmt formatCode="0&quot;%&quot;"/>
          <dLblPos val="t"/>
          <showLegendKey val="0"/>
          <showVal val="1"/>
          <showCatName val="0"/>
          <showSerNam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delete val="0"/>
        <axPos val="l"/>
        <majorTickMark val="none"/>
        <minorTickMark val="none"/>
        <crossAx val="10"/>
      </valAx>
      <valAx>
        <axId val="200"/>
        <scaling>
          <orientation val="minMax"/>
        </scaling>
        <delete val="0"/>
        <axPos val="l"/>
        <title>
          <tx>
            <rich>
              <a:bodyPr xmlns:a="http://schemas.openxmlformats.org/drawingml/2006/main"/>
              <a:p xmlns:a="http://schemas.openxmlformats.org/drawingml/2006/main">
                <a:pPr>
                  <a:defRPr/>
                </a:pPr>
                <a:r>
                  <a:t>%</a:t>
                </a:r>
              </a:p>
            </rich>
          </tx>
        </title>
        <majorTickMark val="none"/>
        <minorTickMark val="none"/>
        <crossAx val="10"/>
        <crosses val="max"/>
      </valAx>
    </plotArea>
    <legend>
      <legendPos val="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25</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22</col>
      <colOff>0</colOff>
      <row>25</row>
      <rowOff>0</rowOff>
    </from>
    <ext cx="864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44</row>
      <rowOff>0</rowOff>
    </from>
    <ext cx="864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C290"/>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6503 Model</t>
        </is>
      </c>
    </row>
    <row r="2">
      <c r="A2" s="2" t="inlineStr">
        <is>
          <t>모를 땐 보수적으로</t>
        </is>
      </c>
      <c r="B2" s="3" t="inlineStr">
        <is>
          <t>(단위: 백만엔)</t>
        </is>
      </c>
      <c r="C2" s="3" t="inlineStr">
        <is>
          <t>3월 결산 · IFRS · 2027.2Q = 2027년 3월 결산기 2분기</t>
        </is>
      </c>
      <c r="Y2" s="4" t="inlineStr">
        <is>
          <t>(추정: 파란 글씨 = 직접 입력)</t>
        </is>
      </c>
    </row>
    <row r="3">
      <c r="A3" s="5" t="inlineStr">
        <is>
          <t>항목</t>
        </is>
      </c>
      <c r="B3" s="5" t="inlineStr">
        <is>
          <t>참고</t>
        </is>
      </c>
      <c r="C3" s="6" t="inlineStr">
        <is>
          <t>2024.3Q</t>
        </is>
      </c>
      <c r="D3" s="5" t="inlineStr">
        <is>
          <t>2024.4Q</t>
        </is>
      </c>
      <c r="E3" s="5" t="inlineStr">
        <is>
          <t>2025.1Q</t>
        </is>
      </c>
      <c r="F3" s="5" t="inlineStr">
        <is>
          <t>2025.2Q</t>
        </is>
      </c>
      <c r="G3" s="5" t="inlineStr">
        <is>
          <t>2025.3Q</t>
        </is>
      </c>
      <c r="H3" s="5" t="inlineStr">
        <is>
          <t>2025.4Q</t>
        </is>
      </c>
      <c r="I3" s="5" t="inlineStr">
        <is>
          <t>2026.1Q</t>
        </is>
      </c>
      <c r="J3" s="5" t="inlineStr">
        <is>
          <t>2026.2Q</t>
        </is>
      </c>
      <c r="K3" s="5" t="inlineStr">
        <is>
          <t>2026.3Q</t>
        </is>
      </c>
      <c r="L3" s="5" t="inlineStr">
        <is>
          <t>2026.4Q</t>
        </is>
      </c>
      <c r="M3" s="5" t="inlineStr">
        <is>
          <t>2027.1Q</t>
        </is>
      </c>
      <c r="N3" s="5" t="inlineStr">
        <is>
          <t>2027.2Q</t>
        </is>
      </c>
      <c r="O3" s="6" t="inlineStr">
        <is>
          <t>2017</t>
        </is>
      </c>
      <c r="P3" s="5" t="inlineStr">
        <is>
          <t>2018</t>
        </is>
      </c>
      <c r="Q3" s="5" t="inlineStr">
        <is>
          <t>2019</t>
        </is>
      </c>
      <c r="R3" s="5" t="inlineStr">
        <is>
          <t>2020</t>
        </is>
      </c>
      <c r="S3" s="5" t="inlineStr">
        <is>
          <t>2021</t>
        </is>
      </c>
      <c r="T3" s="5" t="inlineStr">
        <is>
          <t>2022</t>
        </is>
      </c>
      <c r="U3" s="5" t="inlineStr">
        <is>
          <t>2023</t>
        </is>
      </c>
      <c r="V3" s="5" t="inlineStr">
        <is>
          <t>2024</t>
        </is>
      </c>
      <c r="W3" s="5" t="inlineStr">
        <is>
          <t>2025</t>
        </is>
      </c>
      <c r="X3" s="5" t="inlineStr">
        <is>
          <t>2026</t>
        </is>
      </c>
      <c r="Y3" s="7" t="inlineStr">
        <is>
          <t>2027(MW)</t>
        </is>
      </c>
      <c r="Z3" s="8" t="inlineStr">
        <is>
          <t>2028(MW)</t>
        </is>
      </c>
      <c r="AA3" s="8" t="inlineStr">
        <is>
          <t>2029(MW)</t>
        </is>
      </c>
      <c r="AB3" s="8" t="inlineStr">
        <is>
          <t>2030(MW)</t>
        </is>
      </c>
      <c r="AC3" s="8" t="inlineStr">
        <is>
          <t>2031(MW)</t>
        </is>
      </c>
    </row>
    <row r="4">
      <c r="A4" s="9" t="inlineStr">
        <is>
          <t>매출액</t>
        </is>
      </c>
      <c r="B4" s="10" t="inlineStr">
        <is>
          <t>MW = 제품 합계</t>
        </is>
      </c>
      <c r="C4" s="11" t="n">
        <v>1243935</v>
      </c>
      <c r="D4" s="12" t="n">
        <v>1475508</v>
      </c>
      <c r="E4" s="12" t="n">
        <v>1286484</v>
      </c>
      <c r="F4" s="12" t="n">
        <v>1357113</v>
      </c>
      <c r="G4" s="12" t="n">
        <v>1356754</v>
      </c>
      <c r="H4" s="12" t="n">
        <v>1521360</v>
      </c>
      <c r="I4" s="12" t="n">
        <v>1312896</v>
      </c>
      <c r="J4" s="12" t="n">
        <v>1419608</v>
      </c>
      <c r="K4" s="12" t="n">
        <v>1423506</v>
      </c>
      <c r="L4" s="12" t="n">
        <v>1738737</v>
      </c>
      <c r="M4" s="12" t="n">
        <v>1497109</v>
      </c>
      <c r="N4" s="12" t="n">
        <v>1628038</v>
      </c>
      <c r="O4" s="11" t="n"/>
      <c r="P4" s="12" t="n">
        <v>4444424</v>
      </c>
      <c r="Q4" s="12" t="n">
        <v>4519921</v>
      </c>
      <c r="R4" s="12" t="n">
        <v>4462509</v>
      </c>
      <c r="S4" s="12" t="n">
        <v>4191433</v>
      </c>
      <c r="T4" s="12" t="n">
        <v>4476758</v>
      </c>
      <c r="U4" s="12" t="n">
        <v>5003694</v>
      </c>
      <c r="V4" s="12" t="n">
        <v>5257914</v>
      </c>
      <c r="W4" s="12" t="n">
        <v>5521711</v>
      </c>
      <c r="X4" s="12" t="n">
        <v>5894747</v>
      </c>
      <c r="Y4" s="11">
        <f>IF(COUNT(Y7,Y10,Y13,Y16,Y19,Y22,Y25)=0,"",SUM(Y7,Y10,Y13,Y16,Y19,Y22,Y25))</f>
        <v/>
      </c>
      <c r="Z4" s="12">
        <f>IF(COUNT(Z7,Z10,Z13,Z16,Z19,Z22,Z25)=0,"",SUM(Z7,Z10,Z13,Z16,Z19,Z22,Z25))</f>
        <v/>
      </c>
      <c r="AA4" s="12">
        <f>IF(COUNT(AA7,AA10,AA13,AA16,AA19,AA22,AA25)=0,"",SUM(AA7,AA10,AA13,AA16,AA19,AA22,AA25))</f>
        <v/>
      </c>
      <c r="AB4" s="12">
        <f>IF(COUNT(AB7,AB10,AB13,AB16,AB19,AB22,AB25)=0,"",SUM(AB7,AB10,AB13,AB16,AB19,AB22,AB25))</f>
        <v/>
      </c>
      <c r="AC4" s="12">
        <f>IF(COUNT(AC7,AC10,AC13,AC16,AC19,AC22,AC25)=0,"",SUM(AC7,AC10,AC13,AC16,AC19,AC22,AC25))</f>
        <v/>
      </c>
    </row>
    <row r="5">
      <c r="A5" s="13" t="inlineStr">
        <is>
          <t>YoY</t>
        </is>
      </c>
      <c r="B5" s="10" t="n"/>
      <c r="C5" s="14" t="n"/>
      <c r="D5" s="15" t="n"/>
      <c r="E5" s="15" t="n"/>
      <c r="F5" s="15" t="n"/>
      <c r="G5" s="15">
        <f>IF(OR(G4="",C4=""),"",IFERROR(G4/C4-1,""))</f>
        <v/>
      </c>
      <c r="H5" s="15">
        <f>IF(OR(H4="",D4=""),"",IFERROR(H4/D4-1,""))</f>
        <v/>
      </c>
      <c r="I5" s="15">
        <f>IF(OR(I4="",E4=""),"",IFERROR(I4/E4-1,""))</f>
        <v/>
      </c>
      <c r="J5" s="15">
        <f>IF(OR(J4="",F4=""),"",IFERROR(J4/F4-1,""))</f>
        <v/>
      </c>
      <c r="K5" s="15">
        <f>IF(OR(K4="",G4=""),"",IFERROR(K4/G4-1,""))</f>
        <v/>
      </c>
      <c r="L5" s="15">
        <f>IF(OR(L4="",H4=""),"",IFERROR(L4/H4-1,""))</f>
        <v/>
      </c>
      <c r="M5" s="15">
        <f>IF(OR(M4="",I4=""),"",IFERROR(M4/I4-1,""))</f>
        <v/>
      </c>
      <c r="N5" s="15">
        <f>IF(OR(N4="",J4=""),"",IFERROR(N4/J4-1,""))</f>
        <v/>
      </c>
      <c r="O5" s="14" t="n"/>
      <c r="P5" s="15">
        <f>IF(OR(P4="",O4=""),"",IFERROR(P4/O4-1,""))</f>
        <v/>
      </c>
      <c r="Q5" s="15">
        <f>IF(OR(Q4="",P4=""),"",IFERROR(Q4/P4-1,""))</f>
        <v/>
      </c>
      <c r="R5" s="15">
        <f>IF(OR(R4="",Q4=""),"",IFERROR(R4/Q4-1,""))</f>
        <v/>
      </c>
      <c r="S5" s="15">
        <f>IF(OR(S4="",R4=""),"",IFERROR(S4/R4-1,""))</f>
        <v/>
      </c>
      <c r="T5" s="15">
        <f>IF(OR(T4="",S4=""),"",IFERROR(T4/S4-1,""))</f>
        <v/>
      </c>
      <c r="U5" s="15">
        <f>IF(OR(U4="",T4=""),"",IFERROR(U4/T4-1,""))</f>
        <v/>
      </c>
      <c r="V5" s="15">
        <f>IF(OR(V4="",U4=""),"",IFERROR(V4/U4-1,""))</f>
        <v/>
      </c>
      <c r="W5" s="15">
        <f>IF(OR(W4="",V4=""),"",IFERROR(W4/V4-1,""))</f>
        <v/>
      </c>
      <c r="X5" s="15">
        <f>IF(OR(X4="",W4=""),"",IFERROR(X4/W4-1,""))</f>
        <v/>
      </c>
      <c r="Y5" s="14">
        <f>IF(OR(Y4="",X4=""),"",IFERROR(Y4/X4-1,""))</f>
        <v/>
      </c>
      <c r="Z5" s="15">
        <f>IF(OR(Z4="",Y4=""),"",IFERROR(Z4/Y4-1,""))</f>
        <v/>
      </c>
      <c r="AA5" s="15">
        <f>IF(OR(AA4="",Z4=""),"",IFERROR(AA4/Z4-1,""))</f>
        <v/>
      </c>
      <c r="AB5" s="15">
        <f>IF(OR(AB4="",AA4=""),"",IFERROR(AB4/AA4-1,""))</f>
        <v/>
      </c>
      <c r="AC5" s="15">
        <f>IF(OR(AC4="",AB4=""),"",IFERROR(AC4/AB4-1,""))</f>
        <v/>
      </c>
    </row>
    <row r="6">
      <c r="A6" s="16" t="inlineStr">
        <is>
          <t>제품별 매출 분류</t>
        </is>
      </c>
      <c r="B6" s="16" t="inlineStr">
        <is>
          <t>사업보고서 매출실적</t>
        </is>
      </c>
      <c r="C6" s="17" t="n"/>
      <c r="D6" s="16" t="n"/>
      <c r="E6" s="16" t="n"/>
      <c r="F6" s="16" t="n"/>
      <c r="G6" s="16" t="n"/>
      <c r="H6" s="16" t="n"/>
      <c r="I6" s="16" t="n"/>
      <c r="J6" s="16" t="n"/>
      <c r="K6" s="16" t="n"/>
      <c r="L6" s="16" t="n"/>
      <c r="M6" s="16" t="n"/>
      <c r="N6" s="16" t="n"/>
      <c r="O6" s="17" t="n"/>
      <c r="P6" s="16" t="n"/>
      <c r="Q6" s="16" t="n"/>
      <c r="R6" s="16" t="n"/>
      <c r="S6" s="16" t="n"/>
      <c r="T6" s="16" t="n"/>
      <c r="U6" s="16" t="n"/>
      <c r="V6" s="16" t="n"/>
      <c r="W6" s="16" t="n"/>
      <c r="X6" s="16" t="n"/>
      <c r="Y6" s="17" t="n"/>
      <c r="Z6" s="16" t="n"/>
      <c r="AA6" s="16" t="n"/>
      <c r="AB6" s="16" t="n"/>
      <c r="AC6" s="16" t="n"/>
    </row>
    <row r="7">
      <c r="A7" s="18" t="inlineStr">
        <is>
          <t>Infrastructure</t>
        </is>
      </c>
      <c r="B7" s="10" t="n"/>
      <c r="C7" s="19" t="n">
        <v>230669</v>
      </c>
      <c r="D7" s="20" t="n">
        <v>373340</v>
      </c>
      <c r="E7" s="20" t="n">
        <v>214404</v>
      </c>
      <c r="F7" s="20" t="n">
        <v>278040</v>
      </c>
      <c r="G7" s="20" t="n">
        <v>296604</v>
      </c>
      <c r="H7" s="20" t="n">
        <v>422486</v>
      </c>
      <c r="I7" s="20" t="n">
        <v>263191</v>
      </c>
      <c r="J7" s="20" t="n">
        <v>313742</v>
      </c>
      <c r="K7" s="20" t="n">
        <v>349521</v>
      </c>
      <c r="L7" s="20" t="n">
        <v>524969</v>
      </c>
      <c r="M7" s="20" t="n">
        <v>295549</v>
      </c>
      <c r="N7" s="20" t="n">
        <v>377177</v>
      </c>
      <c r="O7" s="19" t="n"/>
      <c r="P7" s="20" t="n"/>
      <c r="Q7" s="20" t="n"/>
      <c r="R7" s="20" t="n"/>
      <c r="S7" s="20" t="n"/>
      <c r="T7" s="20" t="n"/>
      <c r="U7" s="20" t="n"/>
      <c r="V7" s="20" t="n">
        <v>1024300</v>
      </c>
      <c r="W7" s="20" t="n">
        <v>1211534</v>
      </c>
      <c r="X7" s="20" t="n">
        <v>1451423</v>
      </c>
      <c r="Y7" s="21" t="n"/>
      <c r="Z7" s="22" t="n"/>
      <c r="AA7" s="22" t="n"/>
      <c r="AB7" s="22" t="n"/>
      <c r="AC7" s="22" t="n"/>
    </row>
    <row r="8">
      <c r="A8" s="13" t="inlineStr">
        <is>
          <t>비중</t>
        </is>
      </c>
      <c r="B8" s="10" t="n"/>
      <c r="C8" s="14">
        <f>IF(OR(C7="",C4=""),"",IFERROR(C7/C4,""))</f>
        <v/>
      </c>
      <c r="D8" s="15">
        <f>IF(OR(D7="",D4=""),"",IFERROR(D7/D4,""))</f>
        <v/>
      </c>
      <c r="E8" s="15">
        <f>IF(OR(E7="",E4=""),"",IFERROR(E7/E4,""))</f>
        <v/>
      </c>
      <c r="F8" s="15">
        <f>IF(OR(F7="",F4=""),"",IFERROR(F7/F4,""))</f>
        <v/>
      </c>
      <c r="G8" s="15">
        <f>IF(OR(G7="",G4=""),"",IFERROR(G7/G4,""))</f>
        <v/>
      </c>
      <c r="H8" s="15">
        <f>IF(OR(H7="",H4=""),"",IFERROR(H7/H4,""))</f>
        <v/>
      </c>
      <c r="I8" s="15">
        <f>IF(OR(I7="",I4=""),"",IFERROR(I7/I4,""))</f>
        <v/>
      </c>
      <c r="J8" s="15">
        <f>IF(OR(J7="",J4=""),"",IFERROR(J7/J4,""))</f>
        <v/>
      </c>
      <c r="K8" s="15">
        <f>IF(OR(K7="",K4=""),"",IFERROR(K7/K4,""))</f>
        <v/>
      </c>
      <c r="L8" s="15">
        <f>IF(OR(L7="",L4=""),"",IFERROR(L7/L4,""))</f>
        <v/>
      </c>
      <c r="M8" s="15">
        <f>IF(OR(M7="",M4=""),"",IFERROR(M7/M4,""))</f>
        <v/>
      </c>
      <c r="N8" s="15">
        <f>IF(OR(N7="",N4=""),"",IFERROR(N7/N4,""))</f>
        <v/>
      </c>
      <c r="O8" s="14">
        <f>IF(OR(O7="",O4=""),"",IFERROR(O7/O4,""))</f>
        <v/>
      </c>
      <c r="P8" s="15">
        <f>IF(OR(P7="",P4=""),"",IFERROR(P7/P4,""))</f>
        <v/>
      </c>
      <c r="Q8" s="15">
        <f>IF(OR(Q7="",Q4=""),"",IFERROR(Q7/Q4,""))</f>
        <v/>
      </c>
      <c r="R8" s="15">
        <f>IF(OR(R7="",R4=""),"",IFERROR(R7/R4,""))</f>
        <v/>
      </c>
      <c r="S8" s="15">
        <f>IF(OR(S7="",S4=""),"",IFERROR(S7/S4,""))</f>
        <v/>
      </c>
      <c r="T8" s="15">
        <f>IF(OR(T7="",T4=""),"",IFERROR(T7/T4,""))</f>
        <v/>
      </c>
      <c r="U8" s="15">
        <f>IF(OR(U7="",U4=""),"",IFERROR(U7/U4,""))</f>
        <v/>
      </c>
      <c r="V8" s="15">
        <f>IF(OR(V7="",V4=""),"",IFERROR(V7/V4,""))</f>
        <v/>
      </c>
      <c r="W8" s="15">
        <f>IF(OR(W7="",W4=""),"",IFERROR(W7/W4,""))</f>
        <v/>
      </c>
      <c r="X8" s="15">
        <f>IF(OR(X7="",X4=""),"",IFERROR(X7/X4,""))</f>
        <v/>
      </c>
      <c r="Y8" s="14">
        <f>IF(OR(Y7="",Y4=""),"",IFERROR(Y7/Y4,""))</f>
        <v/>
      </c>
      <c r="Z8" s="15">
        <f>IF(OR(Z7="",Z4=""),"",IFERROR(Z7/Z4,""))</f>
        <v/>
      </c>
      <c r="AA8" s="15">
        <f>IF(OR(AA7="",AA4=""),"",IFERROR(AA7/AA4,""))</f>
        <v/>
      </c>
      <c r="AB8" s="15">
        <f>IF(OR(AB7="",AB4=""),"",IFERROR(AB7/AB4,""))</f>
        <v/>
      </c>
      <c r="AC8" s="15">
        <f>IF(OR(AC7="",AC4=""),"",IFERROR(AC7/AC4,""))</f>
        <v/>
      </c>
    </row>
    <row r="9">
      <c r="A9" s="13" t="inlineStr">
        <is>
          <t>YoY</t>
        </is>
      </c>
      <c r="B9" s="10" t="n"/>
      <c r="C9" s="14" t="n"/>
      <c r="D9" s="15" t="n"/>
      <c r="E9" s="15" t="n"/>
      <c r="F9" s="15" t="n"/>
      <c r="G9" s="15">
        <f>IF(OR(G7="",C7=""),"",IFERROR(G7/C7-1,""))</f>
        <v/>
      </c>
      <c r="H9" s="15">
        <f>IF(OR(H7="",D7=""),"",IFERROR(H7/D7-1,""))</f>
        <v/>
      </c>
      <c r="I9" s="15">
        <f>IF(OR(I7="",E7=""),"",IFERROR(I7/E7-1,""))</f>
        <v/>
      </c>
      <c r="J9" s="15">
        <f>IF(OR(J7="",F7=""),"",IFERROR(J7/F7-1,""))</f>
        <v/>
      </c>
      <c r="K9" s="15">
        <f>IF(OR(K7="",G7=""),"",IFERROR(K7/G7-1,""))</f>
        <v/>
      </c>
      <c r="L9" s="15">
        <f>IF(OR(L7="",H7=""),"",IFERROR(L7/H7-1,""))</f>
        <v/>
      </c>
      <c r="M9" s="15">
        <f>IF(OR(M7="",I7=""),"",IFERROR(M7/I7-1,""))</f>
        <v/>
      </c>
      <c r="N9" s="15">
        <f>IF(OR(N7="",J7=""),"",IFERROR(N7/J7-1,""))</f>
        <v/>
      </c>
      <c r="O9" s="14" t="n"/>
      <c r="P9" s="15">
        <f>IF(OR(P7="",O7=""),"",IFERROR(P7/O7-1,""))</f>
        <v/>
      </c>
      <c r="Q9" s="15">
        <f>IF(OR(Q7="",P7=""),"",IFERROR(Q7/P7-1,""))</f>
        <v/>
      </c>
      <c r="R9" s="15">
        <f>IF(OR(R7="",Q7=""),"",IFERROR(R7/Q7-1,""))</f>
        <v/>
      </c>
      <c r="S9" s="15">
        <f>IF(OR(S7="",R7=""),"",IFERROR(S7/R7-1,""))</f>
        <v/>
      </c>
      <c r="T9" s="15">
        <f>IF(OR(T7="",S7=""),"",IFERROR(T7/S7-1,""))</f>
        <v/>
      </c>
      <c r="U9" s="15">
        <f>IF(OR(U7="",T7=""),"",IFERROR(U7/T7-1,""))</f>
        <v/>
      </c>
      <c r="V9" s="15">
        <f>IF(OR(V7="",U7=""),"",IFERROR(V7/U7-1,""))</f>
        <v/>
      </c>
      <c r="W9" s="15">
        <f>IF(OR(W7="",V7=""),"",IFERROR(W7/V7-1,""))</f>
        <v/>
      </c>
      <c r="X9" s="15">
        <f>IF(OR(X7="",W7=""),"",IFERROR(X7/W7-1,""))</f>
        <v/>
      </c>
      <c r="Y9" s="14">
        <f>IF(OR(Y7="",X7=""),"",IFERROR(Y7/X7-1,""))</f>
        <v/>
      </c>
      <c r="Z9" s="15">
        <f>IF(OR(Z7="",Y7=""),"",IFERROR(Z7/Y7-1,""))</f>
        <v/>
      </c>
      <c r="AA9" s="15">
        <f>IF(OR(AA7="",Z7=""),"",IFERROR(AA7/Z7-1,""))</f>
        <v/>
      </c>
      <c r="AB9" s="15">
        <f>IF(OR(AB7="",AA7=""),"",IFERROR(AB7/AA7-1,""))</f>
        <v/>
      </c>
      <c r="AC9" s="15">
        <f>IF(OR(AC7="",AB7=""),"",IFERROR(AC7/AB7-1,""))</f>
        <v/>
      </c>
    </row>
    <row r="10">
      <c r="A10" s="18" t="inlineStr">
        <is>
          <t>Industry And Mobility</t>
        </is>
      </c>
      <c r="B10" s="10" t="n"/>
      <c r="C10" s="19" t="n">
        <v>425392</v>
      </c>
      <c r="D10" s="20" t="n">
        <v>434321</v>
      </c>
      <c r="E10" s="20" t="n">
        <v>395919</v>
      </c>
      <c r="F10" s="20" t="n">
        <v>407149</v>
      </c>
      <c r="G10" s="20" t="n">
        <v>402736</v>
      </c>
      <c r="H10" s="20" t="n">
        <v>420455</v>
      </c>
      <c r="I10" s="20" t="n">
        <v>379143</v>
      </c>
      <c r="J10" s="20" t="n">
        <v>412047</v>
      </c>
      <c r="K10" s="20" t="n">
        <v>410901</v>
      </c>
      <c r="L10" s="20" t="n">
        <v>452764</v>
      </c>
      <c r="M10" s="20" t="n">
        <v>446279</v>
      </c>
      <c r="N10" s="20" t="n">
        <v>461989</v>
      </c>
      <c r="O10" s="19" t="n"/>
      <c r="P10" s="20" t="n"/>
      <c r="Q10" s="20" t="n"/>
      <c r="R10" s="20" t="n"/>
      <c r="S10" s="20" t="n"/>
      <c r="T10" s="20" t="n"/>
      <c r="U10" s="20" t="n"/>
      <c r="V10" s="20" t="n">
        <v>1695417</v>
      </c>
      <c r="W10" s="20" t="n">
        <v>1626259</v>
      </c>
      <c r="X10" s="20" t="n">
        <v>1654855</v>
      </c>
      <c r="Y10" s="21" t="n"/>
      <c r="Z10" s="22" t="n"/>
      <c r="AA10" s="22" t="n"/>
      <c r="AB10" s="22" t="n"/>
      <c r="AC10" s="22" t="n"/>
    </row>
    <row r="11">
      <c r="A11" s="13" t="inlineStr">
        <is>
          <t>비중</t>
        </is>
      </c>
      <c r="B11" s="10" t="n"/>
      <c r="C11" s="14">
        <f>IF(OR(C10="",C4=""),"",IFERROR(C10/C4,""))</f>
        <v/>
      </c>
      <c r="D11" s="15">
        <f>IF(OR(D10="",D4=""),"",IFERROR(D10/D4,""))</f>
        <v/>
      </c>
      <c r="E11" s="15">
        <f>IF(OR(E10="",E4=""),"",IFERROR(E10/E4,""))</f>
        <v/>
      </c>
      <c r="F11" s="15">
        <f>IF(OR(F10="",F4=""),"",IFERROR(F10/F4,""))</f>
        <v/>
      </c>
      <c r="G11" s="15">
        <f>IF(OR(G10="",G4=""),"",IFERROR(G10/G4,""))</f>
        <v/>
      </c>
      <c r="H11" s="15">
        <f>IF(OR(H10="",H4=""),"",IFERROR(H10/H4,""))</f>
        <v/>
      </c>
      <c r="I11" s="15">
        <f>IF(OR(I10="",I4=""),"",IFERROR(I10/I4,""))</f>
        <v/>
      </c>
      <c r="J11" s="15">
        <f>IF(OR(J10="",J4=""),"",IFERROR(J10/J4,""))</f>
        <v/>
      </c>
      <c r="K11" s="15">
        <f>IF(OR(K10="",K4=""),"",IFERROR(K10/K4,""))</f>
        <v/>
      </c>
      <c r="L11" s="15">
        <f>IF(OR(L10="",L4=""),"",IFERROR(L10/L4,""))</f>
        <v/>
      </c>
      <c r="M11" s="15">
        <f>IF(OR(M10="",M4=""),"",IFERROR(M10/M4,""))</f>
        <v/>
      </c>
      <c r="N11" s="15">
        <f>IF(OR(N10="",N4=""),"",IFERROR(N10/N4,""))</f>
        <v/>
      </c>
      <c r="O11" s="14">
        <f>IF(OR(O10="",O4=""),"",IFERROR(O10/O4,""))</f>
        <v/>
      </c>
      <c r="P11" s="15">
        <f>IF(OR(P10="",P4=""),"",IFERROR(P10/P4,""))</f>
        <v/>
      </c>
      <c r="Q11" s="15">
        <f>IF(OR(Q10="",Q4=""),"",IFERROR(Q10/Q4,""))</f>
        <v/>
      </c>
      <c r="R11" s="15">
        <f>IF(OR(R10="",R4=""),"",IFERROR(R10/R4,""))</f>
        <v/>
      </c>
      <c r="S11" s="15">
        <f>IF(OR(S10="",S4=""),"",IFERROR(S10/S4,""))</f>
        <v/>
      </c>
      <c r="T11" s="15">
        <f>IF(OR(T10="",T4=""),"",IFERROR(T10/T4,""))</f>
        <v/>
      </c>
      <c r="U11" s="15">
        <f>IF(OR(U10="",U4=""),"",IFERROR(U10/U4,""))</f>
        <v/>
      </c>
      <c r="V11" s="15">
        <f>IF(OR(V10="",V4=""),"",IFERROR(V10/V4,""))</f>
        <v/>
      </c>
      <c r="W11" s="15">
        <f>IF(OR(W10="",W4=""),"",IFERROR(W10/W4,""))</f>
        <v/>
      </c>
      <c r="X11" s="15">
        <f>IF(OR(X10="",X4=""),"",IFERROR(X10/X4,""))</f>
        <v/>
      </c>
      <c r="Y11" s="14">
        <f>IF(OR(Y10="",Y4=""),"",IFERROR(Y10/Y4,""))</f>
        <v/>
      </c>
      <c r="Z11" s="15">
        <f>IF(OR(Z10="",Z4=""),"",IFERROR(Z10/Z4,""))</f>
        <v/>
      </c>
      <c r="AA11" s="15">
        <f>IF(OR(AA10="",AA4=""),"",IFERROR(AA10/AA4,""))</f>
        <v/>
      </c>
      <c r="AB11" s="15">
        <f>IF(OR(AB10="",AB4=""),"",IFERROR(AB10/AB4,""))</f>
        <v/>
      </c>
      <c r="AC11" s="15">
        <f>IF(OR(AC10="",AC4=""),"",IFERROR(AC10/AC4,""))</f>
        <v/>
      </c>
    </row>
    <row r="12">
      <c r="A12" s="13" t="inlineStr">
        <is>
          <t>YoY</t>
        </is>
      </c>
      <c r="B12" s="10" t="n"/>
      <c r="C12" s="14" t="n"/>
      <c r="D12" s="15" t="n"/>
      <c r="E12" s="15" t="n"/>
      <c r="F12" s="15" t="n"/>
      <c r="G12" s="15">
        <f>IF(OR(G10="",C10=""),"",IFERROR(G10/C10-1,""))</f>
        <v/>
      </c>
      <c r="H12" s="15">
        <f>IF(OR(H10="",D10=""),"",IFERROR(H10/D10-1,""))</f>
        <v/>
      </c>
      <c r="I12" s="15">
        <f>IF(OR(I10="",E10=""),"",IFERROR(I10/E10-1,""))</f>
        <v/>
      </c>
      <c r="J12" s="15">
        <f>IF(OR(J10="",F10=""),"",IFERROR(J10/F10-1,""))</f>
        <v/>
      </c>
      <c r="K12" s="15">
        <f>IF(OR(K10="",G10=""),"",IFERROR(K10/G10-1,""))</f>
        <v/>
      </c>
      <c r="L12" s="15">
        <f>IF(OR(L10="",H10=""),"",IFERROR(L10/H10-1,""))</f>
        <v/>
      </c>
      <c r="M12" s="15">
        <f>IF(OR(M10="",I10=""),"",IFERROR(M10/I10-1,""))</f>
        <v/>
      </c>
      <c r="N12" s="15">
        <f>IF(OR(N10="",J10=""),"",IFERROR(N10/J10-1,""))</f>
        <v/>
      </c>
      <c r="O12" s="14" t="n"/>
      <c r="P12" s="15">
        <f>IF(OR(P10="",O10=""),"",IFERROR(P10/O10-1,""))</f>
        <v/>
      </c>
      <c r="Q12" s="15">
        <f>IF(OR(Q10="",P10=""),"",IFERROR(Q10/P10-1,""))</f>
        <v/>
      </c>
      <c r="R12" s="15">
        <f>IF(OR(R10="",Q10=""),"",IFERROR(R10/Q10-1,""))</f>
        <v/>
      </c>
      <c r="S12" s="15">
        <f>IF(OR(S10="",R10=""),"",IFERROR(S10/R10-1,""))</f>
        <v/>
      </c>
      <c r="T12" s="15">
        <f>IF(OR(T10="",S10=""),"",IFERROR(T10/S10-1,""))</f>
        <v/>
      </c>
      <c r="U12" s="15">
        <f>IF(OR(U10="",T10=""),"",IFERROR(U10/T10-1,""))</f>
        <v/>
      </c>
      <c r="V12" s="15">
        <f>IF(OR(V10="",U10=""),"",IFERROR(V10/U10-1,""))</f>
        <v/>
      </c>
      <c r="W12" s="15">
        <f>IF(OR(W10="",V10=""),"",IFERROR(W10/V10-1,""))</f>
        <v/>
      </c>
      <c r="X12" s="15">
        <f>IF(OR(X10="",W10=""),"",IFERROR(X10/W10-1,""))</f>
        <v/>
      </c>
      <c r="Y12" s="14">
        <f>IF(OR(Y10="",X10=""),"",IFERROR(Y10/X10-1,""))</f>
        <v/>
      </c>
      <c r="Z12" s="15">
        <f>IF(OR(Z10="",Y10=""),"",IFERROR(Z10/Y10-1,""))</f>
        <v/>
      </c>
      <c r="AA12" s="15">
        <f>IF(OR(AA10="",Z10=""),"",IFERROR(AA10/Z10-1,""))</f>
        <v/>
      </c>
      <c r="AB12" s="15">
        <f>IF(OR(AB10="",AA10=""),"",IFERROR(AB10/AA10-1,""))</f>
        <v/>
      </c>
      <c r="AC12" s="15">
        <f>IF(OR(AC10="",AB10=""),"",IFERROR(AC10/AB10-1,""))</f>
        <v/>
      </c>
    </row>
    <row r="13">
      <c r="A13" s="18" t="inlineStr">
        <is>
          <t>Life</t>
        </is>
      </c>
      <c r="B13" s="10" t="n"/>
      <c r="C13" s="19" t="n">
        <v>467832</v>
      </c>
      <c r="D13" s="20" t="n">
        <v>528286</v>
      </c>
      <c r="E13" s="20" t="n">
        <v>551647</v>
      </c>
      <c r="F13" s="20" t="n">
        <v>539277</v>
      </c>
      <c r="G13" s="20" t="n">
        <v>534137</v>
      </c>
      <c r="H13" s="20" t="n">
        <v>537689</v>
      </c>
      <c r="I13" s="20" t="n">
        <v>563818</v>
      </c>
      <c r="J13" s="20" t="n">
        <v>575299</v>
      </c>
      <c r="K13" s="20" t="n">
        <v>531177</v>
      </c>
      <c r="L13" s="20" t="n">
        <v>616260</v>
      </c>
      <c r="M13" s="20" t="n">
        <v>631031</v>
      </c>
      <c r="N13" s="20" t="n">
        <v>650362</v>
      </c>
      <c r="O13" s="19" t="n"/>
      <c r="P13" s="20" t="n"/>
      <c r="Q13" s="20" t="n"/>
      <c r="R13" s="20" t="n"/>
      <c r="S13" s="20" t="n"/>
      <c r="T13" s="20" t="n"/>
      <c r="U13" s="20" t="n"/>
      <c r="V13" s="20" t="n">
        <v>2035012</v>
      </c>
      <c r="W13" s="20" t="n">
        <v>2162750</v>
      </c>
      <c r="X13" s="20" t="n">
        <v>2286554</v>
      </c>
      <c r="Y13" s="21" t="n"/>
      <c r="Z13" s="22" t="n"/>
      <c r="AA13" s="22" t="n"/>
      <c r="AB13" s="22" t="n"/>
      <c r="AC13" s="22" t="n"/>
    </row>
    <row r="14">
      <c r="A14" s="13" t="inlineStr">
        <is>
          <t>비중</t>
        </is>
      </c>
      <c r="B14" s="10" t="n"/>
      <c r="C14" s="14">
        <f>IF(OR(C13="",C4=""),"",IFERROR(C13/C4,""))</f>
        <v/>
      </c>
      <c r="D14" s="15">
        <f>IF(OR(D13="",D4=""),"",IFERROR(D13/D4,""))</f>
        <v/>
      </c>
      <c r="E14" s="15">
        <f>IF(OR(E13="",E4=""),"",IFERROR(E13/E4,""))</f>
        <v/>
      </c>
      <c r="F14" s="15">
        <f>IF(OR(F13="",F4=""),"",IFERROR(F13/F4,""))</f>
        <v/>
      </c>
      <c r="G14" s="15">
        <f>IF(OR(G13="",G4=""),"",IFERROR(G13/G4,""))</f>
        <v/>
      </c>
      <c r="H14" s="15">
        <f>IF(OR(H13="",H4=""),"",IFERROR(H13/H4,""))</f>
        <v/>
      </c>
      <c r="I14" s="15">
        <f>IF(OR(I13="",I4=""),"",IFERROR(I13/I4,""))</f>
        <v/>
      </c>
      <c r="J14" s="15">
        <f>IF(OR(J13="",J4=""),"",IFERROR(J13/J4,""))</f>
        <v/>
      </c>
      <c r="K14" s="15">
        <f>IF(OR(K13="",K4=""),"",IFERROR(K13/K4,""))</f>
        <v/>
      </c>
      <c r="L14" s="15">
        <f>IF(OR(L13="",L4=""),"",IFERROR(L13/L4,""))</f>
        <v/>
      </c>
      <c r="M14" s="15">
        <f>IF(OR(M13="",M4=""),"",IFERROR(M13/M4,""))</f>
        <v/>
      </c>
      <c r="N14" s="15">
        <f>IF(OR(N13="",N4=""),"",IFERROR(N13/N4,""))</f>
        <v/>
      </c>
      <c r="O14" s="14">
        <f>IF(OR(O13="",O4=""),"",IFERROR(O13/O4,""))</f>
        <v/>
      </c>
      <c r="P14" s="15">
        <f>IF(OR(P13="",P4=""),"",IFERROR(P13/P4,""))</f>
        <v/>
      </c>
      <c r="Q14" s="15">
        <f>IF(OR(Q13="",Q4=""),"",IFERROR(Q13/Q4,""))</f>
        <v/>
      </c>
      <c r="R14" s="15">
        <f>IF(OR(R13="",R4=""),"",IFERROR(R13/R4,""))</f>
        <v/>
      </c>
      <c r="S14" s="15">
        <f>IF(OR(S13="",S4=""),"",IFERROR(S13/S4,""))</f>
        <v/>
      </c>
      <c r="T14" s="15">
        <f>IF(OR(T13="",T4=""),"",IFERROR(T13/T4,""))</f>
        <v/>
      </c>
      <c r="U14" s="15">
        <f>IF(OR(U13="",U4=""),"",IFERROR(U13/U4,""))</f>
        <v/>
      </c>
      <c r="V14" s="15">
        <f>IF(OR(V13="",V4=""),"",IFERROR(V13/V4,""))</f>
        <v/>
      </c>
      <c r="W14" s="15">
        <f>IF(OR(W13="",W4=""),"",IFERROR(W13/W4,""))</f>
        <v/>
      </c>
      <c r="X14" s="15">
        <f>IF(OR(X13="",X4=""),"",IFERROR(X13/X4,""))</f>
        <v/>
      </c>
      <c r="Y14" s="14">
        <f>IF(OR(Y13="",Y4=""),"",IFERROR(Y13/Y4,""))</f>
        <v/>
      </c>
      <c r="Z14" s="15">
        <f>IF(OR(Z13="",Z4=""),"",IFERROR(Z13/Z4,""))</f>
        <v/>
      </c>
      <c r="AA14" s="15">
        <f>IF(OR(AA13="",AA4=""),"",IFERROR(AA13/AA4,""))</f>
        <v/>
      </c>
      <c r="AB14" s="15">
        <f>IF(OR(AB13="",AB4=""),"",IFERROR(AB13/AB4,""))</f>
        <v/>
      </c>
      <c r="AC14" s="15">
        <f>IF(OR(AC13="",AC4=""),"",IFERROR(AC13/AC4,""))</f>
        <v/>
      </c>
    </row>
    <row r="15">
      <c r="A15" s="13" t="inlineStr">
        <is>
          <t>YoY</t>
        </is>
      </c>
      <c r="B15" s="10" t="n"/>
      <c r="C15" s="14" t="n"/>
      <c r="D15" s="15" t="n"/>
      <c r="E15" s="15" t="n"/>
      <c r="F15" s="15" t="n"/>
      <c r="G15" s="15">
        <f>IF(OR(G13="",C13=""),"",IFERROR(G13/C13-1,""))</f>
        <v/>
      </c>
      <c r="H15" s="15">
        <f>IF(OR(H13="",D13=""),"",IFERROR(H13/D13-1,""))</f>
        <v/>
      </c>
      <c r="I15" s="15">
        <f>IF(OR(I13="",E13=""),"",IFERROR(I13/E13-1,""))</f>
        <v/>
      </c>
      <c r="J15" s="15">
        <f>IF(OR(J13="",F13=""),"",IFERROR(J13/F13-1,""))</f>
        <v/>
      </c>
      <c r="K15" s="15">
        <f>IF(OR(K13="",G13=""),"",IFERROR(K13/G13-1,""))</f>
        <v/>
      </c>
      <c r="L15" s="15">
        <f>IF(OR(L13="",H13=""),"",IFERROR(L13/H13-1,""))</f>
        <v/>
      </c>
      <c r="M15" s="15">
        <f>IF(OR(M13="",I13=""),"",IFERROR(M13/I13-1,""))</f>
        <v/>
      </c>
      <c r="N15" s="15">
        <f>IF(OR(N13="",J13=""),"",IFERROR(N13/J13-1,""))</f>
        <v/>
      </c>
      <c r="O15" s="14" t="n"/>
      <c r="P15" s="15">
        <f>IF(OR(P13="",O13=""),"",IFERROR(P13/O13-1,""))</f>
        <v/>
      </c>
      <c r="Q15" s="15">
        <f>IF(OR(Q13="",P13=""),"",IFERROR(Q13/P13-1,""))</f>
        <v/>
      </c>
      <c r="R15" s="15">
        <f>IF(OR(R13="",Q13=""),"",IFERROR(R13/Q13-1,""))</f>
        <v/>
      </c>
      <c r="S15" s="15">
        <f>IF(OR(S13="",R13=""),"",IFERROR(S13/R13-1,""))</f>
        <v/>
      </c>
      <c r="T15" s="15">
        <f>IF(OR(T13="",S13=""),"",IFERROR(T13/S13-1,""))</f>
        <v/>
      </c>
      <c r="U15" s="15">
        <f>IF(OR(U13="",T13=""),"",IFERROR(U13/T13-1,""))</f>
        <v/>
      </c>
      <c r="V15" s="15">
        <f>IF(OR(V13="",U13=""),"",IFERROR(V13/U13-1,""))</f>
        <v/>
      </c>
      <c r="W15" s="15">
        <f>IF(OR(W13="",V13=""),"",IFERROR(W13/V13-1,""))</f>
        <v/>
      </c>
      <c r="X15" s="15">
        <f>IF(OR(X13="",W13=""),"",IFERROR(X13/W13-1,""))</f>
        <v/>
      </c>
      <c r="Y15" s="14">
        <f>IF(OR(Y13="",X13=""),"",IFERROR(Y13/X13-1,""))</f>
        <v/>
      </c>
      <c r="Z15" s="15">
        <f>IF(OR(Z13="",Y13=""),"",IFERROR(Z13/Y13-1,""))</f>
        <v/>
      </c>
      <c r="AA15" s="15">
        <f>IF(OR(AA13="",Z13=""),"",IFERROR(AA13/Z13-1,""))</f>
        <v/>
      </c>
      <c r="AB15" s="15">
        <f>IF(OR(AB13="",AA13=""),"",IFERROR(AB13/AA13-1,""))</f>
        <v/>
      </c>
      <c r="AC15" s="15">
        <f>IF(OR(AC13="",AB13=""),"",IFERROR(AC13/AB13-1,""))</f>
        <v/>
      </c>
    </row>
    <row r="16">
      <c r="A16" s="18" t="inlineStr">
        <is>
          <t>Business Platform</t>
        </is>
      </c>
      <c r="B16" s="10" t="n"/>
      <c r="C16" s="19" t="n">
        <v>17412</v>
      </c>
      <c r="D16" s="20" t="n">
        <v>27409</v>
      </c>
      <c r="E16" s="20" t="n">
        <v>16139</v>
      </c>
      <c r="F16" s="20" t="n">
        <v>22289</v>
      </c>
      <c r="G16" s="20" t="n">
        <v>18754</v>
      </c>
      <c r="H16" s="20" t="n">
        <v>27315</v>
      </c>
      <c r="I16" s="20" t="n"/>
      <c r="J16" s="20" t="n"/>
      <c r="K16" s="20" t="n"/>
      <c r="L16" s="20" t="n"/>
      <c r="M16" s="20" t="n"/>
      <c r="N16" s="20" t="n"/>
      <c r="O16" s="19" t="n"/>
      <c r="P16" s="20" t="n"/>
      <c r="Q16" s="20" t="n"/>
      <c r="R16" s="20" t="n"/>
      <c r="S16" s="20" t="n"/>
      <c r="T16" s="20" t="n"/>
      <c r="U16" s="20" t="n"/>
      <c r="V16" s="20" t="n">
        <v>82206</v>
      </c>
      <c r="W16" s="20" t="n">
        <v>84497</v>
      </c>
      <c r="X16" s="20" t="n"/>
      <c r="Y16" s="21" t="n"/>
      <c r="Z16" s="22" t="n"/>
      <c r="AA16" s="22" t="n"/>
      <c r="AB16" s="22" t="n"/>
      <c r="AC16" s="22" t="n"/>
    </row>
    <row r="17">
      <c r="A17" s="13" t="inlineStr">
        <is>
          <t>비중</t>
        </is>
      </c>
      <c r="B17" s="10" t="n"/>
      <c r="C17" s="14">
        <f>IF(OR(C16="",C4=""),"",IFERROR(C16/C4,""))</f>
        <v/>
      </c>
      <c r="D17" s="15">
        <f>IF(OR(D16="",D4=""),"",IFERROR(D16/D4,""))</f>
        <v/>
      </c>
      <c r="E17" s="15">
        <f>IF(OR(E16="",E4=""),"",IFERROR(E16/E4,""))</f>
        <v/>
      </c>
      <c r="F17" s="15">
        <f>IF(OR(F16="",F4=""),"",IFERROR(F16/F4,""))</f>
        <v/>
      </c>
      <c r="G17" s="15">
        <f>IF(OR(G16="",G4=""),"",IFERROR(G16/G4,""))</f>
        <v/>
      </c>
      <c r="H17" s="15">
        <f>IF(OR(H16="",H4=""),"",IFERROR(H16/H4,""))</f>
        <v/>
      </c>
      <c r="I17" s="15">
        <f>IF(OR(I16="",I4=""),"",IFERROR(I16/I4,""))</f>
        <v/>
      </c>
      <c r="J17" s="15">
        <f>IF(OR(J16="",J4=""),"",IFERROR(J16/J4,""))</f>
        <v/>
      </c>
      <c r="K17" s="15">
        <f>IF(OR(K16="",K4=""),"",IFERROR(K16/K4,""))</f>
        <v/>
      </c>
      <c r="L17" s="15">
        <f>IF(OR(L16="",L4=""),"",IFERROR(L16/L4,""))</f>
        <v/>
      </c>
      <c r="M17" s="15">
        <f>IF(OR(M16="",M4=""),"",IFERROR(M16/M4,""))</f>
        <v/>
      </c>
      <c r="N17" s="15">
        <f>IF(OR(N16="",N4=""),"",IFERROR(N16/N4,""))</f>
        <v/>
      </c>
      <c r="O17" s="14">
        <f>IF(OR(O16="",O4=""),"",IFERROR(O16/O4,""))</f>
        <v/>
      </c>
      <c r="P17" s="15">
        <f>IF(OR(P16="",P4=""),"",IFERROR(P16/P4,""))</f>
        <v/>
      </c>
      <c r="Q17" s="15">
        <f>IF(OR(Q16="",Q4=""),"",IFERROR(Q16/Q4,""))</f>
        <v/>
      </c>
      <c r="R17" s="15">
        <f>IF(OR(R16="",R4=""),"",IFERROR(R16/R4,""))</f>
        <v/>
      </c>
      <c r="S17" s="15">
        <f>IF(OR(S16="",S4=""),"",IFERROR(S16/S4,""))</f>
        <v/>
      </c>
      <c r="T17" s="15">
        <f>IF(OR(T16="",T4=""),"",IFERROR(T16/T4,""))</f>
        <v/>
      </c>
      <c r="U17" s="15">
        <f>IF(OR(U16="",U4=""),"",IFERROR(U16/U4,""))</f>
        <v/>
      </c>
      <c r="V17" s="15">
        <f>IF(OR(V16="",V4=""),"",IFERROR(V16/V4,""))</f>
        <v/>
      </c>
      <c r="W17" s="15">
        <f>IF(OR(W16="",W4=""),"",IFERROR(W16/W4,""))</f>
        <v/>
      </c>
      <c r="X17" s="15">
        <f>IF(OR(X16="",X4=""),"",IFERROR(X16/X4,""))</f>
        <v/>
      </c>
      <c r="Y17" s="14">
        <f>IF(OR(Y16="",Y4=""),"",IFERROR(Y16/Y4,""))</f>
        <v/>
      </c>
      <c r="Z17" s="15">
        <f>IF(OR(Z16="",Z4=""),"",IFERROR(Z16/Z4,""))</f>
        <v/>
      </c>
      <c r="AA17" s="15">
        <f>IF(OR(AA16="",AA4=""),"",IFERROR(AA16/AA4,""))</f>
        <v/>
      </c>
      <c r="AB17" s="15">
        <f>IF(OR(AB16="",AB4=""),"",IFERROR(AB16/AB4,""))</f>
        <v/>
      </c>
      <c r="AC17" s="15">
        <f>IF(OR(AC16="",AC4=""),"",IFERROR(AC16/AC4,""))</f>
        <v/>
      </c>
    </row>
    <row r="18">
      <c r="A18" s="13" t="inlineStr">
        <is>
          <t>YoY</t>
        </is>
      </c>
      <c r="B18" s="10" t="n"/>
      <c r="C18" s="14" t="n"/>
      <c r="D18" s="15" t="n"/>
      <c r="E18" s="15" t="n"/>
      <c r="F18" s="15" t="n"/>
      <c r="G18" s="15">
        <f>IF(OR(G16="",C16=""),"",IFERROR(G16/C16-1,""))</f>
        <v/>
      </c>
      <c r="H18" s="15">
        <f>IF(OR(H16="",D16=""),"",IFERROR(H16/D16-1,""))</f>
        <v/>
      </c>
      <c r="I18" s="15">
        <f>IF(OR(I16="",E16=""),"",IFERROR(I16/E16-1,""))</f>
        <v/>
      </c>
      <c r="J18" s="15">
        <f>IF(OR(J16="",F16=""),"",IFERROR(J16/F16-1,""))</f>
        <v/>
      </c>
      <c r="K18" s="15">
        <f>IF(OR(K16="",G16=""),"",IFERROR(K16/G16-1,""))</f>
        <v/>
      </c>
      <c r="L18" s="15">
        <f>IF(OR(L16="",H16=""),"",IFERROR(L16/H16-1,""))</f>
        <v/>
      </c>
      <c r="M18" s="15">
        <f>IF(OR(M16="",I16=""),"",IFERROR(M16/I16-1,""))</f>
        <v/>
      </c>
      <c r="N18" s="15">
        <f>IF(OR(N16="",J16=""),"",IFERROR(N16/J16-1,""))</f>
        <v/>
      </c>
      <c r="O18" s="14" t="n"/>
      <c r="P18" s="15">
        <f>IF(OR(P16="",O16=""),"",IFERROR(P16/O16-1,""))</f>
        <v/>
      </c>
      <c r="Q18" s="15">
        <f>IF(OR(Q16="",P16=""),"",IFERROR(Q16/P16-1,""))</f>
        <v/>
      </c>
      <c r="R18" s="15">
        <f>IF(OR(R16="",Q16=""),"",IFERROR(R16/Q16-1,""))</f>
        <v/>
      </c>
      <c r="S18" s="15">
        <f>IF(OR(S16="",R16=""),"",IFERROR(S16/R16-1,""))</f>
        <v/>
      </c>
      <c r="T18" s="15">
        <f>IF(OR(T16="",S16=""),"",IFERROR(T16/S16-1,""))</f>
        <v/>
      </c>
      <c r="U18" s="15">
        <f>IF(OR(U16="",T16=""),"",IFERROR(U16/T16-1,""))</f>
        <v/>
      </c>
      <c r="V18" s="15">
        <f>IF(OR(V16="",U16=""),"",IFERROR(V16/U16-1,""))</f>
        <v/>
      </c>
      <c r="W18" s="15">
        <f>IF(OR(W16="",V16=""),"",IFERROR(W16/V16-1,""))</f>
        <v/>
      </c>
      <c r="X18" s="15">
        <f>IF(OR(X16="",W16=""),"",IFERROR(X16/W16-1,""))</f>
        <v/>
      </c>
      <c r="Y18" s="14">
        <f>IF(OR(Y16="",X16=""),"",IFERROR(Y16/X16-1,""))</f>
        <v/>
      </c>
      <c r="Z18" s="15">
        <f>IF(OR(Z16="",Y16=""),"",IFERROR(Z16/Y16-1,""))</f>
        <v/>
      </c>
      <c r="AA18" s="15">
        <f>IF(OR(AA16="",Z16=""),"",IFERROR(AA16/Z16-1,""))</f>
        <v/>
      </c>
      <c r="AB18" s="15">
        <f>IF(OR(AB16="",AA16=""),"",IFERROR(AB16/AA16-1,""))</f>
        <v/>
      </c>
      <c r="AC18" s="15">
        <f>IF(OR(AC16="",AB16=""),"",IFERROR(AC16/AB16-1,""))</f>
        <v/>
      </c>
    </row>
    <row r="19">
      <c r="A19" s="18" t="inlineStr">
        <is>
          <t>Digital Innovation</t>
        </is>
      </c>
      <c r="B19" s="10" t="n"/>
      <c r="C19" s="19" t="n"/>
      <c r="D19" s="20" t="n"/>
      <c r="E19" s="20" t="n">
        <v>16139</v>
      </c>
      <c r="F19" s="20" t="n">
        <v>22289</v>
      </c>
      <c r="G19" s="20" t="n">
        <v>18754</v>
      </c>
      <c r="H19" s="20" t="n">
        <v>27315</v>
      </c>
      <c r="I19" s="20" t="n">
        <v>17689</v>
      </c>
      <c r="J19" s="20" t="n">
        <v>20760</v>
      </c>
      <c r="K19" s="20" t="n">
        <v>19253</v>
      </c>
      <c r="L19" s="20" t="n">
        <v>27556</v>
      </c>
      <c r="M19" s="20" t="n">
        <v>20313</v>
      </c>
      <c r="N19" s="20" t="n">
        <v>27967</v>
      </c>
      <c r="O19" s="19" t="n"/>
      <c r="P19" s="20" t="n"/>
      <c r="Q19" s="20" t="n"/>
      <c r="R19" s="20" t="n"/>
      <c r="S19" s="20" t="n"/>
      <c r="T19" s="20" t="n"/>
      <c r="U19" s="20" t="n"/>
      <c r="V19" s="20" t="n"/>
      <c r="W19" s="20" t="n">
        <v>84497</v>
      </c>
      <c r="X19" s="20" t="n">
        <v>85258</v>
      </c>
      <c r="Y19" s="21" t="n"/>
      <c r="Z19" s="22" t="n"/>
      <c r="AA19" s="22" t="n"/>
      <c r="AB19" s="22" t="n"/>
      <c r="AC19" s="22" t="n"/>
    </row>
    <row r="20">
      <c r="A20" s="13" t="inlineStr">
        <is>
          <t>비중</t>
        </is>
      </c>
      <c r="B20" s="10" t="n"/>
      <c r="C20" s="14">
        <f>IF(OR(C19="",C4=""),"",IFERROR(C19/C4,""))</f>
        <v/>
      </c>
      <c r="D20" s="15">
        <f>IF(OR(D19="",D4=""),"",IFERROR(D19/D4,""))</f>
        <v/>
      </c>
      <c r="E20" s="15">
        <f>IF(OR(E19="",E4=""),"",IFERROR(E19/E4,""))</f>
        <v/>
      </c>
      <c r="F20" s="15">
        <f>IF(OR(F19="",F4=""),"",IFERROR(F19/F4,""))</f>
        <v/>
      </c>
      <c r="G20" s="15">
        <f>IF(OR(G19="",G4=""),"",IFERROR(G19/G4,""))</f>
        <v/>
      </c>
      <c r="H20" s="15">
        <f>IF(OR(H19="",H4=""),"",IFERROR(H19/H4,""))</f>
        <v/>
      </c>
      <c r="I20" s="15">
        <f>IF(OR(I19="",I4=""),"",IFERROR(I19/I4,""))</f>
        <v/>
      </c>
      <c r="J20" s="15">
        <f>IF(OR(J19="",J4=""),"",IFERROR(J19/J4,""))</f>
        <v/>
      </c>
      <c r="K20" s="15">
        <f>IF(OR(K19="",K4=""),"",IFERROR(K19/K4,""))</f>
        <v/>
      </c>
      <c r="L20" s="15">
        <f>IF(OR(L19="",L4=""),"",IFERROR(L19/L4,""))</f>
        <v/>
      </c>
      <c r="M20" s="15">
        <f>IF(OR(M19="",M4=""),"",IFERROR(M19/M4,""))</f>
        <v/>
      </c>
      <c r="N20" s="15">
        <f>IF(OR(N19="",N4=""),"",IFERROR(N19/N4,""))</f>
        <v/>
      </c>
      <c r="O20" s="14">
        <f>IF(OR(O19="",O4=""),"",IFERROR(O19/O4,""))</f>
        <v/>
      </c>
      <c r="P20" s="15">
        <f>IF(OR(P19="",P4=""),"",IFERROR(P19/P4,""))</f>
        <v/>
      </c>
      <c r="Q20" s="15">
        <f>IF(OR(Q19="",Q4=""),"",IFERROR(Q19/Q4,""))</f>
        <v/>
      </c>
      <c r="R20" s="15">
        <f>IF(OR(R19="",R4=""),"",IFERROR(R19/R4,""))</f>
        <v/>
      </c>
      <c r="S20" s="15">
        <f>IF(OR(S19="",S4=""),"",IFERROR(S19/S4,""))</f>
        <v/>
      </c>
      <c r="T20" s="15">
        <f>IF(OR(T19="",T4=""),"",IFERROR(T19/T4,""))</f>
        <v/>
      </c>
      <c r="U20" s="15">
        <f>IF(OR(U19="",U4=""),"",IFERROR(U19/U4,""))</f>
        <v/>
      </c>
      <c r="V20" s="15">
        <f>IF(OR(V19="",V4=""),"",IFERROR(V19/V4,""))</f>
        <v/>
      </c>
      <c r="W20" s="15">
        <f>IF(OR(W19="",W4=""),"",IFERROR(W19/W4,""))</f>
        <v/>
      </c>
      <c r="X20" s="15">
        <f>IF(OR(X19="",X4=""),"",IFERROR(X19/X4,""))</f>
        <v/>
      </c>
      <c r="Y20" s="14">
        <f>IF(OR(Y19="",Y4=""),"",IFERROR(Y19/Y4,""))</f>
        <v/>
      </c>
      <c r="Z20" s="15">
        <f>IF(OR(Z19="",Z4=""),"",IFERROR(Z19/Z4,""))</f>
        <v/>
      </c>
      <c r="AA20" s="15">
        <f>IF(OR(AA19="",AA4=""),"",IFERROR(AA19/AA4,""))</f>
        <v/>
      </c>
      <c r="AB20" s="15">
        <f>IF(OR(AB19="",AB4=""),"",IFERROR(AB19/AB4,""))</f>
        <v/>
      </c>
      <c r="AC20" s="15">
        <f>IF(OR(AC19="",AC4=""),"",IFERROR(AC19/AC4,""))</f>
        <v/>
      </c>
    </row>
    <row r="21">
      <c r="A21" s="13" t="inlineStr">
        <is>
          <t>YoY</t>
        </is>
      </c>
      <c r="B21" s="10" t="n"/>
      <c r="C21" s="14" t="n"/>
      <c r="D21" s="15" t="n"/>
      <c r="E21" s="15" t="n"/>
      <c r="F21" s="15" t="n"/>
      <c r="G21" s="15">
        <f>IF(OR(G19="",C19=""),"",IFERROR(G19/C19-1,""))</f>
        <v/>
      </c>
      <c r="H21" s="15">
        <f>IF(OR(H19="",D19=""),"",IFERROR(H19/D19-1,""))</f>
        <v/>
      </c>
      <c r="I21" s="15">
        <f>IF(OR(I19="",E19=""),"",IFERROR(I19/E19-1,""))</f>
        <v/>
      </c>
      <c r="J21" s="15">
        <f>IF(OR(J19="",F19=""),"",IFERROR(J19/F19-1,""))</f>
        <v/>
      </c>
      <c r="K21" s="15">
        <f>IF(OR(K19="",G19=""),"",IFERROR(K19/G19-1,""))</f>
        <v/>
      </c>
      <c r="L21" s="15">
        <f>IF(OR(L19="",H19=""),"",IFERROR(L19/H19-1,""))</f>
        <v/>
      </c>
      <c r="M21" s="15">
        <f>IF(OR(M19="",I19=""),"",IFERROR(M19/I19-1,""))</f>
        <v/>
      </c>
      <c r="N21" s="15">
        <f>IF(OR(N19="",J19=""),"",IFERROR(N19/J19-1,""))</f>
        <v/>
      </c>
      <c r="O21" s="14" t="n"/>
      <c r="P21" s="15">
        <f>IF(OR(P19="",O19=""),"",IFERROR(P19/O19-1,""))</f>
        <v/>
      </c>
      <c r="Q21" s="15">
        <f>IF(OR(Q19="",P19=""),"",IFERROR(Q19/P19-1,""))</f>
        <v/>
      </c>
      <c r="R21" s="15">
        <f>IF(OR(R19="",Q19=""),"",IFERROR(R19/Q19-1,""))</f>
        <v/>
      </c>
      <c r="S21" s="15">
        <f>IF(OR(S19="",R19=""),"",IFERROR(S19/R19-1,""))</f>
        <v/>
      </c>
      <c r="T21" s="15">
        <f>IF(OR(T19="",S19=""),"",IFERROR(T19/S19-1,""))</f>
        <v/>
      </c>
      <c r="U21" s="15">
        <f>IF(OR(U19="",T19=""),"",IFERROR(U19/T19-1,""))</f>
        <v/>
      </c>
      <c r="V21" s="15">
        <f>IF(OR(V19="",U19=""),"",IFERROR(V19/U19-1,""))</f>
        <v/>
      </c>
      <c r="W21" s="15">
        <f>IF(OR(W19="",V19=""),"",IFERROR(W19/V19-1,""))</f>
        <v/>
      </c>
      <c r="X21" s="15">
        <f>IF(OR(X19="",W19=""),"",IFERROR(X19/W19-1,""))</f>
        <v/>
      </c>
      <c r="Y21" s="14">
        <f>IF(OR(Y19="",X19=""),"",IFERROR(Y19/X19-1,""))</f>
        <v/>
      </c>
      <c r="Z21" s="15">
        <f>IF(OR(Z19="",Y19=""),"",IFERROR(Z19/Y19-1,""))</f>
        <v/>
      </c>
      <c r="AA21" s="15">
        <f>IF(OR(AA19="",Z19=""),"",IFERROR(AA19/Z19-1,""))</f>
        <v/>
      </c>
      <c r="AB21" s="15">
        <f>IF(OR(AB19="",AA19=""),"",IFERROR(AB19/AA19-1,""))</f>
        <v/>
      </c>
      <c r="AC21" s="15">
        <f>IF(OR(AC19="",AB19=""),"",IFERROR(AC19/AB19-1,""))</f>
        <v/>
      </c>
    </row>
    <row r="22">
      <c r="A22" s="18" t="inlineStr">
        <is>
          <t>Semiconductor And Device</t>
        </is>
      </c>
      <c r="B22" s="10" t="n"/>
      <c r="C22" s="19" t="n">
        <v>62461</v>
      </c>
      <c r="D22" s="20" t="n">
        <v>67295</v>
      </c>
      <c r="E22" s="20" t="n">
        <v>68236</v>
      </c>
      <c r="F22" s="20" t="n">
        <v>64160</v>
      </c>
      <c r="G22" s="20" t="n">
        <v>62284</v>
      </c>
      <c r="H22" s="20" t="n">
        <v>65182</v>
      </c>
      <c r="I22" s="20" t="n">
        <v>62471</v>
      </c>
      <c r="J22" s="20" t="n">
        <v>64851</v>
      </c>
      <c r="K22" s="20" t="n">
        <v>61413</v>
      </c>
      <c r="L22" s="20" t="n">
        <v>70192</v>
      </c>
      <c r="M22" s="20" t="n">
        <v>73297</v>
      </c>
      <c r="N22" s="20" t="n">
        <v>74041</v>
      </c>
      <c r="O22" s="19" t="n"/>
      <c r="P22" s="20" t="n"/>
      <c r="Q22" s="20" t="n"/>
      <c r="R22" s="20" t="n"/>
      <c r="S22" s="20" t="n"/>
      <c r="T22" s="20" t="n"/>
      <c r="U22" s="20" t="n"/>
      <c r="V22" s="20" t="n">
        <v>258824</v>
      </c>
      <c r="W22" s="20" t="n">
        <v>259862</v>
      </c>
      <c r="X22" s="20" t="n">
        <v>258927</v>
      </c>
      <c r="Y22" s="21" t="n"/>
      <c r="Z22" s="22" t="n"/>
      <c r="AA22" s="22" t="n"/>
      <c r="AB22" s="22" t="n"/>
      <c r="AC22" s="22" t="n"/>
    </row>
    <row r="23">
      <c r="A23" s="13" t="inlineStr">
        <is>
          <t>비중</t>
        </is>
      </c>
      <c r="B23" s="10" t="n"/>
      <c r="C23" s="14">
        <f>IF(OR(C22="",C4=""),"",IFERROR(C22/C4,""))</f>
        <v/>
      </c>
      <c r="D23" s="15">
        <f>IF(OR(D22="",D4=""),"",IFERROR(D22/D4,""))</f>
        <v/>
      </c>
      <c r="E23" s="15">
        <f>IF(OR(E22="",E4=""),"",IFERROR(E22/E4,""))</f>
        <v/>
      </c>
      <c r="F23" s="15">
        <f>IF(OR(F22="",F4=""),"",IFERROR(F22/F4,""))</f>
        <v/>
      </c>
      <c r="G23" s="15">
        <f>IF(OR(G22="",G4=""),"",IFERROR(G22/G4,""))</f>
        <v/>
      </c>
      <c r="H23" s="15">
        <f>IF(OR(H22="",H4=""),"",IFERROR(H22/H4,""))</f>
        <v/>
      </c>
      <c r="I23" s="15">
        <f>IF(OR(I22="",I4=""),"",IFERROR(I22/I4,""))</f>
        <v/>
      </c>
      <c r="J23" s="15">
        <f>IF(OR(J22="",J4=""),"",IFERROR(J22/J4,""))</f>
        <v/>
      </c>
      <c r="K23" s="15">
        <f>IF(OR(K22="",K4=""),"",IFERROR(K22/K4,""))</f>
        <v/>
      </c>
      <c r="L23" s="15">
        <f>IF(OR(L22="",L4=""),"",IFERROR(L22/L4,""))</f>
        <v/>
      </c>
      <c r="M23" s="15">
        <f>IF(OR(M22="",M4=""),"",IFERROR(M22/M4,""))</f>
        <v/>
      </c>
      <c r="N23" s="15">
        <f>IF(OR(N22="",N4=""),"",IFERROR(N22/N4,""))</f>
        <v/>
      </c>
      <c r="O23" s="14">
        <f>IF(OR(O22="",O4=""),"",IFERROR(O22/O4,""))</f>
        <v/>
      </c>
      <c r="P23" s="15">
        <f>IF(OR(P22="",P4=""),"",IFERROR(P22/P4,""))</f>
        <v/>
      </c>
      <c r="Q23" s="15">
        <f>IF(OR(Q22="",Q4=""),"",IFERROR(Q22/Q4,""))</f>
        <v/>
      </c>
      <c r="R23" s="15">
        <f>IF(OR(R22="",R4=""),"",IFERROR(R22/R4,""))</f>
        <v/>
      </c>
      <c r="S23" s="15">
        <f>IF(OR(S22="",S4=""),"",IFERROR(S22/S4,""))</f>
        <v/>
      </c>
      <c r="T23" s="15">
        <f>IF(OR(T22="",T4=""),"",IFERROR(T22/T4,""))</f>
        <v/>
      </c>
      <c r="U23" s="15">
        <f>IF(OR(U22="",U4=""),"",IFERROR(U22/U4,""))</f>
        <v/>
      </c>
      <c r="V23" s="15">
        <f>IF(OR(V22="",V4=""),"",IFERROR(V22/V4,""))</f>
        <v/>
      </c>
      <c r="W23" s="15">
        <f>IF(OR(W22="",W4=""),"",IFERROR(W22/W4,""))</f>
        <v/>
      </c>
      <c r="X23" s="15">
        <f>IF(OR(X22="",X4=""),"",IFERROR(X22/X4,""))</f>
        <v/>
      </c>
      <c r="Y23" s="14">
        <f>IF(OR(Y22="",Y4=""),"",IFERROR(Y22/Y4,""))</f>
        <v/>
      </c>
      <c r="Z23" s="15">
        <f>IF(OR(Z22="",Z4=""),"",IFERROR(Z22/Z4,""))</f>
        <v/>
      </c>
      <c r="AA23" s="15">
        <f>IF(OR(AA22="",AA4=""),"",IFERROR(AA22/AA4,""))</f>
        <v/>
      </c>
      <c r="AB23" s="15">
        <f>IF(OR(AB22="",AB4=""),"",IFERROR(AB22/AB4,""))</f>
        <v/>
      </c>
      <c r="AC23" s="15">
        <f>IF(OR(AC22="",AC4=""),"",IFERROR(AC22/AC4,""))</f>
        <v/>
      </c>
    </row>
    <row r="24">
      <c r="A24" s="13" t="inlineStr">
        <is>
          <t>YoY</t>
        </is>
      </c>
      <c r="B24" s="10" t="n"/>
      <c r="C24" s="14" t="n"/>
      <c r="D24" s="15" t="n"/>
      <c r="E24" s="15" t="n"/>
      <c r="F24" s="15" t="n"/>
      <c r="G24" s="15">
        <f>IF(OR(G22="",C22=""),"",IFERROR(G22/C22-1,""))</f>
        <v/>
      </c>
      <c r="H24" s="15">
        <f>IF(OR(H22="",D22=""),"",IFERROR(H22/D22-1,""))</f>
        <v/>
      </c>
      <c r="I24" s="15">
        <f>IF(OR(I22="",E22=""),"",IFERROR(I22/E22-1,""))</f>
        <v/>
      </c>
      <c r="J24" s="15">
        <f>IF(OR(J22="",F22=""),"",IFERROR(J22/F22-1,""))</f>
        <v/>
      </c>
      <c r="K24" s="15">
        <f>IF(OR(K22="",G22=""),"",IFERROR(K22/G22-1,""))</f>
        <v/>
      </c>
      <c r="L24" s="15">
        <f>IF(OR(L22="",H22=""),"",IFERROR(L22/H22-1,""))</f>
        <v/>
      </c>
      <c r="M24" s="15">
        <f>IF(OR(M22="",I22=""),"",IFERROR(M22/I22-1,""))</f>
        <v/>
      </c>
      <c r="N24" s="15">
        <f>IF(OR(N22="",J22=""),"",IFERROR(N22/J22-1,""))</f>
        <v/>
      </c>
      <c r="O24" s="14" t="n"/>
      <c r="P24" s="15">
        <f>IF(OR(P22="",O22=""),"",IFERROR(P22/O22-1,""))</f>
        <v/>
      </c>
      <c r="Q24" s="15">
        <f>IF(OR(Q22="",P22=""),"",IFERROR(Q22/P22-1,""))</f>
        <v/>
      </c>
      <c r="R24" s="15">
        <f>IF(OR(R22="",Q22=""),"",IFERROR(R22/Q22-1,""))</f>
        <v/>
      </c>
      <c r="S24" s="15">
        <f>IF(OR(S22="",R22=""),"",IFERROR(S22/R22-1,""))</f>
        <v/>
      </c>
      <c r="T24" s="15">
        <f>IF(OR(T22="",S22=""),"",IFERROR(T22/S22-1,""))</f>
        <v/>
      </c>
      <c r="U24" s="15">
        <f>IF(OR(U22="",T22=""),"",IFERROR(U22/T22-1,""))</f>
        <v/>
      </c>
      <c r="V24" s="15">
        <f>IF(OR(V22="",U22=""),"",IFERROR(V22/U22-1,""))</f>
        <v/>
      </c>
      <c r="W24" s="15">
        <f>IF(OR(W22="",V22=""),"",IFERROR(W22/V22-1,""))</f>
        <v/>
      </c>
      <c r="X24" s="15">
        <f>IF(OR(X22="",W22=""),"",IFERROR(X22/W22-1,""))</f>
        <v/>
      </c>
      <c r="Y24" s="14">
        <f>IF(OR(Y22="",X22=""),"",IFERROR(Y22/X22-1,""))</f>
        <v/>
      </c>
      <c r="Z24" s="15">
        <f>IF(OR(Z22="",Y22=""),"",IFERROR(Z22/Y22-1,""))</f>
        <v/>
      </c>
      <c r="AA24" s="15">
        <f>IF(OR(AA22="",Z22=""),"",IFERROR(AA22/Z22-1,""))</f>
        <v/>
      </c>
      <c r="AB24" s="15">
        <f>IF(OR(AB22="",AA22=""),"",IFERROR(AB22/AA22-1,""))</f>
        <v/>
      </c>
      <c r="AC24" s="15">
        <f>IF(OR(AC22="",AB22=""),"",IFERROR(AC22/AB22-1,""))</f>
        <v/>
      </c>
    </row>
    <row r="25">
      <c r="A25" s="18" t="inlineStr">
        <is>
          <t>OtherReportableSegmentsMember</t>
        </is>
      </c>
      <c r="B25" s="10" t="n"/>
      <c r="C25" s="19" t="n">
        <v>40169</v>
      </c>
      <c r="D25" s="20" t="n">
        <v>44857</v>
      </c>
      <c r="E25" s="20" t="n">
        <v>40139</v>
      </c>
      <c r="F25" s="20" t="n">
        <v>46198</v>
      </c>
      <c r="G25" s="20" t="n">
        <v>42239</v>
      </c>
      <c r="H25" s="20" t="n">
        <v>48233</v>
      </c>
      <c r="I25" s="20" t="n">
        <v>26584</v>
      </c>
      <c r="J25" s="20" t="n">
        <v>32909</v>
      </c>
      <c r="K25" s="20" t="n">
        <v>51241</v>
      </c>
      <c r="L25" s="20" t="n">
        <v>46996</v>
      </c>
      <c r="M25" s="20" t="n">
        <v>30640</v>
      </c>
      <c r="N25" s="20" t="n">
        <v>36502</v>
      </c>
      <c r="O25" s="19" t="n"/>
      <c r="P25" s="20" t="n"/>
      <c r="Q25" s="20" t="n"/>
      <c r="R25" s="20" t="n"/>
      <c r="S25" s="20" t="n"/>
      <c r="T25" s="20" t="n"/>
      <c r="U25" s="20" t="n"/>
      <c r="V25" s="20" t="n">
        <v>162155</v>
      </c>
      <c r="W25" s="20" t="n">
        <v>176809</v>
      </c>
      <c r="X25" s="20" t="n">
        <v>157730</v>
      </c>
      <c r="Y25" s="21" t="n"/>
      <c r="Z25" s="22" t="n"/>
      <c r="AA25" s="22" t="n"/>
      <c r="AB25" s="22" t="n"/>
      <c r="AC25" s="22" t="n"/>
    </row>
    <row r="26">
      <c r="A26" s="13" t="inlineStr">
        <is>
          <t>비중</t>
        </is>
      </c>
      <c r="B26" s="10" t="n"/>
      <c r="C26" s="14">
        <f>IF(OR(C25="",C4=""),"",IFERROR(C25/C4,""))</f>
        <v/>
      </c>
      <c r="D26" s="15">
        <f>IF(OR(D25="",D4=""),"",IFERROR(D25/D4,""))</f>
        <v/>
      </c>
      <c r="E26" s="15">
        <f>IF(OR(E25="",E4=""),"",IFERROR(E25/E4,""))</f>
        <v/>
      </c>
      <c r="F26" s="15">
        <f>IF(OR(F25="",F4=""),"",IFERROR(F25/F4,""))</f>
        <v/>
      </c>
      <c r="G26" s="15">
        <f>IF(OR(G25="",G4=""),"",IFERROR(G25/G4,""))</f>
        <v/>
      </c>
      <c r="H26" s="15">
        <f>IF(OR(H25="",H4=""),"",IFERROR(H25/H4,""))</f>
        <v/>
      </c>
      <c r="I26" s="15">
        <f>IF(OR(I25="",I4=""),"",IFERROR(I25/I4,""))</f>
        <v/>
      </c>
      <c r="J26" s="15">
        <f>IF(OR(J25="",J4=""),"",IFERROR(J25/J4,""))</f>
        <v/>
      </c>
      <c r="K26" s="15">
        <f>IF(OR(K25="",K4=""),"",IFERROR(K25/K4,""))</f>
        <v/>
      </c>
      <c r="L26" s="15">
        <f>IF(OR(L25="",L4=""),"",IFERROR(L25/L4,""))</f>
        <v/>
      </c>
      <c r="M26" s="15">
        <f>IF(OR(M25="",M4=""),"",IFERROR(M25/M4,""))</f>
        <v/>
      </c>
      <c r="N26" s="15">
        <f>IF(OR(N25="",N4=""),"",IFERROR(N25/N4,""))</f>
        <v/>
      </c>
      <c r="O26" s="14">
        <f>IF(OR(O25="",O4=""),"",IFERROR(O25/O4,""))</f>
        <v/>
      </c>
      <c r="P26" s="15">
        <f>IF(OR(P25="",P4=""),"",IFERROR(P25/P4,""))</f>
        <v/>
      </c>
      <c r="Q26" s="15">
        <f>IF(OR(Q25="",Q4=""),"",IFERROR(Q25/Q4,""))</f>
        <v/>
      </c>
      <c r="R26" s="15">
        <f>IF(OR(R25="",R4=""),"",IFERROR(R25/R4,""))</f>
        <v/>
      </c>
      <c r="S26" s="15">
        <f>IF(OR(S25="",S4=""),"",IFERROR(S25/S4,""))</f>
        <v/>
      </c>
      <c r="T26" s="15">
        <f>IF(OR(T25="",T4=""),"",IFERROR(T25/T4,""))</f>
        <v/>
      </c>
      <c r="U26" s="15">
        <f>IF(OR(U25="",U4=""),"",IFERROR(U25/U4,""))</f>
        <v/>
      </c>
      <c r="V26" s="15">
        <f>IF(OR(V25="",V4=""),"",IFERROR(V25/V4,""))</f>
        <v/>
      </c>
      <c r="W26" s="15">
        <f>IF(OR(W25="",W4=""),"",IFERROR(W25/W4,""))</f>
        <v/>
      </c>
      <c r="X26" s="15">
        <f>IF(OR(X25="",X4=""),"",IFERROR(X25/X4,""))</f>
        <v/>
      </c>
      <c r="Y26" s="14">
        <f>IF(OR(Y25="",Y4=""),"",IFERROR(Y25/Y4,""))</f>
        <v/>
      </c>
      <c r="Z26" s="15">
        <f>IF(OR(Z25="",Z4=""),"",IFERROR(Z25/Z4,""))</f>
        <v/>
      </c>
      <c r="AA26" s="15">
        <f>IF(OR(AA25="",AA4=""),"",IFERROR(AA25/AA4,""))</f>
        <v/>
      </c>
      <c r="AB26" s="15">
        <f>IF(OR(AB25="",AB4=""),"",IFERROR(AB25/AB4,""))</f>
        <v/>
      </c>
      <c r="AC26" s="15">
        <f>IF(OR(AC25="",AC4=""),"",IFERROR(AC25/AC4,""))</f>
        <v/>
      </c>
    </row>
    <row r="27">
      <c r="A27" s="13" t="inlineStr">
        <is>
          <t>YoY</t>
        </is>
      </c>
      <c r="B27" s="10" t="n"/>
      <c r="C27" s="14" t="n"/>
      <c r="D27" s="15" t="n"/>
      <c r="E27" s="15" t="n"/>
      <c r="F27" s="15" t="n"/>
      <c r="G27" s="15">
        <f>IF(OR(G25="",C25=""),"",IFERROR(G25/C25-1,""))</f>
        <v/>
      </c>
      <c r="H27" s="15">
        <f>IF(OR(H25="",D25=""),"",IFERROR(H25/D25-1,""))</f>
        <v/>
      </c>
      <c r="I27" s="15">
        <f>IF(OR(I25="",E25=""),"",IFERROR(I25/E25-1,""))</f>
        <v/>
      </c>
      <c r="J27" s="15">
        <f>IF(OR(J25="",F25=""),"",IFERROR(J25/F25-1,""))</f>
        <v/>
      </c>
      <c r="K27" s="15">
        <f>IF(OR(K25="",G25=""),"",IFERROR(K25/G25-1,""))</f>
        <v/>
      </c>
      <c r="L27" s="15">
        <f>IF(OR(L25="",H25=""),"",IFERROR(L25/H25-1,""))</f>
        <v/>
      </c>
      <c r="M27" s="15">
        <f>IF(OR(M25="",I25=""),"",IFERROR(M25/I25-1,""))</f>
        <v/>
      </c>
      <c r="N27" s="15">
        <f>IF(OR(N25="",J25=""),"",IFERROR(N25/J25-1,""))</f>
        <v/>
      </c>
      <c r="O27" s="14" t="n"/>
      <c r="P27" s="15">
        <f>IF(OR(P25="",O25=""),"",IFERROR(P25/O25-1,""))</f>
        <v/>
      </c>
      <c r="Q27" s="15">
        <f>IF(OR(Q25="",P25=""),"",IFERROR(Q25/P25-1,""))</f>
        <v/>
      </c>
      <c r="R27" s="15">
        <f>IF(OR(R25="",Q25=""),"",IFERROR(R25/Q25-1,""))</f>
        <v/>
      </c>
      <c r="S27" s="15">
        <f>IF(OR(S25="",R25=""),"",IFERROR(S25/R25-1,""))</f>
        <v/>
      </c>
      <c r="T27" s="15">
        <f>IF(OR(T25="",S25=""),"",IFERROR(T25/S25-1,""))</f>
        <v/>
      </c>
      <c r="U27" s="15">
        <f>IF(OR(U25="",T25=""),"",IFERROR(U25/T25-1,""))</f>
        <v/>
      </c>
      <c r="V27" s="15">
        <f>IF(OR(V25="",U25=""),"",IFERROR(V25/U25-1,""))</f>
        <v/>
      </c>
      <c r="W27" s="15">
        <f>IF(OR(W25="",V25=""),"",IFERROR(W25/V25-1,""))</f>
        <v/>
      </c>
      <c r="X27" s="15">
        <f>IF(OR(X25="",W25=""),"",IFERROR(X25/W25-1,""))</f>
        <v/>
      </c>
      <c r="Y27" s="14">
        <f>IF(OR(Y25="",X25=""),"",IFERROR(Y25/X25-1,""))</f>
        <v/>
      </c>
      <c r="Z27" s="15">
        <f>IF(OR(Z25="",Y25=""),"",IFERROR(Z25/Y25-1,""))</f>
        <v/>
      </c>
      <c r="AA27" s="15">
        <f>IF(OR(AA25="",Z25=""),"",IFERROR(AA25/Z25-1,""))</f>
        <v/>
      </c>
      <c r="AB27" s="15">
        <f>IF(OR(AB25="",AA25=""),"",IFERROR(AB25/AA25-1,""))</f>
        <v/>
      </c>
      <c r="AC27" s="15">
        <f>IF(OR(AC25="",AB25=""),"",IFERROR(AC25/AB25-1,""))</f>
        <v/>
      </c>
    </row>
    <row r="28">
      <c r="A28" s="16" t="inlineStr">
        <is>
          <t>매출원가</t>
        </is>
      </c>
      <c r="B28" s="16" t="n"/>
      <c r="C28" s="17" t="n"/>
      <c r="D28" s="16" t="n"/>
      <c r="E28" s="16" t="n"/>
      <c r="F28" s="16" t="n"/>
      <c r="G28" s="16" t="n"/>
      <c r="H28" s="16" t="n"/>
      <c r="I28" s="16" t="n"/>
      <c r="J28" s="16" t="n"/>
      <c r="K28" s="16" t="n"/>
      <c r="L28" s="16" t="n"/>
      <c r="M28" s="16" t="n"/>
      <c r="N28" s="16" t="n"/>
      <c r="O28" s="17" t="n"/>
      <c r="P28" s="16" t="n"/>
      <c r="Q28" s="16" t="n"/>
      <c r="R28" s="16" t="n"/>
      <c r="S28" s="16" t="n"/>
      <c r="T28" s="16" t="n"/>
      <c r="U28" s="16" t="n"/>
      <c r="V28" s="16" t="n"/>
      <c r="W28" s="16" t="n"/>
      <c r="X28" s="16" t="n"/>
      <c r="Y28" s="17" t="n"/>
      <c r="Z28" s="16" t="n"/>
      <c r="AA28" s="16" t="n"/>
      <c r="AB28" s="16" t="n"/>
      <c r="AC28" s="16" t="n"/>
    </row>
    <row r="29">
      <c r="A29" s="18" t="inlineStr">
        <is>
          <t>전체 매출원가</t>
        </is>
      </c>
      <c r="B29" s="10" t="n"/>
      <c r="C29" s="19" t="n">
        <v>866527</v>
      </c>
      <c r="D29" s="20" t="n">
        <v>1044115</v>
      </c>
      <c r="E29" s="20" t="n">
        <v>913589</v>
      </c>
      <c r="F29" s="20" t="n">
        <v>919241</v>
      </c>
      <c r="G29" s="20" t="n">
        <v>938202</v>
      </c>
      <c r="H29" s="20" t="n">
        <v>1058464</v>
      </c>
      <c r="I29" s="20" t="n">
        <v>897548</v>
      </c>
      <c r="J29" s="20" t="n">
        <v>967961</v>
      </c>
      <c r="K29" s="20" t="n">
        <v>960417</v>
      </c>
      <c r="L29" s="20" t="n">
        <v>1179323</v>
      </c>
      <c r="M29" s="20" t="n">
        <v>997783</v>
      </c>
      <c r="N29" s="20" t="n">
        <v>1053577</v>
      </c>
      <c r="O29" s="19" t="n"/>
      <c r="P29" s="20" t="n">
        <v>3090449</v>
      </c>
      <c r="Q29" s="20" t="n">
        <v>3186869</v>
      </c>
      <c r="R29" s="20" t="n">
        <v>3200170</v>
      </c>
      <c r="S29" s="20" t="n">
        <v>3017059</v>
      </c>
      <c r="T29" s="20" t="n">
        <v>3212216</v>
      </c>
      <c r="U29" s="20" t="n">
        <v>3596781</v>
      </c>
      <c r="V29" s="20" t="n">
        <v>3712065</v>
      </c>
      <c r="W29" s="20" t="n">
        <v>3829496</v>
      </c>
      <c r="X29" s="20" t="n">
        <v>4005249</v>
      </c>
      <c r="Y29" s="19" t="n"/>
      <c r="Z29" s="20" t="n"/>
      <c r="AA29" s="20" t="n"/>
      <c r="AB29" s="20" t="n"/>
      <c r="AC29" s="20" t="n"/>
    </row>
    <row r="30">
      <c r="A30" s="13" t="inlineStr">
        <is>
          <t>YoY</t>
        </is>
      </c>
      <c r="B30" s="10" t="n"/>
      <c r="C30" s="14" t="n"/>
      <c r="D30" s="15" t="n"/>
      <c r="E30" s="15" t="n"/>
      <c r="F30" s="15" t="n"/>
      <c r="G30" s="15">
        <f>IF(OR(G29="",C29=""),"",IF(C29&lt;=0,"",IFERROR(G29/C29-1,"")))</f>
        <v/>
      </c>
      <c r="H30" s="15">
        <f>IF(OR(H29="",D29=""),"",IF(D29&lt;=0,"",IFERROR(H29/D29-1,"")))</f>
        <v/>
      </c>
      <c r="I30" s="15">
        <f>IF(OR(I29="",E29=""),"",IF(E29&lt;=0,"",IFERROR(I29/E29-1,"")))</f>
        <v/>
      </c>
      <c r="J30" s="15">
        <f>IF(OR(J29="",F29=""),"",IF(F29&lt;=0,"",IFERROR(J29/F29-1,"")))</f>
        <v/>
      </c>
      <c r="K30" s="15">
        <f>IF(OR(K29="",G29=""),"",IF(G29&lt;=0,"",IFERROR(K29/G29-1,"")))</f>
        <v/>
      </c>
      <c r="L30" s="15">
        <f>IF(OR(L29="",H29=""),"",IF(H29&lt;=0,"",IFERROR(L29/H29-1,"")))</f>
        <v/>
      </c>
      <c r="M30" s="15">
        <f>IF(OR(M29="",I29=""),"",IF(I29&lt;=0,"",IFERROR(M29/I29-1,"")))</f>
        <v/>
      </c>
      <c r="N30" s="15">
        <f>IF(OR(N29="",J29=""),"",IF(J29&lt;=0,"",IFERROR(N29/J29-1,"")))</f>
        <v/>
      </c>
      <c r="O30" s="14" t="n"/>
      <c r="P30" s="15">
        <f>IF(OR(P29="",O29=""),"",IF(O29&lt;=0,"",IFERROR(P29/O29-1,"")))</f>
        <v/>
      </c>
      <c r="Q30" s="15">
        <f>IF(OR(Q29="",P29=""),"",IF(P29&lt;=0,"",IFERROR(Q29/P29-1,"")))</f>
        <v/>
      </c>
      <c r="R30" s="15">
        <f>IF(OR(R29="",Q29=""),"",IF(Q29&lt;=0,"",IFERROR(R29/Q29-1,"")))</f>
        <v/>
      </c>
      <c r="S30" s="15">
        <f>IF(OR(S29="",R29=""),"",IF(R29&lt;=0,"",IFERROR(S29/R29-1,"")))</f>
        <v/>
      </c>
      <c r="T30" s="15">
        <f>IF(OR(T29="",S29=""),"",IF(S29&lt;=0,"",IFERROR(T29/S29-1,"")))</f>
        <v/>
      </c>
      <c r="U30" s="15">
        <f>IF(OR(U29="",T29=""),"",IF(T29&lt;=0,"",IFERROR(U29/T29-1,"")))</f>
        <v/>
      </c>
      <c r="V30" s="15">
        <f>IF(OR(V29="",U29=""),"",IF(U29&lt;=0,"",IFERROR(V29/U29-1,"")))</f>
        <v/>
      </c>
      <c r="W30" s="15">
        <f>IF(OR(W29="",V29=""),"",IF(V29&lt;=0,"",IFERROR(W29/V29-1,"")))</f>
        <v/>
      </c>
      <c r="X30" s="15">
        <f>IF(OR(X29="",W29=""),"",IF(W29&lt;=0,"",IFERROR(X29/W29-1,"")))</f>
        <v/>
      </c>
      <c r="Y30" s="14">
        <f>IF(OR(Y29="",X29=""),"",IF(X29&lt;=0,"",IFERROR(Y29/X29-1,"")))</f>
        <v/>
      </c>
      <c r="Z30" s="15">
        <f>IF(OR(Z29="",Y29=""),"",IF(Y29&lt;=0,"",IFERROR(Z29/Y29-1,"")))</f>
        <v/>
      </c>
      <c r="AA30" s="15">
        <f>IF(OR(AA29="",Z29=""),"",IF(Z29&lt;=0,"",IFERROR(AA29/Z29-1,"")))</f>
        <v/>
      </c>
      <c r="AB30" s="15">
        <f>IF(OR(AB29="",AA29=""),"",IF(AA29&lt;=0,"",IFERROR(AB29/AA29-1,"")))</f>
        <v/>
      </c>
      <c r="AC30" s="15">
        <f>IF(OR(AC29="",AB29=""),"",IF(AB29&lt;=0,"",IFERROR(AC29/AB29-1,"")))</f>
        <v/>
      </c>
    </row>
    <row r="31">
      <c r="A31" s="18" t="inlineStr">
        <is>
          <t>매출총이익</t>
        </is>
      </c>
      <c r="B31" s="10" t="n"/>
      <c r="C31" s="19">
        <f>IF(OR(C4="",C29=""),"",IFERROR(C4-C29,""))</f>
        <v/>
      </c>
      <c r="D31" s="20">
        <f>IF(OR(D4="",D29=""),"",IFERROR(D4-D29,""))</f>
        <v/>
      </c>
      <c r="E31" s="20">
        <f>IF(OR(E4="",E29=""),"",IFERROR(E4-E29,""))</f>
        <v/>
      </c>
      <c r="F31" s="20">
        <f>IF(OR(F4="",F29=""),"",IFERROR(F4-F29,""))</f>
        <v/>
      </c>
      <c r="G31" s="20">
        <f>IF(OR(G4="",G29=""),"",IFERROR(G4-G29,""))</f>
        <v/>
      </c>
      <c r="H31" s="20">
        <f>IF(OR(H4="",H29=""),"",IFERROR(H4-H29,""))</f>
        <v/>
      </c>
      <c r="I31" s="20">
        <f>IF(OR(I4="",I29=""),"",IFERROR(I4-I29,""))</f>
        <v/>
      </c>
      <c r="J31" s="20">
        <f>IF(OR(J4="",J29=""),"",IFERROR(J4-J29,""))</f>
        <v/>
      </c>
      <c r="K31" s="20">
        <f>IF(OR(K4="",K29=""),"",IFERROR(K4-K29,""))</f>
        <v/>
      </c>
      <c r="L31" s="20">
        <f>IF(OR(L4="",L29=""),"",IFERROR(L4-L29,""))</f>
        <v/>
      </c>
      <c r="M31" s="20">
        <f>IF(OR(M4="",M29=""),"",IFERROR(M4-M29,""))</f>
        <v/>
      </c>
      <c r="N31" s="20">
        <f>IF(OR(N4="",N29=""),"",IFERROR(N4-N29,""))</f>
        <v/>
      </c>
      <c r="O31" s="19">
        <f>IF(OR(O4="",O29=""),"",IFERROR(O4-O29,""))</f>
        <v/>
      </c>
      <c r="P31" s="20">
        <f>IF(OR(P4="",P29=""),"",IFERROR(P4-P29,""))</f>
        <v/>
      </c>
      <c r="Q31" s="20">
        <f>IF(OR(Q4="",Q29=""),"",IFERROR(Q4-Q29,""))</f>
        <v/>
      </c>
      <c r="R31" s="20">
        <f>IF(OR(R4="",R29=""),"",IFERROR(R4-R29,""))</f>
        <v/>
      </c>
      <c r="S31" s="20">
        <f>IF(OR(S4="",S29=""),"",IFERROR(S4-S29,""))</f>
        <v/>
      </c>
      <c r="T31" s="20">
        <f>IF(OR(T4="",T29=""),"",IFERROR(T4-T29,""))</f>
        <v/>
      </c>
      <c r="U31" s="20">
        <f>IF(OR(U4="",U29=""),"",IFERROR(U4-U29,""))</f>
        <v/>
      </c>
      <c r="V31" s="20">
        <f>IF(OR(V4="",V29=""),"",IFERROR(V4-V29,""))</f>
        <v/>
      </c>
      <c r="W31" s="20">
        <f>IF(OR(W4="",W29=""),"",IFERROR(W4-W29,""))</f>
        <v/>
      </c>
      <c r="X31" s="20">
        <f>IF(OR(X4="",X29=""),"",IFERROR(X4-X29,""))</f>
        <v/>
      </c>
      <c r="Y31" s="19" t="n"/>
      <c r="Z31" s="20" t="n"/>
      <c r="AA31" s="20" t="n"/>
      <c r="AB31" s="20" t="n"/>
      <c r="AC31" s="20" t="n"/>
    </row>
    <row r="32">
      <c r="A32" s="13" t="inlineStr">
        <is>
          <t>GPM</t>
        </is>
      </c>
      <c r="B32" s="10" t="n"/>
      <c r="C32" s="14">
        <f>IF(OR(C31="",C4=""),"",IFERROR(C31/C4,""))</f>
        <v/>
      </c>
      <c r="D32" s="15">
        <f>IF(OR(D31="",D4=""),"",IFERROR(D31/D4,""))</f>
        <v/>
      </c>
      <c r="E32" s="15">
        <f>IF(OR(E31="",E4=""),"",IFERROR(E31/E4,""))</f>
        <v/>
      </c>
      <c r="F32" s="15">
        <f>IF(OR(F31="",F4=""),"",IFERROR(F31/F4,""))</f>
        <v/>
      </c>
      <c r="G32" s="15">
        <f>IF(OR(G31="",G4=""),"",IFERROR(G31/G4,""))</f>
        <v/>
      </c>
      <c r="H32" s="15">
        <f>IF(OR(H31="",H4=""),"",IFERROR(H31/H4,""))</f>
        <v/>
      </c>
      <c r="I32" s="15">
        <f>IF(OR(I31="",I4=""),"",IFERROR(I31/I4,""))</f>
        <v/>
      </c>
      <c r="J32" s="15">
        <f>IF(OR(J31="",J4=""),"",IFERROR(J31/J4,""))</f>
        <v/>
      </c>
      <c r="K32" s="15">
        <f>IF(OR(K31="",K4=""),"",IFERROR(K31/K4,""))</f>
        <v/>
      </c>
      <c r="L32" s="15">
        <f>IF(OR(L31="",L4=""),"",IFERROR(L31/L4,""))</f>
        <v/>
      </c>
      <c r="M32" s="15">
        <f>IF(OR(M31="",M4=""),"",IFERROR(M31/M4,""))</f>
        <v/>
      </c>
      <c r="N32" s="15">
        <f>IF(OR(N31="",N4=""),"",IFERROR(N31/N4,""))</f>
        <v/>
      </c>
      <c r="O32" s="14">
        <f>IF(OR(O31="",O4=""),"",IFERROR(O31/O4,""))</f>
        <v/>
      </c>
      <c r="P32" s="15">
        <f>IF(OR(P31="",P4=""),"",IFERROR(P31/P4,""))</f>
        <v/>
      </c>
      <c r="Q32" s="15">
        <f>IF(OR(Q31="",Q4=""),"",IFERROR(Q31/Q4,""))</f>
        <v/>
      </c>
      <c r="R32" s="15">
        <f>IF(OR(R31="",R4=""),"",IFERROR(R31/R4,""))</f>
        <v/>
      </c>
      <c r="S32" s="15">
        <f>IF(OR(S31="",S4=""),"",IFERROR(S31/S4,""))</f>
        <v/>
      </c>
      <c r="T32" s="15">
        <f>IF(OR(T31="",T4=""),"",IFERROR(T31/T4,""))</f>
        <v/>
      </c>
      <c r="U32" s="15">
        <f>IF(OR(U31="",U4=""),"",IFERROR(U31/U4,""))</f>
        <v/>
      </c>
      <c r="V32" s="15">
        <f>IF(OR(V31="",V4=""),"",IFERROR(V31/V4,""))</f>
        <v/>
      </c>
      <c r="W32" s="15">
        <f>IF(OR(W31="",W4=""),"",IFERROR(W31/W4,""))</f>
        <v/>
      </c>
      <c r="X32" s="15">
        <f>IF(OR(X31="",X4=""),"",IFERROR(X31/X4,""))</f>
        <v/>
      </c>
      <c r="Y32" s="14">
        <f>IF(OR(Y31="",Y4=""),"",IFERROR(Y31/Y4,""))</f>
        <v/>
      </c>
      <c r="Z32" s="15">
        <f>IF(OR(Z31="",Z4=""),"",IFERROR(Z31/Z4,""))</f>
        <v/>
      </c>
      <c r="AA32" s="15">
        <f>IF(OR(AA31="",AA4=""),"",IFERROR(AA31/AA4,""))</f>
        <v/>
      </c>
      <c r="AB32" s="15">
        <f>IF(OR(AB31="",AB4=""),"",IFERROR(AB31/AB4,""))</f>
        <v/>
      </c>
      <c r="AC32" s="15">
        <f>IF(OR(AC31="",AC4=""),"",IFERROR(AC31/AC4,""))</f>
        <v/>
      </c>
    </row>
    <row r="33">
      <c r="A33" s="13" t="inlineStr">
        <is>
          <t>YoY</t>
        </is>
      </c>
      <c r="B33" s="10" t="n"/>
      <c r="C33" s="14" t="n"/>
      <c r="D33" s="15" t="n"/>
      <c r="E33" s="15" t="n"/>
      <c r="F33" s="15" t="n"/>
      <c r="G33" s="15">
        <f>IF(OR(G31="",C31=""),"",IF(C31&lt;=0,"",IFERROR(G31/C31-1,"")))</f>
        <v/>
      </c>
      <c r="H33" s="15">
        <f>IF(OR(H31="",D31=""),"",IF(D31&lt;=0,"",IFERROR(H31/D31-1,"")))</f>
        <v/>
      </c>
      <c r="I33" s="15">
        <f>IF(OR(I31="",E31=""),"",IF(E31&lt;=0,"",IFERROR(I31/E31-1,"")))</f>
        <v/>
      </c>
      <c r="J33" s="15">
        <f>IF(OR(J31="",F31=""),"",IF(F31&lt;=0,"",IFERROR(J31/F31-1,"")))</f>
        <v/>
      </c>
      <c r="K33" s="15">
        <f>IF(OR(K31="",G31=""),"",IF(G31&lt;=0,"",IFERROR(K31/G31-1,"")))</f>
        <v/>
      </c>
      <c r="L33" s="15">
        <f>IF(OR(L31="",H31=""),"",IF(H31&lt;=0,"",IFERROR(L31/H31-1,"")))</f>
        <v/>
      </c>
      <c r="M33" s="15">
        <f>IF(OR(M31="",I31=""),"",IF(I31&lt;=0,"",IFERROR(M31/I31-1,"")))</f>
        <v/>
      </c>
      <c r="N33" s="15">
        <f>IF(OR(N31="",J31=""),"",IF(J31&lt;=0,"",IFERROR(N31/J31-1,"")))</f>
        <v/>
      </c>
      <c r="O33" s="14" t="n"/>
      <c r="P33" s="15">
        <f>IF(OR(P31="",O31=""),"",IF(O31&lt;=0,"",IFERROR(P31/O31-1,"")))</f>
        <v/>
      </c>
      <c r="Q33" s="15">
        <f>IF(OR(Q31="",P31=""),"",IF(P31&lt;=0,"",IFERROR(Q31/P31-1,"")))</f>
        <v/>
      </c>
      <c r="R33" s="15">
        <f>IF(OR(R31="",Q31=""),"",IF(Q31&lt;=0,"",IFERROR(R31/Q31-1,"")))</f>
        <v/>
      </c>
      <c r="S33" s="15">
        <f>IF(OR(S31="",R31=""),"",IF(R31&lt;=0,"",IFERROR(S31/R31-1,"")))</f>
        <v/>
      </c>
      <c r="T33" s="15">
        <f>IF(OR(T31="",S31=""),"",IF(S31&lt;=0,"",IFERROR(T31/S31-1,"")))</f>
        <v/>
      </c>
      <c r="U33" s="15">
        <f>IF(OR(U31="",T31=""),"",IF(T31&lt;=0,"",IFERROR(U31/T31-1,"")))</f>
        <v/>
      </c>
      <c r="V33" s="15">
        <f>IF(OR(V31="",U31=""),"",IF(U31&lt;=0,"",IFERROR(V31/U31-1,"")))</f>
        <v/>
      </c>
      <c r="W33" s="15">
        <f>IF(OR(W31="",V31=""),"",IF(V31&lt;=0,"",IFERROR(W31/V31-1,"")))</f>
        <v/>
      </c>
      <c r="X33" s="15">
        <f>IF(OR(X31="",W31=""),"",IF(W31&lt;=0,"",IFERROR(X31/W31-1,"")))</f>
        <v/>
      </c>
      <c r="Y33" s="14">
        <f>IF(OR(Y31="",X31=""),"",IF(X31&lt;=0,"",IFERROR(Y31/X31-1,"")))</f>
        <v/>
      </c>
      <c r="Z33" s="15">
        <f>IF(OR(Z31="",Y31=""),"",IF(Y31&lt;=0,"",IFERROR(Z31/Y31-1,"")))</f>
        <v/>
      </c>
      <c r="AA33" s="15">
        <f>IF(OR(AA31="",Z31=""),"",IF(Z31&lt;=0,"",IFERROR(AA31/Z31-1,"")))</f>
        <v/>
      </c>
      <c r="AB33" s="15">
        <f>IF(OR(AB31="",AA31=""),"",IF(AA31&lt;=0,"",IFERROR(AB31/AA31-1,"")))</f>
        <v/>
      </c>
      <c r="AC33" s="15">
        <f>IF(OR(AC31="",AB31=""),"",IF(AB31&lt;=0,"",IFERROR(AC31/AB31-1,"")))</f>
        <v/>
      </c>
    </row>
    <row r="34">
      <c r="A34" s="23" t="inlineStr">
        <is>
          <t>판매관리비</t>
        </is>
      </c>
      <c r="B34" s="23" t="n"/>
      <c r="C34" s="24" t="n"/>
      <c r="D34" s="23" t="n"/>
      <c r="E34" s="23" t="n"/>
      <c r="F34" s="23" t="n"/>
      <c r="G34" s="23" t="n"/>
      <c r="H34" s="23" t="n"/>
      <c r="I34" s="23" t="n"/>
      <c r="J34" s="23" t="n"/>
      <c r="K34" s="23" t="n"/>
      <c r="L34" s="23" t="n"/>
      <c r="M34" s="23" t="n"/>
      <c r="N34" s="23" t="n"/>
      <c r="O34" s="24" t="n"/>
      <c r="P34" s="23" t="n"/>
      <c r="Q34" s="23" t="n"/>
      <c r="R34" s="23" t="n"/>
      <c r="S34" s="23" t="n"/>
      <c r="T34" s="23" t="n"/>
      <c r="U34" s="23" t="n"/>
      <c r="V34" s="23" t="n"/>
      <c r="W34" s="23" t="n"/>
      <c r="X34" s="23" t="n"/>
      <c r="Y34" s="24" t="n"/>
      <c r="Z34" s="23" t="n"/>
      <c r="AA34" s="23" t="n"/>
      <c r="AB34" s="23" t="n"/>
      <c r="AC34" s="23" t="n"/>
    </row>
    <row r="35">
      <c r="A35" s="18" t="inlineStr">
        <is>
          <t>전체 판관비</t>
        </is>
      </c>
      <c r="B35" s="10" t="n"/>
      <c r="C35" s="19" t="n">
        <v>292119</v>
      </c>
      <c r="D35" s="20" t="n">
        <v>345113</v>
      </c>
      <c r="E35" s="20" t="n">
        <v>316066</v>
      </c>
      <c r="F35" s="20" t="n">
        <v>319233</v>
      </c>
      <c r="G35" s="20" t="n">
        <v>316141</v>
      </c>
      <c r="H35" s="20" t="n">
        <v>364357</v>
      </c>
      <c r="I35" s="20" t="n">
        <v>321497</v>
      </c>
      <c r="J35" s="20" t="n">
        <v>340942</v>
      </c>
      <c r="K35" s="20" t="n">
        <v>324814</v>
      </c>
      <c r="L35" s="20" t="n">
        <v>401036</v>
      </c>
      <c r="M35" s="20" t="n">
        <v>355008</v>
      </c>
      <c r="N35" s="20" t="n">
        <v>374001</v>
      </c>
      <c r="O35" s="19" t="n"/>
      <c r="P35" s="20" t="n">
        <v>1021361</v>
      </c>
      <c r="Q35" s="20" t="n">
        <v>1043294</v>
      </c>
      <c r="R35" s="20" t="n">
        <v>1017075</v>
      </c>
      <c r="S35" s="20" t="n">
        <v>953602</v>
      </c>
      <c r="T35" s="20" t="n">
        <v>1013674</v>
      </c>
      <c r="U35" s="20" t="n">
        <v>1147981</v>
      </c>
      <c r="V35" s="20" t="n">
        <v>1237201</v>
      </c>
      <c r="W35" s="20" t="n">
        <v>1315797</v>
      </c>
      <c r="X35" s="20" t="n">
        <v>1388289</v>
      </c>
      <c r="Y35" s="19" t="n"/>
      <c r="Z35" s="20" t="n"/>
      <c r="AA35" s="20" t="n"/>
      <c r="AB35" s="20" t="n"/>
      <c r="AC35" s="20" t="n"/>
    </row>
    <row r="36">
      <c r="A36" s="13" t="inlineStr">
        <is>
          <t>YoY</t>
        </is>
      </c>
      <c r="B36" s="10" t="n"/>
      <c r="C36" s="14" t="n"/>
      <c r="D36" s="15" t="n"/>
      <c r="E36" s="15" t="n"/>
      <c r="F36" s="15" t="n"/>
      <c r="G36" s="15">
        <f>IF(OR(G35="",C35=""),"",IF(C35&lt;=0,"",IFERROR(G35/C35-1,"")))</f>
        <v/>
      </c>
      <c r="H36" s="15">
        <f>IF(OR(H35="",D35=""),"",IF(D35&lt;=0,"",IFERROR(H35/D35-1,"")))</f>
        <v/>
      </c>
      <c r="I36" s="15">
        <f>IF(OR(I35="",E35=""),"",IF(E35&lt;=0,"",IFERROR(I35/E35-1,"")))</f>
        <v/>
      </c>
      <c r="J36" s="15">
        <f>IF(OR(J35="",F35=""),"",IF(F35&lt;=0,"",IFERROR(J35/F35-1,"")))</f>
        <v/>
      </c>
      <c r="K36" s="15">
        <f>IF(OR(K35="",G35=""),"",IF(G35&lt;=0,"",IFERROR(K35/G35-1,"")))</f>
        <v/>
      </c>
      <c r="L36" s="15">
        <f>IF(OR(L35="",H35=""),"",IF(H35&lt;=0,"",IFERROR(L35/H35-1,"")))</f>
        <v/>
      </c>
      <c r="M36" s="15">
        <f>IF(OR(M35="",I35=""),"",IF(I35&lt;=0,"",IFERROR(M35/I35-1,"")))</f>
        <v/>
      </c>
      <c r="N36" s="15">
        <f>IF(OR(N35="",J35=""),"",IF(J35&lt;=0,"",IFERROR(N35/J35-1,"")))</f>
        <v/>
      </c>
      <c r="O36" s="14" t="n"/>
      <c r="P36" s="15">
        <f>IF(OR(P35="",O35=""),"",IF(O35&lt;=0,"",IFERROR(P35/O35-1,"")))</f>
        <v/>
      </c>
      <c r="Q36" s="15">
        <f>IF(OR(Q35="",P35=""),"",IF(P35&lt;=0,"",IFERROR(Q35/P35-1,"")))</f>
        <v/>
      </c>
      <c r="R36" s="15">
        <f>IF(OR(R35="",Q35=""),"",IF(Q35&lt;=0,"",IFERROR(R35/Q35-1,"")))</f>
        <v/>
      </c>
      <c r="S36" s="15">
        <f>IF(OR(S35="",R35=""),"",IF(R35&lt;=0,"",IFERROR(S35/R35-1,"")))</f>
        <v/>
      </c>
      <c r="T36" s="15">
        <f>IF(OR(T35="",S35=""),"",IF(S35&lt;=0,"",IFERROR(T35/S35-1,"")))</f>
        <v/>
      </c>
      <c r="U36" s="15">
        <f>IF(OR(U35="",T35=""),"",IF(T35&lt;=0,"",IFERROR(U35/T35-1,"")))</f>
        <v/>
      </c>
      <c r="V36" s="15">
        <f>IF(OR(V35="",U35=""),"",IF(U35&lt;=0,"",IFERROR(V35/U35-1,"")))</f>
        <v/>
      </c>
      <c r="W36" s="15">
        <f>IF(OR(W35="",V35=""),"",IF(V35&lt;=0,"",IFERROR(W35/V35-1,"")))</f>
        <v/>
      </c>
      <c r="X36" s="15">
        <f>IF(OR(X35="",W35=""),"",IF(W35&lt;=0,"",IFERROR(X35/W35-1,"")))</f>
        <v/>
      </c>
      <c r="Y36" s="14">
        <f>IF(OR(Y35="",X35=""),"",IF(X35&lt;=0,"",IFERROR(Y35/X35-1,"")))</f>
        <v/>
      </c>
      <c r="Z36" s="15">
        <f>IF(OR(Z35="",Y35=""),"",IF(Y35&lt;=0,"",IFERROR(Z35/Y35-1,"")))</f>
        <v/>
      </c>
      <c r="AA36" s="15">
        <f>IF(OR(AA35="",Z35=""),"",IF(Z35&lt;=0,"",IFERROR(AA35/Z35-1,"")))</f>
        <v/>
      </c>
      <c r="AB36" s="15">
        <f>IF(OR(AB35="",AA35=""),"",IF(AA35&lt;=0,"",IFERROR(AB35/AA35-1,"")))</f>
        <v/>
      </c>
      <c r="AC36" s="15">
        <f>IF(OR(AC35="",AB35=""),"",IF(AB35&lt;=0,"",IFERROR(AC35/AB35-1,"")))</f>
        <v/>
      </c>
    </row>
    <row r="37">
      <c r="A37" s="9" t="inlineStr">
        <is>
          <t>영업이익</t>
        </is>
      </c>
      <c r="B37" s="10" t="inlineStr">
        <is>
          <t>MW = 매출 × OPM</t>
        </is>
      </c>
      <c r="C37" s="11" t="n">
        <v>86494</v>
      </c>
      <c r="D37" s="12" t="n">
        <v>106192</v>
      </c>
      <c r="E37" s="12" t="n">
        <v>58659</v>
      </c>
      <c r="F37" s="12" t="n">
        <v>118023</v>
      </c>
      <c r="G37" s="12" t="n">
        <v>126873</v>
      </c>
      <c r="H37" s="12" t="n">
        <v>88295</v>
      </c>
      <c r="I37" s="12" t="n">
        <v>111972</v>
      </c>
      <c r="J37" s="12" t="n">
        <v>112394</v>
      </c>
      <c r="K37" s="12" t="n">
        <v>70391</v>
      </c>
      <c r="L37" s="12" t="n">
        <v>138338</v>
      </c>
      <c r="M37" s="12" t="n">
        <v>139501</v>
      </c>
      <c r="N37" s="12" t="n">
        <v>218611</v>
      </c>
      <c r="O37" s="11" t="n"/>
      <c r="P37" s="12" t="n">
        <v>327444</v>
      </c>
      <c r="Q37" s="12" t="n">
        <v>290477</v>
      </c>
      <c r="R37" s="12" t="n">
        <v>259661</v>
      </c>
      <c r="S37" s="12" t="n">
        <v>230195</v>
      </c>
      <c r="T37" s="12" t="n">
        <v>252051</v>
      </c>
      <c r="U37" s="12" t="n">
        <v>262352</v>
      </c>
      <c r="V37" s="12" t="n">
        <v>328525</v>
      </c>
      <c r="W37" s="12" t="n">
        <v>391850</v>
      </c>
      <c r="X37" s="12" t="n">
        <v>433095</v>
      </c>
      <c r="Y37" s="11">
        <f>IF(OR(Y4="",Y38=""),"",IFERROR(Y4*Y38,""))</f>
        <v/>
      </c>
      <c r="Z37" s="12">
        <f>IF(OR(Z4="",Z38=""),"",IFERROR(Z4*Z38,""))</f>
        <v/>
      </c>
      <c r="AA37" s="12">
        <f>IF(OR(AA4="",AA38=""),"",IFERROR(AA4*AA38,""))</f>
        <v/>
      </c>
      <c r="AB37" s="12">
        <f>IF(OR(AB4="",AB38=""),"",IFERROR(AB4*AB38,""))</f>
        <v/>
      </c>
      <c r="AC37" s="12">
        <f>IF(OR(AC4="",AC38=""),"",IFERROR(AC4*AC38,""))</f>
        <v/>
      </c>
    </row>
    <row r="38">
      <c r="A38" s="13" t="inlineStr">
        <is>
          <t>OPM</t>
        </is>
      </c>
      <c r="B38" s="10" t="inlineStr">
        <is>
          <t>MW 입력</t>
        </is>
      </c>
      <c r="C38" s="14">
        <f>IF(OR(C37="",C4=""),"",IFERROR(C37/C4,""))</f>
        <v/>
      </c>
      <c r="D38" s="15">
        <f>IF(OR(D37="",D4=""),"",IFERROR(D37/D4,""))</f>
        <v/>
      </c>
      <c r="E38" s="15">
        <f>IF(OR(E37="",E4=""),"",IFERROR(E37/E4,""))</f>
        <v/>
      </c>
      <c r="F38" s="15">
        <f>IF(OR(F37="",F4=""),"",IFERROR(F37/F4,""))</f>
        <v/>
      </c>
      <c r="G38" s="15">
        <f>IF(OR(G37="",G4=""),"",IFERROR(G37/G4,""))</f>
        <v/>
      </c>
      <c r="H38" s="15">
        <f>IF(OR(H37="",H4=""),"",IFERROR(H37/H4,""))</f>
        <v/>
      </c>
      <c r="I38" s="15">
        <f>IF(OR(I37="",I4=""),"",IFERROR(I37/I4,""))</f>
        <v/>
      </c>
      <c r="J38" s="15">
        <f>IF(OR(J37="",J4=""),"",IFERROR(J37/J4,""))</f>
        <v/>
      </c>
      <c r="K38" s="15">
        <f>IF(OR(K37="",K4=""),"",IFERROR(K37/K4,""))</f>
        <v/>
      </c>
      <c r="L38" s="15">
        <f>IF(OR(L37="",L4=""),"",IFERROR(L37/L4,""))</f>
        <v/>
      </c>
      <c r="M38" s="15">
        <f>IF(OR(M37="",M4=""),"",IFERROR(M37/M4,""))</f>
        <v/>
      </c>
      <c r="N38" s="15">
        <f>IF(OR(N37="",N4=""),"",IFERROR(N37/N4,""))</f>
        <v/>
      </c>
      <c r="O38" s="14">
        <f>IF(OR(O37="",O4=""),"",IFERROR(O37/O4,""))</f>
        <v/>
      </c>
      <c r="P38" s="15">
        <f>IF(OR(P37="",P4=""),"",IFERROR(P37/P4,""))</f>
        <v/>
      </c>
      <c r="Q38" s="15">
        <f>IF(OR(Q37="",Q4=""),"",IFERROR(Q37/Q4,""))</f>
        <v/>
      </c>
      <c r="R38" s="15">
        <f>IF(OR(R37="",R4=""),"",IFERROR(R37/R4,""))</f>
        <v/>
      </c>
      <c r="S38" s="15">
        <f>IF(OR(S37="",S4=""),"",IFERROR(S37/S4,""))</f>
        <v/>
      </c>
      <c r="T38" s="15">
        <f>IF(OR(T37="",T4=""),"",IFERROR(T37/T4,""))</f>
        <v/>
      </c>
      <c r="U38" s="15">
        <f>IF(OR(U37="",U4=""),"",IFERROR(U37/U4,""))</f>
        <v/>
      </c>
      <c r="V38" s="15">
        <f>IF(OR(V37="",V4=""),"",IFERROR(V37/V4,""))</f>
        <v/>
      </c>
      <c r="W38" s="15">
        <f>IF(OR(W37="",W4=""),"",IFERROR(W37/W4,""))</f>
        <v/>
      </c>
      <c r="X38" s="15">
        <f>IF(OR(X37="",X4=""),"",IFERROR(X37/X4,""))</f>
        <v/>
      </c>
      <c r="Y38" s="25" t="n"/>
      <c r="Z38" s="26" t="n"/>
      <c r="AA38" s="26" t="n"/>
      <c r="AB38" s="26" t="n"/>
      <c r="AC38" s="26" t="n"/>
    </row>
    <row r="39">
      <c r="A39" s="13" t="inlineStr">
        <is>
          <t>증가율</t>
        </is>
      </c>
      <c r="B39" s="10" t="n"/>
      <c r="C39" s="14" t="n"/>
      <c r="D39" s="15" t="n"/>
      <c r="E39" s="15" t="n"/>
      <c r="F39" s="15" t="n"/>
      <c r="G39" s="15">
        <f>IF(OR(G37="",C37=""),"",IFERROR(G37/C37-1,""))</f>
        <v/>
      </c>
      <c r="H39" s="15">
        <f>IF(OR(H37="",D37=""),"",IFERROR(H37/D37-1,""))</f>
        <v/>
      </c>
      <c r="I39" s="15">
        <f>IF(OR(I37="",E37=""),"",IFERROR(I37/E37-1,""))</f>
        <v/>
      </c>
      <c r="J39" s="15">
        <f>IF(OR(J37="",F37=""),"",IFERROR(J37/F37-1,""))</f>
        <v/>
      </c>
      <c r="K39" s="15">
        <f>IF(OR(K37="",G37=""),"",IFERROR(K37/G37-1,""))</f>
        <v/>
      </c>
      <c r="L39" s="15">
        <f>IF(OR(L37="",H37=""),"",IFERROR(L37/H37-1,""))</f>
        <v/>
      </c>
      <c r="M39" s="15">
        <f>IF(OR(M37="",I37=""),"",IFERROR(M37/I37-1,""))</f>
        <v/>
      </c>
      <c r="N39" s="15">
        <f>IF(OR(N37="",J37=""),"",IFERROR(N37/J37-1,""))</f>
        <v/>
      </c>
      <c r="O39" s="14" t="n"/>
      <c r="P39" s="15">
        <f>IF(OR(P37="",O37=""),"",IFERROR(P37/O37-1,""))</f>
        <v/>
      </c>
      <c r="Q39" s="15">
        <f>IF(OR(Q37="",P37=""),"",IFERROR(Q37/P37-1,""))</f>
        <v/>
      </c>
      <c r="R39" s="15">
        <f>IF(OR(R37="",Q37=""),"",IFERROR(R37/Q37-1,""))</f>
        <v/>
      </c>
      <c r="S39" s="15">
        <f>IF(OR(S37="",R37=""),"",IFERROR(S37/R37-1,""))</f>
        <v/>
      </c>
      <c r="T39" s="15">
        <f>IF(OR(T37="",S37=""),"",IFERROR(T37/S37-1,""))</f>
        <v/>
      </c>
      <c r="U39" s="15">
        <f>IF(OR(U37="",T37=""),"",IFERROR(U37/T37-1,""))</f>
        <v/>
      </c>
      <c r="V39" s="15">
        <f>IF(OR(V37="",U37=""),"",IFERROR(V37/U37-1,""))</f>
        <v/>
      </c>
      <c r="W39" s="15">
        <f>IF(OR(W37="",V37=""),"",IFERROR(W37/V37-1,""))</f>
        <v/>
      </c>
      <c r="X39" s="15">
        <f>IF(OR(X37="",W37=""),"",IFERROR(X37/W37-1,""))</f>
        <v/>
      </c>
      <c r="Y39" s="14">
        <f>IF(OR(Y37="",X37=""),"",IFERROR(Y37/X37-1,""))</f>
        <v/>
      </c>
      <c r="Z39" s="15">
        <f>IF(OR(Z37="",Y37=""),"",IFERROR(Z37/Y37-1,""))</f>
        <v/>
      </c>
      <c r="AA39" s="15">
        <f>IF(OR(AA37="",Z37=""),"",IFERROR(AA37/Z37-1,""))</f>
        <v/>
      </c>
      <c r="AB39" s="15">
        <f>IF(OR(AB37="",AA37=""),"",IFERROR(AB37/AA37-1,""))</f>
        <v/>
      </c>
      <c r="AC39" s="15">
        <f>IF(OR(AC37="",AB37=""),"",IFERROR(AC37/AB37-1,""))</f>
        <v/>
      </c>
    </row>
    <row r="40">
      <c r="A40" s="16" t="inlineStr">
        <is>
          <t>비용의 성격별 분류</t>
        </is>
      </c>
      <c r="B40" s="16" t="inlineStr">
        <is>
          <t>참고 데이터</t>
        </is>
      </c>
      <c r="C40" s="17" t="n"/>
      <c r="D40" s="16" t="n"/>
      <c r="E40" s="16" t="n"/>
      <c r="F40" s="16" t="n"/>
      <c r="G40" s="16" t="n"/>
      <c r="H40" s="16" t="n"/>
      <c r="I40" s="16" t="n"/>
      <c r="J40" s="16" t="n"/>
      <c r="K40" s="16" t="n"/>
      <c r="L40" s="16" t="n"/>
      <c r="M40" s="16" t="n"/>
      <c r="N40" s="16" t="n"/>
      <c r="O40" s="17" t="n"/>
      <c r="P40" s="16" t="n"/>
      <c r="Q40" s="16" t="n"/>
      <c r="R40" s="16" t="n"/>
      <c r="S40" s="16" t="n"/>
      <c r="T40" s="16" t="n"/>
      <c r="U40" s="16" t="n"/>
      <c r="V40" s="16" t="n"/>
      <c r="W40" s="16" t="n"/>
      <c r="X40" s="16" t="n"/>
      <c r="Y40" s="17" t="n"/>
      <c r="Z40" s="16" t="n"/>
      <c r="AA40" s="16" t="n"/>
      <c r="AB40" s="16" t="n"/>
      <c r="AC40" s="16" t="n"/>
    </row>
    <row r="41">
      <c r="A41" s="9" t="inlineStr">
        <is>
          <t>총 판관비</t>
        </is>
      </c>
      <c r="B41" s="10" t="n"/>
      <c r="C41" s="11" t="n"/>
      <c r="D41" s="12" t="n"/>
      <c r="E41" s="12" t="n"/>
      <c r="F41" s="12" t="n"/>
      <c r="G41" s="12" t="n"/>
      <c r="H41" s="12" t="n"/>
      <c r="I41" s="12" t="n"/>
      <c r="J41" s="12" t="n"/>
      <c r="K41" s="12" t="n"/>
      <c r="L41" s="12" t="n"/>
      <c r="M41" s="12" t="n"/>
      <c r="N41" s="12" t="n"/>
      <c r="O41" s="11">
        <f>IF(O35="","",O35)</f>
        <v/>
      </c>
      <c r="P41" s="12">
        <f>IF(P35="","",P35)</f>
        <v/>
      </c>
      <c r="Q41" s="12">
        <f>IF(Q35="","",Q35)</f>
        <v/>
      </c>
      <c r="R41" s="12">
        <f>IF(R35="","",R35)</f>
        <v/>
      </c>
      <c r="S41" s="12">
        <f>IF(S35="","",S35)</f>
        <v/>
      </c>
      <c r="T41" s="12">
        <f>IF(T35="","",T35)</f>
        <v/>
      </c>
      <c r="U41" s="12">
        <f>IF(U35="","",U35)</f>
        <v/>
      </c>
      <c r="V41" s="12">
        <f>IF(V35="","",V35)</f>
        <v/>
      </c>
      <c r="W41" s="12">
        <f>IF(W35="","",W35)</f>
        <v/>
      </c>
      <c r="X41" s="12">
        <f>IF(X35="","",X35)</f>
        <v/>
      </c>
      <c r="Y41" s="11" t="n"/>
      <c r="Z41" s="12" t="n"/>
      <c r="AA41" s="12" t="n"/>
      <c r="AB41" s="12" t="n"/>
      <c r="AC41" s="12" t="n"/>
    </row>
    <row r="42">
      <c r="A42" s="18" t="inlineStr">
        <is>
          <t>급여</t>
        </is>
      </c>
      <c r="B42" s="10" t="inlineStr">
        <is>
          <t>고정비</t>
        </is>
      </c>
      <c r="C42" s="19" t="n"/>
      <c r="D42" s="20" t="n"/>
      <c r="E42" s="20" t="n"/>
      <c r="F42" s="20" t="n"/>
      <c r="G42" s="20" t="n"/>
      <c r="H42" s="20" t="n"/>
      <c r="I42" s="20" t="n"/>
      <c r="J42" s="20" t="n"/>
      <c r="K42" s="20" t="n"/>
      <c r="L42" s="20" t="n"/>
      <c r="M42" s="20" t="n"/>
      <c r="N42" s="20" t="n"/>
      <c r="O42" s="19" t="n"/>
      <c r="P42" s="20" t="n"/>
      <c r="Q42" s="20" t="n"/>
      <c r="R42" s="20" t="n"/>
      <c r="S42" s="20" t="n"/>
      <c r="T42" s="20" t="n"/>
      <c r="U42" s="20" t="n"/>
      <c r="V42" s="20" t="n"/>
      <c r="W42" s="20" t="n"/>
      <c r="X42" s="20" t="n"/>
      <c r="Y42" s="19" t="n"/>
      <c r="Z42" s="20" t="n"/>
      <c r="AA42" s="20" t="n"/>
      <c r="AB42" s="20" t="n"/>
      <c r="AC42" s="20" t="n"/>
    </row>
    <row r="43">
      <c r="A43" s="13" t="inlineStr">
        <is>
          <t>% of Sales</t>
        </is>
      </c>
      <c r="B43" s="10" t="n"/>
      <c r="C43" s="14" t="n"/>
      <c r="D43" s="15" t="n"/>
      <c r="E43" s="15" t="n"/>
      <c r="F43" s="15" t="n"/>
      <c r="G43" s="15" t="n"/>
      <c r="H43" s="15" t="n"/>
      <c r="I43" s="15" t="n"/>
      <c r="J43" s="15" t="n"/>
      <c r="K43" s="15" t="n"/>
      <c r="L43" s="15" t="n"/>
      <c r="M43" s="15" t="n"/>
      <c r="N43" s="15" t="n"/>
      <c r="O43" s="14">
        <f>IF(OR(O42="",O4=""),"",IFERROR(O42/O4,""))</f>
        <v/>
      </c>
      <c r="P43" s="15">
        <f>IF(OR(P42="",P4=""),"",IFERROR(P42/P4,""))</f>
        <v/>
      </c>
      <c r="Q43" s="15">
        <f>IF(OR(Q42="",Q4=""),"",IFERROR(Q42/Q4,""))</f>
        <v/>
      </c>
      <c r="R43" s="15">
        <f>IF(OR(R42="",R4=""),"",IFERROR(R42/R4,""))</f>
        <v/>
      </c>
      <c r="S43" s="15">
        <f>IF(OR(S42="",S4=""),"",IFERROR(S42/S4,""))</f>
        <v/>
      </c>
      <c r="T43" s="15">
        <f>IF(OR(T42="",T4=""),"",IFERROR(T42/T4,""))</f>
        <v/>
      </c>
      <c r="U43" s="15">
        <f>IF(OR(U42="",U4=""),"",IFERROR(U42/U4,""))</f>
        <v/>
      </c>
      <c r="V43" s="15">
        <f>IF(OR(V42="",V4=""),"",IFERROR(V42/V4,""))</f>
        <v/>
      </c>
      <c r="W43" s="15">
        <f>IF(OR(W42="",W4=""),"",IFERROR(W42/W4,""))</f>
        <v/>
      </c>
      <c r="X43" s="15">
        <f>IF(OR(X42="",X4=""),"",IFERROR(X42/X4,""))</f>
        <v/>
      </c>
      <c r="Y43" s="14" t="n"/>
      <c r="Z43" s="15" t="n"/>
      <c r="AA43" s="15" t="n"/>
      <c r="AB43" s="15" t="n"/>
      <c r="AC43" s="15" t="n"/>
    </row>
    <row r="44">
      <c r="A44" s="18" t="inlineStr">
        <is>
          <t>감가상각비</t>
        </is>
      </c>
      <c r="B44" s="10" t="inlineStr">
        <is>
          <t>고정비</t>
        </is>
      </c>
      <c r="C44" s="19" t="n"/>
      <c r="D44" s="20" t="n"/>
      <c r="E44" s="20" t="n"/>
      <c r="F44" s="20" t="n"/>
      <c r="G44" s="20" t="n"/>
      <c r="H44" s="20" t="n"/>
      <c r="I44" s="20" t="n"/>
      <c r="J44" s="20" t="n"/>
      <c r="K44" s="20" t="n"/>
      <c r="L44" s="20" t="n"/>
      <c r="M44" s="20" t="n"/>
      <c r="N44" s="20" t="n"/>
      <c r="O44" s="19" t="n"/>
      <c r="P44" s="20" t="n"/>
      <c r="Q44" s="20" t="n"/>
      <c r="R44" s="20" t="n"/>
      <c r="S44" s="20" t="n"/>
      <c r="T44" s="20" t="n"/>
      <c r="U44" s="20" t="n"/>
      <c r="V44" s="20" t="n"/>
      <c r="W44" s="20" t="n"/>
      <c r="X44" s="20" t="n"/>
      <c r="Y44" s="19" t="n"/>
      <c r="Z44" s="20" t="n"/>
      <c r="AA44" s="20" t="n"/>
      <c r="AB44" s="20" t="n"/>
      <c r="AC44" s="20" t="n"/>
    </row>
    <row r="45">
      <c r="A45" s="13" t="inlineStr">
        <is>
          <t>% of Sales</t>
        </is>
      </c>
      <c r="B45" s="10" t="n"/>
      <c r="C45" s="14" t="n"/>
      <c r="D45" s="15" t="n"/>
      <c r="E45" s="15" t="n"/>
      <c r="F45" s="15" t="n"/>
      <c r="G45" s="15" t="n"/>
      <c r="H45" s="15" t="n"/>
      <c r="I45" s="15" t="n"/>
      <c r="J45" s="15" t="n"/>
      <c r="K45" s="15" t="n"/>
      <c r="L45" s="15" t="n"/>
      <c r="M45" s="15" t="n"/>
      <c r="N45" s="15" t="n"/>
      <c r="O45" s="14">
        <f>IF(OR(O44="",O4=""),"",IFERROR(O44/O4,""))</f>
        <v/>
      </c>
      <c r="P45" s="15">
        <f>IF(OR(P44="",P4=""),"",IFERROR(P44/P4,""))</f>
        <v/>
      </c>
      <c r="Q45" s="15">
        <f>IF(OR(Q44="",Q4=""),"",IFERROR(Q44/Q4,""))</f>
        <v/>
      </c>
      <c r="R45" s="15">
        <f>IF(OR(R44="",R4=""),"",IFERROR(R44/R4,""))</f>
        <v/>
      </c>
      <c r="S45" s="15">
        <f>IF(OR(S44="",S4=""),"",IFERROR(S44/S4,""))</f>
        <v/>
      </c>
      <c r="T45" s="15">
        <f>IF(OR(T44="",T4=""),"",IFERROR(T44/T4,""))</f>
        <v/>
      </c>
      <c r="U45" s="15">
        <f>IF(OR(U44="",U4=""),"",IFERROR(U44/U4,""))</f>
        <v/>
      </c>
      <c r="V45" s="15">
        <f>IF(OR(V44="",V4=""),"",IFERROR(V44/V4,""))</f>
        <v/>
      </c>
      <c r="W45" s="15">
        <f>IF(OR(W44="",W4=""),"",IFERROR(W44/W4,""))</f>
        <v/>
      </c>
      <c r="X45" s="15">
        <f>IF(OR(X44="",X4=""),"",IFERROR(X44/X4,""))</f>
        <v/>
      </c>
      <c r="Y45" s="14" t="n"/>
      <c r="Z45" s="15" t="n"/>
      <c r="AA45" s="15" t="n"/>
      <c r="AB45" s="15" t="n"/>
      <c r="AC45" s="15" t="n"/>
    </row>
    <row r="46">
      <c r="A46" s="18" t="inlineStr">
        <is>
          <t>지급수수료</t>
        </is>
      </c>
      <c r="B46" s="10" t="inlineStr">
        <is>
          <t>고정비</t>
        </is>
      </c>
      <c r="C46" s="19" t="n"/>
      <c r="D46" s="20" t="n"/>
      <c r="E46" s="20" t="n"/>
      <c r="F46" s="20" t="n"/>
      <c r="G46" s="20" t="n"/>
      <c r="H46" s="20" t="n"/>
      <c r="I46" s="20" t="n"/>
      <c r="J46" s="20" t="n"/>
      <c r="K46" s="20" t="n"/>
      <c r="L46" s="20" t="n"/>
      <c r="M46" s="20" t="n"/>
      <c r="N46" s="20" t="n"/>
      <c r="O46" s="19" t="n"/>
      <c r="P46" s="20" t="n"/>
      <c r="Q46" s="20" t="n"/>
      <c r="R46" s="20" t="n"/>
      <c r="S46" s="20" t="n"/>
      <c r="T46" s="20" t="n"/>
      <c r="U46" s="20" t="n"/>
      <c r="V46" s="20" t="n"/>
      <c r="W46" s="20" t="n"/>
      <c r="X46" s="20" t="n"/>
      <c r="Y46" s="19" t="n"/>
      <c r="Z46" s="20" t="n"/>
      <c r="AA46" s="20" t="n"/>
      <c r="AB46" s="20" t="n"/>
      <c r="AC46" s="20" t="n"/>
    </row>
    <row r="47">
      <c r="A47" s="13" t="inlineStr">
        <is>
          <t>% of Sales</t>
        </is>
      </c>
      <c r="B47" s="10" t="n"/>
      <c r="C47" s="14" t="n"/>
      <c r="D47" s="15" t="n"/>
      <c r="E47" s="15" t="n"/>
      <c r="F47" s="15" t="n"/>
      <c r="G47" s="15" t="n"/>
      <c r="H47" s="15" t="n"/>
      <c r="I47" s="15" t="n"/>
      <c r="J47" s="15" t="n"/>
      <c r="K47" s="15" t="n"/>
      <c r="L47" s="15" t="n"/>
      <c r="M47" s="15" t="n"/>
      <c r="N47" s="15" t="n"/>
      <c r="O47" s="14">
        <f>IF(OR(O46="",O4=""),"",IFERROR(O46/O4,""))</f>
        <v/>
      </c>
      <c r="P47" s="15">
        <f>IF(OR(P46="",P4=""),"",IFERROR(P46/P4,""))</f>
        <v/>
      </c>
      <c r="Q47" s="15">
        <f>IF(OR(Q46="",Q4=""),"",IFERROR(Q46/Q4,""))</f>
        <v/>
      </c>
      <c r="R47" s="15">
        <f>IF(OR(R46="",R4=""),"",IFERROR(R46/R4,""))</f>
        <v/>
      </c>
      <c r="S47" s="15">
        <f>IF(OR(S46="",S4=""),"",IFERROR(S46/S4,""))</f>
        <v/>
      </c>
      <c r="T47" s="15">
        <f>IF(OR(T46="",T4=""),"",IFERROR(T46/T4,""))</f>
        <v/>
      </c>
      <c r="U47" s="15">
        <f>IF(OR(U46="",U4=""),"",IFERROR(U46/U4,""))</f>
        <v/>
      </c>
      <c r="V47" s="15">
        <f>IF(OR(V46="",V4=""),"",IFERROR(V46/V4,""))</f>
        <v/>
      </c>
      <c r="W47" s="15">
        <f>IF(OR(W46="",W4=""),"",IFERROR(W46/W4,""))</f>
        <v/>
      </c>
      <c r="X47" s="15">
        <f>IF(OR(X46="",X4=""),"",IFERROR(X46/X4,""))</f>
        <v/>
      </c>
      <c r="Y47" s="14" t="n"/>
      <c r="Z47" s="15" t="n"/>
      <c r="AA47" s="15" t="n"/>
      <c r="AB47" s="15" t="n"/>
      <c r="AC47" s="15" t="n"/>
    </row>
    <row r="48">
      <c r="A48" s="18" t="inlineStr">
        <is>
          <t>연구개발비</t>
        </is>
      </c>
      <c r="B48" s="10" t="inlineStr">
        <is>
          <t>변동비</t>
        </is>
      </c>
      <c r="C48" s="19" t="n"/>
      <c r="D48" s="20" t="n"/>
      <c r="E48" s="20" t="n"/>
      <c r="F48" s="20" t="n"/>
      <c r="G48" s="20" t="n"/>
      <c r="H48" s="20" t="n"/>
      <c r="I48" s="20" t="n"/>
      <c r="J48" s="20" t="n"/>
      <c r="K48" s="20" t="n"/>
      <c r="L48" s="20" t="n"/>
      <c r="M48" s="20" t="n"/>
      <c r="N48" s="20" t="n"/>
      <c r="O48" s="19" t="n"/>
      <c r="P48" s="20" t="n"/>
      <c r="Q48" s="20" t="n"/>
      <c r="R48" s="20" t="n"/>
      <c r="S48" s="20" t="n"/>
      <c r="T48" s="20" t="n"/>
      <c r="U48" s="20" t="n"/>
      <c r="V48" s="20" t="n"/>
      <c r="W48" s="20" t="n"/>
      <c r="X48" s="20" t="n"/>
      <c r="Y48" s="19" t="n"/>
      <c r="Z48" s="20" t="n"/>
      <c r="AA48" s="20" t="n"/>
      <c r="AB48" s="20" t="n"/>
      <c r="AC48" s="20" t="n"/>
    </row>
    <row r="49">
      <c r="A49" s="13" t="inlineStr">
        <is>
          <t>% of Sales</t>
        </is>
      </c>
      <c r="B49" s="10" t="n"/>
      <c r="C49" s="14" t="n"/>
      <c r="D49" s="15" t="n"/>
      <c r="E49" s="15" t="n"/>
      <c r="F49" s="15" t="n"/>
      <c r="G49" s="15" t="n"/>
      <c r="H49" s="15" t="n"/>
      <c r="I49" s="15" t="n"/>
      <c r="J49" s="15" t="n"/>
      <c r="K49" s="15" t="n"/>
      <c r="L49" s="15" t="n"/>
      <c r="M49" s="15" t="n"/>
      <c r="N49" s="15" t="n"/>
      <c r="O49" s="14">
        <f>IF(OR(O48="",O4=""),"",IFERROR(O48/O4,""))</f>
        <v/>
      </c>
      <c r="P49" s="15">
        <f>IF(OR(P48="",P4=""),"",IFERROR(P48/P4,""))</f>
        <v/>
      </c>
      <c r="Q49" s="15">
        <f>IF(OR(Q48="",Q4=""),"",IFERROR(Q48/Q4,""))</f>
        <v/>
      </c>
      <c r="R49" s="15">
        <f>IF(OR(R48="",R4=""),"",IFERROR(R48/R4,""))</f>
        <v/>
      </c>
      <c r="S49" s="15">
        <f>IF(OR(S48="",S4=""),"",IFERROR(S48/S4,""))</f>
        <v/>
      </c>
      <c r="T49" s="15">
        <f>IF(OR(T48="",T4=""),"",IFERROR(T48/T4,""))</f>
        <v/>
      </c>
      <c r="U49" s="15">
        <f>IF(OR(U48="",U4=""),"",IFERROR(U48/U4,""))</f>
        <v/>
      </c>
      <c r="V49" s="15">
        <f>IF(OR(V48="",V4=""),"",IFERROR(V48/V4,""))</f>
        <v/>
      </c>
      <c r="W49" s="15">
        <f>IF(OR(W48="",W4=""),"",IFERROR(W48/W4,""))</f>
        <v/>
      </c>
      <c r="X49" s="15">
        <f>IF(OR(X48="",X4=""),"",IFERROR(X48/X4,""))</f>
        <v/>
      </c>
      <c r="Y49" s="14" t="n"/>
      <c r="Z49" s="15" t="n"/>
      <c r="AA49" s="15" t="n"/>
      <c r="AB49" s="15" t="n"/>
      <c r="AC49" s="15" t="n"/>
    </row>
    <row r="50">
      <c r="A50" s="18" t="inlineStr">
        <is>
          <t>기타비용</t>
        </is>
      </c>
      <c r="B50" s="10" t="inlineStr">
        <is>
          <t>변동비</t>
        </is>
      </c>
      <c r="C50" s="19" t="n"/>
      <c r="D50" s="20" t="n"/>
      <c r="E50" s="20" t="n"/>
      <c r="F50" s="20" t="n"/>
      <c r="G50" s="20" t="n"/>
      <c r="H50" s="20" t="n"/>
      <c r="I50" s="20" t="n"/>
      <c r="J50" s="20" t="n"/>
      <c r="K50" s="20" t="n"/>
      <c r="L50" s="20" t="n"/>
      <c r="M50" s="20" t="n"/>
      <c r="N50" s="20" t="n"/>
      <c r="O50" s="19">
        <f>IF(OR(O41="",O42="",O44="",O46="",O48=""),"",IFERROR(O41-O42-O44-O46-O48,""))</f>
        <v/>
      </c>
      <c r="P50" s="20">
        <f>IF(OR(P41="",P42="",P44="",P46="",P48=""),"",IFERROR(P41-P42-P44-P46-P48,""))</f>
        <v/>
      </c>
      <c r="Q50" s="20">
        <f>IF(OR(Q41="",Q42="",Q44="",Q46="",Q48=""),"",IFERROR(Q41-Q42-Q44-Q46-Q48,""))</f>
        <v/>
      </c>
      <c r="R50" s="20">
        <f>IF(OR(R41="",R42="",R44="",R46="",R48=""),"",IFERROR(R41-R42-R44-R46-R48,""))</f>
        <v/>
      </c>
      <c r="S50" s="20">
        <f>IF(OR(S41="",S42="",S44="",S46="",S48=""),"",IFERROR(S41-S42-S44-S46-S48,""))</f>
        <v/>
      </c>
      <c r="T50" s="20">
        <f>IF(OR(T41="",T42="",T44="",T46="",T48=""),"",IFERROR(T41-T42-T44-T46-T48,""))</f>
        <v/>
      </c>
      <c r="U50" s="20">
        <f>IF(OR(U41="",U42="",U44="",U46="",U48=""),"",IFERROR(U41-U42-U44-U46-U48,""))</f>
        <v/>
      </c>
      <c r="V50" s="20">
        <f>IF(OR(V41="",V42="",V44="",V46="",V48=""),"",IFERROR(V41-V42-V44-V46-V48,""))</f>
        <v/>
      </c>
      <c r="W50" s="20">
        <f>IF(OR(W41="",W42="",W44="",W46="",W48=""),"",IFERROR(W41-W42-W44-W46-W48,""))</f>
        <v/>
      </c>
      <c r="X50" s="20">
        <f>IF(OR(X41="",X42="",X44="",X46="",X48=""),"",IFERROR(X41-X42-X44-X46-X48,""))</f>
        <v/>
      </c>
      <c r="Y50" s="19" t="n"/>
      <c r="Z50" s="20" t="n"/>
      <c r="AA50" s="20" t="n"/>
      <c r="AB50" s="20" t="n"/>
      <c r="AC50" s="20" t="n"/>
    </row>
    <row r="51">
      <c r="A51" s="13" t="inlineStr">
        <is>
          <t>% of Sales</t>
        </is>
      </c>
      <c r="B51" s="10" t="n"/>
      <c r="C51" s="14" t="n"/>
      <c r="D51" s="15" t="n"/>
      <c r="E51" s="15" t="n"/>
      <c r="F51" s="15" t="n"/>
      <c r="G51" s="15" t="n"/>
      <c r="H51" s="15" t="n"/>
      <c r="I51" s="15" t="n"/>
      <c r="J51" s="15" t="n"/>
      <c r="K51" s="15" t="n"/>
      <c r="L51" s="15" t="n"/>
      <c r="M51" s="15" t="n"/>
      <c r="N51" s="15" t="n"/>
      <c r="O51" s="14">
        <f>IF(OR(O50="",O4=""),"",IFERROR(O50/O4,""))</f>
        <v/>
      </c>
      <c r="P51" s="15">
        <f>IF(OR(P50="",P4=""),"",IFERROR(P50/P4,""))</f>
        <v/>
      </c>
      <c r="Q51" s="15">
        <f>IF(OR(Q50="",Q4=""),"",IFERROR(Q50/Q4,""))</f>
        <v/>
      </c>
      <c r="R51" s="15">
        <f>IF(OR(R50="",R4=""),"",IFERROR(R50/R4,""))</f>
        <v/>
      </c>
      <c r="S51" s="15">
        <f>IF(OR(S50="",S4=""),"",IFERROR(S50/S4,""))</f>
        <v/>
      </c>
      <c r="T51" s="15">
        <f>IF(OR(T50="",T4=""),"",IFERROR(T50/T4,""))</f>
        <v/>
      </c>
      <c r="U51" s="15">
        <f>IF(OR(U50="",U4=""),"",IFERROR(U50/U4,""))</f>
        <v/>
      </c>
      <c r="V51" s="15">
        <f>IF(OR(V50="",V4=""),"",IFERROR(V50/V4,""))</f>
        <v/>
      </c>
      <c r="W51" s="15">
        <f>IF(OR(W50="",W4=""),"",IFERROR(W50/W4,""))</f>
        <v/>
      </c>
      <c r="X51" s="15">
        <f>IF(OR(X50="",X4=""),"",IFERROR(X50/X4,""))</f>
        <v/>
      </c>
      <c r="Y51" s="14" t="n"/>
      <c r="Z51" s="15" t="n"/>
      <c r="AA51" s="15" t="n"/>
      <c r="AB51" s="15" t="n"/>
      <c r="AC51" s="15" t="n"/>
    </row>
    <row r="52">
      <c r="A52" s="16" t="inlineStr">
        <is>
          <t>당기순이익 추정</t>
        </is>
      </c>
      <c r="B52" s="16" t="n"/>
      <c r="C52" s="17" t="n"/>
      <c r="D52" s="16" t="n"/>
      <c r="E52" s="16" t="n"/>
      <c r="F52" s="16" t="n"/>
      <c r="G52" s="16" t="n"/>
      <c r="H52" s="16" t="n"/>
      <c r="I52" s="16" t="n"/>
      <c r="J52" s="16" t="n"/>
      <c r="K52" s="16" t="n"/>
      <c r="L52" s="16" t="n"/>
      <c r="M52" s="16" t="n"/>
      <c r="N52" s="16" t="n"/>
      <c r="O52" s="17" t="n"/>
      <c r="P52" s="16" t="n"/>
      <c r="Q52" s="16" t="n"/>
      <c r="R52" s="16" t="n"/>
      <c r="S52" s="16" t="n"/>
      <c r="T52" s="16" t="n"/>
      <c r="U52" s="16" t="n"/>
      <c r="V52" s="16" t="n"/>
      <c r="W52" s="16" t="n"/>
      <c r="X52" s="16" t="n"/>
      <c r="Y52" s="17" t="n"/>
      <c r="Z52" s="16" t="n"/>
      <c r="AA52" s="16" t="n"/>
      <c r="AB52" s="16" t="n"/>
      <c r="AC52" s="16" t="n"/>
    </row>
    <row r="53">
      <c r="A53" s="18" t="inlineStr">
        <is>
          <t>기타이익</t>
        </is>
      </c>
      <c r="B53" s="10" t="n"/>
      <c r="C53" s="19" t="n"/>
      <c r="D53" s="20" t="n"/>
      <c r="E53" s="20" t="n"/>
      <c r="F53" s="20" t="n"/>
      <c r="G53" s="20" t="n"/>
      <c r="H53" s="20" t="n"/>
      <c r="I53" s="20" t="n"/>
      <c r="J53" s="20" t="n"/>
      <c r="K53" s="20" t="n"/>
      <c r="L53" s="20" t="n"/>
      <c r="M53" s="20" t="n"/>
      <c r="N53" s="20" t="n"/>
      <c r="O53" s="19" t="n"/>
      <c r="P53" s="20" t="n"/>
      <c r="Q53" s="20" t="n"/>
      <c r="R53" s="20" t="n"/>
      <c r="S53" s="20" t="n"/>
      <c r="T53" s="20" t="n"/>
      <c r="U53" s="20" t="n"/>
      <c r="V53" s="20" t="n"/>
      <c r="W53" s="20" t="n"/>
      <c r="X53" s="20" t="n"/>
      <c r="Y53" s="19">
        <f>IF(OR(Y4="",Y54=""),"",IFERROR(Y4*Y54,""))</f>
        <v/>
      </c>
      <c r="Z53" s="20">
        <f>IF(OR(Z4="",Z54=""),"",IFERROR(Z4*Z54,""))</f>
        <v/>
      </c>
      <c r="AA53" s="20">
        <f>IF(OR(AA4="",AA54=""),"",IFERROR(AA4*AA54,""))</f>
        <v/>
      </c>
      <c r="AB53" s="20">
        <f>IF(OR(AB4="",AB54=""),"",IFERROR(AB4*AB54,""))</f>
        <v/>
      </c>
      <c r="AC53" s="20">
        <f>IF(OR(AC4="",AC54=""),"",IFERROR(AC4*AC54,""))</f>
        <v/>
      </c>
    </row>
    <row r="54">
      <c r="A54" s="13" t="inlineStr">
        <is>
          <t>% of Sales</t>
        </is>
      </c>
      <c r="B54" s="10" t="inlineStr">
        <is>
          <t>MW = 최근 3년 평균</t>
        </is>
      </c>
      <c r="C54" s="14">
        <f>IF(OR(C53="",C4=""),"",IFERROR(C53/C4,""))</f>
        <v/>
      </c>
      <c r="D54" s="15">
        <f>IF(OR(D53="",D4=""),"",IFERROR(D53/D4,""))</f>
        <v/>
      </c>
      <c r="E54" s="15">
        <f>IF(OR(E53="",E4=""),"",IFERROR(E53/E4,""))</f>
        <v/>
      </c>
      <c r="F54" s="15">
        <f>IF(OR(F53="",F4=""),"",IFERROR(F53/F4,""))</f>
        <v/>
      </c>
      <c r="G54" s="15">
        <f>IF(OR(G53="",G4=""),"",IFERROR(G53/G4,""))</f>
        <v/>
      </c>
      <c r="H54" s="15">
        <f>IF(OR(H53="",H4=""),"",IFERROR(H53/H4,""))</f>
        <v/>
      </c>
      <c r="I54" s="15">
        <f>IF(OR(I53="",I4=""),"",IFERROR(I53/I4,""))</f>
        <v/>
      </c>
      <c r="J54" s="15">
        <f>IF(OR(J53="",J4=""),"",IFERROR(J53/J4,""))</f>
        <v/>
      </c>
      <c r="K54" s="15">
        <f>IF(OR(K53="",K4=""),"",IFERROR(K53/K4,""))</f>
        <v/>
      </c>
      <c r="L54" s="15">
        <f>IF(OR(L53="",L4=""),"",IFERROR(L53/L4,""))</f>
        <v/>
      </c>
      <c r="M54" s="15">
        <f>IF(OR(M53="",M4=""),"",IFERROR(M53/M4,""))</f>
        <v/>
      </c>
      <c r="N54" s="15">
        <f>IF(OR(N53="",N4=""),"",IFERROR(N53/N4,""))</f>
        <v/>
      </c>
      <c r="O54" s="14">
        <f>IF(OR(O53="",O4=""),"",IFERROR(O53/O4,""))</f>
        <v/>
      </c>
      <c r="P54" s="15">
        <f>IF(OR(P53="",P4=""),"",IFERROR(P53/P4,""))</f>
        <v/>
      </c>
      <c r="Q54" s="15">
        <f>IF(OR(Q53="",Q4=""),"",IFERROR(Q53/Q4,""))</f>
        <v/>
      </c>
      <c r="R54" s="15">
        <f>IF(OR(R53="",R4=""),"",IFERROR(R53/R4,""))</f>
        <v/>
      </c>
      <c r="S54" s="15">
        <f>IF(OR(S53="",S4=""),"",IFERROR(S53/S4,""))</f>
        <v/>
      </c>
      <c r="T54" s="15">
        <f>IF(OR(T53="",T4=""),"",IFERROR(T53/T4,""))</f>
        <v/>
      </c>
      <c r="U54" s="15">
        <f>IF(OR(U53="",U4=""),"",IFERROR(U53/U4,""))</f>
        <v/>
      </c>
      <c r="V54" s="15">
        <f>IF(OR(V53="",V4=""),"",IFERROR(V53/V4,""))</f>
        <v/>
      </c>
      <c r="W54" s="15">
        <f>IF(OR(W53="",W4=""),"",IFERROR(W53/W4,""))</f>
        <v/>
      </c>
      <c r="X54" s="15">
        <f>IF(OR(X53="",X4=""),"",IFERROR(X53/X4,""))</f>
        <v/>
      </c>
      <c r="Y54" s="25">
        <f>IFERROR(AVERAGE(V54,W54,X54),"")</f>
        <v/>
      </c>
      <c r="Z54" s="26">
        <f>Y54</f>
        <v/>
      </c>
      <c r="AA54" s="26">
        <f>Z54</f>
        <v/>
      </c>
      <c r="AB54" s="26">
        <f>AA54</f>
        <v/>
      </c>
      <c r="AC54" s="26">
        <f>AB54</f>
        <v/>
      </c>
    </row>
    <row r="55">
      <c r="A55" s="18" t="inlineStr">
        <is>
          <t>기타손실</t>
        </is>
      </c>
      <c r="B55" s="10" t="n"/>
      <c r="C55" s="19" t="n"/>
      <c r="D55" s="20" t="n"/>
      <c r="E55" s="20" t="n"/>
      <c r="F55" s="20" t="n"/>
      <c r="G55" s="20" t="n"/>
      <c r="H55" s="20" t="n"/>
      <c r="I55" s="20" t="n"/>
      <c r="J55" s="20" t="n"/>
      <c r="K55" s="20" t="n"/>
      <c r="L55" s="20" t="n"/>
      <c r="M55" s="20" t="n"/>
      <c r="N55" s="20" t="n"/>
      <c r="O55" s="19" t="n"/>
      <c r="P55" s="20" t="n"/>
      <c r="Q55" s="20" t="n"/>
      <c r="R55" s="20" t="n"/>
      <c r="S55" s="20" t="n"/>
      <c r="T55" s="20" t="n"/>
      <c r="U55" s="20" t="n"/>
      <c r="V55" s="20" t="n"/>
      <c r="W55" s="20" t="n"/>
      <c r="X55" s="20" t="n"/>
      <c r="Y55" s="19">
        <f>IF(OR(Y4="",Y56=""),"",IFERROR(Y4*Y56,""))</f>
        <v/>
      </c>
      <c r="Z55" s="20">
        <f>IF(OR(Z4="",Z56=""),"",IFERROR(Z4*Z56,""))</f>
        <v/>
      </c>
      <c r="AA55" s="20">
        <f>IF(OR(AA4="",AA56=""),"",IFERROR(AA4*AA56,""))</f>
        <v/>
      </c>
      <c r="AB55" s="20">
        <f>IF(OR(AB4="",AB56=""),"",IFERROR(AB4*AB56,""))</f>
        <v/>
      </c>
      <c r="AC55" s="20">
        <f>IF(OR(AC4="",AC56=""),"",IFERROR(AC4*AC56,""))</f>
        <v/>
      </c>
    </row>
    <row r="56">
      <c r="A56" s="13" t="inlineStr">
        <is>
          <t>% of Sales</t>
        </is>
      </c>
      <c r="B56" s="10" t="n"/>
      <c r="C56" s="14">
        <f>IF(OR(C55="",C4=""),"",IFERROR(C55/C4,""))</f>
        <v/>
      </c>
      <c r="D56" s="15">
        <f>IF(OR(D55="",D4=""),"",IFERROR(D55/D4,""))</f>
        <v/>
      </c>
      <c r="E56" s="15">
        <f>IF(OR(E55="",E4=""),"",IFERROR(E55/E4,""))</f>
        <v/>
      </c>
      <c r="F56" s="15">
        <f>IF(OR(F55="",F4=""),"",IFERROR(F55/F4,""))</f>
        <v/>
      </c>
      <c r="G56" s="15">
        <f>IF(OR(G55="",G4=""),"",IFERROR(G55/G4,""))</f>
        <v/>
      </c>
      <c r="H56" s="15">
        <f>IF(OR(H55="",H4=""),"",IFERROR(H55/H4,""))</f>
        <v/>
      </c>
      <c r="I56" s="15">
        <f>IF(OR(I55="",I4=""),"",IFERROR(I55/I4,""))</f>
        <v/>
      </c>
      <c r="J56" s="15">
        <f>IF(OR(J55="",J4=""),"",IFERROR(J55/J4,""))</f>
        <v/>
      </c>
      <c r="K56" s="15">
        <f>IF(OR(K55="",K4=""),"",IFERROR(K55/K4,""))</f>
        <v/>
      </c>
      <c r="L56" s="15">
        <f>IF(OR(L55="",L4=""),"",IFERROR(L55/L4,""))</f>
        <v/>
      </c>
      <c r="M56" s="15">
        <f>IF(OR(M55="",M4=""),"",IFERROR(M55/M4,""))</f>
        <v/>
      </c>
      <c r="N56" s="15">
        <f>IF(OR(N55="",N4=""),"",IFERROR(N55/N4,""))</f>
        <v/>
      </c>
      <c r="O56" s="14">
        <f>IF(OR(O55="",O4=""),"",IFERROR(O55/O4,""))</f>
        <v/>
      </c>
      <c r="P56" s="15">
        <f>IF(OR(P55="",P4=""),"",IFERROR(P55/P4,""))</f>
        <v/>
      </c>
      <c r="Q56" s="15">
        <f>IF(OR(Q55="",Q4=""),"",IFERROR(Q55/Q4,""))</f>
        <v/>
      </c>
      <c r="R56" s="15">
        <f>IF(OR(R55="",R4=""),"",IFERROR(R55/R4,""))</f>
        <v/>
      </c>
      <c r="S56" s="15">
        <f>IF(OR(S55="",S4=""),"",IFERROR(S55/S4,""))</f>
        <v/>
      </c>
      <c r="T56" s="15">
        <f>IF(OR(T55="",T4=""),"",IFERROR(T55/T4,""))</f>
        <v/>
      </c>
      <c r="U56" s="15">
        <f>IF(OR(U55="",U4=""),"",IFERROR(U55/U4,""))</f>
        <v/>
      </c>
      <c r="V56" s="15">
        <f>IF(OR(V55="",V4=""),"",IFERROR(V55/V4,""))</f>
        <v/>
      </c>
      <c r="W56" s="15">
        <f>IF(OR(W55="",W4=""),"",IFERROR(W55/W4,""))</f>
        <v/>
      </c>
      <c r="X56" s="15">
        <f>IF(OR(X55="",X4=""),"",IFERROR(X55/X4,""))</f>
        <v/>
      </c>
      <c r="Y56" s="25">
        <f>IFERROR(AVERAGE(V56,W56,X56),"")</f>
        <v/>
      </c>
      <c r="Z56" s="26">
        <f>Y56</f>
        <v/>
      </c>
      <c r="AA56" s="26">
        <f>Z56</f>
        <v/>
      </c>
      <c r="AB56" s="26">
        <f>AA56</f>
        <v/>
      </c>
      <c r="AC56" s="26">
        <f>AB56</f>
        <v/>
      </c>
    </row>
    <row r="57">
      <c r="A57" s="18" t="inlineStr">
        <is>
          <t>금융수익</t>
        </is>
      </c>
      <c r="B57" s="10" t="n"/>
      <c r="C57" s="19" t="n">
        <v>2733</v>
      </c>
      <c r="D57" s="20" t="n">
        <v>6010</v>
      </c>
      <c r="E57" s="20" t="n">
        <v>14147</v>
      </c>
      <c r="F57" s="20" t="n">
        <v>-2766</v>
      </c>
      <c r="G57" s="20" t="n">
        <v>5486</v>
      </c>
      <c r="H57" s="20" t="n">
        <v>3967</v>
      </c>
      <c r="I57" s="20" t="n">
        <v>5164</v>
      </c>
      <c r="J57" s="20" t="n">
        <v>9771</v>
      </c>
      <c r="K57" s="20" t="n">
        <v>14986</v>
      </c>
      <c r="L57" s="20" t="n">
        <v>353</v>
      </c>
      <c r="M57" s="20" t="n">
        <v>5315</v>
      </c>
      <c r="N57" s="20" t="n">
        <v>4596</v>
      </c>
      <c r="O57" s="19" t="n"/>
      <c r="P57" s="20" t="n">
        <v>8611</v>
      </c>
      <c r="Q57" s="20" t="n">
        <v>9747</v>
      </c>
      <c r="R57" s="20" t="n">
        <v>10285</v>
      </c>
      <c r="S57" s="20" t="n">
        <v>12136</v>
      </c>
      <c r="T57" s="20" t="n">
        <v>11910</v>
      </c>
      <c r="U57" s="20" t="n">
        <v>12302</v>
      </c>
      <c r="V57" s="20" t="n">
        <v>21200</v>
      </c>
      <c r="W57" s="20" t="n">
        <v>20834</v>
      </c>
      <c r="X57" s="20" t="n">
        <v>30274</v>
      </c>
      <c r="Y57" s="19">
        <f>IF(OR(Y4="",Y58=""),"",IFERROR(Y4*Y58,""))</f>
        <v/>
      </c>
      <c r="Z57" s="20">
        <f>IF(OR(Z4="",Z58=""),"",IFERROR(Z4*Z58,""))</f>
        <v/>
      </c>
      <c r="AA57" s="20">
        <f>IF(OR(AA4="",AA58=""),"",IFERROR(AA4*AA58,""))</f>
        <v/>
      </c>
      <c r="AB57" s="20">
        <f>IF(OR(AB4="",AB58=""),"",IFERROR(AB4*AB58,""))</f>
        <v/>
      </c>
      <c r="AC57" s="20">
        <f>IF(OR(AC4="",AC58=""),"",IFERROR(AC4*AC58,""))</f>
        <v/>
      </c>
    </row>
    <row r="58">
      <c r="A58" s="13" t="inlineStr">
        <is>
          <t>% of Sales</t>
        </is>
      </c>
      <c r="B58" s="10" t="n"/>
      <c r="C58" s="14">
        <f>IF(OR(C57="",C4=""),"",IFERROR(C57/C4,""))</f>
        <v/>
      </c>
      <c r="D58" s="15">
        <f>IF(OR(D57="",D4=""),"",IFERROR(D57/D4,""))</f>
        <v/>
      </c>
      <c r="E58" s="15">
        <f>IF(OR(E57="",E4=""),"",IFERROR(E57/E4,""))</f>
        <v/>
      </c>
      <c r="F58" s="15">
        <f>IF(OR(F57="",F4=""),"",IFERROR(F57/F4,""))</f>
        <v/>
      </c>
      <c r="G58" s="15">
        <f>IF(OR(G57="",G4=""),"",IFERROR(G57/G4,""))</f>
        <v/>
      </c>
      <c r="H58" s="15">
        <f>IF(OR(H57="",H4=""),"",IFERROR(H57/H4,""))</f>
        <v/>
      </c>
      <c r="I58" s="15">
        <f>IF(OR(I57="",I4=""),"",IFERROR(I57/I4,""))</f>
        <v/>
      </c>
      <c r="J58" s="15">
        <f>IF(OR(J57="",J4=""),"",IFERROR(J57/J4,""))</f>
        <v/>
      </c>
      <c r="K58" s="15">
        <f>IF(OR(K57="",K4=""),"",IFERROR(K57/K4,""))</f>
        <v/>
      </c>
      <c r="L58" s="15">
        <f>IF(OR(L57="",L4=""),"",IFERROR(L57/L4,""))</f>
        <v/>
      </c>
      <c r="M58" s="15">
        <f>IF(OR(M57="",M4=""),"",IFERROR(M57/M4,""))</f>
        <v/>
      </c>
      <c r="N58" s="15">
        <f>IF(OR(N57="",N4=""),"",IFERROR(N57/N4,""))</f>
        <v/>
      </c>
      <c r="O58" s="14">
        <f>IF(OR(O57="",O4=""),"",IFERROR(O57/O4,""))</f>
        <v/>
      </c>
      <c r="P58" s="15">
        <f>IF(OR(P57="",P4=""),"",IFERROR(P57/P4,""))</f>
        <v/>
      </c>
      <c r="Q58" s="15">
        <f>IF(OR(Q57="",Q4=""),"",IFERROR(Q57/Q4,""))</f>
        <v/>
      </c>
      <c r="R58" s="15">
        <f>IF(OR(R57="",R4=""),"",IFERROR(R57/R4,""))</f>
        <v/>
      </c>
      <c r="S58" s="15">
        <f>IF(OR(S57="",S4=""),"",IFERROR(S57/S4,""))</f>
        <v/>
      </c>
      <c r="T58" s="15">
        <f>IF(OR(T57="",T4=""),"",IFERROR(T57/T4,""))</f>
        <v/>
      </c>
      <c r="U58" s="15">
        <f>IF(OR(U57="",U4=""),"",IFERROR(U57/U4,""))</f>
        <v/>
      </c>
      <c r="V58" s="15">
        <f>IF(OR(V57="",V4=""),"",IFERROR(V57/V4,""))</f>
        <v/>
      </c>
      <c r="W58" s="15">
        <f>IF(OR(W57="",W4=""),"",IFERROR(W57/W4,""))</f>
        <v/>
      </c>
      <c r="X58" s="15">
        <f>IF(OR(X57="",X4=""),"",IFERROR(X57/X4,""))</f>
        <v/>
      </c>
      <c r="Y58" s="25">
        <f>IFERROR(AVERAGE(V58,W58,X58),"")</f>
        <v/>
      </c>
      <c r="Z58" s="26">
        <f>Y58</f>
        <v/>
      </c>
      <c r="AA58" s="26">
        <f>Z58</f>
        <v/>
      </c>
      <c r="AB58" s="26">
        <f>AA58</f>
        <v/>
      </c>
      <c r="AC58" s="26">
        <f>AB58</f>
        <v/>
      </c>
    </row>
    <row r="59">
      <c r="A59" s="18" t="inlineStr">
        <is>
          <t>금융원가</t>
        </is>
      </c>
      <c r="B59" s="10" t="n"/>
      <c r="C59" s="19" t="n">
        <v>6731</v>
      </c>
      <c r="D59" s="20" t="n">
        <v>2121</v>
      </c>
      <c r="E59" s="20" t="n">
        <v>2286</v>
      </c>
      <c r="F59" s="20" t="n">
        <v>23390</v>
      </c>
      <c r="G59" s="20" t="n">
        <v>-20240</v>
      </c>
      <c r="H59" s="20" t="n">
        <v>8962</v>
      </c>
      <c r="I59" s="20" t="n">
        <v>2607</v>
      </c>
      <c r="J59" s="20" t="n">
        <v>1438</v>
      </c>
      <c r="K59" s="20" t="n">
        <v>1641</v>
      </c>
      <c r="L59" s="20" t="n">
        <v>1237</v>
      </c>
      <c r="M59" s="20" t="n">
        <v>2203</v>
      </c>
      <c r="N59" s="20" t="n">
        <v>11095</v>
      </c>
      <c r="O59" s="19" t="n"/>
      <c r="P59" s="20" t="n">
        <v>6796</v>
      </c>
      <c r="Q59" s="20" t="n">
        <v>4382</v>
      </c>
      <c r="R59" s="20" t="n">
        <v>7008</v>
      </c>
      <c r="S59" s="20" t="n">
        <v>2828</v>
      </c>
      <c r="T59" s="20" t="n">
        <v>2702</v>
      </c>
      <c r="U59" s="20" t="n">
        <v>4296</v>
      </c>
      <c r="V59" s="20" t="n">
        <v>11687</v>
      </c>
      <c r="W59" s="20" t="n">
        <v>14398</v>
      </c>
      <c r="X59" s="20" t="n">
        <v>6923</v>
      </c>
      <c r="Y59" s="19">
        <f>IF(OR(Y4="",Y60=""),"",IFERROR(Y4*Y60,""))</f>
        <v/>
      </c>
      <c r="Z59" s="20">
        <f>IF(OR(Z4="",Z60=""),"",IFERROR(Z4*Z60,""))</f>
        <v/>
      </c>
      <c r="AA59" s="20">
        <f>IF(OR(AA4="",AA60=""),"",IFERROR(AA4*AA60,""))</f>
        <v/>
      </c>
      <c r="AB59" s="20">
        <f>IF(OR(AB4="",AB60=""),"",IFERROR(AB4*AB60,""))</f>
        <v/>
      </c>
      <c r="AC59" s="20">
        <f>IF(OR(AC4="",AC60=""),"",IFERROR(AC4*AC60,""))</f>
        <v/>
      </c>
    </row>
    <row r="60">
      <c r="A60" s="13" t="inlineStr">
        <is>
          <t>% of Sales</t>
        </is>
      </c>
      <c r="B60" s="10" t="n"/>
      <c r="C60" s="14">
        <f>IF(OR(C59="",C4=""),"",IFERROR(C59/C4,""))</f>
        <v/>
      </c>
      <c r="D60" s="15">
        <f>IF(OR(D59="",D4=""),"",IFERROR(D59/D4,""))</f>
        <v/>
      </c>
      <c r="E60" s="15">
        <f>IF(OR(E59="",E4=""),"",IFERROR(E59/E4,""))</f>
        <v/>
      </c>
      <c r="F60" s="15">
        <f>IF(OR(F59="",F4=""),"",IFERROR(F59/F4,""))</f>
        <v/>
      </c>
      <c r="G60" s="15">
        <f>IF(OR(G59="",G4=""),"",IFERROR(G59/G4,""))</f>
        <v/>
      </c>
      <c r="H60" s="15">
        <f>IF(OR(H59="",H4=""),"",IFERROR(H59/H4,""))</f>
        <v/>
      </c>
      <c r="I60" s="15">
        <f>IF(OR(I59="",I4=""),"",IFERROR(I59/I4,""))</f>
        <v/>
      </c>
      <c r="J60" s="15">
        <f>IF(OR(J59="",J4=""),"",IFERROR(J59/J4,""))</f>
        <v/>
      </c>
      <c r="K60" s="15">
        <f>IF(OR(K59="",K4=""),"",IFERROR(K59/K4,""))</f>
        <v/>
      </c>
      <c r="L60" s="15">
        <f>IF(OR(L59="",L4=""),"",IFERROR(L59/L4,""))</f>
        <v/>
      </c>
      <c r="M60" s="15">
        <f>IF(OR(M59="",M4=""),"",IFERROR(M59/M4,""))</f>
        <v/>
      </c>
      <c r="N60" s="15">
        <f>IF(OR(N59="",N4=""),"",IFERROR(N59/N4,""))</f>
        <v/>
      </c>
      <c r="O60" s="14">
        <f>IF(OR(O59="",O4=""),"",IFERROR(O59/O4,""))</f>
        <v/>
      </c>
      <c r="P60" s="15">
        <f>IF(OR(P59="",P4=""),"",IFERROR(P59/P4,""))</f>
        <v/>
      </c>
      <c r="Q60" s="15">
        <f>IF(OR(Q59="",Q4=""),"",IFERROR(Q59/Q4,""))</f>
        <v/>
      </c>
      <c r="R60" s="15">
        <f>IF(OR(R59="",R4=""),"",IFERROR(R59/R4,""))</f>
        <v/>
      </c>
      <c r="S60" s="15">
        <f>IF(OR(S59="",S4=""),"",IFERROR(S59/S4,""))</f>
        <v/>
      </c>
      <c r="T60" s="15">
        <f>IF(OR(T59="",T4=""),"",IFERROR(T59/T4,""))</f>
        <v/>
      </c>
      <c r="U60" s="15">
        <f>IF(OR(U59="",U4=""),"",IFERROR(U59/U4,""))</f>
        <v/>
      </c>
      <c r="V60" s="15">
        <f>IF(OR(V59="",V4=""),"",IFERROR(V59/V4,""))</f>
        <v/>
      </c>
      <c r="W60" s="15">
        <f>IF(OR(W59="",W4=""),"",IFERROR(W59/W4,""))</f>
        <v/>
      </c>
      <c r="X60" s="15">
        <f>IF(OR(X59="",X4=""),"",IFERROR(X59/X4,""))</f>
        <v/>
      </c>
      <c r="Y60" s="25">
        <f>IFERROR(AVERAGE(V60,W60,X60),"")</f>
        <v/>
      </c>
      <c r="Z60" s="26">
        <f>Y60</f>
        <v/>
      </c>
      <c r="AA60" s="26">
        <f>Z60</f>
        <v/>
      </c>
      <c r="AB60" s="26">
        <f>AA60</f>
        <v/>
      </c>
      <c r="AC60" s="26">
        <f>AB60</f>
        <v/>
      </c>
    </row>
    <row r="61">
      <c r="A61" s="9" t="inlineStr">
        <is>
          <t>법인세비용차감전순이익(손실)</t>
        </is>
      </c>
      <c r="B61" s="10" t="n"/>
      <c r="C61" s="11" t="n">
        <v>89237</v>
      </c>
      <c r="D61" s="12" t="n">
        <v>116830</v>
      </c>
      <c r="E61" s="12" t="n">
        <v>76125</v>
      </c>
      <c r="F61" s="12" t="n">
        <v>100619</v>
      </c>
      <c r="G61" s="12" t="n">
        <v>167889</v>
      </c>
      <c r="H61" s="12" t="n">
        <v>92632</v>
      </c>
      <c r="I61" s="12" t="n">
        <v>124076</v>
      </c>
      <c r="J61" s="12" t="n">
        <v>129899</v>
      </c>
      <c r="K61" s="12" t="n">
        <v>125404</v>
      </c>
      <c r="L61" s="12" t="n">
        <v>146698</v>
      </c>
      <c r="M61" s="12" t="n">
        <v>157077</v>
      </c>
      <c r="N61" s="12" t="n">
        <v>246476</v>
      </c>
      <c r="O61" s="11" t="n"/>
      <c r="P61" s="12" t="n">
        <v>353206</v>
      </c>
      <c r="Q61" s="12" t="n">
        <v>315958</v>
      </c>
      <c r="R61" s="12" t="n">
        <v>281986</v>
      </c>
      <c r="S61" s="12" t="n">
        <v>258754</v>
      </c>
      <c r="T61" s="12" t="n">
        <v>279693</v>
      </c>
      <c r="U61" s="12" t="n">
        <v>292179</v>
      </c>
      <c r="V61" s="12" t="n">
        <v>365853</v>
      </c>
      <c r="W61" s="12" t="n">
        <v>437265</v>
      </c>
      <c r="X61" s="12" t="n">
        <v>526077</v>
      </c>
      <c r="Y61" s="11">
        <f>IF(OR(Y37=""),"",IFERROR(Y37+N(Y53)-N(Y55)+N(Y57)-N(Y59),""))</f>
        <v/>
      </c>
      <c r="Z61" s="12">
        <f>IF(OR(Z37=""),"",IFERROR(Z37+N(Z53)-N(Z55)+N(Z57)-N(Z59),""))</f>
        <v/>
      </c>
      <c r="AA61" s="12">
        <f>IF(OR(AA37=""),"",IFERROR(AA37+N(AA53)-N(AA55)+N(AA57)-N(AA59),""))</f>
        <v/>
      </c>
      <c r="AB61" s="12">
        <f>IF(OR(AB37=""),"",IFERROR(AB37+N(AB53)-N(AB55)+N(AB57)-N(AB59),""))</f>
        <v/>
      </c>
      <c r="AC61" s="12">
        <f>IF(OR(AC37=""),"",IFERROR(AC37+N(AC53)-N(AC55)+N(AC57)-N(AC59),""))</f>
        <v/>
      </c>
    </row>
    <row r="62">
      <c r="A62" s="13" t="inlineStr">
        <is>
          <t>YoY</t>
        </is>
      </c>
      <c r="B62" s="10" t="n"/>
      <c r="C62" s="14" t="n"/>
      <c r="D62" s="15" t="n"/>
      <c r="E62" s="15" t="n"/>
      <c r="F62" s="15" t="n"/>
      <c r="G62" s="15">
        <f>IF(OR(G61="",C61=""),"",IF(C61&lt;=0,"",IFERROR(G61/C61-1,"")))</f>
        <v/>
      </c>
      <c r="H62" s="15">
        <f>IF(OR(H61="",D61=""),"",IF(D61&lt;=0,"",IFERROR(H61/D61-1,"")))</f>
        <v/>
      </c>
      <c r="I62" s="15">
        <f>IF(OR(I61="",E61=""),"",IF(E61&lt;=0,"",IFERROR(I61/E61-1,"")))</f>
        <v/>
      </c>
      <c r="J62" s="15">
        <f>IF(OR(J61="",F61=""),"",IF(F61&lt;=0,"",IFERROR(J61/F61-1,"")))</f>
        <v/>
      </c>
      <c r="K62" s="15">
        <f>IF(OR(K61="",G61=""),"",IF(G61&lt;=0,"",IFERROR(K61/G61-1,"")))</f>
        <v/>
      </c>
      <c r="L62" s="15">
        <f>IF(OR(L61="",H61=""),"",IF(H61&lt;=0,"",IFERROR(L61/H61-1,"")))</f>
        <v/>
      </c>
      <c r="M62" s="15">
        <f>IF(OR(M61="",I61=""),"",IF(I61&lt;=0,"",IFERROR(M61/I61-1,"")))</f>
        <v/>
      </c>
      <c r="N62" s="15">
        <f>IF(OR(N61="",J61=""),"",IF(J61&lt;=0,"",IFERROR(N61/J61-1,"")))</f>
        <v/>
      </c>
      <c r="O62" s="14" t="n"/>
      <c r="P62" s="15">
        <f>IF(OR(P61="",O61=""),"",IF(O61&lt;=0,"",IFERROR(P61/O61-1,"")))</f>
        <v/>
      </c>
      <c r="Q62" s="15">
        <f>IF(OR(Q61="",P61=""),"",IF(P61&lt;=0,"",IFERROR(Q61/P61-1,"")))</f>
        <v/>
      </c>
      <c r="R62" s="15">
        <f>IF(OR(R61="",Q61=""),"",IF(Q61&lt;=0,"",IFERROR(R61/Q61-1,"")))</f>
        <v/>
      </c>
      <c r="S62" s="15">
        <f>IF(OR(S61="",R61=""),"",IF(R61&lt;=0,"",IFERROR(S61/R61-1,"")))</f>
        <v/>
      </c>
      <c r="T62" s="15">
        <f>IF(OR(T61="",S61=""),"",IF(S61&lt;=0,"",IFERROR(T61/S61-1,"")))</f>
        <v/>
      </c>
      <c r="U62" s="15">
        <f>IF(OR(U61="",T61=""),"",IF(T61&lt;=0,"",IFERROR(U61/T61-1,"")))</f>
        <v/>
      </c>
      <c r="V62" s="15">
        <f>IF(OR(V61="",U61=""),"",IF(U61&lt;=0,"",IFERROR(V61/U61-1,"")))</f>
        <v/>
      </c>
      <c r="W62" s="15">
        <f>IF(OR(W61="",V61=""),"",IF(V61&lt;=0,"",IFERROR(W61/V61-1,"")))</f>
        <v/>
      </c>
      <c r="X62" s="15">
        <f>IF(OR(X61="",W61=""),"",IF(W61&lt;=0,"",IFERROR(X61/W61-1,"")))</f>
        <v/>
      </c>
      <c r="Y62" s="14">
        <f>IF(OR(Y61="",X61=""),"",IF(X61&lt;=0,"",IFERROR(Y61/X61-1,"")))</f>
        <v/>
      </c>
      <c r="Z62" s="15">
        <f>IF(OR(Z61="",Y61=""),"",IF(Y61&lt;=0,"",IFERROR(Z61/Y61-1,"")))</f>
        <v/>
      </c>
      <c r="AA62" s="15">
        <f>IF(OR(AA61="",Z61=""),"",IF(Z61&lt;=0,"",IFERROR(AA61/Z61-1,"")))</f>
        <v/>
      </c>
      <c r="AB62" s="15">
        <f>IF(OR(AB61="",AA61=""),"",IF(AA61&lt;=0,"",IFERROR(AB61/AA61-1,"")))</f>
        <v/>
      </c>
      <c r="AC62" s="15">
        <f>IF(OR(AC61="",AB61=""),"",IF(AB61&lt;=0,"",IFERROR(AC61/AB61-1,"")))</f>
        <v/>
      </c>
    </row>
    <row r="63">
      <c r="A63" s="18" t="inlineStr">
        <is>
          <t>법인세비용(수익)</t>
        </is>
      </c>
      <c r="B63" s="10" t="n"/>
      <c r="C63" s="19" t="n">
        <v>21092</v>
      </c>
      <c r="D63" s="20" t="n">
        <v>16301</v>
      </c>
      <c r="E63" s="20" t="n">
        <v>21751</v>
      </c>
      <c r="F63" s="20" t="n">
        <v>22931</v>
      </c>
      <c r="G63" s="20" t="n">
        <v>32128</v>
      </c>
      <c r="H63" s="20" t="n">
        <v>13539</v>
      </c>
      <c r="I63" s="20" t="n">
        <v>27558</v>
      </c>
      <c r="J63" s="20" t="n">
        <v>24127</v>
      </c>
      <c r="K63" s="20" t="n">
        <v>9848</v>
      </c>
      <c r="L63" s="20" t="n">
        <v>30774</v>
      </c>
      <c r="M63" s="20" t="n">
        <v>41891</v>
      </c>
      <c r="N63" s="20" t="n">
        <v>47926</v>
      </c>
      <c r="O63" s="19" t="n"/>
      <c r="P63" s="20" t="n">
        <v>86807</v>
      </c>
      <c r="Q63" s="20" t="n">
        <v>78304</v>
      </c>
      <c r="R63" s="20" t="n">
        <v>48474</v>
      </c>
      <c r="S63" s="20" t="n">
        <v>57071</v>
      </c>
      <c r="T63" s="20" t="n">
        <v>61808</v>
      </c>
      <c r="U63" s="20" t="n">
        <v>67235</v>
      </c>
      <c r="V63" s="20" t="n">
        <v>68908</v>
      </c>
      <c r="W63" s="20" t="n">
        <v>90349</v>
      </c>
      <c r="X63" s="20" t="n">
        <v>92307</v>
      </c>
      <c r="Y63" s="19">
        <f>IF(OR(Y61="",Y64=""),"",IFERROR(MAX(Y61,0)*Y64,""))</f>
        <v/>
      </c>
      <c r="Z63" s="20">
        <f>IF(OR(Z61="",Z64=""),"",IFERROR(MAX(Z61,0)*Z64,""))</f>
        <v/>
      </c>
      <c r="AA63" s="20">
        <f>IF(OR(AA61="",AA64=""),"",IFERROR(MAX(AA61,0)*AA64,""))</f>
        <v/>
      </c>
      <c r="AB63" s="20">
        <f>IF(OR(AB61="",AB64=""),"",IFERROR(MAX(AB61,0)*AB64,""))</f>
        <v/>
      </c>
      <c r="AC63" s="20">
        <f>IF(OR(AC61="",AC64=""),"",IFERROR(MAX(AC61,0)*AC64,""))</f>
        <v/>
      </c>
    </row>
    <row r="64">
      <c r="A64" s="13" t="inlineStr">
        <is>
          <t>법인세율</t>
        </is>
      </c>
      <c r="B64" s="10" t="inlineStr">
        <is>
          <t>MW 기본 30%</t>
        </is>
      </c>
      <c r="C64" s="14">
        <f>IF(OR(C63="",C61=""),"",IFERROR(C63/C61,""))</f>
        <v/>
      </c>
      <c r="D64" s="15">
        <f>IF(OR(D63="",D61=""),"",IFERROR(D63/D61,""))</f>
        <v/>
      </c>
      <c r="E64" s="15">
        <f>IF(OR(E63="",E61=""),"",IFERROR(E63/E61,""))</f>
        <v/>
      </c>
      <c r="F64" s="15">
        <f>IF(OR(F63="",F61=""),"",IFERROR(F63/F61,""))</f>
        <v/>
      </c>
      <c r="G64" s="15">
        <f>IF(OR(G63="",G61=""),"",IFERROR(G63/G61,""))</f>
        <v/>
      </c>
      <c r="H64" s="15">
        <f>IF(OR(H63="",H61=""),"",IFERROR(H63/H61,""))</f>
        <v/>
      </c>
      <c r="I64" s="15">
        <f>IF(OR(I63="",I61=""),"",IFERROR(I63/I61,""))</f>
        <v/>
      </c>
      <c r="J64" s="15">
        <f>IF(OR(J63="",J61=""),"",IFERROR(J63/J61,""))</f>
        <v/>
      </c>
      <c r="K64" s="15">
        <f>IF(OR(K63="",K61=""),"",IFERROR(K63/K61,""))</f>
        <v/>
      </c>
      <c r="L64" s="15">
        <f>IF(OR(L63="",L61=""),"",IFERROR(L63/L61,""))</f>
        <v/>
      </c>
      <c r="M64" s="15">
        <f>IF(OR(M63="",M61=""),"",IFERROR(M63/M61,""))</f>
        <v/>
      </c>
      <c r="N64" s="15">
        <f>IF(OR(N63="",N61=""),"",IFERROR(N63/N61,""))</f>
        <v/>
      </c>
      <c r="O64" s="14">
        <f>IF(OR(O63="",O61=""),"",IFERROR(O63/O61,""))</f>
        <v/>
      </c>
      <c r="P64" s="15">
        <f>IF(OR(P63="",P61=""),"",IFERROR(P63/P61,""))</f>
        <v/>
      </c>
      <c r="Q64" s="15">
        <f>IF(OR(Q63="",Q61=""),"",IFERROR(Q63/Q61,""))</f>
        <v/>
      </c>
      <c r="R64" s="15">
        <f>IF(OR(R63="",R61=""),"",IFERROR(R63/R61,""))</f>
        <v/>
      </c>
      <c r="S64" s="15">
        <f>IF(OR(S63="",S61=""),"",IFERROR(S63/S61,""))</f>
        <v/>
      </c>
      <c r="T64" s="15">
        <f>IF(OR(T63="",T61=""),"",IFERROR(T63/T61,""))</f>
        <v/>
      </c>
      <c r="U64" s="15">
        <f>IF(OR(U63="",U61=""),"",IFERROR(U63/U61,""))</f>
        <v/>
      </c>
      <c r="V64" s="15">
        <f>IF(OR(V63="",V61=""),"",IFERROR(V63/V61,""))</f>
        <v/>
      </c>
      <c r="W64" s="15">
        <f>IF(OR(W63="",W61=""),"",IFERROR(W63/W61,""))</f>
        <v/>
      </c>
      <c r="X64" s="15">
        <f>IF(OR(X63="",X61=""),"",IFERROR(X63/X61,""))</f>
        <v/>
      </c>
      <c r="Y64" s="25" t="n">
        <v>0.3</v>
      </c>
      <c r="Z64" s="26" t="n">
        <v>0.3</v>
      </c>
      <c r="AA64" s="26" t="n">
        <v>0.3</v>
      </c>
      <c r="AB64" s="26" t="n">
        <v>0.3</v>
      </c>
      <c r="AC64" s="26" t="n">
        <v>0.3</v>
      </c>
    </row>
    <row r="65">
      <c r="A65" s="9" t="inlineStr">
        <is>
          <t>당기순이익(손실)</t>
        </is>
      </c>
      <c r="B65" s="10" t="n"/>
      <c r="C65" s="11" t="n">
        <v>68145</v>
      </c>
      <c r="D65" s="12" t="n">
        <v>100529</v>
      </c>
      <c r="E65" s="12" t="n">
        <v>54374</v>
      </c>
      <c r="F65" s="12" t="n">
        <v>77688</v>
      </c>
      <c r="G65" s="12" t="n">
        <v>135761</v>
      </c>
      <c r="H65" s="12" t="n">
        <v>79093</v>
      </c>
      <c r="I65" s="12" t="n">
        <v>96518</v>
      </c>
      <c r="J65" s="12" t="n">
        <v>105772</v>
      </c>
      <c r="K65" s="12" t="n">
        <v>115556</v>
      </c>
      <c r="L65" s="12" t="n">
        <v>115924</v>
      </c>
      <c r="M65" s="12" t="n">
        <v>115186</v>
      </c>
      <c r="N65" s="12" t="n">
        <v>198550</v>
      </c>
      <c r="O65" s="11" t="n"/>
      <c r="P65" s="12" t="n">
        <v>266399</v>
      </c>
      <c r="Q65" s="12" t="n">
        <v>237654</v>
      </c>
      <c r="R65" s="12" t="n">
        <v>233512</v>
      </c>
      <c r="S65" s="12" t="n">
        <v>201683</v>
      </c>
      <c r="T65" s="12" t="n">
        <v>217885</v>
      </c>
      <c r="U65" s="12" t="n">
        <v>224944</v>
      </c>
      <c r="V65" s="12" t="n">
        <v>296945</v>
      </c>
      <c r="W65" s="12" t="n">
        <v>346916</v>
      </c>
      <c r="X65" s="12" t="n">
        <v>433770</v>
      </c>
      <c r="Y65" s="11">
        <f>IF(OR(Y61=""),"",IFERROR(Y61-Y63,""))</f>
        <v/>
      </c>
      <c r="Z65" s="12">
        <f>IF(OR(Z61=""),"",IFERROR(Z61-Z63,""))</f>
        <v/>
      </c>
      <c r="AA65" s="12">
        <f>IF(OR(AA61=""),"",IFERROR(AA61-AA63,""))</f>
        <v/>
      </c>
      <c r="AB65" s="12">
        <f>IF(OR(AB61=""),"",IFERROR(AB61-AB63,""))</f>
        <v/>
      </c>
      <c r="AC65" s="12">
        <f>IF(OR(AC61=""),"",IFERROR(AC61-AC63,""))</f>
        <v/>
      </c>
    </row>
    <row r="66">
      <c r="A66" s="13" t="inlineStr">
        <is>
          <t>YoY</t>
        </is>
      </c>
      <c r="B66" s="10" t="n"/>
      <c r="C66" s="14" t="n"/>
      <c r="D66" s="15" t="n"/>
      <c r="E66" s="15" t="n"/>
      <c r="F66" s="15" t="n"/>
      <c r="G66" s="15">
        <f>IF(OR(G65="",C65=""),"",IF(C65&lt;=0,"",IFERROR(G65/C65-1,"")))</f>
        <v/>
      </c>
      <c r="H66" s="15">
        <f>IF(OR(H65="",D65=""),"",IF(D65&lt;=0,"",IFERROR(H65/D65-1,"")))</f>
        <v/>
      </c>
      <c r="I66" s="15">
        <f>IF(OR(I65="",E65=""),"",IF(E65&lt;=0,"",IFERROR(I65/E65-1,"")))</f>
        <v/>
      </c>
      <c r="J66" s="15">
        <f>IF(OR(J65="",F65=""),"",IF(F65&lt;=0,"",IFERROR(J65/F65-1,"")))</f>
        <v/>
      </c>
      <c r="K66" s="15">
        <f>IF(OR(K65="",G65=""),"",IF(G65&lt;=0,"",IFERROR(K65/G65-1,"")))</f>
        <v/>
      </c>
      <c r="L66" s="15">
        <f>IF(OR(L65="",H65=""),"",IF(H65&lt;=0,"",IFERROR(L65/H65-1,"")))</f>
        <v/>
      </c>
      <c r="M66" s="15">
        <f>IF(OR(M65="",I65=""),"",IF(I65&lt;=0,"",IFERROR(M65/I65-1,"")))</f>
        <v/>
      </c>
      <c r="N66" s="15">
        <f>IF(OR(N65="",J65=""),"",IF(J65&lt;=0,"",IFERROR(N65/J65-1,"")))</f>
        <v/>
      </c>
      <c r="O66" s="14" t="n"/>
      <c r="P66" s="15">
        <f>IF(OR(P65="",O65=""),"",IF(O65&lt;=0,"",IFERROR(P65/O65-1,"")))</f>
        <v/>
      </c>
      <c r="Q66" s="15">
        <f>IF(OR(Q65="",P65=""),"",IF(P65&lt;=0,"",IFERROR(Q65/P65-1,"")))</f>
        <v/>
      </c>
      <c r="R66" s="15">
        <f>IF(OR(R65="",Q65=""),"",IF(Q65&lt;=0,"",IFERROR(R65/Q65-1,"")))</f>
        <v/>
      </c>
      <c r="S66" s="15">
        <f>IF(OR(S65="",R65=""),"",IF(R65&lt;=0,"",IFERROR(S65/R65-1,"")))</f>
        <v/>
      </c>
      <c r="T66" s="15">
        <f>IF(OR(T65="",S65=""),"",IF(S65&lt;=0,"",IFERROR(T65/S65-1,"")))</f>
        <v/>
      </c>
      <c r="U66" s="15">
        <f>IF(OR(U65="",T65=""),"",IF(T65&lt;=0,"",IFERROR(U65/T65-1,"")))</f>
        <v/>
      </c>
      <c r="V66" s="15">
        <f>IF(OR(V65="",U65=""),"",IF(U65&lt;=0,"",IFERROR(V65/U65-1,"")))</f>
        <v/>
      </c>
      <c r="W66" s="15">
        <f>IF(OR(W65="",V65=""),"",IF(V65&lt;=0,"",IFERROR(W65/V65-1,"")))</f>
        <v/>
      </c>
      <c r="X66" s="15">
        <f>IF(OR(X65="",W65=""),"",IF(W65&lt;=0,"",IFERROR(X65/W65-1,"")))</f>
        <v/>
      </c>
      <c r="Y66" s="14">
        <f>IF(OR(Y65="",X65=""),"",IF(X65&lt;=0,"",IFERROR(Y65/X65-1,"")))</f>
        <v/>
      </c>
      <c r="Z66" s="15">
        <f>IF(OR(Z65="",Y65=""),"",IF(Y65&lt;=0,"",IFERROR(Z65/Y65-1,"")))</f>
        <v/>
      </c>
      <c r="AA66" s="15">
        <f>IF(OR(AA65="",Z65=""),"",IF(Z65&lt;=0,"",IFERROR(AA65/Z65-1,"")))</f>
        <v/>
      </c>
      <c r="AB66" s="15">
        <f>IF(OR(AB65="",AA65=""),"",IF(AA65&lt;=0,"",IFERROR(AB65/AA65-1,"")))</f>
        <v/>
      </c>
      <c r="AC66" s="15">
        <f>IF(OR(AC65="",AB65=""),"",IF(AB65&lt;=0,"",IFERROR(AC65/AB65-1,"")))</f>
        <v/>
      </c>
    </row>
    <row r="67">
      <c r="A67" s="9" t="inlineStr">
        <is>
          <t>지배주주 순이익</t>
        </is>
      </c>
      <c r="B67" s="10" t="n"/>
      <c r="C67" s="11" t="n">
        <v>65869</v>
      </c>
      <c r="D67" s="12" t="n">
        <v>98852</v>
      </c>
      <c r="E67" s="12" t="n">
        <v>49138</v>
      </c>
      <c r="F67" s="12" t="n">
        <v>69502</v>
      </c>
      <c r="G67" s="12" t="n">
        <v>129454</v>
      </c>
      <c r="H67" s="12" t="n">
        <v>75990</v>
      </c>
      <c r="I67" s="12" t="n">
        <v>90926</v>
      </c>
      <c r="J67" s="12" t="n">
        <v>98471</v>
      </c>
      <c r="K67" s="12" t="n">
        <v>108868</v>
      </c>
      <c r="L67" s="12" t="n">
        <v>109493</v>
      </c>
      <c r="M67" s="12" t="n">
        <v>109817</v>
      </c>
      <c r="N67" s="12" t="n">
        <v>187208</v>
      </c>
      <c r="O67" s="11" t="n"/>
      <c r="P67" s="12" t="n">
        <v>255755</v>
      </c>
      <c r="Q67" s="12" t="n">
        <v>226648</v>
      </c>
      <c r="R67" s="12" t="n">
        <v>221834</v>
      </c>
      <c r="S67" s="12" t="n">
        <v>193132</v>
      </c>
      <c r="T67" s="12" t="n">
        <v>203482</v>
      </c>
      <c r="U67" s="12" t="n">
        <v>213908</v>
      </c>
      <c r="V67" s="12" t="n">
        <v>284949</v>
      </c>
      <c r="W67" s="12" t="n">
        <v>324084</v>
      </c>
      <c r="X67" s="12" t="n">
        <v>407758</v>
      </c>
      <c r="Y67" s="11">
        <f>IF(OR(Y65="",Y68=""),"",IFERROR(Y65*Y68,""))</f>
        <v/>
      </c>
      <c r="Z67" s="12">
        <f>IF(OR(Z65="",Z68=""),"",IFERROR(Z65*Z68,""))</f>
        <v/>
      </c>
      <c r="AA67" s="12">
        <f>IF(OR(AA65="",AA68=""),"",IFERROR(AA65*AA68,""))</f>
        <v/>
      </c>
      <c r="AB67" s="12">
        <f>IF(OR(AB65="",AB68=""),"",IFERROR(AB65*AB68,""))</f>
        <v/>
      </c>
      <c r="AC67" s="12">
        <f>IF(OR(AC65="",AC68=""),"",IFERROR(AC65*AC68,""))</f>
        <v/>
      </c>
    </row>
    <row r="68">
      <c r="A68" s="13" t="inlineStr">
        <is>
          <t>지배주주 순이익률</t>
        </is>
      </c>
      <c r="B68" s="10" t="inlineStr">
        <is>
          <t>MW 기본 100%</t>
        </is>
      </c>
      <c r="C68" s="14">
        <f>IF(OR(C67="",C65=""),"",IFERROR(C67/C65,""))</f>
        <v/>
      </c>
      <c r="D68" s="15">
        <f>IF(OR(D67="",D65=""),"",IFERROR(D67/D65,""))</f>
        <v/>
      </c>
      <c r="E68" s="15">
        <f>IF(OR(E67="",E65=""),"",IFERROR(E67/E65,""))</f>
        <v/>
      </c>
      <c r="F68" s="15">
        <f>IF(OR(F67="",F65=""),"",IFERROR(F67/F65,""))</f>
        <v/>
      </c>
      <c r="G68" s="15">
        <f>IF(OR(G67="",G65=""),"",IFERROR(G67/G65,""))</f>
        <v/>
      </c>
      <c r="H68" s="15">
        <f>IF(OR(H67="",H65=""),"",IFERROR(H67/H65,""))</f>
        <v/>
      </c>
      <c r="I68" s="15">
        <f>IF(OR(I67="",I65=""),"",IFERROR(I67/I65,""))</f>
        <v/>
      </c>
      <c r="J68" s="15">
        <f>IF(OR(J67="",J65=""),"",IFERROR(J67/J65,""))</f>
        <v/>
      </c>
      <c r="K68" s="15">
        <f>IF(OR(K67="",K65=""),"",IFERROR(K67/K65,""))</f>
        <v/>
      </c>
      <c r="L68" s="15">
        <f>IF(OR(L67="",L65=""),"",IFERROR(L67/L65,""))</f>
        <v/>
      </c>
      <c r="M68" s="15">
        <f>IF(OR(M67="",M65=""),"",IFERROR(M67/M65,""))</f>
        <v/>
      </c>
      <c r="N68" s="15">
        <f>IF(OR(N67="",N65=""),"",IFERROR(N67/N65,""))</f>
        <v/>
      </c>
      <c r="O68" s="14">
        <f>IF(OR(O67="",O65=""),"",IFERROR(O67/O65,""))</f>
        <v/>
      </c>
      <c r="P68" s="15">
        <f>IF(OR(P67="",P65=""),"",IFERROR(P67/P65,""))</f>
        <v/>
      </c>
      <c r="Q68" s="15">
        <f>IF(OR(Q67="",Q65=""),"",IFERROR(Q67/Q65,""))</f>
        <v/>
      </c>
      <c r="R68" s="15">
        <f>IF(OR(R67="",R65=""),"",IFERROR(R67/R65,""))</f>
        <v/>
      </c>
      <c r="S68" s="15">
        <f>IF(OR(S67="",S65=""),"",IFERROR(S67/S65,""))</f>
        <v/>
      </c>
      <c r="T68" s="15">
        <f>IF(OR(T67="",T65=""),"",IFERROR(T67/T65,""))</f>
        <v/>
      </c>
      <c r="U68" s="15">
        <f>IF(OR(U67="",U65=""),"",IFERROR(U67/U65,""))</f>
        <v/>
      </c>
      <c r="V68" s="15">
        <f>IF(OR(V67="",V65=""),"",IFERROR(V67/V65,""))</f>
        <v/>
      </c>
      <c r="W68" s="15">
        <f>IF(OR(W67="",W65=""),"",IFERROR(W67/W65,""))</f>
        <v/>
      </c>
      <c r="X68" s="15">
        <f>IF(OR(X67="",X65=""),"",IFERROR(X67/X65,""))</f>
        <v/>
      </c>
      <c r="Y68" s="25" t="n">
        <v>1</v>
      </c>
      <c r="Z68" s="26" t="n">
        <v>1</v>
      </c>
      <c r="AA68" s="26" t="n">
        <v>1</v>
      </c>
      <c r="AB68" s="26" t="n">
        <v>1</v>
      </c>
      <c r="AC68" s="26" t="n">
        <v>1</v>
      </c>
    </row>
    <row r="69">
      <c r="A69" s="13" t="inlineStr">
        <is>
          <t>지배주주 순이익 YoY</t>
        </is>
      </c>
      <c r="B69" s="10" t="n"/>
      <c r="C69" s="14" t="n"/>
      <c r="D69" s="15" t="n"/>
      <c r="E69" s="15" t="n"/>
      <c r="F69" s="15" t="n"/>
      <c r="G69" s="15">
        <f>IF(OR(G67="",C67=""),"",IF(C67&lt;=0,"",IFERROR(G67/C67-1,"")))</f>
        <v/>
      </c>
      <c r="H69" s="15">
        <f>IF(OR(H67="",D67=""),"",IF(D67&lt;=0,"",IFERROR(H67/D67-1,"")))</f>
        <v/>
      </c>
      <c r="I69" s="15">
        <f>IF(OR(I67="",E67=""),"",IF(E67&lt;=0,"",IFERROR(I67/E67-1,"")))</f>
        <v/>
      </c>
      <c r="J69" s="15">
        <f>IF(OR(J67="",F67=""),"",IF(F67&lt;=0,"",IFERROR(J67/F67-1,"")))</f>
        <v/>
      </c>
      <c r="K69" s="15">
        <f>IF(OR(K67="",G67=""),"",IF(G67&lt;=0,"",IFERROR(K67/G67-1,"")))</f>
        <v/>
      </c>
      <c r="L69" s="15">
        <f>IF(OR(L67="",H67=""),"",IF(H67&lt;=0,"",IFERROR(L67/H67-1,"")))</f>
        <v/>
      </c>
      <c r="M69" s="15">
        <f>IF(OR(M67="",I67=""),"",IF(I67&lt;=0,"",IFERROR(M67/I67-1,"")))</f>
        <v/>
      </c>
      <c r="N69" s="15">
        <f>IF(OR(N67="",J67=""),"",IF(J67&lt;=0,"",IFERROR(N67/J67-1,"")))</f>
        <v/>
      </c>
      <c r="O69" s="14" t="n"/>
      <c r="P69" s="15">
        <f>IF(OR(P67="",O67=""),"",IF(O67&lt;=0,"",IFERROR(P67/O67-1,"")))</f>
        <v/>
      </c>
      <c r="Q69" s="15">
        <f>IF(OR(Q67="",P67=""),"",IF(P67&lt;=0,"",IFERROR(Q67/P67-1,"")))</f>
        <v/>
      </c>
      <c r="R69" s="15">
        <f>IF(OR(R67="",Q67=""),"",IF(Q67&lt;=0,"",IFERROR(R67/Q67-1,"")))</f>
        <v/>
      </c>
      <c r="S69" s="15">
        <f>IF(OR(S67="",R67=""),"",IF(R67&lt;=0,"",IFERROR(S67/R67-1,"")))</f>
        <v/>
      </c>
      <c r="T69" s="15">
        <f>IF(OR(T67="",S67=""),"",IF(S67&lt;=0,"",IFERROR(T67/S67-1,"")))</f>
        <v/>
      </c>
      <c r="U69" s="15">
        <f>IF(OR(U67="",T67=""),"",IF(T67&lt;=0,"",IFERROR(U67/T67-1,"")))</f>
        <v/>
      </c>
      <c r="V69" s="15">
        <f>IF(OR(V67="",U67=""),"",IF(U67&lt;=0,"",IFERROR(V67/U67-1,"")))</f>
        <v/>
      </c>
      <c r="W69" s="15">
        <f>IF(OR(W67="",V67=""),"",IF(V67&lt;=0,"",IFERROR(W67/V67-1,"")))</f>
        <v/>
      </c>
      <c r="X69" s="15">
        <f>IF(OR(X67="",W67=""),"",IF(W67&lt;=0,"",IFERROR(X67/W67-1,"")))</f>
        <v/>
      </c>
      <c r="Y69" s="14">
        <f>IF(OR(Y67="",X67=""),"",IF(X67&lt;=0,"",IFERROR(Y67/X67-1,"")))</f>
        <v/>
      </c>
      <c r="Z69" s="15">
        <f>IF(OR(Z67="",Y67=""),"",IF(Y67&lt;=0,"",IFERROR(Z67/Y67-1,"")))</f>
        <v/>
      </c>
      <c r="AA69" s="15">
        <f>IF(OR(AA67="",Z67=""),"",IF(Z67&lt;=0,"",IFERROR(AA67/Z67-1,"")))</f>
        <v/>
      </c>
      <c r="AB69" s="15">
        <f>IF(OR(AB67="",AA67=""),"",IF(AA67&lt;=0,"",IFERROR(AB67/AA67-1,"")))</f>
        <v/>
      </c>
      <c r="AC69" s="15">
        <f>IF(OR(AC67="",AB67=""),"",IF(AB67&lt;=0,"",IFERROR(AC67/AB67-1,"")))</f>
        <v/>
      </c>
    </row>
    <row r="70">
      <c r="A70" s="16" t="inlineStr">
        <is>
          <t>목표주가 산출</t>
        </is>
      </c>
      <c r="B70" s="16" t="n"/>
      <c r="C70" s="17" t="n"/>
      <c r="D70" s="16" t="n"/>
      <c r="E70" s="16" t="n"/>
      <c r="F70" s="16" t="n"/>
      <c r="G70" s="16" t="n"/>
      <c r="H70" s="16" t="n"/>
      <c r="I70" s="16" t="n"/>
      <c r="J70" s="16" t="n"/>
      <c r="K70" s="16" t="n"/>
      <c r="L70" s="16" t="n"/>
      <c r="M70" s="16" t="n"/>
      <c r="N70" s="16" t="n"/>
      <c r="O70" s="17" t="n"/>
      <c r="P70" s="16" t="n"/>
      <c r="Q70" s="16" t="n"/>
      <c r="R70" s="16" t="n"/>
      <c r="S70" s="16" t="n"/>
      <c r="T70" s="16" t="n"/>
      <c r="U70" s="16" t="n"/>
      <c r="V70" s="16" t="n"/>
      <c r="W70" s="16" t="n"/>
      <c r="X70" s="16" t="n"/>
      <c r="Y70" s="17" t="n"/>
      <c r="Z70" s="16" t="n"/>
      <c r="AA70" s="16" t="n"/>
      <c r="AB70" s="16" t="n"/>
      <c r="AC70" s="16" t="n"/>
    </row>
    <row r="71">
      <c r="A71" s="18" t="inlineStr">
        <is>
          <t>현재 주가 ()</t>
        </is>
      </c>
      <c r="B71" s="27" t="n"/>
      <c r="C71" s="28" t="n"/>
      <c r="D71" s="29" t="n"/>
      <c r="E71" s="29" t="n"/>
      <c r="F71" s="29" t="n"/>
      <c r="G71" s="29" t="n"/>
      <c r="H71" s="29" t="n"/>
      <c r="I71" s="29" t="n"/>
      <c r="J71" s="29" t="n"/>
      <c r="K71" s="29" t="n"/>
      <c r="L71" s="29" t="n"/>
      <c r="M71" s="29" t="n"/>
      <c r="N71" s="29" t="n"/>
      <c r="O71" s="28" t="n"/>
      <c r="P71" s="29" t="n"/>
      <c r="Q71" s="29" t="n"/>
      <c r="R71" s="29" t="n"/>
      <c r="S71" s="29" t="n"/>
      <c r="T71" s="29" t="n"/>
      <c r="U71" s="29" t="n"/>
      <c r="V71" s="29" t="n"/>
      <c r="W71" s="29" t="n"/>
      <c r="X71" s="29" t="n"/>
      <c r="Y71" s="28" t="n"/>
      <c r="Z71" s="29" t="n"/>
      <c r="AA71" s="29" t="n"/>
      <c r="AB71" s="29" t="n"/>
      <c r="AC71" s="29" t="n"/>
    </row>
    <row r="72">
      <c r="A72" s="18" t="inlineStr">
        <is>
          <t>발행주식수 (보통주)</t>
        </is>
      </c>
      <c r="B72" s="27" t="n"/>
      <c r="C72" s="28" t="n"/>
      <c r="D72" s="29" t="n"/>
      <c r="E72" s="29" t="n"/>
      <c r="F72" s="29" t="n"/>
      <c r="G72" s="29" t="n"/>
      <c r="H72" s="29" t="n"/>
      <c r="I72" s="29" t="n"/>
      <c r="J72" s="29" t="n"/>
      <c r="K72" s="29" t="n"/>
      <c r="L72" s="29" t="n"/>
      <c r="M72" s="29" t="n"/>
      <c r="N72" s="29" t="n"/>
      <c r="O72" s="28" t="n"/>
      <c r="P72" s="29" t="n"/>
      <c r="Q72" s="29" t="n"/>
      <c r="R72" s="29" t="n"/>
      <c r="S72" s="29" t="n"/>
      <c r="T72" s="29" t="n"/>
      <c r="U72" s="29" t="n"/>
      <c r="V72" s="29" t="n"/>
      <c r="W72" s="29" t="n"/>
      <c r="X72" s="29" t="n"/>
      <c r="Y72" s="28" t="n"/>
      <c r="Z72" s="29" t="n"/>
      <c r="AA72" s="29" t="n"/>
      <c r="AB72" s="29" t="n"/>
      <c r="AC72" s="29" t="n"/>
    </row>
    <row r="73">
      <c r="A73" s="18" t="inlineStr">
        <is>
          <t>시가총액 (백만엔)</t>
        </is>
      </c>
      <c r="B73" s="12">
        <f>IF(OR(B71="",B72=""),"",B71*B72/1000000.0)</f>
        <v/>
      </c>
      <c r="C73" s="19" t="n"/>
      <c r="D73" s="20" t="n"/>
      <c r="E73" s="20" t="n"/>
      <c r="F73" s="20" t="n"/>
      <c r="G73" s="20" t="n"/>
      <c r="H73" s="20" t="n"/>
      <c r="I73" s="20" t="n"/>
      <c r="J73" s="20" t="n"/>
      <c r="K73" s="20" t="n"/>
      <c r="L73" s="20" t="n"/>
      <c r="M73" s="20" t="n"/>
      <c r="N73" s="20" t="n"/>
      <c r="O73" s="19" t="n"/>
      <c r="P73" s="20" t="n"/>
      <c r="Q73" s="20" t="n"/>
      <c r="R73" s="20" t="n"/>
      <c r="S73" s="20" t="n"/>
      <c r="T73" s="20" t="n"/>
      <c r="U73" s="20" t="n"/>
      <c r="V73" s="20" t="n"/>
      <c r="W73" s="20" t="n"/>
      <c r="X73" s="20" t="n"/>
      <c r="Y73" s="19" t="n"/>
      <c r="Z73" s="20" t="n"/>
      <c r="AA73" s="20" t="n"/>
      <c r="AB73" s="20" t="n"/>
      <c r="AC73" s="20" t="n"/>
    </row>
    <row r="74">
      <c r="A74" s="13" t="inlineStr">
        <is>
          <t>OPM</t>
        </is>
      </c>
      <c r="B74" s="10" t="n"/>
      <c r="C74" s="14" t="n"/>
      <c r="D74" s="15" t="n"/>
      <c r="E74" s="15" t="n"/>
      <c r="F74" s="15" t="n"/>
      <c r="G74" s="15" t="n"/>
      <c r="H74" s="15" t="n"/>
      <c r="I74" s="15" t="n"/>
      <c r="J74" s="15" t="n"/>
      <c r="K74" s="15" t="n"/>
      <c r="L74" s="15" t="n"/>
      <c r="M74" s="15" t="n"/>
      <c r="N74" s="15" t="n"/>
      <c r="O74" s="14">
        <f>IF(O38="","",O38)</f>
        <v/>
      </c>
      <c r="P74" s="15">
        <f>IF(P38="","",P38)</f>
        <v/>
      </c>
      <c r="Q74" s="15">
        <f>IF(Q38="","",Q38)</f>
        <v/>
      </c>
      <c r="R74" s="15">
        <f>IF(R38="","",R38)</f>
        <v/>
      </c>
      <c r="S74" s="15">
        <f>IF(S38="","",S38)</f>
        <v/>
      </c>
      <c r="T74" s="15">
        <f>IF(T38="","",T38)</f>
        <v/>
      </c>
      <c r="U74" s="15">
        <f>IF(U38="","",U38)</f>
        <v/>
      </c>
      <c r="V74" s="15">
        <f>IF(V38="","",V38)</f>
        <v/>
      </c>
      <c r="W74" s="15">
        <f>IF(W38="","",W38)</f>
        <v/>
      </c>
      <c r="X74" s="15">
        <f>IF(X38="","",X38)</f>
        <v/>
      </c>
      <c r="Y74" s="14">
        <f>IF(Y38="","",Y38)</f>
        <v/>
      </c>
      <c r="Z74" s="15">
        <f>IF(Z38="","",Z38)</f>
        <v/>
      </c>
      <c r="AA74" s="15">
        <f>IF(AA38="","",AA38)</f>
        <v/>
      </c>
      <c r="AB74" s="15">
        <f>IF(AB38="","",AB38)</f>
        <v/>
      </c>
      <c r="AC74" s="15">
        <f>IF(AC38="","",AC38)</f>
        <v/>
      </c>
    </row>
    <row r="75">
      <c r="A75" s="13" t="inlineStr">
        <is>
          <t>지배주주 순이익 증가율</t>
        </is>
      </c>
      <c r="B75" s="10" t="n"/>
      <c r="C75" s="14" t="n"/>
      <c r="D75" s="15" t="n"/>
      <c r="E75" s="15" t="n"/>
      <c r="F75" s="15" t="n"/>
      <c r="G75" s="15" t="n"/>
      <c r="H75" s="15" t="n"/>
      <c r="I75" s="15" t="n"/>
      <c r="J75" s="15" t="n"/>
      <c r="K75" s="15" t="n"/>
      <c r="L75" s="15" t="n"/>
      <c r="M75" s="15" t="n"/>
      <c r="N75" s="15" t="n"/>
      <c r="O75" s="14" t="n"/>
      <c r="P75" s="15">
        <f>IF(OR(P67="",O67=""),"",IFERROR(P67/O67-1,""))</f>
        <v/>
      </c>
      <c r="Q75" s="15">
        <f>IF(OR(Q67="",P67=""),"",IFERROR(Q67/P67-1,""))</f>
        <v/>
      </c>
      <c r="R75" s="15">
        <f>IF(OR(R67="",Q67=""),"",IFERROR(R67/Q67-1,""))</f>
        <v/>
      </c>
      <c r="S75" s="15">
        <f>IF(OR(S67="",R67=""),"",IFERROR(S67/R67-1,""))</f>
        <v/>
      </c>
      <c r="T75" s="15">
        <f>IF(OR(T67="",S67=""),"",IFERROR(T67/S67-1,""))</f>
        <v/>
      </c>
      <c r="U75" s="15">
        <f>IF(OR(U67="",T67=""),"",IFERROR(U67/T67-1,""))</f>
        <v/>
      </c>
      <c r="V75" s="15">
        <f>IF(OR(V67="",U67=""),"",IFERROR(V67/U67-1,""))</f>
        <v/>
      </c>
      <c r="W75" s="15">
        <f>IF(OR(W67="",V67=""),"",IFERROR(W67/V67-1,""))</f>
        <v/>
      </c>
      <c r="X75" s="15">
        <f>IF(OR(X67="",W67=""),"",IFERROR(X67/W67-1,""))</f>
        <v/>
      </c>
      <c r="Y75" s="14">
        <f>IF(OR(Y67="",X67=""),"",IFERROR(Y67/X67-1,""))</f>
        <v/>
      </c>
      <c r="Z75" s="15">
        <f>IF(OR(Z67="",Y67=""),"",IFERROR(Z67/Y67-1,""))</f>
        <v/>
      </c>
      <c r="AA75" s="15">
        <f>IF(OR(AA67="",Z67=""),"",IFERROR(AA67/Z67-1,""))</f>
        <v/>
      </c>
      <c r="AB75" s="15">
        <f>IF(OR(AB67="",AA67=""),"",IFERROR(AB67/AA67-1,""))</f>
        <v/>
      </c>
      <c r="AC75" s="15">
        <f>IF(OR(AC67="",AB67=""),"",IFERROR(AC67/AB67-1,""))</f>
        <v/>
      </c>
    </row>
    <row r="76">
      <c r="A76" s="18" t="inlineStr">
        <is>
          <t>P/E (현재 주가)</t>
        </is>
      </c>
      <c r="B76" s="10" t="inlineStr">
        <is>
          <t>시총 ÷ 지배순이익</t>
        </is>
      </c>
      <c r="C76" s="30" t="n"/>
      <c r="D76" s="31" t="n"/>
      <c r="E76" s="31" t="n"/>
      <c r="F76" s="31" t="n"/>
      <c r="G76" s="31" t="n"/>
      <c r="H76" s="31" t="n"/>
      <c r="I76" s="31" t="n"/>
      <c r="J76" s="31" t="n"/>
      <c r="K76" s="31" t="n"/>
      <c r="L76" s="31" t="n"/>
      <c r="M76" s="31" t="n"/>
      <c r="N76" s="31" t="n"/>
      <c r="O76" s="30" t="n"/>
      <c r="P76" s="31" t="n"/>
      <c r="Q76" s="31" t="n"/>
      <c r="R76" s="31" t="n"/>
      <c r="S76" s="31" t="n"/>
      <c r="T76" s="31" t="n"/>
      <c r="U76" s="31" t="n"/>
      <c r="V76" s="31" t="n"/>
      <c r="W76" s="31" t="n"/>
      <c r="X76" s="31">
        <f>IF(OR($B$73="",X67=""),"",IFERROR($B$73/X67,""))</f>
        <v/>
      </c>
      <c r="Y76" s="30">
        <f>IF(OR($B$73="",Y67=""),"",IFERROR($B$73/Y67,""))</f>
        <v/>
      </c>
      <c r="Z76" s="31">
        <f>IF(OR($B$73="",Z67=""),"",IFERROR($B$73/Z67,""))</f>
        <v/>
      </c>
      <c r="AA76" s="31">
        <f>IF(OR($B$73="",AA67=""),"",IFERROR($B$73/AA67,""))</f>
        <v/>
      </c>
      <c r="AB76" s="31">
        <f>IF(OR($B$73="",AB67=""),"",IFERROR($B$73/AB67,""))</f>
        <v/>
      </c>
      <c r="AC76" s="31">
        <f>IF(OR($B$73="",AC67=""),"",IFERROR($B$73/AC67,""))</f>
        <v/>
      </c>
    </row>
    <row r="77">
      <c r="A77" s="18" t="inlineStr">
        <is>
          <t>Target P/E</t>
        </is>
      </c>
      <c r="B77" s="10" t="inlineStr">
        <is>
          <t>직접 입력</t>
        </is>
      </c>
      <c r="C77" s="30" t="n"/>
      <c r="D77" s="31" t="n"/>
      <c r="E77" s="31" t="n"/>
      <c r="F77" s="31" t="n"/>
      <c r="G77" s="31" t="n"/>
      <c r="H77" s="31" t="n"/>
      <c r="I77" s="31" t="n"/>
      <c r="J77" s="31" t="n"/>
      <c r="K77" s="31" t="n"/>
      <c r="L77" s="31" t="n"/>
      <c r="M77" s="31" t="n"/>
      <c r="N77" s="31" t="n"/>
      <c r="O77" s="30" t="n"/>
      <c r="P77" s="31" t="n"/>
      <c r="Q77" s="31" t="n"/>
      <c r="R77" s="31" t="n"/>
      <c r="S77" s="31" t="n"/>
      <c r="T77" s="31" t="n"/>
      <c r="U77" s="31" t="n"/>
      <c r="V77" s="31" t="n"/>
      <c r="W77" s="31" t="n"/>
      <c r="X77" s="31" t="n"/>
      <c r="Y77" s="32" t="n"/>
      <c r="Z77" s="33" t="n"/>
      <c r="AA77" s="33" t="n"/>
      <c r="AB77" s="33" t="n"/>
      <c r="AC77" s="33" t="n"/>
    </row>
    <row r="78">
      <c r="A78" s="18" t="inlineStr">
        <is>
          <t>EPS</t>
        </is>
      </c>
      <c r="B78" s="10" t="inlineStr">
        <is>
          <t>지배순이익 ÷ 주식수</t>
        </is>
      </c>
      <c r="C78" s="28" t="n"/>
      <c r="D78" s="29" t="n"/>
      <c r="E78" s="29" t="n"/>
      <c r="F78" s="29" t="n"/>
      <c r="G78" s="29" t="n"/>
      <c r="H78" s="29" t="n"/>
      <c r="I78" s="29" t="n"/>
      <c r="J78" s="29" t="n"/>
      <c r="K78" s="29" t="n"/>
      <c r="L78" s="29" t="n"/>
      <c r="M78" s="29" t="n"/>
      <c r="N78" s="29" t="n"/>
      <c r="O78" s="28">
        <f>IF(OR(O67="",$B$72=""),"",IFERROR(O67*1000000.0/$B$72,""))</f>
        <v/>
      </c>
      <c r="P78" s="29">
        <f>IF(OR(P67="",$B$72=""),"",IFERROR(P67*1000000.0/$B$72,""))</f>
        <v/>
      </c>
      <c r="Q78" s="29">
        <f>IF(OR(Q67="",$B$72=""),"",IFERROR(Q67*1000000.0/$B$72,""))</f>
        <v/>
      </c>
      <c r="R78" s="29">
        <f>IF(OR(R67="",$B$72=""),"",IFERROR(R67*1000000.0/$B$72,""))</f>
        <v/>
      </c>
      <c r="S78" s="29">
        <f>IF(OR(S67="",$B$72=""),"",IFERROR(S67*1000000.0/$B$72,""))</f>
        <v/>
      </c>
      <c r="T78" s="29">
        <f>IF(OR(T67="",$B$72=""),"",IFERROR(T67*1000000.0/$B$72,""))</f>
        <v/>
      </c>
      <c r="U78" s="29">
        <f>IF(OR(U67="",$B$72=""),"",IFERROR(U67*1000000.0/$B$72,""))</f>
        <v/>
      </c>
      <c r="V78" s="29">
        <f>IF(OR(V67="",$B$72=""),"",IFERROR(V67*1000000.0/$B$72,""))</f>
        <v/>
      </c>
      <c r="W78" s="29">
        <f>IF(OR(W67="",$B$72=""),"",IFERROR(W67*1000000.0/$B$72,""))</f>
        <v/>
      </c>
      <c r="X78" s="29">
        <f>IF(OR(X67="",$B$72=""),"",IFERROR(X67*1000000.0/$B$72,""))</f>
        <v/>
      </c>
      <c r="Y78" s="28">
        <f>IF(OR(Y67="",$B$72=""),"",IFERROR(Y67*1000000.0/$B$72,""))</f>
        <v/>
      </c>
      <c r="Z78" s="29">
        <f>IF(OR(Z67="",$B$72=""),"",IFERROR(Z67*1000000.0/$B$72,""))</f>
        <v/>
      </c>
      <c r="AA78" s="29">
        <f>IF(OR(AA67="",$B$72=""),"",IFERROR(AA67*1000000.0/$B$72,""))</f>
        <v/>
      </c>
      <c r="AB78" s="29">
        <f>IF(OR(AB67="",$B$72=""),"",IFERROR(AB67*1000000.0/$B$72,""))</f>
        <v/>
      </c>
      <c r="AC78" s="29">
        <f>IF(OR(AC67="",$B$72=""),"",IFERROR(AC67*1000000.0/$B$72,""))</f>
        <v/>
      </c>
    </row>
    <row r="79">
      <c r="A79" s="9" t="inlineStr">
        <is>
          <t>목표주가</t>
        </is>
      </c>
      <c r="B79" s="10" t="n"/>
      <c r="C79" s="34" t="n"/>
      <c r="D79" s="27" t="n"/>
      <c r="E79" s="27" t="n"/>
      <c r="F79" s="27" t="n"/>
      <c r="G79" s="27" t="n"/>
      <c r="H79" s="27" t="n"/>
      <c r="I79" s="27" t="n"/>
      <c r="J79" s="27" t="n"/>
      <c r="K79" s="27" t="n"/>
      <c r="L79" s="27" t="n"/>
      <c r="M79" s="27" t="n"/>
      <c r="N79" s="27" t="n"/>
      <c r="O79" s="34" t="n"/>
      <c r="P79" s="27" t="n"/>
      <c r="Q79" s="27" t="n"/>
      <c r="R79" s="27" t="n"/>
      <c r="S79" s="27" t="n"/>
      <c r="T79" s="27" t="n"/>
      <c r="U79" s="27" t="n"/>
      <c r="V79" s="27" t="n"/>
      <c r="W79" s="27" t="n"/>
      <c r="X79" s="27" t="n"/>
      <c r="Y79" s="34">
        <f>IF(OR(Y78="",Y77=""),"",IFERROR(Y78*Y77,""))</f>
        <v/>
      </c>
      <c r="Z79" s="27">
        <f>IF(OR(Z78="",Z77=""),"",IFERROR(Z78*Z77,""))</f>
        <v/>
      </c>
      <c r="AA79" s="27">
        <f>IF(OR(AA78="",AA77=""),"",IFERROR(AA78*AA77,""))</f>
        <v/>
      </c>
      <c r="AB79" s="27">
        <f>IF(OR(AB78="",AB77=""),"",IFERROR(AB78*AB77,""))</f>
        <v/>
      </c>
      <c r="AC79" s="27">
        <f>IF(OR(AC78="",AC77=""),"",IFERROR(AC78*AC77,""))</f>
        <v/>
      </c>
    </row>
    <row r="80">
      <c r="A80" s="18" t="inlineStr">
        <is>
          <t>상승여력</t>
        </is>
      </c>
      <c r="B80" s="10" t="n"/>
      <c r="C80" s="35" t="n"/>
      <c r="D80" s="36" t="n"/>
      <c r="E80" s="36" t="n"/>
      <c r="F80" s="36" t="n"/>
      <c r="G80" s="36" t="n"/>
      <c r="H80" s="36" t="n"/>
      <c r="I80" s="36" t="n"/>
      <c r="J80" s="36" t="n"/>
      <c r="K80" s="36" t="n"/>
      <c r="L80" s="36" t="n"/>
      <c r="M80" s="36" t="n"/>
      <c r="N80" s="36" t="n"/>
      <c r="O80" s="35" t="n"/>
      <c r="P80" s="36" t="n"/>
      <c r="Q80" s="36" t="n"/>
      <c r="R80" s="36" t="n"/>
      <c r="S80" s="36" t="n"/>
      <c r="T80" s="36" t="n"/>
      <c r="U80" s="36" t="n"/>
      <c r="V80" s="36" t="n"/>
      <c r="W80" s="36" t="n"/>
      <c r="X80" s="36" t="n"/>
      <c r="Y80" s="37">
        <f>IF(OR(Y79="",$B$71=""),"",IFERROR(Y79/$B$71-1,""))</f>
        <v/>
      </c>
      <c r="Z80" s="38">
        <f>IF(OR(Z79="",$B$71=""),"",IFERROR(Z79/$B$71-1,""))</f>
        <v/>
      </c>
      <c r="AA80" s="38">
        <f>IF(OR(AA79="",$B$71=""),"",IFERROR(AA79/$B$71-1,""))</f>
        <v/>
      </c>
      <c r="AB80" s="38">
        <f>IF(OR(AB79="",$B$71=""),"",IFERROR(AB79/$B$71-1,""))</f>
        <v/>
      </c>
      <c r="AC80" s="38">
        <f>IF(OR(AC79="",$B$71=""),"",IFERROR(AC79/$B$71-1,""))</f>
        <v/>
      </c>
    </row>
    <row r="81">
      <c r="A81" s="16" t="inlineStr">
        <is>
          <t>자산가치 산출</t>
        </is>
      </c>
      <c r="B81" s="16" t="inlineStr">
        <is>
          <t>최신 분기 BS</t>
        </is>
      </c>
      <c r="C81" s="17" t="n"/>
      <c r="D81" s="16" t="n"/>
      <c r="E81" s="16" t="n"/>
      <c r="F81" s="16" t="n"/>
      <c r="G81" s="16" t="n"/>
      <c r="H81" s="16" t="n"/>
      <c r="I81" s="16" t="n"/>
      <c r="J81" s="16" t="n"/>
      <c r="K81" s="16" t="n"/>
      <c r="L81" s="16" t="n"/>
      <c r="M81" s="16" t="n"/>
      <c r="N81" s="16" t="n"/>
      <c r="O81" s="17" t="n"/>
      <c r="P81" s="16" t="n"/>
      <c r="Q81" s="16" t="n"/>
      <c r="R81" s="16" t="n"/>
      <c r="S81" s="16" t="n"/>
      <c r="T81" s="16" t="n"/>
      <c r="U81" s="16" t="n"/>
      <c r="V81" s="16" t="n"/>
      <c r="W81" s="16" t="n"/>
      <c r="X81" s="16" t="n"/>
      <c r="Y81" s="17" t="n"/>
      <c r="Z81" s="16" t="n"/>
      <c r="AA81" s="16" t="n"/>
      <c r="AB81" s="16" t="n"/>
      <c r="AC81" s="16" t="n"/>
    </row>
    <row r="82">
      <c r="A82" s="18" t="inlineStr">
        <is>
          <t>현금및현금성자산</t>
        </is>
      </c>
      <c r="B82" s="10" t="n"/>
      <c r="C82" s="19" t="n"/>
      <c r="D82" s="20" t="n"/>
      <c r="E82" s="20" t="n"/>
      <c r="F82" s="20" t="n"/>
      <c r="G82" s="20" t="n"/>
      <c r="H82" s="20" t="n"/>
      <c r="I82" s="20" t="n"/>
      <c r="J82" s="20" t="n"/>
      <c r="K82" s="20" t="n"/>
      <c r="L82" s="20" t="n"/>
      <c r="M82" s="20" t="n"/>
      <c r="N82" s="20" t="n"/>
      <c r="O82" s="19" t="n"/>
      <c r="P82" s="20" t="n"/>
      <c r="Q82" s="20" t="n"/>
      <c r="R82" s="20" t="n"/>
      <c r="S82" s="20" t="n"/>
      <c r="T82" s="20" t="n"/>
      <c r="U82" s="20" t="n"/>
      <c r="V82" s="20" t="n"/>
      <c r="W82" s="20" t="n"/>
      <c r="X82" s="20">
        <f>'재무상태표'!G6</f>
        <v/>
      </c>
      <c r="Y82" s="19">
        <f>'재무상태표'!G6</f>
        <v/>
      </c>
      <c r="Z82" s="20">
        <f>'재무상태표'!G6</f>
        <v/>
      </c>
      <c r="AA82" s="20">
        <f>'재무상태표'!G6</f>
        <v/>
      </c>
      <c r="AB82" s="20">
        <f>'재무상태표'!G6</f>
        <v/>
      </c>
      <c r="AC82" s="20">
        <f>'재무상태표'!G6</f>
        <v/>
      </c>
    </row>
    <row r="83">
      <c r="A83" s="18" t="inlineStr">
        <is>
          <t>단기금융상품</t>
        </is>
      </c>
      <c r="B83" s="10" t="n"/>
      <c r="C83" s="19" t="n"/>
      <c r="D83" s="20" t="n"/>
      <c r="E83" s="20" t="n"/>
      <c r="F83" s="20" t="n"/>
      <c r="G83" s="20" t="n"/>
      <c r="H83" s="20" t="n"/>
      <c r="I83" s="20" t="n"/>
      <c r="J83" s="20" t="n"/>
      <c r="K83" s="20" t="n"/>
      <c r="L83" s="20" t="n"/>
      <c r="M83" s="20" t="n"/>
      <c r="N83" s="20" t="n"/>
      <c r="O83" s="19" t="n"/>
      <c r="P83" s="20" t="n"/>
      <c r="Q83" s="20" t="n"/>
      <c r="R83" s="20" t="n"/>
      <c r="S83" s="20" t="n"/>
      <c r="T83" s="20" t="n"/>
      <c r="U83" s="20" t="n"/>
      <c r="V83" s="20" t="n"/>
      <c r="W83" s="20" t="n"/>
      <c r="X83" s="20">
        <f>'재무상태표'!G7</f>
        <v/>
      </c>
      <c r="Y83" s="19">
        <f>'재무상태표'!G7</f>
        <v/>
      </c>
      <c r="Z83" s="20">
        <f>'재무상태표'!G7</f>
        <v/>
      </c>
      <c r="AA83" s="20">
        <f>'재무상태표'!G7</f>
        <v/>
      </c>
      <c r="AB83" s="20">
        <f>'재무상태표'!G7</f>
        <v/>
      </c>
      <c r="AC83" s="20">
        <f>'재무상태표'!G7</f>
        <v/>
      </c>
    </row>
    <row r="84">
      <c r="A84" s="18" t="inlineStr">
        <is>
          <t>투자부동산</t>
        </is>
      </c>
      <c r="B84" s="10" t="n"/>
      <c r="C84" s="19" t="n"/>
      <c r="D84" s="20" t="n"/>
      <c r="E84" s="20" t="n"/>
      <c r="F84" s="20" t="n"/>
      <c r="G84" s="20" t="n"/>
      <c r="H84" s="20" t="n"/>
      <c r="I84" s="20" t="n"/>
      <c r="J84" s="20" t="n"/>
      <c r="K84" s="20" t="n"/>
      <c r="L84" s="20" t="n"/>
      <c r="M84" s="20" t="n"/>
      <c r="N84" s="20" t="n"/>
      <c r="O84" s="19" t="n"/>
      <c r="P84" s="20" t="n"/>
      <c r="Q84" s="20" t="n"/>
      <c r="R84" s="20" t="n"/>
      <c r="S84" s="20" t="n"/>
      <c r="T84" s="20" t="n"/>
      <c r="U84" s="20" t="n"/>
      <c r="V84" s="20" t="n"/>
      <c r="W84" s="20" t="n"/>
      <c r="X84" s="20">
        <f>'재무상태표'!G14</f>
        <v/>
      </c>
      <c r="Y84" s="19">
        <f>'재무상태표'!G14</f>
        <v/>
      </c>
      <c r="Z84" s="20">
        <f>'재무상태표'!G14</f>
        <v/>
      </c>
      <c r="AA84" s="20">
        <f>'재무상태표'!G14</f>
        <v/>
      </c>
      <c r="AB84" s="20">
        <f>'재무상태표'!G14</f>
        <v/>
      </c>
      <c r="AC84" s="20">
        <f>'재무상태표'!G14</f>
        <v/>
      </c>
    </row>
    <row r="85">
      <c r="A85" s="18" t="inlineStr">
        <is>
          <t>지배자본</t>
        </is>
      </c>
      <c r="B85" s="10" t="n"/>
      <c r="C85" s="19" t="n"/>
      <c r="D85" s="20" t="n"/>
      <c r="E85" s="20" t="n"/>
      <c r="F85" s="20" t="n"/>
      <c r="G85" s="20" t="n"/>
      <c r="H85" s="20" t="n"/>
      <c r="I85" s="20" t="n"/>
      <c r="J85" s="20" t="n"/>
      <c r="K85" s="20" t="n"/>
      <c r="L85" s="20" t="n"/>
      <c r="M85" s="20" t="n"/>
      <c r="N85" s="20" t="n"/>
      <c r="O85" s="19" t="n"/>
      <c r="P85" s="20" t="n"/>
      <c r="Q85" s="20" t="n"/>
      <c r="R85" s="20" t="n"/>
      <c r="S85" s="20" t="n"/>
      <c r="T85" s="20" t="n"/>
      <c r="U85" s="20" t="n"/>
      <c r="V85" s="20" t="n"/>
      <c r="W85" s="20" t="n"/>
      <c r="X85" s="20">
        <f>'재무상태표'!G31</f>
        <v/>
      </c>
      <c r="Y85" s="19">
        <f>'재무상태표'!G31</f>
        <v/>
      </c>
      <c r="Z85" s="20">
        <f>'재무상태표'!G31</f>
        <v/>
      </c>
      <c r="AA85" s="20">
        <f>'재무상태표'!G31</f>
        <v/>
      </c>
      <c r="AB85" s="20">
        <f>'재무상태표'!G31</f>
        <v/>
      </c>
      <c r="AC85" s="20">
        <f>'재무상태표'!G31</f>
        <v/>
      </c>
    </row>
    <row r="86">
      <c r="A86" s="18" t="inlineStr">
        <is>
          <t>부채</t>
        </is>
      </c>
      <c r="B86" s="10" t="n"/>
      <c r="C86" s="19" t="n"/>
      <c r="D86" s="20" t="n"/>
      <c r="E86" s="20" t="n"/>
      <c r="F86" s="20" t="n"/>
      <c r="G86" s="20" t="n"/>
      <c r="H86" s="20" t="n"/>
      <c r="I86" s="20" t="n"/>
      <c r="J86" s="20" t="n"/>
      <c r="K86" s="20" t="n"/>
      <c r="L86" s="20" t="n"/>
      <c r="M86" s="20" t="n"/>
      <c r="N86" s="20" t="n"/>
      <c r="O86" s="19" t="n"/>
      <c r="P86" s="20" t="n"/>
      <c r="Q86" s="20" t="n"/>
      <c r="R86" s="20" t="n"/>
      <c r="S86" s="20" t="n"/>
      <c r="T86" s="20" t="n"/>
      <c r="U86" s="20" t="n"/>
      <c r="V86" s="20" t="n"/>
      <c r="W86" s="20" t="n"/>
      <c r="X86" s="20">
        <f>'재무상태표'!G27</f>
        <v/>
      </c>
      <c r="Y86" s="19">
        <f>'재무상태표'!G27</f>
        <v/>
      </c>
      <c r="Z86" s="20">
        <f>'재무상태표'!G27</f>
        <v/>
      </c>
      <c r="AA86" s="20">
        <f>'재무상태표'!G27</f>
        <v/>
      </c>
      <c r="AB86" s="20">
        <f>'재무상태표'!G27</f>
        <v/>
      </c>
      <c r="AC86" s="20">
        <f>'재무상태표'!G27</f>
        <v/>
      </c>
    </row>
    <row r="87">
      <c r="A87" s="13" t="inlineStr">
        <is>
          <t>부채비율</t>
        </is>
      </c>
      <c r="B87" s="10" t="n"/>
      <c r="C87" s="14" t="n"/>
      <c r="D87" s="15" t="n"/>
      <c r="E87" s="15" t="n"/>
      <c r="F87" s="15" t="n"/>
      <c r="G87" s="15" t="n"/>
      <c r="H87" s="15" t="n"/>
      <c r="I87" s="15" t="n"/>
      <c r="J87" s="15" t="n"/>
      <c r="K87" s="15" t="n"/>
      <c r="L87" s="15" t="n"/>
      <c r="M87" s="15" t="n"/>
      <c r="N87" s="15" t="n"/>
      <c r="O87" s="14" t="n"/>
      <c r="P87" s="15" t="n"/>
      <c r="Q87" s="15" t="n"/>
      <c r="R87" s="15" t="n"/>
      <c r="S87" s="15" t="n"/>
      <c r="T87" s="15" t="n"/>
      <c r="U87" s="15" t="n"/>
      <c r="V87" s="15" t="n"/>
      <c r="W87" s="15" t="n"/>
      <c r="X87" s="15">
        <f>IF(OR(X86="",X85=""),"",IFERROR(X86/X85,""))</f>
        <v/>
      </c>
      <c r="Y87" s="14">
        <f>IF(OR(Y86="",Y85=""),"",IFERROR(Y86/Y85,""))</f>
        <v/>
      </c>
      <c r="Z87" s="15">
        <f>IF(OR(Z86="",Z85=""),"",IFERROR(Z86/Z85,""))</f>
        <v/>
      </c>
      <c r="AA87" s="15">
        <f>IF(OR(AA86="",AA85=""),"",IFERROR(AA86/AA85,""))</f>
        <v/>
      </c>
      <c r="AB87" s="15">
        <f>IF(OR(AB86="",AB85=""),"",IFERROR(AB86/AB85,""))</f>
        <v/>
      </c>
      <c r="AC87" s="15">
        <f>IF(OR(AC86="",AC85=""),"",IFERROR(AC86/AC85,""))</f>
        <v/>
      </c>
    </row>
    <row r="88">
      <c r="A88" s="9" t="inlineStr">
        <is>
          <t>자산가치</t>
        </is>
      </c>
      <c r="B88" s="10" t="inlineStr">
        <is>
          <t>현금+단기금융+투자부동산</t>
        </is>
      </c>
      <c r="C88" s="11" t="n"/>
      <c r="D88" s="12" t="n"/>
      <c r="E88" s="12" t="n"/>
      <c r="F88" s="12" t="n"/>
      <c r="G88" s="12" t="n"/>
      <c r="H88" s="12" t="n"/>
      <c r="I88" s="12" t="n"/>
      <c r="J88" s="12" t="n"/>
      <c r="K88" s="12" t="n"/>
      <c r="L88" s="12" t="n"/>
      <c r="M88" s="12" t="n"/>
      <c r="N88" s="12" t="n"/>
      <c r="O88" s="11" t="n"/>
      <c r="P88" s="12" t="n"/>
      <c r="Q88" s="12" t="n"/>
      <c r="R88" s="12" t="n"/>
      <c r="S88" s="12" t="n"/>
      <c r="T88" s="12" t="n"/>
      <c r="U88" s="12" t="n"/>
      <c r="V88" s="12" t="n"/>
      <c r="W88" s="12" t="n"/>
      <c r="X88" s="12">
        <f>SUM(X82,X83,X84)</f>
        <v/>
      </c>
      <c r="Y88" s="11">
        <f>SUM(Y82,Y83,Y84)</f>
        <v/>
      </c>
      <c r="Z88" s="12">
        <f>SUM(Z82,Z83,Z84)</f>
        <v/>
      </c>
      <c r="AA88" s="12">
        <f>SUM(AA82,AA83,AA84)</f>
        <v/>
      </c>
      <c r="AB88" s="12">
        <f>SUM(AB82,AB83,AB84)</f>
        <v/>
      </c>
      <c r="AC88" s="12">
        <f>SUM(AC82,AC83,AC84)</f>
        <v/>
      </c>
    </row>
    <row r="89">
      <c r="A89" s="16" t="inlineStr">
        <is>
          <t>기업가치 산출</t>
        </is>
      </c>
      <c r="B89" s="16" t="n"/>
      <c r="C89" s="17" t="n"/>
      <c r="D89" s="16" t="n"/>
      <c r="E89" s="16" t="n"/>
      <c r="F89" s="16" t="n"/>
      <c r="G89" s="16" t="n"/>
      <c r="H89" s="16" t="n"/>
      <c r="I89" s="16" t="n"/>
      <c r="J89" s="16" t="n"/>
      <c r="K89" s="16" t="n"/>
      <c r="L89" s="16" t="n"/>
      <c r="M89" s="16" t="n"/>
      <c r="N89" s="16" t="n"/>
      <c r="O89" s="17" t="n"/>
      <c r="P89" s="16" t="n"/>
      <c r="Q89" s="16" t="n"/>
      <c r="R89" s="16" t="n"/>
      <c r="S89" s="16" t="n"/>
      <c r="T89" s="16" t="n"/>
      <c r="U89" s="16" t="n"/>
      <c r="V89" s="16" t="n"/>
      <c r="W89" s="16" t="n"/>
      <c r="X89" s="16" t="n"/>
      <c r="Y89" s="17" t="n"/>
      <c r="Z89" s="16" t="n"/>
      <c r="AA89" s="16" t="n"/>
      <c r="AB89" s="16" t="n"/>
      <c r="AC89" s="16" t="n"/>
    </row>
    <row r="90">
      <c r="A90" s="18" t="inlineStr">
        <is>
          <t>목표 시가총액 (P/E)</t>
        </is>
      </c>
      <c r="B90" s="10" t="inlineStr">
        <is>
          <t>지배순이익 × Target P/E</t>
        </is>
      </c>
      <c r="C90" s="19" t="n"/>
      <c r="D90" s="20" t="n"/>
      <c r="E90" s="20" t="n"/>
      <c r="F90" s="20" t="n"/>
      <c r="G90" s="20" t="n"/>
      <c r="H90" s="20" t="n"/>
      <c r="I90" s="20" t="n"/>
      <c r="J90" s="20" t="n"/>
      <c r="K90" s="20" t="n"/>
      <c r="L90" s="20" t="n"/>
      <c r="M90" s="20" t="n"/>
      <c r="N90" s="20" t="n"/>
      <c r="O90" s="19" t="n"/>
      <c r="P90" s="20" t="n"/>
      <c r="Q90" s="20" t="n"/>
      <c r="R90" s="20" t="n"/>
      <c r="S90" s="20" t="n"/>
      <c r="T90" s="20" t="n"/>
      <c r="U90" s="20" t="n"/>
      <c r="V90" s="20" t="n"/>
      <c r="W90" s="20" t="n"/>
      <c r="X90" s="20" t="n"/>
      <c r="Y90" s="19">
        <f>IF(OR(Y67="",Y77=""),"",IFERROR(Y67*Y77,""))</f>
        <v/>
      </c>
      <c r="Z90" s="20">
        <f>IF(OR(Z67="",Z77=""),"",IFERROR(Z67*Z77,""))</f>
        <v/>
      </c>
      <c r="AA90" s="20">
        <f>IF(OR(AA67="",AA77=""),"",IFERROR(AA67*AA77,""))</f>
        <v/>
      </c>
      <c r="AB90" s="20">
        <f>IF(OR(AB67="",AB77=""),"",IFERROR(AB67*AB77,""))</f>
        <v/>
      </c>
      <c r="AC90" s="20">
        <f>IF(OR(AC67="",AC77=""),"",IFERROR(AC67*AC77,""))</f>
        <v/>
      </c>
    </row>
    <row r="91">
      <c r="A91" s="9" t="inlineStr">
        <is>
          <t>기업가치</t>
        </is>
      </c>
      <c r="B91" s="10" t="inlineStr">
        <is>
          <t>목표시총 + 자산가치</t>
        </is>
      </c>
      <c r="C91" s="11" t="n"/>
      <c r="D91" s="12" t="n"/>
      <c r="E91" s="12" t="n"/>
      <c r="F91" s="12" t="n"/>
      <c r="G91" s="12" t="n"/>
      <c r="H91" s="12" t="n"/>
      <c r="I91" s="12" t="n"/>
      <c r="J91" s="12" t="n"/>
      <c r="K91" s="12" t="n"/>
      <c r="L91" s="12" t="n"/>
      <c r="M91" s="12" t="n"/>
      <c r="N91" s="12" t="n"/>
      <c r="O91" s="11" t="n"/>
      <c r="P91" s="12" t="n"/>
      <c r="Q91" s="12" t="n"/>
      <c r="R91" s="12" t="n"/>
      <c r="S91" s="12" t="n"/>
      <c r="T91" s="12" t="n"/>
      <c r="U91" s="12" t="n"/>
      <c r="V91" s="12" t="n"/>
      <c r="W91" s="12" t="n"/>
      <c r="X91" s="12" t="n"/>
      <c r="Y91" s="11">
        <f>IF(OR(Y90=""),"",IFERROR(Y90+Y88,""))</f>
        <v/>
      </c>
      <c r="Z91" s="12">
        <f>IF(OR(Z90=""),"",IFERROR(Z90+Z88,""))</f>
        <v/>
      </c>
      <c r="AA91" s="12">
        <f>IF(OR(AA90=""),"",IFERROR(AA90+AA88,""))</f>
        <v/>
      </c>
      <c r="AB91" s="12">
        <f>IF(OR(AB90=""),"",IFERROR(AB90+AB88,""))</f>
        <v/>
      </c>
      <c r="AC91" s="12">
        <f>IF(OR(AC90=""),"",IFERROR(AC90+AC88,""))</f>
        <v/>
      </c>
    </row>
    <row r="92">
      <c r="A92" s="18" t="inlineStr">
        <is>
          <t>현재 시가총액</t>
        </is>
      </c>
      <c r="B92" s="10" t="n"/>
      <c r="C92" s="19" t="n"/>
      <c r="D92" s="20" t="n"/>
      <c r="E92" s="20" t="n"/>
      <c r="F92" s="20" t="n"/>
      <c r="G92" s="20" t="n"/>
      <c r="H92" s="20" t="n"/>
      <c r="I92" s="20" t="n"/>
      <c r="J92" s="20" t="n"/>
      <c r="K92" s="20" t="n"/>
      <c r="L92" s="20" t="n"/>
      <c r="M92" s="20" t="n"/>
      <c r="N92" s="20" t="n"/>
      <c r="O92" s="19" t="n"/>
      <c r="P92" s="20" t="n"/>
      <c r="Q92" s="20" t="n"/>
      <c r="R92" s="20" t="n"/>
      <c r="S92" s="20" t="n"/>
      <c r="T92" s="20" t="n"/>
      <c r="U92" s="20" t="n"/>
      <c r="V92" s="20" t="n"/>
      <c r="W92" s="20" t="n"/>
      <c r="X92" s="20" t="n"/>
      <c r="Y92" s="19">
        <f>$B$73</f>
        <v/>
      </c>
      <c r="Z92" s="20">
        <f>$B$73</f>
        <v/>
      </c>
      <c r="AA92" s="20">
        <f>$B$73</f>
        <v/>
      </c>
      <c r="AB92" s="20">
        <f>$B$73</f>
        <v/>
      </c>
      <c r="AC92" s="20">
        <f>$B$73</f>
        <v/>
      </c>
    </row>
    <row r="93">
      <c r="A93" s="18" t="inlineStr">
        <is>
          <t>상승여력</t>
        </is>
      </c>
      <c r="B93" s="10" t="n"/>
      <c r="C93" s="35" t="n"/>
      <c r="D93" s="36" t="n"/>
      <c r="E93" s="36" t="n"/>
      <c r="F93" s="36" t="n"/>
      <c r="G93" s="36" t="n"/>
      <c r="H93" s="36" t="n"/>
      <c r="I93" s="36" t="n"/>
      <c r="J93" s="36" t="n"/>
      <c r="K93" s="36" t="n"/>
      <c r="L93" s="36" t="n"/>
      <c r="M93" s="36" t="n"/>
      <c r="N93" s="36" t="n"/>
      <c r="O93" s="35" t="n"/>
      <c r="P93" s="36" t="n"/>
      <c r="Q93" s="36" t="n"/>
      <c r="R93" s="36" t="n"/>
      <c r="S93" s="36" t="n"/>
      <c r="T93" s="36" t="n"/>
      <c r="U93" s="36" t="n"/>
      <c r="V93" s="36" t="n"/>
      <c r="W93" s="36" t="n"/>
      <c r="X93" s="36" t="n"/>
      <c r="Y93" s="37">
        <f>IF(OR(Y91="",Y92=""),"",IFERROR(Y91/Y92-1,""))</f>
        <v/>
      </c>
      <c r="Z93" s="38">
        <f>IF(OR(Z91="",Z92=""),"",IFERROR(Z91/Z92-1,""))</f>
        <v/>
      </c>
      <c r="AA93" s="38">
        <f>IF(OR(AA91="",AA92=""),"",IFERROR(AA91/AA92-1,""))</f>
        <v/>
      </c>
      <c r="AB93" s="38">
        <f>IF(OR(AB91="",AB92=""),"",IFERROR(AB91/AB92-1,""))</f>
        <v/>
      </c>
      <c r="AC93" s="38">
        <f>IF(OR(AC91="",AC92=""),"",IFERROR(AC91/AC92-1,""))</f>
        <v/>
      </c>
    </row>
    <row r="94">
      <c r="C94" s="39" t="n"/>
      <c r="O94" s="39" t="n"/>
      <c r="Y94" s="39" t="n"/>
    </row>
    <row r="95">
      <c r="A95" s="40" t="inlineStr">
        <is>
          <t>출처</t>
        </is>
      </c>
      <c r="C95" s="39" t="n"/>
      <c r="O95" s="39" t="n"/>
      <c r="Y95" s="39" t="n"/>
    </row>
    <row r="96">
      <c r="A96" s="41" t="inlineStr">
        <is>
          <t>결산단신 XBRL(TDnet·JPX 보관소) — 쓴 문서는 '출처' 시트</t>
        </is>
      </c>
      <c r="C96" s="39" t="n"/>
      <c r="O96" s="39" t="n"/>
      <c r="Y96" s="39" t="n"/>
    </row>
    <row r="97">
      <c r="A97" s="41" t="inlineStr">
        <is>
          <t>분기 = 누계에서 앞 분기를 뺀 3개월 값</t>
        </is>
      </c>
      <c r="C97" s="39" t="n"/>
      <c r="O97" s="39" t="n"/>
      <c r="Y97" s="39" t="n"/>
    </row>
    <row r="98">
      <c r="A98" s="41" t="inlineStr">
        <is>
          <t>주가: 야후 파이낸스 일봉</t>
        </is>
      </c>
      <c r="C98" s="39" t="n"/>
      <c r="O98" s="39" t="n"/>
      <c r="Y98" s="39" t="n"/>
    </row>
    <row r="100">
      <c r="A100" s="16" t="inlineStr">
        <is>
          <t>손익계산서 · 전 항목</t>
        </is>
      </c>
      <c r="B100" s="42" t="inlineStr">
        <is>
          <t>분기 = 3개월 단독</t>
        </is>
      </c>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row>
    <row r="101">
      <c r="A101" s="5" t="inlineStr">
        <is>
          <t>항목</t>
        </is>
      </c>
      <c r="B101" s="5" t="inlineStr">
        <is>
          <t>참고</t>
        </is>
      </c>
      <c r="C101" s="5" t="inlineStr">
        <is>
          <t>2024.3Q</t>
        </is>
      </c>
      <c r="D101" s="5" t="inlineStr">
        <is>
          <t>2024.4Q</t>
        </is>
      </c>
      <c r="E101" s="5" t="inlineStr">
        <is>
          <t>2025.1Q</t>
        </is>
      </c>
      <c r="F101" s="5" t="inlineStr">
        <is>
          <t>2025.2Q</t>
        </is>
      </c>
      <c r="G101" s="5" t="inlineStr">
        <is>
          <t>2025.3Q</t>
        </is>
      </c>
      <c r="H101" s="5" t="inlineStr">
        <is>
          <t>2025.4Q</t>
        </is>
      </c>
      <c r="I101" s="5" t="inlineStr">
        <is>
          <t>2026.1Q</t>
        </is>
      </c>
      <c r="J101" s="5" t="inlineStr">
        <is>
          <t>2026.2Q</t>
        </is>
      </c>
      <c r="K101" s="5" t="inlineStr">
        <is>
          <t>2026.3Q</t>
        </is>
      </c>
      <c r="L101" s="5" t="inlineStr">
        <is>
          <t>2026.4Q</t>
        </is>
      </c>
      <c r="M101" s="5" t="inlineStr">
        <is>
          <t>2027.1Q</t>
        </is>
      </c>
      <c r="N101" s="5" t="inlineStr">
        <is>
          <t>2027.2Q</t>
        </is>
      </c>
      <c r="O101" s="5" t="inlineStr">
        <is>
          <t>2017</t>
        </is>
      </c>
      <c r="P101" s="5" t="inlineStr">
        <is>
          <t>2018</t>
        </is>
      </c>
      <c r="Q101" s="5" t="inlineStr">
        <is>
          <t>2019</t>
        </is>
      </c>
      <c r="R101" s="5" t="inlineStr">
        <is>
          <t>2020</t>
        </is>
      </c>
      <c r="S101" s="5" t="inlineStr">
        <is>
          <t>2021</t>
        </is>
      </c>
      <c r="T101" s="5" t="inlineStr">
        <is>
          <t>2022</t>
        </is>
      </c>
      <c r="U101" s="5" t="inlineStr">
        <is>
          <t>2023</t>
        </is>
      </c>
      <c r="V101" s="5" t="inlineStr">
        <is>
          <t>2024</t>
        </is>
      </c>
      <c r="W101" s="5" t="inlineStr">
        <is>
          <t>2025</t>
        </is>
      </c>
      <c r="X101" s="5" t="inlineStr">
        <is>
          <t>2026</t>
        </is>
      </c>
      <c r="Y101" s="5" t="inlineStr">
        <is>
          <t>2027(MW)</t>
        </is>
      </c>
      <c r="Z101" s="5" t="inlineStr">
        <is>
          <t>2028(MW)</t>
        </is>
      </c>
      <c r="AA101" s="5" t="inlineStr">
        <is>
          <t>2029(MW)</t>
        </is>
      </c>
      <c r="AB101" s="5" t="inlineStr">
        <is>
          <t>2030(MW)</t>
        </is>
      </c>
      <c r="AC101" s="5" t="inlineStr">
        <is>
          <t>2031(MW)</t>
        </is>
      </c>
    </row>
    <row r="102">
      <c r="A102" s="9" t="inlineStr">
        <is>
          <t>매출액</t>
        </is>
      </c>
      <c r="C102" s="12" t="n">
        <v>1243935</v>
      </c>
      <c r="D102" s="12" t="n">
        <v>1475508</v>
      </c>
      <c r="E102" s="12" t="n">
        <v>1286484</v>
      </c>
      <c r="F102" s="12" t="n">
        <v>1357113</v>
      </c>
      <c r="G102" s="12" t="n">
        <v>1356754</v>
      </c>
      <c r="H102" s="12" t="n">
        <v>1521360</v>
      </c>
      <c r="I102" s="12" t="n">
        <v>1312896</v>
      </c>
      <c r="J102" s="12" t="n">
        <v>1419608</v>
      </c>
      <c r="K102" s="12" t="n">
        <v>1423506</v>
      </c>
      <c r="L102" s="12" t="n">
        <v>1738737</v>
      </c>
      <c r="M102" s="12" t="n">
        <v>1497109</v>
      </c>
      <c r="N102" s="12" t="n">
        <v>1628038</v>
      </c>
      <c r="U102" s="12" t="n">
        <v>1438457</v>
      </c>
      <c r="V102" s="12" t="n">
        <v>1475508</v>
      </c>
      <c r="W102" s="12" t="n">
        <v>1521360</v>
      </c>
      <c r="X102" s="12" t="n">
        <v>1738737</v>
      </c>
    </row>
    <row r="103">
      <c r="A103" s="43" t="inlineStr">
        <is>
          <t>YoY</t>
        </is>
      </c>
      <c r="B103" s="3" t="inlineStr">
        <is>
          <t>전년 같은 분기·전년 대비</t>
        </is>
      </c>
      <c r="G103" s="15">
        <f>IF(OR(G102="",C102=""),"",IF(C102&lt;=0,"",IFERROR(G102/C102-1,"")))</f>
        <v/>
      </c>
      <c r="H103" s="15">
        <f>IF(OR(H102="",D102=""),"",IF(D102&lt;=0,"",IFERROR(H102/D102-1,"")))</f>
        <v/>
      </c>
      <c r="I103" s="15">
        <f>IF(OR(I102="",E102=""),"",IF(E102&lt;=0,"",IFERROR(I102/E102-1,"")))</f>
        <v/>
      </c>
      <c r="J103" s="15">
        <f>IF(OR(J102="",F102=""),"",IF(F102&lt;=0,"",IFERROR(J102/F102-1,"")))</f>
        <v/>
      </c>
      <c r="K103" s="15">
        <f>IF(OR(K102="",G102=""),"",IF(G102&lt;=0,"",IFERROR(K102/G102-1,"")))</f>
        <v/>
      </c>
      <c r="L103" s="15">
        <f>IF(OR(L102="",H102=""),"",IF(H102&lt;=0,"",IFERROR(L102/H102-1,"")))</f>
        <v/>
      </c>
      <c r="M103" s="15">
        <f>IF(OR(M102="",I102=""),"",IF(I102&lt;=0,"",IFERROR(M102/I102-1,"")))</f>
        <v/>
      </c>
      <c r="N103" s="15">
        <f>IF(OR(N102="",J102=""),"",IF(J102&lt;=0,"",IFERROR(N102/J102-1,"")))</f>
        <v/>
      </c>
      <c r="U103" s="15">
        <f>IF(OR(U102="",T102=""),"",IF(T102&lt;=0,"",IFERROR(U102/T102-1,"")))</f>
        <v/>
      </c>
      <c r="V103" s="15">
        <f>IF(OR(V102="",U102=""),"",IF(U102&lt;=0,"",IFERROR(V102/U102-1,"")))</f>
        <v/>
      </c>
      <c r="W103" s="15">
        <f>IF(OR(W102="",V102=""),"",IF(V102&lt;=0,"",IFERROR(W102/V102-1,"")))</f>
        <v/>
      </c>
      <c r="X103" s="15">
        <f>IF(OR(X102="",W102=""),"",IF(W102&lt;=0,"",IFERROR(X102/W102-1,"")))</f>
        <v/>
      </c>
    </row>
    <row r="104">
      <c r="A104" s="18" t="inlineStr">
        <is>
          <t>매출원가</t>
        </is>
      </c>
      <c r="C104" s="20" t="n">
        <v>866527</v>
      </c>
      <c r="D104" s="20" t="n">
        <v>1044115</v>
      </c>
      <c r="E104" s="20" t="n">
        <v>913589</v>
      </c>
      <c r="F104" s="20" t="n">
        <v>919241</v>
      </c>
      <c r="G104" s="20" t="n">
        <v>938202</v>
      </c>
      <c r="H104" s="20" t="n">
        <v>1058464</v>
      </c>
      <c r="I104" s="20" t="n">
        <v>897548</v>
      </c>
      <c r="J104" s="20" t="n">
        <v>967961</v>
      </c>
      <c r="K104" s="20" t="n">
        <v>960417</v>
      </c>
      <c r="L104" s="20" t="n">
        <v>1179323</v>
      </c>
      <c r="M104" s="20" t="n">
        <v>997783</v>
      </c>
      <c r="N104" s="20" t="n">
        <v>1053577</v>
      </c>
      <c r="U104" s="20" t="n">
        <v>1014227</v>
      </c>
      <c r="V104" s="20" t="n">
        <v>1044115</v>
      </c>
      <c r="W104" s="20" t="n">
        <v>1058464</v>
      </c>
      <c r="X104" s="20" t="n">
        <v>1179323</v>
      </c>
    </row>
    <row r="105">
      <c r="A105" s="43" t="inlineStr">
        <is>
          <t>YoY</t>
        </is>
      </c>
      <c r="B105" s="3" t="inlineStr">
        <is>
          <t>전년 같은 분기·전년 대비</t>
        </is>
      </c>
      <c r="G105" s="15">
        <f>IF(OR(G104="",C104=""),"",IF(G104*C104&lt;=0,"",IFERROR(G104/C104-1,"")))</f>
        <v/>
      </c>
      <c r="H105" s="15">
        <f>IF(OR(H104="",D104=""),"",IF(H104*D104&lt;=0,"",IFERROR(H104/D104-1,"")))</f>
        <v/>
      </c>
      <c r="I105" s="15">
        <f>IF(OR(I104="",E104=""),"",IF(I104*E104&lt;=0,"",IFERROR(I104/E104-1,"")))</f>
        <v/>
      </c>
      <c r="J105" s="15">
        <f>IF(OR(J104="",F104=""),"",IF(J104*F104&lt;=0,"",IFERROR(J104/F104-1,"")))</f>
        <v/>
      </c>
      <c r="K105" s="15">
        <f>IF(OR(K104="",G104=""),"",IF(K104*G104&lt;=0,"",IFERROR(K104/G104-1,"")))</f>
        <v/>
      </c>
      <c r="L105" s="15">
        <f>IF(OR(L104="",H104=""),"",IF(L104*H104&lt;=0,"",IFERROR(L104/H104-1,"")))</f>
        <v/>
      </c>
      <c r="M105" s="15">
        <f>IF(OR(M104="",I104=""),"",IF(M104*I104&lt;=0,"",IFERROR(M104/I104-1,"")))</f>
        <v/>
      </c>
      <c r="N105" s="15">
        <f>IF(OR(N104="",J104=""),"",IF(N104*J104&lt;=0,"",IFERROR(N104/J104-1,"")))</f>
        <v/>
      </c>
      <c r="U105" s="15">
        <f>IF(OR(U104="",T104=""),"",IF(U104*T104&lt;=0,"",IFERROR(U104/T104-1,"")))</f>
        <v/>
      </c>
      <c r="V105" s="15">
        <f>IF(OR(V104="",U104=""),"",IF(V104*U104&lt;=0,"",IFERROR(V104/U104-1,"")))</f>
        <v/>
      </c>
      <c r="W105" s="15">
        <f>IF(OR(W104="",V104=""),"",IF(W104*V104&lt;=0,"",IFERROR(W104/V104-1,"")))</f>
        <v/>
      </c>
      <c r="X105" s="15">
        <f>IF(OR(X104="",W104=""),"",IF(X104*W104&lt;=0,"",IFERROR(X104/W104-1,"")))</f>
        <v/>
      </c>
    </row>
    <row r="106">
      <c r="A106" s="18" t="inlineStr">
        <is>
          <t>판매비와 관리비</t>
        </is>
      </c>
      <c r="C106" s="20" t="n">
        <v>292119</v>
      </c>
      <c r="D106" s="20" t="n">
        <v>345113</v>
      </c>
      <c r="E106" s="20" t="n">
        <v>316066</v>
      </c>
      <c r="F106" s="20" t="n">
        <v>319233</v>
      </c>
      <c r="G106" s="20" t="n">
        <v>316141</v>
      </c>
      <c r="H106" s="20" t="n">
        <v>364357</v>
      </c>
      <c r="I106" s="20" t="n">
        <v>321497</v>
      </c>
      <c r="J106" s="20" t="n">
        <v>340942</v>
      </c>
      <c r="K106" s="20" t="n">
        <v>324814</v>
      </c>
      <c r="L106" s="20" t="n">
        <v>401036</v>
      </c>
      <c r="M106" s="20" t="n">
        <v>355008</v>
      </c>
      <c r="N106" s="20" t="n">
        <v>374001</v>
      </c>
      <c r="U106" s="20" t="n">
        <v>322381</v>
      </c>
      <c r="V106" s="20" t="n">
        <v>345113</v>
      </c>
      <c r="W106" s="20" t="n">
        <v>364357</v>
      </c>
      <c r="X106" s="20" t="n">
        <v>401036</v>
      </c>
    </row>
    <row r="107">
      <c r="A107" s="43" t="inlineStr">
        <is>
          <t>YoY</t>
        </is>
      </c>
      <c r="B107" s="3" t="inlineStr">
        <is>
          <t>전년 같은 분기·전년 대비</t>
        </is>
      </c>
      <c r="G107" s="15">
        <f>IF(OR(G106="",C106=""),"",IF(G106*C106&lt;=0,"",IFERROR(G106/C106-1,"")))</f>
        <v/>
      </c>
      <c r="H107" s="15">
        <f>IF(OR(H106="",D106=""),"",IF(H106*D106&lt;=0,"",IFERROR(H106/D106-1,"")))</f>
        <v/>
      </c>
      <c r="I107" s="15">
        <f>IF(OR(I106="",E106=""),"",IF(I106*E106&lt;=0,"",IFERROR(I106/E106-1,"")))</f>
        <v/>
      </c>
      <c r="J107" s="15">
        <f>IF(OR(J106="",F106=""),"",IF(J106*F106&lt;=0,"",IFERROR(J106/F106-1,"")))</f>
        <v/>
      </c>
      <c r="K107" s="15">
        <f>IF(OR(K106="",G106=""),"",IF(K106*G106&lt;=0,"",IFERROR(K106/G106-1,"")))</f>
        <v/>
      </c>
      <c r="L107" s="15">
        <f>IF(OR(L106="",H106=""),"",IF(L106*H106&lt;=0,"",IFERROR(L106/H106-1,"")))</f>
        <v/>
      </c>
      <c r="M107" s="15">
        <f>IF(OR(M106="",I106=""),"",IF(M106*I106&lt;=0,"",IFERROR(M106/I106-1,"")))</f>
        <v/>
      </c>
      <c r="N107" s="15">
        <f>IF(OR(N106="",J106=""),"",IF(N106*J106&lt;=0,"",IFERROR(N106/J106-1,"")))</f>
        <v/>
      </c>
      <c r="U107" s="15">
        <f>IF(OR(U106="",T106=""),"",IF(U106*T106&lt;=0,"",IFERROR(U106/T106-1,"")))</f>
        <v/>
      </c>
      <c r="V107" s="15">
        <f>IF(OR(V106="",U106=""),"",IF(V106*U106&lt;=0,"",IFERROR(V106/U106-1,"")))</f>
        <v/>
      </c>
      <c r="W107" s="15">
        <f>IF(OR(W106="",V106=""),"",IF(W106*V106&lt;=0,"",IFERROR(W106/V106-1,"")))</f>
        <v/>
      </c>
      <c r="X107" s="15">
        <f>IF(OR(X106="",W106=""),"",IF(X106*W106&lt;=0,"",IFERROR(X106/W106-1,"")))</f>
        <v/>
      </c>
    </row>
    <row r="108">
      <c r="A108" s="18" t="inlineStr">
        <is>
          <t>Other Income And Expenses Net</t>
        </is>
      </c>
      <c r="C108" s="20" t="n">
        <v>1205</v>
      </c>
      <c r="D108" s="20" t="n">
        <v>19912</v>
      </c>
      <c r="E108" s="20" t="n">
        <v>1830</v>
      </c>
      <c r="F108" s="20" t="n">
        <v>-616</v>
      </c>
      <c r="G108" s="20" t="n">
        <v>24462</v>
      </c>
      <c r="H108" s="20" t="n">
        <v>-10244</v>
      </c>
      <c r="I108" s="20" t="n">
        <v>18121</v>
      </c>
      <c r="J108" s="20" t="n">
        <v>1689</v>
      </c>
      <c r="K108" s="20" t="n">
        <v>-67884</v>
      </c>
      <c r="L108" s="20" t="n">
        <v>-20040</v>
      </c>
      <c r="M108" s="20" t="n">
        <v>-4817</v>
      </c>
      <c r="N108" s="20" t="n">
        <v>18151</v>
      </c>
      <c r="U108" s="20" t="n">
        <v>-2722</v>
      </c>
      <c r="V108" s="20" t="n">
        <v>19912</v>
      </c>
      <c r="W108" s="20" t="n">
        <v>-10244</v>
      </c>
      <c r="X108" s="20" t="n">
        <v>-20040</v>
      </c>
    </row>
    <row r="109">
      <c r="A109" s="18" t="inlineStr">
        <is>
          <t>영업이익</t>
        </is>
      </c>
      <c r="C109" s="20" t="n">
        <v>86494</v>
      </c>
      <c r="D109" s="20" t="n">
        <v>106192</v>
      </c>
      <c r="E109" s="20" t="n">
        <v>58659</v>
      </c>
      <c r="F109" s="20" t="n">
        <v>118023</v>
      </c>
      <c r="G109" s="20" t="n">
        <v>126873</v>
      </c>
      <c r="H109" s="20" t="n">
        <v>88295</v>
      </c>
      <c r="I109" s="20" t="n">
        <v>111972</v>
      </c>
      <c r="J109" s="20" t="n">
        <v>112394</v>
      </c>
      <c r="K109" s="20" t="n">
        <v>70391</v>
      </c>
      <c r="L109" s="20" t="n">
        <v>138338</v>
      </c>
      <c r="M109" s="20" t="n">
        <v>139501</v>
      </c>
      <c r="N109" s="20" t="n">
        <v>218611</v>
      </c>
      <c r="U109" s="20" t="n">
        <v>99127</v>
      </c>
      <c r="V109" s="20" t="n">
        <v>106192</v>
      </c>
      <c r="W109" s="20" t="n">
        <v>88295</v>
      </c>
      <c r="X109" s="20" t="n">
        <v>138338</v>
      </c>
    </row>
    <row r="110">
      <c r="A110" s="43" t="inlineStr">
        <is>
          <t>OPM</t>
        </is>
      </c>
      <c r="B110" s="3" t="inlineStr">
        <is>
          <t>영업이익 ÷ 매출</t>
        </is>
      </c>
      <c r="C110" s="15">
        <f>IF(OR(C109="",C102=""),"",IF(C102&lt;=0,"",IFERROR(C109/C102,"")))</f>
        <v/>
      </c>
      <c r="D110" s="15">
        <f>IF(OR(D109="",D102=""),"",IF(D102&lt;=0,"",IFERROR(D109/D102,"")))</f>
        <v/>
      </c>
      <c r="E110" s="15">
        <f>IF(OR(E109="",E102=""),"",IF(E102&lt;=0,"",IFERROR(E109/E102,"")))</f>
        <v/>
      </c>
      <c r="F110" s="15">
        <f>IF(OR(F109="",F102=""),"",IF(F102&lt;=0,"",IFERROR(F109/F102,"")))</f>
        <v/>
      </c>
      <c r="G110" s="15">
        <f>IF(OR(G109="",G102=""),"",IF(G102&lt;=0,"",IFERROR(G109/G102,"")))</f>
        <v/>
      </c>
      <c r="H110" s="15">
        <f>IF(OR(H109="",H102=""),"",IF(H102&lt;=0,"",IFERROR(H109/H102,"")))</f>
        <v/>
      </c>
      <c r="I110" s="15">
        <f>IF(OR(I109="",I102=""),"",IF(I102&lt;=0,"",IFERROR(I109/I102,"")))</f>
        <v/>
      </c>
      <c r="J110" s="15">
        <f>IF(OR(J109="",J102=""),"",IF(J102&lt;=0,"",IFERROR(J109/J102,"")))</f>
        <v/>
      </c>
      <c r="K110" s="15">
        <f>IF(OR(K109="",K102=""),"",IF(K102&lt;=0,"",IFERROR(K109/K102,"")))</f>
        <v/>
      </c>
      <c r="L110" s="15">
        <f>IF(OR(L109="",L102=""),"",IF(L102&lt;=0,"",IFERROR(L109/L102,"")))</f>
        <v/>
      </c>
      <c r="M110" s="15">
        <f>IF(OR(M109="",M102=""),"",IF(M102&lt;=0,"",IFERROR(M109/M102,"")))</f>
        <v/>
      </c>
      <c r="N110" s="15">
        <f>IF(OR(N109="",N102=""),"",IF(N102&lt;=0,"",IFERROR(N109/N102,"")))</f>
        <v/>
      </c>
      <c r="U110" s="15">
        <f>IF(OR(U109="",U102=""),"",IF(U102&lt;=0,"",IFERROR(U109/U102,"")))</f>
        <v/>
      </c>
      <c r="V110" s="15">
        <f>IF(OR(V109="",V102=""),"",IF(V102&lt;=0,"",IFERROR(V109/V102,"")))</f>
        <v/>
      </c>
      <c r="W110" s="15">
        <f>IF(OR(W109="",W102=""),"",IF(W102&lt;=0,"",IFERROR(W109/W102,"")))</f>
        <v/>
      </c>
      <c r="X110" s="15">
        <f>IF(OR(X109="",X102=""),"",IF(X102&lt;=0,"",IFERROR(X109/X102,"")))</f>
        <v/>
      </c>
    </row>
    <row r="111">
      <c r="A111" s="43" t="inlineStr">
        <is>
          <t>YoY</t>
        </is>
      </c>
      <c r="B111" s="3" t="inlineStr">
        <is>
          <t>전년 같은 분기·전년 대비</t>
        </is>
      </c>
      <c r="G111" s="15">
        <f>IF(OR(G109="",C109=""),"",IF(C109&lt;=0,"",IFERROR(G109/C109-1,"")))</f>
        <v/>
      </c>
      <c r="H111" s="15">
        <f>IF(OR(H109="",D109=""),"",IF(D109&lt;=0,"",IFERROR(H109/D109-1,"")))</f>
        <v/>
      </c>
      <c r="I111" s="15">
        <f>IF(OR(I109="",E109=""),"",IF(E109&lt;=0,"",IFERROR(I109/E109-1,"")))</f>
        <v/>
      </c>
      <c r="J111" s="15">
        <f>IF(OR(J109="",F109=""),"",IF(F109&lt;=0,"",IFERROR(J109/F109-1,"")))</f>
        <v/>
      </c>
      <c r="K111" s="15">
        <f>IF(OR(K109="",G109=""),"",IF(G109&lt;=0,"",IFERROR(K109/G109-1,"")))</f>
        <v/>
      </c>
      <c r="L111" s="15">
        <f>IF(OR(L109="",H109=""),"",IF(H109&lt;=0,"",IFERROR(L109/H109-1,"")))</f>
        <v/>
      </c>
      <c r="M111" s="15">
        <f>IF(OR(M109="",I109=""),"",IF(I109&lt;=0,"",IFERROR(M109/I109-1,"")))</f>
        <v/>
      </c>
      <c r="N111" s="15">
        <f>IF(OR(N109="",J109=""),"",IF(J109&lt;=0,"",IFERROR(N109/J109-1,"")))</f>
        <v/>
      </c>
      <c r="U111" s="15">
        <f>IF(OR(U109="",T109=""),"",IF(T109&lt;=0,"",IFERROR(U109/T109-1,"")))</f>
        <v/>
      </c>
      <c r="V111" s="15">
        <f>IF(OR(V109="",U109=""),"",IF(U109&lt;=0,"",IFERROR(V109/U109-1,"")))</f>
        <v/>
      </c>
      <c r="W111" s="15">
        <f>IF(OR(W109="",V109=""),"",IF(V109&lt;=0,"",IFERROR(W109/V109-1,"")))</f>
        <v/>
      </c>
      <c r="X111" s="15">
        <f>IF(OR(X109="",W109=""),"",IF(W109&lt;=0,"",IFERROR(X109/W109-1,"")))</f>
        <v/>
      </c>
    </row>
    <row r="112">
      <c r="A112" s="18" t="inlineStr">
        <is>
          <t>금융수익</t>
        </is>
      </c>
      <c r="C112" s="20" t="n">
        <v>2733</v>
      </c>
      <c r="D112" s="20" t="n">
        <v>6010</v>
      </c>
      <c r="E112" s="20" t="n">
        <v>14147</v>
      </c>
      <c r="F112" s="20" t="n">
        <v>-2766</v>
      </c>
      <c r="G112" s="20" t="n">
        <v>5486</v>
      </c>
      <c r="H112" s="20" t="n">
        <v>3967</v>
      </c>
      <c r="I112" s="20" t="n">
        <v>5164</v>
      </c>
      <c r="J112" s="20" t="n">
        <v>9771</v>
      </c>
      <c r="K112" s="20" t="n">
        <v>14986</v>
      </c>
      <c r="L112" s="20" t="n">
        <v>353</v>
      </c>
      <c r="M112" s="20" t="n">
        <v>5315</v>
      </c>
      <c r="N112" s="20" t="n">
        <v>4596</v>
      </c>
      <c r="U112" s="20" t="n">
        <v>1517</v>
      </c>
      <c r="V112" s="20" t="n">
        <v>6010</v>
      </c>
      <c r="W112" s="20" t="n">
        <v>3967</v>
      </c>
      <c r="X112" s="20" t="n">
        <v>353</v>
      </c>
    </row>
    <row r="113">
      <c r="A113" s="43" t="inlineStr">
        <is>
          <t>YoY</t>
        </is>
      </c>
      <c r="B113" s="3" t="inlineStr">
        <is>
          <t>전년 같은 분기·전년 대비</t>
        </is>
      </c>
      <c r="G113" s="15">
        <f>IF(OR(G112="",C112=""),"",IF(G112*C112&lt;=0,"",IFERROR(G112/C112-1,"")))</f>
        <v/>
      </c>
      <c r="H113" s="15">
        <f>IF(OR(H112="",D112=""),"",IF(H112*D112&lt;=0,"",IFERROR(H112/D112-1,"")))</f>
        <v/>
      </c>
      <c r="I113" s="15">
        <f>IF(OR(I112="",E112=""),"",IF(I112*E112&lt;=0,"",IFERROR(I112/E112-1,"")))</f>
        <v/>
      </c>
      <c r="J113" s="15">
        <f>IF(OR(J112="",F112=""),"",IF(J112*F112&lt;=0,"",IFERROR(J112/F112-1,"")))</f>
        <v/>
      </c>
      <c r="K113" s="15">
        <f>IF(OR(K112="",G112=""),"",IF(K112*G112&lt;=0,"",IFERROR(K112/G112-1,"")))</f>
        <v/>
      </c>
      <c r="L113" s="15">
        <f>IF(OR(L112="",H112=""),"",IF(L112*H112&lt;=0,"",IFERROR(L112/H112-1,"")))</f>
        <v/>
      </c>
      <c r="M113" s="15">
        <f>IF(OR(M112="",I112=""),"",IF(M112*I112&lt;=0,"",IFERROR(M112/I112-1,"")))</f>
        <v/>
      </c>
      <c r="N113" s="15">
        <f>IF(OR(N112="",J112=""),"",IF(N112*J112&lt;=0,"",IFERROR(N112/J112-1,"")))</f>
        <v/>
      </c>
      <c r="U113" s="15">
        <f>IF(OR(U112="",T112=""),"",IF(U112*T112&lt;=0,"",IFERROR(U112/T112-1,"")))</f>
        <v/>
      </c>
      <c r="V113" s="15">
        <f>IF(OR(V112="",U112=""),"",IF(V112*U112&lt;=0,"",IFERROR(V112/U112-1,"")))</f>
        <v/>
      </c>
      <c r="W113" s="15">
        <f>IF(OR(W112="",V112=""),"",IF(W112*V112&lt;=0,"",IFERROR(W112/V112-1,"")))</f>
        <v/>
      </c>
      <c r="X113" s="15">
        <f>IF(OR(X112="",W112=""),"",IF(X112*W112&lt;=0,"",IFERROR(X112/W112-1,"")))</f>
        <v/>
      </c>
    </row>
    <row r="114">
      <c r="A114" s="18" t="inlineStr">
        <is>
          <t>금융비용</t>
        </is>
      </c>
      <c r="C114" s="20" t="n">
        <v>6731</v>
      </c>
      <c r="D114" s="20" t="n">
        <v>2121</v>
      </c>
      <c r="E114" s="20" t="n">
        <v>2286</v>
      </c>
      <c r="F114" s="20" t="n">
        <v>23390</v>
      </c>
      <c r="G114" s="20" t="n">
        <v>-20240</v>
      </c>
      <c r="H114" s="20" t="n">
        <v>8962</v>
      </c>
      <c r="I114" s="20" t="n">
        <v>2607</v>
      </c>
      <c r="J114" s="20" t="n">
        <v>1438</v>
      </c>
      <c r="K114" s="20" t="n">
        <v>1641</v>
      </c>
      <c r="L114" s="20" t="n">
        <v>1237</v>
      </c>
      <c r="M114" s="20" t="n">
        <v>2203</v>
      </c>
      <c r="N114" s="20" t="n">
        <v>11095</v>
      </c>
      <c r="U114" s="20" t="n">
        <v>1734</v>
      </c>
      <c r="V114" s="20" t="n">
        <v>2121</v>
      </c>
      <c r="W114" s="20" t="n">
        <v>8962</v>
      </c>
      <c r="X114" s="20" t="n">
        <v>1237</v>
      </c>
    </row>
    <row r="115">
      <c r="A115" s="43" t="inlineStr">
        <is>
          <t>YoY</t>
        </is>
      </c>
      <c r="B115" s="3" t="inlineStr">
        <is>
          <t>전년 같은 분기·전년 대비</t>
        </is>
      </c>
      <c r="G115" s="15">
        <f>IF(OR(G114="",C114=""),"",IF(G114*C114&lt;=0,"",IFERROR(G114/C114-1,"")))</f>
        <v/>
      </c>
      <c r="H115" s="15">
        <f>IF(OR(H114="",D114=""),"",IF(H114*D114&lt;=0,"",IFERROR(H114/D114-1,"")))</f>
        <v/>
      </c>
      <c r="I115" s="15">
        <f>IF(OR(I114="",E114=""),"",IF(I114*E114&lt;=0,"",IFERROR(I114/E114-1,"")))</f>
        <v/>
      </c>
      <c r="J115" s="15">
        <f>IF(OR(J114="",F114=""),"",IF(J114*F114&lt;=0,"",IFERROR(J114/F114-1,"")))</f>
        <v/>
      </c>
      <c r="K115" s="15">
        <f>IF(OR(K114="",G114=""),"",IF(K114*G114&lt;=0,"",IFERROR(K114/G114-1,"")))</f>
        <v/>
      </c>
      <c r="L115" s="15">
        <f>IF(OR(L114="",H114=""),"",IF(L114*H114&lt;=0,"",IFERROR(L114/H114-1,"")))</f>
        <v/>
      </c>
      <c r="M115" s="15">
        <f>IF(OR(M114="",I114=""),"",IF(M114*I114&lt;=0,"",IFERROR(M114/I114-1,"")))</f>
        <v/>
      </c>
      <c r="N115" s="15">
        <f>IF(OR(N114="",J114=""),"",IF(N114*J114&lt;=0,"",IFERROR(N114/J114-1,"")))</f>
        <v/>
      </c>
      <c r="U115" s="15">
        <f>IF(OR(U114="",T114=""),"",IF(U114*T114&lt;=0,"",IFERROR(U114/T114-1,"")))</f>
        <v/>
      </c>
      <c r="V115" s="15">
        <f>IF(OR(V114="",U114=""),"",IF(V114*U114&lt;=0,"",IFERROR(V114/U114-1,"")))</f>
        <v/>
      </c>
      <c r="W115" s="15">
        <f>IF(OR(W114="",V114=""),"",IF(W114*V114&lt;=0,"",IFERROR(W114/V114-1,"")))</f>
        <v/>
      </c>
      <c r="X115" s="15">
        <f>IF(OR(X114="",W114=""),"",IF(X114*W114&lt;=0,"",IFERROR(X114/W114-1,"")))</f>
        <v/>
      </c>
    </row>
    <row r="116">
      <c r="A116" s="18" t="inlineStr">
        <is>
          <t>지분법이익</t>
        </is>
      </c>
      <c r="C116" s="20" t="n">
        <v>6741</v>
      </c>
      <c r="D116" s="20" t="n">
        <v>6749</v>
      </c>
      <c r="E116" s="20" t="n">
        <v>5605</v>
      </c>
      <c r="F116" s="20" t="n">
        <v>8752</v>
      </c>
      <c r="G116" s="20" t="n">
        <v>15290</v>
      </c>
      <c r="H116" s="20" t="n">
        <v>9332</v>
      </c>
      <c r="I116" s="20" t="n">
        <v>9547</v>
      </c>
      <c r="J116" s="20" t="n">
        <v>9172</v>
      </c>
      <c r="K116" s="20" t="n">
        <v>41668</v>
      </c>
      <c r="L116" s="20" t="n">
        <v>9244</v>
      </c>
      <c r="M116" s="20" t="n">
        <v>14464</v>
      </c>
      <c r="N116" s="20" t="n">
        <v>34364</v>
      </c>
      <c r="U116" s="20" t="n">
        <v>4199</v>
      </c>
      <c r="V116" s="20" t="n">
        <v>6749</v>
      </c>
      <c r="W116" s="20" t="n">
        <v>9332</v>
      </c>
      <c r="X116" s="20" t="n">
        <v>9244</v>
      </c>
    </row>
    <row r="117">
      <c r="A117" s="9" t="inlineStr">
        <is>
          <t>법인세차감전 순이익</t>
        </is>
      </c>
      <c r="C117" s="12" t="n">
        <v>89237</v>
      </c>
      <c r="D117" s="12" t="n">
        <v>116830</v>
      </c>
      <c r="E117" s="12" t="n">
        <v>76125</v>
      </c>
      <c r="F117" s="12" t="n">
        <v>100619</v>
      </c>
      <c r="G117" s="12" t="n">
        <v>167889</v>
      </c>
      <c r="H117" s="12" t="n">
        <v>92632</v>
      </c>
      <c r="I117" s="12" t="n">
        <v>124076</v>
      </c>
      <c r="J117" s="12" t="n">
        <v>129899</v>
      </c>
      <c r="K117" s="12" t="n">
        <v>125404</v>
      </c>
      <c r="L117" s="12" t="n">
        <v>146698</v>
      </c>
      <c r="M117" s="12" t="n">
        <v>157077</v>
      </c>
      <c r="N117" s="12" t="n">
        <v>246476</v>
      </c>
      <c r="U117" s="12" t="n">
        <v>103109</v>
      </c>
      <c r="V117" s="12" t="n">
        <v>116830</v>
      </c>
      <c r="W117" s="12" t="n">
        <v>92632</v>
      </c>
      <c r="X117" s="12" t="n">
        <v>146698</v>
      </c>
    </row>
    <row r="118">
      <c r="A118" s="18" t="inlineStr">
        <is>
          <t>법인소득세 비용</t>
        </is>
      </c>
      <c r="C118" s="20" t="n">
        <v>21092</v>
      </c>
      <c r="D118" s="20" t="n">
        <v>16301</v>
      </c>
      <c r="E118" s="20" t="n">
        <v>21751</v>
      </c>
      <c r="F118" s="20" t="n">
        <v>22931</v>
      </c>
      <c r="G118" s="20" t="n">
        <v>32128</v>
      </c>
      <c r="H118" s="20" t="n">
        <v>13539</v>
      </c>
      <c r="I118" s="20" t="n">
        <v>27558</v>
      </c>
      <c r="J118" s="20" t="n">
        <v>24127</v>
      </c>
      <c r="K118" s="20" t="n">
        <v>9848</v>
      </c>
      <c r="L118" s="20" t="n">
        <v>30774</v>
      </c>
      <c r="M118" s="20" t="n">
        <v>41891</v>
      </c>
      <c r="N118" s="20" t="n">
        <v>47926</v>
      </c>
      <c r="U118" s="20" t="n">
        <v>25490</v>
      </c>
      <c r="V118" s="20" t="n">
        <v>16301</v>
      </c>
      <c r="W118" s="20" t="n">
        <v>13539</v>
      </c>
      <c r="X118" s="20" t="n">
        <v>30774</v>
      </c>
    </row>
    <row r="119">
      <c r="A119" s="43" t="inlineStr">
        <is>
          <t>YoY</t>
        </is>
      </c>
      <c r="B119" s="3" t="inlineStr">
        <is>
          <t>전년 같은 분기·전년 대비</t>
        </is>
      </c>
      <c r="G119" s="15">
        <f>IF(OR(G118="",C118=""),"",IF(G118*C118&lt;=0,"",IFERROR(G118/C118-1,"")))</f>
        <v/>
      </c>
      <c r="H119" s="15">
        <f>IF(OR(H118="",D118=""),"",IF(H118*D118&lt;=0,"",IFERROR(H118/D118-1,"")))</f>
        <v/>
      </c>
      <c r="I119" s="15">
        <f>IF(OR(I118="",E118=""),"",IF(I118*E118&lt;=0,"",IFERROR(I118/E118-1,"")))</f>
        <v/>
      </c>
      <c r="J119" s="15">
        <f>IF(OR(J118="",F118=""),"",IF(J118*F118&lt;=0,"",IFERROR(J118/F118-1,"")))</f>
        <v/>
      </c>
      <c r="K119" s="15">
        <f>IF(OR(K118="",G118=""),"",IF(K118*G118&lt;=0,"",IFERROR(K118/G118-1,"")))</f>
        <v/>
      </c>
      <c r="L119" s="15">
        <f>IF(OR(L118="",H118=""),"",IF(L118*H118&lt;=0,"",IFERROR(L118/H118-1,"")))</f>
        <v/>
      </c>
      <c r="M119" s="15">
        <f>IF(OR(M118="",I118=""),"",IF(M118*I118&lt;=0,"",IFERROR(M118/I118-1,"")))</f>
        <v/>
      </c>
      <c r="N119" s="15">
        <f>IF(OR(N118="",J118=""),"",IF(N118*J118&lt;=0,"",IFERROR(N118/J118-1,"")))</f>
        <v/>
      </c>
      <c r="U119" s="15">
        <f>IF(OR(U118="",T118=""),"",IF(U118*T118&lt;=0,"",IFERROR(U118/T118-1,"")))</f>
        <v/>
      </c>
      <c r="V119" s="15">
        <f>IF(OR(V118="",U118=""),"",IF(V118*U118&lt;=0,"",IFERROR(V118/U118-1,"")))</f>
        <v/>
      </c>
      <c r="W119" s="15">
        <f>IF(OR(W118="",V118=""),"",IF(W118*V118&lt;=0,"",IFERROR(W118/V118-1,"")))</f>
        <v/>
      </c>
      <c r="X119" s="15">
        <f>IF(OR(X118="",W118=""),"",IF(X118*W118&lt;=0,"",IFERROR(X118/W118-1,"")))</f>
        <v/>
      </c>
    </row>
    <row r="120">
      <c r="A120" s="9" t="inlineStr">
        <is>
          <t>순이익</t>
        </is>
      </c>
      <c r="C120" s="12" t="n">
        <v>68145</v>
      </c>
      <c r="D120" s="12" t="n">
        <v>100529</v>
      </c>
      <c r="E120" s="12" t="n">
        <v>54374</v>
      </c>
      <c r="F120" s="12" t="n">
        <v>77688</v>
      </c>
      <c r="G120" s="12" t="n">
        <v>135761</v>
      </c>
      <c r="H120" s="12" t="n">
        <v>79093</v>
      </c>
      <c r="I120" s="12" t="n">
        <v>96518</v>
      </c>
      <c r="J120" s="12" t="n">
        <v>105772</v>
      </c>
      <c r="K120" s="12" t="n">
        <v>115556</v>
      </c>
      <c r="L120" s="12" t="n">
        <v>115924</v>
      </c>
      <c r="M120" s="12" t="n">
        <v>115186</v>
      </c>
      <c r="N120" s="12" t="n">
        <v>198550</v>
      </c>
      <c r="U120" s="12" t="n">
        <v>77619</v>
      </c>
      <c r="V120" s="12" t="n">
        <v>100529</v>
      </c>
      <c r="W120" s="12" t="n">
        <v>79093</v>
      </c>
      <c r="X120" s="12" t="n">
        <v>115924</v>
      </c>
    </row>
    <row r="121">
      <c r="A121" s="43" t="inlineStr">
        <is>
          <t>YoY</t>
        </is>
      </c>
      <c r="B121" s="3" t="inlineStr">
        <is>
          <t>전년 같은 분기·전년 대비</t>
        </is>
      </c>
      <c r="G121" s="15">
        <f>IF(OR(G120="",C120=""),"",IF(C120&lt;=0,"",IFERROR(G120/C120-1,"")))</f>
        <v/>
      </c>
      <c r="H121" s="15">
        <f>IF(OR(H120="",D120=""),"",IF(D120&lt;=0,"",IFERROR(H120/D120-1,"")))</f>
        <v/>
      </c>
      <c r="I121" s="15">
        <f>IF(OR(I120="",E120=""),"",IF(E120&lt;=0,"",IFERROR(I120/E120-1,"")))</f>
        <v/>
      </c>
      <c r="J121" s="15">
        <f>IF(OR(J120="",F120=""),"",IF(F120&lt;=0,"",IFERROR(J120/F120-1,"")))</f>
        <v/>
      </c>
      <c r="K121" s="15">
        <f>IF(OR(K120="",G120=""),"",IF(G120&lt;=0,"",IFERROR(K120/G120-1,"")))</f>
        <v/>
      </c>
      <c r="L121" s="15">
        <f>IF(OR(L120="",H120=""),"",IF(H120&lt;=0,"",IFERROR(L120/H120-1,"")))</f>
        <v/>
      </c>
      <c r="M121" s="15">
        <f>IF(OR(M120="",I120=""),"",IF(I120&lt;=0,"",IFERROR(M120/I120-1,"")))</f>
        <v/>
      </c>
      <c r="N121" s="15">
        <f>IF(OR(N120="",J120=""),"",IF(J120&lt;=0,"",IFERROR(N120/J120-1,"")))</f>
        <v/>
      </c>
      <c r="U121" s="15">
        <f>IF(OR(U120="",T120=""),"",IF(T120&lt;=0,"",IFERROR(U120/T120-1,"")))</f>
        <v/>
      </c>
      <c r="V121" s="15">
        <f>IF(OR(V120="",U120=""),"",IF(U120&lt;=0,"",IFERROR(V120/U120-1,"")))</f>
        <v/>
      </c>
      <c r="W121" s="15">
        <f>IF(OR(W120="",V120=""),"",IF(V120&lt;=0,"",IFERROR(W120/V120-1,"")))</f>
        <v/>
      </c>
      <c r="X121" s="15">
        <f>IF(OR(X120="",W120=""),"",IF(W120&lt;=0,"",IFERROR(X120/W120-1,"")))</f>
        <v/>
      </c>
    </row>
    <row r="122">
      <c r="A122" s="9" t="inlineStr">
        <is>
          <t>Profit Loss Attributable To Owners Of Parent</t>
        </is>
      </c>
      <c r="C122" s="12" t="n">
        <v>65869</v>
      </c>
      <c r="D122" s="12" t="n">
        <v>98852</v>
      </c>
      <c r="E122" s="12" t="n">
        <v>49138</v>
      </c>
      <c r="F122" s="12" t="n">
        <v>69502</v>
      </c>
      <c r="G122" s="12" t="n">
        <v>129454</v>
      </c>
      <c r="H122" s="12" t="n">
        <v>75990</v>
      </c>
      <c r="I122" s="12" t="n">
        <v>90926</v>
      </c>
      <c r="J122" s="12" t="n">
        <v>98471</v>
      </c>
      <c r="K122" s="12" t="n">
        <v>108868</v>
      </c>
      <c r="L122" s="12" t="n">
        <v>109493</v>
      </c>
      <c r="M122" s="12" t="n">
        <v>109817</v>
      </c>
      <c r="N122" s="12" t="n">
        <v>187208</v>
      </c>
      <c r="U122" s="12" t="n">
        <v>74565</v>
      </c>
      <c r="V122" s="12" t="n">
        <v>98852</v>
      </c>
      <c r="W122" s="12" t="n">
        <v>75990</v>
      </c>
      <c r="X122" s="12" t="n">
        <v>109493</v>
      </c>
    </row>
    <row r="123">
      <c r="A123" s="43" t="inlineStr">
        <is>
          <t>YoY</t>
        </is>
      </c>
      <c r="B123" s="3" t="inlineStr">
        <is>
          <t>전년 같은 분기·전년 대비</t>
        </is>
      </c>
      <c r="G123" s="15">
        <f>IF(OR(G122="",C122=""),"",IF(C122&lt;=0,"",IFERROR(G122/C122-1,"")))</f>
        <v/>
      </c>
      <c r="H123" s="15">
        <f>IF(OR(H122="",D122=""),"",IF(D122&lt;=0,"",IFERROR(H122/D122-1,"")))</f>
        <v/>
      </c>
      <c r="I123" s="15">
        <f>IF(OR(I122="",E122=""),"",IF(E122&lt;=0,"",IFERROR(I122/E122-1,"")))</f>
        <v/>
      </c>
      <c r="J123" s="15">
        <f>IF(OR(J122="",F122=""),"",IF(F122&lt;=0,"",IFERROR(J122/F122-1,"")))</f>
        <v/>
      </c>
      <c r="K123" s="15">
        <f>IF(OR(K122="",G122=""),"",IF(G122&lt;=0,"",IFERROR(K122/G122-1,"")))</f>
        <v/>
      </c>
      <c r="L123" s="15">
        <f>IF(OR(L122="",H122=""),"",IF(H122&lt;=0,"",IFERROR(L122/H122-1,"")))</f>
        <v/>
      </c>
      <c r="M123" s="15">
        <f>IF(OR(M122="",I122=""),"",IF(I122&lt;=0,"",IFERROR(M122/I122-1,"")))</f>
        <v/>
      </c>
      <c r="N123" s="15">
        <f>IF(OR(N122="",J122=""),"",IF(J122&lt;=0,"",IFERROR(N122/J122-1,"")))</f>
        <v/>
      </c>
      <c r="U123" s="15">
        <f>IF(OR(U122="",T122=""),"",IF(T122&lt;=0,"",IFERROR(U122/T122-1,"")))</f>
        <v/>
      </c>
      <c r="V123" s="15">
        <f>IF(OR(V122="",U122=""),"",IF(U122&lt;=0,"",IFERROR(V122/U122-1,"")))</f>
        <v/>
      </c>
      <c r="W123" s="15">
        <f>IF(OR(W122="",V122=""),"",IF(V122&lt;=0,"",IFERROR(W122/V122-1,"")))</f>
        <v/>
      </c>
      <c r="X123" s="15">
        <f>IF(OR(X122="",W122=""),"",IF(W122&lt;=0,"",IFERROR(X122/W122-1,"")))</f>
        <v/>
      </c>
    </row>
    <row r="124">
      <c r="A124" s="9" t="inlineStr">
        <is>
          <t>비지배지분</t>
        </is>
      </c>
      <c r="C124" s="12" t="n">
        <v>2276</v>
      </c>
      <c r="D124" s="12" t="n">
        <v>1677</v>
      </c>
      <c r="E124" s="12" t="n">
        <v>5236</v>
      </c>
      <c r="F124" s="12" t="n">
        <v>8186</v>
      </c>
      <c r="G124" s="12" t="n">
        <v>6307</v>
      </c>
      <c r="H124" s="12" t="n">
        <v>3103</v>
      </c>
      <c r="I124" s="12" t="n">
        <v>5592</v>
      </c>
      <c r="J124" s="12" t="n">
        <v>7301</v>
      </c>
      <c r="K124" s="12" t="n">
        <v>6688</v>
      </c>
      <c r="L124" s="12" t="n">
        <v>6431</v>
      </c>
      <c r="M124" s="12" t="n">
        <v>5369</v>
      </c>
      <c r="N124" s="12" t="n">
        <v>11342</v>
      </c>
      <c r="U124" s="12" t="n">
        <v>3054</v>
      </c>
      <c r="V124" s="12" t="n">
        <v>1677</v>
      </c>
      <c r="W124" s="12" t="n">
        <v>3103</v>
      </c>
      <c r="X124" s="12" t="n">
        <v>6431</v>
      </c>
    </row>
    <row r="126">
      <c r="A126" s="16" t="inlineStr">
        <is>
          <t>포괄손익 · 전 항목</t>
        </is>
      </c>
      <c r="B126" s="42" t="inlineStr">
        <is>
          <t>분기 = 3개월 단독</t>
        </is>
      </c>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row>
    <row r="127">
      <c r="A127" s="5" t="inlineStr">
        <is>
          <t>항목</t>
        </is>
      </c>
      <c r="B127" s="5" t="inlineStr">
        <is>
          <t>참고</t>
        </is>
      </c>
      <c r="C127" s="5" t="inlineStr">
        <is>
          <t>2024.3Q</t>
        </is>
      </c>
      <c r="D127" s="5" t="inlineStr">
        <is>
          <t>2024.4Q</t>
        </is>
      </c>
      <c r="E127" s="5" t="inlineStr">
        <is>
          <t>2025.1Q</t>
        </is>
      </c>
      <c r="F127" s="5" t="inlineStr">
        <is>
          <t>2025.2Q</t>
        </is>
      </c>
      <c r="G127" s="5" t="inlineStr">
        <is>
          <t>2025.3Q</t>
        </is>
      </c>
      <c r="H127" s="5" t="inlineStr">
        <is>
          <t>2025.4Q</t>
        </is>
      </c>
      <c r="I127" s="5" t="inlineStr">
        <is>
          <t>2026.1Q</t>
        </is>
      </c>
      <c r="J127" s="5" t="inlineStr">
        <is>
          <t>2026.2Q</t>
        </is>
      </c>
      <c r="K127" s="5" t="inlineStr">
        <is>
          <t>2026.3Q</t>
        </is>
      </c>
      <c r="L127" s="5" t="inlineStr">
        <is>
          <t>2026.4Q</t>
        </is>
      </c>
      <c r="M127" s="5" t="inlineStr">
        <is>
          <t>2027.1Q</t>
        </is>
      </c>
      <c r="N127" s="5" t="inlineStr">
        <is>
          <t>2027.2Q</t>
        </is>
      </c>
      <c r="O127" s="5" t="inlineStr">
        <is>
          <t>2017</t>
        </is>
      </c>
      <c r="P127" s="5" t="inlineStr">
        <is>
          <t>2018</t>
        </is>
      </c>
      <c r="Q127" s="5" t="inlineStr">
        <is>
          <t>2019</t>
        </is>
      </c>
      <c r="R127" s="5" t="inlineStr">
        <is>
          <t>2020</t>
        </is>
      </c>
      <c r="S127" s="5" t="inlineStr">
        <is>
          <t>2021</t>
        </is>
      </c>
      <c r="T127" s="5" t="inlineStr">
        <is>
          <t>2022</t>
        </is>
      </c>
      <c r="U127" s="5" t="inlineStr">
        <is>
          <t>2023</t>
        </is>
      </c>
      <c r="V127" s="5" t="inlineStr">
        <is>
          <t>2024</t>
        </is>
      </c>
      <c r="W127" s="5" t="inlineStr">
        <is>
          <t>2025</t>
        </is>
      </c>
      <c r="X127" s="5" t="inlineStr">
        <is>
          <t>2026</t>
        </is>
      </c>
      <c r="Y127" s="5" t="inlineStr">
        <is>
          <t>2027(MW)</t>
        </is>
      </c>
      <c r="Z127" s="5" t="inlineStr">
        <is>
          <t>2028(MW)</t>
        </is>
      </c>
      <c r="AA127" s="5" t="inlineStr">
        <is>
          <t>2029(MW)</t>
        </is>
      </c>
      <c r="AB127" s="5" t="inlineStr">
        <is>
          <t>2030(MW)</t>
        </is>
      </c>
      <c r="AC127" s="5" t="inlineStr">
        <is>
          <t>2031(MW)</t>
        </is>
      </c>
    </row>
    <row r="128">
      <c r="A128" s="9" t="inlineStr">
        <is>
          <t>순이익</t>
        </is>
      </c>
      <c r="C128" s="12" t="n">
        <v>68145</v>
      </c>
      <c r="D128" s="12" t="n">
        <v>100529</v>
      </c>
      <c r="E128" s="12" t="n">
        <v>54374</v>
      </c>
      <c r="F128" s="12" t="n">
        <v>77688</v>
      </c>
      <c r="G128" s="12" t="n">
        <v>135761</v>
      </c>
      <c r="H128" s="12" t="n">
        <v>79093</v>
      </c>
      <c r="I128" s="12" t="n">
        <v>96518</v>
      </c>
      <c r="J128" s="12" t="n">
        <v>105772</v>
      </c>
      <c r="K128" s="12" t="n">
        <v>115556</v>
      </c>
      <c r="L128" s="12" t="n">
        <v>115924</v>
      </c>
      <c r="M128" s="12" t="n">
        <v>115186</v>
      </c>
      <c r="N128" s="12" t="n">
        <v>198550</v>
      </c>
      <c r="U128" s="12" t="n">
        <v>77619</v>
      </c>
      <c r="V128" s="12" t="n">
        <v>100529</v>
      </c>
      <c r="W128" s="12" t="n">
        <v>79093</v>
      </c>
      <c r="X128" s="12" t="n">
        <v>115924</v>
      </c>
    </row>
    <row r="129">
      <c r="A129" s="18" t="inlineStr">
        <is>
          <t>Net Change In Fair Value Of Equity Instruments Designated As Measured At Fair Value Through Other Comprehensive Income Net Of Tax Items That Will Not Be Reclassified To Profit Or Loss OCI</t>
        </is>
      </c>
      <c r="C129" s="20" t="n">
        <v>6368</v>
      </c>
      <c r="D129" s="20" t="n">
        <v>7301</v>
      </c>
      <c r="E129" s="20" t="n">
        <v>990</v>
      </c>
      <c r="F129" s="20" t="n">
        <v>-14540</v>
      </c>
      <c r="G129" s="20" t="n">
        <v>9618</v>
      </c>
      <c r="H129" s="20" t="n">
        <v>-2657</v>
      </c>
      <c r="I129" s="20" t="n">
        <v>3817</v>
      </c>
      <c r="J129" s="20" t="n">
        <v>4123</v>
      </c>
      <c r="K129" s="20" t="n">
        <v>-13894</v>
      </c>
      <c r="L129" s="20" t="n">
        <v>-9933</v>
      </c>
      <c r="M129" s="20" t="n">
        <v>9693</v>
      </c>
      <c r="N129" s="20" t="n">
        <v>-10620</v>
      </c>
      <c r="U129" s="20" t="n">
        <v>31243</v>
      </c>
      <c r="V129" s="20" t="n">
        <v>7301</v>
      </c>
      <c r="W129" s="20" t="n">
        <v>-2657</v>
      </c>
      <c r="X129" s="20" t="n">
        <v>-9933</v>
      </c>
    </row>
    <row r="130">
      <c r="A130" s="18" t="inlineStr">
        <is>
          <t>Share Of Other Comprehensive Income Of Investments Accounted For Using Equity Method Net Of Tax Items That Will Not Be Reclassified To Profit Or Loss OCI</t>
        </is>
      </c>
      <c r="C130" s="20" t="n">
        <v>-1131</v>
      </c>
      <c r="D130" s="20" t="n">
        <v>1679</v>
      </c>
      <c r="E130" s="20" t="n">
        <v>6086</v>
      </c>
      <c r="F130" s="20" t="n">
        <v>1392</v>
      </c>
      <c r="G130" s="20" t="n">
        <v>-3109</v>
      </c>
      <c r="H130" s="20" t="n">
        <v>-446</v>
      </c>
      <c r="I130" s="20" t="n">
        <v>-1907</v>
      </c>
      <c r="J130" s="20" t="n">
        <v>2476</v>
      </c>
      <c r="K130" s="20" t="n">
        <v>-185</v>
      </c>
      <c r="L130" s="20" t="n">
        <v>17</v>
      </c>
      <c r="M130" s="20" t="n">
        <v>585</v>
      </c>
      <c r="N130" s="20" t="n">
        <v>2722</v>
      </c>
      <c r="U130" s="20" t="n">
        <v>875</v>
      </c>
      <c r="V130" s="20" t="n">
        <v>1679</v>
      </c>
      <c r="W130" s="20" t="n">
        <v>-446</v>
      </c>
      <c r="X130" s="20" t="n">
        <v>17</v>
      </c>
    </row>
    <row r="131">
      <c r="A131" s="18" t="inlineStr">
        <is>
          <t>계</t>
        </is>
      </c>
      <c r="C131" s="20" t="n">
        <v>5237</v>
      </c>
      <c r="D131" s="20" t="n">
        <v>203156</v>
      </c>
      <c r="E131" s="20" t="n">
        <v>7076</v>
      </c>
      <c r="F131" s="20" t="n">
        <v>-13148</v>
      </c>
      <c r="G131" s="20" t="n">
        <v>6509</v>
      </c>
      <c r="H131" s="20" t="n">
        <v>22820</v>
      </c>
      <c r="I131" s="20" t="n">
        <v>1910</v>
      </c>
      <c r="J131" s="20" t="n">
        <v>6599</v>
      </c>
      <c r="K131" s="20" t="n">
        <v>-14079</v>
      </c>
      <c r="L131" s="20" t="n">
        <v>184515</v>
      </c>
      <c r="M131" s="20" t="n">
        <v>10278</v>
      </c>
      <c r="N131" s="20" t="n">
        <v>-7898</v>
      </c>
      <c r="U131" s="20" t="n">
        <v>72811</v>
      </c>
      <c r="V131" s="20" t="n">
        <v>203156</v>
      </c>
      <c r="W131" s="20" t="n">
        <v>22820</v>
      </c>
      <c r="X131" s="20" t="n">
        <v>184515</v>
      </c>
    </row>
    <row r="132">
      <c r="A132" s="18" t="inlineStr">
        <is>
          <t>해외사업 환산차액</t>
        </is>
      </c>
      <c r="C132" s="20" t="n">
        <v>-23073</v>
      </c>
      <c r="D132" s="20" t="n">
        <v>52070</v>
      </c>
      <c r="E132" s="20" t="n">
        <v>77851</v>
      </c>
      <c r="F132" s="20" t="n">
        <v>-92656</v>
      </c>
      <c r="G132" s="20" t="n">
        <v>82806</v>
      </c>
      <c r="H132" s="20" t="n">
        <v>-69636</v>
      </c>
      <c r="I132" s="20" t="n">
        <v>5598</v>
      </c>
      <c r="J132" s="20" t="n">
        <v>43867</v>
      </c>
      <c r="K132" s="20" t="n">
        <v>94265</v>
      </c>
      <c r="L132" s="20" t="n">
        <v>20510</v>
      </c>
      <c r="M132" s="20" t="n">
        <v>31857</v>
      </c>
      <c r="N132" s="20" t="n">
        <v>-58771</v>
      </c>
      <c r="U132" s="20" t="n">
        <v>23554</v>
      </c>
      <c r="V132" s="20" t="n">
        <v>52070</v>
      </c>
      <c r="W132" s="20" t="n">
        <v>-69636</v>
      </c>
      <c r="X132" s="20" t="n">
        <v>20510</v>
      </c>
    </row>
    <row r="133">
      <c r="A133" s="18" t="inlineStr">
        <is>
          <t>Effective Portion Of Cash Flow Hedges Net Of Tax Items That May Be Reclassified To Profit Or Loss OCI</t>
        </is>
      </c>
      <c r="C133" s="20" t="n">
        <v>25</v>
      </c>
      <c r="D133" s="20" t="n">
        <v>81</v>
      </c>
      <c r="E133" s="20" t="n">
        <v>44</v>
      </c>
      <c r="F133" s="20" t="n">
        <v>45</v>
      </c>
      <c r="G133" s="20" t="n">
        <v>-143</v>
      </c>
      <c r="H133" s="20" t="n">
        <v>119</v>
      </c>
      <c r="I133" s="20" t="n">
        <v>54</v>
      </c>
      <c r="J133" s="20" t="n">
        <v>-50</v>
      </c>
      <c r="K133" s="20" t="n">
        <v>40</v>
      </c>
      <c r="L133" s="20" t="n">
        <v>-107</v>
      </c>
      <c r="M133" s="20" t="n">
        <v>1</v>
      </c>
      <c r="N133" s="20" t="n">
        <v>-89</v>
      </c>
      <c r="U133" s="20" t="n">
        <v>16</v>
      </c>
      <c r="V133" s="20" t="n">
        <v>81</v>
      </c>
      <c r="W133" s="20" t="n">
        <v>119</v>
      </c>
      <c r="X133" s="20" t="n">
        <v>-107</v>
      </c>
    </row>
    <row r="134">
      <c r="A134" s="18" t="inlineStr">
        <is>
          <t>Share Of Other Comprehensive Income Of Investments Accounted For Using Equity Method Net Of Tax Items That May Be Reclassified To Profit Or Loss OCI</t>
        </is>
      </c>
      <c r="C134" s="20" t="n">
        <v>476</v>
      </c>
      <c r="D134" s="20" t="n">
        <v>-324</v>
      </c>
      <c r="E134" s="20" t="n">
        <v>3389</v>
      </c>
      <c r="F134" s="20" t="n">
        <v>5473</v>
      </c>
      <c r="G134" s="20" t="n">
        <v>-4274</v>
      </c>
      <c r="H134" s="20" t="n">
        <v>3921</v>
      </c>
      <c r="I134" s="20" t="n">
        <v>-4149</v>
      </c>
      <c r="J134" s="20" t="n">
        <v>866</v>
      </c>
      <c r="K134" s="20" t="n">
        <v>1816</v>
      </c>
      <c r="L134" s="20" t="n">
        <v>7956</v>
      </c>
      <c r="M134" s="20" t="n">
        <v>-159</v>
      </c>
      <c r="N134" s="20" t="n">
        <v>181</v>
      </c>
      <c r="U134" s="20" t="n">
        <v>-4491</v>
      </c>
      <c r="V134" s="20" t="n">
        <v>-324</v>
      </c>
      <c r="W134" s="20" t="n">
        <v>3921</v>
      </c>
      <c r="X134" s="20" t="n">
        <v>7956</v>
      </c>
    </row>
    <row r="135">
      <c r="A135" s="18" t="inlineStr">
        <is>
          <t>계</t>
        </is>
      </c>
      <c r="C135" s="20" t="n">
        <v>-22572</v>
      </c>
      <c r="D135" s="20" t="n">
        <v>51827</v>
      </c>
      <c r="E135" s="20" t="n">
        <v>81284</v>
      </c>
      <c r="F135" s="20" t="n">
        <v>-87138</v>
      </c>
      <c r="G135" s="20" t="n">
        <v>78389</v>
      </c>
      <c r="H135" s="20" t="n">
        <v>-65596</v>
      </c>
      <c r="I135" s="20" t="n">
        <v>1503</v>
      </c>
      <c r="J135" s="20" t="n">
        <v>44683</v>
      </c>
      <c r="K135" s="20" t="n">
        <v>96121</v>
      </c>
      <c r="L135" s="20" t="n">
        <v>28359</v>
      </c>
      <c r="M135" s="20" t="n">
        <v>31699</v>
      </c>
      <c r="N135" s="20" t="n">
        <v>-58679</v>
      </c>
      <c r="U135" s="20" t="n">
        <v>19079</v>
      </c>
      <c r="V135" s="20" t="n">
        <v>51827</v>
      </c>
      <c r="W135" s="20" t="n">
        <v>-65596</v>
      </c>
      <c r="X135" s="20" t="n">
        <v>28359</v>
      </c>
    </row>
    <row r="136">
      <c r="A136" s="18" t="inlineStr">
        <is>
          <t>합계</t>
        </is>
      </c>
      <c r="C136" s="20" t="n">
        <v>-17335</v>
      </c>
      <c r="D136" s="20" t="n">
        <v>254983</v>
      </c>
      <c r="E136" s="20" t="n">
        <v>88360</v>
      </c>
      <c r="F136" s="20" t="n">
        <v>-100286</v>
      </c>
      <c r="G136" s="20" t="n">
        <v>84898</v>
      </c>
      <c r="H136" s="20" t="n">
        <v>-42776</v>
      </c>
      <c r="I136" s="20" t="n">
        <v>3413</v>
      </c>
      <c r="J136" s="20" t="n">
        <v>51282</v>
      </c>
      <c r="K136" s="20" t="n">
        <v>82042</v>
      </c>
      <c r="L136" s="20" t="n">
        <v>212874</v>
      </c>
      <c r="M136" s="20" t="n">
        <v>41977</v>
      </c>
      <c r="N136" s="20" t="n">
        <v>-66577</v>
      </c>
      <c r="U136" s="20" t="n">
        <v>91890</v>
      </c>
      <c r="V136" s="20" t="n">
        <v>254983</v>
      </c>
      <c r="W136" s="20" t="n">
        <v>-42776</v>
      </c>
      <c r="X136" s="20" t="n">
        <v>212874</v>
      </c>
    </row>
    <row r="137">
      <c r="A137" s="9" t="inlineStr">
        <is>
          <t>포괄이익</t>
        </is>
      </c>
      <c r="C137" s="12" t="n">
        <v>50810</v>
      </c>
      <c r="D137" s="12" t="n">
        <v>355512</v>
      </c>
      <c r="E137" s="12" t="n">
        <v>142734</v>
      </c>
      <c r="F137" s="12" t="n">
        <v>-22598</v>
      </c>
      <c r="G137" s="12" t="n">
        <v>220659</v>
      </c>
      <c r="H137" s="12" t="n">
        <v>36317</v>
      </c>
      <c r="I137" s="12" t="n">
        <v>99931</v>
      </c>
      <c r="J137" s="12" t="n">
        <v>157054</v>
      </c>
      <c r="K137" s="12" t="n">
        <v>197598</v>
      </c>
      <c r="L137" s="12" t="n">
        <v>328798</v>
      </c>
      <c r="M137" s="12" t="n">
        <v>157163</v>
      </c>
      <c r="N137" s="12" t="n">
        <v>131973</v>
      </c>
      <c r="U137" s="12" t="n">
        <v>169509</v>
      </c>
      <c r="V137" s="12" t="n">
        <v>355512</v>
      </c>
      <c r="W137" s="12" t="n">
        <v>36317</v>
      </c>
      <c r="X137" s="12" t="n">
        <v>328798</v>
      </c>
    </row>
    <row r="138">
      <c r="A138" s="9" t="inlineStr">
        <is>
          <t>Comprehensive Income Attributable To Owners Of Parent</t>
        </is>
      </c>
      <c r="C138" s="12" t="n">
        <v>50338</v>
      </c>
      <c r="D138" s="12" t="n">
        <v>350350</v>
      </c>
      <c r="E138" s="12" t="n">
        <v>131509</v>
      </c>
      <c r="F138" s="12" t="n">
        <v>-24337</v>
      </c>
      <c r="G138" s="12" t="n">
        <v>207007</v>
      </c>
      <c r="H138" s="12" t="n">
        <v>39034</v>
      </c>
      <c r="I138" s="12" t="n">
        <v>94355</v>
      </c>
      <c r="J138" s="12" t="n">
        <v>146556</v>
      </c>
      <c r="K138" s="12" t="n">
        <v>183743</v>
      </c>
      <c r="L138" s="12" t="n">
        <v>321396</v>
      </c>
      <c r="M138" s="12" t="n">
        <v>149951</v>
      </c>
      <c r="N138" s="12" t="n">
        <v>124356</v>
      </c>
      <c r="U138" s="12" t="n">
        <v>164729</v>
      </c>
      <c r="V138" s="12" t="n">
        <v>350350</v>
      </c>
      <c r="W138" s="12" t="n">
        <v>39034</v>
      </c>
      <c r="X138" s="12" t="n">
        <v>321396</v>
      </c>
    </row>
    <row r="139">
      <c r="A139" s="9" t="inlineStr">
        <is>
          <t>비지배지분</t>
        </is>
      </c>
      <c r="C139" s="12" t="n">
        <v>472</v>
      </c>
      <c r="D139" s="12" t="n">
        <v>5162</v>
      </c>
      <c r="E139" s="12" t="n">
        <v>11225</v>
      </c>
      <c r="F139" s="12" t="n">
        <v>1739</v>
      </c>
      <c r="G139" s="12" t="n">
        <v>13652</v>
      </c>
      <c r="H139" s="12" t="n">
        <v>-2717</v>
      </c>
      <c r="I139" s="12" t="n">
        <v>5576</v>
      </c>
      <c r="J139" s="12" t="n">
        <v>10498</v>
      </c>
      <c r="K139" s="12" t="n">
        <v>13855</v>
      </c>
      <c r="L139" s="12" t="n">
        <v>7402</v>
      </c>
      <c r="M139" s="12" t="n">
        <v>7212</v>
      </c>
      <c r="N139" s="12" t="n">
        <v>7617</v>
      </c>
      <c r="U139" s="12" t="n">
        <v>4780</v>
      </c>
      <c r="V139" s="12" t="n">
        <v>5162</v>
      </c>
      <c r="W139" s="12" t="n">
        <v>-2717</v>
      </c>
      <c r="X139" s="12" t="n">
        <v>7402</v>
      </c>
    </row>
    <row r="141">
      <c r="A141" s="16" t="inlineStr">
        <is>
          <t>부문 · 전 항목</t>
        </is>
      </c>
      <c r="B141" s="42" t="inlineStr">
        <is>
          <t>부문 · 항목</t>
        </is>
      </c>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c r="AA141" s="16" t="n"/>
      <c r="AB141" s="16" t="n"/>
      <c r="AC141" s="16" t="n"/>
    </row>
    <row r="142">
      <c r="A142" s="5" t="inlineStr">
        <is>
          <t>항목</t>
        </is>
      </c>
      <c r="B142" s="5" t="inlineStr">
        <is>
          <t>참고</t>
        </is>
      </c>
      <c r="C142" s="5" t="inlineStr">
        <is>
          <t>2024.3Q</t>
        </is>
      </c>
      <c r="D142" s="5" t="inlineStr">
        <is>
          <t>2024.4Q</t>
        </is>
      </c>
      <c r="E142" s="5" t="inlineStr">
        <is>
          <t>2025.1Q</t>
        </is>
      </c>
      <c r="F142" s="5" t="inlineStr">
        <is>
          <t>2025.2Q</t>
        </is>
      </c>
      <c r="G142" s="5" t="inlineStr">
        <is>
          <t>2025.3Q</t>
        </is>
      </c>
      <c r="H142" s="5" t="inlineStr">
        <is>
          <t>2025.4Q</t>
        </is>
      </c>
      <c r="I142" s="5" t="inlineStr">
        <is>
          <t>2026.1Q</t>
        </is>
      </c>
      <c r="J142" s="5" t="inlineStr">
        <is>
          <t>2026.2Q</t>
        </is>
      </c>
      <c r="K142" s="5" t="inlineStr">
        <is>
          <t>2026.3Q</t>
        </is>
      </c>
      <c r="L142" s="5" t="inlineStr">
        <is>
          <t>2026.4Q</t>
        </is>
      </c>
      <c r="M142" s="5" t="inlineStr">
        <is>
          <t>2027.1Q</t>
        </is>
      </c>
      <c r="N142" s="5" t="inlineStr">
        <is>
          <t>2027.2Q</t>
        </is>
      </c>
      <c r="O142" s="5" t="inlineStr">
        <is>
          <t>2017</t>
        </is>
      </c>
      <c r="P142" s="5" t="inlineStr">
        <is>
          <t>2018</t>
        </is>
      </c>
      <c r="Q142" s="5" t="inlineStr">
        <is>
          <t>2019</t>
        </is>
      </c>
      <c r="R142" s="5" t="inlineStr">
        <is>
          <t>2020</t>
        </is>
      </c>
      <c r="S142" s="5" t="inlineStr">
        <is>
          <t>2021</t>
        </is>
      </c>
      <c r="T142" s="5" t="inlineStr">
        <is>
          <t>2022</t>
        </is>
      </c>
      <c r="U142" s="5" t="inlineStr">
        <is>
          <t>2023</t>
        </is>
      </c>
      <c r="V142" s="5" t="inlineStr">
        <is>
          <t>2024</t>
        </is>
      </c>
      <c r="W142" s="5" t="inlineStr">
        <is>
          <t>2025</t>
        </is>
      </c>
      <c r="X142" s="5" t="inlineStr">
        <is>
          <t>2026</t>
        </is>
      </c>
      <c r="Y142" s="5" t="inlineStr">
        <is>
          <t>2027(MW)</t>
        </is>
      </c>
      <c r="Z142" s="5" t="inlineStr">
        <is>
          <t>2028(MW)</t>
        </is>
      </c>
      <c r="AA142" s="5" t="inlineStr">
        <is>
          <t>2029(MW)</t>
        </is>
      </c>
      <c r="AB142" s="5" t="inlineStr">
        <is>
          <t>2030(MW)</t>
        </is>
      </c>
      <c r="AC142" s="5" t="inlineStr">
        <is>
          <t>2031(MW)</t>
        </is>
      </c>
    </row>
    <row r="143">
      <c r="A143" s="18" t="inlineStr">
        <is>
          <t>부문 · Sales To External Customers</t>
        </is>
      </c>
      <c r="C143" s="20" t="n">
        <v>230669</v>
      </c>
      <c r="D143" s="20" t="n">
        <v>373340</v>
      </c>
      <c r="E143" s="20" t="n">
        <v>214404</v>
      </c>
      <c r="F143" s="20" t="n">
        <v>278040</v>
      </c>
      <c r="G143" s="20" t="n">
        <v>296604</v>
      </c>
      <c r="H143" s="20" t="n">
        <v>422486</v>
      </c>
      <c r="I143" s="20" t="n">
        <v>263191</v>
      </c>
      <c r="J143" s="20" t="n">
        <v>313742</v>
      </c>
      <c r="K143" s="20" t="n">
        <v>349521</v>
      </c>
      <c r="L143" s="20" t="n">
        <v>524969</v>
      </c>
      <c r="M143" s="20" t="n">
        <v>295549</v>
      </c>
      <c r="N143" s="20" t="n">
        <v>377177</v>
      </c>
      <c r="V143" s="20" t="n">
        <v>373340</v>
      </c>
      <c r="W143" s="20" t="n">
        <v>422486</v>
      </c>
      <c r="X143" s="20" t="n">
        <v>524969</v>
      </c>
    </row>
    <row r="144">
      <c r="A144" s="18" t="inlineStr">
        <is>
          <t>부문 · Sales To External Customers</t>
        </is>
      </c>
      <c r="C144" s="20" t="n">
        <v>425392</v>
      </c>
      <c r="D144" s="20" t="n">
        <v>434321</v>
      </c>
      <c r="E144" s="20" t="n">
        <v>395919</v>
      </c>
      <c r="F144" s="20" t="n">
        <v>407149</v>
      </c>
      <c r="G144" s="20" t="n">
        <v>402736</v>
      </c>
      <c r="H144" s="20" t="n">
        <v>420455</v>
      </c>
      <c r="I144" s="20" t="n">
        <v>379143</v>
      </c>
      <c r="J144" s="20" t="n">
        <v>412047</v>
      </c>
      <c r="K144" s="20" t="n">
        <v>410901</v>
      </c>
      <c r="L144" s="20" t="n">
        <v>452764</v>
      </c>
      <c r="M144" s="20" t="n">
        <v>446279</v>
      </c>
      <c r="N144" s="20" t="n">
        <v>461989</v>
      </c>
      <c r="V144" s="20" t="n">
        <v>434321</v>
      </c>
      <c r="W144" s="20" t="n">
        <v>420455</v>
      </c>
      <c r="X144" s="20" t="n">
        <v>452764</v>
      </c>
    </row>
    <row r="145">
      <c r="A145" s="18" t="inlineStr">
        <is>
          <t>부문 · Sales To External Customers</t>
        </is>
      </c>
      <c r="C145" s="20" t="n">
        <v>467832</v>
      </c>
      <c r="D145" s="20" t="n">
        <v>528286</v>
      </c>
      <c r="E145" s="20" t="n">
        <v>551647</v>
      </c>
      <c r="F145" s="20" t="n">
        <v>539277</v>
      </c>
      <c r="G145" s="20" t="n">
        <v>534137</v>
      </c>
      <c r="H145" s="20" t="n">
        <v>537689</v>
      </c>
      <c r="I145" s="20" t="n">
        <v>563818</v>
      </c>
      <c r="J145" s="20" t="n">
        <v>575299</v>
      </c>
      <c r="K145" s="20" t="n">
        <v>531177</v>
      </c>
      <c r="L145" s="20" t="n">
        <v>616260</v>
      </c>
      <c r="M145" s="20" t="n">
        <v>631031</v>
      </c>
      <c r="N145" s="20" t="n">
        <v>650362</v>
      </c>
      <c r="V145" s="20" t="n">
        <v>528286</v>
      </c>
      <c r="W145" s="20" t="n">
        <v>537689</v>
      </c>
      <c r="X145" s="20" t="n">
        <v>616260</v>
      </c>
    </row>
    <row r="146">
      <c r="A146" s="18" t="inlineStr">
        <is>
          <t>부문 · Sales To External Customers</t>
        </is>
      </c>
      <c r="C146" s="20" t="n">
        <v>17412</v>
      </c>
      <c r="D146" s="20" t="n">
        <v>27409</v>
      </c>
      <c r="E146" s="20" t="n">
        <v>16139</v>
      </c>
      <c r="F146" s="20" t="n">
        <v>22289</v>
      </c>
      <c r="G146" s="20" t="n">
        <v>18754</v>
      </c>
      <c r="H146" s="20" t="n">
        <v>27315</v>
      </c>
      <c r="V146" s="20" t="n">
        <v>27409</v>
      </c>
      <c r="W146" s="20" t="n">
        <v>27315</v>
      </c>
    </row>
    <row r="147">
      <c r="A147" s="18" t="inlineStr">
        <is>
          <t>부문 · Sales To External Customers</t>
        </is>
      </c>
      <c r="E147" s="20" t="n">
        <v>16139</v>
      </c>
      <c r="F147" s="20" t="n">
        <v>22289</v>
      </c>
      <c r="G147" s="20" t="n">
        <v>18754</v>
      </c>
      <c r="H147" s="20" t="n">
        <v>27315</v>
      </c>
      <c r="I147" s="20" t="n">
        <v>17689</v>
      </c>
      <c r="J147" s="20" t="n">
        <v>20760</v>
      </c>
      <c r="K147" s="20" t="n">
        <v>19253</v>
      </c>
      <c r="L147" s="20" t="n">
        <v>27556</v>
      </c>
      <c r="M147" s="20" t="n">
        <v>20313</v>
      </c>
      <c r="N147" s="20" t="n">
        <v>27967</v>
      </c>
      <c r="W147" s="20" t="n">
        <v>27315</v>
      </c>
      <c r="X147" s="20" t="n">
        <v>27556</v>
      </c>
    </row>
    <row r="148">
      <c r="A148" s="18" t="inlineStr">
        <is>
          <t>부문 · Sales To External Customers</t>
        </is>
      </c>
      <c r="C148" s="20" t="n">
        <v>62461</v>
      </c>
      <c r="D148" s="20" t="n">
        <v>67295</v>
      </c>
      <c r="E148" s="20" t="n">
        <v>68236</v>
      </c>
      <c r="F148" s="20" t="n">
        <v>64160</v>
      </c>
      <c r="G148" s="20" t="n">
        <v>62284</v>
      </c>
      <c r="H148" s="20" t="n">
        <v>65182</v>
      </c>
      <c r="I148" s="20" t="n">
        <v>62471</v>
      </c>
      <c r="J148" s="20" t="n">
        <v>64851</v>
      </c>
      <c r="K148" s="20" t="n">
        <v>61413</v>
      </c>
      <c r="L148" s="20" t="n">
        <v>70192</v>
      </c>
      <c r="M148" s="20" t="n">
        <v>73297</v>
      </c>
      <c r="N148" s="20" t="n">
        <v>74041</v>
      </c>
      <c r="V148" s="20" t="n">
        <v>67295</v>
      </c>
      <c r="W148" s="20" t="n">
        <v>65182</v>
      </c>
      <c r="X148" s="20" t="n">
        <v>70192</v>
      </c>
    </row>
    <row r="149">
      <c r="A149" s="18" t="inlineStr">
        <is>
          <t>OtherReportableSegmentsMember · Sales To External Customers</t>
        </is>
      </c>
      <c r="C149" s="20" t="n">
        <v>40169</v>
      </c>
      <c r="D149" s="20" t="n">
        <v>44857</v>
      </c>
      <c r="E149" s="20" t="n">
        <v>40139</v>
      </c>
      <c r="F149" s="20" t="n">
        <v>46198</v>
      </c>
      <c r="G149" s="20" t="n">
        <v>42239</v>
      </c>
      <c r="H149" s="20" t="n">
        <v>48233</v>
      </c>
      <c r="I149" s="20" t="n">
        <v>26584</v>
      </c>
      <c r="J149" s="20" t="n">
        <v>32909</v>
      </c>
      <c r="K149" s="20" t="n">
        <v>51241</v>
      </c>
      <c r="L149" s="20" t="n">
        <v>46996</v>
      </c>
      <c r="M149" s="20" t="n">
        <v>30640</v>
      </c>
      <c r="N149" s="20" t="n">
        <v>36502</v>
      </c>
      <c r="V149" s="20" t="n">
        <v>44857</v>
      </c>
      <c r="W149" s="20" t="n">
        <v>48233</v>
      </c>
      <c r="X149" s="20" t="n">
        <v>46996</v>
      </c>
    </row>
    <row r="150">
      <c r="A150" s="18" t="inlineStr">
        <is>
          <t>보고부문 합계 · Sales To External Customers</t>
        </is>
      </c>
      <c r="C150" s="20" t="n">
        <v>1243935</v>
      </c>
      <c r="D150" s="20" t="n">
        <v>1475508</v>
      </c>
      <c r="E150" s="20" t="n">
        <v>1286484</v>
      </c>
      <c r="F150" s="20" t="n">
        <v>1357113</v>
      </c>
      <c r="G150" s="20" t="n">
        <v>1356754</v>
      </c>
      <c r="H150" s="20" t="n">
        <v>1521360</v>
      </c>
      <c r="I150" s="20" t="n">
        <v>1312896</v>
      </c>
      <c r="J150" s="20" t="n">
        <v>1419608</v>
      </c>
      <c r="K150" s="20" t="n">
        <v>1423506</v>
      </c>
      <c r="L150" s="20" t="n">
        <v>1738737</v>
      </c>
      <c r="M150" s="20" t="n">
        <v>1497109</v>
      </c>
      <c r="N150" s="20" t="n">
        <v>1628038</v>
      </c>
      <c r="V150" s="20" t="n">
        <v>1475508</v>
      </c>
      <c r="W150" s="20" t="n">
        <v>1521360</v>
      </c>
      <c r="X150" s="20" t="n">
        <v>1738737</v>
      </c>
    </row>
    <row r="151">
      <c r="A151" s="18" t="inlineStr">
        <is>
          <t>조정액 · Sales To External Customers</t>
        </is>
      </c>
      <c r="C151" s="20" t="n">
        <v>0</v>
      </c>
      <c r="D151" s="20" t="n">
        <v>0</v>
      </c>
      <c r="E151" s="20" t="n">
        <v>0</v>
      </c>
      <c r="F151" s="20" t="n">
        <v>0</v>
      </c>
      <c r="G151" s="20" t="n">
        <v>0</v>
      </c>
      <c r="H151" s="20" t="n">
        <v>0</v>
      </c>
      <c r="I151" s="20" t="n">
        <v>0</v>
      </c>
      <c r="J151" s="20" t="n">
        <v>0</v>
      </c>
      <c r="K151" s="20" t="n">
        <v>0</v>
      </c>
      <c r="L151" s="20" t="n">
        <v>0</v>
      </c>
      <c r="M151" s="20" t="n">
        <v>0</v>
      </c>
      <c r="N151" s="20" t="n">
        <v>0</v>
      </c>
      <c r="V151" s="20" t="n">
        <v>0</v>
      </c>
      <c r="W151" s="20" t="n">
        <v>0</v>
      </c>
      <c r="X151" s="20" t="n">
        <v>0</v>
      </c>
    </row>
    <row r="152">
      <c r="A152" s="18" t="inlineStr">
        <is>
          <t>Sales To External Customers</t>
        </is>
      </c>
      <c r="C152" s="20" t="n">
        <v>1243935</v>
      </c>
      <c r="D152" s="20" t="n">
        <v>1475508</v>
      </c>
      <c r="E152" s="20" t="n">
        <v>1286484</v>
      </c>
      <c r="F152" s="20" t="n">
        <v>1357113</v>
      </c>
      <c r="G152" s="20" t="n">
        <v>1356754</v>
      </c>
      <c r="H152" s="20" t="n">
        <v>1521360</v>
      </c>
      <c r="I152" s="20" t="n">
        <v>1312896</v>
      </c>
      <c r="J152" s="20" t="n">
        <v>1419608</v>
      </c>
      <c r="K152" s="20" t="n">
        <v>1423506</v>
      </c>
      <c r="L152" s="20" t="n">
        <v>1738737</v>
      </c>
      <c r="M152" s="20" t="n">
        <v>1497109</v>
      </c>
      <c r="N152" s="20" t="n">
        <v>1628038</v>
      </c>
      <c r="V152" s="20" t="n">
        <v>1475508</v>
      </c>
      <c r="W152" s="20" t="n">
        <v>1521360</v>
      </c>
      <c r="X152" s="20" t="n">
        <v>1738737</v>
      </c>
    </row>
    <row r="153">
      <c r="A153" s="18" t="inlineStr">
        <is>
          <t>부문 · 부문 간 내부매출·대체</t>
        </is>
      </c>
      <c r="C153" s="20" t="n">
        <v>2834</v>
      </c>
      <c r="D153" s="20" t="n">
        <v>3480</v>
      </c>
      <c r="E153" s="20" t="n">
        <v>2968</v>
      </c>
      <c r="F153" s="20" t="n">
        <v>3377</v>
      </c>
      <c r="G153" s="20" t="n">
        <v>2791</v>
      </c>
      <c r="H153" s="20" t="n">
        <v>4278</v>
      </c>
      <c r="I153" s="20" t="n">
        <v>2704</v>
      </c>
      <c r="J153" s="20" t="n">
        <v>2701</v>
      </c>
      <c r="K153" s="20" t="n">
        <v>3178</v>
      </c>
      <c r="L153" s="20" t="n">
        <v>3394</v>
      </c>
      <c r="M153" s="20" t="n">
        <v>3026</v>
      </c>
      <c r="N153" s="20" t="n">
        <v>2558</v>
      </c>
      <c r="V153" s="20" t="n">
        <v>3480</v>
      </c>
      <c r="W153" s="20" t="n">
        <v>4278</v>
      </c>
      <c r="X153" s="20" t="n">
        <v>3394</v>
      </c>
    </row>
    <row r="154">
      <c r="A154" s="18" t="inlineStr">
        <is>
          <t>부문 · 부문 간 내부매출·대체</t>
        </is>
      </c>
      <c r="C154" s="20" t="n">
        <v>3706</v>
      </c>
      <c r="D154" s="20" t="n">
        <v>3387</v>
      </c>
      <c r="E154" s="20" t="n">
        <v>4530</v>
      </c>
      <c r="F154" s="20" t="n">
        <v>4386</v>
      </c>
      <c r="G154" s="20" t="n">
        <v>4268</v>
      </c>
      <c r="H154" s="20" t="n">
        <v>5363</v>
      </c>
      <c r="I154" s="20" t="n">
        <v>4471</v>
      </c>
      <c r="J154" s="20" t="n">
        <v>5232</v>
      </c>
      <c r="K154" s="20" t="n">
        <v>4771</v>
      </c>
      <c r="L154" s="20" t="n">
        <v>4542</v>
      </c>
      <c r="M154" s="20" t="n">
        <v>4661</v>
      </c>
      <c r="N154" s="20" t="n">
        <v>4852</v>
      </c>
      <c r="V154" s="20" t="n">
        <v>3387</v>
      </c>
      <c r="W154" s="20" t="n">
        <v>5363</v>
      </c>
      <c r="X154" s="20" t="n">
        <v>4542</v>
      </c>
    </row>
    <row r="155">
      <c r="A155" s="18" t="inlineStr">
        <is>
          <t>부문 · 부문 간 내부매출·대체</t>
        </is>
      </c>
      <c r="C155" s="20" t="n">
        <v>4458</v>
      </c>
      <c r="D155" s="20" t="n">
        <v>4520</v>
      </c>
      <c r="E155" s="20" t="n">
        <v>3623</v>
      </c>
      <c r="F155" s="20" t="n">
        <v>4811</v>
      </c>
      <c r="G155" s="20" t="n">
        <v>5482</v>
      </c>
      <c r="H155" s="20" t="n">
        <v>8502</v>
      </c>
      <c r="I155" s="20" t="n">
        <v>8907</v>
      </c>
      <c r="J155" s="20" t="n">
        <v>7726</v>
      </c>
      <c r="K155" s="20" t="n">
        <v>8397</v>
      </c>
      <c r="L155" s="20" t="n">
        <v>6673</v>
      </c>
      <c r="M155" s="20" t="n">
        <v>6187</v>
      </c>
      <c r="N155" s="20" t="n">
        <v>11338</v>
      </c>
      <c r="V155" s="20" t="n">
        <v>4520</v>
      </c>
      <c r="W155" s="20" t="n">
        <v>8502</v>
      </c>
      <c r="X155" s="20" t="n">
        <v>6673</v>
      </c>
    </row>
    <row r="156">
      <c r="A156" s="18" t="inlineStr">
        <is>
          <t>부문 · 부문 간 내부매출·대체</t>
        </is>
      </c>
      <c r="C156" s="20" t="n">
        <v>13144</v>
      </c>
      <c r="D156" s="20" t="n">
        <v>18282</v>
      </c>
      <c r="E156" s="20" t="n">
        <v>12995</v>
      </c>
      <c r="F156" s="20" t="n">
        <v>16957</v>
      </c>
      <c r="G156" s="20" t="n">
        <v>13524</v>
      </c>
      <c r="H156" s="20" t="n">
        <v>18877</v>
      </c>
      <c r="V156" s="20" t="n">
        <v>18282</v>
      </c>
      <c r="W156" s="20" t="n">
        <v>18877</v>
      </c>
    </row>
    <row r="157">
      <c r="A157" s="18" t="inlineStr">
        <is>
          <t>부문 · 부문 간 내부매출·대체</t>
        </is>
      </c>
      <c r="E157" s="20" t="n">
        <v>12995</v>
      </c>
      <c r="F157" s="20" t="n">
        <v>16957</v>
      </c>
      <c r="G157" s="20" t="n">
        <v>13524</v>
      </c>
      <c r="H157" s="20" t="n">
        <v>18877</v>
      </c>
      <c r="I157" s="20" t="n">
        <v>13887</v>
      </c>
      <c r="J157" s="20" t="n">
        <v>19560</v>
      </c>
      <c r="K157" s="20" t="n">
        <v>15812</v>
      </c>
      <c r="L157" s="20" t="n">
        <v>23504</v>
      </c>
      <c r="M157" s="20" t="n">
        <v>13839</v>
      </c>
      <c r="N157" s="20" t="n">
        <v>19931</v>
      </c>
      <c r="W157" s="20" t="n">
        <v>18877</v>
      </c>
      <c r="X157" s="20" t="n">
        <v>23504</v>
      </c>
    </row>
    <row r="158">
      <c r="A158" s="18" t="inlineStr">
        <is>
          <t>부문 · 부문 간 내부매출·대체</t>
        </is>
      </c>
      <c r="C158" s="20" t="n">
        <v>7417</v>
      </c>
      <c r="D158" s="20" t="n">
        <v>8230</v>
      </c>
      <c r="E158" s="20" t="n">
        <v>6328</v>
      </c>
      <c r="F158" s="20" t="n">
        <v>7486</v>
      </c>
      <c r="G158" s="20" t="n">
        <v>5603</v>
      </c>
      <c r="H158" s="20" t="n">
        <v>7087</v>
      </c>
      <c r="I158" s="20" t="n">
        <v>6022</v>
      </c>
      <c r="J158" s="20" t="n">
        <v>7310</v>
      </c>
      <c r="K158" s="20" t="n">
        <v>6450</v>
      </c>
      <c r="L158" s="20" t="n">
        <v>8439</v>
      </c>
      <c r="M158" s="20" t="n">
        <v>5599</v>
      </c>
      <c r="N158" s="20" t="n">
        <v>7300</v>
      </c>
      <c r="V158" s="20" t="n">
        <v>8230</v>
      </c>
      <c r="W158" s="20" t="n">
        <v>7087</v>
      </c>
      <c r="X158" s="20" t="n">
        <v>8439</v>
      </c>
    </row>
    <row r="159">
      <c r="A159" s="18" t="inlineStr">
        <is>
          <t>OtherReportableSegmentsMember · 부문 간 내부매출·대체</t>
        </is>
      </c>
      <c r="C159" s="20" t="n">
        <v>166865</v>
      </c>
      <c r="D159" s="20" t="n">
        <v>183043</v>
      </c>
      <c r="E159" s="20" t="n">
        <v>162585</v>
      </c>
      <c r="F159" s="20" t="n">
        <v>184750</v>
      </c>
      <c r="G159" s="20" t="n">
        <v>158377</v>
      </c>
      <c r="H159" s="20" t="n">
        <v>169605</v>
      </c>
      <c r="I159" s="20" t="n">
        <v>140799</v>
      </c>
      <c r="J159" s="20" t="n">
        <v>161144</v>
      </c>
      <c r="K159" s="20" t="n">
        <v>171146</v>
      </c>
      <c r="L159" s="20" t="n">
        <v>192742</v>
      </c>
      <c r="M159" s="20" t="n">
        <v>163397</v>
      </c>
      <c r="N159" s="20" t="n">
        <v>186494</v>
      </c>
      <c r="V159" s="20" t="n">
        <v>183043</v>
      </c>
      <c r="W159" s="20" t="n">
        <v>169605</v>
      </c>
      <c r="X159" s="20" t="n">
        <v>192742</v>
      </c>
    </row>
    <row r="160">
      <c r="A160" s="18" t="inlineStr">
        <is>
          <t>보고부문 합계 · 부문 간 내부매출·대체</t>
        </is>
      </c>
      <c r="C160" s="20" t="n">
        <v>198424</v>
      </c>
      <c r="D160" s="20" t="n">
        <v>220942</v>
      </c>
      <c r="E160" s="20" t="n">
        <v>193029</v>
      </c>
      <c r="F160" s="20" t="n">
        <v>221767</v>
      </c>
      <c r="G160" s="20" t="n">
        <v>190045</v>
      </c>
      <c r="H160" s="20" t="n">
        <v>213712</v>
      </c>
      <c r="I160" s="20" t="n">
        <v>176790</v>
      </c>
      <c r="J160" s="20" t="n">
        <v>203673</v>
      </c>
      <c r="K160" s="20" t="n">
        <v>209754</v>
      </c>
      <c r="L160" s="20" t="n">
        <v>239294</v>
      </c>
      <c r="M160" s="20" t="n">
        <v>196709</v>
      </c>
      <c r="N160" s="20" t="n">
        <v>232473</v>
      </c>
      <c r="V160" s="20" t="n">
        <v>220942</v>
      </c>
      <c r="W160" s="20" t="n">
        <v>213712</v>
      </c>
      <c r="X160" s="20" t="n">
        <v>239294</v>
      </c>
    </row>
    <row r="161">
      <c r="A161" s="18" t="inlineStr">
        <is>
          <t>조정액 · 부문 간 내부매출·대체</t>
        </is>
      </c>
      <c r="C161" s="20" t="n">
        <v>-198424</v>
      </c>
      <c r="D161" s="20" t="n">
        <v>-220942</v>
      </c>
      <c r="E161" s="20" t="n">
        <v>-193029</v>
      </c>
      <c r="F161" s="20" t="n">
        <v>-221767</v>
      </c>
      <c r="G161" s="20" t="n">
        <v>-190045</v>
      </c>
      <c r="H161" s="20" t="n">
        <v>-213712</v>
      </c>
      <c r="I161" s="20" t="n">
        <v>-176790</v>
      </c>
      <c r="J161" s="20" t="n">
        <v>-203673</v>
      </c>
      <c r="K161" s="20" t="n">
        <v>-209754</v>
      </c>
      <c r="L161" s="20" t="n">
        <v>-239294</v>
      </c>
      <c r="M161" s="20" t="n">
        <v>-196709</v>
      </c>
      <c r="N161" s="20" t="n">
        <v>-232473</v>
      </c>
      <c r="V161" s="20" t="n">
        <v>-220942</v>
      </c>
      <c r="W161" s="20" t="n">
        <v>-213712</v>
      </c>
      <c r="X161" s="20" t="n">
        <v>-239294</v>
      </c>
    </row>
    <row r="162">
      <c r="A162" s="18" t="inlineStr">
        <is>
          <t>부문 간 내부매출·대체</t>
        </is>
      </c>
      <c r="C162" s="20" t="n">
        <v>0</v>
      </c>
      <c r="D162" s="20" t="n">
        <v>0</v>
      </c>
      <c r="E162" s="20" t="n">
        <v>0</v>
      </c>
      <c r="F162" s="20" t="n">
        <v>0</v>
      </c>
      <c r="G162" s="20" t="n">
        <v>0</v>
      </c>
      <c r="H162" s="20" t="n">
        <v>0</v>
      </c>
      <c r="I162" s="20" t="n">
        <v>0</v>
      </c>
      <c r="J162" s="20" t="n">
        <v>0</v>
      </c>
      <c r="K162" s="20" t="n">
        <v>0</v>
      </c>
      <c r="L162" s="20" t="n">
        <v>0</v>
      </c>
      <c r="M162" s="20" t="n">
        <v>0</v>
      </c>
      <c r="N162" s="20" t="n">
        <v>0</v>
      </c>
      <c r="V162" s="20" t="n">
        <v>0</v>
      </c>
      <c r="W162" s="20" t="n">
        <v>0</v>
      </c>
      <c r="X162" s="20" t="n">
        <v>0</v>
      </c>
    </row>
    <row r="163">
      <c r="A163" s="18" t="inlineStr">
        <is>
          <t>부문 · 계</t>
        </is>
      </c>
      <c r="C163" s="20" t="n">
        <v>233503</v>
      </c>
      <c r="D163" s="20" t="n">
        <v>376820</v>
      </c>
      <c r="E163" s="20" t="n">
        <v>217372</v>
      </c>
      <c r="F163" s="20" t="n">
        <v>281417</v>
      </c>
      <c r="G163" s="20" t="n">
        <v>299395</v>
      </c>
      <c r="H163" s="20" t="n">
        <v>426764</v>
      </c>
      <c r="I163" s="20" t="n">
        <v>265895</v>
      </c>
      <c r="J163" s="20" t="n">
        <v>316443</v>
      </c>
      <c r="K163" s="20" t="n">
        <v>352699</v>
      </c>
      <c r="L163" s="20" t="n">
        <v>528363</v>
      </c>
      <c r="M163" s="20" t="n">
        <v>298575</v>
      </c>
      <c r="N163" s="20" t="n">
        <v>379735</v>
      </c>
      <c r="V163" s="20" t="n">
        <v>376820</v>
      </c>
      <c r="W163" s="20" t="n">
        <v>426764</v>
      </c>
      <c r="X163" s="20" t="n">
        <v>528363</v>
      </c>
    </row>
    <row r="164">
      <c r="A164" s="43" t="inlineStr">
        <is>
          <t>YoY</t>
        </is>
      </c>
      <c r="B164" s="3" t="inlineStr">
        <is>
          <t>전년 같은 분기·전년 대비</t>
        </is>
      </c>
      <c r="G164" s="15">
        <f>IF(OR(G163="",C163=""),"",IF(C163&lt;=0,"",IFERROR(G163/C163-1,"")))</f>
        <v/>
      </c>
      <c r="H164" s="15">
        <f>IF(OR(H163="",D163=""),"",IF(D163&lt;=0,"",IFERROR(H163/D163-1,"")))</f>
        <v/>
      </c>
      <c r="I164" s="15">
        <f>IF(OR(I163="",E163=""),"",IF(E163&lt;=0,"",IFERROR(I163/E163-1,"")))</f>
        <v/>
      </c>
      <c r="J164" s="15">
        <f>IF(OR(J163="",F163=""),"",IF(F163&lt;=0,"",IFERROR(J163/F163-1,"")))</f>
        <v/>
      </c>
      <c r="K164" s="15">
        <f>IF(OR(K163="",G163=""),"",IF(G163&lt;=0,"",IFERROR(K163/G163-1,"")))</f>
        <v/>
      </c>
      <c r="L164" s="15">
        <f>IF(OR(L163="",H163=""),"",IF(H163&lt;=0,"",IFERROR(L163/H163-1,"")))</f>
        <v/>
      </c>
      <c r="M164" s="15">
        <f>IF(OR(M163="",I163=""),"",IF(I163&lt;=0,"",IFERROR(M163/I163-1,"")))</f>
        <v/>
      </c>
      <c r="N164" s="15">
        <f>IF(OR(N163="",J163=""),"",IF(J163&lt;=0,"",IFERROR(N163/J163-1,"")))</f>
        <v/>
      </c>
      <c r="V164" s="15">
        <f>IF(OR(V163="",U163=""),"",IF(U163&lt;=0,"",IFERROR(V163/U163-1,"")))</f>
        <v/>
      </c>
      <c r="W164" s="15">
        <f>IF(OR(W163="",V163=""),"",IF(V163&lt;=0,"",IFERROR(W163/V163-1,"")))</f>
        <v/>
      </c>
      <c r="X164" s="15">
        <f>IF(OR(X163="",W163=""),"",IF(W163&lt;=0,"",IFERROR(X163/W163-1,"")))</f>
        <v/>
      </c>
    </row>
    <row r="165">
      <c r="A165" s="18" t="inlineStr">
        <is>
          <t>부문 · 계</t>
        </is>
      </c>
      <c r="C165" s="20" t="n">
        <v>429098</v>
      </c>
      <c r="D165" s="20" t="n">
        <v>437708</v>
      </c>
      <c r="E165" s="20" t="n">
        <v>400449</v>
      </c>
      <c r="F165" s="20" t="n">
        <v>411535</v>
      </c>
      <c r="G165" s="20" t="n">
        <v>407004</v>
      </c>
      <c r="H165" s="20" t="n">
        <v>425818</v>
      </c>
      <c r="I165" s="20" t="n">
        <v>383614</v>
      </c>
      <c r="J165" s="20" t="n">
        <v>417279</v>
      </c>
      <c r="K165" s="20" t="n">
        <v>415672</v>
      </c>
      <c r="L165" s="20" t="n">
        <v>457306</v>
      </c>
      <c r="M165" s="20" t="n">
        <v>450940</v>
      </c>
      <c r="N165" s="20" t="n">
        <v>466841</v>
      </c>
      <c r="V165" s="20" t="n">
        <v>437708</v>
      </c>
      <c r="W165" s="20" t="n">
        <v>425818</v>
      </c>
      <c r="X165" s="20" t="n">
        <v>457306</v>
      </c>
    </row>
    <row r="166">
      <c r="A166" s="43" t="inlineStr">
        <is>
          <t>YoY</t>
        </is>
      </c>
      <c r="B166" s="3" t="inlineStr">
        <is>
          <t>전년 같은 분기·전년 대비</t>
        </is>
      </c>
      <c r="G166" s="15">
        <f>IF(OR(G165="",C165=""),"",IF(C165&lt;=0,"",IFERROR(G165/C165-1,"")))</f>
        <v/>
      </c>
      <c r="H166" s="15">
        <f>IF(OR(H165="",D165=""),"",IF(D165&lt;=0,"",IFERROR(H165/D165-1,"")))</f>
        <v/>
      </c>
      <c r="I166" s="15">
        <f>IF(OR(I165="",E165=""),"",IF(E165&lt;=0,"",IFERROR(I165/E165-1,"")))</f>
        <v/>
      </c>
      <c r="J166" s="15">
        <f>IF(OR(J165="",F165=""),"",IF(F165&lt;=0,"",IFERROR(J165/F165-1,"")))</f>
        <v/>
      </c>
      <c r="K166" s="15">
        <f>IF(OR(K165="",G165=""),"",IF(G165&lt;=0,"",IFERROR(K165/G165-1,"")))</f>
        <v/>
      </c>
      <c r="L166" s="15">
        <f>IF(OR(L165="",H165=""),"",IF(H165&lt;=0,"",IFERROR(L165/H165-1,"")))</f>
        <v/>
      </c>
      <c r="M166" s="15">
        <f>IF(OR(M165="",I165=""),"",IF(I165&lt;=0,"",IFERROR(M165/I165-1,"")))</f>
        <v/>
      </c>
      <c r="N166" s="15">
        <f>IF(OR(N165="",J165=""),"",IF(J165&lt;=0,"",IFERROR(N165/J165-1,"")))</f>
        <v/>
      </c>
      <c r="V166" s="15">
        <f>IF(OR(V165="",U165=""),"",IF(U165&lt;=0,"",IFERROR(V165/U165-1,"")))</f>
        <v/>
      </c>
      <c r="W166" s="15">
        <f>IF(OR(W165="",V165=""),"",IF(V165&lt;=0,"",IFERROR(W165/V165-1,"")))</f>
        <v/>
      </c>
      <c r="X166" s="15">
        <f>IF(OR(X165="",W165=""),"",IF(W165&lt;=0,"",IFERROR(X165/W165-1,"")))</f>
        <v/>
      </c>
    </row>
    <row r="167">
      <c r="A167" s="18" t="inlineStr">
        <is>
          <t>부문 · 계</t>
        </is>
      </c>
      <c r="C167" s="20" t="n">
        <v>472290</v>
      </c>
      <c r="D167" s="20" t="n">
        <v>532806</v>
      </c>
      <c r="E167" s="20" t="n">
        <v>555270</v>
      </c>
      <c r="F167" s="20" t="n">
        <v>544088</v>
      </c>
      <c r="G167" s="20" t="n">
        <v>539619</v>
      </c>
      <c r="H167" s="20" t="n">
        <v>546191</v>
      </c>
      <c r="I167" s="20" t="n">
        <v>572725</v>
      </c>
      <c r="J167" s="20" t="n">
        <v>583025</v>
      </c>
      <c r="K167" s="20" t="n">
        <v>539574</v>
      </c>
      <c r="L167" s="20" t="n">
        <v>622933</v>
      </c>
      <c r="M167" s="20" t="n">
        <v>637218</v>
      </c>
      <c r="N167" s="20" t="n">
        <v>661700</v>
      </c>
      <c r="V167" s="20" t="n">
        <v>532806</v>
      </c>
      <c r="W167" s="20" t="n">
        <v>546191</v>
      </c>
      <c r="X167" s="20" t="n">
        <v>622933</v>
      </c>
    </row>
    <row r="168">
      <c r="A168" s="43" t="inlineStr">
        <is>
          <t>YoY</t>
        </is>
      </c>
      <c r="B168" s="3" t="inlineStr">
        <is>
          <t>전년 같은 분기·전년 대비</t>
        </is>
      </c>
      <c r="G168" s="15">
        <f>IF(OR(G167="",C167=""),"",IF(C167&lt;=0,"",IFERROR(G167/C167-1,"")))</f>
        <v/>
      </c>
      <c r="H168" s="15">
        <f>IF(OR(H167="",D167=""),"",IF(D167&lt;=0,"",IFERROR(H167/D167-1,"")))</f>
        <v/>
      </c>
      <c r="I168" s="15">
        <f>IF(OR(I167="",E167=""),"",IF(E167&lt;=0,"",IFERROR(I167/E167-1,"")))</f>
        <v/>
      </c>
      <c r="J168" s="15">
        <f>IF(OR(J167="",F167=""),"",IF(F167&lt;=0,"",IFERROR(J167/F167-1,"")))</f>
        <v/>
      </c>
      <c r="K168" s="15">
        <f>IF(OR(K167="",G167=""),"",IF(G167&lt;=0,"",IFERROR(K167/G167-1,"")))</f>
        <v/>
      </c>
      <c r="L168" s="15">
        <f>IF(OR(L167="",H167=""),"",IF(H167&lt;=0,"",IFERROR(L167/H167-1,"")))</f>
        <v/>
      </c>
      <c r="M168" s="15">
        <f>IF(OR(M167="",I167=""),"",IF(I167&lt;=0,"",IFERROR(M167/I167-1,"")))</f>
        <v/>
      </c>
      <c r="N168" s="15">
        <f>IF(OR(N167="",J167=""),"",IF(J167&lt;=0,"",IFERROR(N167/J167-1,"")))</f>
        <v/>
      </c>
      <c r="V168" s="15">
        <f>IF(OR(V167="",U167=""),"",IF(U167&lt;=0,"",IFERROR(V167/U167-1,"")))</f>
        <v/>
      </c>
      <c r="W168" s="15">
        <f>IF(OR(W167="",V167=""),"",IF(V167&lt;=0,"",IFERROR(W167/V167-1,"")))</f>
        <v/>
      </c>
      <c r="X168" s="15">
        <f>IF(OR(X167="",W167=""),"",IF(W167&lt;=0,"",IFERROR(X167/W167-1,"")))</f>
        <v/>
      </c>
    </row>
    <row r="169">
      <c r="A169" s="18" t="inlineStr">
        <is>
          <t>부문 · 계</t>
        </is>
      </c>
      <c r="C169" s="20" t="n">
        <v>30556</v>
      </c>
      <c r="D169" s="20" t="n">
        <v>45691</v>
      </c>
      <c r="E169" s="20" t="n">
        <v>29134</v>
      </c>
      <c r="F169" s="20" t="n">
        <v>39246</v>
      </c>
      <c r="G169" s="20" t="n">
        <v>32278</v>
      </c>
      <c r="H169" s="20" t="n">
        <v>46192</v>
      </c>
      <c r="V169" s="20" t="n">
        <v>45691</v>
      </c>
      <c r="W169" s="20" t="n">
        <v>46192</v>
      </c>
    </row>
    <row r="170">
      <c r="A170" s="43" t="inlineStr">
        <is>
          <t>YoY</t>
        </is>
      </c>
      <c r="B170" s="3" t="inlineStr">
        <is>
          <t>전년 같은 분기·전년 대비</t>
        </is>
      </c>
      <c r="G170" s="15">
        <f>IF(OR(G169="",C169=""),"",IF(C169&lt;=0,"",IFERROR(G169/C169-1,"")))</f>
        <v/>
      </c>
      <c r="H170" s="15">
        <f>IF(OR(H169="",D169=""),"",IF(D169&lt;=0,"",IFERROR(H169/D169-1,"")))</f>
        <v/>
      </c>
      <c r="V170" s="15">
        <f>IF(OR(V169="",U169=""),"",IF(U169&lt;=0,"",IFERROR(V169/U169-1,"")))</f>
        <v/>
      </c>
      <c r="W170" s="15">
        <f>IF(OR(W169="",V169=""),"",IF(V169&lt;=0,"",IFERROR(W169/V169-1,"")))</f>
        <v/>
      </c>
    </row>
    <row r="171">
      <c r="A171" s="18" t="inlineStr">
        <is>
          <t>부문 · 계</t>
        </is>
      </c>
      <c r="E171" s="20" t="n">
        <v>29134</v>
      </c>
      <c r="F171" s="20" t="n">
        <v>39246</v>
      </c>
      <c r="G171" s="20" t="n">
        <v>32278</v>
      </c>
      <c r="H171" s="20" t="n">
        <v>46192</v>
      </c>
      <c r="I171" s="20" t="n">
        <v>31576</v>
      </c>
      <c r="J171" s="20" t="n">
        <v>40320</v>
      </c>
      <c r="K171" s="20" t="n">
        <v>35065</v>
      </c>
      <c r="L171" s="20" t="n">
        <v>51060</v>
      </c>
      <c r="M171" s="20" t="n">
        <v>34152</v>
      </c>
      <c r="N171" s="20" t="n">
        <v>47898</v>
      </c>
      <c r="W171" s="20" t="n">
        <v>46192</v>
      </c>
      <c r="X171" s="20" t="n">
        <v>51060</v>
      </c>
    </row>
    <row r="172">
      <c r="A172" s="43" t="inlineStr">
        <is>
          <t>YoY</t>
        </is>
      </c>
      <c r="B172" s="3" t="inlineStr">
        <is>
          <t>전년 같은 분기·전년 대비</t>
        </is>
      </c>
      <c r="G172" s="15">
        <f>IF(OR(G171="",C171=""),"",IF(C171&lt;=0,"",IFERROR(G171/C171-1,"")))</f>
        <v/>
      </c>
      <c r="H172" s="15">
        <f>IF(OR(H171="",D171=""),"",IF(D171&lt;=0,"",IFERROR(H171/D171-1,"")))</f>
        <v/>
      </c>
      <c r="I172" s="15">
        <f>IF(OR(I171="",E171=""),"",IF(E171&lt;=0,"",IFERROR(I171/E171-1,"")))</f>
        <v/>
      </c>
      <c r="J172" s="15">
        <f>IF(OR(J171="",F171=""),"",IF(F171&lt;=0,"",IFERROR(J171/F171-1,"")))</f>
        <v/>
      </c>
      <c r="K172" s="15">
        <f>IF(OR(K171="",G171=""),"",IF(G171&lt;=0,"",IFERROR(K171/G171-1,"")))</f>
        <v/>
      </c>
      <c r="L172" s="15">
        <f>IF(OR(L171="",H171=""),"",IF(H171&lt;=0,"",IFERROR(L171/H171-1,"")))</f>
        <v/>
      </c>
      <c r="M172" s="15">
        <f>IF(OR(M171="",I171=""),"",IF(I171&lt;=0,"",IFERROR(M171/I171-1,"")))</f>
        <v/>
      </c>
      <c r="N172" s="15">
        <f>IF(OR(N171="",J171=""),"",IF(J171&lt;=0,"",IFERROR(N171/J171-1,"")))</f>
        <v/>
      </c>
      <c r="W172" s="15">
        <f>IF(OR(W171="",V171=""),"",IF(V171&lt;=0,"",IFERROR(W171/V171-1,"")))</f>
        <v/>
      </c>
      <c r="X172" s="15">
        <f>IF(OR(X171="",W171=""),"",IF(W171&lt;=0,"",IFERROR(X171/W171-1,"")))</f>
        <v/>
      </c>
    </row>
    <row r="173">
      <c r="A173" s="18" t="inlineStr">
        <is>
          <t>부문 · 계</t>
        </is>
      </c>
      <c r="C173" s="20" t="n">
        <v>69878</v>
      </c>
      <c r="D173" s="20" t="n">
        <v>75525</v>
      </c>
      <c r="E173" s="20" t="n">
        <v>74564</v>
      </c>
      <c r="F173" s="20" t="n">
        <v>71646</v>
      </c>
      <c r="G173" s="20" t="n">
        <v>67887</v>
      </c>
      <c r="H173" s="20" t="n">
        <v>72269</v>
      </c>
      <c r="I173" s="20" t="n">
        <v>68493</v>
      </c>
      <c r="J173" s="20" t="n">
        <v>72161</v>
      </c>
      <c r="K173" s="20" t="n">
        <v>67863</v>
      </c>
      <c r="L173" s="20" t="n">
        <v>78631</v>
      </c>
      <c r="M173" s="20" t="n">
        <v>78896</v>
      </c>
      <c r="N173" s="20" t="n">
        <v>81341</v>
      </c>
      <c r="V173" s="20" t="n">
        <v>75525</v>
      </c>
      <c r="W173" s="20" t="n">
        <v>72269</v>
      </c>
      <c r="X173" s="20" t="n">
        <v>78631</v>
      </c>
    </row>
    <row r="174">
      <c r="A174" s="43" t="inlineStr">
        <is>
          <t>YoY</t>
        </is>
      </c>
      <c r="B174" s="3" t="inlineStr">
        <is>
          <t>전년 같은 분기·전년 대비</t>
        </is>
      </c>
      <c r="G174" s="15">
        <f>IF(OR(G173="",C173=""),"",IF(C173&lt;=0,"",IFERROR(G173/C173-1,"")))</f>
        <v/>
      </c>
      <c r="H174" s="15">
        <f>IF(OR(H173="",D173=""),"",IF(D173&lt;=0,"",IFERROR(H173/D173-1,"")))</f>
        <v/>
      </c>
      <c r="I174" s="15">
        <f>IF(OR(I173="",E173=""),"",IF(E173&lt;=0,"",IFERROR(I173/E173-1,"")))</f>
        <v/>
      </c>
      <c r="J174" s="15">
        <f>IF(OR(J173="",F173=""),"",IF(F173&lt;=0,"",IFERROR(J173/F173-1,"")))</f>
        <v/>
      </c>
      <c r="K174" s="15">
        <f>IF(OR(K173="",G173=""),"",IF(G173&lt;=0,"",IFERROR(K173/G173-1,"")))</f>
        <v/>
      </c>
      <c r="L174" s="15">
        <f>IF(OR(L173="",H173=""),"",IF(H173&lt;=0,"",IFERROR(L173/H173-1,"")))</f>
        <v/>
      </c>
      <c r="M174" s="15">
        <f>IF(OR(M173="",I173=""),"",IF(I173&lt;=0,"",IFERROR(M173/I173-1,"")))</f>
        <v/>
      </c>
      <c r="N174" s="15">
        <f>IF(OR(N173="",J173=""),"",IF(J173&lt;=0,"",IFERROR(N173/J173-1,"")))</f>
        <v/>
      </c>
      <c r="V174" s="15">
        <f>IF(OR(V173="",U173=""),"",IF(U173&lt;=0,"",IFERROR(V173/U173-1,"")))</f>
        <v/>
      </c>
      <c r="W174" s="15">
        <f>IF(OR(W173="",V173=""),"",IF(V173&lt;=0,"",IFERROR(W173/V173-1,"")))</f>
        <v/>
      </c>
      <c r="X174" s="15">
        <f>IF(OR(X173="",W173=""),"",IF(W173&lt;=0,"",IFERROR(X173/W173-1,"")))</f>
        <v/>
      </c>
    </row>
    <row r="175">
      <c r="A175" s="18" t="inlineStr">
        <is>
          <t>OtherReportableSegmentsMember · 계</t>
        </is>
      </c>
      <c r="C175" s="20" t="n">
        <v>207034</v>
      </c>
      <c r="D175" s="20" t="n">
        <v>227900</v>
      </c>
      <c r="E175" s="20" t="n">
        <v>202724</v>
      </c>
      <c r="F175" s="20" t="n">
        <v>230948</v>
      </c>
      <c r="G175" s="20" t="n">
        <v>200616</v>
      </c>
      <c r="H175" s="20" t="n">
        <v>217838</v>
      </c>
      <c r="I175" s="20" t="n">
        <v>167383</v>
      </c>
      <c r="J175" s="20" t="n">
        <v>194053</v>
      </c>
      <c r="K175" s="20" t="n">
        <v>222387</v>
      </c>
      <c r="L175" s="20" t="n">
        <v>239738</v>
      </c>
      <c r="M175" s="20" t="n">
        <v>194037</v>
      </c>
      <c r="N175" s="20" t="n">
        <v>222996</v>
      </c>
      <c r="V175" s="20" t="n">
        <v>227900</v>
      </c>
      <c r="W175" s="20" t="n">
        <v>217838</v>
      </c>
      <c r="X175" s="20" t="n">
        <v>239738</v>
      </c>
    </row>
    <row r="176">
      <c r="A176" s="43" t="inlineStr">
        <is>
          <t>YoY</t>
        </is>
      </c>
      <c r="B176" s="3" t="inlineStr">
        <is>
          <t>전년 같은 분기·전년 대비</t>
        </is>
      </c>
      <c r="G176" s="15">
        <f>IF(OR(G175="",C175=""),"",IF(C175&lt;=0,"",IFERROR(G175/C175-1,"")))</f>
        <v/>
      </c>
      <c r="H176" s="15">
        <f>IF(OR(H175="",D175=""),"",IF(D175&lt;=0,"",IFERROR(H175/D175-1,"")))</f>
        <v/>
      </c>
      <c r="I176" s="15">
        <f>IF(OR(I175="",E175=""),"",IF(E175&lt;=0,"",IFERROR(I175/E175-1,"")))</f>
        <v/>
      </c>
      <c r="J176" s="15">
        <f>IF(OR(J175="",F175=""),"",IF(F175&lt;=0,"",IFERROR(J175/F175-1,"")))</f>
        <v/>
      </c>
      <c r="K176" s="15">
        <f>IF(OR(K175="",G175=""),"",IF(G175&lt;=0,"",IFERROR(K175/G175-1,"")))</f>
        <v/>
      </c>
      <c r="L176" s="15">
        <f>IF(OR(L175="",H175=""),"",IF(H175&lt;=0,"",IFERROR(L175/H175-1,"")))</f>
        <v/>
      </c>
      <c r="M176" s="15">
        <f>IF(OR(M175="",I175=""),"",IF(I175&lt;=0,"",IFERROR(M175/I175-1,"")))</f>
        <v/>
      </c>
      <c r="N176" s="15">
        <f>IF(OR(N175="",J175=""),"",IF(J175&lt;=0,"",IFERROR(N175/J175-1,"")))</f>
        <v/>
      </c>
      <c r="V176" s="15">
        <f>IF(OR(V175="",U175=""),"",IF(U175&lt;=0,"",IFERROR(V175/U175-1,"")))</f>
        <v/>
      </c>
      <c r="W176" s="15">
        <f>IF(OR(W175="",V175=""),"",IF(V175&lt;=0,"",IFERROR(W175/V175-1,"")))</f>
        <v/>
      </c>
      <c r="X176" s="15">
        <f>IF(OR(X175="",W175=""),"",IF(W175&lt;=0,"",IFERROR(X175/W175-1,"")))</f>
        <v/>
      </c>
    </row>
    <row r="177">
      <c r="A177" s="18" t="inlineStr">
        <is>
          <t>보고부문 합계 · 계</t>
        </is>
      </c>
      <c r="C177" s="20" t="n">
        <v>1442359</v>
      </c>
      <c r="D177" s="20" t="n">
        <v>1696450</v>
      </c>
      <c r="E177" s="20" t="n">
        <v>1479513</v>
      </c>
      <c r="F177" s="20" t="n">
        <v>1578880</v>
      </c>
      <c r="G177" s="20" t="n">
        <v>1546799</v>
      </c>
      <c r="H177" s="20" t="n">
        <v>1735072</v>
      </c>
      <c r="I177" s="20" t="n">
        <v>1489686</v>
      </c>
      <c r="J177" s="20" t="n">
        <v>1623281</v>
      </c>
      <c r="K177" s="20" t="n">
        <v>1633260</v>
      </c>
      <c r="L177" s="20" t="n">
        <v>1978031</v>
      </c>
      <c r="M177" s="20" t="n">
        <v>1693818</v>
      </c>
      <c r="N177" s="20" t="n">
        <v>1860511</v>
      </c>
      <c r="V177" s="20" t="n">
        <v>1696450</v>
      </c>
      <c r="W177" s="20" t="n">
        <v>1735072</v>
      </c>
      <c r="X177" s="20" t="n">
        <v>1978031</v>
      </c>
    </row>
    <row r="178">
      <c r="A178" s="43" t="inlineStr">
        <is>
          <t>YoY</t>
        </is>
      </c>
      <c r="B178" s="3" t="inlineStr">
        <is>
          <t>전년 같은 분기·전년 대비</t>
        </is>
      </c>
      <c r="G178" s="15">
        <f>IF(OR(G177="",C177=""),"",IF(C177&lt;=0,"",IFERROR(G177/C177-1,"")))</f>
        <v/>
      </c>
      <c r="H178" s="15">
        <f>IF(OR(H177="",D177=""),"",IF(D177&lt;=0,"",IFERROR(H177/D177-1,"")))</f>
        <v/>
      </c>
      <c r="I178" s="15">
        <f>IF(OR(I177="",E177=""),"",IF(E177&lt;=0,"",IFERROR(I177/E177-1,"")))</f>
        <v/>
      </c>
      <c r="J178" s="15">
        <f>IF(OR(J177="",F177=""),"",IF(F177&lt;=0,"",IFERROR(J177/F177-1,"")))</f>
        <v/>
      </c>
      <c r="K178" s="15">
        <f>IF(OR(K177="",G177=""),"",IF(G177&lt;=0,"",IFERROR(K177/G177-1,"")))</f>
        <v/>
      </c>
      <c r="L178" s="15">
        <f>IF(OR(L177="",H177=""),"",IF(H177&lt;=0,"",IFERROR(L177/H177-1,"")))</f>
        <v/>
      </c>
      <c r="M178" s="15">
        <f>IF(OR(M177="",I177=""),"",IF(I177&lt;=0,"",IFERROR(M177/I177-1,"")))</f>
        <v/>
      </c>
      <c r="N178" s="15">
        <f>IF(OR(N177="",J177=""),"",IF(J177&lt;=0,"",IFERROR(N177/J177-1,"")))</f>
        <v/>
      </c>
      <c r="V178" s="15">
        <f>IF(OR(V177="",U177=""),"",IF(U177&lt;=0,"",IFERROR(V177/U177-1,"")))</f>
        <v/>
      </c>
      <c r="W178" s="15">
        <f>IF(OR(W177="",V177=""),"",IF(V177&lt;=0,"",IFERROR(W177/V177-1,"")))</f>
        <v/>
      </c>
      <c r="X178" s="15">
        <f>IF(OR(X177="",W177=""),"",IF(W177&lt;=0,"",IFERROR(X177/W177-1,"")))</f>
        <v/>
      </c>
    </row>
    <row r="179">
      <c r="A179" s="18" t="inlineStr">
        <is>
          <t>조정액 · 계</t>
        </is>
      </c>
      <c r="C179" s="20" t="n">
        <v>-198424</v>
      </c>
      <c r="D179" s="20" t="n">
        <v>-220942</v>
      </c>
      <c r="E179" s="20" t="n">
        <v>-193029</v>
      </c>
      <c r="F179" s="20" t="n">
        <v>-221767</v>
      </c>
      <c r="G179" s="20" t="n">
        <v>-190045</v>
      </c>
      <c r="H179" s="20" t="n">
        <v>-213712</v>
      </c>
      <c r="I179" s="20" t="n">
        <v>-176790</v>
      </c>
      <c r="J179" s="20" t="n">
        <v>-203673</v>
      </c>
      <c r="K179" s="20" t="n">
        <v>-209754</v>
      </c>
      <c r="L179" s="20" t="n">
        <v>-239294</v>
      </c>
      <c r="M179" s="20" t="n">
        <v>-196709</v>
      </c>
      <c r="N179" s="20" t="n">
        <v>-232473</v>
      </c>
      <c r="V179" s="20" t="n">
        <v>-220942</v>
      </c>
      <c r="W179" s="20" t="n">
        <v>-213712</v>
      </c>
      <c r="X179" s="20" t="n">
        <v>-239294</v>
      </c>
    </row>
    <row r="180">
      <c r="A180" s="9" t="inlineStr">
        <is>
          <t>계</t>
        </is>
      </c>
      <c r="C180" s="12" t="n">
        <v>1243935</v>
      </c>
      <c r="D180" s="12" t="n">
        <v>1475508</v>
      </c>
      <c r="E180" s="12" t="n">
        <v>1286484</v>
      </c>
      <c r="F180" s="12" t="n">
        <v>1357113</v>
      </c>
      <c r="G180" s="12" t="n">
        <v>1356754</v>
      </c>
      <c r="H180" s="12" t="n">
        <v>1521360</v>
      </c>
      <c r="I180" s="12" t="n">
        <v>1312896</v>
      </c>
      <c r="J180" s="12" t="n">
        <v>1419608</v>
      </c>
      <c r="K180" s="12" t="n">
        <v>1423506</v>
      </c>
      <c r="L180" s="12" t="n">
        <v>1738737</v>
      </c>
      <c r="M180" s="12" t="n">
        <v>1497109</v>
      </c>
      <c r="N180" s="12" t="n">
        <v>1628038</v>
      </c>
      <c r="V180" s="12" t="n">
        <v>1475508</v>
      </c>
      <c r="W180" s="12" t="n">
        <v>1521360</v>
      </c>
      <c r="X180" s="12" t="n">
        <v>1738737</v>
      </c>
    </row>
    <row r="181">
      <c r="A181" s="43" t="inlineStr">
        <is>
          <t>YoY</t>
        </is>
      </c>
      <c r="B181" s="3" t="inlineStr">
        <is>
          <t>전년 같은 분기·전년 대비</t>
        </is>
      </c>
      <c r="G181" s="15">
        <f>IF(OR(G180="",C180=""),"",IF(C180&lt;=0,"",IFERROR(G180/C180-1,"")))</f>
        <v/>
      </c>
      <c r="H181" s="15">
        <f>IF(OR(H180="",D180=""),"",IF(D180&lt;=0,"",IFERROR(H180/D180-1,"")))</f>
        <v/>
      </c>
      <c r="I181" s="15">
        <f>IF(OR(I180="",E180=""),"",IF(E180&lt;=0,"",IFERROR(I180/E180-1,"")))</f>
        <v/>
      </c>
      <c r="J181" s="15">
        <f>IF(OR(J180="",F180=""),"",IF(F180&lt;=0,"",IFERROR(J180/F180-1,"")))</f>
        <v/>
      </c>
      <c r="K181" s="15">
        <f>IF(OR(K180="",G180=""),"",IF(G180&lt;=0,"",IFERROR(K180/G180-1,"")))</f>
        <v/>
      </c>
      <c r="L181" s="15">
        <f>IF(OR(L180="",H180=""),"",IF(H180&lt;=0,"",IFERROR(L180/H180-1,"")))</f>
        <v/>
      </c>
      <c r="M181" s="15">
        <f>IF(OR(M180="",I180=""),"",IF(I180&lt;=0,"",IFERROR(M180/I180-1,"")))</f>
        <v/>
      </c>
      <c r="N181" s="15">
        <f>IF(OR(N180="",J180=""),"",IF(J180&lt;=0,"",IFERROR(N180/J180-1,"")))</f>
        <v/>
      </c>
      <c r="V181" s="15">
        <f>IF(OR(V180="",U180=""),"",IF(U180&lt;=0,"",IFERROR(V180/U180-1,"")))</f>
        <v/>
      </c>
      <c r="W181" s="15">
        <f>IF(OR(W180="",V180=""),"",IF(V180&lt;=0,"",IFERROR(W180/V180-1,"")))</f>
        <v/>
      </c>
      <c r="X181" s="15">
        <f>IF(OR(X180="",W180=""),"",IF(W180&lt;=0,"",IFERROR(X180/W180-1,"")))</f>
        <v/>
      </c>
    </row>
    <row r="182">
      <c r="A182" s="18" t="inlineStr">
        <is>
          <t>부문 · 영업이익</t>
        </is>
      </c>
      <c r="C182" s="20" t="n">
        <v>9920</v>
      </c>
      <c r="D182" s="20" t="n">
        <v>29759</v>
      </c>
      <c r="E182" s="20" t="n">
        <v>3728</v>
      </c>
      <c r="F182" s="20" t="n">
        <v>13339</v>
      </c>
      <c r="G182" s="20" t="n">
        <v>30595</v>
      </c>
      <c r="H182" s="20" t="n">
        <v>41805</v>
      </c>
      <c r="I182" s="20" t="n">
        <v>18091</v>
      </c>
      <c r="J182" s="20" t="n">
        <v>20804</v>
      </c>
      <c r="K182" s="20" t="n">
        <v>40386</v>
      </c>
      <c r="L182" s="20" t="n">
        <v>75450</v>
      </c>
      <c r="V182" s="20" t="n">
        <v>29759</v>
      </c>
      <c r="W182" s="20" t="n">
        <v>41805</v>
      </c>
      <c r="X182" s="20" t="n">
        <v>75450</v>
      </c>
    </row>
    <row r="183">
      <c r="A183" s="43" t="inlineStr">
        <is>
          <t>OPM</t>
        </is>
      </c>
      <c r="B183" s="3" t="inlineStr">
        <is>
          <t>영업이익 ÷ 매출</t>
        </is>
      </c>
      <c r="C183" s="15">
        <f>IF(OR(C182="",C163=""),"",IF(C163&lt;=0,"",IFERROR(C182/C163,"")))</f>
        <v/>
      </c>
      <c r="D183" s="15">
        <f>IF(OR(D182="",D163=""),"",IF(D163&lt;=0,"",IFERROR(D182/D163,"")))</f>
        <v/>
      </c>
      <c r="E183" s="15">
        <f>IF(OR(E182="",E163=""),"",IF(E163&lt;=0,"",IFERROR(E182/E163,"")))</f>
        <v/>
      </c>
      <c r="F183" s="15">
        <f>IF(OR(F182="",F163=""),"",IF(F163&lt;=0,"",IFERROR(F182/F163,"")))</f>
        <v/>
      </c>
      <c r="G183" s="15">
        <f>IF(OR(G182="",G163=""),"",IF(G163&lt;=0,"",IFERROR(G182/G163,"")))</f>
        <v/>
      </c>
      <c r="H183" s="15">
        <f>IF(OR(H182="",H163=""),"",IF(H163&lt;=0,"",IFERROR(H182/H163,"")))</f>
        <v/>
      </c>
      <c r="I183" s="15">
        <f>IF(OR(I182="",I163=""),"",IF(I163&lt;=0,"",IFERROR(I182/I163,"")))</f>
        <v/>
      </c>
      <c r="J183" s="15">
        <f>IF(OR(J182="",J163=""),"",IF(J163&lt;=0,"",IFERROR(J182/J163,"")))</f>
        <v/>
      </c>
      <c r="K183" s="15">
        <f>IF(OR(K182="",K163=""),"",IF(K163&lt;=0,"",IFERROR(K182/K163,"")))</f>
        <v/>
      </c>
      <c r="L183" s="15">
        <f>IF(OR(L182="",L163=""),"",IF(L163&lt;=0,"",IFERROR(L182/L163,"")))</f>
        <v/>
      </c>
      <c r="V183" s="15">
        <f>IF(OR(V182="",V163=""),"",IF(V163&lt;=0,"",IFERROR(V182/V163,"")))</f>
        <v/>
      </c>
      <c r="W183" s="15">
        <f>IF(OR(W182="",W163=""),"",IF(W163&lt;=0,"",IFERROR(W182/W163,"")))</f>
        <v/>
      </c>
      <c r="X183" s="15">
        <f>IF(OR(X182="",X163=""),"",IF(X163&lt;=0,"",IFERROR(X182/X163,"")))</f>
        <v/>
      </c>
    </row>
    <row r="184">
      <c r="A184" s="43" t="inlineStr">
        <is>
          <t>YoY</t>
        </is>
      </c>
      <c r="B184" s="3" t="inlineStr">
        <is>
          <t>전년 같은 분기·전년 대비</t>
        </is>
      </c>
      <c r="G184" s="15">
        <f>IF(OR(G182="",C182=""),"",IF(C182&lt;=0,"",IFERROR(G182/C182-1,"")))</f>
        <v/>
      </c>
      <c r="H184" s="15">
        <f>IF(OR(H182="",D182=""),"",IF(D182&lt;=0,"",IFERROR(H182/D182-1,"")))</f>
        <v/>
      </c>
      <c r="I184" s="15">
        <f>IF(OR(I182="",E182=""),"",IF(E182&lt;=0,"",IFERROR(I182/E182-1,"")))</f>
        <v/>
      </c>
      <c r="J184" s="15">
        <f>IF(OR(J182="",F182=""),"",IF(F182&lt;=0,"",IFERROR(J182/F182-1,"")))</f>
        <v/>
      </c>
      <c r="K184" s="15">
        <f>IF(OR(K182="",G182=""),"",IF(G182&lt;=0,"",IFERROR(K182/G182-1,"")))</f>
        <v/>
      </c>
      <c r="L184" s="15">
        <f>IF(OR(L182="",H182=""),"",IF(H182&lt;=0,"",IFERROR(L182/H182-1,"")))</f>
        <v/>
      </c>
      <c r="V184" s="15">
        <f>IF(OR(V182="",U182=""),"",IF(U182&lt;=0,"",IFERROR(V182/U182-1,"")))</f>
        <v/>
      </c>
      <c r="W184" s="15">
        <f>IF(OR(W182="",V182=""),"",IF(V182&lt;=0,"",IFERROR(W182/V182-1,"")))</f>
        <v/>
      </c>
      <c r="X184" s="15">
        <f>IF(OR(X182="",W182=""),"",IF(W182&lt;=0,"",IFERROR(X182/W182-1,"")))</f>
        <v/>
      </c>
    </row>
    <row r="185">
      <c r="A185" s="18" t="inlineStr">
        <is>
          <t>부문 · 영업이익</t>
        </is>
      </c>
      <c r="C185" s="20" t="n">
        <v>42561</v>
      </c>
      <c r="D185" s="20" t="n">
        <v>26066</v>
      </c>
      <c r="E185" s="20" t="n">
        <v>15436</v>
      </c>
      <c r="F185" s="20" t="n">
        <v>28639</v>
      </c>
      <c r="G185" s="20" t="n">
        <v>20665</v>
      </c>
      <c r="H185" s="20" t="n">
        <v>17863</v>
      </c>
      <c r="I185" s="20" t="n">
        <v>25905</v>
      </c>
      <c r="J185" s="20" t="n">
        <v>29417</v>
      </c>
      <c r="K185" s="20" t="n">
        <v>38835</v>
      </c>
      <c r="L185" s="20" t="n">
        <v>36914</v>
      </c>
      <c r="V185" s="20" t="n">
        <v>26066</v>
      </c>
      <c r="W185" s="20" t="n">
        <v>17863</v>
      </c>
      <c r="X185" s="20" t="n">
        <v>36914</v>
      </c>
    </row>
    <row r="186">
      <c r="A186" s="43" t="inlineStr">
        <is>
          <t>OPM</t>
        </is>
      </c>
      <c r="B186" s="3" t="inlineStr">
        <is>
          <t>영업이익 ÷ 매출</t>
        </is>
      </c>
      <c r="C186" s="15">
        <f>IF(OR(C185="",C165=""),"",IF(C165&lt;=0,"",IFERROR(C185/C165,"")))</f>
        <v/>
      </c>
      <c r="D186" s="15">
        <f>IF(OR(D185="",D165=""),"",IF(D165&lt;=0,"",IFERROR(D185/D165,"")))</f>
        <v/>
      </c>
      <c r="E186" s="15">
        <f>IF(OR(E185="",E165=""),"",IF(E165&lt;=0,"",IFERROR(E185/E165,"")))</f>
        <v/>
      </c>
      <c r="F186" s="15">
        <f>IF(OR(F185="",F165=""),"",IF(F165&lt;=0,"",IFERROR(F185/F165,"")))</f>
        <v/>
      </c>
      <c r="G186" s="15">
        <f>IF(OR(G185="",G165=""),"",IF(G165&lt;=0,"",IFERROR(G185/G165,"")))</f>
        <v/>
      </c>
      <c r="H186" s="15">
        <f>IF(OR(H185="",H165=""),"",IF(H165&lt;=0,"",IFERROR(H185/H165,"")))</f>
        <v/>
      </c>
      <c r="I186" s="15">
        <f>IF(OR(I185="",I165=""),"",IF(I165&lt;=0,"",IFERROR(I185/I165,"")))</f>
        <v/>
      </c>
      <c r="J186" s="15">
        <f>IF(OR(J185="",J165=""),"",IF(J165&lt;=0,"",IFERROR(J185/J165,"")))</f>
        <v/>
      </c>
      <c r="K186" s="15">
        <f>IF(OR(K185="",K165=""),"",IF(K165&lt;=0,"",IFERROR(K185/K165,"")))</f>
        <v/>
      </c>
      <c r="L186" s="15">
        <f>IF(OR(L185="",L165=""),"",IF(L165&lt;=0,"",IFERROR(L185/L165,"")))</f>
        <v/>
      </c>
      <c r="V186" s="15">
        <f>IF(OR(V185="",V165=""),"",IF(V165&lt;=0,"",IFERROR(V185/V165,"")))</f>
        <v/>
      </c>
      <c r="W186" s="15">
        <f>IF(OR(W185="",W165=""),"",IF(W165&lt;=0,"",IFERROR(W185/W165,"")))</f>
        <v/>
      </c>
      <c r="X186" s="15">
        <f>IF(OR(X185="",X165=""),"",IF(X165&lt;=0,"",IFERROR(X185/X165,"")))</f>
        <v/>
      </c>
    </row>
    <row r="187">
      <c r="A187" s="43" t="inlineStr">
        <is>
          <t>YoY</t>
        </is>
      </c>
      <c r="B187" s="3" t="inlineStr">
        <is>
          <t>전년 같은 분기·전년 대비</t>
        </is>
      </c>
      <c r="G187" s="15">
        <f>IF(OR(G185="",C185=""),"",IF(C185&lt;=0,"",IFERROR(G185/C185-1,"")))</f>
        <v/>
      </c>
      <c r="H187" s="15">
        <f>IF(OR(H185="",D185=""),"",IF(D185&lt;=0,"",IFERROR(H185/D185-1,"")))</f>
        <v/>
      </c>
      <c r="I187" s="15">
        <f>IF(OR(I185="",E185=""),"",IF(E185&lt;=0,"",IFERROR(I185/E185-1,"")))</f>
        <v/>
      </c>
      <c r="J187" s="15">
        <f>IF(OR(J185="",F185=""),"",IF(F185&lt;=0,"",IFERROR(J185/F185-1,"")))</f>
        <v/>
      </c>
      <c r="K187" s="15">
        <f>IF(OR(K185="",G185=""),"",IF(G185&lt;=0,"",IFERROR(K185/G185-1,"")))</f>
        <v/>
      </c>
      <c r="L187" s="15">
        <f>IF(OR(L185="",H185=""),"",IF(H185&lt;=0,"",IFERROR(L185/H185-1,"")))</f>
        <v/>
      </c>
      <c r="V187" s="15">
        <f>IF(OR(V185="",U185=""),"",IF(U185&lt;=0,"",IFERROR(V185/U185-1,"")))</f>
        <v/>
      </c>
      <c r="W187" s="15">
        <f>IF(OR(W185="",V185=""),"",IF(V185&lt;=0,"",IFERROR(W185/V185-1,"")))</f>
        <v/>
      </c>
      <c r="X187" s="15">
        <f>IF(OR(X185="",W185=""),"",IF(W185&lt;=0,"",IFERROR(X185/W185-1,"")))</f>
        <v/>
      </c>
    </row>
    <row r="188">
      <c r="A188" s="18" t="inlineStr">
        <is>
          <t>부문 · 영업이익</t>
        </is>
      </c>
      <c r="C188" s="20" t="n">
        <v>21468</v>
      </c>
      <c r="D188" s="20" t="n">
        <v>19991</v>
      </c>
      <c r="E188" s="20" t="n">
        <v>35691</v>
      </c>
      <c r="F188" s="20" t="n">
        <v>64049</v>
      </c>
      <c r="G188" s="20" t="n">
        <v>39909</v>
      </c>
      <c r="H188" s="20" t="n">
        <v>17648</v>
      </c>
      <c r="I188" s="20" t="n">
        <v>46568</v>
      </c>
      <c r="J188" s="20" t="n">
        <v>46356</v>
      </c>
      <c r="K188" s="20" t="n">
        <v>43110</v>
      </c>
      <c r="L188" s="20" t="n">
        <v>34538</v>
      </c>
      <c r="V188" s="20" t="n">
        <v>19991</v>
      </c>
      <c r="W188" s="20" t="n">
        <v>17648</v>
      </c>
      <c r="X188" s="20" t="n">
        <v>34538</v>
      </c>
    </row>
    <row r="189">
      <c r="A189" s="43" t="inlineStr">
        <is>
          <t>OPM</t>
        </is>
      </c>
      <c r="B189" s="3" t="inlineStr">
        <is>
          <t>영업이익 ÷ 매출</t>
        </is>
      </c>
      <c r="C189" s="15">
        <f>IF(OR(C188="",C167=""),"",IF(C167&lt;=0,"",IFERROR(C188/C167,"")))</f>
        <v/>
      </c>
      <c r="D189" s="15">
        <f>IF(OR(D188="",D167=""),"",IF(D167&lt;=0,"",IFERROR(D188/D167,"")))</f>
        <v/>
      </c>
      <c r="E189" s="15">
        <f>IF(OR(E188="",E167=""),"",IF(E167&lt;=0,"",IFERROR(E188/E167,"")))</f>
        <v/>
      </c>
      <c r="F189" s="15">
        <f>IF(OR(F188="",F167=""),"",IF(F167&lt;=0,"",IFERROR(F188/F167,"")))</f>
        <v/>
      </c>
      <c r="G189" s="15">
        <f>IF(OR(G188="",G167=""),"",IF(G167&lt;=0,"",IFERROR(G188/G167,"")))</f>
        <v/>
      </c>
      <c r="H189" s="15">
        <f>IF(OR(H188="",H167=""),"",IF(H167&lt;=0,"",IFERROR(H188/H167,"")))</f>
        <v/>
      </c>
      <c r="I189" s="15">
        <f>IF(OR(I188="",I167=""),"",IF(I167&lt;=0,"",IFERROR(I188/I167,"")))</f>
        <v/>
      </c>
      <c r="J189" s="15">
        <f>IF(OR(J188="",J167=""),"",IF(J167&lt;=0,"",IFERROR(J188/J167,"")))</f>
        <v/>
      </c>
      <c r="K189" s="15">
        <f>IF(OR(K188="",K167=""),"",IF(K167&lt;=0,"",IFERROR(K188/K167,"")))</f>
        <v/>
      </c>
      <c r="L189" s="15">
        <f>IF(OR(L188="",L167=""),"",IF(L167&lt;=0,"",IFERROR(L188/L167,"")))</f>
        <v/>
      </c>
      <c r="V189" s="15">
        <f>IF(OR(V188="",V167=""),"",IF(V167&lt;=0,"",IFERROR(V188/V167,"")))</f>
        <v/>
      </c>
      <c r="W189" s="15">
        <f>IF(OR(W188="",W167=""),"",IF(W167&lt;=0,"",IFERROR(W188/W167,"")))</f>
        <v/>
      </c>
      <c r="X189" s="15">
        <f>IF(OR(X188="",X167=""),"",IF(X167&lt;=0,"",IFERROR(X188/X167,"")))</f>
        <v/>
      </c>
    </row>
    <row r="190">
      <c r="A190" s="43" t="inlineStr">
        <is>
          <t>YoY</t>
        </is>
      </c>
      <c r="B190" s="3" t="inlineStr">
        <is>
          <t>전년 같은 분기·전년 대비</t>
        </is>
      </c>
      <c r="G190" s="15">
        <f>IF(OR(G188="",C188=""),"",IF(C188&lt;=0,"",IFERROR(G188/C188-1,"")))</f>
        <v/>
      </c>
      <c r="H190" s="15">
        <f>IF(OR(H188="",D188=""),"",IF(D188&lt;=0,"",IFERROR(H188/D188-1,"")))</f>
        <v/>
      </c>
      <c r="I190" s="15">
        <f>IF(OR(I188="",E188=""),"",IF(E188&lt;=0,"",IFERROR(I188/E188-1,"")))</f>
        <v/>
      </c>
      <c r="J190" s="15">
        <f>IF(OR(J188="",F188=""),"",IF(F188&lt;=0,"",IFERROR(J188/F188-1,"")))</f>
        <v/>
      </c>
      <c r="K190" s="15">
        <f>IF(OR(K188="",G188=""),"",IF(G188&lt;=0,"",IFERROR(K188/G188-1,"")))</f>
        <v/>
      </c>
      <c r="L190" s="15">
        <f>IF(OR(L188="",H188=""),"",IF(H188&lt;=0,"",IFERROR(L188/H188-1,"")))</f>
        <v/>
      </c>
      <c r="V190" s="15">
        <f>IF(OR(V188="",U188=""),"",IF(U188&lt;=0,"",IFERROR(V188/U188-1,"")))</f>
        <v/>
      </c>
      <c r="W190" s="15">
        <f>IF(OR(W188="",V188=""),"",IF(V188&lt;=0,"",IFERROR(W188/V188-1,"")))</f>
        <v/>
      </c>
      <c r="X190" s="15">
        <f>IF(OR(X188="",W188=""),"",IF(W188&lt;=0,"",IFERROR(X188/W188-1,"")))</f>
        <v/>
      </c>
    </row>
    <row r="191">
      <c r="A191" s="18" t="inlineStr">
        <is>
          <t>부문 · 영업이익</t>
        </is>
      </c>
      <c r="C191" s="20" t="n">
        <v>1317</v>
      </c>
      <c r="D191" s="20" t="n">
        <v>2759</v>
      </c>
      <c r="E191" s="20" t="n">
        <v>1530</v>
      </c>
      <c r="F191" s="20" t="n">
        <v>2681</v>
      </c>
      <c r="G191" s="20" t="n">
        <v>2704</v>
      </c>
      <c r="H191" s="20" t="n">
        <v>3972</v>
      </c>
      <c r="V191" s="20" t="n">
        <v>2759</v>
      </c>
      <c r="W191" s="20" t="n">
        <v>3972</v>
      </c>
    </row>
    <row r="192">
      <c r="A192" s="43" t="inlineStr">
        <is>
          <t>OPM</t>
        </is>
      </c>
      <c r="B192" s="3" t="inlineStr">
        <is>
          <t>영업이익 ÷ 매출</t>
        </is>
      </c>
      <c r="C192" s="15">
        <f>IF(OR(C191="",C169=""),"",IF(C169&lt;=0,"",IFERROR(C191/C169,"")))</f>
        <v/>
      </c>
      <c r="D192" s="15">
        <f>IF(OR(D191="",D169=""),"",IF(D169&lt;=0,"",IFERROR(D191/D169,"")))</f>
        <v/>
      </c>
      <c r="E192" s="15">
        <f>IF(OR(E191="",E169=""),"",IF(E169&lt;=0,"",IFERROR(E191/E169,"")))</f>
        <v/>
      </c>
      <c r="F192" s="15">
        <f>IF(OR(F191="",F169=""),"",IF(F169&lt;=0,"",IFERROR(F191/F169,"")))</f>
        <v/>
      </c>
      <c r="G192" s="15">
        <f>IF(OR(G191="",G169=""),"",IF(G169&lt;=0,"",IFERROR(G191/G169,"")))</f>
        <v/>
      </c>
      <c r="H192" s="15">
        <f>IF(OR(H191="",H169=""),"",IF(H169&lt;=0,"",IFERROR(H191/H169,"")))</f>
        <v/>
      </c>
      <c r="V192" s="15">
        <f>IF(OR(V191="",V169=""),"",IF(V169&lt;=0,"",IFERROR(V191/V169,"")))</f>
        <v/>
      </c>
      <c r="W192" s="15">
        <f>IF(OR(W191="",W169=""),"",IF(W169&lt;=0,"",IFERROR(W191/W169,"")))</f>
        <v/>
      </c>
    </row>
    <row r="193">
      <c r="A193" s="43" t="inlineStr">
        <is>
          <t>YoY</t>
        </is>
      </c>
      <c r="B193" s="3" t="inlineStr">
        <is>
          <t>전년 같은 분기·전년 대비</t>
        </is>
      </c>
      <c r="G193" s="15">
        <f>IF(OR(G191="",C191=""),"",IF(C191&lt;=0,"",IFERROR(G191/C191-1,"")))</f>
        <v/>
      </c>
      <c r="H193" s="15">
        <f>IF(OR(H191="",D191=""),"",IF(D191&lt;=0,"",IFERROR(H191/D191-1,"")))</f>
        <v/>
      </c>
      <c r="V193" s="15">
        <f>IF(OR(V191="",U191=""),"",IF(U191&lt;=0,"",IFERROR(V191/U191-1,"")))</f>
        <v/>
      </c>
      <c r="W193" s="15">
        <f>IF(OR(W191="",V191=""),"",IF(V191&lt;=0,"",IFERROR(W191/V191-1,"")))</f>
        <v/>
      </c>
    </row>
    <row r="194">
      <c r="A194" s="18" t="inlineStr">
        <is>
          <t>부문 · 영업이익</t>
        </is>
      </c>
      <c r="E194" s="20" t="n">
        <v>1530</v>
      </c>
      <c r="F194" s="20" t="n">
        <v>2681</v>
      </c>
      <c r="G194" s="20" t="n">
        <v>2704</v>
      </c>
      <c r="H194" s="20" t="n">
        <v>3972</v>
      </c>
      <c r="I194" s="20" t="n">
        <v>1265</v>
      </c>
      <c r="J194" s="20" t="n">
        <v>2437</v>
      </c>
      <c r="K194" s="20" t="n">
        <v>3591</v>
      </c>
      <c r="L194" s="20" t="n">
        <v>4664</v>
      </c>
      <c r="W194" s="20" t="n">
        <v>3972</v>
      </c>
      <c r="X194" s="20" t="n">
        <v>4664</v>
      </c>
    </row>
    <row r="195">
      <c r="A195" s="43" t="inlineStr">
        <is>
          <t>OPM</t>
        </is>
      </c>
      <c r="B195" s="3" t="inlineStr">
        <is>
          <t>영업이익 ÷ 매출</t>
        </is>
      </c>
      <c r="E195" s="15">
        <f>IF(OR(E194="",E171=""),"",IF(E171&lt;=0,"",IFERROR(E194/E171,"")))</f>
        <v/>
      </c>
      <c r="F195" s="15">
        <f>IF(OR(F194="",F171=""),"",IF(F171&lt;=0,"",IFERROR(F194/F171,"")))</f>
        <v/>
      </c>
      <c r="G195" s="15">
        <f>IF(OR(G194="",G171=""),"",IF(G171&lt;=0,"",IFERROR(G194/G171,"")))</f>
        <v/>
      </c>
      <c r="H195" s="15">
        <f>IF(OR(H194="",H171=""),"",IF(H171&lt;=0,"",IFERROR(H194/H171,"")))</f>
        <v/>
      </c>
      <c r="I195" s="15">
        <f>IF(OR(I194="",I171=""),"",IF(I171&lt;=0,"",IFERROR(I194/I171,"")))</f>
        <v/>
      </c>
      <c r="J195" s="15">
        <f>IF(OR(J194="",J171=""),"",IF(J171&lt;=0,"",IFERROR(J194/J171,"")))</f>
        <v/>
      </c>
      <c r="K195" s="15">
        <f>IF(OR(K194="",K171=""),"",IF(K171&lt;=0,"",IFERROR(K194/K171,"")))</f>
        <v/>
      </c>
      <c r="L195" s="15">
        <f>IF(OR(L194="",L171=""),"",IF(L171&lt;=0,"",IFERROR(L194/L171,"")))</f>
        <v/>
      </c>
      <c r="W195" s="15">
        <f>IF(OR(W194="",W171=""),"",IF(W171&lt;=0,"",IFERROR(W194/W171,"")))</f>
        <v/>
      </c>
      <c r="X195" s="15">
        <f>IF(OR(X194="",X171=""),"",IF(X171&lt;=0,"",IFERROR(X194/X171,"")))</f>
        <v/>
      </c>
    </row>
    <row r="196">
      <c r="A196" s="43" t="inlineStr">
        <is>
          <t>YoY</t>
        </is>
      </c>
      <c r="B196" s="3" t="inlineStr">
        <is>
          <t>전년 같은 분기·전년 대비</t>
        </is>
      </c>
      <c r="G196" s="15">
        <f>IF(OR(G194="",C194=""),"",IF(C194&lt;=0,"",IFERROR(G194/C194-1,"")))</f>
        <v/>
      </c>
      <c r="H196" s="15">
        <f>IF(OR(H194="",D194=""),"",IF(D194&lt;=0,"",IFERROR(H194/D194-1,"")))</f>
        <v/>
      </c>
      <c r="I196" s="15">
        <f>IF(OR(I194="",E194=""),"",IF(E194&lt;=0,"",IFERROR(I194/E194-1,"")))</f>
        <v/>
      </c>
      <c r="J196" s="15">
        <f>IF(OR(J194="",F194=""),"",IF(F194&lt;=0,"",IFERROR(J194/F194-1,"")))</f>
        <v/>
      </c>
      <c r="K196" s="15">
        <f>IF(OR(K194="",G194=""),"",IF(G194&lt;=0,"",IFERROR(K194/G194-1,"")))</f>
        <v/>
      </c>
      <c r="L196" s="15">
        <f>IF(OR(L194="",H194=""),"",IF(H194&lt;=0,"",IFERROR(L194/H194-1,"")))</f>
        <v/>
      </c>
      <c r="W196" s="15">
        <f>IF(OR(W194="",V194=""),"",IF(V194&lt;=0,"",IFERROR(W194/V194-1,"")))</f>
        <v/>
      </c>
      <c r="X196" s="15">
        <f>IF(OR(X194="",W194=""),"",IF(W194&lt;=0,"",IFERROR(X194/W194-1,"")))</f>
        <v/>
      </c>
    </row>
    <row r="197">
      <c r="A197" s="18" t="inlineStr">
        <is>
          <t>부문 · 영업이익</t>
        </is>
      </c>
      <c r="C197" s="20" t="n">
        <v>7924</v>
      </c>
      <c r="D197" s="20" t="n">
        <v>5366</v>
      </c>
      <c r="E197" s="20" t="n">
        <v>11554</v>
      </c>
      <c r="F197" s="20" t="n">
        <v>11837</v>
      </c>
      <c r="G197" s="20" t="n">
        <v>8493</v>
      </c>
      <c r="H197" s="20" t="n">
        <v>8751</v>
      </c>
      <c r="I197" s="20" t="n">
        <v>9608</v>
      </c>
      <c r="J197" s="20" t="n">
        <v>15162</v>
      </c>
      <c r="K197" s="20" t="n">
        <v>10350</v>
      </c>
      <c r="L197" s="20" t="n">
        <v>12420</v>
      </c>
      <c r="V197" s="20" t="n">
        <v>5366</v>
      </c>
      <c r="W197" s="20" t="n">
        <v>8751</v>
      </c>
      <c r="X197" s="20" t="n">
        <v>12420</v>
      </c>
    </row>
    <row r="198">
      <c r="A198" s="43" t="inlineStr">
        <is>
          <t>OPM</t>
        </is>
      </c>
      <c r="B198" s="3" t="inlineStr">
        <is>
          <t>영업이익 ÷ 매출</t>
        </is>
      </c>
      <c r="C198" s="15">
        <f>IF(OR(C197="",C173=""),"",IF(C173&lt;=0,"",IFERROR(C197/C173,"")))</f>
        <v/>
      </c>
      <c r="D198" s="15">
        <f>IF(OR(D197="",D173=""),"",IF(D173&lt;=0,"",IFERROR(D197/D173,"")))</f>
        <v/>
      </c>
      <c r="E198" s="15">
        <f>IF(OR(E197="",E173=""),"",IF(E173&lt;=0,"",IFERROR(E197/E173,"")))</f>
        <v/>
      </c>
      <c r="F198" s="15">
        <f>IF(OR(F197="",F173=""),"",IF(F173&lt;=0,"",IFERROR(F197/F173,"")))</f>
        <v/>
      </c>
      <c r="G198" s="15">
        <f>IF(OR(G197="",G173=""),"",IF(G173&lt;=0,"",IFERROR(G197/G173,"")))</f>
        <v/>
      </c>
      <c r="H198" s="15">
        <f>IF(OR(H197="",H173=""),"",IF(H173&lt;=0,"",IFERROR(H197/H173,"")))</f>
        <v/>
      </c>
      <c r="I198" s="15">
        <f>IF(OR(I197="",I173=""),"",IF(I173&lt;=0,"",IFERROR(I197/I173,"")))</f>
        <v/>
      </c>
      <c r="J198" s="15">
        <f>IF(OR(J197="",J173=""),"",IF(J173&lt;=0,"",IFERROR(J197/J173,"")))</f>
        <v/>
      </c>
      <c r="K198" s="15">
        <f>IF(OR(K197="",K173=""),"",IF(K173&lt;=0,"",IFERROR(K197/K173,"")))</f>
        <v/>
      </c>
      <c r="L198" s="15">
        <f>IF(OR(L197="",L173=""),"",IF(L173&lt;=0,"",IFERROR(L197/L173,"")))</f>
        <v/>
      </c>
      <c r="V198" s="15">
        <f>IF(OR(V197="",V173=""),"",IF(V173&lt;=0,"",IFERROR(V197/V173,"")))</f>
        <v/>
      </c>
      <c r="W198" s="15">
        <f>IF(OR(W197="",W173=""),"",IF(W173&lt;=0,"",IFERROR(W197/W173,"")))</f>
        <v/>
      </c>
      <c r="X198" s="15">
        <f>IF(OR(X197="",X173=""),"",IF(X173&lt;=0,"",IFERROR(X197/X173,"")))</f>
        <v/>
      </c>
    </row>
    <row r="199">
      <c r="A199" s="43" t="inlineStr">
        <is>
          <t>YoY</t>
        </is>
      </c>
      <c r="B199" s="3" t="inlineStr">
        <is>
          <t>전년 같은 분기·전년 대비</t>
        </is>
      </c>
      <c r="G199" s="15">
        <f>IF(OR(G197="",C197=""),"",IF(C197&lt;=0,"",IFERROR(G197/C197-1,"")))</f>
        <v/>
      </c>
      <c r="H199" s="15">
        <f>IF(OR(H197="",D197=""),"",IF(D197&lt;=0,"",IFERROR(H197/D197-1,"")))</f>
        <v/>
      </c>
      <c r="I199" s="15">
        <f>IF(OR(I197="",E197=""),"",IF(E197&lt;=0,"",IFERROR(I197/E197-1,"")))</f>
        <v/>
      </c>
      <c r="J199" s="15">
        <f>IF(OR(J197="",F197=""),"",IF(F197&lt;=0,"",IFERROR(J197/F197-1,"")))</f>
        <v/>
      </c>
      <c r="K199" s="15">
        <f>IF(OR(K197="",G197=""),"",IF(G197&lt;=0,"",IFERROR(K197/G197-1,"")))</f>
        <v/>
      </c>
      <c r="L199" s="15">
        <f>IF(OR(L197="",H197=""),"",IF(H197&lt;=0,"",IFERROR(L197/H197-1,"")))</f>
        <v/>
      </c>
      <c r="V199" s="15">
        <f>IF(OR(V197="",U197=""),"",IF(U197&lt;=0,"",IFERROR(V197/U197-1,"")))</f>
        <v/>
      </c>
      <c r="W199" s="15">
        <f>IF(OR(W197="",V197=""),"",IF(V197&lt;=0,"",IFERROR(W197/V197-1,"")))</f>
        <v/>
      </c>
      <c r="X199" s="15">
        <f>IF(OR(X197="",W197=""),"",IF(W197&lt;=0,"",IFERROR(X197/W197-1,"")))</f>
        <v/>
      </c>
    </row>
    <row r="200">
      <c r="A200" s="18" t="inlineStr">
        <is>
          <t>OtherReportableSegmentsMember · 영업이익</t>
        </is>
      </c>
      <c r="C200" s="20" t="n">
        <v>7863</v>
      </c>
      <c r="D200" s="20" t="n">
        <v>9317</v>
      </c>
      <c r="E200" s="20" t="n">
        <v>3088</v>
      </c>
      <c r="F200" s="20" t="n">
        <v>8341</v>
      </c>
      <c r="G200" s="20" t="n">
        <v>31671</v>
      </c>
      <c r="H200" s="20" t="n">
        <v>8493</v>
      </c>
      <c r="I200" s="20" t="n">
        <v>19962</v>
      </c>
      <c r="J200" s="20" t="n">
        <v>8903</v>
      </c>
      <c r="K200" s="20" t="n">
        <v>12775</v>
      </c>
      <c r="L200" s="20" t="n">
        <v>11533</v>
      </c>
      <c r="V200" s="20" t="n">
        <v>9317</v>
      </c>
      <c r="W200" s="20" t="n">
        <v>8493</v>
      </c>
      <c r="X200" s="20" t="n">
        <v>11533</v>
      </c>
    </row>
    <row r="201">
      <c r="A201" s="43" t="inlineStr">
        <is>
          <t>OPM</t>
        </is>
      </c>
      <c r="B201" s="3" t="inlineStr">
        <is>
          <t>영업이익 ÷ 매출</t>
        </is>
      </c>
      <c r="C201" s="15">
        <f>IF(OR(C200="",C175=""),"",IF(C175&lt;=0,"",IFERROR(C200/C175,"")))</f>
        <v/>
      </c>
      <c r="D201" s="15">
        <f>IF(OR(D200="",D175=""),"",IF(D175&lt;=0,"",IFERROR(D200/D175,"")))</f>
        <v/>
      </c>
      <c r="E201" s="15">
        <f>IF(OR(E200="",E175=""),"",IF(E175&lt;=0,"",IFERROR(E200/E175,"")))</f>
        <v/>
      </c>
      <c r="F201" s="15">
        <f>IF(OR(F200="",F175=""),"",IF(F175&lt;=0,"",IFERROR(F200/F175,"")))</f>
        <v/>
      </c>
      <c r="G201" s="15">
        <f>IF(OR(G200="",G175=""),"",IF(G175&lt;=0,"",IFERROR(G200/G175,"")))</f>
        <v/>
      </c>
      <c r="H201" s="15">
        <f>IF(OR(H200="",H175=""),"",IF(H175&lt;=0,"",IFERROR(H200/H175,"")))</f>
        <v/>
      </c>
      <c r="I201" s="15">
        <f>IF(OR(I200="",I175=""),"",IF(I175&lt;=0,"",IFERROR(I200/I175,"")))</f>
        <v/>
      </c>
      <c r="J201" s="15">
        <f>IF(OR(J200="",J175=""),"",IF(J175&lt;=0,"",IFERROR(J200/J175,"")))</f>
        <v/>
      </c>
      <c r="K201" s="15">
        <f>IF(OR(K200="",K175=""),"",IF(K175&lt;=0,"",IFERROR(K200/K175,"")))</f>
        <v/>
      </c>
      <c r="L201" s="15">
        <f>IF(OR(L200="",L175=""),"",IF(L175&lt;=0,"",IFERROR(L200/L175,"")))</f>
        <v/>
      </c>
      <c r="V201" s="15">
        <f>IF(OR(V200="",V175=""),"",IF(V175&lt;=0,"",IFERROR(V200/V175,"")))</f>
        <v/>
      </c>
      <c r="W201" s="15">
        <f>IF(OR(W200="",W175=""),"",IF(W175&lt;=0,"",IFERROR(W200/W175,"")))</f>
        <v/>
      </c>
      <c r="X201" s="15">
        <f>IF(OR(X200="",X175=""),"",IF(X175&lt;=0,"",IFERROR(X200/X175,"")))</f>
        <v/>
      </c>
    </row>
    <row r="202">
      <c r="A202" s="43" t="inlineStr">
        <is>
          <t>YoY</t>
        </is>
      </c>
      <c r="B202" s="3" t="inlineStr">
        <is>
          <t>전년 같은 분기·전년 대비</t>
        </is>
      </c>
      <c r="G202" s="15">
        <f>IF(OR(G200="",C200=""),"",IF(C200&lt;=0,"",IFERROR(G200/C200-1,"")))</f>
        <v/>
      </c>
      <c r="H202" s="15">
        <f>IF(OR(H200="",D200=""),"",IF(D200&lt;=0,"",IFERROR(H200/D200-1,"")))</f>
        <v/>
      </c>
      <c r="I202" s="15">
        <f>IF(OR(I200="",E200=""),"",IF(E200&lt;=0,"",IFERROR(I200/E200-1,"")))</f>
        <v/>
      </c>
      <c r="J202" s="15">
        <f>IF(OR(J200="",F200=""),"",IF(F200&lt;=0,"",IFERROR(J200/F200-1,"")))</f>
        <v/>
      </c>
      <c r="K202" s="15">
        <f>IF(OR(K200="",G200=""),"",IF(G200&lt;=0,"",IFERROR(K200/G200-1,"")))</f>
        <v/>
      </c>
      <c r="L202" s="15">
        <f>IF(OR(L200="",H200=""),"",IF(H200&lt;=0,"",IFERROR(L200/H200-1,"")))</f>
        <v/>
      </c>
      <c r="V202" s="15">
        <f>IF(OR(V200="",U200=""),"",IF(U200&lt;=0,"",IFERROR(V200/U200-1,"")))</f>
        <v/>
      </c>
      <c r="W202" s="15">
        <f>IF(OR(W200="",V200=""),"",IF(V200&lt;=0,"",IFERROR(W200/V200-1,"")))</f>
        <v/>
      </c>
      <c r="X202" s="15">
        <f>IF(OR(X200="",W200=""),"",IF(W200&lt;=0,"",IFERROR(X200/W200-1,"")))</f>
        <v/>
      </c>
    </row>
    <row r="203">
      <c r="A203" s="18" t="inlineStr">
        <is>
          <t>보고부문 합계 · 영업이익</t>
        </is>
      </c>
      <c r="C203" s="20" t="n">
        <v>91053</v>
      </c>
      <c r="D203" s="20" t="n">
        <v>93258</v>
      </c>
      <c r="E203" s="20" t="n">
        <v>71027</v>
      </c>
      <c r="F203" s="20" t="n">
        <v>128886</v>
      </c>
      <c r="G203" s="20" t="n">
        <v>134037</v>
      </c>
      <c r="H203" s="20" t="n">
        <v>98532</v>
      </c>
      <c r="I203" s="20" t="n">
        <v>121399</v>
      </c>
      <c r="J203" s="20" t="n">
        <v>123079</v>
      </c>
      <c r="K203" s="20" t="n">
        <v>149047</v>
      </c>
      <c r="L203" s="20" t="n">
        <v>175519</v>
      </c>
      <c r="V203" s="20" t="n">
        <v>93258</v>
      </c>
      <c r="W203" s="20" t="n">
        <v>98532</v>
      </c>
      <c r="X203" s="20" t="n">
        <v>175519</v>
      </c>
    </row>
    <row r="204">
      <c r="A204" s="43" t="inlineStr">
        <is>
          <t>OPM</t>
        </is>
      </c>
      <c r="B204" s="3" t="inlineStr">
        <is>
          <t>영업이익 ÷ 매출</t>
        </is>
      </c>
      <c r="C204" s="15">
        <f>IF(OR(C203="",C177=""),"",IF(C177&lt;=0,"",IFERROR(C203/C177,"")))</f>
        <v/>
      </c>
      <c r="D204" s="15">
        <f>IF(OR(D203="",D177=""),"",IF(D177&lt;=0,"",IFERROR(D203/D177,"")))</f>
        <v/>
      </c>
      <c r="E204" s="15">
        <f>IF(OR(E203="",E177=""),"",IF(E177&lt;=0,"",IFERROR(E203/E177,"")))</f>
        <v/>
      </c>
      <c r="F204" s="15">
        <f>IF(OR(F203="",F177=""),"",IF(F177&lt;=0,"",IFERROR(F203/F177,"")))</f>
        <v/>
      </c>
      <c r="G204" s="15">
        <f>IF(OR(G203="",G177=""),"",IF(G177&lt;=0,"",IFERROR(G203/G177,"")))</f>
        <v/>
      </c>
      <c r="H204" s="15">
        <f>IF(OR(H203="",H177=""),"",IF(H177&lt;=0,"",IFERROR(H203/H177,"")))</f>
        <v/>
      </c>
      <c r="I204" s="15">
        <f>IF(OR(I203="",I177=""),"",IF(I177&lt;=0,"",IFERROR(I203/I177,"")))</f>
        <v/>
      </c>
      <c r="J204" s="15">
        <f>IF(OR(J203="",J177=""),"",IF(J177&lt;=0,"",IFERROR(J203/J177,"")))</f>
        <v/>
      </c>
      <c r="K204" s="15">
        <f>IF(OR(K203="",K177=""),"",IF(K177&lt;=0,"",IFERROR(K203/K177,"")))</f>
        <v/>
      </c>
      <c r="L204" s="15">
        <f>IF(OR(L203="",L177=""),"",IF(L177&lt;=0,"",IFERROR(L203/L177,"")))</f>
        <v/>
      </c>
      <c r="V204" s="15">
        <f>IF(OR(V203="",V177=""),"",IF(V177&lt;=0,"",IFERROR(V203/V177,"")))</f>
        <v/>
      </c>
      <c r="W204" s="15">
        <f>IF(OR(W203="",W177=""),"",IF(W177&lt;=0,"",IFERROR(W203/W177,"")))</f>
        <v/>
      </c>
      <c r="X204" s="15">
        <f>IF(OR(X203="",X177=""),"",IF(X177&lt;=0,"",IFERROR(X203/X177,"")))</f>
        <v/>
      </c>
    </row>
    <row r="205">
      <c r="A205" s="43" t="inlineStr">
        <is>
          <t>YoY</t>
        </is>
      </c>
      <c r="B205" s="3" t="inlineStr">
        <is>
          <t>전년 같은 분기·전년 대비</t>
        </is>
      </c>
      <c r="G205" s="15">
        <f>IF(OR(G203="",C203=""),"",IF(C203&lt;=0,"",IFERROR(G203/C203-1,"")))</f>
        <v/>
      </c>
      <c r="H205" s="15">
        <f>IF(OR(H203="",D203=""),"",IF(D203&lt;=0,"",IFERROR(H203/D203-1,"")))</f>
        <v/>
      </c>
      <c r="I205" s="15">
        <f>IF(OR(I203="",E203=""),"",IF(E203&lt;=0,"",IFERROR(I203/E203-1,"")))</f>
        <v/>
      </c>
      <c r="J205" s="15">
        <f>IF(OR(J203="",F203=""),"",IF(F203&lt;=0,"",IFERROR(J203/F203-1,"")))</f>
        <v/>
      </c>
      <c r="K205" s="15">
        <f>IF(OR(K203="",G203=""),"",IF(G203&lt;=0,"",IFERROR(K203/G203-1,"")))</f>
        <v/>
      </c>
      <c r="L205" s="15">
        <f>IF(OR(L203="",H203=""),"",IF(H203&lt;=0,"",IFERROR(L203/H203-1,"")))</f>
        <v/>
      </c>
      <c r="V205" s="15">
        <f>IF(OR(V203="",U203=""),"",IF(U203&lt;=0,"",IFERROR(V203/U203-1,"")))</f>
        <v/>
      </c>
      <c r="W205" s="15">
        <f>IF(OR(W203="",V203=""),"",IF(V203&lt;=0,"",IFERROR(W203/V203-1,"")))</f>
        <v/>
      </c>
      <c r="X205" s="15">
        <f>IF(OR(X203="",W203=""),"",IF(W203&lt;=0,"",IFERROR(X203/W203-1,"")))</f>
        <v/>
      </c>
    </row>
    <row r="206">
      <c r="A206" s="18" t="inlineStr">
        <is>
          <t>조정액 · 영업이익</t>
        </is>
      </c>
      <c r="C206" s="20" t="n">
        <v>-4559</v>
      </c>
      <c r="D206" s="20" t="n">
        <v>12934</v>
      </c>
      <c r="E206" s="20" t="n">
        <v>-12368</v>
      </c>
      <c r="F206" s="20" t="n">
        <v>-10863</v>
      </c>
      <c r="G206" s="20" t="n">
        <v>-7164</v>
      </c>
      <c r="H206" s="20" t="n">
        <v>-10237</v>
      </c>
      <c r="I206" s="20" t="n">
        <v>-9427</v>
      </c>
      <c r="J206" s="20" t="n">
        <v>-10685</v>
      </c>
      <c r="K206" s="20" t="n">
        <v>-78656</v>
      </c>
      <c r="L206" s="20" t="n">
        <v>-37181</v>
      </c>
      <c r="V206" s="20" t="n">
        <v>12934</v>
      </c>
      <c r="W206" s="20" t="n">
        <v>-10237</v>
      </c>
      <c r="X206" s="20" t="n">
        <v>-37181</v>
      </c>
    </row>
    <row r="207">
      <c r="A207" s="18" t="inlineStr">
        <is>
          <t>부문 · Segment Profit Loss</t>
        </is>
      </c>
      <c r="I207" s="20" t="n">
        <v>19014</v>
      </c>
      <c r="J207" s="20" t="n">
        <v>21370</v>
      </c>
      <c r="M207" s="20" t="n">
        <v>22448</v>
      </c>
      <c r="N207" s="20" t="n">
        <v>38116</v>
      </c>
    </row>
    <row r="208">
      <c r="A208" s="43" t="inlineStr">
        <is>
          <t>OPM</t>
        </is>
      </c>
      <c r="B208" s="3" t="inlineStr">
        <is>
          <t>영업이익 ÷ 매출</t>
        </is>
      </c>
      <c r="I208" s="15">
        <f>IF(OR(I207="",I163=""),"",IF(I163&lt;=0,"",IFERROR(I207/I163,"")))</f>
        <v/>
      </c>
      <c r="J208" s="15">
        <f>IF(OR(J207="",J163=""),"",IF(J163&lt;=0,"",IFERROR(J207/J163,"")))</f>
        <v/>
      </c>
      <c r="M208" s="15">
        <f>IF(OR(M207="",M163=""),"",IF(M163&lt;=0,"",IFERROR(M207/M163,"")))</f>
        <v/>
      </c>
      <c r="N208" s="15">
        <f>IF(OR(N207="",N163=""),"",IF(N163&lt;=0,"",IFERROR(N207/N163,"")))</f>
        <v/>
      </c>
    </row>
    <row r="209">
      <c r="A209" s="43" t="inlineStr">
        <is>
          <t>YoY</t>
        </is>
      </c>
      <c r="B209" s="3" t="inlineStr">
        <is>
          <t>전년 같은 분기·전년 대비</t>
        </is>
      </c>
      <c r="I209" s="15">
        <f>IF(OR(I207="",E207=""),"",IF(E207&lt;=0,"",IFERROR(I207/E207-1,"")))</f>
        <v/>
      </c>
      <c r="J209" s="15">
        <f>IF(OR(J207="",F207=""),"",IF(F207&lt;=0,"",IFERROR(J207/F207-1,"")))</f>
        <v/>
      </c>
      <c r="M209" s="15">
        <f>IF(OR(M207="",I207=""),"",IF(I207&lt;=0,"",IFERROR(M207/I207-1,"")))</f>
        <v/>
      </c>
      <c r="N209" s="15">
        <f>IF(OR(N207="",J207=""),"",IF(J207&lt;=0,"",IFERROR(N207/J207-1,"")))</f>
        <v/>
      </c>
    </row>
    <row r="210">
      <c r="A210" s="18" t="inlineStr">
        <is>
          <t>부문 · Segment Profit Loss</t>
        </is>
      </c>
      <c r="I210" s="20" t="n">
        <v>24976</v>
      </c>
      <c r="J210" s="20" t="n">
        <v>28836</v>
      </c>
      <c r="M210" s="20" t="n">
        <v>57135</v>
      </c>
      <c r="N210" s="20" t="n">
        <v>66486</v>
      </c>
    </row>
    <row r="211">
      <c r="A211" s="43" t="inlineStr">
        <is>
          <t>OPM</t>
        </is>
      </c>
      <c r="B211" s="3" t="inlineStr">
        <is>
          <t>영업이익 ÷ 매출</t>
        </is>
      </c>
      <c r="I211" s="15">
        <f>IF(OR(I210="",I165=""),"",IF(I165&lt;=0,"",IFERROR(I210/I165,"")))</f>
        <v/>
      </c>
      <c r="J211" s="15">
        <f>IF(OR(J210="",J165=""),"",IF(J165&lt;=0,"",IFERROR(J210/J165,"")))</f>
        <v/>
      </c>
      <c r="M211" s="15">
        <f>IF(OR(M210="",M165=""),"",IF(M165&lt;=0,"",IFERROR(M210/M165,"")))</f>
        <v/>
      </c>
      <c r="N211" s="15">
        <f>IF(OR(N210="",N165=""),"",IF(N165&lt;=0,"",IFERROR(N210/N165,"")))</f>
        <v/>
      </c>
    </row>
    <row r="212">
      <c r="A212" s="43" t="inlineStr">
        <is>
          <t>YoY</t>
        </is>
      </c>
      <c r="B212" s="3" t="inlineStr">
        <is>
          <t>전년 같은 분기·전년 대비</t>
        </is>
      </c>
      <c r="I212" s="15">
        <f>IF(OR(I210="",E210=""),"",IF(E210&lt;=0,"",IFERROR(I210/E210-1,"")))</f>
        <v/>
      </c>
      <c r="J212" s="15">
        <f>IF(OR(J210="",F210=""),"",IF(F210&lt;=0,"",IFERROR(J210/F210-1,"")))</f>
        <v/>
      </c>
      <c r="M212" s="15">
        <f>IF(OR(M210="",I210=""),"",IF(I210&lt;=0,"",IFERROR(M210/I210-1,"")))</f>
        <v/>
      </c>
      <c r="N212" s="15">
        <f>IF(OR(N210="",J210=""),"",IF(J210&lt;=0,"",IFERROR(N210/J210-1,"")))</f>
        <v/>
      </c>
    </row>
    <row r="213">
      <c r="A213" s="18" t="inlineStr">
        <is>
          <t>부문 · Segment Profit Loss</t>
        </is>
      </c>
      <c r="I213" s="20" t="n">
        <v>46000</v>
      </c>
      <c r="J213" s="20" t="n">
        <v>46762</v>
      </c>
      <c r="M213" s="20" t="n">
        <v>60809</v>
      </c>
      <c r="N213" s="20" t="n">
        <v>80624</v>
      </c>
    </row>
    <row r="214">
      <c r="A214" s="43" t="inlineStr">
        <is>
          <t>OPM</t>
        </is>
      </c>
      <c r="B214" s="3" t="inlineStr">
        <is>
          <t>영업이익 ÷ 매출</t>
        </is>
      </c>
      <c r="I214" s="15">
        <f>IF(OR(I213="",I167=""),"",IF(I167&lt;=0,"",IFERROR(I213/I167,"")))</f>
        <v/>
      </c>
      <c r="J214" s="15">
        <f>IF(OR(J213="",J167=""),"",IF(J167&lt;=0,"",IFERROR(J213/J167,"")))</f>
        <v/>
      </c>
      <c r="M214" s="15">
        <f>IF(OR(M213="",M167=""),"",IF(M167&lt;=0,"",IFERROR(M213/M167,"")))</f>
        <v/>
      </c>
      <c r="N214" s="15">
        <f>IF(OR(N213="",N167=""),"",IF(N167&lt;=0,"",IFERROR(N213/N167,"")))</f>
        <v/>
      </c>
    </row>
    <row r="215">
      <c r="A215" s="43" t="inlineStr">
        <is>
          <t>YoY</t>
        </is>
      </c>
      <c r="B215" s="3" t="inlineStr">
        <is>
          <t>전년 같은 분기·전년 대비</t>
        </is>
      </c>
      <c r="I215" s="15">
        <f>IF(OR(I213="",E213=""),"",IF(E213&lt;=0,"",IFERROR(I213/E213-1,"")))</f>
        <v/>
      </c>
      <c r="J215" s="15">
        <f>IF(OR(J213="",F213=""),"",IF(F213&lt;=0,"",IFERROR(J213/F213-1,"")))</f>
        <v/>
      </c>
      <c r="M215" s="15">
        <f>IF(OR(M213="",I213=""),"",IF(I213&lt;=0,"",IFERROR(M213/I213-1,"")))</f>
        <v/>
      </c>
      <c r="N215" s="15">
        <f>IF(OR(N213="",J213=""),"",IF(J213&lt;=0,"",IFERROR(N213/J213-1,"")))</f>
        <v/>
      </c>
    </row>
    <row r="216">
      <c r="A216" s="18" t="inlineStr">
        <is>
          <t>부문 · Segment Profit Loss</t>
        </is>
      </c>
      <c r="I216" s="20" t="n">
        <v>1244</v>
      </c>
      <c r="J216" s="20" t="n">
        <v>2406</v>
      </c>
      <c r="M216" s="20" t="n">
        <v>861</v>
      </c>
      <c r="N216" s="20" t="n">
        <v>-1219</v>
      </c>
    </row>
    <row r="217">
      <c r="A217" s="43" t="inlineStr">
        <is>
          <t>OPM</t>
        </is>
      </c>
      <c r="B217" s="3" t="inlineStr">
        <is>
          <t>영업이익 ÷ 매출</t>
        </is>
      </c>
      <c r="I217" s="15">
        <f>IF(OR(I216="",I171=""),"",IF(I171&lt;=0,"",IFERROR(I216/I171,"")))</f>
        <v/>
      </c>
      <c r="J217" s="15">
        <f>IF(OR(J216="",J171=""),"",IF(J171&lt;=0,"",IFERROR(J216/J171,"")))</f>
        <v/>
      </c>
      <c r="M217" s="15">
        <f>IF(OR(M216="",M171=""),"",IF(M171&lt;=0,"",IFERROR(M216/M171,"")))</f>
        <v/>
      </c>
      <c r="N217" s="15">
        <f>IF(OR(N216="",N171=""),"",IF(N171&lt;=0,"",IFERROR(N216/N171,"")))</f>
        <v/>
      </c>
    </row>
    <row r="218">
      <c r="A218" s="43" t="inlineStr">
        <is>
          <t>YoY</t>
        </is>
      </c>
      <c r="B218" s="3" t="inlineStr">
        <is>
          <t>전년 같은 분기·전년 대비</t>
        </is>
      </c>
      <c r="I218" s="15">
        <f>IF(OR(I216="",E216=""),"",IF(E216&lt;=0,"",IFERROR(I216/E216-1,"")))</f>
        <v/>
      </c>
      <c r="J218" s="15">
        <f>IF(OR(J216="",F216=""),"",IF(F216&lt;=0,"",IFERROR(J216/F216-1,"")))</f>
        <v/>
      </c>
      <c r="M218" s="15">
        <f>IF(OR(M216="",I216=""),"",IF(I216&lt;=0,"",IFERROR(M216/I216-1,"")))</f>
        <v/>
      </c>
      <c r="N218" s="15">
        <f>IF(OR(N216="",J216=""),"",IF(J216&lt;=0,"",IFERROR(N216/J216-1,"")))</f>
        <v/>
      </c>
    </row>
    <row r="219">
      <c r="A219" s="18" t="inlineStr">
        <is>
          <t>부문 · Segment Profit Loss</t>
        </is>
      </c>
      <c r="I219" s="20" t="n">
        <v>8941</v>
      </c>
      <c r="J219" s="20" t="n">
        <v>15061</v>
      </c>
      <c r="M219" s="20" t="n">
        <v>16225</v>
      </c>
      <c r="N219" s="20" t="n">
        <v>16740</v>
      </c>
    </row>
    <row r="220">
      <c r="A220" s="43" t="inlineStr">
        <is>
          <t>OPM</t>
        </is>
      </c>
      <c r="B220" s="3" t="inlineStr">
        <is>
          <t>영업이익 ÷ 매출</t>
        </is>
      </c>
      <c r="I220" s="15">
        <f>IF(OR(I219="",I173=""),"",IF(I173&lt;=0,"",IFERROR(I219/I173,"")))</f>
        <v/>
      </c>
      <c r="J220" s="15">
        <f>IF(OR(J219="",J173=""),"",IF(J173&lt;=0,"",IFERROR(J219/J173,"")))</f>
        <v/>
      </c>
      <c r="M220" s="15">
        <f>IF(OR(M219="",M173=""),"",IF(M173&lt;=0,"",IFERROR(M219/M173,"")))</f>
        <v/>
      </c>
      <c r="N220" s="15">
        <f>IF(OR(N219="",N173=""),"",IF(N173&lt;=0,"",IFERROR(N219/N173,"")))</f>
        <v/>
      </c>
    </row>
    <row r="221">
      <c r="A221" s="43" t="inlineStr">
        <is>
          <t>YoY</t>
        </is>
      </c>
      <c r="B221" s="3" t="inlineStr">
        <is>
          <t>전년 같은 분기·전년 대비</t>
        </is>
      </c>
      <c r="I221" s="15">
        <f>IF(OR(I219="",E219=""),"",IF(E219&lt;=0,"",IFERROR(I219/E219-1,"")))</f>
        <v/>
      </c>
      <c r="J221" s="15">
        <f>IF(OR(J219="",F219=""),"",IF(F219&lt;=0,"",IFERROR(J219/F219-1,"")))</f>
        <v/>
      </c>
      <c r="M221" s="15">
        <f>IF(OR(M219="",I219=""),"",IF(I219&lt;=0,"",IFERROR(M219/I219-1,"")))</f>
        <v/>
      </c>
      <c r="N221" s="15">
        <f>IF(OR(N219="",J219=""),"",IF(J219&lt;=0,"",IFERROR(N219/J219-1,"")))</f>
        <v/>
      </c>
    </row>
    <row r="222">
      <c r="A222" s="18" t="inlineStr">
        <is>
          <t>OtherReportableSegmentsMember · Segment Profit Loss</t>
        </is>
      </c>
      <c r="I222" s="20" t="n">
        <v>5253</v>
      </c>
      <c r="J222" s="20" t="n">
        <v>7761</v>
      </c>
      <c r="M222" s="20" t="n">
        <v>4867</v>
      </c>
      <c r="N222" s="20" t="n">
        <v>13406</v>
      </c>
    </row>
    <row r="223">
      <c r="A223" s="43" t="inlineStr">
        <is>
          <t>OPM</t>
        </is>
      </c>
      <c r="B223" s="3" t="inlineStr">
        <is>
          <t>영업이익 ÷ 매출</t>
        </is>
      </c>
      <c r="I223" s="15">
        <f>IF(OR(I222="",I175=""),"",IF(I175&lt;=0,"",IFERROR(I222/I175,"")))</f>
        <v/>
      </c>
      <c r="J223" s="15">
        <f>IF(OR(J222="",J175=""),"",IF(J175&lt;=0,"",IFERROR(J222/J175,"")))</f>
        <v/>
      </c>
      <c r="M223" s="15">
        <f>IF(OR(M222="",M175=""),"",IF(M175&lt;=0,"",IFERROR(M222/M175,"")))</f>
        <v/>
      </c>
      <c r="N223" s="15">
        <f>IF(OR(N222="",N175=""),"",IF(N175&lt;=0,"",IFERROR(N222/N175,"")))</f>
        <v/>
      </c>
    </row>
    <row r="224">
      <c r="A224" s="43" t="inlineStr">
        <is>
          <t>YoY</t>
        </is>
      </c>
      <c r="B224" s="3" t="inlineStr">
        <is>
          <t>전년 같은 분기·전년 대비</t>
        </is>
      </c>
      <c r="I224" s="15">
        <f>IF(OR(I222="",E222=""),"",IF(E222&lt;=0,"",IFERROR(I222/E222-1,"")))</f>
        <v/>
      </c>
      <c r="J224" s="15">
        <f>IF(OR(J222="",F222=""),"",IF(F222&lt;=0,"",IFERROR(J222/F222-1,"")))</f>
        <v/>
      </c>
      <c r="M224" s="15">
        <f>IF(OR(M222="",I222=""),"",IF(I222&lt;=0,"",IFERROR(M222/I222-1,"")))</f>
        <v/>
      </c>
      <c r="N224" s="15">
        <f>IF(OR(N222="",J222=""),"",IF(J222&lt;=0,"",IFERROR(N222/J222-1,"")))</f>
        <v/>
      </c>
    </row>
    <row r="225">
      <c r="A225" s="18" t="inlineStr">
        <is>
          <t>보고부문 합계 · Segment Profit Loss</t>
        </is>
      </c>
      <c r="I225" s="20" t="n">
        <v>105428</v>
      </c>
      <c r="J225" s="20" t="n">
        <v>122196</v>
      </c>
      <c r="M225" s="20" t="n">
        <v>162345</v>
      </c>
      <c r="N225" s="20" t="n">
        <v>214153</v>
      </c>
    </row>
    <row r="226">
      <c r="A226" s="43" t="inlineStr">
        <is>
          <t>OPM</t>
        </is>
      </c>
      <c r="B226" s="3" t="inlineStr">
        <is>
          <t>영업이익 ÷ 매출</t>
        </is>
      </c>
      <c r="I226" s="15">
        <f>IF(OR(I225="",I177=""),"",IF(I177&lt;=0,"",IFERROR(I225/I177,"")))</f>
        <v/>
      </c>
      <c r="J226" s="15">
        <f>IF(OR(J225="",J177=""),"",IF(J177&lt;=0,"",IFERROR(J225/J177,"")))</f>
        <v/>
      </c>
      <c r="M226" s="15">
        <f>IF(OR(M225="",M177=""),"",IF(M177&lt;=0,"",IFERROR(M225/M177,"")))</f>
        <v/>
      </c>
      <c r="N226" s="15">
        <f>IF(OR(N225="",N177=""),"",IF(N177&lt;=0,"",IFERROR(N225/N177,"")))</f>
        <v/>
      </c>
    </row>
    <row r="227">
      <c r="A227" s="43" t="inlineStr">
        <is>
          <t>YoY</t>
        </is>
      </c>
      <c r="B227" s="3" t="inlineStr">
        <is>
          <t>전년 같은 분기·전년 대비</t>
        </is>
      </c>
      <c r="I227" s="15">
        <f>IF(OR(I225="",E225=""),"",IF(E225&lt;=0,"",IFERROR(I225/E225-1,"")))</f>
        <v/>
      </c>
      <c r="J227" s="15">
        <f>IF(OR(J225="",F225=""),"",IF(F225&lt;=0,"",IFERROR(J225/F225-1,"")))</f>
        <v/>
      </c>
      <c r="M227" s="15">
        <f>IF(OR(M225="",I225=""),"",IF(I225&lt;=0,"",IFERROR(M225/I225-1,"")))</f>
        <v/>
      </c>
      <c r="N227" s="15">
        <f>IF(OR(N225="",J225=""),"",IF(J225&lt;=0,"",IFERROR(N225/J225-1,"")))</f>
        <v/>
      </c>
    </row>
    <row r="228">
      <c r="A228" s="18" t="inlineStr">
        <is>
          <t>조정액 · Segment Profit Loss</t>
        </is>
      </c>
      <c r="I228" s="20" t="n">
        <v>-11577</v>
      </c>
      <c r="J228" s="20" t="n">
        <v>-11491</v>
      </c>
      <c r="M228" s="20" t="n">
        <v>-18027</v>
      </c>
      <c r="N228" s="20" t="n">
        <v>-13693</v>
      </c>
    </row>
    <row r="229">
      <c r="A229" s="18" t="inlineStr">
        <is>
          <t>Segment Profit Loss</t>
        </is>
      </c>
      <c r="I229" s="20" t="n">
        <v>93851</v>
      </c>
      <c r="J229" s="20" t="n">
        <v>110705</v>
      </c>
      <c r="M229" s="20" t="n">
        <v>144318</v>
      </c>
      <c r="N229" s="20" t="n">
        <v>200460</v>
      </c>
    </row>
    <row r="230">
      <c r="A230" s="18" t="inlineStr">
        <is>
          <t>Gain Loss On Sale Of Businesses And Assets Segment Information</t>
        </is>
      </c>
      <c r="I230" s="20" t="n">
        <v>15764</v>
      </c>
      <c r="J230" s="20" t="n">
        <v>124</v>
      </c>
      <c r="M230" s="20" t="n">
        <v>2514</v>
      </c>
      <c r="N230" s="20" t="n">
        <v>20945</v>
      </c>
    </row>
    <row r="231">
      <c r="A231" s="18" t="inlineStr">
        <is>
          <t>특별퇴직금</t>
        </is>
      </c>
      <c r="M231" s="20" t="n">
        <v>-9904</v>
      </c>
      <c r="N231" s="20" t="n">
        <v>-522</v>
      </c>
    </row>
    <row r="232">
      <c r="A232" s="18" t="inlineStr">
        <is>
          <t>기타</t>
        </is>
      </c>
      <c r="I232" s="20" t="n">
        <v>2357</v>
      </c>
      <c r="J232" s="20" t="n">
        <v>1565</v>
      </c>
      <c r="M232" s="20" t="n">
        <v>2573</v>
      </c>
      <c r="N232" s="20" t="n">
        <v>-2272</v>
      </c>
    </row>
    <row r="233">
      <c r="A233" s="18" t="inlineStr">
        <is>
          <t>영업이익</t>
        </is>
      </c>
      <c r="C233" s="20" t="n">
        <v>86494</v>
      </c>
      <c r="D233" s="20" t="n">
        <v>106192</v>
      </c>
      <c r="E233" s="20" t="n">
        <v>58659</v>
      </c>
      <c r="F233" s="20" t="n">
        <v>118023</v>
      </c>
      <c r="G233" s="20" t="n">
        <v>126873</v>
      </c>
      <c r="H233" s="20" t="n">
        <v>88295</v>
      </c>
      <c r="I233" s="20" t="n">
        <v>111972</v>
      </c>
      <c r="J233" s="20" t="n">
        <v>112394</v>
      </c>
      <c r="K233" s="20" t="n">
        <v>70391</v>
      </c>
      <c r="L233" s="20" t="n">
        <v>138338</v>
      </c>
      <c r="M233" s="20" t="n">
        <v>139501</v>
      </c>
      <c r="N233" s="20" t="n">
        <v>218611</v>
      </c>
      <c r="V233" s="20" t="n">
        <v>106192</v>
      </c>
      <c r="W233" s="20" t="n">
        <v>88295</v>
      </c>
      <c r="X233" s="20" t="n">
        <v>138338</v>
      </c>
    </row>
    <row r="234">
      <c r="A234" s="43" t="inlineStr">
        <is>
          <t>OPM</t>
        </is>
      </c>
      <c r="B234" s="3" t="inlineStr">
        <is>
          <t>영업이익 ÷ 매출</t>
        </is>
      </c>
      <c r="C234" s="15">
        <f>IF(OR(C233="",C180=""),"",IF(C180&lt;=0,"",IFERROR(C233/C180,"")))</f>
        <v/>
      </c>
      <c r="D234" s="15">
        <f>IF(OR(D233="",D180=""),"",IF(D180&lt;=0,"",IFERROR(D233/D180,"")))</f>
        <v/>
      </c>
      <c r="E234" s="15">
        <f>IF(OR(E233="",E180=""),"",IF(E180&lt;=0,"",IFERROR(E233/E180,"")))</f>
        <v/>
      </c>
      <c r="F234" s="15">
        <f>IF(OR(F233="",F180=""),"",IF(F180&lt;=0,"",IFERROR(F233/F180,"")))</f>
        <v/>
      </c>
      <c r="G234" s="15">
        <f>IF(OR(G233="",G180=""),"",IF(G180&lt;=0,"",IFERROR(G233/G180,"")))</f>
        <v/>
      </c>
      <c r="H234" s="15">
        <f>IF(OR(H233="",H180=""),"",IF(H180&lt;=0,"",IFERROR(H233/H180,"")))</f>
        <v/>
      </c>
      <c r="I234" s="15">
        <f>IF(OR(I233="",I180=""),"",IF(I180&lt;=0,"",IFERROR(I233/I180,"")))</f>
        <v/>
      </c>
      <c r="J234" s="15">
        <f>IF(OR(J233="",J180=""),"",IF(J180&lt;=0,"",IFERROR(J233/J180,"")))</f>
        <v/>
      </c>
      <c r="K234" s="15">
        <f>IF(OR(K233="",K180=""),"",IF(K180&lt;=0,"",IFERROR(K233/K180,"")))</f>
        <v/>
      </c>
      <c r="L234" s="15">
        <f>IF(OR(L233="",L180=""),"",IF(L180&lt;=0,"",IFERROR(L233/L180,"")))</f>
        <v/>
      </c>
      <c r="M234" s="15">
        <f>IF(OR(M233="",M180=""),"",IF(M180&lt;=0,"",IFERROR(M233/M180,"")))</f>
        <v/>
      </c>
      <c r="N234" s="15">
        <f>IF(OR(N233="",N180=""),"",IF(N180&lt;=0,"",IFERROR(N233/N180,"")))</f>
        <v/>
      </c>
      <c r="V234" s="15">
        <f>IF(OR(V233="",V180=""),"",IF(V180&lt;=0,"",IFERROR(V233/V180,"")))</f>
        <v/>
      </c>
      <c r="W234" s="15">
        <f>IF(OR(W233="",W180=""),"",IF(W180&lt;=0,"",IFERROR(W233/W180,"")))</f>
        <v/>
      </c>
      <c r="X234" s="15">
        <f>IF(OR(X233="",X180=""),"",IF(X180&lt;=0,"",IFERROR(X233/X180,"")))</f>
        <v/>
      </c>
    </row>
    <row r="235">
      <c r="A235" s="43" t="inlineStr">
        <is>
          <t>YoY</t>
        </is>
      </c>
      <c r="B235" s="3" t="inlineStr">
        <is>
          <t>전년 같은 분기·전년 대비</t>
        </is>
      </c>
      <c r="G235" s="15">
        <f>IF(OR(G233="",C233=""),"",IF(C233&lt;=0,"",IFERROR(G233/C233-1,"")))</f>
        <v/>
      </c>
      <c r="H235" s="15">
        <f>IF(OR(H233="",D233=""),"",IF(D233&lt;=0,"",IFERROR(H233/D233-1,"")))</f>
        <v/>
      </c>
      <c r="I235" s="15">
        <f>IF(OR(I233="",E233=""),"",IF(E233&lt;=0,"",IFERROR(I233/E233-1,"")))</f>
        <v/>
      </c>
      <c r="J235" s="15">
        <f>IF(OR(J233="",F233=""),"",IF(F233&lt;=0,"",IFERROR(J233/F233-1,"")))</f>
        <v/>
      </c>
      <c r="K235" s="15">
        <f>IF(OR(K233="",G233=""),"",IF(G233&lt;=0,"",IFERROR(K233/G233-1,"")))</f>
        <v/>
      </c>
      <c r="L235" s="15">
        <f>IF(OR(L233="",H233=""),"",IF(H233&lt;=0,"",IFERROR(L233/H233-1,"")))</f>
        <v/>
      </c>
      <c r="M235" s="15">
        <f>IF(OR(M233="",I233=""),"",IF(I233&lt;=0,"",IFERROR(M233/I233-1,"")))</f>
        <v/>
      </c>
      <c r="N235" s="15">
        <f>IF(OR(N233="",J233=""),"",IF(J233&lt;=0,"",IFERROR(N233/J233-1,"")))</f>
        <v/>
      </c>
      <c r="V235" s="15">
        <f>IF(OR(V233="",U233=""),"",IF(U233&lt;=0,"",IFERROR(V233/U233-1,"")))</f>
        <v/>
      </c>
      <c r="W235" s="15">
        <f>IF(OR(W233="",V233=""),"",IF(V233&lt;=0,"",IFERROR(W233/V233-1,"")))</f>
        <v/>
      </c>
      <c r="X235" s="15">
        <f>IF(OR(X233="",W233=""),"",IF(W233&lt;=0,"",IFERROR(X233/W233-1,"")))</f>
        <v/>
      </c>
    </row>
    <row r="237">
      <c r="A237" s="16" t="inlineStr">
        <is>
          <t>현금흐름표 · 전 항목</t>
        </is>
      </c>
      <c r="B237" s="42" t="inlineStr">
        <is>
          <t>분기 = 결산기 첫날부터 누계(공시 그대로)</t>
        </is>
      </c>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c r="AA237" s="16" t="n"/>
      <c r="AB237" s="16" t="n"/>
      <c r="AC237" s="16" t="n"/>
    </row>
    <row r="238">
      <c r="A238" s="5" t="inlineStr">
        <is>
          <t>항목</t>
        </is>
      </c>
      <c r="B238" s="5" t="inlineStr">
        <is>
          <t>참고</t>
        </is>
      </c>
      <c r="C238" s="5" t="inlineStr">
        <is>
          <t>2024.3Q</t>
        </is>
      </c>
      <c r="D238" s="5" t="inlineStr">
        <is>
          <t>2024.4Q</t>
        </is>
      </c>
      <c r="E238" s="5" t="inlineStr">
        <is>
          <t>2025.1Q</t>
        </is>
      </c>
      <c r="F238" s="5" t="inlineStr">
        <is>
          <t>2025.2Q</t>
        </is>
      </c>
      <c r="G238" s="5" t="inlineStr">
        <is>
          <t>2025.3Q</t>
        </is>
      </c>
      <c r="H238" s="5" t="inlineStr">
        <is>
          <t>2025.4Q</t>
        </is>
      </c>
      <c r="I238" s="5" t="inlineStr">
        <is>
          <t>2026.1Q</t>
        </is>
      </c>
      <c r="J238" s="5" t="inlineStr">
        <is>
          <t>2026.2Q</t>
        </is>
      </c>
      <c r="K238" s="5" t="inlineStr">
        <is>
          <t>2026.3Q</t>
        </is>
      </c>
      <c r="L238" s="5" t="inlineStr">
        <is>
          <t>2026.4Q</t>
        </is>
      </c>
      <c r="M238" s="5" t="inlineStr">
        <is>
          <t>2027.1Q</t>
        </is>
      </c>
      <c r="N238" s="5" t="inlineStr">
        <is>
          <t>2027.2Q</t>
        </is>
      </c>
      <c r="O238" s="5" t="inlineStr">
        <is>
          <t>2017</t>
        </is>
      </c>
      <c r="P238" s="5" t="inlineStr">
        <is>
          <t>2018</t>
        </is>
      </c>
      <c r="Q238" s="5" t="inlineStr">
        <is>
          <t>2019</t>
        </is>
      </c>
      <c r="R238" s="5" t="inlineStr">
        <is>
          <t>2020</t>
        </is>
      </c>
      <c r="S238" s="5" t="inlineStr">
        <is>
          <t>2021</t>
        </is>
      </c>
      <c r="T238" s="5" t="inlineStr">
        <is>
          <t>2022</t>
        </is>
      </c>
      <c r="U238" s="5" t="inlineStr">
        <is>
          <t>2023</t>
        </is>
      </c>
      <c r="V238" s="5" t="inlineStr">
        <is>
          <t>2024</t>
        </is>
      </c>
      <c r="W238" s="5" t="inlineStr">
        <is>
          <t>2025</t>
        </is>
      </c>
      <c r="X238" s="5" t="inlineStr">
        <is>
          <t>2026</t>
        </is>
      </c>
      <c r="Y238" s="5" t="inlineStr">
        <is>
          <t>2027(MW)</t>
        </is>
      </c>
      <c r="Z238" s="5" t="inlineStr">
        <is>
          <t>2028(MW)</t>
        </is>
      </c>
      <c r="AA238" s="5" t="inlineStr">
        <is>
          <t>2029(MW)</t>
        </is>
      </c>
      <c r="AB238" s="5" t="inlineStr">
        <is>
          <t>2030(MW)</t>
        </is>
      </c>
      <c r="AC238" s="5" t="inlineStr">
        <is>
          <t>2031(MW)</t>
        </is>
      </c>
    </row>
    <row r="239">
      <c r="A239" s="9" t="inlineStr">
        <is>
          <t>순이익</t>
        </is>
      </c>
      <c r="C239" s="12" t="n">
        <v>196416</v>
      </c>
      <c r="D239" s="12" t="n">
        <v>296945</v>
      </c>
      <c r="E239" s="12" t="n">
        <v>54374</v>
      </c>
      <c r="F239" s="12" t="n">
        <v>132062</v>
      </c>
      <c r="G239" s="12" t="n">
        <v>267823</v>
      </c>
      <c r="H239" s="12" t="n">
        <v>346916</v>
      </c>
      <c r="I239" s="12" t="n">
        <v>96518</v>
      </c>
      <c r="J239" s="12" t="n">
        <v>202290</v>
      </c>
      <c r="K239" s="12" t="n">
        <v>317846</v>
      </c>
      <c r="L239" s="12" t="n">
        <v>433770</v>
      </c>
      <c r="M239" s="12" t="n">
        <v>115186</v>
      </c>
      <c r="N239" s="12" t="n">
        <v>313736</v>
      </c>
      <c r="P239" s="12" t="n">
        <v>266399</v>
      </c>
      <c r="Q239" s="12" t="n">
        <v>237654</v>
      </c>
      <c r="R239" s="12" t="n">
        <v>233512</v>
      </c>
      <c r="S239" s="12" t="n">
        <v>201683</v>
      </c>
      <c r="T239" s="12" t="n">
        <v>217885</v>
      </c>
      <c r="U239" s="12" t="n">
        <v>224944</v>
      </c>
      <c r="V239" s="12" t="n">
        <v>296945</v>
      </c>
      <c r="W239" s="12" t="n">
        <v>346916</v>
      </c>
      <c r="X239" s="12" t="n">
        <v>433770</v>
      </c>
    </row>
    <row r="240">
      <c r="A240" s="18" t="inlineStr">
        <is>
          <t>감가상각비 및 상각비</t>
        </is>
      </c>
      <c r="C240" s="20" t="n">
        <v>148511</v>
      </c>
      <c r="D240" s="20" t="n">
        <v>200829</v>
      </c>
      <c r="E240" s="20" t="n">
        <v>50227</v>
      </c>
      <c r="F240" s="20" t="n">
        <v>102850</v>
      </c>
      <c r="G240" s="20" t="n">
        <v>159565</v>
      </c>
      <c r="H240" s="20" t="n">
        <v>221428</v>
      </c>
      <c r="I240" s="20" t="n">
        <v>50914</v>
      </c>
      <c r="J240" s="20" t="n">
        <v>107841</v>
      </c>
      <c r="K240" s="20" t="n">
        <v>167820</v>
      </c>
      <c r="L240" s="20" t="n">
        <v>233784</v>
      </c>
      <c r="M240" s="20" t="n">
        <v>50521</v>
      </c>
      <c r="N240" s="20" t="n">
        <v>104458</v>
      </c>
      <c r="P240" s="20" t="n">
        <v>181474</v>
      </c>
      <c r="Q240" s="20" t="n">
        <v>178892</v>
      </c>
      <c r="R240" s="20" t="n">
        <v>212018</v>
      </c>
      <c r="S240" s="20" t="n">
        <v>221146</v>
      </c>
      <c r="T240" s="20" t="n">
        <v>210893</v>
      </c>
      <c r="U240" s="20" t="n">
        <v>238855</v>
      </c>
      <c r="V240" s="20" t="n">
        <v>200829</v>
      </c>
      <c r="W240" s="20" t="n">
        <v>221428</v>
      </c>
      <c r="X240" s="20" t="n">
        <v>233784</v>
      </c>
    </row>
    <row r="241">
      <c r="A241" s="18" t="inlineStr">
        <is>
          <t>Decrease Increase In Trade Receivables And Contract Assets Ope CF</t>
        </is>
      </c>
      <c r="P241" s="20" t="n">
        <v>-32348</v>
      </c>
      <c r="Q241" s="20" t="n">
        <v>-40780</v>
      </c>
      <c r="R241" s="20" t="n">
        <v>-24257</v>
      </c>
    </row>
    <row r="242">
      <c r="A242" s="18" t="inlineStr">
        <is>
          <t>손상차손</t>
        </is>
      </c>
      <c r="C242" s="20" t="n">
        <v>1439</v>
      </c>
      <c r="D242" s="20" t="n">
        <v>9853</v>
      </c>
      <c r="E242" s="20" t="n">
        <v>0</v>
      </c>
      <c r="F242" s="20" t="n">
        <v>99</v>
      </c>
      <c r="G242" s="20" t="n">
        <v>108</v>
      </c>
      <c r="H242" s="20" t="n">
        <v>10117</v>
      </c>
      <c r="J242" s="20" t="n">
        <v>77</v>
      </c>
      <c r="K242" s="20" t="n">
        <v>416</v>
      </c>
      <c r="L242" s="20" t="n">
        <v>867</v>
      </c>
      <c r="N242" s="20" t="n">
        <v>578</v>
      </c>
      <c r="V242" s="20" t="n">
        <v>9853</v>
      </c>
      <c r="W242" s="20" t="n">
        <v>10117</v>
      </c>
      <c r="X242" s="20" t="n">
        <v>867</v>
      </c>
    </row>
    <row r="243">
      <c r="A243" s="18" t="inlineStr">
        <is>
          <t>Loss Gain From Sales And Disposal Of Property Plant And Equipment Net</t>
        </is>
      </c>
      <c r="D243" s="20" t="n">
        <v>-22876</v>
      </c>
      <c r="H243" s="20" t="n">
        <v>2232</v>
      </c>
      <c r="L243" s="20" t="n">
        <v>-6561</v>
      </c>
      <c r="V243" s="20" t="n">
        <v>-22876</v>
      </c>
      <c r="W243" s="20" t="n">
        <v>2232</v>
      </c>
      <c r="X243" s="20" t="n">
        <v>-6561</v>
      </c>
    </row>
    <row r="244">
      <c r="A244" s="18" t="inlineStr">
        <is>
          <t>Loss Gain From Sales And Disposal Of Property Plant And Equipment Net Ope CF</t>
        </is>
      </c>
      <c r="C244" s="20" t="n">
        <v>2265</v>
      </c>
      <c r="E244" s="20" t="n">
        <v>12</v>
      </c>
      <c r="F244" s="20" t="n">
        <v>85</v>
      </c>
      <c r="G244" s="20" t="n">
        <v>973</v>
      </c>
      <c r="I244" s="20" t="n">
        <v>-1765</v>
      </c>
      <c r="J244" s="20" t="n">
        <v>-1797</v>
      </c>
      <c r="K244" s="20" t="n">
        <v>-4735</v>
      </c>
      <c r="M244" s="20" t="n">
        <v>-2056</v>
      </c>
      <c r="N244" s="20" t="n">
        <v>-1915</v>
      </c>
    </row>
    <row r="245">
      <c r="A245" s="18" t="inlineStr">
        <is>
          <t>법인소득세 비용</t>
        </is>
      </c>
      <c r="C245" s="20" t="n">
        <v>52607</v>
      </c>
      <c r="D245" s="20" t="n">
        <v>68908</v>
      </c>
      <c r="E245" s="20" t="n">
        <v>21751</v>
      </c>
      <c r="F245" s="20" t="n">
        <v>44682</v>
      </c>
      <c r="G245" s="20" t="n">
        <v>76810</v>
      </c>
      <c r="H245" s="20" t="n">
        <v>90349</v>
      </c>
      <c r="I245" s="20" t="n">
        <v>27558</v>
      </c>
      <c r="J245" s="20" t="n">
        <v>51685</v>
      </c>
      <c r="K245" s="20" t="n">
        <v>61533</v>
      </c>
      <c r="L245" s="20" t="n">
        <v>92307</v>
      </c>
      <c r="M245" s="20" t="n">
        <v>41891</v>
      </c>
      <c r="N245" s="20" t="n">
        <v>89817</v>
      </c>
      <c r="V245" s="20" t="n">
        <v>68908</v>
      </c>
      <c r="W245" s="20" t="n">
        <v>90349</v>
      </c>
      <c r="X245" s="20" t="n">
        <v>92307</v>
      </c>
    </row>
    <row r="246">
      <c r="A246" s="18" t="inlineStr">
        <is>
          <t>지분법이익</t>
        </is>
      </c>
      <c r="C246" s="20" t="n">
        <v>-21066</v>
      </c>
      <c r="D246" s="20" t="n">
        <v>-27815</v>
      </c>
      <c r="E246" s="20" t="n">
        <v>-5605</v>
      </c>
      <c r="F246" s="20" t="n">
        <v>-14357</v>
      </c>
      <c r="G246" s="20" t="n">
        <v>-29647</v>
      </c>
      <c r="H246" s="20" t="n">
        <v>-38979</v>
      </c>
      <c r="I246" s="20" t="n">
        <v>-9547</v>
      </c>
      <c r="J246" s="20" t="n">
        <v>-18719</v>
      </c>
      <c r="K246" s="20" t="n">
        <v>-60387</v>
      </c>
      <c r="L246" s="20" t="n">
        <v>-69631</v>
      </c>
      <c r="M246" s="20" t="n">
        <v>-14464</v>
      </c>
      <c r="N246" s="20" t="n">
        <v>-48828</v>
      </c>
      <c r="V246" s="20" t="n">
        <v>-27815</v>
      </c>
      <c r="W246" s="20" t="n">
        <v>-38979</v>
      </c>
      <c r="X246" s="20" t="n">
        <v>-69631</v>
      </c>
    </row>
    <row r="247">
      <c r="A247" s="18" t="inlineStr">
        <is>
          <t>금융수익·금융비용</t>
        </is>
      </c>
      <c r="C247" s="20" t="n">
        <v>-5624</v>
      </c>
      <c r="D247" s="20" t="n">
        <v>-9513</v>
      </c>
      <c r="E247" s="20" t="n">
        <v>-11861</v>
      </c>
      <c r="F247" s="20" t="n">
        <v>14295</v>
      </c>
      <c r="G247" s="20" t="n">
        <v>-11431</v>
      </c>
      <c r="H247" s="20" t="n">
        <v>-6436</v>
      </c>
      <c r="I247" s="20" t="n">
        <v>-2557</v>
      </c>
      <c r="J247" s="20" t="n">
        <v>-10890</v>
      </c>
      <c r="K247" s="20" t="n">
        <v>-24235</v>
      </c>
      <c r="L247" s="20" t="n">
        <v>-23351</v>
      </c>
      <c r="M247" s="20" t="n">
        <v>-3112</v>
      </c>
      <c r="N247" s="20" t="n">
        <v>3387</v>
      </c>
      <c r="V247" s="20" t="n">
        <v>-9513</v>
      </c>
      <c r="W247" s="20" t="n">
        <v>-6436</v>
      </c>
      <c r="X247" s="20" t="n">
        <v>-23351</v>
      </c>
    </row>
    <row r="248">
      <c r="A248" s="18" t="inlineStr">
        <is>
          <t>Gain On Sale Of Subsidiary Ope CF</t>
        </is>
      </c>
      <c r="C248" s="20" t="n">
        <v>0</v>
      </c>
      <c r="D248" s="20" t="n">
        <v>0</v>
      </c>
      <c r="E248" s="20" t="n">
        <v>0</v>
      </c>
      <c r="G248" s="20" t="n">
        <v>-23826</v>
      </c>
      <c r="H248" s="20" t="n">
        <v>-23826</v>
      </c>
      <c r="I248" s="20" t="n">
        <v>-14660</v>
      </c>
      <c r="K248" s="20" t="n">
        <v>-16982</v>
      </c>
      <c r="L248" s="20" t="n">
        <v>-16947</v>
      </c>
      <c r="M248" s="20" t="n">
        <v>0</v>
      </c>
      <c r="V248" s="20" t="n">
        <v>0</v>
      </c>
      <c r="W248" s="20" t="n">
        <v>-23826</v>
      </c>
      <c r="X248" s="20" t="n">
        <v>-16947</v>
      </c>
    </row>
    <row r="249">
      <c r="A249" s="18" t="inlineStr">
        <is>
          <t>Gain On Sale Of Subsidiary</t>
        </is>
      </c>
      <c r="F249" s="20" t="n">
        <v>0</v>
      </c>
      <c r="J249" s="20" t="n">
        <v>-14755</v>
      </c>
      <c r="N249" s="20" t="n">
        <v>-20733</v>
      </c>
    </row>
    <row r="250">
      <c r="A250" s="18" t="inlineStr">
        <is>
          <t>Decrease Increase In Trade Receivables2Ope CF</t>
        </is>
      </c>
      <c r="C250" s="20" t="n">
        <v>220861</v>
      </c>
      <c r="D250" s="20" t="n">
        <v>6268</v>
      </c>
      <c r="E250" s="20" t="n">
        <v>238368</v>
      </c>
      <c r="F250" s="20" t="n">
        <v>200469</v>
      </c>
      <c r="G250" s="20" t="n">
        <v>189328</v>
      </c>
      <c r="H250" s="20" t="n">
        <v>-63839</v>
      </c>
      <c r="I250" s="20" t="n">
        <v>195756</v>
      </c>
      <c r="J250" s="20" t="n">
        <v>231667</v>
      </c>
      <c r="K250" s="20" t="n">
        <v>237407</v>
      </c>
      <c r="L250" s="20" t="n">
        <v>-87527</v>
      </c>
      <c r="M250" s="20" t="n">
        <v>232003</v>
      </c>
      <c r="N250" s="20" t="n">
        <v>218324</v>
      </c>
      <c r="R250" s="20" t="n">
        <v>23956</v>
      </c>
      <c r="S250" s="20" t="n">
        <v>13005</v>
      </c>
      <c r="T250" s="20" t="n">
        <v>-7319</v>
      </c>
      <c r="U250" s="20" t="n">
        <v>-82851</v>
      </c>
      <c r="V250" s="20" t="n">
        <v>6268</v>
      </c>
      <c r="W250" s="20" t="n">
        <v>-63839</v>
      </c>
      <c r="X250" s="20" t="n">
        <v>-87527</v>
      </c>
    </row>
    <row r="251">
      <c r="A251" s="18" t="inlineStr">
        <is>
          <t>Decrease Increase In Contract Assets Ope CF</t>
        </is>
      </c>
      <c r="C251" s="20" t="n">
        <v>-83914</v>
      </c>
      <c r="D251" s="20" t="n">
        <v>-20236</v>
      </c>
      <c r="E251" s="20" t="n">
        <v>-30723</v>
      </c>
      <c r="F251" s="20" t="n">
        <v>-39110</v>
      </c>
      <c r="G251" s="20" t="n">
        <v>-92493</v>
      </c>
      <c r="H251" s="20" t="n">
        <v>-25029</v>
      </c>
      <c r="I251" s="20" t="n">
        <v>-24532</v>
      </c>
      <c r="J251" s="20" t="n">
        <v>-76566</v>
      </c>
      <c r="K251" s="20" t="n">
        <v>-160753</v>
      </c>
      <c r="L251" s="20" t="n">
        <v>-109488</v>
      </c>
      <c r="M251" s="20" t="n">
        <v>-48654</v>
      </c>
      <c r="N251" s="20" t="n">
        <v>-148526</v>
      </c>
      <c r="R251" s="20" t="n">
        <v>-48213</v>
      </c>
      <c r="S251" s="20" t="n">
        <v>70164</v>
      </c>
      <c r="T251" s="20" t="n">
        <v>-12145</v>
      </c>
      <c r="U251" s="20" t="n">
        <v>-6610</v>
      </c>
      <c r="V251" s="20" t="n">
        <v>-20236</v>
      </c>
      <c r="W251" s="20" t="n">
        <v>-25029</v>
      </c>
      <c r="X251" s="20" t="n">
        <v>-109488</v>
      </c>
    </row>
    <row r="252">
      <c r="A252" s="18" t="inlineStr">
        <is>
          <t>Decrease Increase In Inventories Ope CF</t>
        </is>
      </c>
      <c r="C252" s="20" t="n">
        <v>-91849</v>
      </c>
      <c r="D252" s="20" t="n">
        <v>21954</v>
      </c>
      <c r="E252" s="20" t="n">
        <v>-18109</v>
      </c>
      <c r="F252" s="20" t="n">
        <v>-25530</v>
      </c>
      <c r="G252" s="20" t="n">
        <v>-60716</v>
      </c>
      <c r="H252" s="20" t="n">
        <v>216</v>
      </c>
      <c r="I252" s="20" t="n">
        <v>-25936</v>
      </c>
      <c r="J252" s="20" t="n">
        <v>-1118</v>
      </c>
      <c r="K252" s="20" t="n">
        <v>-61528</v>
      </c>
      <c r="L252" s="20" t="n">
        <v>51334</v>
      </c>
      <c r="M252" s="20" t="n">
        <v>-50662</v>
      </c>
      <c r="N252" s="20" t="n">
        <v>-34727</v>
      </c>
      <c r="P252" s="20" t="n">
        <v>-82975</v>
      </c>
      <c r="Q252" s="20" t="n">
        <v>-82718</v>
      </c>
      <c r="R252" s="20" t="n">
        <v>18504</v>
      </c>
      <c r="S252" s="20" t="n">
        <v>-28115</v>
      </c>
      <c r="T252" s="20" t="n">
        <v>-183436</v>
      </c>
      <c r="U252" s="20" t="n">
        <v>-224266</v>
      </c>
      <c r="V252" s="20" t="n">
        <v>21954</v>
      </c>
      <c r="W252" s="20" t="n">
        <v>216</v>
      </c>
      <c r="X252" s="20" t="n">
        <v>51334</v>
      </c>
    </row>
    <row r="253">
      <c r="A253" s="18" t="inlineStr">
        <is>
          <t>Decrease Increase In Other Assets</t>
        </is>
      </c>
      <c r="D253" s="20" t="n">
        <v>2358</v>
      </c>
      <c r="H253" s="20" t="n">
        <v>-23373</v>
      </c>
      <c r="L253" s="20" t="n">
        <v>-30870</v>
      </c>
      <c r="V253" s="20" t="n">
        <v>2358</v>
      </c>
      <c r="W253" s="20" t="n">
        <v>-23373</v>
      </c>
      <c r="X253" s="20" t="n">
        <v>-30870</v>
      </c>
    </row>
    <row r="254">
      <c r="A254" s="18" t="inlineStr">
        <is>
          <t>Decrease Increase In Other Assets Ope CF</t>
        </is>
      </c>
      <c r="C254" s="20" t="n">
        <v>-12841</v>
      </c>
      <c r="E254" s="20" t="n">
        <v>-27378</v>
      </c>
      <c r="F254" s="20" t="n">
        <v>-25550</v>
      </c>
      <c r="G254" s="20" t="n">
        <v>-12528</v>
      </c>
      <c r="I254" s="20" t="n">
        <v>-16456</v>
      </c>
      <c r="J254" s="20" t="n">
        <v>-10268</v>
      </c>
      <c r="K254" s="20" t="n">
        <v>-16010</v>
      </c>
      <c r="M254" s="20" t="n">
        <v>-32240</v>
      </c>
      <c r="N254" s="20" t="n">
        <v>-27731</v>
      </c>
    </row>
    <row r="255">
      <c r="A255" s="18" t="inlineStr">
        <is>
          <t>Increase Decrease In Trade Payables3Ope CF</t>
        </is>
      </c>
      <c r="C255" s="20" t="n">
        <v>-91947</v>
      </c>
      <c r="D255" s="20" t="n">
        <v>-67237</v>
      </c>
      <c r="E255" s="20" t="n">
        <v>-32399</v>
      </c>
      <c r="F255" s="20" t="n">
        <v>-26060</v>
      </c>
      <c r="G255" s="20" t="n">
        <v>-21589</v>
      </c>
      <c r="H255" s="20" t="n">
        <v>14364</v>
      </c>
      <c r="I255" s="20" t="n">
        <v>-37488</v>
      </c>
      <c r="J255" s="20" t="n">
        <v>-49385</v>
      </c>
      <c r="K255" s="20" t="n">
        <v>-62597</v>
      </c>
      <c r="L255" s="20" t="n">
        <v>-31666</v>
      </c>
      <c r="M255" s="20" t="n">
        <v>-12733</v>
      </c>
      <c r="N255" s="20" t="n">
        <v>3141</v>
      </c>
      <c r="P255" s="20" t="n">
        <v>-57717</v>
      </c>
      <c r="Q255" s="20" t="n">
        <v>-20792</v>
      </c>
      <c r="R255" s="20" t="n">
        <v>-28582</v>
      </c>
      <c r="S255" s="20" t="n">
        <v>6938</v>
      </c>
      <c r="T255" s="20" t="n">
        <v>50011</v>
      </c>
      <c r="U255" s="20" t="n">
        <v>35587</v>
      </c>
      <c r="V255" s="20" t="n">
        <v>-67237</v>
      </c>
      <c r="W255" s="20" t="n">
        <v>14364</v>
      </c>
      <c r="X255" s="20" t="n">
        <v>-31666</v>
      </c>
    </row>
    <row r="256">
      <c r="A256" s="18" t="inlineStr">
        <is>
          <t>Increase Decrease In Retirement Benefit Liability Ope CF</t>
        </is>
      </c>
      <c r="C256" s="20" t="n">
        <v>6712</v>
      </c>
      <c r="D256" s="20" t="n">
        <v>-12549</v>
      </c>
      <c r="E256" s="20" t="n">
        <v>7834</v>
      </c>
      <c r="F256" s="20" t="n">
        <v>8412</v>
      </c>
      <c r="G256" s="20" t="n">
        <v>8495</v>
      </c>
      <c r="H256" s="20" t="n">
        <v>-9093</v>
      </c>
      <c r="I256" s="20" t="n">
        <v>5157</v>
      </c>
      <c r="J256" s="20" t="n">
        <v>2467</v>
      </c>
      <c r="K256" s="20" t="n">
        <v>-443</v>
      </c>
      <c r="L256" s="20" t="n">
        <v>-33329</v>
      </c>
      <c r="M256" s="20" t="n">
        <v>314359</v>
      </c>
      <c r="N256" s="20" t="n">
        <v>311419</v>
      </c>
      <c r="V256" s="20" t="n">
        <v>-12549</v>
      </c>
      <c r="W256" s="20" t="n">
        <v>-9093</v>
      </c>
      <c r="X256" s="20" t="n">
        <v>-33329</v>
      </c>
    </row>
    <row r="257">
      <c r="A257" s="18" t="inlineStr">
        <is>
          <t>Increase Decrease In Other Liabilities</t>
        </is>
      </c>
      <c r="D257" s="20" t="n">
        <v>65273</v>
      </c>
      <c r="H257" s="20" t="n">
        <v>55363</v>
      </c>
      <c r="L257" s="20" t="n">
        <v>237678</v>
      </c>
      <c r="V257" s="20" t="n">
        <v>65273</v>
      </c>
      <c r="W257" s="20" t="n">
        <v>55363</v>
      </c>
      <c r="X257" s="20" t="n">
        <v>237678</v>
      </c>
    </row>
    <row r="258">
      <c r="A258" s="18" t="inlineStr">
        <is>
          <t>Increase Decrease In Other Liabilities Ope CF</t>
        </is>
      </c>
      <c r="C258" s="20" t="n">
        <v>-46095</v>
      </c>
      <c r="E258" s="20" t="n">
        <v>-12456</v>
      </c>
      <c r="F258" s="20" t="n">
        <v>-28289</v>
      </c>
      <c r="G258" s="20" t="n">
        <v>-66166</v>
      </c>
      <c r="I258" s="20" t="n">
        <v>-29759</v>
      </c>
      <c r="J258" s="20" t="n">
        <v>-42157</v>
      </c>
      <c r="K258" s="20" t="n">
        <v>9789</v>
      </c>
      <c r="M258" s="20" t="n">
        <v>-129105</v>
      </c>
      <c r="N258" s="20" t="n">
        <v>-122149</v>
      </c>
    </row>
    <row r="259">
      <c r="A259" s="18" t="inlineStr">
        <is>
          <t>기타</t>
        </is>
      </c>
      <c r="C259" s="20" t="n">
        <v>-13813</v>
      </c>
      <c r="D259" s="20" t="n">
        <v>-27293</v>
      </c>
      <c r="E259" s="20" t="n">
        <v>-8222</v>
      </c>
      <c r="F259" s="20" t="n">
        <v>-18774</v>
      </c>
      <c r="G259" s="20" t="n">
        <v>5991</v>
      </c>
      <c r="H259" s="20" t="n">
        <v>2345</v>
      </c>
      <c r="I259" s="20" t="n">
        <v>-2254</v>
      </c>
      <c r="J259" s="20" t="n">
        <v>7486</v>
      </c>
      <c r="K259" s="20" t="n">
        <v>19911</v>
      </c>
      <c r="L259" s="20" t="n">
        <v>13956</v>
      </c>
      <c r="M259" s="20" t="n">
        <v>-238</v>
      </c>
      <c r="N259" s="20" t="n">
        <v>-13429</v>
      </c>
      <c r="P259" s="20" t="n">
        <v>-9065</v>
      </c>
      <c r="Q259" s="20" t="n">
        <v>-32439</v>
      </c>
      <c r="R259" s="20" t="n">
        <v>-15361</v>
      </c>
      <c r="S259" s="20" t="n">
        <v>57298</v>
      </c>
      <c r="T259" s="20" t="n">
        <v>6482</v>
      </c>
      <c r="U259" s="20" t="n">
        <v>-18948</v>
      </c>
      <c r="V259" s="20" t="n">
        <v>-27293</v>
      </c>
      <c r="W259" s="20" t="n">
        <v>2345</v>
      </c>
      <c r="X259" s="20" t="n">
        <v>13956</v>
      </c>
    </row>
    <row r="260">
      <c r="A260" s="18" t="inlineStr">
        <is>
          <t>소계</t>
        </is>
      </c>
      <c r="C260" s="20" t="n">
        <v>261662</v>
      </c>
      <c r="D260" s="20" t="n">
        <v>484869</v>
      </c>
      <c r="E260" s="20" t="n">
        <v>225813</v>
      </c>
      <c r="F260" s="20" t="n">
        <v>325284</v>
      </c>
      <c r="G260" s="20" t="n">
        <v>390697</v>
      </c>
      <c r="H260" s="20" t="n">
        <v>552755</v>
      </c>
      <c r="I260" s="20" t="n">
        <v>210949</v>
      </c>
      <c r="J260" s="20" t="n">
        <v>377858</v>
      </c>
      <c r="K260" s="20" t="n">
        <v>407052</v>
      </c>
      <c r="L260" s="20" t="n">
        <v>654326</v>
      </c>
      <c r="M260" s="20" t="n">
        <v>460696</v>
      </c>
      <c r="N260" s="20" t="n">
        <v>626822</v>
      </c>
      <c r="V260" s="20" t="n">
        <v>484869</v>
      </c>
      <c r="W260" s="20" t="n">
        <v>552755</v>
      </c>
      <c r="X260" s="20" t="n">
        <v>654326</v>
      </c>
    </row>
    <row r="261">
      <c r="A261" s="18" t="inlineStr">
        <is>
          <t>이자 및 배당금 수취</t>
        </is>
      </c>
      <c r="C261" s="20" t="n">
        <v>28494</v>
      </c>
      <c r="D261" s="20" t="n">
        <v>34646</v>
      </c>
      <c r="E261" s="20" t="n">
        <v>12873</v>
      </c>
      <c r="F261" s="20" t="n">
        <v>21665</v>
      </c>
      <c r="G261" s="20" t="n">
        <v>35126</v>
      </c>
      <c r="H261" s="20" t="n">
        <v>38967</v>
      </c>
      <c r="I261" s="20" t="n">
        <v>13262</v>
      </c>
      <c r="J261" s="20" t="n">
        <v>21098</v>
      </c>
      <c r="K261" s="20" t="n">
        <v>30108</v>
      </c>
      <c r="L261" s="20" t="n">
        <v>34295</v>
      </c>
      <c r="M261" s="20" t="n">
        <v>12976</v>
      </c>
      <c r="N261" s="20" t="n">
        <v>21675</v>
      </c>
      <c r="V261" s="20" t="n">
        <v>34646</v>
      </c>
      <c r="W261" s="20" t="n">
        <v>38967</v>
      </c>
      <c r="X261" s="20" t="n">
        <v>34295</v>
      </c>
    </row>
    <row r="262">
      <c r="A262" s="18" t="inlineStr">
        <is>
          <t>이자 지급</t>
        </is>
      </c>
      <c r="C262" s="20" t="n">
        <v>-4794</v>
      </c>
      <c r="D262" s="20" t="n">
        <v>-7363</v>
      </c>
      <c r="E262" s="20" t="n">
        <v>-2044</v>
      </c>
      <c r="F262" s="20" t="n">
        <v>-3880</v>
      </c>
      <c r="G262" s="20" t="n">
        <v>-4659</v>
      </c>
      <c r="H262" s="20" t="n">
        <v>-6773</v>
      </c>
      <c r="I262" s="20" t="n">
        <v>-1700</v>
      </c>
      <c r="J262" s="20" t="n">
        <v>-3649</v>
      </c>
      <c r="K262" s="20" t="n">
        <v>-5094</v>
      </c>
      <c r="L262" s="20" t="n">
        <v>-6857</v>
      </c>
      <c r="M262" s="20" t="n">
        <v>-1768</v>
      </c>
      <c r="N262" s="20" t="n">
        <v>-3591</v>
      </c>
      <c r="V262" s="20" t="n">
        <v>-7363</v>
      </c>
      <c r="W262" s="20" t="n">
        <v>-6773</v>
      </c>
      <c r="X262" s="20" t="n">
        <v>-6857</v>
      </c>
    </row>
    <row r="263">
      <c r="A263" s="18" t="inlineStr">
        <is>
          <t>법인소득세 지급</t>
        </is>
      </c>
      <c r="C263" s="20" t="n">
        <v>-86409</v>
      </c>
      <c r="D263" s="20" t="n">
        <v>-96673</v>
      </c>
      <c r="E263" s="20" t="n">
        <v>-52762</v>
      </c>
      <c r="F263" s="20" t="n">
        <v>-71637</v>
      </c>
      <c r="G263" s="20" t="n">
        <v>-113026</v>
      </c>
      <c r="H263" s="20" t="n">
        <v>-129044</v>
      </c>
      <c r="I263" s="20" t="n">
        <v>-28972</v>
      </c>
      <c r="J263" s="20" t="n">
        <v>-50583</v>
      </c>
      <c r="K263" s="20" t="n">
        <v>-89160</v>
      </c>
      <c r="L263" s="20" t="n">
        <v>-105771</v>
      </c>
      <c r="M263" s="20" t="n">
        <v>-83233</v>
      </c>
      <c r="N263" s="20" t="n">
        <v>-109234</v>
      </c>
      <c r="V263" s="20" t="n">
        <v>-96673</v>
      </c>
      <c r="W263" s="20" t="n">
        <v>-129044</v>
      </c>
      <c r="X263" s="20" t="n">
        <v>-105771</v>
      </c>
    </row>
    <row r="264">
      <c r="A264" s="9" t="inlineStr">
        <is>
          <t>영업활동 현금흐름</t>
        </is>
      </c>
      <c r="C264" s="12" t="n">
        <v>198953</v>
      </c>
      <c r="D264" s="12" t="n">
        <v>415479</v>
      </c>
      <c r="E264" s="12" t="n">
        <v>183880</v>
      </c>
      <c r="F264" s="12" t="n">
        <v>271432</v>
      </c>
      <c r="G264" s="12" t="n">
        <v>308138</v>
      </c>
      <c r="H264" s="12" t="n">
        <v>455905</v>
      </c>
      <c r="I264" s="12" t="n">
        <v>193539</v>
      </c>
      <c r="J264" s="12" t="n">
        <v>344724</v>
      </c>
      <c r="K264" s="12" t="n">
        <v>342906</v>
      </c>
      <c r="L264" s="12" t="n">
        <v>575993</v>
      </c>
      <c r="M264" s="12" t="n">
        <v>388671</v>
      </c>
      <c r="N264" s="12" t="n">
        <v>535672</v>
      </c>
      <c r="P264" s="12" t="n">
        <v>265768</v>
      </c>
      <c r="Q264" s="12" t="n">
        <v>239817</v>
      </c>
      <c r="R264" s="12" t="n">
        <v>395834</v>
      </c>
      <c r="S264" s="12" t="n">
        <v>542119</v>
      </c>
      <c r="T264" s="12" t="n">
        <v>282371</v>
      </c>
      <c r="U264" s="12" t="n">
        <v>166711</v>
      </c>
      <c r="V264" s="12" t="n">
        <v>415479</v>
      </c>
      <c r="W264" s="12" t="n">
        <v>455905</v>
      </c>
      <c r="X264" s="12" t="n">
        <v>575993</v>
      </c>
    </row>
    <row r="265">
      <c r="A265" s="18" t="inlineStr">
        <is>
          <t>유형자산 취득</t>
        </is>
      </c>
      <c r="C265" s="20" t="n">
        <v>-132768</v>
      </c>
      <c r="D265" s="20" t="n">
        <v>-175756</v>
      </c>
      <c r="E265" s="20" t="n">
        <v>-48536</v>
      </c>
      <c r="F265" s="20" t="n">
        <v>-97898</v>
      </c>
      <c r="G265" s="20" t="n">
        <v>-146163</v>
      </c>
      <c r="H265" s="20" t="n">
        <v>-193988</v>
      </c>
      <c r="I265" s="20" t="n">
        <v>-45357</v>
      </c>
      <c r="J265" s="20" t="n">
        <v>-87142</v>
      </c>
      <c r="K265" s="20" t="n">
        <v>-126053</v>
      </c>
      <c r="L265" s="20" t="n">
        <v>-196160</v>
      </c>
      <c r="M265" s="20" t="n">
        <v>-83450</v>
      </c>
      <c r="N265" s="20" t="n">
        <v>-155502</v>
      </c>
      <c r="P265" s="20" t="n">
        <v>-186792</v>
      </c>
      <c r="Q265" s="20" t="n">
        <v>-188042</v>
      </c>
      <c r="R265" s="20" t="n">
        <v>-192833</v>
      </c>
      <c r="S265" s="20" t="n">
        <v>-168920</v>
      </c>
      <c r="T265" s="20" t="n">
        <v>-134337</v>
      </c>
      <c r="U265" s="20" t="n">
        <v>-151117</v>
      </c>
      <c r="V265" s="20" t="n">
        <v>-175756</v>
      </c>
      <c r="W265" s="20" t="n">
        <v>-193988</v>
      </c>
      <c r="X265" s="20" t="n">
        <v>-196160</v>
      </c>
    </row>
    <row r="266">
      <c r="A266" s="18" t="inlineStr">
        <is>
          <t>Proceeds From Sale Of Property Plant And Equipment And Intangible Assets Inv CF</t>
        </is>
      </c>
      <c r="C266" s="20" t="n">
        <v>1177</v>
      </c>
      <c r="D266" s="20" t="n">
        <v>27929</v>
      </c>
      <c r="E266" s="20" t="n">
        <v>965</v>
      </c>
      <c r="F266" s="20" t="n">
        <v>1431</v>
      </c>
      <c r="G266" s="20" t="n">
        <v>2662</v>
      </c>
      <c r="H266" s="20" t="n">
        <v>3476</v>
      </c>
      <c r="I266" s="20" t="n">
        <v>2953</v>
      </c>
      <c r="J266" s="20" t="n">
        <v>4048</v>
      </c>
      <c r="K266" s="20" t="n">
        <v>8251</v>
      </c>
      <c r="L266" s="20" t="n">
        <v>19369</v>
      </c>
      <c r="M266" s="20" t="n">
        <v>3455</v>
      </c>
      <c r="N266" s="20" t="n">
        <v>4309</v>
      </c>
      <c r="P266" s="20" t="n">
        <v>3005</v>
      </c>
      <c r="Q266" s="20" t="n">
        <v>4170</v>
      </c>
      <c r="R266" s="20" t="n">
        <v>19571</v>
      </c>
      <c r="S266" s="20" t="n">
        <v>14226</v>
      </c>
      <c r="T266" s="20" t="n">
        <v>3122</v>
      </c>
      <c r="U266" s="20" t="n">
        <v>31682</v>
      </c>
      <c r="V266" s="20" t="n">
        <v>27929</v>
      </c>
      <c r="W266" s="20" t="n">
        <v>3476</v>
      </c>
      <c r="X266" s="20" t="n">
        <v>19369</v>
      </c>
    </row>
    <row r="267">
      <c r="A267" s="18" t="inlineStr">
        <is>
          <t>무형자산 취득</t>
        </is>
      </c>
      <c r="C267" s="20" t="n">
        <v>-21585</v>
      </c>
      <c r="D267" s="20" t="n">
        <v>-33248</v>
      </c>
      <c r="E267" s="20" t="n">
        <v>-6464</v>
      </c>
      <c r="F267" s="20" t="n">
        <v>-15453</v>
      </c>
      <c r="G267" s="20" t="n">
        <v>-20618</v>
      </c>
      <c r="H267" s="20" t="n">
        <v>-32083</v>
      </c>
      <c r="I267" s="20" t="n">
        <v>-8994</v>
      </c>
      <c r="J267" s="20" t="n">
        <v>-18652</v>
      </c>
      <c r="K267" s="20" t="n">
        <v>-25224</v>
      </c>
      <c r="L267" s="20" t="n">
        <v>-46277</v>
      </c>
      <c r="M267" s="20" t="n">
        <v>-7874</v>
      </c>
      <c r="N267" s="20" t="n">
        <v>-19356</v>
      </c>
      <c r="V267" s="20" t="n">
        <v>-33248</v>
      </c>
      <c r="W267" s="20" t="n">
        <v>-32083</v>
      </c>
      <c r="X267" s="20" t="n">
        <v>-46277</v>
      </c>
    </row>
    <row r="268">
      <c r="A268" s="18" t="inlineStr">
        <is>
          <t>Purchase Of Marketable Securities Inv CF</t>
        </is>
      </c>
      <c r="C268" s="20" t="n">
        <v>-85944</v>
      </c>
      <c r="D268" s="20" t="n">
        <v>-93484</v>
      </c>
      <c r="E268" s="20" t="n">
        <v>-15304</v>
      </c>
      <c r="F268" s="20" t="n">
        <v>-21775</v>
      </c>
      <c r="G268" s="20" t="n">
        <v>-34768</v>
      </c>
      <c r="H268" s="20" t="n">
        <v>-47859</v>
      </c>
      <c r="I268" s="20" t="n">
        <v>-4344</v>
      </c>
      <c r="J268" s="20" t="n">
        <v>-7053</v>
      </c>
      <c r="K268" s="20" t="n">
        <v>-28608</v>
      </c>
      <c r="L268" s="20" t="n">
        <v>-63294</v>
      </c>
      <c r="M268" s="20" t="n">
        <v>-20727</v>
      </c>
      <c r="N268" s="20" t="n">
        <v>-25487</v>
      </c>
      <c r="P268" s="20" t="n">
        <v>-8518</v>
      </c>
      <c r="Q268" s="20" t="n">
        <v>-13304</v>
      </c>
      <c r="R268" s="20" t="n">
        <v>-20019</v>
      </c>
      <c r="S268" s="20" t="n">
        <v>-15903</v>
      </c>
      <c r="T268" s="20" t="n">
        <v>-13558</v>
      </c>
      <c r="U268" s="20" t="n">
        <v>-28345</v>
      </c>
      <c r="V268" s="20" t="n">
        <v>-93484</v>
      </c>
      <c r="W268" s="20" t="n">
        <v>-47859</v>
      </c>
      <c r="X268" s="20" t="n">
        <v>-63294</v>
      </c>
    </row>
    <row r="269">
      <c r="A269" s="18" t="inlineStr">
        <is>
          <t>Proceeds From Sale Of Marketable Securities Inv CF</t>
        </is>
      </c>
      <c r="C269" s="20" t="n">
        <v>41260</v>
      </c>
      <c r="D269" s="20" t="n">
        <v>181663</v>
      </c>
      <c r="E269" s="20" t="n">
        <v>6448</v>
      </c>
      <c r="F269" s="20" t="n">
        <v>15270</v>
      </c>
      <c r="G269" s="20" t="n">
        <v>31819</v>
      </c>
      <c r="H269" s="20" t="n">
        <v>45708</v>
      </c>
      <c r="I269" s="20" t="n">
        <v>25641</v>
      </c>
      <c r="J269" s="20" t="n">
        <v>45228</v>
      </c>
      <c r="K269" s="20" t="n">
        <v>51930</v>
      </c>
      <c r="L269" s="20" t="n">
        <v>70886</v>
      </c>
      <c r="M269" s="20" t="n">
        <v>24510</v>
      </c>
      <c r="N269" s="20" t="n">
        <v>30488</v>
      </c>
      <c r="P269" s="20" t="n">
        <v>35194</v>
      </c>
      <c r="Q269" s="20" t="n">
        <v>11824</v>
      </c>
      <c r="R269" s="20" t="n">
        <v>13687</v>
      </c>
      <c r="S269" s="20" t="n">
        <v>13445</v>
      </c>
      <c r="T269" s="20" t="n">
        <v>53227</v>
      </c>
      <c r="U269" s="20" t="n">
        <v>20669</v>
      </c>
      <c r="V269" s="20" t="n">
        <v>181663</v>
      </c>
      <c r="W269" s="20" t="n">
        <v>45708</v>
      </c>
      <c r="X269" s="20" t="n">
        <v>70886</v>
      </c>
    </row>
    <row r="270">
      <c r="A270" s="18" t="inlineStr">
        <is>
          <t>Payments For Acquisition Of Subsidiaries Inv CF</t>
        </is>
      </c>
      <c r="G270" s="20" t="n">
        <v>-6722</v>
      </c>
      <c r="H270" s="20" t="n">
        <v>-6722</v>
      </c>
      <c r="I270" s="20" t="n">
        <v>-6336</v>
      </c>
      <c r="J270" s="20" t="n">
        <v>-6336</v>
      </c>
      <c r="K270" s="20" t="n">
        <v>-41262</v>
      </c>
      <c r="L270" s="20" t="n">
        <v>-158125</v>
      </c>
      <c r="M270" s="20" t="n">
        <v>-2167</v>
      </c>
      <c r="N270" s="20" t="n">
        <v>-29150</v>
      </c>
      <c r="W270" s="20" t="n">
        <v>-6722</v>
      </c>
      <c r="X270" s="20" t="n">
        <v>-158125</v>
      </c>
    </row>
    <row r="271">
      <c r="A271" s="18" t="inlineStr">
        <is>
          <t>Proceeds From Sale Of Subsidiaries Inv CF</t>
        </is>
      </c>
      <c r="C271" s="20" t="n">
        <v>0</v>
      </c>
      <c r="D271" s="20" t="n">
        <v>0</v>
      </c>
      <c r="E271" s="20" t="n">
        <v>0</v>
      </c>
      <c r="F271" s="20" t="n">
        <v>0</v>
      </c>
      <c r="G271" s="20" t="n">
        <v>40966</v>
      </c>
      <c r="H271" s="20" t="n">
        <v>40966</v>
      </c>
      <c r="I271" s="20" t="n">
        <v>18139</v>
      </c>
      <c r="J271" s="20" t="n">
        <v>19021</v>
      </c>
      <c r="K271" s="20" t="n">
        <v>19276</v>
      </c>
      <c r="L271" s="20" t="n">
        <v>19242</v>
      </c>
      <c r="M271" s="20" t="n">
        <v>0</v>
      </c>
      <c r="N271" s="20" t="n">
        <v>22925</v>
      </c>
      <c r="V271" s="20" t="n">
        <v>0</v>
      </c>
      <c r="W271" s="20" t="n">
        <v>40966</v>
      </c>
      <c r="X271" s="20" t="n">
        <v>19242</v>
      </c>
    </row>
    <row r="272">
      <c r="A272" s="18" t="inlineStr">
        <is>
          <t>기타</t>
        </is>
      </c>
      <c r="C272" s="20" t="n">
        <v>-1172</v>
      </c>
      <c r="D272" s="20" t="n">
        <v>-1223</v>
      </c>
      <c r="E272" s="20" t="n">
        <v>-851</v>
      </c>
      <c r="F272" s="20" t="n">
        <v>-75</v>
      </c>
      <c r="G272" s="20" t="n">
        <v>-1150</v>
      </c>
      <c r="H272" s="20" t="n">
        <v>-1248</v>
      </c>
      <c r="I272" s="20" t="n">
        <v>-1152</v>
      </c>
      <c r="J272" s="20" t="n">
        <v>4116</v>
      </c>
      <c r="K272" s="20" t="n">
        <v>3244</v>
      </c>
      <c r="L272" s="20" t="n">
        <v>9952</v>
      </c>
      <c r="M272" s="20" t="n">
        <v>-906</v>
      </c>
      <c r="N272" s="20" t="n">
        <v>-500</v>
      </c>
      <c r="P272" s="20" t="n">
        <v>-24904</v>
      </c>
      <c r="Q272" s="20" t="n">
        <v>-25316</v>
      </c>
      <c r="R272" s="20" t="n">
        <v>-24403</v>
      </c>
      <c r="S272" s="20" t="n">
        <v>-19400</v>
      </c>
      <c r="T272" s="20" t="n">
        <v>-23321</v>
      </c>
      <c r="U272" s="20" t="n">
        <v>-21422</v>
      </c>
      <c r="V272" s="20" t="n">
        <v>-1223</v>
      </c>
      <c r="W272" s="20" t="n">
        <v>-1248</v>
      </c>
      <c r="X272" s="20" t="n">
        <v>9952</v>
      </c>
    </row>
    <row r="273">
      <c r="A273" s="9" t="inlineStr">
        <is>
          <t>투자활동 현금흐름</t>
        </is>
      </c>
      <c r="C273" s="12" t="n">
        <v>-199032</v>
      </c>
      <c r="D273" s="12" t="n">
        <v>-94119</v>
      </c>
      <c r="E273" s="12" t="n">
        <v>-63742</v>
      </c>
      <c r="F273" s="12" t="n">
        <v>-118500</v>
      </c>
      <c r="G273" s="12" t="n">
        <v>-133974</v>
      </c>
      <c r="H273" s="12" t="n">
        <v>-191750</v>
      </c>
      <c r="I273" s="12" t="n">
        <v>-19450</v>
      </c>
      <c r="J273" s="12" t="n">
        <v>-46770</v>
      </c>
      <c r="K273" s="12" t="n">
        <v>-138446</v>
      </c>
      <c r="L273" s="12" t="n">
        <v>-344407</v>
      </c>
      <c r="M273" s="12" t="n">
        <v>-87159</v>
      </c>
      <c r="N273" s="12" t="n">
        <v>-172273</v>
      </c>
      <c r="P273" s="12" t="n">
        <v>-182015</v>
      </c>
      <c r="Q273" s="12" t="n">
        <v>-210668</v>
      </c>
      <c r="R273" s="12" t="n">
        <v>-203997</v>
      </c>
      <c r="S273" s="12" t="n">
        <v>-176552</v>
      </c>
      <c r="T273" s="12" t="n">
        <v>-114867</v>
      </c>
      <c r="U273" s="12" t="n">
        <v>-148533</v>
      </c>
      <c r="V273" s="12" t="n">
        <v>-94119</v>
      </c>
      <c r="W273" s="12" t="n">
        <v>-191750</v>
      </c>
      <c r="X273" s="12" t="n">
        <v>-344407</v>
      </c>
    </row>
    <row r="274">
      <c r="A274" s="18" t="inlineStr">
        <is>
          <t>Free Cash Flow CF</t>
        </is>
      </c>
      <c r="C274" s="20" t="n">
        <v>-79</v>
      </c>
      <c r="D274" s="20" t="n">
        <v>321360</v>
      </c>
      <c r="E274" s="20" t="n">
        <v>120138</v>
      </c>
      <c r="F274" s="20" t="n">
        <v>152932</v>
      </c>
      <c r="G274" s="20" t="n">
        <v>174164</v>
      </c>
      <c r="H274" s="20" t="n">
        <v>264155</v>
      </c>
      <c r="I274" s="20" t="n">
        <v>174089</v>
      </c>
      <c r="J274" s="20" t="n">
        <v>297954</v>
      </c>
      <c r="K274" s="20" t="n">
        <v>204460</v>
      </c>
      <c r="L274" s="20" t="n">
        <v>231586</v>
      </c>
      <c r="M274" s="20" t="n">
        <v>301512</v>
      </c>
      <c r="N274" s="20" t="n">
        <v>363399</v>
      </c>
      <c r="P274" s="20" t="n">
        <v>83753</v>
      </c>
      <c r="Q274" s="20" t="n">
        <v>29149</v>
      </c>
      <c r="R274" s="20" t="n">
        <v>191837</v>
      </c>
      <c r="S274" s="20" t="n">
        <v>365567</v>
      </c>
      <c r="T274" s="20" t="n">
        <v>167504</v>
      </c>
      <c r="U274" s="20" t="n">
        <v>18178</v>
      </c>
      <c r="V274" s="20" t="n">
        <v>321360</v>
      </c>
      <c r="W274" s="20" t="n">
        <v>264155</v>
      </c>
      <c r="X274" s="20" t="n">
        <v>231586</v>
      </c>
    </row>
    <row r="275">
      <c r="A275" s="18" t="inlineStr">
        <is>
          <t>Proceeds And Repayment Of Bonds And Long Term Borrowings</t>
        </is>
      </c>
      <c r="C275" s="20" t="n">
        <v>41091</v>
      </c>
    </row>
    <row r="276">
      <c r="A276" s="18" t="inlineStr">
        <is>
          <t>Proceeds From Long Term Debt And Repayment Of Long Term Debt Fin CF</t>
        </is>
      </c>
      <c r="D276" s="20" t="n">
        <v>4612</v>
      </c>
      <c r="P276" s="20" t="n">
        <v>-44006</v>
      </c>
      <c r="Q276" s="20" t="n">
        <v>-13534</v>
      </c>
      <c r="R276" s="20" t="n">
        <v>-6326</v>
      </c>
      <c r="S276" s="20" t="n">
        <v>-37389</v>
      </c>
      <c r="T276" s="20" t="n">
        <v>-34689</v>
      </c>
      <c r="U276" s="20" t="n">
        <v>22481</v>
      </c>
      <c r="V276" s="20" t="n">
        <v>4612</v>
      </c>
    </row>
    <row r="277">
      <c r="A277" s="18" t="inlineStr">
        <is>
          <t>Proceeds From Issuance Of Bonds And Long Term Borrowings Fin CF</t>
        </is>
      </c>
      <c r="C277" s="20" t="n">
        <v>50334</v>
      </c>
      <c r="D277" s="20" t="n">
        <v>55386</v>
      </c>
      <c r="E277" s="20" t="n">
        <v>273</v>
      </c>
      <c r="F277" s="20" t="n">
        <v>1357</v>
      </c>
      <c r="G277" s="20" t="n">
        <v>1439</v>
      </c>
      <c r="H277" s="20" t="n">
        <v>25438</v>
      </c>
      <c r="I277" s="20" t="n">
        <v>182</v>
      </c>
      <c r="J277" s="20" t="n">
        <v>218</v>
      </c>
      <c r="K277" s="20" t="n">
        <v>3187</v>
      </c>
      <c r="L277" s="20" t="n">
        <v>3239</v>
      </c>
      <c r="M277" s="20" t="n">
        <v>59</v>
      </c>
      <c r="N277" s="20" t="n">
        <v>240</v>
      </c>
      <c r="V277" s="20" t="n">
        <v>55386</v>
      </c>
      <c r="W277" s="20" t="n">
        <v>25438</v>
      </c>
      <c r="X277" s="20" t="n">
        <v>3239</v>
      </c>
    </row>
    <row r="278">
      <c r="A278" s="18" t="inlineStr">
        <is>
          <t>Redemption Of Bonds And Repayments Of Long Term Borrowings Fin CF</t>
        </is>
      </c>
      <c r="C278" s="20" t="n">
        <v>-9243</v>
      </c>
      <c r="D278" s="20" t="n">
        <v>-50774</v>
      </c>
      <c r="E278" s="20" t="n">
        <v>-236</v>
      </c>
      <c r="F278" s="20" t="n">
        <v>-288</v>
      </c>
      <c r="G278" s="20" t="n">
        <v>-324</v>
      </c>
      <c r="H278" s="20" t="n">
        <v>-28488</v>
      </c>
      <c r="I278" s="20" t="n">
        <v>-246</v>
      </c>
      <c r="J278" s="20" t="n">
        <v>-5818</v>
      </c>
      <c r="K278" s="20" t="n">
        <v>-18826</v>
      </c>
      <c r="L278" s="20" t="n">
        <v>-19956</v>
      </c>
      <c r="M278" s="20" t="n">
        <v>-124</v>
      </c>
      <c r="N278" s="20" t="n">
        <v>-335</v>
      </c>
      <c r="V278" s="20" t="n">
        <v>-50774</v>
      </c>
      <c r="W278" s="20" t="n">
        <v>-28488</v>
      </c>
      <c r="X278" s="20" t="n">
        <v>-19956</v>
      </c>
    </row>
    <row r="279">
      <c r="A279" s="18" t="inlineStr">
        <is>
          <t>Net Increase Decrease In Short Term Borrowings Fin CF</t>
        </is>
      </c>
      <c r="C279" s="20" t="n">
        <v>125813</v>
      </c>
      <c r="D279" s="20" t="n">
        <v>-18315</v>
      </c>
      <c r="E279" s="20" t="n">
        <v>-9855</v>
      </c>
      <c r="F279" s="20" t="n">
        <v>-11664</v>
      </c>
      <c r="G279" s="20" t="n">
        <v>-8861</v>
      </c>
      <c r="H279" s="20" t="n">
        <v>-30333</v>
      </c>
      <c r="I279" s="20" t="n">
        <v>844</v>
      </c>
      <c r="J279" s="20" t="n">
        <v>-11295</v>
      </c>
      <c r="K279" s="20" t="n">
        <v>13070</v>
      </c>
      <c r="L279" s="20" t="n">
        <v>15266</v>
      </c>
      <c r="M279" s="20" t="n">
        <v>-30064</v>
      </c>
      <c r="N279" s="20" t="n">
        <v>-25704</v>
      </c>
      <c r="P279" s="20" t="n">
        <v>-27496</v>
      </c>
      <c r="Q279" s="20" t="n">
        <v>-2077</v>
      </c>
      <c r="R279" s="20" t="n">
        <v>-2093</v>
      </c>
      <c r="S279" s="20" t="n">
        <v>20225</v>
      </c>
      <c r="T279" s="20" t="n">
        <v>1677</v>
      </c>
      <c r="U279" s="20" t="n">
        <v>14340</v>
      </c>
      <c r="V279" s="20" t="n">
        <v>-18315</v>
      </c>
      <c r="W279" s="20" t="n">
        <v>-30333</v>
      </c>
      <c r="X279" s="20" t="n">
        <v>15266</v>
      </c>
    </row>
    <row r="280">
      <c r="A280" s="18" t="inlineStr">
        <is>
          <t>Repayments Of Lease Obligations Fin CF</t>
        </is>
      </c>
      <c r="C280" s="20" t="n">
        <v>-44483</v>
      </c>
      <c r="D280" s="20" t="n">
        <v>-60918</v>
      </c>
      <c r="E280" s="20" t="n">
        <v>-16231</v>
      </c>
      <c r="F280" s="20" t="n">
        <v>-33053</v>
      </c>
      <c r="G280" s="20" t="n">
        <v>-48919</v>
      </c>
      <c r="H280" s="20" t="n">
        <v>-65454</v>
      </c>
      <c r="I280" s="20" t="n">
        <v>-16215</v>
      </c>
      <c r="J280" s="20" t="n">
        <v>-33584</v>
      </c>
      <c r="K280" s="20" t="n">
        <v>-50353</v>
      </c>
      <c r="L280" s="20" t="n">
        <v>-68563</v>
      </c>
      <c r="M280" s="20" t="n">
        <v>-17931</v>
      </c>
      <c r="N280" s="20" t="n">
        <v>-35470</v>
      </c>
      <c r="Q280" s="20" t="n">
        <v>-9358</v>
      </c>
      <c r="R280" s="20" t="n">
        <v>-53947</v>
      </c>
      <c r="S280" s="20" t="n">
        <v>-54992</v>
      </c>
      <c r="T280" s="20" t="n">
        <v>-55896</v>
      </c>
      <c r="U280" s="20" t="n">
        <v>-57959</v>
      </c>
      <c r="V280" s="20" t="n">
        <v>-60918</v>
      </c>
      <c r="W280" s="20" t="n">
        <v>-65454</v>
      </c>
      <c r="X280" s="20" t="n">
        <v>-68563</v>
      </c>
    </row>
    <row r="281">
      <c r="A281" s="18" t="inlineStr">
        <is>
          <t>Dividends Paid Fin CF</t>
        </is>
      </c>
      <c r="C281" s="20" t="n">
        <v>-96949</v>
      </c>
      <c r="D281" s="20" t="n">
        <v>-96949</v>
      </c>
      <c r="E281" s="20" t="n">
        <v>-62702</v>
      </c>
      <c r="F281" s="20" t="n">
        <v>-62702</v>
      </c>
      <c r="G281" s="20" t="n">
        <v>-104316</v>
      </c>
      <c r="H281" s="20" t="n">
        <v>-104316</v>
      </c>
      <c r="I281" s="20" t="n">
        <v>-62318</v>
      </c>
      <c r="J281" s="20" t="n">
        <v>-62318</v>
      </c>
      <c r="K281" s="20" t="n">
        <v>-113621</v>
      </c>
      <c r="L281" s="20" t="n">
        <v>-113621</v>
      </c>
      <c r="M281" s="20" t="n">
        <v>-61432</v>
      </c>
      <c r="N281" s="20" t="n">
        <v>-61432</v>
      </c>
      <c r="P281" s="20" t="n">
        <v>-68696</v>
      </c>
      <c r="Q281" s="20" t="n">
        <v>-85871</v>
      </c>
      <c r="R281" s="20" t="n">
        <v>-85871</v>
      </c>
      <c r="S281" s="20" t="n">
        <v>-77283</v>
      </c>
      <c r="T281" s="20" t="n">
        <v>-85723</v>
      </c>
      <c r="U281" s="20" t="n">
        <v>-84524</v>
      </c>
      <c r="V281" s="20" t="n">
        <v>-96949</v>
      </c>
      <c r="W281" s="20" t="n">
        <v>-104316</v>
      </c>
      <c r="X281" s="20" t="n">
        <v>-113621</v>
      </c>
    </row>
    <row r="282">
      <c r="A282" s="18" t="inlineStr">
        <is>
          <t>Payments For Purchase Of Treasury Shares Fin CF</t>
        </is>
      </c>
      <c r="C282" s="20" t="n">
        <v>-38216</v>
      </c>
      <c r="D282" s="20" t="n">
        <v>-45860</v>
      </c>
      <c r="E282" s="20" t="n">
        <v>-1291</v>
      </c>
      <c r="F282" s="20" t="n">
        <v>-23182</v>
      </c>
      <c r="G282" s="20" t="n">
        <v>-31293</v>
      </c>
      <c r="H282" s="20" t="n">
        <v>-31294</v>
      </c>
      <c r="I282" s="20" t="n">
        <v>-29241</v>
      </c>
      <c r="J282" s="20" t="n">
        <v>-81383</v>
      </c>
      <c r="K282" s="20" t="n">
        <v>-101424</v>
      </c>
      <c r="L282" s="20" t="n">
        <v>-101426</v>
      </c>
      <c r="M282" s="20" t="n">
        <v>-3238</v>
      </c>
      <c r="N282" s="20" t="n">
        <v>-3239</v>
      </c>
      <c r="P282" s="20" t="n">
        <v>-700</v>
      </c>
      <c r="Q282" s="20" t="n">
        <v>-1055</v>
      </c>
      <c r="R282" s="20" t="n">
        <v>-785</v>
      </c>
      <c r="S282" s="20" t="n">
        <v>-367</v>
      </c>
      <c r="T282" s="20" t="n">
        <v>-50526</v>
      </c>
      <c r="U282" s="20" t="n">
        <v>-1575</v>
      </c>
      <c r="V282" s="20" t="n">
        <v>-45860</v>
      </c>
      <c r="W282" s="20" t="n">
        <v>-31294</v>
      </c>
      <c r="X282" s="20" t="n">
        <v>-101426</v>
      </c>
    </row>
    <row r="283">
      <c r="A283" s="18" t="inlineStr">
        <is>
          <t>Proceeds From Sale Of Treasury Shares Fin CF</t>
        </is>
      </c>
      <c r="C283" s="20" t="n">
        <v>0</v>
      </c>
      <c r="D283" s="20" t="n">
        <v>0</v>
      </c>
      <c r="E283" s="20" t="n">
        <v>0</v>
      </c>
      <c r="F283" s="20" t="n">
        <v>0</v>
      </c>
      <c r="G283" s="20" t="n">
        <v>0</v>
      </c>
      <c r="H283" s="20" t="n">
        <v>0</v>
      </c>
      <c r="I283" s="20" t="n">
        <v>0</v>
      </c>
      <c r="J283" s="20" t="n">
        <v>0</v>
      </c>
      <c r="K283" s="20" t="n">
        <v>1422</v>
      </c>
      <c r="L283" s="20" t="n">
        <v>1421</v>
      </c>
      <c r="M283" s="20" t="n">
        <v>3238</v>
      </c>
      <c r="N283" s="20" t="n">
        <v>3238</v>
      </c>
      <c r="P283" s="20" t="n">
        <v>0</v>
      </c>
      <c r="Q283" s="20" t="n">
        <v>0</v>
      </c>
      <c r="R283" s="20" t="n">
        <v>0</v>
      </c>
      <c r="S283" s="20" t="n">
        <v>0</v>
      </c>
      <c r="T283" s="20" t="n">
        <v>0</v>
      </c>
      <c r="U283" s="20" t="n">
        <v>0</v>
      </c>
      <c r="V283" s="20" t="n">
        <v>0</v>
      </c>
      <c r="W283" s="20" t="n">
        <v>0</v>
      </c>
      <c r="X283" s="20" t="n">
        <v>1421</v>
      </c>
    </row>
    <row r="284">
      <c r="A284" s="18" t="inlineStr">
        <is>
          <t>Other Fin CF</t>
        </is>
      </c>
      <c r="C284" s="20" t="n">
        <v>-9289</v>
      </c>
      <c r="D284" s="20" t="n">
        <v>-22688</v>
      </c>
      <c r="P284" s="20" t="n">
        <v>-8915</v>
      </c>
      <c r="Q284" s="20" t="n">
        <v>-172</v>
      </c>
      <c r="R284" s="20" t="n">
        <v>-7432</v>
      </c>
      <c r="S284" s="20" t="n">
        <v>-7546</v>
      </c>
      <c r="T284" s="20" t="n">
        <v>-16162</v>
      </c>
      <c r="U284" s="20" t="n">
        <v>-12331</v>
      </c>
      <c r="V284" s="20" t="n">
        <v>-22688</v>
      </c>
    </row>
    <row r="285">
      <c r="A285" s="18" t="inlineStr">
        <is>
          <t>Dividends Paid To Non Controlling Interests Fin CF</t>
        </is>
      </c>
      <c r="C285" s="20" t="n">
        <v>-9268</v>
      </c>
      <c r="D285" s="20" t="n">
        <v>-11334</v>
      </c>
      <c r="E285" s="20" t="n">
        <v>-3313</v>
      </c>
      <c r="F285" s="20" t="n">
        <v>-10605</v>
      </c>
      <c r="G285" s="20" t="n">
        <v>-14281</v>
      </c>
      <c r="H285" s="20" t="n">
        <v>-16475</v>
      </c>
      <c r="I285" s="20" t="n">
        <v>-5675</v>
      </c>
      <c r="J285" s="20" t="n">
        <v>-12529</v>
      </c>
      <c r="K285" s="20" t="n">
        <v>-20667</v>
      </c>
      <c r="L285" s="20" t="n">
        <v>-21084</v>
      </c>
      <c r="M285" s="20" t="n">
        <v>-4388</v>
      </c>
      <c r="N285" s="20" t="n">
        <v>-13469</v>
      </c>
      <c r="V285" s="20" t="n">
        <v>-11334</v>
      </c>
      <c r="W285" s="20" t="n">
        <v>-16475</v>
      </c>
      <c r="X285" s="20" t="n">
        <v>-21084</v>
      </c>
    </row>
    <row r="286">
      <c r="A286" s="18" t="inlineStr">
        <is>
          <t>Transactions With Non Controlling Interests</t>
        </is>
      </c>
      <c r="D286" s="20" t="n">
        <v>-11354</v>
      </c>
      <c r="H286" s="20" t="n">
        <v>-14411</v>
      </c>
      <c r="L286" s="20" t="n">
        <v>-93</v>
      </c>
      <c r="V286" s="20" t="n">
        <v>-11354</v>
      </c>
      <c r="W286" s="20" t="n">
        <v>-14411</v>
      </c>
      <c r="X286" s="20" t="n">
        <v>-93</v>
      </c>
    </row>
    <row r="287">
      <c r="A287" s="18" t="inlineStr">
        <is>
          <t>Transactions With Non Controlling Interests Fin CF</t>
        </is>
      </c>
      <c r="C287" s="20" t="n">
        <v>-21</v>
      </c>
      <c r="E287" s="20" t="n">
        <v>-196</v>
      </c>
      <c r="F287" s="20" t="n">
        <v>-11997</v>
      </c>
      <c r="G287" s="20" t="n">
        <v>-14174</v>
      </c>
      <c r="I287" s="20" t="n">
        <v>0</v>
      </c>
      <c r="J287" s="20" t="n">
        <v>2</v>
      </c>
      <c r="K287" s="20" t="n">
        <v>2</v>
      </c>
      <c r="M287" s="20" t="n">
        <v>-2</v>
      </c>
      <c r="N287" s="20" t="n">
        <v>-696</v>
      </c>
    </row>
    <row r="288">
      <c r="A288" s="9" t="inlineStr">
        <is>
          <t>재무활동 현금흐름</t>
        </is>
      </c>
      <c r="C288" s="12" t="n">
        <v>-22033</v>
      </c>
      <c r="D288" s="12" t="n">
        <v>-240118</v>
      </c>
      <c r="E288" s="12" t="n">
        <v>-93551</v>
      </c>
      <c r="F288" s="12" t="n">
        <v>-152134</v>
      </c>
      <c r="G288" s="12" t="n">
        <v>-220729</v>
      </c>
      <c r="H288" s="12" t="n">
        <v>-265333</v>
      </c>
      <c r="I288" s="12" t="n">
        <v>-112669</v>
      </c>
      <c r="J288" s="12" t="n">
        <v>-206707</v>
      </c>
      <c r="K288" s="12" t="n">
        <v>-287210</v>
      </c>
      <c r="L288" s="12" t="n">
        <v>-304817</v>
      </c>
      <c r="M288" s="12" t="n">
        <v>-113882</v>
      </c>
      <c r="N288" s="12" t="n">
        <v>-136867</v>
      </c>
      <c r="P288" s="12" t="n">
        <v>-149813</v>
      </c>
      <c r="Q288" s="12" t="n">
        <v>-112067</v>
      </c>
      <c r="R288" s="12" t="n">
        <v>-156454</v>
      </c>
      <c r="S288" s="12" t="n">
        <v>-157352</v>
      </c>
      <c r="T288" s="12" t="n">
        <v>-241319</v>
      </c>
      <c r="U288" s="12" t="n">
        <v>-119568</v>
      </c>
      <c r="V288" s="12" t="n">
        <v>-240118</v>
      </c>
      <c r="W288" s="12" t="n">
        <v>-265333</v>
      </c>
      <c r="X288" s="12" t="n">
        <v>-304817</v>
      </c>
    </row>
    <row r="289">
      <c r="A289" s="18" t="inlineStr">
        <is>
          <t>Effect Of Exchange Rate Changes On Cash And Cash Equivalents</t>
        </is>
      </c>
      <c r="C289" s="20" t="n">
        <v>21849</v>
      </c>
      <c r="D289" s="20" t="n">
        <v>38272</v>
      </c>
      <c r="E289" s="20" t="n">
        <v>24255</v>
      </c>
      <c r="F289" s="20" t="n">
        <v>-11678</v>
      </c>
      <c r="G289" s="20" t="n">
        <v>15156</v>
      </c>
      <c r="H289" s="20" t="n">
        <v>-6875</v>
      </c>
      <c r="I289" s="20" t="n">
        <v>3032</v>
      </c>
      <c r="J289" s="20" t="n">
        <v>14259</v>
      </c>
      <c r="K289" s="20" t="n">
        <v>44659</v>
      </c>
      <c r="L289" s="20" t="n">
        <v>47509</v>
      </c>
      <c r="M289" s="20" t="n">
        <v>9909</v>
      </c>
      <c r="N289" s="20" t="n">
        <v>-1693</v>
      </c>
      <c r="P289" s="20" t="n">
        <v>2790</v>
      </c>
      <c r="Q289" s="20" t="n">
        <v>-2057</v>
      </c>
      <c r="R289" s="20" t="n">
        <v>-12048</v>
      </c>
      <c r="S289" s="20" t="n">
        <v>21632</v>
      </c>
      <c r="T289" s="20" t="n">
        <v>33588</v>
      </c>
      <c r="U289" s="20" t="n">
        <v>20081</v>
      </c>
      <c r="V289" s="20" t="n">
        <v>38272</v>
      </c>
      <c r="W289" s="20" t="n">
        <v>-6875</v>
      </c>
      <c r="X289" s="20" t="n">
        <v>47509</v>
      </c>
    </row>
    <row r="290">
      <c r="A290" s="18" t="inlineStr">
        <is>
          <t>Net Increase Decrease In Cash And Cash Equivalents</t>
        </is>
      </c>
      <c r="C290" s="20" t="n">
        <v>-263</v>
      </c>
      <c r="D290" s="20" t="n">
        <v>119514</v>
      </c>
      <c r="E290" s="20" t="n">
        <v>50842</v>
      </c>
      <c r="F290" s="20" t="n">
        <v>-10880</v>
      </c>
      <c r="G290" s="20" t="n">
        <v>-31409</v>
      </c>
      <c r="H290" s="20" t="n">
        <v>-8053</v>
      </c>
      <c r="I290" s="20" t="n">
        <v>64452</v>
      </c>
      <c r="J290" s="20" t="n">
        <v>105506</v>
      </c>
      <c r="K290" s="20" t="n">
        <v>-38091</v>
      </c>
      <c r="L290" s="20" t="n">
        <v>-25722</v>
      </c>
      <c r="M290" s="20" t="n">
        <v>197539</v>
      </c>
      <c r="N290" s="20" t="n">
        <v>224839</v>
      </c>
      <c r="P290" s="20" t="n">
        <v>-63270</v>
      </c>
      <c r="Q290" s="20" t="n">
        <v>-84975</v>
      </c>
      <c r="R290" s="20" t="n">
        <v>23335</v>
      </c>
      <c r="S290" s="20" t="n">
        <v>229847</v>
      </c>
      <c r="T290" s="20" t="n">
        <v>-40227</v>
      </c>
      <c r="U290" s="20" t="n">
        <v>-81309</v>
      </c>
      <c r="V290" s="20" t="n">
        <v>119514</v>
      </c>
      <c r="W290" s="20" t="n">
        <v>-8053</v>
      </c>
      <c r="X290" s="20" t="n">
        <v>-25722</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12"/>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6503 재무상태표</t>
        </is>
      </c>
    </row>
    <row r="2">
      <c r="A2" s="44" t="inlineStr">
        <is>
          <t>재무비율은 기말 잔액 기준 · 분기 손익은 최근 4분기 합산(TTM)</t>
        </is>
      </c>
      <c r="B2" s="3" t="inlineStr">
        <is>
          <t>(단위: 백만엔)</t>
        </is>
      </c>
    </row>
    <row r="3">
      <c r="A3" s="5" t="inlineStr">
        <is>
          <t>항목</t>
        </is>
      </c>
      <c r="B3" s="5" t="inlineStr">
        <is>
          <t>참고</t>
        </is>
      </c>
      <c r="C3" s="6" t="inlineStr">
        <is>
          <t>2026.2Q</t>
        </is>
      </c>
      <c r="D3" s="5" t="inlineStr">
        <is>
          <t>2026.3Q</t>
        </is>
      </c>
      <c r="E3" s="5" t="inlineStr">
        <is>
          <t>2026.4Q</t>
        </is>
      </c>
      <c r="F3" s="5" t="inlineStr">
        <is>
          <t>2027.1Q</t>
        </is>
      </c>
      <c r="G3" s="5" t="inlineStr">
        <is>
          <t>2027.2Q</t>
        </is>
      </c>
      <c r="H3" s="6" t="inlineStr">
        <is>
          <t>2022</t>
        </is>
      </c>
      <c r="I3" s="5" t="inlineStr">
        <is>
          <t>2023</t>
        </is>
      </c>
      <c r="J3" s="5" t="inlineStr">
        <is>
          <t>2024</t>
        </is>
      </c>
      <c r="K3" s="5" t="inlineStr">
        <is>
          <t>2025</t>
        </is>
      </c>
      <c r="L3" s="5" t="inlineStr">
        <is>
          <t>2026</t>
        </is>
      </c>
    </row>
    <row r="4">
      <c r="A4" s="16" t="inlineStr">
        <is>
          <t>자산</t>
        </is>
      </c>
      <c r="B4" s="16" t="n"/>
      <c r="C4" s="17" t="n"/>
      <c r="D4" s="16" t="n"/>
      <c r="E4" s="16" t="n"/>
      <c r="F4" s="16" t="n"/>
      <c r="G4" s="16" t="n"/>
      <c r="H4" s="17" t="n"/>
      <c r="I4" s="16" t="n"/>
      <c r="J4" s="16" t="n"/>
      <c r="K4" s="16" t="n"/>
      <c r="L4" s="16" t="n"/>
    </row>
    <row r="5">
      <c r="A5" s="9" t="inlineStr">
        <is>
          <t>유동자산</t>
        </is>
      </c>
      <c r="B5" s="10" t="n"/>
      <c r="C5" s="11" t="n">
        <v>3737208</v>
      </c>
      <c r="D5" s="12" t="n">
        <v>3822272</v>
      </c>
      <c r="E5" s="12" t="n">
        <v>4027751</v>
      </c>
      <c r="F5" s="12" t="n">
        <v>4165645</v>
      </c>
      <c r="G5" s="12" t="n">
        <v>4251501</v>
      </c>
      <c r="H5" s="11" t="n">
        <v>3090296</v>
      </c>
      <c r="I5" s="12" t="n">
        <v>3388187</v>
      </c>
      <c r="J5" s="12" t="n">
        <v>3625236</v>
      </c>
      <c r="K5" s="12" t="n">
        <v>3747535</v>
      </c>
      <c r="L5" s="12" t="n">
        <v>4027751</v>
      </c>
    </row>
    <row r="6">
      <c r="A6" s="18" t="inlineStr">
        <is>
          <t>현금및현금성자산</t>
        </is>
      </c>
      <c r="B6" s="10" t="n"/>
      <c r="C6" s="19" t="n">
        <v>862837</v>
      </c>
      <c r="D6" s="20" t="n">
        <v>719240</v>
      </c>
      <c r="E6" s="20" t="n">
        <v>731609</v>
      </c>
      <c r="F6" s="20" t="n">
        <v>929148</v>
      </c>
      <c r="G6" s="20" t="n">
        <v>956448</v>
      </c>
      <c r="H6" s="19" t="n">
        <v>727179</v>
      </c>
      <c r="I6" s="20" t="n">
        <v>645870</v>
      </c>
      <c r="J6" s="20" t="n">
        <v>765384</v>
      </c>
      <c r="K6" s="20" t="n">
        <v>757331</v>
      </c>
      <c r="L6" s="20" t="n">
        <v>731609</v>
      </c>
    </row>
    <row r="7">
      <c r="A7" s="18" t="inlineStr">
        <is>
          <t>단기금융상품</t>
        </is>
      </c>
      <c r="B7" s="10" t="n"/>
      <c r="C7" s="19" t="n">
        <v>46134</v>
      </c>
      <c r="D7" s="20" t="n">
        <v>50525</v>
      </c>
      <c r="E7" s="20" t="n">
        <v>56302</v>
      </c>
      <c r="F7" s="20" t="n">
        <v>65270</v>
      </c>
      <c r="G7" s="20" t="n">
        <v>56212</v>
      </c>
      <c r="H7" s="19" t="n"/>
      <c r="I7" s="20" t="n"/>
      <c r="J7" s="20" t="n">
        <v>52400</v>
      </c>
      <c r="K7" s="20" t="n">
        <v>52515</v>
      </c>
      <c r="L7" s="20" t="n">
        <v>56302</v>
      </c>
    </row>
    <row r="8">
      <c r="A8" s="18" t="inlineStr">
        <is>
          <t>매출채권</t>
        </is>
      </c>
      <c r="B8" s="10" t="n"/>
      <c r="C8" s="19" t="n"/>
      <c r="D8" s="20" t="n"/>
      <c r="E8" s="20" t="n"/>
      <c r="F8" s="20" t="n"/>
      <c r="G8" s="20" t="n"/>
      <c r="H8" s="19" t="n"/>
      <c r="I8" s="20" t="n"/>
      <c r="J8" s="20" t="n"/>
      <c r="K8" s="20" t="n"/>
      <c r="L8" s="20" t="n"/>
    </row>
    <row r="9">
      <c r="A9" s="18" t="inlineStr">
        <is>
          <t>재고자산</t>
        </is>
      </c>
      <c r="B9" s="10" t="n"/>
      <c r="C9" s="19" t="n">
        <v>1268506</v>
      </c>
      <c r="D9" s="20" t="n">
        <v>1370529</v>
      </c>
      <c r="E9" s="20" t="n">
        <v>1262131</v>
      </c>
      <c r="F9" s="20" t="n">
        <v>1324450</v>
      </c>
      <c r="G9" s="20" t="n">
        <v>1298250</v>
      </c>
      <c r="H9" s="19" t="n">
        <v>959660</v>
      </c>
      <c r="I9" s="20" t="n">
        <v>1209254</v>
      </c>
      <c r="J9" s="20" t="n">
        <v>1253493</v>
      </c>
      <c r="K9" s="20" t="n">
        <v>1244959</v>
      </c>
      <c r="L9" s="20" t="n">
        <v>1262131</v>
      </c>
    </row>
    <row r="10">
      <c r="A10" s="18" t="inlineStr">
        <is>
          <t>기타유동자산</t>
        </is>
      </c>
      <c r="B10" s="10" t="inlineStr">
        <is>
          <t>총계 − 위 항목</t>
        </is>
      </c>
      <c r="C10" s="19">
        <f>IF(OR(C5=""),"",IFERROR(C5-SUM(C6,C7,C8,C9),""))</f>
        <v/>
      </c>
      <c r="D10" s="20">
        <f>IF(OR(D5=""),"",IFERROR(D5-SUM(D6,D7,D8,D9),""))</f>
        <v/>
      </c>
      <c r="E10" s="20">
        <f>IF(OR(E5=""),"",IFERROR(E5-SUM(E6,E7,E8,E9),""))</f>
        <v/>
      </c>
      <c r="F10" s="20">
        <f>IF(OR(F5=""),"",IFERROR(F5-SUM(F6,F7,F8,F9),""))</f>
        <v/>
      </c>
      <c r="G10" s="20">
        <f>IF(OR(G5=""),"",IFERROR(G5-SUM(G6,G7,G8,G9),""))</f>
        <v/>
      </c>
      <c r="H10" s="19">
        <f>IF(OR(H5=""),"",IFERROR(H5-SUM(H6,H7,H8,H9),""))</f>
        <v/>
      </c>
      <c r="I10" s="20">
        <f>IF(OR(I5=""),"",IFERROR(I5-SUM(I6,I7,I8,I9),""))</f>
        <v/>
      </c>
      <c r="J10" s="20">
        <f>IF(OR(J5=""),"",IFERROR(J5-SUM(J6,J7,J8,J9),""))</f>
        <v/>
      </c>
      <c r="K10" s="20">
        <f>IF(OR(K5=""),"",IFERROR(K5-SUM(K6,K7,K8,K9),""))</f>
        <v/>
      </c>
      <c r="L10" s="20">
        <f>IF(OR(L5=""),"",IFERROR(L5-SUM(L6,L7,L8,L9),""))</f>
        <v/>
      </c>
    </row>
    <row r="11">
      <c r="A11" s="9" t="inlineStr">
        <is>
          <t>비유동자산</t>
        </is>
      </c>
      <c r="B11" s="10" t="n"/>
      <c r="C11" s="11" t="n">
        <v>2707570</v>
      </c>
      <c r="D11" s="12" t="n">
        <v>2837669</v>
      </c>
      <c r="E11" s="12" t="n">
        <v>3341820</v>
      </c>
      <c r="F11" s="12" t="n">
        <v>3082589</v>
      </c>
      <c r="G11" s="12" t="n">
        <v>3134101</v>
      </c>
      <c r="H11" s="11" t="n">
        <v>2017677</v>
      </c>
      <c r="I11" s="12" t="n">
        <v>2194332</v>
      </c>
      <c r="J11" s="12" t="n">
        <v>2542104</v>
      </c>
      <c r="K11" s="12" t="n">
        <v>2628145</v>
      </c>
      <c r="L11" s="12" t="n">
        <v>3341820</v>
      </c>
    </row>
    <row r="12">
      <c r="A12" s="18" t="inlineStr">
        <is>
          <t>유형자산</t>
        </is>
      </c>
      <c r="B12" s="10" t="n"/>
      <c r="C12" s="19" t="n">
        <v>1015500</v>
      </c>
      <c r="D12" s="20" t="n">
        <v>1040644</v>
      </c>
      <c r="E12" s="20" t="n">
        <v>1078137</v>
      </c>
      <c r="F12" s="20" t="n">
        <v>1112842</v>
      </c>
      <c r="G12" s="20" t="n">
        <v>1129338</v>
      </c>
      <c r="H12" s="19" t="n">
        <v>855746</v>
      </c>
      <c r="I12" s="20" t="n">
        <v>896313</v>
      </c>
      <c r="J12" s="20" t="n">
        <v>962608</v>
      </c>
      <c r="K12" s="20" t="n">
        <v>958458</v>
      </c>
      <c r="L12" s="20" t="n">
        <v>1078137</v>
      </c>
    </row>
    <row r="13">
      <c r="A13" s="18" t="inlineStr">
        <is>
          <t>무형자산</t>
        </is>
      </c>
      <c r="B13" s="10" t="n"/>
      <c r="C13" s="19" t="n"/>
      <c r="D13" s="20" t="n"/>
      <c r="E13" s="20" t="n"/>
      <c r="F13" s="20" t="n"/>
      <c r="G13" s="20" t="n"/>
      <c r="H13" s="19" t="n"/>
      <c r="I13" s="20" t="n"/>
      <c r="J13" s="20" t="n"/>
      <c r="K13" s="20" t="n"/>
      <c r="L13" s="20" t="n"/>
    </row>
    <row r="14">
      <c r="A14" s="18" t="inlineStr">
        <is>
          <t>투자부동산</t>
        </is>
      </c>
      <c r="B14" s="10" t="n"/>
      <c r="C14" s="19" t="n"/>
      <c r="D14" s="20" t="n"/>
      <c r="E14" s="20" t="n"/>
      <c r="F14" s="20" t="n"/>
      <c r="G14" s="20" t="n"/>
      <c r="H14" s="19" t="n"/>
      <c r="I14" s="20" t="n"/>
      <c r="J14" s="20" t="n"/>
      <c r="K14" s="20" t="n"/>
      <c r="L14" s="20" t="n"/>
    </row>
    <row r="15">
      <c r="A15" s="18" t="inlineStr">
        <is>
          <t>기타비유동자산</t>
        </is>
      </c>
      <c r="B15" s="10" t="inlineStr">
        <is>
          <t>총계 − 위 항목</t>
        </is>
      </c>
      <c r="C15" s="19">
        <f>IF(OR(C11=""),"",IFERROR(C11-SUM(C12,C13,C14),""))</f>
        <v/>
      </c>
      <c r="D15" s="20">
        <f>IF(OR(D11=""),"",IFERROR(D11-SUM(D12,D13,D14),""))</f>
        <v/>
      </c>
      <c r="E15" s="20">
        <f>IF(OR(E11=""),"",IFERROR(E11-SUM(E12,E13,E14),""))</f>
        <v/>
      </c>
      <c r="F15" s="20">
        <f>IF(OR(F11=""),"",IFERROR(F11-SUM(F12,F13,F14),""))</f>
        <v/>
      </c>
      <c r="G15" s="20">
        <f>IF(OR(G11=""),"",IFERROR(G11-SUM(G12,G13,G14),""))</f>
        <v/>
      </c>
      <c r="H15" s="19">
        <f>IF(OR(H11=""),"",IFERROR(H11-SUM(H12,H13,H14),""))</f>
        <v/>
      </c>
      <c r="I15" s="20">
        <f>IF(OR(I11=""),"",IFERROR(I11-SUM(I12,I13,I14),""))</f>
        <v/>
      </c>
      <c r="J15" s="20">
        <f>IF(OR(J11=""),"",IFERROR(J11-SUM(J12,J13,J14),""))</f>
        <v/>
      </c>
      <c r="K15" s="20">
        <f>IF(OR(K11=""),"",IFERROR(K11-SUM(K12,K13,K14),""))</f>
        <v/>
      </c>
      <c r="L15" s="20">
        <f>IF(OR(L11=""),"",IFERROR(L11-SUM(L12,L13,L14),""))</f>
        <v/>
      </c>
    </row>
    <row r="16">
      <c r="A16" s="9" t="inlineStr">
        <is>
          <t>자산총계</t>
        </is>
      </c>
      <c r="B16" s="10" t="n"/>
      <c r="C16" s="11" t="n">
        <v>6444778</v>
      </c>
      <c r="D16" s="12" t="n">
        <v>6659941</v>
      </c>
      <c r="E16" s="12" t="n">
        <v>7369571</v>
      </c>
      <c r="F16" s="12" t="n">
        <v>7248234</v>
      </c>
      <c r="G16" s="12" t="n">
        <v>7385602</v>
      </c>
      <c r="H16" s="11" t="n">
        <v>5107973</v>
      </c>
      <c r="I16" s="12" t="n">
        <v>5582519</v>
      </c>
      <c r="J16" s="12" t="n">
        <v>6167340</v>
      </c>
      <c r="K16" s="12" t="n">
        <v>6375680</v>
      </c>
      <c r="L16" s="12" t="n">
        <v>7369571</v>
      </c>
    </row>
    <row r="17">
      <c r="A17" s="16" t="inlineStr">
        <is>
          <t>부채</t>
        </is>
      </c>
      <c r="B17" s="16" t="n"/>
      <c r="C17" s="17" t="n"/>
      <c r="D17" s="16" t="n"/>
      <c r="E17" s="16" t="n"/>
      <c r="F17" s="16" t="n"/>
      <c r="G17" s="16" t="n"/>
      <c r="H17" s="17" t="n"/>
      <c r="I17" s="16" t="n"/>
      <c r="J17" s="16" t="n"/>
      <c r="K17" s="16" t="n"/>
      <c r="L17" s="16" t="n"/>
    </row>
    <row r="18">
      <c r="A18" s="9" t="inlineStr">
        <is>
          <t>유동부채</t>
        </is>
      </c>
      <c r="B18" s="10" t="n"/>
      <c r="C18" s="11" t="n">
        <v>1817366</v>
      </c>
      <c r="D18" s="12" t="n">
        <v>1922923</v>
      </c>
      <c r="E18" s="12" t="n">
        <v>2280457</v>
      </c>
      <c r="F18" s="12" t="n">
        <v>2092973</v>
      </c>
      <c r="G18" s="12" t="n">
        <v>2110709</v>
      </c>
      <c r="H18" s="11" t="n">
        <v>1646722</v>
      </c>
      <c r="I18" s="12" t="n">
        <v>1802826</v>
      </c>
      <c r="J18" s="12" t="n">
        <v>1839187</v>
      </c>
      <c r="K18" s="12" t="n">
        <v>1847029</v>
      </c>
      <c r="L18" s="12" t="n">
        <v>2280457</v>
      </c>
    </row>
    <row r="19">
      <c r="A19" s="18" t="inlineStr">
        <is>
          <t>매입채무</t>
        </is>
      </c>
      <c r="B19" s="10" t="n"/>
      <c r="C19" s="19" t="n"/>
      <c r="D19" s="20" t="n"/>
      <c r="E19" s="20" t="n"/>
      <c r="F19" s="20" t="n"/>
      <c r="G19" s="20" t="n"/>
      <c r="H19" s="19" t="n"/>
      <c r="I19" s="20" t="n"/>
      <c r="J19" s="20" t="n"/>
      <c r="K19" s="20" t="n"/>
      <c r="L19" s="20" t="n"/>
    </row>
    <row r="20">
      <c r="A20" s="18" t="inlineStr">
        <is>
          <t>단기차입금</t>
        </is>
      </c>
      <c r="B20" s="10" t="n"/>
      <c r="C20" s="19" t="n"/>
      <c r="D20" s="20" t="n"/>
      <c r="E20" s="20" t="n"/>
      <c r="F20" s="20" t="n"/>
      <c r="G20" s="20" t="n"/>
      <c r="H20" s="19" t="n"/>
      <c r="I20" s="20" t="n"/>
      <c r="J20" s="20" t="n"/>
      <c r="K20" s="20" t="n"/>
      <c r="L20" s="20" t="n"/>
    </row>
    <row r="21">
      <c r="A21" s="18" t="inlineStr">
        <is>
          <t>유동성장기부채</t>
        </is>
      </c>
      <c r="B21" s="10" t="n"/>
      <c r="C21" s="19" t="n"/>
      <c r="D21" s="20" t="n"/>
      <c r="E21" s="20" t="n"/>
      <c r="F21" s="20" t="n"/>
      <c r="G21" s="20" t="n"/>
      <c r="H21" s="19" t="n"/>
      <c r="I21" s="20" t="n"/>
      <c r="J21" s="20" t="n"/>
      <c r="K21" s="20" t="n"/>
      <c r="L21" s="20" t="n"/>
    </row>
    <row r="22">
      <c r="A22" s="18" t="inlineStr">
        <is>
          <t>기타유동부채</t>
        </is>
      </c>
      <c r="B22" s="10" t="inlineStr">
        <is>
          <t>총계 − 위 항목</t>
        </is>
      </c>
      <c r="C22" s="19">
        <f>IF(OR(C18=""),"",IFERROR(C18-SUM(C19,C20,C21),""))</f>
        <v/>
      </c>
      <c r="D22" s="20">
        <f>IF(OR(D18=""),"",IFERROR(D18-SUM(D19,D20,D21),""))</f>
        <v/>
      </c>
      <c r="E22" s="20">
        <f>IF(OR(E18=""),"",IFERROR(E18-SUM(E19,E20,E21),""))</f>
        <v/>
      </c>
      <c r="F22" s="20">
        <f>IF(OR(F18=""),"",IFERROR(F18-SUM(F19,F20,F21),""))</f>
        <v/>
      </c>
      <c r="G22" s="20">
        <f>IF(OR(G18=""),"",IFERROR(G18-SUM(G19,G20,G21),""))</f>
        <v/>
      </c>
      <c r="H22" s="19">
        <f>IF(OR(H18=""),"",IFERROR(H18-SUM(H19,H20,H21),""))</f>
        <v/>
      </c>
      <c r="I22" s="20">
        <f>IF(OR(I18=""),"",IFERROR(I18-SUM(I19,I20,I21),""))</f>
        <v/>
      </c>
      <c r="J22" s="20">
        <f>IF(OR(J18=""),"",IFERROR(J18-SUM(J19,J20,J21),""))</f>
        <v/>
      </c>
      <c r="K22" s="20">
        <f>IF(OR(K18=""),"",IFERROR(K18-SUM(K19,K20,K21),""))</f>
        <v/>
      </c>
      <c r="L22" s="20">
        <f>IF(OR(L18=""),"",IFERROR(L18-SUM(L19,L20,L21),""))</f>
        <v/>
      </c>
    </row>
    <row r="23">
      <c r="A23" s="9" t="inlineStr">
        <is>
          <t>비유동부채</t>
        </is>
      </c>
      <c r="B23" s="10" t="n"/>
      <c r="C23" s="11" t="n">
        <v>446510</v>
      </c>
      <c r="D23" s="12" t="n">
        <v>435171</v>
      </c>
      <c r="E23" s="12" t="n">
        <v>459121</v>
      </c>
      <c r="F23" s="12" t="n">
        <v>436592</v>
      </c>
      <c r="G23" s="12" t="n">
        <v>442533</v>
      </c>
      <c r="H23" s="11" t="n">
        <v>363854</v>
      </c>
      <c r="I23" s="12" t="n">
        <v>416469</v>
      </c>
      <c r="J23" s="12" t="n">
        <v>461735</v>
      </c>
      <c r="K23" s="12" t="n">
        <v>452285</v>
      </c>
      <c r="L23" s="12" t="n">
        <v>459121</v>
      </c>
    </row>
    <row r="24">
      <c r="A24" s="18" t="inlineStr">
        <is>
          <t>장기차입금</t>
        </is>
      </c>
      <c r="B24" s="10" t="n"/>
      <c r="C24" s="19" t="n"/>
      <c r="D24" s="20" t="n"/>
      <c r="E24" s="20" t="n"/>
      <c r="F24" s="20" t="n"/>
      <c r="G24" s="20" t="n"/>
      <c r="H24" s="19" t="n"/>
      <c r="I24" s="20" t="n"/>
      <c r="J24" s="20" t="n"/>
      <c r="K24" s="20" t="n"/>
      <c r="L24" s="20" t="n"/>
    </row>
    <row r="25">
      <c r="A25" s="18" t="inlineStr">
        <is>
          <t>사채</t>
        </is>
      </c>
      <c r="B25" s="10" t="n"/>
      <c r="C25" s="19" t="n"/>
      <c r="D25" s="20" t="n"/>
      <c r="E25" s="20" t="n"/>
      <c r="F25" s="20" t="n"/>
      <c r="G25" s="20" t="n"/>
      <c r="H25" s="19" t="n"/>
      <c r="I25" s="20" t="n"/>
      <c r="J25" s="20" t="n"/>
      <c r="K25" s="20" t="n"/>
      <c r="L25" s="20" t="n"/>
    </row>
    <row r="26">
      <c r="A26" s="18" t="inlineStr">
        <is>
          <t>기타비유동부채</t>
        </is>
      </c>
      <c r="B26" s="10" t="inlineStr">
        <is>
          <t>총계 − 위 항목</t>
        </is>
      </c>
      <c r="C26" s="19">
        <f>IF(OR(C23=""),"",IFERROR(C23-SUM(C24,C25),""))</f>
        <v/>
      </c>
      <c r="D26" s="20">
        <f>IF(OR(D23=""),"",IFERROR(D23-SUM(D24,D25),""))</f>
        <v/>
      </c>
      <c r="E26" s="20">
        <f>IF(OR(E23=""),"",IFERROR(E23-SUM(E24,E25),""))</f>
        <v/>
      </c>
      <c r="F26" s="20">
        <f>IF(OR(F23=""),"",IFERROR(F23-SUM(F24,F25),""))</f>
        <v/>
      </c>
      <c r="G26" s="20">
        <f>IF(OR(G23=""),"",IFERROR(G23-SUM(G24,G25),""))</f>
        <v/>
      </c>
      <c r="H26" s="19">
        <f>IF(OR(H23=""),"",IFERROR(H23-SUM(H24,H25),""))</f>
        <v/>
      </c>
      <c r="I26" s="20">
        <f>IF(OR(I23=""),"",IFERROR(I23-SUM(I24,I25),""))</f>
        <v/>
      </c>
      <c r="J26" s="20">
        <f>IF(OR(J23=""),"",IFERROR(J23-SUM(J24,J25),""))</f>
        <v/>
      </c>
      <c r="K26" s="20">
        <f>IF(OR(K23=""),"",IFERROR(K23-SUM(K24,K25),""))</f>
        <v/>
      </c>
      <c r="L26" s="20">
        <f>IF(OR(L23=""),"",IFERROR(L23-SUM(L24,L25),""))</f>
        <v/>
      </c>
    </row>
    <row r="27">
      <c r="A27" s="9" t="inlineStr">
        <is>
          <t>부채총계</t>
        </is>
      </c>
      <c r="B27" s="10" t="n"/>
      <c r="C27" s="11" t="n">
        <v>2263876</v>
      </c>
      <c r="D27" s="12" t="n">
        <v>2358094</v>
      </c>
      <c r="E27" s="12" t="n">
        <v>2739578</v>
      </c>
      <c r="F27" s="12" t="n">
        <v>2529565</v>
      </c>
      <c r="G27" s="12" t="n">
        <v>2553242</v>
      </c>
      <c r="H27" s="11" t="n">
        <v>2010576</v>
      </c>
      <c r="I27" s="12" t="n">
        <v>2219295</v>
      </c>
      <c r="J27" s="12" t="n">
        <v>2300922</v>
      </c>
      <c r="K27" s="12" t="n">
        <v>2299314</v>
      </c>
      <c r="L27" s="12" t="n">
        <v>2739578</v>
      </c>
    </row>
    <row r="28">
      <c r="A28" s="18" t="inlineStr">
        <is>
          <t>총차입금</t>
        </is>
      </c>
      <c r="B28" s="10" t="inlineStr">
        <is>
          <t>단기+유동성장기+장기+사채</t>
        </is>
      </c>
      <c r="C28" s="19">
        <f>SUM(C20,C21,C24,C25)</f>
        <v/>
      </c>
      <c r="D28" s="20">
        <f>SUM(D20,D21,D24,D25)</f>
        <v/>
      </c>
      <c r="E28" s="20">
        <f>SUM(E20,E21,E24,E25)</f>
        <v/>
      </c>
      <c r="F28" s="20">
        <f>SUM(F20,F21,F24,F25)</f>
        <v/>
      </c>
      <c r="G28" s="20">
        <f>SUM(G20,G21,G24,G25)</f>
        <v/>
      </c>
      <c r="H28" s="19">
        <f>SUM(H20,H21,H24,H25)</f>
        <v/>
      </c>
      <c r="I28" s="20">
        <f>SUM(I20,I21,I24,I25)</f>
        <v/>
      </c>
      <c r="J28" s="20">
        <f>SUM(J20,J21,J24,J25)</f>
        <v/>
      </c>
      <c r="K28" s="20">
        <f>SUM(K20,K21,K24,K25)</f>
        <v/>
      </c>
      <c r="L28" s="20">
        <f>SUM(L20,L21,L24,L25)</f>
        <v/>
      </c>
    </row>
    <row r="29">
      <c r="A29" s="18" t="inlineStr">
        <is>
          <t>순차입금</t>
        </is>
      </c>
      <c r="B29" s="10" t="inlineStr">
        <is>
          <t>음수 = 순현금</t>
        </is>
      </c>
      <c r="C29" s="19">
        <f>C28-C6-N(C7)</f>
        <v/>
      </c>
      <c r="D29" s="20">
        <f>D28-D6-N(D7)</f>
        <v/>
      </c>
      <c r="E29" s="20">
        <f>E28-E6-N(E7)</f>
        <v/>
      </c>
      <c r="F29" s="20">
        <f>F28-F6-N(F7)</f>
        <v/>
      </c>
      <c r="G29" s="20">
        <f>G28-G6-N(G7)</f>
        <v/>
      </c>
      <c r="H29" s="19">
        <f>H28-H6-N(H7)</f>
        <v/>
      </c>
      <c r="I29" s="20">
        <f>I28-I6-N(I7)</f>
        <v/>
      </c>
      <c r="J29" s="20">
        <f>J28-J6-N(J7)</f>
        <v/>
      </c>
      <c r="K29" s="20">
        <f>K28-K6-N(K7)</f>
        <v/>
      </c>
      <c r="L29" s="20">
        <f>L28-L6-N(L7)</f>
        <v/>
      </c>
    </row>
    <row r="30">
      <c r="A30" s="16" t="inlineStr">
        <is>
          <t>자본</t>
        </is>
      </c>
      <c r="B30" s="16" t="n"/>
      <c r="C30" s="17" t="n"/>
      <c r="D30" s="16" t="n"/>
      <c r="E30" s="16" t="n"/>
      <c r="F30" s="16" t="n"/>
      <c r="G30" s="16" t="n"/>
      <c r="H30" s="17" t="n"/>
      <c r="I30" s="16" t="n"/>
      <c r="J30" s="16" t="n"/>
      <c r="K30" s="16" t="n"/>
      <c r="L30" s="16" t="n"/>
    </row>
    <row r="31">
      <c r="A31" s="9" t="inlineStr">
        <is>
          <t>지배주주지분</t>
        </is>
      </c>
      <c r="B31" s="10" t="n"/>
      <c r="C31" s="11" t="n">
        <v>4047964</v>
      </c>
      <c r="D31" s="12" t="n">
        <v>4162079</v>
      </c>
      <c r="E31" s="12" t="n">
        <v>4484266</v>
      </c>
      <c r="F31" s="12" t="n">
        <v>4571550</v>
      </c>
      <c r="G31" s="12" t="n">
        <v>4695982</v>
      </c>
      <c r="H31" s="11" t="n">
        <v>2975941</v>
      </c>
      <c r="I31" s="12" t="n">
        <v>3239027</v>
      </c>
      <c r="J31" s="12" t="n">
        <v>3739324</v>
      </c>
      <c r="K31" s="12" t="n">
        <v>3949678</v>
      </c>
      <c r="L31" s="12" t="n">
        <v>4484266</v>
      </c>
    </row>
    <row r="32">
      <c r="A32" s="18" t="inlineStr">
        <is>
          <t>자본금</t>
        </is>
      </c>
      <c r="B32" s="10" t="n"/>
      <c r="C32" s="19" t="n">
        <v>175820</v>
      </c>
      <c r="D32" s="20" t="n">
        <v>175820</v>
      </c>
      <c r="E32" s="20" t="n">
        <v>175820</v>
      </c>
      <c r="F32" s="20" t="n">
        <v>175820</v>
      </c>
      <c r="G32" s="20" t="n">
        <v>175820</v>
      </c>
      <c r="H32" s="19" t="n">
        <v>175820</v>
      </c>
      <c r="I32" s="20" t="n">
        <v>175820</v>
      </c>
      <c r="J32" s="20" t="n">
        <v>175820</v>
      </c>
      <c r="K32" s="20" t="n">
        <v>175820</v>
      </c>
      <c r="L32" s="20" t="n">
        <v>175820</v>
      </c>
    </row>
    <row r="33">
      <c r="A33" s="18" t="inlineStr">
        <is>
          <t>이익잉여금</t>
        </is>
      </c>
      <c r="B33" s="10" t="n"/>
      <c r="C33" s="19" t="n">
        <v>3443831</v>
      </c>
      <c r="D33" s="20" t="n">
        <v>3502411</v>
      </c>
      <c r="E33" s="20" t="n">
        <v>3808789</v>
      </c>
      <c r="F33" s="20" t="n">
        <v>3866670</v>
      </c>
      <c r="G33" s="20" t="n">
        <v>4054763</v>
      </c>
      <c r="H33" s="19" t="n">
        <v>2464966</v>
      </c>
      <c r="I33" s="20" t="n">
        <v>2636136</v>
      </c>
      <c r="J33" s="20" t="n">
        <v>3102755</v>
      </c>
      <c r="K33" s="20" t="n">
        <v>3304481</v>
      </c>
      <c r="L33" s="20" t="n">
        <v>3808789</v>
      </c>
    </row>
    <row r="34">
      <c r="A34" s="18" t="inlineStr">
        <is>
          <t>비지배지분</t>
        </is>
      </c>
      <c r="B34" s="10" t="n"/>
      <c r="C34" s="19" t="n">
        <v>132938</v>
      </c>
      <c r="D34" s="20" t="n">
        <v>139768</v>
      </c>
      <c r="E34" s="20" t="n">
        <v>145727</v>
      </c>
      <c r="F34" s="20" t="n">
        <v>147119</v>
      </c>
      <c r="G34" s="20" t="n">
        <v>136378</v>
      </c>
      <c r="H34" s="19" t="n">
        <v>121456</v>
      </c>
      <c r="I34" s="20" t="n">
        <v>124197</v>
      </c>
      <c r="J34" s="20" t="n">
        <v>127094</v>
      </c>
      <c r="K34" s="20" t="n">
        <v>126688</v>
      </c>
      <c r="L34" s="20" t="n">
        <v>145727</v>
      </c>
    </row>
    <row r="35">
      <c r="A35" s="9" t="inlineStr">
        <is>
          <t>자본총계</t>
        </is>
      </c>
      <c r="B35" s="10" t="n"/>
      <c r="C35" s="11" t="n">
        <v>4180902</v>
      </c>
      <c r="D35" s="12" t="n">
        <v>4301847</v>
      </c>
      <c r="E35" s="12" t="n">
        <v>4629993</v>
      </c>
      <c r="F35" s="12" t="n">
        <v>4718669</v>
      </c>
      <c r="G35" s="12" t="n">
        <v>4832360</v>
      </c>
      <c r="H35" s="11" t="n">
        <v>3097397</v>
      </c>
      <c r="I35" s="12" t="n">
        <v>3363224</v>
      </c>
      <c r="J35" s="12" t="n">
        <v>3866418</v>
      </c>
      <c r="K35" s="12" t="n">
        <v>4076366</v>
      </c>
      <c r="L35" s="12" t="n">
        <v>4629993</v>
      </c>
    </row>
    <row r="36">
      <c r="A36" s="16" t="inlineStr">
        <is>
          <t>현금흐름 요약</t>
        </is>
      </c>
      <c r="B36" s="16" t="inlineStr">
        <is>
          <t>분기 = TTM (있을 때만)</t>
        </is>
      </c>
      <c r="C36" s="17" t="n"/>
      <c r="D36" s="16" t="n"/>
      <c r="E36" s="16" t="n"/>
      <c r="F36" s="16" t="n"/>
      <c r="G36" s="16" t="n"/>
      <c r="H36" s="17" t="n"/>
      <c r="I36" s="16" t="n"/>
      <c r="J36" s="16" t="n"/>
      <c r="K36" s="16" t="n"/>
      <c r="L36" s="16" t="n"/>
    </row>
    <row r="37">
      <c r="A37" s="9" t="inlineStr">
        <is>
          <t>영업활동현금흐름</t>
        </is>
      </c>
      <c r="B37" s="10" t="n"/>
      <c r="C37" s="11" t="n">
        <v>529197</v>
      </c>
      <c r="D37" s="12" t="n">
        <v>490673</v>
      </c>
      <c r="E37" s="12" t="n">
        <v>575993</v>
      </c>
      <c r="F37" s="12" t="n">
        <v>771125</v>
      </c>
      <c r="G37" s="12" t="n">
        <v>766941</v>
      </c>
      <c r="H37" s="11" t="n">
        <v>282371</v>
      </c>
      <c r="I37" s="12" t="n">
        <v>166711</v>
      </c>
      <c r="J37" s="12" t="n">
        <v>415479</v>
      </c>
      <c r="K37" s="12" t="n">
        <v>455905</v>
      </c>
      <c r="L37" s="12" t="n">
        <v>575993</v>
      </c>
    </row>
    <row r="38">
      <c r="A38" s="18" t="inlineStr">
        <is>
          <t>CAPEX (유·무형 취득)</t>
        </is>
      </c>
      <c r="B38" s="10" t="inlineStr">
        <is>
          <t>양수로 입력</t>
        </is>
      </c>
      <c r="C38" s="19" t="n">
        <v>218514</v>
      </c>
      <c r="D38" s="20" t="n">
        <v>210567</v>
      </c>
      <c r="E38" s="20" t="n">
        <v>242437</v>
      </c>
      <c r="F38" s="20" t="n">
        <v>279410</v>
      </c>
      <c r="G38" s="20" t="n">
        <v>311501</v>
      </c>
      <c r="H38" s="19" t="n">
        <v>134337</v>
      </c>
      <c r="I38" s="20" t="n">
        <v>151117</v>
      </c>
      <c r="J38" s="20" t="n">
        <v>209004</v>
      </c>
      <c r="K38" s="20" t="n">
        <v>226071</v>
      </c>
      <c r="L38" s="20" t="n">
        <v>242437</v>
      </c>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18" t="inlineStr">
        <is>
          <t>배당금 지급</t>
        </is>
      </c>
      <c r="B40" s="10" t="inlineStr">
        <is>
          <t>양수로 입력</t>
        </is>
      </c>
      <c r="C40" s="19" t="n">
        <v>103932</v>
      </c>
      <c r="D40" s="20" t="n">
        <v>113621</v>
      </c>
      <c r="E40" s="20" t="n">
        <v>113621</v>
      </c>
      <c r="F40" s="20" t="n">
        <v>112735</v>
      </c>
      <c r="G40" s="20" t="n">
        <v>112735</v>
      </c>
      <c r="H40" s="19" t="n">
        <v>85723</v>
      </c>
      <c r="I40" s="20" t="n">
        <v>84524</v>
      </c>
      <c r="J40" s="20" t="n">
        <v>96949</v>
      </c>
      <c r="K40" s="20" t="n">
        <v>104316</v>
      </c>
      <c r="L40" s="20" t="n">
        <v>113621</v>
      </c>
    </row>
    <row r="41">
      <c r="A41" s="16" t="inlineStr">
        <is>
          <t>주요 재무 비율</t>
        </is>
      </c>
      <c r="B41" s="16" t="inlineStr">
        <is>
          <t>기준 (빨간 글씨 = 미달)</t>
        </is>
      </c>
      <c r="C41" s="17" t="n"/>
      <c r="D41" s="16" t="n"/>
      <c r="E41" s="16" t="n"/>
      <c r="F41" s="16" t="n"/>
      <c r="G41" s="16" t="n"/>
      <c r="H41" s="17" t="n"/>
      <c r="I41" s="16" t="n"/>
      <c r="J41" s="16" t="n"/>
      <c r="K41" s="16" t="n"/>
      <c r="L41" s="16" t="n"/>
    </row>
    <row r="42">
      <c r="A42" s="23" t="inlineStr">
        <is>
          <t>안정성</t>
        </is>
      </c>
      <c r="B42" s="23" t="n"/>
      <c r="C42" s="24" t="n"/>
      <c r="D42" s="23" t="n"/>
      <c r="E42" s="23" t="n"/>
      <c r="F42" s="23" t="n"/>
      <c r="G42" s="23" t="n"/>
      <c r="H42" s="24" t="n"/>
      <c r="I42" s="23" t="n"/>
      <c r="J42" s="23" t="n"/>
      <c r="K42" s="23" t="n"/>
      <c r="L42" s="23" t="n"/>
    </row>
    <row r="43">
      <c r="A43" s="45" t="inlineStr">
        <is>
          <t>부채비율</t>
        </is>
      </c>
      <c r="B43" s="10" t="inlineStr">
        <is>
          <t>100%↓</t>
        </is>
      </c>
      <c r="C43" s="35">
        <f>IF(OR(C27="",C35=""),"",IFERROR(C27/C35,""))</f>
        <v/>
      </c>
      <c r="D43" s="36">
        <f>IF(OR(D27="",D35=""),"",IFERROR(D27/D35,""))</f>
        <v/>
      </c>
      <c r="E43" s="36">
        <f>IF(OR(E27="",E35=""),"",IFERROR(E27/E35,""))</f>
        <v/>
      </c>
      <c r="F43" s="36">
        <f>IF(OR(F27="",F35=""),"",IFERROR(F27/F35,""))</f>
        <v/>
      </c>
      <c r="G43" s="36">
        <f>IF(OR(G27="",G35=""),"",IFERROR(G27/G35,""))</f>
        <v/>
      </c>
      <c r="H43" s="35">
        <f>IF(OR(H27="",H35=""),"",IFERROR(H27/H35,""))</f>
        <v/>
      </c>
      <c r="I43" s="36">
        <f>IF(OR(I27="",I35=""),"",IFERROR(I27/I35,""))</f>
        <v/>
      </c>
      <c r="J43" s="36">
        <f>IF(OR(J27="",J35=""),"",IFERROR(J27/J35,""))</f>
        <v/>
      </c>
      <c r="K43" s="36">
        <f>IF(OR(K27="",K35=""),"",IFERROR(K27/K35,""))</f>
        <v/>
      </c>
      <c r="L43" s="36">
        <f>IF(OR(L27="",L35=""),"",IFERROR(L27/L35,""))</f>
        <v/>
      </c>
    </row>
    <row r="44">
      <c r="A44" s="45" t="inlineStr">
        <is>
          <t>순차입금비율</t>
        </is>
      </c>
      <c r="B44" s="10" t="inlineStr">
        <is>
          <t>0%↓ 순현금</t>
        </is>
      </c>
      <c r="C44" s="35">
        <f>IF(OR(C29="",C35=""),"",IFERROR(C29/C35,""))</f>
        <v/>
      </c>
      <c r="D44" s="36">
        <f>IF(OR(D29="",D35=""),"",IFERROR(D29/D35,""))</f>
        <v/>
      </c>
      <c r="E44" s="36">
        <f>IF(OR(E29="",E35=""),"",IFERROR(E29/E35,""))</f>
        <v/>
      </c>
      <c r="F44" s="36">
        <f>IF(OR(F29="",F35=""),"",IFERROR(F29/F35,""))</f>
        <v/>
      </c>
      <c r="G44" s="36">
        <f>IF(OR(G29="",G35=""),"",IFERROR(G29/G35,""))</f>
        <v/>
      </c>
      <c r="H44" s="35">
        <f>IF(OR(H29="",H35=""),"",IFERROR(H29/H35,""))</f>
        <v/>
      </c>
      <c r="I44" s="36">
        <f>IF(OR(I29="",I35=""),"",IFERROR(I29/I35,""))</f>
        <v/>
      </c>
      <c r="J44" s="36">
        <f>IF(OR(J29="",J35=""),"",IFERROR(J29/J35,""))</f>
        <v/>
      </c>
      <c r="K44" s="36">
        <f>IF(OR(K29="",K35=""),"",IFERROR(K29/K35,""))</f>
        <v/>
      </c>
      <c r="L44" s="36">
        <f>IF(OR(L29="",L35=""),"",IFERROR(L29/L35,""))</f>
        <v/>
      </c>
    </row>
    <row r="45">
      <c r="A45" s="45" t="inlineStr">
        <is>
          <t>자기자본비율</t>
        </is>
      </c>
      <c r="B45" s="10" t="inlineStr">
        <is>
          <t>50%↑</t>
        </is>
      </c>
      <c r="C45" s="35">
        <f>IF(OR(C35="",C16=""),"",IFERROR(C35/C16,""))</f>
        <v/>
      </c>
      <c r="D45" s="36">
        <f>IF(OR(D35="",D16=""),"",IFERROR(D35/D16,""))</f>
        <v/>
      </c>
      <c r="E45" s="36">
        <f>IF(OR(E35="",E16=""),"",IFERROR(E35/E16,""))</f>
        <v/>
      </c>
      <c r="F45" s="36">
        <f>IF(OR(F35="",F16=""),"",IFERROR(F35/F16,""))</f>
        <v/>
      </c>
      <c r="G45" s="36">
        <f>IF(OR(G35="",G16=""),"",IFERROR(G35/G16,""))</f>
        <v/>
      </c>
      <c r="H45" s="35">
        <f>IF(OR(H35="",H16=""),"",IFERROR(H35/H16,""))</f>
        <v/>
      </c>
      <c r="I45" s="36">
        <f>IF(OR(I35="",I16=""),"",IFERROR(I35/I16,""))</f>
        <v/>
      </c>
      <c r="J45" s="36">
        <f>IF(OR(J35="",J16=""),"",IFERROR(J35/J16,""))</f>
        <v/>
      </c>
      <c r="K45" s="36">
        <f>IF(OR(K35="",K16=""),"",IFERROR(K35/K16,""))</f>
        <v/>
      </c>
      <c r="L45" s="36">
        <f>IF(OR(L35="",L16=""),"",IFERROR(L35/L16,""))</f>
        <v/>
      </c>
    </row>
    <row r="46">
      <c r="A46" s="45" t="inlineStr">
        <is>
          <t>유동비율</t>
        </is>
      </c>
      <c r="B46" s="10" t="inlineStr">
        <is>
          <t>150%↑</t>
        </is>
      </c>
      <c r="C46" s="35">
        <f>IF(OR(C5="",C18=""),"",IFERROR(C5/C18,""))</f>
        <v/>
      </c>
      <c r="D46" s="36">
        <f>IF(OR(D5="",D18=""),"",IFERROR(D5/D18,""))</f>
        <v/>
      </c>
      <c r="E46" s="36">
        <f>IF(OR(E5="",E18=""),"",IFERROR(E5/E18,""))</f>
        <v/>
      </c>
      <c r="F46" s="36">
        <f>IF(OR(F5="",F18=""),"",IFERROR(F5/F18,""))</f>
        <v/>
      </c>
      <c r="G46" s="36">
        <f>IF(OR(G5="",G18=""),"",IFERROR(G5/G18,""))</f>
        <v/>
      </c>
      <c r="H46" s="35">
        <f>IF(OR(H5="",H18=""),"",IFERROR(H5/H18,""))</f>
        <v/>
      </c>
      <c r="I46" s="36">
        <f>IF(OR(I5="",I18=""),"",IFERROR(I5/I18,""))</f>
        <v/>
      </c>
      <c r="J46" s="36">
        <f>IF(OR(J5="",J18=""),"",IFERROR(J5/J18,""))</f>
        <v/>
      </c>
      <c r="K46" s="36">
        <f>IF(OR(K5="",K18=""),"",IFERROR(K5/K18,""))</f>
        <v/>
      </c>
      <c r="L46" s="36">
        <f>IF(OR(L5="",L18=""),"",IFERROR(L5/L18,""))</f>
        <v/>
      </c>
    </row>
    <row r="47">
      <c r="A47" s="45" t="inlineStr">
        <is>
          <t>당좌비율</t>
        </is>
      </c>
      <c r="B47" s="10" t="inlineStr">
        <is>
          <t>100%↑</t>
        </is>
      </c>
      <c r="C47" s="35">
        <f>IF(OR(C5="",C18=""),"",IFERROR((C5-N(C9))/C18,""))</f>
        <v/>
      </c>
      <c r="D47" s="36">
        <f>IF(OR(D5="",D18=""),"",IFERROR((D5-N(D9))/D18,""))</f>
        <v/>
      </c>
      <c r="E47" s="36">
        <f>IF(OR(E5="",E18=""),"",IFERROR((E5-N(E9))/E18,""))</f>
        <v/>
      </c>
      <c r="F47" s="36">
        <f>IF(OR(F5="",F18=""),"",IFERROR((F5-N(F9))/F18,""))</f>
        <v/>
      </c>
      <c r="G47" s="36">
        <f>IF(OR(G5="",G18=""),"",IFERROR((G5-N(G9))/G18,""))</f>
        <v/>
      </c>
      <c r="H47" s="35">
        <f>IF(OR(H5="",H18=""),"",IFERROR((H5-N(H9))/H18,""))</f>
        <v/>
      </c>
      <c r="I47" s="36">
        <f>IF(OR(I5="",I18=""),"",IFERROR((I5-N(I9))/I18,""))</f>
        <v/>
      </c>
      <c r="J47" s="36">
        <f>IF(OR(J5="",J18=""),"",IFERROR((J5-N(J9))/J18,""))</f>
        <v/>
      </c>
      <c r="K47" s="36">
        <f>IF(OR(K5="",K18=""),"",IFERROR((K5-N(K9))/K18,""))</f>
        <v/>
      </c>
      <c r="L47" s="36">
        <f>IF(OR(L5="",L18=""),"",IFERROR((L5-N(L9))/L18,""))</f>
        <v/>
      </c>
    </row>
    <row r="48">
      <c r="A48" s="45" t="inlineStr">
        <is>
          <t>이자보상배율</t>
        </is>
      </c>
      <c r="B48" s="10" t="inlineStr">
        <is>
          <t>5x↑ (금융원가 기준)</t>
        </is>
      </c>
      <c r="C48" s="30">
        <f>IFERROR((IF(COUNT('연간'!G37:J37)&lt;4,"",SUM('연간'!G37:J37)))/(IF(COUNT('연간'!G59:J59)&lt;4,"",SUM('연간'!G59:J59))),"")</f>
        <v/>
      </c>
      <c r="D48" s="31">
        <f>IFERROR((IF(COUNT('연간'!H37:K37)&lt;4,"",SUM('연간'!H37:K37)))/(IF(COUNT('연간'!H59:K59)&lt;4,"",SUM('연간'!H59:K59))),"")</f>
        <v/>
      </c>
      <c r="E48" s="31">
        <f>IFERROR((IF(COUNT('연간'!I37:L37)&lt;4,"",SUM('연간'!I37:L37)))/(IF(COUNT('연간'!I59:L59)&lt;4,"",SUM('연간'!I59:L59))),"")</f>
        <v/>
      </c>
      <c r="F48" s="31">
        <f>IFERROR((IF(COUNT('연간'!J37:M37)&lt;4,"",SUM('연간'!J37:M37)))/(IF(COUNT('연간'!J59:M59)&lt;4,"",SUM('연간'!J59:M59))),"")</f>
        <v/>
      </c>
      <c r="G48" s="31">
        <f>IFERROR((IF(COUNT('연간'!K37:N37)&lt;4,"",SUM('연간'!K37:N37)))/(IF(COUNT('연간'!K59:N59)&lt;4,"",SUM('연간'!K59:N59))),"")</f>
        <v/>
      </c>
      <c r="H48" s="30">
        <f>IFERROR(('연간'!T37)/('연간'!T59),"")</f>
        <v/>
      </c>
      <c r="I48" s="31">
        <f>IFERROR(('연간'!U37)/('연간'!U59),"")</f>
        <v/>
      </c>
      <c r="J48" s="31">
        <f>IFERROR(('연간'!V37)/('연간'!V59),"")</f>
        <v/>
      </c>
      <c r="K48" s="31">
        <f>IFERROR(('연간'!W37)/('연간'!W59),"")</f>
        <v/>
      </c>
      <c r="L48" s="31">
        <f>IFERROR(('연간'!X37)/('연간'!X59),"")</f>
        <v/>
      </c>
    </row>
    <row r="49">
      <c r="A49" s="45" t="inlineStr">
        <is>
          <t>차입금 상환연수</t>
        </is>
      </c>
      <c r="B49" s="10" t="inlineStr">
        <is>
          <t>4년↓ (버핏)</t>
        </is>
      </c>
      <c r="C49" s="46">
        <f>IFERROR(IF((IF(COUNT('연간'!G67:J67)&lt;4,"",SUM('연간'!G67:J67)))&lt;=0,"적자",C28/(IF(COUNT('연간'!G67:J67)&lt;4,"",SUM('연간'!G67:J67)))),"")</f>
        <v/>
      </c>
      <c r="D49" s="47">
        <f>IFERROR(IF((IF(COUNT('연간'!H67:K67)&lt;4,"",SUM('연간'!H67:K67)))&lt;=0,"적자",D28/(IF(COUNT('연간'!H67:K67)&lt;4,"",SUM('연간'!H67:K67)))),"")</f>
        <v/>
      </c>
      <c r="E49" s="47">
        <f>IFERROR(IF((IF(COUNT('연간'!I67:L67)&lt;4,"",SUM('연간'!I67:L67)))&lt;=0,"적자",E28/(IF(COUNT('연간'!I67:L67)&lt;4,"",SUM('연간'!I67:L67)))),"")</f>
        <v/>
      </c>
      <c r="F49" s="47">
        <f>IFERROR(IF((IF(COUNT('연간'!J67:M67)&lt;4,"",SUM('연간'!J67:M67)))&lt;=0,"적자",F28/(IF(COUNT('연간'!J67:M67)&lt;4,"",SUM('연간'!J67:M67)))),"")</f>
        <v/>
      </c>
      <c r="G49" s="47">
        <f>IFERROR(IF((IF(COUNT('연간'!K67:N67)&lt;4,"",SUM('연간'!K67:N67)))&lt;=0,"적자",G28/(IF(COUNT('연간'!K67:N67)&lt;4,"",SUM('연간'!K67:N67)))),"")</f>
        <v/>
      </c>
      <c r="H49" s="46">
        <f>IFERROR(IF(('연간'!T67)&lt;=0,"적자",H28/('연간'!T67)),"")</f>
        <v/>
      </c>
      <c r="I49" s="47">
        <f>IFERROR(IF(('연간'!U67)&lt;=0,"적자",I28/('연간'!U67)),"")</f>
        <v/>
      </c>
      <c r="J49" s="47">
        <f>IFERROR(IF(('연간'!V67)&lt;=0,"적자",J28/('연간'!V67)),"")</f>
        <v/>
      </c>
      <c r="K49" s="47">
        <f>IFERROR(IF(('연간'!W67)&lt;=0,"적자",K28/('연간'!W67)),"")</f>
        <v/>
      </c>
      <c r="L49" s="47">
        <f>IFERROR(IF(('연간'!X67)&lt;=0,"적자",L28/('연간'!X67)),"")</f>
        <v/>
      </c>
    </row>
    <row r="50">
      <c r="A50" s="23" t="inlineStr">
        <is>
          <t>수익성</t>
        </is>
      </c>
      <c r="B50" s="23" t="n"/>
      <c r="C50" s="24" t="n"/>
      <c r="D50" s="23" t="n"/>
      <c r="E50" s="23" t="n"/>
      <c r="F50" s="23" t="n"/>
      <c r="G50" s="23" t="n"/>
      <c r="H50" s="24" t="n"/>
      <c r="I50" s="23" t="n"/>
      <c r="J50" s="23" t="n"/>
      <c r="K50" s="23" t="n"/>
      <c r="L50" s="23" t="n"/>
    </row>
    <row r="51">
      <c r="A51" s="45" t="inlineStr">
        <is>
          <t>ROE</t>
        </is>
      </c>
      <c r="B51" s="10" t="inlineStr">
        <is>
          <t>15%↑ (버핏)</t>
        </is>
      </c>
      <c r="C51" s="35">
        <f>IFERROR((IF(COUNT('연간'!G67:J67)&lt;4,"",SUM('연간'!G67:J67)))/C31,"")</f>
        <v/>
      </c>
      <c r="D51" s="36">
        <f>IFERROR((IF(COUNT('연간'!H67:K67)&lt;4,"",SUM('연간'!H67:K67)))/D31,"")</f>
        <v/>
      </c>
      <c r="E51" s="36">
        <f>IFERROR((IF(COUNT('연간'!I67:L67)&lt;4,"",SUM('연간'!I67:L67)))/E31,"")</f>
        <v/>
      </c>
      <c r="F51" s="36">
        <f>IFERROR((IF(COUNT('연간'!J67:M67)&lt;4,"",SUM('연간'!J67:M67)))/F31,"")</f>
        <v/>
      </c>
      <c r="G51" s="36">
        <f>IFERROR((IF(COUNT('연간'!K67:N67)&lt;4,"",SUM('연간'!K67:N67)))/G31,"")</f>
        <v/>
      </c>
      <c r="H51" s="35">
        <f>IFERROR(('연간'!T67)/H31,"")</f>
        <v/>
      </c>
      <c r="I51" s="36">
        <f>IFERROR(('연간'!U67)/I31,"")</f>
        <v/>
      </c>
      <c r="J51" s="36">
        <f>IFERROR(('연간'!V67)/J31,"")</f>
        <v/>
      </c>
      <c r="K51" s="36">
        <f>IFERROR(('연간'!W67)/K31,"")</f>
        <v/>
      </c>
      <c r="L51" s="36">
        <f>IFERROR(('연간'!X67)/L31,"")</f>
        <v/>
      </c>
    </row>
    <row r="52">
      <c r="A52" s="45" t="inlineStr">
        <is>
          <t>ROA</t>
        </is>
      </c>
      <c r="B52" s="10" t="inlineStr">
        <is>
          <t>5%↑</t>
        </is>
      </c>
      <c r="C52" s="35">
        <f>IFERROR((IF(COUNT('연간'!G65:J65)&lt;4,"",SUM('연간'!G65:J65)))/C16,"")</f>
        <v/>
      </c>
      <c r="D52" s="36">
        <f>IFERROR((IF(COUNT('연간'!H65:K65)&lt;4,"",SUM('연간'!H65:K65)))/D16,"")</f>
        <v/>
      </c>
      <c r="E52" s="36">
        <f>IFERROR((IF(COUNT('연간'!I65:L65)&lt;4,"",SUM('연간'!I65:L65)))/E16,"")</f>
        <v/>
      </c>
      <c r="F52" s="36">
        <f>IFERROR((IF(COUNT('연간'!J65:M65)&lt;4,"",SUM('연간'!J65:M65)))/F16,"")</f>
        <v/>
      </c>
      <c r="G52" s="36">
        <f>IFERROR((IF(COUNT('연간'!K65:N65)&lt;4,"",SUM('연간'!K65:N65)))/G16,"")</f>
        <v/>
      </c>
      <c r="H52" s="35">
        <f>IFERROR(('연간'!T65)/H16,"")</f>
        <v/>
      </c>
      <c r="I52" s="36">
        <f>IFERROR(('연간'!U65)/I16,"")</f>
        <v/>
      </c>
      <c r="J52" s="36">
        <f>IFERROR(('연간'!V65)/J16,"")</f>
        <v/>
      </c>
      <c r="K52" s="36">
        <f>IFERROR(('연간'!W65)/K16,"")</f>
        <v/>
      </c>
      <c r="L52" s="36">
        <f>IFERROR(('연간'!X65)/L16,"")</f>
        <v/>
      </c>
    </row>
    <row r="53">
      <c r="A53" s="45" t="inlineStr">
        <is>
          <t>ROIC</t>
        </is>
      </c>
      <c r="B53" s="10" t="inlineStr">
        <is>
          <t>10%↑ (세후영업이익 기준)</t>
        </is>
      </c>
      <c r="C53" s="35">
        <f>IFERROR((IF(COUNT('연간'!G37:J37)&lt;4,"",SUM('연간'!G37:J37)))*(1-0.3)/(C35+C29),"")</f>
        <v/>
      </c>
      <c r="D53" s="36">
        <f>IFERROR((IF(COUNT('연간'!H37:K37)&lt;4,"",SUM('연간'!H37:K37)))*(1-0.3)/(D35+D29),"")</f>
        <v/>
      </c>
      <c r="E53" s="36">
        <f>IFERROR((IF(COUNT('연간'!I37:L37)&lt;4,"",SUM('연간'!I37:L37)))*(1-0.3)/(E35+E29),"")</f>
        <v/>
      </c>
      <c r="F53" s="36">
        <f>IFERROR((IF(COUNT('연간'!J37:M37)&lt;4,"",SUM('연간'!J37:M37)))*(1-0.3)/(F35+F29),"")</f>
        <v/>
      </c>
      <c r="G53" s="36">
        <f>IFERROR((IF(COUNT('연간'!K37:N37)&lt;4,"",SUM('연간'!K37:N37)))*(1-0.3)/(G35+G29),"")</f>
        <v/>
      </c>
      <c r="H53" s="35">
        <f>IFERROR(('연간'!T37)*(1-0.3)/(H35+H29),"")</f>
        <v/>
      </c>
      <c r="I53" s="36">
        <f>IFERROR(('연간'!U37)*(1-0.3)/(I35+I29),"")</f>
        <v/>
      </c>
      <c r="J53" s="36">
        <f>IFERROR(('연간'!V37)*(1-0.3)/(J35+J29),"")</f>
        <v/>
      </c>
      <c r="K53" s="36">
        <f>IFERROR(('연간'!W37)*(1-0.3)/(K35+K29),"")</f>
        <v/>
      </c>
      <c r="L53" s="36">
        <f>IFERROR(('연간'!X37)*(1-0.3)/(L35+L29),"")</f>
        <v/>
      </c>
    </row>
    <row r="54">
      <c r="A54" s="45" t="inlineStr">
        <is>
          <t>매출총이익률 (GPM)</t>
        </is>
      </c>
      <c r="B54" s="10" t="inlineStr">
        <is>
          <t>40%↑ (해자 신호)</t>
        </is>
      </c>
      <c r="C54" s="35">
        <f>IFERROR((IF(COUNT('연간'!G31:J31)&lt;4,"",SUM('연간'!G31:J31)))/(IF(COUNT('연간'!G4:J4)&lt;4,"",SUM('연간'!G4:J4))),"")</f>
        <v/>
      </c>
      <c r="D54" s="36">
        <f>IFERROR((IF(COUNT('연간'!H31:K31)&lt;4,"",SUM('연간'!H31:K31)))/(IF(COUNT('연간'!H4:K4)&lt;4,"",SUM('연간'!H4:K4))),"")</f>
        <v/>
      </c>
      <c r="E54" s="36">
        <f>IFERROR((IF(COUNT('연간'!I31:L31)&lt;4,"",SUM('연간'!I31:L31)))/(IF(COUNT('연간'!I4:L4)&lt;4,"",SUM('연간'!I4:L4))),"")</f>
        <v/>
      </c>
      <c r="F54" s="36">
        <f>IFERROR((IF(COUNT('연간'!J31:M31)&lt;4,"",SUM('연간'!J31:M31)))/(IF(COUNT('연간'!J4:M4)&lt;4,"",SUM('연간'!J4:M4))),"")</f>
        <v/>
      </c>
      <c r="G54" s="36">
        <f>IFERROR((IF(COUNT('연간'!K31:N31)&lt;4,"",SUM('연간'!K31:N31)))/(IF(COUNT('연간'!K4:N4)&lt;4,"",SUM('연간'!K4:N4))),"")</f>
        <v/>
      </c>
      <c r="H54" s="35">
        <f>IFERROR(('연간'!T31)/('연간'!T4),"")</f>
        <v/>
      </c>
      <c r="I54" s="36">
        <f>IFERROR(('연간'!U31)/('연간'!U4),"")</f>
        <v/>
      </c>
      <c r="J54" s="36">
        <f>IFERROR(('연간'!V31)/('연간'!V4),"")</f>
        <v/>
      </c>
      <c r="K54" s="36">
        <f>IFERROR(('연간'!W31)/('연간'!W4),"")</f>
        <v/>
      </c>
      <c r="L54" s="36">
        <f>IFERROR(('연간'!X31)/('연간'!X4),"")</f>
        <v/>
      </c>
    </row>
    <row r="55">
      <c r="A55" s="45" t="inlineStr">
        <is>
          <t>영업이익률 (OPM)</t>
        </is>
      </c>
      <c r="B55" s="10" t="inlineStr">
        <is>
          <t>15%↑</t>
        </is>
      </c>
      <c r="C55" s="35">
        <f>IFERROR((IF(COUNT('연간'!G37:J37)&lt;4,"",SUM('연간'!G37:J37)))/(IF(COUNT('연간'!G4:J4)&lt;4,"",SUM('연간'!G4:J4))),"")</f>
        <v/>
      </c>
      <c r="D55" s="36">
        <f>IFERROR((IF(COUNT('연간'!H37:K37)&lt;4,"",SUM('연간'!H37:K37)))/(IF(COUNT('연간'!H4:K4)&lt;4,"",SUM('연간'!H4:K4))),"")</f>
        <v/>
      </c>
      <c r="E55" s="36">
        <f>IFERROR((IF(COUNT('연간'!I37:L37)&lt;4,"",SUM('연간'!I37:L37)))/(IF(COUNT('연간'!I4:L4)&lt;4,"",SUM('연간'!I4:L4))),"")</f>
        <v/>
      </c>
      <c r="F55" s="36">
        <f>IFERROR((IF(COUNT('연간'!J37:M37)&lt;4,"",SUM('연간'!J37:M37)))/(IF(COUNT('연간'!J4:M4)&lt;4,"",SUM('연간'!J4:M4))),"")</f>
        <v/>
      </c>
      <c r="G55" s="36">
        <f>IFERROR((IF(COUNT('연간'!K37:N37)&lt;4,"",SUM('연간'!K37:N37)))/(IF(COUNT('연간'!K4:N4)&lt;4,"",SUM('연간'!K4:N4))),"")</f>
        <v/>
      </c>
      <c r="H55" s="35">
        <f>IFERROR(('연간'!T37)/('연간'!T4),"")</f>
        <v/>
      </c>
      <c r="I55" s="36">
        <f>IFERROR(('연간'!U37)/('연간'!U4),"")</f>
        <v/>
      </c>
      <c r="J55" s="36">
        <f>IFERROR(('연간'!V37)/('연간'!V4),"")</f>
        <v/>
      </c>
      <c r="K55" s="36">
        <f>IFERROR(('연간'!W37)/('연간'!W4),"")</f>
        <v/>
      </c>
      <c r="L55" s="36">
        <f>IFERROR(('연간'!X37)/('연간'!X4),"")</f>
        <v/>
      </c>
    </row>
    <row r="56">
      <c r="A56" s="45" t="inlineStr">
        <is>
          <t>순이익률</t>
        </is>
      </c>
      <c r="B56" s="10" t="inlineStr">
        <is>
          <t>10%↑</t>
        </is>
      </c>
      <c r="C56" s="35">
        <f>IFERROR((IF(COUNT('연간'!G65:J65)&lt;4,"",SUM('연간'!G65:J65)))/(IF(COUNT('연간'!G4:J4)&lt;4,"",SUM('연간'!G4:J4))),"")</f>
        <v/>
      </c>
      <c r="D56" s="36">
        <f>IFERROR((IF(COUNT('연간'!H65:K65)&lt;4,"",SUM('연간'!H65:K65)))/(IF(COUNT('연간'!H4:K4)&lt;4,"",SUM('연간'!H4:K4))),"")</f>
        <v/>
      </c>
      <c r="E56" s="36">
        <f>IFERROR((IF(COUNT('연간'!I65:L65)&lt;4,"",SUM('연간'!I65:L65)))/(IF(COUNT('연간'!I4:L4)&lt;4,"",SUM('연간'!I4:L4))),"")</f>
        <v/>
      </c>
      <c r="F56" s="36">
        <f>IFERROR((IF(COUNT('연간'!J65:M65)&lt;4,"",SUM('연간'!J65:M65)))/(IF(COUNT('연간'!J4:M4)&lt;4,"",SUM('연간'!J4:M4))),"")</f>
        <v/>
      </c>
      <c r="G56" s="36">
        <f>IFERROR((IF(COUNT('연간'!K65:N65)&lt;4,"",SUM('연간'!K65:N65)))/(IF(COUNT('연간'!K4:N4)&lt;4,"",SUM('연간'!K4:N4))),"")</f>
        <v/>
      </c>
      <c r="H56" s="35">
        <f>IFERROR(('연간'!T65)/('연간'!T4),"")</f>
        <v/>
      </c>
      <c r="I56" s="36">
        <f>IFERROR(('연간'!U65)/('연간'!U4),"")</f>
        <v/>
      </c>
      <c r="J56" s="36">
        <f>IFERROR(('연간'!V65)/('연간'!V4),"")</f>
        <v/>
      </c>
      <c r="K56" s="36">
        <f>IFERROR(('연간'!W65)/('연간'!W4),"")</f>
        <v/>
      </c>
      <c r="L56" s="36">
        <f>IFERROR(('연간'!X65)/('연간'!X4),"")</f>
        <v/>
      </c>
    </row>
    <row r="57">
      <c r="A57" s="23" t="inlineStr">
        <is>
          <t>효율성 (회전율)</t>
        </is>
      </c>
      <c r="B57" s="23" t="n"/>
      <c r="C57" s="24" t="n"/>
      <c r="D57" s="23" t="n"/>
      <c r="E57" s="23" t="n"/>
      <c r="F57" s="23" t="n"/>
      <c r="G57" s="23" t="n"/>
      <c r="H57" s="24" t="n"/>
      <c r="I57" s="23" t="n"/>
      <c r="J57" s="23" t="n"/>
      <c r="K57" s="23" t="n"/>
      <c r="L57" s="23" t="n"/>
    </row>
    <row r="58">
      <c r="A58" s="45" t="inlineStr">
        <is>
          <t>총자산회전율</t>
        </is>
      </c>
      <c r="B58" s="10" t="inlineStr">
        <is>
          <t>높을수록↑</t>
        </is>
      </c>
      <c r="C58" s="30">
        <f>IFERROR((IF(COUNT('연간'!G4:J4)&lt;4,"",SUM('연간'!G4:J4)))/C16,"")</f>
        <v/>
      </c>
      <c r="D58" s="31">
        <f>IFERROR((IF(COUNT('연간'!H4:K4)&lt;4,"",SUM('연간'!H4:K4)))/D16,"")</f>
        <v/>
      </c>
      <c r="E58" s="31">
        <f>IFERROR((IF(COUNT('연간'!I4:L4)&lt;4,"",SUM('연간'!I4:L4)))/E16,"")</f>
        <v/>
      </c>
      <c r="F58" s="31">
        <f>IFERROR((IF(COUNT('연간'!J4:M4)&lt;4,"",SUM('연간'!J4:M4)))/F16,"")</f>
        <v/>
      </c>
      <c r="G58" s="31">
        <f>IFERROR((IF(COUNT('연간'!K4:N4)&lt;4,"",SUM('연간'!K4:N4)))/G16,"")</f>
        <v/>
      </c>
      <c r="H58" s="30">
        <f>IFERROR(('연간'!T4)/H16,"")</f>
        <v/>
      </c>
      <c r="I58" s="31">
        <f>IFERROR(('연간'!U4)/I16,"")</f>
        <v/>
      </c>
      <c r="J58" s="31">
        <f>IFERROR(('연간'!V4)/J16,"")</f>
        <v/>
      </c>
      <c r="K58" s="31">
        <f>IFERROR(('연간'!W4)/K16,"")</f>
        <v/>
      </c>
      <c r="L58" s="31">
        <f>IFERROR(('연간'!X4)/L16,"")</f>
        <v/>
      </c>
    </row>
    <row r="59">
      <c r="A59" s="45" t="inlineStr">
        <is>
          <t>매출채권회전일수</t>
        </is>
      </c>
      <c r="B59" s="10" t="inlineStr">
        <is>
          <t>짧을수록↑</t>
        </is>
      </c>
      <c r="C59" s="48">
        <f>IFERROR(C8/(IF(COUNT('연간'!G4:J4)&lt;4,"",SUM('연간'!G4:J4)))*365,"")</f>
        <v/>
      </c>
      <c r="D59" s="49">
        <f>IFERROR(D8/(IF(COUNT('연간'!H4:K4)&lt;4,"",SUM('연간'!H4:K4)))*365,"")</f>
        <v/>
      </c>
      <c r="E59" s="49">
        <f>IFERROR(E8/(IF(COUNT('연간'!I4:L4)&lt;4,"",SUM('연간'!I4:L4)))*365,"")</f>
        <v/>
      </c>
      <c r="F59" s="49">
        <f>IFERROR(F8/(IF(COUNT('연간'!J4:M4)&lt;4,"",SUM('연간'!J4:M4)))*365,"")</f>
        <v/>
      </c>
      <c r="G59" s="49">
        <f>IFERROR(G8/(IF(COUNT('연간'!K4:N4)&lt;4,"",SUM('연간'!K4:N4)))*365,"")</f>
        <v/>
      </c>
      <c r="H59" s="48">
        <f>IFERROR(H8/('연간'!T4)*365,"")</f>
        <v/>
      </c>
      <c r="I59" s="49">
        <f>IFERROR(I8/('연간'!U4)*365,"")</f>
        <v/>
      </c>
      <c r="J59" s="49">
        <f>IFERROR(J8/('연간'!V4)*365,"")</f>
        <v/>
      </c>
      <c r="K59" s="49">
        <f>IFERROR(K8/('연간'!W4)*365,"")</f>
        <v/>
      </c>
      <c r="L59" s="49">
        <f>IFERROR(L8/('연간'!X4)*365,"")</f>
        <v/>
      </c>
    </row>
    <row r="60">
      <c r="A60" s="45" t="inlineStr">
        <is>
          <t>재고자산회전일수</t>
        </is>
      </c>
      <c r="B60" s="10" t="inlineStr">
        <is>
          <t>짧을수록↑</t>
        </is>
      </c>
      <c r="C60" s="48">
        <f>IFERROR(C9/(IF(COUNT('연간'!G29:J29)&lt;4,"",SUM('연간'!G29:J29)))*365,"")</f>
        <v/>
      </c>
      <c r="D60" s="49">
        <f>IFERROR(D9/(IF(COUNT('연간'!H29:K29)&lt;4,"",SUM('연간'!H29:K29)))*365,"")</f>
        <v/>
      </c>
      <c r="E60" s="49">
        <f>IFERROR(E9/(IF(COUNT('연간'!I29:L29)&lt;4,"",SUM('연간'!I29:L29)))*365,"")</f>
        <v/>
      </c>
      <c r="F60" s="49">
        <f>IFERROR(F9/(IF(COUNT('연간'!J29:M29)&lt;4,"",SUM('연간'!J29:M29)))*365,"")</f>
        <v/>
      </c>
      <c r="G60" s="49">
        <f>IFERROR(G9/(IF(COUNT('연간'!K29:N29)&lt;4,"",SUM('연간'!K29:N29)))*365,"")</f>
        <v/>
      </c>
      <c r="H60" s="48">
        <f>IFERROR(H9/('연간'!T29)*365,"")</f>
        <v/>
      </c>
      <c r="I60" s="49">
        <f>IFERROR(I9/('연간'!U29)*365,"")</f>
        <v/>
      </c>
      <c r="J60" s="49">
        <f>IFERROR(J9/('연간'!V29)*365,"")</f>
        <v/>
      </c>
      <c r="K60" s="49">
        <f>IFERROR(K9/('연간'!W29)*365,"")</f>
        <v/>
      </c>
      <c r="L60" s="49">
        <f>IFERROR(L9/('연간'!X29)*365,"")</f>
        <v/>
      </c>
    </row>
    <row r="61">
      <c r="A61" s="45" t="inlineStr">
        <is>
          <t>매입채무회전일수</t>
        </is>
      </c>
      <c r="B61" s="10" t="inlineStr">
        <is>
          <t>길수록 유리</t>
        </is>
      </c>
      <c r="C61" s="48">
        <f>IFERROR(C19/(IF(COUNT('연간'!G29:J29)&lt;4,"",SUM('연간'!G29:J29)))*365,"")</f>
        <v/>
      </c>
      <c r="D61" s="49">
        <f>IFERROR(D19/(IF(COUNT('연간'!H29:K29)&lt;4,"",SUM('연간'!H29:K29)))*365,"")</f>
        <v/>
      </c>
      <c r="E61" s="49">
        <f>IFERROR(E19/(IF(COUNT('연간'!I29:L29)&lt;4,"",SUM('연간'!I29:L29)))*365,"")</f>
        <v/>
      </c>
      <c r="F61" s="49">
        <f>IFERROR(F19/(IF(COUNT('연간'!J29:M29)&lt;4,"",SUM('연간'!J29:M29)))*365,"")</f>
        <v/>
      </c>
      <c r="G61" s="49">
        <f>IFERROR(G19/(IF(COUNT('연간'!K29:N29)&lt;4,"",SUM('연간'!K29:N29)))*365,"")</f>
        <v/>
      </c>
      <c r="H61" s="48">
        <f>IFERROR(H19/('연간'!T29)*365,"")</f>
        <v/>
      </c>
      <c r="I61" s="49">
        <f>IFERROR(I19/('연간'!U29)*365,"")</f>
        <v/>
      </c>
      <c r="J61" s="49">
        <f>IFERROR(J19/('연간'!V29)*365,"")</f>
        <v/>
      </c>
      <c r="K61" s="49">
        <f>IFERROR(K19/('연간'!W29)*365,"")</f>
        <v/>
      </c>
      <c r="L61" s="49">
        <f>IFERROR(L19/('연간'!X29)*365,"")</f>
        <v/>
      </c>
    </row>
    <row r="62">
      <c r="A62" s="45" t="inlineStr">
        <is>
          <t>현금전환주기 (CCC)</t>
        </is>
      </c>
      <c r="B62" s="10" t="inlineStr">
        <is>
          <t>짧을수록↑</t>
        </is>
      </c>
      <c r="C62" s="48">
        <f>IF(OR(C59="",C60="",C61=""),"",IFERROR(C59+C60-C61,""))</f>
        <v/>
      </c>
      <c r="D62" s="49">
        <f>IF(OR(D59="",D60="",D61=""),"",IFERROR(D59+D60-D61,""))</f>
        <v/>
      </c>
      <c r="E62" s="49">
        <f>IF(OR(E59="",E60="",E61=""),"",IFERROR(E59+E60-E61,""))</f>
        <v/>
      </c>
      <c r="F62" s="49">
        <f>IF(OR(F59="",F60="",F61=""),"",IFERROR(F59+F60-F61,""))</f>
        <v/>
      </c>
      <c r="G62" s="49">
        <f>IF(OR(G59="",G60="",G61=""),"",IFERROR(G59+G60-G61,""))</f>
        <v/>
      </c>
      <c r="H62" s="48">
        <f>IF(OR(H59="",H60="",H61=""),"",IFERROR(H59+H60-H61,""))</f>
        <v/>
      </c>
      <c r="I62" s="49">
        <f>IF(OR(I59="",I60="",I61=""),"",IFERROR(I59+I60-I61,""))</f>
        <v/>
      </c>
      <c r="J62" s="49">
        <f>IF(OR(J59="",J60="",J61=""),"",IFERROR(J59+J60-J61,""))</f>
        <v/>
      </c>
      <c r="K62" s="49">
        <f>IF(OR(K59="",K60="",K61=""),"",IFERROR(K59+K60-K61,""))</f>
        <v/>
      </c>
      <c r="L62" s="49">
        <f>IF(OR(L59="",L60="",L61=""),"",IFERROR(L59+L60-L61,""))</f>
        <v/>
      </c>
    </row>
    <row r="63">
      <c r="A63" s="23" t="inlineStr">
        <is>
          <t>현금흐름</t>
        </is>
      </c>
      <c r="B63" s="23" t="n"/>
      <c r="C63" s="24" t="n"/>
      <c r="D63" s="23" t="n"/>
      <c r="E63" s="23" t="n"/>
      <c r="F63" s="23" t="n"/>
      <c r="G63" s="23" t="n"/>
      <c r="H63" s="24" t="n"/>
      <c r="I63" s="23" t="n"/>
      <c r="J63" s="23" t="n"/>
      <c r="K63" s="23" t="n"/>
      <c r="L63" s="23" t="n"/>
    </row>
    <row r="64">
      <c r="A64" s="45" t="inlineStr">
        <is>
          <t>영업현금흐름 / 순이익</t>
        </is>
      </c>
      <c r="B64" s="10" t="inlineStr">
        <is>
          <t>1x↑ (이익의 질)</t>
        </is>
      </c>
      <c r="C64" s="30">
        <f>IF(C37="","",IFERROR(C37/(IF(COUNT('연간'!G65:J65)&lt;4,"",SUM('연간'!G65:J65))),""))</f>
        <v/>
      </c>
      <c r="D64" s="31">
        <f>IF(D37="","",IFERROR(D37/(IF(COUNT('연간'!H65:K65)&lt;4,"",SUM('연간'!H65:K65))),""))</f>
        <v/>
      </c>
      <c r="E64" s="31">
        <f>IF(E37="","",IFERROR(E37/(IF(COUNT('연간'!I65:L65)&lt;4,"",SUM('연간'!I65:L65))),""))</f>
        <v/>
      </c>
      <c r="F64" s="31">
        <f>IF(F37="","",IFERROR(F37/(IF(COUNT('연간'!J65:M65)&lt;4,"",SUM('연간'!J65:M65))),""))</f>
        <v/>
      </c>
      <c r="G64" s="31">
        <f>IF(G37="","",IFERROR(G37/(IF(COUNT('연간'!K65:N65)&lt;4,"",SUM('연간'!K65:N65))),""))</f>
        <v/>
      </c>
      <c r="H64" s="30">
        <f>IF(H37="","",IFERROR(H37/('연간'!T65),""))</f>
        <v/>
      </c>
      <c r="I64" s="31">
        <f>IF(I37="","",IFERROR(I37/('연간'!U65),""))</f>
        <v/>
      </c>
      <c r="J64" s="31">
        <f>IF(J37="","",IFERROR(J37/('연간'!V65),""))</f>
        <v/>
      </c>
      <c r="K64" s="31">
        <f>IF(K37="","",IFERROR(K37/('연간'!W65),""))</f>
        <v/>
      </c>
      <c r="L64" s="31">
        <f>IF(L37="","",IFERROR(L37/('연간'!X65),""))</f>
        <v/>
      </c>
    </row>
    <row r="65">
      <c r="A65" s="45" t="inlineStr">
        <is>
          <t>FCF 마진</t>
        </is>
      </c>
      <c r="B65" s="10" t="inlineStr">
        <is>
          <t>5%↑</t>
        </is>
      </c>
      <c r="C65" s="35">
        <f>IF(C39="","",IFERROR(C39/(IF(COUNT('연간'!G4:J4)&lt;4,"",SUM('연간'!G4:J4))),""))</f>
        <v/>
      </c>
      <c r="D65" s="36">
        <f>IF(D39="","",IFERROR(D39/(IF(COUNT('연간'!H4:K4)&lt;4,"",SUM('연간'!H4:K4))),""))</f>
        <v/>
      </c>
      <c r="E65" s="36">
        <f>IF(E39="","",IFERROR(E39/(IF(COUNT('연간'!I4:L4)&lt;4,"",SUM('연간'!I4:L4))),""))</f>
        <v/>
      </c>
      <c r="F65" s="36">
        <f>IF(F39="","",IFERROR(F39/(IF(COUNT('연간'!J4:M4)&lt;4,"",SUM('연간'!J4:M4))),""))</f>
        <v/>
      </c>
      <c r="G65" s="36">
        <f>IF(G39="","",IFERROR(G39/(IF(COUNT('연간'!K4:N4)&lt;4,"",SUM('연간'!K4:N4))),""))</f>
        <v/>
      </c>
      <c r="H65" s="35">
        <f>IF(H39="","",IFERROR(H39/('연간'!T4),""))</f>
        <v/>
      </c>
      <c r="I65" s="36">
        <f>IF(I39="","",IFERROR(I39/('연간'!U4),""))</f>
        <v/>
      </c>
      <c r="J65" s="36">
        <f>IF(J39="","",IFERROR(J39/('연간'!V4),""))</f>
        <v/>
      </c>
      <c r="K65" s="36">
        <f>IF(K39="","",IFERROR(K39/('연간'!W4),""))</f>
        <v/>
      </c>
      <c r="L65" s="36">
        <f>IF(L39="","",IFERROR(L39/('연간'!X4),""))</f>
        <v/>
      </c>
    </row>
    <row r="66">
      <c r="A66" s="45" t="inlineStr">
        <is>
          <t>CAPEX / 매출</t>
        </is>
      </c>
      <c r="B66" s="10" t="inlineStr">
        <is>
          <t>낮을수록↑ (자본 가벼움)</t>
        </is>
      </c>
      <c r="C66" s="35">
        <f>IF(C38="","",IFERROR(C38/(IF(COUNT('연간'!G4:J4)&lt;4,"",SUM('연간'!G4:J4))),""))</f>
        <v/>
      </c>
      <c r="D66" s="36">
        <f>IF(D38="","",IFERROR(D38/(IF(COUNT('연간'!H4:K4)&lt;4,"",SUM('연간'!H4:K4))),""))</f>
        <v/>
      </c>
      <c r="E66" s="36">
        <f>IF(E38="","",IFERROR(E38/(IF(COUNT('연간'!I4:L4)&lt;4,"",SUM('연간'!I4:L4))),""))</f>
        <v/>
      </c>
      <c r="F66" s="36">
        <f>IF(F38="","",IFERROR(F38/(IF(COUNT('연간'!J4:M4)&lt;4,"",SUM('연간'!J4:M4))),""))</f>
        <v/>
      </c>
      <c r="G66" s="36">
        <f>IF(G38="","",IFERROR(G38/(IF(COUNT('연간'!K4:N4)&lt;4,"",SUM('연간'!K4:N4))),""))</f>
        <v/>
      </c>
      <c r="H66" s="35">
        <f>IF(H38="","",IFERROR(H38/('연간'!T4),""))</f>
        <v/>
      </c>
      <c r="I66" s="36">
        <f>IF(I38="","",IFERROR(I38/('연간'!U4),""))</f>
        <v/>
      </c>
      <c r="J66" s="36">
        <f>IF(J38="","",IFERROR(J38/('연간'!V4),""))</f>
        <v/>
      </c>
      <c r="K66" s="36">
        <f>IF(K38="","",IFERROR(K38/('연간'!W4),""))</f>
        <v/>
      </c>
      <c r="L66" s="36">
        <f>IF(L38="","",IFERROR(L38/('연간'!X4),""))</f>
        <v/>
      </c>
    </row>
    <row r="67">
      <c r="A67" s="45" t="inlineStr">
        <is>
          <t>배당성향</t>
        </is>
      </c>
      <c r="B67" s="10" t="inlineStr">
        <is>
          <t>참고</t>
        </is>
      </c>
      <c r="C67" s="35">
        <f>IF(C40="","",IFERROR(C40/(IF(COUNT('연간'!G67:J67)&lt;4,"",SUM('연간'!G67:J67))),""))</f>
        <v/>
      </c>
      <c r="D67" s="36">
        <f>IF(D40="","",IFERROR(D40/(IF(COUNT('연간'!H67:K67)&lt;4,"",SUM('연간'!H67:K67))),""))</f>
        <v/>
      </c>
      <c r="E67" s="36">
        <f>IF(E40="","",IFERROR(E40/(IF(COUNT('연간'!I67:L67)&lt;4,"",SUM('연간'!I67:L67))),""))</f>
        <v/>
      </c>
      <c r="F67" s="36">
        <f>IF(F40="","",IFERROR(F40/(IF(COUNT('연간'!J67:M67)&lt;4,"",SUM('연간'!J67:M67))),""))</f>
        <v/>
      </c>
      <c r="G67" s="36">
        <f>IF(G40="","",IFERROR(G40/(IF(COUNT('연간'!K67:N67)&lt;4,"",SUM('연간'!K67:N67))),""))</f>
        <v/>
      </c>
      <c r="H67" s="35">
        <f>IF(H40="","",IFERROR(H40/('연간'!T67),""))</f>
        <v/>
      </c>
      <c r="I67" s="36">
        <f>IF(I40="","",IFERROR(I40/('연간'!U67),""))</f>
        <v/>
      </c>
      <c r="J67" s="36">
        <f>IF(J40="","",IFERROR(J40/('연간'!V67),""))</f>
        <v/>
      </c>
      <c r="K67" s="36">
        <f>IF(K40="","",IFERROR(K40/('연간'!W67),""))</f>
        <v/>
      </c>
      <c r="L67" s="36">
        <f>IF(L40="","",IFERROR(L40/('연간'!X67),""))</f>
        <v/>
      </c>
    </row>
    <row r="69">
      <c r="A69" s="16" t="inlineStr">
        <is>
          <t>재무상태표 · 전 항목</t>
        </is>
      </c>
      <c r="B69" s="42" t="inlineStr">
        <is>
          <t>분기 말 잔액</t>
        </is>
      </c>
      <c r="C69" s="16" t="n"/>
      <c r="D69" s="16" t="n"/>
      <c r="E69" s="16" t="n"/>
      <c r="F69" s="16" t="n"/>
      <c r="G69" s="16" t="n"/>
      <c r="H69" s="16" t="n"/>
      <c r="I69" s="16" t="n"/>
      <c r="J69" s="16" t="n"/>
      <c r="K69" s="16" t="n"/>
      <c r="L69" s="16" t="n"/>
    </row>
    <row r="70">
      <c r="A70" s="5" t="inlineStr">
        <is>
          <t>항목</t>
        </is>
      </c>
      <c r="B70" s="5" t="inlineStr">
        <is>
          <t>참고</t>
        </is>
      </c>
      <c r="C70" s="5" t="inlineStr">
        <is>
          <t>2026.2Q</t>
        </is>
      </c>
      <c r="D70" s="5" t="inlineStr">
        <is>
          <t>2026.3Q</t>
        </is>
      </c>
      <c r="E70" s="5" t="inlineStr">
        <is>
          <t>2026.4Q</t>
        </is>
      </c>
      <c r="F70" s="5" t="inlineStr">
        <is>
          <t>2027.1Q</t>
        </is>
      </c>
      <c r="G70" s="5" t="inlineStr">
        <is>
          <t>2027.2Q</t>
        </is>
      </c>
      <c r="H70" s="5" t="inlineStr">
        <is>
          <t>2022</t>
        </is>
      </c>
      <c r="I70" s="5" t="inlineStr">
        <is>
          <t>2023</t>
        </is>
      </c>
      <c r="J70" s="5" t="inlineStr">
        <is>
          <t>2024</t>
        </is>
      </c>
      <c r="K70" s="5" t="inlineStr">
        <is>
          <t>2025</t>
        </is>
      </c>
      <c r="L70" s="5" t="inlineStr">
        <is>
          <t>2026</t>
        </is>
      </c>
    </row>
    <row r="71">
      <c r="A71" s="9" t="inlineStr">
        <is>
          <t>Current Assets</t>
        </is>
      </c>
      <c r="C71" s="12" t="n">
        <v>3737208</v>
      </c>
      <c r="D71" s="12" t="n">
        <v>3822272</v>
      </c>
      <c r="E71" s="12" t="n">
        <v>4027751</v>
      </c>
      <c r="F71" s="12" t="n">
        <v>4165645</v>
      </c>
      <c r="G71" s="12" t="n">
        <v>4251501</v>
      </c>
      <c r="H71" s="12" t="n">
        <v>3090296</v>
      </c>
      <c r="I71" s="12" t="n">
        <v>3388187</v>
      </c>
      <c r="J71" s="12" t="n">
        <v>3625236</v>
      </c>
      <c r="K71" s="12" t="n">
        <v>3747535</v>
      </c>
      <c r="L71" s="12" t="n">
        <v>4027751</v>
      </c>
    </row>
    <row r="72">
      <c r="A72" s="18" t="inlineStr">
        <is>
          <t>현금및현금성자산</t>
        </is>
      </c>
      <c r="C72" s="20" t="n">
        <v>862837</v>
      </c>
      <c r="D72" s="20" t="n">
        <v>719240</v>
      </c>
      <c r="E72" s="20" t="n">
        <v>731609</v>
      </c>
      <c r="F72" s="20" t="n">
        <v>929148</v>
      </c>
      <c r="G72" s="20" t="n">
        <v>956448</v>
      </c>
      <c r="H72" s="20" t="n">
        <v>727179</v>
      </c>
      <c r="I72" s="20" t="n">
        <v>645870</v>
      </c>
      <c r="J72" s="20" t="n">
        <v>765384</v>
      </c>
      <c r="K72" s="20" t="n">
        <v>757331</v>
      </c>
      <c r="L72" s="20" t="n">
        <v>731609</v>
      </c>
    </row>
    <row r="73">
      <c r="A73" s="18" t="inlineStr">
        <is>
          <t>Trade Receivables2CA</t>
        </is>
      </c>
      <c r="C73" s="20" t="n">
        <v>931921</v>
      </c>
      <c r="D73" s="20" t="n">
        <v>956206</v>
      </c>
      <c r="E73" s="20" t="n">
        <v>1296784</v>
      </c>
      <c r="F73" s="20" t="n">
        <v>1074322</v>
      </c>
      <c r="G73" s="20" t="n">
        <v>1070298</v>
      </c>
      <c r="H73" s="20" t="n">
        <v>944405</v>
      </c>
      <c r="I73" s="20" t="n">
        <v>1051641</v>
      </c>
      <c r="J73" s="20" t="n">
        <v>1089871</v>
      </c>
      <c r="K73" s="20" t="n">
        <v>1147037</v>
      </c>
      <c r="L73" s="20" t="n">
        <v>1296784</v>
      </c>
    </row>
    <row r="74">
      <c r="A74" s="18" t="inlineStr">
        <is>
          <t>계약자산</t>
        </is>
      </c>
      <c r="C74" s="20" t="n">
        <v>419671</v>
      </c>
      <c r="D74" s="20" t="n">
        <v>507811</v>
      </c>
      <c r="E74" s="20" t="n">
        <v>457645</v>
      </c>
      <c r="F74" s="20" t="n">
        <v>506869</v>
      </c>
      <c r="G74" s="20" t="n">
        <v>600928</v>
      </c>
      <c r="H74" s="20" t="n">
        <v>287697</v>
      </c>
      <c r="I74" s="20" t="n">
        <v>295291</v>
      </c>
      <c r="J74" s="20" t="n">
        <v>318663</v>
      </c>
      <c r="K74" s="20" t="n">
        <v>343228</v>
      </c>
      <c r="L74" s="20" t="n">
        <v>457645</v>
      </c>
    </row>
    <row r="75">
      <c r="A75" s="18" t="inlineStr">
        <is>
          <t>기타금융자산</t>
        </is>
      </c>
      <c r="C75" s="20" t="n">
        <v>46134</v>
      </c>
      <c r="D75" s="20" t="n">
        <v>50525</v>
      </c>
      <c r="E75" s="20" t="n">
        <v>56302</v>
      </c>
      <c r="F75" s="20" t="n">
        <v>65270</v>
      </c>
      <c r="G75" s="20" t="n">
        <v>56212</v>
      </c>
      <c r="J75" s="20" t="n">
        <v>52400</v>
      </c>
      <c r="K75" s="20" t="n">
        <v>52515</v>
      </c>
      <c r="L75" s="20" t="n">
        <v>56302</v>
      </c>
    </row>
    <row r="76">
      <c r="A76" s="18" t="inlineStr">
        <is>
          <t>재고자산</t>
        </is>
      </c>
      <c r="C76" s="20" t="n">
        <v>1268506</v>
      </c>
      <c r="D76" s="20" t="n">
        <v>1370529</v>
      </c>
      <c r="E76" s="20" t="n">
        <v>1262131</v>
      </c>
      <c r="F76" s="20" t="n">
        <v>1324450</v>
      </c>
      <c r="G76" s="20" t="n">
        <v>1298250</v>
      </c>
      <c r="H76" s="20" t="n">
        <v>959660</v>
      </c>
      <c r="I76" s="20" t="n">
        <v>1209254</v>
      </c>
      <c r="J76" s="20" t="n">
        <v>1253493</v>
      </c>
      <c r="K76" s="20" t="n">
        <v>1244959</v>
      </c>
      <c r="L76" s="20" t="n">
        <v>1262131</v>
      </c>
    </row>
    <row r="77">
      <c r="A77" s="18" t="inlineStr">
        <is>
          <t>기타유동자산</t>
        </is>
      </c>
      <c r="C77" s="20" t="n">
        <v>208139</v>
      </c>
      <c r="D77" s="20" t="n">
        <v>217961</v>
      </c>
      <c r="E77" s="20" t="n">
        <v>223280</v>
      </c>
      <c r="F77" s="20" t="n">
        <v>265586</v>
      </c>
      <c r="G77" s="20" t="n">
        <v>269365</v>
      </c>
      <c r="H77" s="20" t="n">
        <v>171355</v>
      </c>
      <c r="I77" s="20" t="n">
        <v>186131</v>
      </c>
      <c r="J77" s="20" t="n">
        <v>145425</v>
      </c>
      <c r="K77" s="20" t="n">
        <v>202465</v>
      </c>
      <c r="L77" s="20" t="n">
        <v>223280</v>
      </c>
    </row>
    <row r="78">
      <c r="A78" s="18" t="inlineStr">
        <is>
          <t>Non Current Assets</t>
        </is>
      </c>
      <c r="C78" s="20" t="n">
        <v>2707570</v>
      </c>
      <c r="D78" s="20" t="n">
        <v>2837669</v>
      </c>
      <c r="E78" s="20" t="n">
        <v>3341820</v>
      </c>
      <c r="F78" s="20" t="n">
        <v>3082589</v>
      </c>
      <c r="G78" s="20" t="n">
        <v>3134101</v>
      </c>
      <c r="H78" s="20" t="n">
        <v>2017677</v>
      </c>
      <c r="I78" s="20" t="n">
        <v>2194332</v>
      </c>
      <c r="J78" s="20" t="n">
        <v>2542104</v>
      </c>
      <c r="K78" s="20" t="n">
        <v>2628145</v>
      </c>
      <c r="L78" s="20" t="n">
        <v>3341820</v>
      </c>
    </row>
    <row r="79">
      <c r="A79" s="18" t="inlineStr">
        <is>
          <t>지분법 투자</t>
        </is>
      </c>
      <c r="C79" s="20" t="n">
        <v>326911</v>
      </c>
      <c r="D79" s="20" t="n">
        <v>335261</v>
      </c>
      <c r="E79" s="20" t="n">
        <v>342963</v>
      </c>
      <c r="F79" s="20" t="n">
        <v>331742</v>
      </c>
      <c r="G79" s="20" t="n">
        <v>332422</v>
      </c>
      <c r="H79" s="20" t="n">
        <v>221467</v>
      </c>
      <c r="I79" s="20" t="n">
        <v>236785</v>
      </c>
      <c r="J79" s="20" t="n">
        <v>265698</v>
      </c>
      <c r="K79" s="20" t="n">
        <v>324766</v>
      </c>
      <c r="L79" s="20" t="n">
        <v>342963</v>
      </c>
    </row>
    <row r="80">
      <c r="A80" s="18" t="inlineStr">
        <is>
          <t>기타금융자산</t>
        </is>
      </c>
      <c r="C80" s="20" t="n">
        <v>294403</v>
      </c>
      <c r="D80" s="20" t="n">
        <v>292252</v>
      </c>
      <c r="E80" s="20" t="n">
        <v>298499</v>
      </c>
      <c r="F80" s="20" t="n">
        <v>316350</v>
      </c>
      <c r="G80" s="20" t="n">
        <v>297722</v>
      </c>
      <c r="H80" s="20" t="n">
        <v>321056</v>
      </c>
      <c r="I80" s="20" t="n">
        <v>358598</v>
      </c>
      <c r="J80" s="20" t="n">
        <v>336521</v>
      </c>
      <c r="K80" s="20" t="n">
        <v>312836</v>
      </c>
      <c r="L80" s="20" t="n">
        <v>298499</v>
      </c>
    </row>
    <row r="81">
      <c r="A81" s="18" t="inlineStr">
        <is>
          <t>유형자산</t>
        </is>
      </c>
      <c r="C81" s="20" t="n">
        <v>1015500</v>
      </c>
      <c r="D81" s="20" t="n">
        <v>1040644</v>
      </c>
      <c r="E81" s="20" t="n">
        <v>1078137</v>
      </c>
      <c r="F81" s="20" t="n">
        <v>1112842</v>
      </c>
      <c r="G81" s="20" t="n">
        <v>1129338</v>
      </c>
      <c r="H81" s="20" t="n">
        <v>855746</v>
      </c>
      <c r="I81" s="20" t="n">
        <v>896313</v>
      </c>
      <c r="J81" s="20" t="n">
        <v>962608</v>
      </c>
      <c r="K81" s="20" t="n">
        <v>958458</v>
      </c>
      <c r="L81" s="20" t="n">
        <v>1078137</v>
      </c>
    </row>
    <row r="82">
      <c r="A82" s="18" t="inlineStr">
        <is>
          <t>영업권 및 무형자산</t>
        </is>
      </c>
      <c r="C82" s="20" t="n">
        <v>240083</v>
      </c>
      <c r="D82" s="20" t="n">
        <v>314946</v>
      </c>
      <c r="E82" s="20" t="n">
        <v>487291</v>
      </c>
      <c r="F82" s="20" t="n">
        <v>480477</v>
      </c>
      <c r="G82" s="20" t="n">
        <v>522949</v>
      </c>
      <c r="J82" s="20" t="n">
        <v>211864</v>
      </c>
      <c r="K82" s="20" t="n">
        <v>221406</v>
      </c>
      <c r="L82" s="20" t="n">
        <v>487291</v>
      </c>
    </row>
    <row r="83">
      <c r="A83" s="18" t="inlineStr">
        <is>
          <t>이연법인세자산</t>
        </is>
      </c>
      <c r="C83" s="20" t="n">
        <v>129220</v>
      </c>
      <c r="D83" s="20" t="n">
        <v>146999</v>
      </c>
      <c r="E83" s="20" t="n">
        <v>116775</v>
      </c>
      <c r="F83" s="20" t="n">
        <v>135636</v>
      </c>
      <c r="G83" s="20" t="n">
        <v>142910</v>
      </c>
      <c r="J83" s="20" t="n">
        <v>113967</v>
      </c>
      <c r="K83" s="20" t="n">
        <v>113146</v>
      </c>
      <c r="L83" s="20" t="n">
        <v>116775</v>
      </c>
    </row>
    <row r="84">
      <c r="A84" s="18" t="inlineStr">
        <is>
          <t>퇴직급여자산</t>
        </is>
      </c>
      <c r="C84" s="20" t="n">
        <v>669416</v>
      </c>
      <c r="D84" s="20" t="n">
        <v>673975</v>
      </c>
      <c r="E84" s="20" t="n">
        <v>967335</v>
      </c>
      <c r="F84" s="20" t="n">
        <v>656086</v>
      </c>
      <c r="G84" s="20" t="n">
        <v>655133</v>
      </c>
      <c r="J84" s="20" t="n">
        <v>627213</v>
      </c>
      <c r="K84" s="20" t="n">
        <v>669575</v>
      </c>
      <c r="L84" s="20" t="n">
        <v>967335</v>
      </c>
    </row>
    <row r="85">
      <c r="A85" s="18" t="inlineStr">
        <is>
          <t>기타비유동자산</t>
        </is>
      </c>
      <c r="C85" s="20" t="n">
        <v>32037</v>
      </c>
      <c r="D85" s="20" t="n">
        <v>33592</v>
      </c>
      <c r="E85" s="20" t="n">
        <v>50820</v>
      </c>
      <c r="F85" s="20" t="n">
        <v>49456</v>
      </c>
      <c r="G85" s="20" t="n">
        <v>53627</v>
      </c>
      <c r="H85" s="20" t="n">
        <v>619408</v>
      </c>
      <c r="I85" s="20" t="n">
        <v>702636</v>
      </c>
      <c r="J85" s="20" t="n">
        <v>24233</v>
      </c>
      <c r="K85" s="20" t="n">
        <v>27958</v>
      </c>
      <c r="L85" s="20" t="n">
        <v>50820</v>
      </c>
    </row>
    <row r="86">
      <c r="A86" s="18" t="inlineStr">
        <is>
          <t>Assets</t>
        </is>
      </c>
      <c r="C86" s="20" t="n">
        <v>6444778</v>
      </c>
      <c r="D86" s="20" t="n">
        <v>6659941</v>
      </c>
      <c r="E86" s="20" t="n">
        <v>7369571</v>
      </c>
      <c r="F86" s="20" t="n">
        <v>7248234</v>
      </c>
      <c r="G86" s="20" t="n">
        <v>7385602</v>
      </c>
      <c r="H86" s="20" t="n">
        <v>5107973</v>
      </c>
      <c r="I86" s="20" t="n">
        <v>5582519</v>
      </c>
      <c r="J86" s="20" t="n">
        <v>6167340</v>
      </c>
      <c r="K86" s="20" t="n">
        <v>6375680</v>
      </c>
      <c r="L86" s="20" t="n">
        <v>7369571</v>
      </c>
    </row>
    <row r="87">
      <c r="A87" s="18" t="inlineStr">
        <is>
          <t>Total Current Liabilities</t>
        </is>
      </c>
      <c r="C87" s="20" t="n">
        <v>1817366</v>
      </c>
      <c r="D87" s="20" t="n">
        <v>1922923</v>
      </c>
      <c r="E87" s="20" t="n">
        <v>2280457</v>
      </c>
      <c r="F87" s="20" t="n">
        <v>2092973</v>
      </c>
      <c r="G87" s="20" t="n">
        <v>2110709</v>
      </c>
      <c r="H87" s="20" t="n">
        <v>1646722</v>
      </c>
      <c r="I87" s="20" t="n">
        <v>1802826</v>
      </c>
      <c r="J87" s="20" t="n">
        <v>1839187</v>
      </c>
      <c r="K87" s="20" t="n">
        <v>1847029</v>
      </c>
      <c r="L87" s="20" t="n">
        <v>2280457</v>
      </c>
    </row>
    <row r="88">
      <c r="A88" s="18" t="inlineStr">
        <is>
          <t>Bonds Borrowings And Lease Liabilities CL</t>
        </is>
      </c>
      <c r="C88" s="20" t="n">
        <v>104860</v>
      </c>
      <c r="D88" s="20" t="n">
        <v>138191</v>
      </c>
      <c r="E88" s="20" t="n">
        <v>152448</v>
      </c>
      <c r="F88" s="20" t="n">
        <v>124282</v>
      </c>
      <c r="G88" s="20" t="n">
        <v>125602</v>
      </c>
      <c r="H88" s="20" t="n">
        <v>173213</v>
      </c>
      <c r="I88" s="20" t="n">
        <v>186304</v>
      </c>
      <c r="J88" s="20" t="n">
        <v>151698</v>
      </c>
      <c r="K88" s="20" t="n">
        <v>120889</v>
      </c>
      <c r="L88" s="20" t="n">
        <v>152448</v>
      </c>
    </row>
    <row r="89">
      <c r="A89" s="18" t="inlineStr">
        <is>
          <t>Trade Payables3CL</t>
        </is>
      </c>
      <c r="C89" s="20" t="n">
        <v>558464</v>
      </c>
      <c r="D89" s="20" t="n">
        <v>557549</v>
      </c>
      <c r="E89" s="20" t="n">
        <v>592018</v>
      </c>
      <c r="F89" s="20" t="n">
        <v>582867</v>
      </c>
      <c r="G89" s="20" t="n">
        <v>591763</v>
      </c>
      <c r="H89" s="20" t="n">
        <v>601606</v>
      </c>
      <c r="I89" s="20" t="n">
        <v>644456</v>
      </c>
      <c r="J89" s="20" t="n">
        <v>589142</v>
      </c>
      <c r="K89" s="20" t="n">
        <v>601978</v>
      </c>
      <c r="L89" s="20" t="n">
        <v>592018</v>
      </c>
    </row>
    <row r="90">
      <c r="A90" s="18" t="inlineStr">
        <is>
          <t>계약부채</t>
        </is>
      </c>
      <c r="C90" s="20" t="n">
        <v>354059</v>
      </c>
      <c r="D90" s="20" t="n">
        <v>376951</v>
      </c>
      <c r="E90" s="20" t="n">
        <v>410077</v>
      </c>
      <c r="F90" s="20" t="n">
        <v>478325</v>
      </c>
      <c r="G90" s="20" t="n">
        <v>451947</v>
      </c>
      <c r="J90" s="20" t="n">
        <v>306094</v>
      </c>
      <c r="K90" s="20" t="n">
        <v>330616</v>
      </c>
      <c r="L90" s="20" t="n">
        <v>410077</v>
      </c>
    </row>
    <row r="91">
      <c r="A91" s="18" t="inlineStr">
        <is>
          <t>기타금융부채</t>
        </is>
      </c>
      <c r="C91" s="20" t="n">
        <v>161910</v>
      </c>
      <c r="D91" s="20" t="n">
        <v>250084</v>
      </c>
      <c r="E91" s="20" t="n">
        <v>362205</v>
      </c>
      <c r="F91" s="20" t="n">
        <v>213094</v>
      </c>
      <c r="G91" s="20" t="n">
        <v>181403</v>
      </c>
      <c r="J91" s="20" t="n">
        <v>200411</v>
      </c>
      <c r="K91" s="20" t="n">
        <v>154708</v>
      </c>
      <c r="L91" s="20" t="n">
        <v>362205</v>
      </c>
    </row>
    <row r="92">
      <c r="A92" s="18" t="inlineStr">
        <is>
          <t>미지급비용</t>
        </is>
      </c>
      <c r="C92" s="20" t="n">
        <v>365662</v>
      </c>
      <c r="D92" s="20" t="n">
        <v>318710</v>
      </c>
      <c r="E92" s="20" t="n">
        <v>388212</v>
      </c>
      <c r="F92" s="20" t="n">
        <v>337766</v>
      </c>
      <c r="G92" s="20" t="n">
        <v>398173</v>
      </c>
      <c r="J92" s="20" t="n">
        <v>340582</v>
      </c>
      <c r="K92" s="20" t="n">
        <v>354483</v>
      </c>
      <c r="L92" s="20" t="n">
        <v>388212</v>
      </c>
    </row>
    <row r="93">
      <c r="A93" s="18" t="inlineStr">
        <is>
          <t>미지급법인세 등</t>
        </is>
      </c>
      <c r="C93" s="20" t="n">
        <v>60352</v>
      </c>
      <c r="D93" s="20" t="n">
        <v>49373</v>
      </c>
      <c r="E93" s="20" t="n">
        <v>89709</v>
      </c>
      <c r="F93" s="20" t="n">
        <v>82556</v>
      </c>
      <c r="G93" s="20" t="n">
        <v>117489</v>
      </c>
      <c r="J93" s="20" t="n">
        <v>66930</v>
      </c>
      <c r="K93" s="20" t="n">
        <v>37808</v>
      </c>
      <c r="L93" s="20" t="n">
        <v>89709</v>
      </c>
    </row>
    <row r="94">
      <c r="A94" s="18" t="inlineStr">
        <is>
          <t>충당금</t>
        </is>
      </c>
      <c r="C94" s="20" t="n">
        <v>121470</v>
      </c>
      <c r="D94" s="20" t="n">
        <v>119246</v>
      </c>
      <c r="E94" s="20" t="n">
        <v>139344</v>
      </c>
      <c r="F94" s="20" t="n">
        <v>132938</v>
      </c>
      <c r="G94" s="20" t="n">
        <v>133187</v>
      </c>
      <c r="J94" s="20" t="n">
        <v>125129</v>
      </c>
      <c r="K94" s="20" t="n">
        <v>123243</v>
      </c>
      <c r="L94" s="20" t="n">
        <v>139344</v>
      </c>
    </row>
    <row r="95">
      <c r="A95" s="18" t="inlineStr">
        <is>
          <t>기타유동부채</t>
        </is>
      </c>
      <c r="C95" s="20" t="n">
        <v>90589</v>
      </c>
      <c r="D95" s="20" t="n">
        <v>112819</v>
      </c>
      <c r="E95" s="20" t="n">
        <v>146444</v>
      </c>
      <c r="F95" s="20" t="n">
        <v>141145</v>
      </c>
      <c r="G95" s="20" t="n">
        <v>111145</v>
      </c>
      <c r="H95" s="20" t="n">
        <v>871903</v>
      </c>
      <c r="I95" s="20" t="n">
        <v>972066</v>
      </c>
      <c r="J95" s="20" t="n">
        <v>59201</v>
      </c>
      <c r="K95" s="20" t="n">
        <v>123304</v>
      </c>
      <c r="L95" s="20" t="n">
        <v>146444</v>
      </c>
    </row>
    <row r="96">
      <c r="A96" s="18" t="inlineStr">
        <is>
          <t>Non Current Labilities</t>
        </is>
      </c>
      <c r="C96" s="20" t="n">
        <v>446510</v>
      </c>
      <c r="D96" s="20" t="n">
        <v>435171</v>
      </c>
      <c r="E96" s="20" t="n">
        <v>459121</v>
      </c>
      <c r="F96" s="20" t="n">
        <v>436592</v>
      </c>
      <c r="G96" s="20" t="n">
        <v>442533</v>
      </c>
      <c r="H96" s="20" t="n">
        <v>363854</v>
      </c>
      <c r="I96" s="20" t="n">
        <v>416469</v>
      </c>
      <c r="J96" s="20" t="n">
        <v>461735</v>
      </c>
      <c r="K96" s="20" t="n">
        <v>452285</v>
      </c>
      <c r="L96" s="20" t="n">
        <v>459121</v>
      </c>
    </row>
    <row r="97">
      <c r="A97" s="18" t="inlineStr">
        <is>
          <t>Bonds Borrowings And Lease Liabilities NCL</t>
        </is>
      </c>
      <c r="C97" s="20" t="n">
        <v>234027</v>
      </c>
      <c r="D97" s="20" t="n">
        <v>217248</v>
      </c>
      <c r="E97" s="20" t="n">
        <v>210830</v>
      </c>
      <c r="F97" s="20" t="n">
        <v>213701</v>
      </c>
      <c r="G97" s="20" t="n">
        <v>213200</v>
      </c>
      <c r="H97" s="20" t="n">
        <v>156248</v>
      </c>
      <c r="I97" s="20" t="n">
        <v>214454</v>
      </c>
      <c r="J97" s="20" t="n">
        <v>242938</v>
      </c>
      <c r="K97" s="20" t="n">
        <v>239772</v>
      </c>
      <c r="L97" s="20" t="n">
        <v>210830</v>
      </c>
    </row>
    <row r="98">
      <c r="A98" s="18" t="inlineStr">
        <is>
          <t>기타금융부채</t>
        </is>
      </c>
      <c r="C98" s="20" t="n">
        <v>930</v>
      </c>
      <c r="D98" s="20" t="n">
        <v>952</v>
      </c>
      <c r="E98" s="20" t="n">
        <v>5477</v>
      </c>
      <c r="F98" s="20" t="n">
        <v>5558</v>
      </c>
      <c r="G98" s="20" t="n">
        <v>7865</v>
      </c>
      <c r="J98" s="20" t="n">
        <v>698</v>
      </c>
      <c r="K98" s="20" t="n">
        <v>56</v>
      </c>
      <c r="L98" s="20" t="n">
        <v>5477</v>
      </c>
    </row>
    <row r="99">
      <c r="A99" s="18" t="inlineStr">
        <is>
          <t>퇴직급여부채</t>
        </is>
      </c>
      <c r="C99" s="20" t="n">
        <v>148486</v>
      </c>
      <c r="D99" s="20" t="n">
        <v>153789</v>
      </c>
      <c r="E99" s="20" t="n">
        <v>132182</v>
      </c>
      <c r="F99" s="20" t="n">
        <v>134666</v>
      </c>
      <c r="G99" s="20" t="n">
        <v>134519</v>
      </c>
      <c r="H99" s="20" t="n">
        <v>162353</v>
      </c>
      <c r="I99" s="20" t="n">
        <v>153821</v>
      </c>
      <c r="J99" s="20" t="n">
        <v>150960</v>
      </c>
      <c r="K99" s="20" t="n">
        <v>143676</v>
      </c>
      <c r="L99" s="20" t="n">
        <v>132182</v>
      </c>
    </row>
    <row r="100">
      <c r="A100" s="18" t="inlineStr">
        <is>
          <t>충당금</t>
        </is>
      </c>
      <c r="C100" s="20" t="n">
        <v>3174</v>
      </c>
      <c r="D100" s="20" t="n">
        <v>3289</v>
      </c>
      <c r="E100" s="20" t="n">
        <v>3527</v>
      </c>
      <c r="F100" s="20" t="n">
        <v>3514</v>
      </c>
      <c r="G100" s="20" t="n">
        <v>3554</v>
      </c>
      <c r="J100" s="20" t="n">
        <v>3837</v>
      </c>
      <c r="K100" s="20" t="n">
        <v>3059</v>
      </c>
      <c r="L100" s="20" t="n">
        <v>3527</v>
      </c>
    </row>
    <row r="101">
      <c r="A101" s="18" t="inlineStr">
        <is>
          <t>이연법인세부채</t>
        </is>
      </c>
      <c r="C101" s="20" t="n">
        <v>20291</v>
      </c>
      <c r="D101" s="20" t="n">
        <v>16850</v>
      </c>
      <c r="E101" s="20" t="n">
        <v>59857</v>
      </c>
      <c r="F101" s="20" t="n">
        <v>35435</v>
      </c>
      <c r="G101" s="20" t="n">
        <v>43077</v>
      </c>
      <c r="J101" s="20" t="n">
        <v>22264</v>
      </c>
      <c r="K101" s="20" t="n">
        <v>25155</v>
      </c>
      <c r="L101" s="20" t="n">
        <v>59857</v>
      </c>
    </row>
    <row r="102">
      <c r="A102" s="18" t="inlineStr">
        <is>
          <t>기타비유동부채</t>
        </is>
      </c>
      <c r="C102" s="20" t="n">
        <v>39602</v>
      </c>
      <c r="D102" s="20" t="n">
        <v>43043</v>
      </c>
      <c r="E102" s="20" t="n">
        <v>47248</v>
      </c>
      <c r="F102" s="20" t="n">
        <v>43718</v>
      </c>
      <c r="G102" s="20" t="n">
        <v>40318</v>
      </c>
      <c r="H102" s="20" t="n">
        <v>45253</v>
      </c>
      <c r="I102" s="20" t="n">
        <v>48194</v>
      </c>
      <c r="J102" s="20" t="n">
        <v>41038</v>
      </c>
      <c r="K102" s="20" t="n">
        <v>40567</v>
      </c>
      <c r="L102" s="20" t="n">
        <v>47248</v>
      </c>
    </row>
    <row r="103">
      <c r="A103" s="18" t="inlineStr">
        <is>
          <t>Liabilities</t>
        </is>
      </c>
      <c r="C103" s="20" t="n">
        <v>2263876</v>
      </c>
      <c r="D103" s="20" t="n">
        <v>2358094</v>
      </c>
      <c r="E103" s="20" t="n">
        <v>2739578</v>
      </c>
      <c r="F103" s="20" t="n">
        <v>2529565</v>
      </c>
      <c r="G103" s="20" t="n">
        <v>2553242</v>
      </c>
      <c r="H103" s="20" t="n">
        <v>2010576</v>
      </c>
      <c r="I103" s="20" t="n">
        <v>2219295</v>
      </c>
      <c r="J103" s="20" t="n">
        <v>2300922</v>
      </c>
      <c r="K103" s="20" t="n">
        <v>2299314</v>
      </c>
      <c r="L103" s="20" t="n">
        <v>2739578</v>
      </c>
    </row>
    <row r="104">
      <c r="A104" s="18" t="inlineStr">
        <is>
          <t>Equity Attributable To Owners Of Parent</t>
        </is>
      </c>
      <c r="C104" s="20" t="n">
        <v>4047964</v>
      </c>
      <c r="D104" s="20" t="n">
        <v>4162079</v>
      </c>
      <c r="E104" s="20" t="n">
        <v>4484266</v>
      </c>
      <c r="F104" s="20" t="n">
        <v>4571550</v>
      </c>
      <c r="G104" s="20" t="n">
        <v>4695982</v>
      </c>
      <c r="H104" s="20" t="n">
        <v>2975941</v>
      </c>
      <c r="I104" s="20" t="n">
        <v>3239027</v>
      </c>
      <c r="J104" s="20" t="n">
        <v>3739324</v>
      </c>
      <c r="K104" s="20" t="n">
        <v>3949678</v>
      </c>
      <c r="L104" s="20" t="n">
        <v>4484266</v>
      </c>
    </row>
    <row r="105">
      <c r="A105" s="18" t="inlineStr">
        <is>
          <t>자본금</t>
        </is>
      </c>
      <c r="C105" s="20" t="n">
        <v>175820</v>
      </c>
      <c r="D105" s="20" t="n">
        <v>175820</v>
      </c>
      <c r="E105" s="20" t="n">
        <v>175820</v>
      </c>
      <c r="F105" s="20" t="n">
        <v>175820</v>
      </c>
      <c r="G105" s="20" t="n">
        <v>175820</v>
      </c>
      <c r="H105" s="20" t="n">
        <v>175820</v>
      </c>
      <c r="I105" s="20" t="n">
        <v>175820</v>
      </c>
      <c r="J105" s="20" t="n">
        <v>175820</v>
      </c>
      <c r="K105" s="20" t="n">
        <v>175820</v>
      </c>
      <c r="L105" s="20" t="n">
        <v>175820</v>
      </c>
    </row>
    <row r="106">
      <c r="A106" s="18" t="inlineStr">
        <is>
          <t>자본잉여금</t>
        </is>
      </c>
      <c r="C106" s="20" t="n">
        <v>186623</v>
      </c>
      <c r="D106" s="20" t="n">
        <v>187496</v>
      </c>
      <c r="E106" s="20" t="n">
        <v>188166</v>
      </c>
      <c r="F106" s="20" t="n">
        <v>187980</v>
      </c>
      <c r="G106" s="20" t="n">
        <v>188057</v>
      </c>
      <c r="H106" s="20" t="n">
        <v>202695</v>
      </c>
      <c r="I106" s="20" t="n">
        <v>202888</v>
      </c>
      <c r="J106" s="20" t="n">
        <v>195157</v>
      </c>
      <c r="K106" s="20" t="n">
        <v>186741</v>
      </c>
      <c r="L106" s="20" t="n">
        <v>188166</v>
      </c>
    </row>
    <row r="107">
      <c r="A107" s="18" t="inlineStr">
        <is>
          <t>이익잉여금</t>
        </is>
      </c>
      <c r="C107" s="20" t="n">
        <v>3443831</v>
      </c>
      <c r="D107" s="20" t="n">
        <v>3502411</v>
      </c>
      <c r="E107" s="20" t="n">
        <v>3808789</v>
      </c>
      <c r="F107" s="20" t="n">
        <v>3866670</v>
      </c>
      <c r="G107" s="20" t="n">
        <v>4054763</v>
      </c>
      <c r="H107" s="20" t="n">
        <v>2464966</v>
      </c>
      <c r="I107" s="20" t="n">
        <v>2636136</v>
      </c>
      <c r="J107" s="20" t="n">
        <v>3102755</v>
      </c>
      <c r="K107" s="20" t="n">
        <v>3304481</v>
      </c>
      <c r="L107" s="20" t="n">
        <v>3808789</v>
      </c>
    </row>
    <row r="108">
      <c r="A108" s="18" t="inlineStr">
        <is>
          <t>Accumulated Other Comprehensive Income</t>
        </is>
      </c>
      <c r="C108" s="20" t="n">
        <v>393702</v>
      </c>
      <c r="D108" s="20" t="n">
        <v>467562</v>
      </c>
      <c r="E108" s="20" t="n">
        <v>482580</v>
      </c>
      <c r="F108" s="20" t="n">
        <v>513218</v>
      </c>
      <c r="G108" s="20" t="n">
        <v>449481</v>
      </c>
      <c r="H108" s="20" t="n">
        <v>184528</v>
      </c>
      <c r="I108" s="20" t="n">
        <v>276898</v>
      </c>
      <c r="J108" s="20" t="n">
        <v>363632</v>
      </c>
      <c r="K108" s="20" t="n">
        <v>354459</v>
      </c>
      <c r="L108" s="20" t="n">
        <v>482580</v>
      </c>
    </row>
    <row r="109">
      <c r="A109" s="18" t="inlineStr">
        <is>
          <t>자기주식</t>
        </is>
      </c>
      <c r="C109" s="20" t="n">
        <v>-152012</v>
      </c>
      <c r="D109" s="20" t="n">
        <v>-171210</v>
      </c>
      <c r="E109" s="20" t="n">
        <v>-171089</v>
      </c>
      <c r="F109" s="20" t="n">
        <v>-172138</v>
      </c>
      <c r="G109" s="20" t="n">
        <v>-172139</v>
      </c>
      <c r="H109" s="20" t="n">
        <v>-52068</v>
      </c>
      <c r="I109" s="20" t="n">
        <v>-52715</v>
      </c>
      <c r="J109" s="20" t="n">
        <v>-98040</v>
      </c>
      <c r="K109" s="20" t="n">
        <v>-71823</v>
      </c>
      <c r="L109" s="20" t="n">
        <v>-171089</v>
      </c>
    </row>
    <row r="110">
      <c r="A110" s="18" t="inlineStr">
        <is>
          <t>비지배지분</t>
        </is>
      </c>
      <c r="C110" s="20" t="n">
        <v>132938</v>
      </c>
      <c r="D110" s="20" t="n">
        <v>139768</v>
      </c>
      <c r="E110" s="20" t="n">
        <v>145727</v>
      </c>
      <c r="F110" s="20" t="n">
        <v>147119</v>
      </c>
      <c r="G110" s="20" t="n">
        <v>136378</v>
      </c>
      <c r="H110" s="20" t="n">
        <v>121456</v>
      </c>
      <c r="I110" s="20" t="n">
        <v>124197</v>
      </c>
      <c r="J110" s="20" t="n">
        <v>127094</v>
      </c>
      <c r="K110" s="20" t="n">
        <v>126688</v>
      </c>
      <c r="L110" s="20" t="n">
        <v>145727</v>
      </c>
    </row>
    <row r="111">
      <c r="A111" s="18" t="inlineStr">
        <is>
          <t>Equity</t>
        </is>
      </c>
      <c r="C111" s="20" t="n">
        <v>4180902</v>
      </c>
      <c r="D111" s="20" t="n">
        <v>4301847</v>
      </c>
      <c r="E111" s="20" t="n">
        <v>4629993</v>
      </c>
      <c r="F111" s="20" t="n">
        <v>4718669</v>
      </c>
      <c r="G111" s="20" t="n">
        <v>4832360</v>
      </c>
      <c r="H111" s="20" t="n">
        <v>3097397</v>
      </c>
      <c r="I111" s="20" t="n">
        <v>3363224</v>
      </c>
      <c r="J111" s="20" t="n">
        <v>3866418</v>
      </c>
      <c r="K111" s="20" t="n">
        <v>4076366</v>
      </c>
      <c r="L111" s="20" t="n">
        <v>4629993</v>
      </c>
    </row>
    <row r="112">
      <c r="A112" s="18" t="inlineStr">
        <is>
          <t>Liabilities And Equity</t>
        </is>
      </c>
      <c r="C112" s="20" t="n">
        <v>6444778</v>
      </c>
      <c r="D112" s="20" t="n">
        <v>6659941</v>
      </c>
      <c r="E112" s="20" t="n">
        <v>7369571</v>
      </c>
      <c r="F112" s="20" t="n">
        <v>7248234</v>
      </c>
      <c r="G112" s="20" t="n">
        <v>7385602</v>
      </c>
      <c r="H112" s="20" t="n">
        <v>5107973</v>
      </c>
      <c r="I112" s="20" t="n">
        <v>5582519</v>
      </c>
      <c r="J112" s="20" t="n">
        <v>6167340</v>
      </c>
      <c r="K112" s="20" t="n">
        <v>6375680</v>
      </c>
      <c r="L112" s="20" t="n">
        <v>7369571</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C67"/>
  <sheetViews>
    <sheetView showGridLines="0" workbookViewId="0">
      <selection activeCell="A1" sqref="A1"/>
    </sheetView>
  </sheetViews>
  <sheetFormatPr baseColWidth="8" defaultRowHeight="15"/>
  <cols>
    <col width="30" customWidth="1" min="1" max="1"/>
    <col width="11" customWidth="1" min="2" max="2"/>
    <col width="44" customWidth="1" min="3" max="3"/>
  </cols>
  <sheetData>
    <row r="1">
      <c r="A1" s="50" t="inlineStr">
        <is>
          <t>6503 섹터·사업 데이터</t>
        </is>
      </c>
    </row>
    <row r="2">
      <c r="A2" s="51" t="inlineStr">
        <is>
          <t>2단계 보고서를 만들 때 모은 자료 · 월차 · 출처는 맨 오른쪽</t>
        </is>
      </c>
    </row>
    <row r="4">
      <c r="A4" s="52" t="inlineStr">
        <is>
          <t>shares</t>
        </is>
      </c>
      <c r="B4" s="52" t="n"/>
      <c r="C4" s="52" t="n"/>
    </row>
    <row r="5">
      <c r="A5" s="53" t="inlineStr">
        <is>
          <t>항목</t>
        </is>
      </c>
      <c r="B5" s="53" t="inlineStr">
        <is>
          <t>값</t>
        </is>
      </c>
      <c r="C5" s="53" t="inlineStr">
        <is>
          <t>출처</t>
        </is>
      </c>
    </row>
    <row r="6">
      <c r="A6" s="54" t="inlineStr">
        <is>
          <t>issued</t>
        </is>
      </c>
      <c r="B6" s="55" t="n">
        <v>2113201551</v>
      </c>
      <c r="C6" s="56" t="inlineStr">
        <is>
          <t>2단계 보고서 자료(회사 설명회 자료·공시)</t>
        </is>
      </c>
    </row>
    <row r="7">
      <c r="A7" s="54" t="inlineStr">
        <is>
          <t>treasury</t>
        </is>
      </c>
      <c r="B7" s="55" t="n">
        <v>66321482</v>
      </c>
    </row>
    <row r="8">
      <c r="A8" s="54" t="inlineStr">
        <is>
          <t>avg 1H</t>
        </is>
      </c>
      <c r="B8" s="55" t="n">
        <v>2046689665</v>
      </c>
    </row>
    <row r="9">
      <c r="A9" s="54" t="inlineStr">
        <is>
          <t>net</t>
        </is>
      </c>
      <c r="B9" s="55" t="n">
        <v>2046880069</v>
      </c>
    </row>
    <row r="10">
      <c r="A10" s="54" t="inlineStr">
        <is>
          <t>mcap oku</t>
        </is>
      </c>
      <c r="B10" s="57" t="n">
        <v>94975</v>
      </c>
    </row>
    <row r="12">
      <c r="A12" s="52" t="inlineStr">
        <is>
          <t>this_q · bridge_1H_조정영업이익</t>
        </is>
      </c>
      <c r="B12" s="52" t="n"/>
      <c r="C12" s="52" t="n"/>
    </row>
    <row r="13">
      <c r="A13" s="53" t="inlineStr">
        <is>
          <t>항목</t>
        </is>
      </c>
      <c r="B13" s="53" t="inlineStr">
        <is>
          <t>값</t>
        </is>
      </c>
      <c r="C13" s="53" t="inlineStr">
        <is>
          <t>출처</t>
        </is>
      </c>
    </row>
    <row r="14">
      <c r="A14" s="54" t="inlineStr">
        <is>
          <t>환율</t>
        </is>
      </c>
      <c r="B14" s="55" t="n">
        <v>410</v>
      </c>
      <c r="C14" s="56" t="inlineStr">
        <is>
          <t>2단계 보고서 자료(회사 설명회 자료·공시)</t>
        </is>
      </c>
    </row>
    <row r="15">
      <c r="A15" s="54" t="inlineStr">
        <is>
          <t>규모변동등</t>
        </is>
      </c>
      <c r="B15" s="55" t="n">
        <v>992</v>
      </c>
    </row>
    <row r="17">
      <c r="A17" s="52" t="inlineStr">
        <is>
          <t>컨센서스 · 2Q</t>
        </is>
      </c>
      <c r="B17" s="52" t="n"/>
      <c r="C17" s="52" t="n"/>
    </row>
    <row r="18">
      <c r="A18" s="53" t="inlineStr">
        <is>
          <t>항목</t>
        </is>
      </c>
      <c r="B18" s="53" t="inlineStr">
        <is>
          <t>값</t>
        </is>
      </c>
      <c r="C18" s="53" t="inlineStr">
        <is>
          <t>출처</t>
        </is>
      </c>
    </row>
    <row r="19">
      <c r="A19" s="54" t="inlineStr">
        <is>
          <t>매출</t>
        </is>
      </c>
      <c r="B19" s="55" t="n">
        <v>15236</v>
      </c>
      <c r="C19" s="56" t="inlineStr">
        <is>
          <t>야후(jp_consensus) 2026-10-30, 결산 반영 전 값</t>
        </is>
      </c>
    </row>
    <row r="20">
      <c r="A20" s="54" t="inlineStr">
        <is>
          <t>매출 n</t>
        </is>
      </c>
      <c r="B20" s="55" t="n">
        <v>7</v>
      </c>
    </row>
    <row r="21">
      <c r="A21" s="54" t="inlineStr">
        <is>
          <t>EPS</t>
        </is>
      </c>
      <c r="B21" s="57" t="n">
        <v>63.15</v>
      </c>
    </row>
    <row r="22">
      <c r="A22" s="54" t="inlineStr">
        <is>
          <t>EPS n</t>
        </is>
      </c>
      <c r="B22" s="55" t="n">
        <v>3</v>
      </c>
    </row>
    <row r="24">
      <c r="A24" s="52" t="inlineStr">
        <is>
          <t>컨센서스 · FY27</t>
        </is>
      </c>
      <c r="B24" s="52" t="n"/>
      <c r="C24" s="52" t="n"/>
    </row>
    <row r="25">
      <c r="A25" s="53" t="inlineStr">
        <is>
          <t>항목</t>
        </is>
      </c>
      <c r="B25" s="53" t="inlineStr">
        <is>
          <t>값</t>
        </is>
      </c>
      <c r="C25" s="53" t="inlineStr">
        <is>
          <t>출처</t>
        </is>
      </c>
    </row>
    <row r="26">
      <c r="A26" s="54" t="inlineStr">
        <is>
          <t>매출</t>
        </is>
      </c>
      <c r="B26" s="55" t="n">
        <v>64446</v>
      </c>
      <c r="C26" s="56" t="inlineStr">
        <is>
          <t>야후(jp_consensus) 2026-10-30, 결산 반영 전 값</t>
        </is>
      </c>
    </row>
    <row r="27">
      <c r="A27" s="54" t="inlineStr">
        <is>
          <t>EPS</t>
        </is>
      </c>
      <c r="B27" s="57" t="n">
        <v>258.78</v>
      </c>
    </row>
    <row r="28">
      <c r="A28" s="54" t="inlineStr">
        <is>
          <t>애널리스트 수</t>
        </is>
      </c>
      <c r="B28" s="55" t="n">
        <v>16</v>
      </c>
    </row>
    <row r="30">
      <c r="A30" s="52" t="inlineStr">
        <is>
          <t>컨센서스 · FY28</t>
        </is>
      </c>
      <c r="B30" s="52" t="n"/>
      <c r="C30" s="52" t="n"/>
    </row>
    <row r="31">
      <c r="A31" s="53" t="inlineStr">
        <is>
          <t>항목</t>
        </is>
      </c>
      <c r="B31" s="53" t="inlineStr">
        <is>
          <t>값</t>
        </is>
      </c>
      <c r="C31" s="53" t="inlineStr">
        <is>
          <t>출처</t>
        </is>
      </c>
    </row>
    <row r="32">
      <c r="A32" s="54" t="inlineStr">
        <is>
          <t>매출</t>
        </is>
      </c>
      <c r="B32" s="55" t="n">
        <v>66003</v>
      </c>
      <c r="C32" s="56" t="inlineStr">
        <is>
          <t>야후(jp_consensus) 2026-10-30, 결산 반영 전 값</t>
        </is>
      </c>
    </row>
    <row r="33">
      <c r="A33" s="54" t="inlineStr">
        <is>
          <t>EPS</t>
        </is>
      </c>
      <c r="B33" s="57" t="n">
        <v>297</v>
      </c>
    </row>
    <row r="34">
      <c r="A34" s="54" t="inlineStr">
        <is>
          <t>애널리스트 수</t>
        </is>
      </c>
      <c r="B34" s="55" t="n">
        <v>16</v>
      </c>
    </row>
    <row r="36">
      <c r="A36" s="52" t="inlineStr">
        <is>
          <t>consensus · 목표주가</t>
        </is>
      </c>
      <c r="B36" s="52" t="n"/>
      <c r="C36" s="52" t="n"/>
    </row>
    <row r="37">
      <c r="A37" s="53" t="inlineStr">
        <is>
          <t>항목</t>
        </is>
      </c>
      <c r="B37" s="53" t="inlineStr">
        <is>
          <t>값</t>
        </is>
      </c>
      <c r="C37" s="53" t="inlineStr">
        <is>
          <t>출처</t>
        </is>
      </c>
    </row>
    <row r="38">
      <c r="A38" s="54" t="inlineStr">
        <is>
          <t>평균</t>
        </is>
      </c>
      <c r="B38" s="55" t="n">
        <v>6725</v>
      </c>
      <c r="C38" s="56" t="inlineStr">
        <is>
          <t>야후(jp_consensus) 2026-10-30, 결산 반영 전 값</t>
        </is>
      </c>
    </row>
    <row r="39">
      <c r="A39" s="54" t="inlineStr">
        <is>
          <t>중간</t>
        </is>
      </c>
      <c r="B39" s="55" t="n">
        <v>6950</v>
      </c>
    </row>
    <row r="40">
      <c r="A40" s="54" t="inlineStr">
        <is>
          <t>최고</t>
        </is>
      </c>
      <c r="B40" s="55" t="n">
        <v>8200</v>
      </c>
    </row>
    <row r="41">
      <c r="A41" s="54" t="inlineStr">
        <is>
          <t>최저</t>
        </is>
      </c>
      <c r="B41" s="55" t="n">
        <v>3500</v>
      </c>
    </row>
    <row r="42">
      <c r="A42" s="54" t="inlineStr">
        <is>
          <t>애널리스트 수</t>
        </is>
      </c>
      <c r="B42" s="55" t="n">
        <v>16</v>
      </c>
    </row>
    <row r="44">
      <c r="A44" s="52" t="inlineStr">
        <is>
          <t>consensus · 서프라이즈(EPS %)</t>
        </is>
      </c>
      <c r="B44" s="52" t="n"/>
      <c r="C44" s="52" t="n"/>
    </row>
    <row r="45">
      <c r="A45" s="53" t="inlineStr">
        <is>
          <t>항목</t>
        </is>
      </c>
      <c r="B45" s="53" t="inlineStr">
        <is>
          <t>값</t>
        </is>
      </c>
      <c r="C45" s="53" t="inlineStr">
        <is>
          <t>출처</t>
        </is>
      </c>
    </row>
    <row r="46">
      <c r="A46" s="54" t="inlineStr">
        <is>
          <t>2Q26</t>
        </is>
      </c>
      <c r="B46" s="57" t="n">
        <v>27.05</v>
      </c>
      <c r="C46" s="56" t="inlineStr">
        <is>
          <t>야후(jp_consensus) 2026-10-30, 결산 반영 전 값</t>
        </is>
      </c>
    </row>
    <row r="47">
      <c r="A47" s="54" t="inlineStr">
        <is>
          <t>3Q26</t>
        </is>
      </c>
      <c r="B47" s="57" t="n">
        <v>23.12</v>
      </c>
    </row>
    <row r="48">
      <c r="A48" s="54" t="inlineStr">
        <is>
          <t>4Q26</t>
        </is>
      </c>
      <c r="B48" s="57" t="n">
        <v>33.55</v>
      </c>
    </row>
    <row r="49">
      <c r="A49" s="54" t="inlineStr">
        <is>
          <t>1Q27</t>
        </is>
      </c>
      <c r="B49" s="57" t="n">
        <v>4.68</v>
      </c>
    </row>
    <row r="51">
      <c r="A51" s="52" t="inlineStr">
        <is>
          <t>컨센서스 · 3Q27</t>
        </is>
      </c>
      <c r="B51" s="52" t="n"/>
      <c r="C51" s="52" t="n"/>
    </row>
    <row r="52">
      <c r="A52" s="53" t="inlineStr">
        <is>
          <t>항목</t>
        </is>
      </c>
      <c r="B52" s="53" t="inlineStr">
        <is>
          <t>값</t>
        </is>
      </c>
      <c r="C52" s="53" t="inlineStr">
        <is>
          <t>출처</t>
        </is>
      </c>
    </row>
    <row r="53">
      <c r="A53" s="54" t="inlineStr">
        <is>
          <t>매출</t>
        </is>
      </c>
      <c r="B53" s="55" t="n">
        <v>15401</v>
      </c>
      <c r="C53" s="56" t="inlineStr">
        <is>
          <t>야후(jp_consensus) 2026-10-30, 결산 반영 전 값</t>
        </is>
      </c>
    </row>
    <row r="54">
      <c r="A54" s="54" t="inlineStr">
        <is>
          <t>EPS</t>
        </is>
      </c>
      <c r="B54" s="57" t="n">
        <v>64.06999999999999</v>
      </c>
    </row>
    <row r="56">
      <c r="A56" s="52" t="inlineStr">
        <is>
          <t>quarterly EPS</t>
        </is>
      </c>
      <c r="B56" s="52" t="n"/>
      <c r="C56" s="52" t="n"/>
    </row>
    <row r="57">
      <c r="A57" s="53" t="inlineStr">
        <is>
          <t>항목</t>
        </is>
      </c>
      <c r="B57" s="53" t="inlineStr">
        <is>
          <t>값</t>
        </is>
      </c>
      <c r="C57" s="53" t="inlineStr">
        <is>
          <t>출처</t>
        </is>
      </c>
    </row>
    <row r="58">
      <c r="A58" s="54" t="inlineStr">
        <is>
          <t>2025.1Q</t>
        </is>
      </c>
      <c r="B58" s="57" t="n">
        <v>23.53</v>
      </c>
      <c r="C58" s="56" t="inlineStr">
        <is>
          <t>2단계 보고서 자료(회사 설명회 자료·공시)</t>
        </is>
      </c>
    </row>
    <row r="59">
      <c r="A59" s="54" t="inlineStr">
        <is>
          <t>2025.2Q</t>
        </is>
      </c>
      <c r="B59" s="57" t="n">
        <v>33.32</v>
      </c>
    </row>
    <row r="60">
      <c r="A60" s="54" t="inlineStr">
        <is>
          <t>2025.3Q</t>
        </is>
      </c>
      <c r="B60" s="57" t="n">
        <v>62.23</v>
      </c>
    </row>
    <row r="61">
      <c r="A61" s="54" t="inlineStr">
        <is>
          <t>2025.4Q</t>
        </is>
      </c>
      <c r="B61" s="57" t="n">
        <v>36.62</v>
      </c>
    </row>
    <row r="62">
      <c r="A62" s="54" t="inlineStr">
        <is>
          <t>2026.1Q</t>
        </is>
      </c>
      <c r="B62" s="57" t="n">
        <v>43.89</v>
      </c>
    </row>
    <row r="63">
      <c r="A63" s="54" t="inlineStr">
        <is>
          <t>2026.2Q</t>
        </is>
      </c>
      <c r="B63" s="57" t="n">
        <v>47.85</v>
      </c>
    </row>
    <row r="64">
      <c r="A64" s="54" t="inlineStr">
        <is>
          <t>2026.3Q</t>
        </is>
      </c>
      <c r="B64" s="57" t="n">
        <v>53.11</v>
      </c>
    </row>
    <row r="65">
      <c r="A65" s="54" t="inlineStr">
        <is>
          <t>2026.4Q</t>
        </is>
      </c>
      <c r="B65" s="57" t="n">
        <v>53.46</v>
      </c>
    </row>
    <row r="66">
      <c r="A66" s="54" t="inlineStr">
        <is>
          <t>2027.1Q</t>
        </is>
      </c>
      <c r="B66" s="57" t="n">
        <v>53.66</v>
      </c>
    </row>
    <row r="67">
      <c r="A67" s="54" t="inlineStr">
        <is>
          <t>2027.2Q(1H 145.12−53.66)</t>
        </is>
      </c>
      <c r="B67" s="57" t="n">
        <v>91.45999999999999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0" t="inlineStr">
        <is>
          <t>출처 · 쓴 결산단신</t>
        </is>
      </c>
    </row>
    <row r="3">
      <c r="A3" s="58" t="inlineStr">
        <is>
          <t>공시일</t>
        </is>
      </c>
      <c r="B3" s="58" t="inlineStr">
        <is>
          <t>문서</t>
        </is>
      </c>
      <c r="C3" s="58" t="inlineStr">
        <is>
          <t>PDF</t>
        </is>
      </c>
    </row>
    <row r="4">
      <c r="A4" t="inlineStr">
        <is>
          <t>2026-10-30</t>
        </is>
      </c>
      <c r="B4" t="inlineStr">
        <is>
          <t>2027년 3월 결산기 2분기 결산단신</t>
        </is>
      </c>
      <c r="C4" t="inlineStr">
        <is>
          <t>https://www2.jpx.co.jp/disc/65030/140120261029559785.pdf</t>
        </is>
      </c>
    </row>
    <row r="5">
      <c r="A5" t="inlineStr">
        <is>
          <t>2026-07-31</t>
        </is>
      </c>
      <c r="B5" t="inlineStr">
        <is>
          <t>2027년 3월 결산기 1분기 결산단신</t>
        </is>
      </c>
      <c r="C5" t="inlineStr">
        <is>
          <t>https://www2.jpx.co.jp/disc/65030/140120260721596543.pdf</t>
        </is>
      </c>
    </row>
    <row r="6">
      <c r="A6" t="inlineStr">
        <is>
          <t>2026-04-28</t>
        </is>
      </c>
      <c r="B6" t="inlineStr">
        <is>
          <t>2026년 3월 결산기 연간 결산단신</t>
        </is>
      </c>
      <c r="C6" t="inlineStr">
        <is>
          <t>https://www2.jpx.co.jp/disc/65030/140120260427512041.pdf</t>
        </is>
      </c>
    </row>
    <row r="7">
      <c r="A7" t="inlineStr">
        <is>
          <t>2026-02-03</t>
        </is>
      </c>
      <c r="B7" t="inlineStr">
        <is>
          <t>2026년 3월 결산기 3분기 결산단신</t>
        </is>
      </c>
      <c r="C7" t="inlineStr">
        <is>
          <t>https://www2.jpx.co.jp/disc/65030/140120260202544714.pdf</t>
        </is>
      </c>
    </row>
    <row r="8">
      <c r="A8" t="inlineStr">
        <is>
          <t>2025-10-31</t>
        </is>
      </c>
      <c r="B8" t="inlineStr">
        <is>
          <t>2026년 3월 결산기 2분기 결산단신</t>
        </is>
      </c>
      <c r="C8" t="inlineStr">
        <is>
          <t>https://www2.jpx.co.jp/disc/65030/140120251024578598.pdf</t>
        </is>
      </c>
    </row>
    <row r="9">
      <c r="A9" t="inlineStr">
        <is>
          <t>2025-07-31</t>
        </is>
      </c>
      <c r="B9" t="inlineStr">
        <is>
          <t>2026년 3월 결산기 1분기 결산단신</t>
        </is>
      </c>
      <c r="C9" t="inlineStr">
        <is>
          <t>https://www2.jpx.co.jp/disc/65030/140120250730524311.pdf</t>
        </is>
      </c>
    </row>
    <row r="10">
      <c r="A10" t="inlineStr">
        <is>
          <t>2025-04-28</t>
        </is>
      </c>
      <c r="B10" t="inlineStr">
        <is>
          <t>2025년 3월 결산기 연간 결산단신</t>
        </is>
      </c>
      <c r="C10" t="inlineStr">
        <is>
          <t>https://www2.jpx.co.jp/disc/65030/140120250425524411.pdf</t>
        </is>
      </c>
    </row>
    <row r="11">
      <c r="A11" t="inlineStr">
        <is>
          <t>2025-02-10</t>
        </is>
      </c>
      <c r="B11" t="inlineStr">
        <is>
          <t>2025년 3월 결산기 3분기 결산단신</t>
        </is>
      </c>
      <c r="C11" t="inlineStr">
        <is>
          <t>https://www2.jpx.co.jp/disc/65030/140120250206565511.pdf</t>
        </is>
      </c>
    </row>
    <row r="12">
      <c r="A12" t="inlineStr">
        <is>
          <t>2025-02-04</t>
        </is>
      </c>
      <c r="B12" t="inlineStr">
        <is>
          <t>2025년 3월 결산기 3분기 결산단신</t>
        </is>
      </c>
      <c r="C12" t="inlineStr">
        <is>
          <t>https://www2.jpx.co.jp/disc/65030/140120250131560392.pdf</t>
        </is>
      </c>
    </row>
    <row r="13">
      <c r="A13" t="inlineStr">
        <is>
          <t>2024-10-31</t>
        </is>
      </c>
      <c r="B13" t="inlineStr">
        <is>
          <t>2025년 3월 결산기 2분기 결산단신</t>
        </is>
      </c>
      <c r="C13" t="inlineStr">
        <is>
          <t>https://www2.jpx.co.jp/disc/65030/140120241030506203.pdf</t>
        </is>
      </c>
    </row>
    <row r="14">
      <c r="A14" t="inlineStr">
        <is>
          <t>2024-08-07</t>
        </is>
      </c>
      <c r="B14" t="inlineStr">
        <is>
          <t>2025년 3월 결산기 1분기 결산단신</t>
        </is>
      </c>
      <c r="C14" t="inlineStr">
        <is>
          <t>https://www2.jpx.co.jp/disc/65030/140120240805563021.pdf</t>
        </is>
      </c>
    </row>
    <row r="15">
      <c r="A15" t="inlineStr">
        <is>
          <t>2024-07-31</t>
        </is>
      </c>
      <c r="B15" t="inlineStr">
        <is>
          <t>2025년 3월 결산기 1분기 결산단신</t>
        </is>
      </c>
      <c r="C15" t="inlineStr">
        <is>
          <t>https://www2.jpx.co.jp/disc/65030/140120240729557077.pdf</t>
        </is>
      </c>
    </row>
    <row r="16">
      <c r="A16" t="inlineStr">
        <is>
          <t>2024-04-26</t>
        </is>
      </c>
      <c r="B16" t="inlineStr">
        <is>
          <t>2024년 3월 결산기 연간 결산단신</t>
        </is>
      </c>
      <c r="C16" t="inlineStr">
        <is>
          <t>https://www2.jpx.co.jp/disc/65030/140120240424575617.pdf</t>
        </is>
      </c>
    </row>
    <row r="17">
      <c r="A17" t="inlineStr">
        <is>
          <t>2024-02-05</t>
        </is>
      </c>
      <c r="B17" t="inlineStr">
        <is>
          <t>2024년 3월 결산기 3분기 결산단신</t>
        </is>
      </c>
      <c r="C17" t="inlineStr">
        <is>
          <t>https://www2.jpx.co.jp/disc/65030/140120240131523730.pdf</t>
        </is>
      </c>
    </row>
    <row r="18">
      <c r="A18" t="inlineStr">
        <is>
          <t>2023-10-31</t>
        </is>
      </c>
      <c r="B18" t="inlineStr">
        <is>
          <t>2024년 3월 결산기 2분기 결산단신</t>
        </is>
      </c>
      <c r="C18" t="inlineStr">
        <is>
          <t>https://www2.jpx.co.jp/disc/65030/140120231027572853.pdf</t>
        </is>
      </c>
    </row>
    <row r="19">
      <c r="A19" t="inlineStr">
        <is>
          <t>2023-07-31</t>
        </is>
      </c>
      <c r="B19" t="inlineStr">
        <is>
          <t>2024년 3월 결산기 1분기 결산단신</t>
        </is>
      </c>
      <c r="C19" t="inlineStr">
        <is>
          <t>https://www2.jpx.co.jp/disc/65030/140120230727528456.pdf</t>
        </is>
      </c>
    </row>
    <row r="20">
      <c r="A20" t="inlineStr">
        <is>
          <t>2023-04-28</t>
        </is>
      </c>
      <c r="B20" t="inlineStr">
        <is>
          <t>2023년 3월 결산기 연간 결산단신</t>
        </is>
      </c>
      <c r="C20" t="inlineStr">
        <is>
          <t>https://www2.jpx.co.jp/disc/65030/140120230426553967.pdf</t>
        </is>
      </c>
    </row>
    <row r="21">
      <c r="A21" t="inlineStr">
        <is>
          <t>2022-04-28</t>
        </is>
      </c>
      <c r="B21" t="inlineStr">
        <is>
          <t>2022년 3월 결산기 연간 결산단신</t>
        </is>
      </c>
      <c r="C21" t="inlineStr">
        <is>
          <t>https://www2.jpx.co.jp/disc/65030/140120220427528889.pdf</t>
        </is>
      </c>
    </row>
    <row r="22">
      <c r="A22" t="inlineStr">
        <is>
          <t>2021-04-28</t>
        </is>
      </c>
      <c r="B22" t="inlineStr">
        <is>
          <t>2021년 3월 결산기 연간 결산단신</t>
        </is>
      </c>
      <c r="C22" t="inlineStr">
        <is>
          <t>https://www2.jpx.co.jp/disc/65030/140120210427401495.pdf</t>
        </is>
      </c>
    </row>
    <row r="23">
      <c r="A23" t="inlineStr">
        <is>
          <t>2020-05-11</t>
        </is>
      </c>
      <c r="B23" t="inlineStr">
        <is>
          <t>2020년 3월 결산기 연간 결산단신</t>
        </is>
      </c>
      <c r="C23" t="inlineStr">
        <is>
          <t>https://www2.jpx.co.jp/disc/65030/140120200507405985.pdf</t>
        </is>
      </c>
    </row>
    <row r="24">
      <c r="A24" t="inlineStr">
        <is>
          <t>2019-04-26</t>
        </is>
      </c>
      <c r="B24" t="inlineStr">
        <is>
          <t>２０１９년 3월 결산기 연간 결산단신</t>
        </is>
      </c>
      <c r="C24" t="inlineStr">
        <is>
          <t>https://www2.jpx.co.jp/disc/65030/140120190425411739.pdf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P2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7.5" customWidth="1" min="2" max="2"/>
    <col width="7.5"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7.5" customWidth="1" min="12" max="12"/>
    <col width="7.5" customWidth="1" min="13" max="13"/>
    <col width="7.5"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7.5" customWidth="1" min="22" max="22"/>
    <col width="7.5" customWidth="1" min="23" max="23"/>
    <col width="7.5" customWidth="1" min="24" max="24"/>
    <col width="7.5" customWidth="1" min="25" max="25"/>
    <col width="7.5" customWidth="1" min="26" max="26"/>
    <col width="7.5" customWidth="1" min="27" max="27"/>
    <col width="7.5" customWidth="1" min="28" max="28"/>
    <col width="7.5" customWidth="1" min="29" max="29"/>
    <col width="7.5" customWidth="1" min="30" max="30"/>
    <col width="7.5" customWidth="1" min="31" max="31"/>
    <col width="7.5" customWidth="1" min="32" max="32"/>
    <col width="7.5" customWidth="1" min="33" max="33"/>
    <col width="7.5" customWidth="1" min="34" max="34"/>
    <col width="7.5" customWidth="1" min="35" max="35"/>
    <col width="7.5" customWidth="1" min="36" max="36"/>
    <col width="7.5" customWidth="1" min="37" max="37"/>
    <col width="7.5" customWidth="1" min="38" max="38"/>
    <col width="7.5" customWidth="1" min="39" max="39"/>
    <col width="7.5" customWidth="1" min="40" max="40"/>
    <col width="7.5" customWidth="1" min="41" max="41"/>
  </cols>
  <sheetData>
    <row r="1">
      <c r="A1" s="59" t="inlineStr">
        <is>
          <t>6503 재무제표 한눈에 보기 — 최근 40개 분기(달력 분기, 3Q26 = 26.7~9) · 단위 억 엔</t>
        </is>
      </c>
    </row>
    <row r="2">
      <c r="A2" s="60" t="inlineStr">
        <is>
          <t>출처: 매출·영업이익 결산단신 XBRL · 재무상태표 등 결산단신 XBRL 33건(2019-04-26~2026-10-30). 부문·지역·수주·수출은 있을 때만(출처는 줄 끝). 총 차입금 = 이자 붙는 부채 전부(단기·장기 차입금, CP, 사채·전환사채, 리스부채)</t>
        </is>
      </c>
    </row>
    <row r="4">
      <c r="A4" s="61" t="inlineStr">
        <is>
          <t>항목</t>
        </is>
      </c>
      <c r="B4" s="62" t="inlineStr">
        <is>
          <t>4Q16</t>
        </is>
      </c>
      <c r="C4" s="62" t="inlineStr">
        <is>
          <t>1Q17</t>
        </is>
      </c>
      <c r="D4" s="62" t="inlineStr">
        <is>
          <t>2Q17</t>
        </is>
      </c>
      <c r="E4" s="62" t="inlineStr">
        <is>
          <t>3Q17</t>
        </is>
      </c>
      <c r="F4" s="62" t="inlineStr">
        <is>
          <t>4Q17</t>
        </is>
      </c>
      <c r="G4" s="62" t="inlineStr">
        <is>
          <t>1Q18</t>
        </is>
      </c>
      <c r="H4" s="62" t="inlineStr">
        <is>
          <t>2Q18</t>
        </is>
      </c>
      <c r="I4" s="62" t="inlineStr">
        <is>
          <t>3Q18</t>
        </is>
      </c>
      <c r="J4" s="62" t="inlineStr">
        <is>
          <t>4Q18</t>
        </is>
      </c>
      <c r="K4" s="62" t="inlineStr">
        <is>
          <t>1Q19</t>
        </is>
      </c>
      <c r="L4" s="62" t="inlineStr">
        <is>
          <t>2Q19</t>
        </is>
      </c>
      <c r="M4" s="62" t="inlineStr">
        <is>
          <t>3Q19</t>
        </is>
      </c>
      <c r="N4" s="62" t="inlineStr">
        <is>
          <t>4Q19</t>
        </is>
      </c>
      <c r="O4" s="62" t="inlineStr">
        <is>
          <t>1Q20</t>
        </is>
      </c>
      <c r="P4" s="62" t="inlineStr">
        <is>
          <t>2Q20</t>
        </is>
      </c>
      <c r="Q4" s="62" t="inlineStr">
        <is>
          <t>3Q20</t>
        </is>
      </c>
      <c r="R4" s="62" t="inlineStr">
        <is>
          <t>4Q20</t>
        </is>
      </c>
      <c r="S4" s="62" t="inlineStr">
        <is>
          <t>1Q21</t>
        </is>
      </c>
      <c r="T4" s="62" t="inlineStr">
        <is>
          <t>2Q21</t>
        </is>
      </c>
      <c r="U4" s="62" t="inlineStr">
        <is>
          <t>3Q21</t>
        </is>
      </c>
      <c r="V4" s="62" t="inlineStr">
        <is>
          <t>4Q21</t>
        </is>
      </c>
      <c r="W4" s="62" t="inlineStr">
        <is>
          <t>1Q22</t>
        </is>
      </c>
      <c r="X4" s="62" t="inlineStr">
        <is>
          <t>2Q22</t>
        </is>
      </c>
      <c r="Y4" s="62" t="inlineStr">
        <is>
          <t>3Q22</t>
        </is>
      </c>
      <c r="Z4" s="62" t="inlineStr">
        <is>
          <t>4Q22</t>
        </is>
      </c>
      <c r="AA4" s="62" t="inlineStr">
        <is>
          <t>1Q23</t>
        </is>
      </c>
      <c r="AB4" s="62" t="inlineStr">
        <is>
          <t>2Q23</t>
        </is>
      </c>
      <c r="AC4" s="62" t="inlineStr">
        <is>
          <t>3Q23</t>
        </is>
      </c>
      <c r="AD4" s="62" t="inlineStr">
        <is>
          <t>4Q23</t>
        </is>
      </c>
      <c r="AE4" s="62" t="inlineStr">
        <is>
          <t>1Q24</t>
        </is>
      </c>
      <c r="AF4" s="62" t="inlineStr">
        <is>
          <t>2Q24</t>
        </is>
      </c>
      <c r="AG4" s="62" t="inlineStr">
        <is>
          <t>3Q24</t>
        </is>
      </c>
      <c r="AH4" s="62" t="inlineStr">
        <is>
          <t>4Q24</t>
        </is>
      </c>
      <c r="AI4" s="62" t="inlineStr">
        <is>
          <t>1Q25</t>
        </is>
      </c>
      <c r="AJ4" s="62" t="inlineStr">
        <is>
          <t>2Q25</t>
        </is>
      </c>
      <c r="AK4" s="62" t="inlineStr">
        <is>
          <t>3Q25</t>
        </is>
      </c>
      <c r="AL4" s="62" t="inlineStr">
        <is>
          <t>4Q25</t>
        </is>
      </c>
      <c r="AM4" s="62" t="inlineStr">
        <is>
          <t>1Q26</t>
        </is>
      </c>
      <c r="AN4" s="62" t="inlineStr">
        <is>
          <t>2Q26</t>
        </is>
      </c>
      <c r="AO4" s="62" t="inlineStr">
        <is>
          <t>3Q26</t>
        </is>
      </c>
      <c r="AP4" s="61" t="inlineStr">
        <is>
          <t>출처</t>
        </is>
      </c>
    </row>
    <row r="5">
      <c r="A5" s="63" t="inlineStr">
        <is>
          <t>매출액</t>
        </is>
      </c>
      <c r="B5" s="64" t="n"/>
      <c r="C5" s="64" t="n"/>
      <c r="D5" s="64" t="n"/>
      <c r="E5" s="64" t="n"/>
      <c r="F5" s="64" t="n"/>
      <c r="G5" s="64" t="n"/>
      <c r="H5" s="64" t="n">
        <v>10940.2</v>
      </c>
      <c r="I5" s="64" t="n">
        <v>10760.9</v>
      </c>
      <c r="J5" s="64" t="n">
        <v>10940.2</v>
      </c>
      <c r="K5" s="64" t="n">
        <v>12558</v>
      </c>
      <c r="L5" s="64" t="n">
        <v>10676</v>
      </c>
      <c r="M5" s="64" t="n">
        <v>11149.3</v>
      </c>
      <c r="N5" s="64" t="n">
        <v>10676</v>
      </c>
      <c r="O5" s="64" t="n">
        <v>12123.8</v>
      </c>
      <c r="P5" s="64" t="n">
        <v>10385.9</v>
      </c>
      <c r="Q5" s="64" t="n">
        <v>8634.4</v>
      </c>
      <c r="R5" s="64" t="n">
        <v>10385.9</v>
      </c>
      <c r="S5" s="64" t="n">
        <v>12508.2</v>
      </c>
      <c r="T5" s="64" t="n">
        <v>10428.9</v>
      </c>
      <c r="U5" s="64" t="n">
        <v>10954.9</v>
      </c>
      <c r="V5" s="64" t="n">
        <v>10428.9</v>
      </c>
      <c r="W5" s="64" t="n">
        <v>12955</v>
      </c>
      <c r="X5" s="64" t="n">
        <v>12256.7</v>
      </c>
      <c r="Y5" s="64" t="n">
        <v>11139</v>
      </c>
      <c r="Z5" s="64" t="n">
        <v>12256.7</v>
      </c>
      <c r="AA5" s="64" t="n">
        <v>14384.6</v>
      </c>
      <c r="AB5" s="64" t="n">
        <v>12203</v>
      </c>
      <c r="AC5" s="64" t="n">
        <v>13181.7</v>
      </c>
      <c r="AD5" s="64" t="n">
        <v>12439.4</v>
      </c>
      <c r="AE5" s="64" t="n">
        <v>14755.1</v>
      </c>
      <c r="AF5" s="64" t="n">
        <v>12864.8</v>
      </c>
      <c r="AG5" s="64" t="n">
        <v>13571.1</v>
      </c>
      <c r="AH5" s="64" t="n">
        <v>13567.5</v>
      </c>
      <c r="AI5" s="64" t="n">
        <v>15213.6</v>
      </c>
      <c r="AJ5" s="64" t="n">
        <v>13129</v>
      </c>
      <c r="AK5" s="64" t="n">
        <v>14196.1</v>
      </c>
      <c r="AL5" s="64" t="n">
        <v>14235.1</v>
      </c>
      <c r="AM5" s="64" t="n">
        <v>17387.4</v>
      </c>
      <c r="AN5" s="64" t="n">
        <v>14971.1</v>
      </c>
      <c r="AO5" s="64" t="n">
        <v>16280.4</v>
      </c>
    </row>
    <row r="6">
      <c r="A6" s="63" t="inlineStr">
        <is>
          <t>매출액 YoY</t>
        </is>
      </c>
      <c r="B6" s="65" t="n"/>
      <c r="C6" s="65" t="n"/>
      <c r="D6" s="65" t="n"/>
      <c r="E6" s="65" t="n"/>
      <c r="F6" s="65" t="n"/>
      <c r="G6" s="65" t="n"/>
      <c r="H6" s="65" t="n"/>
      <c r="I6" s="65" t="n"/>
      <c r="J6" s="65" t="n"/>
      <c r="K6" s="65" t="n"/>
      <c r="L6" s="65" t="n">
        <v>-2.4</v>
      </c>
      <c r="M6" s="65" t="n">
        <v>3.6</v>
      </c>
      <c r="N6" s="65" t="n">
        <v>-2.4</v>
      </c>
      <c r="O6" s="65" t="n">
        <v>-3.5</v>
      </c>
      <c r="P6" s="65" t="n">
        <v>-2.7</v>
      </c>
      <c r="Q6" s="65" t="n">
        <v>-22.6</v>
      </c>
      <c r="R6" s="65" t="n">
        <v>-2.7</v>
      </c>
      <c r="S6" s="65" t="n">
        <v>3.2</v>
      </c>
      <c r="T6" s="65" t="n">
        <v>0.4</v>
      </c>
      <c r="U6" s="65" t="n">
        <v>26.9</v>
      </c>
      <c r="V6" s="65" t="n">
        <v>0.4</v>
      </c>
      <c r="W6" s="65" t="n">
        <v>3.6</v>
      </c>
      <c r="X6" s="65" t="n">
        <v>17.5</v>
      </c>
      <c r="Y6" s="65" t="n">
        <v>1.7</v>
      </c>
      <c r="Z6" s="65" t="n">
        <v>17.5</v>
      </c>
      <c r="AA6" s="65" t="n">
        <v>11</v>
      </c>
      <c r="AB6" s="65" t="n">
        <v>-0.4</v>
      </c>
      <c r="AC6" s="65" t="n">
        <v>18.3</v>
      </c>
      <c r="AD6" s="65" t="n">
        <v>1.5</v>
      </c>
      <c r="AE6" s="65" t="n">
        <v>2.6</v>
      </c>
      <c r="AF6" s="65" t="n">
        <v>5.4</v>
      </c>
      <c r="AG6" s="65" t="n">
        <v>3</v>
      </c>
      <c r="AH6" s="65" t="n">
        <v>9.1</v>
      </c>
      <c r="AI6" s="65" t="n">
        <v>3.1</v>
      </c>
      <c r="AJ6" s="65" t="n">
        <v>2.1</v>
      </c>
      <c r="AK6" s="65" t="n">
        <v>4.6</v>
      </c>
      <c r="AL6" s="65" t="n">
        <v>4.9</v>
      </c>
      <c r="AM6" s="65" t="n">
        <v>14.3</v>
      </c>
      <c r="AN6" s="65" t="n">
        <v>14</v>
      </c>
      <c r="AO6" s="65" t="n">
        <v>14.7</v>
      </c>
    </row>
    <row r="7">
      <c r="A7" s="63" t="inlineStr">
        <is>
          <t>영업이익</t>
        </is>
      </c>
      <c r="B7" s="64" t="n"/>
      <c r="C7" s="64" t="n"/>
      <c r="D7" s="64" t="n"/>
      <c r="E7" s="64" t="n"/>
      <c r="F7" s="64" t="n"/>
      <c r="G7" s="64" t="n"/>
      <c r="H7" s="64" t="n">
        <v>755</v>
      </c>
      <c r="I7" s="64" t="n">
        <v>504.4</v>
      </c>
      <c r="J7" s="64" t="n">
        <v>755</v>
      </c>
      <c r="K7" s="64" t="n">
        <v>890.4</v>
      </c>
      <c r="L7" s="64" t="n">
        <v>680.3</v>
      </c>
      <c r="M7" s="64" t="n">
        <v>462</v>
      </c>
      <c r="N7" s="64" t="n">
        <v>680.3</v>
      </c>
      <c r="O7" s="64" t="n">
        <v>774</v>
      </c>
      <c r="P7" s="64" t="n">
        <v>763.5</v>
      </c>
      <c r="Q7" s="64" t="n">
        <v>-150</v>
      </c>
      <c r="R7" s="64" t="n">
        <v>763.5</v>
      </c>
      <c r="S7" s="64" t="n">
        <v>924.9</v>
      </c>
      <c r="T7" s="64" t="n">
        <v>523.6</v>
      </c>
      <c r="U7" s="64" t="n">
        <v>854.7</v>
      </c>
      <c r="V7" s="64" t="n">
        <v>523.6</v>
      </c>
      <c r="W7" s="64" t="n">
        <v>618.6</v>
      </c>
      <c r="X7" s="64" t="n">
        <v>827.2</v>
      </c>
      <c r="Y7" s="64" t="n">
        <v>-22.2</v>
      </c>
      <c r="Z7" s="64" t="n">
        <v>827.2</v>
      </c>
      <c r="AA7" s="64" t="n">
        <v>991.3</v>
      </c>
      <c r="AB7" s="64" t="n">
        <v>610</v>
      </c>
      <c r="AC7" s="64" t="n">
        <v>748.3</v>
      </c>
      <c r="AD7" s="64" t="n">
        <v>864.9</v>
      </c>
      <c r="AE7" s="64" t="n">
        <v>1061.9</v>
      </c>
      <c r="AF7" s="64" t="n">
        <v>586.6</v>
      </c>
      <c r="AG7" s="64" t="n">
        <v>1180.2</v>
      </c>
      <c r="AH7" s="64" t="n">
        <v>1268.7</v>
      </c>
      <c r="AI7" s="64" t="n">
        <v>883</v>
      </c>
      <c r="AJ7" s="64" t="n">
        <v>1119.7</v>
      </c>
      <c r="AK7" s="64" t="n">
        <v>1123.9</v>
      </c>
      <c r="AL7" s="64" t="n">
        <v>703.9</v>
      </c>
      <c r="AM7" s="64" t="n">
        <v>1383.4</v>
      </c>
      <c r="AN7" s="64" t="n">
        <v>1395</v>
      </c>
      <c r="AO7" s="64" t="n">
        <v>2186.1</v>
      </c>
    </row>
    <row r="8">
      <c r="A8" s="63" t="inlineStr">
        <is>
          <t>영업이익률</t>
        </is>
      </c>
      <c r="B8" s="65" t="n"/>
      <c r="C8" s="65" t="n"/>
      <c r="D8" s="65" t="n"/>
      <c r="E8" s="65" t="n"/>
      <c r="F8" s="65" t="n"/>
      <c r="G8" s="65" t="n"/>
      <c r="H8" s="65" t="n">
        <v>6.9</v>
      </c>
      <c r="I8" s="65" t="n">
        <v>4.7</v>
      </c>
      <c r="J8" s="65" t="n">
        <v>6.9</v>
      </c>
      <c r="K8" s="65" t="n">
        <v>7.1</v>
      </c>
      <c r="L8" s="65" t="n">
        <v>6.4</v>
      </c>
      <c r="M8" s="65" t="n">
        <v>4.1</v>
      </c>
      <c r="N8" s="65" t="n">
        <v>6.4</v>
      </c>
      <c r="O8" s="65" t="n">
        <v>6.4</v>
      </c>
      <c r="P8" s="65" t="n">
        <v>7.4</v>
      </c>
      <c r="Q8" s="65" t="n">
        <v>-1.7</v>
      </c>
      <c r="R8" s="65" t="n">
        <v>7.4</v>
      </c>
      <c r="S8" s="65" t="n">
        <v>7.4</v>
      </c>
      <c r="T8" s="65" t="n">
        <v>5</v>
      </c>
      <c r="U8" s="65" t="n">
        <v>7.8</v>
      </c>
      <c r="V8" s="65" t="n">
        <v>5</v>
      </c>
      <c r="W8" s="65" t="n">
        <v>4.8</v>
      </c>
      <c r="X8" s="65" t="n">
        <v>6.7</v>
      </c>
      <c r="Y8" s="65" t="n">
        <v>-0.2</v>
      </c>
      <c r="Z8" s="65" t="n">
        <v>6.7</v>
      </c>
      <c r="AA8" s="65" t="n">
        <v>6.9</v>
      </c>
      <c r="AB8" s="65" t="n">
        <v>5</v>
      </c>
      <c r="AC8" s="65" t="n">
        <v>5.7</v>
      </c>
      <c r="AD8" s="65" t="n">
        <v>7</v>
      </c>
      <c r="AE8" s="65" t="n">
        <v>7.2</v>
      </c>
      <c r="AF8" s="65" t="n">
        <v>4.6</v>
      </c>
      <c r="AG8" s="65" t="n">
        <v>8.699999999999999</v>
      </c>
      <c r="AH8" s="65" t="n">
        <v>9.4</v>
      </c>
      <c r="AI8" s="65" t="n">
        <v>5.8</v>
      </c>
      <c r="AJ8" s="65" t="n">
        <v>8.5</v>
      </c>
      <c r="AK8" s="65" t="n">
        <v>7.9</v>
      </c>
      <c r="AL8" s="65" t="n">
        <v>4.9</v>
      </c>
      <c r="AM8" s="65" t="n">
        <v>8</v>
      </c>
      <c r="AN8" s="65" t="n">
        <v>9.300000000000001</v>
      </c>
      <c r="AO8" s="65" t="n">
        <v>13.4</v>
      </c>
    </row>
    <row r="9">
      <c r="A9" s="63" t="inlineStr">
        <is>
          <t>영업이익 YoY</t>
        </is>
      </c>
      <c r="B9" s="65" t="n"/>
      <c r="C9" s="65" t="n"/>
      <c r="D9" s="65" t="n"/>
      <c r="E9" s="65" t="n"/>
      <c r="F9" s="65" t="n"/>
      <c r="G9" s="65" t="n"/>
      <c r="H9" s="65" t="n"/>
      <c r="I9" s="65" t="n"/>
      <c r="J9" s="65" t="n"/>
      <c r="K9" s="65" t="n"/>
      <c r="L9" s="65" t="n">
        <v>-9.9</v>
      </c>
      <c r="M9" s="65" t="n">
        <v>-8.4</v>
      </c>
      <c r="N9" s="65" t="n">
        <v>-9.9</v>
      </c>
      <c r="O9" s="65" t="n">
        <v>-13.1</v>
      </c>
      <c r="P9" s="65" t="n">
        <v>12.2</v>
      </c>
      <c r="Q9" s="65" t="n">
        <v>-132.5</v>
      </c>
      <c r="R9" s="65" t="n">
        <v>12.2</v>
      </c>
      <c r="S9" s="65" t="n">
        <v>19.5</v>
      </c>
      <c r="T9" s="65" t="n">
        <v>-31.4</v>
      </c>
      <c r="U9" s="65" t="n"/>
      <c r="V9" s="65" t="n">
        <v>-31.4</v>
      </c>
      <c r="W9" s="65" t="n">
        <v>-33.1</v>
      </c>
      <c r="X9" s="65" t="n">
        <v>58</v>
      </c>
      <c r="Y9" s="65" t="n">
        <v>-102.6</v>
      </c>
      <c r="Z9" s="65" t="n">
        <v>58</v>
      </c>
      <c r="AA9" s="65" t="n">
        <v>60.2</v>
      </c>
      <c r="AB9" s="65" t="n">
        <v>-26.3</v>
      </c>
      <c r="AC9" s="65" t="n"/>
      <c r="AD9" s="65" t="n">
        <v>4.6</v>
      </c>
      <c r="AE9" s="65" t="n">
        <v>7.1</v>
      </c>
      <c r="AF9" s="65" t="n">
        <v>-3.8</v>
      </c>
      <c r="AG9" s="65" t="n">
        <v>57.7</v>
      </c>
      <c r="AH9" s="65" t="n">
        <v>46.7</v>
      </c>
      <c r="AI9" s="65" t="n">
        <v>-16.8</v>
      </c>
      <c r="AJ9" s="65" t="n">
        <v>90.90000000000001</v>
      </c>
      <c r="AK9" s="65" t="n">
        <v>-4.8</v>
      </c>
      <c r="AL9" s="65" t="n">
        <v>-44.5</v>
      </c>
      <c r="AM9" s="65" t="n">
        <v>56.7</v>
      </c>
      <c r="AN9" s="65" t="n">
        <v>24.6</v>
      </c>
      <c r="AO9" s="65" t="n">
        <v>94.5</v>
      </c>
    </row>
    <row r="10">
      <c r="A10" s="63" t="inlineStr">
        <is>
          <t>유동자산</t>
        </is>
      </c>
      <c r="B10" s="64" t="n"/>
      <c r="C10" s="64" t="n"/>
      <c r="D10" s="64" t="n"/>
      <c r="E10" s="64" t="n"/>
      <c r="F10" s="64" t="n"/>
      <c r="G10" s="64" t="n">
        <v>25827.3</v>
      </c>
      <c r="H10" s="64" t="n"/>
      <c r="I10" s="64" t="n"/>
      <c r="J10" s="64" t="n"/>
      <c r="K10" s="64" t="n">
        <v>26242.9</v>
      </c>
      <c r="L10" s="64" t="n">
        <v>24970.7</v>
      </c>
      <c r="M10" s="64" t="n">
        <v>25282.8</v>
      </c>
      <c r="N10" s="64" t="n">
        <v>25965.6</v>
      </c>
      <c r="O10" s="64" t="n">
        <v>26280.3</v>
      </c>
      <c r="P10" s="64" t="n">
        <v>26570.1</v>
      </c>
      <c r="Q10" s="64" t="n">
        <v>25416.8</v>
      </c>
      <c r="R10" s="64" t="n">
        <v>26164.4</v>
      </c>
      <c r="S10" s="64" t="n">
        <v>28469.7</v>
      </c>
      <c r="T10" s="64" t="n">
        <v>27653.4</v>
      </c>
      <c r="U10" s="64" t="n">
        <v>27547.5</v>
      </c>
      <c r="V10" s="64" t="n">
        <v>28314.7</v>
      </c>
      <c r="W10" s="64" t="n">
        <v>30903</v>
      </c>
      <c r="X10" s="64" t="n">
        <v>30738.7</v>
      </c>
      <c r="Y10" s="64" t="n">
        <v>31232.9</v>
      </c>
      <c r="Z10" s="64" t="n">
        <v>32154.3</v>
      </c>
      <c r="AA10" s="64" t="n">
        <v>33881.9</v>
      </c>
      <c r="AB10" s="64" t="n">
        <v>34087.9</v>
      </c>
      <c r="AC10" s="64" t="n">
        <v>34298.6</v>
      </c>
      <c r="AD10" s="64" t="n">
        <v>34460.4</v>
      </c>
      <c r="AE10" s="64" t="n">
        <v>36252.4</v>
      </c>
      <c r="AF10" s="64" t="n">
        <v>36551.2</v>
      </c>
      <c r="AG10" s="64" t="n">
        <v>35666.1</v>
      </c>
      <c r="AH10" s="64" t="n">
        <v>36366.7</v>
      </c>
      <c r="AI10" s="64" t="n">
        <v>37475.3</v>
      </c>
      <c r="AJ10" s="64" t="n">
        <v>36849.4</v>
      </c>
      <c r="AK10" s="64" t="n">
        <v>37372.1</v>
      </c>
      <c r="AL10" s="64" t="n">
        <v>38222.7</v>
      </c>
      <c r="AM10" s="64" t="n">
        <v>40277.5</v>
      </c>
      <c r="AN10" s="64" t="n">
        <v>41656.4</v>
      </c>
      <c r="AO10" s="64" t="n">
        <v>42515</v>
      </c>
    </row>
    <row r="11">
      <c r="A11" s="63" t="inlineStr">
        <is>
          <t>유동부채</t>
        </is>
      </c>
      <c r="B11" s="64" t="n"/>
      <c r="C11" s="64" t="n"/>
      <c r="D11" s="64" t="n"/>
      <c r="E11" s="64" t="n"/>
      <c r="F11" s="64" t="n"/>
      <c r="G11" s="64" t="n">
        <v>14882.5</v>
      </c>
      <c r="H11" s="64" t="n"/>
      <c r="I11" s="64" t="n"/>
      <c r="J11" s="64" t="n"/>
      <c r="K11" s="64" t="n">
        <v>14163.4</v>
      </c>
      <c r="L11" s="64" t="n">
        <v>13339</v>
      </c>
      <c r="M11" s="64" t="n">
        <v>13626.4</v>
      </c>
      <c r="N11" s="64" t="n">
        <v>13940.3</v>
      </c>
      <c r="O11" s="64" t="n">
        <v>14026.6</v>
      </c>
      <c r="P11" s="64" t="n">
        <v>14733.3</v>
      </c>
      <c r="Q11" s="64" t="n">
        <v>13502</v>
      </c>
      <c r="R11" s="64" t="n">
        <v>13509</v>
      </c>
      <c r="S11" s="64" t="n">
        <v>15053.8</v>
      </c>
      <c r="T11" s="64" t="n">
        <v>13952.4</v>
      </c>
      <c r="U11" s="64" t="n">
        <v>14011.9</v>
      </c>
      <c r="V11" s="64" t="n">
        <v>14150.8</v>
      </c>
      <c r="W11" s="64" t="n">
        <v>16467.2</v>
      </c>
      <c r="X11" s="64" t="n">
        <v>15976.8</v>
      </c>
      <c r="Y11" s="64" t="n">
        <v>16198.1</v>
      </c>
      <c r="Z11" s="64" t="n">
        <v>17152</v>
      </c>
      <c r="AA11" s="64" t="n">
        <v>18028.3</v>
      </c>
      <c r="AB11" s="64" t="n">
        <v>17642.2</v>
      </c>
      <c r="AC11" s="64" t="n">
        <v>17480.7</v>
      </c>
      <c r="AD11" s="64" t="n">
        <v>17856.5</v>
      </c>
      <c r="AE11" s="64" t="n">
        <v>18391.9</v>
      </c>
      <c r="AF11" s="64" t="n">
        <v>17968.6</v>
      </c>
      <c r="AG11" s="64" t="n">
        <v>17574.9</v>
      </c>
      <c r="AH11" s="64" t="n">
        <v>17459.5</v>
      </c>
      <c r="AI11" s="64" t="n">
        <v>18470.3</v>
      </c>
      <c r="AJ11" s="64" t="n">
        <v>17657.7</v>
      </c>
      <c r="AK11" s="64" t="n">
        <v>18173.7</v>
      </c>
      <c r="AL11" s="64" t="n">
        <v>19229.2</v>
      </c>
      <c r="AM11" s="64" t="n">
        <v>22804.6</v>
      </c>
      <c r="AN11" s="64" t="n">
        <v>20929.7</v>
      </c>
      <c r="AO11" s="64" t="n">
        <v>21107.1</v>
      </c>
    </row>
    <row r="12">
      <c r="A12" s="63" t="inlineStr">
        <is>
          <t>부채총계</t>
        </is>
      </c>
      <c r="B12" s="64" t="n"/>
      <c r="C12" s="64" t="n"/>
      <c r="D12" s="64" t="n"/>
      <c r="E12" s="64" t="n"/>
      <c r="F12" s="64" t="n"/>
      <c r="G12" s="64" t="n">
        <v>19083.6</v>
      </c>
      <c r="H12" s="64" t="n"/>
      <c r="I12" s="64" t="n"/>
      <c r="J12" s="64" t="n"/>
      <c r="K12" s="64" t="n">
        <v>18450.6</v>
      </c>
      <c r="L12" s="64" t="n">
        <v>18201.6</v>
      </c>
      <c r="M12" s="64" t="n">
        <v>18405.5</v>
      </c>
      <c r="N12" s="64" t="n">
        <v>18524.3</v>
      </c>
      <c r="O12" s="64" t="n">
        <v>18709.1</v>
      </c>
      <c r="P12" s="64" t="n">
        <v>19169</v>
      </c>
      <c r="Q12" s="64" t="n">
        <v>17969.2</v>
      </c>
      <c r="R12" s="64" t="n">
        <v>18048.6</v>
      </c>
      <c r="S12" s="64" t="n">
        <v>19273.1</v>
      </c>
      <c r="T12" s="64" t="n">
        <v>18190.3</v>
      </c>
      <c r="U12" s="64" t="n">
        <v>18019.4</v>
      </c>
      <c r="V12" s="64" t="n">
        <v>18076.6</v>
      </c>
      <c r="W12" s="64" t="n">
        <v>20105.8</v>
      </c>
      <c r="X12" s="64" t="n">
        <v>19661.3</v>
      </c>
      <c r="Y12" s="64" t="n">
        <v>19935.2</v>
      </c>
      <c r="Z12" s="64" t="n">
        <v>21116.9</v>
      </c>
      <c r="AA12" s="64" t="n">
        <v>22193</v>
      </c>
      <c r="AB12" s="64" t="n">
        <v>21914.1</v>
      </c>
      <c r="AC12" s="64" t="n">
        <v>21710</v>
      </c>
      <c r="AD12" s="64" t="n">
        <v>22615.4</v>
      </c>
      <c r="AE12" s="64" t="n">
        <v>23009.2</v>
      </c>
      <c r="AF12" s="64" t="n">
        <v>22632.4</v>
      </c>
      <c r="AG12" s="64" t="n">
        <v>22128.7</v>
      </c>
      <c r="AH12" s="64" t="n">
        <v>21912.8</v>
      </c>
      <c r="AI12" s="64" t="n">
        <v>22993.1</v>
      </c>
      <c r="AJ12" s="64" t="n">
        <v>22201.7</v>
      </c>
      <c r="AK12" s="64" t="n">
        <v>22638.8</v>
      </c>
      <c r="AL12" s="64" t="n">
        <v>23580.9</v>
      </c>
      <c r="AM12" s="64" t="n">
        <v>27395.8</v>
      </c>
      <c r="AN12" s="64" t="n">
        <v>25295.7</v>
      </c>
      <c r="AO12" s="64" t="n">
        <v>25532.4</v>
      </c>
    </row>
    <row r="13">
      <c r="A13" s="63" t="inlineStr">
        <is>
          <t>자기자본</t>
        </is>
      </c>
      <c r="B13" s="65" t="n"/>
      <c r="C13" s="65" t="n"/>
      <c r="D13" s="65" t="n"/>
      <c r="E13" s="65" t="n"/>
      <c r="F13" s="65" t="n"/>
      <c r="G13" s="65" t="n">
        <v>23972.2</v>
      </c>
      <c r="H13" s="65" t="n"/>
      <c r="I13" s="65" t="n"/>
      <c r="J13" s="65" t="n"/>
      <c r="K13" s="65" t="n">
        <v>25111.5</v>
      </c>
      <c r="L13" s="65" t="n">
        <v>24747.5</v>
      </c>
      <c r="M13" s="65" t="n">
        <v>25174.5</v>
      </c>
      <c r="N13" s="65" t="n">
        <v>25902.2</v>
      </c>
      <c r="O13" s="65" t="n">
        <v>25388.6</v>
      </c>
      <c r="P13" s="65" t="n">
        <v>25294.8</v>
      </c>
      <c r="Q13" s="65" t="n">
        <v>25625.7</v>
      </c>
      <c r="R13" s="65" t="n">
        <v>26433.5</v>
      </c>
      <c r="S13" s="65" t="n">
        <v>28706.1</v>
      </c>
      <c r="T13" s="65" t="n">
        <v>28777.2</v>
      </c>
      <c r="U13" s="65" t="n">
        <v>29097.4</v>
      </c>
      <c r="V13" s="65" t="n">
        <v>29277.7</v>
      </c>
      <c r="W13" s="65" t="n">
        <v>30974</v>
      </c>
      <c r="X13" s="65" t="n">
        <v>31533.4</v>
      </c>
      <c r="Y13" s="65" t="n">
        <v>32111.1</v>
      </c>
      <c r="Z13" s="65" t="n">
        <v>31948.7</v>
      </c>
      <c r="AA13" s="65" t="n">
        <v>33632.2</v>
      </c>
      <c r="AB13" s="65" t="n">
        <v>34767.8</v>
      </c>
      <c r="AC13" s="65" t="n">
        <v>35402.8</v>
      </c>
      <c r="AD13" s="65" t="n">
        <v>35336.7</v>
      </c>
      <c r="AE13" s="65" t="n">
        <v>38664.2</v>
      </c>
      <c r="AF13" s="65" t="n">
        <v>39418.2</v>
      </c>
      <c r="AG13" s="65" t="n">
        <v>38799.4</v>
      </c>
      <c r="AH13" s="65" t="n">
        <v>40435.5</v>
      </c>
      <c r="AI13" s="65" t="n">
        <v>40763.7</v>
      </c>
      <c r="AJ13" s="65" t="n">
        <v>40809.5</v>
      </c>
      <c r="AK13" s="65" t="n">
        <v>41809</v>
      </c>
      <c r="AL13" s="65" t="n">
        <v>43018.5</v>
      </c>
      <c r="AM13" s="65" t="n">
        <v>46299.9</v>
      </c>
      <c r="AN13" s="65" t="n">
        <v>47186.7</v>
      </c>
      <c r="AO13" s="65" t="n">
        <v>48323.6</v>
      </c>
    </row>
    <row r="14">
      <c r="A14" s="63" t="inlineStr">
        <is>
          <t>유동비율</t>
        </is>
      </c>
      <c r="B14" s="65" t="n"/>
      <c r="C14" s="65" t="n"/>
      <c r="D14" s="65" t="n"/>
      <c r="E14" s="65" t="n"/>
      <c r="F14" s="65" t="n"/>
      <c r="G14" s="65" t="n">
        <v>173.5</v>
      </c>
      <c r="H14" s="65" t="n"/>
      <c r="I14" s="65" t="n"/>
      <c r="J14" s="65" t="n"/>
      <c r="K14" s="65" t="n">
        <v>185.3</v>
      </c>
      <c r="L14" s="65" t="n">
        <v>187.2</v>
      </c>
      <c r="M14" s="65" t="n">
        <v>185.5</v>
      </c>
      <c r="N14" s="65" t="n">
        <v>186.3</v>
      </c>
      <c r="O14" s="65" t="n">
        <v>187.4</v>
      </c>
      <c r="P14" s="65" t="n">
        <v>180.3</v>
      </c>
      <c r="Q14" s="65" t="n">
        <v>188.2</v>
      </c>
      <c r="R14" s="65" t="n">
        <v>193.7</v>
      </c>
      <c r="S14" s="65" t="n">
        <v>189.1</v>
      </c>
      <c r="T14" s="65" t="n">
        <v>198.2</v>
      </c>
      <c r="U14" s="65" t="n">
        <v>196.6</v>
      </c>
      <c r="V14" s="65" t="n">
        <v>200.1</v>
      </c>
      <c r="W14" s="65" t="n">
        <v>187.7</v>
      </c>
      <c r="X14" s="65" t="n">
        <v>192.4</v>
      </c>
      <c r="Y14" s="65" t="n">
        <v>192.8</v>
      </c>
      <c r="Z14" s="65" t="n">
        <v>187.5</v>
      </c>
      <c r="AA14" s="65" t="n">
        <v>187.9</v>
      </c>
      <c r="AB14" s="65" t="n">
        <v>193.2</v>
      </c>
      <c r="AC14" s="65" t="n">
        <v>196.2</v>
      </c>
      <c r="AD14" s="65" t="n">
        <v>193</v>
      </c>
      <c r="AE14" s="65" t="n">
        <v>197.1</v>
      </c>
      <c r="AF14" s="65" t="n">
        <v>203.4</v>
      </c>
      <c r="AG14" s="65" t="n">
        <v>202.9</v>
      </c>
      <c r="AH14" s="65" t="n">
        <v>208.3</v>
      </c>
      <c r="AI14" s="65" t="n">
        <v>202.9</v>
      </c>
      <c r="AJ14" s="65" t="n">
        <v>208.7</v>
      </c>
      <c r="AK14" s="65" t="n">
        <v>205.6</v>
      </c>
      <c r="AL14" s="65" t="n">
        <v>198.8</v>
      </c>
      <c r="AM14" s="65" t="n">
        <v>176.6</v>
      </c>
      <c r="AN14" s="65" t="n">
        <v>199</v>
      </c>
      <c r="AO14" s="65" t="n">
        <v>201.4</v>
      </c>
    </row>
    <row r="15">
      <c r="A15" s="63" t="inlineStr">
        <is>
          <t>부채비율</t>
        </is>
      </c>
      <c r="B15" s="65" t="n"/>
      <c r="C15" s="65" t="n"/>
      <c r="D15" s="65" t="n"/>
      <c r="E15" s="65" t="n"/>
      <c r="F15" s="65" t="n"/>
      <c r="G15" s="65" t="n">
        <v>79.59999999999999</v>
      </c>
      <c r="H15" s="65" t="n"/>
      <c r="I15" s="65" t="n"/>
      <c r="J15" s="65" t="n"/>
      <c r="K15" s="65" t="n">
        <v>73.5</v>
      </c>
      <c r="L15" s="65" t="n">
        <v>73.5</v>
      </c>
      <c r="M15" s="65" t="n">
        <v>73.09999999999999</v>
      </c>
      <c r="N15" s="65" t="n">
        <v>71.5</v>
      </c>
      <c r="O15" s="65" t="n">
        <v>73.7</v>
      </c>
      <c r="P15" s="65" t="n">
        <v>75.8</v>
      </c>
      <c r="Q15" s="65" t="n">
        <v>70.09999999999999</v>
      </c>
      <c r="R15" s="65" t="n">
        <v>68.3</v>
      </c>
      <c r="S15" s="65" t="n">
        <v>67.09999999999999</v>
      </c>
      <c r="T15" s="65" t="n">
        <v>63.2</v>
      </c>
      <c r="U15" s="65" t="n">
        <v>61.9</v>
      </c>
      <c r="V15" s="65" t="n">
        <v>61.7</v>
      </c>
      <c r="W15" s="65" t="n">
        <v>64.90000000000001</v>
      </c>
      <c r="X15" s="65" t="n">
        <v>62.4</v>
      </c>
      <c r="Y15" s="65" t="n">
        <v>62.1</v>
      </c>
      <c r="Z15" s="65" t="n">
        <v>66.09999999999999</v>
      </c>
      <c r="AA15" s="65" t="n">
        <v>66</v>
      </c>
      <c r="AB15" s="65" t="n">
        <v>63</v>
      </c>
      <c r="AC15" s="65" t="n">
        <v>61.3</v>
      </c>
      <c r="AD15" s="65" t="n">
        <v>64</v>
      </c>
      <c r="AE15" s="65" t="n">
        <v>59.5</v>
      </c>
      <c r="AF15" s="65" t="n">
        <v>57.4</v>
      </c>
      <c r="AG15" s="65" t="n">
        <v>57</v>
      </c>
      <c r="AH15" s="65" t="n">
        <v>54.2</v>
      </c>
      <c r="AI15" s="65" t="n">
        <v>56.4</v>
      </c>
      <c r="AJ15" s="65" t="n">
        <v>54.4</v>
      </c>
      <c r="AK15" s="65" t="n">
        <v>54.1</v>
      </c>
      <c r="AL15" s="65" t="n">
        <v>54.8</v>
      </c>
      <c r="AM15" s="65" t="n">
        <v>59.2</v>
      </c>
      <c r="AN15" s="65" t="n">
        <v>53.6</v>
      </c>
      <c r="AO15" s="65" t="n">
        <v>52.8</v>
      </c>
    </row>
    <row r="16">
      <c r="A16" s="63" t="inlineStr">
        <is>
          <t>순차입금/자기자본</t>
        </is>
      </c>
      <c r="B16" s="65" t="n"/>
      <c r="C16" s="65" t="n"/>
      <c r="D16" s="65" t="n"/>
      <c r="E16" s="65" t="n"/>
      <c r="F16" s="65" t="n"/>
      <c r="G16" s="65" t="n">
        <v>-12</v>
      </c>
      <c r="H16" s="65" t="n"/>
      <c r="I16" s="65" t="n"/>
      <c r="J16" s="65" t="n"/>
      <c r="K16" s="65" t="n">
        <v>-8.6</v>
      </c>
      <c r="L16" s="65" t="n">
        <v>-20.2</v>
      </c>
      <c r="M16" s="65" t="n">
        <v>-20.4</v>
      </c>
      <c r="N16" s="65" t="n">
        <v>-19.3</v>
      </c>
      <c r="O16" s="65" t="n">
        <v>-21.2</v>
      </c>
      <c r="P16" s="65" t="n">
        <v>-28.9</v>
      </c>
      <c r="Q16" s="65" t="n">
        <v>-25.1</v>
      </c>
      <c r="R16" s="65" t="n">
        <v>-23.7</v>
      </c>
      <c r="S16" s="65" t="n">
        <v>-26.7</v>
      </c>
      <c r="T16" s="65" t="n">
        <v>-26.6</v>
      </c>
      <c r="U16" s="65" t="n">
        <v>-24.8</v>
      </c>
      <c r="V16" s="65" t="n">
        <v>-21.6</v>
      </c>
      <c r="W16" s="65" t="n">
        <v>-23.5</v>
      </c>
      <c r="X16" s="65" t="n">
        <v>-21.8</v>
      </c>
      <c r="Y16" s="65" t="n">
        <v>-19.7</v>
      </c>
      <c r="Z16" s="65" t="n">
        <v>-18.3</v>
      </c>
      <c r="AA16" s="65" t="n">
        <v>-19.2</v>
      </c>
      <c r="AB16" s="65" t="n">
        <v>-18.5</v>
      </c>
      <c r="AC16" s="65" t="n">
        <v>-18.7</v>
      </c>
      <c r="AD16" s="65" t="n">
        <v>-18.3</v>
      </c>
      <c r="AE16" s="65" t="n">
        <v>-19.8</v>
      </c>
      <c r="AF16" s="65" t="n">
        <v>-20.7</v>
      </c>
      <c r="AG16" s="65" t="n">
        <v>-19.4</v>
      </c>
      <c r="AH16" s="65" t="n">
        <v>-18.2</v>
      </c>
      <c r="AI16" s="65" t="n">
        <v>-18.6</v>
      </c>
      <c r="AJ16" s="65" t="n">
        <v>-20.1</v>
      </c>
      <c r="AK16" s="65" t="n">
        <v>-20.6</v>
      </c>
      <c r="AL16" s="65" t="n">
        <v>-16.7</v>
      </c>
      <c r="AM16" s="65" t="n">
        <v>-15.8</v>
      </c>
      <c r="AN16" s="65" t="n">
        <v>-19.7</v>
      </c>
      <c r="AO16" s="65" t="n">
        <v>-19.8</v>
      </c>
    </row>
    <row r="17">
      <c r="A17" s="63" t="inlineStr">
        <is>
          <t>재고자산</t>
        </is>
      </c>
      <c r="B17" s="64" t="n"/>
      <c r="C17" s="64" t="n"/>
      <c r="D17" s="64" t="n"/>
      <c r="E17" s="64" t="n"/>
      <c r="F17" s="64" t="n"/>
      <c r="G17" s="64" t="n">
        <v>6462.6</v>
      </c>
      <c r="H17" s="64" t="n"/>
      <c r="I17" s="64" t="n"/>
      <c r="J17" s="64" t="n"/>
      <c r="K17" s="64" t="n">
        <v>7291</v>
      </c>
      <c r="L17" s="64" t="n">
        <v>7569.3</v>
      </c>
      <c r="M17" s="64" t="n">
        <v>7216.1</v>
      </c>
      <c r="N17" s="64" t="n">
        <v>7708.3</v>
      </c>
      <c r="O17" s="64" t="n">
        <v>6938.9</v>
      </c>
      <c r="P17" s="64" t="n">
        <v>7794.3</v>
      </c>
      <c r="Q17" s="64" t="n">
        <v>7156.9</v>
      </c>
      <c r="R17" s="64" t="n">
        <v>7747</v>
      </c>
      <c r="S17" s="64" t="n">
        <v>7437.8</v>
      </c>
      <c r="T17" s="64" t="n">
        <v>8124</v>
      </c>
      <c r="U17" s="64" t="n">
        <v>8418.6</v>
      </c>
      <c r="V17" s="64" t="n">
        <v>9504.700000000001</v>
      </c>
      <c r="W17" s="64" t="n">
        <v>9596.6</v>
      </c>
      <c r="X17" s="64" t="n">
        <v>10963.5</v>
      </c>
      <c r="Y17" s="64" t="n">
        <v>11380.4</v>
      </c>
      <c r="Z17" s="64" t="n">
        <v>12293.4</v>
      </c>
      <c r="AA17" s="64" t="n">
        <v>12092.5</v>
      </c>
      <c r="AB17" s="64" t="n">
        <v>13333.4</v>
      </c>
      <c r="AC17" s="64" t="n">
        <v>13130.3</v>
      </c>
      <c r="AD17" s="64" t="n">
        <v>13384</v>
      </c>
      <c r="AE17" s="64" t="n">
        <v>12534.9</v>
      </c>
      <c r="AF17" s="64" t="n">
        <v>13086</v>
      </c>
      <c r="AG17" s="64" t="n">
        <v>12614.6</v>
      </c>
      <c r="AH17" s="64" t="n">
        <v>13357</v>
      </c>
      <c r="AI17" s="64" t="n">
        <v>12449.6</v>
      </c>
      <c r="AJ17" s="64" t="n">
        <v>12739.1</v>
      </c>
      <c r="AK17" s="64" t="n">
        <v>12685.1</v>
      </c>
      <c r="AL17" s="64" t="n">
        <v>13705.3</v>
      </c>
      <c r="AM17" s="64" t="n">
        <v>12621.3</v>
      </c>
      <c r="AN17" s="64" t="n">
        <v>13244.5</v>
      </c>
      <c r="AO17" s="64" t="n">
        <v>12982.5</v>
      </c>
    </row>
    <row r="18">
      <c r="A18" s="63" t="inlineStr">
        <is>
          <t>재고자산 회전일수</t>
        </is>
      </c>
      <c r="B18" s="64" t="n"/>
      <c r="C18" s="64" t="n"/>
      <c r="D18" s="64" t="n"/>
      <c r="E18" s="64" t="n"/>
      <c r="F18" s="64" t="n"/>
      <c r="G18" s="64" t="n"/>
      <c r="H18" s="64" t="n"/>
      <c r="I18" s="64" t="n"/>
      <c r="J18" s="64" t="n"/>
      <c r="K18" s="64" t="n">
        <v>75</v>
      </c>
      <c r="L18" s="64" t="n">
        <v>90</v>
      </c>
      <c r="M18" s="64" t="n">
        <v>83</v>
      </c>
      <c r="N18" s="64" t="n">
        <v>91</v>
      </c>
      <c r="O18" s="64" t="n">
        <v>73</v>
      </c>
      <c r="P18" s="64" t="n">
        <v>96</v>
      </c>
      <c r="Q18" s="64" t="n">
        <v>101</v>
      </c>
      <c r="R18" s="64" t="n">
        <v>95</v>
      </c>
      <c r="S18" s="64" t="n">
        <v>76</v>
      </c>
      <c r="T18" s="64" t="n">
        <v>99</v>
      </c>
      <c r="U18" s="64" t="n">
        <v>100</v>
      </c>
      <c r="V18" s="64" t="n">
        <v>115</v>
      </c>
      <c r="W18" s="64" t="n">
        <v>92</v>
      </c>
      <c r="X18" s="64" t="n">
        <v>114</v>
      </c>
      <c r="Y18" s="64" t="n">
        <v>123</v>
      </c>
      <c r="Z18" s="64" t="n">
        <v>128</v>
      </c>
      <c r="AA18" s="64" t="n">
        <v>108</v>
      </c>
      <c r="AB18" s="64" t="n">
        <v>140</v>
      </c>
      <c r="AC18" s="64" t="n">
        <v>128</v>
      </c>
      <c r="AD18" s="64" t="n">
        <v>141</v>
      </c>
      <c r="AE18" s="64" t="n">
        <v>109</v>
      </c>
      <c r="AF18" s="64" t="n">
        <v>130</v>
      </c>
      <c r="AG18" s="64" t="n">
        <v>125</v>
      </c>
      <c r="AH18" s="64" t="n">
        <v>130</v>
      </c>
      <c r="AI18" s="64" t="n">
        <v>107</v>
      </c>
      <c r="AJ18" s="64" t="n">
        <v>129</v>
      </c>
      <c r="AK18" s="64" t="n">
        <v>119</v>
      </c>
      <c r="AL18" s="64" t="n">
        <v>130</v>
      </c>
      <c r="AM18" s="64" t="n">
        <v>97</v>
      </c>
      <c r="AN18" s="64" t="n">
        <v>121</v>
      </c>
      <c r="AO18" s="64" t="n">
        <v>112</v>
      </c>
    </row>
    <row r="19">
      <c r="A19" s="63" t="inlineStr">
        <is>
          <t>매출채권 회전일수</t>
        </is>
      </c>
      <c r="B19" s="64" t="n"/>
      <c r="C19" s="64" t="n"/>
      <c r="D19" s="64" t="n"/>
      <c r="E19" s="64" t="n"/>
      <c r="F19" s="64" t="n"/>
      <c r="G19" s="64" t="n"/>
      <c r="H19" s="64" t="n"/>
      <c r="I19" s="64" t="n"/>
      <c r="J19" s="64" t="n"/>
      <c r="K19" s="64" t="n"/>
      <c r="L19" s="64" t="n"/>
      <c r="M19" s="64" t="n"/>
      <c r="N19" s="64" t="n"/>
      <c r="O19" s="64" t="n"/>
      <c r="P19" s="64" t="n"/>
      <c r="Q19" s="64" t="n"/>
      <c r="R19" s="64" t="n"/>
      <c r="S19" s="64" t="n"/>
      <c r="T19" s="64" t="n"/>
      <c r="U19" s="64" t="n"/>
      <c r="V19" s="64" t="n"/>
      <c r="W19" s="64" t="n"/>
      <c r="X19" s="64" t="n"/>
      <c r="Y19" s="64" t="n"/>
      <c r="Z19" s="64" t="n"/>
      <c r="AA19" s="64" t="n"/>
      <c r="AB19" s="64" t="n"/>
      <c r="AC19" s="64" t="n"/>
      <c r="AD19" s="64" t="n"/>
      <c r="AE19" s="64" t="n"/>
      <c r="AF19" s="64" t="n"/>
      <c r="AG19" s="64" t="n"/>
      <c r="AH19" s="64" t="n"/>
      <c r="AI19" s="64" t="n"/>
      <c r="AJ19" s="64" t="n"/>
      <c r="AK19" s="64" t="n"/>
      <c r="AL19" s="64" t="n"/>
      <c r="AM19" s="64" t="n"/>
      <c r="AN19" s="64" t="n"/>
      <c r="AO19" s="64" t="n"/>
    </row>
    <row r="20">
      <c r="A20" s="63" t="inlineStr">
        <is>
          <t>매입채무 회전일수</t>
        </is>
      </c>
      <c r="B20" s="64" t="n"/>
      <c r="C20" s="64" t="n"/>
      <c r="D20" s="64" t="n"/>
      <c r="E20" s="64" t="n"/>
      <c r="F20" s="64" t="n"/>
      <c r="G20" s="64" t="n"/>
      <c r="H20" s="64" t="n"/>
      <c r="I20" s="64" t="n"/>
      <c r="J20" s="64" t="n"/>
      <c r="K20" s="64" t="n"/>
      <c r="L20" s="64" t="n"/>
      <c r="M20" s="64" t="n"/>
      <c r="N20" s="64" t="n"/>
      <c r="O20" s="64" t="n"/>
      <c r="P20" s="64" t="n"/>
      <c r="Q20" s="64" t="n"/>
      <c r="R20" s="64" t="n"/>
      <c r="S20" s="64" t="n"/>
      <c r="T20" s="64" t="n"/>
      <c r="U20" s="64" t="n"/>
      <c r="V20" s="64" t="n"/>
      <c r="W20" s="64" t="n"/>
      <c r="X20" s="64" t="n"/>
      <c r="Y20" s="64" t="n"/>
      <c r="Z20" s="64" t="n"/>
      <c r="AA20" s="64" t="n"/>
      <c r="AB20" s="64" t="n"/>
      <c r="AC20" s="64" t="n"/>
      <c r="AD20" s="64" t="n"/>
      <c r="AE20" s="64" t="n"/>
      <c r="AF20" s="64" t="n"/>
      <c r="AG20" s="64" t="n"/>
      <c r="AH20" s="64" t="n"/>
      <c r="AI20" s="64" t="n"/>
      <c r="AJ20" s="64" t="n"/>
      <c r="AK20" s="64" t="n"/>
      <c r="AL20" s="64" t="n"/>
      <c r="AM20" s="64" t="n"/>
      <c r="AN20" s="64" t="n"/>
      <c r="AO20" s="64" t="n"/>
    </row>
    <row r="21">
      <c r="A21" s="63" t="inlineStr">
        <is>
          <t>현금전환주기(CCC)</t>
        </is>
      </c>
      <c r="B21" s="64" t="n"/>
      <c r="C21" s="64" t="n"/>
      <c r="D21" s="64" t="n"/>
      <c r="E21" s="64" t="n"/>
      <c r="F21" s="64" t="n"/>
      <c r="G21" s="64" t="n"/>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c r="AB21" s="64" t="n"/>
      <c r="AC21" s="64" t="n"/>
      <c r="AD21" s="64" t="n"/>
      <c r="AE21" s="64" t="n"/>
      <c r="AF21" s="64" t="n"/>
      <c r="AG21" s="64" t="n"/>
      <c r="AH21" s="64" t="n"/>
      <c r="AI21" s="64" t="n"/>
      <c r="AJ21" s="64" t="n"/>
      <c r="AK21" s="64" t="n"/>
      <c r="AL21" s="64" t="n"/>
      <c r="AM21" s="64" t="n"/>
      <c r="AN21" s="64" t="n"/>
      <c r="AO21" s="64" t="n"/>
    </row>
    <row r="22">
      <c r="A22" s="63" t="inlineStr">
        <is>
          <t>총 차입금</t>
        </is>
      </c>
      <c r="B22" s="64" t="n"/>
      <c r="C22" s="64" t="n"/>
      <c r="D22" s="64" t="n"/>
      <c r="E22" s="64" t="n"/>
      <c r="F22" s="64" t="n"/>
      <c r="G22" s="64" t="n">
        <v>3119.5</v>
      </c>
      <c r="H22" s="64" t="n"/>
      <c r="I22" s="64" t="n"/>
      <c r="J22" s="64" t="n"/>
      <c r="K22" s="64" t="n">
        <v>2984.4</v>
      </c>
      <c r="L22" s="64" t="n">
        <v>0</v>
      </c>
      <c r="M22" s="64" t="n">
        <v>0</v>
      </c>
      <c r="N22" s="64" t="n">
        <v>0</v>
      </c>
      <c r="O22" s="64" t="n">
        <v>0</v>
      </c>
      <c r="P22" s="64" t="n">
        <v>0</v>
      </c>
      <c r="Q22" s="64" t="n">
        <v>0</v>
      </c>
      <c r="R22" s="64" t="n">
        <v>0</v>
      </c>
      <c r="S22" s="64" t="n">
        <v>0</v>
      </c>
      <c r="T22" s="64" t="n">
        <v>0</v>
      </c>
      <c r="U22" s="64" t="n">
        <v>0</v>
      </c>
      <c r="V22" s="64" t="n">
        <v>0</v>
      </c>
      <c r="W22" s="64" t="n">
        <v>0</v>
      </c>
      <c r="X22" s="64" t="n">
        <v>0</v>
      </c>
      <c r="Y22" s="64" t="n">
        <v>0</v>
      </c>
      <c r="Z22" s="64" t="n">
        <v>0</v>
      </c>
      <c r="AA22" s="64" t="n">
        <v>0</v>
      </c>
      <c r="AB22" s="64" t="n">
        <v>0</v>
      </c>
      <c r="AC22" s="64" t="n">
        <v>0</v>
      </c>
      <c r="AD22" s="64" t="n">
        <v>0</v>
      </c>
      <c r="AE22" s="64" t="n">
        <v>0</v>
      </c>
      <c r="AF22" s="64" t="n">
        <v>0</v>
      </c>
      <c r="AG22" s="64" t="n">
        <v>0</v>
      </c>
      <c r="AH22" s="64" t="n">
        <v>0</v>
      </c>
      <c r="AI22" s="64" t="n">
        <v>0</v>
      </c>
      <c r="AJ22" s="64" t="n">
        <v>0</v>
      </c>
      <c r="AK22" s="64" t="n">
        <v>0</v>
      </c>
      <c r="AL22" s="64" t="n">
        <v>0</v>
      </c>
      <c r="AM22" s="64" t="n">
        <v>0</v>
      </c>
      <c r="AN22" s="64" t="n">
        <v>0</v>
      </c>
      <c r="AO22" s="64" t="n">
        <v>0</v>
      </c>
    </row>
    <row r="23">
      <c r="A23" s="63" t="inlineStr">
        <is>
          <t>현금</t>
        </is>
      </c>
      <c r="B23" s="64" t="n"/>
      <c r="C23" s="64" t="n"/>
      <c r="D23" s="64" t="n"/>
      <c r="E23" s="64" t="n"/>
      <c r="F23" s="64" t="n"/>
      <c r="G23" s="64" t="n">
        <v>5992</v>
      </c>
      <c r="H23" s="64" t="n"/>
      <c r="I23" s="64" t="n"/>
      <c r="J23" s="64" t="n"/>
      <c r="K23" s="64" t="n">
        <v>5142.2</v>
      </c>
      <c r="L23" s="64" t="n">
        <v>5006.4</v>
      </c>
      <c r="M23" s="64" t="n">
        <v>5141.7</v>
      </c>
      <c r="N23" s="64" t="n">
        <v>4990.7</v>
      </c>
      <c r="O23" s="64" t="n">
        <v>5375.6</v>
      </c>
      <c r="P23" s="64" t="n">
        <v>7303.5</v>
      </c>
      <c r="Q23" s="64" t="n">
        <v>6429.3</v>
      </c>
      <c r="R23" s="64" t="n">
        <v>6255.3</v>
      </c>
      <c r="S23" s="64" t="n">
        <v>7674.1</v>
      </c>
      <c r="T23" s="64" t="n">
        <v>7658.5</v>
      </c>
      <c r="U23" s="64" t="n">
        <v>7219.4</v>
      </c>
      <c r="V23" s="64" t="n">
        <v>6321.3</v>
      </c>
      <c r="W23" s="64" t="n">
        <v>7271.8</v>
      </c>
      <c r="X23" s="64" t="n">
        <v>6871.5</v>
      </c>
      <c r="Y23" s="64" t="n">
        <v>6315.9</v>
      </c>
      <c r="Z23" s="64" t="n">
        <v>5855.1</v>
      </c>
      <c r="AA23" s="64" t="n">
        <v>6458.7</v>
      </c>
      <c r="AB23" s="64" t="n">
        <v>6426.1</v>
      </c>
      <c r="AC23" s="64" t="n">
        <v>6609.1</v>
      </c>
      <c r="AD23" s="64" t="n">
        <v>6456.1</v>
      </c>
      <c r="AE23" s="64" t="n">
        <v>7653.8</v>
      </c>
      <c r="AF23" s="64" t="n">
        <v>8162.3</v>
      </c>
      <c r="AG23" s="64" t="n">
        <v>7545</v>
      </c>
      <c r="AH23" s="64" t="n">
        <v>7339.8</v>
      </c>
      <c r="AI23" s="64" t="n">
        <v>7573.3</v>
      </c>
      <c r="AJ23" s="64" t="n">
        <v>8217.799999999999</v>
      </c>
      <c r="AK23" s="64" t="n">
        <v>8628.4</v>
      </c>
      <c r="AL23" s="64" t="n">
        <v>7192.4</v>
      </c>
      <c r="AM23" s="64" t="n">
        <v>7316.1</v>
      </c>
      <c r="AN23" s="64" t="n">
        <v>9291.5</v>
      </c>
      <c r="AO23" s="64" t="n">
        <v>9564.5</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2026-10-30T08:58:12Z</dcterms:created>
  <dcterms:modified xmlns:dcterms="http://purl.org/dc/terms/" xmlns:xsi="http://www.w3.org/2001/XMLSchema-instance" xsi:type="dcterms:W3CDTF">2026-10-30T08:59:21Z</dcterms:modified>
</cp:coreProperties>
</file>