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4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TWOSTONE&amp;Sons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3219.468</v>
      </c>
      <c r="D4" s="12" t="n">
        <v>3271.332</v>
      </c>
      <c r="E4" s="12" t="n">
        <v>3591.264</v>
      </c>
      <c r="F4" s="12" t="n">
        <v>4208.818</v>
      </c>
      <c r="G4" s="12" t="n">
        <v>4137.399</v>
      </c>
      <c r="H4" s="12" t="n">
        <v>4771.681</v>
      </c>
      <c r="I4" s="12" t="n">
        <v>4493.459</v>
      </c>
      <c r="J4" s="12" t="n">
        <v>4674.827</v>
      </c>
      <c r="K4" s="12" t="n">
        <v>5740.495</v>
      </c>
      <c r="L4" s="12" t="n">
        <v>4921.32</v>
      </c>
      <c r="M4" s="12" t="n">
        <v>5217.372</v>
      </c>
      <c r="N4" s="12" t="n">
        <v>5925.942</v>
      </c>
      <c r="O4" s="11" t="n"/>
      <c r="P4" s="12" t="n"/>
      <c r="Q4" s="12" t="n">
        <v>2819.764</v>
      </c>
      <c r="R4" s="12" t="n">
        <v>3110.686</v>
      </c>
      <c r="S4" s="12" t="n">
        <v>4283.146</v>
      </c>
      <c r="T4" s="12" t="n">
        <v>6870.414</v>
      </c>
      <c r="U4" s="12" t="n">
        <v>10056.657</v>
      </c>
      <c r="V4" s="12" t="n">
        <v>14290.882</v>
      </c>
      <c r="W4" s="12" t="n">
        <v>18077.366</v>
      </c>
      <c r="X4" s="12" t="n">
        <v>21805.129</v>
      </c>
      <c r="Y4" s="11">
        <f>IF(COUNT(Y7,Y10,Y13,Y16,Y19)=0,"",SUM(Y7,Y10,Y13,Y16,Y19))</f>
        <v/>
      </c>
      <c r="Z4" s="12">
        <f>IF(COUNT(Z7,Z10,Z13,Z16,Z19)=0,"",SUM(Z7,Z10,Z13,Z16,Z19))</f>
        <v/>
      </c>
      <c r="AA4" s="12">
        <f>IF(COUNT(AA7,AA10,AA13,AA16,AA19)=0,"",SUM(AA7,AA10,AA13,AA16,AA19))</f>
        <v/>
      </c>
      <c r="AB4" s="12">
        <f>IF(COUNT(AB7,AB10,AB13,AB16,AB19)=0,"",SUM(AB7,AB10,AB13,AB16,AB19))</f>
        <v/>
      </c>
      <c r="AC4" s="12">
        <f>IF(COUNT(AC7,AC10,AC13,AC16,AC19)=0,"",SUM(AC7,AC10,AC13,AC16,AC19))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EngineerplatformserviceReportableSegmentMember</t>
        </is>
      </c>
      <c r="B7" s="10" t="n"/>
      <c r="C7" s="19" t="n">
        <v>2988.498</v>
      </c>
      <c r="D7" s="20" t="n">
        <v>2998.085</v>
      </c>
      <c r="E7" s="20" t="n">
        <v>3257.249</v>
      </c>
      <c r="F7" s="20" t="n">
        <v>3516.855</v>
      </c>
      <c r="G7" s="20" t="n">
        <v>3661.499</v>
      </c>
      <c r="H7" s="20" t="n">
        <v>3891.839</v>
      </c>
      <c r="I7" s="20" t="n">
        <v>4030.019</v>
      </c>
      <c r="J7" s="20" t="n">
        <v>4175.289</v>
      </c>
      <c r="K7" s="20" t="n">
        <v>4281.72</v>
      </c>
      <c r="L7" s="20" t="n">
        <v>4336.85</v>
      </c>
      <c r="M7" s="20" t="n">
        <v>4464.331</v>
      </c>
      <c r="N7" s="20" t="n">
        <v>4535.641</v>
      </c>
      <c r="O7" s="19" t="n"/>
      <c r="P7" s="20" t="n"/>
      <c r="Q7" s="20" t="n"/>
      <c r="R7" s="20" t="n"/>
      <c r="S7" s="20" t="n"/>
      <c r="T7" s="20" t="n"/>
      <c r="U7" s="20" t="n"/>
      <c r="V7" s="20" t="n">
        <v>12760.687</v>
      </c>
      <c r="W7" s="20" t="n">
        <v>15758.646</v>
      </c>
      <c r="X7" s="20" t="n">
        <v>17618.542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MarketingplatformserviceReportableSegmentMember</t>
        </is>
      </c>
      <c r="B10" s="10" t="n"/>
      <c r="C10" s="19" t="n">
        <v>140.076</v>
      </c>
      <c r="D10" s="20" t="n">
        <v>140.839</v>
      </c>
      <c r="E10" s="20" t="n">
        <v>106.22</v>
      </c>
      <c r="F10" s="20" t="n">
        <v>108.646</v>
      </c>
      <c r="G10" s="20" t="n">
        <v>124.556</v>
      </c>
      <c r="H10" s="20" t="n">
        <v>107.93</v>
      </c>
      <c r="I10" s="20" t="n">
        <v>111.442</v>
      </c>
      <c r="J10" s="20" t="n">
        <v>110.175</v>
      </c>
      <c r="K10" s="20" t="n">
        <v>94.89700000000001</v>
      </c>
      <c r="L10" s="20" t="n">
        <v>101.17</v>
      </c>
      <c r="M10" s="20" t="n">
        <v>111.938</v>
      </c>
      <c r="N10" s="20" t="n">
        <v>468.711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495.781</v>
      </c>
      <c r="W10" s="20" t="n">
        <v>454.103</v>
      </c>
      <c r="X10" s="20" t="n">
        <v>776.716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ConsultingAdvisoryserviceReportableSegmentMember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>
        <v>1034.412</v>
      </c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ConsulAdvisoryserviceReportableSegmentMember</t>
        </is>
      </c>
      <c r="B16" s="10" t="n"/>
      <c r="C16" s="19" t="n">
        <v>90.89400000000001</v>
      </c>
      <c r="D16" s="20" t="n">
        <v>132.408</v>
      </c>
      <c r="E16" s="20" t="n">
        <v>227.794</v>
      </c>
      <c r="F16" s="20" t="n"/>
      <c r="G16" s="20" t="n">
        <v>351.343</v>
      </c>
      <c r="H16" s="20" t="n">
        <v>771.9109999999999</v>
      </c>
      <c r="I16" s="20" t="n">
        <v>351.999</v>
      </c>
      <c r="J16" s="20" t="n">
        <v>389.363</v>
      </c>
      <c r="K16" s="20" t="n">
        <v>1363.877</v>
      </c>
      <c r="L16" s="20" t="n">
        <v>483.3</v>
      </c>
      <c r="M16" s="20" t="n">
        <v>641.104</v>
      </c>
      <c r="N16" s="20" t="n">
        <v>921.5890000000001</v>
      </c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>
        <v>1864.616</v>
      </c>
      <c r="X16" s="20" t="n">
        <v>3409.87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0</v>
      </c>
      <c r="D19" s="20" t="n">
        <v>0</v>
      </c>
      <c r="E19" s="20" t="n"/>
      <c r="F19" s="20" t="n"/>
      <c r="G19" s="20" t="n">
        <v>0</v>
      </c>
      <c r="H19" s="20" t="n">
        <v>0</v>
      </c>
      <c r="I19" s="20" t="n"/>
      <c r="J19" s="20" t="n"/>
      <c r="K19" s="20" t="n">
        <v>0</v>
      </c>
      <c r="L19" s="20" t="n">
        <v>0</v>
      </c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0</v>
      </c>
      <c r="W19" s="20" t="n"/>
      <c r="X19" s="20" t="n"/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6" t="inlineStr">
        <is>
          <t>매출원가</t>
        </is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7" t="n"/>
      <c r="P22" s="16" t="n"/>
      <c r="Q22" s="16" t="n"/>
      <c r="R22" s="16" t="n"/>
      <c r="S22" s="16" t="n"/>
      <c r="T22" s="16" t="n"/>
      <c r="U22" s="16" t="n"/>
      <c r="V22" s="16" t="n"/>
      <c r="W22" s="16" t="n"/>
      <c r="X22" s="16" t="n"/>
      <c r="Y22" s="17" t="n"/>
      <c r="Z22" s="16" t="n"/>
      <c r="AA22" s="16" t="n"/>
      <c r="AB22" s="16" t="n"/>
      <c r="AC22" s="16" t="n"/>
    </row>
    <row r="23">
      <c r="A23" s="18" t="inlineStr">
        <is>
          <t>전체 매출원가</t>
        </is>
      </c>
      <c r="B23" s="10" t="n"/>
      <c r="C23" s="19" t="n">
        <v>2333.412</v>
      </c>
      <c r="D23" s="20" t="n">
        <v>2391.649</v>
      </c>
      <c r="E23" s="20" t="n">
        <v>2582.433</v>
      </c>
      <c r="F23" s="20" t="n">
        <v>2861.771</v>
      </c>
      <c r="G23" s="20" t="n">
        <v>2931.278</v>
      </c>
      <c r="H23" s="20" t="n">
        <v>3192.694</v>
      </c>
      <c r="I23" s="20" t="n">
        <v>3172.706</v>
      </c>
      <c r="J23" s="20" t="n">
        <v>3269.167</v>
      </c>
      <c r="K23" s="20" t="n">
        <v>3444.819</v>
      </c>
      <c r="L23" s="20" t="n">
        <v>3380.726</v>
      </c>
      <c r="M23" s="20" t="n">
        <v>3459.364</v>
      </c>
      <c r="N23" s="20" t="n">
        <v>3899.109</v>
      </c>
      <c r="O23" s="19" t="n"/>
      <c r="P23" s="20" t="n"/>
      <c r="Q23" s="20" t="n">
        <v>1864.963</v>
      </c>
      <c r="R23" s="20" t="n">
        <v>2098.207</v>
      </c>
      <c r="S23" s="20" t="n">
        <v>2918.023</v>
      </c>
      <c r="T23" s="20" t="n">
        <v>4796.202</v>
      </c>
      <c r="U23" s="20" t="n">
        <v>7342.441</v>
      </c>
      <c r="V23" s="20" t="n">
        <v>10169.265</v>
      </c>
      <c r="W23" s="20" t="n">
        <v>12565.845</v>
      </c>
      <c r="X23" s="20" t="n">
        <v>14184.018</v>
      </c>
      <c r="Y23" s="19" t="n"/>
      <c r="Z23" s="20" t="n"/>
      <c r="AA23" s="20" t="n"/>
      <c r="AB23" s="20" t="n"/>
      <c r="AC23" s="20" t="n"/>
    </row>
    <row r="24">
      <c r="A24" s="18" t="inlineStr">
        <is>
          <t>매출총이익</t>
        </is>
      </c>
      <c r="B24" s="10" t="n"/>
      <c r="C24" s="19">
        <f>IF(OR(C4="",C23=""),"",IFERROR(C4-C23,""))</f>
        <v/>
      </c>
      <c r="D24" s="20">
        <f>IF(OR(D4="",D23=""),"",IFERROR(D4-D23,""))</f>
        <v/>
      </c>
      <c r="E24" s="20">
        <f>IF(OR(E4="",E23=""),"",IFERROR(E4-E23,""))</f>
        <v/>
      </c>
      <c r="F24" s="20">
        <f>IF(OR(F4="",F23=""),"",IFERROR(F4-F23,""))</f>
        <v/>
      </c>
      <c r="G24" s="20">
        <f>IF(OR(G4="",G23=""),"",IFERROR(G4-G23,""))</f>
        <v/>
      </c>
      <c r="H24" s="20">
        <f>IF(OR(H4="",H23=""),"",IFERROR(H4-H23,""))</f>
        <v/>
      </c>
      <c r="I24" s="20">
        <f>IF(OR(I4="",I23=""),"",IFERROR(I4-I23,""))</f>
        <v/>
      </c>
      <c r="J24" s="20">
        <f>IF(OR(J4="",J23=""),"",IFERROR(J4-J23,""))</f>
        <v/>
      </c>
      <c r="K24" s="20">
        <f>IF(OR(K4="",K23=""),"",IFERROR(K4-K23,""))</f>
        <v/>
      </c>
      <c r="L24" s="20">
        <f>IF(OR(L4="",L23=""),"",IFERROR(L4-L23,""))</f>
        <v/>
      </c>
      <c r="M24" s="20">
        <f>IF(OR(M4="",M23=""),"",IFERROR(M4-M23,""))</f>
        <v/>
      </c>
      <c r="N24" s="20">
        <f>IF(OR(N4="",N23=""),"",IFERROR(N4-N23,""))</f>
        <v/>
      </c>
      <c r="O24" s="19">
        <f>IF(OR(O4="",O23=""),"",IFERROR(O4-O23,""))</f>
        <v/>
      </c>
      <c r="P24" s="20">
        <f>IF(OR(P4="",P23=""),"",IFERROR(P4-P23,""))</f>
        <v/>
      </c>
      <c r="Q24" s="20">
        <f>IF(OR(Q4="",Q23=""),"",IFERROR(Q4-Q23,""))</f>
        <v/>
      </c>
      <c r="R24" s="20">
        <f>IF(OR(R4="",R23=""),"",IFERROR(R4-R23,""))</f>
        <v/>
      </c>
      <c r="S24" s="20">
        <f>IF(OR(S4="",S23=""),"",IFERROR(S4-S23,""))</f>
        <v/>
      </c>
      <c r="T24" s="20">
        <f>IF(OR(T4="",T23=""),"",IFERROR(T4-T23,""))</f>
        <v/>
      </c>
      <c r="U24" s="20">
        <f>IF(OR(U4="",U23=""),"",IFERROR(U4-U23,""))</f>
        <v/>
      </c>
      <c r="V24" s="20">
        <f>IF(OR(V4="",V23=""),"",IFERROR(V4-V23,""))</f>
        <v/>
      </c>
      <c r="W24" s="20">
        <f>IF(OR(W4="",W23=""),"",IFERROR(W4-W23,""))</f>
        <v/>
      </c>
      <c r="X24" s="20">
        <f>IF(OR(X4="",X23=""),"",IFERROR(X4-X23,""))</f>
        <v/>
      </c>
      <c r="Y24" s="19" t="n"/>
      <c r="Z24" s="20" t="n"/>
      <c r="AA24" s="20" t="n"/>
      <c r="AB24" s="20" t="n"/>
      <c r="AC24" s="20" t="n"/>
    </row>
    <row r="25">
      <c r="A25" s="13" t="inlineStr">
        <is>
          <t>GPM</t>
        </is>
      </c>
      <c r="B25" s="10" t="n"/>
      <c r="C25" s="14">
        <f>IF(OR(C24="",C4=""),"",IFERROR(C24/C4,""))</f>
        <v/>
      </c>
      <c r="D25" s="15">
        <f>IF(OR(D24="",D4=""),"",IFERROR(D24/D4,""))</f>
        <v/>
      </c>
      <c r="E25" s="15">
        <f>IF(OR(E24="",E4=""),"",IFERROR(E24/E4,""))</f>
        <v/>
      </c>
      <c r="F25" s="15">
        <f>IF(OR(F24="",F4=""),"",IFERROR(F24/F4,""))</f>
        <v/>
      </c>
      <c r="G25" s="15">
        <f>IF(OR(G24="",G4=""),"",IFERROR(G24/G4,""))</f>
        <v/>
      </c>
      <c r="H25" s="15">
        <f>IF(OR(H24="",H4=""),"",IFERROR(H24/H4,""))</f>
        <v/>
      </c>
      <c r="I25" s="15">
        <f>IF(OR(I24="",I4=""),"",IFERROR(I24/I4,""))</f>
        <v/>
      </c>
      <c r="J25" s="15">
        <f>IF(OR(J24="",J4=""),"",IFERROR(J24/J4,""))</f>
        <v/>
      </c>
      <c r="K25" s="15">
        <f>IF(OR(K24="",K4=""),"",IFERROR(K24/K4,""))</f>
        <v/>
      </c>
      <c r="L25" s="15">
        <f>IF(OR(L24="",L4=""),"",IFERROR(L24/L4,""))</f>
        <v/>
      </c>
      <c r="M25" s="15">
        <f>IF(OR(M24="",M4=""),"",IFERROR(M24/M4,""))</f>
        <v/>
      </c>
      <c r="N25" s="15">
        <f>IF(OR(N24="",N4=""),"",IFERROR(N24/N4,""))</f>
        <v/>
      </c>
      <c r="O25" s="14">
        <f>IF(OR(O24="",O4=""),"",IFERROR(O24/O4,""))</f>
        <v/>
      </c>
      <c r="P25" s="15">
        <f>IF(OR(P24="",P4=""),"",IFERROR(P24/P4,""))</f>
        <v/>
      </c>
      <c r="Q25" s="15">
        <f>IF(OR(Q24="",Q4=""),"",IFERROR(Q24/Q4,""))</f>
        <v/>
      </c>
      <c r="R25" s="15">
        <f>IF(OR(R24="",R4=""),"",IFERROR(R24/R4,""))</f>
        <v/>
      </c>
      <c r="S25" s="15">
        <f>IF(OR(S24="",S4=""),"",IFERROR(S24/S4,""))</f>
        <v/>
      </c>
      <c r="T25" s="15">
        <f>IF(OR(T24="",T4=""),"",IFERROR(T24/T4,""))</f>
        <v/>
      </c>
      <c r="U25" s="15">
        <f>IF(OR(U24="",U4=""),"",IFERROR(U24/U4,""))</f>
        <v/>
      </c>
      <c r="V25" s="15">
        <f>IF(OR(V24="",V4=""),"",IFERROR(V24/V4,""))</f>
        <v/>
      </c>
      <c r="W25" s="15">
        <f>IF(OR(W24="",W4=""),"",IFERROR(W24/W4,""))</f>
        <v/>
      </c>
      <c r="X25" s="15">
        <f>IF(OR(X24="",X4=""),"",IFERROR(X24/X4,""))</f>
        <v/>
      </c>
      <c r="Y25" s="14">
        <f>IF(OR(Y24="",Y4=""),"",IFERROR(Y24/Y4,""))</f>
        <v/>
      </c>
      <c r="Z25" s="15">
        <f>IF(OR(Z24="",Z4=""),"",IFERROR(Z24/Z4,""))</f>
        <v/>
      </c>
      <c r="AA25" s="15">
        <f>IF(OR(AA24="",AA4=""),"",IFERROR(AA24/AA4,""))</f>
        <v/>
      </c>
      <c r="AB25" s="15">
        <f>IF(OR(AB24="",AB4=""),"",IFERROR(AB24/AB4,""))</f>
        <v/>
      </c>
      <c r="AC25" s="15">
        <f>IF(OR(AC24="",AC4=""),"",IFERROR(AC24/AC4,""))</f>
        <v/>
      </c>
    </row>
    <row r="26">
      <c r="A26" s="23" t="inlineStr">
        <is>
          <t>판매관리비</t>
        </is>
      </c>
      <c r="B26" s="23" t="n"/>
      <c r="C26" s="24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  <c r="O26" s="24" t="n"/>
      <c r="P26" s="23" t="n"/>
      <c r="Q26" s="23" t="n"/>
      <c r="R26" s="23" t="n"/>
      <c r="S26" s="23" t="n"/>
      <c r="T26" s="23" t="n"/>
      <c r="U26" s="23" t="n"/>
      <c r="V26" s="23" t="n"/>
      <c r="W26" s="23" t="n"/>
      <c r="X26" s="23" t="n"/>
      <c r="Y26" s="24" t="n"/>
      <c r="Z26" s="23" t="n"/>
      <c r="AA26" s="23" t="n"/>
      <c r="AB26" s="23" t="n"/>
      <c r="AC26" s="23" t="n"/>
    </row>
    <row r="27">
      <c r="A27" s="18" t="inlineStr">
        <is>
          <t>전체 판관비</t>
        </is>
      </c>
      <c r="B27" s="10" t="n"/>
      <c r="C27" s="19" t="n">
        <v>826.746</v>
      </c>
      <c r="D27" s="20" t="n">
        <v>871.7670000000001</v>
      </c>
      <c r="E27" s="20" t="n">
        <v>927.893</v>
      </c>
      <c r="F27" s="20" t="n">
        <v>1020.337</v>
      </c>
      <c r="G27" s="20" t="n">
        <v>916.982</v>
      </c>
      <c r="H27" s="20" t="n">
        <v>1059.967</v>
      </c>
      <c r="I27" s="20" t="n">
        <v>1239.606</v>
      </c>
      <c r="J27" s="20" t="n">
        <v>1474.967</v>
      </c>
      <c r="K27" s="20" t="n">
        <v>1665.923</v>
      </c>
      <c r="L27" s="20" t="n">
        <v>1645.757</v>
      </c>
      <c r="M27" s="20" t="n">
        <v>1680.187</v>
      </c>
      <c r="N27" s="20" t="n">
        <v>1818.883</v>
      </c>
      <c r="O27" s="19" t="n"/>
      <c r="P27" s="20" t="n"/>
      <c r="Q27" s="20" t="n">
        <v>811.349</v>
      </c>
      <c r="R27" s="20" t="n">
        <v>910.869</v>
      </c>
      <c r="S27" s="20" t="n">
        <v>1237.246</v>
      </c>
      <c r="T27" s="20" t="n">
        <v>1878.702</v>
      </c>
      <c r="U27" s="20" t="n">
        <v>2394.598</v>
      </c>
      <c r="V27" s="20" t="n">
        <v>3646.743</v>
      </c>
      <c r="W27" s="20" t="n">
        <v>4691.522</v>
      </c>
      <c r="X27" s="20" t="n">
        <v>6810.75</v>
      </c>
      <c r="Y27" s="19" t="n"/>
      <c r="Z27" s="20" t="n"/>
      <c r="AA27" s="20" t="n"/>
      <c r="AB27" s="20" t="n"/>
      <c r="AC27" s="20" t="n"/>
    </row>
    <row r="28">
      <c r="A28" s="9" t="inlineStr">
        <is>
          <t>영업이익</t>
        </is>
      </c>
      <c r="B28" s="10" t="inlineStr">
        <is>
          <t>MW = 매출 × OPM</t>
        </is>
      </c>
      <c r="C28" s="11" t="n">
        <v>59.309</v>
      </c>
      <c r="D28" s="12" t="n">
        <v>7.916</v>
      </c>
      <c r="E28" s="12" t="n">
        <v>80.938</v>
      </c>
      <c r="F28" s="12" t="n">
        <v>326.71</v>
      </c>
      <c r="G28" s="12" t="n">
        <v>289.138</v>
      </c>
      <c r="H28" s="12" t="n">
        <v>519.02</v>
      </c>
      <c r="I28" s="12" t="n">
        <v>81.14700000000001</v>
      </c>
      <c r="J28" s="12" t="n">
        <v>-69.306</v>
      </c>
      <c r="K28" s="12" t="n">
        <v>629.751</v>
      </c>
      <c r="L28" s="12" t="n">
        <v>-105.162</v>
      </c>
      <c r="M28" s="12" t="n">
        <v>77.821</v>
      </c>
      <c r="N28" s="12" t="n">
        <v>207.95</v>
      </c>
      <c r="O28" s="11" t="n"/>
      <c r="P28" s="12" t="n"/>
      <c r="Q28" s="12" t="n">
        <v>143.451</v>
      </c>
      <c r="R28" s="12" t="n">
        <v>101.61</v>
      </c>
      <c r="S28" s="12" t="n">
        <v>127.876</v>
      </c>
      <c r="T28" s="12" t="n">
        <v>195.509</v>
      </c>
      <c r="U28" s="12" t="n">
        <v>319.617</v>
      </c>
      <c r="V28" s="12" t="n">
        <v>474.873</v>
      </c>
      <c r="W28" s="12" t="n">
        <v>819.999</v>
      </c>
      <c r="X28" s="12" t="n">
        <v>810.36</v>
      </c>
      <c r="Y28" s="11">
        <f>IF(OR(Y4="",Y29=""),"",IFERROR(Y4*Y29,""))</f>
        <v/>
      </c>
      <c r="Z28" s="12">
        <f>IF(OR(Z4="",Z29=""),"",IFERROR(Z4*Z29,""))</f>
        <v/>
      </c>
      <c r="AA28" s="12">
        <f>IF(OR(AA4="",AA29=""),"",IFERROR(AA4*AA29,""))</f>
        <v/>
      </c>
      <c r="AB28" s="12">
        <f>IF(OR(AB4="",AB29=""),"",IFERROR(AB4*AB29,""))</f>
        <v/>
      </c>
      <c r="AC28" s="12">
        <f>IF(OR(AC4="",AC29=""),"",IFERROR(AC4*AC29,""))</f>
        <v/>
      </c>
    </row>
    <row r="29">
      <c r="A29" s="13" t="inlineStr">
        <is>
          <t>OPM</t>
        </is>
      </c>
      <c r="B29" s="10" t="inlineStr">
        <is>
          <t>MW 입력</t>
        </is>
      </c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25" t="n"/>
      <c r="Z29" s="26" t="n"/>
      <c r="AA29" s="26" t="n"/>
      <c r="AB29" s="26" t="n"/>
      <c r="AC29" s="26" t="n"/>
    </row>
    <row r="30">
      <c r="A30" s="13" t="inlineStr">
        <is>
          <t>증가율</t>
        </is>
      </c>
      <c r="B30" s="10" t="n"/>
      <c r="C30" s="14" t="n"/>
      <c r="D30" s="15" t="n"/>
      <c r="E30" s="15" t="n"/>
      <c r="F30" s="15" t="n"/>
      <c r="G30" s="15">
        <f>IF(OR(G28="",C28=""),"",IFERROR(G28/C28-1,""))</f>
        <v/>
      </c>
      <c r="H30" s="15">
        <f>IF(OR(H28="",D28=""),"",IFERROR(H28/D28-1,""))</f>
        <v/>
      </c>
      <c r="I30" s="15">
        <f>IF(OR(I28="",E28=""),"",IFERROR(I28/E28-1,""))</f>
        <v/>
      </c>
      <c r="J30" s="15">
        <f>IF(OR(J28="",F28=""),"",IFERROR(J28/F28-1,""))</f>
        <v/>
      </c>
      <c r="K30" s="15">
        <f>IF(OR(K28="",G28=""),"",IFERROR(K28/G28-1,""))</f>
        <v/>
      </c>
      <c r="L30" s="15">
        <f>IF(OR(L28="",H28=""),"",IFERROR(L28/H28-1,""))</f>
        <v/>
      </c>
      <c r="M30" s="15">
        <f>IF(OR(M28="",I28=""),"",IFERROR(M28/I28-1,""))</f>
        <v/>
      </c>
      <c r="N30" s="15">
        <f>IF(OR(N28="",J28=""),"",IFERROR(N28/J28-1,""))</f>
        <v/>
      </c>
      <c r="O30" s="14" t="n"/>
      <c r="P30" s="15">
        <f>IF(OR(P28="",O28=""),"",IFERROR(P28/O28-1,""))</f>
        <v/>
      </c>
      <c r="Q30" s="15">
        <f>IF(OR(Q28="",P28=""),"",IFERROR(Q28/P28-1,""))</f>
        <v/>
      </c>
      <c r="R30" s="15">
        <f>IF(OR(R28="",Q28=""),"",IFERROR(R28/Q28-1,""))</f>
        <v/>
      </c>
      <c r="S30" s="15">
        <f>IF(OR(S28="",R28=""),"",IFERROR(S28/R28-1,""))</f>
        <v/>
      </c>
      <c r="T30" s="15">
        <f>IF(OR(T28="",S28=""),"",IFERROR(T28/S28-1,""))</f>
        <v/>
      </c>
      <c r="U30" s="15">
        <f>IF(OR(U28="",T28=""),"",IFERROR(U28/T28-1,""))</f>
        <v/>
      </c>
      <c r="V30" s="15">
        <f>IF(OR(V28="",U28=""),"",IFERROR(V28/U28-1,""))</f>
        <v/>
      </c>
      <c r="W30" s="15">
        <f>IF(OR(W28="",V28=""),"",IFERROR(W28/V28-1,""))</f>
        <v/>
      </c>
      <c r="X30" s="15">
        <f>IF(OR(X28="",W28=""),"",IFERROR(X28/W28-1,""))</f>
        <v/>
      </c>
      <c r="Y30" s="14">
        <f>IF(OR(Y28="",X28=""),"",IFERROR(Y28/X28-1,""))</f>
        <v/>
      </c>
      <c r="Z30" s="15">
        <f>IF(OR(Z28="",Y28=""),"",IFERROR(Z28/Y28-1,""))</f>
        <v/>
      </c>
      <c r="AA30" s="15">
        <f>IF(OR(AA28="",Z28=""),"",IFERROR(AA28/Z28-1,""))</f>
        <v/>
      </c>
      <c r="AB30" s="15">
        <f>IF(OR(AB28="",AA28=""),"",IFERROR(AB28/AA28-1,""))</f>
        <v/>
      </c>
      <c r="AC30" s="15">
        <f>IF(OR(AC28="",AB28=""),"",IFERROR(AC28/AB28-1,""))</f>
        <v/>
      </c>
    </row>
    <row r="31">
      <c r="A31" s="16" t="inlineStr">
        <is>
          <t>비용의 성격별 분류</t>
        </is>
      </c>
      <c r="B31" s="16" t="inlineStr">
        <is>
          <t>참고 데이터</t>
        </is>
      </c>
      <c r="C31" s="17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7" t="n"/>
      <c r="P31" s="16" t="n"/>
      <c r="Q31" s="16" t="n"/>
      <c r="R31" s="16" t="n"/>
      <c r="S31" s="16" t="n"/>
      <c r="T31" s="16" t="n"/>
      <c r="U31" s="16" t="n"/>
      <c r="V31" s="16" t="n"/>
      <c r="W31" s="16" t="n"/>
      <c r="X31" s="16" t="n"/>
      <c r="Y31" s="17" t="n"/>
      <c r="Z31" s="16" t="n"/>
      <c r="AA31" s="16" t="n"/>
      <c r="AB31" s="16" t="n"/>
      <c r="AC31" s="16" t="n"/>
    </row>
    <row r="32">
      <c r="A32" s="9" t="inlineStr">
        <is>
          <t>총 판관비</t>
        </is>
      </c>
      <c r="B32" s="10" t="n"/>
      <c r="C32" s="11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1">
        <f>IF(O27="","",O27)</f>
        <v/>
      </c>
      <c r="P32" s="12">
        <f>IF(P27="","",P27)</f>
        <v/>
      </c>
      <c r="Q32" s="12">
        <f>IF(Q27="","",Q27)</f>
        <v/>
      </c>
      <c r="R32" s="12">
        <f>IF(R27="","",R27)</f>
        <v/>
      </c>
      <c r="S32" s="12">
        <f>IF(S27="","",S27)</f>
        <v/>
      </c>
      <c r="T32" s="12">
        <f>IF(T27="","",T27)</f>
        <v/>
      </c>
      <c r="U32" s="12">
        <f>IF(U27="","",U27)</f>
        <v/>
      </c>
      <c r="V32" s="12">
        <f>IF(V27="","",V27)</f>
        <v/>
      </c>
      <c r="W32" s="12">
        <f>IF(W27="","",W27)</f>
        <v/>
      </c>
      <c r="X32" s="12">
        <f>IF(X27="","",X27)</f>
        <v/>
      </c>
      <c r="Y32" s="11" t="n"/>
      <c r="Z32" s="12" t="n"/>
      <c r="AA32" s="12" t="n"/>
      <c r="AB32" s="12" t="n"/>
      <c r="AC32" s="12" t="n"/>
    </row>
    <row r="33">
      <c r="A33" s="18" t="inlineStr">
        <is>
          <t>급여</t>
        </is>
      </c>
      <c r="B33" s="10" t="inlineStr">
        <is>
          <t>고정비</t>
        </is>
      </c>
      <c r="C33" s="19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19" t="n"/>
      <c r="P33" s="20" t="n"/>
      <c r="Q33" s="20" t="n"/>
      <c r="R33" s="20" t="n"/>
      <c r="S33" s="20" t="n"/>
      <c r="T33" s="20" t="n"/>
      <c r="U33" s="20" t="n"/>
      <c r="V33" s="20" t="n"/>
      <c r="W33" s="20" t="n"/>
      <c r="X33" s="20" t="n"/>
      <c r="Y33" s="19" t="n"/>
      <c r="Z33" s="20" t="n"/>
      <c r="AA33" s="20" t="n"/>
      <c r="AB33" s="20" t="n"/>
      <c r="AC33" s="20" t="n"/>
    </row>
    <row r="34">
      <c r="A34" s="13" t="inlineStr">
        <is>
          <t>% of Sales</t>
        </is>
      </c>
      <c r="B34" s="10" t="n"/>
      <c r="C34" s="14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4">
        <f>IF(OR(O33="",O4=""),"",IFERROR(O33/O4,""))</f>
        <v/>
      </c>
      <c r="P34" s="15">
        <f>IF(OR(P33="",P4=""),"",IFERROR(P33/P4,""))</f>
        <v/>
      </c>
      <c r="Q34" s="15">
        <f>IF(OR(Q33="",Q4=""),"",IFERROR(Q33/Q4,""))</f>
        <v/>
      </c>
      <c r="R34" s="15">
        <f>IF(OR(R33="",R4=""),"",IFERROR(R33/R4,""))</f>
        <v/>
      </c>
      <c r="S34" s="15">
        <f>IF(OR(S33="",S4=""),"",IFERROR(S33/S4,""))</f>
        <v/>
      </c>
      <c r="T34" s="15">
        <f>IF(OR(T33="",T4=""),"",IFERROR(T33/T4,""))</f>
        <v/>
      </c>
      <c r="U34" s="15">
        <f>IF(OR(U33="",U4=""),"",IFERROR(U33/U4,""))</f>
        <v/>
      </c>
      <c r="V34" s="15">
        <f>IF(OR(V33="",V4=""),"",IFERROR(V33/V4,""))</f>
        <v/>
      </c>
      <c r="W34" s="15">
        <f>IF(OR(W33="",W4=""),"",IFERROR(W33/W4,""))</f>
        <v/>
      </c>
      <c r="X34" s="15">
        <f>IF(OR(X33="",X4=""),"",IFERROR(X33/X4,""))</f>
        <v/>
      </c>
      <c r="Y34" s="14" t="n"/>
      <c r="Z34" s="15" t="n"/>
      <c r="AA34" s="15" t="n"/>
      <c r="AB34" s="15" t="n"/>
      <c r="AC34" s="15" t="n"/>
    </row>
    <row r="35">
      <c r="A35" s="18" t="inlineStr">
        <is>
          <t>감가상각비</t>
        </is>
      </c>
      <c r="B35" s="10" t="inlineStr">
        <is>
          <t>고정비</t>
        </is>
      </c>
      <c r="C35" s="19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19" t="n"/>
      <c r="P35" s="20" t="n"/>
      <c r="Q35" s="20" t="n"/>
      <c r="R35" s="20" t="n"/>
      <c r="S35" s="20" t="n"/>
      <c r="T35" s="20" t="n"/>
      <c r="U35" s="20" t="n"/>
      <c r="V35" s="20" t="n"/>
      <c r="W35" s="20" t="n"/>
      <c r="X35" s="20" t="n"/>
      <c r="Y35" s="19" t="n"/>
      <c r="Z35" s="20" t="n"/>
      <c r="AA35" s="20" t="n"/>
      <c r="AB35" s="20" t="n"/>
      <c r="AC35" s="20" t="n"/>
    </row>
    <row r="36">
      <c r="A36" s="13" t="inlineStr">
        <is>
          <t>% of Sales</t>
        </is>
      </c>
      <c r="B36" s="10" t="n"/>
      <c r="C36" s="14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4">
        <f>IF(OR(O35="",O4=""),"",IFERROR(O35/O4,""))</f>
        <v/>
      </c>
      <c r="P36" s="15">
        <f>IF(OR(P35="",P4=""),"",IFERROR(P35/P4,""))</f>
        <v/>
      </c>
      <c r="Q36" s="15">
        <f>IF(OR(Q35="",Q4=""),"",IFERROR(Q35/Q4,""))</f>
        <v/>
      </c>
      <c r="R36" s="15">
        <f>IF(OR(R35="",R4=""),"",IFERROR(R35/R4,""))</f>
        <v/>
      </c>
      <c r="S36" s="15">
        <f>IF(OR(S35="",S4=""),"",IFERROR(S35/S4,""))</f>
        <v/>
      </c>
      <c r="T36" s="15">
        <f>IF(OR(T35="",T4=""),"",IFERROR(T35/T4,""))</f>
        <v/>
      </c>
      <c r="U36" s="15">
        <f>IF(OR(U35="",U4=""),"",IFERROR(U35/U4,""))</f>
        <v/>
      </c>
      <c r="V36" s="15">
        <f>IF(OR(V35="",V4=""),"",IFERROR(V35/V4,""))</f>
        <v/>
      </c>
      <c r="W36" s="15">
        <f>IF(OR(W35="",W4=""),"",IFERROR(W35/W4,""))</f>
        <v/>
      </c>
      <c r="X36" s="15">
        <f>IF(OR(X35="",X4=""),"",IFERROR(X35/X4,""))</f>
        <v/>
      </c>
      <c r="Y36" s="14" t="n"/>
      <c r="Z36" s="15" t="n"/>
      <c r="AA36" s="15" t="n"/>
      <c r="AB36" s="15" t="n"/>
      <c r="AC36" s="15" t="n"/>
    </row>
    <row r="37">
      <c r="A37" s="18" t="inlineStr">
        <is>
          <t>지급수수료</t>
        </is>
      </c>
      <c r="B37" s="10" t="inlineStr">
        <is>
          <t>고정비</t>
        </is>
      </c>
      <c r="C37" s="19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19" t="n"/>
      <c r="P37" s="20" t="n"/>
      <c r="Q37" s="20" t="n"/>
      <c r="R37" s="20" t="n"/>
      <c r="S37" s="20" t="n"/>
      <c r="T37" s="20" t="n"/>
      <c r="U37" s="20" t="n"/>
      <c r="V37" s="20" t="n"/>
      <c r="W37" s="20" t="n"/>
      <c r="X37" s="20" t="n"/>
      <c r="Y37" s="19" t="n"/>
      <c r="Z37" s="20" t="n"/>
      <c r="AA37" s="20" t="n"/>
      <c r="AB37" s="20" t="n"/>
      <c r="AC37" s="20" t="n"/>
    </row>
    <row r="38">
      <c r="A38" s="13" t="inlineStr">
        <is>
          <t>% of Sales</t>
        </is>
      </c>
      <c r="B38" s="10" t="n"/>
      <c r="C38" s="14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14" t="n"/>
      <c r="Z38" s="15" t="n"/>
      <c r="AA38" s="15" t="n"/>
      <c r="AB38" s="15" t="n"/>
      <c r="AC38" s="15" t="n"/>
    </row>
    <row r="39">
      <c r="A39" s="18" t="inlineStr">
        <is>
          <t>연구개발비</t>
        </is>
      </c>
      <c r="B39" s="10" t="inlineStr">
        <is>
          <t>변동비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기타비용</t>
        </is>
      </c>
      <c r="B41" s="10" t="inlineStr">
        <is>
          <t>변동비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>
        <f>IF(OR(O32="",O33="",O35="",O37="",O39=""),"",IFERROR(O32-O33-O35-O37-O39,""))</f>
        <v/>
      </c>
      <c r="P41" s="20">
        <f>IF(OR(P32="",P33="",P35="",P37="",P39=""),"",IFERROR(P32-P33-P35-P37-P39,""))</f>
        <v/>
      </c>
      <c r="Q41" s="20">
        <f>IF(OR(Q32="",Q33="",Q35="",Q37="",Q39=""),"",IFERROR(Q32-Q33-Q35-Q37-Q39,""))</f>
        <v/>
      </c>
      <c r="R41" s="20">
        <f>IF(OR(R32="",R33="",R35="",R37="",R39=""),"",IFERROR(R32-R33-R35-R37-R39,""))</f>
        <v/>
      </c>
      <c r="S41" s="20">
        <f>IF(OR(S32="",S33="",S35="",S37="",S39=""),"",IFERROR(S32-S33-S35-S37-S39,""))</f>
        <v/>
      </c>
      <c r="T41" s="20">
        <f>IF(OR(T32="",T33="",T35="",T37="",T39=""),"",IFERROR(T32-T33-T35-T37-T39,""))</f>
        <v/>
      </c>
      <c r="U41" s="20">
        <f>IF(OR(U32="",U33="",U35="",U37="",U39=""),"",IFERROR(U32-U33-U35-U37-U39,""))</f>
        <v/>
      </c>
      <c r="V41" s="20">
        <f>IF(OR(V32="",V33="",V35="",V37="",V39=""),"",IFERROR(V32-V33-V35-V37-V39,""))</f>
        <v/>
      </c>
      <c r="W41" s="20">
        <f>IF(OR(W32="",W33="",W35="",W37="",W39=""),"",IFERROR(W32-W33-W35-W37-W39,""))</f>
        <v/>
      </c>
      <c r="X41" s="20">
        <f>IF(OR(X32="",X33="",X35="",X37="",X39=""),"",IFERROR(X32-X33-X35-X37-X39,""))</f>
        <v/>
      </c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6" t="inlineStr">
        <is>
          <t>당기순이익 추정</t>
        </is>
      </c>
      <c r="B43" s="16" t="n"/>
      <c r="C43" s="17" t="n"/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7" t="n"/>
      <c r="P43" s="16" t="n"/>
      <c r="Q43" s="16" t="n"/>
      <c r="R43" s="16" t="n"/>
      <c r="S43" s="16" t="n"/>
      <c r="T43" s="16" t="n"/>
      <c r="U43" s="16" t="n"/>
      <c r="V43" s="16" t="n"/>
      <c r="W43" s="16" t="n"/>
      <c r="X43" s="16" t="n"/>
      <c r="Y43" s="17" t="n"/>
      <c r="Z43" s="16" t="n"/>
      <c r="AA43" s="16" t="n"/>
      <c r="AB43" s="16" t="n"/>
      <c r="AC43" s="16" t="n"/>
    </row>
    <row r="44">
      <c r="A44" s="18" t="inlineStr">
        <is>
          <t>특별이익</t>
        </is>
      </c>
      <c r="B44" s="10" t="n"/>
      <c r="C44" s="19" t="n"/>
      <c r="D44" s="20" t="n"/>
      <c r="E44" s="20" t="n">
        <v>0</v>
      </c>
      <c r="F44" s="20" t="n">
        <v>0</v>
      </c>
      <c r="G44" s="20" t="n">
        <v>0</v>
      </c>
      <c r="H44" s="20" t="n">
        <v>10.9</v>
      </c>
      <c r="I44" s="20" t="n">
        <v>0</v>
      </c>
      <c r="J44" s="20" t="n">
        <v>0</v>
      </c>
      <c r="K44" s="20" t="n">
        <v>1.149</v>
      </c>
      <c r="L44" s="20" t="n">
        <v>0</v>
      </c>
      <c r="M44" s="20" t="n">
        <v>0</v>
      </c>
      <c r="N44" s="20" t="n">
        <v>0</v>
      </c>
      <c r="O44" s="19" t="n"/>
      <c r="P44" s="20" t="n"/>
      <c r="Q44" s="20" t="n">
        <v>9</v>
      </c>
      <c r="R44" s="20" t="n">
        <v>0</v>
      </c>
      <c r="S44" s="20" t="n">
        <v>0</v>
      </c>
      <c r="T44" s="20" t="n">
        <v>23.269</v>
      </c>
      <c r="U44" s="20" t="n">
        <v>0</v>
      </c>
      <c r="V44" s="20" t="n">
        <v>0</v>
      </c>
      <c r="W44" s="20" t="n">
        <v>10.9</v>
      </c>
      <c r="X44" s="20" t="n">
        <v>1.149</v>
      </c>
      <c r="Y44" s="19">
        <f>IF(OR(Y4="",Y45=""),"",IFERROR(Y4*Y45,""))</f>
        <v/>
      </c>
      <c r="Z44" s="20">
        <f>IF(OR(Z4="",Z45=""),"",IFERROR(Z4*Z45,""))</f>
        <v/>
      </c>
      <c r="AA44" s="20">
        <f>IF(OR(AA4="",AA45=""),"",IFERROR(AA4*AA45,""))</f>
        <v/>
      </c>
      <c r="AB44" s="20">
        <f>IF(OR(AB4="",AB45=""),"",IFERROR(AB4*AB45,""))</f>
        <v/>
      </c>
      <c r="AC44" s="20">
        <f>IF(OR(AC4="",AC45=""),"",IFERROR(AC4*AC45,""))</f>
        <v/>
      </c>
    </row>
    <row r="45">
      <c r="A45" s="13" t="inlineStr">
        <is>
          <t>% of Sales</t>
        </is>
      </c>
      <c r="B45" s="10" t="inlineStr">
        <is>
          <t>MW = 최근 3년 평균</t>
        </is>
      </c>
      <c r="C45" s="14">
        <f>IF(OR(C44="",C4=""),"",IFERROR(C44/C4,""))</f>
        <v/>
      </c>
      <c r="D45" s="15">
        <f>IF(OR(D44="",D4=""),"",IFERROR(D44/D4,""))</f>
        <v/>
      </c>
      <c r="E45" s="15">
        <f>IF(OR(E44="",E4=""),"",IFERROR(E44/E4,""))</f>
        <v/>
      </c>
      <c r="F45" s="15">
        <f>IF(OR(F44="",F4=""),"",IFERROR(F44/F4,""))</f>
        <v/>
      </c>
      <c r="G45" s="15">
        <f>IF(OR(G44="",G4=""),"",IFERROR(G44/G4,""))</f>
        <v/>
      </c>
      <c r="H45" s="15">
        <f>IF(OR(H44="",H4=""),"",IFERROR(H44/H4,""))</f>
        <v/>
      </c>
      <c r="I45" s="15">
        <f>IF(OR(I44="",I4=""),"",IFERROR(I44/I4,""))</f>
        <v/>
      </c>
      <c r="J45" s="15">
        <f>IF(OR(J44="",J4=""),"",IFERROR(J44/J4,""))</f>
        <v/>
      </c>
      <c r="K45" s="15">
        <f>IF(OR(K44="",K4=""),"",IFERROR(K44/K4,""))</f>
        <v/>
      </c>
      <c r="L45" s="15">
        <f>IF(OR(L44="",L4=""),"",IFERROR(L44/L4,""))</f>
        <v/>
      </c>
      <c r="M45" s="15">
        <f>IF(OR(M44="",M4=""),"",IFERROR(M44/M4,""))</f>
        <v/>
      </c>
      <c r="N45" s="15">
        <f>IF(OR(N44="",N4=""),"",IFERROR(N44/N4,""))</f>
        <v/>
      </c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25">
        <f>IFERROR(AVERAGE(V45,W45,X45),"")</f>
        <v/>
      </c>
      <c r="Z45" s="26">
        <f>Y45</f>
        <v/>
      </c>
      <c r="AA45" s="26">
        <f>Z45</f>
        <v/>
      </c>
      <c r="AB45" s="26">
        <f>AA45</f>
        <v/>
      </c>
      <c r="AC45" s="26">
        <f>AB45</f>
        <v/>
      </c>
    </row>
    <row r="46">
      <c r="A46" s="18" t="inlineStr">
        <is>
          <t>특별손실</t>
        </is>
      </c>
      <c r="B46" s="10" t="n"/>
      <c r="C46" s="19" t="n"/>
      <c r="D46" s="20" t="n"/>
      <c r="E46" s="20" t="n">
        <v>0</v>
      </c>
      <c r="F46" s="20" t="n">
        <v>17.782</v>
      </c>
      <c r="G46" s="20" t="n"/>
      <c r="H46" s="20" t="n"/>
      <c r="I46" s="20" t="n"/>
      <c r="J46" s="20" t="n">
        <v>0</v>
      </c>
      <c r="K46" s="20" t="n"/>
      <c r="L46" s="20" t="n"/>
      <c r="M46" s="20" t="n"/>
      <c r="N46" s="20" t="n">
        <v>18.301</v>
      </c>
      <c r="O46" s="19" t="n"/>
      <c r="P46" s="20" t="n"/>
      <c r="Q46" s="20" t="n"/>
      <c r="R46" s="20" t="n"/>
      <c r="S46" s="20" t="n">
        <v>10.001</v>
      </c>
      <c r="T46" s="20" t="n">
        <v>9.999000000000001</v>
      </c>
      <c r="U46" s="20" t="n">
        <v>53.712</v>
      </c>
      <c r="V46" s="20" t="n">
        <v>17.782</v>
      </c>
      <c r="W46" s="20" t="n">
        <v>0</v>
      </c>
      <c r="X46" s="20" t="n">
        <v>30.047</v>
      </c>
      <c r="Y46" s="19">
        <f>IF(OR(Y4="",Y47=""),"",IFERROR(Y4*Y47,""))</f>
        <v/>
      </c>
      <c r="Z46" s="20">
        <f>IF(OR(Z4="",Z47=""),"",IFERROR(Z4*Z47,""))</f>
        <v/>
      </c>
      <c r="AA46" s="20">
        <f>IF(OR(AA4="",AA47=""),"",IFERROR(AA4*AA47,""))</f>
        <v/>
      </c>
      <c r="AB46" s="20">
        <f>IF(OR(AB4="",AB47=""),"",IFERROR(AB4*AB47,""))</f>
        <v/>
      </c>
      <c r="AC46" s="20">
        <f>IF(OR(AC4="",AC47=""),"",IFERROR(AC4*AC47,""))</f>
        <v/>
      </c>
    </row>
    <row r="47">
      <c r="A47" s="13" t="inlineStr">
        <is>
          <t>% of Sales</t>
        </is>
      </c>
      <c r="B47" s="10" t="n"/>
      <c r="C47" s="14">
        <f>IF(OR(C46="",C4=""),"",IFERROR(C46/C4,""))</f>
        <v/>
      </c>
      <c r="D47" s="15">
        <f>IF(OR(D46="",D4=""),"",IFERROR(D46/D4,""))</f>
        <v/>
      </c>
      <c r="E47" s="15">
        <f>IF(OR(E46="",E4=""),"",IFERROR(E46/E4,""))</f>
        <v/>
      </c>
      <c r="F47" s="15">
        <f>IF(OR(F46="",F4=""),"",IFERROR(F46/F4,""))</f>
        <v/>
      </c>
      <c r="G47" s="15">
        <f>IF(OR(G46="",G4=""),"",IFERROR(G46/G4,""))</f>
        <v/>
      </c>
      <c r="H47" s="15">
        <f>IF(OR(H46="",H4=""),"",IFERROR(H46/H4,""))</f>
        <v/>
      </c>
      <c r="I47" s="15">
        <f>IF(OR(I46="",I4=""),"",IFERROR(I46/I4,""))</f>
        <v/>
      </c>
      <c r="J47" s="15">
        <f>IF(OR(J46="",J4=""),"",IFERROR(J46/J4,""))</f>
        <v/>
      </c>
      <c r="K47" s="15">
        <f>IF(OR(K46="",K4=""),"",IFERROR(K46/K4,""))</f>
        <v/>
      </c>
      <c r="L47" s="15">
        <f>IF(OR(L46="",L4=""),"",IFERROR(L46/L4,""))</f>
        <v/>
      </c>
      <c r="M47" s="15">
        <f>IF(OR(M46="",M4=""),"",IFERROR(M46/M4,""))</f>
        <v/>
      </c>
      <c r="N47" s="15">
        <f>IF(OR(N46="",N4=""),"",IFERROR(N46/N4,""))</f>
        <v/>
      </c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25">
        <f>IFERROR(AVERAGE(V47,W47,X47),"")</f>
        <v/>
      </c>
      <c r="Z47" s="26">
        <f>Y47</f>
        <v/>
      </c>
      <c r="AA47" s="26">
        <f>Z47</f>
        <v/>
      </c>
      <c r="AB47" s="26">
        <f>AA47</f>
        <v/>
      </c>
      <c r="AC47" s="26">
        <f>AB47</f>
        <v/>
      </c>
    </row>
    <row r="48">
      <c r="A48" s="18" t="inlineStr">
        <is>
          <t>영업외수익</t>
        </is>
      </c>
      <c r="B48" s="10" t="n"/>
      <c r="C48" s="19" t="n">
        <v>3.935</v>
      </c>
      <c r="D48" s="20" t="n">
        <v>1.22</v>
      </c>
      <c r="E48" s="20" t="n">
        <v>9.715999999999999</v>
      </c>
      <c r="F48" s="20" t="n">
        <v>2.277</v>
      </c>
      <c r="G48" s="20" t="n">
        <v>4.938</v>
      </c>
      <c r="H48" s="20" t="n">
        <v>9.081</v>
      </c>
      <c r="I48" s="20" t="n">
        <v>7.264</v>
      </c>
      <c r="J48" s="20" t="n">
        <v>8.762</v>
      </c>
      <c r="K48" s="20" t="n">
        <v>10.093</v>
      </c>
      <c r="L48" s="20" t="n">
        <v>89.468</v>
      </c>
      <c r="M48" s="20" t="n">
        <v>3.598</v>
      </c>
      <c r="N48" s="20" t="n">
        <v>15.507</v>
      </c>
      <c r="O48" s="19" t="n"/>
      <c r="P48" s="20" t="n"/>
      <c r="Q48" s="20" t="n">
        <v>1.877</v>
      </c>
      <c r="R48" s="20" t="n">
        <v>17.863</v>
      </c>
      <c r="S48" s="20" t="n">
        <v>10.564</v>
      </c>
      <c r="T48" s="20" t="n">
        <v>12.424</v>
      </c>
      <c r="U48" s="20" t="n">
        <v>3.352</v>
      </c>
      <c r="V48" s="20" t="n">
        <v>17.148</v>
      </c>
      <c r="W48" s="20" t="n">
        <v>30.045</v>
      </c>
      <c r="X48" s="20" t="n">
        <v>118.666</v>
      </c>
      <c r="Y48" s="19">
        <f>IF(OR(Y4="",Y49=""),"",IFERROR(Y4*Y49,""))</f>
        <v/>
      </c>
      <c r="Z48" s="20">
        <f>IF(OR(Z4="",Z49=""),"",IFERROR(Z4*Z49,""))</f>
        <v/>
      </c>
      <c r="AA48" s="20">
        <f>IF(OR(AA4="",AA49=""),"",IFERROR(AA4*AA49,""))</f>
        <v/>
      </c>
      <c r="AB48" s="20">
        <f>IF(OR(AB4="",AB49=""),"",IFERROR(AB4*AB49,""))</f>
        <v/>
      </c>
      <c r="AC48" s="20">
        <f>IF(OR(AC4="",AC49=""),"",IFERROR(AC4*AC49,""))</f>
        <v/>
      </c>
    </row>
    <row r="49">
      <c r="A49" s="13" t="inlineStr">
        <is>
          <t>% of Sales</t>
        </is>
      </c>
      <c r="B49" s="10" t="n"/>
      <c r="C49" s="14">
        <f>IF(OR(C48="",C4=""),"",IFERROR(C48/C4,""))</f>
        <v/>
      </c>
      <c r="D49" s="15">
        <f>IF(OR(D48="",D4=""),"",IFERROR(D48/D4,""))</f>
        <v/>
      </c>
      <c r="E49" s="15">
        <f>IF(OR(E48="",E4=""),"",IFERROR(E48/E4,""))</f>
        <v/>
      </c>
      <c r="F49" s="15">
        <f>IF(OR(F48="",F4=""),"",IFERROR(F48/F4,""))</f>
        <v/>
      </c>
      <c r="G49" s="15">
        <f>IF(OR(G48="",G4=""),"",IFERROR(G48/G4,""))</f>
        <v/>
      </c>
      <c r="H49" s="15">
        <f>IF(OR(H48="",H4=""),"",IFERROR(H48/H4,""))</f>
        <v/>
      </c>
      <c r="I49" s="15">
        <f>IF(OR(I48="",I4=""),"",IFERROR(I48/I4,""))</f>
        <v/>
      </c>
      <c r="J49" s="15">
        <f>IF(OR(J48="",J4=""),"",IFERROR(J48/J4,""))</f>
        <v/>
      </c>
      <c r="K49" s="15">
        <f>IF(OR(K48="",K4=""),"",IFERROR(K48/K4,""))</f>
        <v/>
      </c>
      <c r="L49" s="15">
        <f>IF(OR(L48="",L4=""),"",IFERROR(L48/L4,""))</f>
        <v/>
      </c>
      <c r="M49" s="15">
        <f>IF(OR(M48="",M4=""),"",IFERROR(M48/M4,""))</f>
        <v/>
      </c>
      <c r="N49" s="15">
        <f>IF(OR(N48="",N4=""),"",IFERROR(N48/N4,""))</f>
        <v/>
      </c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25">
        <f>IFERROR(AVERAGE(V49,W49,X49),"")</f>
        <v/>
      </c>
      <c r="Z49" s="26">
        <f>Y49</f>
        <v/>
      </c>
      <c r="AA49" s="26">
        <f>Z49</f>
        <v/>
      </c>
      <c r="AB49" s="26">
        <f>AA49</f>
        <v/>
      </c>
      <c r="AC49" s="26">
        <f>AB49</f>
        <v/>
      </c>
    </row>
    <row r="50">
      <c r="A50" s="18" t="inlineStr">
        <is>
          <t>영업외비용</t>
        </is>
      </c>
      <c r="B50" s="10" t="n"/>
      <c r="C50" s="19" t="n">
        <v>3.37</v>
      </c>
      <c r="D50" s="20" t="n">
        <v>3.309</v>
      </c>
      <c r="E50" s="20" t="n">
        <v>9.308999999999999</v>
      </c>
      <c r="F50" s="20" t="n">
        <v>30.417</v>
      </c>
      <c r="G50" s="20" t="n">
        <v>11.646</v>
      </c>
      <c r="H50" s="20" t="n">
        <v>7.561</v>
      </c>
      <c r="I50" s="20" t="n">
        <v>14.118</v>
      </c>
      <c r="J50" s="20" t="n">
        <v>9.468999999999999</v>
      </c>
      <c r="K50" s="20" t="n">
        <v>14.618</v>
      </c>
      <c r="L50" s="20" t="n">
        <v>14.432</v>
      </c>
      <c r="M50" s="20" t="n">
        <v>23.055</v>
      </c>
      <c r="N50" s="20" t="n">
        <v>29.625</v>
      </c>
      <c r="O50" s="19" t="n"/>
      <c r="P50" s="20" t="n"/>
      <c r="Q50" s="20" t="n">
        <v>2.086</v>
      </c>
      <c r="R50" s="20" t="n">
        <v>2.75</v>
      </c>
      <c r="S50" s="20" t="n">
        <v>6.632</v>
      </c>
      <c r="T50" s="20" t="n">
        <v>7.785</v>
      </c>
      <c r="U50" s="20" t="n">
        <v>9.835000000000001</v>
      </c>
      <c r="V50" s="20" t="n">
        <v>46.405</v>
      </c>
      <c r="W50" s="20" t="n">
        <v>42.794</v>
      </c>
      <c r="X50" s="20" t="n">
        <v>81.73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n"/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9" t="inlineStr">
        <is>
          <t>법인세비용차감전순이익(손실)</t>
        </is>
      </c>
      <c r="B52" s="10" t="n"/>
      <c r="C52" s="11" t="n">
        <v>59.873</v>
      </c>
      <c r="D52" s="12" t="n">
        <v>5.828</v>
      </c>
      <c r="E52" s="12" t="n">
        <v>81.34399999999999</v>
      </c>
      <c r="F52" s="12" t="n">
        <v>280.788</v>
      </c>
      <c r="G52" s="12" t="n">
        <v>282.43</v>
      </c>
      <c r="H52" s="12" t="n">
        <v>531.441</v>
      </c>
      <c r="I52" s="12" t="n">
        <v>74.292</v>
      </c>
      <c r="J52" s="12" t="n">
        <v>-70.01300000000001</v>
      </c>
      <c r="K52" s="12" t="n">
        <v>626.376</v>
      </c>
      <c r="L52" s="12" t="n">
        <v>-30.126</v>
      </c>
      <c r="M52" s="12" t="n">
        <v>46.617</v>
      </c>
      <c r="N52" s="12" t="n">
        <v>175.531</v>
      </c>
      <c r="O52" s="11" t="n"/>
      <c r="P52" s="12" t="n"/>
      <c r="Q52" s="12" t="n">
        <v>152.242</v>
      </c>
      <c r="R52" s="12" t="n">
        <v>116.723</v>
      </c>
      <c r="S52" s="12" t="n">
        <v>121.807</v>
      </c>
      <c r="T52" s="12" t="n">
        <v>213.417</v>
      </c>
      <c r="U52" s="12" t="n">
        <v>259.422</v>
      </c>
      <c r="V52" s="12" t="n">
        <v>427.833</v>
      </c>
      <c r="W52" s="12" t="n">
        <v>818.15</v>
      </c>
      <c r="X52" s="12" t="n">
        <v>818.398</v>
      </c>
      <c r="Y52" s="11">
        <f>IF(OR(Y28=""),"",IFERROR(Y28+N(Y44)-N(Y46)+N(Y48)-N(Y50),""))</f>
        <v/>
      </c>
      <c r="Z52" s="12">
        <f>IF(OR(Z28=""),"",IFERROR(Z28+N(Z44)-N(Z46)+N(Z48)-N(Z50),""))</f>
        <v/>
      </c>
      <c r="AA52" s="12">
        <f>IF(OR(AA28=""),"",IFERROR(AA28+N(AA44)-N(AA46)+N(AA48)-N(AA50),""))</f>
        <v/>
      </c>
      <c r="AB52" s="12">
        <f>IF(OR(AB28=""),"",IFERROR(AB28+N(AB44)-N(AB46)+N(AB48)-N(AB50),""))</f>
        <v/>
      </c>
      <c r="AC52" s="12">
        <f>IF(OR(AC28=""),"",IFERROR(AC28+N(AC44)-N(AC46)+N(AC48)-N(AC50),""))</f>
        <v/>
      </c>
    </row>
    <row r="53">
      <c r="A53" s="18" t="inlineStr">
        <is>
          <t>법인세비용(수익)</t>
        </is>
      </c>
      <c r="B53" s="10" t="n"/>
      <c r="C53" s="19" t="n">
        <v>31.563</v>
      </c>
      <c r="D53" s="20" t="n">
        <v>20.589</v>
      </c>
      <c r="E53" s="20" t="n">
        <v>43.915</v>
      </c>
      <c r="F53" s="20" t="n">
        <v>142.903</v>
      </c>
      <c r="G53" s="20" t="n">
        <v>90.631</v>
      </c>
      <c r="H53" s="20" t="n">
        <v>169.883</v>
      </c>
      <c r="I53" s="20" t="n">
        <v>31.808</v>
      </c>
      <c r="J53" s="20" t="n">
        <v>-3.622</v>
      </c>
      <c r="K53" s="20" t="n">
        <v>259.669</v>
      </c>
      <c r="L53" s="20" t="n">
        <v>25.584</v>
      </c>
      <c r="M53" s="20" t="n">
        <v>41.692</v>
      </c>
      <c r="N53" s="20" t="n">
        <v>94.496</v>
      </c>
      <c r="O53" s="19" t="n"/>
      <c r="P53" s="20" t="n"/>
      <c r="Q53" s="20" t="n">
        <v>42.419</v>
      </c>
      <c r="R53" s="20" t="n">
        <v>36.392</v>
      </c>
      <c r="S53" s="20" t="n">
        <v>45.998</v>
      </c>
      <c r="T53" s="20" t="n">
        <v>78.727</v>
      </c>
      <c r="U53" s="20" t="n">
        <v>89.30500000000001</v>
      </c>
      <c r="V53" s="20" t="n">
        <v>238.97</v>
      </c>
      <c r="W53" s="20" t="n">
        <v>288.7</v>
      </c>
      <c r="X53" s="20" t="n">
        <v>421.441</v>
      </c>
      <c r="Y53" s="19">
        <f>IF(OR(Y52="",Y54=""),"",IFERROR(MAX(Y52,0)*Y54,""))</f>
        <v/>
      </c>
      <c r="Z53" s="20">
        <f>IF(OR(Z52="",Z54=""),"",IFERROR(MAX(Z52,0)*Z54,""))</f>
        <v/>
      </c>
      <c r="AA53" s="20">
        <f>IF(OR(AA52="",AA54=""),"",IFERROR(MAX(AA52,0)*AA54,""))</f>
        <v/>
      </c>
      <c r="AB53" s="20">
        <f>IF(OR(AB52="",AB54=""),"",IFERROR(MAX(AB52,0)*AB54,""))</f>
        <v/>
      </c>
      <c r="AC53" s="20">
        <f>IF(OR(AC52="",AC54=""),"",IFERROR(MAX(AC52,0)*AC54,""))</f>
        <v/>
      </c>
    </row>
    <row r="54">
      <c r="A54" s="13" t="inlineStr">
        <is>
          <t>법인세율</t>
        </is>
      </c>
      <c r="B54" s="10" t="inlineStr">
        <is>
          <t>MW 기본 30%</t>
        </is>
      </c>
      <c r="C54" s="14">
        <f>IF(OR(C53="",C52=""),"",IFERROR(C53/C52,""))</f>
        <v/>
      </c>
      <c r="D54" s="15">
        <f>IF(OR(D53="",D52=""),"",IFERROR(D53/D52,""))</f>
        <v/>
      </c>
      <c r="E54" s="15">
        <f>IF(OR(E53="",E52=""),"",IFERROR(E53/E52,""))</f>
        <v/>
      </c>
      <c r="F54" s="15">
        <f>IF(OR(F53="",F52=""),"",IFERROR(F53/F52,""))</f>
        <v/>
      </c>
      <c r="G54" s="15">
        <f>IF(OR(G53="",G52=""),"",IFERROR(G53/G52,""))</f>
        <v/>
      </c>
      <c r="H54" s="15">
        <f>IF(OR(H53="",H52=""),"",IFERROR(H53/H52,""))</f>
        <v/>
      </c>
      <c r="I54" s="15">
        <f>IF(OR(I53="",I52=""),"",IFERROR(I53/I52,""))</f>
        <v/>
      </c>
      <c r="J54" s="15">
        <f>IF(OR(J53="",J52=""),"",IFERROR(J53/J52,""))</f>
        <v/>
      </c>
      <c r="K54" s="15">
        <f>IF(OR(K53="",K52=""),"",IFERROR(K53/K52,""))</f>
        <v/>
      </c>
      <c r="L54" s="15">
        <f>IF(OR(L53="",L52=""),"",IFERROR(L53/L52,""))</f>
        <v/>
      </c>
      <c r="M54" s="15">
        <f>IF(OR(M53="",M52=""),"",IFERROR(M53/M52,""))</f>
        <v/>
      </c>
      <c r="N54" s="15">
        <f>IF(OR(N53="",N52=""),"",IFERROR(N53/N52,""))</f>
        <v/>
      </c>
      <c r="O54" s="14">
        <f>IF(OR(O53="",O52=""),"",IFERROR(O53/O52,""))</f>
        <v/>
      </c>
      <c r="P54" s="15">
        <f>IF(OR(P53="",P52=""),"",IFERROR(P53/P52,""))</f>
        <v/>
      </c>
      <c r="Q54" s="15">
        <f>IF(OR(Q53="",Q52=""),"",IFERROR(Q53/Q52,""))</f>
        <v/>
      </c>
      <c r="R54" s="15">
        <f>IF(OR(R53="",R52=""),"",IFERROR(R53/R52,""))</f>
        <v/>
      </c>
      <c r="S54" s="15">
        <f>IF(OR(S53="",S52=""),"",IFERROR(S53/S52,""))</f>
        <v/>
      </c>
      <c r="T54" s="15">
        <f>IF(OR(T53="",T52=""),"",IFERROR(T53/T52,""))</f>
        <v/>
      </c>
      <c r="U54" s="15">
        <f>IF(OR(U53="",U52=""),"",IFERROR(U53/U52,""))</f>
        <v/>
      </c>
      <c r="V54" s="15">
        <f>IF(OR(V53="",V52=""),"",IFERROR(V53/V52,""))</f>
        <v/>
      </c>
      <c r="W54" s="15">
        <f>IF(OR(W53="",W52=""),"",IFERROR(W53/W52,""))</f>
        <v/>
      </c>
      <c r="X54" s="15">
        <f>IF(OR(X53="",X52=""),"",IFERROR(X53/X52,""))</f>
        <v/>
      </c>
      <c r="Y54" s="25" t="n">
        <v>0.3</v>
      </c>
      <c r="Z54" s="26" t="n">
        <v>0.3</v>
      </c>
      <c r="AA54" s="26" t="n">
        <v>0.3</v>
      </c>
      <c r="AB54" s="26" t="n">
        <v>0.3</v>
      </c>
      <c r="AC54" s="26" t="n">
        <v>0.3</v>
      </c>
    </row>
    <row r="55">
      <c r="A55" s="9" t="inlineStr">
        <is>
          <t>당기순이익(손실)</t>
        </is>
      </c>
      <c r="B55" s="10" t="n"/>
      <c r="C55" s="11" t="n">
        <v>28.31</v>
      </c>
      <c r="D55" s="12" t="n">
        <v>-14.762</v>
      </c>
      <c r="E55" s="12" t="n">
        <v>37.43</v>
      </c>
      <c r="F55" s="12" t="n">
        <v>137.885</v>
      </c>
      <c r="G55" s="12" t="n">
        <v>191.798</v>
      </c>
      <c r="H55" s="12" t="n">
        <v>361.558</v>
      </c>
      <c r="I55" s="12" t="n">
        <v>42.485</v>
      </c>
      <c r="J55" s="12" t="n">
        <v>-66.392</v>
      </c>
      <c r="K55" s="12" t="n">
        <v>366.707</v>
      </c>
      <c r="L55" s="12" t="n">
        <v>-55.711</v>
      </c>
      <c r="M55" s="12" t="n">
        <v>4.925</v>
      </c>
      <c r="N55" s="12" t="n">
        <v>81.036</v>
      </c>
      <c r="O55" s="11" t="n"/>
      <c r="P55" s="12" t="n"/>
      <c r="Q55" s="12" t="n">
        <v>109.822</v>
      </c>
      <c r="R55" s="12" t="n">
        <v>80.331</v>
      </c>
      <c r="S55" s="12" t="n">
        <v>75.809</v>
      </c>
      <c r="T55" s="12" t="n">
        <v>134.689</v>
      </c>
      <c r="U55" s="12" t="n">
        <v>170.117</v>
      </c>
      <c r="V55" s="12" t="n">
        <v>188.863</v>
      </c>
      <c r="W55" s="12" t="n">
        <v>529.449</v>
      </c>
      <c r="X55" s="12" t="n">
        <v>396.957</v>
      </c>
      <c r="Y55" s="11">
        <f>IF(OR(Y52=""),"",IFERROR(Y52-Y53,""))</f>
        <v/>
      </c>
      <c r="Z55" s="12">
        <f>IF(OR(Z52=""),"",IFERROR(Z52-Z53,""))</f>
        <v/>
      </c>
      <c r="AA55" s="12">
        <f>IF(OR(AA52=""),"",IFERROR(AA52-AA53,""))</f>
        <v/>
      </c>
      <c r="AB55" s="12">
        <f>IF(OR(AB52=""),"",IFERROR(AB52-AB53,""))</f>
        <v/>
      </c>
      <c r="AC55" s="12">
        <f>IF(OR(AC52=""),"",IFERROR(AC52-AC53,""))</f>
        <v/>
      </c>
    </row>
    <row r="56">
      <c r="A56" s="9" t="inlineStr">
        <is>
          <t>지배주주 순이익</t>
        </is>
      </c>
      <c r="B56" s="10" t="n"/>
      <c r="C56" s="11" t="n">
        <v>28.31</v>
      </c>
      <c r="D56" s="12" t="n">
        <v>-14.762</v>
      </c>
      <c r="E56" s="12" t="n">
        <v>37.43</v>
      </c>
      <c r="F56" s="12" t="n">
        <v>137.885</v>
      </c>
      <c r="G56" s="12" t="n">
        <v>191.798</v>
      </c>
      <c r="H56" s="12" t="n">
        <v>348.118</v>
      </c>
      <c r="I56" s="12" t="n">
        <v>32.863</v>
      </c>
      <c r="J56" s="12" t="n">
        <v>-78.46299999999999</v>
      </c>
      <c r="K56" s="12" t="n">
        <v>367.223</v>
      </c>
      <c r="L56" s="12" t="n">
        <v>-53.923</v>
      </c>
      <c r="M56" s="12" t="n">
        <v>15.091</v>
      </c>
      <c r="N56" s="12" t="n">
        <v>101.602</v>
      </c>
      <c r="O56" s="11" t="n"/>
      <c r="P56" s="12" t="n"/>
      <c r="Q56" s="12" t="n"/>
      <c r="R56" s="12" t="n"/>
      <c r="S56" s="12" t="n">
        <v>75.809</v>
      </c>
      <c r="T56" s="12" t="n">
        <v>134.689</v>
      </c>
      <c r="U56" s="12" t="n">
        <v>170.117</v>
      </c>
      <c r="V56" s="12" t="n">
        <v>188.863</v>
      </c>
      <c r="W56" s="12" t="n">
        <v>494.316</v>
      </c>
      <c r="X56" s="12" t="n">
        <v>429.993</v>
      </c>
      <c r="Y56" s="11">
        <f>IF(OR(Y55="",Y57=""),"",IFERROR(Y55*Y57,""))</f>
        <v/>
      </c>
      <c r="Z56" s="12">
        <f>IF(OR(Z55="",Z57=""),"",IFERROR(Z55*Z57,""))</f>
        <v/>
      </c>
      <c r="AA56" s="12">
        <f>IF(OR(AA55="",AA57=""),"",IFERROR(AA55*AA57,""))</f>
        <v/>
      </c>
      <c r="AB56" s="12">
        <f>IF(OR(AB55="",AB57=""),"",IFERROR(AB55*AB57,""))</f>
        <v/>
      </c>
      <c r="AC56" s="12">
        <f>IF(OR(AC55="",AC57=""),"",IFERROR(AC55*AC57,""))</f>
        <v/>
      </c>
    </row>
    <row r="57">
      <c r="A57" s="13" t="inlineStr">
        <is>
          <t>지배주주 순이익률</t>
        </is>
      </c>
      <c r="B57" s="10" t="inlineStr">
        <is>
          <t>MW 기본 100%</t>
        </is>
      </c>
      <c r="C57" s="14">
        <f>IF(OR(C56="",C55=""),"",IFERROR(C56/C55,""))</f>
        <v/>
      </c>
      <c r="D57" s="15">
        <f>IF(OR(D56="",D55=""),"",IFERROR(D56/D55,""))</f>
        <v/>
      </c>
      <c r="E57" s="15">
        <f>IF(OR(E56="",E55=""),"",IFERROR(E56/E55,""))</f>
        <v/>
      </c>
      <c r="F57" s="15">
        <f>IF(OR(F56="",F55=""),"",IFERROR(F56/F55,""))</f>
        <v/>
      </c>
      <c r="G57" s="15">
        <f>IF(OR(G56="",G55=""),"",IFERROR(G56/G55,""))</f>
        <v/>
      </c>
      <c r="H57" s="15">
        <f>IF(OR(H56="",H55=""),"",IFERROR(H56/H55,""))</f>
        <v/>
      </c>
      <c r="I57" s="15">
        <f>IF(OR(I56="",I55=""),"",IFERROR(I56/I55,""))</f>
        <v/>
      </c>
      <c r="J57" s="15">
        <f>IF(OR(J56="",J55=""),"",IFERROR(J56/J55,""))</f>
        <v/>
      </c>
      <c r="K57" s="15">
        <f>IF(OR(K56="",K55=""),"",IFERROR(K56/K55,""))</f>
        <v/>
      </c>
      <c r="L57" s="15">
        <f>IF(OR(L56="",L55=""),"",IFERROR(L56/L55,""))</f>
        <v/>
      </c>
      <c r="M57" s="15">
        <f>IF(OR(M56="",M55=""),"",IFERROR(M56/M55,""))</f>
        <v/>
      </c>
      <c r="N57" s="15">
        <f>IF(OR(N56="",N55=""),"",IFERROR(N56/N55,""))</f>
        <v/>
      </c>
      <c r="O57" s="14">
        <f>IF(OR(O56="",O55=""),"",IFERROR(O56/O55,""))</f>
        <v/>
      </c>
      <c r="P57" s="15">
        <f>IF(OR(P56="",P55=""),"",IFERROR(P56/P55,""))</f>
        <v/>
      </c>
      <c r="Q57" s="15">
        <f>IF(OR(Q56="",Q55=""),"",IFERROR(Q56/Q55,""))</f>
        <v/>
      </c>
      <c r="R57" s="15">
        <f>IF(OR(R56="",R55=""),"",IFERROR(R56/R55,""))</f>
        <v/>
      </c>
      <c r="S57" s="15">
        <f>IF(OR(S56="",S55=""),"",IFERROR(S56/S55,""))</f>
        <v/>
      </c>
      <c r="T57" s="15">
        <f>IF(OR(T56="",T55=""),"",IFERROR(T56/T55,""))</f>
        <v/>
      </c>
      <c r="U57" s="15">
        <f>IF(OR(U56="",U55=""),"",IFERROR(U56/U55,""))</f>
        <v/>
      </c>
      <c r="V57" s="15">
        <f>IF(OR(V56="",V55=""),"",IFERROR(V56/V55,""))</f>
        <v/>
      </c>
      <c r="W57" s="15">
        <f>IF(OR(W56="",W55=""),"",IFERROR(W56/W55,""))</f>
        <v/>
      </c>
      <c r="X57" s="15">
        <f>IF(OR(X56="",X55=""),"",IFERROR(X56/X55,""))</f>
        <v/>
      </c>
      <c r="Y57" s="25" t="n">
        <v>1</v>
      </c>
      <c r="Z57" s="26" t="n">
        <v>1</v>
      </c>
      <c r="AA57" s="26" t="n">
        <v>1</v>
      </c>
      <c r="AB57" s="26" t="n">
        <v>1</v>
      </c>
      <c r="AC57" s="26" t="n">
        <v>1</v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(2026.10.27)</t>
        </is>
      </c>
      <c r="B59" s="27" t="n">
        <v>451</v>
      </c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>
        <v>44676880</v>
      </c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IF(O29="","",O29)</f>
        <v/>
      </c>
      <c r="P62" s="15">
        <f>IF(P29="","",P29)</f>
        <v/>
      </c>
      <c r="Q62" s="15">
        <f>IF(Q29="","",Q29)</f>
        <v/>
      </c>
      <c r="R62" s="15">
        <f>IF(R29="","",R29)</f>
        <v/>
      </c>
      <c r="S62" s="15">
        <f>IF(S29="","",S29)</f>
        <v/>
      </c>
      <c r="T62" s="15">
        <f>IF(T29="","",T29)</f>
        <v/>
      </c>
      <c r="U62" s="15">
        <f>IF(U29="","",U29)</f>
        <v/>
      </c>
      <c r="V62" s="15">
        <f>IF(V29="","",V29)</f>
        <v/>
      </c>
      <c r="W62" s="15">
        <f>IF(W29="","",W29)</f>
        <v/>
      </c>
      <c r="X62" s="15">
        <f>IF(X29="","",X29)</f>
        <v/>
      </c>
      <c r="Y62" s="14">
        <f>IF(Y29="","",Y29)</f>
        <v/>
      </c>
      <c r="Z62" s="15">
        <f>IF(Z29="","",Z29)</f>
        <v/>
      </c>
      <c r="AA62" s="15">
        <f>IF(AA29="","",AA29)</f>
        <v/>
      </c>
      <c r="AB62" s="15">
        <f>IF(AB29="","",AB29)</f>
        <v/>
      </c>
      <c r="AC62" s="15">
        <f>IF(AC29="","",AC29)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IF(OR(P56="",O56=""),"",IFERROR(P56/O56-1,""))</f>
        <v/>
      </c>
      <c r="Q63" s="15">
        <f>IF(OR(Q56="",P56=""),"",IFERROR(Q56/P56-1,""))</f>
        <v/>
      </c>
      <c r="R63" s="15">
        <f>IF(OR(R56="",Q56=""),"",IFERROR(R56/Q56-1,""))</f>
        <v/>
      </c>
      <c r="S63" s="15">
        <f>IF(OR(S56="",R56=""),"",IFERROR(S56/R56-1,""))</f>
        <v/>
      </c>
      <c r="T63" s="15">
        <f>IF(OR(T56="",S56=""),"",IFERROR(T56/S56-1,""))</f>
        <v/>
      </c>
      <c r="U63" s="15">
        <f>IF(OR(U56="",T56=""),"",IFERROR(U56/T56-1,""))</f>
        <v/>
      </c>
      <c r="V63" s="15">
        <f>IF(OR(V56="",U56=""),"",IFERROR(V56/U56-1,""))</f>
        <v/>
      </c>
      <c r="W63" s="15">
        <f>IF(OR(W56="",V56=""),"",IFERROR(W56/V56-1,""))</f>
        <v/>
      </c>
      <c r="X63" s="15">
        <f>IF(OR(X56="",W56=""),"",IFERROR(X56/W56-1,""))</f>
        <v/>
      </c>
      <c r="Y63" s="14">
        <f>IF(OR(Y56="",X56=""),"",IFERROR(Y56/X56-1,""))</f>
        <v/>
      </c>
      <c r="Z63" s="15">
        <f>IF(OR(Z56="",Y56=""),"",IFERROR(Z56/Y56-1,""))</f>
        <v/>
      </c>
      <c r="AA63" s="15">
        <f>IF(OR(AA56="",Z56=""),"",IFERROR(AA56/Z56-1,""))</f>
        <v/>
      </c>
      <c r="AB63" s="15">
        <f>IF(OR(AB56="",AA56=""),"",IFERROR(AB56/AA56-1,""))</f>
        <v/>
      </c>
      <c r="AC63" s="15">
        <f>IF(OR(AC56="",AB56=""),"",IFERROR(AC56/AB56-1,""))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IF(OR($B$61="",X56=""),"",IFERROR($B$61/X56,""))</f>
        <v/>
      </c>
      <c r="Y64" s="30">
        <f>IF(OR($B$61="",Y56=""),"",IFERROR($B$61/Y56,""))</f>
        <v/>
      </c>
      <c r="Z64" s="31">
        <f>IF(OR($B$61="",Z56=""),"",IFERROR($B$61/Z56,""))</f>
        <v/>
      </c>
      <c r="AA64" s="31">
        <f>IF(OR($B$61="",AA56=""),"",IFERROR($B$61/AA56,""))</f>
        <v/>
      </c>
      <c r="AB64" s="31">
        <f>IF(OR($B$61="",AB56=""),"",IFERROR($B$61/AB56,""))</f>
        <v/>
      </c>
      <c r="AC64" s="31">
        <f>IF(OR($B$61="",AC56=""),"",IFERROR($B$61/AC56,""))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IF(OR(O56="",$B$60=""),"",IFERROR(O56*1000000.0/$B$60,""))</f>
        <v/>
      </c>
      <c r="P66" s="29">
        <f>IF(OR(P56="",$B$60=""),"",IFERROR(P56*1000000.0/$B$60,""))</f>
        <v/>
      </c>
      <c r="Q66" s="29">
        <f>IF(OR(Q56="",$B$60=""),"",IFERROR(Q56*1000000.0/$B$60,""))</f>
        <v/>
      </c>
      <c r="R66" s="29">
        <f>IF(OR(R56="",$B$60=""),"",IFERROR(R56*1000000.0/$B$60,""))</f>
        <v/>
      </c>
      <c r="S66" s="29">
        <f>IF(OR(S56="",$B$60=""),"",IFERROR(S56*1000000.0/$B$60,""))</f>
        <v/>
      </c>
      <c r="T66" s="29">
        <f>IF(OR(T56="",$B$60=""),"",IFERROR(T56*1000000.0/$B$60,""))</f>
        <v/>
      </c>
      <c r="U66" s="29">
        <f>IF(OR(U56="",$B$60=""),"",IFERROR(U56*1000000.0/$B$60,""))</f>
        <v/>
      </c>
      <c r="V66" s="29">
        <f>IF(OR(V56="",$B$60=""),"",IFERROR(V56*1000000.0/$B$60,""))</f>
        <v/>
      </c>
      <c r="W66" s="29">
        <f>IF(OR(W56="",$B$60=""),"",IFERROR(W56*1000000.0/$B$60,""))</f>
        <v/>
      </c>
      <c r="X66" s="29">
        <f>IF(OR(X56="",$B$60=""),"",IFERROR(X56*1000000.0/$B$60,""))</f>
        <v/>
      </c>
      <c r="Y66" s="28">
        <f>IF(OR(Y56="",$B$60=""),"",IFERROR(Y56*1000000.0/$B$60,""))</f>
        <v/>
      </c>
      <c r="Z66" s="29">
        <f>IF(OR(Z56="",$B$60=""),"",IFERROR(Z56*1000000.0/$B$60,""))</f>
        <v/>
      </c>
      <c r="AA66" s="29">
        <f>IF(OR(AA56="",$B$60=""),"",IFERROR(AA56*1000000.0/$B$60,""))</f>
        <v/>
      </c>
      <c r="AB66" s="29">
        <f>IF(OR(AB56="",$B$60=""),"",IFERROR(AB56*1000000.0/$B$60,""))</f>
        <v/>
      </c>
      <c r="AC66" s="29">
        <f>IF(OR(AC56="",$B$60=""),"",IFERROR(AC56*1000000.0/$B$60,""))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IF(OR(Y56="",Y65=""),"",IFERROR(Y56*Y65,""))</f>
        <v/>
      </c>
      <c r="Z78" s="20">
        <f>IF(OR(Z56="",Z65=""),"",IFERROR(Z56*Z65,""))</f>
        <v/>
      </c>
      <c r="AA78" s="20">
        <f>IF(OR(AA56="",AA65=""),"",IFERROR(AA56*AA65,""))</f>
        <v/>
      </c>
      <c r="AB78" s="20">
        <f>IF(OR(AB56="",AB65=""),"",IFERROR(AB56*AB65,""))</f>
        <v/>
      </c>
      <c r="AC78" s="20">
        <f>IF(OR(AC56="",AC65=""),"",IFERROR(AC56*AC65,""))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 2026.10.27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2024.1Q</t>
        </is>
      </c>
      <c r="D89" s="5" t="inlineStr">
        <is>
          <t>2024.2Q</t>
        </is>
      </c>
      <c r="E89" s="5" t="inlineStr">
        <is>
          <t>2024.3Q</t>
        </is>
      </c>
      <c r="F89" s="5" t="inlineStr">
        <is>
          <t>2024.4Q</t>
        </is>
      </c>
      <c r="G89" s="5" t="inlineStr">
        <is>
          <t>2025.1Q</t>
        </is>
      </c>
      <c r="H89" s="5" t="inlineStr">
        <is>
          <t>2025.2Q</t>
        </is>
      </c>
      <c r="I89" s="5" t="inlineStr">
        <is>
          <t>2025.3Q</t>
        </is>
      </c>
      <c r="J89" s="5" t="inlineStr">
        <is>
          <t>2025.4Q</t>
        </is>
      </c>
      <c r="K89" s="5" t="inlineStr">
        <is>
          <t>2026.1Q</t>
        </is>
      </c>
      <c r="L89" s="5" t="inlineStr">
        <is>
          <t>2026.2Q</t>
        </is>
      </c>
      <c r="M89" s="5" t="inlineStr">
        <is>
          <t>2026.3Q</t>
        </is>
      </c>
      <c r="N89" s="5" t="inlineStr">
        <is>
          <t>2026.4Q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3219.468</v>
      </c>
      <c r="D90" s="12" t="n">
        <v>3271.332</v>
      </c>
      <c r="E90" s="12" t="n">
        <v>3591.264</v>
      </c>
      <c r="F90" s="12" t="n">
        <v>4208.818</v>
      </c>
      <c r="G90" s="12" t="n">
        <v>4137.399</v>
      </c>
      <c r="H90" s="12" t="n">
        <v>4771.681</v>
      </c>
      <c r="I90" s="12" t="n">
        <v>4493.459</v>
      </c>
      <c r="J90" s="12" t="n">
        <v>4674.827</v>
      </c>
      <c r="K90" s="12" t="n">
        <v>5740.495</v>
      </c>
      <c r="L90" s="12" t="n">
        <v>4921.32</v>
      </c>
      <c r="M90" s="12" t="n">
        <v>5217.372</v>
      </c>
      <c r="N90" s="12" t="n">
        <v>5925.942</v>
      </c>
      <c r="T90" s="12" t="n">
        <v>2086.611</v>
      </c>
      <c r="U90" s="12" t="n">
        <v>2928.668</v>
      </c>
      <c r="V90" s="12" t="n">
        <v>4208.818</v>
      </c>
      <c r="W90" s="12" t="n">
        <v>4674.827</v>
      </c>
      <c r="X90" s="12" t="n">
        <v>5925.942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2333.412</v>
      </c>
      <c r="D92" s="20" t="n">
        <v>2391.649</v>
      </c>
      <c r="E92" s="20" t="n">
        <v>2582.433</v>
      </c>
      <c r="F92" s="20" t="n">
        <v>2861.771</v>
      </c>
      <c r="G92" s="20" t="n">
        <v>2931.278</v>
      </c>
      <c r="H92" s="20" t="n">
        <v>3192.694</v>
      </c>
      <c r="I92" s="20" t="n">
        <v>3172.706</v>
      </c>
      <c r="J92" s="20" t="n">
        <v>3269.167</v>
      </c>
      <c r="K92" s="20" t="n">
        <v>3444.819</v>
      </c>
      <c r="L92" s="20" t="n">
        <v>3380.726</v>
      </c>
      <c r="M92" s="20" t="n">
        <v>3459.364</v>
      </c>
      <c r="N92" s="20" t="n">
        <v>3899.109</v>
      </c>
      <c r="T92" s="20" t="n">
        <v>1514.83</v>
      </c>
      <c r="U92" s="20" t="n">
        <v>2148.71</v>
      </c>
      <c r="V92" s="20" t="n">
        <v>2861.771</v>
      </c>
      <c r="W92" s="20" t="n">
        <v>3269.167</v>
      </c>
      <c r="X92" s="20" t="n">
        <v>3899.109</v>
      </c>
    </row>
    <row r="93">
      <c r="A93" s="9" t="inlineStr">
        <is>
          <t>매출총이익</t>
        </is>
      </c>
      <c r="C93" s="12" t="n">
        <v>886.056</v>
      </c>
      <c r="D93" s="12" t="n">
        <v>879.682</v>
      </c>
      <c r="E93" s="12" t="n">
        <v>1008.831</v>
      </c>
      <c r="F93" s="12" t="n">
        <v>1347.047</v>
      </c>
      <c r="G93" s="12" t="n">
        <v>1206.12</v>
      </c>
      <c r="H93" s="12" t="n">
        <v>1578.987</v>
      </c>
      <c r="I93" s="12" t="n">
        <v>1320.753</v>
      </c>
      <c r="J93" s="12" t="n">
        <v>1405.661</v>
      </c>
      <c r="K93" s="12" t="n">
        <v>2295.675</v>
      </c>
      <c r="L93" s="12" t="n">
        <v>1540.595</v>
      </c>
      <c r="M93" s="12" t="n">
        <v>1758.008</v>
      </c>
      <c r="N93" s="12" t="n">
        <v>2026.832</v>
      </c>
      <c r="T93" s="12" t="n">
        <v>571.7809999999999</v>
      </c>
      <c r="U93" s="12" t="n">
        <v>779.9589999999999</v>
      </c>
      <c r="V93" s="12" t="n">
        <v>1347.047</v>
      </c>
      <c r="W93" s="12" t="n">
        <v>1405.661</v>
      </c>
      <c r="X93" s="12" t="n">
        <v>2026.832</v>
      </c>
    </row>
    <row r="94">
      <c r="A94" s="43" t="inlineStr">
        <is>
          <t>YoY</t>
        </is>
      </c>
      <c r="B94" s="3" t="inlineStr">
        <is>
          <t>전년 같은 분기·전년 대비</t>
        </is>
      </c>
      <c r="G94" s="15">
        <f>IF(OR(G93="",C93=""),"",IF(C93&lt;=0,"",IFERROR(G93/C93-1,"")))</f>
        <v/>
      </c>
      <c r="H94" s="15">
        <f>IF(OR(H93="",D93=""),"",IF(D93&lt;=0,"",IFERROR(H93/D93-1,"")))</f>
        <v/>
      </c>
      <c r="I94" s="15">
        <f>IF(OR(I93="",E93=""),"",IF(E93&lt;=0,"",IFERROR(I93/E93-1,"")))</f>
        <v/>
      </c>
      <c r="J94" s="15">
        <f>IF(OR(J93="",F93=""),"",IF(F93&lt;=0,"",IFERROR(J93/F93-1,"")))</f>
        <v/>
      </c>
      <c r="K94" s="15">
        <f>IF(OR(K93="",G93=""),"",IF(G93&lt;=0,"",IFERROR(K93/G93-1,"")))</f>
        <v/>
      </c>
      <c r="L94" s="15">
        <f>IF(OR(L93="",H93=""),"",IF(H93&lt;=0,"",IFERROR(L93/H93-1,"")))</f>
        <v/>
      </c>
      <c r="M94" s="15">
        <f>IF(OR(M93="",I93=""),"",IF(I93&lt;=0,"",IFERROR(M93/I93-1,"")))</f>
        <v/>
      </c>
      <c r="N94" s="15">
        <f>IF(OR(N93="",J93=""),"",IF(J93&lt;=0,"",IFERROR(N93/J93-1,"")))</f>
        <v/>
      </c>
      <c r="T94" s="15">
        <f>IF(OR(T93="",S93=""),"",IF(S93&lt;=0,"",IFERROR(T93/S93-1,"")))</f>
        <v/>
      </c>
      <c r="U94" s="15">
        <f>IF(OR(U93="",T93=""),"",IF(T93&lt;=0,"",IFERROR(U93/T93-1,"")))</f>
        <v/>
      </c>
      <c r="V94" s="15">
        <f>IF(OR(V93="",U93=""),"",IF(U93&lt;=0,"",IFERROR(V93/U93-1,"")))</f>
        <v/>
      </c>
      <c r="W94" s="15">
        <f>IF(OR(W93="",V93=""),"",IF(V93&lt;=0,"",IFERROR(W93/V93-1,"")))</f>
        <v/>
      </c>
      <c r="X94" s="15">
        <f>IF(OR(X93="",W93=""),"",IF(W93&lt;=0,"",IFERROR(X93/W93-1,"")))</f>
        <v/>
      </c>
    </row>
    <row r="95">
      <c r="A95" s="18" t="inlineStr">
        <is>
          <t>판매비와 관리비</t>
        </is>
      </c>
      <c r="C95" s="20" t="n">
        <v>826.746</v>
      </c>
      <c r="D95" s="20" t="n">
        <v>871.7670000000001</v>
      </c>
      <c r="E95" s="20" t="n">
        <v>927.893</v>
      </c>
      <c r="F95" s="20" t="n">
        <v>1020.337</v>
      </c>
      <c r="G95" s="20" t="n">
        <v>916.982</v>
      </c>
      <c r="H95" s="20" t="n">
        <v>1059.967</v>
      </c>
      <c r="I95" s="20" t="n">
        <v>1239.606</v>
      </c>
      <c r="J95" s="20" t="n">
        <v>1474.967</v>
      </c>
      <c r="K95" s="20" t="n">
        <v>1665.923</v>
      </c>
      <c r="L95" s="20" t="n">
        <v>1645.757</v>
      </c>
      <c r="M95" s="20" t="n">
        <v>1680.187</v>
      </c>
      <c r="N95" s="20" t="n">
        <v>1818.883</v>
      </c>
      <c r="T95" s="20" t="n">
        <v>550.686</v>
      </c>
      <c r="U95" s="20" t="n">
        <v>750.338</v>
      </c>
      <c r="V95" s="20" t="n">
        <v>1020.337</v>
      </c>
      <c r="W95" s="20" t="n">
        <v>1474.967</v>
      </c>
      <c r="X95" s="20" t="n">
        <v>1818.883</v>
      </c>
    </row>
    <row r="96">
      <c r="A96" s="9" t="inlineStr">
        <is>
          <t>영업이익</t>
        </is>
      </c>
      <c r="C96" s="12" t="n">
        <v>59.309</v>
      </c>
      <c r="D96" s="12" t="n">
        <v>7.916</v>
      </c>
      <c r="E96" s="12" t="n">
        <v>80.938</v>
      </c>
      <c r="F96" s="12" t="n">
        <v>326.71</v>
      </c>
      <c r="G96" s="12" t="n">
        <v>289.138</v>
      </c>
      <c r="H96" s="12" t="n">
        <v>519.02</v>
      </c>
      <c r="I96" s="12" t="n">
        <v>81.14700000000001</v>
      </c>
      <c r="J96" s="12" t="n">
        <v>-69.306</v>
      </c>
      <c r="K96" s="12" t="n">
        <v>629.751</v>
      </c>
      <c r="L96" s="12" t="n">
        <v>-105.162</v>
      </c>
      <c r="M96" s="12" t="n">
        <v>77.821</v>
      </c>
      <c r="N96" s="12" t="n">
        <v>207.95</v>
      </c>
      <c r="T96" s="12" t="n">
        <v>21.094</v>
      </c>
      <c r="U96" s="12" t="n">
        <v>29.62</v>
      </c>
      <c r="V96" s="12" t="n">
        <v>326.71</v>
      </c>
      <c r="W96" s="12" t="n">
        <v>-69.306</v>
      </c>
      <c r="X96" s="12" t="n">
        <v>207.95</v>
      </c>
    </row>
    <row r="97">
      <c r="A97" s="43" t="inlineStr">
        <is>
          <t>OPM</t>
        </is>
      </c>
      <c r="B97" s="3" t="inlineStr">
        <is>
          <t>영업이익 ÷ 매출</t>
        </is>
      </c>
      <c r="C97" s="15">
        <f>IF(OR(C96="",C90=""),"",IF(C90&lt;=0,"",IFERROR(C96/C90,"")))</f>
        <v/>
      </c>
      <c r="D97" s="15">
        <f>IF(OR(D96="",D90=""),"",IF(D90&lt;=0,"",IFERROR(D96/D90,"")))</f>
        <v/>
      </c>
      <c r="E97" s="15">
        <f>IF(OR(E96="",E90=""),"",IF(E90&lt;=0,"",IFERROR(E96/E90,"")))</f>
        <v/>
      </c>
      <c r="F97" s="15">
        <f>IF(OR(F96="",F90=""),"",IF(F90&lt;=0,"",IFERROR(F96/F90,"")))</f>
        <v/>
      </c>
      <c r="G97" s="15">
        <f>IF(OR(G96="",G90=""),"",IF(G90&lt;=0,"",IFERROR(G96/G90,"")))</f>
        <v/>
      </c>
      <c r="H97" s="15">
        <f>IF(OR(H96="",H90=""),"",IF(H90&lt;=0,"",IFERROR(H96/H90,"")))</f>
        <v/>
      </c>
      <c r="I97" s="15">
        <f>IF(OR(I96="",I90=""),"",IF(I90&lt;=0,"",IFERROR(I96/I90,"")))</f>
        <v/>
      </c>
      <c r="J97" s="15">
        <f>IF(OR(J96="",J90=""),"",IF(J90&lt;=0,"",IFERROR(J96/J90,"")))</f>
        <v/>
      </c>
      <c r="K97" s="15">
        <f>IF(OR(K96="",K90=""),"",IF(K90&lt;=0,"",IFERROR(K96/K90,"")))</f>
        <v/>
      </c>
      <c r="L97" s="15">
        <f>IF(OR(L96="",L90=""),"",IF(L90&lt;=0,"",IFERROR(L96/L90,"")))</f>
        <v/>
      </c>
      <c r="M97" s="15">
        <f>IF(OR(M96="",M90=""),"",IF(M90&lt;=0,"",IFERROR(M96/M90,"")))</f>
        <v/>
      </c>
      <c r="N97" s="15">
        <f>IF(OR(N96="",N90=""),"",IF(N90&lt;=0,"",IFERROR(N96/N90,"")))</f>
        <v/>
      </c>
      <c r="T97" s="15">
        <f>IF(OR(T96="",T90=""),"",IF(T90&lt;=0,"",IFERROR(T96/T90,"")))</f>
        <v/>
      </c>
      <c r="U97" s="15">
        <f>IF(OR(U96="",U90=""),"",IF(U90&lt;=0,"",IFERROR(U96/U90,"")))</f>
        <v/>
      </c>
      <c r="V97" s="15">
        <f>IF(OR(V96="",V90=""),"",IF(V90&lt;=0,"",IFERROR(V96/V90,"")))</f>
        <v/>
      </c>
      <c r="W97" s="15">
        <f>IF(OR(W96="",W90=""),"",IF(W90&lt;=0,"",IFERROR(W96/W90,"")))</f>
        <v/>
      </c>
      <c r="X97" s="15">
        <f>IF(OR(X96="",X90=""),"",IF(X90&lt;=0,"",IFERROR(X96/X90,"")))</f>
        <v/>
      </c>
    </row>
    <row r="98">
      <c r="A98" s="43" t="inlineStr">
        <is>
          <t>YoY</t>
        </is>
      </c>
      <c r="B98" s="3" t="inlineStr">
        <is>
          <t>전년 같은 분기·전년 대비</t>
        </is>
      </c>
      <c r="G98" s="15">
        <f>IF(OR(G96="",C96=""),"",IF(C96&lt;=0,"",IFERROR(G96/C96-1,"")))</f>
        <v/>
      </c>
      <c r="H98" s="15">
        <f>IF(OR(H96="",D96=""),"",IF(D96&lt;=0,"",IFERROR(H96/D96-1,"")))</f>
        <v/>
      </c>
      <c r="I98" s="15">
        <f>IF(OR(I96="",E96=""),"",IF(E96&lt;=0,"",IFERROR(I96/E96-1,"")))</f>
        <v/>
      </c>
      <c r="J98" s="15">
        <f>IF(OR(J96="",F96=""),"",IF(F96&lt;=0,"",IFERROR(J96/F96-1,"")))</f>
        <v/>
      </c>
      <c r="K98" s="15">
        <f>IF(OR(K96="",G96=""),"",IF(G96&lt;=0,"",IFERROR(K96/G96-1,"")))</f>
        <v/>
      </c>
      <c r="L98" s="15">
        <f>IF(OR(L96="",H96=""),"",IF(H96&lt;=0,"",IFERROR(L96/H96-1,"")))</f>
        <v/>
      </c>
      <c r="M98" s="15">
        <f>IF(OR(M96="",I96=""),"",IF(I96&lt;=0,"",IFERROR(M96/I96-1,"")))</f>
        <v/>
      </c>
      <c r="N98" s="15">
        <f>IF(OR(N96="",J96=""),"",IF(J96&lt;=0,"",IFERROR(N96/J96-1,"")))</f>
        <v/>
      </c>
      <c r="T98" s="15">
        <f>IF(OR(T96="",S96=""),"",IF(S96&lt;=0,"",IFERROR(T96/S96-1,"")))</f>
        <v/>
      </c>
      <c r="U98" s="15">
        <f>IF(OR(U96="",T96=""),"",IF(T96&lt;=0,"",IFERROR(U96/T96-1,"")))</f>
        <v/>
      </c>
      <c r="V98" s="15">
        <f>IF(OR(V96="",U96=""),"",IF(U96&lt;=0,"",IFERROR(V96/U96-1,"")))</f>
        <v/>
      </c>
      <c r="W98" s="15">
        <f>IF(OR(W96="",V96=""),"",IF(V96&lt;=0,"",IFERROR(W96/V96-1,"")))</f>
        <v/>
      </c>
      <c r="X98" s="15">
        <f>IF(OR(X96="",W96=""),"",IF(W96&lt;=0,"",IFERROR(X96/W96-1,"")))</f>
        <v/>
      </c>
    </row>
    <row r="99">
      <c r="A99" s="18" t="inlineStr">
        <is>
          <t>이자수익</t>
        </is>
      </c>
      <c r="E99" s="20" t="n">
        <v>0.144</v>
      </c>
      <c r="F99" s="20" t="n">
        <v>0.374</v>
      </c>
      <c r="I99" s="20" t="n">
        <v>0.23</v>
      </c>
      <c r="J99" s="20" t="n">
        <v>4.004</v>
      </c>
      <c r="M99" s="20" t="n">
        <v>0.967</v>
      </c>
      <c r="N99" s="20" t="n">
        <v>8.102</v>
      </c>
      <c r="V99" s="20" t="n">
        <v>0.374</v>
      </c>
      <c r="W99" s="20" t="n">
        <v>4.004</v>
      </c>
      <c r="X99" s="20" t="n">
        <v>8.102</v>
      </c>
    </row>
    <row r="100">
      <c r="A100" s="18" t="inlineStr">
        <is>
          <t>임대료 수익</t>
        </is>
      </c>
      <c r="F100" s="20" t="n">
        <v>1.111</v>
      </c>
      <c r="J100" s="20" t="n">
        <v>0</v>
      </c>
      <c r="U100" s="20" t="n">
        <v>0.141</v>
      </c>
      <c r="V100" s="20" t="n">
        <v>1.111</v>
      </c>
      <c r="W100" s="20" t="n">
        <v>0</v>
      </c>
    </row>
    <row r="101">
      <c r="A101" s="18" t="inlineStr">
        <is>
          <t>보조금 수입</t>
        </is>
      </c>
      <c r="C101" s="20" t="n">
        <v>1.71</v>
      </c>
      <c r="D101" s="20" t="n">
        <v>0</v>
      </c>
      <c r="E101" s="20" t="n">
        <v>1.581</v>
      </c>
      <c r="F101" s="20" t="n">
        <v>1.14</v>
      </c>
      <c r="G101" s="20" t="n">
        <v>3.42</v>
      </c>
      <c r="H101" s="20" t="n">
        <v>3.561</v>
      </c>
      <c r="I101" s="20" t="n">
        <v>3.251</v>
      </c>
      <c r="J101" s="20" t="n">
        <v>2.215</v>
      </c>
      <c r="K101" s="20" t="n">
        <v>6.507</v>
      </c>
      <c r="L101" s="20" t="n">
        <v>76.783</v>
      </c>
      <c r="M101" s="20" t="n">
        <v>0.8</v>
      </c>
      <c r="N101" s="20" t="n">
        <v>0</v>
      </c>
      <c r="T101" s="20" t="n">
        <v>0.437</v>
      </c>
      <c r="U101" s="20" t="n">
        <v>0</v>
      </c>
      <c r="V101" s="20" t="n">
        <v>1.14</v>
      </c>
      <c r="W101" s="20" t="n">
        <v>2.215</v>
      </c>
      <c r="X101" s="20" t="n">
        <v>0</v>
      </c>
    </row>
    <row r="102">
      <c r="A102" s="18" t="inlineStr">
        <is>
          <t>수수료 수익</t>
        </is>
      </c>
      <c r="C102" s="20" t="n">
        <v>1.037</v>
      </c>
      <c r="D102" s="20" t="n">
        <v>0.003</v>
      </c>
      <c r="E102" s="20" t="n">
        <v>1.137</v>
      </c>
      <c r="F102" s="20" t="n">
        <v>0.114</v>
      </c>
      <c r="G102" s="20" t="n">
        <v>0.749</v>
      </c>
      <c r="H102" s="20" t="n">
        <v>0.003</v>
      </c>
      <c r="I102" s="20" t="n">
        <v>0.249</v>
      </c>
      <c r="K102" s="20" t="n">
        <v>1.053</v>
      </c>
      <c r="L102" s="20" t="n">
        <v>-1.042</v>
      </c>
      <c r="M102" s="20" t="n">
        <v>0.013</v>
      </c>
      <c r="T102" s="20" t="n">
        <v>0</v>
      </c>
      <c r="U102" s="20" t="n">
        <v>0.263</v>
      </c>
      <c r="V102" s="20" t="n">
        <v>0.114</v>
      </c>
    </row>
    <row r="103">
      <c r="A103" s="18" t="inlineStr">
        <is>
          <t>임차보증금 상각 환입이익</t>
        </is>
      </c>
      <c r="T103" s="20" t="n">
        <v>0</v>
      </c>
      <c r="U103" s="20" t="n">
        <v>0</v>
      </c>
    </row>
    <row r="104">
      <c r="A104" s="18" t="inlineStr">
        <is>
          <t>보험 해약환급금</t>
        </is>
      </c>
      <c r="F104" s="20" t="n">
        <v>0</v>
      </c>
      <c r="J104" s="20" t="n">
        <v>0</v>
      </c>
      <c r="U104" s="20" t="n">
        <v>0.016</v>
      </c>
      <c r="V104" s="20" t="n">
        <v>0</v>
      </c>
      <c r="W104" s="20" t="n">
        <v>0</v>
      </c>
    </row>
    <row r="105">
      <c r="A105" s="18" t="inlineStr">
        <is>
          <t>보상금 수취</t>
        </is>
      </c>
      <c r="E105" s="20" t="n">
        <v>0</v>
      </c>
      <c r="F105" s="20" t="n">
        <v>0</v>
      </c>
      <c r="G105" s="20" t="n">
        <v>0</v>
      </c>
      <c r="H105" s="20" t="n">
        <v>2.83</v>
      </c>
      <c r="I105" s="20" t="n">
        <v>2.677</v>
      </c>
      <c r="J105" s="20" t="n">
        <v>1.537</v>
      </c>
      <c r="K105" s="20" t="n">
        <v>1.753</v>
      </c>
      <c r="L105" s="20" t="n">
        <v>4.453</v>
      </c>
      <c r="M105" s="20" t="n">
        <v>0.022</v>
      </c>
      <c r="N105" s="20" t="n">
        <v>5.872</v>
      </c>
      <c r="V105" s="20" t="n">
        <v>0</v>
      </c>
      <c r="W105" s="20" t="n">
        <v>1.537</v>
      </c>
      <c r="X105" s="20" t="n">
        <v>5.872</v>
      </c>
    </row>
    <row r="106">
      <c r="A106" s="18" t="inlineStr">
        <is>
          <t>기타</t>
        </is>
      </c>
      <c r="C106" s="20" t="n">
        <v>1.187</v>
      </c>
      <c r="D106" s="20" t="n">
        <v>0.972</v>
      </c>
      <c r="E106" s="20" t="n">
        <v>-0.17</v>
      </c>
      <c r="F106" s="20" t="n">
        <v>1.83</v>
      </c>
      <c r="G106" s="20" t="n">
        <v>0.768</v>
      </c>
      <c r="H106" s="20" t="n">
        <v>0.741</v>
      </c>
      <c r="I106" s="20" t="n">
        <v>0.857</v>
      </c>
      <c r="J106" s="20" t="n">
        <v>2.007</v>
      </c>
      <c r="K106" s="20" t="n">
        <v>0.779</v>
      </c>
      <c r="L106" s="20" t="n">
        <v>3.426</v>
      </c>
      <c r="M106" s="20" t="n">
        <v>1.705</v>
      </c>
      <c r="N106" s="20" t="n">
        <v>1.649</v>
      </c>
      <c r="T106" s="20" t="n">
        <v>0.676</v>
      </c>
      <c r="U106" s="20" t="n">
        <v>-0.407</v>
      </c>
      <c r="V106" s="20" t="n">
        <v>1.83</v>
      </c>
      <c r="W106" s="20" t="n">
        <v>2.007</v>
      </c>
      <c r="X106" s="20" t="n">
        <v>1.649</v>
      </c>
    </row>
    <row r="107">
      <c r="A107" s="18" t="inlineStr">
        <is>
          <t>영업외수익 합계</t>
        </is>
      </c>
      <c r="C107" s="20" t="n">
        <v>3.935</v>
      </c>
      <c r="D107" s="20" t="n">
        <v>1.22</v>
      </c>
      <c r="E107" s="20" t="n">
        <v>9.715999999999999</v>
      </c>
      <c r="F107" s="20" t="n">
        <v>2.277</v>
      </c>
      <c r="G107" s="20" t="n">
        <v>4.938</v>
      </c>
      <c r="H107" s="20" t="n">
        <v>9.081</v>
      </c>
      <c r="I107" s="20" t="n">
        <v>7.264</v>
      </c>
      <c r="J107" s="20" t="n">
        <v>8.762</v>
      </c>
      <c r="K107" s="20" t="n">
        <v>10.093</v>
      </c>
      <c r="L107" s="20" t="n">
        <v>89.468</v>
      </c>
      <c r="M107" s="20" t="n">
        <v>3.598</v>
      </c>
      <c r="N107" s="20" t="n">
        <v>15.507</v>
      </c>
      <c r="T107" s="20" t="n">
        <v>1.112</v>
      </c>
      <c r="U107" s="20" t="n">
        <v>0.013</v>
      </c>
      <c r="V107" s="20" t="n">
        <v>2.277</v>
      </c>
      <c r="W107" s="20" t="n">
        <v>8.762</v>
      </c>
      <c r="X107" s="20" t="n">
        <v>15.507</v>
      </c>
    </row>
    <row r="108">
      <c r="A108" s="18" t="inlineStr">
        <is>
          <t>이자비용</t>
        </is>
      </c>
      <c r="C108" s="20" t="n">
        <v>3.134</v>
      </c>
      <c r="D108" s="20" t="n">
        <v>2.948</v>
      </c>
      <c r="E108" s="20" t="n">
        <v>4.139</v>
      </c>
      <c r="F108" s="20" t="n">
        <v>4.028</v>
      </c>
      <c r="G108" s="20" t="n">
        <v>5.179</v>
      </c>
      <c r="H108" s="20" t="n">
        <v>6.193</v>
      </c>
      <c r="I108" s="20" t="n">
        <v>6.862</v>
      </c>
      <c r="J108" s="20" t="n">
        <v>8.798999999999999</v>
      </c>
      <c r="K108" s="20" t="n">
        <v>9.77</v>
      </c>
      <c r="L108" s="20" t="n">
        <v>11.783</v>
      </c>
      <c r="M108" s="20" t="n">
        <v>13.908</v>
      </c>
      <c r="N108" s="20" t="n">
        <v>15.413</v>
      </c>
      <c r="T108" s="20" t="n">
        <v>1.302</v>
      </c>
      <c r="U108" s="20" t="n">
        <v>2.463</v>
      </c>
      <c r="V108" s="20" t="n">
        <v>4.028</v>
      </c>
      <c r="W108" s="20" t="n">
        <v>8.798999999999999</v>
      </c>
      <c r="X108" s="20" t="n">
        <v>15.413</v>
      </c>
    </row>
    <row r="109">
      <c r="A109" s="18" t="inlineStr">
        <is>
          <t>주식교부비 상각</t>
        </is>
      </c>
      <c r="C109" s="20" t="n">
        <v>0</v>
      </c>
      <c r="D109" s="20" t="n">
        <v>0</v>
      </c>
      <c r="E109" s="20" t="n">
        <v>1</v>
      </c>
      <c r="F109" s="20" t="n">
        <v>17.014</v>
      </c>
      <c r="T109" s="20" t="n">
        <v>0.633</v>
      </c>
      <c r="U109" s="20" t="n">
        <v>0.211</v>
      </c>
      <c r="V109" s="20" t="n">
        <v>17.014</v>
      </c>
    </row>
    <row r="110">
      <c r="A110" s="18" t="inlineStr">
        <is>
          <t>지급수수료</t>
        </is>
      </c>
      <c r="C110" s="20" t="n">
        <v>0</v>
      </c>
      <c r="D110" s="20" t="n">
        <v>0</v>
      </c>
      <c r="E110" s="20" t="n">
        <v>0</v>
      </c>
      <c r="F110" s="20" t="n">
        <v>0</v>
      </c>
      <c r="G110" s="20" t="n">
        <v>6.25</v>
      </c>
      <c r="H110" s="20" t="n">
        <v>0</v>
      </c>
      <c r="I110" s="20" t="n">
        <v>4.632</v>
      </c>
      <c r="J110" s="20" t="n">
        <v>0</v>
      </c>
      <c r="K110" s="20" t="n">
        <v>2.472</v>
      </c>
      <c r="L110" s="20" t="n">
        <v>-2.472</v>
      </c>
      <c r="M110" s="20" t="n">
        <v>0</v>
      </c>
      <c r="N110" s="20" t="n">
        <v>0.113</v>
      </c>
      <c r="V110" s="20" t="n">
        <v>0</v>
      </c>
      <c r="W110" s="20" t="n">
        <v>0</v>
      </c>
      <c r="X110" s="20" t="n">
        <v>0.113</v>
      </c>
    </row>
    <row r="111">
      <c r="A111" s="18" t="inlineStr">
        <is>
          <t>기타</t>
        </is>
      </c>
      <c r="C111" s="20" t="n">
        <v>0.236</v>
      </c>
      <c r="D111" s="20" t="n">
        <v>0.36</v>
      </c>
      <c r="E111" s="20" t="n">
        <v>5.171</v>
      </c>
      <c r="F111" s="20" t="n">
        <v>-0.036</v>
      </c>
      <c r="G111" s="20" t="n">
        <v>0.216</v>
      </c>
      <c r="H111" s="20" t="n">
        <v>1.369</v>
      </c>
      <c r="I111" s="20" t="n">
        <v>2.623</v>
      </c>
      <c r="J111" s="20" t="n">
        <v>0.671</v>
      </c>
      <c r="K111" s="20" t="n">
        <v>2.376</v>
      </c>
      <c r="L111" s="20" t="n">
        <v>5.12</v>
      </c>
      <c r="M111" s="20" t="n">
        <v>9.148</v>
      </c>
      <c r="N111" s="20" t="n">
        <v>14.097</v>
      </c>
      <c r="T111" s="20" t="n">
        <v>0.765</v>
      </c>
      <c r="U111" s="20" t="n">
        <v>0.6850000000000001</v>
      </c>
      <c r="V111" s="20" t="n">
        <v>-0.036</v>
      </c>
      <c r="W111" s="20" t="n">
        <v>0.671</v>
      </c>
      <c r="X111" s="20" t="n">
        <v>14.097</v>
      </c>
    </row>
    <row r="112">
      <c r="A112" s="18" t="inlineStr">
        <is>
          <t>영업외비용 합계</t>
        </is>
      </c>
      <c r="C112" s="20" t="n">
        <v>3.37</v>
      </c>
      <c r="D112" s="20" t="n">
        <v>3.309</v>
      </c>
      <c r="E112" s="20" t="n">
        <v>9.308999999999999</v>
      </c>
      <c r="F112" s="20" t="n">
        <v>30.417</v>
      </c>
      <c r="G112" s="20" t="n">
        <v>11.646</v>
      </c>
      <c r="H112" s="20" t="n">
        <v>7.561</v>
      </c>
      <c r="I112" s="20" t="n">
        <v>14.118</v>
      </c>
      <c r="J112" s="20" t="n">
        <v>9.468999999999999</v>
      </c>
      <c r="K112" s="20" t="n">
        <v>14.618</v>
      </c>
      <c r="L112" s="20" t="n">
        <v>14.432</v>
      </c>
      <c r="M112" s="20" t="n">
        <v>23.055</v>
      </c>
      <c r="N112" s="20" t="n">
        <v>29.625</v>
      </c>
      <c r="T112" s="20" t="n">
        <v>2.7</v>
      </c>
      <c r="U112" s="20" t="n">
        <v>3.359</v>
      </c>
      <c r="V112" s="20" t="n">
        <v>30.417</v>
      </c>
      <c r="W112" s="20" t="n">
        <v>9.468999999999999</v>
      </c>
      <c r="X112" s="20" t="n">
        <v>29.625</v>
      </c>
    </row>
    <row r="113">
      <c r="A113" s="9" t="inlineStr">
        <is>
          <t>경상이익</t>
        </is>
      </c>
      <c r="C113" s="12" t="n">
        <v>59.873</v>
      </c>
      <c r="D113" s="12" t="n">
        <v>5.828</v>
      </c>
      <c r="E113" s="12" t="n">
        <v>81.34399999999999</v>
      </c>
      <c r="F113" s="12" t="n">
        <v>298.571</v>
      </c>
      <c r="G113" s="12" t="n">
        <v>282.43</v>
      </c>
      <c r="H113" s="12" t="n">
        <v>520.5410000000001</v>
      </c>
      <c r="I113" s="12" t="n">
        <v>74.292</v>
      </c>
      <c r="J113" s="12" t="n">
        <v>-70.01300000000001</v>
      </c>
      <c r="K113" s="12" t="n">
        <v>625.226</v>
      </c>
      <c r="L113" s="12" t="n">
        <v>-30.126</v>
      </c>
      <c r="M113" s="12" t="n">
        <v>58.364</v>
      </c>
      <c r="N113" s="12" t="n">
        <v>193.832</v>
      </c>
      <c r="T113" s="12" t="n">
        <v>19.507</v>
      </c>
      <c r="U113" s="12" t="n">
        <v>26.275</v>
      </c>
      <c r="V113" s="12" t="n">
        <v>298.571</v>
      </c>
      <c r="W113" s="12" t="n">
        <v>-70.01300000000001</v>
      </c>
      <c r="X113" s="12" t="n">
        <v>193.832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IF(OR(G113="",C113=""),"",IF(C113&lt;=0,"",IFERROR(G113/C113-1,"")))</f>
        <v/>
      </c>
      <c r="H114" s="15">
        <f>IF(OR(H113="",D113=""),"",IF(D113&lt;=0,"",IFERROR(H113/D113-1,"")))</f>
        <v/>
      </c>
      <c r="I114" s="15">
        <f>IF(OR(I113="",E113=""),"",IF(E113&lt;=0,"",IFERROR(I113/E113-1,"")))</f>
        <v/>
      </c>
      <c r="J114" s="15">
        <f>IF(OR(J113="",F113=""),"",IF(F113&lt;=0,"",IFERROR(J113/F113-1,"")))</f>
        <v/>
      </c>
      <c r="K114" s="15">
        <f>IF(OR(K113="",G113=""),"",IF(G113&lt;=0,"",IFERROR(K113/G113-1,"")))</f>
        <v/>
      </c>
      <c r="L114" s="15">
        <f>IF(OR(L113="",H113=""),"",IF(H113&lt;=0,"",IFERROR(L113/H113-1,"")))</f>
        <v/>
      </c>
      <c r="M114" s="15">
        <f>IF(OR(M113="",I113=""),"",IF(I113&lt;=0,"",IFERROR(M113/I113-1,"")))</f>
        <v/>
      </c>
      <c r="N114" s="15">
        <f>IF(OR(N113="",J113=""),"",IF(J113&lt;=0,"",IFERROR(N113/J113-1,"")))</f>
        <v/>
      </c>
      <c r="T114" s="15">
        <f>IF(OR(T113="",S113=""),"",IF(S113&lt;=0,"",IFERROR(T113/S113-1,"")))</f>
        <v/>
      </c>
      <c r="U114" s="15">
        <f>IF(OR(U113="",T113=""),"",IF(T113&lt;=0,"",IFERROR(U113/T113-1,"")))</f>
        <v/>
      </c>
      <c r="V114" s="15">
        <f>IF(OR(V113="",U113=""),"",IF(U113&lt;=0,"",IFERROR(V113/U113-1,"")))</f>
        <v/>
      </c>
      <c r="W114" s="15">
        <f>IF(OR(W113="",V113=""),"",IF(V113&lt;=0,"",IFERROR(W113/V113-1,"")))</f>
        <v/>
      </c>
      <c r="X114" s="15">
        <f>IF(OR(X113="",W113=""),"",IF(W113&lt;=0,"",IFERROR(X113/W113-1,"")))</f>
        <v/>
      </c>
    </row>
    <row r="115">
      <c r="A115" s="18" t="inlineStr">
        <is>
          <t>사업 양도 이익</t>
        </is>
      </c>
      <c r="E115" s="20" t="n">
        <v>0</v>
      </c>
      <c r="F115" s="20" t="n">
        <v>0</v>
      </c>
      <c r="I115" s="20" t="n">
        <v>0</v>
      </c>
      <c r="J115" s="20" t="n">
        <v>0</v>
      </c>
      <c r="M115" s="20" t="n">
        <v>0</v>
      </c>
      <c r="N115" s="20" t="n">
        <v>0</v>
      </c>
      <c r="V115" s="20" t="n">
        <v>0</v>
      </c>
      <c r="W115" s="20" t="n">
        <v>0</v>
      </c>
      <c r="X115" s="20" t="n">
        <v>0</v>
      </c>
    </row>
    <row r="116">
      <c r="A116" s="18" t="inlineStr">
        <is>
          <t>투자유가증권 매각이익</t>
        </is>
      </c>
      <c r="G116" s="20" t="n">
        <v>0</v>
      </c>
      <c r="H116" s="20" t="n">
        <v>0</v>
      </c>
      <c r="I116" s="20" t="n">
        <v>0</v>
      </c>
      <c r="J116" s="20" t="n">
        <v>0</v>
      </c>
      <c r="K116" s="20" t="n">
        <v>1.149</v>
      </c>
      <c r="L116" s="20" t="n">
        <v>0</v>
      </c>
      <c r="M116" s="20" t="n">
        <v>0</v>
      </c>
      <c r="N116" s="20" t="n">
        <v>0</v>
      </c>
      <c r="T116" s="20" t="n">
        <v>0</v>
      </c>
      <c r="U116" s="20" t="n">
        <v>0</v>
      </c>
      <c r="W116" s="20" t="n">
        <v>0</v>
      </c>
      <c r="X116" s="20" t="n">
        <v>0</v>
      </c>
    </row>
    <row r="117">
      <c r="A117" s="18" t="inlineStr">
        <is>
          <t>특별이익 합계</t>
        </is>
      </c>
      <c r="E117" s="20" t="n">
        <v>0</v>
      </c>
      <c r="F117" s="20" t="n">
        <v>0</v>
      </c>
      <c r="G117" s="20" t="n">
        <v>0</v>
      </c>
      <c r="H117" s="20" t="n">
        <v>10.9</v>
      </c>
      <c r="I117" s="20" t="n">
        <v>0</v>
      </c>
      <c r="J117" s="20" t="n">
        <v>0</v>
      </c>
      <c r="K117" s="20" t="n">
        <v>1.149</v>
      </c>
      <c r="L117" s="20" t="n">
        <v>0</v>
      </c>
      <c r="M117" s="20" t="n">
        <v>0</v>
      </c>
      <c r="N117" s="20" t="n">
        <v>0</v>
      </c>
      <c r="T117" s="20" t="n">
        <v>2.9</v>
      </c>
      <c r="U117" s="20" t="n">
        <v>0</v>
      </c>
      <c r="V117" s="20" t="n">
        <v>0</v>
      </c>
      <c r="W117" s="20" t="n">
        <v>0</v>
      </c>
      <c r="X117" s="20" t="n">
        <v>0</v>
      </c>
    </row>
    <row r="118">
      <c r="A118" s="18" t="inlineStr">
        <is>
          <t>고정자산 매각손실</t>
        </is>
      </c>
      <c r="J118" s="20" t="n">
        <v>0</v>
      </c>
      <c r="N118" s="20" t="n">
        <v>0</v>
      </c>
      <c r="W118" s="20" t="n">
        <v>0</v>
      </c>
      <c r="X118" s="20" t="n">
        <v>0</v>
      </c>
    </row>
    <row r="119">
      <c r="A119" s="18" t="inlineStr">
        <is>
          <t>고정자산 제각손실</t>
        </is>
      </c>
      <c r="E119" s="20" t="n">
        <v>0</v>
      </c>
      <c r="F119" s="20" t="n">
        <v>0</v>
      </c>
      <c r="J119" s="20" t="n">
        <v>0</v>
      </c>
      <c r="N119" s="20" t="n">
        <v>-6.277</v>
      </c>
      <c r="T119" s="20" t="n">
        <v>0</v>
      </c>
      <c r="U119" s="20" t="n">
        <v>0</v>
      </c>
      <c r="V119" s="20" t="n">
        <v>0</v>
      </c>
      <c r="W119" s="20" t="n">
        <v>0</v>
      </c>
      <c r="X119" s="20" t="n">
        <v>-6.277</v>
      </c>
    </row>
    <row r="120">
      <c r="A120" s="18" t="inlineStr">
        <is>
          <t>특별손실 합계</t>
        </is>
      </c>
      <c r="E120" s="20" t="n">
        <v>0</v>
      </c>
      <c r="F120" s="20" t="n">
        <v>17.782</v>
      </c>
      <c r="J120" s="20" t="n">
        <v>0</v>
      </c>
      <c r="N120" s="20" t="n">
        <v>18.301</v>
      </c>
      <c r="T120" s="20" t="n">
        <v>9.999000000000001</v>
      </c>
      <c r="U120" s="20" t="n">
        <v>46.052</v>
      </c>
      <c r="V120" s="20" t="n">
        <v>17.782</v>
      </c>
      <c r="W120" s="20" t="n">
        <v>0</v>
      </c>
      <c r="X120" s="20" t="n">
        <v>18.301</v>
      </c>
    </row>
    <row r="121">
      <c r="A121" s="9" t="inlineStr">
        <is>
          <t>법인세차감전 순이익</t>
        </is>
      </c>
      <c r="C121" s="12" t="n">
        <v>59.873</v>
      </c>
      <c r="D121" s="12" t="n">
        <v>5.828</v>
      </c>
      <c r="E121" s="12" t="n">
        <v>81.34399999999999</v>
      </c>
      <c r="F121" s="12" t="n">
        <v>280.788</v>
      </c>
      <c r="G121" s="12" t="n">
        <v>282.43</v>
      </c>
      <c r="H121" s="12" t="n">
        <v>531.441</v>
      </c>
      <c r="I121" s="12" t="n">
        <v>74.292</v>
      </c>
      <c r="J121" s="12" t="n">
        <v>-70.01300000000001</v>
      </c>
      <c r="K121" s="12" t="n">
        <v>626.376</v>
      </c>
      <c r="L121" s="12" t="n">
        <v>-30.126</v>
      </c>
      <c r="M121" s="12" t="n">
        <v>46.617</v>
      </c>
      <c r="N121" s="12" t="n">
        <v>175.531</v>
      </c>
      <c r="T121" s="12" t="n">
        <v>12.407</v>
      </c>
      <c r="U121" s="12" t="n">
        <v>-19.777</v>
      </c>
      <c r="V121" s="12" t="n">
        <v>280.788</v>
      </c>
      <c r="W121" s="12" t="n">
        <v>-70.01300000000001</v>
      </c>
      <c r="X121" s="12" t="n">
        <v>175.531</v>
      </c>
    </row>
    <row r="122">
      <c r="A122" s="18" t="inlineStr">
        <is>
          <t>법인세·주민세·사업세</t>
        </is>
      </c>
      <c r="C122" s="20" t="n">
        <v>32.008</v>
      </c>
      <c r="D122" s="20" t="n">
        <v>20.992</v>
      </c>
      <c r="E122" s="20" t="n">
        <v>48.919</v>
      </c>
      <c r="F122" s="20" t="n">
        <v>147.421</v>
      </c>
      <c r="G122" s="20" t="n">
        <v>101.523</v>
      </c>
      <c r="H122" s="20" t="n">
        <v>188.844</v>
      </c>
      <c r="I122" s="20" t="n">
        <v>32.612</v>
      </c>
      <c r="J122" s="20" t="n">
        <v>-4.582</v>
      </c>
      <c r="K122" s="20" t="n">
        <v>297.967</v>
      </c>
      <c r="L122" s="20" t="n">
        <v>-11.248</v>
      </c>
      <c r="M122" s="20" t="n">
        <v>60.377</v>
      </c>
      <c r="N122" s="20" t="n">
        <v>145.083</v>
      </c>
      <c r="T122" s="20" t="n">
        <v>6.37</v>
      </c>
      <c r="U122" s="20" t="n">
        <v>14.534</v>
      </c>
      <c r="V122" s="20" t="n">
        <v>147.421</v>
      </c>
      <c r="W122" s="20" t="n">
        <v>-4.582</v>
      </c>
      <c r="X122" s="20" t="n">
        <v>145.083</v>
      </c>
    </row>
    <row r="123">
      <c r="A123" s="18" t="inlineStr">
        <is>
          <t>법인세 조정액</t>
        </is>
      </c>
      <c r="C123" s="20" t="n">
        <v>-0.445</v>
      </c>
      <c r="D123" s="20" t="n">
        <v>-0.402</v>
      </c>
      <c r="E123" s="20" t="n">
        <v>-5.005</v>
      </c>
      <c r="F123" s="20" t="n">
        <v>-4.518</v>
      </c>
      <c r="G123" s="20" t="n">
        <v>-10.891</v>
      </c>
      <c r="H123" s="20" t="n">
        <v>-18.961</v>
      </c>
      <c r="I123" s="20" t="n">
        <v>-0.804</v>
      </c>
      <c r="J123" s="20" t="n">
        <v>0.96</v>
      </c>
      <c r="K123" s="20" t="n">
        <v>-38.297</v>
      </c>
      <c r="L123" s="20" t="n">
        <v>36.832</v>
      </c>
      <c r="M123" s="20" t="n">
        <v>-18.686</v>
      </c>
      <c r="N123" s="20" t="n">
        <v>-50.586</v>
      </c>
      <c r="T123" s="20" t="n">
        <v>-6.866</v>
      </c>
      <c r="U123" s="20" t="n">
        <v>-4.856</v>
      </c>
      <c r="V123" s="20" t="n">
        <v>-4.518</v>
      </c>
      <c r="W123" s="20" t="n">
        <v>0.96</v>
      </c>
      <c r="X123" s="20" t="n">
        <v>-50.586</v>
      </c>
    </row>
    <row r="124">
      <c r="A124" s="18" t="inlineStr">
        <is>
          <t>법인세 등 합계</t>
        </is>
      </c>
      <c r="C124" s="20" t="n">
        <v>31.563</v>
      </c>
      <c r="D124" s="20" t="n">
        <v>20.589</v>
      </c>
      <c r="E124" s="20" t="n">
        <v>43.915</v>
      </c>
      <c r="F124" s="20" t="n">
        <v>142.903</v>
      </c>
      <c r="G124" s="20" t="n">
        <v>90.631</v>
      </c>
      <c r="H124" s="20" t="n">
        <v>169.883</v>
      </c>
      <c r="I124" s="20" t="n">
        <v>31.808</v>
      </c>
      <c r="J124" s="20" t="n">
        <v>-3.622</v>
      </c>
      <c r="K124" s="20" t="n">
        <v>259.669</v>
      </c>
      <c r="L124" s="20" t="n">
        <v>25.584</v>
      </c>
      <c r="M124" s="20" t="n">
        <v>41.692</v>
      </c>
      <c r="N124" s="20" t="n">
        <v>94.496</v>
      </c>
      <c r="T124" s="20" t="n">
        <v>-0.498</v>
      </c>
      <c r="U124" s="20" t="n">
        <v>9.678000000000001</v>
      </c>
      <c r="V124" s="20" t="n">
        <v>142.903</v>
      </c>
      <c r="W124" s="20" t="n">
        <v>-3.622</v>
      </c>
      <c r="X124" s="20" t="n">
        <v>94.496</v>
      </c>
    </row>
    <row r="125">
      <c r="A125" s="9" t="inlineStr">
        <is>
          <t>순이익</t>
        </is>
      </c>
      <c r="C125" s="12" t="n">
        <v>28.31</v>
      </c>
      <c r="D125" s="12" t="n">
        <v>-14.762</v>
      </c>
      <c r="E125" s="12" t="n">
        <v>37.43</v>
      </c>
      <c r="F125" s="12" t="n">
        <v>137.885</v>
      </c>
      <c r="G125" s="12" t="n">
        <v>191.798</v>
      </c>
      <c r="H125" s="12" t="n">
        <v>361.558</v>
      </c>
      <c r="I125" s="12" t="n">
        <v>42.485</v>
      </c>
      <c r="J125" s="12" t="n">
        <v>-66.392</v>
      </c>
      <c r="K125" s="12" t="n">
        <v>366.707</v>
      </c>
      <c r="L125" s="12" t="n">
        <v>-55.711</v>
      </c>
      <c r="M125" s="12" t="n">
        <v>4.925</v>
      </c>
      <c r="N125" s="12" t="n">
        <v>81.036</v>
      </c>
      <c r="T125" s="12" t="n">
        <v>12.904</v>
      </c>
      <c r="U125" s="12" t="n">
        <v>-29.454</v>
      </c>
      <c r="V125" s="12" t="n">
        <v>137.885</v>
      </c>
      <c r="W125" s="12" t="n">
        <v>-66.392</v>
      </c>
      <c r="X125" s="12" t="n">
        <v>81.036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IF(OR(G125="",C125=""),"",IF(C125&lt;=0,"",IFERROR(G125/C125-1,"")))</f>
        <v/>
      </c>
      <c r="H126" s="15">
        <f>IF(OR(H125="",D125=""),"",IF(D125&lt;=0,"",IFERROR(H125/D125-1,"")))</f>
        <v/>
      </c>
      <c r="I126" s="15">
        <f>IF(OR(I125="",E125=""),"",IF(E125&lt;=0,"",IFERROR(I125/E125-1,"")))</f>
        <v/>
      </c>
      <c r="J126" s="15">
        <f>IF(OR(J125="",F125=""),"",IF(F125&lt;=0,"",IFERROR(J125/F125-1,"")))</f>
        <v/>
      </c>
      <c r="K126" s="15">
        <f>IF(OR(K125="",G125=""),"",IF(G125&lt;=0,"",IFERROR(K125/G125-1,"")))</f>
        <v/>
      </c>
      <c r="L126" s="15">
        <f>IF(OR(L125="",H125=""),"",IF(H125&lt;=0,"",IFERROR(L125/H125-1,"")))</f>
        <v/>
      </c>
      <c r="M126" s="15">
        <f>IF(OR(M125="",I125=""),"",IF(I125&lt;=0,"",IFERROR(M125/I125-1,"")))</f>
        <v/>
      </c>
      <c r="N126" s="15">
        <f>IF(OR(N125="",J125=""),"",IF(J125&lt;=0,"",IFERROR(N125/J125-1,"")))</f>
        <v/>
      </c>
      <c r="T126" s="15">
        <f>IF(OR(T125="",S125=""),"",IF(S125&lt;=0,"",IFERROR(T125/S125-1,"")))</f>
        <v/>
      </c>
      <c r="U126" s="15">
        <f>IF(OR(U125="",T125=""),"",IF(T125&lt;=0,"",IFERROR(U125/T125-1,"")))</f>
        <v/>
      </c>
      <c r="V126" s="15">
        <f>IF(OR(V125="",U125=""),"",IF(U125&lt;=0,"",IFERROR(V125/U125-1,"")))</f>
        <v/>
      </c>
      <c r="W126" s="15">
        <f>IF(OR(W125="",V125=""),"",IF(V125&lt;=0,"",IFERROR(W125/V125-1,"")))</f>
        <v/>
      </c>
      <c r="X126" s="15">
        <f>IF(OR(X125="",W125=""),"",IF(W125&lt;=0,"",IFERROR(X125/W125-1,"")))</f>
        <v/>
      </c>
    </row>
    <row r="127">
      <c r="A127" s="9" t="inlineStr">
        <is>
          <t>비지배주주 순손익</t>
        </is>
      </c>
      <c r="E127" s="12" t="n">
        <v>0</v>
      </c>
      <c r="F127" s="12" t="n">
        <v>0</v>
      </c>
      <c r="G127" s="12" t="n">
        <v>0</v>
      </c>
      <c r="H127" s="12" t="n">
        <v>13.439</v>
      </c>
      <c r="I127" s="12" t="n">
        <v>9.622</v>
      </c>
      <c r="J127" s="12" t="n">
        <v>12.072</v>
      </c>
      <c r="K127" s="12" t="n">
        <v>-0.516</v>
      </c>
      <c r="L127" s="12" t="n">
        <v>-1.788</v>
      </c>
      <c r="M127" s="12" t="n">
        <v>-10.166</v>
      </c>
      <c r="N127" s="12" t="n">
        <v>-20.566</v>
      </c>
      <c r="V127" s="12" t="n">
        <v>0</v>
      </c>
      <c r="W127" s="12" t="n">
        <v>12.072</v>
      </c>
      <c r="X127" s="12" t="n">
        <v>-20.566</v>
      </c>
    </row>
    <row r="128">
      <c r="A128" s="9" t="inlineStr">
        <is>
          <t>지배주주 순이익</t>
        </is>
      </c>
      <c r="C128" s="12" t="n">
        <v>28.31</v>
      </c>
      <c r="D128" s="12" t="n">
        <v>-14.762</v>
      </c>
      <c r="E128" s="12" t="n">
        <v>37.43</v>
      </c>
      <c r="F128" s="12" t="n">
        <v>137.885</v>
      </c>
      <c r="G128" s="12" t="n">
        <v>191.798</v>
      </c>
      <c r="H128" s="12" t="n">
        <v>348.118</v>
      </c>
      <c r="I128" s="12" t="n">
        <v>32.863</v>
      </c>
      <c r="J128" s="12" t="n">
        <v>-78.46299999999999</v>
      </c>
      <c r="K128" s="12" t="n">
        <v>367.223</v>
      </c>
      <c r="L128" s="12" t="n">
        <v>-53.923</v>
      </c>
      <c r="M128" s="12" t="n">
        <v>15.091</v>
      </c>
      <c r="N128" s="12" t="n">
        <v>101.602</v>
      </c>
      <c r="T128" s="12" t="n">
        <v>12.904</v>
      </c>
      <c r="U128" s="12" t="n">
        <v>-29.454</v>
      </c>
      <c r="V128" s="12" t="n">
        <v>137.885</v>
      </c>
      <c r="W128" s="12" t="n">
        <v>-78.46299999999999</v>
      </c>
      <c r="X128" s="12" t="n">
        <v>101.602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IF(OR(G128="",C128=""),"",IF(C128&lt;=0,"",IFERROR(G128/C128-1,"")))</f>
        <v/>
      </c>
      <c r="H129" s="15">
        <f>IF(OR(H128="",D128=""),"",IF(D128&lt;=0,"",IFERROR(H128/D128-1,"")))</f>
        <v/>
      </c>
      <c r="I129" s="15">
        <f>IF(OR(I128="",E128=""),"",IF(E128&lt;=0,"",IFERROR(I128/E128-1,"")))</f>
        <v/>
      </c>
      <c r="J129" s="15">
        <f>IF(OR(J128="",F128=""),"",IF(F128&lt;=0,"",IFERROR(J128/F128-1,"")))</f>
        <v/>
      </c>
      <c r="K129" s="15">
        <f>IF(OR(K128="",G128=""),"",IF(G128&lt;=0,"",IFERROR(K128/G128-1,"")))</f>
        <v/>
      </c>
      <c r="L129" s="15">
        <f>IF(OR(L128="",H128=""),"",IF(H128&lt;=0,"",IFERROR(L128/H128-1,"")))</f>
        <v/>
      </c>
      <c r="M129" s="15">
        <f>IF(OR(M128="",I128=""),"",IF(I128&lt;=0,"",IFERROR(M128/I128-1,"")))</f>
        <v/>
      </c>
      <c r="N129" s="15">
        <f>IF(OR(N128="",J128=""),"",IF(J128&lt;=0,"",IFERROR(N128/J128-1,"")))</f>
        <v/>
      </c>
      <c r="T129" s="15">
        <f>IF(OR(T128="",S128=""),"",IF(S128&lt;=0,"",IFERROR(T128/S128-1,"")))</f>
        <v/>
      </c>
      <c r="U129" s="15">
        <f>IF(OR(U128="",T128=""),"",IF(T128&lt;=0,"",IFERROR(U128/T128-1,"")))</f>
        <v/>
      </c>
      <c r="V129" s="15">
        <f>IF(OR(V128="",U128=""),"",IF(U128&lt;=0,"",IFERROR(V128/U128-1,"")))</f>
        <v/>
      </c>
      <c r="W129" s="15">
        <f>IF(OR(W128="",V128=""),"",IF(V128&lt;=0,"",IFERROR(W128/V128-1,"")))</f>
        <v/>
      </c>
      <c r="X129" s="15">
        <f>IF(OR(X128="",W128=""),"",IF(W128&lt;=0,"",IFERROR(X128/W128-1,"")))</f>
        <v/>
      </c>
    </row>
    <row r="131">
      <c r="A131" s="16" t="inlineStr">
        <is>
          <t>포괄손익 · 전 항목</t>
        </is>
      </c>
      <c r="B131" s="42" t="inlineStr">
        <is>
          <t>분기 = 3개월 단독</t>
        </is>
      </c>
      <c r="C131" s="16" t="n"/>
      <c r="D131" s="16" t="n"/>
      <c r="E131" s="16" t="n"/>
      <c r="F131" s="16" t="n"/>
      <c r="G131" s="16" t="n"/>
      <c r="H131" s="16" t="n"/>
      <c r="I131" s="16" t="n"/>
      <c r="J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  <c r="V131" s="16" t="n"/>
      <c r="W131" s="16" t="n"/>
      <c r="X131" s="16" t="n"/>
      <c r="Y131" s="16" t="n"/>
      <c r="Z131" s="16" t="n"/>
      <c r="AA131" s="16" t="n"/>
      <c r="AB131" s="16" t="n"/>
      <c r="AC131" s="16" t="n"/>
    </row>
    <row r="132">
      <c r="A132" s="5" t="inlineStr">
        <is>
          <t>항목</t>
        </is>
      </c>
      <c r="B132" s="5" t="inlineStr">
        <is>
          <t>참고</t>
        </is>
      </c>
      <c r="C132" s="5" t="inlineStr">
        <is>
          <t>2024.1Q</t>
        </is>
      </c>
      <c r="D132" s="5" t="inlineStr">
        <is>
          <t>2024.2Q</t>
        </is>
      </c>
      <c r="E132" s="5" t="inlineStr">
        <is>
          <t>2024.3Q</t>
        </is>
      </c>
      <c r="F132" s="5" t="inlineStr">
        <is>
          <t>2024.4Q</t>
        </is>
      </c>
      <c r="G132" s="5" t="inlineStr">
        <is>
          <t>2025.1Q</t>
        </is>
      </c>
      <c r="H132" s="5" t="inlineStr">
        <is>
          <t>2025.2Q</t>
        </is>
      </c>
      <c r="I132" s="5" t="inlineStr">
        <is>
          <t>2025.3Q</t>
        </is>
      </c>
      <c r="J132" s="5" t="inlineStr">
        <is>
          <t>2025.4Q</t>
        </is>
      </c>
      <c r="K132" s="5" t="inlineStr">
        <is>
          <t>2026.1Q</t>
        </is>
      </c>
      <c r="L132" s="5" t="inlineStr">
        <is>
          <t>2026.2Q</t>
        </is>
      </c>
      <c r="M132" s="5" t="inlineStr">
        <is>
          <t>2026.3Q</t>
        </is>
      </c>
      <c r="N132" s="5" t="inlineStr">
        <is>
          <t>2026.4Q</t>
        </is>
      </c>
      <c r="O132" s="5" t="inlineStr">
        <is>
          <t>2017</t>
        </is>
      </c>
      <c r="P132" s="5" t="inlineStr">
        <is>
          <t>2018</t>
        </is>
      </c>
      <c r="Q132" s="5" t="inlineStr">
        <is>
          <t>2019</t>
        </is>
      </c>
      <c r="R132" s="5" t="inlineStr">
        <is>
          <t>2020</t>
        </is>
      </c>
      <c r="S132" s="5" t="inlineStr">
        <is>
          <t>2021</t>
        </is>
      </c>
      <c r="T132" s="5" t="inlineStr">
        <is>
          <t>2022</t>
        </is>
      </c>
      <c r="U132" s="5" t="inlineStr">
        <is>
          <t>2023</t>
        </is>
      </c>
      <c r="V132" s="5" t="inlineStr">
        <is>
          <t>2024</t>
        </is>
      </c>
      <c r="W132" s="5" t="inlineStr">
        <is>
          <t>2025</t>
        </is>
      </c>
      <c r="X132" s="5" t="inlineStr">
        <is>
          <t>2026</t>
        </is>
      </c>
      <c r="Y132" s="5" t="inlineStr">
        <is>
          <t>2027(MW)</t>
        </is>
      </c>
      <c r="Z132" s="5" t="inlineStr">
        <is>
          <t>2028(MW)</t>
        </is>
      </c>
      <c r="AA132" s="5" t="inlineStr">
        <is>
          <t>2029(MW)</t>
        </is>
      </c>
      <c r="AB132" s="5" t="inlineStr">
        <is>
          <t>2030(MW)</t>
        </is>
      </c>
      <c r="AC132" s="5" t="inlineStr">
        <is>
          <t>2031(MW)</t>
        </is>
      </c>
    </row>
    <row r="133">
      <c r="A133" s="9" t="inlineStr">
        <is>
          <t>순이익</t>
        </is>
      </c>
      <c r="C133" s="12" t="n">
        <v>28.31</v>
      </c>
      <c r="D133" s="12" t="n">
        <v>-14.762</v>
      </c>
      <c r="E133" s="12" t="n">
        <v>37.43</v>
      </c>
      <c r="F133" s="12" t="n">
        <v>137.885</v>
      </c>
      <c r="G133" s="12" t="n">
        <v>191.798</v>
      </c>
      <c r="H133" s="12" t="n">
        <v>361.558</v>
      </c>
      <c r="I133" s="12" t="n">
        <v>42.485</v>
      </c>
      <c r="J133" s="12" t="n">
        <v>-66.392</v>
      </c>
      <c r="K133" s="12" t="n">
        <v>366.707</v>
      </c>
      <c r="L133" s="12" t="n">
        <v>-55.711</v>
      </c>
      <c r="M133" s="12" t="n">
        <v>4.925</v>
      </c>
      <c r="N133" s="12" t="n">
        <v>81.036</v>
      </c>
      <c r="T133" s="12" t="n">
        <v>12.904</v>
      </c>
      <c r="U133" s="12" t="n">
        <v>-29.454</v>
      </c>
      <c r="V133" s="12" t="n">
        <v>137.885</v>
      </c>
      <c r="W133" s="12" t="n">
        <v>-66.392</v>
      </c>
      <c r="X133" s="12" t="n">
        <v>81.036</v>
      </c>
    </row>
    <row r="134">
      <c r="A134" s="18" t="inlineStr">
        <is>
          <t>기타유가증권 평가차액</t>
        </is>
      </c>
      <c r="C134" s="20" t="n">
        <v>0.051</v>
      </c>
      <c r="D134" s="20" t="n">
        <v>0.449</v>
      </c>
      <c r="E134" s="20" t="n">
        <v>-0.053</v>
      </c>
      <c r="F134" s="20" t="n">
        <v>0.376</v>
      </c>
      <c r="G134" s="20" t="n">
        <v>0.703</v>
      </c>
      <c r="H134" s="20" t="n">
        <v>-0.779</v>
      </c>
      <c r="I134" s="20" t="n">
        <v>-1.65</v>
      </c>
      <c r="J134" s="20" t="n">
        <v>1.283</v>
      </c>
      <c r="K134" s="20" t="n">
        <v>-2.256</v>
      </c>
      <c r="L134" s="20" t="n">
        <v>0.198</v>
      </c>
      <c r="M134" s="20" t="n">
        <v>-0.235</v>
      </c>
      <c r="N134" s="20" t="n">
        <v>0.38</v>
      </c>
      <c r="U134" s="20" t="n">
        <v>0</v>
      </c>
      <c r="V134" s="20" t="n">
        <v>0.376</v>
      </c>
      <c r="W134" s="20" t="n">
        <v>1.283</v>
      </c>
      <c r="X134" s="20" t="n">
        <v>0.38</v>
      </c>
    </row>
    <row r="135">
      <c r="A135" s="18" t="inlineStr">
        <is>
          <t>기타포괄손익 합계</t>
        </is>
      </c>
      <c r="C135" s="20" t="n">
        <v>0.051</v>
      </c>
      <c r="G135" s="20" t="n">
        <v>0.703</v>
      </c>
      <c r="K135" s="20" t="n">
        <v>-2.256</v>
      </c>
    </row>
    <row r="136">
      <c r="A136" s="9" t="inlineStr">
        <is>
          <t>포괄이익</t>
        </is>
      </c>
      <c r="C136" s="12" t="n">
        <v>28.362</v>
      </c>
      <c r="D136" s="12" t="n">
        <v>-14.313</v>
      </c>
      <c r="E136" s="12" t="n">
        <v>37.376</v>
      </c>
      <c r="F136" s="12" t="n">
        <v>138.261</v>
      </c>
      <c r="G136" s="12" t="n">
        <v>192.502</v>
      </c>
      <c r="H136" s="12" t="n">
        <v>360.777</v>
      </c>
      <c r="I136" s="12" t="n">
        <v>40.835</v>
      </c>
      <c r="J136" s="12" t="n">
        <v>-65.108</v>
      </c>
      <c r="K136" s="12" t="n">
        <v>364.45</v>
      </c>
      <c r="L136" s="12" t="n">
        <v>-55.513</v>
      </c>
      <c r="M136" s="12" t="n">
        <v>4.691</v>
      </c>
      <c r="N136" s="12" t="n">
        <v>81.41500000000001</v>
      </c>
      <c r="T136" s="12" t="n">
        <v>12.904</v>
      </c>
      <c r="U136" s="12" t="n">
        <v>-29.454</v>
      </c>
      <c r="V136" s="12" t="n">
        <v>138.261</v>
      </c>
      <c r="W136" s="12" t="n">
        <v>-65.108</v>
      </c>
      <c r="X136" s="12" t="n">
        <v>81.41500000000001</v>
      </c>
    </row>
    <row r="137">
      <c r="A137" s="9" t="inlineStr">
        <is>
          <t>지배주주 포괄이익</t>
        </is>
      </c>
      <c r="C137" s="12" t="n">
        <v>28.362</v>
      </c>
      <c r="D137" s="12" t="n">
        <v>-14.313</v>
      </c>
      <c r="E137" s="12" t="n">
        <v>37.376</v>
      </c>
      <c r="F137" s="12" t="n">
        <v>138.261</v>
      </c>
      <c r="G137" s="12" t="n">
        <v>192.502</v>
      </c>
      <c r="H137" s="12" t="n">
        <v>347.338</v>
      </c>
      <c r="I137" s="12" t="n">
        <v>31.212</v>
      </c>
      <c r="J137" s="12" t="n">
        <v>-77.18000000000001</v>
      </c>
      <c r="K137" s="12" t="n">
        <v>364.967</v>
      </c>
      <c r="L137" s="12" t="n">
        <v>-53.726</v>
      </c>
      <c r="M137" s="12" t="n">
        <v>14.857</v>
      </c>
      <c r="N137" s="12" t="n">
        <v>101.982</v>
      </c>
      <c r="T137" s="12" t="n">
        <v>12.904</v>
      </c>
      <c r="U137" s="12" t="n">
        <v>-29.454</v>
      </c>
      <c r="V137" s="12" t="n">
        <v>138.261</v>
      </c>
      <c r="W137" s="12" t="n">
        <v>-77.18000000000001</v>
      </c>
      <c r="X137" s="12" t="n">
        <v>101.982</v>
      </c>
    </row>
    <row r="138">
      <c r="A138" s="9" t="inlineStr">
        <is>
          <t>비지배주주 포괄이익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13.439</v>
      </c>
      <c r="I138" s="12" t="n">
        <v>9.622</v>
      </c>
      <c r="J138" s="12" t="n">
        <v>12.072</v>
      </c>
      <c r="K138" s="12" t="n">
        <v>-0.516</v>
      </c>
      <c r="L138" s="12" t="n">
        <v>-1.788</v>
      </c>
      <c r="M138" s="12" t="n">
        <v>-10.166</v>
      </c>
      <c r="N138" s="12" t="n">
        <v>-20.566</v>
      </c>
      <c r="T138" s="12" t="n">
        <v>0</v>
      </c>
      <c r="U138" s="12" t="n">
        <v>0</v>
      </c>
      <c r="V138" s="12" t="n">
        <v>0</v>
      </c>
      <c r="W138" s="12" t="n">
        <v>12.072</v>
      </c>
      <c r="X138" s="12" t="n">
        <v>-20.566</v>
      </c>
    </row>
    <row r="140">
      <c r="A140" s="16" t="inlineStr">
        <is>
          <t>부문 · 전 항목</t>
        </is>
      </c>
      <c r="B140" s="42" t="inlineStr">
        <is>
          <t>부문 · 항목</t>
        </is>
      </c>
      <c r="C140" s="16" t="n"/>
      <c r="D140" s="16" t="n"/>
      <c r="E140" s="16" t="n"/>
      <c r="F140" s="16" t="n"/>
      <c r="G140" s="16" t="n"/>
      <c r="H140" s="16" t="n"/>
      <c r="I140" s="16" t="n"/>
      <c r="J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  <c r="V140" s="16" t="n"/>
      <c r="W140" s="16" t="n"/>
      <c r="X140" s="16" t="n"/>
      <c r="Y140" s="16" t="n"/>
      <c r="Z140" s="16" t="n"/>
      <c r="AA140" s="16" t="n"/>
      <c r="AB140" s="16" t="n"/>
      <c r="AC140" s="16" t="n"/>
    </row>
    <row r="141">
      <c r="A141" s="5" t="inlineStr">
        <is>
          <t>항목</t>
        </is>
      </c>
      <c r="B141" s="5" t="inlineStr">
        <is>
          <t>참고</t>
        </is>
      </c>
      <c r="C141" s="5" t="inlineStr">
        <is>
          <t>2024.1Q</t>
        </is>
      </c>
      <c r="D141" s="5" t="inlineStr">
        <is>
          <t>2024.2Q</t>
        </is>
      </c>
      <c r="E141" s="5" t="inlineStr">
        <is>
          <t>2024.3Q</t>
        </is>
      </c>
      <c r="F141" s="5" t="inlineStr">
        <is>
          <t>2024.4Q</t>
        </is>
      </c>
      <c r="G141" s="5" t="inlineStr">
        <is>
          <t>2025.1Q</t>
        </is>
      </c>
      <c r="H141" s="5" t="inlineStr">
        <is>
          <t>2025.2Q</t>
        </is>
      </c>
      <c r="I141" s="5" t="inlineStr">
        <is>
          <t>2025.3Q</t>
        </is>
      </c>
      <c r="J141" s="5" t="inlineStr">
        <is>
          <t>2025.4Q</t>
        </is>
      </c>
      <c r="K141" s="5" t="inlineStr">
        <is>
          <t>2026.1Q</t>
        </is>
      </c>
      <c r="L141" s="5" t="inlineStr">
        <is>
          <t>2026.2Q</t>
        </is>
      </c>
      <c r="M141" s="5" t="inlineStr">
        <is>
          <t>2026.3Q</t>
        </is>
      </c>
      <c r="N141" s="5" t="inlineStr">
        <is>
          <t>2026.4Q</t>
        </is>
      </c>
      <c r="O141" s="5" t="inlineStr">
        <is>
          <t>2017</t>
        </is>
      </c>
      <c r="P141" s="5" t="inlineStr">
        <is>
          <t>2018</t>
        </is>
      </c>
      <c r="Q141" s="5" t="inlineStr">
        <is>
          <t>2019</t>
        </is>
      </c>
      <c r="R141" s="5" t="inlineStr">
        <is>
          <t>2020</t>
        </is>
      </c>
      <c r="S141" s="5" t="inlineStr">
        <is>
          <t>2021</t>
        </is>
      </c>
      <c r="T141" s="5" t="inlineStr">
        <is>
          <t>2022</t>
        </is>
      </c>
      <c r="U141" s="5" t="inlineStr">
        <is>
          <t>2023</t>
        </is>
      </c>
      <c r="V141" s="5" t="inlineStr">
        <is>
          <t>2024</t>
        </is>
      </c>
      <c r="W141" s="5" t="inlineStr">
        <is>
          <t>2025</t>
        </is>
      </c>
      <c r="X141" s="5" t="inlineStr">
        <is>
          <t>2026</t>
        </is>
      </c>
      <c r="Y141" s="5" t="inlineStr">
        <is>
          <t>2027(MW)</t>
        </is>
      </c>
      <c r="Z141" s="5" t="inlineStr">
        <is>
          <t>2028(MW)</t>
        </is>
      </c>
      <c r="AA141" s="5" t="inlineStr">
        <is>
          <t>2029(MW)</t>
        </is>
      </c>
      <c r="AB141" s="5" t="inlineStr">
        <is>
          <t>2030(MW)</t>
        </is>
      </c>
      <c r="AC141" s="5" t="inlineStr">
        <is>
          <t>2031(MW)</t>
        </is>
      </c>
    </row>
    <row r="142">
      <c r="A142" s="18" t="inlineStr">
        <is>
          <t>EngineerplatformserviceReportableSegmentMember · 외부 고객 매출</t>
        </is>
      </c>
      <c r="C142" s="20" t="n">
        <v>2988.498</v>
      </c>
      <c r="D142" s="20" t="n">
        <v>2998.085</v>
      </c>
      <c r="E142" s="20" t="n">
        <v>3257.249</v>
      </c>
      <c r="F142" s="20" t="n">
        <v>3516.855</v>
      </c>
      <c r="G142" s="20" t="n">
        <v>3661.499</v>
      </c>
      <c r="H142" s="20" t="n">
        <v>3891.839</v>
      </c>
      <c r="I142" s="20" t="n">
        <v>4030.019</v>
      </c>
      <c r="J142" s="20" t="n">
        <v>4175.289</v>
      </c>
      <c r="K142" s="20" t="n">
        <v>4281.72</v>
      </c>
      <c r="L142" s="20" t="n">
        <v>4336.85</v>
      </c>
      <c r="M142" s="20" t="n">
        <v>4464.331</v>
      </c>
      <c r="N142" s="20" t="n">
        <v>4535.641</v>
      </c>
      <c r="V142" s="20" t="n">
        <v>3516.855</v>
      </c>
      <c r="W142" s="20" t="n">
        <v>4175.289</v>
      </c>
      <c r="X142" s="20" t="n">
        <v>4535.641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18" t="inlineStr">
        <is>
          <t>MarketingplatformserviceReportableSegmentMember · 외부 고객 매출</t>
        </is>
      </c>
      <c r="C144" s="20" t="n">
        <v>140.076</v>
      </c>
      <c r="D144" s="20" t="n">
        <v>140.839</v>
      </c>
      <c r="E144" s="20" t="n">
        <v>106.22</v>
      </c>
      <c r="F144" s="20" t="n">
        <v>108.646</v>
      </c>
      <c r="G144" s="20" t="n">
        <v>124.556</v>
      </c>
      <c r="H144" s="20" t="n">
        <v>107.93</v>
      </c>
      <c r="I144" s="20" t="n">
        <v>111.442</v>
      </c>
      <c r="J144" s="20" t="n">
        <v>110.175</v>
      </c>
      <c r="K144" s="20" t="n">
        <v>94.89700000000001</v>
      </c>
      <c r="L144" s="20" t="n">
        <v>101.17</v>
      </c>
      <c r="M144" s="20" t="n">
        <v>111.938</v>
      </c>
      <c r="N144" s="20" t="n">
        <v>468.711</v>
      </c>
      <c r="V144" s="20" t="n">
        <v>108.646</v>
      </c>
      <c r="W144" s="20" t="n">
        <v>110.175</v>
      </c>
      <c r="X144" s="20" t="n">
        <v>468.711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IF(OR(G144="",C144=""),"",IF(C144&lt;=0,"",IFERROR(G144/C144-1,"")))</f>
        <v/>
      </c>
      <c r="H145" s="15">
        <f>IF(OR(H144="",D144=""),"",IF(D144&lt;=0,"",IFERROR(H144/D144-1,"")))</f>
        <v/>
      </c>
      <c r="I145" s="15">
        <f>IF(OR(I144="",E144=""),"",IF(E144&lt;=0,"",IFERROR(I144/E144-1,"")))</f>
        <v/>
      </c>
      <c r="J145" s="15">
        <f>IF(OR(J144="",F144=""),"",IF(F144&lt;=0,"",IFERROR(J144/F144-1,"")))</f>
        <v/>
      </c>
      <c r="K145" s="15">
        <f>IF(OR(K144="",G144=""),"",IF(G144&lt;=0,"",IFERROR(K144/G144-1,"")))</f>
        <v/>
      </c>
      <c r="L145" s="15">
        <f>IF(OR(L144="",H144=""),"",IF(H144&lt;=0,"",IFERROR(L144/H144-1,"")))</f>
        <v/>
      </c>
      <c r="M145" s="15">
        <f>IF(OR(M144="",I144=""),"",IF(I144&lt;=0,"",IFERROR(M144/I144-1,"")))</f>
        <v/>
      </c>
      <c r="N145" s="15">
        <f>IF(OR(N144="",J144=""),"",IF(J144&lt;=0,"",IFERROR(N144/J144-1,"")))</f>
        <v/>
      </c>
      <c r="V145" s="15">
        <f>IF(OR(V144="",U144=""),"",IF(U144&lt;=0,"",IFERROR(V144/U144-1,"")))</f>
        <v/>
      </c>
      <c r="W145" s="15">
        <f>IF(OR(W144="",V144=""),"",IF(V144&lt;=0,"",IFERROR(W144/V144-1,"")))</f>
        <v/>
      </c>
      <c r="X145" s="15">
        <f>IF(OR(X144="",W144=""),"",IF(W144&lt;=0,"",IFERROR(X144/W144-1,"")))</f>
        <v/>
      </c>
    </row>
    <row r="146">
      <c r="A146" s="18" t="inlineStr">
        <is>
          <t>ConsulAdvisoryserviceReportableSegmentMember · 외부 고객 매출</t>
        </is>
      </c>
      <c r="C146" s="20" t="n">
        <v>90.89400000000001</v>
      </c>
      <c r="D146" s="20" t="n">
        <v>132.408</v>
      </c>
      <c r="E146" s="20" t="n">
        <v>227.794</v>
      </c>
      <c r="G146" s="20" t="n">
        <v>351.343</v>
      </c>
      <c r="H146" s="20" t="n">
        <v>771.9109999999999</v>
      </c>
      <c r="I146" s="20" t="n">
        <v>351.999</v>
      </c>
      <c r="J146" s="20" t="n">
        <v>389.363</v>
      </c>
      <c r="K146" s="20" t="n">
        <v>1363.877</v>
      </c>
      <c r="L146" s="20" t="n">
        <v>483.3</v>
      </c>
      <c r="M146" s="20" t="n">
        <v>641.104</v>
      </c>
      <c r="N146" s="20" t="n">
        <v>921.5890000000001</v>
      </c>
      <c r="W146" s="20" t="n">
        <v>389.363</v>
      </c>
      <c r="X146" s="20" t="n">
        <v>921.5890000000001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18" t="inlineStr">
        <is>
          <t>보고부문 합계 · 외부 고객 매출</t>
        </is>
      </c>
      <c r="C148" s="20" t="n">
        <v>3219.468</v>
      </c>
      <c r="D148" s="20" t="n">
        <v>3271.332</v>
      </c>
      <c r="E148" s="20" t="n">
        <v>3591.264</v>
      </c>
      <c r="F148" s="20" t="n">
        <v>4208.818</v>
      </c>
      <c r="G148" s="20" t="n">
        <v>4137.399</v>
      </c>
      <c r="H148" s="20" t="n">
        <v>4771.681</v>
      </c>
      <c r="I148" s="20" t="n">
        <v>4493.459</v>
      </c>
      <c r="J148" s="20" t="n">
        <v>4674.827</v>
      </c>
      <c r="K148" s="20" t="n">
        <v>5740.495</v>
      </c>
      <c r="L148" s="20" t="n">
        <v>4921.32</v>
      </c>
      <c r="M148" s="20" t="n">
        <v>5217.372</v>
      </c>
      <c r="N148" s="20" t="n">
        <v>5925.942</v>
      </c>
      <c r="V148" s="20" t="n">
        <v>4208.818</v>
      </c>
      <c r="W148" s="20" t="n">
        <v>4674.827</v>
      </c>
      <c r="X148" s="20" t="n">
        <v>5925.942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18" t="inlineStr">
        <is>
          <t>기타 · 외부 고객 매출</t>
        </is>
      </c>
      <c r="C150" s="20" t="n">
        <v>0</v>
      </c>
      <c r="D150" s="20" t="n">
        <v>0</v>
      </c>
      <c r="G150" s="20" t="n">
        <v>0</v>
      </c>
      <c r="H150" s="20" t="n">
        <v>0</v>
      </c>
      <c r="K150" s="20" t="n">
        <v>0</v>
      </c>
      <c r="L150" s="20" t="n">
        <v>0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</row>
    <row r="152">
      <c r="A152" s="18" t="inlineStr">
        <is>
          <t>조정액 · 외부 고객 매출</t>
        </is>
      </c>
      <c r="J152" s="20" t="n">
        <v>0</v>
      </c>
      <c r="N152" s="20" t="n">
        <v>0</v>
      </c>
      <c r="W152" s="20" t="n">
        <v>0</v>
      </c>
      <c r="X152" s="20" t="n">
        <v>0</v>
      </c>
    </row>
    <row r="153">
      <c r="A153" s="18" t="inlineStr">
        <is>
          <t>합계 · 외부 고객 매출</t>
        </is>
      </c>
      <c r="C153" s="20" t="n">
        <v>3219.468</v>
      </c>
      <c r="D153" s="20" t="n">
        <v>3271.332</v>
      </c>
      <c r="E153" s="20" t="n">
        <v>3591.264</v>
      </c>
      <c r="F153" s="20" t="n">
        <v>4208.818</v>
      </c>
      <c r="G153" s="20" t="n">
        <v>4137.399</v>
      </c>
      <c r="H153" s="20" t="n">
        <v>4771.681</v>
      </c>
      <c r="I153" s="20" t="n">
        <v>4493.459</v>
      </c>
      <c r="J153" s="20" t="n">
        <v>4674.827</v>
      </c>
      <c r="K153" s="20" t="n">
        <v>5740.495</v>
      </c>
      <c r="L153" s="20" t="n">
        <v>4921.32</v>
      </c>
      <c r="M153" s="20" t="n">
        <v>5217.372</v>
      </c>
      <c r="N153" s="20" t="n">
        <v>5925.942</v>
      </c>
      <c r="V153" s="20" t="n">
        <v>4208.818</v>
      </c>
      <c r="W153" s="20" t="n">
        <v>4674.827</v>
      </c>
      <c r="X153" s="20" t="n">
        <v>5925.942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G154" s="15">
        <f>IF(OR(G153="",C153=""),"",IF(C153&lt;=0,"",IFERROR(G153/C153-1,"")))</f>
        <v/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J154" s="15">
        <f>IF(OR(J153="",F153=""),"",IF(F153&lt;=0,"",IFERROR(J153/F153-1,"")))</f>
        <v/>
      </c>
      <c r="K154" s="15">
        <f>IF(OR(K153="",G153=""),"",IF(G153&lt;=0,"",IFERROR(K153/G153-1,"")))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N154" s="15">
        <f>IF(OR(N153="",J153=""),"",IF(J153&lt;=0,"",IFERROR(N153/J153-1,"")))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EngineerplatformserviceReportableSegmentMember · 부문 간 내부매출·대체</t>
        </is>
      </c>
      <c r="C155" s="20" t="n">
        <v>0.799</v>
      </c>
      <c r="D155" s="20" t="n">
        <v>0.575</v>
      </c>
      <c r="E155" s="20" t="n">
        <v>2.43</v>
      </c>
      <c r="F155" s="20" t="n">
        <v>3.31</v>
      </c>
      <c r="G155" s="20" t="n">
        <v>1.02</v>
      </c>
      <c r="H155" s="20" t="n">
        <v>2.771</v>
      </c>
      <c r="I155" s="20" t="n">
        <v>4.01</v>
      </c>
      <c r="J155" s="20" t="n">
        <v>5.801</v>
      </c>
      <c r="K155" s="20" t="n">
        <v>5.421</v>
      </c>
      <c r="L155" s="20" t="n">
        <v>6.541</v>
      </c>
      <c r="M155" s="20" t="n">
        <v>2.749</v>
      </c>
      <c r="N155" s="20" t="n">
        <v>1.249</v>
      </c>
      <c r="V155" s="20" t="n">
        <v>3.31</v>
      </c>
      <c r="W155" s="20" t="n">
        <v>5.801</v>
      </c>
      <c r="X155" s="20" t="n">
        <v>1.249</v>
      </c>
    </row>
    <row r="156">
      <c r="A156" s="18" t="inlineStr">
        <is>
          <t>MarketingplatformserviceReportableSegmentMember · 부문 간 내부매출·대체</t>
        </is>
      </c>
      <c r="C156" s="20" t="n">
        <v>0.42</v>
      </c>
      <c r="D156" s="20" t="n">
        <v>6.23</v>
      </c>
      <c r="E156" s="20" t="n">
        <v>3.209</v>
      </c>
      <c r="F156" s="20" t="n">
        <v>3.93</v>
      </c>
      <c r="G156" s="20" t="n">
        <v>4.2</v>
      </c>
      <c r="H156" s="20" t="n">
        <v>1.2</v>
      </c>
      <c r="I156" s="20" t="n">
        <v>1.771</v>
      </c>
      <c r="J156" s="20" t="n">
        <v>4.5</v>
      </c>
      <c r="K156" s="20" t="n">
        <v>5.394</v>
      </c>
      <c r="L156" s="20" t="n">
        <v>5.262</v>
      </c>
      <c r="M156" s="20" t="n">
        <v>4.95</v>
      </c>
      <c r="N156" s="20" t="n">
        <v>5.819</v>
      </c>
      <c r="V156" s="20" t="n">
        <v>3.93</v>
      </c>
      <c r="W156" s="20" t="n">
        <v>4.5</v>
      </c>
      <c r="X156" s="20" t="n">
        <v>5.819</v>
      </c>
    </row>
    <row r="157">
      <c r="A157" s="18" t="inlineStr">
        <is>
          <t>ConsulAdvisoryserviceReportableSegmentMember · 부문 간 내부매출·대체</t>
        </is>
      </c>
      <c r="C157" s="20" t="n">
        <v>17.874</v>
      </c>
      <c r="D157" s="20" t="n">
        <v>1.221</v>
      </c>
      <c r="E157" s="20" t="n">
        <v>-19.095</v>
      </c>
      <c r="G157" s="20" t="n">
        <v>0.584</v>
      </c>
      <c r="H157" s="20" t="n">
        <v>0.585</v>
      </c>
      <c r="I157" s="20" t="n">
        <v>0.585</v>
      </c>
      <c r="J157" s="20" t="n">
        <v>0.585</v>
      </c>
      <c r="K157" s="20" t="n">
        <v>10.194</v>
      </c>
      <c r="L157" s="20" t="n">
        <v>15</v>
      </c>
      <c r="M157" s="20" t="n">
        <v>0</v>
      </c>
      <c r="N157" s="20" t="n">
        <v>14.347</v>
      </c>
      <c r="W157" s="20" t="n">
        <v>0.585</v>
      </c>
      <c r="X157" s="20" t="n">
        <v>14.347</v>
      </c>
    </row>
    <row r="158">
      <c r="A158" s="18" t="inlineStr">
        <is>
          <t>보고부문 합계 · 부문 간 내부매출·대체</t>
        </is>
      </c>
      <c r="C158" s="20" t="n">
        <v>19.093</v>
      </c>
      <c r="D158" s="20" t="n">
        <v>8.026</v>
      </c>
      <c r="E158" s="20" t="n">
        <v>-13.456</v>
      </c>
      <c r="F158" s="20" t="n">
        <v>27.505</v>
      </c>
      <c r="G158" s="20" t="n">
        <v>5.805</v>
      </c>
      <c r="H158" s="20" t="n">
        <v>4.556</v>
      </c>
      <c r="I158" s="20" t="n">
        <v>6.366</v>
      </c>
      <c r="J158" s="20" t="n">
        <v>10.886</v>
      </c>
      <c r="K158" s="20" t="n">
        <v>21.01</v>
      </c>
      <c r="L158" s="20" t="n">
        <v>26.803</v>
      </c>
      <c r="M158" s="20" t="n">
        <v>7.699</v>
      </c>
      <c r="N158" s="20" t="n">
        <v>21.415</v>
      </c>
      <c r="V158" s="20" t="n">
        <v>27.505</v>
      </c>
      <c r="W158" s="20" t="n">
        <v>10.886</v>
      </c>
      <c r="X158" s="20" t="n">
        <v>21.415</v>
      </c>
    </row>
    <row r="159">
      <c r="A159" s="18" t="inlineStr">
        <is>
          <t>기타 · 부문 간 내부매출·대체</t>
        </is>
      </c>
      <c r="C159" s="20" t="n">
        <v>-19.093</v>
      </c>
      <c r="D159" s="20" t="n">
        <v>-8.026</v>
      </c>
      <c r="G159" s="20" t="n">
        <v>-5.805</v>
      </c>
      <c r="H159" s="20" t="n">
        <v>-4.556</v>
      </c>
      <c r="K159" s="20" t="n">
        <v>-21.01</v>
      </c>
      <c r="L159" s="20" t="n">
        <v>-26.803</v>
      </c>
    </row>
    <row r="160">
      <c r="A160" s="18" t="inlineStr">
        <is>
          <t>조정액 · 부문 간 내부매출·대체</t>
        </is>
      </c>
      <c r="J160" s="20" t="n">
        <v>-10.886</v>
      </c>
      <c r="N160" s="20" t="n">
        <v>-21.415</v>
      </c>
      <c r="W160" s="20" t="n">
        <v>-10.886</v>
      </c>
      <c r="X160" s="20" t="n">
        <v>-21.415</v>
      </c>
    </row>
    <row r="161">
      <c r="A161" s="18" t="inlineStr">
        <is>
          <t>합계 · 부문 간 내부매출·대체</t>
        </is>
      </c>
      <c r="C161" s="20" t="n">
        <v>0</v>
      </c>
      <c r="D161" s="20" t="n">
        <v>0</v>
      </c>
      <c r="E161" s="20" t="n">
        <v>0</v>
      </c>
      <c r="F161" s="20" t="n">
        <v>0</v>
      </c>
      <c r="G161" s="20" t="n">
        <v>0</v>
      </c>
      <c r="H161" s="20" t="n">
        <v>0</v>
      </c>
      <c r="I161" s="20" t="n">
        <v>0</v>
      </c>
      <c r="J161" s="20" t="n">
        <v>0</v>
      </c>
      <c r="K161" s="20" t="n">
        <v>0</v>
      </c>
      <c r="L161" s="20" t="n">
        <v>0</v>
      </c>
      <c r="M161" s="20" t="n">
        <v>0</v>
      </c>
      <c r="N161" s="20" t="n">
        <v>0</v>
      </c>
      <c r="V161" s="20" t="n">
        <v>0</v>
      </c>
      <c r="W161" s="20" t="n">
        <v>0</v>
      </c>
      <c r="X161" s="20" t="n">
        <v>0</v>
      </c>
    </row>
    <row r="162">
      <c r="A162" s="18" t="inlineStr">
        <is>
          <t>EngineerplatformserviceReportableSegmentMember · 계</t>
        </is>
      </c>
      <c r="C162" s="20" t="n">
        <v>2989.297</v>
      </c>
      <c r="D162" s="20" t="n">
        <v>2998.66</v>
      </c>
      <c r="E162" s="20" t="n">
        <v>3259.68</v>
      </c>
      <c r="F162" s="20" t="n">
        <v>3520.165</v>
      </c>
      <c r="G162" s="20" t="n">
        <v>3662.52</v>
      </c>
      <c r="H162" s="20" t="n">
        <v>3894.61</v>
      </c>
      <c r="I162" s="20" t="n">
        <v>4034.028</v>
      </c>
      <c r="J162" s="20" t="n">
        <v>4181.09</v>
      </c>
      <c r="K162" s="20" t="n">
        <v>4287.142</v>
      </c>
      <c r="L162" s="20" t="n">
        <v>4343.391</v>
      </c>
      <c r="M162" s="20" t="n">
        <v>4467.079</v>
      </c>
      <c r="N162" s="20" t="n">
        <v>4536.891</v>
      </c>
      <c r="V162" s="20" t="n">
        <v>3520.165</v>
      </c>
      <c r="W162" s="20" t="n">
        <v>4181.09</v>
      </c>
      <c r="X162" s="20" t="n">
        <v>4536.891</v>
      </c>
    </row>
    <row r="163">
      <c r="A163" s="43" t="inlineStr">
        <is>
          <t>YoY</t>
        </is>
      </c>
      <c r="B163" s="3" t="inlineStr">
        <is>
          <t>전년 같은 분기·전년 대비</t>
        </is>
      </c>
      <c r="G163" s="15">
        <f>IF(OR(G162="",C162=""),"",IF(C162&lt;=0,"",IFERROR(G162/C162-1,"")))</f>
        <v/>
      </c>
      <c r="H163" s="15">
        <f>IF(OR(H162="",D162=""),"",IF(D162&lt;=0,"",IFERROR(H162/D162-1,"")))</f>
        <v/>
      </c>
      <c r="I163" s="15">
        <f>IF(OR(I162="",E162=""),"",IF(E162&lt;=0,"",IFERROR(I162/E162-1,"")))</f>
        <v/>
      </c>
      <c r="J163" s="15">
        <f>IF(OR(J162="",F162=""),"",IF(F162&lt;=0,"",IFERROR(J162/F162-1,"")))</f>
        <v/>
      </c>
      <c r="K163" s="15">
        <f>IF(OR(K162="",G162=""),"",IF(G162&lt;=0,"",IFERROR(K162/G162-1,"")))</f>
        <v/>
      </c>
      <c r="L163" s="15">
        <f>IF(OR(L162="",H162=""),"",IF(H162&lt;=0,"",IFERROR(L162/H162-1,"")))</f>
        <v/>
      </c>
      <c r="M163" s="15">
        <f>IF(OR(M162="",I162=""),"",IF(I162&lt;=0,"",IFERROR(M162/I162-1,"")))</f>
        <v/>
      </c>
      <c r="N163" s="15">
        <f>IF(OR(N162="",J162=""),"",IF(J162&lt;=0,"",IFERROR(N162/J162-1,"")))</f>
        <v/>
      </c>
      <c r="V163" s="15">
        <f>IF(OR(V162="",U162=""),"",IF(U162&lt;=0,"",IFERROR(V162/U162-1,"")))</f>
        <v/>
      </c>
      <c r="W163" s="15">
        <f>IF(OR(W162="",V162=""),"",IF(V162&lt;=0,"",IFERROR(W162/V162-1,"")))</f>
        <v/>
      </c>
      <c r="X163" s="15">
        <f>IF(OR(X162="",W162=""),"",IF(W162&lt;=0,"",IFERROR(X162/W162-1,"")))</f>
        <v/>
      </c>
    </row>
    <row r="164">
      <c r="A164" s="18" t="inlineStr">
        <is>
          <t>MarketingplatformserviceReportableSegmentMember · 계</t>
        </is>
      </c>
      <c r="C164" s="20" t="n">
        <v>140.496</v>
      </c>
      <c r="D164" s="20" t="n">
        <v>147.069</v>
      </c>
      <c r="E164" s="20" t="n">
        <v>109.429</v>
      </c>
      <c r="F164" s="20" t="n">
        <v>112.576</v>
      </c>
      <c r="G164" s="20" t="n">
        <v>128.756</v>
      </c>
      <c r="H164" s="20" t="n">
        <v>109.13</v>
      </c>
      <c r="I164" s="20" t="n">
        <v>113.214</v>
      </c>
      <c r="J164" s="20" t="n">
        <v>114.675</v>
      </c>
      <c r="K164" s="20" t="n">
        <v>100.291</v>
      </c>
      <c r="L164" s="20" t="n">
        <v>106.432</v>
      </c>
      <c r="M164" s="20" t="n">
        <v>116.888</v>
      </c>
      <c r="N164" s="20" t="n">
        <v>474.53</v>
      </c>
      <c r="V164" s="20" t="n">
        <v>112.576</v>
      </c>
      <c r="W164" s="20" t="n">
        <v>114.675</v>
      </c>
      <c r="X164" s="20" t="n">
        <v>474.53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H165" s="15">
        <f>IF(OR(H164="",D164=""),"",IF(D164&lt;=0,"",IFERROR(H164/D164-1,"")))</f>
        <v/>
      </c>
      <c r="I165" s="15">
        <f>IF(OR(I164="",E164=""),"",IF(E164&lt;=0,"",IFERROR(I164/E164-1,"")))</f>
        <v/>
      </c>
      <c r="J165" s="15">
        <f>IF(OR(J164="",F164=""),"",IF(F164&lt;=0,"",IFERROR(J164/F164-1,"")))</f>
        <v/>
      </c>
      <c r="K165" s="15">
        <f>IF(OR(K164="",G164=""),"",IF(G164&lt;=0,"",IFERROR(K164/G164-1,"")))</f>
        <v/>
      </c>
      <c r="L165" s="15">
        <f>IF(OR(L164="",H164=""),"",IF(H164&lt;=0,"",IFERROR(L164/H164-1,"")))</f>
        <v/>
      </c>
      <c r="M165" s="15">
        <f>IF(OR(M164="",I164=""),"",IF(I164&lt;=0,"",IFERROR(M164/I164-1,"")))</f>
        <v/>
      </c>
      <c r="N165" s="15">
        <f>IF(OR(N164="",J164=""),"",IF(J164&lt;=0,"",IFERROR(N164/J164-1,"")))</f>
        <v/>
      </c>
      <c r="V165" s="15">
        <f>IF(OR(V164="",U164=""),"",IF(U164&lt;=0,"",IFERROR(V164/U164-1,"")))</f>
        <v/>
      </c>
      <c r="W165" s="15">
        <f>IF(OR(W164="",V164=""),"",IF(V164&lt;=0,"",IFERROR(W164/V164-1,"")))</f>
        <v/>
      </c>
      <c r="X165" s="15">
        <f>IF(OR(X164="",W164=""),"",IF(W164&lt;=0,"",IFERROR(X164/W164-1,"")))</f>
        <v/>
      </c>
    </row>
    <row r="166">
      <c r="A166" s="18" t="inlineStr">
        <is>
          <t>ConsulAdvisoryserviceReportableSegmentMember · 계</t>
        </is>
      </c>
      <c r="C166" s="20" t="n">
        <v>108.768</v>
      </c>
      <c r="D166" s="20" t="n">
        <v>133.629</v>
      </c>
      <c r="E166" s="20" t="n">
        <v>208.699</v>
      </c>
      <c r="G166" s="20" t="n">
        <v>351.928</v>
      </c>
      <c r="H166" s="20" t="n">
        <v>892.313</v>
      </c>
      <c r="I166" s="20" t="n">
        <v>232.767</v>
      </c>
      <c r="J166" s="20" t="n">
        <v>389.947</v>
      </c>
      <c r="K166" s="20" t="n">
        <v>1374.071</v>
      </c>
      <c r="L166" s="20" t="n">
        <v>498.301</v>
      </c>
      <c r="M166" s="20" t="n">
        <v>641.104</v>
      </c>
      <c r="N166" s="20" t="n">
        <v>935.9349999999999</v>
      </c>
      <c r="W166" s="20" t="n">
        <v>389.947</v>
      </c>
      <c r="X166" s="20" t="n">
        <v>935.9349999999999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보고부문 합계 · 계</t>
        </is>
      </c>
      <c r="C168" s="20" t="n">
        <v>3238.561</v>
      </c>
      <c r="D168" s="20" t="n">
        <v>3279.359</v>
      </c>
      <c r="E168" s="20" t="n">
        <v>3577.808</v>
      </c>
      <c r="F168" s="20" t="n">
        <v>4236.322</v>
      </c>
      <c r="G168" s="20" t="n">
        <v>4143.205</v>
      </c>
      <c r="H168" s="20" t="n">
        <v>4776.236</v>
      </c>
      <c r="I168" s="20" t="n">
        <v>4499.826</v>
      </c>
      <c r="J168" s="20" t="n">
        <v>4685.713</v>
      </c>
      <c r="K168" s="20" t="n">
        <v>5761.505</v>
      </c>
      <c r="L168" s="20" t="n">
        <v>4948.124</v>
      </c>
      <c r="M168" s="20" t="n">
        <v>5225.071</v>
      </c>
      <c r="N168" s="20" t="n">
        <v>5947.356</v>
      </c>
      <c r="V168" s="20" t="n">
        <v>4236.322</v>
      </c>
      <c r="W168" s="20" t="n">
        <v>4685.713</v>
      </c>
      <c r="X168" s="20" t="n">
        <v>5947.356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G169" s="15">
        <f>IF(OR(G168="",C168=""),"",IF(C168&lt;=0,"",IFERROR(G168/C168-1,"")))</f>
        <v/>
      </c>
      <c r="H169" s="15">
        <f>IF(OR(H168="",D168=""),"",IF(D168&lt;=0,"",IFERROR(H168/D168-1,"")))</f>
        <v/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K169" s="15">
        <f>IF(OR(K168="",G168=""),"",IF(G168&lt;=0,"",IFERROR(K168/G168-1,"")))</f>
        <v/>
      </c>
      <c r="L169" s="15">
        <f>IF(OR(L168="",H168=""),"",IF(H168&lt;=0,"",IFERROR(L168/H168-1,"")))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기타 · 계</t>
        </is>
      </c>
      <c r="C170" s="20" t="n">
        <v>-19.093</v>
      </c>
      <c r="D170" s="20" t="n">
        <v>-8.026</v>
      </c>
      <c r="G170" s="20" t="n">
        <v>-5.805</v>
      </c>
      <c r="H170" s="20" t="n">
        <v>-4.556</v>
      </c>
      <c r="K170" s="20" t="n">
        <v>-21.01</v>
      </c>
      <c r="L170" s="20" t="n">
        <v>-26.803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</row>
    <row r="172">
      <c r="A172" s="18" t="inlineStr">
        <is>
          <t>조정액 · 계</t>
        </is>
      </c>
      <c r="J172" s="20" t="n">
        <v>-10.886</v>
      </c>
      <c r="N172" s="20" t="n">
        <v>-21.415</v>
      </c>
      <c r="W172" s="20" t="n">
        <v>-10.886</v>
      </c>
      <c r="X172" s="20" t="n">
        <v>-21.415</v>
      </c>
    </row>
    <row r="173">
      <c r="A173" s="18" t="inlineStr">
        <is>
          <t>합계 · 계</t>
        </is>
      </c>
      <c r="C173" s="20" t="n">
        <v>3219.468</v>
      </c>
      <c r="D173" s="20" t="n">
        <v>3271.332</v>
      </c>
      <c r="E173" s="20" t="n">
        <v>3591.264</v>
      </c>
      <c r="F173" s="20" t="n">
        <v>4208.818</v>
      </c>
      <c r="G173" s="20" t="n">
        <v>4137.399</v>
      </c>
      <c r="H173" s="20" t="n">
        <v>4771.681</v>
      </c>
      <c r="I173" s="20" t="n">
        <v>4493.459</v>
      </c>
      <c r="J173" s="20" t="n">
        <v>4674.827</v>
      </c>
      <c r="K173" s="20" t="n">
        <v>5740.495</v>
      </c>
      <c r="L173" s="20" t="n">
        <v>4921.32</v>
      </c>
      <c r="M173" s="20" t="n">
        <v>5217.372</v>
      </c>
      <c r="N173" s="20" t="n">
        <v>5925.942</v>
      </c>
      <c r="V173" s="20" t="n">
        <v>4208.818</v>
      </c>
      <c r="W173" s="20" t="n">
        <v>4674.827</v>
      </c>
      <c r="X173" s="20" t="n">
        <v>5925.942</v>
      </c>
    </row>
    <row r="174">
      <c r="A174" s="43" t="inlineStr">
        <is>
          <t>YoY</t>
        </is>
      </c>
      <c r="B174" s="3" t="inlineStr">
        <is>
          <t>전년 같은 분기·전년 대비</t>
        </is>
      </c>
      <c r="G174" s="15">
        <f>IF(OR(G173="",C173=""),"",IF(C173&lt;=0,"",IFERROR(G173/C173-1,"")))</f>
        <v/>
      </c>
      <c r="H174" s="15">
        <f>IF(OR(H173="",D173=""),"",IF(D173&lt;=0,"",IFERROR(H173/D173-1,"")))</f>
        <v/>
      </c>
      <c r="I174" s="15">
        <f>IF(OR(I173="",E173=""),"",IF(E173&lt;=0,"",IFERROR(I173/E173-1,"")))</f>
        <v/>
      </c>
      <c r="J174" s="15">
        <f>IF(OR(J173="",F173=""),"",IF(F173&lt;=0,"",IFERROR(J173/F173-1,"")))</f>
        <v/>
      </c>
      <c r="K174" s="15">
        <f>IF(OR(K173="",G173=""),"",IF(G173&lt;=0,"",IFERROR(K173/G173-1,"")))</f>
        <v/>
      </c>
      <c r="L174" s="15">
        <f>IF(OR(L173="",H173=""),"",IF(H173&lt;=0,"",IFERROR(L173/H173-1,"")))</f>
        <v/>
      </c>
      <c r="M174" s="15">
        <f>IF(OR(M173="",I173=""),"",IF(I173&lt;=0,"",IFERROR(M173/I173-1,"")))</f>
        <v/>
      </c>
      <c r="N174" s="15">
        <f>IF(OR(N173="",J173=""),"",IF(J173&lt;=0,"",IFERROR(N173/J173-1,"")))</f>
        <v/>
      </c>
      <c r="V174" s="15">
        <f>IF(OR(V173="",U173=""),"",IF(U173&lt;=0,"",IFERROR(V173/U173-1,"")))</f>
        <v/>
      </c>
      <c r="W174" s="15">
        <f>IF(OR(W173="",V173=""),"",IF(V173&lt;=0,"",IFERROR(W173/V173-1,"")))</f>
        <v/>
      </c>
      <c r="X174" s="15">
        <f>IF(OR(X173="",W173=""),"",IF(W173&lt;=0,"",IFERROR(X173/W173-1,"")))</f>
        <v/>
      </c>
    </row>
    <row r="175">
      <c r="A175" s="18" t="inlineStr">
        <is>
          <t>EngineerplatformserviceReportableSegmentMember · 부문 이익</t>
        </is>
      </c>
      <c r="C175" s="20" t="n">
        <v>274.969</v>
      </c>
      <c r="D175" s="20" t="n">
        <v>212.798</v>
      </c>
      <c r="E175" s="20" t="n">
        <v>255.318</v>
      </c>
      <c r="F175" s="20" t="n">
        <v>357.367</v>
      </c>
      <c r="G175" s="20" t="n">
        <v>389.73</v>
      </c>
      <c r="H175" s="20" t="n">
        <v>342.801</v>
      </c>
      <c r="I175" s="20" t="n">
        <v>228.123</v>
      </c>
      <c r="J175" s="20" t="n">
        <v>187.607</v>
      </c>
      <c r="K175" s="20" t="n">
        <v>238.473</v>
      </c>
      <c r="L175" s="20" t="n">
        <v>356.558</v>
      </c>
      <c r="M175" s="20" t="n">
        <v>425.058</v>
      </c>
      <c r="N175" s="20" t="n">
        <v>414.939</v>
      </c>
      <c r="V175" s="20" t="n">
        <v>357.367</v>
      </c>
      <c r="W175" s="20" t="n">
        <v>187.607</v>
      </c>
      <c r="X175" s="20" t="n">
        <v>414.939</v>
      </c>
    </row>
    <row r="176">
      <c r="A176" s="43" t="inlineStr">
        <is>
          <t>OPM</t>
        </is>
      </c>
      <c r="B176" s="3" t="inlineStr">
        <is>
          <t>영업이익 ÷ 매출</t>
        </is>
      </c>
      <c r="C176" s="15">
        <f>IF(OR(C175="",C162=""),"",IF(C162&lt;=0,"",IFERROR(C175/C162,"")))</f>
        <v/>
      </c>
      <c r="D176" s="15">
        <f>IF(OR(D175="",D162=""),"",IF(D162&lt;=0,"",IFERROR(D175/D162,"")))</f>
        <v/>
      </c>
      <c r="E176" s="15">
        <f>IF(OR(E175="",E162=""),"",IF(E162&lt;=0,"",IFERROR(E175/E162,"")))</f>
        <v/>
      </c>
      <c r="F176" s="15">
        <f>IF(OR(F175="",F162=""),"",IF(F162&lt;=0,"",IFERROR(F175/F162,"")))</f>
        <v/>
      </c>
      <c r="G176" s="15">
        <f>IF(OR(G175="",G162=""),"",IF(G162&lt;=0,"",IFERROR(G175/G162,"")))</f>
        <v/>
      </c>
      <c r="H176" s="15">
        <f>IF(OR(H175="",H162=""),"",IF(H162&lt;=0,"",IFERROR(H175/H162,"")))</f>
        <v/>
      </c>
      <c r="I176" s="15">
        <f>IF(OR(I175="",I162=""),"",IF(I162&lt;=0,"",IFERROR(I175/I162,"")))</f>
        <v/>
      </c>
      <c r="J176" s="15">
        <f>IF(OR(J175="",J162=""),"",IF(J162&lt;=0,"",IFERROR(J175/J162,"")))</f>
        <v/>
      </c>
      <c r="K176" s="15">
        <f>IF(OR(K175="",K162=""),"",IF(K162&lt;=0,"",IFERROR(K175/K162,"")))</f>
        <v/>
      </c>
      <c r="L176" s="15">
        <f>IF(OR(L175="",L162=""),"",IF(L162&lt;=0,"",IFERROR(L175/L162,"")))</f>
        <v/>
      </c>
      <c r="M176" s="15">
        <f>IF(OR(M175="",M162=""),"",IF(M162&lt;=0,"",IFERROR(M175/M162,"")))</f>
        <v/>
      </c>
      <c r="N176" s="15">
        <f>IF(OR(N175="",N162=""),"",IF(N162&lt;=0,"",IFERROR(N175/N162,"")))</f>
        <v/>
      </c>
      <c r="V176" s="15">
        <f>IF(OR(V175="",V162=""),"",IF(V162&lt;=0,"",IFERROR(V175/V162,"")))</f>
        <v/>
      </c>
      <c r="W176" s="15">
        <f>IF(OR(W175="",W162=""),"",IF(W162&lt;=0,"",IFERROR(W175/W162,"")))</f>
        <v/>
      </c>
      <c r="X176" s="15">
        <f>IF(OR(X175="",X162=""),"",IF(X162&lt;=0,"",IFERROR(X175/X162,"")))</f>
        <v/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IF(OR(G175="",C175=""),"",IF(C175&lt;=0,"",IFERROR(G175/C175-1,"")))</f>
        <v/>
      </c>
      <c r="H177" s="15">
        <f>IF(OR(H175="",D175=""),"",IF(D175&lt;=0,"",IFERROR(H175/D175-1,"")))</f>
        <v/>
      </c>
      <c r="I177" s="15">
        <f>IF(OR(I175="",E175=""),"",IF(E175&lt;=0,"",IFERROR(I175/E175-1,"")))</f>
        <v/>
      </c>
      <c r="J177" s="15">
        <f>IF(OR(J175="",F175=""),"",IF(F175&lt;=0,"",IFERROR(J175/F175-1,"")))</f>
        <v/>
      </c>
      <c r="K177" s="15">
        <f>IF(OR(K175="",G175=""),"",IF(G175&lt;=0,"",IFERROR(K175/G175-1,"")))</f>
        <v/>
      </c>
      <c r="L177" s="15">
        <f>IF(OR(L175="",H175=""),"",IF(H175&lt;=0,"",IFERROR(L175/H175-1,"")))</f>
        <v/>
      </c>
      <c r="M177" s="15">
        <f>IF(OR(M175="",I175=""),"",IF(I175&lt;=0,"",IFERROR(M175/I175-1,"")))</f>
        <v/>
      </c>
      <c r="N177" s="15">
        <f>IF(OR(N175="",J175=""),"",IF(J175&lt;=0,"",IFERROR(N175/J175-1,"")))</f>
        <v/>
      </c>
      <c r="V177" s="15">
        <f>IF(OR(V175="",U175=""),"",IF(U175&lt;=0,"",IFERROR(V175/U175-1,"")))</f>
        <v/>
      </c>
      <c r="W177" s="15">
        <f>IF(OR(W175="",V175=""),"",IF(V175&lt;=0,"",IFERROR(W175/V175-1,"")))</f>
        <v/>
      </c>
      <c r="X177" s="15">
        <f>IF(OR(X175="",W175=""),"",IF(W175&lt;=0,"",IFERROR(X175/W175-1,"")))</f>
        <v/>
      </c>
    </row>
    <row r="178">
      <c r="A178" s="18" t="inlineStr">
        <is>
          <t>MarketingplatformserviceReportableSegmentMember · 부문 이익</t>
        </is>
      </c>
      <c r="C178" s="20" t="n">
        <v>11.261</v>
      </c>
      <c r="D178" s="20" t="n">
        <v>22.431</v>
      </c>
      <c r="E178" s="20" t="n">
        <v>2.719</v>
      </c>
      <c r="F178" s="20" t="n">
        <v>3.838</v>
      </c>
      <c r="G178" s="20" t="n">
        <v>27.935</v>
      </c>
      <c r="H178" s="20" t="n">
        <v>10.048</v>
      </c>
      <c r="I178" s="20" t="n">
        <v>11.234</v>
      </c>
      <c r="J178" s="20" t="n">
        <v>-0.5649999999999999</v>
      </c>
      <c r="K178" s="20" t="n">
        <v>-9.981999999999999</v>
      </c>
      <c r="L178" s="20" t="n">
        <v>0.399</v>
      </c>
      <c r="M178" s="20" t="n">
        <v>-2.257</v>
      </c>
      <c r="N178" s="20" t="n">
        <v>22.486</v>
      </c>
      <c r="V178" s="20" t="n">
        <v>3.838</v>
      </c>
      <c r="W178" s="20" t="n">
        <v>-0.5649999999999999</v>
      </c>
      <c r="X178" s="20" t="n">
        <v>22.486</v>
      </c>
    </row>
    <row r="179">
      <c r="A179" s="43" t="inlineStr">
        <is>
          <t>OPM</t>
        </is>
      </c>
      <c r="B179" s="3" t="inlineStr">
        <is>
          <t>영업이익 ÷ 매출</t>
        </is>
      </c>
      <c r="C179" s="15">
        <f>IF(OR(C178="",C164=""),"",IF(C164&lt;=0,"",IFERROR(C178/C164,"")))</f>
        <v/>
      </c>
      <c r="D179" s="15">
        <f>IF(OR(D178="",D164=""),"",IF(D164&lt;=0,"",IFERROR(D178/D164,"")))</f>
        <v/>
      </c>
      <c r="E179" s="15">
        <f>IF(OR(E178="",E164=""),"",IF(E164&lt;=0,"",IFERROR(E178/E164,"")))</f>
        <v/>
      </c>
      <c r="F179" s="15">
        <f>IF(OR(F178="",F164=""),"",IF(F164&lt;=0,"",IFERROR(F178/F164,"")))</f>
        <v/>
      </c>
      <c r="G179" s="15">
        <f>IF(OR(G178="",G164=""),"",IF(G164&lt;=0,"",IFERROR(G178/G164,"")))</f>
        <v/>
      </c>
      <c r="H179" s="15">
        <f>IF(OR(H178="",H164=""),"",IF(H164&lt;=0,"",IFERROR(H178/H164,"")))</f>
        <v/>
      </c>
      <c r="I179" s="15">
        <f>IF(OR(I178="",I164=""),"",IF(I164&lt;=0,"",IFERROR(I178/I164,"")))</f>
        <v/>
      </c>
      <c r="J179" s="15">
        <f>IF(OR(J178="",J164=""),"",IF(J164&lt;=0,"",IFERROR(J178/J164,"")))</f>
        <v/>
      </c>
      <c r="K179" s="15">
        <f>IF(OR(K178="",K164=""),"",IF(K164&lt;=0,"",IFERROR(K178/K164,"")))</f>
        <v/>
      </c>
      <c r="L179" s="15">
        <f>IF(OR(L178="",L164=""),"",IF(L164&lt;=0,"",IFERROR(L178/L164,"")))</f>
        <v/>
      </c>
      <c r="M179" s="15">
        <f>IF(OR(M178="",M164=""),"",IF(M164&lt;=0,"",IFERROR(M178/M164,"")))</f>
        <v/>
      </c>
      <c r="N179" s="15">
        <f>IF(OR(N178="",N164=""),"",IF(N164&lt;=0,"",IFERROR(N178/N164,"")))</f>
        <v/>
      </c>
      <c r="V179" s="15">
        <f>IF(OR(V178="",V164=""),"",IF(V164&lt;=0,"",IFERROR(V178/V164,"")))</f>
        <v/>
      </c>
      <c r="W179" s="15">
        <f>IF(OR(W178="",W164=""),"",IF(W164&lt;=0,"",IFERROR(W178/W164,"")))</f>
        <v/>
      </c>
      <c r="X179" s="15">
        <f>IF(OR(X178="",X164=""),"",IF(X164&lt;=0,"",IFERROR(X178/X164,"")))</f>
        <v/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IF(OR(G178="",C178=""),"",IF(C178&lt;=0,"",IFERROR(G178/C178-1,"")))</f>
        <v/>
      </c>
      <c r="H180" s="15">
        <f>IF(OR(H178="",D178=""),"",IF(D178&lt;=0,"",IFERROR(H178/D178-1,"")))</f>
        <v/>
      </c>
      <c r="I180" s="15">
        <f>IF(OR(I178="",E178=""),"",IF(E178&lt;=0,"",IFERROR(I178/E178-1,"")))</f>
        <v/>
      </c>
      <c r="J180" s="15">
        <f>IF(OR(J178="",F178=""),"",IF(F178&lt;=0,"",IFERROR(J178/F178-1,"")))</f>
        <v/>
      </c>
      <c r="K180" s="15">
        <f>IF(OR(K178="",G178=""),"",IF(G178&lt;=0,"",IFERROR(K178/G178-1,"")))</f>
        <v/>
      </c>
      <c r="L180" s="15">
        <f>IF(OR(L178="",H178=""),"",IF(H178&lt;=0,"",IFERROR(L178/H178-1,"")))</f>
        <v/>
      </c>
      <c r="M180" s="15">
        <f>IF(OR(M178="",I178=""),"",IF(I178&lt;=0,"",IFERROR(M178/I178-1,"")))</f>
        <v/>
      </c>
      <c r="N180" s="15">
        <f>IF(OR(N178="",J178=""),"",IF(J178&lt;=0,"",IFERROR(N178/J178-1,"")))</f>
        <v/>
      </c>
      <c r="V180" s="15">
        <f>IF(OR(V178="",U178=""),"",IF(U178&lt;=0,"",IFERROR(V178/U178-1,"")))</f>
        <v/>
      </c>
      <c r="W180" s="15">
        <f>IF(OR(W178="",V178=""),"",IF(V178&lt;=0,"",IFERROR(W178/V178-1,"")))</f>
        <v/>
      </c>
      <c r="X180" s="15">
        <f>IF(OR(X178="",W178=""),"",IF(W178&lt;=0,"",IFERROR(X178/W178-1,"")))</f>
        <v/>
      </c>
    </row>
    <row r="181">
      <c r="A181" s="18" t="inlineStr">
        <is>
          <t>ConsulAdvisoryserviceReportableSegmentMember · 부문 이익</t>
        </is>
      </c>
      <c r="C181" s="20" t="n">
        <v>-21.129</v>
      </c>
      <c r="D181" s="20" t="n">
        <v>8.741</v>
      </c>
      <c r="E181" s="20" t="n">
        <v>77.486</v>
      </c>
      <c r="G181" s="20" t="n">
        <v>73.51000000000001</v>
      </c>
      <c r="H181" s="20" t="n">
        <v>366.611</v>
      </c>
      <c r="I181" s="20" t="n">
        <v>59.712</v>
      </c>
      <c r="J181" s="20" t="n">
        <v>-12.359</v>
      </c>
      <c r="K181" s="20" t="n">
        <v>636.49</v>
      </c>
      <c r="L181" s="20" t="n">
        <v>-162.884</v>
      </c>
      <c r="M181" s="20" t="n">
        <v>-77.613</v>
      </c>
      <c r="N181" s="20" t="n">
        <v>27.062</v>
      </c>
      <c r="W181" s="20" t="n">
        <v>-12.359</v>
      </c>
      <c r="X181" s="20" t="n">
        <v>27.062</v>
      </c>
    </row>
    <row r="182">
      <c r="A182" s="43" t="inlineStr">
        <is>
          <t>OPM</t>
        </is>
      </c>
      <c r="B182" s="3" t="inlineStr">
        <is>
          <t>영업이익 ÷ 매출</t>
        </is>
      </c>
      <c r="C182" s="15">
        <f>IF(OR(C181="",C166=""),"",IF(C166&lt;=0,"",IFERROR(C181/C166,"")))</f>
        <v/>
      </c>
      <c r="D182" s="15">
        <f>IF(OR(D181="",D166=""),"",IF(D166&lt;=0,"",IFERROR(D181/D166,"")))</f>
        <v/>
      </c>
      <c r="E182" s="15">
        <f>IF(OR(E181="",E166=""),"",IF(E166&lt;=0,"",IFERROR(E181/E166,"")))</f>
        <v/>
      </c>
      <c r="G182" s="15">
        <f>IF(OR(G181="",G166=""),"",IF(G166&lt;=0,"",IFERROR(G181/G166,"")))</f>
        <v/>
      </c>
      <c r="H182" s="15">
        <f>IF(OR(H181="",H166=""),"",IF(H166&lt;=0,"",IFERROR(H181/H166,"")))</f>
        <v/>
      </c>
      <c r="I182" s="15">
        <f>IF(OR(I181="",I166=""),"",IF(I166&lt;=0,"",IFERROR(I181/I166,"")))</f>
        <v/>
      </c>
      <c r="J182" s="15">
        <f>IF(OR(J181="",J166=""),"",IF(J166&lt;=0,"",IFERROR(J181/J166,"")))</f>
        <v/>
      </c>
      <c r="K182" s="15">
        <f>IF(OR(K181="",K166=""),"",IF(K166&lt;=0,"",IFERROR(K181/K166,"")))</f>
        <v/>
      </c>
      <c r="L182" s="15">
        <f>IF(OR(L181="",L166=""),"",IF(L166&lt;=0,"",IFERROR(L181/L166,"")))</f>
        <v/>
      </c>
      <c r="M182" s="15">
        <f>IF(OR(M181="",M166=""),"",IF(M166&lt;=0,"",IFERROR(M181/M166,"")))</f>
        <v/>
      </c>
      <c r="N182" s="15">
        <f>IF(OR(N181="",N166=""),"",IF(N166&lt;=0,"",IFERROR(N181/N166,"")))</f>
        <v/>
      </c>
      <c r="W182" s="15">
        <f>IF(OR(W181="",W166=""),"",IF(W166&lt;=0,"",IFERROR(W181/W166,"")))</f>
        <v/>
      </c>
      <c r="X182" s="15">
        <f>IF(OR(X181="",X166=""),"",IF(X166&lt;=0,"",IFERROR(X181/X166,"")))</f>
        <v/>
      </c>
    </row>
    <row r="183">
      <c r="A183" s="43" t="inlineStr">
        <is>
          <t>YoY</t>
        </is>
      </c>
      <c r="B183" s="3" t="inlineStr">
        <is>
          <t>전년 같은 분기·전년 대비</t>
        </is>
      </c>
      <c r="G183" s="15">
        <f>IF(OR(G181="",C181=""),"",IF(C181&lt;=0,"",IFERROR(G181/C181-1,"")))</f>
        <v/>
      </c>
      <c r="H183" s="15">
        <f>IF(OR(H181="",D181=""),"",IF(D181&lt;=0,"",IFERROR(H181/D181-1,"")))</f>
        <v/>
      </c>
      <c r="I183" s="15">
        <f>IF(OR(I181="",E181=""),"",IF(E181&lt;=0,"",IFERROR(I181/E181-1,"")))</f>
        <v/>
      </c>
      <c r="J183" s="15">
        <f>IF(OR(J181="",F181=""),"",IF(F181&lt;=0,"",IFERROR(J181/F181-1,"")))</f>
        <v/>
      </c>
      <c r="K183" s="15">
        <f>IF(OR(K181="",G181=""),"",IF(G181&lt;=0,"",IFERROR(K181/G181-1,"")))</f>
        <v/>
      </c>
      <c r="L183" s="15">
        <f>IF(OR(L181="",H181=""),"",IF(H181&lt;=0,"",IFERROR(L181/H181-1,"")))</f>
        <v/>
      </c>
      <c r="M183" s="15">
        <f>IF(OR(M181="",I181=""),"",IF(I181&lt;=0,"",IFERROR(M181/I181-1,"")))</f>
        <v/>
      </c>
      <c r="N183" s="15">
        <f>IF(OR(N181="",J181=""),"",IF(J181&lt;=0,"",IFERROR(N181/J181-1,"")))</f>
        <v/>
      </c>
      <c r="W183" s="15">
        <f>IF(OR(W181="",V181=""),"",IF(V181&lt;=0,"",IFERROR(W181/V181-1,"")))</f>
        <v/>
      </c>
      <c r="X183" s="15">
        <f>IF(OR(X181="",W181=""),"",IF(W181&lt;=0,"",IFERROR(X181/W181-1,"")))</f>
        <v/>
      </c>
    </row>
    <row r="184">
      <c r="A184" s="18" t="inlineStr">
        <is>
          <t>보고부문 합계 · 부문 이익</t>
        </is>
      </c>
      <c r="C184" s="20" t="n">
        <v>265.102</v>
      </c>
      <c r="D184" s="20" t="n">
        <v>243.968</v>
      </c>
      <c r="E184" s="20" t="n">
        <v>335.524</v>
      </c>
      <c r="F184" s="20" t="n">
        <v>579.15</v>
      </c>
      <c r="G184" s="20" t="n">
        <v>491.176</v>
      </c>
      <c r="H184" s="20" t="n">
        <v>719.461</v>
      </c>
      <c r="I184" s="20" t="n">
        <v>299.069</v>
      </c>
      <c r="J184" s="20" t="n">
        <v>174.682</v>
      </c>
      <c r="K184" s="20" t="n">
        <v>864.981</v>
      </c>
      <c r="L184" s="20" t="n">
        <v>194.072</v>
      </c>
      <c r="M184" s="20" t="n">
        <v>345.189</v>
      </c>
      <c r="N184" s="20" t="n">
        <v>464.488</v>
      </c>
      <c r="V184" s="20" t="n">
        <v>579.15</v>
      </c>
      <c r="W184" s="20" t="n">
        <v>174.682</v>
      </c>
      <c r="X184" s="20" t="n">
        <v>464.488</v>
      </c>
    </row>
    <row r="185">
      <c r="A185" s="43" t="inlineStr">
        <is>
          <t>OPM</t>
        </is>
      </c>
      <c r="B185" s="3" t="inlineStr">
        <is>
          <t>영업이익 ÷ 매출</t>
        </is>
      </c>
      <c r="C185" s="15">
        <f>IF(OR(C184="",C168=""),"",IF(C168&lt;=0,"",IFERROR(C184/C168,"")))</f>
        <v/>
      </c>
      <c r="D185" s="15">
        <f>IF(OR(D184="",D168=""),"",IF(D168&lt;=0,"",IFERROR(D184/D168,"")))</f>
        <v/>
      </c>
      <c r="E185" s="15">
        <f>IF(OR(E184="",E168=""),"",IF(E168&lt;=0,"",IFERROR(E184/E168,"")))</f>
        <v/>
      </c>
      <c r="F185" s="15">
        <f>IF(OR(F184="",F168=""),"",IF(F168&lt;=0,"",IFERROR(F184/F168,"")))</f>
        <v/>
      </c>
      <c r="G185" s="15">
        <f>IF(OR(G184="",G168=""),"",IF(G168&lt;=0,"",IFERROR(G184/G168,"")))</f>
        <v/>
      </c>
      <c r="H185" s="15">
        <f>IF(OR(H184="",H168=""),"",IF(H168&lt;=0,"",IFERROR(H184/H168,"")))</f>
        <v/>
      </c>
      <c r="I185" s="15">
        <f>IF(OR(I184="",I168=""),"",IF(I168&lt;=0,"",IFERROR(I184/I168,"")))</f>
        <v/>
      </c>
      <c r="J185" s="15">
        <f>IF(OR(J184="",J168=""),"",IF(J168&lt;=0,"",IFERROR(J184/J168,"")))</f>
        <v/>
      </c>
      <c r="K185" s="15">
        <f>IF(OR(K184="",K168=""),"",IF(K168&lt;=0,"",IFERROR(K184/K168,"")))</f>
        <v/>
      </c>
      <c r="L185" s="15">
        <f>IF(OR(L184="",L168=""),"",IF(L168&lt;=0,"",IFERROR(L184/L168,"")))</f>
        <v/>
      </c>
      <c r="M185" s="15">
        <f>IF(OR(M184="",M168=""),"",IF(M168&lt;=0,"",IFERROR(M184/M168,"")))</f>
        <v/>
      </c>
      <c r="N185" s="15">
        <f>IF(OR(N184="",N168=""),"",IF(N168&lt;=0,"",IFERROR(N184/N168,"")))</f>
        <v/>
      </c>
      <c r="V185" s="15">
        <f>IF(OR(V184="",V168=""),"",IF(V168&lt;=0,"",IFERROR(V184/V168,"")))</f>
        <v/>
      </c>
      <c r="W185" s="15">
        <f>IF(OR(W184="",W168=""),"",IF(W168&lt;=0,"",IFERROR(W184/W168,"")))</f>
        <v/>
      </c>
      <c r="X185" s="15">
        <f>IF(OR(X184="",X168=""),"",IF(X168&lt;=0,"",IFERROR(X184/X168,"")))</f>
        <v/>
      </c>
    </row>
    <row r="186">
      <c r="A186" s="43" t="inlineStr">
        <is>
          <t>YoY</t>
        </is>
      </c>
      <c r="B186" s="3" t="inlineStr">
        <is>
          <t>전년 같은 분기·전년 대비</t>
        </is>
      </c>
      <c r="G186" s="15">
        <f>IF(OR(G184="",C184=""),"",IF(C184&lt;=0,"",IFERROR(G184/C184-1,"")))</f>
        <v/>
      </c>
      <c r="H186" s="15">
        <f>IF(OR(H184="",D184=""),"",IF(D184&lt;=0,"",IFERROR(H184/D184-1,"")))</f>
        <v/>
      </c>
      <c r="I186" s="15">
        <f>IF(OR(I184="",E184=""),"",IF(E184&lt;=0,"",IFERROR(I184/E184-1,"")))</f>
        <v/>
      </c>
      <c r="J186" s="15">
        <f>IF(OR(J184="",F184=""),"",IF(F184&lt;=0,"",IFERROR(J184/F184-1,"")))</f>
        <v/>
      </c>
      <c r="K186" s="15">
        <f>IF(OR(K184="",G184=""),"",IF(G184&lt;=0,"",IFERROR(K184/G184-1,"")))</f>
        <v/>
      </c>
      <c r="L186" s="15">
        <f>IF(OR(L184="",H184=""),"",IF(H184&lt;=0,"",IFERROR(L184/H184-1,"")))</f>
        <v/>
      </c>
      <c r="M186" s="15">
        <f>IF(OR(M184="",I184=""),"",IF(I184&lt;=0,"",IFERROR(M184/I184-1,"")))</f>
        <v/>
      </c>
      <c r="N186" s="15">
        <f>IF(OR(N184="",J184=""),"",IF(J184&lt;=0,"",IFERROR(N184/J184-1,"")))</f>
        <v/>
      </c>
      <c r="V186" s="15">
        <f>IF(OR(V184="",U184=""),"",IF(U184&lt;=0,"",IFERROR(V184/U184-1,"")))</f>
        <v/>
      </c>
      <c r="W186" s="15">
        <f>IF(OR(W184="",V184=""),"",IF(V184&lt;=0,"",IFERROR(W184/V184-1,"")))</f>
        <v/>
      </c>
      <c r="X186" s="15">
        <f>IF(OR(X184="",W184=""),"",IF(W184&lt;=0,"",IFERROR(X184/W184-1,"")))</f>
        <v/>
      </c>
    </row>
    <row r="187">
      <c r="A187" s="18" t="inlineStr">
        <is>
          <t>기타 · 부문 이익</t>
        </is>
      </c>
      <c r="C187" s="20" t="n">
        <v>-205.792</v>
      </c>
      <c r="D187" s="20" t="n">
        <v>-233.499</v>
      </c>
      <c r="G187" s="20" t="n">
        <v>-199.517</v>
      </c>
      <c r="H187" s="20" t="n">
        <v>-200.441</v>
      </c>
      <c r="K187" s="20" t="n">
        <v>-233.339</v>
      </c>
      <c r="L187" s="20" t="n">
        <v>-280.719</v>
      </c>
    </row>
    <row r="188">
      <c r="A188" s="43" t="inlineStr">
        <is>
          <t>OPM</t>
        </is>
      </c>
      <c r="B188" s="3" t="inlineStr">
        <is>
          <t>영업이익 ÷ 매출</t>
        </is>
      </c>
      <c r="C188" s="15">
        <f>IF(OR(C187="",C170=""),"",IF(C170&lt;=0,"",IFERROR(C187/C170,"")))</f>
        <v/>
      </c>
      <c r="D188" s="15">
        <f>IF(OR(D187="",D170=""),"",IF(D170&lt;=0,"",IFERROR(D187/D170,"")))</f>
        <v/>
      </c>
      <c r="G188" s="15">
        <f>IF(OR(G187="",G170=""),"",IF(G170&lt;=0,"",IFERROR(G187/G170,"")))</f>
        <v/>
      </c>
      <c r="H188" s="15">
        <f>IF(OR(H187="",H170=""),"",IF(H170&lt;=0,"",IFERROR(H187/H170,"")))</f>
        <v/>
      </c>
      <c r="K188" s="15">
        <f>IF(OR(K187="",K170=""),"",IF(K170&lt;=0,"",IFERROR(K187/K170,"")))</f>
        <v/>
      </c>
      <c r="L188" s="15">
        <f>IF(OR(L187="",L170=""),"",IF(L170&lt;=0,"",IFERROR(L187/L170,"")))</f>
        <v/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G189" s="15">
        <f>IF(OR(G187="",C187=""),"",IF(C187&lt;=0,"",IFERROR(G187/C187-1,"")))</f>
        <v/>
      </c>
      <c r="H189" s="15">
        <f>IF(OR(H187="",D187=""),"",IF(D187&lt;=0,"",IFERROR(H187/D187-1,"")))</f>
        <v/>
      </c>
      <c r="K189" s="15">
        <f>IF(OR(K187="",G187=""),"",IF(G187&lt;=0,"",IFERROR(K187/G187-1,"")))</f>
        <v/>
      </c>
      <c r="L189" s="15">
        <f>IF(OR(L187="",H187=""),"",IF(H187&lt;=0,"",IFERROR(L187/H187-1,"")))</f>
        <v/>
      </c>
    </row>
    <row r="190">
      <c r="A190" s="18" t="inlineStr">
        <is>
          <t>조정액 · 부문 이익</t>
        </is>
      </c>
      <c r="J190" s="20" t="n">
        <v>-239.003</v>
      </c>
      <c r="N190" s="20" t="n">
        <v>-256.539</v>
      </c>
      <c r="W190" s="20" t="n">
        <v>-239.003</v>
      </c>
      <c r="X190" s="20" t="n">
        <v>-256.539</v>
      </c>
    </row>
    <row r="191">
      <c r="A191" s="18" t="inlineStr">
        <is>
          <t>합계 · 부문 이익</t>
        </is>
      </c>
      <c r="C191" s="20" t="n">
        <v>59.309</v>
      </c>
      <c r="D191" s="20" t="n">
        <v>10.469</v>
      </c>
      <c r="E191" s="20" t="n">
        <v>80.938</v>
      </c>
      <c r="F191" s="20" t="n">
        <v>1273.028</v>
      </c>
      <c r="G191" s="20" t="n">
        <v>291.658</v>
      </c>
      <c r="H191" s="20" t="n">
        <v>519.02</v>
      </c>
      <c r="I191" s="20" t="n">
        <v>83.04600000000001</v>
      </c>
      <c r="J191" s="20" t="n">
        <v>-64.321</v>
      </c>
      <c r="K191" s="20" t="n">
        <v>631.6420000000001</v>
      </c>
      <c r="L191" s="20" t="n">
        <v>-86.64700000000001</v>
      </c>
      <c r="M191" s="20" t="n">
        <v>79</v>
      </c>
      <c r="N191" s="20" t="n">
        <v>207.949</v>
      </c>
      <c r="V191" s="20" t="n">
        <v>1273.028</v>
      </c>
      <c r="W191" s="20" t="n">
        <v>-64.321</v>
      </c>
      <c r="X191" s="20" t="n">
        <v>207.949</v>
      </c>
    </row>
    <row r="192">
      <c r="A192" s="43" t="inlineStr">
        <is>
          <t>OPM</t>
        </is>
      </c>
      <c r="B192" s="3" t="inlineStr">
        <is>
          <t>영업이익 ÷ 매출</t>
        </is>
      </c>
      <c r="C192" s="15">
        <f>IF(OR(C191="",C173=""),"",IF(C173&lt;=0,"",IFERROR(C191/C173,"")))</f>
        <v/>
      </c>
      <c r="D192" s="15">
        <f>IF(OR(D191="",D173=""),"",IF(D173&lt;=0,"",IFERROR(D191/D173,"")))</f>
        <v/>
      </c>
      <c r="E192" s="15">
        <f>IF(OR(E191="",E173=""),"",IF(E173&lt;=0,"",IFERROR(E191/E173,"")))</f>
        <v/>
      </c>
      <c r="F192" s="15">
        <f>IF(OR(F191="",F173=""),"",IF(F173&lt;=0,"",IFERROR(F191/F173,"")))</f>
        <v/>
      </c>
      <c r="G192" s="15">
        <f>IF(OR(G191="",G173=""),"",IF(G173&lt;=0,"",IFERROR(G191/G173,"")))</f>
        <v/>
      </c>
      <c r="H192" s="15">
        <f>IF(OR(H191="",H173=""),"",IF(H173&lt;=0,"",IFERROR(H191/H173,"")))</f>
        <v/>
      </c>
      <c r="I192" s="15">
        <f>IF(OR(I191="",I173=""),"",IF(I173&lt;=0,"",IFERROR(I191/I173,"")))</f>
        <v/>
      </c>
      <c r="J192" s="15">
        <f>IF(OR(J191="",J173=""),"",IF(J173&lt;=0,"",IFERROR(J191/J173,"")))</f>
        <v/>
      </c>
      <c r="K192" s="15">
        <f>IF(OR(K191="",K173=""),"",IF(K173&lt;=0,"",IFERROR(K191/K173,"")))</f>
        <v/>
      </c>
      <c r="L192" s="15">
        <f>IF(OR(L191="",L173=""),"",IF(L173&lt;=0,"",IFERROR(L191/L173,"")))</f>
        <v/>
      </c>
      <c r="M192" s="15">
        <f>IF(OR(M191="",M173=""),"",IF(M173&lt;=0,"",IFERROR(M191/M173,"")))</f>
        <v/>
      </c>
      <c r="N192" s="15">
        <f>IF(OR(N191="",N173=""),"",IF(N173&lt;=0,"",IFERROR(N191/N173,"")))</f>
        <v/>
      </c>
      <c r="V192" s="15">
        <f>IF(OR(V191="",V173=""),"",IF(V173&lt;=0,"",IFERROR(V191/V173,"")))</f>
        <v/>
      </c>
      <c r="W192" s="15">
        <f>IF(OR(W191="",W173=""),"",IF(W173&lt;=0,"",IFERROR(W191/W173,"")))</f>
        <v/>
      </c>
      <c r="X192" s="15">
        <f>IF(OR(X191="",X173=""),"",IF(X173&lt;=0,"",IFERROR(X191/X173,"")))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G193" s="15">
        <f>IF(OR(G191="",C191=""),"",IF(C191&lt;=0,"",IFERROR(G191/C191-1,"")))</f>
        <v/>
      </c>
      <c r="H193" s="15">
        <f>IF(OR(H191="",D191=""),"",IF(D191&lt;=0,"",IFERROR(H191/D191-1,"")))</f>
        <v/>
      </c>
      <c r="I193" s="15">
        <f>IF(OR(I191="",E191=""),"",IF(E191&lt;=0,"",IFERROR(I191/E191-1,"")))</f>
        <v/>
      </c>
      <c r="J193" s="15">
        <f>IF(OR(J191="",F191=""),"",IF(F191&lt;=0,"",IFERROR(J191/F191-1,"")))</f>
        <v/>
      </c>
      <c r="K193" s="15">
        <f>IF(OR(K191="",G191=""),"",IF(G191&lt;=0,"",IFERROR(K191/G191-1,"")))</f>
        <v/>
      </c>
      <c r="L193" s="15">
        <f>IF(OR(L191="",H191=""),"",IF(H191&lt;=0,"",IFERROR(L191/H191-1,"")))</f>
        <v/>
      </c>
      <c r="M193" s="15">
        <f>IF(OR(M191="",I191=""),"",IF(I191&lt;=0,"",IFERROR(M191/I191-1,"")))</f>
        <v/>
      </c>
      <c r="N193" s="15">
        <f>IF(OR(N191="",J191=""),"",IF(J191&lt;=0,"",IFERROR(N191/J191-1,"")))</f>
        <v/>
      </c>
      <c r="V193" s="15">
        <f>IF(OR(V191="",U191=""),"",IF(U191&lt;=0,"",IFERROR(V191/U191-1,"")))</f>
        <v/>
      </c>
      <c r="W193" s="15">
        <f>IF(OR(W191="",V191=""),"",IF(V191&lt;=0,"",IFERROR(W191/V191-1,"")))</f>
        <v/>
      </c>
      <c r="X193" s="15">
        <f>IF(OR(X191="",W191=""),"",IF(W191&lt;=0,"",IFERROR(X191/W191-1,"")))</f>
        <v/>
      </c>
    </row>
    <row r="195">
      <c r="A195" s="16" t="inlineStr">
        <is>
          <t>현금흐름표 · 전 항목</t>
        </is>
      </c>
      <c r="B195" s="42" t="inlineStr">
        <is>
          <t>분기 = 결산기 첫날부터 누계(공시 그대로)</t>
        </is>
      </c>
      <c r="C195" s="16" t="n"/>
      <c r="D195" s="16" t="n"/>
      <c r="E195" s="16" t="n"/>
      <c r="F195" s="16" t="n"/>
      <c r="G195" s="16" t="n"/>
      <c r="H195" s="16" t="n"/>
      <c r="I195" s="16" t="n"/>
      <c r="J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  <c r="S195" s="16" t="n"/>
      <c r="T195" s="16" t="n"/>
      <c r="U195" s="16" t="n"/>
      <c r="V195" s="16" t="n"/>
      <c r="W195" s="16" t="n"/>
      <c r="X195" s="16" t="n"/>
      <c r="Y195" s="16" t="n"/>
      <c r="Z195" s="16" t="n"/>
      <c r="AA195" s="16" t="n"/>
      <c r="AB195" s="16" t="n"/>
      <c r="AC195" s="16" t="n"/>
    </row>
    <row r="196">
      <c r="A196" s="5" t="inlineStr">
        <is>
          <t>항목</t>
        </is>
      </c>
      <c r="B196" s="5" t="inlineStr">
        <is>
          <t>참고</t>
        </is>
      </c>
      <c r="C196" s="5" t="inlineStr">
        <is>
          <t>2024.1Q</t>
        </is>
      </c>
      <c r="D196" s="5" t="inlineStr">
        <is>
          <t>2024.2Q</t>
        </is>
      </c>
      <c r="E196" s="5" t="inlineStr">
        <is>
          <t>2024.3Q</t>
        </is>
      </c>
      <c r="F196" s="5" t="inlineStr">
        <is>
          <t>2024.4Q</t>
        </is>
      </c>
      <c r="G196" s="5" t="inlineStr">
        <is>
          <t>2025.1Q</t>
        </is>
      </c>
      <c r="H196" s="5" t="inlineStr">
        <is>
          <t>2025.2Q</t>
        </is>
      </c>
      <c r="I196" s="5" t="inlineStr">
        <is>
          <t>2025.3Q</t>
        </is>
      </c>
      <c r="J196" s="5" t="inlineStr">
        <is>
          <t>2025.4Q</t>
        </is>
      </c>
      <c r="K196" s="5" t="inlineStr">
        <is>
          <t>2026.1Q</t>
        </is>
      </c>
      <c r="L196" s="5" t="inlineStr">
        <is>
          <t>2026.2Q</t>
        </is>
      </c>
      <c r="M196" s="5" t="inlineStr">
        <is>
          <t>2026.3Q</t>
        </is>
      </c>
      <c r="N196" s="5" t="inlineStr">
        <is>
          <t>2026.4Q</t>
        </is>
      </c>
      <c r="O196" s="5" t="inlineStr">
        <is>
          <t>2017</t>
        </is>
      </c>
      <c r="P196" s="5" t="inlineStr">
        <is>
          <t>2018</t>
        </is>
      </c>
      <c r="Q196" s="5" t="inlineStr">
        <is>
          <t>2019</t>
        </is>
      </c>
      <c r="R196" s="5" t="inlineStr">
        <is>
          <t>2020</t>
        </is>
      </c>
      <c r="S196" s="5" t="inlineStr">
        <is>
          <t>2021</t>
        </is>
      </c>
      <c r="T196" s="5" t="inlineStr">
        <is>
          <t>2022</t>
        </is>
      </c>
      <c r="U196" s="5" t="inlineStr">
        <is>
          <t>2023</t>
        </is>
      </c>
      <c r="V196" s="5" t="inlineStr">
        <is>
          <t>2024</t>
        </is>
      </c>
      <c r="W196" s="5" t="inlineStr">
        <is>
          <t>2025</t>
        </is>
      </c>
      <c r="X196" s="5" t="inlineStr">
        <is>
          <t>2026</t>
        </is>
      </c>
      <c r="Y196" s="5" t="inlineStr">
        <is>
          <t>2027(MW)</t>
        </is>
      </c>
      <c r="Z196" s="5" t="inlineStr">
        <is>
          <t>2028(MW)</t>
        </is>
      </c>
      <c r="AA196" s="5" t="inlineStr">
        <is>
          <t>2029(MW)</t>
        </is>
      </c>
      <c r="AB196" s="5" t="inlineStr">
        <is>
          <t>2030(MW)</t>
        </is>
      </c>
      <c r="AC196" s="5" t="inlineStr">
        <is>
          <t>2031(MW)</t>
        </is>
      </c>
    </row>
    <row r="197">
      <c r="A197" s="9" t="inlineStr">
        <is>
          <t>법인세차감전 순이익</t>
        </is>
      </c>
      <c r="D197" s="12" t="n">
        <v>65.70099999999999</v>
      </c>
      <c r="F197" s="12" t="n">
        <v>427.833</v>
      </c>
      <c r="H197" s="12" t="n">
        <v>813.871</v>
      </c>
      <c r="J197" s="12" t="n">
        <v>818.15</v>
      </c>
      <c r="L197" s="12" t="n">
        <v>596.25</v>
      </c>
      <c r="N197" s="12" t="n">
        <v>818.398</v>
      </c>
      <c r="Q197" s="12" t="n">
        <v>152.242</v>
      </c>
      <c r="R197" s="12" t="n">
        <v>116.723</v>
      </c>
      <c r="S197" s="12" t="n">
        <v>121.807</v>
      </c>
      <c r="T197" s="12" t="n">
        <v>213.417</v>
      </c>
      <c r="U197" s="12" t="n">
        <v>259.422</v>
      </c>
      <c r="V197" s="12" t="n">
        <v>427.833</v>
      </c>
      <c r="W197" s="12" t="n">
        <v>818.15</v>
      </c>
      <c r="X197" s="12" t="n">
        <v>818.398</v>
      </c>
    </row>
    <row r="198">
      <c r="A198" s="18" t="inlineStr">
        <is>
          <t>감가상각비</t>
        </is>
      </c>
      <c r="D198" s="20" t="n">
        <v>19.652</v>
      </c>
      <c r="F198" s="20" t="n">
        <v>41.271</v>
      </c>
      <c r="H198" s="20" t="n">
        <v>18.29</v>
      </c>
      <c r="J198" s="20" t="n">
        <v>39.873</v>
      </c>
      <c r="L198" s="20" t="n">
        <v>24.721</v>
      </c>
      <c r="N198" s="20" t="n">
        <v>71.15000000000001</v>
      </c>
      <c r="Q198" s="20" t="n">
        <v>1.599</v>
      </c>
      <c r="R198" s="20" t="n">
        <v>3.377</v>
      </c>
      <c r="U198" s="20" t="n">
        <v>33.744</v>
      </c>
      <c r="V198" s="20" t="n">
        <v>41.271</v>
      </c>
      <c r="W198" s="20" t="n">
        <v>39.873</v>
      </c>
      <c r="X198" s="20" t="n">
        <v>71.15000000000001</v>
      </c>
    </row>
    <row r="199">
      <c r="A199" s="18" t="inlineStr">
        <is>
          <t>영업권 상각</t>
        </is>
      </c>
      <c r="D199" s="20" t="n">
        <v>60.172</v>
      </c>
      <c r="F199" s="20" t="n">
        <v>129.323</v>
      </c>
      <c r="H199" s="20" t="n">
        <v>75.12</v>
      </c>
      <c r="J199" s="20" t="n">
        <v>185.023</v>
      </c>
      <c r="L199" s="20" t="n">
        <v>208.677</v>
      </c>
      <c r="N199" s="20" t="n">
        <v>423.807</v>
      </c>
      <c r="U199" s="20" t="n">
        <v>57.387</v>
      </c>
      <c r="V199" s="20" t="n">
        <v>129.323</v>
      </c>
      <c r="W199" s="20" t="n">
        <v>185.023</v>
      </c>
      <c r="X199" s="20" t="n">
        <v>423.807</v>
      </c>
    </row>
    <row r="200">
      <c r="A200" s="18" t="inlineStr">
        <is>
          <t>유형자산 제각손실</t>
        </is>
      </c>
      <c r="D200" s="20" t="n">
        <v>0</v>
      </c>
    </row>
    <row r="201">
      <c r="A201" s="18" t="inlineStr">
        <is>
          <t>손상차손</t>
        </is>
      </c>
      <c r="F201" s="20" t="n">
        <v>8.41</v>
      </c>
      <c r="J201" s="20" t="n">
        <v>0</v>
      </c>
      <c r="U201" s="20" t="n">
        <v>0</v>
      </c>
      <c r="V201" s="20" t="n">
        <v>8.41</v>
      </c>
      <c r="W201" s="20" t="n">
        <v>0</v>
      </c>
    </row>
    <row r="202">
      <c r="A202" s="18" t="inlineStr">
        <is>
          <t>사무소 이전비용</t>
        </is>
      </c>
      <c r="J202" s="20" t="n">
        <v>0</v>
      </c>
      <c r="N202" s="20" t="n">
        <v>24.577</v>
      </c>
      <c r="W202" s="20" t="n">
        <v>0</v>
      </c>
      <c r="X202" s="20" t="n">
        <v>24.577</v>
      </c>
    </row>
    <row r="203">
      <c r="A203" s="18" t="inlineStr">
        <is>
          <t>고정자산 제각손실</t>
        </is>
      </c>
      <c r="J203" s="20" t="n">
        <v>0</v>
      </c>
      <c r="N203" s="20" t="n">
        <v>4.1</v>
      </c>
      <c r="W203" s="20" t="n">
        <v>0</v>
      </c>
      <c r="X203" s="20" t="n">
        <v>4.1</v>
      </c>
    </row>
    <row r="204">
      <c r="A204" s="18" t="inlineStr">
        <is>
          <t>고정자산 매각손실</t>
        </is>
      </c>
      <c r="J204" s="20" t="n">
        <v>0</v>
      </c>
      <c r="N204" s="20" t="n">
        <v>1.369</v>
      </c>
      <c r="W204" s="20" t="n">
        <v>0</v>
      </c>
      <c r="X204" s="20" t="n">
        <v>1.369</v>
      </c>
    </row>
    <row r="205">
      <c r="A205" s="18" t="inlineStr">
        <is>
          <t>투자유가증권 매각손익</t>
        </is>
      </c>
      <c r="H205" s="20" t="n">
        <v>0</v>
      </c>
      <c r="J205" s="20" t="n">
        <v>0</v>
      </c>
      <c r="L205" s="20" t="n">
        <v>-1.149</v>
      </c>
      <c r="N205" s="20" t="n">
        <v>-1.149</v>
      </c>
      <c r="S205" s="20" t="n">
        <v>0</v>
      </c>
      <c r="T205" s="20" t="n">
        <v>-20.369</v>
      </c>
      <c r="U205" s="20" t="n">
        <v>0</v>
      </c>
      <c r="W205" s="20" t="n">
        <v>0</v>
      </c>
      <c r="X205" s="20" t="n">
        <v>-1.149</v>
      </c>
    </row>
    <row r="206">
      <c r="A206" s="18" t="inlineStr">
        <is>
          <t>신주예약권 환입이익</t>
        </is>
      </c>
      <c r="D206" s="20" t="n">
        <v>0</v>
      </c>
      <c r="F206" s="20" t="n">
        <v>-0.056</v>
      </c>
      <c r="H206" s="20" t="n">
        <v>-0.036</v>
      </c>
      <c r="J206" s="20" t="n">
        <v>-0.073</v>
      </c>
      <c r="L206" s="20" t="n">
        <v>0</v>
      </c>
      <c r="N206" s="20" t="n">
        <v>0</v>
      </c>
      <c r="U206" s="20" t="n">
        <v>0</v>
      </c>
      <c r="V206" s="20" t="n">
        <v>-0.056</v>
      </c>
      <c r="W206" s="20" t="n">
        <v>-0.073</v>
      </c>
      <c r="X206" s="20" t="n">
        <v>0</v>
      </c>
    </row>
    <row r="207">
      <c r="A207" s="18" t="inlineStr">
        <is>
          <t>상여충당금 증감액(△는 감소)</t>
        </is>
      </c>
      <c r="D207" s="20" t="n">
        <v>3.111</v>
      </c>
      <c r="F207" s="20" t="n">
        <v>-10.164</v>
      </c>
      <c r="H207" s="20" t="n">
        <v>-4.034</v>
      </c>
      <c r="J207" s="20" t="n">
        <v>-6.423</v>
      </c>
      <c r="L207" s="20" t="n">
        <v>13.193</v>
      </c>
      <c r="N207" s="20" t="n">
        <v>58.789</v>
      </c>
      <c r="U207" s="20" t="n">
        <v>-3.871</v>
      </c>
      <c r="V207" s="20" t="n">
        <v>-10.164</v>
      </c>
      <c r="W207" s="20" t="n">
        <v>-6.423</v>
      </c>
      <c r="X207" s="20" t="n">
        <v>58.789</v>
      </c>
    </row>
    <row r="208">
      <c r="A208" s="18" t="inlineStr">
        <is>
          <t>대손충당금 증감</t>
        </is>
      </c>
      <c r="D208" s="20" t="n">
        <v>-1.85</v>
      </c>
      <c r="F208" s="20" t="n">
        <v>9.061999999999999</v>
      </c>
      <c r="H208" s="20" t="n">
        <v>1.4</v>
      </c>
      <c r="J208" s="20" t="n">
        <v>3.402</v>
      </c>
      <c r="L208" s="20" t="n">
        <v>5.368</v>
      </c>
      <c r="N208" s="20" t="n">
        <v>11.663</v>
      </c>
      <c r="Q208" s="20" t="n">
        <v>11.516</v>
      </c>
      <c r="R208" s="20" t="n">
        <v>3.286</v>
      </c>
      <c r="S208" s="20" t="n">
        <v>7.895</v>
      </c>
      <c r="T208" s="20" t="n">
        <v>-7.49</v>
      </c>
      <c r="U208" s="20" t="n">
        <v>-3.341</v>
      </c>
      <c r="V208" s="20" t="n">
        <v>9.061999999999999</v>
      </c>
      <c r="W208" s="20" t="n">
        <v>3.402</v>
      </c>
      <c r="X208" s="20" t="n">
        <v>11.663</v>
      </c>
    </row>
    <row r="209">
      <c r="A209" s="18" t="inlineStr">
        <is>
          <t>이자수익</t>
        </is>
      </c>
      <c r="D209" s="20" t="n">
        <v>-0.246</v>
      </c>
      <c r="F209" s="20" t="n">
        <v>-0.764</v>
      </c>
      <c r="H209" s="20" t="n">
        <v>-1.946</v>
      </c>
      <c r="J209" s="20" t="n">
        <v>-6.18</v>
      </c>
      <c r="L209" s="20" t="n">
        <v>-5.847</v>
      </c>
      <c r="N209" s="20" t="n">
        <v>-14.916</v>
      </c>
      <c r="Q209" s="20" t="n">
        <v>-0.003</v>
      </c>
      <c r="R209" s="20" t="n">
        <v>-0.003</v>
      </c>
      <c r="S209" s="20" t="n">
        <v>-0.005</v>
      </c>
      <c r="T209" s="20" t="n">
        <v>-0.007</v>
      </c>
      <c r="U209" s="20" t="n">
        <v>-0.008</v>
      </c>
      <c r="V209" s="20" t="n">
        <v>-0.764</v>
      </c>
      <c r="W209" s="20" t="n">
        <v>-6.18</v>
      </c>
      <c r="X209" s="20" t="n">
        <v>-14.916</v>
      </c>
    </row>
    <row r="210">
      <c r="A210" s="18" t="inlineStr">
        <is>
          <t>이자비용</t>
        </is>
      </c>
      <c r="D210" s="20" t="n">
        <v>6.082</v>
      </c>
      <c r="F210" s="20" t="n">
        <v>14.249</v>
      </c>
      <c r="H210" s="20" t="n">
        <v>11.372</v>
      </c>
      <c r="J210" s="20" t="n">
        <v>27.033</v>
      </c>
      <c r="L210" s="20" t="n">
        <v>21.553</v>
      </c>
      <c r="N210" s="20" t="n">
        <v>50.874</v>
      </c>
      <c r="Q210" s="20" t="n">
        <v>2.036</v>
      </c>
      <c r="R210" s="20" t="n">
        <v>1.918</v>
      </c>
      <c r="S210" s="20" t="n">
        <v>1.698</v>
      </c>
      <c r="T210" s="20" t="n">
        <v>4.184</v>
      </c>
      <c r="U210" s="20" t="n">
        <v>6.387</v>
      </c>
      <c r="V210" s="20" t="n">
        <v>14.249</v>
      </c>
      <c r="W210" s="20" t="n">
        <v>27.033</v>
      </c>
      <c r="X210" s="20" t="n">
        <v>50.874</v>
      </c>
    </row>
    <row r="211">
      <c r="A211" s="18" t="inlineStr">
        <is>
          <t>주식교부비 상각</t>
        </is>
      </c>
      <c r="F211" s="20" t="n">
        <v>18.014</v>
      </c>
      <c r="Q211" s="20" t="n">
        <v>0</v>
      </c>
      <c r="R211" s="20" t="n">
        <v>0.464</v>
      </c>
      <c r="S211" s="20" t="n">
        <v>2.785</v>
      </c>
      <c r="T211" s="20" t="n">
        <v>2.532</v>
      </c>
      <c r="U211" s="20" t="n">
        <v>2.321</v>
      </c>
      <c r="V211" s="20" t="n">
        <v>18.014</v>
      </c>
    </row>
    <row r="212">
      <c r="A212" s="18" t="inlineStr">
        <is>
          <t>사업양도 손익</t>
        </is>
      </c>
      <c r="D212" s="20" t="n">
        <v>0</v>
      </c>
      <c r="H212" s="20" t="n">
        <v>-10.9</v>
      </c>
      <c r="L212" s="20" t="n">
        <v>0</v>
      </c>
      <c r="Q212" s="20" t="n">
        <v>-9</v>
      </c>
      <c r="R212" s="20" t="n">
        <v>0</v>
      </c>
      <c r="S212" s="20" t="n">
        <v>0</v>
      </c>
      <c r="T212" s="20" t="n">
        <v>-2.9</v>
      </c>
      <c r="U212" s="20" t="n">
        <v>0</v>
      </c>
    </row>
    <row r="213">
      <c r="A213" s="18" t="inlineStr">
        <is>
          <t>사업 양도 이익</t>
        </is>
      </c>
      <c r="F213" s="20" t="n">
        <v>0</v>
      </c>
      <c r="J213" s="20" t="n">
        <v>-10.9</v>
      </c>
      <c r="N213" s="20" t="n">
        <v>0</v>
      </c>
      <c r="V213" s="20" t="n">
        <v>0</v>
      </c>
      <c r="W213" s="20" t="n">
        <v>-10.9</v>
      </c>
      <c r="X213" s="20" t="n">
        <v>0</v>
      </c>
    </row>
    <row r="214">
      <c r="A214" s="18" t="inlineStr">
        <is>
          <t>주식교부비</t>
        </is>
      </c>
      <c r="F214" s="20" t="n">
        <v>18.014</v>
      </c>
      <c r="J214" s="20" t="n">
        <v>0</v>
      </c>
      <c r="V214" s="20" t="n">
        <v>18.014</v>
      </c>
      <c r="W214" s="20" t="n">
        <v>0</v>
      </c>
    </row>
    <row r="215">
      <c r="A215" s="18" t="inlineStr">
        <is>
          <t>보조금 수입</t>
        </is>
      </c>
      <c r="D215" s="20" t="n">
        <v>-1.71</v>
      </c>
      <c r="F215" s="20" t="n">
        <v>-4.431</v>
      </c>
      <c r="H215" s="20" t="n">
        <v>-6.981</v>
      </c>
      <c r="J215" s="20" t="n">
        <v>-10.851</v>
      </c>
      <c r="L215" s="20" t="n">
        <v>-83.29000000000001</v>
      </c>
      <c r="N215" s="20" t="n">
        <v>-84.09</v>
      </c>
      <c r="Q215" s="20" t="n">
        <v>-1.71</v>
      </c>
      <c r="R215" s="20" t="n">
        <v>-13.694</v>
      </c>
      <c r="S215" s="20" t="n">
        <v>-6.157</v>
      </c>
      <c r="T215" s="20" t="n">
        <v>-2.737</v>
      </c>
      <c r="U215" s="20" t="n">
        <v>-0.37</v>
      </c>
      <c r="V215" s="20" t="n">
        <v>-4.431</v>
      </c>
      <c r="W215" s="20" t="n">
        <v>-10.851</v>
      </c>
      <c r="X215" s="20" t="n">
        <v>-84.09</v>
      </c>
    </row>
    <row r="216">
      <c r="A216" s="18" t="inlineStr">
        <is>
          <t>임차보증금 상각 환입이익</t>
        </is>
      </c>
      <c r="S216" s="20" t="n">
        <v>0</v>
      </c>
      <c r="T216" s="20" t="n">
        <v>-5.771</v>
      </c>
      <c r="U216" s="20" t="n">
        <v>0</v>
      </c>
    </row>
    <row r="217">
      <c r="A217" s="18" t="inlineStr">
        <is>
          <t>투자유가증권 평가손익</t>
        </is>
      </c>
      <c r="F217" s="20" t="n">
        <v>17.782</v>
      </c>
      <c r="J217" s="20" t="n">
        <v>0</v>
      </c>
      <c r="S217" s="20" t="n">
        <v>10.001</v>
      </c>
      <c r="T217" s="20" t="n">
        <v>9.999000000000001</v>
      </c>
      <c r="U217" s="20" t="n">
        <v>46.052</v>
      </c>
      <c r="V217" s="20" t="n">
        <v>17.782</v>
      </c>
      <c r="W217" s="20" t="n">
        <v>0</v>
      </c>
    </row>
    <row r="218">
      <c r="A218" s="18" t="inlineStr">
        <is>
          <t>매출채권 증감</t>
        </is>
      </c>
      <c r="D218" s="20" t="n">
        <v>-133.849</v>
      </c>
      <c r="F218" s="20" t="n">
        <v>-425.163</v>
      </c>
      <c r="H218" s="20" t="n">
        <v>-130.157</v>
      </c>
      <c r="J218" s="20" t="n">
        <v>-166.952</v>
      </c>
      <c r="L218" s="20" t="n">
        <v>-80.645</v>
      </c>
      <c r="N218" s="20" t="n">
        <v>-179.023</v>
      </c>
      <c r="Q218" s="20" t="n">
        <v>-42.315</v>
      </c>
      <c r="R218" s="20" t="n">
        <v>-85.90300000000001</v>
      </c>
      <c r="S218" s="20" t="n">
        <v>-234.493</v>
      </c>
      <c r="T218" s="20" t="n">
        <v>-287.998</v>
      </c>
      <c r="U218" s="20" t="n">
        <v>-254.132</v>
      </c>
      <c r="V218" s="20" t="n">
        <v>-425.163</v>
      </c>
      <c r="W218" s="20" t="n">
        <v>-166.952</v>
      </c>
      <c r="X218" s="20" t="n">
        <v>-179.023</v>
      </c>
    </row>
    <row r="219">
      <c r="A219" s="18" t="inlineStr">
        <is>
          <t>재고자산 증감</t>
        </is>
      </c>
      <c r="D219" s="20" t="n">
        <v>-3.783</v>
      </c>
      <c r="F219" s="20" t="n">
        <v>14.991</v>
      </c>
      <c r="H219" s="20" t="n">
        <v>-19.911</v>
      </c>
      <c r="J219" s="20" t="n">
        <v>-7.448</v>
      </c>
      <c r="L219" s="20" t="n">
        <v>3.352</v>
      </c>
      <c r="N219" s="20" t="n">
        <v>6.663</v>
      </c>
      <c r="Q219" s="20" t="n">
        <v>-0.24</v>
      </c>
      <c r="R219" s="20" t="n">
        <v>0.096</v>
      </c>
      <c r="S219" s="20" t="n">
        <v>-4.025</v>
      </c>
      <c r="T219" s="20" t="n">
        <v>-14.27</v>
      </c>
      <c r="U219" s="20" t="n">
        <v>1.672</v>
      </c>
      <c r="V219" s="20" t="n">
        <v>14.991</v>
      </c>
      <c r="W219" s="20" t="n">
        <v>-7.448</v>
      </c>
      <c r="X219" s="20" t="n">
        <v>6.663</v>
      </c>
    </row>
    <row r="220">
      <c r="A220" s="18" t="inlineStr">
        <is>
          <t>매입채무 증감</t>
        </is>
      </c>
      <c r="D220" s="20" t="n">
        <v>56.793</v>
      </c>
      <c r="F220" s="20" t="n">
        <v>223.651</v>
      </c>
      <c r="H220" s="20" t="n">
        <v>43.663</v>
      </c>
      <c r="J220" s="20" t="n">
        <v>15.13</v>
      </c>
      <c r="L220" s="20" t="n">
        <v>2</v>
      </c>
      <c r="N220" s="20" t="n">
        <v>5.691</v>
      </c>
      <c r="Q220" s="20" t="n">
        <v>-6.526</v>
      </c>
      <c r="R220" s="20" t="n">
        <v>-23.002</v>
      </c>
      <c r="S220" s="20" t="n">
        <v>48.725</v>
      </c>
      <c r="T220" s="20" t="n">
        <v>244.3</v>
      </c>
      <c r="U220" s="20" t="n">
        <v>169.1</v>
      </c>
      <c r="V220" s="20" t="n">
        <v>223.651</v>
      </c>
      <c r="W220" s="20" t="n">
        <v>15.13</v>
      </c>
      <c r="X220" s="20" t="n">
        <v>5.691</v>
      </c>
    </row>
    <row r="221">
      <c r="A221" s="18" t="inlineStr">
        <is>
          <t>미지급금 증감액(△는 감소)</t>
        </is>
      </c>
      <c r="D221" s="20" t="n">
        <v>-10.887</v>
      </c>
      <c r="F221" s="20" t="n">
        <v>141.553</v>
      </c>
      <c r="H221" s="20" t="n">
        <v>-43.968</v>
      </c>
      <c r="J221" s="20" t="n">
        <v>217.653</v>
      </c>
      <c r="L221" s="20" t="n">
        <v>-19.277</v>
      </c>
      <c r="N221" s="20" t="n">
        <v>100.12</v>
      </c>
      <c r="Q221" s="20" t="n">
        <v>19.444</v>
      </c>
      <c r="R221" s="20" t="n">
        <v>-1.562</v>
      </c>
      <c r="S221" s="20" t="n">
        <v>57.254</v>
      </c>
      <c r="T221" s="20" t="n">
        <v>42.969</v>
      </c>
      <c r="U221" s="20" t="n">
        <v>-0.161</v>
      </c>
      <c r="V221" s="20" t="n">
        <v>141.553</v>
      </c>
      <c r="W221" s="20" t="n">
        <v>217.653</v>
      </c>
      <c r="X221" s="20" t="n">
        <v>100.12</v>
      </c>
    </row>
    <row r="222">
      <c r="A222" s="18" t="inlineStr">
        <is>
          <t>선수금 증감</t>
        </is>
      </c>
      <c r="Q222" s="20" t="n">
        <v>-12.217</v>
      </c>
      <c r="R222" s="20" t="n">
        <v>-10.081</v>
      </c>
    </row>
    <row r="223">
      <c r="A223" s="18" t="inlineStr">
        <is>
          <t>미지급 소비세 증감</t>
        </is>
      </c>
      <c r="Q223" s="20" t="n">
        <v>-5.991</v>
      </c>
      <c r="R223" s="20" t="n">
        <v>9.657999999999999</v>
      </c>
    </row>
    <row r="224">
      <c r="A224" s="18" t="inlineStr">
        <is>
          <t>기타</t>
        </is>
      </c>
      <c r="D224" s="20" t="n">
        <v>9.33</v>
      </c>
      <c r="F224" s="20" t="n">
        <v>193.738</v>
      </c>
      <c r="H224" s="20" t="n">
        <v>-145.863</v>
      </c>
      <c r="J224" s="20" t="n">
        <v>-5.244</v>
      </c>
      <c r="L224" s="20" t="n">
        <v>-24.281</v>
      </c>
      <c r="N224" s="20" t="n">
        <v>37.89</v>
      </c>
      <c r="Q224" s="20" t="n">
        <v>17.945</v>
      </c>
      <c r="R224" s="20" t="n">
        <v>-22.934</v>
      </c>
      <c r="S224" s="20" t="n">
        <v>57.413</v>
      </c>
      <c r="T224" s="20" t="n">
        <v>98.55800000000001</v>
      </c>
      <c r="U224" s="20" t="n">
        <v>-26.477</v>
      </c>
      <c r="V224" s="20" t="n">
        <v>193.738</v>
      </c>
      <c r="W224" s="20" t="n">
        <v>-5.244</v>
      </c>
      <c r="X224" s="20" t="n">
        <v>37.89</v>
      </c>
    </row>
    <row r="225">
      <c r="A225" s="18" t="inlineStr">
        <is>
          <t>소계</t>
        </is>
      </c>
      <c r="D225" s="20" t="n">
        <v>68.518</v>
      </c>
      <c r="F225" s="20" t="n">
        <v>799.303</v>
      </c>
      <c r="H225" s="20" t="n">
        <v>599.917</v>
      </c>
      <c r="J225" s="20" t="n">
        <v>1092.192</v>
      </c>
      <c r="L225" s="20" t="n">
        <v>660.625</v>
      </c>
      <c r="N225" s="20" t="n">
        <v>1335.916</v>
      </c>
      <c r="Q225" s="20" t="n">
        <v>126.777</v>
      </c>
      <c r="R225" s="20" t="n">
        <v>-21.656</v>
      </c>
      <c r="S225" s="20" t="n">
        <v>62.899</v>
      </c>
      <c r="T225" s="20" t="n">
        <v>274.417</v>
      </c>
      <c r="U225" s="20" t="n">
        <v>287.725</v>
      </c>
      <c r="V225" s="20" t="n">
        <v>799.303</v>
      </c>
      <c r="W225" s="20" t="n">
        <v>1092.192</v>
      </c>
      <c r="X225" s="20" t="n">
        <v>1335.916</v>
      </c>
    </row>
    <row r="226">
      <c r="A226" s="18" t="inlineStr">
        <is>
          <t>이자·배당금 수취</t>
        </is>
      </c>
      <c r="D226" s="20" t="n">
        <v>0.246</v>
      </c>
      <c r="F226" s="20" t="n">
        <v>0.764</v>
      </c>
      <c r="H226" s="20" t="n">
        <v>1.946</v>
      </c>
      <c r="J226" s="20" t="n">
        <v>6.18</v>
      </c>
      <c r="L226" s="20" t="n">
        <v>5.847</v>
      </c>
      <c r="N226" s="20" t="n">
        <v>14.916</v>
      </c>
      <c r="Q226" s="20" t="n">
        <v>0.003</v>
      </c>
      <c r="R226" s="20" t="n">
        <v>0.003</v>
      </c>
      <c r="S226" s="20" t="n">
        <v>0.005</v>
      </c>
      <c r="T226" s="20" t="n">
        <v>0.007</v>
      </c>
      <c r="U226" s="20" t="n">
        <v>0.008</v>
      </c>
      <c r="V226" s="20" t="n">
        <v>0.764</v>
      </c>
      <c r="W226" s="20" t="n">
        <v>6.18</v>
      </c>
      <c r="X226" s="20" t="n">
        <v>14.916</v>
      </c>
    </row>
    <row r="227">
      <c r="A227" s="18" t="inlineStr">
        <is>
          <t>이자 지급</t>
        </is>
      </c>
      <c r="D227" s="20" t="n">
        <v>-6.37</v>
      </c>
      <c r="F227" s="20" t="n">
        <v>-14.657</v>
      </c>
      <c r="H227" s="20" t="n">
        <v>-10.566</v>
      </c>
      <c r="J227" s="20" t="n">
        <v>-27.033</v>
      </c>
      <c r="L227" s="20" t="n">
        <v>-21.553</v>
      </c>
      <c r="N227" s="20" t="n">
        <v>-50.874</v>
      </c>
      <c r="Q227" s="20" t="n">
        <v>-1.925</v>
      </c>
      <c r="R227" s="20" t="n">
        <v>-1.897</v>
      </c>
      <c r="S227" s="20" t="n">
        <v>-1.654</v>
      </c>
      <c r="T227" s="20" t="n">
        <v>-6.617</v>
      </c>
      <c r="U227" s="20" t="n">
        <v>-6.65</v>
      </c>
      <c r="V227" s="20" t="n">
        <v>-14.657</v>
      </c>
      <c r="W227" s="20" t="n">
        <v>-27.033</v>
      </c>
      <c r="X227" s="20" t="n">
        <v>-50.874</v>
      </c>
    </row>
    <row r="228">
      <c r="A228" s="18" t="inlineStr">
        <is>
          <t>법인세 납부</t>
        </is>
      </c>
      <c r="D228" s="20" t="n">
        <v>-40.188</v>
      </c>
      <c r="F228" s="20" t="n">
        <v>-92.727</v>
      </c>
      <c r="H228" s="20" t="n">
        <v>-195.031</v>
      </c>
      <c r="L228" s="20" t="n">
        <v>-190.786</v>
      </c>
      <c r="Q228" s="20" t="n">
        <v>-42.176</v>
      </c>
      <c r="R228" s="20" t="n">
        <v>-52.513</v>
      </c>
      <c r="S228" s="20" t="n">
        <v>-22.934</v>
      </c>
      <c r="T228" s="20" t="n">
        <v>-54.958</v>
      </c>
      <c r="U228" s="20" t="n">
        <v>-108.854</v>
      </c>
      <c r="V228" s="20" t="n">
        <v>-92.727</v>
      </c>
    </row>
    <row r="229">
      <c r="A229" s="18" t="inlineStr">
        <is>
          <t>법인세 납부·환급</t>
        </is>
      </c>
      <c r="F229" s="20" t="n">
        <v>-92.727</v>
      </c>
      <c r="J229" s="20" t="n">
        <v>-332.497</v>
      </c>
      <c r="N229" s="20" t="n">
        <v>-350.607</v>
      </c>
      <c r="V229" s="20" t="n">
        <v>-92.727</v>
      </c>
      <c r="W229" s="20" t="n">
        <v>-332.497</v>
      </c>
      <c r="X229" s="20" t="n">
        <v>-350.607</v>
      </c>
    </row>
    <row r="230">
      <c r="A230" s="18" t="inlineStr">
        <is>
          <t>사무실 이전비용 지급액</t>
        </is>
      </c>
      <c r="J230" s="20" t="n">
        <v>0</v>
      </c>
      <c r="N230" s="20" t="n">
        <v>-3.95</v>
      </c>
      <c r="W230" s="20" t="n">
        <v>0</v>
      </c>
      <c r="X230" s="20" t="n">
        <v>-3.95</v>
      </c>
    </row>
    <row r="231">
      <c r="A231" s="18" t="inlineStr">
        <is>
          <t>보조금 수취</t>
        </is>
      </c>
      <c r="D231" s="20" t="n">
        <v>1.71</v>
      </c>
      <c r="F231" s="20" t="n">
        <v>4.431</v>
      </c>
      <c r="H231" s="20" t="n">
        <v>6.981</v>
      </c>
      <c r="J231" s="20" t="n">
        <v>10.851</v>
      </c>
      <c r="L231" s="20" t="n">
        <v>83.29000000000001</v>
      </c>
      <c r="N231" s="20" t="n">
        <v>84.09</v>
      </c>
      <c r="Q231" s="20" t="n">
        <v>1.71</v>
      </c>
      <c r="R231" s="20" t="n">
        <v>3.999</v>
      </c>
      <c r="S231" s="20" t="n">
        <v>15.852</v>
      </c>
      <c r="T231" s="20" t="n">
        <v>2.737</v>
      </c>
      <c r="U231" s="20" t="n">
        <v>0.37</v>
      </c>
      <c r="V231" s="20" t="n">
        <v>4.431</v>
      </c>
      <c r="W231" s="20" t="n">
        <v>10.851</v>
      </c>
      <c r="X231" s="20" t="n">
        <v>84.09</v>
      </c>
    </row>
    <row r="232">
      <c r="A232" s="9" t="inlineStr">
        <is>
          <t>영업활동 현금흐름</t>
        </is>
      </c>
      <c r="D232" s="12" t="n">
        <v>23.915</v>
      </c>
      <c r="F232" s="12" t="n">
        <v>697.114</v>
      </c>
      <c r="H232" s="12" t="n">
        <v>403.247</v>
      </c>
      <c r="J232" s="12" t="n">
        <v>749.693</v>
      </c>
      <c r="L232" s="12" t="n">
        <v>537.423</v>
      </c>
      <c r="N232" s="12" t="n">
        <v>1029.49</v>
      </c>
      <c r="Q232" s="12" t="n">
        <v>84.38800000000001</v>
      </c>
      <c r="R232" s="12" t="n">
        <v>-72.06399999999999</v>
      </c>
      <c r="S232" s="12" t="n">
        <v>54.168</v>
      </c>
      <c r="T232" s="12" t="n">
        <v>215.586</v>
      </c>
      <c r="U232" s="12" t="n">
        <v>172.599</v>
      </c>
      <c r="V232" s="12" t="n">
        <v>697.114</v>
      </c>
      <c r="W232" s="12" t="n">
        <v>749.693</v>
      </c>
      <c r="X232" s="12" t="n">
        <v>1029.49</v>
      </c>
    </row>
    <row r="233">
      <c r="A233" s="18" t="inlineStr">
        <is>
          <t>정기예금 인출</t>
        </is>
      </c>
      <c r="Q233" s="20" t="n">
        <v>5</v>
      </c>
      <c r="R233" s="20" t="n">
        <v>0</v>
      </c>
    </row>
    <row r="234">
      <c r="A234" s="18" t="inlineStr">
        <is>
          <t>연결범위 변경 자회사 주식 취득</t>
        </is>
      </c>
      <c r="D234" s="20" t="n">
        <v>-111.663</v>
      </c>
      <c r="F234" s="20" t="n">
        <v>-111.663</v>
      </c>
      <c r="H234" s="20" t="n">
        <v>-386.313</v>
      </c>
      <c r="J234" s="20" t="n">
        <v>-1143.088</v>
      </c>
      <c r="L234" s="20" t="n">
        <v>-291.417</v>
      </c>
      <c r="N234" s="20" t="n">
        <v>-291.417</v>
      </c>
      <c r="S234" s="20" t="n">
        <v>-27.628</v>
      </c>
      <c r="T234" s="20" t="n">
        <v>-120.545</v>
      </c>
      <c r="U234" s="20" t="n">
        <v>-519.408</v>
      </c>
      <c r="V234" s="20" t="n">
        <v>-111.663</v>
      </c>
      <c r="W234" s="20" t="n">
        <v>-1143.088</v>
      </c>
      <c r="X234" s="20" t="n">
        <v>-291.417</v>
      </c>
    </row>
    <row r="235">
      <c r="A235" s="18" t="inlineStr">
        <is>
          <t>연결범위 변경 자회사 주식 취득(수입)</t>
        </is>
      </c>
      <c r="J235" s="20" t="n">
        <v>21.128</v>
      </c>
      <c r="N235" s="20" t="n">
        <v>0</v>
      </c>
      <c r="W235" s="20" t="n">
        <v>21.128</v>
      </c>
      <c r="X235" s="20" t="n">
        <v>0</v>
      </c>
    </row>
    <row r="236">
      <c r="A236" s="18" t="inlineStr">
        <is>
          <t>유가증권 매각</t>
        </is>
      </c>
      <c r="J236" s="20" t="n">
        <v>0</v>
      </c>
      <c r="N236" s="20" t="n">
        <v>2.299</v>
      </c>
      <c r="W236" s="20" t="n">
        <v>0</v>
      </c>
      <c r="X236" s="20" t="n">
        <v>2.299</v>
      </c>
    </row>
    <row r="237">
      <c r="A237" s="18" t="inlineStr">
        <is>
          <t>유가증권 취득</t>
        </is>
      </c>
      <c r="F237" s="20" t="n">
        <v>0</v>
      </c>
      <c r="J237" s="20" t="n">
        <v>-16.124</v>
      </c>
      <c r="N237" s="20" t="n">
        <v>0</v>
      </c>
      <c r="V237" s="20" t="n">
        <v>0</v>
      </c>
      <c r="W237" s="20" t="n">
        <v>-16.124</v>
      </c>
      <c r="X237" s="20" t="n">
        <v>0</v>
      </c>
    </row>
    <row r="238">
      <c r="A238" s="18" t="inlineStr">
        <is>
          <t>유형자산 매각</t>
        </is>
      </c>
      <c r="J238" s="20" t="n">
        <v>0</v>
      </c>
      <c r="N238" s="20" t="n">
        <v>0.436</v>
      </c>
      <c r="W238" s="20" t="n">
        <v>0</v>
      </c>
      <c r="X238" s="20" t="n">
        <v>0.436</v>
      </c>
    </row>
    <row r="239">
      <c r="A239" s="18" t="inlineStr">
        <is>
          <t>유형자산 취득(설비투자)</t>
        </is>
      </c>
      <c r="D239" s="20" t="n">
        <v>-11.721</v>
      </c>
      <c r="F239" s="20" t="n">
        <v>-22.204</v>
      </c>
      <c r="H239" s="20" t="n">
        <v>-0.856</v>
      </c>
      <c r="J239" s="20" t="n">
        <v>-60.224</v>
      </c>
      <c r="L239" s="20" t="n">
        <v>-44.651</v>
      </c>
      <c r="N239" s="20" t="n">
        <v>-169.686</v>
      </c>
      <c r="Q239" s="20" t="n">
        <v>-6.405</v>
      </c>
      <c r="R239" s="20" t="n">
        <v>-3.72</v>
      </c>
      <c r="S239" s="20" t="n">
        <v>-3.573</v>
      </c>
      <c r="T239" s="20" t="n">
        <v>-60.712</v>
      </c>
      <c r="U239" s="20" t="n">
        <v>-7.578</v>
      </c>
      <c r="V239" s="20" t="n">
        <v>-22.204</v>
      </c>
      <c r="W239" s="20" t="n">
        <v>-60.224</v>
      </c>
      <c r="X239" s="20" t="n">
        <v>-169.686</v>
      </c>
    </row>
    <row r="240">
      <c r="A240" s="18" t="inlineStr">
        <is>
          <t>영업권 취득에 따른 지출</t>
        </is>
      </c>
      <c r="T240" s="20" t="n">
        <v>0</v>
      </c>
      <c r="U240" s="20" t="n">
        <v>-52.33</v>
      </c>
    </row>
    <row r="241">
      <c r="A241" s="18" t="inlineStr">
        <is>
          <t>영업권 취득 지출</t>
        </is>
      </c>
      <c r="F241" s="20" t="n">
        <v>0</v>
      </c>
      <c r="U241" s="20" t="n">
        <v>-52.33</v>
      </c>
      <c r="V241" s="20" t="n">
        <v>0</v>
      </c>
    </row>
    <row r="242">
      <c r="A242" s="18" t="inlineStr">
        <is>
          <t>투자유가증권 취득</t>
        </is>
      </c>
      <c r="D242" s="20" t="n">
        <v>0</v>
      </c>
      <c r="H242" s="20" t="n">
        <v>-1.149</v>
      </c>
      <c r="L242" s="20" t="n">
        <v>0</v>
      </c>
      <c r="Q242" s="20" t="n">
        <v>-10.001</v>
      </c>
      <c r="R242" s="20" t="n">
        <v>0</v>
      </c>
      <c r="S242" s="20" t="n">
        <v>-10</v>
      </c>
      <c r="T242" s="20" t="n">
        <v>-76.88800000000001</v>
      </c>
      <c r="U242" s="20" t="n">
        <v>0</v>
      </c>
    </row>
    <row r="243">
      <c r="A243" s="18" t="inlineStr">
        <is>
          <t>투자유가증권 매각</t>
        </is>
      </c>
      <c r="H243" s="20" t="n">
        <v>0</v>
      </c>
      <c r="L243" s="20" t="n">
        <v>2.299</v>
      </c>
      <c r="S243" s="20" t="n">
        <v>0</v>
      </c>
      <c r="T243" s="20" t="n">
        <v>20.369</v>
      </c>
      <c r="U243" s="20" t="n">
        <v>0</v>
      </c>
    </row>
    <row r="244">
      <c r="A244" s="18" t="inlineStr">
        <is>
          <t>무형자산 취득</t>
        </is>
      </c>
      <c r="D244" s="20" t="n">
        <v>-0.45</v>
      </c>
      <c r="F244" s="20" t="n">
        <v>-7.44</v>
      </c>
      <c r="H244" s="20" t="n">
        <v>-2.281</v>
      </c>
      <c r="J244" s="20" t="n">
        <v>-5.059</v>
      </c>
      <c r="L244" s="20" t="n">
        <v>-11.025</v>
      </c>
      <c r="N244" s="20" t="n">
        <v>-23.898</v>
      </c>
      <c r="Q244" s="20" t="n">
        <v>0</v>
      </c>
      <c r="R244" s="20" t="n">
        <v>-9.612</v>
      </c>
      <c r="S244" s="20" t="n">
        <v>-0.292</v>
      </c>
      <c r="T244" s="20" t="n">
        <v>-42.972</v>
      </c>
      <c r="U244" s="20" t="n">
        <v>-21.591</v>
      </c>
      <c r="V244" s="20" t="n">
        <v>-7.44</v>
      </c>
      <c r="W244" s="20" t="n">
        <v>-5.059</v>
      </c>
      <c r="X244" s="20" t="n">
        <v>-23.898</v>
      </c>
    </row>
    <row r="245">
      <c r="A245" s="18" t="inlineStr">
        <is>
          <t>자산복구부채 이행 지출</t>
        </is>
      </c>
      <c r="J245" s="20" t="n">
        <v>0</v>
      </c>
      <c r="N245" s="20" t="n">
        <v>-14.35</v>
      </c>
      <c r="W245" s="20" t="n">
        <v>0</v>
      </c>
      <c r="X245" s="20" t="n">
        <v>-14.35</v>
      </c>
    </row>
    <row r="246">
      <c r="A246" s="18" t="inlineStr">
        <is>
          <t>사업양도 수입</t>
        </is>
      </c>
      <c r="F246" s="20" t="n">
        <v>0</v>
      </c>
      <c r="J246" s="20" t="n">
        <v>10.9</v>
      </c>
      <c r="N246" s="20" t="n">
        <v>0</v>
      </c>
      <c r="S246" s="20" t="n">
        <v>0</v>
      </c>
      <c r="T246" s="20" t="n">
        <v>2.9</v>
      </c>
      <c r="U246" s="20" t="n">
        <v>0</v>
      </c>
      <c r="V246" s="20" t="n">
        <v>0</v>
      </c>
      <c r="W246" s="20" t="n">
        <v>10.9</v>
      </c>
      <c r="X246" s="20" t="n">
        <v>0</v>
      </c>
    </row>
    <row r="247">
      <c r="A247" s="18" t="inlineStr">
        <is>
          <t>사업양수 지출</t>
        </is>
      </c>
      <c r="J247" s="20" t="n">
        <v>0</v>
      </c>
      <c r="N247" s="20" t="n">
        <v>-32.28</v>
      </c>
      <c r="W247" s="20" t="n">
        <v>0</v>
      </c>
      <c r="X247" s="20" t="n">
        <v>-32.28</v>
      </c>
    </row>
    <row r="248">
      <c r="A248" s="18" t="inlineStr">
        <is>
          <t>자회사 주식 조건부 취득대가 환급에 따른 수입</t>
        </is>
      </c>
      <c r="F248" s="20" t="n">
        <v>0</v>
      </c>
      <c r="H248" s="20" t="n">
        <v>0</v>
      </c>
      <c r="J248" s="20" t="n">
        <v>3.932</v>
      </c>
      <c r="L248" s="20" t="n">
        <v>12.442</v>
      </c>
      <c r="N248" s="20" t="n">
        <v>25.076</v>
      </c>
      <c r="V248" s="20" t="n">
        <v>0</v>
      </c>
      <c r="W248" s="20" t="n">
        <v>3.932</v>
      </c>
      <c r="X248" s="20" t="n">
        <v>25.076</v>
      </c>
    </row>
    <row r="249">
      <c r="A249" s="18" t="inlineStr">
        <is>
          <t>대여</t>
        </is>
      </c>
      <c r="H249" s="20" t="n">
        <v>0</v>
      </c>
      <c r="J249" s="20" t="n">
        <v>0</v>
      </c>
      <c r="L249" s="20" t="n">
        <v>-276.4</v>
      </c>
      <c r="N249" s="20" t="n">
        <v>-276.4</v>
      </c>
      <c r="W249" s="20" t="n">
        <v>0</v>
      </c>
      <c r="X249" s="20" t="n">
        <v>-276.4</v>
      </c>
    </row>
    <row r="250">
      <c r="A250" s="18" t="inlineStr">
        <is>
          <t>임차보증금·보증금 회수</t>
        </is>
      </c>
      <c r="D250" s="20" t="n">
        <v>0.34</v>
      </c>
      <c r="F250" s="20" t="n">
        <v>26.532</v>
      </c>
      <c r="H250" s="20" t="n">
        <v>0</v>
      </c>
      <c r="J250" s="20" t="n">
        <v>41.746</v>
      </c>
      <c r="L250" s="20" t="n">
        <v>0.511</v>
      </c>
      <c r="N250" s="20" t="n">
        <v>1.096</v>
      </c>
      <c r="Q250" s="20" t="n">
        <v>0</v>
      </c>
      <c r="R250" s="20" t="n">
        <v>2.19</v>
      </c>
      <c r="S250" s="20" t="n">
        <v>0</v>
      </c>
      <c r="T250" s="20" t="n">
        <v>35.589</v>
      </c>
      <c r="U250" s="20" t="n">
        <v>9.675000000000001</v>
      </c>
      <c r="V250" s="20" t="n">
        <v>26.532</v>
      </c>
      <c r="W250" s="20" t="n">
        <v>41.746</v>
      </c>
      <c r="X250" s="20" t="n">
        <v>1.096</v>
      </c>
    </row>
    <row r="251">
      <c r="A251" s="18" t="inlineStr">
        <is>
          <t>임차보증금·보증금 납입</t>
        </is>
      </c>
      <c r="D251" s="20" t="n">
        <v>-4.488</v>
      </c>
      <c r="F251" s="20" t="n">
        <v>-5.478</v>
      </c>
      <c r="H251" s="20" t="n">
        <v>-37.65</v>
      </c>
      <c r="J251" s="20" t="n">
        <v>-131.331</v>
      </c>
      <c r="L251" s="20" t="n">
        <v>-12.325</v>
      </c>
      <c r="N251" s="20" t="n">
        <v>-68.154</v>
      </c>
      <c r="Q251" s="20" t="n">
        <v>-10.79</v>
      </c>
      <c r="R251" s="20" t="n">
        <v>-8.468999999999999</v>
      </c>
      <c r="S251" s="20" t="n">
        <v>-39.131</v>
      </c>
      <c r="T251" s="20" t="n">
        <v>-16.815</v>
      </c>
      <c r="U251" s="20" t="n">
        <v>-61.676</v>
      </c>
      <c r="V251" s="20" t="n">
        <v>-5.478</v>
      </c>
      <c r="W251" s="20" t="n">
        <v>-131.331</v>
      </c>
      <c r="X251" s="20" t="n">
        <v>-68.154</v>
      </c>
    </row>
    <row r="252">
      <c r="A252" s="18" t="inlineStr">
        <is>
          <t>기타</t>
        </is>
      </c>
      <c r="Q252" s="20" t="n">
        <v>-0.285</v>
      </c>
      <c r="R252" s="20" t="n">
        <v>0</v>
      </c>
      <c r="S252" s="20" t="n">
        <v>-3.866</v>
      </c>
    </row>
    <row r="253">
      <c r="A253" s="9" t="inlineStr">
        <is>
          <t>투자활동 현금흐름</t>
        </is>
      </c>
      <c r="D253" s="12" t="n">
        <v>-127.984</v>
      </c>
      <c r="F253" s="12" t="n">
        <v>-120.254</v>
      </c>
      <c r="H253" s="12" t="n">
        <v>-428.251</v>
      </c>
      <c r="J253" s="12" t="n">
        <v>-1278.12</v>
      </c>
      <c r="L253" s="12" t="n">
        <v>-620.5650000000001</v>
      </c>
      <c r="N253" s="12" t="n">
        <v>-847.277</v>
      </c>
      <c r="Q253" s="12" t="n">
        <v>-22.482</v>
      </c>
      <c r="R253" s="12" t="n">
        <v>-19.612</v>
      </c>
      <c r="S253" s="12" t="n">
        <v>-80.626</v>
      </c>
      <c r="T253" s="12" t="n">
        <v>-259.077</v>
      </c>
      <c r="U253" s="12" t="n">
        <v>-652.909</v>
      </c>
      <c r="V253" s="12" t="n">
        <v>-120.254</v>
      </c>
      <c r="W253" s="12" t="n">
        <v>-1278.12</v>
      </c>
      <c r="X253" s="12" t="n">
        <v>-847.277</v>
      </c>
    </row>
    <row r="254">
      <c r="A254" s="18" t="inlineStr">
        <is>
          <t>단기차입금 순증감</t>
        </is>
      </c>
      <c r="D254" s="20" t="n">
        <v>-200</v>
      </c>
      <c r="F254" s="20" t="n">
        <v>-200</v>
      </c>
      <c r="H254" s="20" t="n">
        <v>0</v>
      </c>
      <c r="J254" s="20" t="n">
        <v>100</v>
      </c>
      <c r="L254" s="20" t="n">
        <v>137</v>
      </c>
      <c r="N254" s="20" t="n">
        <v>167</v>
      </c>
      <c r="Q254" s="20" t="n">
        <v>-15</v>
      </c>
      <c r="R254" s="20" t="n">
        <v>0</v>
      </c>
      <c r="T254" s="20" t="n">
        <v>0</v>
      </c>
      <c r="U254" s="20" t="n">
        <v>150</v>
      </c>
      <c r="V254" s="20" t="n">
        <v>-200</v>
      </c>
      <c r="W254" s="20" t="n">
        <v>100</v>
      </c>
      <c r="X254" s="20" t="n">
        <v>167</v>
      </c>
    </row>
    <row r="255">
      <c r="A255" s="18" t="inlineStr">
        <is>
          <t>장기차입</t>
        </is>
      </c>
      <c r="D255" s="20" t="n">
        <v>750</v>
      </c>
      <c r="F255" s="20" t="n">
        <v>750</v>
      </c>
      <c r="H255" s="20" t="n">
        <v>718.75</v>
      </c>
      <c r="J255" s="20" t="n">
        <v>2143.118</v>
      </c>
      <c r="L255" s="20" t="n">
        <v>606.28</v>
      </c>
      <c r="N255" s="20" t="n">
        <v>1076.28</v>
      </c>
      <c r="Q255" s="20" t="n">
        <v>100</v>
      </c>
      <c r="R255" s="20" t="n">
        <v>150</v>
      </c>
      <c r="S255" s="20" t="n">
        <v>0</v>
      </c>
      <c r="T255" s="20" t="n">
        <v>600</v>
      </c>
      <c r="U255" s="20" t="n">
        <v>1143</v>
      </c>
      <c r="V255" s="20" t="n">
        <v>750</v>
      </c>
      <c r="W255" s="20" t="n">
        <v>2143.118</v>
      </c>
      <c r="X255" s="20" t="n">
        <v>1076.28</v>
      </c>
    </row>
    <row r="256">
      <c r="A256" s="18" t="inlineStr">
        <is>
          <t>장기차입금 상환</t>
        </is>
      </c>
      <c r="D256" s="20" t="n">
        <v>-224.419</v>
      </c>
      <c r="F256" s="20" t="n">
        <v>-496.126</v>
      </c>
      <c r="H256" s="20" t="n">
        <v>-448.762</v>
      </c>
      <c r="J256" s="20" t="n">
        <v>-835.702</v>
      </c>
      <c r="L256" s="20" t="n">
        <v>-628.907</v>
      </c>
      <c r="N256" s="20" t="n">
        <v>-1437.278</v>
      </c>
      <c r="Q256" s="20" t="n">
        <v>-89.38500000000001</v>
      </c>
      <c r="R256" s="20" t="n">
        <v>-69.919</v>
      </c>
      <c r="S256" s="20" t="n">
        <v>-79.66800000000001</v>
      </c>
      <c r="T256" s="20" t="n">
        <v>-182.684</v>
      </c>
      <c r="U256" s="20" t="n">
        <v>-387.282</v>
      </c>
      <c r="V256" s="20" t="n">
        <v>-496.126</v>
      </c>
      <c r="W256" s="20" t="n">
        <v>-835.702</v>
      </c>
      <c r="X256" s="20" t="n">
        <v>-1437.278</v>
      </c>
    </row>
    <row r="257">
      <c r="A257" s="18" t="inlineStr">
        <is>
          <t>주식 발행</t>
        </is>
      </c>
      <c r="D257" s="20" t="n">
        <v>0.132</v>
      </c>
      <c r="F257" s="20" t="n">
        <v>1761.45</v>
      </c>
      <c r="H257" s="20" t="n">
        <v>0</v>
      </c>
      <c r="J257" s="20" t="n">
        <v>0</v>
      </c>
      <c r="Q257" s="20" t="n">
        <v>0</v>
      </c>
      <c r="R257" s="20" t="n">
        <v>126.882</v>
      </c>
      <c r="S257" s="20" t="n">
        <v>2.498</v>
      </c>
      <c r="T257" s="20" t="n">
        <v>19.243</v>
      </c>
      <c r="U257" s="20" t="n">
        <v>10.594</v>
      </c>
      <c r="V257" s="20" t="n">
        <v>1761.45</v>
      </c>
      <c r="W257" s="20" t="n">
        <v>0</v>
      </c>
    </row>
    <row r="258">
      <c r="A258" s="18" t="inlineStr">
        <is>
          <t>비지배주주 납입</t>
        </is>
      </c>
      <c r="F258" s="20" t="n">
        <v>29.999</v>
      </c>
      <c r="J258" s="20" t="n">
        <v>0</v>
      </c>
      <c r="U258" s="20" t="n">
        <v>0</v>
      </c>
      <c r="V258" s="20" t="n">
        <v>29.999</v>
      </c>
      <c r="W258" s="20" t="n">
        <v>0</v>
      </c>
    </row>
    <row r="259">
      <c r="A259" s="18" t="inlineStr">
        <is>
          <t>신주예약권 행사에 따른 주식 발행</t>
        </is>
      </c>
      <c r="D259" s="20" t="n">
        <v>0</v>
      </c>
      <c r="F259" s="20" t="n">
        <v>7.196</v>
      </c>
      <c r="H259" s="20" t="n">
        <v>1.536</v>
      </c>
      <c r="J259" s="20" t="n">
        <v>1.536</v>
      </c>
      <c r="L259" s="20" t="n">
        <v>36.924</v>
      </c>
      <c r="N259" s="20" t="n">
        <v>46.685</v>
      </c>
      <c r="U259" s="20" t="n">
        <v>0</v>
      </c>
      <c r="V259" s="20" t="n">
        <v>7.196</v>
      </c>
      <c r="W259" s="20" t="n">
        <v>1.536</v>
      </c>
      <c r="X259" s="20" t="n">
        <v>46.685</v>
      </c>
    </row>
    <row r="260">
      <c r="A260" s="18" t="inlineStr">
        <is>
          <t>신주예약권 발행</t>
        </is>
      </c>
      <c r="D260" s="20" t="n">
        <v>0.257</v>
      </c>
      <c r="F260" s="20" t="n">
        <v>0.257</v>
      </c>
      <c r="H260" s="20" t="n">
        <v>0</v>
      </c>
      <c r="J260" s="20" t="n">
        <v>0</v>
      </c>
      <c r="L260" s="20" t="n">
        <v>3.024</v>
      </c>
      <c r="N260" s="20" t="n">
        <v>3.024</v>
      </c>
      <c r="S260" s="20" t="n">
        <v>0</v>
      </c>
      <c r="T260" s="20" t="n">
        <v>0.036</v>
      </c>
      <c r="U260" s="20" t="n">
        <v>0</v>
      </c>
      <c r="V260" s="20" t="n">
        <v>0.257</v>
      </c>
      <c r="W260" s="20" t="n">
        <v>0</v>
      </c>
      <c r="X260" s="20" t="n">
        <v>3.024</v>
      </c>
    </row>
    <row r="261">
      <c r="A261" s="18" t="inlineStr">
        <is>
          <t>자기주식 취득</t>
        </is>
      </c>
      <c r="D261" s="20" t="n">
        <v>0</v>
      </c>
      <c r="F261" s="20" t="n">
        <v>-0.113</v>
      </c>
      <c r="J261" s="20" t="n">
        <v>0</v>
      </c>
      <c r="S261" s="20" t="n">
        <v>0</v>
      </c>
      <c r="T261" s="20" t="n">
        <v>-0.06900000000000001</v>
      </c>
      <c r="U261" s="20" t="n">
        <v>-0.12</v>
      </c>
      <c r="V261" s="20" t="n">
        <v>-0.113</v>
      </c>
      <c r="W261" s="20" t="n">
        <v>0</v>
      </c>
    </row>
    <row r="262">
      <c r="A262" s="18" t="inlineStr">
        <is>
          <t>배당금 지급</t>
        </is>
      </c>
      <c r="D262" s="20" t="n">
        <v>-20.958</v>
      </c>
      <c r="F262" s="20" t="n">
        <v>-20.959</v>
      </c>
      <c r="H262" s="20" t="n">
        <v>-21.35</v>
      </c>
      <c r="J262" s="20" t="n">
        <v>-21.519</v>
      </c>
      <c r="L262" s="20" t="n">
        <v>-21.655</v>
      </c>
      <c r="N262" s="20" t="n">
        <v>-21.658</v>
      </c>
      <c r="T262" s="20" t="n">
        <v>0</v>
      </c>
      <c r="U262" s="20" t="n">
        <v>-20.923</v>
      </c>
      <c r="V262" s="20" t="n">
        <v>-20.959</v>
      </c>
      <c r="W262" s="20" t="n">
        <v>-21.519</v>
      </c>
      <c r="X262" s="20" t="n">
        <v>-21.658</v>
      </c>
    </row>
    <row r="263">
      <c r="A263" s="9" t="inlineStr">
        <is>
          <t>재무활동 현금흐름</t>
        </is>
      </c>
      <c r="D263" s="12" t="n">
        <v>305.012</v>
      </c>
      <c r="F263" s="12" t="n">
        <v>1831.705</v>
      </c>
      <c r="H263" s="12" t="n">
        <v>250.173</v>
      </c>
      <c r="J263" s="12" t="n">
        <v>1387.432</v>
      </c>
      <c r="L263" s="12" t="n">
        <v>132.666</v>
      </c>
      <c r="N263" s="12" t="n">
        <v>-165.947</v>
      </c>
      <c r="Q263" s="12" t="n">
        <v>-4.385</v>
      </c>
      <c r="R263" s="12" t="n">
        <v>206.963</v>
      </c>
      <c r="S263" s="12" t="n">
        <v>-77.169</v>
      </c>
      <c r="T263" s="12" t="n">
        <v>436.526</v>
      </c>
      <c r="U263" s="12" t="n">
        <v>895.269</v>
      </c>
      <c r="V263" s="12" t="n">
        <v>1831.705</v>
      </c>
      <c r="W263" s="12" t="n">
        <v>1387.432</v>
      </c>
      <c r="X263" s="12" t="n">
        <v>-165.947</v>
      </c>
    </row>
    <row r="264">
      <c r="A264" s="18" t="inlineStr">
        <is>
          <t>현금성자산 증감</t>
        </is>
      </c>
      <c r="D264" s="20" t="n">
        <v>200.943</v>
      </c>
      <c r="F264" s="20" t="n">
        <v>2408.565</v>
      </c>
      <c r="H264" s="20" t="n">
        <v>225.169</v>
      </c>
      <c r="J264" s="20" t="n">
        <v>859.004</v>
      </c>
      <c r="L264" s="20" t="n">
        <v>49.524</v>
      </c>
      <c r="N264" s="20" t="n">
        <v>16.265</v>
      </c>
      <c r="Q264" s="20" t="n">
        <v>57.521</v>
      </c>
      <c r="R264" s="20" t="n">
        <v>115.286</v>
      </c>
      <c r="S264" s="20" t="n">
        <v>-103.627</v>
      </c>
      <c r="T264" s="20" t="n">
        <v>393.036</v>
      </c>
      <c r="U264" s="20" t="n">
        <v>414.959</v>
      </c>
      <c r="V264" s="20" t="n">
        <v>2408.565</v>
      </c>
      <c r="W264" s="20" t="n">
        <v>859.004</v>
      </c>
      <c r="X264" s="20" t="n">
        <v>16.265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TWOSTONE&amp;Sons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7216.73</v>
      </c>
      <c r="D5" s="12" t="n">
        <v>7613.297</v>
      </c>
      <c r="E5" s="12" t="n">
        <v>7422.076</v>
      </c>
      <c r="F5" s="12" t="n">
        <v>7543.721</v>
      </c>
      <c r="G5" s="12" t="n">
        <v>7551.045</v>
      </c>
      <c r="H5" s="11" t="n">
        <v>1947.363</v>
      </c>
      <c r="I5" s="12" t="n">
        <v>2841.105</v>
      </c>
      <c r="J5" s="12" t="n">
        <v>5872.328</v>
      </c>
      <c r="K5" s="12" t="n">
        <v>7216.73</v>
      </c>
      <c r="L5" s="12" t="n">
        <v>7551.045</v>
      </c>
    </row>
    <row r="6">
      <c r="A6" s="18" t="inlineStr">
        <is>
          <t>현금및현금성자산</t>
        </is>
      </c>
      <c r="B6" s="10" t="n"/>
      <c r="C6" s="19" t="n">
        <v>4557.24</v>
      </c>
      <c r="D6" s="20" t="n">
        <v>4080.08</v>
      </c>
      <c r="E6" s="20" t="n">
        <v>4606.765</v>
      </c>
      <c r="F6" s="20" t="n">
        <v>4553.279</v>
      </c>
      <c r="G6" s="20" t="n">
        <v>4573.506</v>
      </c>
      <c r="H6" s="19" t="n">
        <v>874.711</v>
      </c>
      <c r="I6" s="20" t="n">
        <v>1289.67</v>
      </c>
      <c r="J6" s="20" t="n">
        <v>3698.236</v>
      </c>
      <c r="K6" s="20" t="n">
        <v>4557.24</v>
      </c>
      <c r="L6" s="20" t="n">
        <v>4573.506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2414.553</v>
      </c>
      <c r="D8" s="20" t="n">
        <v>3262.711</v>
      </c>
      <c r="E8" s="20" t="n">
        <v>2562.867</v>
      </c>
      <c r="F8" s="20" t="n">
        <v>2578.695</v>
      </c>
      <c r="G8" s="20" t="n">
        <v>2666.71</v>
      </c>
      <c r="H8" s="19" t="n">
        <v>1013.652</v>
      </c>
      <c r="I8" s="20" t="n">
        <v>1464.945</v>
      </c>
      <c r="J8" s="20" t="n">
        <v>2015.858</v>
      </c>
      <c r="K8" s="20" t="n">
        <v>2414.553</v>
      </c>
      <c r="L8" s="20" t="n">
        <v>2666.71</v>
      </c>
    </row>
    <row r="9">
      <c r="A9" s="18" t="inlineStr">
        <is>
          <t>재고자산</t>
        </is>
      </c>
      <c r="B9" s="10" t="n"/>
      <c r="C9" s="19" t="n">
        <v>16.534</v>
      </c>
      <c r="D9" s="20" t="n"/>
      <c r="E9" s="20" t="n"/>
      <c r="F9" s="20" t="n">
        <v>116.921</v>
      </c>
      <c r="G9" s="20" t="n"/>
      <c r="H9" s="19" t="n">
        <v>0</v>
      </c>
      <c r="I9" s="20" t="n">
        <v>17.715</v>
      </c>
      <c r="J9" s="20" t="n"/>
      <c r="K9" s="20" t="n">
        <v>16.534</v>
      </c>
      <c r="L9" s="20" t="n"/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2731.14</v>
      </c>
      <c r="D11" s="12" t="n">
        <v>2916.408</v>
      </c>
      <c r="E11" s="12" t="n">
        <v>3318.7</v>
      </c>
      <c r="F11" s="12" t="n">
        <v>3178.987</v>
      </c>
      <c r="G11" s="12" t="n">
        <v>3133.615</v>
      </c>
      <c r="H11" s="11" t="n">
        <v>561.693</v>
      </c>
      <c r="I11" s="12" t="n">
        <v>1244.983</v>
      </c>
      <c r="J11" s="12" t="n">
        <v>1229.569</v>
      </c>
      <c r="K11" s="12" t="n">
        <v>2731.14</v>
      </c>
      <c r="L11" s="12" t="n">
        <v>3133.615</v>
      </c>
    </row>
    <row r="12">
      <c r="A12" s="18" t="inlineStr">
        <is>
          <t>유형자산</t>
        </is>
      </c>
      <c r="B12" s="10" t="n"/>
      <c r="C12" s="19" t="n">
        <v>82.913</v>
      </c>
      <c r="D12" s="20" t="n">
        <v>79.98099999999999</v>
      </c>
      <c r="E12" s="20" t="n">
        <v>222.539</v>
      </c>
      <c r="F12" s="20" t="n">
        <v>207.758</v>
      </c>
      <c r="G12" s="20" t="n">
        <v>197.345</v>
      </c>
      <c r="H12" s="19" t="n">
        <v>62.705</v>
      </c>
      <c r="I12" s="20" t="n">
        <v>45.263</v>
      </c>
      <c r="J12" s="20" t="n">
        <v>42.408</v>
      </c>
      <c r="K12" s="20" t="n">
        <v>82.913</v>
      </c>
      <c r="L12" s="20" t="n">
        <v>197.345</v>
      </c>
    </row>
    <row r="13">
      <c r="A13" s="18" t="inlineStr">
        <is>
          <t>무형자산</t>
        </is>
      </c>
      <c r="B13" s="10" t="n"/>
      <c r="C13" s="19" t="n">
        <v>2270.626</v>
      </c>
      <c r="D13" s="20" t="n">
        <v>2437.164</v>
      </c>
      <c r="E13" s="20" t="n">
        <v>2474.037</v>
      </c>
      <c r="F13" s="20" t="n">
        <v>2353.906</v>
      </c>
      <c r="G13" s="20" t="n">
        <v>2274.424</v>
      </c>
      <c r="H13" s="19" t="n">
        <v>340.58</v>
      </c>
      <c r="I13" s="20" t="n">
        <v>1017.658</v>
      </c>
      <c r="J13" s="20" t="n">
        <v>1051.255</v>
      </c>
      <c r="K13" s="20" t="n">
        <v>2270.626</v>
      </c>
      <c r="L13" s="20" t="n">
        <v>2274.424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9947.870000000001</v>
      </c>
      <c r="D16" s="12" t="n">
        <v>10529.706</v>
      </c>
      <c r="E16" s="12" t="n">
        <v>10740.776</v>
      </c>
      <c r="F16" s="12" t="n">
        <v>10722.708</v>
      </c>
      <c r="G16" s="12" t="n">
        <v>10684.661</v>
      </c>
      <c r="H16" s="11" t="n">
        <v>2511.379</v>
      </c>
      <c r="I16" s="12" t="n">
        <v>4086.088</v>
      </c>
      <c r="J16" s="12" t="n">
        <v>7101.897</v>
      </c>
      <c r="K16" s="12" t="n">
        <v>9947.870000000001</v>
      </c>
      <c r="L16" s="12" t="n">
        <v>10684.661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3931.461</v>
      </c>
      <c r="D18" s="12" t="n">
        <v>4179.416</v>
      </c>
      <c r="E18" s="12" t="n">
        <v>4369.976</v>
      </c>
      <c r="F18" s="12" t="n">
        <v>4411.417</v>
      </c>
      <c r="G18" s="12" t="n">
        <v>4633.45</v>
      </c>
      <c r="H18" s="11" t="n">
        <v>1127.598</v>
      </c>
      <c r="I18" s="12" t="n">
        <v>1954.299</v>
      </c>
      <c r="J18" s="12" t="n">
        <v>2866.114</v>
      </c>
      <c r="K18" s="12" t="n">
        <v>3931.461</v>
      </c>
      <c r="L18" s="12" t="n">
        <v>4633.45</v>
      </c>
    </row>
    <row r="19">
      <c r="A19" s="18" t="inlineStr">
        <is>
          <t>매입채무</t>
        </is>
      </c>
      <c r="B19" s="10" t="n"/>
      <c r="C19" s="19" t="n">
        <v>1080.512</v>
      </c>
      <c r="D19" s="20" t="n">
        <v>1055.727</v>
      </c>
      <c r="E19" s="20" t="n">
        <v>1083.772</v>
      </c>
      <c r="F19" s="20" t="n">
        <v>1098.482</v>
      </c>
      <c r="G19" s="20" t="n">
        <v>1087.463</v>
      </c>
      <c r="H19" s="19" t="n">
        <v>517.039</v>
      </c>
      <c r="I19" s="20" t="n">
        <v>711.8390000000001</v>
      </c>
      <c r="J19" s="20" t="n">
        <v>935.491</v>
      </c>
      <c r="K19" s="20" t="n">
        <v>1080.512</v>
      </c>
      <c r="L19" s="20" t="n">
        <v>1087.463</v>
      </c>
    </row>
    <row r="20">
      <c r="A20" s="18" t="inlineStr">
        <is>
          <t>단기차입금</t>
        </is>
      </c>
      <c r="B20" s="10" t="n"/>
      <c r="C20" s="19" t="n">
        <v>100</v>
      </c>
      <c r="D20" s="20" t="n"/>
      <c r="E20" s="20" t="n">
        <v>237</v>
      </c>
      <c r="F20" s="20" t="n">
        <v>267</v>
      </c>
      <c r="G20" s="20" t="n">
        <v>267</v>
      </c>
      <c r="H20" s="19" t="n">
        <v>0</v>
      </c>
      <c r="I20" s="20" t="n">
        <v>200</v>
      </c>
      <c r="J20" s="20" t="n">
        <v>0</v>
      </c>
      <c r="K20" s="20" t="n">
        <v>100</v>
      </c>
      <c r="L20" s="20" t="n">
        <v>267</v>
      </c>
    </row>
    <row r="21">
      <c r="A21" s="18" t="inlineStr">
        <is>
          <t>유동성장기부채</t>
        </is>
      </c>
      <c r="B21" s="10" t="n"/>
      <c r="C21" s="19" t="n">
        <v>1069.069</v>
      </c>
      <c r="D21" s="20" t="n">
        <v>1107.819</v>
      </c>
      <c r="E21" s="20" t="n">
        <v>1126.57</v>
      </c>
      <c r="F21" s="20" t="n">
        <v>1187.37</v>
      </c>
      <c r="G21" s="20" t="n">
        <v>1157.172</v>
      </c>
      <c r="H21" s="19" t="n">
        <v>172.457</v>
      </c>
      <c r="I21" s="20" t="n">
        <v>397.478</v>
      </c>
      <c r="J21" s="20" t="n">
        <v>623.208</v>
      </c>
      <c r="K21" s="20" t="n">
        <v>1069.069</v>
      </c>
      <c r="L21" s="20" t="n">
        <v>1157.172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2548.476</v>
      </c>
      <c r="D23" s="12" t="n">
        <v>2520.753</v>
      </c>
      <c r="E23" s="12" t="n">
        <v>2526.104</v>
      </c>
      <c r="F23" s="12" t="n">
        <v>2460.281</v>
      </c>
      <c r="G23" s="12" t="n">
        <v>2111.967</v>
      </c>
      <c r="H23" s="11" t="n">
        <v>646.864</v>
      </c>
      <c r="I23" s="12" t="n">
        <v>1234.714</v>
      </c>
      <c r="J23" s="12" t="n">
        <v>1349.972</v>
      </c>
      <c r="K23" s="12" t="n">
        <v>2548.476</v>
      </c>
      <c r="L23" s="12" t="n">
        <v>2111.967</v>
      </c>
    </row>
    <row r="24">
      <c r="A24" s="18" t="inlineStr">
        <is>
          <t>장기차입금</t>
        </is>
      </c>
      <c r="B24" s="10" t="n"/>
      <c r="C24" s="19" t="n">
        <v>2468.212</v>
      </c>
      <c r="D24" s="20" t="n">
        <v>2464.613</v>
      </c>
      <c r="E24" s="20" t="n">
        <v>2461.675</v>
      </c>
      <c r="F24" s="20" t="n">
        <v>2414.205</v>
      </c>
      <c r="G24" s="20" t="n">
        <v>2092.702</v>
      </c>
      <c r="H24" s="19" t="n">
        <v>646.864</v>
      </c>
      <c r="I24" s="20" t="n">
        <v>1214.976</v>
      </c>
      <c r="J24" s="20" t="n">
        <v>1346.952</v>
      </c>
      <c r="K24" s="20" t="n">
        <v>2468.212</v>
      </c>
      <c r="L24" s="20" t="n">
        <v>2092.702</v>
      </c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6479.938</v>
      </c>
      <c r="D27" s="12" t="n">
        <v>6700.17</v>
      </c>
      <c r="E27" s="12" t="n">
        <v>6896.08</v>
      </c>
      <c r="F27" s="12" t="n">
        <v>6871.699</v>
      </c>
      <c r="G27" s="12" t="n">
        <v>6745.417</v>
      </c>
      <c r="H27" s="11" t="n">
        <v>1774.462</v>
      </c>
      <c r="I27" s="12" t="n">
        <v>3189.014</v>
      </c>
      <c r="J27" s="12" t="n">
        <v>4216.087</v>
      </c>
      <c r="K27" s="12" t="n">
        <v>6479.938</v>
      </c>
      <c r="L27" s="12" t="n">
        <v>6745.417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3351.231</v>
      </c>
      <c r="D31" s="12" t="n">
        <v>3694.643</v>
      </c>
      <c r="E31" s="12" t="n">
        <v>3710.73</v>
      </c>
      <c r="F31" s="12" t="n">
        <v>3726.347</v>
      </c>
      <c r="G31" s="12" t="n">
        <v>3837.329</v>
      </c>
      <c r="H31" s="11" t="n">
        <v>732.564</v>
      </c>
      <c r="I31" s="12" t="n">
        <v>892.217</v>
      </c>
      <c r="J31" s="12" t="n">
        <v>2877.465</v>
      </c>
      <c r="K31" s="12" t="n">
        <v>3351.231</v>
      </c>
      <c r="L31" s="12" t="n">
        <v>3837.329</v>
      </c>
    </row>
    <row r="32">
      <c r="A32" s="18" t="inlineStr">
        <is>
          <t>자본금</t>
        </is>
      </c>
      <c r="B32" s="10" t="n"/>
      <c r="C32" s="19" t="n">
        <v>1038.985</v>
      </c>
      <c r="D32" s="20" t="n">
        <v>1039.081</v>
      </c>
      <c r="E32" s="20" t="n">
        <v>1057.448</v>
      </c>
      <c r="F32" s="20" t="n">
        <v>1057.828</v>
      </c>
      <c r="G32" s="20" t="n">
        <v>1062.328</v>
      </c>
      <c r="H32" s="19" t="n">
        <v>139.589</v>
      </c>
      <c r="I32" s="20" t="n">
        <v>144.886</v>
      </c>
      <c r="J32" s="20" t="n">
        <v>1038.217</v>
      </c>
      <c r="K32" s="20" t="n">
        <v>1038.985</v>
      </c>
      <c r="L32" s="20" t="n">
        <v>1062.328</v>
      </c>
    </row>
    <row r="33">
      <c r="A33" s="18" t="inlineStr">
        <is>
          <t>이익잉여금</t>
        </is>
      </c>
      <c r="B33" s="10" t="n"/>
      <c r="C33" s="19" t="n">
        <v>1243.282</v>
      </c>
      <c r="D33" s="20" t="n">
        <v>1588.759</v>
      </c>
      <c r="E33" s="20" t="n">
        <v>1524.364</v>
      </c>
      <c r="F33" s="20" t="n">
        <v>1539.455</v>
      </c>
      <c r="G33" s="20" t="n">
        <v>1651.529</v>
      </c>
      <c r="H33" s="19" t="n">
        <v>453.554</v>
      </c>
      <c r="I33" s="20" t="n">
        <v>602.732</v>
      </c>
      <c r="J33" s="20" t="n">
        <v>770.61</v>
      </c>
      <c r="K33" s="20" t="n">
        <v>1243.282</v>
      </c>
      <c r="L33" s="20" t="n">
        <v>1651.529</v>
      </c>
    </row>
    <row r="34">
      <c r="A34" s="18" t="inlineStr">
        <is>
          <t>비지배지분</t>
        </is>
      </c>
      <c r="B34" s="10" t="n"/>
      <c r="C34" s="19" t="n">
        <v>106.272</v>
      </c>
      <c r="D34" s="20" t="n">
        <v>120.578</v>
      </c>
      <c r="E34" s="20" t="n">
        <v>118.79</v>
      </c>
      <c r="F34" s="20" t="n">
        <v>108.624</v>
      </c>
      <c r="G34" s="20" t="n">
        <v>88.05800000000001</v>
      </c>
      <c r="H34" s="19" t="n"/>
      <c r="I34" s="20" t="n"/>
      <c r="J34" s="20" t="n">
        <v>0</v>
      </c>
      <c r="K34" s="20" t="n">
        <v>106.272</v>
      </c>
      <c r="L34" s="20" t="n">
        <v>88.05800000000001</v>
      </c>
    </row>
    <row r="35">
      <c r="A35" s="9" t="inlineStr">
        <is>
          <t>자본총계</t>
        </is>
      </c>
      <c r="B35" s="10" t="n"/>
      <c r="C35" s="11" t="n">
        <v>3467.931</v>
      </c>
      <c r="D35" s="12" t="n">
        <v>3829.535</v>
      </c>
      <c r="E35" s="12" t="n">
        <v>3844.696</v>
      </c>
      <c r="F35" s="12" t="n">
        <v>3851.009</v>
      </c>
      <c r="G35" s="12" t="n">
        <v>3939.243</v>
      </c>
      <c r="H35" s="11" t="n">
        <v>736.9160000000001</v>
      </c>
      <c r="I35" s="12" t="n">
        <v>897.074</v>
      </c>
      <c r="J35" s="12" t="n">
        <v>2885.81</v>
      </c>
      <c r="K35" s="12" t="n">
        <v>3467.931</v>
      </c>
      <c r="L35" s="12" t="n">
        <v>3939.243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749.693</v>
      </c>
      <c r="D37" s="12" t="n"/>
      <c r="E37" s="12" t="n">
        <v>883.869</v>
      </c>
      <c r="F37" s="12" t="n"/>
      <c r="G37" s="12" t="n">
        <v>1029.49</v>
      </c>
      <c r="H37" s="11" t="n">
        <v>215.586</v>
      </c>
      <c r="I37" s="12" t="n">
        <v>172.599</v>
      </c>
      <c r="J37" s="12" t="n">
        <v>697.114</v>
      </c>
      <c r="K37" s="12" t="n">
        <v>749.693</v>
      </c>
      <c r="L37" s="12" t="n">
        <v>1029.49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65.283</v>
      </c>
      <c r="D38" s="20" t="n"/>
      <c r="E38" s="20" t="n">
        <v>117.822</v>
      </c>
      <c r="F38" s="20" t="n"/>
      <c r="G38" s="20" t="n">
        <v>193.584</v>
      </c>
      <c r="H38" s="19" t="n">
        <v>103.684</v>
      </c>
      <c r="I38" s="20" t="n">
        <v>29.169</v>
      </c>
      <c r="J38" s="20" t="n">
        <v>29.644</v>
      </c>
      <c r="K38" s="20" t="n">
        <v>65.283</v>
      </c>
      <c r="L38" s="20" t="n">
        <v>193.584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21.519</v>
      </c>
      <c r="D40" s="20" t="n"/>
      <c r="E40" s="20" t="n">
        <v>21.824</v>
      </c>
      <c r="F40" s="20" t="n"/>
      <c r="G40" s="20" t="n">
        <v>21.658</v>
      </c>
      <c r="H40" s="19" t="n">
        <v>0</v>
      </c>
      <c r="I40" s="20" t="n">
        <v>20.923</v>
      </c>
      <c r="J40" s="20" t="n">
        <v>20.959</v>
      </c>
      <c r="K40" s="20" t="n">
        <v>21.519</v>
      </c>
      <c r="L40" s="20" t="n">
        <v>21.658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IFERROR((IF(COUNT('연간'!G28:J28)&lt;4,"",SUM('연간'!G28:J28)))/(IF(COUNT('연간'!G50:J50)&lt;4,"",SUM('연간'!G50:J50))),"")</f>
        <v/>
      </c>
      <c r="D48" s="31">
        <f>IFERROR((IF(COUNT('연간'!H28:K28)&lt;4,"",SUM('연간'!H28:K28)))/(IF(COUNT('연간'!H50:K50)&lt;4,"",SUM('연간'!H50:K50))),"")</f>
        <v/>
      </c>
      <c r="E48" s="31">
        <f>IFERROR((IF(COUNT('연간'!I28:L28)&lt;4,"",SUM('연간'!I28:L28)))/(IF(COUNT('연간'!I50:L50)&lt;4,"",SUM('연간'!I50:L50))),"")</f>
        <v/>
      </c>
      <c r="F48" s="31">
        <f>IFERROR((IF(COUNT('연간'!J28:M28)&lt;4,"",SUM('연간'!J28:M28)))/(IF(COUNT('연간'!J50:M50)&lt;4,"",SUM('연간'!J50:M50))),"")</f>
        <v/>
      </c>
      <c r="G48" s="31">
        <f>IFERROR((IF(COUNT('연간'!K28:N28)&lt;4,"",SUM('연간'!K28:N28)))/(IF(COUNT('연간'!K50:N50)&lt;4,"",SUM('연간'!K50:N50))),"")</f>
        <v/>
      </c>
      <c r="H48" s="30">
        <f>IFERROR(('연간'!T28)/('연간'!T50),"")</f>
        <v/>
      </c>
      <c r="I48" s="31">
        <f>IFERROR(('연간'!U28)/('연간'!U50),"")</f>
        <v/>
      </c>
      <c r="J48" s="31">
        <f>IFERROR(('연간'!V28)/('연간'!V50),"")</f>
        <v/>
      </c>
      <c r="K48" s="31">
        <f>IFERROR(('연간'!W28)/('연간'!W50),"")</f>
        <v/>
      </c>
      <c r="L48" s="31">
        <f>IFERROR(('연간'!X28)/('연간'!X50),"")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IFERROR(IF((IF(COUNT('연간'!G56:J56)&lt;4,"",SUM('연간'!G56:J56)))&lt;=0,"적자",C28/(IF(COUNT('연간'!G56:J56)&lt;4,"",SUM('연간'!G56:J56)))),"")</f>
        <v/>
      </c>
      <c r="D49" s="47">
        <f>IFERROR(IF((IF(COUNT('연간'!H56:K56)&lt;4,"",SUM('연간'!H56:K56)))&lt;=0,"적자",D28/(IF(COUNT('연간'!H56:K56)&lt;4,"",SUM('연간'!H56:K56)))),"")</f>
        <v/>
      </c>
      <c r="E49" s="47">
        <f>IFERROR(IF((IF(COUNT('연간'!I56:L56)&lt;4,"",SUM('연간'!I56:L56)))&lt;=0,"적자",E28/(IF(COUNT('연간'!I56:L56)&lt;4,"",SUM('연간'!I56:L56)))),"")</f>
        <v/>
      </c>
      <c r="F49" s="47">
        <f>IFERROR(IF((IF(COUNT('연간'!J56:M56)&lt;4,"",SUM('연간'!J56:M56)))&lt;=0,"적자",F28/(IF(COUNT('연간'!J56:M56)&lt;4,"",SUM('연간'!J56:M56)))),"")</f>
        <v/>
      </c>
      <c r="G49" s="47">
        <f>IFERROR(IF((IF(COUNT('연간'!K56:N56)&lt;4,"",SUM('연간'!K56:N56)))&lt;=0,"적자",G28/(IF(COUNT('연간'!K56:N56)&lt;4,"",SUM('연간'!K56:N56)))),"")</f>
        <v/>
      </c>
      <c r="H49" s="46">
        <f>IFERROR(IF(('연간'!T56)&lt;=0,"적자",H28/('연간'!T56)),"")</f>
        <v/>
      </c>
      <c r="I49" s="47">
        <f>IFERROR(IF(('연간'!U56)&lt;=0,"적자",I28/('연간'!U56)),"")</f>
        <v/>
      </c>
      <c r="J49" s="47">
        <f>IFERROR(IF(('연간'!V56)&lt;=0,"적자",J28/('연간'!V56)),"")</f>
        <v/>
      </c>
      <c r="K49" s="47">
        <f>IFERROR(IF(('연간'!W56)&lt;=0,"적자",K28/('연간'!W56)),"")</f>
        <v/>
      </c>
      <c r="L49" s="47">
        <f>IFERROR(IF(('연간'!X56)&lt;=0,"적자",L28/('연간'!X56)),"")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IFERROR((IF(COUNT('연간'!G56:J56)&lt;4,"",SUM('연간'!G56:J56)))/C31,"")</f>
        <v/>
      </c>
      <c r="D51" s="36">
        <f>IFERROR((IF(COUNT('연간'!H56:K56)&lt;4,"",SUM('연간'!H56:K56)))/D31,"")</f>
        <v/>
      </c>
      <c r="E51" s="36">
        <f>IFERROR((IF(COUNT('연간'!I56:L56)&lt;4,"",SUM('연간'!I56:L56)))/E31,"")</f>
        <v/>
      </c>
      <c r="F51" s="36">
        <f>IFERROR((IF(COUNT('연간'!J56:M56)&lt;4,"",SUM('연간'!J56:M56)))/F31,"")</f>
        <v/>
      </c>
      <c r="G51" s="36">
        <f>IFERROR((IF(COUNT('연간'!K56:N56)&lt;4,"",SUM('연간'!K56:N56)))/G31,"")</f>
        <v/>
      </c>
      <c r="H51" s="35">
        <f>IFERROR(('연간'!T56)/H31,"")</f>
        <v/>
      </c>
      <c r="I51" s="36">
        <f>IFERROR(('연간'!U56)/I31,"")</f>
        <v/>
      </c>
      <c r="J51" s="36">
        <f>IFERROR(('연간'!V56)/J31,"")</f>
        <v/>
      </c>
      <c r="K51" s="36">
        <f>IFERROR(('연간'!W56)/K31,"")</f>
        <v/>
      </c>
      <c r="L51" s="36">
        <f>IFERROR(('연간'!X56)/L31,"")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IFERROR((IF(COUNT('연간'!G55:J55)&lt;4,"",SUM('연간'!G55:J55)))/C16,"")</f>
        <v/>
      </c>
      <c r="D52" s="36">
        <f>IFERROR((IF(COUNT('연간'!H55:K55)&lt;4,"",SUM('연간'!H55:K55)))/D16,"")</f>
        <v/>
      </c>
      <c r="E52" s="36">
        <f>IFERROR((IF(COUNT('연간'!I55:L55)&lt;4,"",SUM('연간'!I55:L55)))/E16,"")</f>
        <v/>
      </c>
      <c r="F52" s="36">
        <f>IFERROR((IF(COUNT('연간'!J55:M55)&lt;4,"",SUM('연간'!J55:M55)))/F16,"")</f>
        <v/>
      </c>
      <c r="G52" s="36">
        <f>IFERROR((IF(COUNT('연간'!K55:N55)&lt;4,"",SUM('연간'!K55:N55)))/G16,"")</f>
        <v/>
      </c>
      <c r="H52" s="35">
        <f>IFERROR(('연간'!T55)/H16,"")</f>
        <v/>
      </c>
      <c r="I52" s="36">
        <f>IFERROR(('연간'!U55)/I16,"")</f>
        <v/>
      </c>
      <c r="J52" s="36">
        <f>IFERROR(('연간'!V55)/J16,"")</f>
        <v/>
      </c>
      <c r="K52" s="36">
        <f>IFERROR(('연간'!W55)/K16,"")</f>
        <v/>
      </c>
      <c r="L52" s="36">
        <f>IFERROR(('연간'!X55)/L16,"")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IFERROR((IF(COUNT('연간'!G28:J28)&lt;4,"",SUM('연간'!G28:J28)))*(1-0.3)/(C35+C29),"")</f>
        <v/>
      </c>
      <c r="D53" s="36">
        <f>IFERROR((IF(COUNT('연간'!H28:K28)&lt;4,"",SUM('연간'!H28:K28)))*(1-0.3)/(D35+D29),"")</f>
        <v/>
      </c>
      <c r="E53" s="36">
        <f>IFERROR((IF(COUNT('연간'!I28:L28)&lt;4,"",SUM('연간'!I28:L28)))*(1-0.3)/(E35+E29),"")</f>
        <v/>
      </c>
      <c r="F53" s="36">
        <f>IFERROR((IF(COUNT('연간'!J28:M28)&lt;4,"",SUM('연간'!J28:M28)))*(1-0.3)/(F35+F29),"")</f>
        <v/>
      </c>
      <c r="G53" s="36">
        <f>IFERROR((IF(COUNT('연간'!K28:N28)&lt;4,"",SUM('연간'!K28:N28)))*(1-0.3)/(G35+G29),"")</f>
        <v/>
      </c>
      <c r="H53" s="35">
        <f>IFERROR(('연간'!T28)*(1-0.3)/(H35+H29),"")</f>
        <v/>
      </c>
      <c r="I53" s="36">
        <f>IFERROR(('연간'!U28)*(1-0.3)/(I35+I29),"")</f>
        <v/>
      </c>
      <c r="J53" s="36">
        <f>IFERROR(('연간'!V28)*(1-0.3)/(J35+J29),"")</f>
        <v/>
      </c>
      <c r="K53" s="36">
        <f>IFERROR(('연간'!W28)*(1-0.3)/(K35+K29),"")</f>
        <v/>
      </c>
      <c r="L53" s="36">
        <f>IFERROR(('연간'!X28)*(1-0.3)/(L35+L29),"")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IFERROR((IF(COUNT('연간'!G24:J24)&lt;4,"",SUM('연간'!G24:J24)))/(IF(COUNT('연간'!G4:J4)&lt;4,"",SUM('연간'!G4:J4))),"")</f>
        <v/>
      </c>
      <c r="D54" s="36">
        <f>IFERROR((IF(COUNT('연간'!H24:K24)&lt;4,"",SUM('연간'!H24:K24)))/(IF(COUNT('연간'!H4:K4)&lt;4,"",SUM('연간'!H4:K4))),"")</f>
        <v/>
      </c>
      <c r="E54" s="36">
        <f>IFERROR((IF(COUNT('연간'!I24:L24)&lt;4,"",SUM('연간'!I24:L24)))/(IF(COUNT('연간'!I4:L4)&lt;4,"",SUM('연간'!I4:L4))),"")</f>
        <v/>
      </c>
      <c r="F54" s="36">
        <f>IFERROR((IF(COUNT('연간'!J24:M24)&lt;4,"",SUM('연간'!J24:M24)))/(IF(COUNT('연간'!J4:M4)&lt;4,"",SUM('연간'!J4:M4))),"")</f>
        <v/>
      </c>
      <c r="G54" s="36">
        <f>IFERROR((IF(COUNT('연간'!K24:N24)&lt;4,"",SUM('연간'!K24:N24)))/(IF(COUNT('연간'!K4:N4)&lt;4,"",SUM('연간'!K4:N4))),"")</f>
        <v/>
      </c>
      <c r="H54" s="35">
        <f>IFERROR(('연간'!T24)/('연간'!T4),"")</f>
        <v/>
      </c>
      <c r="I54" s="36">
        <f>IFERROR(('연간'!U24)/('연간'!U4),"")</f>
        <v/>
      </c>
      <c r="J54" s="36">
        <f>IFERROR(('연간'!V24)/('연간'!V4),"")</f>
        <v/>
      </c>
      <c r="K54" s="36">
        <f>IFERROR(('연간'!W24)/('연간'!W4),"")</f>
        <v/>
      </c>
      <c r="L54" s="36">
        <f>IFERROR(('연간'!X24)/('연간'!X4),"")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IFERROR((IF(COUNT('연간'!G28:J28)&lt;4,"",SUM('연간'!G28:J28)))/(IF(COUNT('연간'!G4:J4)&lt;4,"",SUM('연간'!G4:J4))),"")</f>
        <v/>
      </c>
      <c r="D55" s="36">
        <f>IFERROR((IF(COUNT('연간'!H28:K28)&lt;4,"",SUM('연간'!H28:K28)))/(IF(COUNT('연간'!H4:K4)&lt;4,"",SUM('연간'!H4:K4))),"")</f>
        <v/>
      </c>
      <c r="E55" s="36">
        <f>IFERROR((IF(COUNT('연간'!I28:L28)&lt;4,"",SUM('연간'!I28:L28)))/(IF(COUNT('연간'!I4:L4)&lt;4,"",SUM('연간'!I4:L4))),"")</f>
        <v/>
      </c>
      <c r="F55" s="36">
        <f>IFERROR((IF(COUNT('연간'!J28:M28)&lt;4,"",SUM('연간'!J28:M28)))/(IF(COUNT('연간'!J4:M4)&lt;4,"",SUM('연간'!J4:M4))),"")</f>
        <v/>
      </c>
      <c r="G55" s="36">
        <f>IFERROR((IF(COUNT('연간'!K28:N28)&lt;4,"",SUM('연간'!K28:N28)))/(IF(COUNT('연간'!K4:N4)&lt;4,"",SUM('연간'!K4:N4))),"")</f>
        <v/>
      </c>
      <c r="H55" s="35">
        <f>IFERROR(('연간'!T28)/('연간'!T4),"")</f>
        <v/>
      </c>
      <c r="I55" s="36">
        <f>IFERROR(('연간'!U28)/('연간'!U4),"")</f>
        <v/>
      </c>
      <c r="J55" s="36">
        <f>IFERROR(('연간'!V28)/('연간'!V4),"")</f>
        <v/>
      </c>
      <c r="K55" s="36">
        <f>IFERROR(('연간'!W28)/('연간'!W4),"")</f>
        <v/>
      </c>
      <c r="L55" s="36">
        <f>IFERROR(('연간'!X28)/('연간'!X4),"")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IFERROR((IF(COUNT('연간'!G55:J55)&lt;4,"",SUM('연간'!G55:J55)))/(IF(COUNT('연간'!G4:J4)&lt;4,"",SUM('연간'!G4:J4))),"")</f>
        <v/>
      </c>
      <c r="D56" s="36">
        <f>IFERROR((IF(COUNT('연간'!H55:K55)&lt;4,"",SUM('연간'!H55:K55)))/(IF(COUNT('연간'!H4:K4)&lt;4,"",SUM('연간'!H4:K4))),"")</f>
        <v/>
      </c>
      <c r="E56" s="36">
        <f>IFERROR((IF(COUNT('연간'!I55:L55)&lt;4,"",SUM('연간'!I55:L55)))/(IF(COUNT('연간'!I4:L4)&lt;4,"",SUM('연간'!I4:L4))),"")</f>
        <v/>
      </c>
      <c r="F56" s="36">
        <f>IFERROR((IF(COUNT('연간'!J55:M55)&lt;4,"",SUM('연간'!J55:M55)))/(IF(COUNT('연간'!J4:M4)&lt;4,"",SUM('연간'!J4:M4))),"")</f>
        <v/>
      </c>
      <c r="G56" s="36">
        <f>IFERROR((IF(COUNT('연간'!K55:N55)&lt;4,"",SUM('연간'!K55:N55)))/(IF(COUNT('연간'!K4:N4)&lt;4,"",SUM('연간'!K4:N4))),"")</f>
        <v/>
      </c>
      <c r="H56" s="35">
        <f>IFERROR(('연간'!T55)/('연간'!T4),"")</f>
        <v/>
      </c>
      <c r="I56" s="36">
        <f>IFERROR(('연간'!U55)/('연간'!U4),"")</f>
        <v/>
      </c>
      <c r="J56" s="36">
        <f>IFERROR(('연간'!V55)/('연간'!V4),"")</f>
        <v/>
      </c>
      <c r="K56" s="36">
        <f>IFERROR(('연간'!W55)/('연간'!W4),"")</f>
        <v/>
      </c>
      <c r="L56" s="36">
        <f>IFERROR(('연간'!X55)/('연간'!X4),"")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IFERROR(C9/(IF(COUNT('연간'!G23:J23)&lt;4,"",SUM('연간'!G23:J23)))*365,"")</f>
        <v/>
      </c>
      <c r="D60" s="49">
        <f>IFERROR(D9/(IF(COUNT('연간'!H23:K23)&lt;4,"",SUM('연간'!H23:K23)))*365,"")</f>
        <v/>
      </c>
      <c r="E60" s="49">
        <f>IFERROR(E9/(IF(COUNT('연간'!I23:L23)&lt;4,"",SUM('연간'!I23:L23)))*365,"")</f>
        <v/>
      </c>
      <c r="F60" s="49">
        <f>IFERROR(F9/(IF(COUNT('연간'!J23:M23)&lt;4,"",SUM('연간'!J23:M23)))*365,"")</f>
        <v/>
      </c>
      <c r="G60" s="49">
        <f>IFERROR(G9/(IF(COUNT('연간'!K23:N23)&lt;4,"",SUM('연간'!K23:N23)))*365,"")</f>
        <v/>
      </c>
      <c r="H60" s="48">
        <f>IFERROR(H9/('연간'!T23)*365,"")</f>
        <v/>
      </c>
      <c r="I60" s="49">
        <f>IFERROR(I9/('연간'!U23)*365,"")</f>
        <v/>
      </c>
      <c r="J60" s="49">
        <f>IFERROR(J9/('연간'!V23)*365,"")</f>
        <v/>
      </c>
      <c r="K60" s="49">
        <f>IFERROR(K9/('연간'!W23)*365,"")</f>
        <v/>
      </c>
      <c r="L60" s="49">
        <f>IFERROR(L9/('연간'!X23)*365,"")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IFERROR(C19/(IF(COUNT('연간'!G23:J23)&lt;4,"",SUM('연간'!G23:J23)))*365,"")</f>
        <v/>
      </c>
      <c r="D61" s="49">
        <f>IFERROR(D19/(IF(COUNT('연간'!H23:K23)&lt;4,"",SUM('연간'!H23:K23)))*365,"")</f>
        <v/>
      </c>
      <c r="E61" s="49">
        <f>IFERROR(E19/(IF(COUNT('연간'!I23:L23)&lt;4,"",SUM('연간'!I23:L23)))*365,"")</f>
        <v/>
      </c>
      <c r="F61" s="49">
        <f>IFERROR(F19/(IF(COUNT('연간'!J23:M23)&lt;4,"",SUM('연간'!J23:M23)))*365,"")</f>
        <v/>
      </c>
      <c r="G61" s="49">
        <f>IFERROR(G19/(IF(COUNT('연간'!K23:N23)&lt;4,"",SUM('연간'!K23:N23)))*365,"")</f>
        <v/>
      </c>
      <c r="H61" s="48">
        <f>IFERROR(H19/('연간'!T23)*365,"")</f>
        <v/>
      </c>
      <c r="I61" s="49">
        <f>IFERROR(I19/('연간'!U23)*365,"")</f>
        <v/>
      </c>
      <c r="J61" s="49">
        <f>IFERROR(J19/('연간'!V23)*365,"")</f>
        <v/>
      </c>
      <c r="K61" s="49">
        <f>IFERROR(K19/('연간'!W23)*365,"")</f>
        <v/>
      </c>
      <c r="L61" s="49">
        <f>IFERROR(L19/('연간'!X23)*365,"")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IF(C37="","",IFERROR(C37/(IF(COUNT('연간'!G55:J55)&lt;4,"",SUM('연간'!G55:J55))),""))</f>
        <v/>
      </c>
      <c r="D64" s="31">
        <f>IF(D37="","",IFERROR(D37/(IF(COUNT('연간'!H55:K55)&lt;4,"",SUM('연간'!H55:K55))),""))</f>
        <v/>
      </c>
      <c r="E64" s="31">
        <f>IF(E37="","",IFERROR(E37/(IF(COUNT('연간'!I55:L55)&lt;4,"",SUM('연간'!I55:L55))),""))</f>
        <v/>
      </c>
      <c r="F64" s="31">
        <f>IF(F37="","",IFERROR(F37/(IF(COUNT('연간'!J55:M55)&lt;4,"",SUM('연간'!J55:M55))),""))</f>
        <v/>
      </c>
      <c r="G64" s="31">
        <f>IF(G37="","",IFERROR(G37/(IF(COUNT('연간'!K55:N55)&lt;4,"",SUM('연간'!K55:N55))),""))</f>
        <v/>
      </c>
      <c r="H64" s="30">
        <f>IF(H37="","",IFERROR(H37/('연간'!T55),""))</f>
        <v/>
      </c>
      <c r="I64" s="31">
        <f>IF(I37="","",IFERROR(I37/('연간'!U55),""))</f>
        <v/>
      </c>
      <c r="J64" s="31">
        <f>IF(J37="","",IFERROR(J37/('연간'!V55),""))</f>
        <v/>
      </c>
      <c r="K64" s="31">
        <f>IF(K37="","",IFERROR(K37/('연간'!W55),""))</f>
        <v/>
      </c>
      <c r="L64" s="31">
        <f>IF(L37="","",IFERROR(L37/('연간'!X55),""))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IF(C40="","",IFERROR(C40/(IF(COUNT('연간'!G56:J56)&lt;4,"",SUM('연간'!G56:J56))),""))</f>
        <v/>
      </c>
      <c r="D67" s="36">
        <f>IF(D40="","",IFERROR(D40/(IF(COUNT('연간'!H56:K56)&lt;4,"",SUM('연간'!H56:K56))),""))</f>
        <v/>
      </c>
      <c r="E67" s="36">
        <f>IF(E40="","",IFERROR(E40/(IF(COUNT('연간'!I56:L56)&lt;4,"",SUM('연간'!I56:L56))),""))</f>
        <v/>
      </c>
      <c r="F67" s="36">
        <f>IF(F40="","",IFERROR(F40/(IF(COUNT('연간'!J56:M56)&lt;4,"",SUM('연간'!J56:M56))),""))</f>
        <v/>
      </c>
      <c r="G67" s="36">
        <f>IF(G40="","",IFERROR(G40/(IF(COUNT('연간'!K56:N56)&lt;4,"",SUM('연간'!K56:N56))),""))</f>
        <v/>
      </c>
      <c r="H67" s="35">
        <f>IF(H40="","",IFERROR(H40/('연간'!T56),""))</f>
        <v/>
      </c>
      <c r="I67" s="36">
        <f>IF(I40="","",IFERROR(I40/('연간'!U56),""))</f>
        <v/>
      </c>
      <c r="J67" s="36">
        <f>IF(J40="","",IFERROR(J40/('연간'!V56),""))</f>
        <v/>
      </c>
      <c r="K67" s="36">
        <f>IF(K40="","",IFERROR(K40/('연간'!W56),""))</f>
        <v/>
      </c>
      <c r="L67" s="36">
        <f>IF(L40="","",IFERROR(L40/('연간'!X56),""))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4557.24</v>
      </c>
      <c r="D71" s="20" t="n">
        <v>4080.08</v>
      </c>
      <c r="E71" s="20" t="n">
        <v>4606.765</v>
      </c>
      <c r="F71" s="20" t="n">
        <v>4553.279</v>
      </c>
      <c r="G71" s="20" t="n">
        <v>4573.506</v>
      </c>
      <c r="H71" s="20" t="n">
        <v>874.711</v>
      </c>
      <c r="I71" s="20" t="n">
        <v>1289.67</v>
      </c>
      <c r="J71" s="20" t="n">
        <v>3698.236</v>
      </c>
      <c r="K71" s="20" t="n">
        <v>4557.24</v>
      </c>
      <c r="L71" s="20" t="n">
        <v>4573.506</v>
      </c>
    </row>
    <row r="72">
      <c r="A72" s="18" t="inlineStr">
        <is>
          <t>매출채권</t>
        </is>
      </c>
      <c r="H72" s="20" t="n">
        <v>1013.652</v>
      </c>
      <c r="I72" s="20" t="n">
        <v>1464.945</v>
      </c>
    </row>
    <row r="73">
      <c r="A73" s="18" t="inlineStr">
        <is>
          <t>재공품</t>
        </is>
      </c>
      <c r="H73" s="20" t="n">
        <v>0</v>
      </c>
      <c r="I73" s="20" t="n">
        <v>17.715</v>
      </c>
    </row>
    <row r="74">
      <c r="A74" s="18" t="inlineStr">
        <is>
          <t>매출채권·계약자산</t>
        </is>
      </c>
      <c r="C74" s="20" t="n">
        <v>2414.553</v>
      </c>
      <c r="D74" s="20" t="n">
        <v>3262.711</v>
      </c>
      <c r="E74" s="20" t="n">
        <v>2562.867</v>
      </c>
      <c r="F74" s="20" t="n">
        <v>2578.695</v>
      </c>
      <c r="G74" s="20" t="n">
        <v>2666.71</v>
      </c>
      <c r="I74" s="20" t="n">
        <v>1464.945</v>
      </c>
      <c r="J74" s="20" t="n">
        <v>2015.858</v>
      </c>
      <c r="K74" s="20" t="n">
        <v>2414.553</v>
      </c>
      <c r="L74" s="20" t="n">
        <v>2666.71</v>
      </c>
    </row>
    <row r="75">
      <c r="A75" s="18" t="inlineStr">
        <is>
          <t>상품·제품</t>
        </is>
      </c>
      <c r="C75" s="20" t="n">
        <v>16.534</v>
      </c>
      <c r="F75" s="20" t="n">
        <v>116.921</v>
      </c>
      <c r="K75" s="20" t="n">
        <v>16.534</v>
      </c>
    </row>
    <row r="76">
      <c r="A76" s="18" t="inlineStr">
        <is>
          <t>기타</t>
        </is>
      </c>
      <c r="C76" s="20" t="n">
        <v>248.03</v>
      </c>
      <c r="D76" s="20" t="n">
        <v>273.842</v>
      </c>
      <c r="E76" s="20" t="n">
        <v>256.136</v>
      </c>
      <c r="F76" s="20" t="n">
        <v>298.304</v>
      </c>
      <c r="G76" s="20" t="n">
        <v>314.595</v>
      </c>
      <c r="H76" s="20" t="n">
        <v>63.061</v>
      </c>
      <c r="I76" s="20" t="n">
        <v>90.11199999999999</v>
      </c>
      <c r="J76" s="20" t="n">
        <v>160.78</v>
      </c>
      <c r="K76" s="20" t="n">
        <v>248.03</v>
      </c>
      <c r="L76" s="20" t="n">
        <v>314.595</v>
      </c>
    </row>
    <row r="77">
      <c r="A77" s="18" t="inlineStr">
        <is>
          <t>대손충당금</t>
        </is>
      </c>
      <c r="C77" s="20" t="n">
        <v>-3.094</v>
      </c>
      <c r="D77" s="20" t="n">
        <v>-3.336</v>
      </c>
      <c r="E77" s="20" t="n">
        <v>-3.694</v>
      </c>
      <c r="F77" s="20" t="n">
        <v>-3.479</v>
      </c>
      <c r="G77" s="20" t="n">
        <v>-3.767</v>
      </c>
      <c r="H77" s="20" t="n">
        <v>-4.062</v>
      </c>
      <c r="I77" s="20" t="n">
        <v>-3.622</v>
      </c>
      <c r="J77" s="20" t="n">
        <v>-2.546</v>
      </c>
      <c r="K77" s="20" t="n">
        <v>-3.094</v>
      </c>
      <c r="L77" s="20" t="n">
        <v>-3.767</v>
      </c>
    </row>
    <row r="78">
      <c r="A78" s="9" t="inlineStr">
        <is>
          <t>유동자산 합계</t>
        </is>
      </c>
      <c r="C78" s="12" t="n">
        <v>7216.73</v>
      </c>
      <c r="D78" s="12" t="n">
        <v>7613.297</v>
      </c>
      <c r="E78" s="12" t="n">
        <v>7422.076</v>
      </c>
      <c r="F78" s="12" t="n">
        <v>7543.721</v>
      </c>
      <c r="G78" s="12" t="n">
        <v>7551.045</v>
      </c>
      <c r="H78" s="12" t="n">
        <v>1947.363</v>
      </c>
      <c r="I78" s="12" t="n">
        <v>2841.105</v>
      </c>
      <c r="J78" s="12" t="n">
        <v>5872.328</v>
      </c>
      <c r="K78" s="12" t="n">
        <v>7216.73</v>
      </c>
      <c r="L78" s="12" t="n">
        <v>7551.045</v>
      </c>
    </row>
    <row r="79">
      <c r="A79" s="18" t="inlineStr">
        <is>
          <t>건물(순액)</t>
        </is>
      </c>
      <c r="H79" s="20" t="n">
        <v>52.388</v>
      </c>
      <c r="I79" s="20" t="n">
        <v>33.508</v>
      </c>
    </row>
    <row r="80">
      <c r="A80" s="18" t="inlineStr">
        <is>
          <t>기타</t>
        </is>
      </c>
      <c r="H80" s="20" t="n">
        <v>10.316</v>
      </c>
    </row>
    <row r="81">
      <c r="A81" s="18" t="inlineStr">
        <is>
          <t>건물부속설비(순액)</t>
        </is>
      </c>
      <c r="C81" s="20" t="n">
        <v>72.72</v>
      </c>
      <c r="E81" s="20" t="n">
        <v>174.916</v>
      </c>
      <c r="F81" s="20" t="n">
        <v>155.714</v>
      </c>
      <c r="G81" s="20" t="n">
        <v>145.686</v>
      </c>
      <c r="K81" s="20" t="n">
        <v>72.72</v>
      </c>
      <c r="L81" s="20" t="n">
        <v>145.686</v>
      </c>
    </row>
    <row r="82">
      <c r="A82" s="18" t="inlineStr">
        <is>
          <t>기타(순액)</t>
        </is>
      </c>
      <c r="C82" s="20" t="n">
        <v>10.193</v>
      </c>
      <c r="E82" s="20" t="n">
        <v>47.622</v>
      </c>
      <c r="F82" s="20" t="n">
        <v>52.043</v>
      </c>
      <c r="G82" s="20" t="n">
        <v>51.658</v>
      </c>
      <c r="H82" s="20" t="n">
        <v>10.316</v>
      </c>
      <c r="I82" s="20" t="n">
        <v>11.755</v>
      </c>
      <c r="K82" s="20" t="n">
        <v>10.193</v>
      </c>
      <c r="L82" s="20" t="n">
        <v>51.658</v>
      </c>
    </row>
    <row r="83">
      <c r="A83" s="18" t="inlineStr">
        <is>
          <t>유형자산 합계</t>
        </is>
      </c>
      <c r="C83" s="20" t="n">
        <v>82.913</v>
      </c>
      <c r="D83" s="20" t="n">
        <v>79.98099999999999</v>
      </c>
      <c r="E83" s="20" t="n">
        <v>222.539</v>
      </c>
      <c r="F83" s="20" t="n">
        <v>207.758</v>
      </c>
      <c r="G83" s="20" t="n">
        <v>197.345</v>
      </c>
      <c r="H83" s="20" t="n">
        <v>62.705</v>
      </c>
      <c r="I83" s="20" t="n">
        <v>45.263</v>
      </c>
      <c r="J83" s="20" t="n">
        <v>42.408</v>
      </c>
      <c r="K83" s="20" t="n">
        <v>82.913</v>
      </c>
      <c r="L83" s="20" t="n">
        <v>197.345</v>
      </c>
    </row>
    <row r="84">
      <c r="A84" s="18" t="inlineStr">
        <is>
          <t>영업권</t>
        </is>
      </c>
      <c r="C84" s="20" t="n">
        <v>1872.886</v>
      </c>
      <c r="D84" s="20" t="n">
        <v>2051.27</v>
      </c>
      <c r="E84" s="20" t="n">
        <v>2038.281</v>
      </c>
      <c r="F84" s="20" t="n">
        <v>1940.363</v>
      </c>
      <c r="G84" s="20" t="n">
        <v>1874.223</v>
      </c>
      <c r="H84" s="20" t="n">
        <v>287.487</v>
      </c>
      <c r="I84" s="20" t="n">
        <v>890.771</v>
      </c>
      <c r="J84" s="20" t="n">
        <v>939.056</v>
      </c>
      <c r="K84" s="20" t="n">
        <v>1872.886</v>
      </c>
      <c r="L84" s="20" t="n">
        <v>1874.223</v>
      </c>
    </row>
    <row r="85">
      <c r="A85" s="18" t="inlineStr">
        <is>
          <t>기타</t>
        </is>
      </c>
      <c r="C85" s="20" t="n">
        <v>397.739</v>
      </c>
      <c r="D85" s="20" t="n">
        <v>385.893</v>
      </c>
      <c r="E85" s="20" t="n">
        <v>435.755</v>
      </c>
      <c r="F85" s="20" t="n">
        <v>413.543</v>
      </c>
      <c r="G85" s="20" t="n">
        <v>400.201</v>
      </c>
      <c r="H85" s="20" t="n">
        <v>53.092</v>
      </c>
      <c r="I85" s="20" t="n">
        <v>126.887</v>
      </c>
      <c r="J85" s="20" t="n">
        <v>112.198</v>
      </c>
      <c r="K85" s="20" t="n">
        <v>397.739</v>
      </c>
      <c r="L85" s="20" t="n">
        <v>400.201</v>
      </c>
    </row>
    <row r="86">
      <c r="A86" s="18" t="inlineStr">
        <is>
          <t>무형자산 합계</t>
        </is>
      </c>
      <c r="C86" s="20" t="n">
        <v>2270.626</v>
      </c>
      <c r="D86" s="20" t="n">
        <v>2437.164</v>
      </c>
      <c r="E86" s="20" t="n">
        <v>2474.037</v>
      </c>
      <c r="F86" s="20" t="n">
        <v>2353.906</v>
      </c>
      <c r="G86" s="20" t="n">
        <v>2274.424</v>
      </c>
      <c r="H86" s="20" t="n">
        <v>340.58</v>
      </c>
      <c r="I86" s="20" t="n">
        <v>1017.658</v>
      </c>
      <c r="J86" s="20" t="n">
        <v>1051.255</v>
      </c>
      <c r="K86" s="20" t="n">
        <v>2270.626</v>
      </c>
      <c r="L86" s="20" t="n">
        <v>2274.424</v>
      </c>
    </row>
    <row r="87">
      <c r="A87" s="18" t="inlineStr">
        <is>
          <t>투자유가증권</t>
        </is>
      </c>
      <c r="C87" s="20" t="n">
        <v>40.278</v>
      </c>
      <c r="D87" s="20" t="n">
        <v>35.908</v>
      </c>
      <c r="E87" s="20" t="n">
        <v>36.2</v>
      </c>
      <c r="F87" s="20" t="n">
        <v>35.895</v>
      </c>
      <c r="G87" s="20" t="n">
        <v>36.458</v>
      </c>
      <c r="H87" s="20" t="n">
        <v>76.88800000000001</v>
      </c>
      <c r="I87" s="20" t="n">
        <v>41.418</v>
      </c>
      <c r="J87" s="20" t="n">
        <v>24.846</v>
      </c>
      <c r="K87" s="20" t="n">
        <v>40.278</v>
      </c>
      <c r="L87" s="20" t="n">
        <v>36.458</v>
      </c>
    </row>
    <row r="88">
      <c r="A88" s="18" t="inlineStr">
        <is>
          <t>장기대여금</t>
        </is>
      </c>
      <c r="C88" s="20" t="n">
        <v>0</v>
      </c>
      <c r="E88" s="20" t="n">
        <v>270</v>
      </c>
      <c r="F88" s="20" t="n">
        <v>270</v>
      </c>
      <c r="G88" s="20" t="n">
        <v>249.75</v>
      </c>
      <c r="K88" s="20" t="n">
        <v>0</v>
      </c>
      <c r="L88" s="20" t="n">
        <v>249.75</v>
      </c>
    </row>
    <row r="89">
      <c r="A89" s="18" t="inlineStr">
        <is>
          <t>이연법인세자산</t>
        </is>
      </c>
      <c r="C89" s="20" t="n">
        <v>127.369</v>
      </c>
      <c r="D89" s="20" t="n">
        <v>142.507</v>
      </c>
      <c r="E89" s="20" t="n">
        <v>91.486</v>
      </c>
      <c r="F89" s="20" t="n">
        <v>91.889</v>
      </c>
      <c r="G89" s="20" t="n">
        <v>119.422</v>
      </c>
      <c r="H89" s="20" t="n">
        <v>18.878</v>
      </c>
      <c r="I89" s="20" t="n">
        <v>22.208</v>
      </c>
      <c r="J89" s="20" t="n">
        <v>13.559</v>
      </c>
      <c r="K89" s="20" t="n">
        <v>127.369</v>
      </c>
      <c r="L89" s="20" t="n">
        <v>119.422</v>
      </c>
    </row>
    <row r="90">
      <c r="A90" s="18" t="inlineStr">
        <is>
          <t>임차보증금·보증금</t>
        </is>
      </c>
      <c r="C90" s="20" t="n">
        <v>198.232</v>
      </c>
      <c r="D90" s="20" t="n">
        <v>208.96</v>
      </c>
      <c r="E90" s="20" t="n">
        <v>212.657</v>
      </c>
      <c r="F90" s="20" t="n">
        <v>209.384</v>
      </c>
      <c r="G90" s="20" t="n">
        <v>246.625</v>
      </c>
      <c r="H90" s="20" t="n">
        <v>61.958</v>
      </c>
      <c r="I90" s="20" t="n">
        <v>117.935</v>
      </c>
      <c r="J90" s="20" t="n">
        <v>92.88</v>
      </c>
      <c r="K90" s="20" t="n">
        <v>198.232</v>
      </c>
      <c r="L90" s="20" t="n">
        <v>246.625</v>
      </c>
    </row>
    <row r="91">
      <c r="A91" s="18" t="inlineStr">
        <is>
          <t>기타</t>
        </is>
      </c>
      <c r="C91" s="20" t="n">
        <v>37.103</v>
      </c>
      <c r="D91" s="20" t="n">
        <v>40.812</v>
      </c>
      <c r="E91" s="20" t="n">
        <v>42.231</v>
      </c>
      <c r="F91" s="20" t="n">
        <v>37.867</v>
      </c>
      <c r="G91" s="20" t="n">
        <v>46.263</v>
      </c>
      <c r="H91" s="20" t="n">
        <v>15.448</v>
      </c>
      <c r="I91" s="20" t="n">
        <v>12.362</v>
      </c>
      <c r="J91" s="20" t="n">
        <v>26.621</v>
      </c>
      <c r="K91" s="20" t="n">
        <v>37.103</v>
      </c>
      <c r="L91" s="20" t="n">
        <v>46.263</v>
      </c>
    </row>
    <row r="92">
      <c r="A92" s="18" t="inlineStr">
        <is>
          <t>대손충당금</t>
        </is>
      </c>
      <c r="C92" s="20" t="n">
        <v>-25.383</v>
      </c>
      <c r="D92" s="20" t="n">
        <v>-28.926</v>
      </c>
      <c r="E92" s="20" t="n">
        <v>-30.451</v>
      </c>
      <c r="F92" s="20" t="n">
        <v>-27.714</v>
      </c>
      <c r="G92" s="20" t="n">
        <v>-36.674</v>
      </c>
      <c r="H92" s="20" t="n">
        <v>-14.764</v>
      </c>
      <c r="I92" s="20" t="n">
        <v>-11.863</v>
      </c>
      <c r="J92" s="20" t="n">
        <v>-22.001</v>
      </c>
      <c r="K92" s="20" t="n">
        <v>-25.383</v>
      </c>
      <c r="L92" s="20" t="n">
        <v>-36.674</v>
      </c>
    </row>
    <row r="93">
      <c r="A93" s="18" t="inlineStr">
        <is>
          <t>투자 및 기타자산 합계</t>
        </is>
      </c>
      <c r="C93" s="20" t="n">
        <v>377.599</v>
      </c>
      <c r="D93" s="20" t="n">
        <v>399.262</v>
      </c>
      <c r="E93" s="20" t="n">
        <v>622.124</v>
      </c>
      <c r="F93" s="20" t="n">
        <v>617.321</v>
      </c>
      <c r="G93" s="20" t="n">
        <v>661.845</v>
      </c>
      <c r="H93" s="20" t="n">
        <v>158.408</v>
      </c>
      <c r="I93" s="20" t="n">
        <v>182.06</v>
      </c>
      <c r="J93" s="20" t="n">
        <v>135.906</v>
      </c>
      <c r="K93" s="20" t="n">
        <v>377.599</v>
      </c>
      <c r="L93" s="20" t="n">
        <v>661.845</v>
      </c>
    </row>
    <row r="94">
      <c r="A94" s="9" t="inlineStr">
        <is>
          <t>비유동자산 합계</t>
        </is>
      </c>
      <c r="C94" s="12" t="n">
        <v>2731.14</v>
      </c>
      <c r="D94" s="12" t="n">
        <v>2916.408</v>
      </c>
      <c r="E94" s="12" t="n">
        <v>3318.7</v>
      </c>
      <c r="F94" s="12" t="n">
        <v>3178.987</v>
      </c>
      <c r="G94" s="12" t="n">
        <v>3133.615</v>
      </c>
      <c r="H94" s="12" t="n">
        <v>561.693</v>
      </c>
      <c r="I94" s="12" t="n">
        <v>1244.983</v>
      </c>
      <c r="J94" s="12" t="n">
        <v>1229.569</v>
      </c>
      <c r="K94" s="12" t="n">
        <v>2731.14</v>
      </c>
      <c r="L94" s="12" t="n">
        <v>3133.615</v>
      </c>
    </row>
    <row r="95">
      <c r="A95" s="18" t="inlineStr">
        <is>
          <t>이연자산</t>
        </is>
      </c>
      <c r="H95" s="20" t="n">
        <v>2.321</v>
      </c>
      <c r="I95" s="20" t="n">
        <v>0</v>
      </c>
    </row>
    <row r="96">
      <c r="A96" s="9" t="inlineStr">
        <is>
          <t>자산 합계</t>
        </is>
      </c>
      <c r="C96" s="12" t="n">
        <v>9947.870000000001</v>
      </c>
      <c r="D96" s="12" t="n">
        <v>10529.706</v>
      </c>
      <c r="E96" s="12" t="n">
        <v>10740.776</v>
      </c>
      <c r="F96" s="12" t="n">
        <v>10722.708</v>
      </c>
      <c r="G96" s="12" t="n">
        <v>10684.661</v>
      </c>
      <c r="H96" s="12" t="n">
        <v>2511.379</v>
      </c>
      <c r="I96" s="12" t="n">
        <v>4086.088</v>
      </c>
      <c r="J96" s="12" t="n">
        <v>7101.897</v>
      </c>
      <c r="K96" s="12" t="n">
        <v>9947.870000000001</v>
      </c>
      <c r="L96" s="12" t="n">
        <v>10684.661</v>
      </c>
    </row>
    <row r="97">
      <c r="A97" s="18" t="inlineStr">
        <is>
          <t>매입채무</t>
        </is>
      </c>
      <c r="C97" s="20" t="n">
        <v>1080.512</v>
      </c>
      <c r="D97" s="20" t="n">
        <v>1055.727</v>
      </c>
      <c r="E97" s="20" t="n">
        <v>1083.772</v>
      </c>
      <c r="F97" s="20" t="n">
        <v>1098.482</v>
      </c>
      <c r="G97" s="20" t="n">
        <v>1087.463</v>
      </c>
      <c r="H97" s="20" t="n">
        <v>517.039</v>
      </c>
      <c r="I97" s="20" t="n">
        <v>711.8390000000001</v>
      </c>
      <c r="J97" s="20" t="n">
        <v>935.491</v>
      </c>
      <c r="K97" s="20" t="n">
        <v>1080.512</v>
      </c>
      <c r="L97" s="20" t="n">
        <v>1087.463</v>
      </c>
    </row>
    <row r="98">
      <c r="A98" s="18" t="inlineStr">
        <is>
          <t>단기차입금</t>
        </is>
      </c>
      <c r="C98" s="20" t="n">
        <v>100</v>
      </c>
      <c r="E98" s="20" t="n">
        <v>237</v>
      </c>
      <c r="F98" s="20" t="n">
        <v>267</v>
      </c>
      <c r="G98" s="20" t="n">
        <v>267</v>
      </c>
      <c r="H98" s="20" t="n">
        <v>0</v>
      </c>
      <c r="I98" s="20" t="n">
        <v>200</v>
      </c>
      <c r="J98" s="20" t="n">
        <v>0</v>
      </c>
      <c r="K98" s="20" t="n">
        <v>100</v>
      </c>
      <c r="L98" s="20" t="n">
        <v>267</v>
      </c>
    </row>
    <row r="99">
      <c r="A99" s="18" t="inlineStr">
        <is>
          <t>1년 내 상환 장기차입금</t>
        </is>
      </c>
      <c r="C99" s="20" t="n">
        <v>1069.069</v>
      </c>
      <c r="D99" s="20" t="n">
        <v>1107.819</v>
      </c>
      <c r="E99" s="20" t="n">
        <v>1126.57</v>
      </c>
      <c r="F99" s="20" t="n">
        <v>1187.37</v>
      </c>
      <c r="G99" s="20" t="n">
        <v>1157.172</v>
      </c>
      <c r="H99" s="20" t="n">
        <v>172.457</v>
      </c>
      <c r="I99" s="20" t="n">
        <v>397.478</v>
      </c>
      <c r="J99" s="20" t="n">
        <v>623.208</v>
      </c>
      <c r="K99" s="20" t="n">
        <v>1069.069</v>
      </c>
      <c r="L99" s="20" t="n">
        <v>1157.172</v>
      </c>
    </row>
    <row r="100">
      <c r="A100" s="18" t="inlineStr">
        <is>
          <t>미지급금</t>
        </is>
      </c>
      <c r="C100" s="20" t="n">
        <v>842.901</v>
      </c>
      <c r="D100" s="20" t="n">
        <v>893.032</v>
      </c>
      <c r="E100" s="20" t="n">
        <v>955.611</v>
      </c>
      <c r="F100" s="20" t="n">
        <v>908.379</v>
      </c>
      <c r="G100" s="20" t="n">
        <v>966.157</v>
      </c>
      <c r="H100" s="20" t="n">
        <v>221.669</v>
      </c>
      <c r="I100" s="20" t="n">
        <v>368.693</v>
      </c>
      <c r="J100" s="20" t="n">
        <v>528.491</v>
      </c>
      <c r="K100" s="20" t="n">
        <v>842.901</v>
      </c>
      <c r="L100" s="20" t="n">
        <v>966.157</v>
      </c>
    </row>
    <row r="101">
      <c r="A101" s="18" t="inlineStr">
        <is>
          <t>미지급법인세</t>
        </is>
      </c>
      <c r="C101" s="20" t="n">
        <v>195.973</v>
      </c>
      <c r="D101" s="20" t="n">
        <v>304.899</v>
      </c>
      <c r="E101" s="20" t="n">
        <v>291.59</v>
      </c>
      <c r="F101" s="20" t="n">
        <v>216.319</v>
      </c>
      <c r="G101" s="20" t="n">
        <v>371.04</v>
      </c>
      <c r="H101" s="20" t="n">
        <v>66.79000000000001</v>
      </c>
      <c r="I101" s="20" t="n">
        <v>43.967</v>
      </c>
      <c r="J101" s="20" t="n">
        <v>223.996</v>
      </c>
      <c r="K101" s="20" t="n">
        <v>195.973</v>
      </c>
      <c r="L101" s="20" t="n">
        <v>371.04</v>
      </c>
    </row>
    <row r="102">
      <c r="A102" s="18" t="inlineStr">
        <is>
          <t>상여충당금</t>
        </is>
      </c>
      <c r="C102" s="20" t="n">
        <v>37.656</v>
      </c>
      <c r="D102" s="20" t="n">
        <v>109.019</v>
      </c>
      <c r="E102" s="20" t="n">
        <v>50.85</v>
      </c>
      <c r="F102" s="20" t="n">
        <v>90.13</v>
      </c>
      <c r="G102" s="20" t="n">
        <v>96.446</v>
      </c>
      <c r="I102" s="20" t="n">
        <v>35.043</v>
      </c>
      <c r="J102" s="20" t="n">
        <v>24.879</v>
      </c>
      <c r="K102" s="20" t="n">
        <v>37.656</v>
      </c>
      <c r="L102" s="20" t="n">
        <v>96.446</v>
      </c>
    </row>
    <row r="103">
      <c r="A103" s="18" t="inlineStr">
        <is>
          <t>기타</t>
        </is>
      </c>
      <c r="C103" s="20" t="n">
        <v>605.347</v>
      </c>
      <c r="D103" s="20" t="n">
        <v>708.918</v>
      </c>
      <c r="E103" s="20" t="n">
        <v>624.581</v>
      </c>
      <c r="F103" s="20" t="n">
        <v>643.735</v>
      </c>
      <c r="G103" s="20" t="n">
        <v>688.17</v>
      </c>
      <c r="H103" s="20" t="n">
        <v>149.642</v>
      </c>
      <c r="I103" s="20" t="n">
        <v>197.277</v>
      </c>
      <c r="J103" s="20" t="n">
        <v>530.046</v>
      </c>
      <c r="K103" s="20" t="n">
        <v>605.347</v>
      </c>
      <c r="L103" s="20" t="n">
        <v>688.17</v>
      </c>
    </row>
    <row r="104">
      <c r="A104" s="9" t="inlineStr">
        <is>
          <t>유동부채 합계</t>
        </is>
      </c>
      <c r="C104" s="12" t="n">
        <v>3931.461</v>
      </c>
      <c r="D104" s="12" t="n">
        <v>4179.416</v>
      </c>
      <c r="E104" s="12" t="n">
        <v>4369.976</v>
      </c>
      <c r="F104" s="12" t="n">
        <v>4411.417</v>
      </c>
      <c r="G104" s="12" t="n">
        <v>4633.45</v>
      </c>
      <c r="H104" s="12" t="n">
        <v>1127.598</v>
      </c>
      <c r="I104" s="12" t="n">
        <v>1954.299</v>
      </c>
      <c r="J104" s="12" t="n">
        <v>2866.114</v>
      </c>
      <c r="K104" s="12" t="n">
        <v>3931.461</v>
      </c>
      <c r="L104" s="12" t="n">
        <v>4633.45</v>
      </c>
    </row>
    <row r="105">
      <c r="A105" s="18" t="inlineStr">
        <is>
          <t>장기차입금</t>
        </is>
      </c>
      <c r="C105" s="20" t="n">
        <v>2468.212</v>
      </c>
      <c r="D105" s="20" t="n">
        <v>2464.613</v>
      </c>
      <c r="E105" s="20" t="n">
        <v>2461.675</v>
      </c>
      <c r="F105" s="20" t="n">
        <v>2414.205</v>
      </c>
      <c r="G105" s="20" t="n">
        <v>2092.702</v>
      </c>
      <c r="H105" s="20" t="n">
        <v>646.864</v>
      </c>
      <c r="I105" s="20" t="n">
        <v>1214.976</v>
      </c>
      <c r="J105" s="20" t="n">
        <v>1346.952</v>
      </c>
      <c r="K105" s="20" t="n">
        <v>2468.212</v>
      </c>
      <c r="L105" s="20" t="n">
        <v>2092.702</v>
      </c>
    </row>
    <row r="106">
      <c r="A106" s="18" t="inlineStr">
        <is>
          <t>기타</t>
        </is>
      </c>
      <c r="C106" s="20" t="n">
        <v>80.264</v>
      </c>
      <c r="D106" s="20" t="n">
        <v>56.14</v>
      </c>
      <c r="E106" s="20" t="n">
        <v>64.429</v>
      </c>
      <c r="F106" s="20" t="n">
        <v>46.076</v>
      </c>
      <c r="G106" s="20" t="n">
        <v>19.265</v>
      </c>
      <c r="H106" s="20" t="n">
        <v>0</v>
      </c>
      <c r="I106" s="20" t="n">
        <v>19.738</v>
      </c>
      <c r="J106" s="20" t="n">
        <v>3.02</v>
      </c>
      <c r="K106" s="20" t="n">
        <v>80.264</v>
      </c>
      <c r="L106" s="20" t="n">
        <v>19.265</v>
      </c>
    </row>
    <row r="107">
      <c r="A107" s="9" t="inlineStr">
        <is>
          <t>비유동부채 합계</t>
        </is>
      </c>
      <c r="C107" s="12" t="n">
        <v>2548.476</v>
      </c>
      <c r="D107" s="12" t="n">
        <v>2520.753</v>
      </c>
      <c r="E107" s="12" t="n">
        <v>2526.104</v>
      </c>
      <c r="F107" s="12" t="n">
        <v>2460.281</v>
      </c>
      <c r="G107" s="12" t="n">
        <v>2111.967</v>
      </c>
      <c r="H107" s="12" t="n">
        <v>646.864</v>
      </c>
      <c r="I107" s="12" t="n">
        <v>1234.714</v>
      </c>
      <c r="J107" s="12" t="n">
        <v>1349.972</v>
      </c>
      <c r="K107" s="12" t="n">
        <v>2548.476</v>
      </c>
      <c r="L107" s="12" t="n">
        <v>2111.967</v>
      </c>
    </row>
    <row r="108">
      <c r="A108" s="9" t="inlineStr">
        <is>
          <t>부채 합계</t>
        </is>
      </c>
      <c r="C108" s="12" t="n">
        <v>6479.938</v>
      </c>
      <c r="D108" s="12" t="n">
        <v>6700.17</v>
      </c>
      <c r="E108" s="12" t="n">
        <v>6896.08</v>
      </c>
      <c r="F108" s="12" t="n">
        <v>6871.699</v>
      </c>
      <c r="G108" s="12" t="n">
        <v>6745.417</v>
      </c>
      <c r="H108" s="12" t="n">
        <v>1774.462</v>
      </c>
      <c r="I108" s="12" t="n">
        <v>3189.014</v>
      </c>
      <c r="J108" s="12" t="n">
        <v>4216.087</v>
      </c>
      <c r="K108" s="12" t="n">
        <v>6479.938</v>
      </c>
      <c r="L108" s="12" t="n">
        <v>6745.417</v>
      </c>
    </row>
    <row r="109">
      <c r="A109" s="18" t="inlineStr">
        <is>
          <t>자본금</t>
        </is>
      </c>
      <c r="C109" s="20" t="n">
        <v>1038.985</v>
      </c>
      <c r="D109" s="20" t="n">
        <v>1039.081</v>
      </c>
      <c r="E109" s="20" t="n">
        <v>1057.448</v>
      </c>
      <c r="F109" s="20" t="n">
        <v>1057.828</v>
      </c>
      <c r="G109" s="20" t="n">
        <v>1062.328</v>
      </c>
      <c r="H109" s="20" t="n">
        <v>139.589</v>
      </c>
      <c r="I109" s="20" t="n">
        <v>144.886</v>
      </c>
      <c r="J109" s="20" t="n">
        <v>1038.217</v>
      </c>
      <c r="K109" s="20" t="n">
        <v>1038.985</v>
      </c>
      <c r="L109" s="20" t="n">
        <v>1062.328</v>
      </c>
    </row>
    <row r="110">
      <c r="A110" s="18" t="inlineStr">
        <is>
          <t>자본잉여금</t>
        </is>
      </c>
      <c r="C110" s="20" t="n">
        <v>1068.884</v>
      </c>
      <c r="D110" s="20" t="n">
        <v>1068.98</v>
      </c>
      <c r="E110" s="20" t="n">
        <v>1130.898</v>
      </c>
      <c r="F110" s="20" t="n">
        <v>1131.278</v>
      </c>
      <c r="G110" s="20" t="n">
        <v>1125.306</v>
      </c>
      <c r="H110" s="20" t="n">
        <v>139.489</v>
      </c>
      <c r="I110" s="20" t="n">
        <v>144.786</v>
      </c>
      <c r="J110" s="20" t="n">
        <v>1068.116</v>
      </c>
      <c r="K110" s="20" t="n">
        <v>1068.884</v>
      </c>
      <c r="L110" s="20" t="n">
        <v>1125.306</v>
      </c>
    </row>
    <row r="111">
      <c r="A111" s="18" t="inlineStr">
        <is>
          <t>이익잉여금</t>
        </is>
      </c>
      <c r="C111" s="20" t="n">
        <v>1243.282</v>
      </c>
      <c r="D111" s="20" t="n">
        <v>1588.759</v>
      </c>
      <c r="E111" s="20" t="n">
        <v>1524.364</v>
      </c>
      <c r="F111" s="20" t="n">
        <v>1539.455</v>
      </c>
      <c r="G111" s="20" t="n">
        <v>1651.529</v>
      </c>
      <c r="H111" s="20" t="n">
        <v>453.554</v>
      </c>
      <c r="I111" s="20" t="n">
        <v>602.732</v>
      </c>
      <c r="J111" s="20" t="n">
        <v>770.61</v>
      </c>
      <c r="K111" s="20" t="n">
        <v>1243.282</v>
      </c>
      <c r="L111" s="20" t="n">
        <v>1651.529</v>
      </c>
    </row>
    <row r="112">
      <c r="A112" s="18" t="inlineStr">
        <is>
          <t>자기주식</t>
        </is>
      </c>
      <c r="C112" s="20" t="n">
        <v>-0.303</v>
      </c>
      <c r="D112" s="20" t="n">
        <v>-0.303</v>
      </c>
      <c r="E112" s="20" t="n">
        <v>-0.303</v>
      </c>
      <c r="F112" s="20" t="n">
        <v>-0.303</v>
      </c>
      <c r="G112" s="20" t="n">
        <v>-0.303</v>
      </c>
      <c r="H112" s="20" t="n">
        <v>-0.06900000000000001</v>
      </c>
      <c r="I112" s="20" t="n">
        <v>-0.189</v>
      </c>
      <c r="J112" s="20" t="n">
        <v>-0.303</v>
      </c>
      <c r="K112" s="20" t="n">
        <v>-0.303</v>
      </c>
      <c r="L112" s="20" t="n">
        <v>-0.303</v>
      </c>
    </row>
    <row r="113">
      <c r="A113" s="9" t="inlineStr">
        <is>
          <t>주주자본 합계</t>
        </is>
      </c>
      <c r="C113" s="12" t="n">
        <v>3350.85</v>
      </c>
      <c r="D113" s="12" t="n">
        <v>3696.519</v>
      </c>
      <c r="E113" s="12" t="n">
        <v>3712.408</v>
      </c>
      <c r="F113" s="12" t="n">
        <v>3728.259</v>
      </c>
      <c r="G113" s="12" t="n">
        <v>3838.861</v>
      </c>
      <c r="H113" s="12" t="n">
        <v>732.563</v>
      </c>
      <c r="I113" s="12" t="n">
        <v>892.216</v>
      </c>
      <c r="J113" s="12" t="n">
        <v>2876.641</v>
      </c>
      <c r="K113" s="12" t="n">
        <v>3350.85</v>
      </c>
      <c r="L113" s="12" t="n">
        <v>3838.861</v>
      </c>
    </row>
    <row r="114">
      <c r="A114" s="18" t="inlineStr">
        <is>
          <t>기타유가증권 평가차액</t>
        </is>
      </c>
      <c r="C114" s="20" t="n">
        <v>0.379</v>
      </c>
      <c r="D114" s="20" t="n">
        <v>-1.876</v>
      </c>
      <c r="E114" s="20" t="n">
        <v>-1.679</v>
      </c>
      <c r="F114" s="20" t="n">
        <v>-1.913</v>
      </c>
      <c r="G114" s="20" t="n">
        <v>-1.533</v>
      </c>
      <c r="I114" s="20" t="n">
        <v>0</v>
      </c>
      <c r="J114" s="20" t="n">
        <v>0.823</v>
      </c>
      <c r="K114" s="20" t="n">
        <v>0.379</v>
      </c>
      <c r="L114" s="20" t="n">
        <v>-1.533</v>
      </c>
    </row>
    <row r="115">
      <c r="A115" s="18" t="inlineStr">
        <is>
          <t>기타포괄손익누계액 합계</t>
        </is>
      </c>
      <c r="C115" s="20" t="n">
        <v>0.379</v>
      </c>
      <c r="D115" s="20" t="n">
        <v>-1.876</v>
      </c>
      <c r="E115" s="20" t="n">
        <v>-1.679</v>
      </c>
      <c r="F115" s="20" t="n">
        <v>-1.913</v>
      </c>
      <c r="G115" s="20" t="n">
        <v>-1.533</v>
      </c>
      <c r="I115" s="20" t="n">
        <v>0</v>
      </c>
      <c r="J115" s="20" t="n">
        <v>0.823</v>
      </c>
      <c r="K115" s="20" t="n">
        <v>0.379</v>
      </c>
      <c r="L115" s="20" t="n">
        <v>-1.533</v>
      </c>
    </row>
    <row r="116">
      <c r="A116" s="18" t="inlineStr">
        <is>
          <t>신주예약권</t>
        </is>
      </c>
      <c r="C116" s="20" t="n">
        <v>10.428</v>
      </c>
      <c r="D116" s="20" t="n">
        <v>14.314</v>
      </c>
      <c r="E116" s="20" t="n">
        <v>15.176</v>
      </c>
      <c r="F116" s="20" t="n">
        <v>16.038</v>
      </c>
      <c r="G116" s="20" t="n">
        <v>13.856</v>
      </c>
      <c r="H116" s="20" t="n">
        <v>4.352</v>
      </c>
      <c r="I116" s="20" t="n">
        <v>4.857</v>
      </c>
      <c r="J116" s="20" t="n">
        <v>8.345000000000001</v>
      </c>
      <c r="K116" s="20" t="n">
        <v>10.428</v>
      </c>
      <c r="L116" s="20" t="n">
        <v>13.856</v>
      </c>
    </row>
    <row r="117">
      <c r="A117" s="18" t="inlineStr">
        <is>
          <t>비지배지분</t>
        </is>
      </c>
      <c r="C117" s="20" t="n">
        <v>106.272</v>
      </c>
      <c r="D117" s="20" t="n">
        <v>120.578</v>
      </c>
      <c r="E117" s="20" t="n">
        <v>118.79</v>
      </c>
      <c r="F117" s="20" t="n">
        <v>108.624</v>
      </c>
      <c r="G117" s="20" t="n">
        <v>88.05800000000001</v>
      </c>
      <c r="J117" s="20" t="n">
        <v>0</v>
      </c>
      <c r="K117" s="20" t="n">
        <v>106.272</v>
      </c>
      <c r="L117" s="20" t="n">
        <v>88.05800000000001</v>
      </c>
    </row>
    <row r="118">
      <c r="A118" s="9" t="inlineStr">
        <is>
          <t>순자산 합계</t>
        </is>
      </c>
      <c r="C118" s="12" t="n">
        <v>3467.931</v>
      </c>
      <c r="D118" s="12" t="n">
        <v>3829.535</v>
      </c>
      <c r="E118" s="12" t="n">
        <v>3844.696</v>
      </c>
      <c r="F118" s="12" t="n">
        <v>3851.009</v>
      </c>
      <c r="G118" s="12" t="n">
        <v>3939.243</v>
      </c>
      <c r="H118" s="12" t="n">
        <v>736.9160000000001</v>
      </c>
      <c r="I118" s="12" t="n">
        <v>897.074</v>
      </c>
      <c r="J118" s="12" t="n">
        <v>2885.81</v>
      </c>
      <c r="K118" s="12" t="n">
        <v>3467.931</v>
      </c>
      <c r="L118" s="12" t="n">
        <v>3939.243</v>
      </c>
    </row>
    <row r="119">
      <c r="A119" s="9" t="inlineStr">
        <is>
          <t>부채·순자산 합계</t>
        </is>
      </c>
      <c r="C119" s="12" t="n">
        <v>9947.870000000001</v>
      </c>
      <c r="D119" s="12" t="n">
        <v>10529.706</v>
      </c>
      <c r="E119" s="12" t="n">
        <v>10740.776</v>
      </c>
      <c r="F119" s="12" t="n">
        <v>10722.708</v>
      </c>
      <c r="G119" s="12" t="n">
        <v>10684.661</v>
      </c>
      <c r="H119" s="12" t="n">
        <v>2511.379</v>
      </c>
      <c r="I119" s="12" t="n">
        <v>4086.088</v>
      </c>
      <c r="J119" s="12" t="n">
        <v>7101.897</v>
      </c>
      <c r="K119" s="12" t="n">
        <v>9947.870000000001</v>
      </c>
      <c r="L119" s="12" t="n">
        <v>10684.661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44" customWidth="1" min="14" max="14"/>
  </cols>
  <sheetData>
    <row r="1">
      <c r="A1" s="50" t="inlineStr">
        <is>
          <t>TWOSTONE&amp;Sons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부문 fy26</t>
        </is>
      </c>
      <c r="B4" s="52" t="n"/>
      <c r="C4" s="52" t="n"/>
      <c r="D4" s="52" t="n"/>
      <c r="E4" s="52" t="n"/>
      <c r="F4" s="52" t="n"/>
      <c r="G4" s="52" t="n"/>
      <c r="H4" s="52" t="n"/>
      <c r="I4" s="52" t="n"/>
      <c r="J4" s="52" t="n"/>
      <c r="K4" s="52" t="n"/>
      <c r="L4" s="52" t="n"/>
      <c r="M4" s="52" t="n"/>
      <c r="N4" s="52" t="n"/>
    </row>
    <row r="5">
      <c r="A5" s="53" t="inlineStr">
        <is>
          <t>항목</t>
        </is>
      </c>
      <c r="B5" s="53" t="inlineStr">
        <is>
          <t>값</t>
        </is>
      </c>
      <c r="N5" s="53" t="inlineStr">
        <is>
          <t>출처</t>
        </is>
      </c>
    </row>
    <row r="6">
      <c r="A6" s="54" t="inlineStr">
        <is>
          <t>전사비용(조정)</t>
        </is>
      </c>
      <c r="B6" s="55" t="n">
        <v>-10.37</v>
      </c>
      <c r="N6" s="56" t="inlineStr">
        <is>
          <t>2단계 보고서 자료(회사 설명회 자료·공시)</t>
        </is>
      </c>
    </row>
    <row r="7">
      <c r="A7" s="54" t="inlineStr">
        <is>
          <t>인수관련비용</t>
        </is>
      </c>
      <c r="B7" s="55" t="n">
        <v>-0.22</v>
      </c>
    </row>
    <row r="8">
      <c r="A8" s="54" t="inlineStr">
        <is>
          <t>영업이익</t>
        </is>
      </c>
      <c r="B8" s="55" t="n">
        <v>8.1</v>
      </c>
    </row>
    <row r="10">
      <c r="A10" s="52" t="inlineStr">
        <is>
          <t>segment_fy26 · 엔지니어 플랫폼</t>
        </is>
      </c>
      <c r="B10" s="52" t="n"/>
      <c r="C10" s="52" t="n"/>
      <c r="D10" s="52" t="n"/>
      <c r="E10" s="52" t="n"/>
      <c r="F10" s="52" t="n"/>
      <c r="G10" s="52" t="n"/>
      <c r="H10" s="52" t="n"/>
      <c r="I10" s="52" t="n"/>
      <c r="J10" s="52" t="n"/>
      <c r="K10" s="52" t="n"/>
      <c r="L10" s="52" t="n"/>
      <c r="M10" s="52" t="n"/>
      <c r="N10" s="52" t="n"/>
    </row>
    <row r="11">
      <c r="A11" s="53" t="inlineStr">
        <is>
          <t>항목</t>
        </is>
      </c>
      <c r="B11" s="53" t="inlineStr">
        <is>
          <t>값</t>
        </is>
      </c>
      <c r="N11" s="53" t="inlineStr">
        <is>
          <t>출처</t>
        </is>
      </c>
    </row>
    <row r="12">
      <c r="A12" s="54" t="inlineStr">
        <is>
          <t>매출</t>
        </is>
      </c>
      <c r="B12" s="55" t="n">
        <v>176.2</v>
      </c>
      <c r="N12" s="56" t="inlineStr">
        <is>
          <t>2단계 보고서 자료(회사 설명회 자료·공시)</t>
        </is>
      </c>
    </row>
    <row r="13">
      <c r="A13" s="54" t="inlineStr">
        <is>
          <t>부문이익</t>
        </is>
      </c>
      <c r="B13" s="55" t="n">
        <v>14.35</v>
      </c>
    </row>
    <row r="15">
      <c r="A15" s="52" t="inlineStr">
        <is>
          <t>segment_fy26 · 마케팅 플랫폼</t>
        </is>
      </c>
      <c r="B15" s="52" t="n"/>
      <c r="C15" s="52" t="n"/>
      <c r="D15" s="52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</row>
    <row r="16">
      <c r="A16" s="53" t="inlineStr">
        <is>
          <t>항목</t>
        </is>
      </c>
      <c r="B16" s="53" t="inlineStr">
        <is>
          <t>값</t>
        </is>
      </c>
      <c r="N16" s="53" t="inlineStr">
        <is>
          <t>출처</t>
        </is>
      </c>
    </row>
    <row r="17">
      <c r="A17" s="54" t="inlineStr">
        <is>
          <t>매출</t>
        </is>
      </c>
      <c r="B17" s="55" t="n">
        <v>7.8</v>
      </c>
      <c r="N17" s="56" t="inlineStr">
        <is>
          <t>2단계 보고서 자료(회사 설명회 자료·공시)</t>
        </is>
      </c>
    </row>
    <row r="18">
      <c r="A18" s="54" t="inlineStr">
        <is>
          <t>부문이익</t>
        </is>
      </c>
      <c r="B18" s="55" t="n">
        <v>0.11</v>
      </c>
    </row>
    <row r="20">
      <c r="A20" s="52" t="inlineStr">
        <is>
          <t>segment_fy26 · 컨설·자문</t>
        </is>
      </c>
      <c r="B20" s="52" t="n"/>
      <c r="C20" s="52" t="n"/>
      <c r="D20" s="52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</row>
    <row r="21">
      <c r="A21" s="53" t="inlineStr">
        <is>
          <t>항목</t>
        </is>
      </c>
      <c r="B21" s="53" t="inlineStr">
        <is>
          <t>값</t>
        </is>
      </c>
      <c r="N21" s="53" t="inlineStr">
        <is>
          <t>출처</t>
        </is>
      </c>
    </row>
    <row r="22">
      <c r="A22" s="54" t="inlineStr">
        <is>
          <t>매출</t>
        </is>
      </c>
      <c r="B22" s="55" t="n">
        <v>34.1</v>
      </c>
      <c r="N22" s="56" t="inlineStr">
        <is>
          <t>2단계 보고서 자료(회사 설명회 자료·공시)</t>
        </is>
      </c>
    </row>
    <row r="23">
      <c r="A23" s="54" t="inlineStr">
        <is>
          <t>부문이익</t>
        </is>
      </c>
      <c r="B23" s="55" t="n">
        <v>4.23</v>
      </c>
    </row>
    <row r="25">
      <c r="A25" s="52" t="inlineStr">
        <is>
          <t>segment_fy26 · 영업권상각</t>
        </is>
      </c>
      <c r="B25" s="52" t="n"/>
      <c r="C25" s="52" t="n"/>
      <c r="D25" s="52" t="n"/>
      <c r="E25" s="52" t="n"/>
      <c r="F25" s="52" t="n"/>
      <c r="G25" s="52" t="n"/>
      <c r="H25" s="52" t="n"/>
      <c r="I25" s="52" t="n"/>
      <c r="J25" s="52" t="n"/>
      <c r="K25" s="52" t="n"/>
      <c r="L25" s="52" t="n"/>
      <c r="M25" s="52" t="n"/>
      <c r="N25" s="52" t="n"/>
    </row>
    <row r="26">
      <c r="A26" s="53" t="inlineStr">
        <is>
          <t>항목</t>
        </is>
      </c>
      <c r="B26" s="53" t="inlineStr">
        <is>
          <t>값</t>
        </is>
      </c>
      <c r="N26" s="53" t="inlineStr">
        <is>
          <t>출처</t>
        </is>
      </c>
    </row>
    <row r="27">
      <c r="A27" s="54" t="inlineStr">
        <is>
          <t>엔지니어</t>
        </is>
      </c>
      <c r="B27" s="55" t="n">
        <v>1.71</v>
      </c>
      <c r="N27" s="56" t="inlineStr">
        <is>
          <t>2단계 보고서 자료(회사 설명회 자료·공시)</t>
        </is>
      </c>
    </row>
    <row r="28">
      <c r="A28" s="54" t="inlineStr">
        <is>
          <t>컨설</t>
        </is>
      </c>
      <c r="B28" s="55" t="n">
        <v>2.53</v>
      </c>
    </row>
    <row r="29">
      <c r="A29" s="54" t="inlineStr">
        <is>
          <t>합계</t>
        </is>
      </c>
      <c r="B29" s="55" t="n">
        <v>4.24</v>
      </c>
    </row>
    <row r="30">
      <c r="A30" s="54" t="inlineStr">
        <is>
          <t>전년</t>
        </is>
      </c>
      <c r="B30" s="55" t="n">
        <v>1.85</v>
      </c>
    </row>
    <row r="32">
      <c r="A32" s="52" t="inlineStr">
        <is>
          <t>fy27 계획 by 부문</t>
        </is>
      </c>
      <c r="B32" s="52" t="n"/>
      <c r="C32" s="52" t="n"/>
      <c r="D32" s="52" t="n"/>
      <c r="E32" s="52" t="n"/>
      <c r="F32" s="52" t="n"/>
      <c r="G32" s="52" t="n"/>
      <c r="H32" s="52" t="n"/>
      <c r="I32" s="52" t="n"/>
      <c r="J32" s="52" t="n"/>
      <c r="K32" s="52" t="n"/>
      <c r="L32" s="52" t="n"/>
      <c r="M32" s="52" t="n"/>
      <c r="N32" s="52" t="n"/>
    </row>
    <row r="33">
      <c r="A33" s="53" t="inlineStr">
        <is>
          <t>항목</t>
        </is>
      </c>
      <c r="B33" s="53" t="inlineStr">
        <is>
          <t>값</t>
        </is>
      </c>
      <c r="N33" s="53" t="inlineStr">
        <is>
          <t>출처</t>
        </is>
      </c>
    </row>
    <row r="34">
      <c r="A34" s="54" t="inlineStr">
        <is>
          <t>매출총이익</t>
        </is>
      </c>
      <c r="B34" s="55" t="n">
        <v>97.09</v>
      </c>
      <c r="N34" s="56" t="inlineStr">
        <is>
          <t>설명 자료 p26·43</t>
        </is>
      </c>
    </row>
    <row r="35">
      <c r="A35" s="54" t="inlineStr">
        <is>
          <t>판관비</t>
        </is>
      </c>
      <c r="B35" s="55" t="n">
        <v>81.77</v>
      </c>
    </row>
    <row r="36">
      <c r="A36" s="54" t="inlineStr">
        <is>
          <t>순이익</t>
        </is>
      </c>
      <c r="B36" s="55" t="n">
        <v>7.74</v>
      </c>
    </row>
    <row r="37">
      <c r="A37" s="54" t="inlineStr">
        <is>
          <t>EPS</t>
        </is>
      </c>
      <c r="B37" s="55" t="n">
        <v>17.34</v>
      </c>
    </row>
    <row r="38">
      <c r="A38" s="54" t="inlineStr">
        <is>
          <t>DPS</t>
        </is>
      </c>
      <c r="B38" s="55" t="n">
        <v>1</v>
      </c>
    </row>
    <row r="40">
      <c r="A40" s="52" t="inlineStr">
        <is>
          <t>fy27_plan_by_segment · 매출</t>
        </is>
      </c>
      <c r="B40" s="52" t="n"/>
      <c r="C40" s="52" t="n"/>
      <c r="D40" s="52" t="n"/>
      <c r="E40" s="52" t="n"/>
      <c r="F40" s="52" t="n"/>
      <c r="G40" s="52" t="n"/>
      <c r="H40" s="52" t="n"/>
      <c r="I40" s="52" t="n"/>
      <c r="J40" s="52" t="n"/>
      <c r="K40" s="52" t="n"/>
      <c r="L40" s="52" t="n"/>
      <c r="M40" s="52" t="n"/>
      <c r="N40" s="52" t="n"/>
    </row>
    <row r="41">
      <c r="A41" s="53" t="inlineStr">
        <is>
          <t>항목</t>
        </is>
      </c>
      <c r="B41" s="53" t="inlineStr">
        <is>
          <t>값</t>
        </is>
      </c>
      <c r="N41" s="53" t="inlineStr">
        <is>
          <t>출처</t>
        </is>
      </c>
    </row>
    <row r="42">
      <c r="A42" s="54" t="inlineStr">
        <is>
          <t>연결</t>
        </is>
      </c>
      <c r="B42" s="55" t="n">
        <v>251.98</v>
      </c>
      <c r="N42" s="56" t="inlineStr">
        <is>
          <t>설명 자료 p26·43</t>
        </is>
      </c>
    </row>
    <row r="43">
      <c r="A43" s="54" t="inlineStr">
        <is>
          <t>엔지니어</t>
        </is>
      </c>
      <c r="B43" s="55" t="n">
        <v>191.61</v>
      </c>
    </row>
    <row r="44">
      <c r="A44" s="54" t="inlineStr">
        <is>
          <t>마케팅</t>
        </is>
      </c>
      <c r="B44" s="55" t="n">
        <v>7.08</v>
      </c>
    </row>
    <row r="45">
      <c r="A45" s="54" t="inlineStr">
        <is>
          <t>컨설·자문</t>
        </is>
      </c>
      <c r="B45" s="55" t="n">
        <v>53.28</v>
      </c>
    </row>
    <row r="47">
      <c r="A47" s="52" t="inlineStr">
        <is>
          <t>fy27_plan_by_segment · 영업이익</t>
        </is>
      </c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  <c r="L47" s="52" t="n"/>
      <c r="M47" s="52" t="n"/>
      <c r="N47" s="52" t="n"/>
    </row>
    <row r="48">
      <c r="A48" s="53" t="inlineStr">
        <is>
          <t>항목</t>
        </is>
      </c>
      <c r="B48" s="53" t="inlineStr">
        <is>
          <t>값</t>
        </is>
      </c>
      <c r="N48" s="53" t="inlineStr">
        <is>
          <t>출처</t>
        </is>
      </c>
    </row>
    <row r="49">
      <c r="A49" s="54" t="inlineStr">
        <is>
          <t>연결</t>
        </is>
      </c>
      <c r="B49" s="55" t="n">
        <v>15.31</v>
      </c>
      <c r="N49" s="56" t="inlineStr">
        <is>
          <t>설명 자료 p26·43</t>
        </is>
      </c>
    </row>
    <row r="50">
      <c r="A50" s="54" t="inlineStr">
        <is>
          <t>엔지니어</t>
        </is>
      </c>
      <c r="B50" s="55" t="n">
        <v>17.63</v>
      </c>
    </row>
    <row r="51">
      <c r="A51" s="54" t="inlineStr">
        <is>
          <t>마케팅</t>
        </is>
      </c>
      <c r="B51" s="55" t="n">
        <v>1.19</v>
      </c>
    </row>
    <row r="52">
      <c r="A52" s="54" t="inlineStr">
        <is>
          <t>컨설·자문</t>
        </is>
      </c>
      <c r="B52" s="55" t="n">
        <v>11.92</v>
      </c>
    </row>
    <row r="53">
      <c r="A53" s="54" t="inlineStr">
        <is>
          <t>전사비용</t>
        </is>
      </c>
      <c r="B53" s="55" t="n">
        <v>-15.43</v>
      </c>
    </row>
    <row r="55">
      <c r="A55" s="52" t="inlineStr">
        <is>
          <t>midworks 핵심 지표 quarterly</t>
        </is>
      </c>
      <c r="B55" s="52" t="n"/>
      <c r="C55" s="52" t="n"/>
      <c r="D55" s="52" t="n"/>
      <c r="E55" s="52" t="n"/>
      <c r="F55" s="52" t="n"/>
      <c r="G55" s="52" t="n"/>
      <c r="H55" s="52" t="n"/>
      <c r="I55" s="52" t="n"/>
      <c r="J55" s="52" t="n"/>
      <c r="K55" s="52" t="n"/>
      <c r="L55" s="52" t="n"/>
      <c r="M55" s="52" t="n"/>
      <c r="N55" s="52" t="n"/>
    </row>
    <row r="56">
      <c r="A56" s="53" t="inlineStr">
        <is>
          <t>항목</t>
        </is>
      </c>
      <c r="B56" s="53" t="inlineStr">
        <is>
          <t>2024.1Q</t>
        </is>
      </c>
      <c r="C56" s="53" t="inlineStr">
        <is>
          <t>2024.2Q</t>
        </is>
      </c>
      <c r="D56" s="53" t="inlineStr">
        <is>
          <t>2024.3Q</t>
        </is>
      </c>
      <c r="E56" s="53" t="inlineStr">
        <is>
          <t>2024.4Q</t>
        </is>
      </c>
      <c r="F56" s="53" t="inlineStr">
        <is>
          <t>2025.1Q</t>
        </is>
      </c>
      <c r="G56" s="53" t="inlineStr">
        <is>
          <t>2025.2Q</t>
        </is>
      </c>
      <c r="H56" s="53" t="inlineStr">
        <is>
          <t>2025.3Q</t>
        </is>
      </c>
      <c r="I56" s="53" t="inlineStr">
        <is>
          <t>2025.4Q</t>
        </is>
      </c>
      <c r="J56" s="53" t="inlineStr">
        <is>
          <t>2026.1Q</t>
        </is>
      </c>
      <c r="K56" s="53" t="inlineStr">
        <is>
          <t>2026.2Q</t>
        </is>
      </c>
      <c r="L56" s="53" t="inlineStr">
        <is>
          <t>2026.3Q</t>
        </is>
      </c>
      <c r="M56" s="53" t="inlineStr">
        <is>
          <t>2026.4Q</t>
        </is>
      </c>
      <c r="N56" s="53" t="inlineStr">
        <is>
          <t>출처</t>
        </is>
      </c>
    </row>
    <row r="57">
      <c r="A57" s="54" t="inlineStr">
        <is>
          <t>midworks_매출_억엔</t>
        </is>
      </c>
      <c r="B57" s="55" t="n">
        <v>27.76</v>
      </c>
      <c r="C57" s="55" t="n">
        <v>28.35</v>
      </c>
      <c r="D57" s="55" t="n">
        <v>30.82</v>
      </c>
      <c r="E57" s="55" t="n">
        <v>32.86</v>
      </c>
      <c r="F57" s="55" t="n">
        <v>34.41</v>
      </c>
      <c r="G57" s="55" t="n">
        <v>36.72</v>
      </c>
      <c r="H57" s="55" t="n">
        <v>37.82</v>
      </c>
      <c r="I57" s="55" t="n">
        <v>39.35</v>
      </c>
      <c r="J57" s="55" t="n">
        <v>39.92</v>
      </c>
      <c r="K57" s="55" t="n">
        <v>40.11</v>
      </c>
      <c r="L57" s="55" t="n">
        <v>40.69</v>
      </c>
      <c r="M57" s="55" t="n">
        <v>41.44</v>
      </c>
      <c r="N57" s="56" t="inlineStr">
        <is>
          <t>설명 자료 p36~38</t>
        </is>
      </c>
    </row>
    <row r="58">
      <c r="A58" s="54" t="inlineStr">
        <is>
          <t>midworks_사업이익_억엔</t>
        </is>
      </c>
      <c r="B58" s="55" t="n">
        <v>2.22</v>
      </c>
      <c r="C58" s="55" t="n">
        <v>2.26</v>
      </c>
      <c r="D58" s="55" t="n">
        <v>2.52</v>
      </c>
      <c r="E58" s="55" t="n">
        <v>3.39</v>
      </c>
      <c r="F58" s="55" t="n">
        <v>3.61</v>
      </c>
      <c r="G58" s="55" t="n">
        <v>3.14</v>
      </c>
      <c r="H58" s="55" t="n">
        <v>2.06</v>
      </c>
      <c r="I58" s="55" t="n">
        <v>1.85</v>
      </c>
      <c r="J58" s="55" t="n">
        <v>2.27</v>
      </c>
      <c r="K58" s="55" t="n">
        <v>2.81</v>
      </c>
      <c r="L58" s="55" t="n">
        <v>2.81</v>
      </c>
      <c r="M58" s="55" t="n">
        <v>3.53</v>
      </c>
    </row>
    <row r="59">
      <c r="A59" s="54" t="inlineStr">
        <is>
          <t>연결_엔지니어_가동수_명</t>
        </is>
      </c>
      <c r="B59" s="57" t="n">
        <v>3869</v>
      </c>
      <c r="C59" s="57" t="n">
        <v>4045</v>
      </c>
      <c r="D59" s="57" t="n">
        <v>4306</v>
      </c>
      <c r="E59" s="57" t="n">
        <v>4519</v>
      </c>
      <c r="F59" s="57" t="n">
        <v>4741</v>
      </c>
      <c r="G59" s="57" t="n">
        <v>5126</v>
      </c>
      <c r="H59" s="57" t="n">
        <v>5210</v>
      </c>
      <c r="I59" s="57" t="n">
        <v>5389</v>
      </c>
      <c r="J59" s="57" t="n">
        <v>5553</v>
      </c>
      <c r="K59" s="57" t="n">
        <v>5645</v>
      </c>
      <c r="L59" s="57" t="n">
        <v>5756</v>
      </c>
      <c r="M59" s="57" t="n">
        <v>5730</v>
      </c>
    </row>
    <row r="60">
      <c r="A60" s="54" t="inlineStr">
        <is>
          <t>연결_엔지니어_등록자수_명</t>
        </is>
      </c>
      <c r="B60" s="57" t="n">
        <v>43661</v>
      </c>
      <c r="C60" s="57" t="n">
        <v>46152</v>
      </c>
      <c r="D60" s="57" t="n">
        <v>48439</v>
      </c>
      <c r="E60" s="57" t="n">
        <v>50438</v>
      </c>
      <c r="F60" s="57" t="n">
        <v>52412</v>
      </c>
      <c r="G60" s="57" t="n">
        <v>54671</v>
      </c>
      <c r="H60" s="57" t="n">
        <v>57323</v>
      </c>
      <c r="I60" s="57" t="n">
        <v>60314</v>
      </c>
      <c r="J60" s="57" t="n">
        <v>63397</v>
      </c>
      <c r="K60" s="57" t="n">
        <v>66058</v>
      </c>
      <c r="L60" s="57" t="n">
        <v>68674</v>
      </c>
      <c r="M60" s="57" t="n">
        <v>71258</v>
      </c>
    </row>
    <row r="62">
      <c r="A62" s="52" t="inlineStr">
        <is>
          <t>engineer 핵심 지표 annual</t>
        </is>
      </c>
      <c r="B62" s="52" t="n"/>
      <c r="C62" s="52" t="n"/>
      <c r="D62" s="52" t="n"/>
      <c r="E62" s="52" t="n"/>
      <c r="F62" s="52" t="n"/>
      <c r="G62" s="52" t="n"/>
      <c r="H62" s="52" t="n"/>
      <c r="I62" s="52" t="n"/>
      <c r="J62" s="52" t="n"/>
      <c r="K62" s="52" t="n"/>
      <c r="L62" s="52" t="n"/>
      <c r="M62" s="52" t="n"/>
      <c r="N62" s="52" t="n"/>
    </row>
    <row r="63">
      <c r="A63" s="53" t="inlineStr">
        <is>
          <t>항목</t>
        </is>
      </c>
      <c r="B63" s="53" t="inlineStr">
        <is>
          <t>FY2023</t>
        </is>
      </c>
      <c r="C63" s="53" t="inlineStr">
        <is>
          <t>FY2024</t>
        </is>
      </c>
      <c r="D63" s="53" t="inlineStr">
        <is>
          <t>FY2025</t>
        </is>
      </c>
      <c r="E63" s="53" t="inlineStr">
        <is>
          <t>FY2026</t>
        </is>
      </c>
      <c r="F63" s="53" t="inlineStr">
        <is>
          <t>FY2027 계획</t>
        </is>
      </c>
      <c r="N63" s="53" t="inlineStr">
        <is>
          <t>출처</t>
        </is>
      </c>
    </row>
    <row r="64">
      <c r="A64" s="54" t="inlineStr">
        <is>
          <t>가동인원(연간 누계 기준)</t>
        </is>
      </c>
      <c r="B64" s="57" t="n">
        <v>12477</v>
      </c>
      <c r="C64" s="57" t="n">
        <v>16739</v>
      </c>
      <c r="D64" s="57" t="n">
        <v>20466</v>
      </c>
      <c r="E64" s="57" t="n">
        <v>22684</v>
      </c>
      <c r="F64" s="57" t="n">
        <v>25026</v>
      </c>
      <c r="N64" s="56" t="inlineStr">
        <is>
          <t>설명 자료 p44. FY26 가동 기초 계획 25,134명 대비 22,684명 미달.</t>
        </is>
      </c>
    </row>
    <row r="65">
      <c r="A65" s="54" t="inlineStr">
        <is>
          <t>등록인원</t>
        </is>
      </c>
      <c r="B65" s="57" t="n">
        <v>39786</v>
      </c>
      <c r="C65" s="57" t="n">
        <v>50438</v>
      </c>
      <c r="D65" s="57" t="n">
        <v>60314</v>
      </c>
      <c r="E65" s="57" t="n">
        <v>71258</v>
      </c>
      <c r="F65" s="57" t="n">
        <v>80000</v>
      </c>
    </row>
    <row r="67">
      <c r="A67" s="52" t="inlineStr">
        <is>
          <t>sga detail · annual FY26</t>
        </is>
      </c>
      <c r="B67" s="52" t="n"/>
      <c r="C67" s="52" t="n"/>
      <c r="D67" s="52" t="n"/>
      <c r="E67" s="52" t="n"/>
      <c r="F67" s="52" t="n"/>
      <c r="G67" s="52" t="n"/>
      <c r="H67" s="52" t="n"/>
      <c r="I67" s="52" t="n"/>
      <c r="J67" s="52" t="n"/>
      <c r="K67" s="52" t="n"/>
      <c r="L67" s="52" t="n"/>
      <c r="M67" s="52" t="n"/>
      <c r="N67" s="52" t="n"/>
    </row>
    <row r="68">
      <c r="A68" s="53" t="inlineStr">
        <is>
          <t>항목</t>
        </is>
      </c>
      <c r="B68" s="53" t="inlineStr">
        <is>
          <t>값</t>
        </is>
      </c>
      <c r="N68" s="53" t="inlineStr">
        <is>
          <t>출처</t>
        </is>
      </c>
    </row>
    <row r="69">
      <c r="A69" s="54" t="inlineStr">
        <is>
          <t>인건비</t>
        </is>
      </c>
      <c r="B69" s="55" t="n">
        <v>31.25</v>
      </c>
      <c r="N69" s="56" t="inlineStr">
        <is>
          <t>설명 자료 p33·34(억 엔). 분기 항목: 인건비·광고비·임차료·지급수수료·채용관련비·영업권상각·기타</t>
        </is>
      </c>
    </row>
    <row r="70">
      <c r="A70" s="54" t="inlineStr">
        <is>
          <t>광고비</t>
        </is>
      </c>
      <c r="B70" s="55" t="n">
        <v>5.99</v>
      </c>
    </row>
    <row r="71">
      <c r="A71" s="54" t="inlineStr">
        <is>
          <t>임차료</t>
        </is>
      </c>
      <c r="B71" s="55" t="n">
        <v>2.88</v>
      </c>
    </row>
    <row r="72">
      <c r="A72" s="54" t="inlineStr">
        <is>
          <t>지급수수료</t>
        </is>
      </c>
      <c r="B72" s="55" t="n">
        <v>9.140000000000001</v>
      </c>
    </row>
    <row r="73">
      <c r="A73" s="54" t="inlineStr">
        <is>
          <t>채용관련비</t>
        </is>
      </c>
      <c r="B73" s="55" t="n">
        <v>7.44</v>
      </c>
    </row>
    <row r="74">
      <c r="A74" s="54" t="inlineStr">
        <is>
          <t>영업권상각</t>
        </is>
      </c>
      <c r="B74" s="55" t="n">
        <v>4.23</v>
      </c>
    </row>
    <row r="75">
      <c r="A75" s="54" t="inlineStr">
        <is>
          <t>기타</t>
        </is>
      </c>
      <c r="B75" s="55" t="n">
        <v>7.14</v>
      </c>
    </row>
    <row r="76">
      <c r="A76" s="54" t="inlineStr">
        <is>
          <t>합계</t>
        </is>
      </c>
      <c r="B76" s="55" t="n">
        <v>68.09999999999999</v>
      </c>
    </row>
    <row r="78">
      <c r="A78" s="52" t="inlineStr">
        <is>
          <t>sga detail · annual FY25</t>
        </is>
      </c>
      <c r="B78" s="52" t="n"/>
      <c r="C78" s="52" t="n"/>
      <c r="D78" s="52" t="n"/>
      <c r="E78" s="52" t="n"/>
      <c r="F78" s="52" t="n"/>
      <c r="G78" s="52" t="n"/>
      <c r="H78" s="52" t="n"/>
      <c r="I78" s="52" t="n"/>
      <c r="J78" s="52" t="n"/>
      <c r="K78" s="52" t="n"/>
      <c r="L78" s="52" t="n"/>
      <c r="M78" s="52" t="n"/>
      <c r="N78" s="52" t="n"/>
    </row>
    <row r="79">
      <c r="A79" s="53" t="inlineStr">
        <is>
          <t>항목</t>
        </is>
      </c>
      <c r="B79" s="53" t="inlineStr">
        <is>
          <t>값</t>
        </is>
      </c>
      <c r="N79" s="53" t="inlineStr">
        <is>
          <t>출처</t>
        </is>
      </c>
    </row>
    <row r="80">
      <c r="A80" s="54" t="inlineStr">
        <is>
          <t>인건비</t>
        </is>
      </c>
      <c r="B80" s="55" t="n">
        <v>21.93</v>
      </c>
      <c r="N80" s="56" t="inlineStr">
        <is>
          <t>설명 자료 p33·34(억 엔). 분기 항목: 인건비·광고비·임차료·지급수수료·채용관련비·영업권상각·기타</t>
        </is>
      </c>
    </row>
    <row r="81">
      <c r="A81" s="54" t="inlineStr">
        <is>
          <t>광고비</t>
        </is>
      </c>
      <c r="B81" s="55" t="n">
        <v>6.01</v>
      </c>
    </row>
    <row r="82">
      <c r="A82" s="54" t="inlineStr">
        <is>
          <t>임차료</t>
        </is>
      </c>
      <c r="B82" s="55" t="n">
        <v>1.55</v>
      </c>
    </row>
    <row r="83">
      <c r="A83" s="54" t="inlineStr">
        <is>
          <t>지급수수료</t>
        </is>
      </c>
      <c r="B83" s="55" t="n">
        <v>6</v>
      </c>
    </row>
    <row r="84">
      <c r="A84" s="54" t="inlineStr">
        <is>
          <t>채용관련비</t>
        </is>
      </c>
      <c r="B84" s="55" t="n">
        <v>4.9</v>
      </c>
    </row>
    <row r="85">
      <c r="A85" s="54" t="inlineStr">
        <is>
          <t>영업권상각</t>
        </is>
      </c>
      <c r="B85" s="55" t="n">
        <v>1.85</v>
      </c>
    </row>
    <row r="86">
      <c r="A86" s="54" t="inlineStr">
        <is>
          <t>기타</t>
        </is>
      </c>
      <c r="B86" s="55" t="n">
        <v>4.64</v>
      </c>
    </row>
    <row r="87">
      <c r="A87" s="54" t="inlineStr">
        <is>
          <t>합계</t>
        </is>
      </c>
      <c r="B87" s="55" t="n">
        <v>46.91</v>
      </c>
    </row>
    <row r="89">
      <c r="A89" s="52" t="inlineStr">
        <is>
          <t>adjusted · 4Q26</t>
        </is>
      </c>
      <c r="B89" s="52" t="n"/>
      <c r="C89" s="52" t="n"/>
      <c r="D89" s="52" t="n"/>
      <c r="E89" s="52" t="n"/>
      <c r="F89" s="52" t="n"/>
      <c r="G89" s="52" t="n"/>
      <c r="H89" s="52" t="n"/>
      <c r="I89" s="52" t="n"/>
      <c r="J89" s="52" t="n"/>
      <c r="K89" s="52" t="n"/>
      <c r="L89" s="52" t="n"/>
      <c r="M89" s="52" t="n"/>
      <c r="N89" s="52" t="n"/>
    </row>
    <row r="90">
      <c r="A90" s="53" t="inlineStr">
        <is>
          <t>항목</t>
        </is>
      </c>
      <c r="B90" s="53" t="inlineStr">
        <is>
          <t>값</t>
        </is>
      </c>
      <c r="N90" s="53" t="inlineStr">
        <is>
          <t>출처</t>
        </is>
      </c>
    </row>
    <row r="91">
      <c r="A91" s="54" t="inlineStr">
        <is>
          <t>영업이익</t>
        </is>
      </c>
      <c r="B91" s="55" t="n">
        <v>2.07</v>
      </c>
      <c r="N91" s="56" t="inlineStr">
        <is>
          <t>설명 자료 p31</t>
        </is>
      </c>
    </row>
    <row r="92">
      <c r="A92" s="54" t="inlineStr">
        <is>
          <t>상각</t>
        </is>
      </c>
      <c r="B92" s="55" t="n">
        <v>1.32</v>
      </c>
    </row>
    <row r="93">
      <c r="A93" s="54" t="inlineStr">
        <is>
          <t>EBITDA</t>
        </is>
      </c>
      <c r="B93" s="55" t="n">
        <v>3.4</v>
      </c>
    </row>
    <row r="94">
      <c r="A94" s="54" t="inlineStr">
        <is>
          <t>조정영업이익</t>
        </is>
      </c>
      <c r="B94" s="55" t="n">
        <v>3.41</v>
      </c>
    </row>
    <row r="96">
      <c r="A96" s="52" t="inlineStr">
        <is>
          <t>adjusted · 4Q25</t>
        </is>
      </c>
      <c r="B96" s="52" t="n"/>
      <c r="C96" s="52" t="n"/>
      <c r="D96" s="52" t="n"/>
      <c r="E96" s="52" t="n"/>
      <c r="F96" s="52" t="n"/>
      <c r="G96" s="52" t="n"/>
      <c r="H96" s="52" t="n"/>
      <c r="I96" s="52" t="n"/>
      <c r="J96" s="52" t="n"/>
      <c r="K96" s="52" t="n"/>
      <c r="L96" s="52" t="n"/>
      <c r="M96" s="52" t="n"/>
      <c r="N96" s="52" t="n"/>
    </row>
    <row r="97">
      <c r="A97" s="53" t="inlineStr">
        <is>
          <t>항목</t>
        </is>
      </c>
      <c r="B97" s="53" t="inlineStr">
        <is>
          <t>값</t>
        </is>
      </c>
      <c r="N97" s="53" t="inlineStr">
        <is>
          <t>출처</t>
        </is>
      </c>
    </row>
    <row r="98">
      <c r="A98" s="54" t="inlineStr">
        <is>
          <t>영업이익</t>
        </is>
      </c>
      <c r="B98" s="55" t="n">
        <v>-0.6899999999999999</v>
      </c>
      <c r="N98" s="56" t="inlineStr">
        <is>
          <t>설명 자료 p31</t>
        </is>
      </c>
    </row>
    <row r="99">
      <c r="A99" s="54" t="inlineStr">
        <is>
          <t>EBITDA</t>
        </is>
      </c>
      <c r="B99" s="55" t="n">
        <v>0.11</v>
      </c>
    </row>
    <row r="101">
      <c r="A101" s="52" t="inlineStr">
        <is>
          <t>adjusted · FY26</t>
        </is>
      </c>
      <c r="B101" s="52" t="n"/>
      <c r="C101" s="52" t="n"/>
      <c r="D101" s="52" t="n"/>
      <c r="E101" s="52" t="n"/>
      <c r="F101" s="52" t="n"/>
      <c r="G101" s="52" t="n"/>
      <c r="H101" s="52" t="n"/>
      <c r="I101" s="52" t="n"/>
      <c r="J101" s="52" t="n"/>
      <c r="K101" s="52" t="n"/>
      <c r="L101" s="52" t="n"/>
      <c r="M101" s="52" t="n"/>
      <c r="N101" s="52" t="n"/>
    </row>
    <row r="102">
      <c r="A102" s="53" t="inlineStr">
        <is>
          <t>항목</t>
        </is>
      </c>
      <c r="B102" s="53" t="inlineStr">
        <is>
          <t>값</t>
        </is>
      </c>
      <c r="N102" s="53" t="inlineStr">
        <is>
          <t>출처</t>
        </is>
      </c>
    </row>
    <row r="103">
      <c r="A103" s="54" t="inlineStr">
        <is>
          <t>EBITDA</t>
        </is>
      </c>
      <c r="B103" s="55" t="n">
        <v>13.05</v>
      </c>
      <c r="N103" s="56" t="inlineStr">
        <is>
          <t>설명 자료 p31</t>
        </is>
      </c>
    </row>
    <row r="104">
      <c r="A104" s="54" t="inlineStr">
        <is>
          <t>조정영업이익</t>
        </is>
      </c>
      <c r="B104" s="55" t="n">
        <v>13.88</v>
      </c>
    </row>
    <row r="106">
      <c r="A106" s="52" t="inlineStr">
        <is>
          <t>컨센서스 · FY2027</t>
        </is>
      </c>
      <c r="B106" s="52" t="n"/>
      <c r="C106" s="52" t="n"/>
      <c r="D106" s="52" t="n"/>
      <c r="E106" s="52" t="n"/>
      <c r="F106" s="52" t="n"/>
      <c r="G106" s="52" t="n"/>
      <c r="H106" s="52" t="n"/>
      <c r="I106" s="52" t="n"/>
      <c r="J106" s="52" t="n"/>
      <c r="K106" s="52" t="n"/>
      <c r="L106" s="52" t="n"/>
      <c r="M106" s="52" t="n"/>
      <c r="N106" s="52" t="n"/>
    </row>
    <row r="107">
      <c r="A107" s="53" t="inlineStr">
        <is>
          <t>항목</t>
        </is>
      </c>
      <c r="B107" s="53" t="inlineStr">
        <is>
          <t>값</t>
        </is>
      </c>
      <c r="N107" s="53" t="inlineStr">
        <is>
          <t>출처</t>
        </is>
      </c>
    </row>
    <row r="108">
      <c r="A108" s="54" t="inlineStr">
        <is>
          <t>EPS</t>
        </is>
      </c>
      <c r="B108" s="55" t="n">
        <v>18.4</v>
      </c>
      <c r="N108" s="56" t="inlineStr">
        <is>
          <t>애널리스트 1명 추정(야후, 26.10.27) — '컨센'이라 부르지 말 것</t>
        </is>
      </c>
    </row>
    <row r="109">
      <c r="A109" s="54" t="inlineStr">
        <is>
          <t>매출</t>
        </is>
      </c>
      <c r="B109" s="55" t="n">
        <v>251</v>
      </c>
    </row>
    <row r="110">
      <c r="A110" s="54" t="inlineStr">
        <is>
          <t>애널리스트 수</t>
        </is>
      </c>
      <c r="B110" s="57" t="n">
        <v>1</v>
      </c>
    </row>
    <row r="111">
      <c r="A111" s="54" t="inlineStr">
        <is>
          <t>7일전 EPS</t>
        </is>
      </c>
      <c r="B111" s="55" t="n">
        <v>22.6</v>
      </c>
    </row>
    <row r="113">
      <c r="A113" s="52" t="inlineStr">
        <is>
          <t>컨센서스 · FY2028</t>
        </is>
      </c>
      <c r="B113" s="52" t="n"/>
      <c r="C113" s="52" t="n"/>
      <c r="D113" s="52" t="n"/>
      <c r="E113" s="52" t="n"/>
      <c r="F113" s="52" t="n"/>
      <c r="G113" s="52" t="n"/>
      <c r="H113" s="52" t="n"/>
      <c r="I113" s="52" t="n"/>
      <c r="J113" s="52" t="n"/>
      <c r="K113" s="52" t="n"/>
      <c r="L113" s="52" t="n"/>
      <c r="M113" s="52" t="n"/>
      <c r="N113" s="52" t="n"/>
    </row>
    <row r="114">
      <c r="A114" s="53" t="inlineStr">
        <is>
          <t>항목</t>
        </is>
      </c>
      <c r="B114" s="53" t="inlineStr">
        <is>
          <t>값</t>
        </is>
      </c>
      <c r="N114" s="53" t="inlineStr">
        <is>
          <t>출처</t>
        </is>
      </c>
    </row>
    <row r="115">
      <c r="A115" s="54" t="inlineStr">
        <is>
          <t>EPS</t>
        </is>
      </c>
      <c r="B115" s="55" t="n">
        <v>28.8</v>
      </c>
      <c r="N115" s="56" t="inlineStr">
        <is>
          <t>애널리스트 1명 추정(야후, 26.10.27) — '컨센'이라 부르지 말 것</t>
        </is>
      </c>
    </row>
    <row r="116">
      <c r="A116" s="54" t="inlineStr">
        <is>
          <t>매출</t>
        </is>
      </c>
      <c r="B116" s="55" t="n">
        <v>292</v>
      </c>
    </row>
    <row r="117">
      <c r="A117" s="54" t="inlineStr">
        <is>
          <t>애널리스트 수</t>
        </is>
      </c>
      <c r="B117" s="57" t="n">
        <v>1</v>
      </c>
    </row>
    <row r="119">
      <c r="A119" s="52" t="inlineStr">
        <is>
          <t>dividend</t>
        </is>
      </c>
      <c r="B119" s="52" t="n"/>
      <c r="C119" s="52" t="n"/>
      <c r="D119" s="52" t="n"/>
      <c r="E119" s="52" t="n"/>
      <c r="F119" s="52" t="n"/>
      <c r="G119" s="52" t="n"/>
      <c r="H119" s="52" t="n"/>
      <c r="I119" s="52" t="n"/>
      <c r="J119" s="52" t="n"/>
      <c r="K119" s="52" t="n"/>
      <c r="L119" s="52" t="n"/>
      <c r="M119" s="52" t="n"/>
      <c r="N119" s="52" t="n"/>
    </row>
    <row r="120">
      <c r="A120" s="53" t="inlineStr">
        <is>
          <t>항목</t>
        </is>
      </c>
      <c r="B120" s="53" t="inlineStr">
        <is>
          <t>값</t>
        </is>
      </c>
      <c r="N120" s="53" t="inlineStr">
        <is>
          <t>출처</t>
        </is>
      </c>
    </row>
    <row r="121">
      <c r="A121" s="54" t="inlineStr">
        <is>
          <t>FY2025</t>
        </is>
      </c>
      <c r="B121" s="55" t="n">
        <v>0.5</v>
      </c>
      <c r="N121" s="56" t="inlineStr">
        <is>
          <t>2단계 보고서 자료(회사 설명회 자료·공시)</t>
        </is>
      </c>
    </row>
    <row r="122">
      <c r="A122" s="54" t="inlineStr">
        <is>
          <t>FY2026</t>
        </is>
      </c>
      <c r="B122" s="55" t="n">
        <v>1</v>
      </c>
    </row>
    <row r="123">
      <c r="A123" s="54" t="inlineStr">
        <is>
          <t>FY2027 예상</t>
        </is>
      </c>
      <c r="B123" s="55" t="n">
        <v>1</v>
      </c>
    </row>
    <row r="125">
      <c r="A125" s="52" t="inlineStr">
        <is>
          <t>shares</t>
        </is>
      </c>
      <c r="B125" s="52" t="n"/>
      <c r="C125" s="52" t="n"/>
      <c r="D125" s="52" t="n"/>
      <c r="E125" s="52" t="n"/>
      <c r="F125" s="52" t="n"/>
      <c r="G125" s="52" t="n"/>
      <c r="H125" s="52" t="n"/>
      <c r="I125" s="52" t="n"/>
      <c r="J125" s="52" t="n"/>
      <c r="K125" s="52" t="n"/>
      <c r="L125" s="52" t="n"/>
      <c r="M125" s="52" t="n"/>
      <c r="N125" s="52" t="n"/>
    </row>
    <row r="126">
      <c r="A126" s="53" t="inlineStr">
        <is>
          <t>항목</t>
        </is>
      </c>
      <c r="B126" s="53" t="inlineStr">
        <is>
          <t>값</t>
        </is>
      </c>
      <c r="N126" s="53" t="inlineStr">
        <is>
          <t>출처</t>
        </is>
      </c>
    </row>
    <row r="127">
      <c r="A127" s="54" t="inlineStr">
        <is>
          <t>발행</t>
        </is>
      </c>
      <c r="B127" s="57" t="n">
        <v>44676880</v>
      </c>
      <c r="N127" s="56" t="inlineStr">
        <is>
          <t>2단계 보고서 자료(회사 설명회 자료·공시)</t>
        </is>
      </c>
    </row>
    <row r="128">
      <c r="A128" s="54" t="inlineStr">
        <is>
          <t>자사주</t>
        </is>
      </c>
      <c r="B128" s="57" t="n">
        <v>627</v>
      </c>
    </row>
    <row r="129">
      <c r="A129" s="54" t="inlineStr">
        <is>
          <t>기말</t>
        </is>
      </c>
      <c r="B129" s="57" t="n">
        <v>44676253</v>
      </c>
    </row>
    <row r="130">
      <c r="A130" s="54" t="inlineStr">
        <is>
          <t>평균FY26</t>
        </is>
      </c>
      <c r="B130" s="57" t="n">
        <v>44106087</v>
      </c>
    </row>
    <row r="132">
      <c r="A132" s="52" t="inlineStr">
        <is>
          <t>bs annual</t>
        </is>
      </c>
      <c r="B132" s="52" t="n"/>
      <c r="C132" s="52" t="n"/>
      <c r="D132" s="52" t="n"/>
      <c r="E132" s="52" t="n"/>
      <c r="F132" s="52" t="n"/>
      <c r="G132" s="52" t="n"/>
      <c r="H132" s="52" t="n"/>
      <c r="I132" s="52" t="n"/>
      <c r="J132" s="52" t="n"/>
      <c r="K132" s="52" t="n"/>
      <c r="L132" s="52" t="n"/>
      <c r="M132" s="52" t="n"/>
      <c r="N132" s="52" t="n"/>
    </row>
    <row r="133">
      <c r="A133" s="53" t="inlineStr">
        <is>
          <t>항목</t>
        </is>
      </c>
      <c r="B133" s="53" t="inlineStr">
        <is>
          <t>2022</t>
        </is>
      </c>
      <c r="C133" s="53" t="inlineStr">
        <is>
          <t>2023</t>
        </is>
      </c>
      <c r="D133" s="53" t="inlineStr">
        <is>
          <t>2024</t>
        </is>
      </c>
      <c r="E133" s="53" t="inlineStr">
        <is>
          <t>2025</t>
        </is>
      </c>
      <c r="F133" s="53" t="inlineStr">
        <is>
          <t>2026</t>
        </is>
      </c>
      <c r="N133" s="53" t="inlineStr">
        <is>
          <t>출처</t>
        </is>
      </c>
    </row>
    <row r="134">
      <c r="A134" s="54" t="inlineStr">
        <is>
          <t>labels</t>
        </is>
      </c>
      <c r="B134" s="57" t="n">
        <v>2022</v>
      </c>
      <c r="C134" s="57" t="n">
        <v>2023</v>
      </c>
      <c r="D134" s="57" t="n">
        <v>2024</v>
      </c>
      <c r="E134" s="57" t="n">
        <v>2025</v>
      </c>
      <c r="F134" s="57" t="n">
        <v>2026</v>
      </c>
      <c r="N134" s="56" t="inlineStr">
        <is>
          <t>2단계 보고서 자료(회사 설명회 자료·공시)</t>
        </is>
      </c>
    </row>
    <row r="135">
      <c r="A135" s="54" t="inlineStr">
        <is>
          <t>current assets</t>
        </is>
      </c>
      <c r="B135" s="55" t="n">
        <v>19.5</v>
      </c>
      <c r="C135" s="55" t="n">
        <v>28.4</v>
      </c>
      <c r="D135" s="55" t="n">
        <v>58.7</v>
      </c>
      <c r="E135" s="55" t="n">
        <v>72.2</v>
      </c>
      <c r="F135" s="55" t="n">
        <v>75.5</v>
      </c>
    </row>
    <row r="136">
      <c r="A136" s="54" t="inlineStr">
        <is>
          <t>cash</t>
        </is>
      </c>
      <c r="B136" s="55" t="n">
        <v>8.699999999999999</v>
      </c>
      <c r="C136" s="55" t="n">
        <v>12.9</v>
      </c>
      <c r="D136" s="55" t="n">
        <v>37</v>
      </c>
      <c r="E136" s="55" t="n">
        <v>45.6</v>
      </c>
      <c r="F136" s="55" t="n">
        <v>45.7</v>
      </c>
    </row>
    <row r="137">
      <c r="A137" s="54" t="inlineStr">
        <is>
          <t>st fin</t>
        </is>
      </c>
      <c r="B137" s="58" t="n"/>
      <c r="C137" s="58" t="n"/>
      <c r="D137" s="58" t="n"/>
      <c r="E137" s="58" t="n"/>
      <c r="F137" s="58" t="n"/>
    </row>
    <row r="138">
      <c r="A138" s="54" t="inlineStr">
        <is>
          <t>receivables</t>
        </is>
      </c>
      <c r="B138" s="55" t="n">
        <v>10.1</v>
      </c>
      <c r="C138" s="55" t="n">
        <v>14.6</v>
      </c>
      <c r="D138" s="55" t="n">
        <v>20.2</v>
      </c>
      <c r="E138" s="55" t="n">
        <v>24.1</v>
      </c>
      <c r="F138" s="55" t="n">
        <v>26.7</v>
      </c>
    </row>
    <row r="139">
      <c r="A139" s="54" t="inlineStr">
        <is>
          <t>inventory</t>
        </is>
      </c>
      <c r="B139" s="55" t="n">
        <v>0</v>
      </c>
      <c r="C139" s="55" t="n">
        <v>0.2</v>
      </c>
      <c r="D139" s="58" t="n"/>
      <c r="E139" s="55" t="n">
        <v>0.2</v>
      </c>
      <c r="F139" s="58" t="n"/>
    </row>
    <row r="140">
      <c r="A140" s="54" t="inlineStr">
        <is>
          <t>noncurrent assets</t>
        </is>
      </c>
      <c r="B140" s="55" t="n">
        <v>5.6</v>
      </c>
      <c r="C140" s="55" t="n">
        <v>12.4</v>
      </c>
      <c r="D140" s="55" t="n">
        <v>12.3</v>
      </c>
      <c r="E140" s="55" t="n">
        <v>27.3</v>
      </c>
      <c r="F140" s="55" t="n">
        <v>31.3</v>
      </c>
    </row>
    <row r="141">
      <c r="A141" s="54" t="inlineStr">
        <is>
          <t>ppe</t>
        </is>
      </c>
      <c r="B141" s="55" t="n">
        <v>0.6</v>
      </c>
      <c r="C141" s="55" t="n">
        <v>0.5</v>
      </c>
      <c r="D141" s="55" t="n">
        <v>0.4</v>
      </c>
      <c r="E141" s="55" t="n">
        <v>0.8</v>
      </c>
      <c r="F141" s="55" t="n">
        <v>2</v>
      </c>
    </row>
    <row r="142">
      <c r="A142" s="54" t="inlineStr">
        <is>
          <t>intangibles</t>
        </is>
      </c>
      <c r="B142" s="55" t="n">
        <v>3.4</v>
      </c>
      <c r="C142" s="55" t="n">
        <v>10.2</v>
      </c>
      <c r="D142" s="55" t="n">
        <v>10.5</v>
      </c>
      <c r="E142" s="55" t="n">
        <v>22.7</v>
      </c>
      <c r="F142" s="55" t="n">
        <v>22.7</v>
      </c>
    </row>
    <row r="143">
      <c r="A143" s="54" t="inlineStr">
        <is>
          <t>inv property</t>
        </is>
      </c>
      <c r="B143" s="58" t="n"/>
      <c r="C143" s="58" t="n"/>
      <c r="D143" s="58" t="n"/>
      <c r="E143" s="58" t="n"/>
      <c r="F143" s="58" t="n"/>
    </row>
    <row r="144">
      <c r="A144" s="54" t="inlineStr">
        <is>
          <t>합계 assets</t>
        </is>
      </c>
      <c r="B144" s="55" t="n">
        <v>25.1</v>
      </c>
      <c r="C144" s="55" t="n">
        <v>40.9</v>
      </c>
      <c r="D144" s="55" t="n">
        <v>71</v>
      </c>
      <c r="E144" s="55" t="n">
        <v>99.5</v>
      </c>
      <c r="F144" s="55" t="n">
        <v>106.8</v>
      </c>
    </row>
    <row r="145">
      <c r="A145" s="54" t="inlineStr">
        <is>
          <t>current liab</t>
        </is>
      </c>
      <c r="B145" s="55" t="n">
        <v>11.3</v>
      </c>
      <c r="C145" s="55" t="n">
        <v>19.5</v>
      </c>
      <c r="D145" s="55" t="n">
        <v>28.7</v>
      </c>
      <c r="E145" s="55" t="n">
        <v>39.3</v>
      </c>
      <c r="F145" s="55" t="n">
        <v>46.3</v>
      </c>
    </row>
    <row r="146">
      <c r="A146" s="54" t="inlineStr">
        <is>
          <t>payables</t>
        </is>
      </c>
      <c r="B146" s="55" t="n">
        <v>5.2</v>
      </c>
      <c r="C146" s="55" t="n">
        <v>7.1</v>
      </c>
      <c r="D146" s="55" t="n">
        <v>9.4</v>
      </c>
      <c r="E146" s="55" t="n">
        <v>10.8</v>
      </c>
      <c r="F146" s="55" t="n">
        <v>10.9</v>
      </c>
    </row>
    <row r="147">
      <c r="A147" s="54" t="inlineStr">
        <is>
          <t>st debt</t>
        </is>
      </c>
      <c r="B147" s="55" t="n">
        <v>0</v>
      </c>
      <c r="C147" s="55" t="n">
        <v>2</v>
      </c>
      <c r="D147" s="55" t="n">
        <v>0</v>
      </c>
      <c r="E147" s="55" t="n">
        <v>1</v>
      </c>
      <c r="F147" s="55" t="n">
        <v>2.7</v>
      </c>
    </row>
    <row r="148">
      <c r="A148" s="54" t="inlineStr">
        <is>
          <t>noncurrent liab</t>
        </is>
      </c>
      <c r="B148" s="55" t="n">
        <v>6.5</v>
      </c>
      <c r="C148" s="55" t="n">
        <v>12.3</v>
      </c>
      <c r="D148" s="55" t="n">
        <v>13.5</v>
      </c>
      <c r="E148" s="55" t="n">
        <v>25.5</v>
      </c>
      <c r="F148" s="55" t="n">
        <v>21.1</v>
      </c>
    </row>
    <row r="149">
      <c r="A149" s="54" t="inlineStr">
        <is>
          <t>lt debt</t>
        </is>
      </c>
      <c r="B149" s="55" t="n">
        <v>6.5</v>
      </c>
      <c r="C149" s="55" t="n">
        <v>12.1</v>
      </c>
      <c r="D149" s="55" t="n">
        <v>13.5</v>
      </c>
      <c r="E149" s="55" t="n">
        <v>24.7</v>
      </c>
      <c r="F149" s="55" t="n">
        <v>20.9</v>
      </c>
    </row>
    <row r="150">
      <c r="A150" s="54" t="inlineStr">
        <is>
          <t>bonds</t>
        </is>
      </c>
      <c r="B150" s="58" t="n"/>
      <c r="C150" s="58" t="n"/>
      <c r="D150" s="58" t="n"/>
      <c r="E150" s="58" t="n"/>
      <c r="F150" s="58" t="n"/>
    </row>
    <row r="151">
      <c r="A151" s="54" t="inlineStr">
        <is>
          <t>합계 liab</t>
        </is>
      </c>
      <c r="B151" s="55" t="n">
        <v>17.7</v>
      </c>
      <c r="C151" s="55" t="n">
        <v>31.9</v>
      </c>
      <c r="D151" s="55" t="n">
        <v>42.2</v>
      </c>
      <c r="E151" s="55" t="n">
        <v>64.8</v>
      </c>
      <c r="F151" s="55" t="n">
        <v>67.5</v>
      </c>
    </row>
    <row r="152">
      <c r="A152" s="54" t="inlineStr">
        <is>
          <t>capital stock</t>
        </is>
      </c>
      <c r="B152" s="55" t="n">
        <v>1.4</v>
      </c>
      <c r="C152" s="55" t="n">
        <v>1.4</v>
      </c>
      <c r="D152" s="55" t="n">
        <v>10.4</v>
      </c>
      <c r="E152" s="55" t="n">
        <v>10.4</v>
      </c>
      <c r="F152" s="55" t="n">
        <v>10.6</v>
      </c>
    </row>
    <row r="153">
      <c r="A153" s="54" t="inlineStr">
        <is>
          <t>retained</t>
        </is>
      </c>
      <c r="B153" s="55" t="n">
        <v>4.5</v>
      </c>
      <c r="C153" s="55" t="n">
        <v>6</v>
      </c>
      <c r="D153" s="55" t="n">
        <v>7.7</v>
      </c>
      <c r="E153" s="55" t="n">
        <v>12.4</v>
      </c>
      <c r="F153" s="55" t="n">
        <v>16.5</v>
      </c>
    </row>
    <row r="154">
      <c r="A154" s="54" t="inlineStr">
        <is>
          <t>nci</t>
        </is>
      </c>
      <c r="B154" s="58" t="n"/>
      <c r="C154" s="58" t="n"/>
      <c r="D154" s="55" t="n">
        <v>0</v>
      </c>
      <c r="E154" s="55" t="n">
        <v>1.1</v>
      </c>
      <c r="F154" s="55" t="n">
        <v>0.9</v>
      </c>
    </row>
    <row r="155">
      <c r="A155" s="54" t="inlineStr">
        <is>
          <t>합계 equity</t>
        </is>
      </c>
      <c r="B155" s="55" t="n">
        <v>7.4</v>
      </c>
      <c r="C155" s="55" t="n">
        <v>9</v>
      </c>
      <c r="D155" s="55" t="n">
        <v>28.9</v>
      </c>
      <c r="E155" s="55" t="n">
        <v>34.7</v>
      </c>
      <c r="F155" s="55" t="n">
        <v>39.4</v>
      </c>
    </row>
    <row r="156">
      <c r="A156" s="54" t="inlineStr">
        <is>
          <t>current ltd</t>
        </is>
      </c>
      <c r="B156" s="55" t="n">
        <v>1.7</v>
      </c>
      <c r="C156" s="55" t="n">
        <v>4</v>
      </c>
      <c r="D156" s="55" t="n">
        <v>6.2</v>
      </c>
      <c r="E156" s="55" t="n">
        <v>10.7</v>
      </c>
      <c r="F156" s="55" t="n">
        <v>11.6</v>
      </c>
    </row>
    <row r="157">
      <c r="A157" s="54" t="inlineStr">
        <is>
          <t>equity owner</t>
        </is>
      </c>
      <c r="B157" s="55" t="n">
        <v>7.3</v>
      </c>
      <c r="C157" s="55" t="n">
        <v>8.9</v>
      </c>
      <c r="D157" s="55" t="n">
        <v>28.8</v>
      </c>
      <c r="E157" s="55" t="n">
        <v>33.5</v>
      </c>
      <c r="F157" s="55" t="n">
        <v>38.4</v>
      </c>
    </row>
    <row r="159">
      <c r="A159" s="52" t="inlineStr">
        <is>
          <t>cf annual</t>
        </is>
      </c>
      <c r="B159" s="52" t="n"/>
      <c r="C159" s="52" t="n"/>
      <c r="D159" s="52" t="n"/>
      <c r="E159" s="52" t="n"/>
      <c r="F159" s="52" t="n"/>
      <c r="G159" s="52" t="n"/>
      <c r="H159" s="52" t="n"/>
      <c r="I159" s="52" t="n"/>
      <c r="J159" s="52" t="n"/>
      <c r="K159" s="52" t="n"/>
      <c r="L159" s="52" t="n"/>
      <c r="M159" s="52" t="n"/>
      <c r="N159" s="52" t="n"/>
    </row>
    <row r="160">
      <c r="A160" s="53" t="inlineStr">
        <is>
          <t>항목</t>
        </is>
      </c>
      <c r="B160" s="53" t="inlineStr">
        <is>
          <t>2022</t>
        </is>
      </c>
      <c r="C160" s="53" t="inlineStr">
        <is>
          <t>2023</t>
        </is>
      </c>
      <c r="D160" s="53" t="inlineStr">
        <is>
          <t>2024</t>
        </is>
      </c>
      <c r="E160" s="53" t="inlineStr">
        <is>
          <t>2025</t>
        </is>
      </c>
      <c r="F160" s="53" t="inlineStr">
        <is>
          <t>2026</t>
        </is>
      </c>
      <c r="N160" s="53" t="inlineStr">
        <is>
          <t>출처</t>
        </is>
      </c>
    </row>
    <row r="161">
      <c r="A161" s="54" t="inlineStr">
        <is>
          <t>labels</t>
        </is>
      </c>
      <c r="B161" s="57" t="n">
        <v>2022</v>
      </c>
      <c r="C161" s="57" t="n">
        <v>2023</v>
      </c>
      <c r="D161" s="57" t="n">
        <v>2024</v>
      </c>
      <c r="E161" s="57" t="n">
        <v>2025</v>
      </c>
      <c r="F161" s="57" t="n">
        <v>2026</v>
      </c>
      <c r="N161" s="56" t="inlineStr">
        <is>
          <t>2단계 보고서 자료(회사 설명회 자료·공시)</t>
        </is>
      </c>
    </row>
    <row r="162">
      <c r="A162" s="54" t="inlineStr">
        <is>
          <t>ocf</t>
        </is>
      </c>
      <c r="B162" s="55" t="n">
        <v>2.2</v>
      </c>
      <c r="C162" s="55" t="n">
        <v>1.7</v>
      </c>
      <c r="D162" s="55" t="n">
        <v>7</v>
      </c>
      <c r="E162" s="55" t="n">
        <v>7.5</v>
      </c>
      <c r="F162" s="55" t="n">
        <v>10.3</v>
      </c>
    </row>
    <row r="163">
      <c r="A163" s="54" t="inlineStr">
        <is>
          <t>설비투자</t>
        </is>
      </c>
      <c r="B163" s="55" t="n">
        <v>1</v>
      </c>
      <c r="C163" s="55" t="n">
        <v>0.3</v>
      </c>
      <c r="D163" s="55" t="n">
        <v>0.3</v>
      </c>
      <c r="E163" s="55" t="n">
        <v>0.7</v>
      </c>
      <c r="F163" s="55" t="n">
        <v>1.9</v>
      </c>
    </row>
    <row r="164">
      <c r="A164" s="54" t="inlineStr">
        <is>
          <t>dividends</t>
        </is>
      </c>
      <c r="B164" s="55" t="n">
        <v>0</v>
      </c>
      <c r="C164" s="55" t="n">
        <v>0.2</v>
      </c>
      <c r="D164" s="55" t="n">
        <v>0.2</v>
      </c>
      <c r="E164" s="55" t="n">
        <v>0.2</v>
      </c>
      <c r="F164" s="55" t="n">
        <v>0.2</v>
      </c>
    </row>
    <row r="166">
      <c r="A166" s="52" t="inlineStr">
        <is>
          <t>m a shokei</t>
        </is>
      </c>
      <c r="B166" s="52" t="n"/>
      <c r="C166" s="52" t="n"/>
      <c r="D166" s="52" t="n"/>
      <c r="E166" s="52" t="n"/>
      <c r="F166" s="52" t="n"/>
      <c r="G166" s="52" t="n"/>
      <c r="H166" s="52" t="n"/>
      <c r="I166" s="52" t="n"/>
      <c r="J166" s="52" t="n"/>
      <c r="K166" s="52" t="n"/>
      <c r="L166" s="52" t="n"/>
      <c r="M166" s="52" t="n"/>
      <c r="N166" s="52" t="n"/>
    </row>
    <row r="167">
      <c r="A167" s="53" t="inlineStr">
        <is>
          <t>항목</t>
        </is>
      </c>
      <c r="B167" s="53" t="inlineStr">
        <is>
          <t>값</t>
        </is>
      </c>
      <c r="N167" s="53" t="inlineStr">
        <is>
          <t>출처</t>
        </is>
      </c>
    </row>
    <row r="168">
      <c r="A168" s="54" t="inlineStr">
        <is>
          <t>FY26 매출</t>
        </is>
      </c>
      <c r="B168" s="55" t="n">
        <v>21.16</v>
      </c>
      <c r="N168" s="56" t="inlineStr">
        <is>
          <t>설명 자료 p25</t>
        </is>
      </c>
    </row>
    <row r="169">
      <c r="A169" s="54" t="inlineStr">
        <is>
          <t>영업이익</t>
        </is>
      </c>
      <c r="B169" s="55" t="n">
        <v>5.48</v>
      </c>
    </row>
    <row r="170">
      <c r="A170" s="54" t="inlineStr">
        <is>
          <t>순이익</t>
        </is>
      </c>
      <c r="B170" s="55" t="n">
        <v>3.58</v>
      </c>
    </row>
    <row r="172">
      <c r="A172" s="52" t="inlineStr">
        <is>
          <t>filings</t>
        </is>
      </c>
      <c r="B172" s="52" t="n"/>
      <c r="C172" s="52" t="n"/>
      <c r="D172" s="52" t="n"/>
      <c r="E172" s="52" t="n"/>
      <c r="F172" s="52" t="n"/>
      <c r="G172" s="52" t="n"/>
      <c r="H172" s="52" t="n"/>
      <c r="I172" s="52" t="n"/>
      <c r="J172" s="52" t="n"/>
      <c r="K172" s="52" t="n"/>
      <c r="L172" s="52" t="n"/>
      <c r="M172" s="52" t="n"/>
      <c r="N172" s="52" t="n"/>
    </row>
    <row r="173">
      <c r="A173" s="53" t="inlineStr">
        <is>
          <t>항목</t>
        </is>
      </c>
      <c r="B173" s="53" t="inlineStr">
        <is>
          <t>title</t>
        </is>
      </c>
      <c r="C173" s="53" t="inlineStr">
        <is>
          <t>doc</t>
        </is>
      </c>
      <c r="N173" s="53" t="inlineStr">
        <is>
          <t>출처</t>
        </is>
      </c>
    </row>
    <row r="174">
      <c r="A174" s="54" t="inlineStr">
        <is>
          <t>2026-10-15</t>
        </is>
      </c>
      <c r="B174" s="58" t="inlineStr">
        <is>
          <t>2026年８月期 決算短信〔日本基準〕(連結)</t>
        </is>
      </c>
      <c r="C174" s="58" t="inlineStr">
        <is>
          <t>140120261015551464</t>
        </is>
      </c>
      <c r="N174" s="56" t="inlineStr">
        <is>
          <t>2단계 보고서 자료(회사 설명회 자료·공시)</t>
        </is>
      </c>
    </row>
    <row r="175">
      <c r="A175" s="54" t="inlineStr">
        <is>
          <t>2026-07-15</t>
        </is>
      </c>
      <c r="B175" s="58" t="inlineStr">
        <is>
          <t>2026年８月期 第３四半期決算短信〔日本基準〕(連結)</t>
        </is>
      </c>
      <c r="C175" s="58" t="inlineStr">
        <is>
          <t>140120260715594028</t>
        </is>
      </c>
    </row>
    <row r="176">
      <c r="A176" s="54" t="inlineStr">
        <is>
          <t>2026-04-14</t>
        </is>
      </c>
      <c r="B176" s="58" t="inlineStr">
        <is>
          <t>2026年８月期 第２四半期（中間期）決算短信〔日本基準〕(連結)</t>
        </is>
      </c>
      <c r="C176" s="58" t="inlineStr">
        <is>
          <t>140120260414503723</t>
        </is>
      </c>
    </row>
    <row r="177">
      <c r="A177" s="54" t="inlineStr">
        <is>
          <t>2026-01-14</t>
        </is>
      </c>
      <c r="B177" s="58" t="inlineStr">
        <is>
          <t>2026年８月期 第１四半期決算短信〔日本基準〕(連結)</t>
        </is>
      </c>
      <c r="C177" s="58" t="inlineStr">
        <is>
          <t>140120260114533594</t>
        </is>
      </c>
    </row>
    <row r="178">
      <c r="A178" s="54" t="inlineStr">
        <is>
          <t>2025-10-15</t>
        </is>
      </c>
      <c r="B178" s="58" t="inlineStr">
        <is>
          <t>2025年８月期 決算短信〔日本基準〕(連結)</t>
        </is>
      </c>
      <c r="C178" s="58" t="inlineStr">
        <is>
          <t>140120251015573927</t>
        </is>
      </c>
    </row>
    <row r="179">
      <c r="A179" s="54" t="inlineStr">
        <is>
          <t>2025-07-14</t>
        </is>
      </c>
      <c r="B179" s="58" t="inlineStr">
        <is>
          <t>2025年８月期 第３四半期決算短信〔日本基準〕(連結)</t>
        </is>
      </c>
      <c r="C179" s="58" t="inlineStr">
        <is>
          <t>140120250714513536</t>
        </is>
      </c>
    </row>
    <row r="180">
      <c r="A180" s="54" t="inlineStr">
        <is>
          <t>2025-04-14</t>
        </is>
      </c>
      <c r="B180" s="58" t="inlineStr">
        <is>
          <t>2025年８月期 第２四半期（中間期）決算短信〔日本基準〕(連結)</t>
        </is>
      </c>
      <c r="C180" s="58" t="inlineStr">
        <is>
          <t>140120250414515118</t>
        </is>
      </c>
    </row>
    <row r="181">
      <c r="A181" s="54" t="inlineStr">
        <is>
          <t>2025-01-14</t>
        </is>
      </c>
      <c r="B181" s="58" t="inlineStr">
        <is>
          <t>2025年８月期 第１四半期決算短信〔日本基準〕(連結)</t>
        </is>
      </c>
      <c r="C181" s="58" t="inlineStr">
        <is>
          <t>140120250114550201</t>
        </is>
      </c>
    </row>
    <row r="182">
      <c r="A182" s="54" t="inlineStr">
        <is>
          <t>2024-10-15</t>
        </is>
      </c>
      <c r="B182" s="58" t="inlineStr">
        <is>
          <t>2024年８月期 決算短信〔日本基準〕(連結)</t>
        </is>
      </c>
      <c r="C182" s="58" t="inlineStr">
        <is>
          <t>140120241015598062</t>
        </is>
      </c>
    </row>
    <row r="183">
      <c r="A183" s="54" t="inlineStr">
        <is>
          <t>2024-07-12</t>
        </is>
      </c>
      <c r="B183" s="58" t="inlineStr">
        <is>
          <t>2024年８月期 第３四半期決算短信〔日本基準〕(連結)</t>
        </is>
      </c>
      <c r="C183" s="58" t="inlineStr">
        <is>
          <t>140120240712548486</t>
        </is>
      </c>
    </row>
    <row r="184">
      <c r="A184" s="54" t="inlineStr">
        <is>
          <t>2024-04-12</t>
        </is>
      </c>
      <c r="B184" s="58" t="inlineStr">
        <is>
          <t>2024年８月期 第２四半期決算短信〔日本基準〕(連結)</t>
        </is>
      </c>
      <c r="C184" s="58" t="inlineStr">
        <is>
          <t>140120240412570246</t>
        </is>
      </c>
    </row>
    <row r="185">
      <c r="A185" s="54" t="inlineStr">
        <is>
          <t>2024-01-12</t>
        </is>
      </c>
      <c r="B185" s="58" t="inlineStr">
        <is>
          <t>2024年８月期　第１四半期決算短信〔日本基準〕(連結)</t>
        </is>
      </c>
      <c r="C185" s="58" t="inlineStr">
        <is>
          <t>140120240112514482</t>
        </is>
      </c>
    </row>
    <row r="186">
      <c r="A186" s="54" t="inlineStr">
        <is>
          <t>2023-10-13</t>
        </is>
      </c>
      <c r="B186" s="58" t="inlineStr">
        <is>
          <t>2023年８月期　決算短信〔日本基準〕(連結)</t>
        </is>
      </c>
      <c r="C186" s="58" t="inlineStr">
        <is>
          <t>140120231013566820</t>
        </is>
      </c>
    </row>
    <row r="187">
      <c r="A187" s="54" t="inlineStr">
        <is>
          <t>2023-07-14</t>
        </is>
      </c>
      <c r="B187" s="58" t="inlineStr">
        <is>
          <t>2023年８月期第３四半期決算短信〔日本基準〕(連結)</t>
        </is>
      </c>
      <c r="C187" s="58" t="inlineStr">
        <is>
          <t>140120230714522272</t>
        </is>
      </c>
    </row>
    <row r="188">
      <c r="A188" s="54" t="inlineStr">
        <is>
          <t>2023-04-14</t>
        </is>
      </c>
      <c r="B188" s="58" t="inlineStr">
        <is>
          <t>2023年８月期第２四半期決算短信〔日本基準〕(連結)</t>
        </is>
      </c>
      <c r="C188" s="58" t="inlineStr">
        <is>
          <t>140120230414547390</t>
        </is>
      </c>
    </row>
    <row r="189">
      <c r="A189" s="54" t="inlineStr">
        <is>
          <t>2023-01-13</t>
        </is>
      </c>
      <c r="B189" s="58" t="inlineStr">
        <is>
          <t>2023年８月期第１四半期決算短信〔日本基準〕(連結)</t>
        </is>
      </c>
      <c r="C189" s="58" t="inlineStr">
        <is>
          <t>140120230113588845</t>
        </is>
      </c>
    </row>
    <row r="190">
      <c r="A190" s="54" t="inlineStr">
        <is>
          <t>2022-10-14</t>
        </is>
      </c>
      <c r="B190" s="58" t="inlineStr">
        <is>
          <t>2022年８月期決算短信〔日本基準〕(連結)</t>
        </is>
      </c>
      <c r="C190" s="58" t="inlineStr">
        <is>
          <t>140120221014544711</t>
        </is>
      </c>
    </row>
    <row r="191">
      <c r="A191" s="54" t="inlineStr">
        <is>
          <t>2021-10-14</t>
        </is>
      </c>
      <c r="B191" s="58" t="inlineStr">
        <is>
          <t>2021年８月期決算短信〔日本基準〕(連結)</t>
        </is>
      </c>
      <c r="C191" s="58" t="inlineStr">
        <is>
          <t>140120211014410835</t>
        </is>
      </c>
    </row>
    <row r="192">
      <c r="A192" s="54" t="inlineStr">
        <is>
          <t>2020-10-15</t>
        </is>
      </c>
      <c r="B192" s="58" t="inlineStr">
        <is>
          <t>2020年８月期決算短信〔日本基準〕(非連結)</t>
        </is>
      </c>
      <c r="C192" s="58" t="inlineStr">
        <is>
          <t>140120200904489376</t>
        </is>
      </c>
    </row>
    <row r="194">
      <c r="A194" s="52" t="inlineStr">
        <is>
          <t>reactions</t>
        </is>
      </c>
      <c r="B194" s="52" t="n"/>
      <c r="C194" s="52" t="n"/>
      <c r="D194" s="52" t="n"/>
      <c r="E194" s="52" t="n"/>
      <c r="F194" s="52" t="n"/>
      <c r="G194" s="52" t="n"/>
      <c r="H194" s="52" t="n"/>
      <c r="I194" s="52" t="n"/>
      <c r="J194" s="52" t="n"/>
      <c r="K194" s="52" t="n"/>
      <c r="L194" s="52" t="n"/>
      <c r="M194" s="52" t="n"/>
      <c r="N194" s="52" t="n"/>
    </row>
    <row r="195">
      <c r="A195" s="53" t="inlineStr">
        <is>
          <t>항목</t>
        </is>
      </c>
      <c r="B195" s="53" t="inlineStr">
        <is>
          <t>기준일</t>
        </is>
      </c>
      <c r="C195" s="53" t="inlineStr">
        <is>
          <t>다음날</t>
        </is>
      </c>
      <c r="D195" s="53" t="inlineStr">
        <is>
          <t>등락%</t>
        </is>
      </c>
      <c r="N195" s="53" t="inlineStr">
        <is>
          <t>출처</t>
        </is>
      </c>
    </row>
    <row r="196">
      <c r="A196" s="54" t="inlineStr">
        <is>
          <t>2025-01-14</t>
        </is>
      </c>
      <c r="B196" s="58" t="inlineStr">
        <is>
          <t>2025-01-14</t>
        </is>
      </c>
      <c r="C196" s="58" t="inlineStr">
        <is>
          <t>2025-01-15</t>
        </is>
      </c>
      <c r="D196" s="55" t="n">
        <v>-1.4</v>
      </c>
      <c r="N196" s="56" t="inlineStr">
        <is>
          <t>2단계 보고서 자료(회사 설명회 자료·공시)</t>
        </is>
      </c>
    </row>
    <row r="197">
      <c r="A197" s="54" t="inlineStr">
        <is>
          <t>2025-04-14</t>
        </is>
      </c>
      <c r="B197" s="58" t="inlineStr">
        <is>
          <t>2025-04-14</t>
        </is>
      </c>
      <c r="C197" s="58" t="inlineStr">
        <is>
          <t>2025-04-15</t>
        </is>
      </c>
      <c r="D197" s="55" t="n">
        <v>10.8</v>
      </c>
    </row>
    <row r="198">
      <c r="A198" s="54" t="inlineStr">
        <is>
          <t>2025-07-14</t>
        </is>
      </c>
      <c r="B198" s="58" t="inlineStr">
        <is>
          <t>2025-07-14</t>
        </is>
      </c>
      <c r="C198" s="58" t="inlineStr">
        <is>
          <t>2025-07-15</t>
        </is>
      </c>
      <c r="D198" s="55" t="n">
        <v>-9.800000000000001</v>
      </c>
    </row>
    <row r="199">
      <c r="A199" s="54" t="inlineStr">
        <is>
          <t>2025-10-15</t>
        </is>
      </c>
      <c r="B199" s="58" t="inlineStr">
        <is>
          <t>2025-10-15</t>
        </is>
      </c>
      <c r="C199" s="58" t="inlineStr">
        <is>
          <t>2025-10-16</t>
        </is>
      </c>
      <c r="D199" s="55" t="n">
        <v>-9</v>
      </c>
    </row>
    <row r="200">
      <c r="A200" s="54" t="inlineStr">
        <is>
          <t>2026-01-14</t>
        </is>
      </c>
      <c r="B200" s="58" t="inlineStr">
        <is>
          <t>2026-01-14</t>
        </is>
      </c>
      <c r="C200" s="58" t="inlineStr">
        <is>
          <t>2026-01-15</t>
        </is>
      </c>
      <c r="D200" s="55" t="n">
        <v>-1.1</v>
      </c>
    </row>
    <row r="201">
      <c r="A201" s="54" t="inlineStr">
        <is>
          <t>2026-04-14</t>
        </is>
      </c>
      <c r="B201" s="58" t="inlineStr">
        <is>
          <t>2026-04-14</t>
        </is>
      </c>
      <c r="C201" s="58" t="inlineStr">
        <is>
          <t>2026-04-15</t>
        </is>
      </c>
      <c r="D201" s="55" t="n">
        <v>-9.6</v>
      </c>
    </row>
    <row r="202">
      <c r="A202" s="54" t="inlineStr">
        <is>
          <t>2026-07-15</t>
        </is>
      </c>
      <c r="B202" s="58" t="inlineStr">
        <is>
          <t>2026-07-15</t>
        </is>
      </c>
      <c r="C202" s="58" t="inlineStr">
        <is>
          <t>2026-07-16</t>
        </is>
      </c>
      <c r="D202" s="55" t="n">
        <v>-17.7</v>
      </c>
    </row>
    <row r="203">
      <c r="A203" s="54" t="inlineStr">
        <is>
          <t>2026-10-15</t>
        </is>
      </c>
      <c r="B203" s="58" t="inlineStr">
        <is>
          <t>2026-10-15</t>
        </is>
      </c>
      <c r="C203" s="58" t="inlineStr">
        <is>
          <t>2026-10-16</t>
        </is>
      </c>
      <c r="D203" s="55" t="n">
        <v>19.1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https://www2.jpx.co.jp/disc/73520/140120261015551464.pdf</t>
        </is>
      </c>
    </row>
    <row r="5">
      <c r="A5" t="inlineStr">
        <is>
          <t>2026-07-15</t>
        </is>
      </c>
      <c r="B5" t="inlineStr">
        <is>
          <t>2026년 8월 결산기 ３분기 결산단신</t>
        </is>
      </c>
      <c r="C5" t="inlineStr">
        <is>
          <t>https://www2.jpx.co.jp/disc/73520/140120260715594028.pdf</t>
        </is>
      </c>
    </row>
    <row r="6">
      <c r="A6" t="inlineStr">
        <is>
          <t>2026-04-14</t>
        </is>
      </c>
      <c r="B6" t="inlineStr">
        <is>
          <t>2026년 8월 결산기 ２분기 결산단신</t>
        </is>
      </c>
      <c r="C6" t="inlineStr">
        <is>
          <t>https://www2.jpx.co.jp/disc/73520/140120260414503723.pdf</t>
        </is>
      </c>
    </row>
    <row r="7">
      <c r="A7" t="inlineStr">
        <is>
          <t>2026-01-14</t>
        </is>
      </c>
      <c r="B7" t="inlineStr">
        <is>
          <t>2026년 8월 결산기 １분기 결산단신</t>
        </is>
      </c>
      <c r="C7" t="inlineStr">
        <is>
          <t>https://www2.jpx.co.jp/disc/73520/140120260114533594.pdf</t>
        </is>
      </c>
    </row>
    <row r="8">
      <c r="A8" t="inlineStr">
        <is>
          <t>2025-10-15</t>
        </is>
      </c>
      <c r="B8" t="inlineStr">
        <is>
          <t>2025년 8월 결산기 연간 결산단신</t>
        </is>
      </c>
      <c r="C8" t="inlineStr">
        <is>
          <t>https://www2.jpx.co.jp/disc/73520/140120251015573927.pdf</t>
        </is>
      </c>
    </row>
    <row r="9">
      <c r="A9" t="inlineStr">
        <is>
          <t>2025-07-14</t>
        </is>
      </c>
      <c r="B9" t="inlineStr">
        <is>
          <t>2025년 8월 결산기 ３분기 결산단신</t>
        </is>
      </c>
      <c r="C9" t="inlineStr">
        <is>
          <t>https://www2.jpx.co.jp/disc/73520/140120250714513536.pdf</t>
        </is>
      </c>
    </row>
    <row r="10">
      <c r="A10" t="inlineStr">
        <is>
          <t>2025-04-14</t>
        </is>
      </c>
      <c r="B10" t="inlineStr">
        <is>
          <t>2025년 8월 결산기 ２분기 결산단신</t>
        </is>
      </c>
      <c r="C10" t="inlineStr">
        <is>
          <t>https://www2.jpx.co.jp/disc/73520/140120250414515118.pdf</t>
        </is>
      </c>
    </row>
    <row r="11">
      <c r="A11" t="inlineStr">
        <is>
          <t>2025-01-14</t>
        </is>
      </c>
      <c r="B11" t="inlineStr">
        <is>
          <t>2025년 8월 결산기 １분기 결산단신</t>
        </is>
      </c>
      <c r="C11" t="inlineStr">
        <is>
          <t>https://www2.jpx.co.jp/disc/73520/140120250114550201.pdf</t>
        </is>
      </c>
    </row>
    <row r="12">
      <c r="A12" t="inlineStr">
        <is>
          <t>2024-10-15</t>
        </is>
      </c>
      <c r="B12" t="inlineStr">
        <is>
          <t>2024년 8월 결산기 연간 결산단신</t>
        </is>
      </c>
      <c r="C12" t="inlineStr">
        <is>
          <t>https://www2.jpx.co.jp/disc/73520/140120241015598062.pdf</t>
        </is>
      </c>
    </row>
    <row r="13">
      <c r="A13" t="inlineStr">
        <is>
          <t>2024-07-12</t>
        </is>
      </c>
      <c r="B13" t="inlineStr">
        <is>
          <t>2024년 8월 결산기 ３분기 결산단신</t>
        </is>
      </c>
      <c r="C13" t="inlineStr">
        <is>
          <t>https://www2.jpx.co.jp/disc/73520/140120240712548486.pdf</t>
        </is>
      </c>
    </row>
    <row r="14">
      <c r="A14" t="inlineStr">
        <is>
          <t>2024-04-12</t>
        </is>
      </c>
      <c r="B14" t="inlineStr">
        <is>
          <t>2024년 8월 결산기 ２분기 결산단신</t>
        </is>
      </c>
      <c r="C14" t="inlineStr">
        <is>
          <t>https://www2.jpx.co.jp/disc/73520/140120240412570246.pdf</t>
        </is>
      </c>
    </row>
    <row r="15">
      <c r="A15" t="inlineStr">
        <is>
          <t>2024-01-12</t>
        </is>
      </c>
      <c r="B15" t="inlineStr">
        <is>
          <t>2024년 8월 결산기 １분기 결산단신</t>
        </is>
      </c>
      <c r="C15" t="inlineStr">
        <is>
          <t>https://www2.jpx.co.jp/disc/73520/140120240112514482.pdf</t>
        </is>
      </c>
    </row>
    <row r="16">
      <c r="A16" t="inlineStr">
        <is>
          <t>2023-10-13</t>
        </is>
      </c>
      <c r="B16" t="inlineStr">
        <is>
          <t>2023년 8월 결산기 연간 결산단신</t>
        </is>
      </c>
      <c r="C16" t="inlineStr">
        <is>
          <t>https://www2.jpx.co.jp/disc/73520/140120231013566820.pdf</t>
        </is>
      </c>
    </row>
    <row r="17">
      <c r="A17" t="inlineStr">
        <is>
          <t>2023-07-14</t>
        </is>
      </c>
      <c r="B17" t="inlineStr">
        <is>
          <t>2023년 8월 결산기 ３분기 결산단신</t>
        </is>
      </c>
      <c r="C17" t="inlineStr">
        <is>
          <t>https://www2.jpx.co.jp/disc/73520/140120230714522272.pdf</t>
        </is>
      </c>
    </row>
    <row r="18">
      <c r="A18" t="inlineStr">
        <is>
          <t>2023-04-14</t>
        </is>
      </c>
      <c r="B18" t="inlineStr">
        <is>
          <t>2023년 8월 결산기 ２분기 결산단신</t>
        </is>
      </c>
      <c r="C18" t="inlineStr">
        <is>
          <t>https://www2.jpx.co.jp/disc/73520/140120230414547390.pdf</t>
        </is>
      </c>
    </row>
    <row r="19">
      <c r="A19" t="inlineStr">
        <is>
          <t>2023-01-13</t>
        </is>
      </c>
      <c r="B19" t="inlineStr">
        <is>
          <t>2023년 8월 결산기 １분기 결산단신</t>
        </is>
      </c>
      <c r="C19" t="inlineStr">
        <is>
          <t>https://www2.jpx.co.jp/disc/73520/140120230113588845.pdf</t>
        </is>
      </c>
    </row>
    <row r="20">
      <c r="A20" t="inlineStr">
        <is>
          <t>2022-10-14</t>
        </is>
      </c>
      <c r="B20" t="inlineStr">
        <is>
          <t>2022년 8월 결산기 연간 결산단신</t>
        </is>
      </c>
      <c r="C20" t="inlineStr">
        <is>
          <t>https://www2.jpx.co.jp/disc/73520/140120221014544711.pdf</t>
        </is>
      </c>
    </row>
    <row r="21">
      <c r="A21" t="inlineStr">
        <is>
          <t>2021-10-14</t>
        </is>
      </c>
      <c r="B21" t="inlineStr">
        <is>
          <t>2021년 8월 결산기 연간 결산단신</t>
        </is>
      </c>
      <c r="C21" t="inlineStr">
        <is>
          <t>https://www2.jpx.co.jp/disc/73520/140120211014410835.pdf</t>
        </is>
      </c>
    </row>
    <row r="22">
      <c r="A22" t="inlineStr">
        <is>
          <t>2020-10-15</t>
        </is>
      </c>
      <c r="B22" t="inlineStr">
        <is>
          <t>2020년 8월 결산기 연간 결산단신</t>
        </is>
      </c>
      <c r="C22" t="inlineStr">
        <is>
          <t>https://www2.jpx.co.jp/disc/73520/140120200904489376.pdf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2026-10-27T04:56:31Z</dcterms:created>
  <dcterms:modified xmlns:dcterms="http://purl.org/dc/terms/" xmlns:xsi="http://www.w3.org/2001/XMLSchema-instance" xsi:type="dcterms:W3CDTF">2026-10-27T04:56:32Z</dcterms:modified>
</cp:coreProperties>
</file>