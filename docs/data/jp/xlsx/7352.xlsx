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TWOSTONE&amp;Sons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3219.468</v>
      </c>
      <c r="D4" s="12" t="n">
        <v>3271.332</v>
      </c>
      <c r="E4" s="12" t="n">
        <v>3591.264</v>
      </c>
      <c r="F4" s="12" t="n">
        <v>4208.818</v>
      </c>
      <c r="G4" s="12" t="n">
        <v>4137.399</v>
      </c>
      <c r="H4" s="12" t="n">
        <v>4771.681</v>
      </c>
      <c r="I4" s="12" t="n">
        <v>4493.459</v>
      </c>
      <c r="J4" s="12" t="n">
        <v>4674.827</v>
      </c>
      <c r="K4" s="12" t="n">
        <v>5740.495</v>
      </c>
      <c r="L4" s="12" t="n">
        <v>4921.32</v>
      </c>
      <c r="M4" s="12" t="n">
        <v>5217.372</v>
      </c>
      <c r="N4" s="12" t="n">
        <v>5925.942</v>
      </c>
      <c r="O4" s="11" t="n"/>
      <c r="P4" s="12" t="n"/>
      <c r="Q4" s="12" t="n">
        <v>2819.764</v>
      </c>
      <c r="R4" s="12" t="n">
        <v>3110.686</v>
      </c>
      <c r="S4" s="12" t="n">
        <v>4283.146</v>
      </c>
      <c r="T4" s="12" t="n">
        <v>6870.414</v>
      </c>
      <c r="U4" s="12" t="n">
        <v>10056.657</v>
      </c>
      <c r="V4" s="12" t="n">
        <v>14290.882</v>
      </c>
      <c r="W4" s="12" t="n">
        <v>18077.366</v>
      </c>
      <c r="X4" s="12" t="n">
        <v>21805.129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EngineerplatformserviceReportableSegmentMember</t>
        </is>
      </c>
      <c r="B7" s="10" t="n"/>
      <c r="C7" s="19" t="n">
        <v>2988.498</v>
      </c>
      <c r="D7" s="20" t="n">
        <v>2998.085</v>
      </c>
      <c r="E7" s="20" t="n">
        <v>3257.249</v>
      </c>
      <c r="F7" s="20" t="n">
        <v>3516.855</v>
      </c>
      <c r="G7" s="20" t="n">
        <v>3661.499</v>
      </c>
      <c r="H7" s="20" t="n">
        <v>3891.839</v>
      </c>
      <c r="I7" s="20" t="n">
        <v>4030.019</v>
      </c>
      <c r="J7" s="20" t="n">
        <v>4175.289</v>
      </c>
      <c r="K7" s="20" t="n">
        <v>4281.72</v>
      </c>
      <c r="L7" s="20" t="n">
        <v>4336.85</v>
      </c>
      <c r="M7" s="20" t="n">
        <v>4464.331</v>
      </c>
      <c r="N7" s="20" t="n">
        <v>4535.641</v>
      </c>
      <c r="O7" s="19" t="n"/>
      <c r="P7" s="20" t="n"/>
      <c r="Q7" s="20" t="n"/>
      <c r="R7" s="20" t="n"/>
      <c r="S7" s="20" t="n"/>
      <c r="T7" s="20" t="n"/>
      <c r="U7" s="20" t="n"/>
      <c r="V7" s="20" t="n">
        <v>12760.687</v>
      </c>
      <c r="W7" s="20" t="n">
        <v>15758.646</v>
      </c>
      <c r="X7" s="20" t="n">
        <v>17618.542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MarketingplatformserviceReportableSegmentMember</t>
        </is>
      </c>
      <c r="B10" s="10" t="n"/>
      <c r="C10" s="19" t="n">
        <v>140.076</v>
      </c>
      <c r="D10" s="20" t="n">
        <v>140.839</v>
      </c>
      <c r="E10" s="20" t="n">
        <v>106.22</v>
      </c>
      <c r="F10" s="20" t="n">
        <v>108.646</v>
      </c>
      <c r="G10" s="20" t="n">
        <v>124.556</v>
      </c>
      <c r="H10" s="20" t="n">
        <v>107.93</v>
      </c>
      <c r="I10" s="20" t="n">
        <v>111.442</v>
      </c>
      <c r="J10" s="20" t="n">
        <v>110.175</v>
      </c>
      <c r="K10" s="20" t="n">
        <v>94.89700000000001</v>
      </c>
      <c r="L10" s="20" t="n">
        <v>101.17</v>
      </c>
      <c r="M10" s="20" t="n">
        <v>111.938</v>
      </c>
      <c r="N10" s="20" t="n">
        <v>468.711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495.781</v>
      </c>
      <c r="W10" s="20" t="n">
        <v>454.103</v>
      </c>
      <c r="X10" s="20" t="n">
        <v>776.716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ConsultingAdvisoryserviceReportableSegmentMember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1034.412</v>
      </c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ConsulAdvisoryserviceReportableSegmentMember</t>
        </is>
      </c>
      <c r="B16" s="10" t="n"/>
      <c r="C16" s="19" t="n">
        <v>90.89400000000001</v>
      </c>
      <c r="D16" s="20" t="n">
        <v>132.408</v>
      </c>
      <c r="E16" s="20" t="n">
        <v>227.794</v>
      </c>
      <c r="F16" s="20" t="n"/>
      <c r="G16" s="20" t="n">
        <v>351.343</v>
      </c>
      <c r="H16" s="20" t="n">
        <v>771.9109999999999</v>
      </c>
      <c r="I16" s="20" t="n">
        <v>351.999</v>
      </c>
      <c r="J16" s="20" t="n">
        <v>389.363</v>
      </c>
      <c r="K16" s="20" t="n">
        <v>1363.877</v>
      </c>
      <c r="L16" s="20" t="n">
        <v>483.3</v>
      </c>
      <c r="M16" s="20" t="n">
        <v>641.104</v>
      </c>
      <c r="N16" s="20" t="n">
        <v>921.5890000000001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>
        <v>1864.616</v>
      </c>
      <c r="X16" s="20" t="n">
        <v>3409.87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>
        <v>0</v>
      </c>
      <c r="D19" s="20" t="n">
        <v>0</v>
      </c>
      <c r="E19" s="20" t="n"/>
      <c r="F19" s="20" t="n"/>
      <c r="G19" s="20" t="n">
        <v>0</v>
      </c>
      <c r="H19" s="20" t="n">
        <v>0</v>
      </c>
      <c r="I19" s="20" t="n"/>
      <c r="J19" s="20" t="n"/>
      <c r="K19" s="20" t="n">
        <v>0</v>
      </c>
      <c r="L19" s="20" t="n">
        <v>0</v>
      </c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0</v>
      </c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2333.412</v>
      </c>
      <c r="D23" s="20" t="n">
        <v>2391.649</v>
      </c>
      <c r="E23" s="20" t="n">
        <v>2582.433</v>
      </c>
      <c r="F23" s="20" t="n">
        <v>2861.771</v>
      </c>
      <c r="G23" s="20" t="n">
        <v>2931.278</v>
      </c>
      <c r="H23" s="20" t="n">
        <v>3192.694</v>
      </c>
      <c r="I23" s="20" t="n">
        <v>3172.706</v>
      </c>
      <c r="J23" s="20" t="n">
        <v>3269.167</v>
      </c>
      <c r="K23" s="20" t="n">
        <v>3444.819</v>
      </c>
      <c r="L23" s="20" t="n">
        <v>3380.726</v>
      </c>
      <c r="M23" s="20" t="n">
        <v>3459.364</v>
      </c>
      <c r="N23" s="20" t="n">
        <v>3899.109</v>
      </c>
      <c r="O23" s="19" t="n"/>
      <c r="P23" s="20" t="n"/>
      <c r="Q23" s="20" t="n">
        <v>1864.963</v>
      </c>
      <c r="R23" s="20" t="n">
        <v>2098.207</v>
      </c>
      <c r="S23" s="20" t="n">
        <v>2918.023</v>
      </c>
      <c r="T23" s="20" t="n">
        <v>4796.202</v>
      </c>
      <c r="U23" s="20" t="n">
        <v>7342.441</v>
      </c>
      <c r="V23" s="20" t="n">
        <v>10169.265</v>
      </c>
      <c r="W23" s="20" t="n">
        <v>12565.845</v>
      </c>
      <c r="X23" s="20" t="n">
        <v>14184.018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826.746</v>
      </c>
      <c r="D29" s="20" t="n">
        <v>871.7670000000001</v>
      </c>
      <c r="E29" s="20" t="n">
        <v>927.893</v>
      </c>
      <c r="F29" s="20" t="n">
        <v>1020.337</v>
      </c>
      <c r="G29" s="20" t="n">
        <v>916.982</v>
      </c>
      <c r="H29" s="20" t="n">
        <v>1059.967</v>
      </c>
      <c r="I29" s="20" t="n">
        <v>1239.606</v>
      </c>
      <c r="J29" s="20" t="n">
        <v>1474.967</v>
      </c>
      <c r="K29" s="20" t="n">
        <v>1665.923</v>
      </c>
      <c r="L29" s="20" t="n">
        <v>1645.757</v>
      </c>
      <c r="M29" s="20" t="n">
        <v>1680.187</v>
      </c>
      <c r="N29" s="20" t="n">
        <v>1818.883</v>
      </c>
      <c r="O29" s="19" t="n"/>
      <c r="P29" s="20" t="n"/>
      <c r="Q29" s="20" t="n">
        <v>811.349</v>
      </c>
      <c r="R29" s="20" t="n">
        <v>910.869</v>
      </c>
      <c r="S29" s="20" t="n">
        <v>1237.246</v>
      </c>
      <c r="T29" s="20" t="n">
        <v>1878.702</v>
      </c>
      <c r="U29" s="20" t="n">
        <v>2394.598</v>
      </c>
      <c r="V29" s="20" t="n">
        <v>3646.743</v>
      </c>
      <c r="W29" s="20" t="n">
        <v>4691.522</v>
      </c>
      <c r="X29" s="20" t="n">
        <v>6810.75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59.309</v>
      </c>
      <c r="D31" s="12" t="n">
        <v>7.916</v>
      </c>
      <c r="E31" s="12" t="n">
        <v>80.938</v>
      </c>
      <c r="F31" s="12" t="n">
        <v>326.71</v>
      </c>
      <c r="G31" s="12" t="n">
        <v>289.138</v>
      </c>
      <c r="H31" s="12" t="n">
        <v>519.02</v>
      </c>
      <c r="I31" s="12" t="n">
        <v>81.14700000000001</v>
      </c>
      <c r="J31" s="12" t="n">
        <v>-69.306</v>
      </c>
      <c r="K31" s="12" t="n">
        <v>629.751</v>
      </c>
      <c r="L31" s="12" t="n">
        <v>-105.162</v>
      </c>
      <c r="M31" s="12" t="n">
        <v>77.821</v>
      </c>
      <c r="N31" s="12" t="n">
        <v>207.95</v>
      </c>
      <c r="O31" s="11" t="n"/>
      <c r="P31" s="12" t="n"/>
      <c r="Q31" s="12" t="n">
        <v>143.451</v>
      </c>
      <c r="R31" s="12" t="n">
        <v>101.61</v>
      </c>
      <c r="S31" s="12" t="n">
        <v>127.876</v>
      </c>
      <c r="T31" s="12" t="n">
        <v>195.509</v>
      </c>
      <c r="U31" s="12" t="n">
        <v>319.617</v>
      </c>
      <c r="V31" s="12" t="n">
        <v>474.873</v>
      </c>
      <c r="W31" s="12" t="n">
        <v>819.999</v>
      </c>
      <c r="X31" s="12" t="n">
        <v>810.36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/>
      <c r="D47" s="20" t="n"/>
      <c r="E47" s="20" t="n">
        <v>0</v>
      </c>
      <c r="F47" s="20" t="n">
        <v>0</v>
      </c>
      <c r="G47" s="20" t="n">
        <v>0</v>
      </c>
      <c r="H47" s="20" t="n">
        <v>10.9</v>
      </c>
      <c r="I47" s="20" t="n">
        <v>0</v>
      </c>
      <c r="J47" s="20" t="n">
        <v>0</v>
      </c>
      <c r="K47" s="20" t="n">
        <v>1.149</v>
      </c>
      <c r="L47" s="20" t="n">
        <v>0</v>
      </c>
      <c r="M47" s="20" t="n">
        <v>0</v>
      </c>
      <c r="N47" s="20" t="n">
        <v>0</v>
      </c>
      <c r="O47" s="19" t="n"/>
      <c r="P47" s="20" t="n"/>
      <c r="Q47" s="20" t="n">
        <v>9</v>
      </c>
      <c r="R47" s="20" t="n">
        <v>0</v>
      </c>
      <c r="S47" s="20" t="n">
        <v>0</v>
      </c>
      <c r="T47" s="20" t="n">
        <v>23.269</v>
      </c>
      <c r="U47" s="20" t="n">
        <v>0</v>
      </c>
      <c r="V47" s="20" t="n">
        <v>0</v>
      </c>
      <c r="W47" s="20" t="n">
        <v>10.9</v>
      </c>
      <c r="X47" s="20" t="n">
        <v>1.149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/>
      <c r="D49" s="20" t="n"/>
      <c r="E49" s="20" t="n">
        <v>0</v>
      </c>
      <c r="F49" s="20" t="n">
        <v>17.782</v>
      </c>
      <c r="G49" s="20" t="n"/>
      <c r="H49" s="20" t="n"/>
      <c r="I49" s="20" t="n"/>
      <c r="J49" s="20" t="n">
        <v>0</v>
      </c>
      <c r="K49" s="20" t="n"/>
      <c r="L49" s="20" t="n"/>
      <c r="M49" s="20" t="n"/>
      <c r="N49" s="20" t="n">
        <v>18.301</v>
      </c>
      <c r="O49" s="19" t="n"/>
      <c r="P49" s="20" t="n"/>
      <c r="Q49" s="20" t="n"/>
      <c r="R49" s="20" t="n"/>
      <c r="S49" s="20" t="n">
        <v>10.001</v>
      </c>
      <c r="T49" s="20" t="n">
        <v>9.999000000000001</v>
      </c>
      <c r="U49" s="20" t="n">
        <v>53.712</v>
      </c>
      <c r="V49" s="20" t="n">
        <v>17.782</v>
      </c>
      <c r="W49" s="20" t="n">
        <v>0</v>
      </c>
      <c r="X49" s="20" t="n">
        <v>30.047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3.935</v>
      </c>
      <c r="D51" s="20" t="n">
        <v>1.22</v>
      </c>
      <c r="E51" s="20" t="n">
        <v>9.715999999999999</v>
      </c>
      <c r="F51" s="20" t="n">
        <v>2.277</v>
      </c>
      <c r="G51" s="20" t="n">
        <v>4.938</v>
      </c>
      <c r="H51" s="20" t="n">
        <v>9.081</v>
      </c>
      <c r="I51" s="20" t="n">
        <v>7.264</v>
      </c>
      <c r="J51" s="20" t="n">
        <v>8.762</v>
      </c>
      <c r="K51" s="20" t="n">
        <v>10.093</v>
      </c>
      <c r="L51" s="20" t="n">
        <v>89.468</v>
      </c>
      <c r="M51" s="20" t="n">
        <v>3.598</v>
      </c>
      <c r="N51" s="20" t="n">
        <v>15.507</v>
      </c>
      <c r="O51" s="19" t="n"/>
      <c r="P51" s="20" t="n"/>
      <c r="Q51" s="20" t="n">
        <v>1.877</v>
      </c>
      <c r="R51" s="20" t="n">
        <v>17.863</v>
      </c>
      <c r="S51" s="20" t="n">
        <v>10.564</v>
      </c>
      <c r="T51" s="20" t="n">
        <v>12.424</v>
      </c>
      <c r="U51" s="20" t="n">
        <v>3.352</v>
      </c>
      <c r="V51" s="20" t="n">
        <v>17.148</v>
      </c>
      <c r="W51" s="20" t="n">
        <v>30.045</v>
      </c>
      <c r="X51" s="20" t="n">
        <v>118.666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3.37</v>
      </c>
      <c r="D53" s="20" t="n">
        <v>3.309</v>
      </c>
      <c r="E53" s="20" t="n">
        <v>9.308999999999999</v>
      </c>
      <c r="F53" s="20" t="n">
        <v>30.417</v>
      </c>
      <c r="G53" s="20" t="n">
        <v>11.646</v>
      </c>
      <c r="H53" s="20" t="n">
        <v>7.561</v>
      </c>
      <c r="I53" s="20" t="n">
        <v>14.118</v>
      </c>
      <c r="J53" s="20" t="n">
        <v>9.468999999999999</v>
      </c>
      <c r="K53" s="20" t="n">
        <v>14.618</v>
      </c>
      <c r="L53" s="20" t="n">
        <v>14.432</v>
      </c>
      <c r="M53" s="20" t="n">
        <v>23.055</v>
      </c>
      <c r="N53" s="20" t="n">
        <v>29.625</v>
      </c>
      <c r="O53" s="19" t="n"/>
      <c r="P53" s="20" t="n"/>
      <c r="Q53" s="20" t="n">
        <v>2.086</v>
      </c>
      <c r="R53" s="20" t="n">
        <v>2.75</v>
      </c>
      <c r="S53" s="20" t="n">
        <v>6.632</v>
      </c>
      <c r="T53" s="20" t="n">
        <v>7.785</v>
      </c>
      <c r="U53" s="20" t="n">
        <v>9.835000000000001</v>
      </c>
      <c r="V53" s="20" t="n">
        <v>46.405</v>
      </c>
      <c r="W53" s="20" t="n">
        <v>42.794</v>
      </c>
      <c r="X53" s="20" t="n">
        <v>81.73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59.873</v>
      </c>
      <c r="D55" s="12" t="n">
        <v>5.828</v>
      </c>
      <c r="E55" s="12" t="n">
        <v>81.34399999999999</v>
      </c>
      <c r="F55" s="12" t="n">
        <v>280.788</v>
      </c>
      <c r="G55" s="12" t="n">
        <v>282.43</v>
      </c>
      <c r="H55" s="12" t="n">
        <v>531.441</v>
      </c>
      <c r="I55" s="12" t="n">
        <v>74.292</v>
      </c>
      <c r="J55" s="12" t="n">
        <v>-70.01300000000001</v>
      </c>
      <c r="K55" s="12" t="n">
        <v>626.376</v>
      </c>
      <c r="L55" s="12" t="n">
        <v>-30.126</v>
      </c>
      <c r="M55" s="12" t="n">
        <v>46.617</v>
      </c>
      <c r="N55" s="12" t="n">
        <v>175.531</v>
      </c>
      <c r="O55" s="11" t="n"/>
      <c r="P55" s="12" t="n"/>
      <c r="Q55" s="12" t="n">
        <v>152.242</v>
      </c>
      <c r="R55" s="12" t="n">
        <v>116.723</v>
      </c>
      <c r="S55" s="12" t="n">
        <v>121.807</v>
      </c>
      <c r="T55" s="12" t="n">
        <v>213.417</v>
      </c>
      <c r="U55" s="12" t="n">
        <v>259.422</v>
      </c>
      <c r="V55" s="12" t="n">
        <v>427.833</v>
      </c>
      <c r="W55" s="12" t="n">
        <v>818.15</v>
      </c>
      <c r="X55" s="12" t="n">
        <v>818.398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31.563</v>
      </c>
      <c r="D57" s="20" t="n">
        <v>20.589</v>
      </c>
      <c r="E57" s="20" t="n">
        <v>43.915</v>
      </c>
      <c r="F57" s="20" t="n">
        <v>142.903</v>
      </c>
      <c r="G57" s="20" t="n">
        <v>90.631</v>
      </c>
      <c r="H57" s="20" t="n">
        <v>169.883</v>
      </c>
      <c r="I57" s="20" t="n">
        <v>31.808</v>
      </c>
      <c r="J57" s="20" t="n">
        <v>-3.622</v>
      </c>
      <c r="K57" s="20" t="n">
        <v>259.669</v>
      </c>
      <c r="L57" s="20" t="n">
        <v>25.584</v>
      </c>
      <c r="M57" s="20" t="n">
        <v>41.692</v>
      </c>
      <c r="N57" s="20" t="n">
        <v>94.496</v>
      </c>
      <c r="O57" s="19" t="n"/>
      <c r="P57" s="20" t="n"/>
      <c r="Q57" s="20" t="n">
        <v>42.419</v>
      </c>
      <c r="R57" s="20" t="n">
        <v>36.392</v>
      </c>
      <c r="S57" s="20" t="n">
        <v>45.998</v>
      </c>
      <c r="T57" s="20" t="n">
        <v>78.727</v>
      </c>
      <c r="U57" s="20" t="n">
        <v>89.30500000000001</v>
      </c>
      <c r="V57" s="20" t="n">
        <v>238.97</v>
      </c>
      <c r="W57" s="20" t="n">
        <v>288.7</v>
      </c>
      <c r="X57" s="20" t="n">
        <v>421.441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28.31</v>
      </c>
      <c r="D59" s="12" t="n">
        <v>-14.762</v>
      </c>
      <c r="E59" s="12" t="n">
        <v>37.43</v>
      </c>
      <c r="F59" s="12" t="n">
        <v>137.885</v>
      </c>
      <c r="G59" s="12" t="n">
        <v>191.798</v>
      </c>
      <c r="H59" s="12" t="n">
        <v>361.558</v>
      </c>
      <c r="I59" s="12" t="n">
        <v>42.485</v>
      </c>
      <c r="J59" s="12" t="n">
        <v>-66.392</v>
      </c>
      <c r="K59" s="12" t="n">
        <v>366.707</v>
      </c>
      <c r="L59" s="12" t="n">
        <v>-55.711</v>
      </c>
      <c r="M59" s="12" t="n">
        <v>4.925</v>
      </c>
      <c r="N59" s="12" t="n">
        <v>81.036</v>
      </c>
      <c r="O59" s="11" t="n"/>
      <c r="P59" s="12" t="n"/>
      <c r="Q59" s="12" t="n">
        <v>109.822</v>
      </c>
      <c r="R59" s="12" t="n">
        <v>80.331</v>
      </c>
      <c r="S59" s="12" t="n">
        <v>75.809</v>
      </c>
      <c r="T59" s="12" t="n">
        <v>134.689</v>
      </c>
      <c r="U59" s="12" t="n">
        <v>170.117</v>
      </c>
      <c r="V59" s="12" t="n">
        <v>188.863</v>
      </c>
      <c r="W59" s="12" t="n">
        <v>529.449</v>
      </c>
      <c r="X59" s="12" t="n">
        <v>396.957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28.31</v>
      </c>
      <c r="D61" s="12" t="n">
        <v>-14.762</v>
      </c>
      <c r="E61" s="12" t="n">
        <v>37.43</v>
      </c>
      <c r="F61" s="12" t="n">
        <v>137.885</v>
      </c>
      <c r="G61" s="12" t="n">
        <v>191.798</v>
      </c>
      <c r="H61" s="12" t="n">
        <v>348.118</v>
      </c>
      <c r="I61" s="12" t="n">
        <v>32.863</v>
      </c>
      <c r="J61" s="12" t="n">
        <v>-78.46299999999999</v>
      </c>
      <c r="K61" s="12" t="n">
        <v>367.223</v>
      </c>
      <c r="L61" s="12" t="n">
        <v>-53.923</v>
      </c>
      <c r="M61" s="12" t="n">
        <v>15.091</v>
      </c>
      <c r="N61" s="12" t="n">
        <v>101.602</v>
      </c>
      <c r="O61" s="11" t="n"/>
      <c r="P61" s="12" t="n"/>
      <c r="Q61" s="12" t="n"/>
      <c r="R61" s="12" t="n"/>
      <c r="S61" s="12" t="n">
        <v>75.809</v>
      </c>
      <c r="T61" s="12" t="n">
        <v>134.689</v>
      </c>
      <c r="U61" s="12" t="n">
        <v>170.117</v>
      </c>
      <c r="V61" s="12" t="n">
        <v>188.863</v>
      </c>
      <c r="W61" s="12" t="n">
        <v>494.316</v>
      </c>
      <c r="X61" s="12" t="n">
        <v>429.993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(2026.10.28)</t>
        </is>
      </c>
      <c r="B65" s="27" t="n">
        <v>375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44676880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2026.10.28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2024.1Q</t>
        </is>
      </c>
      <c r="D95" s="5" t="inlineStr">
        <is>
          <t>2024.2Q</t>
        </is>
      </c>
      <c r="E95" s="5" t="inlineStr">
        <is>
          <t>2024.3Q</t>
        </is>
      </c>
      <c r="F95" s="5" t="inlineStr">
        <is>
          <t>2024.4Q</t>
        </is>
      </c>
      <c r="G95" s="5" t="inlineStr">
        <is>
          <t>2025.1Q</t>
        </is>
      </c>
      <c r="H95" s="5" t="inlineStr">
        <is>
          <t>2025.2Q</t>
        </is>
      </c>
      <c r="I95" s="5" t="inlineStr">
        <is>
          <t>2025.3Q</t>
        </is>
      </c>
      <c r="J95" s="5" t="inlineStr">
        <is>
          <t>2025.4Q</t>
        </is>
      </c>
      <c r="K95" s="5" t="inlineStr">
        <is>
          <t>2026.1Q</t>
        </is>
      </c>
      <c r="L95" s="5" t="inlineStr">
        <is>
          <t>2026.2Q</t>
        </is>
      </c>
      <c r="M95" s="5" t="inlineStr">
        <is>
          <t>2026.3Q</t>
        </is>
      </c>
      <c r="N95" s="5" t="inlineStr">
        <is>
          <t>2026.4Q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3219.468</v>
      </c>
      <c r="D96" s="12" t="n">
        <v>3271.332</v>
      </c>
      <c r="E96" s="12" t="n">
        <v>3591.264</v>
      </c>
      <c r="F96" s="12" t="n">
        <v>4208.818</v>
      </c>
      <c r="G96" s="12" t="n">
        <v>4137.399</v>
      </c>
      <c r="H96" s="12" t="n">
        <v>4771.681</v>
      </c>
      <c r="I96" s="12" t="n">
        <v>4493.459</v>
      </c>
      <c r="J96" s="12" t="n">
        <v>4674.827</v>
      </c>
      <c r="K96" s="12" t="n">
        <v>5740.495</v>
      </c>
      <c r="L96" s="12" t="n">
        <v>4921.32</v>
      </c>
      <c r="M96" s="12" t="n">
        <v>5217.372</v>
      </c>
      <c r="N96" s="12" t="n">
        <v>5925.942</v>
      </c>
      <c r="T96" s="12" t="n">
        <v>2086.611</v>
      </c>
      <c r="U96" s="12" t="n">
        <v>2928.668</v>
      </c>
      <c r="V96" s="12" t="n">
        <v>4208.818</v>
      </c>
      <c r="W96" s="12" t="n">
        <v>4674.827</v>
      </c>
      <c r="X96" s="12" t="n">
        <v>5925.942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2333.412</v>
      </c>
      <c r="D98" s="20" t="n">
        <v>2391.649</v>
      </c>
      <c r="E98" s="20" t="n">
        <v>2582.433</v>
      </c>
      <c r="F98" s="20" t="n">
        <v>2861.771</v>
      </c>
      <c r="G98" s="20" t="n">
        <v>2931.278</v>
      </c>
      <c r="H98" s="20" t="n">
        <v>3192.694</v>
      </c>
      <c r="I98" s="20" t="n">
        <v>3172.706</v>
      </c>
      <c r="J98" s="20" t="n">
        <v>3269.167</v>
      </c>
      <c r="K98" s="20" t="n">
        <v>3444.819</v>
      </c>
      <c r="L98" s="20" t="n">
        <v>3380.726</v>
      </c>
      <c r="M98" s="20" t="n">
        <v>3459.364</v>
      </c>
      <c r="N98" s="20" t="n">
        <v>3899.109</v>
      </c>
      <c r="T98" s="20" t="n">
        <v>1514.83</v>
      </c>
      <c r="U98" s="20" t="n">
        <v>2148.71</v>
      </c>
      <c r="V98" s="20" t="n">
        <v>2861.771</v>
      </c>
      <c r="W98" s="20" t="n">
        <v>3269.167</v>
      </c>
      <c r="X98" s="20" t="n">
        <v>3899.109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886.056</v>
      </c>
      <c r="D100" s="12" t="n">
        <v>879.682</v>
      </c>
      <c r="E100" s="12" t="n">
        <v>1008.831</v>
      </c>
      <c r="F100" s="12" t="n">
        <v>1347.047</v>
      </c>
      <c r="G100" s="12" t="n">
        <v>1206.12</v>
      </c>
      <c r="H100" s="12" t="n">
        <v>1578.987</v>
      </c>
      <c r="I100" s="12" t="n">
        <v>1320.753</v>
      </c>
      <c r="J100" s="12" t="n">
        <v>1405.661</v>
      </c>
      <c r="K100" s="12" t="n">
        <v>2295.675</v>
      </c>
      <c r="L100" s="12" t="n">
        <v>1540.595</v>
      </c>
      <c r="M100" s="12" t="n">
        <v>1758.008</v>
      </c>
      <c r="N100" s="12" t="n">
        <v>2026.832</v>
      </c>
      <c r="T100" s="12" t="n">
        <v>571.7809999999999</v>
      </c>
      <c r="U100" s="12" t="n">
        <v>779.9589999999999</v>
      </c>
      <c r="V100" s="12" t="n">
        <v>1347.047</v>
      </c>
      <c r="W100" s="12" t="n">
        <v>1405.661</v>
      </c>
      <c r="X100" s="12" t="n">
        <v>2026.832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826.746</v>
      </c>
      <c r="D102" s="20" t="n">
        <v>871.7670000000001</v>
      </c>
      <c r="E102" s="20" t="n">
        <v>927.893</v>
      </c>
      <c r="F102" s="20" t="n">
        <v>1020.337</v>
      </c>
      <c r="G102" s="20" t="n">
        <v>916.982</v>
      </c>
      <c r="H102" s="20" t="n">
        <v>1059.967</v>
      </c>
      <c r="I102" s="20" t="n">
        <v>1239.606</v>
      </c>
      <c r="J102" s="20" t="n">
        <v>1474.967</v>
      </c>
      <c r="K102" s="20" t="n">
        <v>1665.923</v>
      </c>
      <c r="L102" s="20" t="n">
        <v>1645.757</v>
      </c>
      <c r="M102" s="20" t="n">
        <v>1680.187</v>
      </c>
      <c r="N102" s="20" t="n">
        <v>1818.883</v>
      </c>
      <c r="T102" s="20" t="n">
        <v>550.686</v>
      </c>
      <c r="U102" s="20" t="n">
        <v>750.338</v>
      </c>
      <c r="V102" s="20" t="n">
        <v>1020.337</v>
      </c>
      <c r="W102" s="20" t="n">
        <v>1474.967</v>
      </c>
      <c r="X102" s="20" t="n">
        <v>1818.883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59.309</v>
      </c>
      <c r="D104" s="12" t="n">
        <v>7.916</v>
      </c>
      <c r="E104" s="12" t="n">
        <v>80.938</v>
      </c>
      <c r="F104" s="12" t="n">
        <v>326.71</v>
      </c>
      <c r="G104" s="12" t="n">
        <v>289.138</v>
      </c>
      <c r="H104" s="12" t="n">
        <v>519.02</v>
      </c>
      <c r="I104" s="12" t="n">
        <v>81.14700000000001</v>
      </c>
      <c r="J104" s="12" t="n">
        <v>-69.306</v>
      </c>
      <c r="K104" s="12" t="n">
        <v>629.751</v>
      </c>
      <c r="L104" s="12" t="n">
        <v>-105.162</v>
      </c>
      <c r="M104" s="12" t="n">
        <v>77.821</v>
      </c>
      <c r="N104" s="12" t="n">
        <v>207.95</v>
      </c>
      <c r="T104" s="12" t="n">
        <v>21.094</v>
      </c>
      <c r="U104" s="12" t="n">
        <v>29.62</v>
      </c>
      <c r="V104" s="12" t="n">
        <v>326.71</v>
      </c>
      <c r="W104" s="12" t="n">
        <v>-69.306</v>
      </c>
      <c r="X104" s="12" t="n">
        <v>207.95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T105" s="15">
        <f>IF(OR(T104="",T96=""),"",IF(T96&lt;=0,"",IFERROR(T104/T96,"")))</f>
        <v/>
      </c>
      <c r="U105" s="15">
        <f>IF(OR(U104="",U96=""),"",IF(U96&lt;=0,"",IFERROR(U104/U96,"")))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T106" s="15">
        <f>IF(OR(T104="",S104=""),"",IF(S104&lt;=0,"",IFERROR(T104/S104-1,"")))</f>
        <v/>
      </c>
      <c r="U106" s="15">
        <f>IF(OR(U104="",T104=""),"",IF(T104&lt;=0,"",IFERROR(U104/T104-1,"")))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이자수익</t>
        </is>
      </c>
      <c r="E107" s="20" t="n">
        <v>0.144</v>
      </c>
      <c r="F107" s="20" t="n">
        <v>0.374</v>
      </c>
      <c r="I107" s="20" t="n">
        <v>0.23</v>
      </c>
      <c r="J107" s="20" t="n">
        <v>4.004</v>
      </c>
      <c r="M107" s="20" t="n">
        <v>0.967</v>
      </c>
      <c r="N107" s="20" t="n">
        <v>8.102</v>
      </c>
      <c r="V107" s="20" t="n">
        <v>0.374</v>
      </c>
      <c r="W107" s="20" t="n">
        <v>4.004</v>
      </c>
      <c r="X107" s="20" t="n">
        <v>8.102</v>
      </c>
    </row>
    <row r="108">
      <c r="A108" s="18" t="inlineStr">
        <is>
          <t>임대료 수익</t>
        </is>
      </c>
      <c r="F108" s="20" t="n">
        <v>1.111</v>
      </c>
      <c r="J108" s="20" t="n">
        <v>0</v>
      </c>
      <c r="U108" s="20" t="n">
        <v>0.141</v>
      </c>
      <c r="V108" s="20" t="n">
        <v>1.111</v>
      </c>
      <c r="W108" s="20" t="n">
        <v>0</v>
      </c>
    </row>
    <row r="109">
      <c r="A109" s="18" t="inlineStr">
        <is>
          <t>보조금 수입</t>
        </is>
      </c>
      <c r="C109" s="20" t="n">
        <v>1.71</v>
      </c>
      <c r="D109" s="20" t="n">
        <v>0</v>
      </c>
      <c r="E109" s="20" t="n">
        <v>1.581</v>
      </c>
      <c r="F109" s="20" t="n">
        <v>1.14</v>
      </c>
      <c r="G109" s="20" t="n">
        <v>3.42</v>
      </c>
      <c r="H109" s="20" t="n">
        <v>3.561</v>
      </c>
      <c r="I109" s="20" t="n">
        <v>3.251</v>
      </c>
      <c r="J109" s="20" t="n">
        <v>2.215</v>
      </c>
      <c r="K109" s="20" t="n">
        <v>6.507</v>
      </c>
      <c r="L109" s="20" t="n">
        <v>76.783</v>
      </c>
      <c r="M109" s="20" t="n">
        <v>0.8</v>
      </c>
      <c r="N109" s="20" t="n">
        <v>0</v>
      </c>
      <c r="T109" s="20" t="n">
        <v>0.437</v>
      </c>
      <c r="U109" s="20" t="n">
        <v>0</v>
      </c>
      <c r="V109" s="20" t="n">
        <v>1.14</v>
      </c>
      <c r="W109" s="20" t="n">
        <v>2.215</v>
      </c>
      <c r="X109" s="20" t="n">
        <v>0</v>
      </c>
    </row>
    <row r="110">
      <c r="A110" s="18" t="inlineStr">
        <is>
          <t>수수료 수익</t>
        </is>
      </c>
      <c r="C110" s="20" t="n">
        <v>1.037</v>
      </c>
      <c r="D110" s="20" t="n">
        <v>0.003</v>
      </c>
      <c r="E110" s="20" t="n">
        <v>1.137</v>
      </c>
      <c r="F110" s="20" t="n">
        <v>0.114</v>
      </c>
      <c r="G110" s="20" t="n">
        <v>0.749</v>
      </c>
      <c r="H110" s="20" t="n">
        <v>0.003</v>
      </c>
      <c r="I110" s="20" t="n">
        <v>0.249</v>
      </c>
      <c r="K110" s="20" t="n">
        <v>1.053</v>
      </c>
      <c r="L110" s="20" t="n">
        <v>-1.042</v>
      </c>
      <c r="M110" s="20" t="n">
        <v>0.013</v>
      </c>
      <c r="T110" s="20" t="n">
        <v>0</v>
      </c>
      <c r="U110" s="20" t="n">
        <v>0.263</v>
      </c>
      <c r="V110" s="20" t="n">
        <v>0.114</v>
      </c>
    </row>
    <row r="111">
      <c r="A111" s="18" t="inlineStr">
        <is>
          <t>임차보증금 상각 환입이익</t>
        </is>
      </c>
      <c r="T111" s="20" t="n">
        <v>0</v>
      </c>
      <c r="U111" s="20" t="n">
        <v>0</v>
      </c>
    </row>
    <row r="112">
      <c r="A112" s="18" t="inlineStr">
        <is>
          <t>보험 해약환급금</t>
        </is>
      </c>
      <c r="F112" s="20" t="n">
        <v>0</v>
      </c>
      <c r="J112" s="20" t="n">
        <v>0</v>
      </c>
      <c r="U112" s="20" t="n">
        <v>0.016</v>
      </c>
      <c r="V112" s="20" t="n">
        <v>0</v>
      </c>
      <c r="W112" s="20" t="n">
        <v>0</v>
      </c>
    </row>
    <row r="113">
      <c r="A113" s="18" t="inlineStr">
        <is>
          <t>보상금 수취</t>
        </is>
      </c>
      <c r="E113" s="20" t="n">
        <v>0</v>
      </c>
      <c r="F113" s="20" t="n">
        <v>0</v>
      </c>
      <c r="G113" s="20" t="n">
        <v>0</v>
      </c>
      <c r="H113" s="20" t="n">
        <v>2.83</v>
      </c>
      <c r="I113" s="20" t="n">
        <v>2.677</v>
      </c>
      <c r="J113" s="20" t="n">
        <v>1.537</v>
      </c>
      <c r="K113" s="20" t="n">
        <v>1.753</v>
      </c>
      <c r="L113" s="20" t="n">
        <v>4.453</v>
      </c>
      <c r="M113" s="20" t="n">
        <v>0.022</v>
      </c>
      <c r="N113" s="20" t="n">
        <v>5.872</v>
      </c>
      <c r="V113" s="20" t="n">
        <v>0</v>
      </c>
      <c r="W113" s="20" t="n">
        <v>1.537</v>
      </c>
      <c r="X113" s="20" t="n">
        <v>5.872</v>
      </c>
    </row>
    <row r="114">
      <c r="A114" s="18" t="inlineStr">
        <is>
          <t>기타</t>
        </is>
      </c>
      <c r="C114" s="20" t="n">
        <v>1.187</v>
      </c>
      <c r="D114" s="20" t="n">
        <v>0.972</v>
      </c>
      <c r="E114" s="20" t="n">
        <v>-0.17</v>
      </c>
      <c r="F114" s="20" t="n">
        <v>1.83</v>
      </c>
      <c r="G114" s="20" t="n">
        <v>0.768</v>
      </c>
      <c r="H114" s="20" t="n">
        <v>0.741</v>
      </c>
      <c r="I114" s="20" t="n">
        <v>0.857</v>
      </c>
      <c r="J114" s="20" t="n">
        <v>2.007</v>
      </c>
      <c r="K114" s="20" t="n">
        <v>0.779</v>
      </c>
      <c r="L114" s="20" t="n">
        <v>3.426</v>
      </c>
      <c r="M114" s="20" t="n">
        <v>1.705</v>
      </c>
      <c r="N114" s="20" t="n">
        <v>1.649</v>
      </c>
      <c r="T114" s="20" t="n">
        <v>0.676</v>
      </c>
      <c r="U114" s="20" t="n">
        <v>-0.407</v>
      </c>
      <c r="V114" s="20" t="n">
        <v>1.83</v>
      </c>
      <c r="W114" s="20" t="n">
        <v>2.007</v>
      </c>
      <c r="X114" s="20" t="n">
        <v>1.649</v>
      </c>
    </row>
    <row r="115">
      <c r="A115" s="18" t="inlineStr">
        <is>
          <t>영업외수익 합계</t>
        </is>
      </c>
      <c r="C115" s="20" t="n">
        <v>3.935</v>
      </c>
      <c r="D115" s="20" t="n">
        <v>1.22</v>
      </c>
      <c r="E115" s="20" t="n">
        <v>9.715999999999999</v>
      </c>
      <c r="F115" s="20" t="n">
        <v>2.277</v>
      </c>
      <c r="G115" s="20" t="n">
        <v>4.938</v>
      </c>
      <c r="H115" s="20" t="n">
        <v>9.081</v>
      </c>
      <c r="I115" s="20" t="n">
        <v>7.264</v>
      </c>
      <c r="J115" s="20" t="n">
        <v>8.762</v>
      </c>
      <c r="K115" s="20" t="n">
        <v>10.093</v>
      </c>
      <c r="L115" s="20" t="n">
        <v>89.468</v>
      </c>
      <c r="M115" s="20" t="n">
        <v>3.598</v>
      </c>
      <c r="N115" s="20" t="n">
        <v>15.507</v>
      </c>
      <c r="T115" s="20" t="n">
        <v>1.112</v>
      </c>
      <c r="U115" s="20" t="n">
        <v>0.013</v>
      </c>
      <c r="V115" s="20" t="n">
        <v>2.277</v>
      </c>
      <c r="W115" s="20" t="n">
        <v>8.762</v>
      </c>
      <c r="X115" s="20" t="n">
        <v>15.507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IF(OR(G115="",C115=""),"",IF(G115*C115&lt;=0,"",IFERROR(G115/C115-1,"")))</f>
        <v/>
      </c>
      <c r="H116" s="15">
        <f>IF(OR(H115="",D115=""),"",IF(H115*D115&lt;=0,"",IFERROR(H115/D115-1,"")))</f>
        <v/>
      </c>
      <c r="I116" s="15">
        <f>IF(OR(I115="",E115=""),"",IF(I115*E115&lt;=0,"",IFERROR(I115/E115-1,"")))</f>
        <v/>
      </c>
      <c r="J116" s="15">
        <f>IF(OR(J115="",F115=""),"",IF(J115*F115&lt;=0,"",IFERROR(J115/F115-1,"")))</f>
        <v/>
      </c>
      <c r="K116" s="15">
        <f>IF(OR(K115="",G115=""),"",IF(K115*G115&lt;=0,"",IFERROR(K115/G115-1,"")))</f>
        <v/>
      </c>
      <c r="L116" s="15">
        <f>IF(OR(L115="",H115=""),"",IF(L115*H115&lt;=0,"",IFERROR(L115/H115-1,"")))</f>
        <v/>
      </c>
      <c r="M116" s="15">
        <f>IF(OR(M115="",I115=""),"",IF(M115*I115&lt;=0,"",IFERROR(M115/I115-1,"")))</f>
        <v/>
      </c>
      <c r="N116" s="15">
        <f>IF(OR(N115="",J115=""),"",IF(N115*J115&lt;=0,"",IFERROR(N115/J115-1,"")))</f>
        <v/>
      </c>
      <c r="T116" s="15">
        <f>IF(OR(T115="",S115=""),"",IF(T115*S115&lt;=0,"",IFERROR(T115/S115-1,"")))</f>
        <v/>
      </c>
      <c r="U116" s="15">
        <f>IF(OR(U115="",T115=""),"",IF(U115*T115&lt;=0,"",IFERROR(U115/T115-1,"")))</f>
        <v/>
      </c>
      <c r="V116" s="15">
        <f>IF(OR(V115="",U115=""),"",IF(V115*U115&lt;=0,"",IFERROR(V115/U115-1,"")))</f>
        <v/>
      </c>
      <c r="W116" s="15">
        <f>IF(OR(W115="",V115=""),"",IF(W115*V115&lt;=0,"",IFERROR(W115/V115-1,"")))</f>
        <v/>
      </c>
      <c r="X116" s="15">
        <f>IF(OR(X115="",W115=""),"",IF(X115*W115&lt;=0,"",IFERROR(X115/W115-1,"")))</f>
        <v/>
      </c>
    </row>
    <row r="117">
      <c r="A117" s="18" t="inlineStr">
        <is>
          <t>이자비용</t>
        </is>
      </c>
      <c r="C117" s="20" t="n">
        <v>3.134</v>
      </c>
      <c r="D117" s="20" t="n">
        <v>2.948</v>
      </c>
      <c r="E117" s="20" t="n">
        <v>4.139</v>
      </c>
      <c r="F117" s="20" t="n">
        <v>4.028</v>
      </c>
      <c r="G117" s="20" t="n">
        <v>5.179</v>
      </c>
      <c r="H117" s="20" t="n">
        <v>6.193</v>
      </c>
      <c r="I117" s="20" t="n">
        <v>6.862</v>
      </c>
      <c r="J117" s="20" t="n">
        <v>8.798999999999999</v>
      </c>
      <c r="K117" s="20" t="n">
        <v>9.77</v>
      </c>
      <c r="L117" s="20" t="n">
        <v>11.783</v>
      </c>
      <c r="M117" s="20" t="n">
        <v>13.908</v>
      </c>
      <c r="N117" s="20" t="n">
        <v>15.413</v>
      </c>
      <c r="T117" s="20" t="n">
        <v>1.302</v>
      </c>
      <c r="U117" s="20" t="n">
        <v>2.463</v>
      </c>
      <c r="V117" s="20" t="n">
        <v>4.028</v>
      </c>
      <c r="W117" s="20" t="n">
        <v>8.798999999999999</v>
      </c>
      <c r="X117" s="20" t="n">
        <v>15.413</v>
      </c>
    </row>
    <row r="118">
      <c r="A118" s="18" t="inlineStr">
        <is>
          <t>주식교부비 상각</t>
        </is>
      </c>
      <c r="C118" s="20" t="n">
        <v>0</v>
      </c>
      <c r="D118" s="20" t="n">
        <v>0</v>
      </c>
      <c r="E118" s="20" t="n">
        <v>1</v>
      </c>
      <c r="F118" s="20" t="n">
        <v>17.014</v>
      </c>
      <c r="T118" s="20" t="n">
        <v>0.633</v>
      </c>
      <c r="U118" s="20" t="n">
        <v>0.211</v>
      </c>
      <c r="V118" s="20" t="n">
        <v>17.014</v>
      </c>
    </row>
    <row r="119">
      <c r="A119" s="18" t="inlineStr">
        <is>
          <t>지급수수료</t>
        </is>
      </c>
      <c r="C119" s="20" t="n">
        <v>0</v>
      </c>
      <c r="D119" s="20" t="n">
        <v>0</v>
      </c>
      <c r="E119" s="20" t="n">
        <v>0</v>
      </c>
      <c r="F119" s="20" t="n">
        <v>0</v>
      </c>
      <c r="G119" s="20" t="n">
        <v>6.25</v>
      </c>
      <c r="H119" s="20" t="n">
        <v>0</v>
      </c>
      <c r="I119" s="20" t="n">
        <v>4.632</v>
      </c>
      <c r="J119" s="20" t="n">
        <v>0</v>
      </c>
      <c r="K119" s="20" t="n">
        <v>2.472</v>
      </c>
      <c r="L119" s="20" t="n">
        <v>-2.472</v>
      </c>
      <c r="M119" s="20" t="n">
        <v>0</v>
      </c>
      <c r="N119" s="20" t="n">
        <v>0.113</v>
      </c>
      <c r="V119" s="20" t="n">
        <v>0</v>
      </c>
      <c r="W119" s="20" t="n">
        <v>0</v>
      </c>
      <c r="X119" s="20" t="n">
        <v>0.113</v>
      </c>
    </row>
    <row r="120">
      <c r="A120" s="18" t="inlineStr">
        <is>
          <t>기타</t>
        </is>
      </c>
      <c r="C120" s="20" t="n">
        <v>0.236</v>
      </c>
      <c r="D120" s="20" t="n">
        <v>0.36</v>
      </c>
      <c r="E120" s="20" t="n">
        <v>5.171</v>
      </c>
      <c r="F120" s="20" t="n">
        <v>-0.036</v>
      </c>
      <c r="G120" s="20" t="n">
        <v>0.216</v>
      </c>
      <c r="H120" s="20" t="n">
        <v>1.369</v>
      </c>
      <c r="I120" s="20" t="n">
        <v>2.623</v>
      </c>
      <c r="J120" s="20" t="n">
        <v>0.671</v>
      </c>
      <c r="K120" s="20" t="n">
        <v>2.376</v>
      </c>
      <c r="L120" s="20" t="n">
        <v>5.12</v>
      </c>
      <c r="M120" s="20" t="n">
        <v>9.148</v>
      </c>
      <c r="N120" s="20" t="n">
        <v>14.097</v>
      </c>
      <c r="T120" s="20" t="n">
        <v>0.765</v>
      </c>
      <c r="U120" s="20" t="n">
        <v>0.6850000000000001</v>
      </c>
      <c r="V120" s="20" t="n">
        <v>-0.036</v>
      </c>
      <c r="W120" s="20" t="n">
        <v>0.671</v>
      </c>
      <c r="X120" s="20" t="n">
        <v>14.097</v>
      </c>
    </row>
    <row r="121">
      <c r="A121" s="18" t="inlineStr">
        <is>
          <t>영업외비용 합계</t>
        </is>
      </c>
      <c r="C121" s="20" t="n">
        <v>3.37</v>
      </c>
      <c r="D121" s="20" t="n">
        <v>3.309</v>
      </c>
      <c r="E121" s="20" t="n">
        <v>9.308999999999999</v>
      </c>
      <c r="F121" s="20" t="n">
        <v>30.417</v>
      </c>
      <c r="G121" s="20" t="n">
        <v>11.646</v>
      </c>
      <c r="H121" s="20" t="n">
        <v>7.561</v>
      </c>
      <c r="I121" s="20" t="n">
        <v>14.118</v>
      </c>
      <c r="J121" s="20" t="n">
        <v>9.468999999999999</v>
      </c>
      <c r="K121" s="20" t="n">
        <v>14.618</v>
      </c>
      <c r="L121" s="20" t="n">
        <v>14.432</v>
      </c>
      <c r="M121" s="20" t="n">
        <v>23.055</v>
      </c>
      <c r="N121" s="20" t="n">
        <v>29.625</v>
      </c>
      <c r="T121" s="20" t="n">
        <v>2.7</v>
      </c>
      <c r="U121" s="20" t="n">
        <v>3.359</v>
      </c>
      <c r="V121" s="20" t="n">
        <v>30.417</v>
      </c>
      <c r="W121" s="20" t="n">
        <v>9.468999999999999</v>
      </c>
      <c r="X121" s="20" t="n">
        <v>29.625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IF(OR(G121="",C121=""),"",IF(G121*C121&lt;=0,"",IFERROR(G121/C121-1,"")))</f>
        <v/>
      </c>
      <c r="H122" s="15">
        <f>IF(OR(H121="",D121=""),"",IF(H121*D121&lt;=0,"",IFERROR(H121/D121-1,"")))</f>
        <v/>
      </c>
      <c r="I122" s="15">
        <f>IF(OR(I121="",E121=""),"",IF(I121*E121&lt;=0,"",IFERROR(I121/E121-1,"")))</f>
        <v/>
      </c>
      <c r="J122" s="15">
        <f>IF(OR(J121="",F121=""),"",IF(J121*F121&lt;=0,"",IFERROR(J121/F121-1,"")))</f>
        <v/>
      </c>
      <c r="K122" s="15">
        <f>IF(OR(K121="",G121=""),"",IF(K121*G121&lt;=0,"",IFERROR(K121/G121-1,"")))</f>
        <v/>
      </c>
      <c r="L122" s="15">
        <f>IF(OR(L121="",H121=""),"",IF(L121*H121&lt;=0,"",IFERROR(L121/H121-1,"")))</f>
        <v/>
      </c>
      <c r="M122" s="15">
        <f>IF(OR(M121="",I121=""),"",IF(M121*I121&lt;=0,"",IFERROR(M121/I121-1,"")))</f>
        <v/>
      </c>
      <c r="N122" s="15">
        <f>IF(OR(N121="",J121=""),"",IF(N121*J121&lt;=0,"",IFERROR(N121/J121-1,"")))</f>
        <v/>
      </c>
      <c r="T122" s="15">
        <f>IF(OR(T121="",S121=""),"",IF(T121*S121&lt;=0,"",IFERROR(T121/S121-1,"")))</f>
        <v/>
      </c>
      <c r="U122" s="15">
        <f>IF(OR(U121="",T121=""),"",IF(U121*T121&lt;=0,"",IFERROR(U121/T121-1,"")))</f>
        <v/>
      </c>
      <c r="V122" s="15">
        <f>IF(OR(V121="",U121=""),"",IF(V121*U121&lt;=0,"",IFERROR(V121/U121-1,"")))</f>
        <v/>
      </c>
      <c r="W122" s="15">
        <f>IF(OR(W121="",V121=""),"",IF(W121*V121&lt;=0,"",IFERROR(W121/V121-1,"")))</f>
        <v/>
      </c>
      <c r="X122" s="15">
        <f>IF(OR(X121="",W121=""),"",IF(X121*W121&lt;=0,"",IFERROR(X121/W121-1,"")))</f>
        <v/>
      </c>
    </row>
    <row r="123">
      <c r="A123" s="9" t="inlineStr">
        <is>
          <t>경상이익</t>
        </is>
      </c>
      <c r="C123" s="12" t="n">
        <v>59.873</v>
      </c>
      <c r="D123" s="12" t="n">
        <v>5.828</v>
      </c>
      <c r="E123" s="12" t="n">
        <v>81.34399999999999</v>
      </c>
      <c r="F123" s="12" t="n">
        <v>298.571</v>
      </c>
      <c r="G123" s="12" t="n">
        <v>282.43</v>
      </c>
      <c r="H123" s="12" t="n">
        <v>520.5410000000001</v>
      </c>
      <c r="I123" s="12" t="n">
        <v>74.292</v>
      </c>
      <c r="J123" s="12" t="n">
        <v>-70.01300000000001</v>
      </c>
      <c r="K123" s="12" t="n">
        <v>625.226</v>
      </c>
      <c r="L123" s="12" t="n">
        <v>-30.126</v>
      </c>
      <c r="M123" s="12" t="n">
        <v>58.364</v>
      </c>
      <c r="N123" s="12" t="n">
        <v>193.832</v>
      </c>
      <c r="T123" s="12" t="n">
        <v>19.507</v>
      </c>
      <c r="U123" s="12" t="n">
        <v>26.275</v>
      </c>
      <c r="V123" s="12" t="n">
        <v>298.571</v>
      </c>
      <c r="W123" s="12" t="n">
        <v>-70.01300000000001</v>
      </c>
      <c r="X123" s="12" t="n">
        <v>193.832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IF(OR(G123="",C123=""),"",IF(C123&lt;=0,"",IFERROR(G123/C123-1,"")))</f>
        <v/>
      </c>
      <c r="H124" s="15">
        <f>IF(OR(H123="",D123=""),"",IF(D123&lt;=0,"",IFERROR(H123/D123-1,"")))</f>
        <v/>
      </c>
      <c r="I124" s="15">
        <f>IF(OR(I123="",E123=""),"",IF(E123&lt;=0,"",IFERROR(I123/E123-1,"")))</f>
        <v/>
      </c>
      <c r="J124" s="15">
        <f>IF(OR(J123="",F123=""),"",IF(F123&lt;=0,"",IFERROR(J123/F123-1,"")))</f>
        <v/>
      </c>
      <c r="K124" s="15">
        <f>IF(OR(K123="",G123=""),"",IF(G123&lt;=0,"",IFERROR(K123/G123-1,"")))</f>
        <v/>
      </c>
      <c r="L124" s="15">
        <f>IF(OR(L123="",H123=""),"",IF(H123&lt;=0,"",IFERROR(L123/H123-1,"")))</f>
        <v/>
      </c>
      <c r="M124" s="15">
        <f>IF(OR(M123="",I123=""),"",IF(I123&lt;=0,"",IFERROR(M123/I123-1,"")))</f>
        <v/>
      </c>
      <c r="N124" s="15">
        <f>IF(OR(N123="",J123=""),"",IF(J123&lt;=0,"",IFERROR(N123/J123-1,"")))</f>
        <v/>
      </c>
      <c r="T124" s="15">
        <f>IF(OR(T123="",S123=""),"",IF(S123&lt;=0,"",IFERROR(T123/S123-1,"")))</f>
        <v/>
      </c>
      <c r="U124" s="15">
        <f>IF(OR(U123="",T123=""),"",IF(T123&lt;=0,"",IFERROR(U123/T123-1,"")))</f>
        <v/>
      </c>
      <c r="V124" s="15">
        <f>IF(OR(V123="",U123=""),"",IF(U123&lt;=0,"",IFERROR(V123/U123-1,"")))</f>
        <v/>
      </c>
      <c r="W124" s="15">
        <f>IF(OR(W123="",V123=""),"",IF(V123&lt;=0,"",IFERROR(W123/V123-1,"")))</f>
        <v/>
      </c>
      <c r="X124" s="15">
        <f>IF(OR(X123="",W123=""),"",IF(W123&lt;=0,"",IFERROR(X123/W123-1,"")))</f>
        <v/>
      </c>
    </row>
    <row r="125">
      <c r="A125" s="18" t="inlineStr">
        <is>
          <t>사업 양도 이익</t>
        </is>
      </c>
      <c r="E125" s="20" t="n">
        <v>0</v>
      </c>
      <c r="F125" s="20" t="n">
        <v>0</v>
      </c>
      <c r="I125" s="20" t="n">
        <v>0</v>
      </c>
      <c r="J125" s="20" t="n">
        <v>0</v>
      </c>
      <c r="M125" s="20" t="n">
        <v>0</v>
      </c>
      <c r="N125" s="20" t="n">
        <v>0</v>
      </c>
      <c r="V125" s="20" t="n">
        <v>0</v>
      </c>
      <c r="W125" s="20" t="n">
        <v>0</v>
      </c>
      <c r="X125" s="20" t="n">
        <v>0</v>
      </c>
    </row>
    <row r="126">
      <c r="A126" s="18" t="inlineStr">
        <is>
          <t>투자유가증권 매각이익</t>
        </is>
      </c>
      <c r="G126" s="20" t="n">
        <v>0</v>
      </c>
      <c r="H126" s="20" t="n">
        <v>0</v>
      </c>
      <c r="I126" s="20" t="n">
        <v>0</v>
      </c>
      <c r="J126" s="20" t="n">
        <v>0</v>
      </c>
      <c r="K126" s="20" t="n">
        <v>1.149</v>
      </c>
      <c r="L126" s="20" t="n">
        <v>0</v>
      </c>
      <c r="M126" s="20" t="n">
        <v>0</v>
      </c>
      <c r="N126" s="20" t="n">
        <v>0</v>
      </c>
      <c r="T126" s="20" t="n">
        <v>0</v>
      </c>
      <c r="U126" s="20" t="n">
        <v>0</v>
      </c>
      <c r="W126" s="20" t="n">
        <v>0</v>
      </c>
      <c r="X126" s="20" t="n">
        <v>0</v>
      </c>
    </row>
    <row r="127">
      <c r="A127" s="18" t="inlineStr">
        <is>
          <t>특별이익 합계</t>
        </is>
      </c>
      <c r="E127" s="20" t="n">
        <v>0</v>
      </c>
      <c r="F127" s="20" t="n">
        <v>0</v>
      </c>
      <c r="G127" s="20" t="n">
        <v>0</v>
      </c>
      <c r="H127" s="20" t="n">
        <v>10.9</v>
      </c>
      <c r="I127" s="20" t="n">
        <v>0</v>
      </c>
      <c r="J127" s="20" t="n">
        <v>0</v>
      </c>
      <c r="K127" s="20" t="n">
        <v>1.149</v>
      </c>
      <c r="L127" s="20" t="n">
        <v>0</v>
      </c>
      <c r="M127" s="20" t="n">
        <v>0</v>
      </c>
      <c r="N127" s="20" t="n">
        <v>0</v>
      </c>
      <c r="T127" s="20" t="n">
        <v>2.9</v>
      </c>
      <c r="U127" s="20" t="n">
        <v>0</v>
      </c>
      <c r="V127" s="20" t="n">
        <v>0</v>
      </c>
      <c r="W127" s="20" t="n">
        <v>0</v>
      </c>
      <c r="X127" s="20" t="n">
        <v>0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IF(OR(G127="",C127=""),"",IF(G127*C127&lt;=0,"",IFERROR(G127/C127-1,"")))</f>
        <v/>
      </c>
      <c r="H128" s="15">
        <f>IF(OR(H127="",D127=""),"",IF(H127*D127&lt;=0,"",IFERROR(H127/D127-1,"")))</f>
        <v/>
      </c>
      <c r="I128" s="15">
        <f>IF(OR(I127="",E127=""),"",IF(I127*E127&lt;=0,"",IFERROR(I127/E127-1,"")))</f>
        <v/>
      </c>
      <c r="J128" s="15">
        <f>IF(OR(J127="",F127=""),"",IF(J127*F127&lt;=0,"",IFERROR(J127/F127-1,"")))</f>
        <v/>
      </c>
      <c r="K128" s="15">
        <f>IF(OR(K127="",G127=""),"",IF(K127*G127&lt;=0,"",IFERROR(K127/G127-1,"")))</f>
        <v/>
      </c>
      <c r="L128" s="15">
        <f>IF(OR(L127="",H127=""),"",IF(L127*H127&lt;=0,"",IFERROR(L127/H127-1,"")))</f>
        <v/>
      </c>
      <c r="M128" s="15">
        <f>IF(OR(M127="",I127=""),"",IF(M127*I127&lt;=0,"",IFERROR(M127/I127-1,"")))</f>
        <v/>
      </c>
      <c r="N128" s="15">
        <f>IF(OR(N127="",J127=""),"",IF(N127*J127&lt;=0,"",IFERROR(N127/J127-1,"")))</f>
        <v/>
      </c>
      <c r="T128" s="15">
        <f>IF(OR(T127="",S127=""),"",IF(T127*S127&lt;=0,"",IFERROR(T127/S127-1,"")))</f>
        <v/>
      </c>
      <c r="U128" s="15">
        <f>IF(OR(U127="",T127=""),"",IF(U127*T127&lt;=0,"",IFERROR(U127/T127-1,"")))</f>
        <v/>
      </c>
      <c r="V128" s="15">
        <f>IF(OR(V127="",U127=""),"",IF(V127*U127&lt;=0,"",IFERROR(V127/U127-1,"")))</f>
        <v/>
      </c>
      <c r="W128" s="15">
        <f>IF(OR(W127="",V127=""),"",IF(W127*V127&lt;=0,"",IFERROR(W127/V127-1,"")))</f>
        <v/>
      </c>
      <c r="X128" s="15">
        <f>IF(OR(X127="",W127=""),"",IF(X127*W127&lt;=0,"",IFERROR(X127/W127-1,"")))</f>
        <v/>
      </c>
    </row>
    <row r="129">
      <c r="A129" s="18" t="inlineStr">
        <is>
          <t>고정자산 매각손실</t>
        </is>
      </c>
      <c r="J129" s="20" t="n">
        <v>0</v>
      </c>
      <c r="N129" s="20" t="n">
        <v>0</v>
      </c>
      <c r="W129" s="20" t="n">
        <v>0</v>
      </c>
      <c r="X129" s="20" t="n">
        <v>0</v>
      </c>
    </row>
    <row r="130">
      <c r="A130" s="18" t="inlineStr">
        <is>
          <t>고정자산 제각손실</t>
        </is>
      </c>
      <c r="E130" s="20" t="n">
        <v>0</v>
      </c>
      <c r="F130" s="20" t="n">
        <v>0</v>
      </c>
      <c r="J130" s="20" t="n">
        <v>0</v>
      </c>
      <c r="N130" s="20" t="n">
        <v>-6.277</v>
      </c>
      <c r="T130" s="20" t="n">
        <v>0</v>
      </c>
      <c r="U130" s="20" t="n">
        <v>0</v>
      </c>
      <c r="V130" s="20" t="n">
        <v>0</v>
      </c>
      <c r="W130" s="20" t="n">
        <v>0</v>
      </c>
      <c r="X130" s="20" t="n">
        <v>-6.277</v>
      </c>
    </row>
    <row r="131">
      <c r="A131" s="18" t="inlineStr">
        <is>
          <t>특별손실 합계</t>
        </is>
      </c>
      <c r="E131" s="20" t="n">
        <v>0</v>
      </c>
      <c r="F131" s="20" t="n">
        <v>17.782</v>
      </c>
      <c r="J131" s="20" t="n">
        <v>0</v>
      </c>
      <c r="N131" s="20" t="n">
        <v>18.301</v>
      </c>
      <c r="T131" s="20" t="n">
        <v>9.999000000000001</v>
      </c>
      <c r="U131" s="20" t="n">
        <v>46.052</v>
      </c>
      <c r="V131" s="20" t="n">
        <v>17.782</v>
      </c>
      <c r="W131" s="20" t="n">
        <v>0</v>
      </c>
      <c r="X131" s="20" t="n">
        <v>18.301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J132" s="15">
        <f>IF(OR(J131="",F131=""),"",IF(J131*F131&lt;=0,"",IFERROR(J131/F131-1,"")))</f>
        <v/>
      </c>
      <c r="N132" s="15">
        <f>IF(OR(N131="",J131=""),"",IF(N131*J131&lt;=0,"",IFERROR(N131/J131-1,"")))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9" t="inlineStr">
        <is>
          <t>법인세차감전 순이익</t>
        </is>
      </c>
      <c r="C133" s="12" t="n">
        <v>59.873</v>
      </c>
      <c r="D133" s="12" t="n">
        <v>5.828</v>
      </c>
      <c r="E133" s="12" t="n">
        <v>81.34399999999999</v>
      </c>
      <c r="F133" s="12" t="n">
        <v>280.788</v>
      </c>
      <c r="G133" s="12" t="n">
        <v>282.43</v>
      </c>
      <c r="H133" s="12" t="n">
        <v>531.441</v>
      </c>
      <c r="I133" s="12" t="n">
        <v>74.292</v>
      </c>
      <c r="J133" s="12" t="n">
        <v>-70.01300000000001</v>
      </c>
      <c r="K133" s="12" t="n">
        <v>626.376</v>
      </c>
      <c r="L133" s="12" t="n">
        <v>-30.126</v>
      </c>
      <c r="M133" s="12" t="n">
        <v>46.617</v>
      </c>
      <c r="N133" s="12" t="n">
        <v>175.531</v>
      </c>
      <c r="T133" s="12" t="n">
        <v>12.407</v>
      </c>
      <c r="U133" s="12" t="n">
        <v>-19.777</v>
      </c>
      <c r="V133" s="12" t="n">
        <v>280.788</v>
      </c>
      <c r="W133" s="12" t="n">
        <v>-70.01300000000001</v>
      </c>
      <c r="X133" s="12" t="n">
        <v>175.531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법인세·주민세·사업세</t>
        </is>
      </c>
      <c r="C135" s="20" t="n">
        <v>32.008</v>
      </c>
      <c r="D135" s="20" t="n">
        <v>20.992</v>
      </c>
      <c r="E135" s="20" t="n">
        <v>48.919</v>
      </c>
      <c r="F135" s="20" t="n">
        <v>147.421</v>
      </c>
      <c r="G135" s="20" t="n">
        <v>101.523</v>
      </c>
      <c r="H135" s="20" t="n">
        <v>188.844</v>
      </c>
      <c r="I135" s="20" t="n">
        <v>32.612</v>
      </c>
      <c r="J135" s="20" t="n">
        <v>-4.582</v>
      </c>
      <c r="K135" s="20" t="n">
        <v>297.967</v>
      </c>
      <c r="L135" s="20" t="n">
        <v>-11.248</v>
      </c>
      <c r="M135" s="20" t="n">
        <v>60.377</v>
      </c>
      <c r="N135" s="20" t="n">
        <v>145.083</v>
      </c>
      <c r="T135" s="20" t="n">
        <v>6.37</v>
      </c>
      <c r="U135" s="20" t="n">
        <v>14.534</v>
      </c>
      <c r="V135" s="20" t="n">
        <v>147.421</v>
      </c>
      <c r="W135" s="20" t="n">
        <v>-4.582</v>
      </c>
      <c r="X135" s="20" t="n">
        <v>145.083</v>
      </c>
    </row>
    <row r="136">
      <c r="A136" s="18" t="inlineStr">
        <is>
          <t>법인세 조정액</t>
        </is>
      </c>
      <c r="C136" s="20" t="n">
        <v>-0.445</v>
      </c>
      <c r="D136" s="20" t="n">
        <v>-0.402</v>
      </c>
      <c r="E136" s="20" t="n">
        <v>-5.005</v>
      </c>
      <c r="F136" s="20" t="n">
        <v>-4.518</v>
      </c>
      <c r="G136" s="20" t="n">
        <v>-10.891</v>
      </c>
      <c r="H136" s="20" t="n">
        <v>-18.961</v>
      </c>
      <c r="I136" s="20" t="n">
        <v>-0.804</v>
      </c>
      <c r="J136" s="20" t="n">
        <v>0.96</v>
      </c>
      <c r="K136" s="20" t="n">
        <v>-38.297</v>
      </c>
      <c r="L136" s="20" t="n">
        <v>36.832</v>
      </c>
      <c r="M136" s="20" t="n">
        <v>-18.686</v>
      </c>
      <c r="N136" s="20" t="n">
        <v>-50.586</v>
      </c>
      <c r="T136" s="20" t="n">
        <v>-6.866</v>
      </c>
      <c r="U136" s="20" t="n">
        <v>-4.856</v>
      </c>
      <c r="V136" s="20" t="n">
        <v>-4.518</v>
      </c>
      <c r="W136" s="20" t="n">
        <v>0.96</v>
      </c>
      <c r="X136" s="20" t="n">
        <v>-50.586</v>
      </c>
    </row>
    <row r="137">
      <c r="A137" s="18" t="inlineStr">
        <is>
          <t>법인세 등 합계</t>
        </is>
      </c>
      <c r="C137" s="20" t="n">
        <v>31.563</v>
      </c>
      <c r="D137" s="20" t="n">
        <v>20.589</v>
      </c>
      <c r="E137" s="20" t="n">
        <v>43.915</v>
      </c>
      <c r="F137" s="20" t="n">
        <v>142.903</v>
      </c>
      <c r="G137" s="20" t="n">
        <v>90.631</v>
      </c>
      <c r="H137" s="20" t="n">
        <v>169.883</v>
      </c>
      <c r="I137" s="20" t="n">
        <v>31.808</v>
      </c>
      <c r="J137" s="20" t="n">
        <v>-3.622</v>
      </c>
      <c r="K137" s="20" t="n">
        <v>259.669</v>
      </c>
      <c r="L137" s="20" t="n">
        <v>25.584</v>
      </c>
      <c r="M137" s="20" t="n">
        <v>41.692</v>
      </c>
      <c r="N137" s="20" t="n">
        <v>94.496</v>
      </c>
      <c r="T137" s="20" t="n">
        <v>-0.498</v>
      </c>
      <c r="U137" s="20" t="n">
        <v>9.678000000000001</v>
      </c>
      <c r="V137" s="20" t="n">
        <v>142.903</v>
      </c>
      <c r="W137" s="20" t="n">
        <v>-3.622</v>
      </c>
      <c r="X137" s="20" t="n">
        <v>94.496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IF(OR(G137="",C137=""),"",IF(G137*C137&lt;=0,"",IFERROR(G137/C137-1,"")))</f>
        <v/>
      </c>
      <c r="H138" s="15">
        <f>IF(OR(H137="",D137=""),"",IF(H137*D137&lt;=0,"",IFERROR(H137/D137-1,"")))</f>
        <v/>
      </c>
      <c r="I138" s="15">
        <f>IF(OR(I137="",E137=""),"",IF(I137*E137&lt;=0,"",IFERROR(I137/E137-1,"")))</f>
        <v/>
      </c>
      <c r="J138" s="15">
        <f>IF(OR(J137="",F137=""),"",IF(J137*F137&lt;=0,"",IFERROR(J137/F137-1,"")))</f>
        <v/>
      </c>
      <c r="K138" s="15">
        <f>IF(OR(K137="",G137=""),"",IF(K137*G137&lt;=0,"",IFERROR(K137/G137-1,"")))</f>
        <v/>
      </c>
      <c r="L138" s="15">
        <f>IF(OR(L137="",H137=""),"",IF(L137*H137&lt;=0,"",IFERROR(L137/H137-1,"")))</f>
        <v/>
      </c>
      <c r="M138" s="15">
        <f>IF(OR(M137="",I137=""),"",IF(M137*I137&lt;=0,"",IFERROR(M137/I137-1,"")))</f>
        <v/>
      </c>
      <c r="N138" s="15">
        <f>IF(OR(N137="",J137=""),"",IF(N137*J137&lt;=0,"",IFERROR(N137/J137-1,"")))</f>
        <v/>
      </c>
      <c r="T138" s="15">
        <f>IF(OR(T137="",S137=""),"",IF(T137*S137&lt;=0,"",IFERROR(T137/S137-1,"")))</f>
        <v/>
      </c>
      <c r="U138" s="15">
        <f>IF(OR(U137="",T137=""),"",IF(U137*T137&lt;=0,"",IFERROR(U137/T137-1,"")))</f>
        <v/>
      </c>
      <c r="V138" s="15">
        <f>IF(OR(V137="",U137=""),"",IF(V137*U137&lt;=0,"",IFERROR(V137/U137-1,"")))</f>
        <v/>
      </c>
      <c r="W138" s="15">
        <f>IF(OR(W137="",V137=""),"",IF(W137*V137&lt;=0,"",IFERROR(W137/V137-1,"")))</f>
        <v/>
      </c>
      <c r="X138" s="15">
        <f>IF(OR(X137="",W137=""),"",IF(X137*W137&lt;=0,"",IFERROR(X137/W137-1,"")))</f>
        <v/>
      </c>
    </row>
    <row r="139">
      <c r="A139" s="9" t="inlineStr">
        <is>
          <t>순이익</t>
        </is>
      </c>
      <c r="C139" s="12" t="n">
        <v>28.31</v>
      </c>
      <c r="D139" s="12" t="n">
        <v>-14.762</v>
      </c>
      <c r="E139" s="12" t="n">
        <v>37.43</v>
      </c>
      <c r="F139" s="12" t="n">
        <v>137.885</v>
      </c>
      <c r="G139" s="12" t="n">
        <v>191.798</v>
      </c>
      <c r="H139" s="12" t="n">
        <v>361.558</v>
      </c>
      <c r="I139" s="12" t="n">
        <v>42.485</v>
      </c>
      <c r="J139" s="12" t="n">
        <v>-66.392</v>
      </c>
      <c r="K139" s="12" t="n">
        <v>366.707</v>
      </c>
      <c r="L139" s="12" t="n">
        <v>-55.711</v>
      </c>
      <c r="M139" s="12" t="n">
        <v>4.925</v>
      </c>
      <c r="N139" s="12" t="n">
        <v>81.036</v>
      </c>
      <c r="T139" s="12" t="n">
        <v>12.904</v>
      </c>
      <c r="U139" s="12" t="n">
        <v>-29.454</v>
      </c>
      <c r="V139" s="12" t="n">
        <v>137.885</v>
      </c>
      <c r="W139" s="12" t="n">
        <v>-66.392</v>
      </c>
      <c r="X139" s="12" t="n">
        <v>81.036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T140" s="15">
        <f>IF(OR(T139="",S139=""),"",IF(S139&lt;=0,"",IFERROR(T139/S139-1,"")))</f>
        <v/>
      </c>
      <c r="U140" s="15">
        <f>IF(OR(U139="",T139=""),"",IF(T139&lt;=0,"",IFERROR(U139/T139-1,"")))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9" t="inlineStr">
        <is>
          <t>비지배주주 순손익</t>
        </is>
      </c>
      <c r="E141" s="12" t="n">
        <v>0</v>
      </c>
      <c r="F141" s="12" t="n">
        <v>0</v>
      </c>
      <c r="G141" s="12" t="n">
        <v>0</v>
      </c>
      <c r="H141" s="12" t="n">
        <v>13.439</v>
      </c>
      <c r="I141" s="12" t="n">
        <v>9.622</v>
      </c>
      <c r="J141" s="12" t="n">
        <v>12.072</v>
      </c>
      <c r="K141" s="12" t="n">
        <v>-0.516</v>
      </c>
      <c r="L141" s="12" t="n">
        <v>-1.788</v>
      </c>
      <c r="M141" s="12" t="n">
        <v>-10.166</v>
      </c>
      <c r="N141" s="12" t="n">
        <v>-20.566</v>
      </c>
      <c r="V141" s="12" t="n">
        <v>0</v>
      </c>
      <c r="W141" s="12" t="n">
        <v>12.072</v>
      </c>
      <c r="X141" s="12" t="n">
        <v>-20.566</v>
      </c>
    </row>
    <row r="142">
      <c r="A142" s="9" t="inlineStr">
        <is>
          <t>지배주주 순이익</t>
        </is>
      </c>
      <c r="C142" s="12" t="n">
        <v>28.31</v>
      </c>
      <c r="D142" s="12" t="n">
        <v>-14.762</v>
      </c>
      <c r="E142" s="12" t="n">
        <v>37.43</v>
      </c>
      <c r="F142" s="12" t="n">
        <v>137.885</v>
      </c>
      <c r="G142" s="12" t="n">
        <v>191.798</v>
      </c>
      <c r="H142" s="12" t="n">
        <v>348.118</v>
      </c>
      <c r="I142" s="12" t="n">
        <v>32.863</v>
      </c>
      <c r="J142" s="12" t="n">
        <v>-78.46299999999999</v>
      </c>
      <c r="K142" s="12" t="n">
        <v>367.223</v>
      </c>
      <c r="L142" s="12" t="n">
        <v>-53.923</v>
      </c>
      <c r="M142" s="12" t="n">
        <v>15.091</v>
      </c>
      <c r="N142" s="12" t="n">
        <v>101.602</v>
      </c>
      <c r="T142" s="12" t="n">
        <v>12.904</v>
      </c>
      <c r="U142" s="12" t="n">
        <v>-29.454</v>
      </c>
      <c r="V142" s="12" t="n">
        <v>137.885</v>
      </c>
      <c r="W142" s="12" t="n">
        <v>-78.46299999999999</v>
      </c>
      <c r="X142" s="12" t="n">
        <v>101.602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T143" s="15">
        <f>IF(OR(T142="",S142=""),"",IF(S142&lt;=0,"",IFERROR(T142/S142-1,"")))</f>
        <v/>
      </c>
      <c r="U143" s="15">
        <f>IF(OR(U142="",T142=""),"",IF(T142&lt;=0,"",IFERROR(U142/T142-1,"")))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5">
      <c r="A145" s="16" t="inlineStr">
        <is>
          <t>포괄손익 · 전 항목</t>
        </is>
      </c>
      <c r="B145" s="42" t="inlineStr">
        <is>
          <t>분기 = 3개월 단독</t>
        </is>
      </c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</row>
    <row r="146">
      <c r="A146" s="5" t="inlineStr">
        <is>
          <t>항목</t>
        </is>
      </c>
      <c r="B146" s="5" t="inlineStr">
        <is>
          <t>참고</t>
        </is>
      </c>
      <c r="C146" s="5" t="inlineStr">
        <is>
          <t>2024.1Q</t>
        </is>
      </c>
      <c r="D146" s="5" t="inlineStr">
        <is>
          <t>2024.2Q</t>
        </is>
      </c>
      <c r="E146" s="5" t="inlineStr">
        <is>
          <t>2024.3Q</t>
        </is>
      </c>
      <c r="F146" s="5" t="inlineStr">
        <is>
          <t>2024.4Q</t>
        </is>
      </c>
      <c r="G146" s="5" t="inlineStr">
        <is>
          <t>2025.1Q</t>
        </is>
      </c>
      <c r="H146" s="5" t="inlineStr">
        <is>
          <t>2025.2Q</t>
        </is>
      </c>
      <c r="I146" s="5" t="inlineStr">
        <is>
          <t>2025.3Q</t>
        </is>
      </c>
      <c r="J146" s="5" t="inlineStr">
        <is>
          <t>2025.4Q</t>
        </is>
      </c>
      <c r="K146" s="5" t="inlineStr">
        <is>
          <t>2026.1Q</t>
        </is>
      </c>
      <c r="L146" s="5" t="inlineStr">
        <is>
          <t>2026.2Q</t>
        </is>
      </c>
      <c r="M146" s="5" t="inlineStr">
        <is>
          <t>2026.3Q</t>
        </is>
      </c>
      <c r="N146" s="5" t="inlineStr">
        <is>
          <t>2026.4Q</t>
        </is>
      </c>
      <c r="O146" s="5" t="inlineStr">
        <is>
          <t>2017</t>
        </is>
      </c>
      <c r="P146" s="5" t="inlineStr">
        <is>
          <t>2018</t>
        </is>
      </c>
      <c r="Q146" s="5" t="inlineStr">
        <is>
          <t>2019</t>
        </is>
      </c>
      <c r="R146" s="5" t="inlineStr">
        <is>
          <t>2020</t>
        </is>
      </c>
      <c r="S146" s="5" t="inlineStr">
        <is>
          <t>2021</t>
        </is>
      </c>
      <c r="T146" s="5" t="inlineStr">
        <is>
          <t>2022</t>
        </is>
      </c>
      <c r="U146" s="5" t="inlineStr">
        <is>
          <t>2023</t>
        </is>
      </c>
      <c r="V146" s="5" t="inlineStr">
        <is>
          <t>2024</t>
        </is>
      </c>
      <c r="W146" s="5" t="inlineStr">
        <is>
          <t>2025</t>
        </is>
      </c>
      <c r="X146" s="5" t="inlineStr">
        <is>
          <t>2026</t>
        </is>
      </c>
      <c r="Y146" s="5" t="inlineStr">
        <is>
          <t>2027(MW)</t>
        </is>
      </c>
      <c r="Z146" s="5" t="inlineStr">
        <is>
          <t>2028(MW)</t>
        </is>
      </c>
      <c r="AA146" s="5" t="inlineStr">
        <is>
          <t>2029(MW)</t>
        </is>
      </c>
      <c r="AB146" s="5" t="inlineStr">
        <is>
          <t>2030(MW)</t>
        </is>
      </c>
      <c r="AC146" s="5" t="inlineStr">
        <is>
          <t>2031(MW)</t>
        </is>
      </c>
    </row>
    <row r="147">
      <c r="A147" s="9" t="inlineStr">
        <is>
          <t>순이익</t>
        </is>
      </c>
      <c r="C147" s="12" t="n">
        <v>28.31</v>
      </c>
      <c r="D147" s="12" t="n">
        <v>-14.762</v>
      </c>
      <c r="E147" s="12" t="n">
        <v>37.43</v>
      </c>
      <c r="F147" s="12" t="n">
        <v>137.885</v>
      </c>
      <c r="G147" s="12" t="n">
        <v>191.798</v>
      </c>
      <c r="H147" s="12" t="n">
        <v>361.558</v>
      </c>
      <c r="I147" s="12" t="n">
        <v>42.485</v>
      </c>
      <c r="J147" s="12" t="n">
        <v>-66.392</v>
      </c>
      <c r="K147" s="12" t="n">
        <v>366.707</v>
      </c>
      <c r="L147" s="12" t="n">
        <v>-55.711</v>
      </c>
      <c r="M147" s="12" t="n">
        <v>4.925</v>
      </c>
      <c r="N147" s="12" t="n">
        <v>81.036</v>
      </c>
      <c r="T147" s="12" t="n">
        <v>12.904</v>
      </c>
      <c r="U147" s="12" t="n">
        <v>-29.454</v>
      </c>
      <c r="V147" s="12" t="n">
        <v>137.885</v>
      </c>
      <c r="W147" s="12" t="n">
        <v>-66.392</v>
      </c>
      <c r="X147" s="12" t="n">
        <v>81.036</v>
      </c>
    </row>
    <row r="148">
      <c r="A148" s="18" t="inlineStr">
        <is>
          <t>기타유가증권 평가차액</t>
        </is>
      </c>
      <c r="C148" s="20" t="n">
        <v>0.051</v>
      </c>
      <c r="D148" s="20" t="n">
        <v>0.449</v>
      </c>
      <c r="E148" s="20" t="n">
        <v>-0.053</v>
      </c>
      <c r="F148" s="20" t="n">
        <v>0.376</v>
      </c>
      <c r="G148" s="20" t="n">
        <v>0.703</v>
      </c>
      <c r="H148" s="20" t="n">
        <v>-0.779</v>
      </c>
      <c r="I148" s="20" t="n">
        <v>-1.65</v>
      </c>
      <c r="J148" s="20" t="n">
        <v>1.283</v>
      </c>
      <c r="K148" s="20" t="n">
        <v>-2.256</v>
      </c>
      <c r="L148" s="20" t="n">
        <v>0.198</v>
      </c>
      <c r="M148" s="20" t="n">
        <v>-0.235</v>
      </c>
      <c r="N148" s="20" t="n">
        <v>0.38</v>
      </c>
      <c r="U148" s="20" t="n">
        <v>0</v>
      </c>
      <c r="V148" s="20" t="n">
        <v>0.376</v>
      </c>
      <c r="W148" s="20" t="n">
        <v>1.283</v>
      </c>
      <c r="X148" s="20" t="n">
        <v>0.38</v>
      </c>
    </row>
    <row r="149">
      <c r="A149" s="18" t="inlineStr">
        <is>
          <t>기타포괄손익 합계</t>
        </is>
      </c>
      <c r="C149" s="20" t="n">
        <v>0.051</v>
      </c>
      <c r="G149" s="20" t="n">
        <v>0.703</v>
      </c>
      <c r="K149" s="20" t="n">
        <v>-2.256</v>
      </c>
    </row>
    <row r="150">
      <c r="A150" s="9" t="inlineStr">
        <is>
          <t>포괄이익</t>
        </is>
      </c>
      <c r="C150" s="12" t="n">
        <v>28.362</v>
      </c>
      <c r="D150" s="12" t="n">
        <v>-14.313</v>
      </c>
      <c r="E150" s="12" t="n">
        <v>37.376</v>
      </c>
      <c r="F150" s="12" t="n">
        <v>138.261</v>
      </c>
      <c r="G150" s="12" t="n">
        <v>192.502</v>
      </c>
      <c r="H150" s="12" t="n">
        <v>360.777</v>
      </c>
      <c r="I150" s="12" t="n">
        <v>40.835</v>
      </c>
      <c r="J150" s="12" t="n">
        <v>-65.108</v>
      </c>
      <c r="K150" s="12" t="n">
        <v>364.45</v>
      </c>
      <c r="L150" s="12" t="n">
        <v>-55.513</v>
      </c>
      <c r="M150" s="12" t="n">
        <v>4.691</v>
      </c>
      <c r="N150" s="12" t="n">
        <v>81.41500000000001</v>
      </c>
      <c r="T150" s="12" t="n">
        <v>12.904</v>
      </c>
      <c r="U150" s="12" t="n">
        <v>-29.454</v>
      </c>
      <c r="V150" s="12" t="n">
        <v>138.261</v>
      </c>
      <c r="W150" s="12" t="n">
        <v>-65.108</v>
      </c>
      <c r="X150" s="12" t="n">
        <v>81.41500000000001</v>
      </c>
    </row>
    <row r="151">
      <c r="A151" s="9" t="inlineStr">
        <is>
          <t>지배주주 포괄이익</t>
        </is>
      </c>
      <c r="C151" s="12" t="n">
        <v>28.362</v>
      </c>
      <c r="D151" s="12" t="n">
        <v>-14.313</v>
      </c>
      <c r="E151" s="12" t="n">
        <v>37.376</v>
      </c>
      <c r="F151" s="12" t="n">
        <v>138.261</v>
      </c>
      <c r="G151" s="12" t="n">
        <v>192.502</v>
      </c>
      <c r="H151" s="12" t="n">
        <v>347.338</v>
      </c>
      <c r="I151" s="12" t="n">
        <v>31.212</v>
      </c>
      <c r="J151" s="12" t="n">
        <v>-77.18000000000001</v>
      </c>
      <c r="K151" s="12" t="n">
        <v>364.967</v>
      </c>
      <c r="L151" s="12" t="n">
        <v>-53.726</v>
      </c>
      <c r="M151" s="12" t="n">
        <v>14.857</v>
      </c>
      <c r="N151" s="12" t="n">
        <v>101.982</v>
      </c>
      <c r="T151" s="12" t="n">
        <v>12.904</v>
      </c>
      <c r="U151" s="12" t="n">
        <v>-29.454</v>
      </c>
      <c r="V151" s="12" t="n">
        <v>138.261</v>
      </c>
      <c r="W151" s="12" t="n">
        <v>-77.18000000000001</v>
      </c>
      <c r="X151" s="12" t="n">
        <v>101.982</v>
      </c>
    </row>
    <row r="152">
      <c r="A152" s="9" t="inlineStr">
        <is>
          <t>비지배주주 포괄이익</t>
        </is>
      </c>
      <c r="C152" s="12" t="n">
        <v>0</v>
      </c>
      <c r="D152" s="12" t="n">
        <v>0</v>
      </c>
      <c r="E152" s="12" t="n">
        <v>0</v>
      </c>
      <c r="F152" s="12" t="n">
        <v>0</v>
      </c>
      <c r="G152" s="12" t="n">
        <v>0</v>
      </c>
      <c r="H152" s="12" t="n">
        <v>13.439</v>
      </c>
      <c r="I152" s="12" t="n">
        <v>9.622</v>
      </c>
      <c r="J152" s="12" t="n">
        <v>12.072</v>
      </c>
      <c r="K152" s="12" t="n">
        <v>-0.516</v>
      </c>
      <c r="L152" s="12" t="n">
        <v>-1.788</v>
      </c>
      <c r="M152" s="12" t="n">
        <v>-10.166</v>
      </c>
      <c r="N152" s="12" t="n">
        <v>-20.566</v>
      </c>
      <c r="T152" s="12" t="n">
        <v>0</v>
      </c>
      <c r="U152" s="12" t="n">
        <v>0</v>
      </c>
      <c r="V152" s="12" t="n">
        <v>0</v>
      </c>
      <c r="W152" s="12" t="n">
        <v>12.072</v>
      </c>
      <c r="X152" s="12" t="n">
        <v>-20.566</v>
      </c>
    </row>
    <row r="154">
      <c r="A154" s="16" t="inlineStr">
        <is>
          <t>부문 · 전 항목</t>
        </is>
      </c>
      <c r="B154" s="42" t="inlineStr">
        <is>
          <t>부문 · 항목</t>
        </is>
      </c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</row>
    <row r="155">
      <c r="A155" s="5" t="inlineStr">
        <is>
          <t>항목</t>
        </is>
      </c>
      <c r="B155" s="5" t="inlineStr">
        <is>
          <t>참고</t>
        </is>
      </c>
      <c r="C155" s="5" t="inlineStr">
        <is>
          <t>2024.1Q</t>
        </is>
      </c>
      <c r="D155" s="5" t="inlineStr">
        <is>
          <t>2024.2Q</t>
        </is>
      </c>
      <c r="E155" s="5" t="inlineStr">
        <is>
          <t>2024.3Q</t>
        </is>
      </c>
      <c r="F155" s="5" t="inlineStr">
        <is>
          <t>2024.4Q</t>
        </is>
      </c>
      <c r="G155" s="5" t="inlineStr">
        <is>
          <t>2025.1Q</t>
        </is>
      </c>
      <c r="H155" s="5" t="inlineStr">
        <is>
          <t>2025.2Q</t>
        </is>
      </c>
      <c r="I155" s="5" t="inlineStr">
        <is>
          <t>2025.3Q</t>
        </is>
      </c>
      <c r="J155" s="5" t="inlineStr">
        <is>
          <t>2025.4Q</t>
        </is>
      </c>
      <c r="K155" s="5" t="inlineStr">
        <is>
          <t>2026.1Q</t>
        </is>
      </c>
      <c r="L155" s="5" t="inlineStr">
        <is>
          <t>2026.2Q</t>
        </is>
      </c>
      <c r="M155" s="5" t="inlineStr">
        <is>
          <t>2026.3Q</t>
        </is>
      </c>
      <c r="N155" s="5" t="inlineStr">
        <is>
          <t>2026.4Q</t>
        </is>
      </c>
      <c r="O155" s="5" t="inlineStr">
        <is>
          <t>2017</t>
        </is>
      </c>
      <c r="P155" s="5" t="inlineStr">
        <is>
          <t>2018</t>
        </is>
      </c>
      <c r="Q155" s="5" t="inlineStr">
        <is>
          <t>2019</t>
        </is>
      </c>
      <c r="R155" s="5" t="inlineStr">
        <is>
          <t>2020</t>
        </is>
      </c>
      <c r="S155" s="5" t="inlineStr">
        <is>
          <t>2021</t>
        </is>
      </c>
      <c r="T155" s="5" t="inlineStr">
        <is>
          <t>2022</t>
        </is>
      </c>
      <c r="U155" s="5" t="inlineStr">
        <is>
          <t>2023</t>
        </is>
      </c>
      <c r="V155" s="5" t="inlineStr">
        <is>
          <t>2024</t>
        </is>
      </c>
      <c r="W155" s="5" t="inlineStr">
        <is>
          <t>2025</t>
        </is>
      </c>
      <c r="X155" s="5" t="inlineStr">
        <is>
          <t>2026</t>
        </is>
      </c>
      <c r="Y155" s="5" t="inlineStr">
        <is>
          <t>2027(MW)</t>
        </is>
      </c>
      <c r="Z155" s="5" t="inlineStr">
        <is>
          <t>2028(MW)</t>
        </is>
      </c>
      <c r="AA155" s="5" t="inlineStr">
        <is>
          <t>2029(MW)</t>
        </is>
      </c>
      <c r="AB155" s="5" t="inlineStr">
        <is>
          <t>2030(MW)</t>
        </is>
      </c>
      <c r="AC155" s="5" t="inlineStr">
        <is>
          <t>2031(MW)</t>
        </is>
      </c>
    </row>
    <row r="156">
      <c r="A156" s="18" t="inlineStr">
        <is>
          <t>EngineerplatformserviceReportableSegmentMember · 외부 고객 매출</t>
        </is>
      </c>
      <c r="C156" s="20" t="n">
        <v>2988.498</v>
      </c>
      <c r="D156" s="20" t="n">
        <v>2998.085</v>
      </c>
      <c r="E156" s="20" t="n">
        <v>3257.249</v>
      </c>
      <c r="F156" s="20" t="n">
        <v>3516.855</v>
      </c>
      <c r="G156" s="20" t="n">
        <v>3661.499</v>
      </c>
      <c r="H156" s="20" t="n">
        <v>3891.839</v>
      </c>
      <c r="I156" s="20" t="n">
        <v>4030.019</v>
      </c>
      <c r="J156" s="20" t="n">
        <v>4175.289</v>
      </c>
      <c r="K156" s="20" t="n">
        <v>4281.72</v>
      </c>
      <c r="L156" s="20" t="n">
        <v>4336.85</v>
      </c>
      <c r="M156" s="20" t="n">
        <v>4464.331</v>
      </c>
      <c r="N156" s="20" t="n">
        <v>4535.641</v>
      </c>
      <c r="V156" s="20" t="n">
        <v>3516.855</v>
      </c>
      <c r="W156" s="20" t="n">
        <v>4175.289</v>
      </c>
      <c r="X156" s="20" t="n">
        <v>4535.641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MarketingplatformserviceReportableSegmentMember · 외부 고객 매출</t>
        </is>
      </c>
      <c r="C158" s="20" t="n">
        <v>140.076</v>
      </c>
      <c r="D158" s="20" t="n">
        <v>140.839</v>
      </c>
      <c r="E158" s="20" t="n">
        <v>106.22</v>
      </c>
      <c r="F158" s="20" t="n">
        <v>108.646</v>
      </c>
      <c r="G158" s="20" t="n">
        <v>124.556</v>
      </c>
      <c r="H158" s="20" t="n">
        <v>107.93</v>
      </c>
      <c r="I158" s="20" t="n">
        <v>111.442</v>
      </c>
      <c r="J158" s="20" t="n">
        <v>110.175</v>
      </c>
      <c r="K158" s="20" t="n">
        <v>94.89700000000001</v>
      </c>
      <c r="L158" s="20" t="n">
        <v>101.17</v>
      </c>
      <c r="M158" s="20" t="n">
        <v>111.938</v>
      </c>
      <c r="N158" s="20" t="n">
        <v>468.711</v>
      </c>
      <c r="V158" s="20" t="n">
        <v>108.646</v>
      </c>
      <c r="W158" s="20" t="n">
        <v>110.175</v>
      </c>
      <c r="X158" s="20" t="n">
        <v>468.711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ConsulAdvisoryserviceReportableSegmentMember · 외부 고객 매출</t>
        </is>
      </c>
      <c r="C160" s="20" t="n">
        <v>90.89400000000001</v>
      </c>
      <c r="D160" s="20" t="n">
        <v>132.408</v>
      </c>
      <c r="E160" s="20" t="n">
        <v>227.794</v>
      </c>
      <c r="G160" s="20" t="n">
        <v>351.343</v>
      </c>
      <c r="H160" s="20" t="n">
        <v>771.9109999999999</v>
      </c>
      <c r="I160" s="20" t="n">
        <v>351.999</v>
      </c>
      <c r="J160" s="20" t="n">
        <v>389.363</v>
      </c>
      <c r="K160" s="20" t="n">
        <v>1363.877</v>
      </c>
      <c r="L160" s="20" t="n">
        <v>483.3</v>
      </c>
      <c r="M160" s="20" t="n">
        <v>641.104</v>
      </c>
      <c r="N160" s="20" t="n">
        <v>921.5890000000001</v>
      </c>
      <c r="W160" s="20" t="n">
        <v>389.363</v>
      </c>
      <c r="X160" s="20" t="n">
        <v>921.5890000000001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보고부문 합계 · 외부 고객 매출</t>
        </is>
      </c>
      <c r="C162" s="20" t="n">
        <v>3219.468</v>
      </c>
      <c r="D162" s="20" t="n">
        <v>3271.332</v>
      </c>
      <c r="E162" s="20" t="n">
        <v>3591.264</v>
      </c>
      <c r="F162" s="20" t="n">
        <v>4208.818</v>
      </c>
      <c r="G162" s="20" t="n">
        <v>4137.399</v>
      </c>
      <c r="H162" s="20" t="n">
        <v>4771.681</v>
      </c>
      <c r="I162" s="20" t="n">
        <v>4493.459</v>
      </c>
      <c r="J162" s="20" t="n">
        <v>4674.827</v>
      </c>
      <c r="K162" s="20" t="n">
        <v>5740.495</v>
      </c>
      <c r="L162" s="20" t="n">
        <v>4921.32</v>
      </c>
      <c r="M162" s="20" t="n">
        <v>5217.372</v>
      </c>
      <c r="N162" s="20" t="n">
        <v>5925.942</v>
      </c>
      <c r="V162" s="20" t="n">
        <v>4208.818</v>
      </c>
      <c r="W162" s="20" t="n">
        <v>4674.827</v>
      </c>
      <c r="X162" s="20" t="n">
        <v>5925.942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기타 · 외부 고객 매출</t>
        </is>
      </c>
      <c r="C164" s="20" t="n">
        <v>0</v>
      </c>
      <c r="D164" s="20" t="n">
        <v>0</v>
      </c>
      <c r="G164" s="20" t="n">
        <v>0</v>
      </c>
      <c r="H164" s="20" t="n">
        <v>0</v>
      </c>
      <c r="K164" s="20" t="n">
        <v>0</v>
      </c>
      <c r="L164" s="20" t="n">
        <v>0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</row>
    <row r="166">
      <c r="A166" s="18" t="inlineStr">
        <is>
          <t>조정액 · 외부 고객 매출</t>
        </is>
      </c>
      <c r="J166" s="20" t="n">
        <v>0</v>
      </c>
      <c r="N166" s="20" t="n">
        <v>0</v>
      </c>
      <c r="W166" s="20" t="n">
        <v>0</v>
      </c>
      <c r="X166" s="20" t="n">
        <v>0</v>
      </c>
    </row>
    <row r="167">
      <c r="A167" s="18" t="inlineStr">
        <is>
          <t>합계 · 외부 고객 매출</t>
        </is>
      </c>
      <c r="C167" s="20" t="n">
        <v>3219.468</v>
      </c>
      <c r="D167" s="20" t="n">
        <v>3271.332</v>
      </c>
      <c r="E167" s="20" t="n">
        <v>3591.264</v>
      </c>
      <c r="F167" s="20" t="n">
        <v>4208.818</v>
      </c>
      <c r="G167" s="20" t="n">
        <v>4137.399</v>
      </c>
      <c r="H167" s="20" t="n">
        <v>4771.681</v>
      </c>
      <c r="I167" s="20" t="n">
        <v>4493.459</v>
      </c>
      <c r="J167" s="20" t="n">
        <v>4674.827</v>
      </c>
      <c r="K167" s="20" t="n">
        <v>5740.495</v>
      </c>
      <c r="L167" s="20" t="n">
        <v>4921.32</v>
      </c>
      <c r="M167" s="20" t="n">
        <v>5217.372</v>
      </c>
      <c r="N167" s="20" t="n">
        <v>5925.942</v>
      </c>
      <c r="V167" s="20" t="n">
        <v>4208.818</v>
      </c>
      <c r="W167" s="20" t="n">
        <v>4674.827</v>
      </c>
      <c r="X167" s="20" t="n">
        <v>5925.942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EngineerplatformserviceReportableSegmentMember · 부문 간 내부매출·대체</t>
        </is>
      </c>
      <c r="C169" s="20" t="n">
        <v>0.799</v>
      </c>
      <c r="D169" s="20" t="n">
        <v>0.575</v>
      </c>
      <c r="E169" s="20" t="n">
        <v>2.43</v>
      </c>
      <c r="F169" s="20" t="n">
        <v>3.31</v>
      </c>
      <c r="G169" s="20" t="n">
        <v>1.02</v>
      </c>
      <c r="H169" s="20" t="n">
        <v>2.771</v>
      </c>
      <c r="I169" s="20" t="n">
        <v>4.01</v>
      </c>
      <c r="J169" s="20" t="n">
        <v>5.801</v>
      </c>
      <c r="K169" s="20" t="n">
        <v>5.421</v>
      </c>
      <c r="L169" s="20" t="n">
        <v>6.541</v>
      </c>
      <c r="M169" s="20" t="n">
        <v>2.749</v>
      </c>
      <c r="N169" s="20" t="n">
        <v>1.249</v>
      </c>
      <c r="V169" s="20" t="n">
        <v>3.31</v>
      </c>
      <c r="W169" s="20" t="n">
        <v>5.801</v>
      </c>
      <c r="X169" s="20" t="n">
        <v>1.249</v>
      </c>
    </row>
    <row r="170">
      <c r="A170" s="18" t="inlineStr">
        <is>
          <t>MarketingplatformserviceReportableSegmentMember · 부문 간 내부매출·대체</t>
        </is>
      </c>
      <c r="C170" s="20" t="n">
        <v>0.42</v>
      </c>
      <c r="D170" s="20" t="n">
        <v>6.23</v>
      </c>
      <c r="E170" s="20" t="n">
        <v>3.209</v>
      </c>
      <c r="F170" s="20" t="n">
        <v>3.93</v>
      </c>
      <c r="G170" s="20" t="n">
        <v>4.2</v>
      </c>
      <c r="H170" s="20" t="n">
        <v>1.2</v>
      </c>
      <c r="I170" s="20" t="n">
        <v>1.771</v>
      </c>
      <c r="J170" s="20" t="n">
        <v>4.5</v>
      </c>
      <c r="K170" s="20" t="n">
        <v>5.394</v>
      </c>
      <c r="L170" s="20" t="n">
        <v>5.262</v>
      </c>
      <c r="M170" s="20" t="n">
        <v>4.95</v>
      </c>
      <c r="N170" s="20" t="n">
        <v>5.819</v>
      </c>
      <c r="V170" s="20" t="n">
        <v>3.93</v>
      </c>
      <c r="W170" s="20" t="n">
        <v>4.5</v>
      </c>
      <c r="X170" s="20" t="n">
        <v>5.819</v>
      </c>
    </row>
    <row r="171">
      <c r="A171" s="18" t="inlineStr">
        <is>
          <t>ConsulAdvisoryserviceReportableSegmentMember · 부문 간 내부매출·대체</t>
        </is>
      </c>
      <c r="C171" s="20" t="n">
        <v>17.874</v>
      </c>
      <c r="D171" s="20" t="n">
        <v>1.221</v>
      </c>
      <c r="E171" s="20" t="n">
        <v>-19.095</v>
      </c>
      <c r="G171" s="20" t="n">
        <v>0.584</v>
      </c>
      <c r="H171" s="20" t="n">
        <v>0.585</v>
      </c>
      <c r="I171" s="20" t="n">
        <v>0.585</v>
      </c>
      <c r="J171" s="20" t="n">
        <v>0.585</v>
      </c>
      <c r="K171" s="20" t="n">
        <v>10.194</v>
      </c>
      <c r="L171" s="20" t="n">
        <v>15</v>
      </c>
      <c r="M171" s="20" t="n">
        <v>0</v>
      </c>
      <c r="N171" s="20" t="n">
        <v>14.347</v>
      </c>
      <c r="W171" s="20" t="n">
        <v>0.585</v>
      </c>
      <c r="X171" s="20" t="n">
        <v>14.347</v>
      </c>
    </row>
    <row r="172">
      <c r="A172" s="18" t="inlineStr">
        <is>
          <t>보고부문 합계 · 부문 간 내부매출·대체</t>
        </is>
      </c>
      <c r="C172" s="20" t="n">
        <v>19.093</v>
      </c>
      <c r="D172" s="20" t="n">
        <v>8.026</v>
      </c>
      <c r="E172" s="20" t="n">
        <v>-13.456</v>
      </c>
      <c r="F172" s="20" t="n">
        <v>27.505</v>
      </c>
      <c r="G172" s="20" t="n">
        <v>5.805</v>
      </c>
      <c r="H172" s="20" t="n">
        <v>4.556</v>
      </c>
      <c r="I172" s="20" t="n">
        <v>6.366</v>
      </c>
      <c r="J172" s="20" t="n">
        <v>10.886</v>
      </c>
      <c r="K172" s="20" t="n">
        <v>21.01</v>
      </c>
      <c r="L172" s="20" t="n">
        <v>26.803</v>
      </c>
      <c r="M172" s="20" t="n">
        <v>7.699</v>
      </c>
      <c r="N172" s="20" t="n">
        <v>21.415</v>
      </c>
      <c r="V172" s="20" t="n">
        <v>27.505</v>
      </c>
      <c r="W172" s="20" t="n">
        <v>10.886</v>
      </c>
      <c r="X172" s="20" t="n">
        <v>21.415</v>
      </c>
    </row>
    <row r="173">
      <c r="A173" s="18" t="inlineStr">
        <is>
          <t>기타 · 부문 간 내부매출·대체</t>
        </is>
      </c>
      <c r="C173" s="20" t="n">
        <v>-19.093</v>
      </c>
      <c r="D173" s="20" t="n">
        <v>-8.026</v>
      </c>
      <c r="G173" s="20" t="n">
        <v>-5.805</v>
      </c>
      <c r="H173" s="20" t="n">
        <v>-4.556</v>
      </c>
      <c r="K173" s="20" t="n">
        <v>-21.01</v>
      </c>
      <c r="L173" s="20" t="n">
        <v>-26.803</v>
      </c>
    </row>
    <row r="174">
      <c r="A174" s="18" t="inlineStr">
        <is>
          <t>조정액 · 부문 간 내부매출·대체</t>
        </is>
      </c>
      <c r="J174" s="20" t="n">
        <v>-10.886</v>
      </c>
      <c r="N174" s="20" t="n">
        <v>-21.415</v>
      </c>
      <c r="W174" s="20" t="n">
        <v>-10.886</v>
      </c>
      <c r="X174" s="20" t="n">
        <v>-21.415</v>
      </c>
    </row>
    <row r="175">
      <c r="A175" s="18" t="inlineStr">
        <is>
          <t>합계 · 부문 간 내부매출·대체</t>
        </is>
      </c>
      <c r="C175" s="20" t="n">
        <v>0</v>
      </c>
      <c r="D175" s="20" t="n">
        <v>0</v>
      </c>
      <c r="E175" s="20" t="n">
        <v>0</v>
      </c>
      <c r="F175" s="20" t="n">
        <v>0</v>
      </c>
      <c r="G175" s="20" t="n">
        <v>0</v>
      </c>
      <c r="H175" s="20" t="n">
        <v>0</v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0</v>
      </c>
      <c r="V175" s="20" t="n">
        <v>0</v>
      </c>
      <c r="W175" s="20" t="n">
        <v>0</v>
      </c>
      <c r="X175" s="20" t="n">
        <v>0</v>
      </c>
    </row>
    <row r="176">
      <c r="A176" s="18" t="inlineStr">
        <is>
          <t>EngineerplatformserviceReportableSegmentMember · 계</t>
        </is>
      </c>
      <c r="C176" s="20" t="n">
        <v>2989.297</v>
      </c>
      <c r="D176" s="20" t="n">
        <v>2998.66</v>
      </c>
      <c r="E176" s="20" t="n">
        <v>3259.68</v>
      </c>
      <c r="F176" s="20" t="n">
        <v>3520.165</v>
      </c>
      <c r="G176" s="20" t="n">
        <v>3662.52</v>
      </c>
      <c r="H176" s="20" t="n">
        <v>3894.61</v>
      </c>
      <c r="I176" s="20" t="n">
        <v>4034.028</v>
      </c>
      <c r="J176" s="20" t="n">
        <v>4181.09</v>
      </c>
      <c r="K176" s="20" t="n">
        <v>4287.142</v>
      </c>
      <c r="L176" s="20" t="n">
        <v>4343.391</v>
      </c>
      <c r="M176" s="20" t="n">
        <v>4467.079</v>
      </c>
      <c r="N176" s="20" t="n">
        <v>4536.891</v>
      </c>
      <c r="V176" s="20" t="n">
        <v>3520.165</v>
      </c>
      <c r="W176" s="20" t="n">
        <v>4181.09</v>
      </c>
      <c r="X176" s="20" t="n">
        <v>4536.891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MarketingplatformserviceReportableSegmentMember · 계</t>
        </is>
      </c>
      <c r="C178" s="20" t="n">
        <v>140.496</v>
      </c>
      <c r="D178" s="20" t="n">
        <v>147.069</v>
      </c>
      <c r="E178" s="20" t="n">
        <v>109.429</v>
      </c>
      <c r="F178" s="20" t="n">
        <v>112.576</v>
      </c>
      <c r="G178" s="20" t="n">
        <v>128.756</v>
      </c>
      <c r="H178" s="20" t="n">
        <v>109.13</v>
      </c>
      <c r="I178" s="20" t="n">
        <v>113.214</v>
      </c>
      <c r="J178" s="20" t="n">
        <v>114.675</v>
      </c>
      <c r="K178" s="20" t="n">
        <v>100.291</v>
      </c>
      <c r="L178" s="20" t="n">
        <v>106.432</v>
      </c>
      <c r="M178" s="20" t="n">
        <v>116.888</v>
      </c>
      <c r="N178" s="20" t="n">
        <v>474.53</v>
      </c>
      <c r="V178" s="20" t="n">
        <v>112.576</v>
      </c>
      <c r="W178" s="20" t="n">
        <v>114.675</v>
      </c>
      <c r="X178" s="20" t="n">
        <v>474.53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ConsulAdvisoryserviceReportableSegmentMember · 계</t>
        </is>
      </c>
      <c r="C180" s="20" t="n">
        <v>108.768</v>
      </c>
      <c r="D180" s="20" t="n">
        <v>133.629</v>
      </c>
      <c r="E180" s="20" t="n">
        <v>208.699</v>
      </c>
      <c r="G180" s="20" t="n">
        <v>351.928</v>
      </c>
      <c r="H180" s="20" t="n">
        <v>892.313</v>
      </c>
      <c r="I180" s="20" t="n">
        <v>232.767</v>
      </c>
      <c r="J180" s="20" t="n">
        <v>389.947</v>
      </c>
      <c r="K180" s="20" t="n">
        <v>1374.071</v>
      </c>
      <c r="L180" s="20" t="n">
        <v>498.301</v>
      </c>
      <c r="M180" s="20" t="n">
        <v>641.104</v>
      </c>
      <c r="N180" s="20" t="n">
        <v>935.9349999999999</v>
      </c>
      <c r="W180" s="20" t="n">
        <v>389.947</v>
      </c>
      <c r="X180" s="20" t="n">
        <v>935.9349999999999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보고부문 합계 · 계</t>
        </is>
      </c>
      <c r="C182" s="20" t="n">
        <v>3238.561</v>
      </c>
      <c r="D182" s="20" t="n">
        <v>3279.359</v>
      </c>
      <c r="E182" s="20" t="n">
        <v>3577.808</v>
      </c>
      <c r="F182" s="20" t="n">
        <v>4236.322</v>
      </c>
      <c r="G182" s="20" t="n">
        <v>4143.205</v>
      </c>
      <c r="H182" s="20" t="n">
        <v>4776.236</v>
      </c>
      <c r="I182" s="20" t="n">
        <v>4499.826</v>
      </c>
      <c r="J182" s="20" t="n">
        <v>4685.713</v>
      </c>
      <c r="K182" s="20" t="n">
        <v>5761.505</v>
      </c>
      <c r="L182" s="20" t="n">
        <v>4948.124</v>
      </c>
      <c r="M182" s="20" t="n">
        <v>5225.071</v>
      </c>
      <c r="N182" s="20" t="n">
        <v>5947.356</v>
      </c>
      <c r="V182" s="20" t="n">
        <v>4236.322</v>
      </c>
      <c r="W182" s="20" t="n">
        <v>4685.713</v>
      </c>
      <c r="X182" s="20" t="n">
        <v>5947.356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기타 · 계</t>
        </is>
      </c>
      <c r="C184" s="20" t="n">
        <v>-19.093</v>
      </c>
      <c r="D184" s="20" t="n">
        <v>-8.026</v>
      </c>
      <c r="G184" s="20" t="n">
        <v>-5.805</v>
      </c>
      <c r="H184" s="20" t="n">
        <v>-4.556</v>
      </c>
      <c r="K184" s="20" t="n">
        <v>-21.01</v>
      </c>
      <c r="L184" s="20" t="n">
        <v>-26.803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</row>
    <row r="186">
      <c r="A186" s="18" t="inlineStr">
        <is>
          <t>조정액 · 계</t>
        </is>
      </c>
      <c r="J186" s="20" t="n">
        <v>-10.886</v>
      </c>
      <c r="N186" s="20" t="n">
        <v>-21.415</v>
      </c>
      <c r="W186" s="20" t="n">
        <v>-10.886</v>
      </c>
      <c r="X186" s="20" t="n">
        <v>-21.415</v>
      </c>
    </row>
    <row r="187">
      <c r="A187" s="18" t="inlineStr">
        <is>
          <t>합계 · 계</t>
        </is>
      </c>
      <c r="C187" s="20" t="n">
        <v>3219.468</v>
      </c>
      <c r="D187" s="20" t="n">
        <v>3271.332</v>
      </c>
      <c r="E187" s="20" t="n">
        <v>3591.264</v>
      </c>
      <c r="F187" s="20" t="n">
        <v>4208.818</v>
      </c>
      <c r="G187" s="20" t="n">
        <v>4137.399</v>
      </c>
      <c r="H187" s="20" t="n">
        <v>4771.681</v>
      </c>
      <c r="I187" s="20" t="n">
        <v>4493.459</v>
      </c>
      <c r="J187" s="20" t="n">
        <v>4674.827</v>
      </c>
      <c r="K187" s="20" t="n">
        <v>5740.495</v>
      </c>
      <c r="L187" s="20" t="n">
        <v>4921.32</v>
      </c>
      <c r="M187" s="20" t="n">
        <v>5217.372</v>
      </c>
      <c r="N187" s="20" t="n">
        <v>5925.942</v>
      </c>
      <c r="V187" s="20" t="n">
        <v>4208.818</v>
      </c>
      <c r="W187" s="20" t="n">
        <v>4674.827</v>
      </c>
      <c r="X187" s="20" t="n">
        <v>5925.942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IF(OR(G187="",C187=""),"",IF(C187&lt;=0,"",IFERROR(G187/C187-1,"")))</f>
        <v/>
      </c>
      <c r="H188" s="15">
        <f>IF(OR(H187="",D187=""),"",IF(D187&lt;=0,"",IFERROR(H187/D187-1,"")))</f>
        <v/>
      </c>
      <c r="I188" s="15">
        <f>IF(OR(I187="",E187=""),"",IF(E187&lt;=0,"",IFERROR(I187/E187-1,"")))</f>
        <v/>
      </c>
      <c r="J188" s="15">
        <f>IF(OR(J187="",F187=""),"",IF(F187&lt;=0,"",IFERROR(J187/F187-1,"")))</f>
        <v/>
      </c>
      <c r="K188" s="15">
        <f>IF(OR(K187="",G187=""),"",IF(G187&lt;=0,"",IFERROR(K187/G187-1,"")))</f>
        <v/>
      </c>
      <c r="L188" s="15">
        <f>IF(OR(L187="",H187=""),"",IF(H187&lt;=0,"",IFERROR(L187/H187-1,"")))</f>
        <v/>
      </c>
      <c r="M188" s="15">
        <f>IF(OR(M187="",I187=""),"",IF(I187&lt;=0,"",IFERROR(M187/I187-1,"")))</f>
        <v/>
      </c>
      <c r="N188" s="15">
        <f>IF(OR(N187="",J187=""),"",IF(J187&lt;=0,"",IFERROR(N187/J187-1,"")))</f>
        <v/>
      </c>
      <c r="V188" s="15">
        <f>IF(OR(V187="",U187=""),"",IF(U187&lt;=0,"",IFERROR(V187/U187-1,"")))</f>
        <v/>
      </c>
      <c r="W188" s="15">
        <f>IF(OR(W187="",V187=""),"",IF(V187&lt;=0,"",IFERROR(W187/V187-1,"")))</f>
        <v/>
      </c>
      <c r="X188" s="15">
        <f>IF(OR(X187="",W187=""),"",IF(W187&lt;=0,"",IFERROR(X187/W187-1,"")))</f>
        <v/>
      </c>
    </row>
    <row r="189">
      <c r="A189" s="18" t="inlineStr">
        <is>
          <t>EngineerplatformserviceReportableSegmentMember · 부문 이익</t>
        </is>
      </c>
      <c r="C189" s="20" t="n">
        <v>274.969</v>
      </c>
      <c r="D189" s="20" t="n">
        <v>212.798</v>
      </c>
      <c r="E189" s="20" t="n">
        <v>255.318</v>
      </c>
      <c r="F189" s="20" t="n">
        <v>357.367</v>
      </c>
      <c r="G189" s="20" t="n">
        <v>389.73</v>
      </c>
      <c r="H189" s="20" t="n">
        <v>342.801</v>
      </c>
      <c r="I189" s="20" t="n">
        <v>228.123</v>
      </c>
      <c r="J189" s="20" t="n">
        <v>187.607</v>
      </c>
      <c r="K189" s="20" t="n">
        <v>238.473</v>
      </c>
      <c r="L189" s="20" t="n">
        <v>356.558</v>
      </c>
      <c r="M189" s="20" t="n">
        <v>425.058</v>
      </c>
      <c r="N189" s="20" t="n">
        <v>414.939</v>
      </c>
      <c r="V189" s="20" t="n">
        <v>357.367</v>
      </c>
      <c r="W189" s="20" t="n">
        <v>187.607</v>
      </c>
      <c r="X189" s="20" t="n">
        <v>414.939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IF(OR(C189="",C176=""),"",IF(C176&lt;=0,"",IFERROR(C189/C176,"")))</f>
        <v/>
      </c>
      <c r="D190" s="15">
        <f>IF(OR(D189="",D176=""),"",IF(D176&lt;=0,"",IFERROR(D189/D176,"")))</f>
        <v/>
      </c>
      <c r="E190" s="15">
        <f>IF(OR(E189="",E176=""),"",IF(E176&lt;=0,"",IFERROR(E189/E176,"")))</f>
        <v/>
      </c>
      <c r="F190" s="15">
        <f>IF(OR(F189="",F176=""),"",IF(F176&lt;=0,"",IFERROR(F189/F176,"")))</f>
        <v/>
      </c>
      <c r="G190" s="15">
        <f>IF(OR(G189="",G176=""),"",IF(G176&lt;=0,"",IFERROR(G189/G176,"")))</f>
        <v/>
      </c>
      <c r="H190" s="15">
        <f>IF(OR(H189="",H176=""),"",IF(H176&lt;=0,"",IFERROR(H189/H176,"")))</f>
        <v/>
      </c>
      <c r="I190" s="15">
        <f>IF(OR(I189="",I176=""),"",IF(I176&lt;=0,"",IFERROR(I189/I176,"")))</f>
        <v/>
      </c>
      <c r="J190" s="15">
        <f>IF(OR(J189="",J176=""),"",IF(J176&lt;=0,"",IFERROR(J189/J176,"")))</f>
        <v/>
      </c>
      <c r="K190" s="15">
        <f>IF(OR(K189="",K176=""),"",IF(K176&lt;=0,"",IFERROR(K189/K176,"")))</f>
        <v/>
      </c>
      <c r="L190" s="15">
        <f>IF(OR(L189="",L176=""),"",IF(L176&lt;=0,"",IFERROR(L189/L176,"")))</f>
        <v/>
      </c>
      <c r="M190" s="15">
        <f>IF(OR(M189="",M176=""),"",IF(M176&lt;=0,"",IFERROR(M189/M176,"")))</f>
        <v/>
      </c>
      <c r="N190" s="15">
        <f>IF(OR(N189="",N176=""),"",IF(N176&lt;=0,"",IFERROR(N189/N176,"")))</f>
        <v/>
      </c>
      <c r="V190" s="15">
        <f>IF(OR(V189="",V176=""),"",IF(V176&lt;=0,"",IFERROR(V189/V176,"")))</f>
        <v/>
      </c>
      <c r="W190" s="15">
        <f>IF(OR(W189="",W176=""),"",IF(W176&lt;=0,"",IFERROR(W189/W176,"")))</f>
        <v/>
      </c>
      <c r="X190" s="15">
        <f>IF(OR(X189="",X176=""),"",IF(X176&lt;=0,"",IFERROR(X189/X176,"")))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J191" s="15">
        <f>IF(OR(J189="",F189=""),"",IF(F189&lt;=0,"",IFERROR(J189/F189-1,"")))</f>
        <v/>
      </c>
      <c r="K191" s="15">
        <f>IF(OR(K189="",G189=""),"",IF(G189&lt;=0,"",IFERROR(K189/G189-1,"")))</f>
        <v/>
      </c>
      <c r="L191" s="15">
        <f>IF(OR(L189="",H189=""),"",IF(H189&lt;=0,"",IFERROR(L189/H189-1,"")))</f>
        <v/>
      </c>
      <c r="M191" s="15">
        <f>IF(OR(M189="",I189=""),"",IF(I189&lt;=0,"",IFERROR(M189/I189-1,"")))</f>
        <v/>
      </c>
      <c r="N191" s="15">
        <f>IF(OR(N189="",J189=""),"",IF(J189&lt;=0,"",IFERROR(N189/J189-1,"")))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  <c r="X191" s="15">
        <f>IF(OR(X189="",W189=""),"",IF(W189&lt;=0,"",IFERROR(X189/W189-1,"")))</f>
        <v/>
      </c>
    </row>
    <row r="192">
      <c r="A192" s="18" t="inlineStr">
        <is>
          <t>MarketingplatformserviceReportableSegmentMember · 부문 이익</t>
        </is>
      </c>
      <c r="C192" s="20" t="n">
        <v>11.261</v>
      </c>
      <c r="D192" s="20" t="n">
        <v>22.431</v>
      </c>
      <c r="E192" s="20" t="n">
        <v>2.719</v>
      </c>
      <c r="F192" s="20" t="n">
        <v>3.838</v>
      </c>
      <c r="G192" s="20" t="n">
        <v>27.935</v>
      </c>
      <c r="H192" s="20" t="n">
        <v>10.048</v>
      </c>
      <c r="I192" s="20" t="n">
        <v>11.234</v>
      </c>
      <c r="J192" s="20" t="n">
        <v>-0.5649999999999999</v>
      </c>
      <c r="K192" s="20" t="n">
        <v>-9.981999999999999</v>
      </c>
      <c r="L192" s="20" t="n">
        <v>0.399</v>
      </c>
      <c r="M192" s="20" t="n">
        <v>-2.257</v>
      </c>
      <c r="N192" s="20" t="n">
        <v>22.486</v>
      </c>
      <c r="V192" s="20" t="n">
        <v>3.838</v>
      </c>
      <c r="W192" s="20" t="n">
        <v>-0.5649999999999999</v>
      </c>
      <c r="X192" s="20" t="n">
        <v>22.486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IF(OR(C192="",C178=""),"",IF(C178&lt;=0,"",IFERROR(C192/C178,"")))</f>
        <v/>
      </c>
      <c r="D193" s="15">
        <f>IF(OR(D192="",D178=""),"",IF(D178&lt;=0,"",IFERROR(D192/D178,"")))</f>
        <v/>
      </c>
      <c r="E193" s="15">
        <f>IF(OR(E192="",E178=""),"",IF(E178&lt;=0,"",IFERROR(E192/E178,"")))</f>
        <v/>
      </c>
      <c r="F193" s="15">
        <f>IF(OR(F192="",F178=""),"",IF(F178&lt;=0,"",IFERROR(F192/F178,"")))</f>
        <v/>
      </c>
      <c r="G193" s="15">
        <f>IF(OR(G192="",G178=""),"",IF(G178&lt;=0,"",IFERROR(G192/G178,"")))</f>
        <v/>
      </c>
      <c r="H193" s="15">
        <f>IF(OR(H192="",H178=""),"",IF(H178&lt;=0,"",IFERROR(H192/H178,"")))</f>
        <v/>
      </c>
      <c r="I193" s="15">
        <f>IF(OR(I192="",I178=""),"",IF(I178&lt;=0,"",IFERROR(I192/I178,"")))</f>
        <v/>
      </c>
      <c r="J193" s="15">
        <f>IF(OR(J192="",J178=""),"",IF(J178&lt;=0,"",IFERROR(J192/J178,"")))</f>
        <v/>
      </c>
      <c r="K193" s="15">
        <f>IF(OR(K192="",K178=""),"",IF(K178&lt;=0,"",IFERROR(K192/K178,"")))</f>
        <v/>
      </c>
      <c r="L193" s="15">
        <f>IF(OR(L192="",L178=""),"",IF(L178&lt;=0,"",IFERROR(L192/L178,"")))</f>
        <v/>
      </c>
      <c r="M193" s="15">
        <f>IF(OR(M192="",M178=""),"",IF(M178&lt;=0,"",IFERROR(M192/M178,"")))</f>
        <v/>
      </c>
      <c r="N193" s="15">
        <f>IF(OR(N192="",N178=""),"",IF(N178&lt;=0,"",IFERROR(N192/N178,"")))</f>
        <v/>
      </c>
      <c r="V193" s="15">
        <f>IF(OR(V192="",V178=""),"",IF(V178&lt;=0,"",IFERROR(V192/V178,"")))</f>
        <v/>
      </c>
      <c r="W193" s="15">
        <f>IF(OR(W192="",W178=""),"",IF(W178&lt;=0,"",IFERROR(W192/W178,"")))</f>
        <v/>
      </c>
      <c r="X193" s="15">
        <f>IF(OR(X192="",X178=""),"",IF(X178&lt;=0,"",IFERROR(X192/X178,"")))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5">
      <c r="A195" s="18" t="inlineStr">
        <is>
          <t>ConsulAdvisoryserviceReportableSegmentMember · 부문 이익</t>
        </is>
      </c>
      <c r="C195" s="20" t="n">
        <v>-21.129</v>
      </c>
      <c r="D195" s="20" t="n">
        <v>8.741</v>
      </c>
      <c r="E195" s="20" t="n">
        <v>77.486</v>
      </c>
      <c r="G195" s="20" t="n">
        <v>73.51000000000001</v>
      </c>
      <c r="H195" s="20" t="n">
        <v>366.611</v>
      </c>
      <c r="I195" s="20" t="n">
        <v>59.712</v>
      </c>
      <c r="J195" s="20" t="n">
        <v>-12.359</v>
      </c>
      <c r="K195" s="20" t="n">
        <v>636.49</v>
      </c>
      <c r="L195" s="20" t="n">
        <v>-162.884</v>
      </c>
      <c r="M195" s="20" t="n">
        <v>-77.613</v>
      </c>
      <c r="N195" s="20" t="n">
        <v>27.062</v>
      </c>
      <c r="W195" s="20" t="n">
        <v>-12.359</v>
      </c>
      <c r="X195" s="20" t="n">
        <v>27.062</v>
      </c>
    </row>
    <row r="196">
      <c r="A196" s="43" t="inlineStr">
        <is>
          <t>OPM</t>
        </is>
      </c>
      <c r="B196" s="3" t="inlineStr">
        <is>
          <t>영업이익 ÷ 매출</t>
        </is>
      </c>
      <c r="C196" s="15">
        <f>IF(OR(C195="",C180=""),"",IF(C180&lt;=0,"",IFERROR(C195/C180,"")))</f>
        <v/>
      </c>
      <c r="D196" s="15">
        <f>IF(OR(D195="",D180=""),"",IF(D180&lt;=0,"",IFERROR(D195/D180,"")))</f>
        <v/>
      </c>
      <c r="E196" s="15">
        <f>IF(OR(E195="",E180=""),"",IF(E180&lt;=0,"",IFERROR(E195/E180,"")))</f>
        <v/>
      </c>
      <c r="G196" s="15">
        <f>IF(OR(G195="",G180=""),"",IF(G180&lt;=0,"",IFERROR(G195/G180,"")))</f>
        <v/>
      </c>
      <c r="H196" s="15">
        <f>IF(OR(H195="",H180=""),"",IF(H180&lt;=0,"",IFERROR(H195/H180,"")))</f>
        <v/>
      </c>
      <c r="I196" s="15">
        <f>IF(OR(I195="",I180=""),"",IF(I180&lt;=0,"",IFERROR(I195/I180,"")))</f>
        <v/>
      </c>
      <c r="J196" s="15">
        <f>IF(OR(J195="",J180=""),"",IF(J180&lt;=0,"",IFERROR(J195/J180,"")))</f>
        <v/>
      </c>
      <c r="K196" s="15">
        <f>IF(OR(K195="",K180=""),"",IF(K180&lt;=0,"",IFERROR(K195/K180,"")))</f>
        <v/>
      </c>
      <c r="L196" s="15">
        <f>IF(OR(L195="",L180=""),"",IF(L180&lt;=0,"",IFERROR(L195/L180,"")))</f>
        <v/>
      </c>
      <c r="M196" s="15">
        <f>IF(OR(M195="",M180=""),"",IF(M180&lt;=0,"",IFERROR(M195/M180,"")))</f>
        <v/>
      </c>
      <c r="N196" s="15">
        <f>IF(OR(N195="",N180=""),"",IF(N180&lt;=0,"",IFERROR(N195/N180,"")))</f>
        <v/>
      </c>
      <c r="W196" s="15">
        <f>IF(OR(W195="",W180=""),"",IF(W180&lt;=0,"",IFERROR(W195/W180,"")))</f>
        <v/>
      </c>
      <c r="X196" s="15">
        <f>IF(OR(X195="",X180=""),"",IF(X180&lt;=0,"",IFERROR(X195/X180,"")))</f>
        <v/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IF(OR(G195="",C195=""),"",IF(C195&lt;=0,"",IFERROR(G195/C195-1,"")))</f>
        <v/>
      </c>
      <c r="H197" s="15">
        <f>IF(OR(H195="",D195=""),"",IF(D195&lt;=0,"",IFERROR(H195/D195-1,"")))</f>
        <v/>
      </c>
      <c r="I197" s="15">
        <f>IF(OR(I195="",E195=""),"",IF(E195&lt;=0,"",IFERROR(I195/E195-1,"")))</f>
        <v/>
      </c>
      <c r="J197" s="15">
        <f>IF(OR(J195="",F195=""),"",IF(F195&lt;=0,"",IFERROR(J195/F195-1,"")))</f>
        <v/>
      </c>
      <c r="K197" s="15">
        <f>IF(OR(K195="",G195=""),"",IF(G195&lt;=0,"",IFERROR(K195/G195-1,"")))</f>
        <v/>
      </c>
      <c r="L197" s="15">
        <f>IF(OR(L195="",H195=""),"",IF(H195&lt;=0,"",IFERROR(L195/H195-1,"")))</f>
        <v/>
      </c>
      <c r="M197" s="15">
        <f>IF(OR(M195="",I195=""),"",IF(I195&lt;=0,"",IFERROR(M195/I195-1,"")))</f>
        <v/>
      </c>
      <c r="N197" s="15">
        <f>IF(OR(N195="",J195=""),"",IF(J195&lt;=0,"",IFERROR(N195/J195-1,"")))</f>
        <v/>
      </c>
      <c r="W197" s="15">
        <f>IF(OR(W195="",V195=""),"",IF(V195&lt;=0,"",IFERROR(W195/V195-1,"")))</f>
        <v/>
      </c>
      <c r="X197" s="15">
        <f>IF(OR(X195="",W195=""),"",IF(W195&lt;=0,"",IFERROR(X195/W195-1,"")))</f>
        <v/>
      </c>
    </row>
    <row r="198">
      <c r="A198" s="18" t="inlineStr">
        <is>
          <t>보고부문 합계 · 부문 이익</t>
        </is>
      </c>
      <c r="C198" s="20" t="n">
        <v>265.102</v>
      </c>
      <c r="D198" s="20" t="n">
        <v>243.968</v>
      </c>
      <c r="E198" s="20" t="n">
        <v>335.524</v>
      </c>
      <c r="F198" s="20" t="n">
        <v>579.15</v>
      </c>
      <c r="G198" s="20" t="n">
        <v>491.176</v>
      </c>
      <c r="H198" s="20" t="n">
        <v>719.461</v>
      </c>
      <c r="I198" s="20" t="n">
        <v>299.069</v>
      </c>
      <c r="J198" s="20" t="n">
        <v>174.682</v>
      </c>
      <c r="K198" s="20" t="n">
        <v>864.981</v>
      </c>
      <c r="L198" s="20" t="n">
        <v>194.072</v>
      </c>
      <c r="M198" s="20" t="n">
        <v>345.189</v>
      </c>
      <c r="N198" s="20" t="n">
        <v>464.488</v>
      </c>
      <c r="V198" s="20" t="n">
        <v>579.15</v>
      </c>
      <c r="W198" s="20" t="n">
        <v>174.682</v>
      </c>
      <c r="X198" s="20" t="n">
        <v>464.488</v>
      </c>
    </row>
    <row r="199">
      <c r="A199" s="43" t="inlineStr">
        <is>
          <t>OPM</t>
        </is>
      </c>
      <c r="B199" s="3" t="inlineStr">
        <is>
          <t>영업이익 ÷ 매출</t>
        </is>
      </c>
      <c r="C199" s="15">
        <f>IF(OR(C198="",C182=""),"",IF(C182&lt;=0,"",IFERROR(C198/C182,"")))</f>
        <v/>
      </c>
      <c r="D199" s="15">
        <f>IF(OR(D198="",D182=""),"",IF(D182&lt;=0,"",IFERROR(D198/D182,"")))</f>
        <v/>
      </c>
      <c r="E199" s="15">
        <f>IF(OR(E198="",E182=""),"",IF(E182&lt;=0,"",IFERROR(E198/E182,"")))</f>
        <v/>
      </c>
      <c r="F199" s="15">
        <f>IF(OR(F198="",F182=""),"",IF(F182&lt;=0,"",IFERROR(F198/F182,"")))</f>
        <v/>
      </c>
      <c r="G199" s="15">
        <f>IF(OR(G198="",G182=""),"",IF(G182&lt;=0,"",IFERROR(G198/G182,"")))</f>
        <v/>
      </c>
      <c r="H199" s="15">
        <f>IF(OR(H198="",H182=""),"",IF(H182&lt;=0,"",IFERROR(H198/H182,"")))</f>
        <v/>
      </c>
      <c r="I199" s="15">
        <f>IF(OR(I198="",I182=""),"",IF(I182&lt;=0,"",IFERROR(I198/I182,"")))</f>
        <v/>
      </c>
      <c r="J199" s="15">
        <f>IF(OR(J198="",J182=""),"",IF(J182&lt;=0,"",IFERROR(J198/J182,"")))</f>
        <v/>
      </c>
      <c r="K199" s="15">
        <f>IF(OR(K198="",K182=""),"",IF(K182&lt;=0,"",IFERROR(K198/K182,"")))</f>
        <v/>
      </c>
      <c r="L199" s="15">
        <f>IF(OR(L198="",L182=""),"",IF(L182&lt;=0,"",IFERROR(L198/L182,"")))</f>
        <v/>
      </c>
      <c r="M199" s="15">
        <f>IF(OR(M198="",M182=""),"",IF(M182&lt;=0,"",IFERROR(M198/M182,"")))</f>
        <v/>
      </c>
      <c r="N199" s="15">
        <f>IF(OR(N198="",N182=""),"",IF(N182&lt;=0,"",IFERROR(N198/N182,"")))</f>
        <v/>
      </c>
      <c r="V199" s="15">
        <f>IF(OR(V198="",V182=""),"",IF(V182&lt;=0,"",IFERROR(V198/V182,"")))</f>
        <v/>
      </c>
      <c r="W199" s="15">
        <f>IF(OR(W198="",W182=""),"",IF(W182&lt;=0,"",IFERROR(W198/W182,"")))</f>
        <v/>
      </c>
      <c r="X199" s="15">
        <f>IF(OR(X198="",X182=""),"",IF(X182&lt;=0,"",IFERROR(X198/X182,"")))</f>
        <v/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IF(OR(G198="",C198=""),"",IF(C198&lt;=0,"",IFERROR(G198/C198-1,"")))</f>
        <v/>
      </c>
      <c r="H200" s="15">
        <f>IF(OR(H198="",D198=""),"",IF(D198&lt;=0,"",IFERROR(H198/D198-1,"")))</f>
        <v/>
      </c>
      <c r="I200" s="15">
        <f>IF(OR(I198="",E198=""),"",IF(E198&lt;=0,"",IFERROR(I198/E198-1,"")))</f>
        <v/>
      </c>
      <c r="J200" s="15">
        <f>IF(OR(J198="",F198=""),"",IF(F198&lt;=0,"",IFERROR(J198/F198-1,"")))</f>
        <v/>
      </c>
      <c r="K200" s="15">
        <f>IF(OR(K198="",G198=""),"",IF(G198&lt;=0,"",IFERROR(K198/G198-1,"")))</f>
        <v/>
      </c>
      <c r="L200" s="15">
        <f>IF(OR(L198="",H198=""),"",IF(H198&lt;=0,"",IFERROR(L198/H198-1,"")))</f>
        <v/>
      </c>
      <c r="M200" s="15">
        <f>IF(OR(M198="",I198=""),"",IF(I198&lt;=0,"",IFERROR(M198/I198-1,"")))</f>
        <v/>
      </c>
      <c r="N200" s="15">
        <f>IF(OR(N198="",J198=""),"",IF(J198&lt;=0,"",IFERROR(N198/J198-1,"")))</f>
        <v/>
      </c>
      <c r="V200" s="15">
        <f>IF(OR(V198="",U198=""),"",IF(U198&lt;=0,"",IFERROR(V198/U198-1,"")))</f>
        <v/>
      </c>
      <c r="W200" s="15">
        <f>IF(OR(W198="",V198=""),"",IF(V198&lt;=0,"",IFERROR(W198/V198-1,"")))</f>
        <v/>
      </c>
      <c r="X200" s="15">
        <f>IF(OR(X198="",W198=""),"",IF(W198&lt;=0,"",IFERROR(X198/W198-1,"")))</f>
        <v/>
      </c>
    </row>
    <row r="201">
      <c r="A201" s="18" t="inlineStr">
        <is>
          <t>기타 · 부문 이익</t>
        </is>
      </c>
      <c r="C201" s="20" t="n">
        <v>-205.792</v>
      </c>
      <c r="D201" s="20" t="n">
        <v>-233.499</v>
      </c>
      <c r="G201" s="20" t="n">
        <v>-199.517</v>
      </c>
      <c r="H201" s="20" t="n">
        <v>-200.441</v>
      </c>
      <c r="K201" s="20" t="n">
        <v>-233.339</v>
      </c>
      <c r="L201" s="20" t="n">
        <v>-280.719</v>
      </c>
    </row>
    <row r="202">
      <c r="A202" s="43" t="inlineStr">
        <is>
          <t>OPM</t>
        </is>
      </c>
      <c r="B202" s="3" t="inlineStr">
        <is>
          <t>영업이익 ÷ 매출</t>
        </is>
      </c>
      <c r="C202" s="15">
        <f>IF(OR(C201="",C184=""),"",IF(C184&lt;=0,"",IFERROR(C201/C184,"")))</f>
        <v/>
      </c>
      <c r="D202" s="15">
        <f>IF(OR(D201="",D184=""),"",IF(D184&lt;=0,"",IFERROR(D201/D184,"")))</f>
        <v/>
      </c>
      <c r="G202" s="15">
        <f>IF(OR(G201="",G184=""),"",IF(G184&lt;=0,"",IFERROR(G201/G184,"")))</f>
        <v/>
      </c>
      <c r="H202" s="15">
        <f>IF(OR(H201="",H184=""),"",IF(H184&lt;=0,"",IFERROR(H201/H184,"")))</f>
        <v/>
      </c>
      <c r="K202" s="15">
        <f>IF(OR(K201="",K184=""),"",IF(K184&lt;=0,"",IFERROR(K201/K184,"")))</f>
        <v/>
      </c>
      <c r="L202" s="15">
        <f>IF(OR(L201="",L184=""),"",IF(L184&lt;=0,"",IFERROR(L201/L184,"")))</f>
        <v/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IF(OR(G201="",C201=""),"",IF(C201&lt;=0,"",IFERROR(G201/C201-1,"")))</f>
        <v/>
      </c>
      <c r="H203" s="15">
        <f>IF(OR(H201="",D201=""),"",IF(D201&lt;=0,"",IFERROR(H201/D201-1,"")))</f>
        <v/>
      </c>
      <c r="K203" s="15">
        <f>IF(OR(K201="",G201=""),"",IF(G201&lt;=0,"",IFERROR(K201/G201-1,"")))</f>
        <v/>
      </c>
      <c r="L203" s="15">
        <f>IF(OR(L201="",H201=""),"",IF(H201&lt;=0,"",IFERROR(L201/H201-1,"")))</f>
        <v/>
      </c>
    </row>
    <row r="204">
      <c r="A204" s="18" t="inlineStr">
        <is>
          <t>조정액 · 부문 이익</t>
        </is>
      </c>
      <c r="J204" s="20" t="n">
        <v>-239.003</v>
      </c>
      <c r="N204" s="20" t="n">
        <v>-256.539</v>
      </c>
      <c r="W204" s="20" t="n">
        <v>-239.003</v>
      </c>
      <c r="X204" s="20" t="n">
        <v>-256.539</v>
      </c>
    </row>
    <row r="205">
      <c r="A205" s="18" t="inlineStr">
        <is>
          <t>합계 · 부문 이익</t>
        </is>
      </c>
      <c r="C205" s="20" t="n">
        <v>59.309</v>
      </c>
      <c r="D205" s="20" t="n">
        <v>10.469</v>
      </c>
      <c r="E205" s="20" t="n">
        <v>80.938</v>
      </c>
      <c r="F205" s="20" t="n">
        <v>1273.028</v>
      </c>
      <c r="G205" s="20" t="n">
        <v>291.658</v>
      </c>
      <c r="H205" s="20" t="n">
        <v>519.02</v>
      </c>
      <c r="I205" s="20" t="n">
        <v>83.04600000000001</v>
      </c>
      <c r="J205" s="20" t="n">
        <v>-64.321</v>
      </c>
      <c r="K205" s="20" t="n">
        <v>631.6420000000001</v>
      </c>
      <c r="L205" s="20" t="n">
        <v>-86.64700000000001</v>
      </c>
      <c r="M205" s="20" t="n">
        <v>79</v>
      </c>
      <c r="N205" s="20" t="n">
        <v>207.949</v>
      </c>
      <c r="V205" s="20" t="n">
        <v>1273.028</v>
      </c>
      <c r="W205" s="20" t="n">
        <v>-64.321</v>
      </c>
      <c r="X205" s="20" t="n">
        <v>207.949</v>
      </c>
    </row>
    <row r="206">
      <c r="A206" s="43" t="inlineStr">
        <is>
          <t>OPM</t>
        </is>
      </c>
      <c r="B206" s="3" t="inlineStr">
        <is>
          <t>영업이익 ÷ 매출</t>
        </is>
      </c>
      <c r="C206" s="15">
        <f>IF(OR(C205="",C187=""),"",IF(C187&lt;=0,"",IFERROR(C205/C187,"")))</f>
        <v/>
      </c>
      <c r="D206" s="15">
        <f>IF(OR(D205="",D187=""),"",IF(D187&lt;=0,"",IFERROR(D205/D187,"")))</f>
        <v/>
      </c>
      <c r="E206" s="15">
        <f>IF(OR(E205="",E187=""),"",IF(E187&lt;=0,"",IFERROR(E205/E187,"")))</f>
        <v/>
      </c>
      <c r="F206" s="15">
        <f>IF(OR(F205="",F187=""),"",IF(F187&lt;=0,"",IFERROR(F205/F187,"")))</f>
        <v/>
      </c>
      <c r="G206" s="15">
        <f>IF(OR(G205="",G187=""),"",IF(G187&lt;=0,"",IFERROR(G205/G187,"")))</f>
        <v/>
      </c>
      <c r="H206" s="15">
        <f>IF(OR(H205="",H187=""),"",IF(H187&lt;=0,"",IFERROR(H205/H187,"")))</f>
        <v/>
      </c>
      <c r="I206" s="15">
        <f>IF(OR(I205="",I187=""),"",IF(I187&lt;=0,"",IFERROR(I205/I187,"")))</f>
        <v/>
      </c>
      <c r="J206" s="15">
        <f>IF(OR(J205="",J187=""),"",IF(J187&lt;=0,"",IFERROR(J205/J187,"")))</f>
        <v/>
      </c>
      <c r="K206" s="15">
        <f>IF(OR(K205="",K187=""),"",IF(K187&lt;=0,"",IFERROR(K205/K187,"")))</f>
        <v/>
      </c>
      <c r="L206" s="15">
        <f>IF(OR(L205="",L187=""),"",IF(L187&lt;=0,"",IFERROR(L205/L187,"")))</f>
        <v/>
      </c>
      <c r="M206" s="15">
        <f>IF(OR(M205="",M187=""),"",IF(M187&lt;=0,"",IFERROR(M205/M187,"")))</f>
        <v/>
      </c>
      <c r="N206" s="15">
        <f>IF(OR(N205="",N187=""),"",IF(N187&lt;=0,"",IFERROR(N205/N187,"")))</f>
        <v/>
      </c>
      <c r="V206" s="15">
        <f>IF(OR(V205="",V187=""),"",IF(V187&lt;=0,"",IFERROR(V205/V187,"")))</f>
        <v/>
      </c>
      <c r="W206" s="15">
        <f>IF(OR(W205="",W187=""),"",IF(W187&lt;=0,"",IFERROR(W205/W187,"")))</f>
        <v/>
      </c>
      <c r="X206" s="15">
        <f>IF(OR(X205="",X187=""),"",IF(X187&lt;=0,"",IFERROR(X205/X187,"")))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IF(OR(G205="",C205=""),"",IF(C205&lt;=0,"",IFERROR(G205/C205-1,"")))</f>
        <v/>
      </c>
      <c r="H207" s="15">
        <f>IF(OR(H205="",D205=""),"",IF(D205&lt;=0,"",IFERROR(H205/D205-1,"")))</f>
        <v/>
      </c>
      <c r="I207" s="15">
        <f>IF(OR(I205="",E205=""),"",IF(E205&lt;=0,"",IFERROR(I205/E205-1,"")))</f>
        <v/>
      </c>
      <c r="J207" s="15">
        <f>IF(OR(J205="",F205=""),"",IF(F205&lt;=0,"",IFERROR(J205/F205-1,"")))</f>
        <v/>
      </c>
      <c r="K207" s="15">
        <f>IF(OR(K205="",G205=""),"",IF(G205&lt;=0,"",IFERROR(K205/G205-1,"")))</f>
        <v/>
      </c>
      <c r="L207" s="15">
        <f>IF(OR(L205="",H205=""),"",IF(H205&lt;=0,"",IFERROR(L205/H205-1,"")))</f>
        <v/>
      </c>
      <c r="M207" s="15">
        <f>IF(OR(M205="",I205=""),"",IF(I205&lt;=0,"",IFERROR(M205/I205-1,"")))</f>
        <v/>
      </c>
      <c r="N207" s="15">
        <f>IF(OR(N205="",J205=""),"",IF(J205&lt;=0,"",IFERROR(N205/J205-1,"")))</f>
        <v/>
      </c>
      <c r="V207" s="15">
        <f>IF(OR(V205="",U205=""),"",IF(U205&lt;=0,"",IFERROR(V205/U205-1,"")))</f>
        <v/>
      </c>
      <c r="W207" s="15">
        <f>IF(OR(W205="",V205=""),"",IF(V205&lt;=0,"",IFERROR(W205/V205-1,"")))</f>
        <v/>
      </c>
      <c r="X207" s="15">
        <f>IF(OR(X205="",W205=""),"",IF(W205&lt;=0,"",IFERROR(X205/W205-1,"")))</f>
        <v/>
      </c>
    </row>
    <row r="209">
      <c r="A209" s="16" t="inlineStr">
        <is>
          <t>현금흐름표 · 전 항목</t>
        </is>
      </c>
      <c r="B209" s="42" t="inlineStr">
        <is>
          <t>분기 = 결산기 첫날부터 누계(공시 그대로)</t>
        </is>
      </c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  <c r="AA209" s="16" t="n"/>
      <c r="AB209" s="16" t="n"/>
      <c r="AC209" s="16" t="n"/>
    </row>
    <row r="210">
      <c r="A210" s="5" t="inlineStr">
        <is>
          <t>항목</t>
        </is>
      </c>
      <c r="B210" s="5" t="inlineStr">
        <is>
          <t>참고</t>
        </is>
      </c>
      <c r="C210" s="5" t="inlineStr">
        <is>
          <t>2024.1Q</t>
        </is>
      </c>
      <c r="D210" s="5" t="inlineStr">
        <is>
          <t>2024.2Q</t>
        </is>
      </c>
      <c r="E210" s="5" t="inlineStr">
        <is>
          <t>2024.3Q</t>
        </is>
      </c>
      <c r="F210" s="5" t="inlineStr">
        <is>
          <t>2024.4Q</t>
        </is>
      </c>
      <c r="G210" s="5" t="inlineStr">
        <is>
          <t>2025.1Q</t>
        </is>
      </c>
      <c r="H210" s="5" t="inlineStr">
        <is>
          <t>2025.2Q</t>
        </is>
      </c>
      <c r="I210" s="5" t="inlineStr">
        <is>
          <t>2025.3Q</t>
        </is>
      </c>
      <c r="J210" s="5" t="inlineStr">
        <is>
          <t>2025.4Q</t>
        </is>
      </c>
      <c r="K210" s="5" t="inlineStr">
        <is>
          <t>2026.1Q</t>
        </is>
      </c>
      <c r="L210" s="5" t="inlineStr">
        <is>
          <t>2026.2Q</t>
        </is>
      </c>
      <c r="M210" s="5" t="inlineStr">
        <is>
          <t>2026.3Q</t>
        </is>
      </c>
      <c r="N210" s="5" t="inlineStr">
        <is>
          <t>2026.4Q</t>
        </is>
      </c>
      <c r="O210" s="5" t="inlineStr">
        <is>
          <t>2017</t>
        </is>
      </c>
      <c r="P210" s="5" t="inlineStr">
        <is>
          <t>2018</t>
        </is>
      </c>
      <c r="Q210" s="5" t="inlineStr">
        <is>
          <t>2019</t>
        </is>
      </c>
      <c r="R210" s="5" t="inlineStr">
        <is>
          <t>2020</t>
        </is>
      </c>
      <c r="S210" s="5" t="inlineStr">
        <is>
          <t>2021</t>
        </is>
      </c>
      <c r="T210" s="5" t="inlineStr">
        <is>
          <t>2022</t>
        </is>
      </c>
      <c r="U210" s="5" t="inlineStr">
        <is>
          <t>2023</t>
        </is>
      </c>
      <c r="V210" s="5" t="inlineStr">
        <is>
          <t>2024</t>
        </is>
      </c>
      <c r="W210" s="5" t="inlineStr">
        <is>
          <t>2025</t>
        </is>
      </c>
      <c r="X210" s="5" t="inlineStr">
        <is>
          <t>2026</t>
        </is>
      </c>
      <c r="Y210" s="5" t="inlineStr">
        <is>
          <t>2027(MW)</t>
        </is>
      </c>
      <c r="Z210" s="5" t="inlineStr">
        <is>
          <t>2028(MW)</t>
        </is>
      </c>
      <c r="AA210" s="5" t="inlineStr">
        <is>
          <t>2029(MW)</t>
        </is>
      </c>
      <c r="AB210" s="5" t="inlineStr">
        <is>
          <t>2030(MW)</t>
        </is>
      </c>
      <c r="AC210" s="5" t="inlineStr">
        <is>
          <t>2031(MW)</t>
        </is>
      </c>
    </row>
    <row r="211">
      <c r="A211" s="9" t="inlineStr">
        <is>
          <t>법인세차감전 순이익</t>
        </is>
      </c>
      <c r="D211" s="12" t="n">
        <v>65.70099999999999</v>
      </c>
      <c r="F211" s="12" t="n">
        <v>427.833</v>
      </c>
      <c r="H211" s="12" t="n">
        <v>813.871</v>
      </c>
      <c r="J211" s="12" t="n">
        <v>818.15</v>
      </c>
      <c r="L211" s="12" t="n">
        <v>596.25</v>
      </c>
      <c r="N211" s="12" t="n">
        <v>818.398</v>
      </c>
      <c r="Q211" s="12" t="n">
        <v>152.242</v>
      </c>
      <c r="R211" s="12" t="n">
        <v>116.723</v>
      </c>
      <c r="S211" s="12" t="n">
        <v>121.807</v>
      </c>
      <c r="T211" s="12" t="n">
        <v>213.417</v>
      </c>
      <c r="U211" s="12" t="n">
        <v>259.422</v>
      </c>
      <c r="V211" s="12" t="n">
        <v>427.833</v>
      </c>
      <c r="W211" s="12" t="n">
        <v>818.15</v>
      </c>
      <c r="X211" s="12" t="n">
        <v>818.398</v>
      </c>
    </row>
    <row r="212">
      <c r="A212" s="18" t="inlineStr">
        <is>
          <t>감가상각비</t>
        </is>
      </c>
      <c r="D212" s="20" t="n">
        <v>19.652</v>
      </c>
      <c r="F212" s="20" t="n">
        <v>41.271</v>
      </c>
      <c r="H212" s="20" t="n">
        <v>18.29</v>
      </c>
      <c r="J212" s="20" t="n">
        <v>39.873</v>
      </c>
      <c r="L212" s="20" t="n">
        <v>24.721</v>
      </c>
      <c r="N212" s="20" t="n">
        <v>71.15000000000001</v>
      </c>
      <c r="Q212" s="20" t="n">
        <v>1.599</v>
      </c>
      <c r="R212" s="20" t="n">
        <v>3.377</v>
      </c>
      <c r="U212" s="20" t="n">
        <v>33.744</v>
      </c>
      <c r="V212" s="20" t="n">
        <v>41.271</v>
      </c>
      <c r="W212" s="20" t="n">
        <v>39.873</v>
      </c>
      <c r="X212" s="20" t="n">
        <v>71.15000000000001</v>
      </c>
    </row>
    <row r="213">
      <c r="A213" s="18" t="inlineStr">
        <is>
          <t>영업권 상각</t>
        </is>
      </c>
      <c r="D213" s="20" t="n">
        <v>60.172</v>
      </c>
      <c r="F213" s="20" t="n">
        <v>129.323</v>
      </c>
      <c r="H213" s="20" t="n">
        <v>75.12</v>
      </c>
      <c r="J213" s="20" t="n">
        <v>185.023</v>
      </c>
      <c r="L213" s="20" t="n">
        <v>208.677</v>
      </c>
      <c r="N213" s="20" t="n">
        <v>423.807</v>
      </c>
      <c r="U213" s="20" t="n">
        <v>57.387</v>
      </c>
      <c r="V213" s="20" t="n">
        <v>129.323</v>
      </c>
      <c r="W213" s="20" t="n">
        <v>185.023</v>
      </c>
      <c r="X213" s="20" t="n">
        <v>423.807</v>
      </c>
    </row>
    <row r="214">
      <c r="A214" s="18" t="inlineStr">
        <is>
          <t>유형자산 제각손실</t>
        </is>
      </c>
      <c r="D214" s="20" t="n">
        <v>0</v>
      </c>
    </row>
    <row r="215">
      <c r="A215" s="18" t="inlineStr">
        <is>
          <t>손상차손</t>
        </is>
      </c>
      <c r="F215" s="20" t="n">
        <v>8.41</v>
      </c>
      <c r="J215" s="20" t="n">
        <v>0</v>
      </c>
      <c r="U215" s="20" t="n">
        <v>0</v>
      </c>
      <c r="V215" s="20" t="n">
        <v>8.41</v>
      </c>
      <c r="W215" s="20" t="n">
        <v>0</v>
      </c>
    </row>
    <row r="216">
      <c r="A216" s="18" t="inlineStr">
        <is>
          <t>사무소 이전비용</t>
        </is>
      </c>
      <c r="J216" s="20" t="n">
        <v>0</v>
      </c>
      <c r="N216" s="20" t="n">
        <v>24.577</v>
      </c>
      <c r="W216" s="20" t="n">
        <v>0</v>
      </c>
      <c r="X216" s="20" t="n">
        <v>24.577</v>
      </c>
    </row>
    <row r="217">
      <c r="A217" s="18" t="inlineStr">
        <is>
          <t>고정자산 제각손실</t>
        </is>
      </c>
      <c r="J217" s="20" t="n">
        <v>0</v>
      </c>
      <c r="N217" s="20" t="n">
        <v>4.1</v>
      </c>
      <c r="W217" s="20" t="n">
        <v>0</v>
      </c>
      <c r="X217" s="20" t="n">
        <v>4.1</v>
      </c>
    </row>
    <row r="218">
      <c r="A218" s="18" t="inlineStr">
        <is>
          <t>고정자산 매각손실</t>
        </is>
      </c>
      <c r="J218" s="20" t="n">
        <v>0</v>
      </c>
      <c r="N218" s="20" t="n">
        <v>1.369</v>
      </c>
      <c r="W218" s="20" t="n">
        <v>0</v>
      </c>
      <c r="X218" s="20" t="n">
        <v>1.369</v>
      </c>
    </row>
    <row r="219">
      <c r="A219" s="18" t="inlineStr">
        <is>
          <t>투자유가증권 매각손익</t>
        </is>
      </c>
      <c r="H219" s="20" t="n">
        <v>0</v>
      </c>
      <c r="J219" s="20" t="n">
        <v>0</v>
      </c>
      <c r="L219" s="20" t="n">
        <v>-1.149</v>
      </c>
      <c r="N219" s="20" t="n">
        <v>-1.149</v>
      </c>
      <c r="S219" s="20" t="n">
        <v>0</v>
      </c>
      <c r="T219" s="20" t="n">
        <v>-20.369</v>
      </c>
      <c r="U219" s="20" t="n">
        <v>0</v>
      </c>
      <c r="W219" s="20" t="n">
        <v>0</v>
      </c>
      <c r="X219" s="20" t="n">
        <v>-1.149</v>
      </c>
    </row>
    <row r="220">
      <c r="A220" s="18" t="inlineStr">
        <is>
          <t>신주예약권 환입이익</t>
        </is>
      </c>
      <c r="D220" s="20" t="n">
        <v>0</v>
      </c>
      <c r="F220" s="20" t="n">
        <v>-0.056</v>
      </c>
      <c r="H220" s="20" t="n">
        <v>-0.036</v>
      </c>
      <c r="J220" s="20" t="n">
        <v>-0.073</v>
      </c>
      <c r="L220" s="20" t="n">
        <v>0</v>
      </c>
      <c r="N220" s="20" t="n">
        <v>0</v>
      </c>
      <c r="U220" s="20" t="n">
        <v>0</v>
      </c>
      <c r="V220" s="20" t="n">
        <v>-0.056</v>
      </c>
      <c r="W220" s="20" t="n">
        <v>-0.073</v>
      </c>
      <c r="X220" s="20" t="n">
        <v>0</v>
      </c>
    </row>
    <row r="221">
      <c r="A221" s="18" t="inlineStr">
        <is>
          <t>상여충당금 증감액(△는 감소)</t>
        </is>
      </c>
      <c r="D221" s="20" t="n">
        <v>3.111</v>
      </c>
      <c r="F221" s="20" t="n">
        <v>-10.164</v>
      </c>
      <c r="H221" s="20" t="n">
        <v>-4.034</v>
      </c>
      <c r="J221" s="20" t="n">
        <v>-6.423</v>
      </c>
      <c r="L221" s="20" t="n">
        <v>13.193</v>
      </c>
      <c r="N221" s="20" t="n">
        <v>58.789</v>
      </c>
      <c r="U221" s="20" t="n">
        <v>-3.871</v>
      </c>
      <c r="V221" s="20" t="n">
        <v>-10.164</v>
      </c>
      <c r="W221" s="20" t="n">
        <v>-6.423</v>
      </c>
      <c r="X221" s="20" t="n">
        <v>58.789</v>
      </c>
    </row>
    <row r="222">
      <c r="A222" s="18" t="inlineStr">
        <is>
          <t>대손충당금 증감</t>
        </is>
      </c>
      <c r="D222" s="20" t="n">
        <v>-1.85</v>
      </c>
      <c r="F222" s="20" t="n">
        <v>9.061999999999999</v>
      </c>
      <c r="H222" s="20" t="n">
        <v>1.4</v>
      </c>
      <c r="J222" s="20" t="n">
        <v>3.402</v>
      </c>
      <c r="L222" s="20" t="n">
        <v>5.368</v>
      </c>
      <c r="N222" s="20" t="n">
        <v>11.663</v>
      </c>
      <c r="Q222" s="20" t="n">
        <v>11.516</v>
      </c>
      <c r="R222" s="20" t="n">
        <v>3.286</v>
      </c>
      <c r="S222" s="20" t="n">
        <v>7.895</v>
      </c>
      <c r="T222" s="20" t="n">
        <v>-7.49</v>
      </c>
      <c r="U222" s="20" t="n">
        <v>-3.341</v>
      </c>
      <c r="V222" s="20" t="n">
        <v>9.061999999999999</v>
      </c>
      <c r="W222" s="20" t="n">
        <v>3.402</v>
      </c>
      <c r="X222" s="20" t="n">
        <v>11.663</v>
      </c>
    </row>
    <row r="223">
      <c r="A223" s="18" t="inlineStr">
        <is>
          <t>이자수익</t>
        </is>
      </c>
      <c r="D223" s="20" t="n">
        <v>-0.246</v>
      </c>
      <c r="F223" s="20" t="n">
        <v>-0.764</v>
      </c>
      <c r="H223" s="20" t="n">
        <v>-1.946</v>
      </c>
      <c r="J223" s="20" t="n">
        <v>-6.18</v>
      </c>
      <c r="L223" s="20" t="n">
        <v>-5.847</v>
      </c>
      <c r="N223" s="20" t="n">
        <v>-14.916</v>
      </c>
      <c r="Q223" s="20" t="n">
        <v>-0.003</v>
      </c>
      <c r="R223" s="20" t="n">
        <v>-0.003</v>
      </c>
      <c r="S223" s="20" t="n">
        <v>-0.005</v>
      </c>
      <c r="T223" s="20" t="n">
        <v>-0.007</v>
      </c>
      <c r="U223" s="20" t="n">
        <v>-0.008</v>
      </c>
      <c r="V223" s="20" t="n">
        <v>-0.764</v>
      </c>
      <c r="W223" s="20" t="n">
        <v>-6.18</v>
      </c>
      <c r="X223" s="20" t="n">
        <v>-14.916</v>
      </c>
    </row>
    <row r="224">
      <c r="A224" s="18" t="inlineStr">
        <is>
          <t>이자비용</t>
        </is>
      </c>
      <c r="D224" s="20" t="n">
        <v>6.082</v>
      </c>
      <c r="F224" s="20" t="n">
        <v>14.249</v>
      </c>
      <c r="H224" s="20" t="n">
        <v>11.372</v>
      </c>
      <c r="J224" s="20" t="n">
        <v>27.033</v>
      </c>
      <c r="L224" s="20" t="n">
        <v>21.553</v>
      </c>
      <c r="N224" s="20" t="n">
        <v>50.874</v>
      </c>
      <c r="Q224" s="20" t="n">
        <v>2.036</v>
      </c>
      <c r="R224" s="20" t="n">
        <v>1.918</v>
      </c>
      <c r="S224" s="20" t="n">
        <v>1.698</v>
      </c>
      <c r="T224" s="20" t="n">
        <v>4.184</v>
      </c>
      <c r="U224" s="20" t="n">
        <v>6.387</v>
      </c>
      <c r="V224" s="20" t="n">
        <v>14.249</v>
      </c>
      <c r="W224" s="20" t="n">
        <v>27.033</v>
      </c>
      <c r="X224" s="20" t="n">
        <v>50.874</v>
      </c>
    </row>
    <row r="225">
      <c r="A225" s="18" t="inlineStr">
        <is>
          <t>주식교부비 상각</t>
        </is>
      </c>
      <c r="F225" s="20" t="n">
        <v>18.014</v>
      </c>
      <c r="Q225" s="20" t="n">
        <v>0</v>
      </c>
      <c r="R225" s="20" t="n">
        <v>0.464</v>
      </c>
      <c r="S225" s="20" t="n">
        <v>2.785</v>
      </c>
      <c r="T225" s="20" t="n">
        <v>2.532</v>
      </c>
      <c r="U225" s="20" t="n">
        <v>2.321</v>
      </c>
      <c r="V225" s="20" t="n">
        <v>18.014</v>
      </c>
    </row>
    <row r="226">
      <c r="A226" s="18" t="inlineStr">
        <is>
          <t>사업양도 손익</t>
        </is>
      </c>
      <c r="D226" s="20" t="n">
        <v>0</v>
      </c>
      <c r="H226" s="20" t="n">
        <v>-10.9</v>
      </c>
      <c r="L226" s="20" t="n">
        <v>0</v>
      </c>
      <c r="Q226" s="20" t="n">
        <v>-9</v>
      </c>
      <c r="R226" s="20" t="n">
        <v>0</v>
      </c>
      <c r="S226" s="20" t="n">
        <v>0</v>
      </c>
      <c r="T226" s="20" t="n">
        <v>-2.9</v>
      </c>
      <c r="U226" s="20" t="n">
        <v>0</v>
      </c>
    </row>
    <row r="227">
      <c r="A227" s="18" t="inlineStr">
        <is>
          <t>사업 양도 이익</t>
        </is>
      </c>
      <c r="F227" s="20" t="n">
        <v>0</v>
      </c>
      <c r="J227" s="20" t="n">
        <v>-10.9</v>
      </c>
      <c r="N227" s="20" t="n">
        <v>0</v>
      </c>
      <c r="V227" s="20" t="n">
        <v>0</v>
      </c>
      <c r="W227" s="20" t="n">
        <v>-10.9</v>
      </c>
      <c r="X227" s="20" t="n">
        <v>0</v>
      </c>
    </row>
    <row r="228">
      <c r="A228" s="18" t="inlineStr">
        <is>
          <t>주식교부비</t>
        </is>
      </c>
      <c r="F228" s="20" t="n">
        <v>18.014</v>
      </c>
      <c r="J228" s="20" t="n">
        <v>0</v>
      </c>
      <c r="V228" s="20" t="n">
        <v>18.014</v>
      </c>
      <c r="W228" s="20" t="n">
        <v>0</v>
      </c>
    </row>
    <row r="229">
      <c r="A229" s="18" t="inlineStr">
        <is>
          <t>보조금 수입</t>
        </is>
      </c>
      <c r="D229" s="20" t="n">
        <v>-1.71</v>
      </c>
      <c r="F229" s="20" t="n">
        <v>-4.431</v>
      </c>
      <c r="H229" s="20" t="n">
        <v>-6.981</v>
      </c>
      <c r="J229" s="20" t="n">
        <v>-10.851</v>
      </c>
      <c r="L229" s="20" t="n">
        <v>-83.29000000000001</v>
      </c>
      <c r="N229" s="20" t="n">
        <v>-84.09</v>
      </c>
      <c r="Q229" s="20" t="n">
        <v>-1.71</v>
      </c>
      <c r="R229" s="20" t="n">
        <v>-13.694</v>
      </c>
      <c r="S229" s="20" t="n">
        <v>-6.157</v>
      </c>
      <c r="T229" s="20" t="n">
        <v>-2.737</v>
      </c>
      <c r="U229" s="20" t="n">
        <v>-0.37</v>
      </c>
      <c r="V229" s="20" t="n">
        <v>-4.431</v>
      </c>
      <c r="W229" s="20" t="n">
        <v>-10.851</v>
      </c>
      <c r="X229" s="20" t="n">
        <v>-84.09</v>
      </c>
    </row>
    <row r="230">
      <c r="A230" s="18" t="inlineStr">
        <is>
          <t>임차보증금 상각 환입이익</t>
        </is>
      </c>
      <c r="S230" s="20" t="n">
        <v>0</v>
      </c>
      <c r="T230" s="20" t="n">
        <v>-5.771</v>
      </c>
      <c r="U230" s="20" t="n">
        <v>0</v>
      </c>
    </row>
    <row r="231">
      <c r="A231" s="18" t="inlineStr">
        <is>
          <t>투자유가증권 평가손익</t>
        </is>
      </c>
      <c r="F231" s="20" t="n">
        <v>17.782</v>
      </c>
      <c r="J231" s="20" t="n">
        <v>0</v>
      </c>
      <c r="S231" s="20" t="n">
        <v>10.001</v>
      </c>
      <c r="T231" s="20" t="n">
        <v>9.999000000000001</v>
      </c>
      <c r="U231" s="20" t="n">
        <v>46.052</v>
      </c>
      <c r="V231" s="20" t="n">
        <v>17.782</v>
      </c>
      <c r="W231" s="20" t="n">
        <v>0</v>
      </c>
    </row>
    <row r="232">
      <c r="A232" s="18" t="inlineStr">
        <is>
          <t>매출채권 증감</t>
        </is>
      </c>
      <c r="D232" s="20" t="n">
        <v>-133.849</v>
      </c>
      <c r="F232" s="20" t="n">
        <v>-425.163</v>
      </c>
      <c r="H232" s="20" t="n">
        <v>-130.157</v>
      </c>
      <c r="J232" s="20" t="n">
        <v>-166.952</v>
      </c>
      <c r="L232" s="20" t="n">
        <v>-80.645</v>
      </c>
      <c r="N232" s="20" t="n">
        <v>-179.023</v>
      </c>
      <c r="Q232" s="20" t="n">
        <v>-42.315</v>
      </c>
      <c r="R232" s="20" t="n">
        <v>-85.90300000000001</v>
      </c>
      <c r="S232" s="20" t="n">
        <v>-234.493</v>
      </c>
      <c r="T232" s="20" t="n">
        <v>-287.998</v>
      </c>
      <c r="U232" s="20" t="n">
        <v>-254.132</v>
      </c>
      <c r="V232" s="20" t="n">
        <v>-425.163</v>
      </c>
      <c r="W232" s="20" t="n">
        <v>-166.952</v>
      </c>
      <c r="X232" s="20" t="n">
        <v>-179.023</v>
      </c>
    </row>
    <row r="233">
      <c r="A233" s="18" t="inlineStr">
        <is>
          <t>재고자산 증감</t>
        </is>
      </c>
      <c r="D233" s="20" t="n">
        <v>-3.783</v>
      </c>
      <c r="F233" s="20" t="n">
        <v>14.991</v>
      </c>
      <c r="H233" s="20" t="n">
        <v>-19.911</v>
      </c>
      <c r="J233" s="20" t="n">
        <v>-7.448</v>
      </c>
      <c r="L233" s="20" t="n">
        <v>3.352</v>
      </c>
      <c r="N233" s="20" t="n">
        <v>6.663</v>
      </c>
      <c r="Q233" s="20" t="n">
        <v>-0.24</v>
      </c>
      <c r="R233" s="20" t="n">
        <v>0.096</v>
      </c>
      <c r="S233" s="20" t="n">
        <v>-4.025</v>
      </c>
      <c r="T233" s="20" t="n">
        <v>-14.27</v>
      </c>
      <c r="U233" s="20" t="n">
        <v>1.672</v>
      </c>
      <c r="V233" s="20" t="n">
        <v>14.991</v>
      </c>
      <c r="W233" s="20" t="n">
        <v>-7.448</v>
      </c>
      <c r="X233" s="20" t="n">
        <v>6.663</v>
      </c>
    </row>
    <row r="234">
      <c r="A234" s="18" t="inlineStr">
        <is>
          <t>매입채무 증감</t>
        </is>
      </c>
      <c r="D234" s="20" t="n">
        <v>56.793</v>
      </c>
      <c r="F234" s="20" t="n">
        <v>223.651</v>
      </c>
      <c r="H234" s="20" t="n">
        <v>43.663</v>
      </c>
      <c r="J234" s="20" t="n">
        <v>15.13</v>
      </c>
      <c r="L234" s="20" t="n">
        <v>2</v>
      </c>
      <c r="N234" s="20" t="n">
        <v>5.691</v>
      </c>
      <c r="Q234" s="20" t="n">
        <v>-6.526</v>
      </c>
      <c r="R234" s="20" t="n">
        <v>-23.002</v>
      </c>
      <c r="S234" s="20" t="n">
        <v>48.725</v>
      </c>
      <c r="T234" s="20" t="n">
        <v>244.3</v>
      </c>
      <c r="U234" s="20" t="n">
        <v>169.1</v>
      </c>
      <c r="V234" s="20" t="n">
        <v>223.651</v>
      </c>
      <c r="W234" s="20" t="n">
        <v>15.13</v>
      </c>
      <c r="X234" s="20" t="n">
        <v>5.691</v>
      </c>
    </row>
    <row r="235">
      <c r="A235" s="18" t="inlineStr">
        <is>
          <t>미지급금 증감액(△는 감소)</t>
        </is>
      </c>
      <c r="D235" s="20" t="n">
        <v>-10.887</v>
      </c>
      <c r="F235" s="20" t="n">
        <v>141.553</v>
      </c>
      <c r="H235" s="20" t="n">
        <v>-43.968</v>
      </c>
      <c r="J235" s="20" t="n">
        <v>217.653</v>
      </c>
      <c r="L235" s="20" t="n">
        <v>-19.277</v>
      </c>
      <c r="N235" s="20" t="n">
        <v>100.12</v>
      </c>
      <c r="Q235" s="20" t="n">
        <v>19.444</v>
      </c>
      <c r="R235" s="20" t="n">
        <v>-1.562</v>
      </c>
      <c r="S235" s="20" t="n">
        <v>57.254</v>
      </c>
      <c r="T235" s="20" t="n">
        <v>42.969</v>
      </c>
      <c r="U235" s="20" t="n">
        <v>-0.161</v>
      </c>
      <c r="V235" s="20" t="n">
        <v>141.553</v>
      </c>
      <c r="W235" s="20" t="n">
        <v>217.653</v>
      </c>
      <c r="X235" s="20" t="n">
        <v>100.12</v>
      </c>
    </row>
    <row r="236">
      <c r="A236" s="18" t="inlineStr">
        <is>
          <t>선수금 증감</t>
        </is>
      </c>
      <c r="Q236" s="20" t="n">
        <v>-12.217</v>
      </c>
      <c r="R236" s="20" t="n">
        <v>-10.081</v>
      </c>
    </row>
    <row r="237">
      <c r="A237" s="18" t="inlineStr">
        <is>
          <t>미지급 소비세 증감</t>
        </is>
      </c>
      <c r="Q237" s="20" t="n">
        <v>-5.991</v>
      </c>
      <c r="R237" s="20" t="n">
        <v>9.657999999999999</v>
      </c>
    </row>
    <row r="238">
      <c r="A238" s="18" t="inlineStr">
        <is>
          <t>기타</t>
        </is>
      </c>
      <c r="D238" s="20" t="n">
        <v>9.33</v>
      </c>
      <c r="F238" s="20" t="n">
        <v>193.738</v>
      </c>
      <c r="H238" s="20" t="n">
        <v>-145.863</v>
      </c>
      <c r="J238" s="20" t="n">
        <v>-5.244</v>
      </c>
      <c r="L238" s="20" t="n">
        <v>-24.281</v>
      </c>
      <c r="N238" s="20" t="n">
        <v>37.89</v>
      </c>
      <c r="Q238" s="20" t="n">
        <v>17.945</v>
      </c>
      <c r="R238" s="20" t="n">
        <v>-22.934</v>
      </c>
      <c r="S238" s="20" t="n">
        <v>57.413</v>
      </c>
      <c r="T238" s="20" t="n">
        <v>98.55800000000001</v>
      </c>
      <c r="U238" s="20" t="n">
        <v>-26.477</v>
      </c>
      <c r="V238" s="20" t="n">
        <v>193.738</v>
      </c>
      <c r="W238" s="20" t="n">
        <v>-5.244</v>
      </c>
      <c r="X238" s="20" t="n">
        <v>37.89</v>
      </c>
    </row>
    <row r="239">
      <c r="A239" s="18" t="inlineStr">
        <is>
          <t>소계</t>
        </is>
      </c>
      <c r="D239" s="20" t="n">
        <v>68.518</v>
      </c>
      <c r="F239" s="20" t="n">
        <v>799.303</v>
      </c>
      <c r="H239" s="20" t="n">
        <v>599.917</v>
      </c>
      <c r="J239" s="20" t="n">
        <v>1092.192</v>
      </c>
      <c r="L239" s="20" t="n">
        <v>660.625</v>
      </c>
      <c r="N239" s="20" t="n">
        <v>1335.916</v>
      </c>
      <c r="Q239" s="20" t="n">
        <v>126.777</v>
      </c>
      <c r="R239" s="20" t="n">
        <v>-21.656</v>
      </c>
      <c r="S239" s="20" t="n">
        <v>62.899</v>
      </c>
      <c r="T239" s="20" t="n">
        <v>274.417</v>
      </c>
      <c r="U239" s="20" t="n">
        <v>287.725</v>
      </c>
      <c r="V239" s="20" t="n">
        <v>799.303</v>
      </c>
      <c r="W239" s="20" t="n">
        <v>1092.192</v>
      </c>
      <c r="X239" s="20" t="n">
        <v>1335.916</v>
      </c>
    </row>
    <row r="240">
      <c r="A240" s="18" t="inlineStr">
        <is>
          <t>이자·배당금 수취</t>
        </is>
      </c>
      <c r="D240" s="20" t="n">
        <v>0.246</v>
      </c>
      <c r="F240" s="20" t="n">
        <v>0.764</v>
      </c>
      <c r="H240" s="20" t="n">
        <v>1.946</v>
      </c>
      <c r="J240" s="20" t="n">
        <v>6.18</v>
      </c>
      <c r="L240" s="20" t="n">
        <v>5.847</v>
      </c>
      <c r="N240" s="20" t="n">
        <v>14.916</v>
      </c>
      <c r="Q240" s="20" t="n">
        <v>0.003</v>
      </c>
      <c r="R240" s="20" t="n">
        <v>0.003</v>
      </c>
      <c r="S240" s="20" t="n">
        <v>0.005</v>
      </c>
      <c r="T240" s="20" t="n">
        <v>0.007</v>
      </c>
      <c r="U240" s="20" t="n">
        <v>0.008</v>
      </c>
      <c r="V240" s="20" t="n">
        <v>0.764</v>
      </c>
      <c r="W240" s="20" t="n">
        <v>6.18</v>
      </c>
      <c r="X240" s="20" t="n">
        <v>14.916</v>
      </c>
    </row>
    <row r="241">
      <c r="A241" s="18" t="inlineStr">
        <is>
          <t>이자 지급</t>
        </is>
      </c>
      <c r="D241" s="20" t="n">
        <v>-6.37</v>
      </c>
      <c r="F241" s="20" t="n">
        <v>-14.657</v>
      </c>
      <c r="H241" s="20" t="n">
        <v>-10.566</v>
      </c>
      <c r="J241" s="20" t="n">
        <v>-27.033</v>
      </c>
      <c r="L241" s="20" t="n">
        <v>-21.553</v>
      </c>
      <c r="N241" s="20" t="n">
        <v>-50.874</v>
      </c>
      <c r="Q241" s="20" t="n">
        <v>-1.925</v>
      </c>
      <c r="R241" s="20" t="n">
        <v>-1.897</v>
      </c>
      <c r="S241" s="20" t="n">
        <v>-1.654</v>
      </c>
      <c r="T241" s="20" t="n">
        <v>-6.617</v>
      </c>
      <c r="U241" s="20" t="n">
        <v>-6.65</v>
      </c>
      <c r="V241" s="20" t="n">
        <v>-14.657</v>
      </c>
      <c r="W241" s="20" t="n">
        <v>-27.033</v>
      </c>
      <c r="X241" s="20" t="n">
        <v>-50.874</v>
      </c>
    </row>
    <row r="242">
      <c r="A242" s="18" t="inlineStr">
        <is>
          <t>법인세 납부</t>
        </is>
      </c>
      <c r="D242" s="20" t="n">
        <v>-40.188</v>
      </c>
      <c r="F242" s="20" t="n">
        <v>-92.727</v>
      </c>
      <c r="H242" s="20" t="n">
        <v>-195.031</v>
      </c>
      <c r="L242" s="20" t="n">
        <v>-190.786</v>
      </c>
      <c r="Q242" s="20" t="n">
        <v>-42.176</v>
      </c>
      <c r="R242" s="20" t="n">
        <v>-52.513</v>
      </c>
      <c r="S242" s="20" t="n">
        <v>-22.934</v>
      </c>
      <c r="T242" s="20" t="n">
        <v>-54.958</v>
      </c>
      <c r="U242" s="20" t="n">
        <v>-108.854</v>
      </c>
      <c r="V242" s="20" t="n">
        <v>-92.727</v>
      </c>
    </row>
    <row r="243">
      <c r="A243" s="18" t="inlineStr">
        <is>
          <t>법인세 납부·환급</t>
        </is>
      </c>
      <c r="F243" s="20" t="n">
        <v>-92.727</v>
      </c>
      <c r="J243" s="20" t="n">
        <v>-332.497</v>
      </c>
      <c r="N243" s="20" t="n">
        <v>-350.607</v>
      </c>
      <c r="V243" s="20" t="n">
        <v>-92.727</v>
      </c>
      <c r="W243" s="20" t="n">
        <v>-332.497</v>
      </c>
      <c r="X243" s="20" t="n">
        <v>-350.607</v>
      </c>
    </row>
    <row r="244">
      <c r="A244" s="18" t="inlineStr">
        <is>
          <t>사무실 이전비용 지급액</t>
        </is>
      </c>
      <c r="J244" s="20" t="n">
        <v>0</v>
      </c>
      <c r="N244" s="20" t="n">
        <v>-3.95</v>
      </c>
      <c r="W244" s="20" t="n">
        <v>0</v>
      </c>
      <c r="X244" s="20" t="n">
        <v>-3.95</v>
      </c>
    </row>
    <row r="245">
      <c r="A245" s="18" t="inlineStr">
        <is>
          <t>보조금 수취</t>
        </is>
      </c>
      <c r="D245" s="20" t="n">
        <v>1.71</v>
      </c>
      <c r="F245" s="20" t="n">
        <v>4.431</v>
      </c>
      <c r="H245" s="20" t="n">
        <v>6.981</v>
      </c>
      <c r="J245" s="20" t="n">
        <v>10.851</v>
      </c>
      <c r="L245" s="20" t="n">
        <v>83.29000000000001</v>
      </c>
      <c r="N245" s="20" t="n">
        <v>84.09</v>
      </c>
      <c r="Q245" s="20" t="n">
        <v>1.71</v>
      </c>
      <c r="R245" s="20" t="n">
        <v>3.999</v>
      </c>
      <c r="S245" s="20" t="n">
        <v>15.852</v>
      </c>
      <c r="T245" s="20" t="n">
        <v>2.737</v>
      </c>
      <c r="U245" s="20" t="n">
        <v>0.37</v>
      </c>
      <c r="V245" s="20" t="n">
        <v>4.431</v>
      </c>
      <c r="W245" s="20" t="n">
        <v>10.851</v>
      </c>
      <c r="X245" s="20" t="n">
        <v>84.09</v>
      </c>
    </row>
    <row r="246">
      <c r="A246" s="9" t="inlineStr">
        <is>
          <t>영업활동 현금흐름</t>
        </is>
      </c>
      <c r="D246" s="12" t="n">
        <v>23.915</v>
      </c>
      <c r="F246" s="12" t="n">
        <v>697.114</v>
      </c>
      <c r="H246" s="12" t="n">
        <v>403.247</v>
      </c>
      <c r="J246" s="12" t="n">
        <v>749.693</v>
      </c>
      <c r="L246" s="12" t="n">
        <v>537.423</v>
      </c>
      <c r="N246" s="12" t="n">
        <v>1029.49</v>
      </c>
      <c r="Q246" s="12" t="n">
        <v>84.38800000000001</v>
      </c>
      <c r="R246" s="12" t="n">
        <v>-72.06399999999999</v>
      </c>
      <c r="S246" s="12" t="n">
        <v>54.168</v>
      </c>
      <c r="T246" s="12" t="n">
        <v>215.586</v>
      </c>
      <c r="U246" s="12" t="n">
        <v>172.599</v>
      </c>
      <c r="V246" s="12" t="n">
        <v>697.114</v>
      </c>
      <c r="W246" s="12" t="n">
        <v>749.693</v>
      </c>
      <c r="X246" s="12" t="n">
        <v>1029.49</v>
      </c>
    </row>
    <row r="247">
      <c r="A247" s="18" t="inlineStr">
        <is>
          <t>정기예금 인출</t>
        </is>
      </c>
      <c r="Q247" s="20" t="n">
        <v>5</v>
      </c>
      <c r="R247" s="20" t="n">
        <v>0</v>
      </c>
    </row>
    <row r="248">
      <c r="A248" s="18" t="inlineStr">
        <is>
          <t>연결범위 변경 자회사 주식 취득</t>
        </is>
      </c>
      <c r="D248" s="20" t="n">
        <v>-111.663</v>
      </c>
      <c r="F248" s="20" t="n">
        <v>-111.663</v>
      </c>
      <c r="H248" s="20" t="n">
        <v>-386.313</v>
      </c>
      <c r="J248" s="20" t="n">
        <v>-1143.088</v>
      </c>
      <c r="L248" s="20" t="n">
        <v>-291.417</v>
      </c>
      <c r="N248" s="20" t="n">
        <v>-291.417</v>
      </c>
      <c r="S248" s="20" t="n">
        <v>-27.628</v>
      </c>
      <c r="T248" s="20" t="n">
        <v>-120.545</v>
      </c>
      <c r="U248" s="20" t="n">
        <v>-519.408</v>
      </c>
      <c r="V248" s="20" t="n">
        <v>-111.663</v>
      </c>
      <c r="W248" s="20" t="n">
        <v>-1143.088</v>
      </c>
      <c r="X248" s="20" t="n">
        <v>-291.417</v>
      </c>
    </row>
    <row r="249">
      <c r="A249" s="18" t="inlineStr">
        <is>
          <t>연결범위 변경 자회사 주식 취득(수입)</t>
        </is>
      </c>
      <c r="J249" s="20" t="n">
        <v>21.128</v>
      </c>
      <c r="N249" s="20" t="n">
        <v>0</v>
      </c>
      <c r="W249" s="20" t="n">
        <v>21.128</v>
      </c>
      <c r="X249" s="20" t="n">
        <v>0</v>
      </c>
    </row>
    <row r="250">
      <c r="A250" s="18" t="inlineStr">
        <is>
          <t>유가증권 매각</t>
        </is>
      </c>
      <c r="J250" s="20" t="n">
        <v>0</v>
      </c>
      <c r="N250" s="20" t="n">
        <v>2.299</v>
      </c>
      <c r="W250" s="20" t="n">
        <v>0</v>
      </c>
      <c r="X250" s="20" t="n">
        <v>2.299</v>
      </c>
    </row>
    <row r="251">
      <c r="A251" s="18" t="inlineStr">
        <is>
          <t>유가증권 취득</t>
        </is>
      </c>
      <c r="F251" s="20" t="n">
        <v>0</v>
      </c>
      <c r="J251" s="20" t="n">
        <v>-16.124</v>
      </c>
      <c r="N251" s="20" t="n">
        <v>0</v>
      </c>
      <c r="V251" s="20" t="n">
        <v>0</v>
      </c>
      <c r="W251" s="20" t="n">
        <v>-16.124</v>
      </c>
      <c r="X251" s="20" t="n">
        <v>0</v>
      </c>
    </row>
    <row r="252">
      <c r="A252" s="18" t="inlineStr">
        <is>
          <t>유형자산 매각</t>
        </is>
      </c>
      <c r="J252" s="20" t="n">
        <v>0</v>
      </c>
      <c r="N252" s="20" t="n">
        <v>0.436</v>
      </c>
      <c r="W252" s="20" t="n">
        <v>0</v>
      </c>
      <c r="X252" s="20" t="n">
        <v>0.436</v>
      </c>
    </row>
    <row r="253">
      <c r="A253" s="18" t="inlineStr">
        <is>
          <t>유형자산 취득(설비투자)</t>
        </is>
      </c>
      <c r="D253" s="20" t="n">
        <v>-11.721</v>
      </c>
      <c r="F253" s="20" t="n">
        <v>-22.204</v>
      </c>
      <c r="H253" s="20" t="n">
        <v>-0.856</v>
      </c>
      <c r="J253" s="20" t="n">
        <v>-60.224</v>
      </c>
      <c r="L253" s="20" t="n">
        <v>-44.651</v>
      </c>
      <c r="N253" s="20" t="n">
        <v>-169.686</v>
      </c>
      <c r="Q253" s="20" t="n">
        <v>-6.405</v>
      </c>
      <c r="R253" s="20" t="n">
        <v>-3.72</v>
      </c>
      <c r="S253" s="20" t="n">
        <v>-3.573</v>
      </c>
      <c r="T253" s="20" t="n">
        <v>-60.712</v>
      </c>
      <c r="U253" s="20" t="n">
        <v>-7.578</v>
      </c>
      <c r="V253" s="20" t="n">
        <v>-22.204</v>
      </c>
      <c r="W253" s="20" t="n">
        <v>-60.224</v>
      </c>
      <c r="X253" s="20" t="n">
        <v>-169.686</v>
      </c>
    </row>
    <row r="254">
      <c r="A254" s="18" t="inlineStr">
        <is>
          <t>영업권 취득에 따른 지출</t>
        </is>
      </c>
      <c r="T254" s="20" t="n">
        <v>0</v>
      </c>
      <c r="U254" s="20" t="n">
        <v>-52.33</v>
      </c>
    </row>
    <row r="255">
      <c r="A255" s="18" t="inlineStr">
        <is>
          <t>영업권 취득 지출</t>
        </is>
      </c>
      <c r="F255" s="20" t="n">
        <v>0</v>
      </c>
      <c r="U255" s="20" t="n">
        <v>-52.33</v>
      </c>
      <c r="V255" s="20" t="n">
        <v>0</v>
      </c>
    </row>
    <row r="256">
      <c r="A256" s="18" t="inlineStr">
        <is>
          <t>투자유가증권 취득</t>
        </is>
      </c>
      <c r="D256" s="20" t="n">
        <v>0</v>
      </c>
      <c r="H256" s="20" t="n">
        <v>-1.149</v>
      </c>
      <c r="L256" s="20" t="n">
        <v>0</v>
      </c>
      <c r="Q256" s="20" t="n">
        <v>-10.001</v>
      </c>
      <c r="R256" s="20" t="n">
        <v>0</v>
      </c>
      <c r="S256" s="20" t="n">
        <v>-10</v>
      </c>
      <c r="T256" s="20" t="n">
        <v>-76.88800000000001</v>
      </c>
      <c r="U256" s="20" t="n">
        <v>0</v>
      </c>
    </row>
    <row r="257">
      <c r="A257" s="18" t="inlineStr">
        <is>
          <t>투자유가증권 매각</t>
        </is>
      </c>
      <c r="H257" s="20" t="n">
        <v>0</v>
      </c>
      <c r="L257" s="20" t="n">
        <v>2.299</v>
      </c>
      <c r="S257" s="20" t="n">
        <v>0</v>
      </c>
      <c r="T257" s="20" t="n">
        <v>20.369</v>
      </c>
      <c r="U257" s="20" t="n">
        <v>0</v>
      </c>
    </row>
    <row r="258">
      <c r="A258" s="18" t="inlineStr">
        <is>
          <t>무형자산 취득</t>
        </is>
      </c>
      <c r="D258" s="20" t="n">
        <v>-0.45</v>
      </c>
      <c r="F258" s="20" t="n">
        <v>-7.44</v>
      </c>
      <c r="H258" s="20" t="n">
        <v>-2.281</v>
      </c>
      <c r="J258" s="20" t="n">
        <v>-5.059</v>
      </c>
      <c r="L258" s="20" t="n">
        <v>-11.025</v>
      </c>
      <c r="N258" s="20" t="n">
        <v>-23.898</v>
      </c>
      <c r="Q258" s="20" t="n">
        <v>0</v>
      </c>
      <c r="R258" s="20" t="n">
        <v>-9.612</v>
      </c>
      <c r="S258" s="20" t="n">
        <v>-0.292</v>
      </c>
      <c r="T258" s="20" t="n">
        <v>-42.972</v>
      </c>
      <c r="U258" s="20" t="n">
        <v>-21.591</v>
      </c>
      <c r="V258" s="20" t="n">
        <v>-7.44</v>
      </c>
      <c r="W258" s="20" t="n">
        <v>-5.059</v>
      </c>
      <c r="X258" s="20" t="n">
        <v>-23.898</v>
      </c>
    </row>
    <row r="259">
      <c r="A259" s="18" t="inlineStr">
        <is>
          <t>자산복구부채 이행 지출</t>
        </is>
      </c>
      <c r="J259" s="20" t="n">
        <v>0</v>
      </c>
      <c r="N259" s="20" t="n">
        <v>-14.35</v>
      </c>
      <c r="W259" s="20" t="n">
        <v>0</v>
      </c>
      <c r="X259" s="20" t="n">
        <v>-14.35</v>
      </c>
    </row>
    <row r="260">
      <c r="A260" s="18" t="inlineStr">
        <is>
          <t>사업양도 수입</t>
        </is>
      </c>
      <c r="F260" s="20" t="n">
        <v>0</v>
      </c>
      <c r="J260" s="20" t="n">
        <v>10.9</v>
      </c>
      <c r="N260" s="20" t="n">
        <v>0</v>
      </c>
      <c r="S260" s="20" t="n">
        <v>0</v>
      </c>
      <c r="T260" s="20" t="n">
        <v>2.9</v>
      </c>
      <c r="U260" s="20" t="n">
        <v>0</v>
      </c>
      <c r="V260" s="20" t="n">
        <v>0</v>
      </c>
      <c r="W260" s="20" t="n">
        <v>10.9</v>
      </c>
      <c r="X260" s="20" t="n">
        <v>0</v>
      </c>
    </row>
    <row r="261">
      <c r="A261" s="18" t="inlineStr">
        <is>
          <t>사업양수 지출</t>
        </is>
      </c>
      <c r="J261" s="20" t="n">
        <v>0</v>
      </c>
      <c r="N261" s="20" t="n">
        <v>-32.28</v>
      </c>
      <c r="W261" s="20" t="n">
        <v>0</v>
      </c>
      <c r="X261" s="20" t="n">
        <v>-32.28</v>
      </c>
    </row>
    <row r="262">
      <c r="A262" s="18" t="inlineStr">
        <is>
          <t>자회사 주식 조건부 취득대가 환급에 따른 수입</t>
        </is>
      </c>
      <c r="F262" s="20" t="n">
        <v>0</v>
      </c>
      <c r="H262" s="20" t="n">
        <v>0</v>
      </c>
      <c r="J262" s="20" t="n">
        <v>3.932</v>
      </c>
      <c r="L262" s="20" t="n">
        <v>12.442</v>
      </c>
      <c r="N262" s="20" t="n">
        <v>25.076</v>
      </c>
      <c r="V262" s="20" t="n">
        <v>0</v>
      </c>
      <c r="W262" s="20" t="n">
        <v>3.932</v>
      </c>
      <c r="X262" s="20" t="n">
        <v>25.076</v>
      </c>
    </row>
    <row r="263">
      <c r="A263" s="18" t="inlineStr">
        <is>
          <t>대여</t>
        </is>
      </c>
      <c r="H263" s="20" t="n">
        <v>0</v>
      </c>
      <c r="J263" s="20" t="n">
        <v>0</v>
      </c>
      <c r="L263" s="20" t="n">
        <v>-276.4</v>
      </c>
      <c r="N263" s="20" t="n">
        <v>-276.4</v>
      </c>
      <c r="W263" s="20" t="n">
        <v>0</v>
      </c>
      <c r="X263" s="20" t="n">
        <v>-276.4</v>
      </c>
    </row>
    <row r="264">
      <c r="A264" s="18" t="inlineStr">
        <is>
          <t>임차보증금·보증금 회수</t>
        </is>
      </c>
      <c r="D264" s="20" t="n">
        <v>0.34</v>
      </c>
      <c r="F264" s="20" t="n">
        <v>26.532</v>
      </c>
      <c r="H264" s="20" t="n">
        <v>0</v>
      </c>
      <c r="J264" s="20" t="n">
        <v>41.746</v>
      </c>
      <c r="L264" s="20" t="n">
        <v>0.511</v>
      </c>
      <c r="N264" s="20" t="n">
        <v>1.096</v>
      </c>
      <c r="Q264" s="20" t="n">
        <v>0</v>
      </c>
      <c r="R264" s="20" t="n">
        <v>2.19</v>
      </c>
      <c r="S264" s="20" t="n">
        <v>0</v>
      </c>
      <c r="T264" s="20" t="n">
        <v>35.589</v>
      </c>
      <c r="U264" s="20" t="n">
        <v>9.675000000000001</v>
      </c>
      <c r="V264" s="20" t="n">
        <v>26.532</v>
      </c>
      <c r="W264" s="20" t="n">
        <v>41.746</v>
      </c>
      <c r="X264" s="20" t="n">
        <v>1.096</v>
      </c>
    </row>
    <row r="265">
      <c r="A265" s="18" t="inlineStr">
        <is>
          <t>임차보증금·보증금 납입</t>
        </is>
      </c>
      <c r="D265" s="20" t="n">
        <v>-4.488</v>
      </c>
      <c r="F265" s="20" t="n">
        <v>-5.478</v>
      </c>
      <c r="H265" s="20" t="n">
        <v>-37.65</v>
      </c>
      <c r="J265" s="20" t="n">
        <v>-131.331</v>
      </c>
      <c r="L265" s="20" t="n">
        <v>-12.325</v>
      </c>
      <c r="N265" s="20" t="n">
        <v>-68.154</v>
      </c>
      <c r="Q265" s="20" t="n">
        <v>-10.79</v>
      </c>
      <c r="R265" s="20" t="n">
        <v>-8.468999999999999</v>
      </c>
      <c r="S265" s="20" t="n">
        <v>-39.131</v>
      </c>
      <c r="T265" s="20" t="n">
        <v>-16.815</v>
      </c>
      <c r="U265" s="20" t="n">
        <v>-61.676</v>
      </c>
      <c r="V265" s="20" t="n">
        <v>-5.478</v>
      </c>
      <c r="W265" s="20" t="n">
        <v>-131.331</v>
      </c>
      <c r="X265" s="20" t="n">
        <v>-68.154</v>
      </c>
    </row>
    <row r="266">
      <c r="A266" s="18" t="inlineStr">
        <is>
          <t>기타</t>
        </is>
      </c>
      <c r="Q266" s="20" t="n">
        <v>-0.285</v>
      </c>
      <c r="R266" s="20" t="n">
        <v>0</v>
      </c>
      <c r="S266" s="20" t="n">
        <v>-3.866</v>
      </c>
    </row>
    <row r="267">
      <c r="A267" s="9" t="inlineStr">
        <is>
          <t>투자활동 현금흐름</t>
        </is>
      </c>
      <c r="D267" s="12" t="n">
        <v>-127.984</v>
      </c>
      <c r="F267" s="12" t="n">
        <v>-120.254</v>
      </c>
      <c r="H267" s="12" t="n">
        <v>-428.251</v>
      </c>
      <c r="J267" s="12" t="n">
        <v>-1278.12</v>
      </c>
      <c r="L267" s="12" t="n">
        <v>-620.5650000000001</v>
      </c>
      <c r="N267" s="12" t="n">
        <v>-847.277</v>
      </c>
      <c r="Q267" s="12" t="n">
        <v>-22.482</v>
      </c>
      <c r="R267" s="12" t="n">
        <v>-19.612</v>
      </c>
      <c r="S267" s="12" t="n">
        <v>-80.626</v>
      </c>
      <c r="T267" s="12" t="n">
        <v>-259.077</v>
      </c>
      <c r="U267" s="12" t="n">
        <v>-652.909</v>
      </c>
      <c r="V267" s="12" t="n">
        <v>-120.254</v>
      </c>
      <c r="W267" s="12" t="n">
        <v>-1278.12</v>
      </c>
      <c r="X267" s="12" t="n">
        <v>-847.277</v>
      </c>
    </row>
    <row r="268">
      <c r="A268" s="18" t="inlineStr">
        <is>
          <t>단기차입금 순증감</t>
        </is>
      </c>
      <c r="D268" s="20" t="n">
        <v>-200</v>
      </c>
      <c r="F268" s="20" t="n">
        <v>-200</v>
      </c>
      <c r="H268" s="20" t="n">
        <v>0</v>
      </c>
      <c r="J268" s="20" t="n">
        <v>100</v>
      </c>
      <c r="L268" s="20" t="n">
        <v>137</v>
      </c>
      <c r="N268" s="20" t="n">
        <v>167</v>
      </c>
      <c r="Q268" s="20" t="n">
        <v>-15</v>
      </c>
      <c r="R268" s="20" t="n">
        <v>0</v>
      </c>
      <c r="T268" s="20" t="n">
        <v>0</v>
      </c>
      <c r="U268" s="20" t="n">
        <v>150</v>
      </c>
      <c r="V268" s="20" t="n">
        <v>-200</v>
      </c>
      <c r="W268" s="20" t="n">
        <v>100</v>
      </c>
      <c r="X268" s="20" t="n">
        <v>167</v>
      </c>
    </row>
    <row r="269">
      <c r="A269" s="18" t="inlineStr">
        <is>
          <t>장기차입</t>
        </is>
      </c>
      <c r="D269" s="20" t="n">
        <v>750</v>
      </c>
      <c r="F269" s="20" t="n">
        <v>750</v>
      </c>
      <c r="H269" s="20" t="n">
        <v>718.75</v>
      </c>
      <c r="J269" s="20" t="n">
        <v>2143.118</v>
      </c>
      <c r="L269" s="20" t="n">
        <v>606.28</v>
      </c>
      <c r="N269" s="20" t="n">
        <v>1076.28</v>
      </c>
      <c r="Q269" s="20" t="n">
        <v>100</v>
      </c>
      <c r="R269" s="20" t="n">
        <v>150</v>
      </c>
      <c r="S269" s="20" t="n">
        <v>0</v>
      </c>
      <c r="T269" s="20" t="n">
        <v>600</v>
      </c>
      <c r="U269" s="20" t="n">
        <v>1143</v>
      </c>
      <c r="V269" s="20" t="n">
        <v>750</v>
      </c>
      <c r="W269" s="20" t="n">
        <v>2143.118</v>
      </c>
      <c r="X269" s="20" t="n">
        <v>1076.28</v>
      </c>
    </row>
    <row r="270">
      <c r="A270" s="18" t="inlineStr">
        <is>
          <t>장기차입금 상환</t>
        </is>
      </c>
      <c r="D270" s="20" t="n">
        <v>-224.419</v>
      </c>
      <c r="F270" s="20" t="n">
        <v>-496.126</v>
      </c>
      <c r="H270" s="20" t="n">
        <v>-448.762</v>
      </c>
      <c r="J270" s="20" t="n">
        <v>-835.702</v>
      </c>
      <c r="L270" s="20" t="n">
        <v>-628.907</v>
      </c>
      <c r="N270" s="20" t="n">
        <v>-1437.278</v>
      </c>
      <c r="Q270" s="20" t="n">
        <v>-89.38500000000001</v>
      </c>
      <c r="R270" s="20" t="n">
        <v>-69.919</v>
      </c>
      <c r="S270" s="20" t="n">
        <v>-79.66800000000001</v>
      </c>
      <c r="T270" s="20" t="n">
        <v>-182.684</v>
      </c>
      <c r="U270" s="20" t="n">
        <v>-387.282</v>
      </c>
      <c r="V270" s="20" t="n">
        <v>-496.126</v>
      </c>
      <c r="W270" s="20" t="n">
        <v>-835.702</v>
      </c>
      <c r="X270" s="20" t="n">
        <v>-1437.278</v>
      </c>
    </row>
    <row r="271">
      <c r="A271" s="18" t="inlineStr">
        <is>
          <t>주식 발행</t>
        </is>
      </c>
      <c r="D271" s="20" t="n">
        <v>0.132</v>
      </c>
      <c r="F271" s="20" t="n">
        <v>1761.45</v>
      </c>
      <c r="H271" s="20" t="n">
        <v>0</v>
      </c>
      <c r="J271" s="20" t="n">
        <v>0</v>
      </c>
      <c r="Q271" s="20" t="n">
        <v>0</v>
      </c>
      <c r="R271" s="20" t="n">
        <v>126.882</v>
      </c>
      <c r="S271" s="20" t="n">
        <v>2.498</v>
      </c>
      <c r="T271" s="20" t="n">
        <v>19.243</v>
      </c>
      <c r="U271" s="20" t="n">
        <v>10.594</v>
      </c>
      <c r="V271" s="20" t="n">
        <v>1761.45</v>
      </c>
      <c r="W271" s="20" t="n">
        <v>0</v>
      </c>
    </row>
    <row r="272">
      <c r="A272" s="18" t="inlineStr">
        <is>
          <t>비지배주주 납입</t>
        </is>
      </c>
      <c r="F272" s="20" t="n">
        <v>29.999</v>
      </c>
      <c r="J272" s="20" t="n">
        <v>0</v>
      </c>
      <c r="U272" s="20" t="n">
        <v>0</v>
      </c>
      <c r="V272" s="20" t="n">
        <v>29.999</v>
      </c>
      <c r="W272" s="20" t="n">
        <v>0</v>
      </c>
    </row>
    <row r="273">
      <c r="A273" s="18" t="inlineStr">
        <is>
          <t>신주예약권 행사에 따른 주식 발행</t>
        </is>
      </c>
      <c r="D273" s="20" t="n">
        <v>0</v>
      </c>
      <c r="F273" s="20" t="n">
        <v>7.196</v>
      </c>
      <c r="H273" s="20" t="n">
        <v>1.536</v>
      </c>
      <c r="J273" s="20" t="n">
        <v>1.536</v>
      </c>
      <c r="L273" s="20" t="n">
        <v>36.924</v>
      </c>
      <c r="N273" s="20" t="n">
        <v>46.685</v>
      </c>
      <c r="U273" s="20" t="n">
        <v>0</v>
      </c>
      <c r="V273" s="20" t="n">
        <v>7.196</v>
      </c>
      <c r="W273" s="20" t="n">
        <v>1.536</v>
      </c>
      <c r="X273" s="20" t="n">
        <v>46.685</v>
      </c>
    </row>
    <row r="274">
      <c r="A274" s="18" t="inlineStr">
        <is>
          <t>신주예약권 발행</t>
        </is>
      </c>
      <c r="D274" s="20" t="n">
        <v>0.257</v>
      </c>
      <c r="F274" s="20" t="n">
        <v>0.257</v>
      </c>
      <c r="H274" s="20" t="n">
        <v>0</v>
      </c>
      <c r="J274" s="20" t="n">
        <v>0</v>
      </c>
      <c r="L274" s="20" t="n">
        <v>3.024</v>
      </c>
      <c r="N274" s="20" t="n">
        <v>3.024</v>
      </c>
      <c r="S274" s="20" t="n">
        <v>0</v>
      </c>
      <c r="T274" s="20" t="n">
        <v>0.036</v>
      </c>
      <c r="U274" s="20" t="n">
        <v>0</v>
      </c>
      <c r="V274" s="20" t="n">
        <v>0.257</v>
      </c>
      <c r="W274" s="20" t="n">
        <v>0</v>
      </c>
      <c r="X274" s="20" t="n">
        <v>3.024</v>
      </c>
    </row>
    <row r="275">
      <c r="A275" s="18" t="inlineStr">
        <is>
          <t>자기주식 취득</t>
        </is>
      </c>
      <c r="D275" s="20" t="n">
        <v>0</v>
      </c>
      <c r="F275" s="20" t="n">
        <v>-0.113</v>
      </c>
      <c r="J275" s="20" t="n">
        <v>0</v>
      </c>
      <c r="S275" s="20" t="n">
        <v>0</v>
      </c>
      <c r="T275" s="20" t="n">
        <v>-0.06900000000000001</v>
      </c>
      <c r="U275" s="20" t="n">
        <v>-0.12</v>
      </c>
      <c r="V275" s="20" t="n">
        <v>-0.113</v>
      </c>
      <c r="W275" s="20" t="n">
        <v>0</v>
      </c>
    </row>
    <row r="276">
      <c r="A276" s="18" t="inlineStr">
        <is>
          <t>배당금 지급</t>
        </is>
      </c>
      <c r="D276" s="20" t="n">
        <v>-20.958</v>
      </c>
      <c r="F276" s="20" t="n">
        <v>-20.959</v>
      </c>
      <c r="H276" s="20" t="n">
        <v>-21.35</v>
      </c>
      <c r="J276" s="20" t="n">
        <v>-21.519</v>
      </c>
      <c r="L276" s="20" t="n">
        <v>-21.655</v>
      </c>
      <c r="N276" s="20" t="n">
        <v>-21.658</v>
      </c>
      <c r="T276" s="20" t="n">
        <v>0</v>
      </c>
      <c r="U276" s="20" t="n">
        <v>-20.923</v>
      </c>
      <c r="V276" s="20" t="n">
        <v>-20.959</v>
      </c>
      <c r="W276" s="20" t="n">
        <v>-21.519</v>
      </c>
      <c r="X276" s="20" t="n">
        <v>-21.658</v>
      </c>
    </row>
    <row r="277">
      <c r="A277" s="9" t="inlineStr">
        <is>
          <t>재무활동 현금흐름</t>
        </is>
      </c>
      <c r="D277" s="12" t="n">
        <v>305.012</v>
      </c>
      <c r="F277" s="12" t="n">
        <v>1831.705</v>
      </c>
      <c r="H277" s="12" t="n">
        <v>250.173</v>
      </c>
      <c r="J277" s="12" t="n">
        <v>1387.432</v>
      </c>
      <c r="L277" s="12" t="n">
        <v>132.666</v>
      </c>
      <c r="N277" s="12" t="n">
        <v>-165.947</v>
      </c>
      <c r="Q277" s="12" t="n">
        <v>-4.385</v>
      </c>
      <c r="R277" s="12" t="n">
        <v>206.963</v>
      </c>
      <c r="S277" s="12" t="n">
        <v>-77.169</v>
      </c>
      <c r="T277" s="12" t="n">
        <v>436.526</v>
      </c>
      <c r="U277" s="12" t="n">
        <v>895.269</v>
      </c>
      <c r="V277" s="12" t="n">
        <v>1831.705</v>
      </c>
      <c r="W277" s="12" t="n">
        <v>1387.432</v>
      </c>
      <c r="X277" s="12" t="n">
        <v>-165.947</v>
      </c>
    </row>
    <row r="278">
      <c r="A278" s="18" t="inlineStr">
        <is>
          <t>현금성자산 증감</t>
        </is>
      </c>
      <c r="D278" s="20" t="n">
        <v>200.943</v>
      </c>
      <c r="F278" s="20" t="n">
        <v>2408.565</v>
      </c>
      <c r="H278" s="20" t="n">
        <v>225.169</v>
      </c>
      <c r="J278" s="20" t="n">
        <v>859.004</v>
      </c>
      <c r="L278" s="20" t="n">
        <v>49.524</v>
      </c>
      <c r="N278" s="20" t="n">
        <v>16.265</v>
      </c>
      <c r="Q278" s="20" t="n">
        <v>57.521</v>
      </c>
      <c r="R278" s="20" t="n">
        <v>115.286</v>
      </c>
      <c r="S278" s="20" t="n">
        <v>-103.627</v>
      </c>
      <c r="T278" s="20" t="n">
        <v>393.036</v>
      </c>
      <c r="U278" s="20" t="n">
        <v>414.959</v>
      </c>
      <c r="V278" s="20" t="n">
        <v>2408.565</v>
      </c>
      <c r="W278" s="20" t="n">
        <v>859.004</v>
      </c>
      <c r="X278" s="20" t="n">
        <v>16.265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TWOSTONE&amp;Sons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7216.73</v>
      </c>
      <c r="D5" s="12" t="n">
        <v>7613.297</v>
      </c>
      <c r="E5" s="12" t="n">
        <v>7422.076</v>
      </c>
      <c r="F5" s="12" t="n">
        <v>7543.721</v>
      </c>
      <c r="G5" s="12" t="n">
        <v>7551.045</v>
      </c>
      <c r="H5" s="11" t="n">
        <v>1947.363</v>
      </c>
      <c r="I5" s="12" t="n">
        <v>2841.105</v>
      </c>
      <c r="J5" s="12" t="n">
        <v>5872.328</v>
      </c>
      <c r="K5" s="12" t="n">
        <v>7216.73</v>
      </c>
      <c r="L5" s="12" t="n">
        <v>7551.045</v>
      </c>
    </row>
    <row r="6">
      <c r="A6" s="18" t="inlineStr">
        <is>
          <t>현금및현금성자산</t>
        </is>
      </c>
      <c r="B6" s="10" t="n"/>
      <c r="C6" s="19" t="n">
        <v>4557.24</v>
      </c>
      <c r="D6" s="20" t="n">
        <v>4080.08</v>
      </c>
      <c r="E6" s="20" t="n">
        <v>4606.765</v>
      </c>
      <c r="F6" s="20" t="n">
        <v>4553.279</v>
      </c>
      <c r="G6" s="20" t="n">
        <v>4573.506</v>
      </c>
      <c r="H6" s="19" t="n">
        <v>874.711</v>
      </c>
      <c r="I6" s="20" t="n">
        <v>1289.67</v>
      </c>
      <c r="J6" s="20" t="n">
        <v>3698.236</v>
      </c>
      <c r="K6" s="20" t="n">
        <v>4557.24</v>
      </c>
      <c r="L6" s="20" t="n">
        <v>4573.506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2414.553</v>
      </c>
      <c r="D8" s="20" t="n">
        <v>3262.711</v>
      </c>
      <c r="E8" s="20" t="n">
        <v>2562.867</v>
      </c>
      <c r="F8" s="20" t="n">
        <v>2578.695</v>
      </c>
      <c r="G8" s="20" t="n">
        <v>2666.71</v>
      </c>
      <c r="H8" s="19" t="n">
        <v>1013.652</v>
      </c>
      <c r="I8" s="20" t="n">
        <v>1464.945</v>
      </c>
      <c r="J8" s="20" t="n">
        <v>2015.858</v>
      </c>
      <c r="K8" s="20" t="n">
        <v>2414.553</v>
      </c>
      <c r="L8" s="20" t="n">
        <v>2666.71</v>
      </c>
    </row>
    <row r="9">
      <c r="A9" s="18" t="inlineStr">
        <is>
          <t>재고자산</t>
        </is>
      </c>
      <c r="B9" s="10" t="n"/>
      <c r="C9" s="19" t="n">
        <v>16.534</v>
      </c>
      <c r="D9" s="20" t="n"/>
      <c r="E9" s="20" t="n"/>
      <c r="F9" s="20" t="n">
        <v>116.921</v>
      </c>
      <c r="G9" s="20" t="n"/>
      <c r="H9" s="19" t="n">
        <v>0</v>
      </c>
      <c r="I9" s="20" t="n">
        <v>17.715</v>
      </c>
      <c r="J9" s="20" t="n"/>
      <c r="K9" s="20" t="n">
        <v>16.534</v>
      </c>
      <c r="L9" s="20" t="n"/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2731.14</v>
      </c>
      <c r="D11" s="12" t="n">
        <v>2916.408</v>
      </c>
      <c r="E11" s="12" t="n">
        <v>3318.7</v>
      </c>
      <c r="F11" s="12" t="n">
        <v>3178.987</v>
      </c>
      <c r="G11" s="12" t="n">
        <v>3133.615</v>
      </c>
      <c r="H11" s="11" t="n">
        <v>561.693</v>
      </c>
      <c r="I11" s="12" t="n">
        <v>1244.983</v>
      </c>
      <c r="J11" s="12" t="n">
        <v>1229.569</v>
      </c>
      <c r="K11" s="12" t="n">
        <v>2731.14</v>
      </c>
      <c r="L11" s="12" t="n">
        <v>3133.615</v>
      </c>
    </row>
    <row r="12">
      <c r="A12" s="18" t="inlineStr">
        <is>
          <t>유형자산</t>
        </is>
      </c>
      <c r="B12" s="10" t="n"/>
      <c r="C12" s="19" t="n">
        <v>82.913</v>
      </c>
      <c r="D12" s="20" t="n">
        <v>79.98099999999999</v>
      </c>
      <c r="E12" s="20" t="n">
        <v>222.539</v>
      </c>
      <c r="F12" s="20" t="n">
        <v>207.758</v>
      </c>
      <c r="G12" s="20" t="n">
        <v>197.345</v>
      </c>
      <c r="H12" s="19" t="n">
        <v>62.705</v>
      </c>
      <c r="I12" s="20" t="n">
        <v>45.263</v>
      </c>
      <c r="J12" s="20" t="n">
        <v>42.408</v>
      </c>
      <c r="K12" s="20" t="n">
        <v>82.913</v>
      </c>
      <c r="L12" s="20" t="n">
        <v>197.345</v>
      </c>
    </row>
    <row r="13">
      <c r="A13" s="18" t="inlineStr">
        <is>
          <t>무형자산</t>
        </is>
      </c>
      <c r="B13" s="10" t="n"/>
      <c r="C13" s="19" t="n">
        <v>2270.626</v>
      </c>
      <c r="D13" s="20" t="n">
        <v>2437.164</v>
      </c>
      <c r="E13" s="20" t="n">
        <v>2474.037</v>
      </c>
      <c r="F13" s="20" t="n">
        <v>2353.906</v>
      </c>
      <c r="G13" s="20" t="n">
        <v>2274.424</v>
      </c>
      <c r="H13" s="19" t="n">
        <v>340.58</v>
      </c>
      <c r="I13" s="20" t="n">
        <v>1017.658</v>
      </c>
      <c r="J13" s="20" t="n">
        <v>1051.255</v>
      </c>
      <c r="K13" s="20" t="n">
        <v>2270.626</v>
      </c>
      <c r="L13" s="20" t="n">
        <v>2274.424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9947.870000000001</v>
      </c>
      <c r="D16" s="12" t="n">
        <v>10529.706</v>
      </c>
      <c r="E16" s="12" t="n">
        <v>10740.776</v>
      </c>
      <c r="F16" s="12" t="n">
        <v>10722.708</v>
      </c>
      <c r="G16" s="12" t="n">
        <v>10684.661</v>
      </c>
      <c r="H16" s="11" t="n">
        <v>2511.379</v>
      </c>
      <c r="I16" s="12" t="n">
        <v>4086.088</v>
      </c>
      <c r="J16" s="12" t="n">
        <v>7101.897</v>
      </c>
      <c r="K16" s="12" t="n">
        <v>9947.870000000001</v>
      </c>
      <c r="L16" s="12" t="n">
        <v>10684.661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3931.461</v>
      </c>
      <c r="D18" s="12" t="n">
        <v>4179.416</v>
      </c>
      <c r="E18" s="12" t="n">
        <v>4369.976</v>
      </c>
      <c r="F18" s="12" t="n">
        <v>4411.417</v>
      </c>
      <c r="G18" s="12" t="n">
        <v>4633.45</v>
      </c>
      <c r="H18" s="11" t="n">
        <v>1127.598</v>
      </c>
      <c r="I18" s="12" t="n">
        <v>1954.299</v>
      </c>
      <c r="J18" s="12" t="n">
        <v>2866.114</v>
      </c>
      <c r="K18" s="12" t="n">
        <v>3931.461</v>
      </c>
      <c r="L18" s="12" t="n">
        <v>4633.45</v>
      </c>
    </row>
    <row r="19">
      <c r="A19" s="18" t="inlineStr">
        <is>
          <t>매입채무</t>
        </is>
      </c>
      <c r="B19" s="10" t="n"/>
      <c r="C19" s="19" t="n">
        <v>1080.512</v>
      </c>
      <c r="D19" s="20" t="n">
        <v>1055.727</v>
      </c>
      <c r="E19" s="20" t="n">
        <v>1083.772</v>
      </c>
      <c r="F19" s="20" t="n">
        <v>1098.482</v>
      </c>
      <c r="G19" s="20" t="n">
        <v>1087.463</v>
      </c>
      <c r="H19" s="19" t="n">
        <v>517.039</v>
      </c>
      <c r="I19" s="20" t="n">
        <v>711.8390000000001</v>
      </c>
      <c r="J19" s="20" t="n">
        <v>935.491</v>
      </c>
      <c r="K19" s="20" t="n">
        <v>1080.512</v>
      </c>
      <c r="L19" s="20" t="n">
        <v>1087.463</v>
      </c>
    </row>
    <row r="20">
      <c r="A20" s="18" t="inlineStr">
        <is>
          <t>단기차입금</t>
        </is>
      </c>
      <c r="B20" s="10" t="n"/>
      <c r="C20" s="19" t="n">
        <v>100</v>
      </c>
      <c r="D20" s="20" t="n"/>
      <c r="E20" s="20" t="n">
        <v>237</v>
      </c>
      <c r="F20" s="20" t="n">
        <v>267</v>
      </c>
      <c r="G20" s="20" t="n">
        <v>267</v>
      </c>
      <c r="H20" s="19" t="n">
        <v>0</v>
      </c>
      <c r="I20" s="20" t="n">
        <v>200</v>
      </c>
      <c r="J20" s="20" t="n">
        <v>0</v>
      </c>
      <c r="K20" s="20" t="n">
        <v>100</v>
      </c>
      <c r="L20" s="20" t="n">
        <v>267</v>
      </c>
    </row>
    <row r="21">
      <c r="A21" s="18" t="inlineStr">
        <is>
          <t>유동성장기부채</t>
        </is>
      </c>
      <c r="B21" s="10" t="n"/>
      <c r="C21" s="19" t="n">
        <v>1069.069</v>
      </c>
      <c r="D21" s="20" t="n">
        <v>1107.819</v>
      </c>
      <c r="E21" s="20" t="n">
        <v>1126.57</v>
      </c>
      <c r="F21" s="20" t="n">
        <v>1187.37</v>
      </c>
      <c r="G21" s="20" t="n">
        <v>1157.172</v>
      </c>
      <c r="H21" s="19" t="n">
        <v>172.457</v>
      </c>
      <c r="I21" s="20" t="n">
        <v>397.478</v>
      </c>
      <c r="J21" s="20" t="n">
        <v>623.208</v>
      </c>
      <c r="K21" s="20" t="n">
        <v>1069.069</v>
      </c>
      <c r="L21" s="20" t="n">
        <v>1157.172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2548.476</v>
      </c>
      <c r="D23" s="12" t="n">
        <v>2520.753</v>
      </c>
      <c r="E23" s="12" t="n">
        <v>2526.104</v>
      </c>
      <c r="F23" s="12" t="n">
        <v>2460.281</v>
      </c>
      <c r="G23" s="12" t="n">
        <v>2111.967</v>
      </c>
      <c r="H23" s="11" t="n">
        <v>646.864</v>
      </c>
      <c r="I23" s="12" t="n">
        <v>1234.714</v>
      </c>
      <c r="J23" s="12" t="n">
        <v>1349.972</v>
      </c>
      <c r="K23" s="12" t="n">
        <v>2548.476</v>
      </c>
      <c r="L23" s="12" t="n">
        <v>2111.967</v>
      </c>
    </row>
    <row r="24">
      <c r="A24" s="18" t="inlineStr">
        <is>
          <t>장기차입금</t>
        </is>
      </c>
      <c r="B24" s="10" t="n"/>
      <c r="C24" s="19" t="n">
        <v>2468.212</v>
      </c>
      <c r="D24" s="20" t="n">
        <v>2464.613</v>
      </c>
      <c r="E24" s="20" t="n">
        <v>2461.675</v>
      </c>
      <c r="F24" s="20" t="n">
        <v>2414.205</v>
      </c>
      <c r="G24" s="20" t="n">
        <v>2092.702</v>
      </c>
      <c r="H24" s="19" t="n">
        <v>646.864</v>
      </c>
      <c r="I24" s="20" t="n">
        <v>1214.976</v>
      </c>
      <c r="J24" s="20" t="n">
        <v>1346.952</v>
      </c>
      <c r="K24" s="20" t="n">
        <v>2468.212</v>
      </c>
      <c r="L24" s="20" t="n">
        <v>2092.702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6479.938</v>
      </c>
      <c r="D27" s="12" t="n">
        <v>6700.17</v>
      </c>
      <c r="E27" s="12" t="n">
        <v>6896.08</v>
      </c>
      <c r="F27" s="12" t="n">
        <v>6871.699</v>
      </c>
      <c r="G27" s="12" t="n">
        <v>6745.417</v>
      </c>
      <c r="H27" s="11" t="n">
        <v>1774.462</v>
      </c>
      <c r="I27" s="12" t="n">
        <v>3189.014</v>
      </c>
      <c r="J27" s="12" t="n">
        <v>4216.087</v>
      </c>
      <c r="K27" s="12" t="n">
        <v>6479.938</v>
      </c>
      <c r="L27" s="12" t="n">
        <v>6745.417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3351.231</v>
      </c>
      <c r="D31" s="12" t="n">
        <v>3694.643</v>
      </c>
      <c r="E31" s="12" t="n">
        <v>3710.73</v>
      </c>
      <c r="F31" s="12" t="n">
        <v>3726.347</v>
      </c>
      <c r="G31" s="12" t="n">
        <v>3837.329</v>
      </c>
      <c r="H31" s="11" t="n">
        <v>732.564</v>
      </c>
      <c r="I31" s="12" t="n">
        <v>892.217</v>
      </c>
      <c r="J31" s="12" t="n">
        <v>2877.465</v>
      </c>
      <c r="K31" s="12" t="n">
        <v>3351.231</v>
      </c>
      <c r="L31" s="12" t="n">
        <v>3837.329</v>
      </c>
    </row>
    <row r="32">
      <c r="A32" s="18" t="inlineStr">
        <is>
          <t>자본금</t>
        </is>
      </c>
      <c r="B32" s="10" t="n"/>
      <c r="C32" s="19" t="n">
        <v>1038.985</v>
      </c>
      <c r="D32" s="20" t="n">
        <v>1039.081</v>
      </c>
      <c r="E32" s="20" t="n">
        <v>1057.448</v>
      </c>
      <c r="F32" s="20" t="n">
        <v>1057.828</v>
      </c>
      <c r="G32" s="20" t="n">
        <v>1062.328</v>
      </c>
      <c r="H32" s="19" t="n">
        <v>139.589</v>
      </c>
      <c r="I32" s="20" t="n">
        <v>144.886</v>
      </c>
      <c r="J32" s="20" t="n">
        <v>1038.217</v>
      </c>
      <c r="K32" s="20" t="n">
        <v>1038.985</v>
      </c>
      <c r="L32" s="20" t="n">
        <v>1062.328</v>
      </c>
    </row>
    <row r="33">
      <c r="A33" s="18" t="inlineStr">
        <is>
          <t>이익잉여금</t>
        </is>
      </c>
      <c r="B33" s="10" t="n"/>
      <c r="C33" s="19" t="n">
        <v>1243.282</v>
      </c>
      <c r="D33" s="20" t="n">
        <v>1588.759</v>
      </c>
      <c r="E33" s="20" t="n">
        <v>1524.364</v>
      </c>
      <c r="F33" s="20" t="n">
        <v>1539.455</v>
      </c>
      <c r="G33" s="20" t="n">
        <v>1651.529</v>
      </c>
      <c r="H33" s="19" t="n">
        <v>453.554</v>
      </c>
      <c r="I33" s="20" t="n">
        <v>602.732</v>
      </c>
      <c r="J33" s="20" t="n">
        <v>770.61</v>
      </c>
      <c r="K33" s="20" t="n">
        <v>1243.282</v>
      </c>
      <c r="L33" s="20" t="n">
        <v>1651.529</v>
      </c>
    </row>
    <row r="34">
      <c r="A34" s="18" t="inlineStr">
        <is>
          <t>비지배지분</t>
        </is>
      </c>
      <c r="B34" s="10" t="n"/>
      <c r="C34" s="19" t="n">
        <v>106.272</v>
      </c>
      <c r="D34" s="20" t="n">
        <v>120.578</v>
      </c>
      <c r="E34" s="20" t="n">
        <v>118.79</v>
      </c>
      <c r="F34" s="20" t="n">
        <v>108.624</v>
      </c>
      <c r="G34" s="20" t="n">
        <v>88.05800000000001</v>
      </c>
      <c r="H34" s="19" t="n"/>
      <c r="I34" s="20" t="n"/>
      <c r="J34" s="20" t="n">
        <v>0</v>
      </c>
      <c r="K34" s="20" t="n">
        <v>106.272</v>
      </c>
      <c r="L34" s="20" t="n">
        <v>88.05800000000001</v>
      </c>
    </row>
    <row r="35">
      <c r="A35" s="9" t="inlineStr">
        <is>
          <t>자본총계</t>
        </is>
      </c>
      <c r="B35" s="10" t="n"/>
      <c r="C35" s="11" t="n">
        <v>3467.931</v>
      </c>
      <c r="D35" s="12" t="n">
        <v>3829.535</v>
      </c>
      <c r="E35" s="12" t="n">
        <v>3844.696</v>
      </c>
      <c r="F35" s="12" t="n">
        <v>3851.009</v>
      </c>
      <c r="G35" s="12" t="n">
        <v>3939.243</v>
      </c>
      <c r="H35" s="11" t="n">
        <v>736.9160000000001</v>
      </c>
      <c r="I35" s="12" t="n">
        <v>897.074</v>
      </c>
      <c r="J35" s="12" t="n">
        <v>2885.81</v>
      </c>
      <c r="K35" s="12" t="n">
        <v>3467.931</v>
      </c>
      <c r="L35" s="12" t="n">
        <v>3939.243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749.693</v>
      </c>
      <c r="D37" s="12" t="n"/>
      <c r="E37" s="12" t="n">
        <v>883.869</v>
      </c>
      <c r="F37" s="12" t="n"/>
      <c r="G37" s="12" t="n">
        <v>1029.49</v>
      </c>
      <c r="H37" s="11" t="n">
        <v>215.586</v>
      </c>
      <c r="I37" s="12" t="n">
        <v>172.599</v>
      </c>
      <c r="J37" s="12" t="n">
        <v>697.114</v>
      </c>
      <c r="K37" s="12" t="n">
        <v>749.693</v>
      </c>
      <c r="L37" s="12" t="n">
        <v>1029.49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65.283</v>
      </c>
      <c r="D38" s="20" t="n"/>
      <c r="E38" s="20" t="n">
        <v>117.822</v>
      </c>
      <c r="F38" s="20" t="n"/>
      <c r="G38" s="20" t="n">
        <v>193.584</v>
      </c>
      <c r="H38" s="19" t="n">
        <v>103.684</v>
      </c>
      <c r="I38" s="20" t="n">
        <v>29.169</v>
      </c>
      <c r="J38" s="20" t="n">
        <v>29.644</v>
      </c>
      <c r="K38" s="20" t="n">
        <v>65.283</v>
      </c>
      <c r="L38" s="20" t="n">
        <v>193.584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21.519</v>
      </c>
      <c r="D40" s="20" t="n"/>
      <c r="E40" s="20" t="n">
        <v>21.824</v>
      </c>
      <c r="F40" s="20" t="n"/>
      <c r="G40" s="20" t="n">
        <v>21.658</v>
      </c>
      <c r="H40" s="19" t="n">
        <v>0</v>
      </c>
      <c r="I40" s="20" t="n">
        <v>20.923</v>
      </c>
      <c r="J40" s="20" t="n">
        <v>20.959</v>
      </c>
      <c r="K40" s="20" t="n">
        <v>21.519</v>
      </c>
      <c r="L40" s="20" t="n">
        <v>21.658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4557.24</v>
      </c>
      <c r="D71" s="20" t="n">
        <v>4080.08</v>
      </c>
      <c r="E71" s="20" t="n">
        <v>4606.765</v>
      </c>
      <c r="F71" s="20" t="n">
        <v>4553.279</v>
      </c>
      <c r="G71" s="20" t="n">
        <v>4573.506</v>
      </c>
      <c r="H71" s="20" t="n">
        <v>874.711</v>
      </c>
      <c r="I71" s="20" t="n">
        <v>1289.67</v>
      </c>
      <c r="J71" s="20" t="n">
        <v>3698.236</v>
      </c>
      <c r="K71" s="20" t="n">
        <v>4557.24</v>
      </c>
      <c r="L71" s="20" t="n">
        <v>4573.506</v>
      </c>
    </row>
    <row r="72">
      <c r="A72" s="18" t="inlineStr">
        <is>
          <t>매출채권</t>
        </is>
      </c>
      <c r="H72" s="20" t="n">
        <v>1013.652</v>
      </c>
      <c r="I72" s="20" t="n">
        <v>1464.945</v>
      </c>
    </row>
    <row r="73">
      <c r="A73" s="18" t="inlineStr">
        <is>
          <t>재공품</t>
        </is>
      </c>
      <c r="H73" s="20" t="n">
        <v>0</v>
      </c>
      <c r="I73" s="20" t="n">
        <v>17.715</v>
      </c>
    </row>
    <row r="74">
      <c r="A74" s="18" t="inlineStr">
        <is>
          <t>매출채권·계약자산</t>
        </is>
      </c>
      <c r="C74" s="20" t="n">
        <v>2414.553</v>
      </c>
      <c r="D74" s="20" t="n">
        <v>3262.711</v>
      </c>
      <c r="E74" s="20" t="n">
        <v>2562.867</v>
      </c>
      <c r="F74" s="20" t="n">
        <v>2578.695</v>
      </c>
      <c r="G74" s="20" t="n">
        <v>2666.71</v>
      </c>
      <c r="I74" s="20" t="n">
        <v>1464.945</v>
      </c>
      <c r="J74" s="20" t="n">
        <v>2015.858</v>
      </c>
      <c r="K74" s="20" t="n">
        <v>2414.553</v>
      </c>
      <c r="L74" s="20" t="n">
        <v>2666.71</v>
      </c>
    </row>
    <row r="75">
      <c r="A75" s="18" t="inlineStr">
        <is>
          <t>상품·제품</t>
        </is>
      </c>
      <c r="C75" s="20" t="n">
        <v>16.534</v>
      </c>
      <c r="F75" s="20" t="n">
        <v>116.921</v>
      </c>
      <c r="K75" s="20" t="n">
        <v>16.534</v>
      </c>
    </row>
    <row r="76">
      <c r="A76" s="18" t="inlineStr">
        <is>
          <t>기타</t>
        </is>
      </c>
      <c r="C76" s="20" t="n">
        <v>248.03</v>
      </c>
      <c r="D76" s="20" t="n">
        <v>273.842</v>
      </c>
      <c r="E76" s="20" t="n">
        <v>256.136</v>
      </c>
      <c r="F76" s="20" t="n">
        <v>298.304</v>
      </c>
      <c r="G76" s="20" t="n">
        <v>314.595</v>
      </c>
      <c r="H76" s="20" t="n">
        <v>63.061</v>
      </c>
      <c r="I76" s="20" t="n">
        <v>90.11199999999999</v>
      </c>
      <c r="J76" s="20" t="n">
        <v>160.78</v>
      </c>
      <c r="K76" s="20" t="n">
        <v>248.03</v>
      </c>
      <c r="L76" s="20" t="n">
        <v>314.595</v>
      </c>
    </row>
    <row r="77">
      <c r="A77" s="18" t="inlineStr">
        <is>
          <t>대손충당금</t>
        </is>
      </c>
      <c r="C77" s="20" t="n">
        <v>-3.094</v>
      </c>
      <c r="D77" s="20" t="n">
        <v>-3.336</v>
      </c>
      <c r="E77" s="20" t="n">
        <v>-3.694</v>
      </c>
      <c r="F77" s="20" t="n">
        <v>-3.479</v>
      </c>
      <c r="G77" s="20" t="n">
        <v>-3.767</v>
      </c>
      <c r="H77" s="20" t="n">
        <v>-4.062</v>
      </c>
      <c r="I77" s="20" t="n">
        <v>-3.622</v>
      </c>
      <c r="J77" s="20" t="n">
        <v>-2.546</v>
      </c>
      <c r="K77" s="20" t="n">
        <v>-3.094</v>
      </c>
      <c r="L77" s="20" t="n">
        <v>-3.767</v>
      </c>
    </row>
    <row r="78">
      <c r="A78" s="9" t="inlineStr">
        <is>
          <t>유동자산 합계</t>
        </is>
      </c>
      <c r="C78" s="12" t="n">
        <v>7216.73</v>
      </c>
      <c r="D78" s="12" t="n">
        <v>7613.297</v>
      </c>
      <c r="E78" s="12" t="n">
        <v>7422.076</v>
      </c>
      <c r="F78" s="12" t="n">
        <v>7543.721</v>
      </c>
      <c r="G78" s="12" t="n">
        <v>7551.045</v>
      </c>
      <c r="H78" s="12" t="n">
        <v>1947.363</v>
      </c>
      <c r="I78" s="12" t="n">
        <v>2841.105</v>
      </c>
      <c r="J78" s="12" t="n">
        <v>5872.328</v>
      </c>
      <c r="K78" s="12" t="n">
        <v>7216.73</v>
      </c>
      <c r="L78" s="12" t="n">
        <v>7551.045</v>
      </c>
    </row>
    <row r="79">
      <c r="A79" s="18" t="inlineStr">
        <is>
          <t>건물(순액)</t>
        </is>
      </c>
      <c r="H79" s="20" t="n">
        <v>52.388</v>
      </c>
      <c r="I79" s="20" t="n">
        <v>33.508</v>
      </c>
    </row>
    <row r="80">
      <c r="A80" s="18" t="inlineStr">
        <is>
          <t>기타</t>
        </is>
      </c>
      <c r="H80" s="20" t="n">
        <v>10.316</v>
      </c>
    </row>
    <row r="81">
      <c r="A81" s="18" t="inlineStr">
        <is>
          <t>건물부속설비(순액)</t>
        </is>
      </c>
      <c r="C81" s="20" t="n">
        <v>72.72</v>
      </c>
      <c r="E81" s="20" t="n">
        <v>174.916</v>
      </c>
      <c r="F81" s="20" t="n">
        <v>155.714</v>
      </c>
      <c r="G81" s="20" t="n">
        <v>145.686</v>
      </c>
      <c r="K81" s="20" t="n">
        <v>72.72</v>
      </c>
      <c r="L81" s="20" t="n">
        <v>145.686</v>
      </c>
    </row>
    <row r="82">
      <c r="A82" s="18" t="inlineStr">
        <is>
          <t>기타(순액)</t>
        </is>
      </c>
      <c r="C82" s="20" t="n">
        <v>10.193</v>
      </c>
      <c r="E82" s="20" t="n">
        <v>47.622</v>
      </c>
      <c r="F82" s="20" t="n">
        <v>52.043</v>
      </c>
      <c r="G82" s="20" t="n">
        <v>51.658</v>
      </c>
      <c r="H82" s="20" t="n">
        <v>10.316</v>
      </c>
      <c r="I82" s="20" t="n">
        <v>11.755</v>
      </c>
      <c r="K82" s="20" t="n">
        <v>10.193</v>
      </c>
      <c r="L82" s="20" t="n">
        <v>51.658</v>
      </c>
    </row>
    <row r="83">
      <c r="A83" s="18" t="inlineStr">
        <is>
          <t>유형자산 합계</t>
        </is>
      </c>
      <c r="C83" s="20" t="n">
        <v>82.913</v>
      </c>
      <c r="D83" s="20" t="n">
        <v>79.98099999999999</v>
      </c>
      <c r="E83" s="20" t="n">
        <v>222.539</v>
      </c>
      <c r="F83" s="20" t="n">
        <v>207.758</v>
      </c>
      <c r="G83" s="20" t="n">
        <v>197.345</v>
      </c>
      <c r="H83" s="20" t="n">
        <v>62.705</v>
      </c>
      <c r="I83" s="20" t="n">
        <v>45.263</v>
      </c>
      <c r="J83" s="20" t="n">
        <v>42.408</v>
      </c>
      <c r="K83" s="20" t="n">
        <v>82.913</v>
      </c>
      <c r="L83" s="20" t="n">
        <v>197.345</v>
      </c>
    </row>
    <row r="84">
      <c r="A84" s="18" t="inlineStr">
        <is>
          <t>영업권</t>
        </is>
      </c>
      <c r="C84" s="20" t="n">
        <v>1872.886</v>
      </c>
      <c r="D84" s="20" t="n">
        <v>2051.27</v>
      </c>
      <c r="E84" s="20" t="n">
        <v>2038.281</v>
      </c>
      <c r="F84" s="20" t="n">
        <v>1940.363</v>
      </c>
      <c r="G84" s="20" t="n">
        <v>1874.223</v>
      </c>
      <c r="H84" s="20" t="n">
        <v>287.487</v>
      </c>
      <c r="I84" s="20" t="n">
        <v>890.771</v>
      </c>
      <c r="J84" s="20" t="n">
        <v>939.056</v>
      </c>
      <c r="K84" s="20" t="n">
        <v>1872.886</v>
      </c>
      <c r="L84" s="20" t="n">
        <v>1874.223</v>
      </c>
    </row>
    <row r="85">
      <c r="A85" s="18" t="inlineStr">
        <is>
          <t>기타</t>
        </is>
      </c>
      <c r="C85" s="20" t="n">
        <v>397.739</v>
      </c>
      <c r="D85" s="20" t="n">
        <v>385.893</v>
      </c>
      <c r="E85" s="20" t="n">
        <v>435.755</v>
      </c>
      <c r="F85" s="20" t="n">
        <v>413.543</v>
      </c>
      <c r="G85" s="20" t="n">
        <v>400.201</v>
      </c>
      <c r="H85" s="20" t="n">
        <v>53.092</v>
      </c>
      <c r="I85" s="20" t="n">
        <v>126.887</v>
      </c>
      <c r="J85" s="20" t="n">
        <v>112.198</v>
      </c>
      <c r="K85" s="20" t="n">
        <v>397.739</v>
      </c>
      <c r="L85" s="20" t="n">
        <v>400.201</v>
      </c>
    </row>
    <row r="86">
      <c r="A86" s="18" t="inlineStr">
        <is>
          <t>무형자산 합계</t>
        </is>
      </c>
      <c r="C86" s="20" t="n">
        <v>2270.626</v>
      </c>
      <c r="D86" s="20" t="n">
        <v>2437.164</v>
      </c>
      <c r="E86" s="20" t="n">
        <v>2474.037</v>
      </c>
      <c r="F86" s="20" t="n">
        <v>2353.906</v>
      </c>
      <c r="G86" s="20" t="n">
        <v>2274.424</v>
      </c>
      <c r="H86" s="20" t="n">
        <v>340.58</v>
      </c>
      <c r="I86" s="20" t="n">
        <v>1017.658</v>
      </c>
      <c r="J86" s="20" t="n">
        <v>1051.255</v>
      </c>
      <c r="K86" s="20" t="n">
        <v>2270.626</v>
      </c>
      <c r="L86" s="20" t="n">
        <v>2274.424</v>
      </c>
    </row>
    <row r="87">
      <c r="A87" s="18" t="inlineStr">
        <is>
          <t>투자유가증권</t>
        </is>
      </c>
      <c r="C87" s="20" t="n">
        <v>40.278</v>
      </c>
      <c r="D87" s="20" t="n">
        <v>35.908</v>
      </c>
      <c r="E87" s="20" t="n">
        <v>36.2</v>
      </c>
      <c r="F87" s="20" t="n">
        <v>35.895</v>
      </c>
      <c r="G87" s="20" t="n">
        <v>36.458</v>
      </c>
      <c r="H87" s="20" t="n">
        <v>76.88800000000001</v>
      </c>
      <c r="I87" s="20" t="n">
        <v>41.418</v>
      </c>
      <c r="J87" s="20" t="n">
        <v>24.846</v>
      </c>
      <c r="K87" s="20" t="n">
        <v>40.278</v>
      </c>
      <c r="L87" s="20" t="n">
        <v>36.458</v>
      </c>
    </row>
    <row r="88">
      <c r="A88" s="18" t="inlineStr">
        <is>
          <t>장기대여금</t>
        </is>
      </c>
      <c r="C88" s="20" t="n">
        <v>0</v>
      </c>
      <c r="E88" s="20" t="n">
        <v>270</v>
      </c>
      <c r="F88" s="20" t="n">
        <v>270</v>
      </c>
      <c r="G88" s="20" t="n">
        <v>249.75</v>
      </c>
      <c r="K88" s="20" t="n">
        <v>0</v>
      </c>
      <c r="L88" s="20" t="n">
        <v>249.75</v>
      </c>
    </row>
    <row r="89">
      <c r="A89" s="18" t="inlineStr">
        <is>
          <t>이연법인세자산</t>
        </is>
      </c>
      <c r="C89" s="20" t="n">
        <v>127.369</v>
      </c>
      <c r="D89" s="20" t="n">
        <v>142.507</v>
      </c>
      <c r="E89" s="20" t="n">
        <v>91.486</v>
      </c>
      <c r="F89" s="20" t="n">
        <v>91.889</v>
      </c>
      <c r="G89" s="20" t="n">
        <v>119.422</v>
      </c>
      <c r="H89" s="20" t="n">
        <v>18.878</v>
      </c>
      <c r="I89" s="20" t="n">
        <v>22.208</v>
      </c>
      <c r="J89" s="20" t="n">
        <v>13.559</v>
      </c>
      <c r="K89" s="20" t="n">
        <v>127.369</v>
      </c>
      <c r="L89" s="20" t="n">
        <v>119.422</v>
      </c>
    </row>
    <row r="90">
      <c r="A90" s="18" t="inlineStr">
        <is>
          <t>임차보증금·보증금</t>
        </is>
      </c>
      <c r="C90" s="20" t="n">
        <v>198.232</v>
      </c>
      <c r="D90" s="20" t="n">
        <v>208.96</v>
      </c>
      <c r="E90" s="20" t="n">
        <v>212.657</v>
      </c>
      <c r="F90" s="20" t="n">
        <v>209.384</v>
      </c>
      <c r="G90" s="20" t="n">
        <v>246.625</v>
      </c>
      <c r="H90" s="20" t="n">
        <v>61.958</v>
      </c>
      <c r="I90" s="20" t="n">
        <v>117.935</v>
      </c>
      <c r="J90" s="20" t="n">
        <v>92.88</v>
      </c>
      <c r="K90" s="20" t="n">
        <v>198.232</v>
      </c>
      <c r="L90" s="20" t="n">
        <v>246.625</v>
      </c>
    </row>
    <row r="91">
      <c r="A91" s="18" t="inlineStr">
        <is>
          <t>기타</t>
        </is>
      </c>
      <c r="C91" s="20" t="n">
        <v>37.103</v>
      </c>
      <c r="D91" s="20" t="n">
        <v>40.812</v>
      </c>
      <c r="E91" s="20" t="n">
        <v>42.231</v>
      </c>
      <c r="F91" s="20" t="n">
        <v>37.867</v>
      </c>
      <c r="G91" s="20" t="n">
        <v>46.263</v>
      </c>
      <c r="H91" s="20" t="n">
        <v>15.448</v>
      </c>
      <c r="I91" s="20" t="n">
        <v>12.362</v>
      </c>
      <c r="J91" s="20" t="n">
        <v>26.621</v>
      </c>
      <c r="K91" s="20" t="n">
        <v>37.103</v>
      </c>
      <c r="L91" s="20" t="n">
        <v>46.263</v>
      </c>
    </row>
    <row r="92">
      <c r="A92" s="18" t="inlineStr">
        <is>
          <t>대손충당금</t>
        </is>
      </c>
      <c r="C92" s="20" t="n">
        <v>-25.383</v>
      </c>
      <c r="D92" s="20" t="n">
        <v>-28.926</v>
      </c>
      <c r="E92" s="20" t="n">
        <v>-30.451</v>
      </c>
      <c r="F92" s="20" t="n">
        <v>-27.714</v>
      </c>
      <c r="G92" s="20" t="n">
        <v>-36.674</v>
      </c>
      <c r="H92" s="20" t="n">
        <v>-14.764</v>
      </c>
      <c r="I92" s="20" t="n">
        <v>-11.863</v>
      </c>
      <c r="J92" s="20" t="n">
        <v>-22.001</v>
      </c>
      <c r="K92" s="20" t="n">
        <v>-25.383</v>
      </c>
      <c r="L92" s="20" t="n">
        <v>-36.674</v>
      </c>
    </row>
    <row r="93">
      <c r="A93" s="18" t="inlineStr">
        <is>
          <t>투자 및 기타자산 합계</t>
        </is>
      </c>
      <c r="C93" s="20" t="n">
        <v>377.599</v>
      </c>
      <c r="D93" s="20" t="n">
        <v>399.262</v>
      </c>
      <c r="E93" s="20" t="n">
        <v>622.124</v>
      </c>
      <c r="F93" s="20" t="n">
        <v>617.321</v>
      </c>
      <c r="G93" s="20" t="n">
        <v>661.845</v>
      </c>
      <c r="H93" s="20" t="n">
        <v>158.408</v>
      </c>
      <c r="I93" s="20" t="n">
        <v>182.06</v>
      </c>
      <c r="J93" s="20" t="n">
        <v>135.906</v>
      </c>
      <c r="K93" s="20" t="n">
        <v>377.599</v>
      </c>
      <c r="L93" s="20" t="n">
        <v>661.845</v>
      </c>
    </row>
    <row r="94">
      <c r="A94" s="9" t="inlineStr">
        <is>
          <t>비유동자산 합계</t>
        </is>
      </c>
      <c r="C94" s="12" t="n">
        <v>2731.14</v>
      </c>
      <c r="D94" s="12" t="n">
        <v>2916.408</v>
      </c>
      <c r="E94" s="12" t="n">
        <v>3318.7</v>
      </c>
      <c r="F94" s="12" t="n">
        <v>3178.987</v>
      </c>
      <c r="G94" s="12" t="n">
        <v>3133.615</v>
      </c>
      <c r="H94" s="12" t="n">
        <v>561.693</v>
      </c>
      <c r="I94" s="12" t="n">
        <v>1244.983</v>
      </c>
      <c r="J94" s="12" t="n">
        <v>1229.569</v>
      </c>
      <c r="K94" s="12" t="n">
        <v>2731.14</v>
      </c>
      <c r="L94" s="12" t="n">
        <v>3133.615</v>
      </c>
    </row>
    <row r="95">
      <c r="A95" s="18" t="inlineStr">
        <is>
          <t>이연자산</t>
        </is>
      </c>
      <c r="H95" s="20" t="n">
        <v>2.321</v>
      </c>
      <c r="I95" s="20" t="n">
        <v>0</v>
      </c>
    </row>
    <row r="96">
      <c r="A96" s="9" t="inlineStr">
        <is>
          <t>자산 합계</t>
        </is>
      </c>
      <c r="C96" s="12" t="n">
        <v>9947.870000000001</v>
      </c>
      <c r="D96" s="12" t="n">
        <v>10529.706</v>
      </c>
      <c r="E96" s="12" t="n">
        <v>10740.776</v>
      </c>
      <c r="F96" s="12" t="n">
        <v>10722.708</v>
      </c>
      <c r="G96" s="12" t="n">
        <v>10684.661</v>
      </c>
      <c r="H96" s="12" t="n">
        <v>2511.379</v>
      </c>
      <c r="I96" s="12" t="n">
        <v>4086.088</v>
      </c>
      <c r="J96" s="12" t="n">
        <v>7101.897</v>
      </c>
      <c r="K96" s="12" t="n">
        <v>9947.870000000001</v>
      </c>
      <c r="L96" s="12" t="n">
        <v>10684.661</v>
      </c>
    </row>
    <row r="97">
      <c r="A97" s="18" t="inlineStr">
        <is>
          <t>매입채무</t>
        </is>
      </c>
      <c r="C97" s="20" t="n">
        <v>1080.512</v>
      </c>
      <c r="D97" s="20" t="n">
        <v>1055.727</v>
      </c>
      <c r="E97" s="20" t="n">
        <v>1083.772</v>
      </c>
      <c r="F97" s="20" t="n">
        <v>1098.482</v>
      </c>
      <c r="G97" s="20" t="n">
        <v>1087.463</v>
      </c>
      <c r="H97" s="20" t="n">
        <v>517.039</v>
      </c>
      <c r="I97" s="20" t="n">
        <v>711.8390000000001</v>
      </c>
      <c r="J97" s="20" t="n">
        <v>935.491</v>
      </c>
      <c r="K97" s="20" t="n">
        <v>1080.512</v>
      </c>
      <c r="L97" s="20" t="n">
        <v>1087.463</v>
      </c>
    </row>
    <row r="98">
      <c r="A98" s="18" t="inlineStr">
        <is>
          <t>단기차입금</t>
        </is>
      </c>
      <c r="C98" s="20" t="n">
        <v>100</v>
      </c>
      <c r="E98" s="20" t="n">
        <v>237</v>
      </c>
      <c r="F98" s="20" t="n">
        <v>267</v>
      </c>
      <c r="G98" s="20" t="n">
        <v>267</v>
      </c>
      <c r="H98" s="20" t="n">
        <v>0</v>
      </c>
      <c r="I98" s="20" t="n">
        <v>200</v>
      </c>
      <c r="J98" s="20" t="n">
        <v>0</v>
      </c>
      <c r="K98" s="20" t="n">
        <v>100</v>
      </c>
      <c r="L98" s="20" t="n">
        <v>267</v>
      </c>
    </row>
    <row r="99">
      <c r="A99" s="18" t="inlineStr">
        <is>
          <t>1년 내 상환 장기차입금</t>
        </is>
      </c>
      <c r="C99" s="20" t="n">
        <v>1069.069</v>
      </c>
      <c r="D99" s="20" t="n">
        <v>1107.819</v>
      </c>
      <c r="E99" s="20" t="n">
        <v>1126.57</v>
      </c>
      <c r="F99" s="20" t="n">
        <v>1187.37</v>
      </c>
      <c r="G99" s="20" t="n">
        <v>1157.172</v>
      </c>
      <c r="H99" s="20" t="n">
        <v>172.457</v>
      </c>
      <c r="I99" s="20" t="n">
        <v>397.478</v>
      </c>
      <c r="J99" s="20" t="n">
        <v>623.208</v>
      </c>
      <c r="K99" s="20" t="n">
        <v>1069.069</v>
      </c>
      <c r="L99" s="20" t="n">
        <v>1157.172</v>
      </c>
    </row>
    <row r="100">
      <c r="A100" s="18" t="inlineStr">
        <is>
          <t>미지급금</t>
        </is>
      </c>
      <c r="C100" s="20" t="n">
        <v>842.901</v>
      </c>
      <c r="D100" s="20" t="n">
        <v>893.032</v>
      </c>
      <c r="E100" s="20" t="n">
        <v>955.611</v>
      </c>
      <c r="F100" s="20" t="n">
        <v>908.379</v>
      </c>
      <c r="G100" s="20" t="n">
        <v>966.157</v>
      </c>
      <c r="H100" s="20" t="n">
        <v>221.669</v>
      </c>
      <c r="I100" s="20" t="n">
        <v>368.693</v>
      </c>
      <c r="J100" s="20" t="n">
        <v>528.491</v>
      </c>
      <c r="K100" s="20" t="n">
        <v>842.901</v>
      </c>
      <c r="L100" s="20" t="n">
        <v>966.157</v>
      </c>
    </row>
    <row r="101">
      <c r="A101" s="18" t="inlineStr">
        <is>
          <t>미지급법인세</t>
        </is>
      </c>
      <c r="C101" s="20" t="n">
        <v>195.973</v>
      </c>
      <c r="D101" s="20" t="n">
        <v>304.899</v>
      </c>
      <c r="E101" s="20" t="n">
        <v>291.59</v>
      </c>
      <c r="F101" s="20" t="n">
        <v>216.319</v>
      </c>
      <c r="G101" s="20" t="n">
        <v>371.04</v>
      </c>
      <c r="H101" s="20" t="n">
        <v>66.79000000000001</v>
      </c>
      <c r="I101" s="20" t="n">
        <v>43.967</v>
      </c>
      <c r="J101" s="20" t="n">
        <v>223.996</v>
      </c>
      <c r="K101" s="20" t="n">
        <v>195.973</v>
      </c>
      <c r="L101" s="20" t="n">
        <v>371.04</v>
      </c>
    </row>
    <row r="102">
      <c r="A102" s="18" t="inlineStr">
        <is>
          <t>상여충당금</t>
        </is>
      </c>
      <c r="C102" s="20" t="n">
        <v>37.656</v>
      </c>
      <c r="D102" s="20" t="n">
        <v>109.019</v>
      </c>
      <c r="E102" s="20" t="n">
        <v>50.85</v>
      </c>
      <c r="F102" s="20" t="n">
        <v>90.13</v>
      </c>
      <c r="G102" s="20" t="n">
        <v>96.446</v>
      </c>
      <c r="I102" s="20" t="n">
        <v>35.043</v>
      </c>
      <c r="J102" s="20" t="n">
        <v>24.879</v>
      </c>
      <c r="K102" s="20" t="n">
        <v>37.656</v>
      </c>
      <c r="L102" s="20" t="n">
        <v>96.446</v>
      </c>
    </row>
    <row r="103">
      <c r="A103" s="18" t="inlineStr">
        <is>
          <t>기타</t>
        </is>
      </c>
      <c r="C103" s="20" t="n">
        <v>605.347</v>
      </c>
      <c r="D103" s="20" t="n">
        <v>708.918</v>
      </c>
      <c r="E103" s="20" t="n">
        <v>624.581</v>
      </c>
      <c r="F103" s="20" t="n">
        <v>643.735</v>
      </c>
      <c r="G103" s="20" t="n">
        <v>688.17</v>
      </c>
      <c r="H103" s="20" t="n">
        <v>149.642</v>
      </c>
      <c r="I103" s="20" t="n">
        <v>197.277</v>
      </c>
      <c r="J103" s="20" t="n">
        <v>530.046</v>
      </c>
      <c r="K103" s="20" t="n">
        <v>605.347</v>
      </c>
      <c r="L103" s="20" t="n">
        <v>688.17</v>
      </c>
    </row>
    <row r="104">
      <c r="A104" s="9" t="inlineStr">
        <is>
          <t>유동부채 합계</t>
        </is>
      </c>
      <c r="C104" s="12" t="n">
        <v>3931.461</v>
      </c>
      <c r="D104" s="12" t="n">
        <v>4179.416</v>
      </c>
      <c r="E104" s="12" t="n">
        <v>4369.976</v>
      </c>
      <c r="F104" s="12" t="n">
        <v>4411.417</v>
      </c>
      <c r="G104" s="12" t="n">
        <v>4633.45</v>
      </c>
      <c r="H104" s="12" t="n">
        <v>1127.598</v>
      </c>
      <c r="I104" s="12" t="n">
        <v>1954.299</v>
      </c>
      <c r="J104" s="12" t="n">
        <v>2866.114</v>
      </c>
      <c r="K104" s="12" t="n">
        <v>3931.461</v>
      </c>
      <c r="L104" s="12" t="n">
        <v>4633.45</v>
      </c>
    </row>
    <row r="105">
      <c r="A105" s="18" t="inlineStr">
        <is>
          <t>장기차입금</t>
        </is>
      </c>
      <c r="C105" s="20" t="n">
        <v>2468.212</v>
      </c>
      <c r="D105" s="20" t="n">
        <v>2464.613</v>
      </c>
      <c r="E105" s="20" t="n">
        <v>2461.675</v>
      </c>
      <c r="F105" s="20" t="n">
        <v>2414.205</v>
      </c>
      <c r="G105" s="20" t="n">
        <v>2092.702</v>
      </c>
      <c r="H105" s="20" t="n">
        <v>646.864</v>
      </c>
      <c r="I105" s="20" t="n">
        <v>1214.976</v>
      </c>
      <c r="J105" s="20" t="n">
        <v>1346.952</v>
      </c>
      <c r="K105" s="20" t="n">
        <v>2468.212</v>
      </c>
      <c r="L105" s="20" t="n">
        <v>2092.702</v>
      </c>
    </row>
    <row r="106">
      <c r="A106" s="18" t="inlineStr">
        <is>
          <t>기타</t>
        </is>
      </c>
      <c r="C106" s="20" t="n">
        <v>80.264</v>
      </c>
      <c r="D106" s="20" t="n">
        <v>56.14</v>
      </c>
      <c r="E106" s="20" t="n">
        <v>64.429</v>
      </c>
      <c r="F106" s="20" t="n">
        <v>46.076</v>
      </c>
      <c r="G106" s="20" t="n">
        <v>19.265</v>
      </c>
      <c r="H106" s="20" t="n">
        <v>0</v>
      </c>
      <c r="I106" s="20" t="n">
        <v>19.738</v>
      </c>
      <c r="J106" s="20" t="n">
        <v>3.02</v>
      </c>
      <c r="K106" s="20" t="n">
        <v>80.264</v>
      </c>
      <c r="L106" s="20" t="n">
        <v>19.265</v>
      </c>
    </row>
    <row r="107">
      <c r="A107" s="9" t="inlineStr">
        <is>
          <t>비유동부채 합계</t>
        </is>
      </c>
      <c r="C107" s="12" t="n">
        <v>2548.476</v>
      </c>
      <c r="D107" s="12" t="n">
        <v>2520.753</v>
      </c>
      <c r="E107" s="12" t="n">
        <v>2526.104</v>
      </c>
      <c r="F107" s="12" t="n">
        <v>2460.281</v>
      </c>
      <c r="G107" s="12" t="n">
        <v>2111.967</v>
      </c>
      <c r="H107" s="12" t="n">
        <v>646.864</v>
      </c>
      <c r="I107" s="12" t="n">
        <v>1234.714</v>
      </c>
      <c r="J107" s="12" t="n">
        <v>1349.972</v>
      </c>
      <c r="K107" s="12" t="n">
        <v>2548.476</v>
      </c>
      <c r="L107" s="12" t="n">
        <v>2111.967</v>
      </c>
    </row>
    <row r="108">
      <c r="A108" s="9" t="inlineStr">
        <is>
          <t>부채 합계</t>
        </is>
      </c>
      <c r="C108" s="12" t="n">
        <v>6479.938</v>
      </c>
      <c r="D108" s="12" t="n">
        <v>6700.17</v>
      </c>
      <c r="E108" s="12" t="n">
        <v>6896.08</v>
      </c>
      <c r="F108" s="12" t="n">
        <v>6871.699</v>
      </c>
      <c r="G108" s="12" t="n">
        <v>6745.417</v>
      </c>
      <c r="H108" s="12" t="n">
        <v>1774.462</v>
      </c>
      <c r="I108" s="12" t="n">
        <v>3189.014</v>
      </c>
      <c r="J108" s="12" t="n">
        <v>4216.087</v>
      </c>
      <c r="K108" s="12" t="n">
        <v>6479.938</v>
      </c>
      <c r="L108" s="12" t="n">
        <v>6745.417</v>
      </c>
    </row>
    <row r="109">
      <c r="A109" s="18" t="inlineStr">
        <is>
          <t>자본금</t>
        </is>
      </c>
      <c r="C109" s="20" t="n">
        <v>1038.985</v>
      </c>
      <c r="D109" s="20" t="n">
        <v>1039.081</v>
      </c>
      <c r="E109" s="20" t="n">
        <v>1057.448</v>
      </c>
      <c r="F109" s="20" t="n">
        <v>1057.828</v>
      </c>
      <c r="G109" s="20" t="n">
        <v>1062.328</v>
      </c>
      <c r="H109" s="20" t="n">
        <v>139.589</v>
      </c>
      <c r="I109" s="20" t="n">
        <v>144.886</v>
      </c>
      <c r="J109" s="20" t="n">
        <v>1038.217</v>
      </c>
      <c r="K109" s="20" t="n">
        <v>1038.985</v>
      </c>
      <c r="L109" s="20" t="n">
        <v>1062.328</v>
      </c>
    </row>
    <row r="110">
      <c r="A110" s="18" t="inlineStr">
        <is>
          <t>자본잉여금</t>
        </is>
      </c>
      <c r="C110" s="20" t="n">
        <v>1068.884</v>
      </c>
      <c r="D110" s="20" t="n">
        <v>1068.98</v>
      </c>
      <c r="E110" s="20" t="n">
        <v>1130.898</v>
      </c>
      <c r="F110" s="20" t="n">
        <v>1131.278</v>
      </c>
      <c r="G110" s="20" t="n">
        <v>1125.306</v>
      </c>
      <c r="H110" s="20" t="n">
        <v>139.489</v>
      </c>
      <c r="I110" s="20" t="n">
        <v>144.786</v>
      </c>
      <c r="J110" s="20" t="n">
        <v>1068.116</v>
      </c>
      <c r="K110" s="20" t="n">
        <v>1068.884</v>
      </c>
      <c r="L110" s="20" t="n">
        <v>1125.306</v>
      </c>
    </row>
    <row r="111">
      <c r="A111" s="18" t="inlineStr">
        <is>
          <t>이익잉여금</t>
        </is>
      </c>
      <c r="C111" s="20" t="n">
        <v>1243.282</v>
      </c>
      <c r="D111" s="20" t="n">
        <v>1588.759</v>
      </c>
      <c r="E111" s="20" t="n">
        <v>1524.364</v>
      </c>
      <c r="F111" s="20" t="n">
        <v>1539.455</v>
      </c>
      <c r="G111" s="20" t="n">
        <v>1651.529</v>
      </c>
      <c r="H111" s="20" t="n">
        <v>453.554</v>
      </c>
      <c r="I111" s="20" t="n">
        <v>602.732</v>
      </c>
      <c r="J111" s="20" t="n">
        <v>770.61</v>
      </c>
      <c r="K111" s="20" t="n">
        <v>1243.282</v>
      </c>
      <c r="L111" s="20" t="n">
        <v>1651.529</v>
      </c>
    </row>
    <row r="112">
      <c r="A112" s="18" t="inlineStr">
        <is>
          <t>자기주식</t>
        </is>
      </c>
      <c r="C112" s="20" t="n">
        <v>-0.303</v>
      </c>
      <c r="D112" s="20" t="n">
        <v>-0.303</v>
      </c>
      <c r="E112" s="20" t="n">
        <v>-0.303</v>
      </c>
      <c r="F112" s="20" t="n">
        <v>-0.303</v>
      </c>
      <c r="G112" s="20" t="n">
        <v>-0.303</v>
      </c>
      <c r="H112" s="20" t="n">
        <v>-0.06900000000000001</v>
      </c>
      <c r="I112" s="20" t="n">
        <v>-0.189</v>
      </c>
      <c r="J112" s="20" t="n">
        <v>-0.303</v>
      </c>
      <c r="K112" s="20" t="n">
        <v>-0.303</v>
      </c>
      <c r="L112" s="20" t="n">
        <v>-0.303</v>
      </c>
    </row>
    <row r="113">
      <c r="A113" s="9" t="inlineStr">
        <is>
          <t>주주자본 합계</t>
        </is>
      </c>
      <c r="C113" s="12" t="n">
        <v>3350.85</v>
      </c>
      <c r="D113" s="12" t="n">
        <v>3696.519</v>
      </c>
      <c r="E113" s="12" t="n">
        <v>3712.408</v>
      </c>
      <c r="F113" s="12" t="n">
        <v>3728.259</v>
      </c>
      <c r="G113" s="12" t="n">
        <v>3838.861</v>
      </c>
      <c r="H113" s="12" t="n">
        <v>732.563</v>
      </c>
      <c r="I113" s="12" t="n">
        <v>892.216</v>
      </c>
      <c r="J113" s="12" t="n">
        <v>2876.641</v>
      </c>
      <c r="K113" s="12" t="n">
        <v>3350.85</v>
      </c>
      <c r="L113" s="12" t="n">
        <v>3838.861</v>
      </c>
    </row>
    <row r="114">
      <c r="A114" s="18" t="inlineStr">
        <is>
          <t>기타유가증권 평가차액</t>
        </is>
      </c>
      <c r="C114" s="20" t="n">
        <v>0.379</v>
      </c>
      <c r="D114" s="20" t="n">
        <v>-1.876</v>
      </c>
      <c r="E114" s="20" t="n">
        <v>-1.679</v>
      </c>
      <c r="F114" s="20" t="n">
        <v>-1.913</v>
      </c>
      <c r="G114" s="20" t="n">
        <v>-1.533</v>
      </c>
      <c r="I114" s="20" t="n">
        <v>0</v>
      </c>
      <c r="J114" s="20" t="n">
        <v>0.823</v>
      </c>
      <c r="K114" s="20" t="n">
        <v>0.379</v>
      </c>
      <c r="L114" s="20" t="n">
        <v>-1.533</v>
      </c>
    </row>
    <row r="115">
      <c r="A115" s="18" t="inlineStr">
        <is>
          <t>기타포괄손익누계액 합계</t>
        </is>
      </c>
      <c r="C115" s="20" t="n">
        <v>0.379</v>
      </c>
      <c r="D115" s="20" t="n">
        <v>-1.876</v>
      </c>
      <c r="E115" s="20" t="n">
        <v>-1.679</v>
      </c>
      <c r="F115" s="20" t="n">
        <v>-1.913</v>
      </c>
      <c r="G115" s="20" t="n">
        <v>-1.533</v>
      </c>
      <c r="I115" s="20" t="n">
        <v>0</v>
      </c>
      <c r="J115" s="20" t="n">
        <v>0.823</v>
      </c>
      <c r="K115" s="20" t="n">
        <v>0.379</v>
      </c>
      <c r="L115" s="20" t="n">
        <v>-1.533</v>
      </c>
    </row>
    <row r="116">
      <c r="A116" s="18" t="inlineStr">
        <is>
          <t>신주예약권</t>
        </is>
      </c>
      <c r="C116" s="20" t="n">
        <v>10.428</v>
      </c>
      <c r="D116" s="20" t="n">
        <v>14.314</v>
      </c>
      <c r="E116" s="20" t="n">
        <v>15.176</v>
      </c>
      <c r="F116" s="20" t="n">
        <v>16.038</v>
      </c>
      <c r="G116" s="20" t="n">
        <v>13.856</v>
      </c>
      <c r="H116" s="20" t="n">
        <v>4.352</v>
      </c>
      <c r="I116" s="20" t="n">
        <v>4.857</v>
      </c>
      <c r="J116" s="20" t="n">
        <v>8.345000000000001</v>
      </c>
      <c r="K116" s="20" t="n">
        <v>10.428</v>
      </c>
      <c r="L116" s="20" t="n">
        <v>13.856</v>
      </c>
    </row>
    <row r="117">
      <c r="A117" s="18" t="inlineStr">
        <is>
          <t>비지배지분</t>
        </is>
      </c>
      <c r="C117" s="20" t="n">
        <v>106.272</v>
      </c>
      <c r="D117" s="20" t="n">
        <v>120.578</v>
      </c>
      <c r="E117" s="20" t="n">
        <v>118.79</v>
      </c>
      <c r="F117" s="20" t="n">
        <v>108.624</v>
      </c>
      <c r="G117" s="20" t="n">
        <v>88.05800000000001</v>
      </c>
      <c r="J117" s="20" t="n">
        <v>0</v>
      </c>
      <c r="K117" s="20" t="n">
        <v>106.272</v>
      </c>
      <c r="L117" s="20" t="n">
        <v>88.05800000000001</v>
      </c>
    </row>
    <row r="118">
      <c r="A118" s="9" t="inlineStr">
        <is>
          <t>순자산 합계</t>
        </is>
      </c>
      <c r="C118" s="12" t="n">
        <v>3467.931</v>
      </c>
      <c r="D118" s="12" t="n">
        <v>3829.535</v>
      </c>
      <c r="E118" s="12" t="n">
        <v>3844.696</v>
      </c>
      <c r="F118" s="12" t="n">
        <v>3851.009</v>
      </c>
      <c r="G118" s="12" t="n">
        <v>3939.243</v>
      </c>
      <c r="H118" s="12" t="n">
        <v>736.9160000000001</v>
      </c>
      <c r="I118" s="12" t="n">
        <v>897.074</v>
      </c>
      <c r="J118" s="12" t="n">
        <v>2885.81</v>
      </c>
      <c r="K118" s="12" t="n">
        <v>3467.931</v>
      </c>
      <c r="L118" s="12" t="n">
        <v>3939.243</v>
      </c>
    </row>
    <row r="119">
      <c r="A119" s="9" t="inlineStr">
        <is>
          <t>부채·순자산 합계</t>
        </is>
      </c>
      <c r="C119" s="12" t="n">
        <v>9947.870000000001</v>
      </c>
      <c r="D119" s="12" t="n">
        <v>10529.706</v>
      </c>
      <c r="E119" s="12" t="n">
        <v>10740.776</v>
      </c>
      <c r="F119" s="12" t="n">
        <v>10722.708</v>
      </c>
      <c r="G119" s="12" t="n">
        <v>10684.661</v>
      </c>
      <c r="H119" s="12" t="n">
        <v>2511.379</v>
      </c>
      <c r="I119" s="12" t="n">
        <v>4086.088</v>
      </c>
      <c r="J119" s="12" t="n">
        <v>7101.897</v>
      </c>
      <c r="K119" s="12" t="n">
        <v>9947.870000000001</v>
      </c>
      <c r="L119" s="12" t="n">
        <v>10684.661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44" customWidth="1" min="14" max="14"/>
  </cols>
  <sheetData>
    <row r="1">
      <c r="A1" s="50" t="inlineStr">
        <is>
          <t>TWOSTONE&amp;Sons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부문 fy26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</row>
    <row r="5">
      <c r="A5" s="53" t="inlineStr">
        <is>
          <t>항목</t>
        </is>
      </c>
      <c r="B5" s="53" t="inlineStr">
        <is>
          <t>값</t>
        </is>
      </c>
      <c r="N5" s="53" t="inlineStr">
        <is>
          <t>출처</t>
        </is>
      </c>
    </row>
    <row r="6">
      <c r="A6" s="54" t="inlineStr">
        <is>
          <t>전사비용(조정)</t>
        </is>
      </c>
      <c r="B6" s="55" t="n">
        <v>-10.37</v>
      </c>
      <c r="N6" s="56" t="inlineStr">
        <is>
          <t>2단계 보고서 자료(회사 설명회 자료·공시)</t>
        </is>
      </c>
    </row>
    <row r="7">
      <c r="A7" s="54" t="inlineStr">
        <is>
          <t>인수관련비용</t>
        </is>
      </c>
      <c r="B7" s="55" t="n">
        <v>-0.22</v>
      </c>
    </row>
    <row r="8">
      <c r="A8" s="54" t="inlineStr">
        <is>
          <t>영업이익</t>
        </is>
      </c>
      <c r="B8" s="55" t="n">
        <v>8.1</v>
      </c>
    </row>
    <row r="10">
      <c r="A10" s="52" t="inlineStr">
        <is>
          <t>segment_fy26 · 엔지니어 플랫폼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</row>
    <row r="11">
      <c r="A11" s="53" t="inlineStr">
        <is>
          <t>항목</t>
        </is>
      </c>
      <c r="B11" s="53" t="inlineStr">
        <is>
          <t>값</t>
        </is>
      </c>
      <c r="N11" s="53" t="inlineStr">
        <is>
          <t>출처</t>
        </is>
      </c>
    </row>
    <row r="12">
      <c r="A12" s="54" t="inlineStr">
        <is>
          <t>매출</t>
        </is>
      </c>
      <c r="B12" s="55" t="n">
        <v>176.2</v>
      </c>
      <c r="N12" s="56" t="inlineStr">
        <is>
          <t>2단계 보고서 자료(회사 설명회 자료·공시)</t>
        </is>
      </c>
    </row>
    <row r="13">
      <c r="A13" s="54" t="inlineStr">
        <is>
          <t>부문이익</t>
        </is>
      </c>
      <c r="B13" s="55" t="n">
        <v>14.35</v>
      </c>
    </row>
    <row r="15">
      <c r="A15" s="52" t="inlineStr">
        <is>
          <t>segment_fy26 · 마케팅 플랫폼</t>
        </is>
      </c>
      <c r="B15" s="52" t="n"/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</row>
    <row r="16">
      <c r="A16" s="53" t="inlineStr">
        <is>
          <t>항목</t>
        </is>
      </c>
      <c r="B16" s="53" t="inlineStr">
        <is>
          <t>값</t>
        </is>
      </c>
      <c r="N16" s="53" t="inlineStr">
        <is>
          <t>출처</t>
        </is>
      </c>
    </row>
    <row r="17">
      <c r="A17" s="54" t="inlineStr">
        <is>
          <t>매출</t>
        </is>
      </c>
      <c r="B17" s="55" t="n">
        <v>7.8</v>
      </c>
      <c r="N17" s="56" t="inlineStr">
        <is>
          <t>2단계 보고서 자료(회사 설명회 자료·공시)</t>
        </is>
      </c>
    </row>
    <row r="18">
      <c r="A18" s="54" t="inlineStr">
        <is>
          <t>부문이익</t>
        </is>
      </c>
      <c r="B18" s="55" t="n">
        <v>0.11</v>
      </c>
    </row>
    <row r="20">
      <c r="A20" s="52" t="inlineStr">
        <is>
          <t>segment_fy26 · 컨설·자문</t>
        </is>
      </c>
      <c r="B20" s="52" t="n"/>
      <c r="C20" s="52" t="n"/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</row>
    <row r="21">
      <c r="A21" s="53" t="inlineStr">
        <is>
          <t>항목</t>
        </is>
      </c>
      <c r="B21" s="53" t="inlineStr">
        <is>
          <t>값</t>
        </is>
      </c>
      <c r="N21" s="53" t="inlineStr">
        <is>
          <t>출처</t>
        </is>
      </c>
    </row>
    <row r="22">
      <c r="A22" s="54" t="inlineStr">
        <is>
          <t>매출</t>
        </is>
      </c>
      <c r="B22" s="55" t="n">
        <v>34.1</v>
      </c>
      <c r="N22" s="56" t="inlineStr">
        <is>
          <t>2단계 보고서 자료(회사 설명회 자료·공시)</t>
        </is>
      </c>
    </row>
    <row r="23">
      <c r="A23" s="54" t="inlineStr">
        <is>
          <t>부문이익</t>
        </is>
      </c>
      <c r="B23" s="55" t="n">
        <v>4.23</v>
      </c>
    </row>
    <row r="25">
      <c r="A25" s="52" t="inlineStr">
        <is>
          <t>segment_fy26 · 영업권상각</t>
        </is>
      </c>
      <c r="B25" s="52" t="n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</row>
    <row r="26">
      <c r="A26" s="53" t="inlineStr">
        <is>
          <t>항목</t>
        </is>
      </c>
      <c r="B26" s="53" t="inlineStr">
        <is>
          <t>값</t>
        </is>
      </c>
      <c r="N26" s="53" t="inlineStr">
        <is>
          <t>출처</t>
        </is>
      </c>
    </row>
    <row r="27">
      <c r="A27" s="54" t="inlineStr">
        <is>
          <t>엔지니어</t>
        </is>
      </c>
      <c r="B27" s="55" t="n">
        <v>1.71</v>
      </c>
      <c r="N27" s="56" t="inlineStr">
        <is>
          <t>2단계 보고서 자료(회사 설명회 자료·공시)</t>
        </is>
      </c>
    </row>
    <row r="28">
      <c r="A28" s="54" t="inlineStr">
        <is>
          <t>컨설</t>
        </is>
      </c>
      <c r="B28" s="55" t="n">
        <v>2.53</v>
      </c>
    </row>
    <row r="29">
      <c r="A29" s="54" t="inlineStr">
        <is>
          <t>합계</t>
        </is>
      </c>
      <c r="B29" s="55" t="n">
        <v>4.24</v>
      </c>
    </row>
    <row r="30">
      <c r="A30" s="54" t="inlineStr">
        <is>
          <t>전년</t>
        </is>
      </c>
      <c r="B30" s="55" t="n">
        <v>1.85</v>
      </c>
    </row>
    <row r="32">
      <c r="A32" s="52" t="inlineStr">
        <is>
          <t>fy27 계획 by 부문</t>
        </is>
      </c>
      <c r="B32" s="52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</row>
    <row r="33">
      <c r="A33" s="53" t="inlineStr">
        <is>
          <t>항목</t>
        </is>
      </c>
      <c r="B33" s="53" t="inlineStr">
        <is>
          <t>값</t>
        </is>
      </c>
      <c r="N33" s="53" t="inlineStr">
        <is>
          <t>출처</t>
        </is>
      </c>
    </row>
    <row r="34">
      <c r="A34" s="54" t="inlineStr">
        <is>
          <t>매출총이익</t>
        </is>
      </c>
      <c r="B34" s="55" t="n">
        <v>97.09</v>
      </c>
      <c r="N34" s="56" t="inlineStr">
        <is>
          <t>설명 자료 p26·43</t>
        </is>
      </c>
    </row>
    <row r="35">
      <c r="A35" s="54" t="inlineStr">
        <is>
          <t>판관비</t>
        </is>
      </c>
      <c r="B35" s="55" t="n">
        <v>81.77</v>
      </c>
    </row>
    <row r="36">
      <c r="A36" s="54" t="inlineStr">
        <is>
          <t>순이익</t>
        </is>
      </c>
      <c r="B36" s="55" t="n">
        <v>7.74</v>
      </c>
    </row>
    <row r="37">
      <c r="A37" s="54" t="inlineStr">
        <is>
          <t>EPS</t>
        </is>
      </c>
      <c r="B37" s="55" t="n">
        <v>17.34</v>
      </c>
    </row>
    <row r="38">
      <c r="A38" s="54" t="inlineStr">
        <is>
          <t>DPS</t>
        </is>
      </c>
      <c r="B38" s="55" t="n">
        <v>1</v>
      </c>
    </row>
    <row r="40">
      <c r="A40" s="52" t="inlineStr">
        <is>
          <t>fy27_plan_by_segment · 매출</t>
        </is>
      </c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</row>
    <row r="41">
      <c r="A41" s="53" t="inlineStr">
        <is>
          <t>항목</t>
        </is>
      </c>
      <c r="B41" s="53" t="inlineStr">
        <is>
          <t>값</t>
        </is>
      </c>
      <c r="N41" s="53" t="inlineStr">
        <is>
          <t>출처</t>
        </is>
      </c>
    </row>
    <row r="42">
      <c r="A42" s="54" t="inlineStr">
        <is>
          <t>연결</t>
        </is>
      </c>
      <c r="B42" s="55" t="n">
        <v>251.98</v>
      </c>
      <c r="N42" s="56" t="inlineStr">
        <is>
          <t>설명 자료 p26·43</t>
        </is>
      </c>
    </row>
    <row r="43">
      <c r="A43" s="54" t="inlineStr">
        <is>
          <t>엔지니어</t>
        </is>
      </c>
      <c r="B43" s="55" t="n">
        <v>191.61</v>
      </c>
    </row>
    <row r="44">
      <c r="A44" s="54" t="inlineStr">
        <is>
          <t>마케팅</t>
        </is>
      </c>
      <c r="B44" s="55" t="n">
        <v>7.08</v>
      </c>
    </row>
    <row r="45">
      <c r="A45" s="54" t="inlineStr">
        <is>
          <t>컨설·자문</t>
        </is>
      </c>
      <c r="B45" s="55" t="n">
        <v>53.28</v>
      </c>
    </row>
    <row r="47">
      <c r="A47" s="52" t="inlineStr">
        <is>
          <t>fy27_plan_by_segment · 영업이익</t>
        </is>
      </c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</row>
    <row r="48">
      <c r="A48" s="53" t="inlineStr">
        <is>
          <t>항목</t>
        </is>
      </c>
      <c r="B48" s="53" t="inlineStr">
        <is>
          <t>값</t>
        </is>
      </c>
      <c r="N48" s="53" t="inlineStr">
        <is>
          <t>출처</t>
        </is>
      </c>
    </row>
    <row r="49">
      <c r="A49" s="54" t="inlineStr">
        <is>
          <t>연결</t>
        </is>
      </c>
      <c r="B49" s="55" t="n">
        <v>15.31</v>
      </c>
      <c r="N49" s="56" t="inlineStr">
        <is>
          <t>설명 자료 p26·43</t>
        </is>
      </c>
    </row>
    <row r="50">
      <c r="A50" s="54" t="inlineStr">
        <is>
          <t>엔지니어</t>
        </is>
      </c>
      <c r="B50" s="55" t="n">
        <v>17.63</v>
      </c>
    </row>
    <row r="51">
      <c r="A51" s="54" t="inlineStr">
        <is>
          <t>마케팅</t>
        </is>
      </c>
      <c r="B51" s="55" t="n">
        <v>1.19</v>
      </c>
    </row>
    <row r="52">
      <c r="A52" s="54" t="inlineStr">
        <is>
          <t>컨설·자문</t>
        </is>
      </c>
      <c r="B52" s="55" t="n">
        <v>11.92</v>
      </c>
    </row>
    <row r="53">
      <c r="A53" s="54" t="inlineStr">
        <is>
          <t>전사비용</t>
        </is>
      </c>
      <c r="B53" s="55" t="n">
        <v>-15.43</v>
      </c>
    </row>
    <row r="55">
      <c r="A55" s="52" t="inlineStr">
        <is>
          <t>midworks 핵심 지표 quarterly</t>
        </is>
      </c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</row>
    <row r="56">
      <c r="A56" s="53" t="inlineStr">
        <is>
          <t>항목</t>
        </is>
      </c>
      <c r="B56" s="53" t="inlineStr">
        <is>
          <t>2024.1Q</t>
        </is>
      </c>
      <c r="C56" s="53" t="inlineStr">
        <is>
          <t>2024.2Q</t>
        </is>
      </c>
      <c r="D56" s="53" t="inlineStr">
        <is>
          <t>2024.3Q</t>
        </is>
      </c>
      <c r="E56" s="53" t="inlineStr">
        <is>
          <t>2024.4Q</t>
        </is>
      </c>
      <c r="F56" s="53" t="inlineStr">
        <is>
          <t>2025.1Q</t>
        </is>
      </c>
      <c r="G56" s="53" t="inlineStr">
        <is>
          <t>2025.2Q</t>
        </is>
      </c>
      <c r="H56" s="53" t="inlineStr">
        <is>
          <t>2025.3Q</t>
        </is>
      </c>
      <c r="I56" s="53" t="inlineStr">
        <is>
          <t>2025.4Q</t>
        </is>
      </c>
      <c r="J56" s="53" t="inlineStr">
        <is>
          <t>2026.1Q</t>
        </is>
      </c>
      <c r="K56" s="53" t="inlineStr">
        <is>
          <t>2026.2Q</t>
        </is>
      </c>
      <c r="L56" s="53" t="inlineStr">
        <is>
          <t>2026.3Q</t>
        </is>
      </c>
      <c r="M56" s="53" t="inlineStr">
        <is>
          <t>2026.4Q</t>
        </is>
      </c>
      <c r="N56" s="53" t="inlineStr">
        <is>
          <t>출처</t>
        </is>
      </c>
    </row>
    <row r="57">
      <c r="A57" s="54" t="inlineStr">
        <is>
          <t>midworks_매출_억엔</t>
        </is>
      </c>
      <c r="B57" s="55" t="n">
        <v>27.76</v>
      </c>
      <c r="C57" s="55" t="n">
        <v>28.35</v>
      </c>
      <c r="D57" s="55" t="n">
        <v>30.82</v>
      </c>
      <c r="E57" s="55" t="n">
        <v>32.86</v>
      </c>
      <c r="F57" s="55" t="n">
        <v>34.41</v>
      </c>
      <c r="G57" s="55" t="n">
        <v>36.72</v>
      </c>
      <c r="H57" s="55" t="n">
        <v>37.82</v>
      </c>
      <c r="I57" s="55" t="n">
        <v>39.35</v>
      </c>
      <c r="J57" s="55" t="n">
        <v>39.92</v>
      </c>
      <c r="K57" s="55" t="n">
        <v>40.11</v>
      </c>
      <c r="L57" s="55" t="n">
        <v>40.69</v>
      </c>
      <c r="M57" s="55" t="n">
        <v>41.44</v>
      </c>
      <c r="N57" s="56" t="inlineStr">
        <is>
          <t>설명 자료 p36~38</t>
        </is>
      </c>
    </row>
    <row r="58">
      <c r="A58" s="54" t="inlineStr">
        <is>
          <t>midworks_사업이익_억엔</t>
        </is>
      </c>
      <c r="B58" s="55" t="n">
        <v>2.22</v>
      </c>
      <c r="C58" s="55" t="n">
        <v>2.26</v>
      </c>
      <c r="D58" s="55" t="n">
        <v>2.52</v>
      </c>
      <c r="E58" s="55" t="n">
        <v>3.39</v>
      </c>
      <c r="F58" s="55" t="n">
        <v>3.61</v>
      </c>
      <c r="G58" s="55" t="n">
        <v>3.14</v>
      </c>
      <c r="H58" s="55" t="n">
        <v>2.06</v>
      </c>
      <c r="I58" s="55" t="n">
        <v>1.85</v>
      </c>
      <c r="J58" s="55" t="n">
        <v>2.27</v>
      </c>
      <c r="K58" s="55" t="n">
        <v>2.81</v>
      </c>
      <c r="L58" s="55" t="n">
        <v>2.81</v>
      </c>
      <c r="M58" s="55" t="n">
        <v>3.53</v>
      </c>
    </row>
    <row r="59">
      <c r="A59" s="54" t="inlineStr">
        <is>
          <t>연결_엔지니어_가동수_명</t>
        </is>
      </c>
      <c r="B59" s="57" t="n">
        <v>3869</v>
      </c>
      <c r="C59" s="57" t="n">
        <v>4045</v>
      </c>
      <c r="D59" s="57" t="n">
        <v>4306</v>
      </c>
      <c r="E59" s="57" t="n">
        <v>4519</v>
      </c>
      <c r="F59" s="57" t="n">
        <v>4741</v>
      </c>
      <c r="G59" s="57" t="n">
        <v>5126</v>
      </c>
      <c r="H59" s="57" t="n">
        <v>5210</v>
      </c>
      <c r="I59" s="57" t="n">
        <v>5389</v>
      </c>
      <c r="J59" s="57" t="n">
        <v>5553</v>
      </c>
      <c r="K59" s="57" t="n">
        <v>5645</v>
      </c>
      <c r="L59" s="57" t="n">
        <v>5756</v>
      </c>
      <c r="M59" s="57" t="n">
        <v>5730</v>
      </c>
    </row>
    <row r="60">
      <c r="A60" s="54" t="inlineStr">
        <is>
          <t>연결_엔지니어_등록자수_명</t>
        </is>
      </c>
      <c r="B60" s="57" t="n">
        <v>43661</v>
      </c>
      <c r="C60" s="57" t="n">
        <v>46152</v>
      </c>
      <c r="D60" s="57" t="n">
        <v>48439</v>
      </c>
      <c r="E60" s="57" t="n">
        <v>50438</v>
      </c>
      <c r="F60" s="57" t="n">
        <v>52412</v>
      </c>
      <c r="G60" s="57" t="n">
        <v>54671</v>
      </c>
      <c r="H60" s="57" t="n">
        <v>57323</v>
      </c>
      <c r="I60" s="57" t="n">
        <v>60314</v>
      </c>
      <c r="J60" s="57" t="n">
        <v>63397</v>
      </c>
      <c r="K60" s="57" t="n">
        <v>66058</v>
      </c>
      <c r="L60" s="57" t="n">
        <v>68674</v>
      </c>
      <c r="M60" s="57" t="n">
        <v>71258</v>
      </c>
    </row>
    <row r="62">
      <c r="A62" s="52" t="inlineStr">
        <is>
          <t>engineer 핵심 지표 annual</t>
        </is>
      </c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</row>
    <row r="63">
      <c r="A63" s="53" t="inlineStr">
        <is>
          <t>항목</t>
        </is>
      </c>
      <c r="B63" s="53" t="inlineStr">
        <is>
          <t>FY2023</t>
        </is>
      </c>
      <c r="C63" s="53" t="inlineStr">
        <is>
          <t>FY2024</t>
        </is>
      </c>
      <c r="D63" s="53" t="inlineStr">
        <is>
          <t>FY2025</t>
        </is>
      </c>
      <c r="E63" s="53" t="inlineStr">
        <is>
          <t>FY2026</t>
        </is>
      </c>
      <c r="F63" s="53" t="inlineStr">
        <is>
          <t>FY2027 계획</t>
        </is>
      </c>
      <c r="N63" s="53" t="inlineStr">
        <is>
          <t>출처</t>
        </is>
      </c>
    </row>
    <row r="64">
      <c r="A64" s="54" t="inlineStr">
        <is>
          <t>가동인원(연간 누계 기준)</t>
        </is>
      </c>
      <c r="B64" s="57" t="n">
        <v>12477</v>
      </c>
      <c r="C64" s="57" t="n">
        <v>16739</v>
      </c>
      <c r="D64" s="57" t="n">
        <v>20466</v>
      </c>
      <c r="E64" s="57" t="n">
        <v>22684</v>
      </c>
      <c r="F64" s="57" t="n">
        <v>25026</v>
      </c>
      <c r="N64" s="56" t="inlineStr">
        <is>
          <t>설명 자료 p44. FY26 가동 기초 계획 25,134명 대비 22,684명 미달.</t>
        </is>
      </c>
    </row>
    <row r="65">
      <c r="A65" s="54" t="inlineStr">
        <is>
          <t>등록인원</t>
        </is>
      </c>
      <c r="B65" s="57" t="n">
        <v>39786</v>
      </c>
      <c r="C65" s="57" t="n">
        <v>50438</v>
      </c>
      <c r="D65" s="57" t="n">
        <v>60314</v>
      </c>
      <c r="E65" s="57" t="n">
        <v>71258</v>
      </c>
      <c r="F65" s="57" t="n">
        <v>80000</v>
      </c>
    </row>
    <row r="67">
      <c r="A67" s="52" t="inlineStr">
        <is>
          <t>sga detail · annual FY26</t>
        </is>
      </c>
      <c r="B67" s="52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</row>
    <row r="68">
      <c r="A68" s="53" t="inlineStr">
        <is>
          <t>항목</t>
        </is>
      </c>
      <c r="B68" s="53" t="inlineStr">
        <is>
          <t>값</t>
        </is>
      </c>
      <c r="N68" s="53" t="inlineStr">
        <is>
          <t>출처</t>
        </is>
      </c>
    </row>
    <row r="69">
      <c r="A69" s="54" t="inlineStr">
        <is>
          <t>인건비</t>
        </is>
      </c>
      <c r="B69" s="55" t="n">
        <v>31.25</v>
      </c>
      <c r="N69" s="56" t="inlineStr">
        <is>
          <t>설명 자료 p33·34(억 엔). 분기 항목: 인건비·광고비·임차료·지급수수료·채용관련비·영업권상각·기타</t>
        </is>
      </c>
    </row>
    <row r="70">
      <c r="A70" s="54" t="inlineStr">
        <is>
          <t>광고비</t>
        </is>
      </c>
      <c r="B70" s="55" t="n">
        <v>5.99</v>
      </c>
    </row>
    <row r="71">
      <c r="A71" s="54" t="inlineStr">
        <is>
          <t>임차료</t>
        </is>
      </c>
      <c r="B71" s="55" t="n">
        <v>2.88</v>
      </c>
    </row>
    <row r="72">
      <c r="A72" s="54" t="inlineStr">
        <is>
          <t>지급수수료</t>
        </is>
      </c>
      <c r="B72" s="55" t="n">
        <v>9.140000000000001</v>
      </c>
    </row>
    <row r="73">
      <c r="A73" s="54" t="inlineStr">
        <is>
          <t>채용관련비</t>
        </is>
      </c>
      <c r="B73" s="55" t="n">
        <v>7.44</v>
      </c>
    </row>
    <row r="74">
      <c r="A74" s="54" t="inlineStr">
        <is>
          <t>영업권상각</t>
        </is>
      </c>
      <c r="B74" s="55" t="n">
        <v>4.23</v>
      </c>
    </row>
    <row r="75">
      <c r="A75" s="54" t="inlineStr">
        <is>
          <t>기타</t>
        </is>
      </c>
      <c r="B75" s="55" t="n">
        <v>7.14</v>
      </c>
    </row>
    <row r="76">
      <c r="A76" s="54" t="inlineStr">
        <is>
          <t>합계</t>
        </is>
      </c>
      <c r="B76" s="55" t="n">
        <v>68.09999999999999</v>
      </c>
    </row>
    <row r="78">
      <c r="A78" s="52" t="inlineStr">
        <is>
          <t>sga detail · annual FY25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</row>
    <row r="79">
      <c r="A79" s="53" t="inlineStr">
        <is>
          <t>항목</t>
        </is>
      </c>
      <c r="B79" s="53" t="inlineStr">
        <is>
          <t>값</t>
        </is>
      </c>
      <c r="N79" s="53" t="inlineStr">
        <is>
          <t>출처</t>
        </is>
      </c>
    </row>
    <row r="80">
      <c r="A80" s="54" t="inlineStr">
        <is>
          <t>인건비</t>
        </is>
      </c>
      <c r="B80" s="55" t="n">
        <v>21.93</v>
      </c>
      <c r="N80" s="56" t="inlineStr">
        <is>
          <t>설명 자료 p33·34(억 엔). 분기 항목: 인건비·광고비·임차료·지급수수료·채용관련비·영업권상각·기타</t>
        </is>
      </c>
    </row>
    <row r="81">
      <c r="A81" s="54" t="inlineStr">
        <is>
          <t>광고비</t>
        </is>
      </c>
      <c r="B81" s="55" t="n">
        <v>6.01</v>
      </c>
    </row>
    <row r="82">
      <c r="A82" s="54" t="inlineStr">
        <is>
          <t>임차료</t>
        </is>
      </c>
      <c r="B82" s="55" t="n">
        <v>1.55</v>
      </c>
    </row>
    <row r="83">
      <c r="A83" s="54" t="inlineStr">
        <is>
          <t>지급수수료</t>
        </is>
      </c>
      <c r="B83" s="55" t="n">
        <v>6</v>
      </c>
    </row>
    <row r="84">
      <c r="A84" s="54" t="inlineStr">
        <is>
          <t>채용관련비</t>
        </is>
      </c>
      <c r="B84" s="55" t="n">
        <v>4.9</v>
      </c>
    </row>
    <row r="85">
      <c r="A85" s="54" t="inlineStr">
        <is>
          <t>영업권상각</t>
        </is>
      </c>
      <c r="B85" s="55" t="n">
        <v>1.85</v>
      </c>
    </row>
    <row r="86">
      <c r="A86" s="54" t="inlineStr">
        <is>
          <t>기타</t>
        </is>
      </c>
      <c r="B86" s="55" t="n">
        <v>4.64</v>
      </c>
    </row>
    <row r="87">
      <c r="A87" s="54" t="inlineStr">
        <is>
          <t>합계</t>
        </is>
      </c>
      <c r="B87" s="55" t="n">
        <v>46.91</v>
      </c>
    </row>
    <row r="89">
      <c r="A89" s="52" t="inlineStr">
        <is>
          <t>adjusted · 4Q26</t>
        </is>
      </c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</row>
    <row r="90">
      <c r="A90" s="53" t="inlineStr">
        <is>
          <t>항목</t>
        </is>
      </c>
      <c r="B90" s="53" t="inlineStr">
        <is>
          <t>값</t>
        </is>
      </c>
      <c r="N90" s="53" t="inlineStr">
        <is>
          <t>출처</t>
        </is>
      </c>
    </row>
    <row r="91">
      <c r="A91" s="54" t="inlineStr">
        <is>
          <t>영업이익</t>
        </is>
      </c>
      <c r="B91" s="55" t="n">
        <v>2.07</v>
      </c>
      <c r="N91" s="56" t="inlineStr">
        <is>
          <t>설명 자료 p31</t>
        </is>
      </c>
    </row>
    <row r="92">
      <c r="A92" s="54" t="inlineStr">
        <is>
          <t>상각</t>
        </is>
      </c>
      <c r="B92" s="55" t="n">
        <v>1.32</v>
      </c>
    </row>
    <row r="93">
      <c r="A93" s="54" t="inlineStr">
        <is>
          <t>EBITDA</t>
        </is>
      </c>
      <c r="B93" s="55" t="n">
        <v>3.4</v>
      </c>
    </row>
    <row r="94">
      <c r="A94" s="54" t="inlineStr">
        <is>
          <t>조정영업이익</t>
        </is>
      </c>
      <c r="B94" s="55" t="n">
        <v>3.41</v>
      </c>
    </row>
    <row r="96">
      <c r="A96" s="52" t="inlineStr">
        <is>
          <t>adjusted · 4Q25</t>
        </is>
      </c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</row>
    <row r="97">
      <c r="A97" s="53" t="inlineStr">
        <is>
          <t>항목</t>
        </is>
      </c>
      <c r="B97" s="53" t="inlineStr">
        <is>
          <t>값</t>
        </is>
      </c>
      <c r="N97" s="53" t="inlineStr">
        <is>
          <t>출처</t>
        </is>
      </c>
    </row>
    <row r="98">
      <c r="A98" s="54" t="inlineStr">
        <is>
          <t>영업이익</t>
        </is>
      </c>
      <c r="B98" s="55" t="n">
        <v>-0.6899999999999999</v>
      </c>
      <c r="N98" s="56" t="inlineStr">
        <is>
          <t>설명 자료 p31</t>
        </is>
      </c>
    </row>
    <row r="99">
      <c r="A99" s="54" t="inlineStr">
        <is>
          <t>EBITDA</t>
        </is>
      </c>
      <c r="B99" s="55" t="n">
        <v>0.11</v>
      </c>
    </row>
    <row r="101">
      <c r="A101" s="52" t="inlineStr">
        <is>
          <t>adjusted · FY26</t>
        </is>
      </c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</row>
    <row r="102">
      <c r="A102" s="53" t="inlineStr">
        <is>
          <t>항목</t>
        </is>
      </c>
      <c r="B102" s="53" t="inlineStr">
        <is>
          <t>값</t>
        </is>
      </c>
      <c r="N102" s="53" t="inlineStr">
        <is>
          <t>출처</t>
        </is>
      </c>
    </row>
    <row r="103">
      <c r="A103" s="54" t="inlineStr">
        <is>
          <t>EBITDA</t>
        </is>
      </c>
      <c r="B103" s="55" t="n">
        <v>13.05</v>
      </c>
      <c r="N103" s="56" t="inlineStr">
        <is>
          <t>설명 자료 p31</t>
        </is>
      </c>
    </row>
    <row r="104">
      <c r="A104" s="54" t="inlineStr">
        <is>
          <t>조정영업이익</t>
        </is>
      </c>
      <c r="B104" s="55" t="n">
        <v>13.88</v>
      </c>
    </row>
    <row r="106">
      <c r="A106" s="52" t="inlineStr">
        <is>
          <t>컨센서스 · FY2027</t>
        </is>
      </c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</row>
    <row r="107">
      <c r="A107" s="53" t="inlineStr">
        <is>
          <t>항목</t>
        </is>
      </c>
      <c r="B107" s="53" t="inlineStr">
        <is>
          <t>값</t>
        </is>
      </c>
      <c r="N107" s="53" t="inlineStr">
        <is>
          <t>출처</t>
        </is>
      </c>
    </row>
    <row r="108">
      <c r="A108" s="54" t="inlineStr">
        <is>
          <t>EPS</t>
        </is>
      </c>
      <c r="B108" s="55" t="n">
        <v>18.4</v>
      </c>
      <c r="N108" s="56" t="inlineStr">
        <is>
          <t>애널리스트 1명 추정(야후, 26.10.27) — '컨센'이라 부르지 말 것</t>
        </is>
      </c>
    </row>
    <row r="109">
      <c r="A109" s="54" t="inlineStr">
        <is>
          <t>매출</t>
        </is>
      </c>
      <c r="B109" s="55" t="n">
        <v>251</v>
      </c>
    </row>
    <row r="110">
      <c r="A110" s="54" t="inlineStr">
        <is>
          <t>애널리스트 수</t>
        </is>
      </c>
      <c r="B110" s="57" t="n">
        <v>1</v>
      </c>
    </row>
    <row r="111">
      <c r="A111" s="54" t="inlineStr">
        <is>
          <t>7일전 EPS</t>
        </is>
      </c>
      <c r="B111" s="55" t="n">
        <v>22.6</v>
      </c>
    </row>
    <row r="113">
      <c r="A113" s="52" t="inlineStr">
        <is>
          <t>컨센서스 · FY2028</t>
        </is>
      </c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</row>
    <row r="114">
      <c r="A114" s="53" t="inlineStr">
        <is>
          <t>항목</t>
        </is>
      </c>
      <c r="B114" s="53" t="inlineStr">
        <is>
          <t>값</t>
        </is>
      </c>
      <c r="N114" s="53" t="inlineStr">
        <is>
          <t>출처</t>
        </is>
      </c>
    </row>
    <row r="115">
      <c r="A115" s="54" t="inlineStr">
        <is>
          <t>EPS</t>
        </is>
      </c>
      <c r="B115" s="55" t="n">
        <v>28.8</v>
      </c>
      <c r="N115" s="56" t="inlineStr">
        <is>
          <t>애널리스트 1명 추정(야후, 26.10.27) — '컨센'이라 부르지 말 것</t>
        </is>
      </c>
    </row>
    <row r="116">
      <c r="A116" s="54" t="inlineStr">
        <is>
          <t>매출</t>
        </is>
      </c>
      <c r="B116" s="55" t="n">
        <v>292</v>
      </c>
    </row>
    <row r="117">
      <c r="A117" s="54" t="inlineStr">
        <is>
          <t>애널리스트 수</t>
        </is>
      </c>
      <c r="B117" s="57" t="n">
        <v>1</v>
      </c>
    </row>
    <row r="119">
      <c r="A119" s="52" t="inlineStr">
        <is>
          <t>dividend</t>
        </is>
      </c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</row>
    <row r="120">
      <c r="A120" s="53" t="inlineStr">
        <is>
          <t>항목</t>
        </is>
      </c>
      <c r="B120" s="53" t="inlineStr">
        <is>
          <t>값</t>
        </is>
      </c>
      <c r="N120" s="53" t="inlineStr">
        <is>
          <t>출처</t>
        </is>
      </c>
    </row>
    <row r="121">
      <c r="A121" s="54" t="inlineStr">
        <is>
          <t>FY2025</t>
        </is>
      </c>
      <c r="B121" s="55" t="n">
        <v>0.5</v>
      </c>
      <c r="N121" s="56" t="inlineStr">
        <is>
          <t>2단계 보고서 자료(회사 설명회 자료·공시)</t>
        </is>
      </c>
    </row>
    <row r="122">
      <c r="A122" s="54" t="inlineStr">
        <is>
          <t>FY2026</t>
        </is>
      </c>
      <c r="B122" s="55" t="n">
        <v>1</v>
      </c>
    </row>
    <row r="123">
      <c r="A123" s="54" t="inlineStr">
        <is>
          <t>FY2027 예상</t>
        </is>
      </c>
      <c r="B123" s="55" t="n">
        <v>1</v>
      </c>
    </row>
    <row r="125">
      <c r="A125" s="52" t="inlineStr">
        <is>
          <t>shares</t>
        </is>
      </c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</row>
    <row r="126">
      <c r="A126" s="53" t="inlineStr">
        <is>
          <t>항목</t>
        </is>
      </c>
      <c r="B126" s="53" t="inlineStr">
        <is>
          <t>값</t>
        </is>
      </c>
      <c r="N126" s="53" t="inlineStr">
        <is>
          <t>출처</t>
        </is>
      </c>
    </row>
    <row r="127">
      <c r="A127" s="54" t="inlineStr">
        <is>
          <t>발행</t>
        </is>
      </c>
      <c r="B127" s="57" t="n">
        <v>44676880</v>
      </c>
      <c r="N127" s="56" t="inlineStr">
        <is>
          <t>2단계 보고서 자료(회사 설명회 자료·공시)</t>
        </is>
      </c>
    </row>
    <row r="128">
      <c r="A128" s="54" t="inlineStr">
        <is>
          <t>자사주</t>
        </is>
      </c>
      <c r="B128" s="57" t="n">
        <v>627</v>
      </c>
    </row>
    <row r="129">
      <c r="A129" s="54" t="inlineStr">
        <is>
          <t>기말</t>
        </is>
      </c>
      <c r="B129" s="57" t="n">
        <v>44676253</v>
      </c>
    </row>
    <row r="130">
      <c r="A130" s="54" t="inlineStr">
        <is>
          <t>평균FY26</t>
        </is>
      </c>
      <c r="B130" s="57" t="n">
        <v>44106087</v>
      </c>
    </row>
    <row r="132">
      <c r="A132" s="52" t="inlineStr">
        <is>
          <t>bs annual</t>
        </is>
      </c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</row>
    <row r="133">
      <c r="A133" s="53" t="inlineStr">
        <is>
          <t>항목</t>
        </is>
      </c>
      <c r="B133" s="53" t="inlineStr">
        <is>
          <t>2022</t>
        </is>
      </c>
      <c r="C133" s="53" t="inlineStr">
        <is>
          <t>2023</t>
        </is>
      </c>
      <c r="D133" s="53" t="inlineStr">
        <is>
          <t>2024</t>
        </is>
      </c>
      <c r="E133" s="53" t="inlineStr">
        <is>
          <t>2025</t>
        </is>
      </c>
      <c r="F133" s="53" t="inlineStr">
        <is>
          <t>2026</t>
        </is>
      </c>
      <c r="N133" s="53" t="inlineStr">
        <is>
          <t>출처</t>
        </is>
      </c>
    </row>
    <row r="134">
      <c r="A134" s="54" t="inlineStr">
        <is>
          <t>labels</t>
        </is>
      </c>
      <c r="B134" s="57" t="n">
        <v>2022</v>
      </c>
      <c r="C134" s="57" t="n">
        <v>2023</v>
      </c>
      <c r="D134" s="57" t="n">
        <v>2024</v>
      </c>
      <c r="E134" s="57" t="n">
        <v>2025</v>
      </c>
      <c r="F134" s="57" t="n">
        <v>2026</v>
      </c>
      <c r="N134" s="56" t="inlineStr">
        <is>
          <t>2단계 보고서 자료(회사 설명회 자료·공시)</t>
        </is>
      </c>
    </row>
    <row r="135">
      <c r="A135" s="54" t="inlineStr">
        <is>
          <t>current assets</t>
        </is>
      </c>
      <c r="B135" s="55" t="n">
        <v>19.5</v>
      </c>
      <c r="C135" s="55" t="n">
        <v>28.4</v>
      </c>
      <c r="D135" s="55" t="n">
        <v>58.7</v>
      </c>
      <c r="E135" s="55" t="n">
        <v>72.2</v>
      </c>
      <c r="F135" s="55" t="n">
        <v>75.5</v>
      </c>
    </row>
    <row r="136">
      <c r="A136" s="54" t="inlineStr">
        <is>
          <t>cash</t>
        </is>
      </c>
      <c r="B136" s="55" t="n">
        <v>8.699999999999999</v>
      </c>
      <c r="C136" s="55" t="n">
        <v>12.9</v>
      </c>
      <c r="D136" s="55" t="n">
        <v>37</v>
      </c>
      <c r="E136" s="55" t="n">
        <v>45.6</v>
      </c>
      <c r="F136" s="55" t="n">
        <v>45.7</v>
      </c>
    </row>
    <row r="137">
      <c r="A137" s="54" t="inlineStr">
        <is>
          <t>st fin</t>
        </is>
      </c>
      <c r="B137" s="58" t="n"/>
      <c r="C137" s="58" t="n"/>
      <c r="D137" s="58" t="n"/>
      <c r="E137" s="58" t="n"/>
      <c r="F137" s="58" t="n"/>
    </row>
    <row r="138">
      <c r="A138" s="54" t="inlineStr">
        <is>
          <t>receivables</t>
        </is>
      </c>
      <c r="B138" s="55" t="n">
        <v>10.1</v>
      </c>
      <c r="C138" s="55" t="n">
        <v>14.6</v>
      </c>
      <c r="D138" s="55" t="n">
        <v>20.2</v>
      </c>
      <c r="E138" s="55" t="n">
        <v>24.1</v>
      </c>
      <c r="F138" s="55" t="n">
        <v>26.7</v>
      </c>
    </row>
    <row r="139">
      <c r="A139" s="54" t="inlineStr">
        <is>
          <t>inventory</t>
        </is>
      </c>
      <c r="B139" s="55" t="n">
        <v>0</v>
      </c>
      <c r="C139" s="55" t="n">
        <v>0.2</v>
      </c>
      <c r="D139" s="58" t="n"/>
      <c r="E139" s="55" t="n">
        <v>0.2</v>
      </c>
      <c r="F139" s="58" t="n"/>
    </row>
    <row r="140">
      <c r="A140" s="54" t="inlineStr">
        <is>
          <t>noncurrent assets</t>
        </is>
      </c>
      <c r="B140" s="55" t="n">
        <v>5.6</v>
      </c>
      <c r="C140" s="55" t="n">
        <v>12.4</v>
      </c>
      <c r="D140" s="55" t="n">
        <v>12.3</v>
      </c>
      <c r="E140" s="55" t="n">
        <v>27.3</v>
      </c>
      <c r="F140" s="55" t="n">
        <v>31.3</v>
      </c>
    </row>
    <row r="141">
      <c r="A141" s="54" t="inlineStr">
        <is>
          <t>ppe</t>
        </is>
      </c>
      <c r="B141" s="55" t="n">
        <v>0.6</v>
      </c>
      <c r="C141" s="55" t="n">
        <v>0.5</v>
      </c>
      <c r="D141" s="55" t="n">
        <v>0.4</v>
      </c>
      <c r="E141" s="55" t="n">
        <v>0.8</v>
      </c>
      <c r="F141" s="55" t="n">
        <v>2</v>
      </c>
    </row>
    <row r="142">
      <c r="A142" s="54" t="inlineStr">
        <is>
          <t>intangibles</t>
        </is>
      </c>
      <c r="B142" s="55" t="n">
        <v>3.4</v>
      </c>
      <c r="C142" s="55" t="n">
        <v>10.2</v>
      </c>
      <c r="D142" s="55" t="n">
        <v>10.5</v>
      </c>
      <c r="E142" s="55" t="n">
        <v>22.7</v>
      </c>
      <c r="F142" s="55" t="n">
        <v>22.7</v>
      </c>
    </row>
    <row r="143">
      <c r="A143" s="54" t="inlineStr">
        <is>
          <t>inv property</t>
        </is>
      </c>
      <c r="B143" s="58" t="n"/>
      <c r="C143" s="58" t="n"/>
      <c r="D143" s="58" t="n"/>
      <c r="E143" s="58" t="n"/>
      <c r="F143" s="58" t="n"/>
    </row>
    <row r="144">
      <c r="A144" s="54" t="inlineStr">
        <is>
          <t>합계 assets</t>
        </is>
      </c>
      <c r="B144" s="55" t="n">
        <v>25.1</v>
      </c>
      <c r="C144" s="55" t="n">
        <v>40.9</v>
      </c>
      <c r="D144" s="55" t="n">
        <v>71</v>
      </c>
      <c r="E144" s="55" t="n">
        <v>99.5</v>
      </c>
      <c r="F144" s="55" t="n">
        <v>106.8</v>
      </c>
    </row>
    <row r="145">
      <c r="A145" s="54" t="inlineStr">
        <is>
          <t>current liab</t>
        </is>
      </c>
      <c r="B145" s="55" t="n">
        <v>11.3</v>
      </c>
      <c r="C145" s="55" t="n">
        <v>19.5</v>
      </c>
      <c r="D145" s="55" t="n">
        <v>28.7</v>
      </c>
      <c r="E145" s="55" t="n">
        <v>39.3</v>
      </c>
      <c r="F145" s="55" t="n">
        <v>46.3</v>
      </c>
    </row>
    <row r="146">
      <c r="A146" s="54" t="inlineStr">
        <is>
          <t>payables</t>
        </is>
      </c>
      <c r="B146" s="55" t="n">
        <v>5.2</v>
      </c>
      <c r="C146" s="55" t="n">
        <v>7.1</v>
      </c>
      <c r="D146" s="55" t="n">
        <v>9.4</v>
      </c>
      <c r="E146" s="55" t="n">
        <v>10.8</v>
      </c>
      <c r="F146" s="55" t="n">
        <v>10.9</v>
      </c>
    </row>
    <row r="147">
      <c r="A147" s="54" t="inlineStr">
        <is>
          <t>st debt</t>
        </is>
      </c>
      <c r="B147" s="55" t="n">
        <v>0</v>
      </c>
      <c r="C147" s="55" t="n">
        <v>2</v>
      </c>
      <c r="D147" s="55" t="n">
        <v>0</v>
      </c>
      <c r="E147" s="55" t="n">
        <v>1</v>
      </c>
      <c r="F147" s="55" t="n">
        <v>2.7</v>
      </c>
    </row>
    <row r="148">
      <c r="A148" s="54" t="inlineStr">
        <is>
          <t>noncurrent liab</t>
        </is>
      </c>
      <c r="B148" s="55" t="n">
        <v>6.5</v>
      </c>
      <c r="C148" s="55" t="n">
        <v>12.3</v>
      </c>
      <c r="D148" s="55" t="n">
        <v>13.5</v>
      </c>
      <c r="E148" s="55" t="n">
        <v>25.5</v>
      </c>
      <c r="F148" s="55" t="n">
        <v>21.1</v>
      </c>
    </row>
    <row r="149">
      <c r="A149" s="54" t="inlineStr">
        <is>
          <t>lt debt</t>
        </is>
      </c>
      <c r="B149" s="55" t="n">
        <v>6.5</v>
      </c>
      <c r="C149" s="55" t="n">
        <v>12.1</v>
      </c>
      <c r="D149" s="55" t="n">
        <v>13.5</v>
      </c>
      <c r="E149" s="55" t="n">
        <v>24.7</v>
      </c>
      <c r="F149" s="55" t="n">
        <v>20.9</v>
      </c>
    </row>
    <row r="150">
      <c r="A150" s="54" t="inlineStr">
        <is>
          <t>bonds</t>
        </is>
      </c>
      <c r="B150" s="58" t="n"/>
      <c r="C150" s="58" t="n"/>
      <c r="D150" s="58" t="n"/>
      <c r="E150" s="58" t="n"/>
      <c r="F150" s="58" t="n"/>
    </row>
    <row r="151">
      <c r="A151" s="54" t="inlineStr">
        <is>
          <t>합계 liab</t>
        </is>
      </c>
      <c r="B151" s="55" t="n">
        <v>17.7</v>
      </c>
      <c r="C151" s="55" t="n">
        <v>31.9</v>
      </c>
      <c r="D151" s="55" t="n">
        <v>42.2</v>
      </c>
      <c r="E151" s="55" t="n">
        <v>64.8</v>
      </c>
      <c r="F151" s="55" t="n">
        <v>67.5</v>
      </c>
    </row>
    <row r="152">
      <c r="A152" s="54" t="inlineStr">
        <is>
          <t>capital stock</t>
        </is>
      </c>
      <c r="B152" s="55" t="n">
        <v>1.4</v>
      </c>
      <c r="C152" s="55" t="n">
        <v>1.4</v>
      </c>
      <c r="D152" s="55" t="n">
        <v>10.4</v>
      </c>
      <c r="E152" s="55" t="n">
        <v>10.4</v>
      </c>
      <c r="F152" s="55" t="n">
        <v>10.6</v>
      </c>
    </row>
    <row r="153">
      <c r="A153" s="54" t="inlineStr">
        <is>
          <t>retained</t>
        </is>
      </c>
      <c r="B153" s="55" t="n">
        <v>4.5</v>
      </c>
      <c r="C153" s="55" t="n">
        <v>6</v>
      </c>
      <c r="D153" s="55" t="n">
        <v>7.7</v>
      </c>
      <c r="E153" s="55" t="n">
        <v>12.4</v>
      </c>
      <c r="F153" s="55" t="n">
        <v>16.5</v>
      </c>
    </row>
    <row r="154">
      <c r="A154" s="54" t="inlineStr">
        <is>
          <t>nci</t>
        </is>
      </c>
      <c r="B154" s="58" t="n"/>
      <c r="C154" s="58" t="n"/>
      <c r="D154" s="55" t="n">
        <v>0</v>
      </c>
      <c r="E154" s="55" t="n">
        <v>1.1</v>
      </c>
      <c r="F154" s="55" t="n">
        <v>0.9</v>
      </c>
    </row>
    <row r="155">
      <c r="A155" s="54" t="inlineStr">
        <is>
          <t>합계 equity</t>
        </is>
      </c>
      <c r="B155" s="55" t="n">
        <v>7.4</v>
      </c>
      <c r="C155" s="55" t="n">
        <v>9</v>
      </c>
      <c r="D155" s="55" t="n">
        <v>28.9</v>
      </c>
      <c r="E155" s="55" t="n">
        <v>34.7</v>
      </c>
      <c r="F155" s="55" t="n">
        <v>39.4</v>
      </c>
    </row>
    <row r="156">
      <c r="A156" s="54" t="inlineStr">
        <is>
          <t>current ltd</t>
        </is>
      </c>
      <c r="B156" s="55" t="n">
        <v>1.7</v>
      </c>
      <c r="C156" s="55" t="n">
        <v>4</v>
      </c>
      <c r="D156" s="55" t="n">
        <v>6.2</v>
      </c>
      <c r="E156" s="55" t="n">
        <v>10.7</v>
      </c>
      <c r="F156" s="55" t="n">
        <v>11.6</v>
      </c>
    </row>
    <row r="157">
      <c r="A157" s="54" t="inlineStr">
        <is>
          <t>equity owner</t>
        </is>
      </c>
      <c r="B157" s="55" t="n">
        <v>7.3</v>
      </c>
      <c r="C157" s="55" t="n">
        <v>8.9</v>
      </c>
      <c r="D157" s="55" t="n">
        <v>28.8</v>
      </c>
      <c r="E157" s="55" t="n">
        <v>33.5</v>
      </c>
      <c r="F157" s="55" t="n">
        <v>38.4</v>
      </c>
    </row>
    <row r="159">
      <c r="A159" s="52" t="inlineStr">
        <is>
          <t>cf annual</t>
        </is>
      </c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</row>
    <row r="160">
      <c r="A160" s="53" t="inlineStr">
        <is>
          <t>항목</t>
        </is>
      </c>
      <c r="B160" s="53" t="inlineStr">
        <is>
          <t>2022</t>
        </is>
      </c>
      <c r="C160" s="53" t="inlineStr">
        <is>
          <t>2023</t>
        </is>
      </c>
      <c r="D160" s="53" t="inlineStr">
        <is>
          <t>2024</t>
        </is>
      </c>
      <c r="E160" s="53" t="inlineStr">
        <is>
          <t>2025</t>
        </is>
      </c>
      <c r="F160" s="53" t="inlineStr">
        <is>
          <t>2026</t>
        </is>
      </c>
      <c r="N160" s="53" t="inlineStr">
        <is>
          <t>출처</t>
        </is>
      </c>
    </row>
    <row r="161">
      <c r="A161" s="54" t="inlineStr">
        <is>
          <t>labels</t>
        </is>
      </c>
      <c r="B161" s="57" t="n">
        <v>2022</v>
      </c>
      <c r="C161" s="57" t="n">
        <v>2023</v>
      </c>
      <c r="D161" s="57" t="n">
        <v>2024</v>
      </c>
      <c r="E161" s="57" t="n">
        <v>2025</v>
      </c>
      <c r="F161" s="57" t="n">
        <v>2026</v>
      </c>
      <c r="N161" s="56" t="inlineStr">
        <is>
          <t>2단계 보고서 자료(회사 설명회 자료·공시)</t>
        </is>
      </c>
    </row>
    <row r="162">
      <c r="A162" s="54" t="inlineStr">
        <is>
          <t>ocf</t>
        </is>
      </c>
      <c r="B162" s="55" t="n">
        <v>2.2</v>
      </c>
      <c r="C162" s="55" t="n">
        <v>1.7</v>
      </c>
      <c r="D162" s="55" t="n">
        <v>7</v>
      </c>
      <c r="E162" s="55" t="n">
        <v>7.5</v>
      </c>
      <c r="F162" s="55" t="n">
        <v>10.3</v>
      </c>
    </row>
    <row r="163">
      <c r="A163" s="54" t="inlineStr">
        <is>
          <t>설비투자</t>
        </is>
      </c>
      <c r="B163" s="55" t="n">
        <v>1</v>
      </c>
      <c r="C163" s="55" t="n">
        <v>0.3</v>
      </c>
      <c r="D163" s="55" t="n">
        <v>0.3</v>
      </c>
      <c r="E163" s="55" t="n">
        <v>0.7</v>
      </c>
      <c r="F163" s="55" t="n">
        <v>1.9</v>
      </c>
    </row>
    <row r="164">
      <c r="A164" s="54" t="inlineStr">
        <is>
          <t>dividends</t>
        </is>
      </c>
      <c r="B164" s="55" t="n">
        <v>0</v>
      </c>
      <c r="C164" s="55" t="n">
        <v>0.2</v>
      </c>
      <c r="D164" s="55" t="n">
        <v>0.2</v>
      </c>
      <c r="E164" s="55" t="n">
        <v>0.2</v>
      </c>
      <c r="F164" s="55" t="n">
        <v>0.2</v>
      </c>
    </row>
    <row r="166">
      <c r="A166" s="52" t="inlineStr">
        <is>
          <t>m a shokei</t>
        </is>
      </c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</row>
    <row r="167">
      <c r="A167" s="53" t="inlineStr">
        <is>
          <t>항목</t>
        </is>
      </c>
      <c r="B167" s="53" t="inlineStr">
        <is>
          <t>값</t>
        </is>
      </c>
      <c r="N167" s="53" t="inlineStr">
        <is>
          <t>출처</t>
        </is>
      </c>
    </row>
    <row r="168">
      <c r="A168" s="54" t="inlineStr">
        <is>
          <t>FY26 매출</t>
        </is>
      </c>
      <c r="B168" s="55" t="n">
        <v>21.16</v>
      </c>
      <c r="N168" s="56" t="inlineStr">
        <is>
          <t>설명 자료 p25</t>
        </is>
      </c>
    </row>
    <row r="169">
      <c r="A169" s="54" t="inlineStr">
        <is>
          <t>영업이익</t>
        </is>
      </c>
      <c r="B169" s="55" t="n">
        <v>5.48</v>
      </c>
    </row>
    <row r="170">
      <c r="A170" s="54" t="inlineStr">
        <is>
          <t>순이익</t>
        </is>
      </c>
      <c r="B170" s="55" t="n">
        <v>3.58</v>
      </c>
    </row>
    <row r="172">
      <c r="A172" s="52" t="inlineStr">
        <is>
          <t>filings</t>
        </is>
      </c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</row>
    <row r="173">
      <c r="A173" s="53" t="inlineStr">
        <is>
          <t>항목</t>
        </is>
      </c>
      <c r="B173" s="53" t="inlineStr">
        <is>
          <t>title</t>
        </is>
      </c>
      <c r="C173" s="53" t="inlineStr">
        <is>
          <t>doc</t>
        </is>
      </c>
      <c r="N173" s="53" t="inlineStr">
        <is>
          <t>출처</t>
        </is>
      </c>
    </row>
    <row r="174">
      <c r="A174" s="54" t="inlineStr">
        <is>
          <t>2026-10-15</t>
        </is>
      </c>
      <c r="B174" s="58" t="inlineStr">
        <is>
          <t>2026年８月期 決算短信〔日本基準〕(連結)</t>
        </is>
      </c>
      <c r="C174" s="58" t="inlineStr">
        <is>
          <t>140120261015551464</t>
        </is>
      </c>
      <c r="N174" s="56" t="inlineStr">
        <is>
          <t>2단계 보고서 자료(회사 설명회 자료·공시)</t>
        </is>
      </c>
    </row>
    <row r="175">
      <c r="A175" s="54" t="inlineStr">
        <is>
          <t>2026-07-15</t>
        </is>
      </c>
      <c r="B175" s="58" t="inlineStr">
        <is>
          <t>2026年８月期 第３四半期決算短信〔日本基準〕(連結)</t>
        </is>
      </c>
      <c r="C175" s="58" t="inlineStr">
        <is>
          <t>140120260715594028</t>
        </is>
      </c>
    </row>
    <row r="176">
      <c r="A176" s="54" t="inlineStr">
        <is>
          <t>2026-04-14</t>
        </is>
      </c>
      <c r="B176" s="58" t="inlineStr">
        <is>
          <t>2026年８月期 第２四半期（中間期）決算短信〔日本基準〕(連結)</t>
        </is>
      </c>
      <c r="C176" s="58" t="inlineStr">
        <is>
          <t>140120260414503723</t>
        </is>
      </c>
    </row>
    <row r="177">
      <c r="A177" s="54" t="inlineStr">
        <is>
          <t>2026-01-14</t>
        </is>
      </c>
      <c r="B177" s="58" t="inlineStr">
        <is>
          <t>2026年８月期 第１四半期決算短信〔日本基準〕(連結)</t>
        </is>
      </c>
      <c r="C177" s="58" t="inlineStr">
        <is>
          <t>140120260114533594</t>
        </is>
      </c>
    </row>
    <row r="178">
      <c r="A178" s="54" t="inlineStr">
        <is>
          <t>2025-10-15</t>
        </is>
      </c>
      <c r="B178" s="58" t="inlineStr">
        <is>
          <t>2025年８月期 決算短信〔日本基準〕(連結)</t>
        </is>
      </c>
      <c r="C178" s="58" t="inlineStr">
        <is>
          <t>140120251015573927</t>
        </is>
      </c>
    </row>
    <row r="179">
      <c r="A179" s="54" t="inlineStr">
        <is>
          <t>2025-07-14</t>
        </is>
      </c>
      <c r="B179" s="58" t="inlineStr">
        <is>
          <t>2025年８月期 第３四半期決算短信〔日本基準〕(連結)</t>
        </is>
      </c>
      <c r="C179" s="58" t="inlineStr">
        <is>
          <t>140120250714513536</t>
        </is>
      </c>
    </row>
    <row r="180">
      <c r="A180" s="54" t="inlineStr">
        <is>
          <t>2025-04-14</t>
        </is>
      </c>
      <c r="B180" s="58" t="inlineStr">
        <is>
          <t>2025年８月期 第２四半期（中間期）決算短信〔日本基準〕(連結)</t>
        </is>
      </c>
      <c r="C180" s="58" t="inlineStr">
        <is>
          <t>140120250414515118</t>
        </is>
      </c>
    </row>
    <row r="181">
      <c r="A181" s="54" t="inlineStr">
        <is>
          <t>2025-01-14</t>
        </is>
      </c>
      <c r="B181" s="58" t="inlineStr">
        <is>
          <t>2025年８月期 第１四半期決算短信〔日本基準〕(連結)</t>
        </is>
      </c>
      <c r="C181" s="58" t="inlineStr">
        <is>
          <t>140120250114550201</t>
        </is>
      </c>
    </row>
    <row r="182">
      <c r="A182" s="54" t="inlineStr">
        <is>
          <t>2024-10-15</t>
        </is>
      </c>
      <c r="B182" s="58" t="inlineStr">
        <is>
          <t>2024年８月期 決算短信〔日本基準〕(連結)</t>
        </is>
      </c>
      <c r="C182" s="58" t="inlineStr">
        <is>
          <t>140120241015598062</t>
        </is>
      </c>
    </row>
    <row r="183">
      <c r="A183" s="54" t="inlineStr">
        <is>
          <t>2024-07-12</t>
        </is>
      </c>
      <c r="B183" s="58" t="inlineStr">
        <is>
          <t>2024年８月期 第３四半期決算短信〔日本基準〕(連結)</t>
        </is>
      </c>
      <c r="C183" s="58" t="inlineStr">
        <is>
          <t>140120240712548486</t>
        </is>
      </c>
    </row>
    <row r="184">
      <c r="A184" s="54" t="inlineStr">
        <is>
          <t>2024-04-12</t>
        </is>
      </c>
      <c r="B184" s="58" t="inlineStr">
        <is>
          <t>2024年８月期 第２四半期決算短信〔日本基準〕(連結)</t>
        </is>
      </c>
      <c r="C184" s="58" t="inlineStr">
        <is>
          <t>140120240412570246</t>
        </is>
      </c>
    </row>
    <row r="185">
      <c r="A185" s="54" t="inlineStr">
        <is>
          <t>2024-01-12</t>
        </is>
      </c>
      <c r="B185" s="58" t="inlineStr">
        <is>
          <t>2024年８月期　第１四半期決算短信〔日本基準〕(連結)</t>
        </is>
      </c>
      <c r="C185" s="58" t="inlineStr">
        <is>
          <t>140120240112514482</t>
        </is>
      </c>
    </row>
    <row r="186">
      <c r="A186" s="54" t="inlineStr">
        <is>
          <t>2023-10-13</t>
        </is>
      </c>
      <c r="B186" s="58" t="inlineStr">
        <is>
          <t>2023年８月期　決算短信〔日本基準〕(連結)</t>
        </is>
      </c>
      <c r="C186" s="58" t="inlineStr">
        <is>
          <t>140120231013566820</t>
        </is>
      </c>
    </row>
    <row r="187">
      <c r="A187" s="54" t="inlineStr">
        <is>
          <t>2023-07-14</t>
        </is>
      </c>
      <c r="B187" s="58" t="inlineStr">
        <is>
          <t>2023年８月期第３四半期決算短信〔日本基準〕(連結)</t>
        </is>
      </c>
      <c r="C187" s="58" t="inlineStr">
        <is>
          <t>140120230714522272</t>
        </is>
      </c>
    </row>
    <row r="188">
      <c r="A188" s="54" t="inlineStr">
        <is>
          <t>2023-04-14</t>
        </is>
      </c>
      <c r="B188" s="58" t="inlineStr">
        <is>
          <t>2023年８月期第２四半期決算短信〔日本基準〕(連結)</t>
        </is>
      </c>
      <c r="C188" s="58" t="inlineStr">
        <is>
          <t>140120230414547390</t>
        </is>
      </c>
    </row>
    <row r="189">
      <c r="A189" s="54" t="inlineStr">
        <is>
          <t>2023-01-13</t>
        </is>
      </c>
      <c r="B189" s="58" t="inlineStr">
        <is>
          <t>2023年８月期第１四半期決算短信〔日本基準〕(連結)</t>
        </is>
      </c>
      <c r="C189" s="58" t="inlineStr">
        <is>
          <t>140120230113588845</t>
        </is>
      </c>
    </row>
    <row r="190">
      <c r="A190" s="54" t="inlineStr">
        <is>
          <t>2022-10-14</t>
        </is>
      </c>
      <c r="B190" s="58" t="inlineStr">
        <is>
          <t>2022年８月期決算短信〔日本基準〕(連結)</t>
        </is>
      </c>
      <c r="C190" s="58" t="inlineStr">
        <is>
          <t>140120221014544711</t>
        </is>
      </c>
    </row>
    <row r="191">
      <c r="A191" s="54" t="inlineStr">
        <is>
          <t>2021-10-14</t>
        </is>
      </c>
      <c r="B191" s="58" t="inlineStr">
        <is>
          <t>2021年８月期決算短信〔日本基準〕(連結)</t>
        </is>
      </c>
      <c r="C191" s="58" t="inlineStr">
        <is>
          <t>140120211014410835</t>
        </is>
      </c>
    </row>
    <row r="192">
      <c r="A192" s="54" t="inlineStr">
        <is>
          <t>2020-10-15</t>
        </is>
      </c>
      <c r="B192" s="58" t="inlineStr">
        <is>
          <t>2020年８月期決算短信〔日本基準〕(非連結)</t>
        </is>
      </c>
      <c r="C192" s="58" t="inlineStr">
        <is>
          <t>140120200904489376</t>
        </is>
      </c>
    </row>
    <row r="194">
      <c r="A194" s="52" t="inlineStr">
        <is>
          <t>reactions</t>
        </is>
      </c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</row>
    <row r="195">
      <c r="A195" s="53" t="inlineStr">
        <is>
          <t>항목</t>
        </is>
      </c>
      <c r="B195" s="53" t="inlineStr">
        <is>
          <t>기준일</t>
        </is>
      </c>
      <c r="C195" s="53" t="inlineStr">
        <is>
          <t>다음날</t>
        </is>
      </c>
      <c r="D195" s="53" t="inlineStr">
        <is>
          <t>등락%</t>
        </is>
      </c>
      <c r="N195" s="53" t="inlineStr">
        <is>
          <t>출처</t>
        </is>
      </c>
    </row>
    <row r="196">
      <c r="A196" s="54" t="inlineStr">
        <is>
          <t>2025-01-14</t>
        </is>
      </c>
      <c r="B196" s="58" t="inlineStr">
        <is>
          <t>2025-01-14</t>
        </is>
      </c>
      <c r="C196" s="58" t="inlineStr">
        <is>
          <t>2025-01-15</t>
        </is>
      </c>
      <c r="D196" s="55" t="n">
        <v>-1.4</v>
      </c>
      <c r="N196" s="56" t="inlineStr">
        <is>
          <t>2단계 보고서 자료(회사 설명회 자료·공시)</t>
        </is>
      </c>
    </row>
    <row r="197">
      <c r="A197" s="54" t="inlineStr">
        <is>
          <t>2025-04-14</t>
        </is>
      </c>
      <c r="B197" s="58" t="inlineStr">
        <is>
          <t>2025-04-14</t>
        </is>
      </c>
      <c r="C197" s="58" t="inlineStr">
        <is>
          <t>2025-04-15</t>
        </is>
      </c>
      <c r="D197" s="55" t="n">
        <v>10.8</v>
      </c>
    </row>
    <row r="198">
      <c r="A198" s="54" t="inlineStr">
        <is>
          <t>2025-07-14</t>
        </is>
      </c>
      <c r="B198" s="58" t="inlineStr">
        <is>
          <t>2025-07-14</t>
        </is>
      </c>
      <c r="C198" s="58" t="inlineStr">
        <is>
          <t>2025-07-15</t>
        </is>
      </c>
      <c r="D198" s="55" t="n">
        <v>-9.800000000000001</v>
      </c>
    </row>
    <row r="199">
      <c r="A199" s="54" t="inlineStr">
        <is>
          <t>2025-10-15</t>
        </is>
      </c>
      <c r="B199" s="58" t="inlineStr">
        <is>
          <t>2025-10-15</t>
        </is>
      </c>
      <c r="C199" s="58" t="inlineStr">
        <is>
          <t>2025-10-16</t>
        </is>
      </c>
      <c r="D199" s="55" t="n">
        <v>-9</v>
      </c>
    </row>
    <row r="200">
      <c r="A200" s="54" t="inlineStr">
        <is>
          <t>2026-01-14</t>
        </is>
      </c>
      <c r="B200" s="58" t="inlineStr">
        <is>
          <t>2026-01-14</t>
        </is>
      </c>
      <c r="C200" s="58" t="inlineStr">
        <is>
          <t>2026-01-15</t>
        </is>
      </c>
      <c r="D200" s="55" t="n">
        <v>-1.1</v>
      </c>
    </row>
    <row r="201">
      <c r="A201" s="54" t="inlineStr">
        <is>
          <t>2026-04-14</t>
        </is>
      </c>
      <c r="B201" s="58" t="inlineStr">
        <is>
          <t>2026-04-14</t>
        </is>
      </c>
      <c r="C201" s="58" t="inlineStr">
        <is>
          <t>2026-04-15</t>
        </is>
      </c>
      <c r="D201" s="55" t="n">
        <v>-9.6</v>
      </c>
    </row>
    <row r="202">
      <c r="A202" s="54" t="inlineStr">
        <is>
          <t>2026-07-15</t>
        </is>
      </c>
      <c r="B202" s="58" t="inlineStr">
        <is>
          <t>2026-07-15</t>
        </is>
      </c>
      <c r="C202" s="58" t="inlineStr">
        <is>
          <t>2026-07-16</t>
        </is>
      </c>
      <c r="D202" s="55" t="n">
        <v>-17.7</v>
      </c>
    </row>
    <row r="203">
      <c r="A203" s="54" t="inlineStr">
        <is>
          <t>2026-10-15</t>
        </is>
      </c>
      <c r="B203" s="58" t="inlineStr">
        <is>
          <t>2026-10-15</t>
        </is>
      </c>
      <c r="C203" s="58" t="inlineStr">
        <is>
          <t>2026-10-16</t>
        </is>
      </c>
      <c r="D203" s="55" t="n">
        <v>19.1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https://www2.jpx.co.jp/disc/73520/140120261015551464.pdf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https://www2.jpx.co.jp/disc/73520/140120260715594028.pdf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https://www2.jpx.co.jp/disc/73520/140120260414503723.pdf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https://www2.jpx.co.jp/disc/73520/140120260114533594.pdf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https://www2.jpx.co.jp/disc/73520/140120251015573927.pdf</t>
        </is>
      </c>
    </row>
    <row r="9">
      <c r="A9" t="inlineStr">
        <is>
          <t>2025-07-14</t>
        </is>
      </c>
      <c r="B9" t="inlineStr">
        <is>
          <t>2025년 8월 결산기 ３분기 결산단신</t>
        </is>
      </c>
      <c r="C9" t="inlineStr">
        <is>
          <t>https://www2.jpx.co.jp/disc/73520/140120250714513536.pdf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https://www2.jpx.co.jp/disc/73520/140120250414515118.pdf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https://www2.jpx.co.jp/disc/73520/140120250114550201.pdf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https://www2.jpx.co.jp/disc/73520/140120241015598062.pdf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https://www2.jpx.co.jp/disc/73520/140120240712548486.pdf</t>
        </is>
      </c>
    </row>
    <row r="14">
      <c r="A14" t="inlineStr">
        <is>
          <t>2024-04-12</t>
        </is>
      </c>
      <c r="B14" t="inlineStr">
        <is>
          <t>2024년 8월 결산기 ２분기 결산단신</t>
        </is>
      </c>
      <c r="C14" t="inlineStr">
        <is>
          <t>https://www2.jpx.co.jp/disc/73520/140120240412570246.pdf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https://www2.jpx.co.jp/disc/73520/140120240112514482.pdf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https://www2.jpx.co.jp/disc/73520/140120231013566820.pdf</t>
        </is>
      </c>
    </row>
    <row r="17">
      <c r="A17" t="inlineStr">
        <is>
          <t>2023-07-14</t>
        </is>
      </c>
      <c r="B17" t="inlineStr">
        <is>
          <t>2023년 8월 결산기 ３분기 결산단신</t>
        </is>
      </c>
      <c r="C17" t="inlineStr">
        <is>
          <t>https://www2.jpx.co.jp/disc/73520/140120230714522272.pdf</t>
        </is>
      </c>
    </row>
    <row r="18">
      <c r="A18" t="inlineStr">
        <is>
          <t>2023-04-14</t>
        </is>
      </c>
      <c r="B18" t="inlineStr">
        <is>
          <t>2023년 8월 결산기 ２분기 결산단신</t>
        </is>
      </c>
      <c r="C18" t="inlineStr">
        <is>
          <t>https://www2.jpx.co.jp/disc/73520/140120230414547390.pdf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https://www2.jpx.co.jp/disc/73520/140120230113588845.pdf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https://www2.jpx.co.jp/disc/73520/140120221014544711.pdf</t>
        </is>
      </c>
    </row>
    <row r="21">
      <c r="A21" t="inlineStr">
        <is>
          <t>2021-10-14</t>
        </is>
      </c>
      <c r="B21" t="inlineStr">
        <is>
          <t>2021년 8월 결산기 연간 결산단신</t>
        </is>
      </c>
      <c r="C21" t="inlineStr">
        <is>
          <t>https://www2.jpx.co.jp/disc/73520/140120211014410835.pdf</t>
        </is>
      </c>
    </row>
    <row r="22">
      <c r="A22" t="inlineStr">
        <is>
          <t>2020-10-15</t>
        </is>
      </c>
      <c r="B22" t="inlineStr">
        <is>
          <t>2020년 8월 결산기 연간 결산단신</t>
        </is>
      </c>
      <c r="C22" t="inlineStr">
        <is>
          <t>https://www2.jpx.co.jp/disc/73520/140120200904489376.pdf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2026-10-28T06:59:54Z</dcterms:created>
  <dcterms:modified xmlns:dcterms="http://purl.org/dc/terms/" xmlns:xsi="http://www.w3.org/2001/XMLSchema-instance" xsi:type="dcterms:W3CDTF">2026-10-28T06:59:55Z</dcterms:modified>
</cp:coreProperties>
</file>