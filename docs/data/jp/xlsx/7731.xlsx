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섹터 데이터" sheetId="3" state="visible" r:id="rId3"/>
    <sheet xmlns:r="http://schemas.openxmlformats.org/officeDocument/2006/relationships" name="출처" sheetId="4" state="visible" r:id="rId4"/>
    <sheet xmlns:r="http://schemas.openxmlformats.org/officeDocument/2006/relationships" name="재무제표 한눈에 보기" sheetId="5" state="visible" r:id="rId5"/>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7">
    <numFmt numFmtId="164" formatCode="0.0%;-0.0%;&quot;-&quot;"/>
    <numFmt numFmtId="165" formatCode="#,##0;(#,##0);&quot;-&quot;"/>
    <numFmt numFmtId="166" formatCode="0.0&quot;x&quot;;-0.0&quot;x&quot;;&quot;-&quot;"/>
    <numFmt numFmtId="167" formatCode="0.0&quot;년&quot;;-0.0&quot;년&quot;;&quot;-&quot;"/>
    <numFmt numFmtId="168" formatCode="0&quot;일&quot;;-0&quot;일&quot;;&quot;-&quot;"/>
    <numFmt numFmtId="169" formatCode="#,##0.0;\(#,##0.0\);&quot;-&quot;"/>
    <numFmt numFmtId="170" formatCode="0.0&quot;%&quot;"/>
  </numFmts>
  <fonts count="25">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color rgb="FFFF0000"/>
      <sz val="9"/>
    </font>
    <font>
      <name val="맑은 고딕"/>
      <b val="1"/>
      <color rgb="FFFFFFFF"/>
      <sz val="11"/>
    </font>
    <font>
      <name val="맑은 고딕"/>
      <b val="1"/>
      <sz val="10"/>
    </font>
    <font>
      <name val="맑은 고딕"/>
      <sz val="11"/>
    </font>
    <font>
      <name val="맑은 고딕"/>
      <color rgb="FF808080"/>
      <sz val="9"/>
    </font>
    <font>
      <name val="맑은 고딕"/>
      <b val="1"/>
      <sz val="12"/>
    </font>
    <font>
      <name val="맑은 고딕"/>
      <color rgb="00666666"/>
      <sz val="8"/>
    </font>
    <font>
      <name val="맑은 고딕"/>
      <b val="1"/>
      <sz val="9"/>
    </font>
    <font>
      <name val="맑은 고딕"/>
      <sz val="9"/>
    </font>
  </fonts>
  <fills count="9">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808080"/>
      </patternFill>
    </fill>
    <fill>
      <patternFill patternType="solid">
        <fgColor rgb="FFD9D9D9"/>
      </patternFill>
    </fill>
    <fill>
      <patternFill patternType="solid">
        <fgColor rgb="00D9E1F2"/>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1" fillId="0" borderId="3" applyAlignment="1" pivotButton="0" quotePrefix="0" xfId="0">
      <alignment horizontal="center" vertical="center"/>
    </xf>
    <xf numFmtId="164" fontId="11" fillId="0" borderId="0" applyAlignment="1" pivotButton="0" quotePrefix="0" xfId="0">
      <alignment horizontal="center" vertical="center"/>
    </xf>
    <xf numFmtId="0" fontId="0" fillId="0" borderId="3" pivotButton="0" quotePrefix="0" xfId="0"/>
    <xf numFmtId="0" fontId="12" fillId="0" borderId="0" applyAlignment="1" pivotButton="0" quotePrefix="0" xfId="0">
      <alignment horizontal="left"/>
    </xf>
    <xf numFmtId="0" fontId="3" fillId="0" borderId="0" applyAlignment="1" pivotButton="0" quotePrefix="0" xfId="0">
      <alignment horizontal="left"/>
    </xf>
    <xf numFmtId="0" fontId="14" fillId="3" borderId="0" applyAlignment="1" pivotButton="0" quotePrefix="0" xfId="0">
      <alignment horizontal="center" vertical="center"/>
    </xf>
    <xf numFmtId="0" fontId="6" fillId="0" borderId="0" applyAlignment="1" pivotButton="0" quotePrefix="0" xfId="0">
      <alignment horizontal="center" vertical="center"/>
    </xf>
    <xf numFmtId="0" fontId="13"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5" fillId="0" borderId="0" pivotButton="0" quotePrefix="0" xfId="0"/>
    <xf numFmtId="0" fontId="16" fillId="0" borderId="0" pivotButton="0" quotePrefix="0" xfId="0"/>
    <xf numFmtId="0" fontId="17" fillId="6" borderId="0" applyAlignment="1" pivotButton="0" quotePrefix="0" xfId="0">
      <alignment horizontal="center" vertical="center"/>
    </xf>
    <xf numFmtId="0" fontId="18" fillId="7" borderId="0" applyAlignment="1" pivotButton="0" quotePrefix="0" xfId="0">
      <alignment horizontal="center" vertical="center"/>
    </xf>
    <xf numFmtId="0" fontId="19" fillId="0" borderId="0" pivotButton="0" quotePrefix="0" xfId="0"/>
    <xf numFmtId="169" fontId="19" fillId="0" borderId="0" applyAlignment="1" pivotButton="0" quotePrefix="0" xfId="0">
      <alignment horizontal="center" vertical="center"/>
    </xf>
    <xf numFmtId="0" fontId="20" fillId="0" borderId="0" pivotButton="0" quotePrefix="0" xfId="0"/>
    <xf numFmtId="3" fontId="19" fillId="0" borderId="0" applyAlignment="1" pivotButton="0" quotePrefix="0" xfId="0">
      <alignment horizontal="center" vertical="center"/>
    </xf>
    <xf numFmtId="0" fontId="18" fillId="7"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8" borderId="0" applyAlignment="1" pivotButton="0" quotePrefix="0" xfId="0">
      <alignment horizontal="center"/>
    </xf>
    <xf numFmtId="0" fontId="24" fillId="0" borderId="0" pivotButton="0" quotePrefix="0" xfId="0"/>
    <xf numFmtId="3" fontId="24" fillId="0" borderId="0" pivotButton="0" quotePrefix="0" xfId="0"/>
    <xf numFmtId="170" fontId="24" fillId="0"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매출액 (억 엔) · YoY (%)</a:t>
            </a:r>
          </a:p>
        </rich>
      </tx>
    </title>
    <plotArea>
      <barChart>
        <barDir val="col"/>
        <grouping val="clustered"/>
        <varyColors val="0"/>
        <ser>
          <idx val="0"/>
          <order val="0"/>
          <tx>
            <strRef>
              <f>'재무제표 한눈에 보기'!A5</f>
            </strRef>
          </tx>
          <spPr>
            <a:solidFill xmlns:a="http://schemas.openxmlformats.org/drawingml/2006/main">
              <a:srgbClr val="4472C4"/>
            </a:solidFill>
            <a:ln xmlns:a="http://schemas.openxmlformats.org/drawingml/2006/main">
              <a:solidFill>
                <a:srgbClr val="4472C4"/>
              </a:solidFill>
              <a:prstDash val="solid"/>
            </a:ln>
          </spPr>
          <cat>
            <numRef>
              <f>'재무제표 한눈에 보기'!$B$4:$AO$4</f>
            </numRef>
          </cat>
          <val>
            <numRef>
              <f>'재무제표 한눈에 보기'!$B$5:$AO$5</f>
            </numRef>
          </val>
        </ser>
        <dLbls>
          <numFmt formatCode="#,##0"/>
          <dLblPos val="outEnd"/>
          <showLegendKey val="0"/>
          <showVal val="1"/>
          <showCatName val="0"/>
          <showSerName val="0"/>
        </dLbls>
        <gapWidth val="40"/>
        <axId val="10"/>
        <axId val="100"/>
      </barChart>
      <lineChart>
        <grouping val="standard"/>
        <ser>
          <idx val="1"/>
          <order val="1"/>
          <tx>
            <strRef>
              <f>'재무제표 한눈에 보기'!A6</f>
            </strRef>
          </tx>
          <spPr>
            <a:ln xmlns:a="http://schemas.openxmlformats.org/drawingml/2006/main">
              <a:solidFill>
                <a:srgbClr val="ED7D31"/>
              </a:solidFill>
              <a:prstDash val="solid"/>
            </a:ln>
          </spPr>
          <marker>
            <symbol val="circle"/>
            <size val="5"/>
            <spPr>
              <a:solidFill xmlns:a="http://schemas.openxmlformats.org/drawingml/2006/main">
                <a:srgbClr val="ED7D31"/>
              </a:solidFill>
              <a:ln xmlns:a="http://schemas.openxmlformats.org/drawingml/2006/main">
                <a:solidFill>
                  <a:srgbClr val="ED7D31"/>
                </a:solidFill>
                <a:prstDash val="solid"/>
              </a:ln>
            </spPr>
          </marker>
          <val>
            <numRef>
              <f>'재무제표 한눈에 보기'!$B$6:$AO$6</f>
            </numRef>
          </val>
          <smooth val="0"/>
        </ser>
        <dLbls>
          <numFmt formatCode="0&quot;%&quot;"/>
          <dLblPos val="t"/>
          <showLegendKey val="0"/>
          <showVal val="1"/>
          <showCatName val="0"/>
          <showSerNam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delete val="0"/>
        <axPos val="l"/>
        <majorTickMark val="none"/>
        <minorTickMark val="none"/>
        <crossAx val="10"/>
      </valAx>
      <valAx>
        <axId val="200"/>
        <scaling>
          <orientation val="minMax"/>
        </scaling>
        <delete val="0"/>
        <axPos val="l"/>
        <title>
          <tx>
            <rich>
              <a:bodyPr xmlns:a="http://schemas.openxmlformats.org/drawingml/2006/main"/>
              <a:p xmlns:a="http://schemas.openxmlformats.org/drawingml/2006/main">
                <a:pPr>
                  <a:defRPr/>
                </a:pPr>
                <a:r>
                  <a:t>%</a:t>
                </a:r>
              </a:p>
            </rich>
          </tx>
        </title>
        <majorTickMark val="none"/>
        <minorTickMark val="none"/>
        <crossAx val="10"/>
        <crosses val="max"/>
      </valAx>
    </plotArea>
    <legend>
      <legendPos val="t"/>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부문별 매출 (억 엔)</a:t>
            </a:r>
          </a:p>
        </rich>
      </tx>
    </title>
    <plotArea>
      <lineChart>
        <grouping val="standard"/>
        <varyColors val="0"/>
        <ser>
          <idx val="0"/>
          <order val="0"/>
          <tx>
            <strRef>
              <f>'재무제표 한눈에 보기'!A24</f>
            </strRef>
          </tx>
          <spPr>
            <a:ln xmlns:a="http://schemas.openxmlformats.org/drawingml/2006/main" w="22000">
              <a:solidFill>
                <a:srgbClr val="4472C4"/>
              </a:solidFill>
              <a:prstDash val="solid"/>
            </a:ln>
          </spPr>
          <marker>
            <symbol val="circle"/>
            <size val="5"/>
            <spPr>
              <a:solidFill xmlns:a="http://schemas.openxmlformats.org/drawingml/2006/main">
                <a:srgbClr val="4472C4"/>
              </a:solidFill>
              <a:ln xmlns:a="http://schemas.openxmlformats.org/drawingml/2006/main">
                <a:solidFill>
                  <a:srgbClr val="4472C4"/>
                </a:solidFill>
                <a:prstDash val="solid"/>
              </a:ln>
            </spPr>
          </marker>
          <cat>
            <numRef>
              <f>'재무제표 한눈에 보기'!$B$4:$AO$4</f>
            </numRef>
          </cat>
          <val>
            <numRef>
              <f>'재무제표 한눈에 보기'!$B$24:$AO$24</f>
            </numRef>
          </val>
          <smooth val="0"/>
        </ser>
        <ser>
          <idx val="1"/>
          <order val="1"/>
          <tx>
            <strRef>
              <f>'재무제표 한눈에 보기'!A25</f>
            </strRef>
          </tx>
          <spPr>
            <a:ln xmlns:a="http://schemas.openxmlformats.org/drawingml/2006/main" w="22000">
              <a:solidFill>
                <a:srgbClr val="ED7D31"/>
              </a:solidFill>
              <a:prstDash val="solid"/>
            </a:ln>
          </spPr>
          <marker>
            <symbol val="circle"/>
            <size val="5"/>
            <spPr>
              <a:solidFill xmlns:a="http://schemas.openxmlformats.org/drawingml/2006/main">
                <a:srgbClr val="ED7D31"/>
              </a:solidFill>
              <a:ln xmlns:a="http://schemas.openxmlformats.org/drawingml/2006/main">
                <a:solidFill>
                  <a:srgbClr val="ED7D31"/>
                </a:solidFill>
                <a:prstDash val="solid"/>
              </a:ln>
            </spPr>
          </marker>
          <cat>
            <numRef>
              <f>'재무제표 한눈에 보기'!$B$4:$AO$4</f>
            </numRef>
          </cat>
          <val>
            <numRef>
              <f>'재무제표 한눈에 보기'!$B$25:$AO$25</f>
            </numRef>
          </val>
          <smooth val="0"/>
        </ser>
        <ser>
          <idx val="2"/>
          <order val="2"/>
          <tx>
            <strRef>
              <f>'재무제표 한눈에 보기'!A26</f>
            </strRef>
          </tx>
          <spPr>
            <a:ln xmlns:a="http://schemas.openxmlformats.org/drawingml/2006/main" w="22000">
              <a:solidFill>
                <a:srgbClr val="A5A5A5"/>
              </a:solidFill>
              <a:prstDash val="solid"/>
            </a:ln>
          </spPr>
          <marker>
            <symbol val="circle"/>
            <size val="5"/>
            <spPr>
              <a:solidFill xmlns:a="http://schemas.openxmlformats.org/drawingml/2006/main">
                <a:srgbClr val="A5A5A5"/>
              </a:solidFill>
              <a:ln xmlns:a="http://schemas.openxmlformats.org/drawingml/2006/main">
                <a:solidFill>
                  <a:srgbClr val="A5A5A5"/>
                </a:solidFill>
                <a:prstDash val="solid"/>
              </a:ln>
            </spPr>
          </marker>
          <cat>
            <numRef>
              <f>'재무제표 한눈에 보기'!$B$4:$AO$4</f>
            </numRef>
          </cat>
          <val>
            <numRef>
              <f>'재무제표 한눈에 보기'!$B$26:$AO$26</f>
            </numRef>
          </val>
          <smooth val="0"/>
        </ser>
        <ser>
          <idx val="3"/>
          <order val="3"/>
          <tx>
            <strRef>
              <f>'재무제표 한눈에 보기'!A27</f>
            </strRef>
          </tx>
          <spPr>
            <a:ln xmlns:a="http://schemas.openxmlformats.org/drawingml/2006/main" w="22000">
              <a:solidFill>
                <a:srgbClr val="FFC000"/>
              </a:solidFill>
              <a:prstDash val="solid"/>
            </a:ln>
          </spPr>
          <marker>
            <symbol val="circle"/>
            <size val="5"/>
            <spPr>
              <a:solidFill xmlns:a="http://schemas.openxmlformats.org/drawingml/2006/main">
                <a:srgbClr val="FFC000"/>
              </a:solidFill>
              <a:ln xmlns:a="http://schemas.openxmlformats.org/drawingml/2006/main">
                <a:solidFill>
                  <a:srgbClr val="FFC000"/>
                </a:solidFill>
                <a:prstDash val="solid"/>
              </a:ln>
            </spPr>
          </marker>
          <cat>
            <numRef>
              <f>'재무제표 한눈에 보기'!$B$4:$AO$4</f>
            </numRef>
          </cat>
          <val>
            <numRef>
              <f>'재무제표 한눈에 보기'!$B$27:$AO$27</f>
            </numRef>
          </val>
          <smooth val="0"/>
        </ser>
        <ser>
          <idx val="4"/>
          <order val="4"/>
          <tx>
            <strRef>
              <f>'재무제표 한눈에 보기'!A28</f>
            </strRef>
          </tx>
          <spPr>
            <a:ln xmlns:a="http://schemas.openxmlformats.org/drawingml/2006/main" w="22000">
              <a:solidFill>
                <a:srgbClr val="70AD47"/>
              </a:solidFill>
              <a:prstDash val="solid"/>
            </a:ln>
          </spPr>
          <marker>
            <symbol val="circle"/>
            <size val="5"/>
            <spPr>
              <a:solidFill xmlns:a="http://schemas.openxmlformats.org/drawingml/2006/main">
                <a:srgbClr val="70AD47"/>
              </a:solidFill>
              <a:ln xmlns:a="http://schemas.openxmlformats.org/drawingml/2006/main">
                <a:solidFill>
                  <a:srgbClr val="70AD47"/>
                </a:solidFill>
                <a:prstDash val="solid"/>
              </a:ln>
            </spPr>
          </marker>
          <cat>
            <numRef>
              <f>'재무제표 한눈에 보기'!$B$4:$AO$4</f>
            </numRef>
          </cat>
          <val>
            <numRef>
              <f>'재무제표 한눈에 보기'!$B$28:$AO$28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TickMark val="none"/>
        <minorTickMark val="none"/>
        <crossAx val="10"/>
      </valAx>
    </plotArea>
    <legend>
      <legendPos val="t"/>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영업이익 (억 엔) · OPM·YoY (%)</a:t>
            </a:r>
          </a:p>
        </rich>
      </tx>
    </title>
    <plotArea>
      <barChart>
        <barDir val="col"/>
        <grouping val="clustered"/>
        <varyColors val="0"/>
        <ser>
          <idx val="0"/>
          <order val="0"/>
          <tx>
            <strRef>
              <f>'재무제표 한눈에 보기'!A7</f>
            </strRef>
          </tx>
          <spPr>
            <a:solidFill xmlns:a="http://schemas.openxmlformats.org/drawingml/2006/main">
              <a:srgbClr val="4472C4"/>
            </a:solidFill>
            <a:ln xmlns:a="http://schemas.openxmlformats.org/drawingml/2006/main">
              <a:solidFill>
                <a:srgbClr val="4472C4"/>
              </a:solidFill>
              <a:prstDash val="solid"/>
            </a:ln>
          </spPr>
          <cat>
            <numRef>
              <f>'재무제표 한눈에 보기'!$B$4:$AO$4</f>
            </numRef>
          </cat>
          <val>
            <numRef>
              <f>'재무제표 한눈에 보기'!$B$7:$AO$7</f>
            </numRef>
          </val>
        </ser>
        <dLbls>
          <numFmt formatCode="#,##0"/>
          <dLblPos val="outEnd"/>
          <showLegendKey val="0"/>
          <showVal val="1"/>
          <showCatName val="0"/>
          <showSerName val="0"/>
        </dLbls>
        <gapWidth val="40"/>
        <axId val="10"/>
        <axId val="100"/>
      </barChart>
      <lineChart>
        <grouping val="standard"/>
        <ser>
          <idx val="1"/>
          <order val="1"/>
          <tx>
            <strRef>
              <f>'재무제표 한눈에 보기'!A8</f>
            </strRef>
          </tx>
          <spPr>
            <a:ln xmlns:a="http://schemas.openxmlformats.org/drawingml/2006/main">
              <a:solidFill>
                <a:srgbClr val="ED7D31"/>
              </a:solidFill>
              <a:prstDash val="solid"/>
            </a:ln>
          </spPr>
          <marker>
            <symbol val="circle"/>
            <size val="5"/>
            <spPr>
              <a:solidFill xmlns:a="http://schemas.openxmlformats.org/drawingml/2006/main">
                <a:srgbClr val="ED7D31"/>
              </a:solidFill>
              <a:ln xmlns:a="http://schemas.openxmlformats.org/drawingml/2006/main">
                <a:solidFill>
                  <a:srgbClr val="ED7D31"/>
                </a:solidFill>
                <a:prstDash val="solid"/>
              </a:ln>
            </spPr>
          </marker>
          <val>
            <numRef>
              <f>'재무제표 한눈에 보기'!$B$8:$AO$8</f>
            </numRef>
          </val>
          <smooth val="0"/>
        </ser>
        <ser>
          <idx val="2"/>
          <order val="2"/>
          <tx>
            <strRef>
              <f>'재무제표 한눈에 보기'!A9</f>
            </strRef>
          </tx>
          <spPr>
            <a:ln xmlns:a="http://schemas.openxmlformats.org/drawingml/2006/main">
              <a:solidFill>
                <a:srgbClr val="A5A5A5"/>
              </a:solidFill>
              <a:prstDash val="solid"/>
            </a:ln>
          </spPr>
          <marker>
            <symbol val="circle"/>
            <size val="5"/>
            <spPr>
              <a:solidFill xmlns:a="http://schemas.openxmlformats.org/drawingml/2006/main">
                <a:srgbClr val="A5A5A5"/>
              </a:solidFill>
              <a:ln xmlns:a="http://schemas.openxmlformats.org/drawingml/2006/main">
                <a:solidFill>
                  <a:srgbClr val="A5A5A5"/>
                </a:solidFill>
                <a:prstDash val="solid"/>
              </a:ln>
            </spPr>
          </marker>
          <val>
            <numRef>
              <f>'재무제표 한눈에 보기'!$B$9:$AO$9</f>
            </numRef>
          </val>
          <smooth val="0"/>
        </ser>
        <dLbls>
          <numFmt formatCode="0&quot;%&quot;"/>
          <dLblPos val="t"/>
          <showLegendKey val="0"/>
          <showVal val="1"/>
          <showCatName val="0"/>
          <showSerNam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delete val="0"/>
        <axPos val="l"/>
        <majorTickMark val="none"/>
        <minorTickMark val="none"/>
        <crossAx val="10"/>
      </valAx>
      <valAx>
        <axId val="200"/>
        <scaling>
          <orientation val="minMax"/>
        </scaling>
        <delete val="0"/>
        <axPos val="l"/>
        <title>
          <tx>
            <rich>
              <a:bodyPr xmlns:a="http://schemas.openxmlformats.org/drawingml/2006/main"/>
              <a:p xmlns:a="http://schemas.openxmlformats.org/drawingml/2006/main">
                <a:pPr>
                  <a:defRPr/>
                </a:pPr>
                <a:r>
                  <a:t>%</a:t>
                </a:r>
              </a:p>
            </rich>
          </tx>
        </title>
        <majorTickMark val="none"/>
        <minorTickMark val="none"/>
        <crossAx val="10"/>
        <crosses val="max"/>
      </valAx>
    </plotArea>
    <legend>
      <legendPos val="t"/>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재무 안정성 — 총 차입금·현금 (억 엔) · 부채비율 (%)</a:t>
            </a:r>
          </a:p>
        </rich>
      </tx>
    </title>
    <plotArea>
      <barChart>
        <barDir val="col"/>
        <grouping val="clustered"/>
        <varyColors val="0"/>
        <ser>
          <idx val="0"/>
          <order val="0"/>
          <tx>
            <strRef>
              <f>'재무제표 한눈에 보기'!A22</f>
            </strRef>
          </tx>
          <spPr>
            <a:solidFill xmlns:a="http://schemas.openxmlformats.org/drawingml/2006/main">
              <a:srgbClr val="4472C4"/>
            </a:solidFill>
            <a:ln xmlns:a="http://schemas.openxmlformats.org/drawingml/2006/main">
              <a:solidFill>
                <a:srgbClr val="4472C4"/>
              </a:solidFill>
              <a:prstDash val="solid"/>
            </a:ln>
          </spPr>
          <cat>
            <numRef>
              <f>'재무제표 한눈에 보기'!$B$4:$AO$4</f>
            </numRef>
          </cat>
          <val>
            <numRef>
              <f>'재무제표 한눈에 보기'!$B$22:$AO$22</f>
            </numRef>
          </val>
        </ser>
        <ser>
          <idx val="1"/>
          <order val="1"/>
          <tx>
            <strRef>
              <f>'재무제표 한눈에 보기'!A23</f>
            </strRef>
          </tx>
          <spPr>
            <a:solidFill xmlns:a="http://schemas.openxmlformats.org/drawingml/2006/main">
              <a:srgbClr val="ED7D31"/>
            </a:solidFill>
            <a:ln xmlns:a="http://schemas.openxmlformats.org/drawingml/2006/main">
              <a:solidFill>
                <a:srgbClr val="ED7D31"/>
              </a:solidFill>
              <a:prstDash val="solid"/>
            </a:ln>
          </spPr>
          <cat>
            <numRef>
              <f>'재무제표 한눈에 보기'!$B$4:$AO$4</f>
            </numRef>
          </cat>
          <val>
            <numRef>
              <f>'재무제표 한눈에 보기'!$B$23:$AO$23</f>
            </numRef>
          </val>
        </ser>
        <dLbls>
          <numFmt formatCode="#,##0"/>
          <dLblPos val="outEnd"/>
          <showLegendKey val="0"/>
          <showVal val="1"/>
          <showCatName val="0"/>
          <showSerName val="0"/>
        </dLbls>
        <gapWidth val="40"/>
        <axId val="10"/>
        <axId val="100"/>
      </barChart>
      <lineChart>
        <grouping val="standard"/>
        <ser>
          <idx val="2"/>
          <order val="2"/>
          <tx>
            <strRef>
              <f>'재무제표 한눈에 보기'!A15</f>
            </strRef>
          </tx>
          <spPr>
            <a:ln xmlns:a="http://schemas.openxmlformats.org/drawingml/2006/main">
              <a:solidFill>
                <a:srgbClr val="A5A5A5"/>
              </a:solidFill>
              <a:prstDash val="solid"/>
            </a:ln>
          </spPr>
          <marker>
            <symbol val="circle"/>
            <size val="5"/>
            <spPr>
              <a:solidFill xmlns:a="http://schemas.openxmlformats.org/drawingml/2006/main">
                <a:srgbClr val="A5A5A5"/>
              </a:solidFill>
              <a:ln xmlns:a="http://schemas.openxmlformats.org/drawingml/2006/main">
                <a:solidFill>
                  <a:srgbClr val="A5A5A5"/>
                </a:solidFill>
                <a:prstDash val="solid"/>
              </a:ln>
            </spPr>
          </marker>
          <val>
            <numRef>
              <f>'재무제표 한눈에 보기'!$B$15:$AO$15</f>
            </numRef>
          </val>
          <smooth val="0"/>
        </ser>
        <dLbls>
          <numFmt formatCode="0&quot;%&quot;"/>
          <dLblPos val="t"/>
          <showLegendKey val="0"/>
          <showVal val="1"/>
          <showCatName val="0"/>
          <showSerName val="0"/>
        </dLbls>
        <axId val="10"/>
        <axId val="200"/>
      </lineChart>
      <catAx>
        <axId val="10"/>
        <scaling>
          <orientation val="minMax"/>
        </scaling>
        <delete val="0"/>
        <axPos val="l"/>
        <majorTickMark val="none"/>
        <minorTickMark val="none"/>
        <tickLblPos val="low"/>
        <crossAx val="100"/>
        <lblOffset val="100"/>
      </catAx>
      <valAx>
        <axId val="100"/>
        <scaling>
          <orientation val="minMax"/>
        </scaling>
        <delete val="0"/>
        <axPos val="l"/>
        <majorTickMark val="none"/>
        <minorTickMark val="none"/>
        <crossAx val="10"/>
      </valAx>
      <valAx>
        <axId val="200"/>
        <scaling>
          <orientation val="minMax"/>
        </scaling>
        <delete val="0"/>
        <axPos val="l"/>
        <title>
          <tx>
            <rich>
              <a:bodyPr xmlns:a="http://schemas.openxmlformats.org/drawingml/2006/main"/>
              <a:p xmlns:a="http://schemas.openxmlformats.org/drawingml/2006/main">
                <a:pPr>
                  <a:defRPr/>
                </a:pPr>
                <a:r>
                  <a:t>%</a:t>
                </a:r>
              </a:p>
            </rich>
          </tx>
        </title>
        <majorTickMark val="none"/>
        <minorTickMark val="none"/>
        <crossAx val="10"/>
        <crosses val="max"/>
      </valAx>
    </plotArea>
    <legend>
      <legendPos val="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30</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22</col>
      <colOff>0</colOff>
      <row>30</row>
      <rowOff>0</rowOff>
    </from>
    <ext cx="86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49</row>
      <rowOff>0</rowOff>
    </from>
    <ext cx="864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22</col>
      <colOff>0</colOff>
      <row>49</row>
      <rowOff>0</rowOff>
    </from>
    <ext cx="864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C302"/>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7731 Model</t>
        </is>
      </c>
    </row>
    <row r="2">
      <c r="A2" s="2" t="inlineStr">
        <is>
          <t>모를 땐 보수적으로</t>
        </is>
      </c>
      <c r="B2" s="3" t="inlineStr">
        <is>
          <t>(단위: 백만엔)</t>
        </is>
      </c>
      <c r="C2" s="3" t="inlineStr">
        <is>
          <t>3월 결산 · IFRS · 2027.1Q = 2027년 3월 결산기 1분기</t>
        </is>
      </c>
      <c r="Y2" s="4" t="inlineStr">
        <is>
          <t>(추정: 파란 글씨 = 직접 입력)</t>
        </is>
      </c>
    </row>
    <row r="3">
      <c r="A3" s="5" t="inlineStr">
        <is>
          <t>항목</t>
        </is>
      </c>
      <c r="B3" s="5" t="inlineStr">
        <is>
          <t>참고</t>
        </is>
      </c>
      <c r="C3" s="6" t="inlineStr">
        <is>
          <t>2024.2Q</t>
        </is>
      </c>
      <c r="D3" s="5" t="inlineStr">
        <is>
          <t>2024.3Q</t>
        </is>
      </c>
      <c r="E3" s="5" t="inlineStr">
        <is>
          <t>2024.4Q</t>
        </is>
      </c>
      <c r="F3" s="5" t="inlineStr">
        <is>
          <t>2025.1Q</t>
        </is>
      </c>
      <c r="G3" s="5" t="inlineStr">
        <is>
          <t>2025.2Q</t>
        </is>
      </c>
      <c r="H3" s="5" t="inlineStr">
        <is>
          <t>2025.3Q</t>
        </is>
      </c>
      <c r="I3" s="5" t="inlineStr">
        <is>
          <t>2025.4Q</t>
        </is>
      </c>
      <c r="J3" s="5" t="inlineStr">
        <is>
          <t>2026.1Q</t>
        </is>
      </c>
      <c r="K3" s="5" t="inlineStr">
        <is>
          <t>2026.2Q</t>
        </is>
      </c>
      <c r="L3" s="5" t="inlineStr">
        <is>
          <t>2026.3Q</t>
        </is>
      </c>
      <c r="M3" s="5" t="inlineStr">
        <is>
          <t>2026.4Q</t>
        </is>
      </c>
      <c r="N3" s="5" t="inlineStr">
        <is>
          <t>2027.1Q</t>
        </is>
      </c>
      <c r="O3" s="6" t="inlineStr">
        <is>
          <t>2017</t>
        </is>
      </c>
      <c r="P3" s="5" t="inlineStr">
        <is>
          <t>2018</t>
        </is>
      </c>
      <c r="Q3" s="5" t="inlineStr">
        <is>
          <t>2019</t>
        </is>
      </c>
      <c r="R3" s="5" t="inlineStr">
        <is>
          <t>2020</t>
        </is>
      </c>
      <c r="S3" s="5" t="inlineStr">
        <is>
          <t>2021</t>
        </is>
      </c>
      <c r="T3" s="5" t="inlineStr">
        <is>
          <t>2022</t>
        </is>
      </c>
      <c r="U3" s="5" t="inlineStr">
        <is>
          <t>2023</t>
        </is>
      </c>
      <c r="V3" s="5" t="inlineStr">
        <is>
          <t>2024</t>
        </is>
      </c>
      <c r="W3" s="5" t="inlineStr">
        <is>
          <t>2025</t>
        </is>
      </c>
      <c r="X3" s="5" t="inlineStr">
        <is>
          <t>2026</t>
        </is>
      </c>
      <c r="Y3" s="7" t="inlineStr">
        <is>
          <t>2027(MW)</t>
        </is>
      </c>
      <c r="Z3" s="8" t="inlineStr">
        <is>
          <t>2028(MW)</t>
        </is>
      </c>
      <c r="AA3" s="8" t="inlineStr">
        <is>
          <t>2029(MW)</t>
        </is>
      </c>
      <c r="AB3" s="8" t="inlineStr">
        <is>
          <t>2030(MW)</t>
        </is>
      </c>
      <c r="AC3" s="8" t="inlineStr">
        <is>
          <t>2031(MW)</t>
        </is>
      </c>
    </row>
    <row r="4">
      <c r="A4" s="9" t="inlineStr">
        <is>
          <t>매출액</t>
        </is>
      </c>
      <c r="B4" s="10" t="inlineStr">
        <is>
          <t>MW = 제품 합계</t>
        </is>
      </c>
      <c r="C4" s="11" t="n">
        <v>173150</v>
      </c>
      <c r="D4" s="12" t="n">
        <v>197616</v>
      </c>
      <c r="E4" s="12" t="n">
        <v>188333</v>
      </c>
      <c r="F4" s="12" t="n">
        <v>163896</v>
      </c>
      <c r="G4" s="12" t="n">
        <v>168883</v>
      </c>
      <c r="H4" s="12" t="n">
        <v>179892</v>
      </c>
      <c r="I4" s="12" t="n">
        <v>202614</v>
      </c>
      <c r="J4" s="12" t="n">
        <v>158121</v>
      </c>
      <c r="K4" s="12" t="n">
        <v>154794</v>
      </c>
      <c r="L4" s="12" t="n">
        <v>170993</v>
      </c>
      <c r="M4" s="12" t="n">
        <v>193255</v>
      </c>
      <c r="N4" s="12" t="n">
        <v>164182</v>
      </c>
      <c r="O4" s="11" t="n"/>
      <c r="P4" s="12" t="n">
        <v>717078</v>
      </c>
      <c r="Q4" s="12" t="n">
        <v>708660</v>
      </c>
      <c r="R4" s="12" t="n">
        <v>591012</v>
      </c>
      <c r="S4" s="12" t="n">
        <v>451223</v>
      </c>
      <c r="T4" s="12" t="n">
        <v>539612</v>
      </c>
      <c r="U4" s="12" t="n">
        <v>628105</v>
      </c>
      <c r="V4" s="12" t="n">
        <v>717245</v>
      </c>
      <c r="W4" s="12" t="n">
        <v>715285</v>
      </c>
      <c r="X4" s="12" t="n">
        <v>677163</v>
      </c>
      <c r="Y4" s="11">
        <f>IF(COUNT(Y7,Y10,Y13,Y16,Y19,Y22,Y25,Y28)=0,"",SUM(Y7,Y10,Y13,Y16,Y19,Y22,Y25,Y28))</f>
        <v/>
      </c>
      <c r="Z4" s="12">
        <f>IF(COUNT(Z7,Z10,Z13,Z16,Z19,Z22,Z25,Z28)=0,"",SUM(Z7,Z10,Z13,Z16,Z19,Z22,Z25,Z28))</f>
        <v/>
      </c>
      <c r="AA4" s="12">
        <f>IF(COUNT(AA7,AA10,AA13,AA16,AA19,AA22,AA25,AA28)=0,"",SUM(AA7,AA10,AA13,AA16,AA19,AA22,AA25,AA28))</f>
        <v/>
      </c>
      <c r="AB4" s="12">
        <f>IF(COUNT(AB7,AB10,AB13,AB16,AB19,AB22,AB25,AB28)=0,"",SUM(AB7,AB10,AB13,AB16,AB19,AB22,AB25,AB28))</f>
        <v/>
      </c>
      <c r="AC4" s="12">
        <f>IF(COUNT(AC7,AC10,AC13,AC16,AC19,AC22,AC25,AC28)=0,"",SUM(AC7,AC10,AC13,AC16,AC19,AC22,AC25,AC28))</f>
        <v/>
      </c>
    </row>
    <row r="5">
      <c r="A5" s="13" t="inlineStr">
        <is>
          <t>YoY</t>
        </is>
      </c>
      <c r="B5" s="10" t="n"/>
      <c r="C5" s="14" t="n"/>
      <c r="D5" s="15" t="n"/>
      <c r="E5" s="15" t="n"/>
      <c r="F5" s="15" t="n"/>
      <c r="G5" s="15">
        <f>IF(OR(G4="",C4=""),"",IFERROR(G4/C4-1,""))</f>
        <v/>
      </c>
      <c r="H5" s="15">
        <f>IF(OR(H4="",D4=""),"",IFERROR(H4/D4-1,""))</f>
        <v/>
      </c>
      <c r="I5" s="15">
        <f>IF(OR(I4="",E4=""),"",IFERROR(I4/E4-1,""))</f>
        <v/>
      </c>
      <c r="J5" s="15">
        <f>IF(OR(J4="",F4=""),"",IFERROR(J4/F4-1,""))</f>
        <v/>
      </c>
      <c r="K5" s="15">
        <f>IF(OR(K4="",G4=""),"",IFERROR(K4/G4-1,""))</f>
        <v/>
      </c>
      <c r="L5" s="15">
        <f>IF(OR(L4="",H4=""),"",IFERROR(L4/H4-1,""))</f>
        <v/>
      </c>
      <c r="M5" s="15">
        <f>IF(OR(M4="",I4=""),"",IFERROR(M4/I4-1,""))</f>
        <v/>
      </c>
      <c r="N5" s="15">
        <f>IF(OR(N4="",J4=""),"",IFERROR(N4/J4-1,""))</f>
        <v/>
      </c>
      <c r="O5" s="14" t="n"/>
      <c r="P5" s="15">
        <f>IF(OR(P4="",O4=""),"",IFERROR(P4/O4-1,""))</f>
        <v/>
      </c>
      <c r="Q5" s="15">
        <f>IF(OR(Q4="",P4=""),"",IFERROR(Q4/P4-1,""))</f>
        <v/>
      </c>
      <c r="R5" s="15">
        <f>IF(OR(R4="",Q4=""),"",IFERROR(R4/Q4-1,""))</f>
        <v/>
      </c>
      <c r="S5" s="15">
        <f>IF(OR(S4="",R4=""),"",IFERROR(S4/R4-1,""))</f>
        <v/>
      </c>
      <c r="T5" s="15">
        <f>IF(OR(T4="",S4=""),"",IFERROR(T4/S4-1,""))</f>
        <v/>
      </c>
      <c r="U5" s="15">
        <f>IF(OR(U4="",T4=""),"",IFERROR(U4/T4-1,""))</f>
        <v/>
      </c>
      <c r="V5" s="15">
        <f>IF(OR(V4="",U4=""),"",IFERROR(V4/U4-1,""))</f>
        <v/>
      </c>
      <c r="W5" s="15">
        <f>IF(OR(W4="",V4=""),"",IFERROR(W4/V4-1,""))</f>
        <v/>
      </c>
      <c r="X5" s="15">
        <f>IF(OR(X4="",W4=""),"",IFERROR(X4/W4-1,""))</f>
        <v/>
      </c>
      <c r="Y5" s="14">
        <f>IF(OR(Y4="",X4=""),"",IFERROR(Y4/X4-1,""))</f>
        <v/>
      </c>
      <c r="Z5" s="15">
        <f>IF(OR(Z4="",Y4=""),"",IFERROR(Z4/Y4-1,""))</f>
        <v/>
      </c>
      <c r="AA5" s="15">
        <f>IF(OR(AA4="",Z4=""),"",IFERROR(AA4/Z4-1,""))</f>
        <v/>
      </c>
      <c r="AB5" s="15">
        <f>IF(OR(AB4="",AA4=""),"",IFERROR(AB4/AA4-1,""))</f>
        <v/>
      </c>
      <c r="AC5" s="15">
        <f>IF(OR(AC4="",AB4=""),"",IFERROR(AC4/AB4-1,""))</f>
        <v/>
      </c>
    </row>
    <row r="6">
      <c r="A6" s="16" t="inlineStr">
        <is>
          <t>제품별 매출 분류</t>
        </is>
      </c>
      <c r="B6" s="16" t="inlineStr">
        <is>
          <t>사업보고서 매출실적</t>
        </is>
      </c>
      <c r="C6" s="17" t="n"/>
      <c r="D6" s="16" t="n"/>
      <c r="E6" s="16" t="n"/>
      <c r="F6" s="16" t="n"/>
      <c r="G6" s="16" t="n"/>
      <c r="H6" s="16" t="n"/>
      <c r="I6" s="16" t="n"/>
      <c r="J6" s="16" t="n"/>
      <c r="K6" s="16" t="n"/>
      <c r="L6" s="16" t="n"/>
      <c r="M6" s="16" t="n"/>
      <c r="N6" s="16" t="n"/>
      <c r="O6" s="17" t="n"/>
      <c r="P6" s="16" t="n"/>
      <c r="Q6" s="16" t="n"/>
      <c r="R6" s="16" t="n"/>
      <c r="S6" s="16" t="n"/>
      <c r="T6" s="16" t="n"/>
      <c r="U6" s="16" t="n"/>
      <c r="V6" s="16" t="n"/>
      <c r="W6" s="16" t="n"/>
      <c r="X6" s="16" t="n"/>
      <c r="Y6" s="17" t="n"/>
      <c r="Z6" s="16" t="n"/>
      <c r="AA6" s="16" t="n"/>
      <c r="AB6" s="16" t="n"/>
      <c r="AC6" s="16" t="n"/>
    </row>
    <row r="7">
      <c r="A7" s="18" t="inlineStr">
        <is>
          <t>ImagingProductsBusinessReportableSegmentMember</t>
        </is>
      </c>
      <c r="B7" s="10" t="n"/>
      <c r="C7" s="19" t="n">
        <v>63274</v>
      </c>
      <c r="D7" s="20" t="n">
        <v>84316</v>
      </c>
      <c r="E7" s="20" t="n">
        <v>57739</v>
      </c>
      <c r="F7" s="20" t="n">
        <v>83714</v>
      </c>
      <c r="G7" s="20" t="n">
        <v>68077</v>
      </c>
      <c r="H7" s="20" t="n">
        <v>83889</v>
      </c>
      <c r="I7" s="20" t="n">
        <v>59683</v>
      </c>
      <c r="J7" s="20" t="n">
        <v>80054</v>
      </c>
      <c r="K7" s="20" t="n">
        <v>64983</v>
      </c>
      <c r="L7" s="20" t="n">
        <v>84044</v>
      </c>
      <c r="M7" s="20" t="n">
        <v>60972</v>
      </c>
      <c r="N7" s="20" t="n">
        <v>72970</v>
      </c>
      <c r="O7" s="19" t="n"/>
      <c r="P7" s="20" t="n"/>
      <c r="Q7" s="20" t="n"/>
      <c r="R7" s="20" t="n"/>
      <c r="S7" s="20" t="n"/>
      <c r="T7" s="20" t="n"/>
      <c r="U7" s="20" t="n"/>
      <c r="V7" s="20" t="n">
        <v>279737</v>
      </c>
      <c r="W7" s="20" t="n">
        <v>295363</v>
      </c>
      <c r="X7" s="20" t="n">
        <v>290053</v>
      </c>
      <c r="Y7" s="21" t="n"/>
      <c r="Z7" s="22" t="n"/>
      <c r="AA7" s="22" t="n"/>
      <c r="AB7" s="22" t="n"/>
      <c r="AC7" s="22" t="n"/>
    </row>
    <row r="8">
      <c r="A8" s="13" t="inlineStr">
        <is>
          <t>비중</t>
        </is>
      </c>
      <c r="B8" s="10" t="n"/>
      <c r="C8" s="14">
        <f>IF(OR(C7="",C4=""),"",IFERROR(C7/C4,""))</f>
        <v/>
      </c>
      <c r="D8" s="15">
        <f>IF(OR(D7="",D4=""),"",IFERROR(D7/D4,""))</f>
        <v/>
      </c>
      <c r="E8" s="15">
        <f>IF(OR(E7="",E4=""),"",IFERROR(E7/E4,""))</f>
        <v/>
      </c>
      <c r="F8" s="15">
        <f>IF(OR(F7="",F4=""),"",IFERROR(F7/F4,""))</f>
        <v/>
      </c>
      <c r="G8" s="15">
        <f>IF(OR(G7="",G4=""),"",IFERROR(G7/G4,""))</f>
        <v/>
      </c>
      <c r="H8" s="15">
        <f>IF(OR(H7="",H4=""),"",IFERROR(H7/H4,""))</f>
        <v/>
      </c>
      <c r="I8" s="15">
        <f>IF(OR(I7="",I4=""),"",IFERROR(I7/I4,""))</f>
        <v/>
      </c>
      <c r="J8" s="15">
        <f>IF(OR(J7="",J4=""),"",IFERROR(J7/J4,""))</f>
        <v/>
      </c>
      <c r="K8" s="15">
        <f>IF(OR(K7="",K4=""),"",IFERROR(K7/K4,""))</f>
        <v/>
      </c>
      <c r="L8" s="15">
        <f>IF(OR(L7="",L4=""),"",IFERROR(L7/L4,""))</f>
        <v/>
      </c>
      <c r="M8" s="15">
        <f>IF(OR(M7="",M4=""),"",IFERROR(M7/M4,""))</f>
        <v/>
      </c>
      <c r="N8" s="15">
        <f>IF(OR(N7="",N4=""),"",IFERROR(N7/N4,""))</f>
        <v/>
      </c>
      <c r="O8" s="14">
        <f>IF(OR(O7="",O4=""),"",IFERROR(O7/O4,""))</f>
        <v/>
      </c>
      <c r="P8" s="15">
        <f>IF(OR(P7="",P4=""),"",IFERROR(P7/P4,""))</f>
        <v/>
      </c>
      <c r="Q8" s="15">
        <f>IF(OR(Q7="",Q4=""),"",IFERROR(Q7/Q4,""))</f>
        <v/>
      </c>
      <c r="R8" s="15">
        <f>IF(OR(R7="",R4=""),"",IFERROR(R7/R4,""))</f>
        <v/>
      </c>
      <c r="S8" s="15">
        <f>IF(OR(S7="",S4=""),"",IFERROR(S7/S4,""))</f>
        <v/>
      </c>
      <c r="T8" s="15">
        <f>IF(OR(T7="",T4=""),"",IFERROR(T7/T4,""))</f>
        <v/>
      </c>
      <c r="U8" s="15">
        <f>IF(OR(U7="",U4=""),"",IFERROR(U7/U4,""))</f>
        <v/>
      </c>
      <c r="V8" s="15">
        <f>IF(OR(V7="",V4=""),"",IFERROR(V7/V4,""))</f>
        <v/>
      </c>
      <c r="W8" s="15">
        <f>IF(OR(W7="",W4=""),"",IFERROR(W7/W4,""))</f>
        <v/>
      </c>
      <c r="X8" s="15">
        <f>IF(OR(X7="",X4=""),"",IFERROR(X7/X4,""))</f>
        <v/>
      </c>
      <c r="Y8" s="14">
        <f>IF(OR(Y7="",Y4=""),"",IFERROR(Y7/Y4,""))</f>
        <v/>
      </c>
      <c r="Z8" s="15">
        <f>IF(OR(Z7="",Z4=""),"",IFERROR(Z7/Z4,""))</f>
        <v/>
      </c>
      <c r="AA8" s="15">
        <f>IF(OR(AA7="",AA4=""),"",IFERROR(AA7/AA4,""))</f>
        <v/>
      </c>
      <c r="AB8" s="15">
        <f>IF(OR(AB7="",AB4=""),"",IFERROR(AB7/AB4,""))</f>
        <v/>
      </c>
      <c r="AC8" s="15">
        <f>IF(OR(AC7="",AC4=""),"",IFERROR(AC7/AC4,""))</f>
        <v/>
      </c>
    </row>
    <row r="9">
      <c r="A9" s="13" t="inlineStr">
        <is>
          <t>YoY</t>
        </is>
      </c>
      <c r="B9" s="10" t="n"/>
      <c r="C9" s="14" t="n"/>
      <c r="D9" s="15" t="n"/>
      <c r="E9" s="15" t="n"/>
      <c r="F9" s="15" t="n"/>
      <c r="G9" s="15">
        <f>IF(OR(G7="",C7=""),"",IFERROR(G7/C7-1,""))</f>
        <v/>
      </c>
      <c r="H9" s="15">
        <f>IF(OR(H7="",D7=""),"",IFERROR(H7/D7-1,""))</f>
        <v/>
      </c>
      <c r="I9" s="15">
        <f>IF(OR(I7="",E7=""),"",IFERROR(I7/E7-1,""))</f>
        <v/>
      </c>
      <c r="J9" s="15">
        <f>IF(OR(J7="",F7=""),"",IFERROR(J7/F7-1,""))</f>
        <v/>
      </c>
      <c r="K9" s="15">
        <f>IF(OR(K7="",G7=""),"",IFERROR(K7/G7-1,""))</f>
        <v/>
      </c>
      <c r="L9" s="15">
        <f>IF(OR(L7="",H7=""),"",IFERROR(L7/H7-1,""))</f>
        <v/>
      </c>
      <c r="M9" s="15">
        <f>IF(OR(M7="",I7=""),"",IFERROR(M7/I7-1,""))</f>
        <v/>
      </c>
      <c r="N9" s="15">
        <f>IF(OR(N7="",J7=""),"",IFERROR(N7/J7-1,""))</f>
        <v/>
      </c>
      <c r="O9" s="14" t="n"/>
      <c r="P9" s="15">
        <f>IF(OR(P7="",O7=""),"",IFERROR(P7/O7-1,""))</f>
        <v/>
      </c>
      <c r="Q9" s="15">
        <f>IF(OR(Q7="",P7=""),"",IFERROR(Q7/P7-1,""))</f>
        <v/>
      </c>
      <c r="R9" s="15">
        <f>IF(OR(R7="",Q7=""),"",IFERROR(R7/Q7-1,""))</f>
        <v/>
      </c>
      <c r="S9" s="15">
        <f>IF(OR(S7="",R7=""),"",IFERROR(S7/R7-1,""))</f>
        <v/>
      </c>
      <c r="T9" s="15">
        <f>IF(OR(T7="",S7=""),"",IFERROR(T7/S7-1,""))</f>
        <v/>
      </c>
      <c r="U9" s="15">
        <f>IF(OR(U7="",T7=""),"",IFERROR(U7/T7-1,""))</f>
        <v/>
      </c>
      <c r="V9" s="15">
        <f>IF(OR(V7="",U7=""),"",IFERROR(V7/U7-1,""))</f>
        <v/>
      </c>
      <c r="W9" s="15">
        <f>IF(OR(W7="",V7=""),"",IFERROR(W7/V7-1,""))</f>
        <v/>
      </c>
      <c r="X9" s="15">
        <f>IF(OR(X7="",W7=""),"",IFERROR(X7/W7-1,""))</f>
        <v/>
      </c>
      <c r="Y9" s="14">
        <f>IF(OR(Y7="",X7=""),"",IFERROR(Y7/X7-1,""))</f>
        <v/>
      </c>
      <c r="Z9" s="15">
        <f>IF(OR(Z7="",Y7=""),"",IFERROR(Z7/Y7-1,""))</f>
        <v/>
      </c>
      <c r="AA9" s="15">
        <f>IF(OR(AA7="",Z7=""),"",IFERROR(AA7/Z7-1,""))</f>
        <v/>
      </c>
      <c r="AB9" s="15">
        <f>IF(OR(AB7="",AA7=""),"",IFERROR(AB7/AA7-1,""))</f>
        <v/>
      </c>
      <c r="AC9" s="15">
        <f>IF(OR(AC7="",AB7=""),"",IFERROR(AC7/AB7-1,""))</f>
        <v/>
      </c>
    </row>
    <row r="10">
      <c r="A10" s="18" t="inlineStr">
        <is>
          <t>PrecisionEquipmentBusinessReportableSegmentMember</t>
        </is>
      </c>
      <c r="B10" s="10" t="n"/>
      <c r="C10" s="19" t="n">
        <v>58677</v>
      </c>
      <c r="D10" s="20" t="n">
        <v>58482</v>
      </c>
      <c r="E10" s="20" t="n">
        <v>64874</v>
      </c>
      <c r="F10" s="20" t="n">
        <v>33186</v>
      </c>
      <c r="G10" s="20" t="n">
        <v>48399</v>
      </c>
      <c r="H10" s="20" t="n">
        <v>43390</v>
      </c>
      <c r="I10" s="20" t="n">
        <v>76988</v>
      </c>
      <c r="J10" s="20" t="n">
        <v>33821</v>
      </c>
      <c r="K10" s="20" t="n">
        <v>36065</v>
      </c>
      <c r="L10" s="20" t="n">
        <v>34725</v>
      </c>
      <c r="M10" s="20" t="n">
        <v>62647</v>
      </c>
      <c r="N10" s="20" t="n">
        <v>38269</v>
      </c>
      <c r="O10" s="19" t="n"/>
      <c r="P10" s="20" t="n"/>
      <c r="Q10" s="20" t="n"/>
      <c r="R10" s="20" t="n"/>
      <c r="S10" s="20" t="n"/>
      <c r="T10" s="20" t="n"/>
      <c r="U10" s="20" t="n"/>
      <c r="V10" s="20" t="n">
        <v>219379</v>
      </c>
      <c r="W10" s="20" t="n">
        <v>201963</v>
      </c>
      <c r="X10" s="20" t="n">
        <v>167258</v>
      </c>
      <c r="Y10" s="21" t="n"/>
      <c r="Z10" s="22" t="n"/>
      <c r="AA10" s="22" t="n"/>
      <c r="AB10" s="22" t="n"/>
      <c r="AC10" s="22" t="n"/>
    </row>
    <row r="11">
      <c r="A11" s="13" t="inlineStr">
        <is>
          <t>비중</t>
        </is>
      </c>
      <c r="B11" s="10" t="n"/>
      <c r="C11" s="14">
        <f>IF(OR(C10="",C4=""),"",IFERROR(C10/C4,""))</f>
        <v/>
      </c>
      <c r="D11" s="15">
        <f>IF(OR(D10="",D4=""),"",IFERROR(D10/D4,""))</f>
        <v/>
      </c>
      <c r="E11" s="15">
        <f>IF(OR(E10="",E4=""),"",IFERROR(E10/E4,""))</f>
        <v/>
      </c>
      <c r="F11" s="15">
        <f>IF(OR(F10="",F4=""),"",IFERROR(F10/F4,""))</f>
        <v/>
      </c>
      <c r="G11" s="15">
        <f>IF(OR(G10="",G4=""),"",IFERROR(G10/G4,""))</f>
        <v/>
      </c>
      <c r="H11" s="15">
        <f>IF(OR(H10="",H4=""),"",IFERROR(H10/H4,""))</f>
        <v/>
      </c>
      <c r="I11" s="15">
        <f>IF(OR(I10="",I4=""),"",IFERROR(I10/I4,""))</f>
        <v/>
      </c>
      <c r="J11" s="15">
        <f>IF(OR(J10="",J4=""),"",IFERROR(J10/J4,""))</f>
        <v/>
      </c>
      <c r="K11" s="15">
        <f>IF(OR(K10="",K4=""),"",IFERROR(K10/K4,""))</f>
        <v/>
      </c>
      <c r="L11" s="15">
        <f>IF(OR(L10="",L4=""),"",IFERROR(L10/L4,""))</f>
        <v/>
      </c>
      <c r="M11" s="15">
        <f>IF(OR(M10="",M4=""),"",IFERROR(M10/M4,""))</f>
        <v/>
      </c>
      <c r="N11" s="15">
        <f>IF(OR(N10="",N4=""),"",IFERROR(N10/N4,""))</f>
        <v/>
      </c>
      <c r="O11" s="14">
        <f>IF(OR(O10="",O4=""),"",IFERROR(O10/O4,""))</f>
        <v/>
      </c>
      <c r="P11" s="15">
        <f>IF(OR(P10="",P4=""),"",IFERROR(P10/P4,""))</f>
        <v/>
      </c>
      <c r="Q11" s="15">
        <f>IF(OR(Q10="",Q4=""),"",IFERROR(Q10/Q4,""))</f>
        <v/>
      </c>
      <c r="R11" s="15">
        <f>IF(OR(R10="",R4=""),"",IFERROR(R10/R4,""))</f>
        <v/>
      </c>
      <c r="S11" s="15">
        <f>IF(OR(S10="",S4=""),"",IFERROR(S10/S4,""))</f>
        <v/>
      </c>
      <c r="T11" s="15">
        <f>IF(OR(T10="",T4=""),"",IFERROR(T10/T4,""))</f>
        <v/>
      </c>
      <c r="U11" s="15">
        <f>IF(OR(U10="",U4=""),"",IFERROR(U10/U4,""))</f>
        <v/>
      </c>
      <c r="V11" s="15">
        <f>IF(OR(V10="",V4=""),"",IFERROR(V10/V4,""))</f>
        <v/>
      </c>
      <c r="W11" s="15">
        <f>IF(OR(W10="",W4=""),"",IFERROR(W10/W4,""))</f>
        <v/>
      </c>
      <c r="X11" s="15">
        <f>IF(OR(X10="",X4=""),"",IFERROR(X10/X4,""))</f>
        <v/>
      </c>
      <c r="Y11" s="14">
        <f>IF(OR(Y10="",Y4=""),"",IFERROR(Y10/Y4,""))</f>
        <v/>
      </c>
      <c r="Z11" s="15">
        <f>IF(OR(Z10="",Z4=""),"",IFERROR(Z10/Z4,""))</f>
        <v/>
      </c>
      <c r="AA11" s="15">
        <f>IF(OR(AA10="",AA4=""),"",IFERROR(AA10/AA4,""))</f>
        <v/>
      </c>
      <c r="AB11" s="15">
        <f>IF(OR(AB10="",AB4=""),"",IFERROR(AB10/AB4,""))</f>
        <v/>
      </c>
      <c r="AC11" s="15">
        <f>IF(OR(AC10="",AC4=""),"",IFERROR(AC10/AC4,""))</f>
        <v/>
      </c>
    </row>
    <row r="12">
      <c r="A12" s="13" t="inlineStr">
        <is>
          <t>YoY</t>
        </is>
      </c>
      <c r="B12" s="10" t="n"/>
      <c r="C12" s="14" t="n"/>
      <c r="D12" s="15" t="n"/>
      <c r="E12" s="15" t="n"/>
      <c r="F12" s="15" t="n"/>
      <c r="G12" s="15">
        <f>IF(OR(G10="",C10=""),"",IFERROR(G10/C10-1,""))</f>
        <v/>
      </c>
      <c r="H12" s="15">
        <f>IF(OR(H10="",D10=""),"",IFERROR(H10/D10-1,""))</f>
        <v/>
      </c>
      <c r="I12" s="15">
        <f>IF(OR(I10="",E10=""),"",IFERROR(I10/E10-1,""))</f>
        <v/>
      </c>
      <c r="J12" s="15">
        <f>IF(OR(J10="",F10=""),"",IFERROR(J10/F10-1,""))</f>
        <v/>
      </c>
      <c r="K12" s="15">
        <f>IF(OR(K10="",G10=""),"",IFERROR(K10/G10-1,""))</f>
        <v/>
      </c>
      <c r="L12" s="15">
        <f>IF(OR(L10="",H10=""),"",IFERROR(L10/H10-1,""))</f>
        <v/>
      </c>
      <c r="M12" s="15">
        <f>IF(OR(M10="",I10=""),"",IFERROR(M10/I10-1,""))</f>
        <v/>
      </c>
      <c r="N12" s="15">
        <f>IF(OR(N10="",J10=""),"",IFERROR(N10/J10-1,""))</f>
        <v/>
      </c>
      <c r="O12" s="14" t="n"/>
      <c r="P12" s="15">
        <f>IF(OR(P10="",O10=""),"",IFERROR(P10/O10-1,""))</f>
        <v/>
      </c>
      <c r="Q12" s="15">
        <f>IF(OR(Q10="",P10=""),"",IFERROR(Q10/P10-1,""))</f>
        <v/>
      </c>
      <c r="R12" s="15">
        <f>IF(OR(R10="",Q10=""),"",IFERROR(R10/Q10-1,""))</f>
        <v/>
      </c>
      <c r="S12" s="15">
        <f>IF(OR(S10="",R10=""),"",IFERROR(S10/R10-1,""))</f>
        <v/>
      </c>
      <c r="T12" s="15">
        <f>IF(OR(T10="",S10=""),"",IFERROR(T10/S10-1,""))</f>
        <v/>
      </c>
      <c r="U12" s="15">
        <f>IF(OR(U10="",T10=""),"",IFERROR(U10/T10-1,""))</f>
        <v/>
      </c>
      <c r="V12" s="15">
        <f>IF(OR(V10="",U10=""),"",IFERROR(V10/U10-1,""))</f>
        <v/>
      </c>
      <c r="W12" s="15">
        <f>IF(OR(W10="",V10=""),"",IFERROR(W10/V10-1,""))</f>
        <v/>
      </c>
      <c r="X12" s="15">
        <f>IF(OR(X10="",W10=""),"",IFERROR(X10/W10-1,""))</f>
        <v/>
      </c>
      <c r="Y12" s="14">
        <f>IF(OR(Y10="",X10=""),"",IFERROR(Y10/X10-1,""))</f>
        <v/>
      </c>
      <c r="Z12" s="15">
        <f>IF(OR(Z10="",Y10=""),"",IFERROR(Z10/Y10-1,""))</f>
        <v/>
      </c>
      <c r="AA12" s="15">
        <f>IF(OR(AA10="",Z10=""),"",IFERROR(AA10/Z10-1,""))</f>
        <v/>
      </c>
      <c r="AB12" s="15">
        <f>IF(OR(AB10="",AA10=""),"",IFERROR(AB10/AA10-1,""))</f>
        <v/>
      </c>
      <c r="AC12" s="15">
        <f>IF(OR(AC10="",AB10=""),"",IFERROR(AC10/AB10-1,""))</f>
        <v/>
      </c>
    </row>
    <row r="13">
      <c r="A13" s="18" t="inlineStr">
        <is>
          <t>HealthcareBusinessReportableSegmentMember</t>
        </is>
      </c>
      <c r="B13" s="10" t="n"/>
      <c r="C13" s="19" t="n">
        <v>25990</v>
      </c>
      <c r="D13" s="20" t="n">
        <v>25598</v>
      </c>
      <c r="E13" s="20" t="n">
        <v>31031</v>
      </c>
      <c r="F13" s="20" t="n">
        <v>26227</v>
      </c>
      <c r="G13" s="20" t="n">
        <v>28906</v>
      </c>
      <c r="H13" s="20" t="n">
        <v>26465</v>
      </c>
      <c r="I13" s="20" t="n">
        <v>34854</v>
      </c>
      <c r="J13" s="20" t="n">
        <v>23173</v>
      </c>
      <c r="K13" s="20" t="n">
        <v>28045</v>
      </c>
      <c r="L13" s="20" t="n">
        <v>27813</v>
      </c>
      <c r="M13" s="20" t="n">
        <v>32891</v>
      </c>
      <c r="N13" s="20" t="n">
        <v>27791</v>
      </c>
      <c r="O13" s="19" t="n"/>
      <c r="P13" s="20" t="n"/>
      <c r="Q13" s="20" t="n"/>
      <c r="R13" s="20" t="n"/>
      <c r="S13" s="20" t="n"/>
      <c r="T13" s="20" t="n"/>
      <c r="U13" s="20" t="n"/>
      <c r="V13" s="20" t="n">
        <v>107889</v>
      </c>
      <c r="W13" s="20" t="n">
        <v>116452</v>
      </c>
      <c r="X13" s="20" t="n">
        <v>111922</v>
      </c>
      <c r="Y13" s="21" t="n"/>
      <c r="Z13" s="22" t="n"/>
      <c r="AA13" s="22" t="n"/>
      <c r="AB13" s="22" t="n"/>
      <c r="AC13" s="22" t="n"/>
    </row>
    <row r="14">
      <c r="A14" s="13" t="inlineStr">
        <is>
          <t>비중</t>
        </is>
      </c>
      <c r="B14" s="10" t="n"/>
      <c r="C14" s="14">
        <f>IF(OR(C13="",C4=""),"",IFERROR(C13/C4,""))</f>
        <v/>
      </c>
      <c r="D14" s="15">
        <f>IF(OR(D13="",D4=""),"",IFERROR(D13/D4,""))</f>
        <v/>
      </c>
      <c r="E14" s="15">
        <f>IF(OR(E13="",E4=""),"",IFERROR(E13/E4,""))</f>
        <v/>
      </c>
      <c r="F14" s="15">
        <f>IF(OR(F13="",F4=""),"",IFERROR(F13/F4,""))</f>
        <v/>
      </c>
      <c r="G14" s="15">
        <f>IF(OR(G13="",G4=""),"",IFERROR(G13/G4,""))</f>
        <v/>
      </c>
      <c r="H14" s="15">
        <f>IF(OR(H13="",H4=""),"",IFERROR(H13/H4,""))</f>
        <v/>
      </c>
      <c r="I14" s="15">
        <f>IF(OR(I13="",I4=""),"",IFERROR(I13/I4,""))</f>
        <v/>
      </c>
      <c r="J14" s="15">
        <f>IF(OR(J13="",J4=""),"",IFERROR(J13/J4,""))</f>
        <v/>
      </c>
      <c r="K14" s="15">
        <f>IF(OR(K13="",K4=""),"",IFERROR(K13/K4,""))</f>
        <v/>
      </c>
      <c r="L14" s="15">
        <f>IF(OR(L13="",L4=""),"",IFERROR(L13/L4,""))</f>
        <v/>
      </c>
      <c r="M14" s="15">
        <f>IF(OR(M13="",M4=""),"",IFERROR(M13/M4,""))</f>
        <v/>
      </c>
      <c r="N14" s="15">
        <f>IF(OR(N13="",N4=""),"",IFERROR(N13/N4,""))</f>
        <v/>
      </c>
      <c r="O14" s="14">
        <f>IF(OR(O13="",O4=""),"",IFERROR(O13/O4,""))</f>
        <v/>
      </c>
      <c r="P14" s="15">
        <f>IF(OR(P13="",P4=""),"",IFERROR(P13/P4,""))</f>
        <v/>
      </c>
      <c r="Q14" s="15">
        <f>IF(OR(Q13="",Q4=""),"",IFERROR(Q13/Q4,""))</f>
        <v/>
      </c>
      <c r="R14" s="15">
        <f>IF(OR(R13="",R4=""),"",IFERROR(R13/R4,""))</f>
        <v/>
      </c>
      <c r="S14" s="15">
        <f>IF(OR(S13="",S4=""),"",IFERROR(S13/S4,""))</f>
        <v/>
      </c>
      <c r="T14" s="15">
        <f>IF(OR(T13="",T4=""),"",IFERROR(T13/T4,""))</f>
        <v/>
      </c>
      <c r="U14" s="15">
        <f>IF(OR(U13="",U4=""),"",IFERROR(U13/U4,""))</f>
        <v/>
      </c>
      <c r="V14" s="15">
        <f>IF(OR(V13="",V4=""),"",IFERROR(V13/V4,""))</f>
        <v/>
      </c>
      <c r="W14" s="15">
        <f>IF(OR(W13="",W4=""),"",IFERROR(W13/W4,""))</f>
        <v/>
      </c>
      <c r="X14" s="15">
        <f>IF(OR(X13="",X4=""),"",IFERROR(X13/X4,""))</f>
        <v/>
      </c>
      <c r="Y14" s="14">
        <f>IF(OR(Y13="",Y4=""),"",IFERROR(Y13/Y4,""))</f>
        <v/>
      </c>
      <c r="Z14" s="15">
        <f>IF(OR(Z13="",Z4=""),"",IFERROR(Z13/Z4,""))</f>
        <v/>
      </c>
      <c r="AA14" s="15">
        <f>IF(OR(AA13="",AA4=""),"",IFERROR(AA13/AA4,""))</f>
        <v/>
      </c>
      <c r="AB14" s="15">
        <f>IF(OR(AB13="",AB4=""),"",IFERROR(AB13/AB4,""))</f>
        <v/>
      </c>
      <c r="AC14" s="15">
        <f>IF(OR(AC13="",AC4=""),"",IFERROR(AC13/AC4,""))</f>
        <v/>
      </c>
    </row>
    <row r="15">
      <c r="A15" s="13" t="inlineStr">
        <is>
          <t>YoY</t>
        </is>
      </c>
      <c r="B15" s="10" t="n"/>
      <c r="C15" s="14" t="n"/>
      <c r="D15" s="15" t="n"/>
      <c r="E15" s="15" t="n"/>
      <c r="F15" s="15" t="n"/>
      <c r="G15" s="15">
        <f>IF(OR(G13="",C13=""),"",IFERROR(G13/C13-1,""))</f>
        <v/>
      </c>
      <c r="H15" s="15">
        <f>IF(OR(H13="",D13=""),"",IFERROR(H13/D13-1,""))</f>
        <v/>
      </c>
      <c r="I15" s="15">
        <f>IF(OR(I13="",E13=""),"",IFERROR(I13/E13-1,""))</f>
        <v/>
      </c>
      <c r="J15" s="15">
        <f>IF(OR(J13="",F13=""),"",IFERROR(J13/F13-1,""))</f>
        <v/>
      </c>
      <c r="K15" s="15">
        <f>IF(OR(K13="",G13=""),"",IFERROR(K13/G13-1,""))</f>
        <v/>
      </c>
      <c r="L15" s="15">
        <f>IF(OR(L13="",H13=""),"",IFERROR(L13/H13-1,""))</f>
        <v/>
      </c>
      <c r="M15" s="15">
        <f>IF(OR(M13="",I13=""),"",IFERROR(M13/I13-1,""))</f>
        <v/>
      </c>
      <c r="N15" s="15">
        <f>IF(OR(N13="",J13=""),"",IFERROR(N13/J13-1,""))</f>
        <v/>
      </c>
      <c r="O15" s="14" t="n"/>
      <c r="P15" s="15">
        <f>IF(OR(P13="",O13=""),"",IFERROR(P13/O13-1,""))</f>
        <v/>
      </c>
      <c r="Q15" s="15">
        <f>IF(OR(Q13="",P13=""),"",IFERROR(Q13/P13-1,""))</f>
        <v/>
      </c>
      <c r="R15" s="15">
        <f>IF(OR(R13="",Q13=""),"",IFERROR(R13/Q13-1,""))</f>
        <v/>
      </c>
      <c r="S15" s="15">
        <f>IF(OR(S13="",R13=""),"",IFERROR(S13/R13-1,""))</f>
        <v/>
      </c>
      <c r="T15" s="15">
        <f>IF(OR(T13="",S13=""),"",IFERROR(T13/S13-1,""))</f>
        <v/>
      </c>
      <c r="U15" s="15">
        <f>IF(OR(U13="",T13=""),"",IFERROR(U13/T13-1,""))</f>
        <v/>
      </c>
      <c r="V15" s="15">
        <f>IF(OR(V13="",U13=""),"",IFERROR(V13/U13-1,""))</f>
        <v/>
      </c>
      <c r="W15" s="15">
        <f>IF(OR(W13="",V13=""),"",IFERROR(W13/V13-1,""))</f>
        <v/>
      </c>
      <c r="X15" s="15">
        <f>IF(OR(X13="",W13=""),"",IFERROR(X13/W13-1,""))</f>
        <v/>
      </c>
      <c r="Y15" s="14">
        <f>IF(OR(Y13="",X13=""),"",IFERROR(Y13/X13-1,""))</f>
        <v/>
      </c>
      <c r="Z15" s="15">
        <f>IF(OR(Z13="",Y13=""),"",IFERROR(Z13/Y13-1,""))</f>
        <v/>
      </c>
      <c r="AA15" s="15">
        <f>IF(OR(AA13="",Z13=""),"",IFERROR(AA13/Z13-1,""))</f>
        <v/>
      </c>
      <c r="AB15" s="15">
        <f>IF(OR(AB13="",AA13=""),"",IFERROR(AB13/AA13-1,""))</f>
        <v/>
      </c>
      <c r="AC15" s="15">
        <f>IF(OR(AC13="",AB13=""),"",IFERROR(AC13/AB13-1,""))</f>
        <v/>
      </c>
    </row>
    <row r="16">
      <c r="A16" s="18" t="inlineStr">
        <is>
          <t>ComponentsBusinessReportableSegmentMember</t>
        </is>
      </c>
      <c r="B16" s="10" t="n"/>
      <c r="C16" s="19" t="n">
        <v>20551</v>
      </c>
      <c r="D16" s="20" t="n">
        <v>22678</v>
      </c>
      <c r="E16" s="20" t="n">
        <v>26627</v>
      </c>
      <c r="F16" s="20" t="n">
        <v>13853</v>
      </c>
      <c r="G16" s="20" t="n">
        <v>16596</v>
      </c>
      <c r="H16" s="20" t="n">
        <v>18576</v>
      </c>
      <c r="I16" s="20" t="n">
        <v>25111</v>
      </c>
      <c r="J16" s="20" t="n">
        <v>15177</v>
      </c>
      <c r="K16" s="20" t="n">
        <v>19962</v>
      </c>
      <c r="L16" s="20" t="n">
        <v>16666</v>
      </c>
      <c r="M16" s="20" t="n">
        <v>24371</v>
      </c>
      <c r="N16" s="20" t="n"/>
      <c r="O16" s="19" t="n"/>
      <c r="P16" s="20" t="n"/>
      <c r="Q16" s="20" t="n"/>
      <c r="R16" s="20" t="n"/>
      <c r="S16" s="20" t="n"/>
      <c r="T16" s="20" t="n"/>
      <c r="U16" s="20" t="n"/>
      <c r="V16" s="20" t="n">
        <v>85937</v>
      </c>
      <c r="W16" s="20" t="n">
        <v>74136</v>
      </c>
      <c r="X16" s="20" t="n">
        <v>76176</v>
      </c>
      <c r="Y16" s="21" t="n"/>
      <c r="Z16" s="22" t="n"/>
      <c r="AA16" s="22" t="n"/>
      <c r="AB16" s="22" t="n"/>
      <c r="AC16" s="22" t="n"/>
    </row>
    <row r="17">
      <c r="A17" s="13" t="inlineStr">
        <is>
          <t>비중</t>
        </is>
      </c>
      <c r="B17" s="10" t="n"/>
      <c r="C17" s="14">
        <f>IF(OR(C16="",C4=""),"",IFERROR(C16/C4,""))</f>
        <v/>
      </c>
      <c r="D17" s="15">
        <f>IF(OR(D16="",D4=""),"",IFERROR(D16/D4,""))</f>
        <v/>
      </c>
      <c r="E17" s="15">
        <f>IF(OR(E16="",E4=""),"",IFERROR(E16/E4,""))</f>
        <v/>
      </c>
      <c r="F17" s="15">
        <f>IF(OR(F16="",F4=""),"",IFERROR(F16/F4,""))</f>
        <v/>
      </c>
      <c r="G17" s="15">
        <f>IF(OR(G16="",G4=""),"",IFERROR(G16/G4,""))</f>
        <v/>
      </c>
      <c r="H17" s="15">
        <f>IF(OR(H16="",H4=""),"",IFERROR(H16/H4,""))</f>
        <v/>
      </c>
      <c r="I17" s="15">
        <f>IF(OR(I16="",I4=""),"",IFERROR(I16/I4,""))</f>
        <v/>
      </c>
      <c r="J17" s="15">
        <f>IF(OR(J16="",J4=""),"",IFERROR(J16/J4,""))</f>
        <v/>
      </c>
      <c r="K17" s="15">
        <f>IF(OR(K16="",K4=""),"",IFERROR(K16/K4,""))</f>
        <v/>
      </c>
      <c r="L17" s="15">
        <f>IF(OR(L16="",L4=""),"",IFERROR(L16/L4,""))</f>
        <v/>
      </c>
      <c r="M17" s="15">
        <f>IF(OR(M16="",M4=""),"",IFERROR(M16/M4,""))</f>
        <v/>
      </c>
      <c r="N17" s="15">
        <f>IF(OR(N16="",N4=""),"",IFERROR(N16/N4,""))</f>
        <v/>
      </c>
      <c r="O17" s="14">
        <f>IF(OR(O16="",O4=""),"",IFERROR(O16/O4,""))</f>
        <v/>
      </c>
      <c r="P17" s="15">
        <f>IF(OR(P16="",P4=""),"",IFERROR(P16/P4,""))</f>
        <v/>
      </c>
      <c r="Q17" s="15">
        <f>IF(OR(Q16="",Q4=""),"",IFERROR(Q16/Q4,""))</f>
        <v/>
      </c>
      <c r="R17" s="15">
        <f>IF(OR(R16="",R4=""),"",IFERROR(R16/R4,""))</f>
        <v/>
      </c>
      <c r="S17" s="15">
        <f>IF(OR(S16="",S4=""),"",IFERROR(S16/S4,""))</f>
        <v/>
      </c>
      <c r="T17" s="15">
        <f>IF(OR(T16="",T4=""),"",IFERROR(T16/T4,""))</f>
        <v/>
      </c>
      <c r="U17" s="15">
        <f>IF(OR(U16="",U4=""),"",IFERROR(U16/U4,""))</f>
        <v/>
      </c>
      <c r="V17" s="15">
        <f>IF(OR(V16="",V4=""),"",IFERROR(V16/V4,""))</f>
        <v/>
      </c>
      <c r="W17" s="15">
        <f>IF(OR(W16="",W4=""),"",IFERROR(W16/W4,""))</f>
        <v/>
      </c>
      <c r="X17" s="15">
        <f>IF(OR(X16="",X4=""),"",IFERROR(X16/X4,""))</f>
        <v/>
      </c>
      <c r="Y17" s="14">
        <f>IF(OR(Y16="",Y4=""),"",IFERROR(Y16/Y4,""))</f>
        <v/>
      </c>
      <c r="Z17" s="15">
        <f>IF(OR(Z16="",Z4=""),"",IFERROR(Z16/Z4,""))</f>
        <v/>
      </c>
      <c r="AA17" s="15">
        <f>IF(OR(AA16="",AA4=""),"",IFERROR(AA16/AA4,""))</f>
        <v/>
      </c>
      <c r="AB17" s="15">
        <f>IF(OR(AB16="",AB4=""),"",IFERROR(AB16/AB4,""))</f>
        <v/>
      </c>
      <c r="AC17" s="15">
        <f>IF(OR(AC16="",AC4=""),"",IFERROR(AC16/AC4,""))</f>
        <v/>
      </c>
    </row>
    <row r="18">
      <c r="A18" s="13" t="inlineStr">
        <is>
          <t>YoY</t>
        </is>
      </c>
      <c r="B18" s="10" t="n"/>
      <c r="C18" s="14" t="n"/>
      <c r="D18" s="15" t="n"/>
      <c r="E18" s="15" t="n"/>
      <c r="F18" s="15" t="n"/>
      <c r="G18" s="15">
        <f>IF(OR(G16="",C16=""),"",IFERROR(G16/C16-1,""))</f>
        <v/>
      </c>
      <c r="H18" s="15">
        <f>IF(OR(H16="",D16=""),"",IFERROR(H16/D16-1,""))</f>
        <v/>
      </c>
      <c r="I18" s="15">
        <f>IF(OR(I16="",E16=""),"",IFERROR(I16/E16-1,""))</f>
        <v/>
      </c>
      <c r="J18" s="15">
        <f>IF(OR(J16="",F16=""),"",IFERROR(J16/F16-1,""))</f>
        <v/>
      </c>
      <c r="K18" s="15">
        <f>IF(OR(K16="",G16=""),"",IFERROR(K16/G16-1,""))</f>
        <v/>
      </c>
      <c r="L18" s="15">
        <f>IF(OR(L16="",H16=""),"",IFERROR(L16/H16-1,""))</f>
        <v/>
      </c>
      <c r="M18" s="15">
        <f>IF(OR(M16="",I16=""),"",IFERROR(M16/I16-1,""))</f>
        <v/>
      </c>
      <c r="N18" s="15">
        <f>IF(OR(N16="",J16=""),"",IFERROR(N16/J16-1,""))</f>
        <v/>
      </c>
      <c r="O18" s="14" t="n"/>
      <c r="P18" s="15">
        <f>IF(OR(P16="",O16=""),"",IFERROR(P16/O16-1,""))</f>
        <v/>
      </c>
      <c r="Q18" s="15">
        <f>IF(OR(Q16="",P16=""),"",IFERROR(Q16/P16-1,""))</f>
        <v/>
      </c>
      <c r="R18" s="15">
        <f>IF(OR(R16="",Q16=""),"",IFERROR(R16/Q16-1,""))</f>
        <v/>
      </c>
      <c r="S18" s="15">
        <f>IF(OR(S16="",R16=""),"",IFERROR(S16/R16-1,""))</f>
        <v/>
      </c>
      <c r="T18" s="15">
        <f>IF(OR(T16="",S16=""),"",IFERROR(T16/S16-1,""))</f>
        <v/>
      </c>
      <c r="U18" s="15">
        <f>IF(OR(U16="",T16=""),"",IFERROR(U16/T16-1,""))</f>
        <v/>
      </c>
      <c r="V18" s="15">
        <f>IF(OR(V16="",U16=""),"",IFERROR(V16/U16-1,""))</f>
        <v/>
      </c>
      <c r="W18" s="15">
        <f>IF(OR(W16="",V16=""),"",IFERROR(W16/V16-1,""))</f>
        <v/>
      </c>
      <c r="X18" s="15">
        <f>IF(OR(X16="",W16=""),"",IFERROR(X16/W16-1,""))</f>
        <v/>
      </c>
      <c r="Y18" s="14">
        <f>IF(OR(Y16="",X16=""),"",IFERROR(Y16/X16-1,""))</f>
        <v/>
      </c>
      <c r="Z18" s="15">
        <f>IF(OR(Z16="",Y16=""),"",IFERROR(Z16/Y16-1,""))</f>
        <v/>
      </c>
      <c r="AA18" s="15">
        <f>IF(OR(AA16="",Z16=""),"",IFERROR(AA16/Z16-1,""))</f>
        <v/>
      </c>
      <c r="AB18" s="15">
        <f>IF(OR(AB16="",AA16=""),"",IFERROR(AB16/AA16-1,""))</f>
        <v/>
      </c>
      <c r="AC18" s="15">
        <f>IF(OR(AC16="",AB16=""),"",IFERROR(AC16/AB16-1,""))</f>
        <v/>
      </c>
    </row>
    <row r="19">
      <c r="A19" s="18" t="inlineStr">
        <is>
          <t>IndustryBusinessReportableSegmentMember</t>
        </is>
      </c>
      <c r="B19" s="10" t="n"/>
      <c r="C19" s="19" t="n"/>
      <c r="D19" s="20" t="n"/>
      <c r="E19" s="20" t="n"/>
      <c r="F19" s="20" t="n"/>
      <c r="G19" s="20" t="n"/>
      <c r="H19" s="20" t="n"/>
      <c r="I19" s="20" t="n"/>
      <c r="J19" s="20" t="n">
        <v>15157</v>
      </c>
      <c r="K19" s="20" t="n"/>
      <c r="L19" s="20" t="n"/>
      <c r="M19" s="20" t="n"/>
      <c r="N19" s="20" t="n">
        <v>17926</v>
      </c>
      <c r="O19" s="19" t="n"/>
      <c r="P19" s="20" t="n"/>
      <c r="Q19" s="20" t="n"/>
      <c r="R19" s="20" t="n"/>
      <c r="S19" s="20" t="n"/>
      <c r="T19" s="20" t="n"/>
      <c r="U19" s="20" t="n"/>
      <c r="V19" s="20" t="n"/>
      <c r="W19" s="20" t="n"/>
      <c r="X19" s="20" t="n"/>
      <c r="Y19" s="21" t="n"/>
      <c r="Z19" s="22" t="n"/>
      <c r="AA19" s="22" t="n"/>
      <c r="AB19" s="22" t="n"/>
      <c r="AC19" s="22" t="n"/>
    </row>
    <row r="20">
      <c r="A20" s="13" t="inlineStr">
        <is>
          <t>비중</t>
        </is>
      </c>
      <c r="B20" s="10" t="n"/>
      <c r="C20" s="14">
        <f>IF(OR(C19="",C4=""),"",IFERROR(C19/C4,""))</f>
        <v/>
      </c>
      <c r="D20" s="15">
        <f>IF(OR(D19="",D4=""),"",IFERROR(D19/D4,""))</f>
        <v/>
      </c>
      <c r="E20" s="15">
        <f>IF(OR(E19="",E4=""),"",IFERROR(E19/E4,""))</f>
        <v/>
      </c>
      <c r="F20" s="15">
        <f>IF(OR(F19="",F4=""),"",IFERROR(F19/F4,""))</f>
        <v/>
      </c>
      <c r="G20" s="15">
        <f>IF(OR(G19="",G4=""),"",IFERROR(G19/G4,""))</f>
        <v/>
      </c>
      <c r="H20" s="15">
        <f>IF(OR(H19="",H4=""),"",IFERROR(H19/H4,""))</f>
        <v/>
      </c>
      <c r="I20" s="15">
        <f>IF(OR(I19="",I4=""),"",IFERROR(I19/I4,""))</f>
        <v/>
      </c>
      <c r="J20" s="15">
        <f>IF(OR(J19="",J4=""),"",IFERROR(J19/J4,""))</f>
        <v/>
      </c>
      <c r="K20" s="15">
        <f>IF(OR(K19="",K4=""),"",IFERROR(K19/K4,""))</f>
        <v/>
      </c>
      <c r="L20" s="15">
        <f>IF(OR(L19="",L4=""),"",IFERROR(L19/L4,""))</f>
        <v/>
      </c>
      <c r="M20" s="15">
        <f>IF(OR(M19="",M4=""),"",IFERROR(M19/M4,""))</f>
        <v/>
      </c>
      <c r="N20" s="15">
        <f>IF(OR(N19="",N4=""),"",IFERROR(N19/N4,""))</f>
        <v/>
      </c>
      <c r="O20" s="14">
        <f>IF(OR(O19="",O4=""),"",IFERROR(O19/O4,""))</f>
        <v/>
      </c>
      <c r="P20" s="15">
        <f>IF(OR(P19="",P4=""),"",IFERROR(P19/P4,""))</f>
        <v/>
      </c>
      <c r="Q20" s="15">
        <f>IF(OR(Q19="",Q4=""),"",IFERROR(Q19/Q4,""))</f>
        <v/>
      </c>
      <c r="R20" s="15">
        <f>IF(OR(R19="",R4=""),"",IFERROR(R19/R4,""))</f>
        <v/>
      </c>
      <c r="S20" s="15">
        <f>IF(OR(S19="",S4=""),"",IFERROR(S19/S4,""))</f>
        <v/>
      </c>
      <c r="T20" s="15">
        <f>IF(OR(T19="",T4=""),"",IFERROR(T19/T4,""))</f>
        <v/>
      </c>
      <c r="U20" s="15">
        <f>IF(OR(U19="",U4=""),"",IFERROR(U19/U4,""))</f>
        <v/>
      </c>
      <c r="V20" s="15">
        <f>IF(OR(V19="",V4=""),"",IFERROR(V19/V4,""))</f>
        <v/>
      </c>
      <c r="W20" s="15">
        <f>IF(OR(W19="",W4=""),"",IFERROR(W19/W4,""))</f>
        <v/>
      </c>
      <c r="X20" s="15">
        <f>IF(OR(X19="",X4=""),"",IFERROR(X19/X4,""))</f>
        <v/>
      </c>
      <c r="Y20" s="14">
        <f>IF(OR(Y19="",Y4=""),"",IFERROR(Y19/Y4,""))</f>
        <v/>
      </c>
      <c r="Z20" s="15">
        <f>IF(OR(Z19="",Z4=""),"",IFERROR(Z19/Z4,""))</f>
        <v/>
      </c>
      <c r="AA20" s="15">
        <f>IF(OR(AA19="",AA4=""),"",IFERROR(AA19/AA4,""))</f>
        <v/>
      </c>
      <c r="AB20" s="15">
        <f>IF(OR(AB19="",AB4=""),"",IFERROR(AB19/AB4,""))</f>
        <v/>
      </c>
      <c r="AC20" s="15">
        <f>IF(OR(AC19="",AC4=""),"",IFERROR(AC19/AC4,""))</f>
        <v/>
      </c>
    </row>
    <row r="21">
      <c r="A21" s="13" t="inlineStr">
        <is>
          <t>YoY</t>
        </is>
      </c>
      <c r="B21" s="10" t="n"/>
      <c r="C21" s="14" t="n"/>
      <c r="D21" s="15" t="n"/>
      <c r="E21" s="15" t="n"/>
      <c r="F21" s="15" t="n"/>
      <c r="G21" s="15">
        <f>IF(OR(G19="",C19=""),"",IFERROR(G19/C19-1,""))</f>
        <v/>
      </c>
      <c r="H21" s="15">
        <f>IF(OR(H19="",D19=""),"",IFERROR(H19/D19-1,""))</f>
        <v/>
      </c>
      <c r="I21" s="15">
        <f>IF(OR(I19="",E19=""),"",IFERROR(I19/E19-1,""))</f>
        <v/>
      </c>
      <c r="J21" s="15">
        <f>IF(OR(J19="",F19=""),"",IFERROR(J19/F19-1,""))</f>
        <v/>
      </c>
      <c r="K21" s="15">
        <f>IF(OR(K19="",G19=""),"",IFERROR(K19/G19-1,""))</f>
        <v/>
      </c>
      <c r="L21" s="15">
        <f>IF(OR(L19="",H19=""),"",IFERROR(L19/H19-1,""))</f>
        <v/>
      </c>
      <c r="M21" s="15">
        <f>IF(OR(M19="",I19=""),"",IFERROR(M19/I19-1,""))</f>
        <v/>
      </c>
      <c r="N21" s="15">
        <f>IF(OR(N19="",J19=""),"",IFERROR(N19/J19-1,""))</f>
        <v/>
      </c>
      <c r="O21" s="14" t="n"/>
      <c r="P21" s="15">
        <f>IF(OR(P19="",O19=""),"",IFERROR(P19/O19-1,""))</f>
        <v/>
      </c>
      <c r="Q21" s="15">
        <f>IF(OR(Q19="",P19=""),"",IFERROR(Q19/P19-1,""))</f>
        <v/>
      </c>
      <c r="R21" s="15">
        <f>IF(OR(R19="",Q19=""),"",IFERROR(R19/Q19-1,""))</f>
        <v/>
      </c>
      <c r="S21" s="15">
        <f>IF(OR(S19="",R19=""),"",IFERROR(S19/R19-1,""))</f>
        <v/>
      </c>
      <c r="T21" s="15">
        <f>IF(OR(T19="",S19=""),"",IFERROR(T19/S19-1,""))</f>
        <v/>
      </c>
      <c r="U21" s="15">
        <f>IF(OR(U19="",T19=""),"",IFERROR(U19/T19-1,""))</f>
        <v/>
      </c>
      <c r="V21" s="15">
        <f>IF(OR(V19="",U19=""),"",IFERROR(V19/U19-1,""))</f>
        <v/>
      </c>
      <c r="W21" s="15">
        <f>IF(OR(W19="",V19=""),"",IFERROR(W19/V19-1,""))</f>
        <v/>
      </c>
      <c r="X21" s="15">
        <f>IF(OR(X19="",W19=""),"",IFERROR(X19/W19-1,""))</f>
        <v/>
      </c>
      <c r="Y21" s="14">
        <f>IF(OR(Y19="",X19=""),"",IFERROR(Y19/X19-1,""))</f>
        <v/>
      </c>
      <c r="Z21" s="15">
        <f>IF(OR(Z19="",Y19=""),"",IFERROR(Z19/Y19-1,""))</f>
        <v/>
      </c>
      <c r="AA21" s="15">
        <f>IF(OR(AA19="",Z19=""),"",IFERROR(AA19/Z19-1,""))</f>
        <v/>
      </c>
      <c r="AB21" s="15">
        <f>IF(OR(AB19="",AA19=""),"",IFERROR(AB19/AA19-1,""))</f>
        <v/>
      </c>
      <c r="AC21" s="15">
        <f>IF(OR(AC19="",AB19=""),"",IFERROR(AC19/AB19-1,""))</f>
        <v/>
      </c>
    </row>
    <row r="22">
      <c r="A22" s="18" t="inlineStr">
        <is>
          <t>DigitalManufacturingReportableSegmentMember</t>
        </is>
      </c>
      <c r="B22" s="10" t="n"/>
      <c r="C22" s="19" t="n">
        <v>3873</v>
      </c>
      <c r="D22" s="20" t="n">
        <v>5678</v>
      </c>
      <c r="E22" s="20" t="n">
        <v>7089</v>
      </c>
      <c r="F22" s="20" t="n">
        <v>5915</v>
      </c>
      <c r="G22" s="20" t="n">
        <v>5815</v>
      </c>
      <c r="H22" s="20" t="n">
        <v>6535</v>
      </c>
      <c r="I22" s="20" t="n">
        <v>5091</v>
      </c>
      <c r="J22" s="20" t="n">
        <v>5099</v>
      </c>
      <c r="K22" s="20" t="n">
        <v>4727</v>
      </c>
      <c r="L22" s="20" t="n">
        <v>6835</v>
      </c>
      <c r="M22" s="20" t="n">
        <v>11429</v>
      </c>
      <c r="N22" s="20" t="n">
        <v>6318</v>
      </c>
      <c r="O22" s="19" t="n"/>
      <c r="P22" s="20" t="n"/>
      <c r="Q22" s="20" t="n"/>
      <c r="R22" s="20" t="n"/>
      <c r="S22" s="20" t="n"/>
      <c r="T22" s="20" t="n"/>
      <c r="U22" s="20" t="n"/>
      <c r="V22" s="20" t="n">
        <v>21005</v>
      </c>
      <c r="W22" s="20" t="n">
        <v>23356</v>
      </c>
      <c r="X22" s="20" t="n">
        <v>28090</v>
      </c>
      <c r="Y22" s="21" t="n"/>
      <c r="Z22" s="22" t="n"/>
      <c r="AA22" s="22" t="n"/>
      <c r="AB22" s="22" t="n"/>
      <c r="AC22" s="22" t="n"/>
    </row>
    <row r="23">
      <c r="A23" s="13" t="inlineStr">
        <is>
          <t>비중</t>
        </is>
      </c>
      <c r="B23" s="10" t="n"/>
      <c r="C23" s="14">
        <f>IF(OR(C22="",C4=""),"",IFERROR(C22/C4,""))</f>
        <v/>
      </c>
      <c r="D23" s="15">
        <f>IF(OR(D22="",D4=""),"",IFERROR(D22/D4,""))</f>
        <v/>
      </c>
      <c r="E23" s="15">
        <f>IF(OR(E22="",E4=""),"",IFERROR(E22/E4,""))</f>
        <v/>
      </c>
      <c r="F23" s="15">
        <f>IF(OR(F22="",F4=""),"",IFERROR(F22/F4,""))</f>
        <v/>
      </c>
      <c r="G23" s="15">
        <f>IF(OR(G22="",G4=""),"",IFERROR(G22/G4,""))</f>
        <v/>
      </c>
      <c r="H23" s="15">
        <f>IF(OR(H22="",H4=""),"",IFERROR(H22/H4,""))</f>
        <v/>
      </c>
      <c r="I23" s="15">
        <f>IF(OR(I22="",I4=""),"",IFERROR(I22/I4,""))</f>
        <v/>
      </c>
      <c r="J23" s="15">
        <f>IF(OR(J22="",J4=""),"",IFERROR(J22/J4,""))</f>
        <v/>
      </c>
      <c r="K23" s="15">
        <f>IF(OR(K22="",K4=""),"",IFERROR(K22/K4,""))</f>
        <v/>
      </c>
      <c r="L23" s="15">
        <f>IF(OR(L22="",L4=""),"",IFERROR(L22/L4,""))</f>
        <v/>
      </c>
      <c r="M23" s="15">
        <f>IF(OR(M22="",M4=""),"",IFERROR(M22/M4,""))</f>
        <v/>
      </c>
      <c r="N23" s="15">
        <f>IF(OR(N22="",N4=""),"",IFERROR(N22/N4,""))</f>
        <v/>
      </c>
      <c r="O23" s="14">
        <f>IF(OR(O22="",O4=""),"",IFERROR(O22/O4,""))</f>
        <v/>
      </c>
      <c r="P23" s="15">
        <f>IF(OR(P22="",P4=""),"",IFERROR(P22/P4,""))</f>
        <v/>
      </c>
      <c r="Q23" s="15">
        <f>IF(OR(Q22="",Q4=""),"",IFERROR(Q22/Q4,""))</f>
        <v/>
      </c>
      <c r="R23" s="15">
        <f>IF(OR(R22="",R4=""),"",IFERROR(R22/R4,""))</f>
        <v/>
      </c>
      <c r="S23" s="15">
        <f>IF(OR(S22="",S4=""),"",IFERROR(S22/S4,""))</f>
        <v/>
      </c>
      <c r="T23" s="15">
        <f>IF(OR(T22="",T4=""),"",IFERROR(T22/T4,""))</f>
        <v/>
      </c>
      <c r="U23" s="15">
        <f>IF(OR(U22="",U4=""),"",IFERROR(U22/U4,""))</f>
        <v/>
      </c>
      <c r="V23" s="15">
        <f>IF(OR(V22="",V4=""),"",IFERROR(V22/V4,""))</f>
        <v/>
      </c>
      <c r="W23" s="15">
        <f>IF(OR(W22="",W4=""),"",IFERROR(W22/W4,""))</f>
        <v/>
      </c>
      <c r="X23" s="15">
        <f>IF(OR(X22="",X4=""),"",IFERROR(X22/X4,""))</f>
        <v/>
      </c>
      <c r="Y23" s="14">
        <f>IF(OR(Y22="",Y4=""),"",IFERROR(Y22/Y4,""))</f>
        <v/>
      </c>
      <c r="Z23" s="15">
        <f>IF(OR(Z22="",Z4=""),"",IFERROR(Z22/Z4,""))</f>
        <v/>
      </c>
      <c r="AA23" s="15">
        <f>IF(OR(AA22="",AA4=""),"",IFERROR(AA22/AA4,""))</f>
        <v/>
      </c>
      <c r="AB23" s="15">
        <f>IF(OR(AB22="",AB4=""),"",IFERROR(AB22/AB4,""))</f>
        <v/>
      </c>
      <c r="AC23" s="15">
        <f>IF(OR(AC22="",AC4=""),"",IFERROR(AC22/AC4,""))</f>
        <v/>
      </c>
    </row>
    <row r="24">
      <c r="A24" s="13" t="inlineStr">
        <is>
          <t>YoY</t>
        </is>
      </c>
      <c r="B24" s="10" t="n"/>
      <c r="C24" s="14" t="n"/>
      <c r="D24" s="15" t="n"/>
      <c r="E24" s="15" t="n"/>
      <c r="F24" s="15" t="n"/>
      <c r="G24" s="15">
        <f>IF(OR(G22="",C22=""),"",IFERROR(G22/C22-1,""))</f>
        <v/>
      </c>
      <c r="H24" s="15">
        <f>IF(OR(H22="",D22=""),"",IFERROR(H22/D22-1,""))</f>
        <v/>
      </c>
      <c r="I24" s="15">
        <f>IF(OR(I22="",E22=""),"",IFERROR(I22/E22-1,""))</f>
        <v/>
      </c>
      <c r="J24" s="15">
        <f>IF(OR(J22="",F22=""),"",IFERROR(J22/F22-1,""))</f>
        <v/>
      </c>
      <c r="K24" s="15">
        <f>IF(OR(K22="",G22=""),"",IFERROR(K22/G22-1,""))</f>
        <v/>
      </c>
      <c r="L24" s="15">
        <f>IF(OR(L22="",H22=""),"",IFERROR(L22/H22-1,""))</f>
        <v/>
      </c>
      <c r="M24" s="15">
        <f>IF(OR(M22="",I22=""),"",IFERROR(M22/I22-1,""))</f>
        <v/>
      </c>
      <c r="N24" s="15">
        <f>IF(OR(N22="",J22=""),"",IFERROR(N22/J22-1,""))</f>
        <v/>
      </c>
      <c r="O24" s="14" t="n"/>
      <c r="P24" s="15">
        <f>IF(OR(P22="",O22=""),"",IFERROR(P22/O22-1,""))</f>
        <v/>
      </c>
      <c r="Q24" s="15">
        <f>IF(OR(Q22="",P22=""),"",IFERROR(Q22/P22-1,""))</f>
        <v/>
      </c>
      <c r="R24" s="15">
        <f>IF(OR(R22="",Q22=""),"",IFERROR(R22/Q22-1,""))</f>
        <v/>
      </c>
      <c r="S24" s="15">
        <f>IF(OR(S22="",R22=""),"",IFERROR(S22/R22-1,""))</f>
        <v/>
      </c>
      <c r="T24" s="15">
        <f>IF(OR(T22="",S22=""),"",IFERROR(T22/S22-1,""))</f>
        <v/>
      </c>
      <c r="U24" s="15">
        <f>IF(OR(U22="",T22=""),"",IFERROR(U22/T22-1,""))</f>
        <v/>
      </c>
      <c r="V24" s="15">
        <f>IF(OR(V22="",U22=""),"",IFERROR(V22/U22-1,""))</f>
        <v/>
      </c>
      <c r="W24" s="15">
        <f>IF(OR(W22="",V22=""),"",IFERROR(W22/V22-1,""))</f>
        <v/>
      </c>
      <c r="X24" s="15">
        <f>IF(OR(X22="",W22=""),"",IFERROR(X22/W22-1,""))</f>
        <v/>
      </c>
      <c r="Y24" s="14">
        <f>IF(OR(Y22="",X22=""),"",IFERROR(Y22/X22-1,""))</f>
        <v/>
      </c>
      <c r="Z24" s="15">
        <f>IF(OR(Z22="",Y22=""),"",IFERROR(Z22/Y22-1,""))</f>
        <v/>
      </c>
      <c r="AA24" s="15">
        <f>IF(OR(AA22="",Z22=""),"",IFERROR(AA22/Z22-1,""))</f>
        <v/>
      </c>
      <c r="AB24" s="15">
        <f>IF(OR(AB22="",AA22=""),"",IFERROR(AB22/AA22-1,""))</f>
        <v/>
      </c>
      <c r="AC24" s="15">
        <f>IF(OR(AC22="",AB22=""),"",IFERROR(AC22/AB22-1,""))</f>
        <v/>
      </c>
    </row>
    <row r="25">
      <c r="A25" s="18" t="inlineStr">
        <is>
          <t>기타</t>
        </is>
      </c>
      <c r="B25" s="10" t="n"/>
      <c r="C25" s="19" t="n">
        <v>784</v>
      </c>
      <c r="D25" s="20" t="n">
        <v>865</v>
      </c>
      <c r="E25" s="20" t="n">
        <v>973</v>
      </c>
      <c r="F25" s="20" t="n">
        <v>1002</v>
      </c>
      <c r="G25" s="20" t="n">
        <v>1090</v>
      </c>
      <c r="H25" s="20" t="n">
        <v>1035</v>
      </c>
      <c r="I25" s="20" t="n">
        <v>888</v>
      </c>
      <c r="J25" s="20" t="n">
        <v>817</v>
      </c>
      <c r="K25" s="20" t="n">
        <v>992</v>
      </c>
      <c r="L25" s="20" t="n">
        <v>909</v>
      </c>
      <c r="M25" s="20" t="n">
        <v>946</v>
      </c>
      <c r="N25" s="20" t="n">
        <v>908</v>
      </c>
      <c r="O25" s="19" t="n"/>
      <c r="P25" s="20" t="n"/>
      <c r="Q25" s="20" t="n"/>
      <c r="R25" s="20" t="n"/>
      <c r="S25" s="20" t="n"/>
      <c r="T25" s="20" t="n"/>
      <c r="U25" s="20" t="n"/>
      <c r="V25" s="20" t="n">
        <v>3298</v>
      </c>
      <c r="W25" s="20" t="n">
        <v>4015</v>
      </c>
      <c r="X25" s="20" t="n">
        <v>3664</v>
      </c>
      <c r="Y25" s="21" t="n"/>
      <c r="Z25" s="22" t="n"/>
      <c r="AA25" s="22" t="n"/>
      <c r="AB25" s="22" t="n"/>
      <c r="AC25" s="22" t="n"/>
    </row>
    <row r="26">
      <c r="A26" s="13" t="inlineStr">
        <is>
          <t>비중</t>
        </is>
      </c>
      <c r="B26" s="10" t="n"/>
      <c r="C26" s="14">
        <f>IF(OR(C25="",C4=""),"",IFERROR(C25/C4,""))</f>
        <v/>
      </c>
      <c r="D26" s="15">
        <f>IF(OR(D25="",D4=""),"",IFERROR(D25/D4,""))</f>
        <v/>
      </c>
      <c r="E26" s="15">
        <f>IF(OR(E25="",E4=""),"",IFERROR(E25/E4,""))</f>
        <v/>
      </c>
      <c r="F26" s="15">
        <f>IF(OR(F25="",F4=""),"",IFERROR(F25/F4,""))</f>
        <v/>
      </c>
      <c r="G26" s="15">
        <f>IF(OR(G25="",G4=""),"",IFERROR(G25/G4,""))</f>
        <v/>
      </c>
      <c r="H26" s="15">
        <f>IF(OR(H25="",H4=""),"",IFERROR(H25/H4,""))</f>
        <v/>
      </c>
      <c r="I26" s="15">
        <f>IF(OR(I25="",I4=""),"",IFERROR(I25/I4,""))</f>
        <v/>
      </c>
      <c r="J26" s="15">
        <f>IF(OR(J25="",J4=""),"",IFERROR(J25/J4,""))</f>
        <v/>
      </c>
      <c r="K26" s="15">
        <f>IF(OR(K25="",K4=""),"",IFERROR(K25/K4,""))</f>
        <v/>
      </c>
      <c r="L26" s="15">
        <f>IF(OR(L25="",L4=""),"",IFERROR(L25/L4,""))</f>
        <v/>
      </c>
      <c r="M26" s="15">
        <f>IF(OR(M25="",M4=""),"",IFERROR(M25/M4,""))</f>
        <v/>
      </c>
      <c r="N26" s="15">
        <f>IF(OR(N25="",N4=""),"",IFERROR(N25/N4,""))</f>
        <v/>
      </c>
      <c r="O26" s="14">
        <f>IF(OR(O25="",O4=""),"",IFERROR(O25/O4,""))</f>
        <v/>
      </c>
      <c r="P26" s="15">
        <f>IF(OR(P25="",P4=""),"",IFERROR(P25/P4,""))</f>
        <v/>
      </c>
      <c r="Q26" s="15">
        <f>IF(OR(Q25="",Q4=""),"",IFERROR(Q25/Q4,""))</f>
        <v/>
      </c>
      <c r="R26" s="15">
        <f>IF(OR(R25="",R4=""),"",IFERROR(R25/R4,""))</f>
        <v/>
      </c>
      <c r="S26" s="15">
        <f>IF(OR(S25="",S4=""),"",IFERROR(S25/S4,""))</f>
        <v/>
      </c>
      <c r="T26" s="15">
        <f>IF(OR(T25="",T4=""),"",IFERROR(T25/T4,""))</f>
        <v/>
      </c>
      <c r="U26" s="15">
        <f>IF(OR(U25="",U4=""),"",IFERROR(U25/U4,""))</f>
        <v/>
      </c>
      <c r="V26" s="15">
        <f>IF(OR(V25="",V4=""),"",IFERROR(V25/V4,""))</f>
        <v/>
      </c>
      <c r="W26" s="15">
        <f>IF(OR(W25="",W4=""),"",IFERROR(W25/W4,""))</f>
        <v/>
      </c>
      <c r="X26" s="15">
        <f>IF(OR(X25="",X4=""),"",IFERROR(X25/X4,""))</f>
        <v/>
      </c>
      <c r="Y26" s="14">
        <f>IF(OR(Y25="",Y4=""),"",IFERROR(Y25/Y4,""))</f>
        <v/>
      </c>
      <c r="Z26" s="15">
        <f>IF(OR(Z25="",Z4=""),"",IFERROR(Z25/Z4,""))</f>
        <v/>
      </c>
      <c r="AA26" s="15">
        <f>IF(OR(AA25="",AA4=""),"",IFERROR(AA25/AA4,""))</f>
        <v/>
      </c>
      <c r="AB26" s="15">
        <f>IF(OR(AB25="",AB4=""),"",IFERROR(AB25/AB4,""))</f>
        <v/>
      </c>
      <c r="AC26" s="15">
        <f>IF(OR(AC25="",AC4=""),"",IFERROR(AC25/AC4,""))</f>
        <v/>
      </c>
    </row>
    <row r="27">
      <c r="A27" s="13" t="inlineStr">
        <is>
          <t>YoY</t>
        </is>
      </c>
      <c r="B27" s="10" t="n"/>
      <c r="C27" s="14" t="n"/>
      <c r="D27" s="15" t="n"/>
      <c r="E27" s="15" t="n"/>
      <c r="F27" s="15" t="n"/>
      <c r="G27" s="15">
        <f>IF(OR(G25="",C25=""),"",IFERROR(G25/C25-1,""))</f>
        <v/>
      </c>
      <c r="H27" s="15">
        <f>IF(OR(H25="",D25=""),"",IFERROR(H25/D25-1,""))</f>
        <v/>
      </c>
      <c r="I27" s="15">
        <f>IF(OR(I25="",E25=""),"",IFERROR(I25/E25-1,""))</f>
        <v/>
      </c>
      <c r="J27" s="15">
        <f>IF(OR(J25="",F25=""),"",IFERROR(J25/F25-1,""))</f>
        <v/>
      </c>
      <c r="K27" s="15">
        <f>IF(OR(K25="",G25=""),"",IFERROR(K25/G25-1,""))</f>
        <v/>
      </c>
      <c r="L27" s="15">
        <f>IF(OR(L25="",H25=""),"",IFERROR(L25/H25-1,""))</f>
        <v/>
      </c>
      <c r="M27" s="15">
        <f>IF(OR(M25="",I25=""),"",IFERROR(M25/I25-1,""))</f>
        <v/>
      </c>
      <c r="N27" s="15">
        <f>IF(OR(N25="",J25=""),"",IFERROR(N25/J25-1,""))</f>
        <v/>
      </c>
      <c r="O27" s="14" t="n"/>
      <c r="P27" s="15">
        <f>IF(OR(P25="",O25=""),"",IFERROR(P25/O25-1,""))</f>
        <v/>
      </c>
      <c r="Q27" s="15">
        <f>IF(OR(Q25="",P25=""),"",IFERROR(Q25/P25-1,""))</f>
        <v/>
      </c>
      <c r="R27" s="15">
        <f>IF(OR(R25="",Q25=""),"",IFERROR(R25/Q25-1,""))</f>
        <v/>
      </c>
      <c r="S27" s="15">
        <f>IF(OR(S25="",R25=""),"",IFERROR(S25/R25-1,""))</f>
        <v/>
      </c>
      <c r="T27" s="15">
        <f>IF(OR(T25="",S25=""),"",IFERROR(T25/S25-1,""))</f>
        <v/>
      </c>
      <c r="U27" s="15">
        <f>IF(OR(U25="",T25=""),"",IFERROR(U25/T25-1,""))</f>
        <v/>
      </c>
      <c r="V27" s="15">
        <f>IF(OR(V25="",U25=""),"",IFERROR(V25/U25-1,""))</f>
        <v/>
      </c>
      <c r="W27" s="15">
        <f>IF(OR(W25="",V25=""),"",IFERROR(W25/V25-1,""))</f>
        <v/>
      </c>
      <c r="X27" s="15">
        <f>IF(OR(X25="",W25=""),"",IFERROR(X25/W25-1,""))</f>
        <v/>
      </c>
      <c r="Y27" s="14">
        <f>IF(OR(Y25="",X25=""),"",IFERROR(Y25/X25-1,""))</f>
        <v/>
      </c>
      <c r="Z27" s="15">
        <f>IF(OR(Z25="",Y25=""),"",IFERROR(Z25/Y25-1,""))</f>
        <v/>
      </c>
      <c r="AA27" s="15">
        <f>IF(OR(AA25="",Z25=""),"",IFERROR(AA25/Z25-1,""))</f>
        <v/>
      </c>
      <c r="AB27" s="15">
        <f>IF(OR(AB25="",AA25=""),"",IFERROR(AB25/AA25-1,""))</f>
        <v/>
      </c>
      <c r="AC27" s="15">
        <f>IF(OR(AC25="",AB25=""),"",IFERROR(AC25/AB25-1,""))</f>
        <v/>
      </c>
    </row>
    <row r="28">
      <c r="A28" s="18" t="inlineStr">
        <is>
          <t>EntityTotalMember</t>
        </is>
      </c>
      <c r="B28" s="10" t="n"/>
      <c r="C28" s="19" t="n"/>
      <c r="D28" s="20" t="n"/>
      <c r="E28" s="20" t="n"/>
      <c r="F28" s="20" t="n">
        <v>163896</v>
      </c>
      <c r="G28" s="20" t="n"/>
      <c r="H28" s="20" t="n"/>
      <c r="I28" s="20" t="n"/>
      <c r="J28" s="20" t="n">
        <v>158121</v>
      </c>
      <c r="K28" s="20" t="n"/>
      <c r="L28" s="20" t="n"/>
      <c r="M28" s="20" t="n"/>
      <c r="N28" s="20" t="n">
        <v>164182</v>
      </c>
      <c r="O28" s="19" t="n"/>
      <c r="P28" s="20" t="n"/>
      <c r="Q28" s="20" t="n"/>
      <c r="R28" s="20" t="n"/>
      <c r="S28" s="20" t="n"/>
      <c r="T28" s="20" t="n"/>
      <c r="U28" s="20" t="n"/>
      <c r="V28" s="20" t="n"/>
      <c r="W28" s="20" t="n"/>
      <c r="X28" s="20" t="n"/>
      <c r="Y28" s="21" t="n"/>
      <c r="Z28" s="22" t="n"/>
      <c r="AA28" s="22" t="n"/>
      <c r="AB28" s="22" t="n"/>
      <c r="AC28" s="22" t="n"/>
    </row>
    <row r="29">
      <c r="A29" s="13" t="inlineStr">
        <is>
          <t>비중</t>
        </is>
      </c>
      <c r="B29" s="10" t="n"/>
      <c r="C29" s="14">
        <f>IF(OR(C28="",C4=""),"",IFERROR(C28/C4,""))</f>
        <v/>
      </c>
      <c r="D29" s="15">
        <f>IF(OR(D28="",D4=""),"",IFERROR(D28/D4,""))</f>
        <v/>
      </c>
      <c r="E29" s="15">
        <f>IF(OR(E28="",E4=""),"",IFERROR(E28/E4,""))</f>
        <v/>
      </c>
      <c r="F29" s="15">
        <f>IF(OR(F28="",F4=""),"",IFERROR(F28/F4,""))</f>
        <v/>
      </c>
      <c r="G29" s="15">
        <f>IF(OR(G28="",G4=""),"",IFERROR(G28/G4,""))</f>
        <v/>
      </c>
      <c r="H29" s="15">
        <f>IF(OR(H28="",H4=""),"",IFERROR(H28/H4,""))</f>
        <v/>
      </c>
      <c r="I29" s="15">
        <f>IF(OR(I28="",I4=""),"",IFERROR(I28/I4,""))</f>
        <v/>
      </c>
      <c r="J29" s="15">
        <f>IF(OR(J28="",J4=""),"",IFERROR(J28/J4,""))</f>
        <v/>
      </c>
      <c r="K29" s="15">
        <f>IF(OR(K28="",K4=""),"",IFERROR(K28/K4,""))</f>
        <v/>
      </c>
      <c r="L29" s="15">
        <f>IF(OR(L28="",L4=""),"",IFERROR(L28/L4,""))</f>
        <v/>
      </c>
      <c r="M29" s="15">
        <f>IF(OR(M28="",M4=""),"",IFERROR(M28/M4,""))</f>
        <v/>
      </c>
      <c r="N29" s="15">
        <f>IF(OR(N28="",N4=""),"",IFERROR(N28/N4,""))</f>
        <v/>
      </c>
      <c r="O29" s="14">
        <f>IF(OR(O28="",O4=""),"",IFERROR(O28/O4,""))</f>
        <v/>
      </c>
      <c r="P29" s="15">
        <f>IF(OR(P28="",P4=""),"",IFERROR(P28/P4,""))</f>
        <v/>
      </c>
      <c r="Q29" s="15">
        <f>IF(OR(Q28="",Q4=""),"",IFERROR(Q28/Q4,""))</f>
        <v/>
      </c>
      <c r="R29" s="15">
        <f>IF(OR(R28="",R4=""),"",IFERROR(R28/R4,""))</f>
        <v/>
      </c>
      <c r="S29" s="15">
        <f>IF(OR(S28="",S4=""),"",IFERROR(S28/S4,""))</f>
        <v/>
      </c>
      <c r="T29" s="15">
        <f>IF(OR(T28="",T4=""),"",IFERROR(T28/T4,""))</f>
        <v/>
      </c>
      <c r="U29" s="15">
        <f>IF(OR(U28="",U4=""),"",IFERROR(U28/U4,""))</f>
        <v/>
      </c>
      <c r="V29" s="15">
        <f>IF(OR(V28="",V4=""),"",IFERROR(V28/V4,""))</f>
        <v/>
      </c>
      <c r="W29" s="15">
        <f>IF(OR(W28="",W4=""),"",IFERROR(W28/W4,""))</f>
        <v/>
      </c>
      <c r="X29" s="15">
        <f>IF(OR(X28="",X4=""),"",IFERROR(X28/X4,""))</f>
        <v/>
      </c>
      <c r="Y29" s="14">
        <f>IF(OR(Y28="",Y4=""),"",IFERROR(Y28/Y4,""))</f>
        <v/>
      </c>
      <c r="Z29" s="15">
        <f>IF(OR(Z28="",Z4=""),"",IFERROR(Z28/Z4,""))</f>
        <v/>
      </c>
      <c r="AA29" s="15">
        <f>IF(OR(AA28="",AA4=""),"",IFERROR(AA28/AA4,""))</f>
        <v/>
      </c>
      <c r="AB29" s="15">
        <f>IF(OR(AB28="",AB4=""),"",IFERROR(AB28/AB4,""))</f>
        <v/>
      </c>
      <c r="AC29" s="15">
        <f>IF(OR(AC28="",AC4=""),"",IFERROR(AC28/AC4,""))</f>
        <v/>
      </c>
    </row>
    <row r="30">
      <c r="A30" s="13" t="inlineStr">
        <is>
          <t>YoY</t>
        </is>
      </c>
      <c r="B30" s="10" t="n"/>
      <c r="C30" s="14" t="n"/>
      <c r="D30" s="15" t="n"/>
      <c r="E30" s="15" t="n"/>
      <c r="F30" s="15" t="n"/>
      <c r="G30" s="15">
        <f>IF(OR(G28="",C28=""),"",IFERROR(G28/C28-1,""))</f>
        <v/>
      </c>
      <c r="H30" s="15">
        <f>IF(OR(H28="",D28=""),"",IFERROR(H28/D28-1,""))</f>
        <v/>
      </c>
      <c r="I30" s="15">
        <f>IF(OR(I28="",E28=""),"",IFERROR(I28/E28-1,""))</f>
        <v/>
      </c>
      <c r="J30" s="15">
        <f>IF(OR(J28="",F28=""),"",IFERROR(J28/F28-1,""))</f>
        <v/>
      </c>
      <c r="K30" s="15">
        <f>IF(OR(K28="",G28=""),"",IFERROR(K28/G28-1,""))</f>
        <v/>
      </c>
      <c r="L30" s="15">
        <f>IF(OR(L28="",H28=""),"",IFERROR(L28/H28-1,""))</f>
        <v/>
      </c>
      <c r="M30" s="15">
        <f>IF(OR(M28="",I28=""),"",IFERROR(M28/I28-1,""))</f>
        <v/>
      </c>
      <c r="N30" s="15">
        <f>IF(OR(N28="",J28=""),"",IFERROR(N28/J28-1,""))</f>
        <v/>
      </c>
      <c r="O30" s="14" t="n"/>
      <c r="P30" s="15">
        <f>IF(OR(P28="",O28=""),"",IFERROR(P28/O28-1,""))</f>
        <v/>
      </c>
      <c r="Q30" s="15">
        <f>IF(OR(Q28="",P28=""),"",IFERROR(Q28/P28-1,""))</f>
        <v/>
      </c>
      <c r="R30" s="15">
        <f>IF(OR(R28="",Q28=""),"",IFERROR(R28/Q28-1,""))</f>
        <v/>
      </c>
      <c r="S30" s="15">
        <f>IF(OR(S28="",R28=""),"",IFERROR(S28/R28-1,""))</f>
        <v/>
      </c>
      <c r="T30" s="15">
        <f>IF(OR(T28="",S28=""),"",IFERROR(T28/S28-1,""))</f>
        <v/>
      </c>
      <c r="U30" s="15">
        <f>IF(OR(U28="",T28=""),"",IFERROR(U28/T28-1,""))</f>
        <v/>
      </c>
      <c r="V30" s="15">
        <f>IF(OR(V28="",U28=""),"",IFERROR(V28/U28-1,""))</f>
        <v/>
      </c>
      <c r="W30" s="15">
        <f>IF(OR(W28="",V28=""),"",IFERROR(W28/V28-1,""))</f>
        <v/>
      </c>
      <c r="X30" s="15">
        <f>IF(OR(X28="",W28=""),"",IFERROR(X28/W28-1,""))</f>
        <v/>
      </c>
      <c r="Y30" s="14">
        <f>IF(OR(Y28="",X28=""),"",IFERROR(Y28/X28-1,""))</f>
        <v/>
      </c>
      <c r="Z30" s="15">
        <f>IF(OR(Z28="",Y28=""),"",IFERROR(Z28/Y28-1,""))</f>
        <v/>
      </c>
      <c r="AA30" s="15">
        <f>IF(OR(AA28="",Z28=""),"",IFERROR(AA28/Z28-1,""))</f>
        <v/>
      </c>
      <c r="AB30" s="15">
        <f>IF(OR(AB28="",AA28=""),"",IFERROR(AB28/AA28-1,""))</f>
        <v/>
      </c>
      <c r="AC30" s="15">
        <f>IF(OR(AC28="",AB28=""),"",IFERROR(AC28/AB28-1,""))</f>
        <v/>
      </c>
    </row>
    <row r="31">
      <c r="A31" s="16" t="inlineStr">
        <is>
          <t>매출원가</t>
        </is>
      </c>
      <c r="B31" s="16" t="n"/>
      <c r="C31" s="17" t="n"/>
      <c r="D31" s="16" t="n"/>
      <c r="E31" s="16" t="n"/>
      <c r="F31" s="16" t="n"/>
      <c r="G31" s="16" t="n"/>
      <c r="H31" s="16" t="n"/>
      <c r="I31" s="16" t="n"/>
      <c r="J31" s="16" t="n"/>
      <c r="K31" s="16" t="n"/>
      <c r="L31" s="16" t="n"/>
      <c r="M31" s="16" t="n"/>
      <c r="N31" s="16" t="n"/>
      <c r="O31" s="17" t="n"/>
      <c r="P31" s="16" t="n"/>
      <c r="Q31" s="16" t="n"/>
      <c r="R31" s="16" t="n"/>
      <c r="S31" s="16" t="n"/>
      <c r="T31" s="16" t="n"/>
      <c r="U31" s="16" t="n"/>
      <c r="V31" s="16" t="n"/>
      <c r="W31" s="16" t="n"/>
      <c r="X31" s="16" t="n"/>
      <c r="Y31" s="17" t="n"/>
      <c r="Z31" s="16" t="n"/>
      <c r="AA31" s="16" t="n"/>
      <c r="AB31" s="16" t="n"/>
      <c r="AC31" s="16" t="n"/>
    </row>
    <row r="32">
      <c r="A32" s="18" t="inlineStr">
        <is>
          <t>전체 매출원가</t>
        </is>
      </c>
      <c r="B32" s="10" t="n"/>
      <c r="C32" s="19" t="n">
        <v>97425</v>
      </c>
      <c r="D32" s="20" t="n">
        <v>109754</v>
      </c>
      <c r="E32" s="20" t="n">
        <v>108222</v>
      </c>
      <c r="F32" s="20" t="n">
        <v>89037</v>
      </c>
      <c r="G32" s="20" t="n">
        <v>91672</v>
      </c>
      <c r="H32" s="20" t="n">
        <v>101986</v>
      </c>
      <c r="I32" s="20" t="n">
        <v>120623</v>
      </c>
      <c r="J32" s="20" t="n">
        <v>90907</v>
      </c>
      <c r="K32" s="20" t="n">
        <v>90782</v>
      </c>
      <c r="L32" s="20" t="n">
        <v>103160</v>
      </c>
      <c r="M32" s="20" t="n">
        <v>115054</v>
      </c>
      <c r="N32" s="20" t="n">
        <v>99622</v>
      </c>
      <c r="O32" s="19" t="n"/>
      <c r="P32" s="20" t="n">
        <v>404170</v>
      </c>
      <c r="Q32" s="20" t="n">
        <v>405250</v>
      </c>
      <c r="R32" s="20" t="n">
        <v>368978</v>
      </c>
      <c r="S32" s="20" t="n">
        <v>295318</v>
      </c>
      <c r="T32" s="20" t="n">
        <v>303541</v>
      </c>
      <c r="U32" s="20" t="n">
        <v>338931</v>
      </c>
      <c r="V32" s="20" t="n">
        <v>407198</v>
      </c>
      <c r="W32" s="20" t="n">
        <v>403318</v>
      </c>
      <c r="X32" s="20" t="n">
        <v>399903</v>
      </c>
      <c r="Y32" s="19" t="n"/>
      <c r="Z32" s="20" t="n"/>
      <c r="AA32" s="20" t="n"/>
      <c r="AB32" s="20" t="n"/>
      <c r="AC32" s="20" t="n"/>
    </row>
    <row r="33">
      <c r="A33" s="13" t="inlineStr">
        <is>
          <t>YoY</t>
        </is>
      </c>
      <c r="B33" s="10" t="n"/>
      <c r="C33" s="14" t="n"/>
      <c r="D33" s="15" t="n"/>
      <c r="E33" s="15" t="n"/>
      <c r="F33" s="15" t="n"/>
      <c r="G33" s="15">
        <f>IF(OR(G32="",C32=""),"",IF(C32&lt;=0,"",IFERROR(G32/C32-1,"")))</f>
        <v/>
      </c>
      <c r="H33" s="15">
        <f>IF(OR(H32="",D32=""),"",IF(D32&lt;=0,"",IFERROR(H32/D32-1,"")))</f>
        <v/>
      </c>
      <c r="I33" s="15">
        <f>IF(OR(I32="",E32=""),"",IF(E32&lt;=0,"",IFERROR(I32/E32-1,"")))</f>
        <v/>
      </c>
      <c r="J33" s="15">
        <f>IF(OR(J32="",F32=""),"",IF(F32&lt;=0,"",IFERROR(J32/F32-1,"")))</f>
        <v/>
      </c>
      <c r="K33" s="15">
        <f>IF(OR(K32="",G32=""),"",IF(G32&lt;=0,"",IFERROR(K32/G32-1,"")))</f>
        <v/>
      </c>
      <c r="L33" s="15">
        <f>IF(OR(L32="",H32=""),"",IF(H32&lt;=0,"",IFERROR(L32/H32-1,"")))</f>
        <v/>
      </c>
      <c r="M33" s="15">
        <f>IF(OR(M32="",I32=""),"",IF(I32&lt;=0,"",IFERROR(M32/I32-1,"")))</f>
        <v/>
      </c>
      <c r="N33" s="15">
        <f>IF(OR(N32="",J32=""),"",IF(J32&lt;=0,"",IFERROR(N32/J32-1,"")))</f>
        <v/>
      </c>
      <c r="O33" s="14" t="n"/>
      <c r="P33" s="15">
        <f>IF(OR(P32="",O32=""),"",IF(O32&lt;=0,"",IFERROR(P32/O32-1,"")))</f>
        <v/>
      </c>
      <c r="Q33" s="15">
        <f>IF(OR(Q32="",P32=""),"",IF(P32&lt;=0,"",IFERROR(Q32/P32-1,"")))</f>
        <v/>
      </c>
      <c r="R33" s="15">
        <f>IF(OR(R32="",Q32=""),"",IF(Q32&lt;=0,"",IFERROR(R32/Q32-1,"")))</f>
        <v/>
      </c>
      <c r="S33" s="15">
        <f>IF(OR(S32="",R32=""),"",IF(R32&lt;=0,"",IFERROR(S32/R32-1,"")))</f>
        <v/>
      </c>
      <c r="T33" s="15">
        <f>IF(OR(T32="",S32=""),"",IF(S32&lt;=0,"",IFERROR(T32/S32-1,"")))</f>
        <v/>
      </c>
      <c r="U33" s="15">
        <f>IF(OR(U32="",T32=""),"",IF(T32&lt;=0,"",IFERROR(U32/T32-1,"")))</f>
        <v/>
      </c>
      <c r="V33" s="15">
        <f>IF(OR(V32="",U32=""),"",IF(U32&lt;=0,"",IFERROR(V32/U32-1,"")))</f>
        <v/>
      </c>
      <c r="W33" s="15">
        <f>IF(OR(W32="",V32=""),"",IF(V32&lt;=0,"",IFERROR(W32/V32-1,"")))</f>
        <v/>
      </c>
      <c r="X33" s="15">
        <f>IF(OR(X32="",W32=""),"",IF(W32&lt;=0,"",IFERROR(X32/W32-1,"")))</f>
        <v/>
      </c>
      <c r="Y33" s="14">
        <f>IF(OR(Y32="",X32=""),"",IF(X32&lt;=0,"",IFERROR(Y32/X32-1,"")))</f>
        <v/>
      </c>
      <c r="Z33" s="15">
        <f>IF(OR(Z32="",Y32=""),"",IF(Y32&lt;=0,"",IFERROR(Z32/Y32-1,"")))</f>
        <v/>
      </c>
      <c r="AA33" s="15">
        <f>IF(OR(AA32="",Z32=""),"",IF(Z32&lt;=0,"",IFERROR(AA32/Z32-1,"")))</f>
        <v/>
      </c>
      <c r="AB33" s="15">
        <f>IF(OR(AB32="",AA32=""),"",IF(AA32&lt;=0,"",IFERROR(AB32/AA32-1,"")))</f>
        <v/>
      </c>
      <c r="AC33" s="15">
        <f>IF(OR(AC32="",AB32=""),"",IF(AB32&lt;=0,"",IFERROR(AC32/AB32-1,"")))</f>
        <v/>
      </c>
    </row>
    <row r="34">
      <c r="A34" s="18" t="inlineStr">
        <is>
          <t>매출총이익</t>
        </is>
      </c>
      <c r="B34" s="10" t="n"/>
      <c r="C34" s="19">
        <f>IF(OR(C4="",C32=""),"",IFERROR(C4-C32,""))</f>
        <v/>
      </c>
      <c r="D34" s="20">
        <f>IF(OR(D4="",D32=""),"",IFERROR(D4-D32,""))</f>
        <v/>
      </c>
      <c r="E34" s="20">
        <f>IF(OR(E4="",E32=""),"",IFERROR(E4-E32,""))</f>
        <v/>
      </c>
      <c r="F34" s="20">
        <f>IF(OR(F4="",F32=""),"",IFERROR(F4-F32,""))</f>
        <v/>
      </c>
      <c r="G34" s="20">
        <f>IF(OR(G4="",G32=""),"",IFERROR(G4-G32,""))</f>
        <v/>
      </c>
      <c r="H34" s="20">
        <f>IF(OR(H4="",H32=""),"",IFERROR(H4-H32,""))</f>
        <v/>
      </c>
      <c r="I34" s="20">
        <f>IF(OR(I4="",I32=""),"",IFERROR(I4-I32,""))</f>
        <v/>
      </c>
      <c r="J34" s="20">
        <f>IF(OR(J4="",J32=""),"",IFERROR(J4-J32,""))</f>
        <v/>
      </c>
      <c r="K34" s="20">
        <f>IF(OR(K4="",K32=""),"",IFERROR(K4-K32,""))</f>
        <v/>
      </c>
      <c r="L34" s="20">
        <f>IF(OR(L4="",L32=""),"",IFERROR(L4-L32,""))</f>
        <v/>
      </c>
      <c r="M34" s="20">
        <f>IF(OR(M4="",M32=""),"",IFERROR(M4-M32,""))</f>
        <v/>
      </c>
      <c r="N34" s="20">
        <f>IF(OR(N4="",N32=""),"",IFERROR(N4-N32,""))</f>
        <v/>
      </c>
      <c r="O34" s="19">
        <f>IF(OR(O4="",O32=""),"",IFERROR(O4-O32,""))</f>
        <v/>
      </c>
      <c r="P34" s="20">
        <f>IF(OR(P4="",P32=""),"",IFERROR(P4-P32,""))</f>
        <v/>
      </c>
      <c r="Q34" s="20">
        <f>IF(OR(Q4="",Q32=""),"",IFERROR(Q4-Q32,""))</f>
        <v/>
      </c>
      <c r="R34" s="20">
        <f>IF(OR(R4="",R32=""),"",IFERROR(R4-R32,""))</f>
        <v/>
      </c>
      <c r="S34" s="20">
        <f>IF(OR(S4="",S32=""),"",IFERROR(S4-S32,""))</f>
        <v/>
      </c>
      <c r="T34" s="20">
        <f>IF(OR(T4="",T32=""),"",IFERROR(T4-T32,""))</f>
        <v/>
      </c>
      <c r="U34" s="20">
        <f>IF(OR(U4="",U32=""),"",IFERROR(U4-U32,""))</f>
        <v/>
      </c>
      <c r="V34" s="20">
        <f>IF(OR(V4="",V32=""),"",IFERROR(V4-V32,""))</f>
        <v/>
      </c>
      <c r="W34" s="20">
        <f>IF(OR(W4="",W32=""),"",IFERROR(W4-W32,""))</f>
        <v/>
      </c>
      <c r="X34" s="20">
        <f>IF(OR(X4="",X32=""),"",IFERROR(X4-X32,""))</f>
        <v/>
      </c>
      <c r="Y34" s="19" t="n"/>
      <c r="Z34" s="20" t="n"/>
      <c r="AA34" s="20" t="n"/>
      <c r="AB34" s="20" t="n"/>
      <c r="AC34" s="20" t="n"/>
    </row>
    <row r="35">
      <c r="A35" s="13" t="inlineStr">
        <is>
          <t>GPM</t>
        </is>
      </c>
      <c r="B35" s="10" t="n"/>
      <c r="C35" s="14">
        <f>IF(OR(C34="",C4=""),"",IFERROR(C34/C4,""))</f>
        <v/>
      </c>
      <c r="D35" s="15">
        <f>IF(OR(D34="",D4=""),"",IFERROR(D34/D4,""))</f>
        <v/>
      </c>
      <c r="E35" s="15">
        <f>IF(OR(E34="",E4=""),"",IFERROR(E34/E4,""))</f>
        <v/>
      </c>
      <c r="F35" s="15">
        <f>IF(OR(F34="",F4=""),"",IFERROR(F34/F4,""))</f>
        <v/>
      </c>
      <c r="G35" s="15">
        <f>IF(OR(G34="",G4=""),"",IFERROR(G34/G4,""))</f>
        <v/>
      </c>
      <c r="H35" s="15">
        <f>IF(OR(H34="",H4=""),"",IFERROR(H34/H4,""))</f>
        <v/>
      </c>
      <c r="I35" s="15">
        <f>IF(OR(I34="",I4=""),"",IFERROR(I34/I4,""))</f>
        <v/>
      </c>
      <c r="J35" s="15">
        <f>IF(OR(J34="",J4=""),"",IFERROR(J34/J4,""))</f>
        <v/>
      </c>
      <c r="K35" s="15">
        <f>IF(OR(K34="",K4=""),"",IFERROR(K34/K4,""))</f>
        <v/>
      </c>
      <c r="L35" s="15">
        <f>IF(OR(L34="",L4=""),"",IFERROR(L34/L4,""))</f>
        <v/>
      </c>
      <c r="M35" s="15">
        <f>IF(OR(M34="",M4=""),"",IFERROR(M34/M4,""))</f>
        <v/>
      </c>
      <c r="N35" s="15">
        <f>IF(OR(N34="",N4=""),"",IFERROR(N34/N4,""))</f>
        <v/>
      </c>
      <c r="O35" s="14">
        <f>IF(OR(O34="",O4=""),"",IFERROR(O34/O4,""))</f>
        <v/>
      </c>
      <c r="P35" s="15">
        <f>IF(OR(P34="",P4=""),"",IFERROR(P34/P4,""))</f>
        <v/>
      </c>
      <c r="Q35" s="15">
        <f>IF(OR(Q34="",Q4=""),"",IFERROR(Q34/Q4,""))</f>
        <v/>
      </c>
      <c r="R35" s="15">
        <f>IF(OR(R34="",R4=""),"",IFERROR(R34/R4,""))</f>
        <v/>
      </c>
      <c r="S35" s="15">
        <f>IF(OR(S34="",S4=""),"",IFERROR(S34/S4,""))</f>
        <v/>
      </c>
      <c r="T35" s="15">
        <f>IF(OR(T34="",T4=""),"",IFERROR(T34/T4,""))</f>
        <v/>
      </c>
      <c r="U35" s="15">
        <f>IF(OR(U34="",U4=""),"",IFERROR(U34/U4,""))</f>
        <v/>
      </c>
      <c r="V35" s="15">
        <f>IF(OR(V34="",V4=""),"",IFERROR(V34/V4,""))</f>
        <v/>
      </c>
      <c r="W35" s="15">
        <f>IF(OR(W34="",W4=""),"",IFERROR(W34/W4,""))</f>
        <v/>
      </c>
      <c r="X35" s="15">
        <f>IF(OR(X34="",X4=""),"",IFERROR(X34/X4,""))</f>
        <v/>
      </c>
      <c r="Y35" s="14">
        <f>IF(OR(Y34="",Y4=""),"",IFERROR(Y34/Y4,""))</f>
        <v/>
      </c>
      <c r="Z35" s="15">
        <f>IF(OR(Z34="",Z4=""),"",IFERROR(Z34/Z4,""))</f>
        <v/>
      </c>
      <c r="AA35" s="15">
        <f>IF(OR(AA34="",AA4=""),"",IFERROR(AA34/AA4,""))</f>
        <v/>
      </c>
      <c r="AB35" s="15">
        <f>IF(OR(AB34="",AB4=""),"",IFERROR(AB34/AB4,""))</f>
        <v/>
      </c>
      <c r="AC35" s="15">
        <f>IF(OR(AC34="",AC4=""),"",IFERROR(AC34/AC4,""))</f>
        <v/>
      </c>
    </row>
    <row r="36">
      <c r="A36" s="13" t="inlineStr">
        <is>
          <t>YoY</t>
        </is>
      </c>
      <c r="B36" s="10" t="n"/>
      <c r="C36" s="14" t="n"/>
      <c r="D36" s="15" t="n"/>
      <c r="E36" s="15" t="n"/>
      <c r="F36" s="15" t="n"/>
      <c r="G36" s="15">
        <f>IF(OR(G34="",C34=""),"",IF(C34&lt;=0,"",IFERROR(G34/C34-1,"")))</f>
        <v/>
      </c>
      <c r="H36" s="15">
        <f>IF(OR(H34="",D34=""),"",IF(D34&lt;=0,"",IFERROR(H34/D34-1,"")))</f>
        <v/>
      </c>
      <c r="I36" s="15">
        <f>IF(OR(I34="",E34=""),"",IF(E34&lt;=0,"",IFERROR(I34/E34-1,"")))</f>
        <v/>
      </c>
      <c r="J36" s="15">
        <f>IF(OR(J34="",F34=""),"",IF(F34&lt;=0,"",IFERROR(J34/F34-1,"")))</f>
        <v/>
      </c>
      <c r="K36" s="15">
        <f>IF(OR(K34="",G34=""),"",IF(G34&lt;=0,"",IFERROR(K34/G34-1,"")))</f>
        <v/>
      </c>
      <c r="L36" s="15">
        <f>IF(OR(L34="",H34=""),"",IF(H34&lt;=0,"",IFERROR(L34/H34-1,"")))</f>
        <v/>
      </c>
      <c r="M36" s="15">
        <f>IF(OR(M34="",I34=""),"",IF(I34&lt;=0,"",IFERROR(M34/I34-1,"")))</f>
        <v/>
      </c>
      <c r="N36" s="15">
        <f>IF(OR(N34="",J34=""),"",IF(J34&lt;=0,"",IFERROR(N34/J34-1,"")))</f>
        <v/>
      </c>
      <c r="O36" s="14" t="n"/>
      <c r="P36" s="15">
        <f>IF(OR(P34="",O34=""),"",IF(O34&lt;=0,"",IFERROR(P34/O34-1,"")))</f>
        <v/>
      </c>
      <c r="Q36" s="15">
        <f>IF(OR(Q34="",P34=""),"",IF(P34&lt;=0,"",IFERROR(Q34/P34-1,"")))</f>
        <v/>
      </c>
      <c r="R36" s="15">
        <f>IF(OR(R34="",Q34=""),"",IF(Q34&lt;=0,"",IFERROR(R34/Q34-1,"")))</f>
        <v/>
      </c>
      <c r="S36" s="15">
        <f>IF(OR(S34="",R34=""),"",IF(R34&lt;=0,"",IFERROR(S34/R34-1,"")))</f>
        <v/>
      </c>
      <c r="T36" s="15">
        <f>IF(OR(T34="",S34=""),"",IF(S34&lt;=0,"",IFERROR(T34/S34-1,"")))</f>
        <v/>
      </c>
      <c r="U36" s="15">
        <f>IF(OR(U34="",T34=""),"",IF(T34&lt;=0,"",IFERROR(U34/T34-1,"")))</f>
        <v/>
      </c>
      <c r="V36" s="15">
        <f>IF(OR(V34="",U34=""),"",IF(U34&lt;=0,"",IFERROR(V34/U34-1,"")))</f>
        <v/>
      </c>
      <c r="W36" s="15">
        <f>IF(OR(W34="",V34=""),"",IF(V34&lt;=0,"",IFERROR(W34/V34-1,"")))</f>
        <v/>
      </c>
      <c r="X36" s="15">
        <f>IF(OR(X34="",W34=""),"",IF(W34&lt;=0,"",IFERROR(X34/W34-1,"")))</f>
        <v/>
      </c>
      <c r="Y36" s="14">
        <f>IF(OR(Y34="",X34=""),"",IF(X34&lt;=0,"",IFERROR(Y34/X34-1,"")))</f>
        <v/>
      </c>
      <c r="Z36" s="15">
        <f>IF(OR(Z34="",Y34=""),"",IF(Y34&lt;=0,"",IFERROR(Z34/Y34-1,"")))</f>
        <v/>
      </c>
      <c r="AA36" s="15">
        <f>IF(OR(AA34="",Z34=""),"",IF(Z34&lt;=0,"",IFERROR(AA34/Z34-1,"")))</f>
        <v/>
      </c>
      <c r="AB36" s="15">
        <f>IF(OR(AB34="",AA34=""),"",IF(AA34&lt;=0,"",IFERROR(AB34/AA34-1,"")))</f>
        <v/>
      </c>
      <c r="AC36" s="15">
        <f>IF(OR(AC34="",AB34=""),"",IF(AB34&lt;=0,"",IFERROR(AC34/AB34-1,"")))</f>
        <v/>
      </c>
    </row>
    <row r="37">
      <c r="A37" s="23" t="inlineStr">
        <is>
          <t>판매관리비</t>
        </is>
      </c>
      <c r="B37" s="23" t="n"/>
      <c r="C37" s="24" t="n"/>
      <c r="D37" s="23" t="n"/>
      <c r="E37" s="23" t="n"/>
      <c r="F37" s="23" t="n"/>
      <c r="G37" s="23" t="n"/>
      <c r="H37" s="23" t="n"/>
      <c r="I37" s="23" t="n"/>
      <c r="J37" s="23" t="n"/>
      <c r="K37" s="23" t="n"/>
      <c r="L37" s="23" t="n"/>
      <c r="M37" s="23" t="n"/>
      <c r="N37" s="23" t="n"/>
      <c r="O37" s="24" t="n"/>
      <c r="P37" s="23" t="n"/>
      <c r="Q37" s="23" t="n"/>
      <c r="R37" s="23" t="n"/>
      <c r="S37" s="23" t="n"/>
      <c r="T37" s="23" t="n"/>
      <c r="U37" s="23" t="n"/>
      <c r="V37" s="23" t="n"/>
      <c r="W37" s="23" t="n"/>
      <c r="X37" s="23" t="n"/>
      <c r="Y37" s="24" t="n"/>
      <c r="Z37" s="23" t="n"/>
      <c r="AA37" s="23" t="n"/>
      <c r="AB37" s="23" t="n"/>
      <c r="AC37" s="23" t="n"/>
    </row>
    <row r="38">
      <c r="A38" s="18" t="inlineStr">
        <is>
          <t>전체 판관비</t>
        </is>
      </c>
      <c r="B38" s="10" t="n"/>
      <c r="C38" s="19" t="n">
        <v>62900</v>
      </c>
      <c r="D38" s="20" t="n">
        <v>68302</v>
      </c>
      <c r="E38" s="20" t="n">
        <v>73473</v>
      </c>
      <c r="F38" s="20" t="n">
        <v>72348</v>
      </c>
      <c r="G38" s="20" t="n">
        <v>74147</v>
      </c>
      <c r="H38" s="20" t="n">
        <v>73657</v>
      </c>
      <c r="I38" s="20" t="n">
        <v>75003</v>
      </c>
      <c r="J38" s="20" t="n">
        <v>68235</v>
      </c>
      <c r="K38" s="20" t="n">
        <v>69264</v>
      </c>
      <c r="L38" s="20" t="n">
        <v>74642</v>
      </c>
      <c r="M38" s="20" t="n">
        <v>77107</v>
      </c>
      <c r="N38" s="20" t="n">
        <v>66834</v>
      </c>
      <c r="O38" s="19" t="n"/>
      <c r="P38" s="20" t="n">
        <v>248683</v>
      </c>
      <c r="Q38" s="20" t="n">
        <v>238561</v>
      </c>
      <c r="R38" s="20" t="n">
        <v>205698</v>
      </c>
      <c r="S38" s="20" t="n">
        <v>181339</v>
      </c>
      <c r="T38" s="20" t="n">
        <v>189465</v>
      </c>
      <c r="U38" s="20" t="n">
        <v>231228</v>
      </c>
      <c r="V38" s="20" t="n">
        <v>268056</v>
      </c>
      <c r="W38" s="20" t="n">
        <v>295155</v>
      </c>
      <c r="X38" s="20" t="n">
        <v>289248</v>
      </c>
      <c r="Y38" s="19" t="n"/>
      <c r="Z38" s="20" t="n"/>
      <c r="AA38" s="20" t="n"/>
      <c r="AB38" s="20" t="n"/>
      <c r="AC38" s="20" t="n"/>
    </row>
    <row r="39">
      <c r="A39" s="13" t="inlineStr">
        <is>
          <t>YoY</t>
        </is>
      </c>
      <c r="B39" s="10" t="n"/>
      <c r="C39" s="14" t="n"/>
      <c r="D39" s="15" t="n"/>
      <c r="E39" s="15" t="n"/>
      <c r="F39" s="15" t="n"/>
      <c r="G39" s="15">
        <f>IF(OR(G38="",C38=""),"",IF(C38&lt;=0,"",IFERROR(G38/C38-1,"")))</f>
        <v/>
      </c>
      <c r="H39" s="15">
        <f>IF(OR(H38="",D38=""),"",IF(D38&lt;=0,"",IFERROR(H38/D38-1,"")))</f>
        <v/>
      </c>
      <c r="I39" s="15">
        <f>IF(OR(I38="",E38=""),"",IF(E38&lt;=0,"",IFERROR(I38/E38-1,"")))</f>
        <v/>
      </c>
      <c r="J39" s="15">
        <f>IF(OR(J38="",F38=""),"",IF(F38&lt;=0,"",IFERROR(J38/F38-1,"")))</f>
        <v/>
      </c>
      <c r="K39" s="15">
        <f>IF(OR(K38="",G38=""),"",IF(G38&lt;=0,"",IFERROR(K38/G38-1,"")))</f>
        <v/>
      </c>
      <c r="L39" s="15">
        <f>IF(OR(L38="",H38=""),"",IF(H38&lt;=0,"",IFERROR(L38/H38-1,"")))</f>
        <v/>
      </c>
      <c r="M39" s="15">
        <f>IF(OR(M38="",I38=""),"",IF(I38&lt;=0,"",IFERROR(M38/I38-1,"")))</f>
        <v/>
      </c>
      <c r="N39" s="15">
        <f>IF(OR(N38="",J38=""),"",IF(J38&lt;=0,"",IFERROR(N38/J38-1,"")))</f>
        <v/>
      </c>
      <c r="O39" s="14" t="n"/>
      <c r="P39" s="15">
        <f>IF(OR(P38="",O38=""),"",IF(O38&lt;=0,"",IFERROR(P38/O38-1,"")))</f>
        <v/>
      </c>
      <c r="Q39" s="15">
        <f>IF(OR(Q38="",P38=""),"",IF(P38&lt;=0,"",IFERROR(Q38/P38-1,"")))</f>
        <v/>
      </c>
      <c r="R39" s="15">
        <f>IF(OR(R38="",Q38=""),"",IF(Q38&lt;=0,"",IFERROR(R38/Q38-1,"")))</f>
        <v/>
      </c>
      <c r="S39" s="15">
        <f>IF(OR(S38="",R38=""),"",IF(R38&lt;=0,"",IFERROR(S38/R38-1,"")))</f>
        <v/>
      </c>
      <c r="T39" s="15">
        <f>IF(OR(T38="",S38=""),"",IF(S38&lt;=0,"",IFERROR(T38/S38-1,"")))</f>
        <v/>
      </c>
      <c r="U39" s="15">
        <f>IF(OR(U38="",T38=""),"",IF(T38&lt;=0,"",IFERROR(U38/T38-1,"")))</f>
        <v/>
      </c>
      <c r="V39" s="15">
        <f>IF(OR(V38="",U38=""),"",IF(U38&lt;=0,"",IFERROR(V38/U38-1,"")))</f>
        <v/>
      </c>
      <c r="W39" s="15">
        <f>IF(OR(W38="",V38=""),"",IF(V38&lt;=0,"",IFERROR(W38/V38-1,"")))</f>
        <v/>
      </c>
      <c r="X39" s="15">
        <f>IF(OR(X38="",W38=""),"",IF(W38&lt;=0,"",IFERROR(X38/W38-1,"")))</f>
        <v/>
      </c>
      <c r="Y39" s="14">
        <f>IF(OR(Y38="",X38=""),"",IF(X38&lt;=0,"",IFERROR(Y38/X38-1,"")))</f>
        <v/>
      </c>
      <c r="Z39" s="15">
        <f>IF(OR(Z38="",Y38=""),"",IF(Y38&lt;=0,"",IFERROR(Z38/Y38-1,"")))</f>
        <v/>
      </c>
      <c r="AA39" s="15">
        <f>IF(OR(AA38="",Z38=""),"",IF(Z38&lt;=0,"",IFERROR(AA38/Z38-1,"")))</f>
        <v/>
      </c>
      <c r="AB39" s="15">
        <f>IF(OR(AB38="",AA38=""),"",IF(AA38&lt;=0,"",IFERROR(AB38/AA38-1,"")))</f>
        <v/>
      </c>
      <c r="AC39" s="15">
        <f>IF(OR(AC38="",AB38=""),"",IF(AB38&lt;=0,"",IFERROR(AC38/AB38-1,"")))</f>
        <v/>
      </c>
    </row>
    <row r="40">
      <c r="A40" s="9" t="inlineStr">
        <is>
          <t>영업이익</t>
        </is>
      </c>
      <c r="B40" s="10" t="inlineStr">
        <is>
          <t>MW = 매출 × OPM</t>
        </is>
      </c>
      <c r="C40" s="11" t="n">
        <v>10339</v>
      </c>
      <c r="D40" s="12" t="n">
        <v>20809</v>
      </c>
      <c r="E40" s="12" t="n">
        <v>5338</v>
      </c>
      <c r="F40" s="12" t="n">
        <v>2950</v>
      </c>
      <c r="G40" s="12" t="n">
        <v>2867</v>
      </c>
      <c r="H40" s="12" t="n">
        <v>2293</v>
      </c>
      <c r="I40" s="12" t="n">
        <v>-5688</v>
      </c>
      <c r="J40" s="12" t="n">
        <v>-1191</v>
      </c>
      <c r="K40" s="12" t="n">
        <v>-3638</v>
      </c>
      <c r="L40" s="12" t="n">
        <v>-98803</v>
      </c>
      <c r="M40" s="12" t="n">
        <v>-8816</v>
      </c>
      <c r="N40" s="12" t="n">
        <v>-997</v>
      </c>
      <c r="O40" s="11" t="n"/>
      <c r="P40" s="12" t="n">
        <v>56236</v>
      </c>
      <c r="Q40" s="12" t="n">
        <v>82653</v>
      </c>
      <c r="R40" s="12" t="n">
        <v>6751</v>
      </c>
      <c r="S40" s="12" t="n">
        <v>-56241</v>
      </c>
      <c r="T40" s="12" t="n">
        <v>49934</v>
      </c>
      <c r="U40" s="12" t="n">
        <v>54908</v>
      </c>
      <c r="V40" s="12" t="n">
        <v>39776</v>
      </c>
      <c r="W40" s="12" t="n">
        <v>2422</v>
      </c>
      <c r="X40" s="12" t="n">
        <v>-112448</v>
      </c>
      <c r="Y40" s="11">
        <f>IF(OR(Y4="",Y41=""),"",IFERROR(Y4*Y41,""))</f>
        <v/>
      </c>
      <c r="Z40" s="12">
        <f>IF(OR(Z4="",Z41=""),"",IFERROR(Z4*Z41,""))</f>
        <v/>
      </c>
      <c r="AA40" s="12">
        <f>IF(OR(AA4="",AA41=""),"",IFERROR(AA4*AA41,""))</f>
        <v/>
      </c>
      <c r="AB40" s="12">
        <f>IF(OR(AB4="",AB41=""),"",IFERROR(AB4*AB41,""))</f>
        <v/>
      </c>
      <c r="AC40" s="12">
        <f>IF(OR(AC4="",AC41=""),"",IFERROR(AC4*AC41,""))</f>
        <v/>
      </c>
    </row>
    <row r="41">
      <c r="A41" s="13" t="inlineStr">
        <is>
          <t>OPM</t>
        </is>
      </c>
      <c r="B41" s="10" t="inlineStr">
        <is>
          <t>MW 입력</t>
        </is>
      </c>
      <c r="C41" s="14">
        <f>IF(OR(C40="",C4=""),"",IFERROR(C40/C4,""))</f>
        <v/>
      </c>
      <c r="D41" s="15">
        <f>IF(OR(D40="",D4=""),"",IFERROR(D40/D4,""))</f>
        <v/>
      </c>
      <c r="E41" s="15">
        <f>IF(OR(E40="",E4=""),"",IFERROR(E40/E4,""))</f>
        <v/>
      </c>
      <c r="F41" s="15">
        <f>IF(OR(F40="",F4=""),"",IFERROR(F40/F4,""))</f>
        <v/>
      </c>
      <c r="G41" s="15">
        <f>IF(OR(G40="",G4=""),"",IFERROR(G40/G4,""))</f>
        <v/>
      </c>
      <c r="H41" s="15">
        <f>IF(OR(H40="",H4=""),"",IFERROR(H40/H4,""))</f>
        <v/>
      </c>
      <c r="I41" s="15">
        <f>IF(OR(I40="",I4=""),"",IFERROR(I40/I4,""))</f>
        <v/>
      </c>
      <c r="J41" s="15">
        <f>IF(OR(J40="",J4=""),"",IFERROR(J40/J4,""))</f>
        <v/>
      </c>
      <c r="K41" s="15">
        <f>IF(OR(K40="",K4=""),"",IFERROR(K40/K4,""))</f>
        <v/>
      </c>
      <c r="L41" s="15">
        <f>IF(OR(L40="",L4=""),"",IFERROR(L40/L4,""))</f>
        <v/>
      </c>
      <c r="M41" s="15">
        <f>IF(OR(M40="",M4=""),"",IFERROR(M40/M4,""))</f>
        <v/>
      </c>
      <c r="N41" s="15">
        <f>IF(OR(N40="",N4=""),"",IFERROR(N40/N4,""))</f>
        <v/>
      </c>
      <c r="O41" s="14">
        <f>IF(OR(O40="",O4=""),"",IFERROR(O40/O4,""))</f>
        <v/>
      </c>
      <c r="P41" s="15">
        <f>IF(OR(P40="",P4=""),"",IFERROR(P40/P4,""))</f>
        <v/>
      </c>
      <c r="Q41" s="15">
        <f>IF(OR(Q40="",Q4=""),"",IFERROR(Q40/Q4,""))</f>
        <v/>
      </c>
      <c r="R41" s="15">
        <f>IF(OR(R40="",R4=""),"",IFERROR(R40/R4,""))</f>
        <v/>
      </c>
      <c r="S41" s="15">
        <f>IF(OR(S40="",S4=""),"",IFERROR(S40/S4,""))</f>
        <v/>
      </c>
      <c r="T41" s="15">
        <f>IF(OR(T40="",T4=""),"",IFERROR(T40/T4,""))</f>
        <v/>
      </c>
      <c r="U41" s="15">
        <f>IF(OR(U40="",U4=""),"",IFERROR(U40/U4,""))</f>
        <v/>
      </c>
      <c r="V41" s="15">
        <f>IF(OR(V40="",V4=""),"",IFERROR(V40/V4,""))</f>
        <v/>
      </c>
      <c r="W41" s="15">
        <f>IF(OR(W40="",W4=""),"",IFERROR(W40/W4,""))</f>
        <v/>
      </c>
      <c r="X41" s="15">
        <f>IF(OR(X40="",X4=""),"",IFERROR(X40/X4,""))</f>
        <v/>
      </c>
      <c r="Y41" s="25" t="n"/>
      <c r="Z41" s="26" t="n"/>
      <c r="AA41" s="26" t="n"/>
      <c r="AB41" s="26" t="n"/>
      <c r="AC41" s="26" t="n"/>
    </row>
    <row r="42">
      <c r="A42" s="13" t="inlineStr">
        <is>
          <t>증가율</t>
        </is>
      </c>
      <c r="B42" s="10" t="n"/>
      <c r="C42" s="14" t="n"/>
      <c r="D42" s="15" t="n"/>
      <c r="E42" s="15" t="n"/>
      <c r="F42" s="15" t="n"/>
      <c r="G42" s="15">
        <f>IF(OR(G40="",C40=""),"",IFERROR(G40/C40-1,""))</f>
        <v/>
      </c>
      <c r="H42" s="15">
        <f>IF(OR(H40="",D40=""),"",IFERROR(H40/D40-1,""))</f>
        <v/>
      </c>
      <c r="I42" s="15">
        <f>IF(OR(I40="",E40=""),"",IFERROR(I40/E40-1,""))</f>
        <v/>
      </c>
      <c r="J42" s="15">
        <f>IF(OR(J40="",F40=""),"",IFERROR(J40/F40-1,""))</f>
        <v/>
      </c>
      <c r="K42" s="15">
        <f>IF(OR(K40="",G40=""),"",IFERROR(K40/G40-1,""))</f>
        <v/>
      </c>
      <c r="L42" s="15">
        <f>IF(OR(L40="",H40=""),"",IFERROR(L40/H40-1,""))</f>
        <v/>
      </c>
      <c r="M42" s="15">
        <f>IF(OR(M40="",I40=""),"",IFERROR(M40/I40-1,""))</f>
        <v/>
      </c>
      <c r="N42" s="15">
        <f>IF(OR(N40="",J40=""),"",IFERROR(N40/J40-1,""))</f>
        <v/>
      </c>
      <c r="O42" s="14" t="n"/>
      <c r="P42" s="15">
        <f>IF(OR(P40="",O40=""),"",IFERROR(P40/O40-1,""))</f>
        <v/>
      </c>
      <c r="Q42" s="15">
        <f>IF(OR(Q40="",P40=""),"",IFERROR(Q40/P40-1,""))</f>
        <v/>
      </c>
      <c r="R42" s="15">
        <f>IF(OR(R40="",Q40=""),"",IFERROR(R40/Q40-1,""))</f>
        <v/>
      </c>
      <c r="S42" s="15">
        <f>IF(OR(S40="",R40=""),"",IFERROR(S40/R40-1,""))</f>
        <v/>
      </c>
      <c r="T42" s="15">
        <f>IF(OR(T40="",S40=""),"",IFERROR(T40/S40-1,""))</f>
        <v/>
      </c>
      <c r="U42" s="15">
        <f>IF(OR(U40="",T40=""),"",IFERROR(U40/T40-1,""))</f>
        <v/>
      </c>
      <c r="V42" s="15">
        <f>IF(OR(V40="",U40=""),"",IFERROR(V40/U40-1,""))</f>
        <v/>
      </c>
      <c r="W42" s="15">
        <f>IF(OR(W40="",V40=""),"",IFERROR(W40/V40-1,""))</f>
        <v/>
      </c>
      <c r="X42" s="15">
        <f>IF(OR(X40="",W40=""),"",IFERROR(X40/W40-1,""))</f>
        <v/>
      </c>
      <c r="Y42" s="14">
        <f>IF(OR(Y40="",X40=""),"",IFERROR(Y40/X40-1,""))</f>
        <v/>
      </c>
      <c r="Z42" s="15">
        <f>IF(OR(Z40="",Y40=""),"",IFERROR(Z40/Y40-1,""))</f>
        <v/>
      </c>
      <c r="AA42" s="15">
        <f>IF(OR(AA40="",Z40=""),"",IFERROR(AA40/Z40-1,""))</f>
        <v/>
      </c>
      <c r="AB42" s="15">
        <f>IF(OR(AB40="",AA40=""),"",IFERROR(AB40/AA40-1,""))</f>
        <v/>
      </c>
      <c r="AC42" s="15">
        <f>IF(OR(AC40="",AB40=""),"",IFERROR(AC40/AB40-1,""))</f>
        <v/>
      </c>
    </row>
    <row r="43">
      <c r="A43" s="16" t="inlineStr">
        <is>
          <t>비용의 성격별 분류</t>
        </is>
      </c>
      <c r="B43" s="16" t="inlineStr">
        <is>
          <t>참고 데이터</t>
        </is>
      </c>
      <c r="C43" s="17" t="n"/>
      <c r="D43" s="16" t="n"/>
      <c r="E43" s="16" t="n"/>
      <c r="F43" s="16" t="n"/>
      <c r="G43" s="16" t="n"/>
      <c r="H43" s="16" t="n"/>
      <c r="I43" s="16" t="n"/>
      <c r="J43" s="16" t="n"/>
      <c r="K43" s="16" t="n"/>
      <c r="L43" s="16" t="n"/>
      <c r="M43" s="16" t="n"/>
      <c r="N43" s="16" t="n"/>
      <c r="O43" s="17" t="n"/>
      <c r="P43" s="16" t="n"/>
      <c r="Q43" s="16" t="n"/>
      <c r="R43" s="16" t="n"/>
      <c r="S43" s="16" t="n"/>
      <c r="T43" s="16" t="n"/>
      <c r="U43" s="16" t="n"/>
      <c r="V43" s="16" t="n"/>
      <c r="W43" s="16" t="n"/>
      <c r="X43" s="16" t="n"/>
      <c r="Y43" s="17" t="n"/>
      <c r="Z43" s="16" t="n"/>
      <c r="AA43" s="16" t="n"/>
      <c r="AB43" s="16" t="n"/>
      <c r="AC43" s="16" t="n"/>
    </row>
    <row r="44">
      <c r="A44" s="9" t="inlineStr">
        <is>
          <t>총 판관비</t>
        </is>
      </c>
      <c r="B44" s="10" t="n"/>
      <c r="C44" s="11" t="n"/>
      <c r="D44" s="12" t="n"/>
      <c r="E44" s="12" t="n"/>
      <c r="F44" s="12" t="n"/>
      <c r="G44" s="12" t="n"/>
      <c r="H44" s="12" t="n"/>
      <c r="I44" s="12" t="n"/>
      <c r="J44" s="12" t="n"/>
      <c r="K44" s="12" t="n"/>
      <c r="L44" s="12" t="n"/>
      <c r="M44" s="12" t="n"/>
      <c r="N44" s="12" t="n"/>
      <c r="O44" s="11">
        <f>IF(O38="","",O38)</f>
        <v/>
      </c>
      <c r="P44" s="12">
        <f>IF(P38="","",P38)</f>
        <v/>
      </c>
      <c r="Q44" s="12">
        <f>IF(Q38="","",Q38)</f>
        <v/>
      </c>
      <c r="R44" s="12">
        <f>IF(R38="","",R38)</f>
        <v/>
      </c>
      <c r="S44" s="12">
        <f>IF(S38="","",S38)</f>
        <v/>
      </c>
      <c r="T44" s="12">
        <f>IF(T38="","",T38)</f>
        <v/>
      </c>
      <c r="U44" s="12">
        <f>IF(U38="","",U38)</f>
        <v/>
      </c>
      <c r="V44" s="12">
        <f>IF(V38="","",V38)</f>
        <v/>
      </c>
      <c r="W44" s="12">
        <f>IF(W38="","",W38)</f>
        <v/>
      </c>
      <c r="X44" s="12">
        <f>IF(X38="","",X38)</f>
        <v/>
      </c>
      <c r="Y44" s="11" t="n"/>
      <c r="Z44" s="12" t="n"/>
      <c r="AA44" s="12" t="n"/>
      <c r="AB44" s="12" t="n"/>
      <c r="AC44" s="12" t="n"/>
    </row>
    <row r="45">
      <c r="A45" s="18" t="inlineStr">
        <is>
          <t>급여</t>
        </is>
      </c>
      <c r="B45" s="10" t="inlineStr">
        <is>
          <t>고정비</t>
        </is>
      </c>
      <c r="C45" s="19" t="n"/>
      <c r="D45" s="20" t="n"/>
      <c r="E45" s="20" t="n"/>
      <c r="F45" s="20" t="n"/>
      <c r="G45" s="20" t="n"/>
      <c r="H45" s="20" t="n"/>
      <c r="I45" s="20" t="n"/>
      <c r="J45" s="20" t="n"/>
      <c r="K45" s="20" t="n"/>
      <c r="L45" s="20" t="n"/>
      <c r="M45" s="20" t="n"/>
      <c r="N45" s="20" t="n"/>
      <c r="O45" s="19" t="n"/>
      <c r="P45" s="20" t="n"/>
      <c r="Q45" s="20" t="n"/>
      <c r="R45" s="20" t="n"/>
      <c r="S45" s="20" t="n"/>
      <c r="T45" s="20" t="n"/>
      <c r="U45" s="20" t="n"/>
      <c r="V45" s="20" t="n"/>
      <c r="W45" s="20" t="n"/>
      <c r="X45" s="20" t="n"/>
      <c r="Y45" s="19" t="n"/>
      <c r="Z45" s="20" t="n"/>
      <c r="AA45" s="20" t="n"/>
      <c r="AB45" s="20" t="n"/>
      <c r="AC45" s="20" t="n"/>
    </row>
    <row r="46">
      <c r="A46" s="13" t="inlineStr">
        <is>
          <t>% of Sales</t>
        </is>
      </c>
      <c r="B46" s="10" t="n"/>
      <c r="C46" s="14" t="n"/>
      <c r="D46" s="15" t="n"/>
      <c r="E46" s="15" t="n"/>
      <c r="F46" s="15" t="n"/>
      <c r="G46" s="15" t="n"/>
      <c r="H46" s="15" t="n"/>
      <c r="I46" s="15" t="n"/>
      <c r="J46" s="15" t="n"/>
      <c r="K46" s="15" t="n"/>
      <c r="L46" s="15" t="n"/>
      <c r="M46" s="15" t="n"/>
      <c r="N46" s="15" t="n"/>
      <c r="O46" s="14">
        <f>IF(OR(O45="",O4=""),"",IFERROR(O45/O4,""))</f>
        <v/>
      </c>
      <c r="P46" s="15">
        <f>IF(OR(P45="",P4=""),"",IFERROR(P45/P4,""))</f>
        <v/>
      </c>
      <c r="Q46" s="15">
        <f>IF(OR(Q45="",Q4=""),"",IFERROR(Q45/Q4,""))</f>
        <v/>
      </c>
      <c r="R46" s="15">
        <f>IF(OR(R45="",R4=""),"",IFERROR(R45/R4,""))</f>
        <v/>
      </c>
      <c r="S46" s="15">
        <f>IF(OR(S45="",S4=""),"",IFERROR(S45/S4,""))</f>
        <v/>
      </c>
      <c r="T46" s="15">
        <f>IF(OR(T45="",T4=""),"",IFERROR(T45/T4,""))</f>
        <v/>
      </c>
      <c r="U46" s="15">
        <f>IF(OR(U45="",U4=""),"",IFERROR(U45/U4,""))</f>
        <v/>
      </c>
      <c r="V46" s="15">
        <f>IF(OR(V45="",V4=""),"",IFERROR(V45/V4,""))</f>
        <v/>
      </c>
      <c r="W46" s="15">
        <f>IF(OR(W45="",W4=""),"",IFERROR(W45/W4,""))</f>
        <v/>
      </c>
      <c r="X46" s="15">
        <f>IF(OR(X45="",X4=""),"",IFERROR(X45/X4,""))</f>
        <v/>
      </c>
      <c r="Y46" s="14" t="n"/>
      <c r="Z46" s="15" t="n"/>
      <c r="AA46" s="15" t="n"/>
      <c r="AB46" s="15" t="n"/>
      <c r="AC46" s="15" t="n"/>
    </row>
    <row r="47">
      <c r="A47" s="18" t="inlineStr">
        <is>
          <t>감가상각비</t>
        </is>
      </c>
      <c r="B47" s="10" t="inlineStr">
        <is>
          <t>고정비</t>
        </is>
      </c>
      <c r="C47" s="19" t="n"/>
      <c r="D47" s="20" t="n"/>
      <c r="E47" s="20" t="n"/>
      <c r="F47" s="20" t="n"/>
      <c r="G47" s="20" t="n"/>
      <c r="H47" s="20" t="n"/>
      <c r="I47" s="20" t="n"/>
      <c r="J47" s="20" t="n"/>
      <c r="K47" s="20" t="n"/>
      <c r="L47" s="20" t="n"/>
      <c r="M47" s="20" t="n"/>
      <c r="N47" s="20" t="n"/>
      <c r="O47" s="19" t="n"/>
      <c r="P47" s="20" t="n"/>
      <c r="Q47" s="20" t="n"/>
      <c r="R47" s="20" t="n"/>
      <c r="S47" s="20" t="n"/>
      <c r="T47" s="20" t="n"/>
      <c r="U47" s="20" t="n"/>
      <c r="V47" s="20" t="n"/>
      <c r="W47" s="20" t="n"/>
      <c r="X47" s="20" t="n"/>
      <c r="Y47" s="19" t="n"/>
      <c r="Z47" s="20" t="n"/>
      <c r="AA47" s="20" t="n"/>
      <c r="AB47" s="20" t="n"/>
      <c r="AC47" s="20" t="n"/>
    </row>
    <row r="48">
      <c r="A48" s="13" t="inlineStr">
        <is>
          <t>% of Sales</t>
        </is>
      </c>
      <c r="B48" s="10" t="n"/>
      <c r="C48" s="14" t="n"/>
      <c r="D48" s="15" t="n"/>
      <c r="E48" s="15" t="n"/>
      <c r="F48" s="15" t="n"/>
      <c r="G48" s="15" t="n"/>
      <c r="H48" s="15" t="n"/>
      <c r="I48" s="15" t="n"/>
      <c r="J48" s="15" t="n"/>
      <c r="K48" s="15" t="n"/>
      <c r="L48" s="15" t="n"/>
      <c r="M48" s="15" t="n"/>
      <c r="N48" s="15" t="n"/>
      <c r="O48" s="14">
        <f>IF(OR(O47="",O4=""),"",IFERROR(O47/O4,""))</f>
        <v/>
      </c>
      <c r="P48" s="15">
        <f>IF(OR(P47="",P4=""),"",IFERROR(P47/P4,""))</f>
        <v/>
      </c>
      <c r="Q48" s="15">
        <f>IF(OR(Q47="",Q4=""),"",IFERROR(Q47/Q4,""))</f>
        <v/>
      </c>
      <c r="R48" s="15">
        <f>IF(OR(R47="",R4=""),"",IFERROR(R47/R4,""))</f>
        <v/>
      </c>
      <c r="S48" s="15">
        <f>IF(OR(S47="",S4=""),"",IFERROR(S47/S4,""))</f>
        <v/>
      </c>
      <c r="T48" s="15">
        <f>IF(OR(T47="",T4=""),"",IFERROR(T47/T4,""))</f>
        <v/>
      </c>
      <c r="U48" s="15">
        <f>IF(OR(U47="",U4=""),"",IFERROR(U47/U4,""))</f>
        <v/>
      </c>
      <c r="V48" s="15">
        <f>IF(OR(V47="",V4=""),"",IFERROR(V47/V4,""))</f>
        <v/>
      </c>
      <c r="W48" s="15">
        <f>IF(OR(W47="",W4=""),"",IFERROR(W47/W4,""))</f>
        <v/>
      </c>
      <c r="X48" s="15">
        <f>IF(OR(X47="",X4=""),"",IFERROR(X47/X4,""))</f>
        <v/>
      </c>
      <c r="Y48" s="14" t="n"/>
      <c r="Z48" s="15" t="n"/>
      <c r="AA48" s="15" t="n"/>
      <c r="AB48" s="15" t="n"/>
      <c r="AC48" s="15" t="n"/>
    </row>
    <row r="49">
      <c r="A49" s="18" t="inlineStr">
        <is>
          <t>지급수수료</t>
        </is>
      </c>
      <c r="B49" s="10" t="inlineStr">
        <is>
          <t>고정비</t>
        </is>
      </c>
      <c r="C49" s="19" t="n"/>
      <c r="D49" s="20" t="n"/>
      <c r="E49" s="20" t="n"/>
      <c r="F49" s="20" t="n"/>
      <c r="G49" s="20" t="n"/>
      <c r="H49" s="20" t="n"/>
      <c r="I49" s="20" t="n"/>
      <c r="J49" s="20" t="n"/>
      <c r="K49" s="20" t="n"/>
      <c r="L49" s="20" t="n"/>
      <c r="M49" s="20" t="n"/>
      <c r="N49" s="20" t="n"/>
      <c r="O49" s="19" t="n"/>
      <c r="P49" s="20" t="n"/>
      <c r="Q49" s="20" t="n"/>
      <c r="R49" s="20" t="n"/>
      <c r="S49" s="20" t="n"/>
      <c r="T49" s="20" t="n"/>
      <c r="U49" s="20" t="n"/>
      <c r="V49" s="20" t="n"/>
      <c r="W49" s="20" t="n"/>
      <c r="X49" s="20" t="n"/>
      <c r="Y49" s="19" t="n"/>
      <c r="Z49" s="20" t="n"/>
      <c r="AA49" s="20" t="n"/>
      <c r="AB49" s="20" t="n"/>
      <c r="AC49" s="20" t="n"/>
    </row>
    <row r="50">
      <c r="A50" s="13" t="inlineStr">
        <is>
          <t>% of Sales</t>
        </is>
      </c>
      <c r="B50" s="10" t="n"/>
      <c r="C50" s="14" t="n"/>
      <c r="D50" s="15" t="n"/>
      <c r="E50" s="15" t="n"/>
      <c r="F50" s="15" t="n"/>
      <c r="G50" s="15" t="n"/>
      <c r="H50" s="15" t="n"/>
      <c r="I50" s="15" t="n"/>
      <c r="J50" s="15" t="n"/>
      <c r="K50" s="15" t="n"/>
      <c r="L50" s="15" t="n"/>
      <c r="M50" s="15" t="n"/>
      <c r="N50" s="15" t="n"/>
      <c r="O50" s="14">
        <f>IF(OR(O49="",O4=""),"",IFERROR(O49/O4,""))</f>
        <v/>
      </c>
      <c r="P50" s="15">
        <f>IF(OR(P49="",P4=""),"",IFERROR(P49/P4,""))</f>
        <v/>
      </c>
      <c r="Q50" s="15">
        <f>IF(OR(Q49="",Q4=""),"",IFERROR(Q49/Q4,""))</f>
        <v/>
      </c>
      <c r="R50" s="15">
        <f>IF(OR(R49="",R4=""),"",IFERROR(R49/R4,""))</f>
        <v/>
      </c>
      <c r="S50" s="15">
        <f>IF(OR(S49="",S4=""),"",IFERROR(S49/S4,""))</f>
        <v/>
      </c>
      <c r="T50" s="15">
        <f>IF(OR(T49="",T4=""),"",IFERROR(T49/T4,""))</f>
        <v/>
      </c>
      <c r="U50" s="15">
        <f>IF(OR(U49="",U4=""),"",IFERROR(U49/U4,""))</f>
        <v/>
      </c>
      <c r="V50" s="15">
        <f>IF(OR(V49="",V4=""),"",IFERROR(V49/V4,""))</f>
        <v/>
      </c>
      <c r="W50" s="15">
        <f>IF(OR(W49="",W4=""),"",IFERROR(W49/W4,""))</f>
        <v/>
      </c>
      <c r="X50" s="15">
        <f>IF(OR(X49="",X4=""),"",IFERROR(X49/X4,""))</f>
        <v/>
      </c>
      <c r="Y50" s="14" t="n"/>
      <c r="Z50" s="15" t="n"/>
      <c r="AA50" s="15" t="n"/>
      <c r="AB50" s="15" t="n"/>
      <c r="AC50" s="15" t="n"/>
    </row>
    <row r="51">
      <c r="A51" s="18" t="inlineStr">
        <is>
          <t>연구개발비</t>
        </is>
      </c>
      <c r="B51" s="10" t="inlineStr">
        <is>
          <t>변동비</t>
        </is>
      </c>
      <c r="C51" s="19" t="n"/>
      <c r="D51" s="20" t="n"/>
      <c r="E51" s="20" t="n"/>
      <c r="F51" s="20" t="n"/>
      <c r="G51" s="20" t="n"/>
      <c r="H51" s="20" t="n"/>
      <c r="I51" s="20" t="n"/>
      <c r="J51" s="20" t="n"/>
      <c r="K51" s="20" t="n"/>
      <c r="L51" s="20" t="n"/>
      <c r="M51" s="20" t="n"/>
      <c r="N51" s="20" t="n"/>
      <c r="O51" s="19" t="n"/>
      <c r="P51" s="20" t="n"/>
      <c r="Q51" s="20" t="n"/>
      <c r="R51" s="20" t="n"/>
      <c r="S51" s="20" t="n"/>
      <c r="T51" s="20" t="n"/>
      <c r="U51" s="20" t="n"/>
      <c r="V51" s="20" t="n"/>
      <c r="W51" s="20" t="n"/>
      <c r="X51" s="20" t="n"/>
      <c r="Y51" s="19" t="n"/>
      <c r="Z51" s="20" t="n"/>
      <c r="AA51" s="20" t="n"/>
      <c r="AB51" s="20" t="n"/>
      <c r="AC51" s="20" t="n"/>
    </row>
    <row r="52">
      <c r="A52" s="13" t="inlineStr">
        <is>
          <t>% of Sales</t>
        </is>
      </c>
      <c r="B52" s="10" t="n"/>
      <c r="C52" s="14" t="n"/>
      <c r="D52" s="15" t="n"/>
      <c r="E52" s="15" t="n"/>
      <c r="F52" s="15" t="n"/>
      <c r="G52" s="15" t="n"/>
      <c r="H52" s="15" t="n"/>
      <c r="I52" s="15" t="n"/>
      <c r="J52" s="15" t="n"/>
      <c r="K52" s="15" t="n"/>
      <c r="L52" s="15" t="n"/>
      <c r="M52" s="15" t="n"/>
      <c r="N52" s="15" t="n"/>
      <c r="O52" s="14">
        <f>IF(OR(O51="",O4=""),"",IFERROR(O51/O4,""))</f>
        <v/>
      </c>
      <c r="P52" s="15">
        <f>IF(OR(P51="",P4=""),"",IFERROR(P51/P4,""))</f>
        <v/>
      </c>
      <c r="Q52" s="15">
        <f>IF(OR(Q51="",Q4=""),"",IFERROR(Q51/Q4,""))</f>
        <v/>
      </c>
      <c r="R52" s="15">
        <f>IF(OR(R51="",R4=""),"",IFERROR(R51/R4,""))</f>
        <v/>
      </c>
      <c r="S52" s="15">
        <f>IF(OR(S51="",S4=""),"",IFERROR(S51/S4,""))</f>
        <v/>
      </c>
      <c r="T52" s="15">
        <f>IF(OR(T51="",T4=""),"",IFERROR(T51/T4,""))</f>
        <v/>
      </c>
      <c r="U52" s="15">
        <f>IF(OR(U51="",U4=""),"",IFERROR(U51/U4,""))</f>
        <v/>
      </c>
      <c r="V52" s="15">
        <f>IF(OR(V51="",V4=""),"",IFERROR(V51/V4,""))</f>
        <v/>
      </c>
      <c r="W52" s="15">
        <f>IF(OR(W51="",W4=""),"",IFERROR(W51/W4,""))</f>
        <v/>
      </c>
      <c r="X52" s="15">
        <f>IF(OR(X51="",X4=""),"",IFERROR(X51/X4,""))</f>
        <v/>
      </c>
      <c r="Y52" s="14" t="n"/>
      <c r="Z52" s="15" t="n"/>
      <c r="AA52" s="15" t="n"/>
      <c r="AB52" s="15" t="n"/>
      <c r="AC52" s="15" t="n"/>
    </row>
    <row r="53">
      <c r="A53" s="18" t="inlineStr">
        <is>
          <t>기타비용</t>
        </is>
      </c>
      <c r="B53" s="10" t="inlineStr">
        <is>
          <t>변동비</t>
        </is>
      </c>
      <c r="C53" s="19" t="n"/>
      <c r="D53" s="20" t="n"/>
      <c r="E53" s="20" t="n"/>
      <c r="F53" s="20" t="n"/>
      <c r="G53" s="20" t="n"/>
      <c r="H53" s="20" t="n"/>
      <c r="I53" s="20" t="n"/>
      <c r="J53" s="20" t="n"/>
      <c r="K53" s="20" t="n"/>
      <c r="L53" s="20" t="n"/>
      <c r="M53" s="20" t="n"/>
      <c r="N53" s="20" t="n"/>
      <c r="O53" s="19">
        <f>IF(OR(O44="",O45="",O47="",O49="",O51=""),"",IFERROR(O44-O45-O47-O49-O51,""))</f>
        <v/>
      </c>
      <c r="P53" s="20">
        <f>IF(OR(P44="",P45="",P47="",P49="",P51=""),"",IFERROR(P44-P45-P47-P49-P51,""))</f>
        <v/>
      </c>
      <c r="Q53" s="20">
        <f>IF(OR(Q44="",Q45="",Q47="",Q49="",Q51=""),"",IFERROR(Q44-Q45-Q47-Q49-Q51,""))</f>
        <v/>
      </c>
      <c r="R53" s="20">
        <f>IF(OR(R44="",R45="",R47="",R49="",R51=""),"",IFERROR(R44-R45-R47-R49-R51,""))</f>
        <v/>
      </c>
      <c r="S53" s="20">
        <f>IF(OR(S44="",S45="",S47="",S49="",S51=""),"",IFERROR(S44-S45-S47-S49-S51,""))</f>
        <v/>
      </c>
      <c r="T53" s="20">
        <f>IF(OR(T44="",T45="",T47="",T49="",T51=""),"",IFERROR(T44-T45-T47-T49-T51,""))</f>
        <v/>
      </c>
      <c r="U53" s="20">
        <f>IF(OR(U44="",U45="",U47="",U49="",U51=""),"",IFERROR(U44-U45-U47-U49-U51,""))</f>
        <v/>
      </c>
      <c r="V53" s="20">
        <f>IF(OR(V44="",V45="",V47="",V49="",V51=""),"",IFERROR(V44-V45-V47-V49-V51,""))</f>
        <v/>
      </c>
      <c r="W53" s="20">
        <f>IF(OR(W44="",W45="",W47="",W49="",W51=""),"",IFERROR(W44-W45-W47-W49-W51,""))</f>
        <v/>
      </c>
      <c r="X53" s="20">
        <f>IF(OR(X44="",X45="",X47="",X49="",X51=""),"",IFERROR(X44-X45-X47-X49-X51,""))</f>
        <v/>
      </c>
      <c r="Y53" s="19" t="n"/>
      <c r="Z53" s="20" t="n"/>
      <c r="AA53" s="20" t="n"/>
      <c r="AB53" s="20" t="n"/>
      <c r="AC53" s="20" t="n"/>
    </row>
    <row r="54">
      <c r="A54" s="13" t="inlineStr">
        <is>
          <t>% of Sales</t>
        </is>
      </c>
      <c r="B54" s="10" t="n"/>
      <c r="C54" s="14" t="n"/>
      <c r="D54" s="15" t="n"/>
      <c r="E54" s="15" t="n"/>
      <c r="F54" s="15" t="n"/>
      <c r="G54" s="15" t="n"/>
      <c r="H54" s="15" t="n"/>
      <c r="I54" s="15" t="n"/>
      <c r="J54" s="15" t="n"/>
      <c r="K54" s="15" t="n"/>
      <c r="L54" s="15" t="n"/>
      <c r="M54" s="15" t="n"/>
      <c r="N54" s="15" t="n"/>
      <c r="O54" s="14">
        <f>IF(OR(O53="",O4=""),"",IFERROR(O53/O4,""))</f>
        <v/>
      </c>
      <c r="P54" s="15">
        <f>IF(OR(P53="",P4=""),"",IFERROR(P53/P4,""))</f>
        <v/>
      </c>
      <c r="Q54" s="15">
        <f>IF(OR(Q53="",Q4=""),"",IFERROR(Q53/Q4,""))</f>
        <v/>
      </c>
      <c r="R54" s="15">
        <f>IF(OR(R53="",R4=""),"",IFERROR(R53/R4,""))</f>
        <v/>
      </c>
      <c r="S54" s="15">
        <f>IF(OR(S53="",S4=""),"",IFERROR(S53/S4,""))</f>
        <v/>
      </c>
      <c r="T54" s="15">
        <f>IF(OR(T53="",T4=""),"",IFERROR(T53/T4,""))</f>
        <v/>
      </c>
      <c r="U54" s="15">
        <f>IF(OR(U53="",U4=""),"",IFERROR(U53/U4,""))</f>
        <v/>
      </c>
      <c r="V54" s="15">
        <f>IF(OR(V53="",V4=""),"",IFERROR(V53/V4,""))</f>
        <v/>
      </c>
      <c r="W54" s="15">
        <f>IF(OR(W53="",W4=""),"",IFERROR(W53/W4,""))</f>
        <v/>
      </c>
      <c r="X54" s="15">
        <f>IF(OR(X53="",X4=""),"",IFERROR(X53/X4,""))</f>
        <v/>
      </c>
      <c r="Y54" s="14" t="n"/>
      <c r="Z54" s="15" t="n"/>
      <c r="AA54" s="15" t="n"/>
      <c r="AB54" s="15" t="n"/>
      <c r="AC54" s="15" t="n"/>
    </row>
    <row r="55">
      <c r="A55" s="16" t="inlineStr">
        <is>
          <t>당기순이익 추정</t>
        </is>
      </c>
      <c r="B55" s="16" t="n"/>
      <c r="C55" s="17" t="n"/>
      <c r="D55" s="16" t="n"/>
      <c r="E55" s="16" t="n"/>
      <c r="F55" s="16" t="n"/>
      <c r="G55" s="16" t="n"/>
      <c r="H55" s="16" t="n"/>
      <c r="I55" s="16" t="n"/>
      <c r="J55" s="16" t="n"/>
      <c r="K55" s="16" t="n"/>
      <c r="L55" s="16" t="n"/>
      <c r="M55" s="16" t="n"/>
      <c r="N55" s="16" t="n"/>
      <c r="O55" s="17" t="n"/>
      <c r="P55" s="16" t="n"/>
      <c r="Q55" s="16" t="n"/>
      <c r="R55" s="16" t="n"/>
      <c r="S55" s="16" t="n"/>
      <c r="T55" s="16" t="n"/>
      <c r="U55" s="16" t="n"/>
      <c r="V55" s="16" t="n"/>
      <c r="W55" s="16" t="n"/>
      <c r="X55" s="16" t="n"/>
      <c r="Y55" s="17" t="n"/>
      <c r="Z55" s="16" t="n"/>
      <c r="AA55" s="16" t="n"/>
      <c r="AB55" s="16" t="n"/>
      <c r="AC55" s="16" t="n"/>
    </row>
    <row r="56">
      <c r="A56" s="18" t="inlineStr">
        <is>
          <t>기타이익</t>
        </is>
      </c>
      <c r="B56" s="10" t="n"/>
      <c r="C56" s="19" t="n"/>
      <c r="D56" s="20" t="n"/>
      <c r="E56" s="20" t="n"/>
      <c r="F56" s="20" t="n"/>
      <c r="G56" s="20" t="n"/>
      <c r="H56" s="20" t="n"/>
      <c r="I56" s="20" t="n"/>
      <c r="J56" s="20" t="n"/>
      <c r="K56" s="20" t="n"/>
      <c r="L56" s="20" t="n"/>
      <c r="M56" s="20" t="n"/>
      <c r="N56" s="20" t="n"/>
      <c r="O56" s="19" t="n"/>
      <c r="P56" s="20" t="n"/>
      <c r="Q56" s="20" t="n"/>
      <c r="R56" s="20" t="n"/>
      <c r="S56" s="20" t="n"/>
      <c r="T56" s="20" t="n"/>
      <c r="U56" s="20" t="n"/>
      <c r="V56" s="20" t="n"/>
      <c r="W56" s="20" t="n"/>
      <c r="X56" s="20" t="n"/>
      <c r="Y56" s="19">
        <f>IF(OR(Y4="",Y57=""),"",IFERROR(Y4*Y57,""))</f>
        <v/>
      </c>
      <c r="Z56" s="20">
        <f>IF(OR(Z4="",Z57=""),"",IFERROR(Z4*Z57,""))</f>
        <v/>
      </c>
      <c r="AA56" s="20">
        <f>IF(OR(AA4="",AA57=""),"",IFERROR(AA4*AA57,""))</f>
        <v/>
      </c>
      <c r="AB56" s="20">
        <f>IF(OR(AB4="",AB57=""),"",IFERROR(AB4*AB57,""))</f>
        <v/>
      </c>
      <c r="AC56" s="20">
        <f>IF(OR(AC4="",AC57=""),"",IFERROR(AC4*AC57,""))</f>
        <v/>
      </c>
    </row>
    <row r="57">
      <c r="A57" s="13" t="inlineStr">
        <is>
          <t>% of Sales</t>
        </is>
      </c>
      <c r="B57" s="10" t="inlineStr">
        <is>
          <t>MW = 최근 3년 평균</t>
        </is>
      </c>
      <c r="C57" s="14">
        <f>IF(OR(C56="",C4=""),"",IFERROR(C56/C4,""))</f>
        <v/>
      </c>
      <c r="D57" s="15">
        <f>IF(OR(D56="",D4=""),"",IFERROR(D56/D4,""))</f>
        <v/>
      </c>
      <c r="E57" s="15">
        <f>IF(OR(E56="",E4=""),"",IFERROR(E56/E4,""))</f>
        <v/>
      </c>
      <c r="F57" s="15">
        <f>IF(OR(F56="",F4=""),"",IFERROR(F56/F4,""))</f>
        <v/>
      </c>
      <c r="G57" s="15">
        <f>IF(OR(G56="",G4=""),"",IFERROR(G56/G4,""))</f>
        <v/>
      </c>
      <c r="H57" s="15">
        <f>IF(OR(H56="",H4=""),"",IFERROR(H56/H4,""))</f>
        <v/>
      </c>
      <c r="I57" s="15">
        <f>IF(OR(I56="",I4=""),"",IFERROR(I56/I4,""))</f>
        <v/>
      </c>
      <c r="J57" s="15">
        <f>IF(OR(J56="",J4=""),"",IFERROR(J56/J4,""))</f>
        <v/>
      </c>
      <c r="K57" s="15">
        <f>IF(OR(K56="",K4=""),"",IFERROR(K56/K4,""))</f>
        <v/>
      </c>
      <c r="L57" s="15">
        <f>IF(OR(L56="",L4=""),"",IFERROR(L56/L4,""))</f>
        <v/>
      </c>
      <c r="M57" s="15">
        <f>IF(OR(M56="",M4=""),"",IFERROR(M56/M4,""))</f>
        <v/>
      </c>
      <c r="N57" s="15">
        <f>IF(OR(N56="",N4=""),"",IFERROR(N56/N4,""))</f>
        <v/>
      </c>
      <c r="O57" s="14">
        <f>IF(OR(O56="",O4=""),"",IFERROR(O56/O4,""))</f>
        <v/>
      </c>
      <c r="P57" s="15">
        <f>IF(OR(P56="",P4=""),"",IFERROR(P56/P4,""))</f>
        <v/>
      </c>
      <c r="Q57" s="15">
        <f>IF(OR(Q56="",Q4=""),"",IFERROR(Q56/Q4,""))</f>
        <v/>
      </c>
      <c r="R57" s="15">
        <f>IF(OR(R56="",R4=""),"",IFERROR(R56/R4,""))</f>
        <v/>
      </c>
      <c r="S57" s="15">
        <f>IF(OR(S56="",S4=""),"",IFERROR(S56/S4,""))</f>
        <v/>
      </c>
      <c r="T57" s="15">
        <f>IF(OR(T56="",T4=""),"",IFERROR(T56/T4,""))</f>
        <v/>
      </c>
      <c r="U57" s="15">
        <f>IF(OR(U56="",U4=""),"",IFERROR(U56/U4,""))</f>
        <v/>
      </c>
      <c r="V57" s="15">
        <f>IF(OR(V56="",V4=""),"",IFERROR(V56/V4,""))</f>
        <v/>
      </c>
      <c r="W57" s="15">
        <f>IF(OR(W56="",W4=""),"",IFERROR(W56/W4,""))</f>
        <v/>
      </c>
      <c r="X57" s="15">
        <f>IF(OR(X56="",X4=""),"",IFERROR(X56/X4,""))</f>
        <v/>
      </c>
      <c r="Y57" s="25">
        <f>IFERROR(AVERAGE(V57,W57,X57),"")</f>
        <v/>
      </c>
      <c r="Z57" s="26">
        <f>Y57</f>
        <v/>
      </c>
      <c r="AA57" s="26">
        <f>Z57</f>
        <v/>
      </c>
      <c r="AB57" s="26">
        <f>AA57</f>
        <v/>
      </c>
      <c r="AC57" s="26">
        <f>AB57</f>
        <v/>
      </c>
    </row>
    <row r="58">
      <c r="A58" s="18" t="inlineStr">
        <is>
          <t>기타손실</t>
        </is>
      </c>
      <c r="B58" s="10" t="n"/>
      <c r="C58" s="19" t="n"/>
      <c r="D58" s="20" t="n"/>
      <c r="E58" s="20" t="n"/>
      <c r="F58" s="20" t="n"/>
      <c r="G58" s="20" t="n"/>
      <c r="H58" s="20" t="n"/>
      <c r="I58" s="20" t="n"/>
      <c r="J58" s="20" t="n"/>
      <c r="K58" s="20" t="n"/>
      <c r="L58" s="20" t="n"/>
      <c r="M58" s="20" t="n"/>
      <c r="N58" s="20" t="n"/>
      <c r="O58" s="19" t="n"/>
      <c r="P58" s="20" t="n"/>
      <c r="Q58" s="20" t="n"/>
      <c r="R58" s="20" t="n"/>
      <c r="S58" s="20" t="n"/>
      <c r="T58" s="20" t="n"/>
      <c r="U58" s="20" t="n"/>
      <c r="V58" s="20" t="n"/>
      <c r="W58" s="20" t="n"/>
      <c r="X58" s="20" t="n"/>
      <c r="Y58" s="19">
        <f>IF(OR(Y4="",Y59=""),"",IFERROR(Y4*Y59,""))</f>
        <v/>
      </c>
      <c r="Z58" s="20">
        <f>IF(OR(Z4="",Z59=""),"",IFERROR(Z4*Z59,""))</f>
        <v/>
      </c>
      <c r="AA58" s="20">
        <f>IF(OR(AA4="",AA59=""),"",IFERROR(AA4*AA59,""))</f>
        <v/>
      </c>
      <c r="AB58" s="20">
        <f>IF(OR(AB4="",AB59=""),"",IFERROR(AB4*AB59,""))</f>
        <v/>
      </c>
      <c r="AC58" s="20">
        <f>IF(OR(AC4="",AC59=""),"",IFERROR(AC4*AC59,""))</f>
        <v/>
      </c>
    </row>
    <row r="59">
      <c r="A59" s="13" t="inlineStr">
        <is>
          <t>% of Sales</t>
        </is>
      </c>
      <c r="B59" s="10" t="n"/>
      <c r="C59" s="14">
        <f>IF(OR(C58="",C4=""),"",IFERROR(C58/C4,""))</f>
        <v/>
      </c>
      <c r="D59" s="15">
        <f>IF(OR(D58="",D4=""),"",IFERROR(D58/D4,""))</f>
        <v/>
      </c>
      <c r="E59" s="15">
        <f>IF(OR(E58="",E4=""),"",IFERROR(E58/E4,""))</f>
        <v/>
      </c>
      <c r="F59" s="15">
        <f>IF(OR(F58="",F4=""),"",IFERROR(F58/F4,""))</f>
        <v/>
      </c>
      <c r="G59" s="15">
        <f>IF(OR(G58="",G4=""),"",IFERROR(G58/G4,""))</f>
        <v/>
      </c>
      <c r="H59" s="15">
        <f>IF(OR(H58="",H4=""),"",IFERROR(H58/H4,""))</f>
        <v/>
      </c>
      <c r="I59" s="15">
        <f>IF(OR(I58="",I4=""),"",IFERROR(I58/I4,""))</f>
        <v/>
      </c>
      <c r="J59" s="15">
        <f>IF(OR(J58="",J4=""),"",IFERROR(J58/J4,""))</f>
        <v/>
      </c>
      <c r="K59" s="15">
        <f>IF(OR(K58="",K4=""),"",IFERROR(K58/K4,""))</f>
        <v/>
      </c>
      <c r="L59" s="15">
        <f>IF(OR(L58="",L4=""),"",IFERROR(L58/L4,""))</f>
        <v/>
      </c>
      <c r="M59" s="15">
        <f>IF(OR(M58="",M4=""),"",IFERROR(M58/M4,""))</f>
        <v/>
      </c>
      <c r="N59" s="15">
        <f>IF(OR(N58="",N4=""),"",IFERROR(N58/N4,""))</f>
        <v/>
      </c>
      <c r="O59" s="14">
        <f>IF(OR(O58="",O4=""),"",IFERROR(O58/O4,""))</f>
        <v/>
      </c>
      <c r="P59" s="15">
        <f>IF(OR(P58="",P4=""),"",IFERROR(P58/P4,""))</f>
        <v/>
      </c>
      <c r="Q59" s="15">
        <f>IF(OR(Q58="",Q4=""),"",IFERROR(Q58/Q4,""))</f>
        <v/>
      </c>
      <c r="R59" s="15">
        <f>IF(OR(R58="",R4=""),"",IFERROR(R58/R4,""))</f>
        <v/>
      </c>
      <c r="S59" s="15">
        <f>IF(OR(S58="",S4=""),"",IFERROR(S58/S4,""))</f>
        <v/>
      </c>
      <c r="T59" s="15">
        <f>IF(OR(T58="",T4=""),"",IFERROR(T58/T4,""))</f>
        <v/>
      </c>
      <c r="U59" s="15">
        <f>IF(OR(U58="",U4=""),"",IFERROR(U58/U4,""))</f>
        <v/>
      </c>
      <c r="V59" s="15">
        <f>IF(OR(V58="",V4=""),"",IFERROR(V58/V4,""))</f>
        <v/>
      </c>
      <c r="W59" s="15">
        <f>IF(OR(W58="",W4=""),"",IFERROR(W58/W4,""))</f>
        <v/>
      </c>
      <c r="X59" s="15">
        <f>IF(OR(X58="",X4=""),"",IFERROR(X58/X4,""))</f>
        <v/>
      </c>
      <c r="Y59" s="25">
        <f>IFERROR(AVERAGE(V59,W59,X59),"")</f>
        <v/>
      </c>
      <c r="Z59" s="26">
        <f>Y59</f>
        <v/>
      </c>
      <c r="AA59" s="26">
        <f>Z59</f>
        <v/>
      </c>
      <c r="AB59" s="26">
        <f>AA59</f>
        <v/>
      </c>
      <c r="AC59" s="26">
        <f>AB59</f>
        <v/>
      </c>
    </row>
    <row r="60">
      <c r="A60" s="18" t="inlineStr">
        <is>
          <t>금융수익</t>
        </is>
      </c>
      <c r="B60" s="10" t="n"/>
      <c r="C60" s="19" t="n">
        <v>1653</v>
      </c>
      <c r="D60" s="20" t="n">
        <v>185</v>
      </c>
      <c r="E60" s="20" t="n">
        <v>2370</v>
      </c>
      <c r="F60" s="20" t="n">
        <v>3658</v>
      </c>
      <c r="G60" s="20" t="n">
        <v>-682</v>
      </c>
      <c r="H60" s="20" t="n">
        <v>2777</v>
      </c>
      <c r="I60" s="20" t="n">
        <v>207</v>
      </c>
      <c r="J60" s="20" t="n">
        <v>2424</v>
      </c>
      <c r="K60" s="20" t="n">
        <v>928</v>
      </c>
      <c r="L60" s="20" t="n">
        <v>4414</v>
      </c>
      <c r="M60" s="20" t="n">
        <v>1438</v>
      </c>
      <c r="N60" s="20" t="n">
        <v>2765</v>
      </c>
      <c r="O60" s="19" t="n"/>
      <c r="P60" s="20" t="n">
        <v>6535</v>
      </c>
      <c r="Q60" s="20" t="n">
        <v>7333</v>
      </c>
      <c r="R60" s="20" t="n">
        <v>5204</v>
      </c>
      <c r="S60" s="20" t="n">
        <v>11167</v>
      </c>
      <c r="T60" s="20" t="n">
        <v>9592</v>
      </c>
      <c r="U60" s="20" t="n">
        <v>5529</v>
      </c>
      <c r="V60" s="20" t="n">
        <v>8260</v>
      </c>
      <c r="W60" s="20" t="n">
        <v>5960</v>
      </c>
      <c r="X60" s="20" t="n">
        <v>9204</v>
      </c>
      <c r="Y60" s="19">
        <f>IF(OR(Y4="",Y61=""),"",IFERROR(Y4*Y61,""))</f>
        <v/>
      </c>
      <c r="Z60" s="20">
        <f>IF(OR(Z4="",Z61=""),"",IFERROR(Z4*Z61,""))</f>
        <v/>
      </c>
      <c r="AA60" s="20">
        <f>IF(OR(AA4="",AA61=""),"",IFERROR(AA4*AA61,""))</f>
        <v/>
      </c>
      <c r="AB60" s="20">
        <f>IF(OR(AB4="",AB61=""),"",IFERROR(AB4*AB61,""))</f>
        <v/>
      </c>
      <c r="AC60" s="20">
        <f>IF(OR(AC4="",AC61=""),"",IFERROR(AC4*AC61,""))</f>
        <v/>
      </c>
    </row>
    <row r="61">
      <c r="A61" s="13" t="inlineStr">
        <is>
          <t>% of Sales</t>
        </is>
      </c>
      <c r="B61" s="10" t="n"/>
      <c r="C61" s="14">
        <f>IF(OR(C60="",C4=""),"",IFERROR(C60/C4,""))</f>
        <v/>
      </c>
      <c r="D61" s="15">
        <f>IF(OR(D60="",D4=""),"",IFERROR(D60/D4,""))</f>
        <v/>
      </c>
      <c r="E61" s="15">
        <f>IF(OR(E60="",E4=""),"",IFERROR(E60/E4,""))</f>
        <v/>
      </c>
      <c r="F61" s="15">
        <f>IF(OR(F60="",F4=""),"",IFERROR(F60/F4,""))</f>
        <v/>
      </c>
      <c r="G61" s="15">
        <f>IF(OR(G60="",G4=""),"",IFERROR(G60/G4,""))</f>
        <v/>
      </c>
      <c r="H61" s="15">
        <f>IF(OR(H60="",H4=""),"",IFERROR(H60/H4,""))</f>
        <v/>
      </c>
      <c r="I61" s="15">
        <f>IF(OR(I60="",I4=""),"",IFERROR(I60/I4,""))</f>
        <v/>
      </c>
      <c r="J61" s="15">
        <f>IF(OR(J60="",J4=""),"",IFERROR(J60/J4,""))</f>
        <v/>
      </c>
      <c r="K61" s="15">
        <f>IF(OR(K60="",K4=""),"",IFERROR(K60/K4,""))</f>
        <v/>
      </c>
      <c r="L61" s="15">
        <f>IF(OR(L60="",L4=""),"",IFERROR(L60/L4,""))</f>
        <v/>
      </c>
      <c r="M61" s="15">
        <f>IF(OR(M60="",M4=""),"",IFERROR(M60/M4,""))</f>
        <v/>
      </c>
      <c r="N61" s="15">
        <f>IF(OR(N60="",N4=""),"",IFERROR(N60/N4,""))</f>
        <v/>
      </c>
      <c r="O61" s="14">
        <f>IF(OR(O60="",O4=""),"",IFERROR(O60/O4,""))</f>
        <v/>
      </c>
      <c r="P61" s="15">
        <f>IF(OR(P60="",P4=""),"",IFERROR(P60/P4,""))</f>
        <v/>
      </c>
      <c r="Q61" s="15">
        <f>IF(OR(Q60="",Q4=""),"",IFERROR(Q60/Q4,""))</f>
        <v/>
      </c>
      <c r="R61" s="15">
        <f>IF(OR(R60="",R4=""),"",IFERROR(R60/R4,""))</f>
        <v/>
      </c>
      <c r="S61" s="15">
        <f>IF(OR(S60="",S4=""),"",IFERROR(S60/S4,""))</f>
        <v/>
      </c>
      <c r="T61" s="15">
        <f>IF(OR(T60="",T4=""),"",IFERROR(T60/T4,""))</f>
        <v/>
      </c>
      <c r="U61" s="15">
        <f>IF(OR(U60="",U4=""),"",IFERROR(U60/U4,""))</f>
        <v/>
      </c>
      <c r="V61" s="15">
        <f>IF(OR(V60="",V4=""),"",IFERROR(V60/V4,""))</f>
        <v/>
      </c>
      <c r="W61" s="15">
        <f>IF(OR(W60="",W4=""),"",IFERROR(W60/W4,""))</f>
        <v/>
      </c>
      <c r="X61" s="15">
        <f>IF(OR(X60="",X4=""),"",IFERROR(X60/X4,""))</f>
        <v/>
      </c>
      <c r="Y61" s="25">
        <f>IFERROR(AVERAGE(V61,W61,X61),"")</f>
        <v/>
      </c>
      <c r="Z61" s="26">
        <f>Y61</f>
        <v/>
      </c>
      <c r="AA61" s="26">
        <f>Z61</f>
        <v/>
      </c>
      <c r="AB61" s="26">
        <f>AA61</f>
        <v/>
      </c>
      <c r="AC61" s="26">
        <f>AB61</f>
        <v/>
      </c>
    </row>
    <row r="62">
      <c r="A62" s="18" t="inlineStr">
        <is>
          <t>금융원가</t>
        </is>
      </c>
      <c r="B62" s="10" t="n"/>
      <c r="C62" s="19" t="n">
        <v>2005</v>
      </c>
      <c r="D62" s="20" t="n">
        <v>888</v>
      </c>
      <c r="E62" s="20" t="n">
        <v>1687</v>
      </c>
      <c r="F62" s="20" t="n">
        <v>2789</v>
      </c>
      <c r="G62" s="20" t="n">
        <v>2916</v>
      </c>
      <c r="H62" s="20" t="n">
        <v>-339</v>
      </c>
      <c r="I62" s="20" t="n">
        <v>1628</v>
      </c>
      <c r="J62" s="20" t="n">
        <v>1240</v>
      </c>
      <c r="K62" s="20" t="n">
        <v>4504</v>
      </c>
      <c r="L62" s="20" t="n">
        <v>2847</v>
      </c>
      <c r="M62" s="20" t="n">
        <v>-1073</v>
      </c>
      <c r="N62" s="20" t="n">
        <v>1233</v>
      </c>
      <c r="O62" s="19" t="n"/>
      <c r="P62" s="20" t="n">
        <v>6295</v>
      </c>
      <c r="Q62" s="20" t="n">
        <v>3833</v>
      </c>
      <c r="R62" s="20" t="n">
        <v>1908</v>
      </c>
      <c r="S62" s="20" t="n">
        <v>2238</v>
      </c>
      <c r="T62" s="20" t="n">
        <v>3643</v>
      </c>
      <c r="U62" s="20" t="n">
        <v>5921</v>
      </c>
      <c r="V62" s="20" t="n">
        <v>7834</v>
      </c>
      <c r="W62" s="20" t="n">
        <v>6994</v>
      </c>
      <c r="X62" s="20" t="n">
        <v>7518</v>
      </c>
      <c r="Y62" s="19">
        <f>IF(OR(Y4="",Y63=""),"",IFERROR(Y4*Y63,""))</f>
        <v/>
      </c>
      <c r="Z62" s="20">
        <f>IF(OR(Z4="",Z63=""),"",IFERROR(Z4*Z63,""))</f>
        <v/>
      </c>
      <c r="AA62" s="20">
        <f>IF(OR(AA4="",AA63=""),"",IFERROR(AA4*AA63,""))</f>
        <v/>
      </c>
      <c r="AB62" s="20">
        <f>IF(OR(AB4="",AB63=""),"",IFERROR(AB4*AB63,""))</f>
        <v/>
      </c>
      <c r="AC62" s="20">
        <f>IF(OR(AC4="",AC63=""),"",IFERROR(AC4*AC63,""))</f>
        <v/>
      </c>
    </row>
    <row r="63">
      <c r="A63" s="13" t="inlineStr">
        <is>
          <t>% of Sales</t>
        </is>
      </c>
      <c r="B63" s="10" t="n"/>
      <c r="C63" s="14">
        <f>IF(OR(C62="",C4=""),"",IFERROR(C62/C4,""))</f>
        <v/>
      </c>
      <c r="D63" s="15">
        <f>IF(OR(D62="",D4=""),"",IFERROR(D62/D4,""))</f>
        <v/>
      </c>
      <c r="E63" s="15">
        <f>IF(OR(E62="",E4=""),"",IFERROR(E62/E4,""))</f>
        <v/>
      </c>
      <c r="F63" s="15">
        <f>IF(OR(F62="",F4=""),"",IFERROR(F62/F4,""))</f>
        <v/>
      </c>
      <c r="G63" s="15">
        <f>IF(OR(G62="",G4=""),"",IFERROR(G62/G4,""))</f>
        <v/>
      </c>
      <c r="H63" s="15">
        <f>IF(OR(H62="",H4=""),"",IFERROR(H62/H4,""))</f>
        <v/>
      </c>
      <c r="I63" s="15">
        <f>IF(OR(I62="",I4=""),"",IFERROR(I62/I4,""))</f>
        <v/>
      </c>
      <c r="J63" s="15">
        <f>IF(OR(J62="",J4=""),"",IFERROR(J62/J4,""))</f>
        <v/>
      </c>
      <c r="K63" s="15">
        <f>IF(OR(K62="",K4=""),"",IFERROR(K62/K4,""))</f>
        <v/>
      </c>
      <c r="L63" s="15">
        <f>IF(OR(L62="",L4=""),"",IFERROR(L62/L4,""))</f>
        <v/>
      </c>
      <c r="M63" s="15">
        <f>IF(OR(M62="",M4=""),"",IFERROR(M62/M4,""))</f>
        <v/>
      </c>
      <c r="N63" s="15">
        <f>IF(OR(N62="",N4=""),"",IFERROR(N62/N4,""))</f>
        <v/>
      </c>
      <c r="O63" s="14">
        <f>IF(OR(O62="",O4=""),"",IFERROR(O62/O4,""))</f>
        <v/>
      </c>
      <c r="P63" s="15">
        <f>IF(OR(P62="",P4=""),"",IFERROR(P62/P4,""))</f>
        <v/>
      </c>
      <c r="Q63" s="15">
        <f>IF(OR(Q62="",Q4=""),"",IFERROR(Q62/Q4,""))</f>
        <v/>
      </c>
      <c r="R63" s="15">
        <f>IF(OR(R62="",R4=""),"",IFERROR(R62/R4,""))</f>
        <v/>
      </c>
      <c r="S63" s="15">
        <f>IF(OR(S62="",S4=""),"",IFERROR(S62/S4,""))</f>
        <v/>
      </c>
      <c r="T63" s="15">
        <f>IF(OR(T62="",T4=""),"",IFERROR(T62/T4,""))</f>
        <v/>
      </c>
      <c r="U63" s="15">
        <f>IF(OR(U62="",U4=""),"",IFERROR(U62/U4,""))</f>
        <v/>
      </c>
      <c r="V63" s="15">
        <f>IF(OR(V62="",V4=""),"",IFERROR(V62/V4,""))</f>
        <v/>
      </c>
      <c r="W63" s="15">
        <f>IF(OR(W62="",W4=""),"",IFERROR(W62/W4,""))</f>
        <v/>
      </c>
      <c r="X63" s="15">
        <f>IF(OR(X62="",X4=""),"",IFERROR(X62/X4,""))</f>
        <v/>
      </c>
      <c r="Y63" s="25">
        <f>IFERROR(AVERAGE(V63,W63,X63),"")</f>
        <v/>
      </c>
      <c r="Z63" s="26">
        <f>Y63</f>
        <v/>
      </c>
      <c r="AA63" s="26">
        <f>Z63</f>
        <v/>
      </c>
      <c r="AB63" s="26">
        <f>AA63</f>
        <v/>
      </c>
      <c r="AC63" s="26">
        <f>AB63</f>
        <v/>
      </c>
    </row>
    <row r="64">
      <c r="A64" s="9" t="inlineStr">
        <is>
          <t>법인세비용차감전순이익(손실)</t>
        </is>
      </c>
      <c r="B64" s="10" t="n"/>
      <c r="C64" s="11" t="n">
        <v>10443</v>
      </c>
      <c r="D64" s="12" t="n">
        <v>20946</v>
      </c>
      <c r="E64" s="12" t="n">
        <v>6463</v>
      </c>
      <c r="F64" s="12" t="n">
        <v>4645</v>
      </c>
      <c r="G64" s="12" t="n">
        <v>-191</v>
      </c>
      <c r="H64" s="12" t="n">
        <v>6394</v>
      </c>
      <c r="I64" s="12" t="n">
        <v>-6315</v>
      </c>
      <c r="J64" s="12" t="n">
        <v>795</v>
      </c>
      <c r="K64" s="12" t="n">
        <v>-6060</v>
      </c>
      <c r="L64" s="12" t="n">
        <v>-96591</v>
      </c>
      <c r="M64" s="12" t="n">
        <v>-4655</v>
      </c>
      <c r="N64" s="12" t="n">
        <v>1502</v>
      </c>
      <c r="O64" s="11" t="n"/>
      <c r="P64" s="12" t="n">
        <v>56257</v>
      </c>
      <c r="Q64" s="12" t="n">
        <v>87915</v>
      </c>
      <c r="R64" s="12" t="n">
        <v>11864</v>
      </c>
      <c r="S64" s="12" t="n">
        <v>-45342</v>
      </c>
      <c r="T64" s="12" t="n">
        <v>57096</v>
      </c>
      <c r="U64" s="12" t="n">
        <v>57058</v>
      </c>
      <c r="V64" s="12" t="n">
        <v>42669</v>
      </c>
      <c r="W64" s="12" t="n">
        <v>4533</v>
      </c>
      <c r="X64" s="12" t="n">
        <v>-106511</v>
      </c>
      <c r="Y64" s="11">
        <f>IF(OR(Y40=""),"",IFERROR(Y40+N(Y56)-N(Y58)+N(Y60)-N(Y62),""))</f>
        <v/>
      </c>
      <c r="Z64" s="12">
        <f>IF(OR(Z40=""),"",IFERROR(Z40+N(Z56)-N(Z58)+N(Z60)-N(Z62),""))</f>
        <v/>
      </c>
      <c r="AA64" s="12">
        <f>IF(OR(AA40=""),"",IFERROR(AA40+N(AA56)-N(AA58)+N(AA60)-N(AA62),""))</f>
        <v/>
      </c>
      <c r="AB64" s="12">
        <f>IF(OR(AB40=""),"",IFERROR(AB40+N(AB56)-N(AB58)+N(AB60)-N(AB62),""))</f>
        <v/>
      </c>
      <c r="AC64" s="12">
        <f>IF(OR(AC40=""),"",IFERROR(AC40+N(AC56)-N(AC58)+N(AC60)-N(AC62),""))</f>
        <v/>
      </c>
    </row>
    <row r="65">
      <c r="A65" s="13" t="inlineStr">
        <is>
          <t>YoY</t>
        </is>
      </c>
      <c r="B65" s="10" t="n"/>
      <c r="C65" s="14" t="n"/>
      <c r="D65" s="15" t="n"/>
      <c r="E65" s="15" t="n"/>
      <c r="F65" s="15" t="n"/>
      <c r="G65" s="15">
        <f>IF(OR(G64="",C64=""),"",IF(C64&lt;=0,"",IFERROR(G64/C64-1,"")))</f>
        <v/>
      </c>
      <c r="H65" s="15">
        <f>IF(OR(H64="",D64=""),"",IF(D64&lt;=0,"",IFERROR(H64/D64-1,"")))</f>
        <v/>
      </c>
      <c r="I65" s="15">
        <f>IF(OR(I64="",E64=""),"",IF(E64&lt;=0,"",IFERROR(I64/E64-1,"")))</f>
        <v/>
      </c>
      <c r="J65" s="15">
        <f>IF(OR(J64="",F64=""),"",IF(F64&lt;=0,"",IFERROR(J64/F64-1,"")))</f>
        <v/>
      </c>
      <c r="K65" s="15">
        <f>IF(OR(K64="",G64=""),"",IF(G64&lt;=0,"",IFERROR(K64/G64-1,"")))</f>
        <v/>
      </c>
      <c r="L65" s="15">
        <f>IF(OR(L64="",H64=""),"",IF(H64&lt;=0,"",IFERROR(L64/H64-1,"")))</f>
        <v/>
      </c>
      <c r="M65" s="15">
        <f>IF(OR(M64="",I64=""),"",IF(I64&lt;=0,"",IFERROR(M64/I64-1,"")))</f>
        <v/>
      </c>
      <c r="N65" s="15">
        <f>IF(OR(N64="",J64=""),"",IF(J64&lt;=0,"",IFERROR(N64/J64-1,"")))</f>
        <v/>
      </c>
      <c r="O65" s="14" t="n"/>
      <c r="P65" s="15">
        <f>IF(OR(P64="",O64=""),"",IF(O64&lt;=0,"",IFERROR(P64/O64-1,"")))</f>
        <v/>
      </c>
      <c r="Q65" s="15">
        <f>IF(OR(Q64="",P64=""),"",IF(P64&lt;=0,"",IFERROR(Q64/P64-1,"")))</f>
        <v/>
      </c>
      <c r="R65" s="15">
        <f>IF(OR(R64="",Q64=""),"",IF(Q64&lt;=0,"",IFERROR(R64/Q64-1,"")))</f>
        <v/>
      </c>
      <c r="S65" s="15">
        <f>IF(OR(S64="",R64=""),"",IF(R64&lt;=0,"",IFERROR(S64/R64-1,"")))</f>
        <v/>
      </c>
      <c r="T65" s="15">
        <f>IF(OR(T64="",S64=""),"",IF(S64&lt;=0,"",IFERROR(T64/S64-1,"")))</f>
        <v/>
      </c>
      <c r="U65" s="15">
        <f>IF(OR(U64="",T64=""),"",IF(T64&lt;=0,"",IFERROR(U64/T64-1,"")))</f>
        <v/>
      </c>
      <c r="V65" s="15">
        <f>IF(OR(V64="",U64=""),"",IF(U64&lt;=0,"",IFERROR(V64/U64-1,"")))</f>
        <v/>
      </c>
      <c r="W65" s="15">
        <f>IF(OR(W64="",V64=""),"",IF(V64&lt;=0,"",IFERROR(W64/V64-1,"")))</f>
        <v/>
      </c>
      <c r="X65" s="15">
        <f>IF(OR(X64="",W64=""),"",IF(W64&lt;=0,"",IFERROR(X64/W64-1,"")))</f>
        <v/>
      </c>
      <c r="Y65" s="14">
        <f>IF(OR(Y64="",X64=""),"",IF(X64&lt;=0,"",IFERROR(Y64/X64-1,"")))</f>
        <v/>
      </c>
      <c r="Z65" s="15">
        <f>IF(OR(Z64="",Y64=""),"",IF(Y64&lt;=0,"",IFERROR(Z64/Y64-1,"")))</f>
        <v/>
      </c>
      <c r="AA65" s="15">
        <f>IF(OR(AA64="",Z64=""),"",IF(Z64&lt;=0,"",IFERROR(AA64/Z64-1,"")))</f>
        <v/>
      </c>
      <c r="AB65" s="15">
        <f>IF(OR(AB64="",AA64=""),"",IF(AA64&lt;=0,"",IFERROR(AB64/AA64-1,"")))</f>
        <v/>
      </c>
      <c r="AC65" s="15">
        <f>IF(OR(AC64="",AB64=""),"",IF(AB64&lt;=0,"",IFERROR(AC64/AB64-1,"")))</f>
        <v/>
      </c>
    </row>
    <row r="66">
      <c r="A66" s="18" t="inlineStr">
        <is>
          <t>법인세비용(수익)</t>
        </is>
      </c>
      <c r="B66" s="10" t="n"/>
      <c r="C66" s="19" t="n">
        <v>3349</v>
      </c>
      <c r="D66" s="20" t="n">
        <v>5762</v>
      </c>
      <c r="E66" s="20" t="n">
        <v>-1152</v>
      </c>
      <c r="F66" s="20" t="n">
        <v>1869</v>
      </c>
      <c r="G66" s="20" t="n">
        <v>-404</v>
      </c>
      <c r="H66" s="20" t="n">
        <v>3070</v>
      </c>
      <c r="I66" s="20" t="n">
        <v>-6125</v>
      </c>
      <c r="J66" s="20" t="n">
        <v>-8667</v>
      </c>
      <c r="K66" s="20" t="n">
        <v>-1980</v>
      </c>
      <c r="L66" s="20" t="n">
        <v>-4039</v>
      </c>
      <c r="M66" s="20" t="n">
        <v>-5790</v>
      </c>
      <c r="N66" s="20" t="n">
        <v>196</v>
      </c>
      <c r="O66" s="19" t="n"/>
      <c r="P66" s="20" t="n">
        <v>21422</v>
      </c>
      <c r="Q66" s="20" t="n">
        <v>21318</v>
      </c>
      <c r="R66" s="20" t="n">
        <v>4022</v>
      </c>
      <c r="S66" s="20" t="n">
        <v>-10832</v>
      </c>
      <c r="T66" s="20" t="n">
        <v>14843</v>
      </c>
      <c r="U66" s="20" t="n">
        <v>13775</v>
      </c>
      <c r="V66" s="20" t="n">
        <v>10535</v>
      </c>
      <c r="W66" s="20" t="n">
        <v>-1590</v>
      </c>
      <c r="X66" s="20" t="n">
        <v>-20476</v>
      </c>
      <c r="Y66" s="19">
        <f>IF(OR(Y64="",Y67=""),"",IFERROR(MAX(Y64,0)*Y67,""))</f>
        <v/>
      </c>
      <c r="Z66" s="20">
        <f>IF(OR(Z64="",Z67=""),"",IFERROR(MAX(Z64,0)*Z67,""))</f>
        <v/>
      </c>
      <c r="AA66" s="20">
        <f>IF(OR(AA64="",AA67=""),"",IFERROR(MAX(AA64,0)*AA67,""))</f>
        <v/>
      </c>
      <c r="AB66" s="20">
        <f>IF(OR(AB64="",AB67=""),"",IFERROR(MAX(AB64,0)*AB67,""))</f>
        <v/>
      </c>
      <c r="AC66" s="20">
        <f>IF(OR(AC64="",AC67=""),"",IFERROR(MAX(AC64,0)*AC67,""))</f>
        <v/>
      </c>
    </row>
    <row r="67">
      <c r="A67" s="13" t="inlineStr">
        <is>
          <t>법인세율</t>
        </is>
      </c>
      <c r="B67" s="10" t="inlineStr">
        <is>
          <t>MW 기본 30%</t>
        </is>
      </c>
      <c r="C67" s="14">
        <f>IF(OR(C66="",C64=""),"",IFERROR(C66/C64,""))</f>
        <v/>
      </c>
      <c r="D67" s="15">
        <f>IF(OR(D66="",D64=""),"",IFERROR(D66/D64,""))</f>
        <v/>
      </c>
      <c r="E67" s="15">
        <f>IF(OR(E66="",E64=""),"",IFERROR(E66/E64,""))</f>
        <v/>
      </c>
      <c r="F67" s="15">
        <f>IF(OR(F66="",F64=""),"",IFERROR(F66/F64,""))</f>
        <v/>
      </c>
      <c r="G67" s="15">
        <f>IF(OR(G66="",G64=""),"",IFERROR(G66/G64,""))</f>
        <v/>
      </c>
      <c r="H67" s="15">
        <f>IF(OR(H66="",H64=""),"",IFERROR(H66/H64,""))</f>
        <v/>
      </c>
      <c r="I67" s="15">
        <f>IF(OR(I66="",I64=""),"",IFERROR(I66/I64,""))</f>
        <v/>
      </c>
      <c r="J67" s="15">
        <f>IF(OR(J66="",J64=""),"",IFERROR(J66/J64,""))</f>
        <v/>
      </c>
      <c r="K67" s="15">
        <f>IF(OR(K66="",K64=""),"",IFERROR(K66/K64,""))</f>
        <v/>
      </c>
      <c r="L67" s="15">
        <f>IF(OR(L66="",L64=""),"",IFERROR(L66/L64,""))</f>
        <v/>
      </c>
      <c r="M67" s="15">
        <f>IF(OR(M66="",M64=""),"",IFERROR(M66/M64,""))</f>
        <v/>
      </c>
      <c r="N67" s="15">
        <f>IF(OR(N66="",N64=""),"",IFERROR(N66/N64,""))</f>
        <v/>
      </c>
      <c r="O67" s="14">
        <f>IF(OR(O66="",O64=""),"",IFERROR(O66/O64,""))</f>
        <v/>
      </c>
      <c r="P67" s="15">
        <f>IF(OR(P66="",P64=""),"",IFERROR(P66/P64,""))</f>
        <v/>
      </c>
      <c r="Q67" s="15">
        <f>IF(OR(Q66="",Q64=""),"",IFERROR(Q66/Q64,""))</f>
        <v/>
      </c>
      <c r="R67" s="15">
        <f>IF(OR(R66="",R64=""),"",IFERROR(R66/R64,""))</f>
        <v/>
      </c>
      <c r="S67" s="15">
        <f>IF(OR(S66="",S64=""),"",IFERROR(S66/S64,""))</f>
        <v/>
      </c>
      <c r="T67" s="15">
        <f>IF(OR(T66="",T64=""),"",IFERROR(T66/T64,""))</f>
        <v/>
      </c>
      <c r="U67" s="15">
        <f>IF(OR(U66="",U64=""),"",IFERROR(U66/U64,""))</f>
        <v/>
      </c>
      <c r="V67" s="15">
        <f>IF(OR(V66="",V64=""),"",IFERROR(V66/V64,""))</f>
        <v/>
      </c>
      <c r="W67" s="15">
        <f>IF(OR(W66="",W64=""),"",IFERROR(W66/W64,""))</f>
        <v/>
      </c>
      <c r="X67" s="15">
        <f>IF(OR(X66="",X64=""),"",IFERROR(X66/X64,""))</f>
        <v/>
      </c>
      <c r="Y67" s="25" t="n">
        <v>0.3</v>
      </c>
      <c r="Z67" s="26" t="n">
        <v>0.3</v>
      </c>
      <c r="AA67" s="26" t="n">
        <v>0.3</v>
      </c>
      <c r="AB67" s="26" t="n">
        <v>0.3</v>
      </c>
      <c r="AC67" s="26" t="n">
        <v>0.3</v>
      </c>
    </row>
    <row r="68">
      <c r="A68" s="9" t="inlineStr">
        <is>
          <t>당기순이익(손실)</t>
        </is>
      </c>
      <c r="B68" s="10" t="n"/>
      <c r="C68" s="11" t="n">
        <v>7094</v>
      </c>
      <c r="D68" s="12" t="n">
        <v>15184</v>
      </c>
      <c r="E68" s="12" t="n">
        <v>7615</v>
      </c>
      <c r="F68" s="12" t="n">
        <v>2776</v>
      </c>
      <c r="G68" s="12" t="n">
        <v>212</v>
      </c>
      <c r="H68" s="12" t="n">
        <v>3325</v>
      </c>
      <c r="I68" s="12" t="n">
        <v>-190</v>
      </c>
      <c r="J68" s="12" t="n">
        <v>9462</v>
      </c>
      <c r="K68" s="12" t="n">
        <v>-4080</v>
      </c>
      <c r="L68" s="12" t="n">
        <v>-92552</v>
      </c>
      <c r="M68" s="12" t="n">
        <v>1135</v>
      </c>
      <c r="N68" s="12" t="n">
        <v>1306</v>
      </c>
      <c r="O68" s="11" t="n"/>
      <c r="P68" s="12" t="n">
        <v>34835</v>
      </c>
      <c r="Q68" s="12" t="n">
        <v>66597</v>
      </c>
      <c r="R68" s="12" t="n">
        <v>7842</v>
      </c>
      <c r="S68" s="12" t="n">
        <v>-34509</v>
      </c>
      <c r="T68" s="12" t="n">
        <v>42253</v>
      </c>
      <c r="U68" s="12" t="n">
        <v>43284</v>
      </c>
      <c r="V68" s="12" t="n">
        <v>32134</v>
      </c>
      <c r="W68" s="12" t="n">
        <v>6123</v>
      </c>
      <c r="X68" s="12" t="n">
        <v>-86035</v>
      </c>
      <c r="Y68" s="11">
        <f>IF(OR(Y64=""),"",IFERROR(Y64-Y66,""))</f>
        <v/>
      </c>
      <c r="Z68" s="12">
        <f>IF(OR(Z64=""),"",IFERROR(Z64-Z66,""))</f>
        <v/>
      </c>
      <c r="AA68" s="12">
        <f>IF(OR(AA64=""),"",IFERROR(AA64-AA66,""))</f>
        <v/>
      </c>
      <c r="AB68" s="12">
        <f>IF(OR(AB64=""),"",IFERROR(AB64-AB66,""))</f>
        <v/>
      </c>
      <c r="AC68" s="12">
        <f>IF(OR(AC64=""),"",IFERROR(AC64-AC66,""))</f>
        <v/>
      </c>
    </row>
    <row r="69">
      <c r="A69" s="13" t="inlineStr">
        <is>
          <t>YoY</t>
        </is>
      </c>
      <c r="B69" s="10" t="n"/>
      <c r="C69" s="14" t="n"/>
      <c r="D69" s="15" t="n"/>
      <c r="E69" s="15" t="n"/>
      <c r="F69" s="15" t="n"/>
      <c r="G69" s="15">
        <f>IF(OR(G68="",C68=""),"",IF(C68&lt;=0,"",IFERROR(G68/C68-1,"")))</f>
        <v/>
      </c>
      <c r="H69" s="15">
        <f>IF(OR(H68="",D68=""),"",IF(D68&lt;=0,"",IFERROR(H68/D68-1,"")))</f>
        <v/>
      </c>
      <c r="I69" s="15">
        <f>IF(OR(I68="",E68=""),"",IF(E68&lt;=0,"",IFERROR(I68/E68-1,"")))</f>
        <v/>
      </c>
      <c r="J69" s="15">
        <f>IF(OR(J68="",F68=""),"",IF(F68&lt;=0,"",IFERROR(J68/F68-1,"")))</f>
        <v/>
      </c>
      <c r="K69" s="15">
        <f>IF(OR(K68="",G68=""),"",IF(G68&lt;=0,"",IFERROR(K68/G68-1,"")))</f>
        <v/>
      </c>
      <c r="L69" s="15">
        <f>IF(OR(L68="",H68=""),"",IF(H68&lt;=0,"",IFERROR(L68/H68-1,"")))</f>
        <v/>
      </c>
      <c r="M69" s="15">
        <f>IF(OR(M68="",I68=""),"",IF(I68&lt;=0,"",IFERROR(M68/I68-1,"")))</f>
        <v/>
      </c>
      <c r="N69" s="15">
        <f>IF(OR(N68="",J68=""),"",IF(J68&lt;=0,"",IFERROR(N68/J68-1,"")))</f>
        <v/>
      </c>
      <c r="O69" s="14" t="n"/>
      <c r="P69" s="15">
        <f>IF(OR(P68="",O68=""),"",IF(O68&lt;=0,"",IFERROR(P68/O68-1,"")))</f>
        <v/>
      </c>
      <c r="Q69" s="15">
        <f>IF(OR(Q68="",P68=""),"",IF(P68&lt;=0,"",IFERROR(Q68/P68-1,"")))</f>
        <v/>
      </c>
      <c r="R69" s="15">
        <f>IF(OR(R68="",Q68=""),"",IF(Q68&lt;=0,"",IFERROR(R68/Q68-1,"")))</f>
        <v/>
      </c>
      <c r="S69" s="15">
        <f>IF(OR(S68="",R68=""),"",IF(R68&lt;=0,"",IFERROR(S68/R68-1,"")))</f>
        <v/>
      </c>
      <c r="T69" s="15">
        <f>IF(OR(T68="",S68=""),"",IF(S68&lt;=0,"",IFERROR(T68/S68-1,"")))</f>
        <v/>
      </c>
      <c r="U69" s="15">
        <f>IF(OR(U68="",T68=""),"",IF(T68&lt;=0,"",IFERROR(U68/T68-1,"")))</f>
        <v/>
      </c>
      <c r="V69" s="15">
        <f>IF(OR(V68="",U68=""),"",IF(U68&lt;=0,"",IFERROR(V68/U68-1,"")))</f>
        <v/>
      </c>
      <c r="W69" s="15">
        <f>IF(OR(W68="",V68=""),"",IF(V68&lt;=0,"",IFERROR(W68/V68-1,"")))</f>
        <v/>
      </c>
      <c r="X69" s="15">
        <f>IF(OR(X68="",W68=""),"",IF(W68&lt;=0,"",IFERROR(X68/W68-1,"")))</f>
        <v/>
      </c>
      <c r="Y69" s="14">
        <f>IF(OR(Y68="",X68=""),"",IF(X68&lt;=0,"",IFERROR(Y68/X68-1,"")))</f>
        <v/>
      </c>
      <c r="Z69" s="15">
        <f>IF(OR(Z68="",Y68=""),"",IF(Y68&lt;=0,"",IFERROR(Z68/Y68-1,"")))</f>
        <v/>
      </c>
      <c r="AA69" s="15">
        <f>IF(OR(AA68="",Z68=""),"",IF(Z68&lt;=0,"",IFERROR(AA68/Z68-1,"")))</f>
        <v/>
      </c>
      <c r="AB69" s="15">
        <f>IF(OR(AB68="",AA68=""),"",IF(AA68&lt;=0,"",IFERROR(AB68/AA68-1,"")))</f>
        <v/>
      </c>
      <c r="AC69" s="15">
        <f>IF(OR(AC68="",AB68=""),"",IF(AB68&lt;=0,"",IFERROR(AC68/AB68-1,"")))</f>
        <v/>
      </c>
    </row>
    <row r="70">
      <c r="A70" s="9" t="inlineStr">
        <is>
          <t>지배주주 순이익</t>
        </is>
      </c>
      <c r="B70" s="10" t="n"/>
      <c r="C70" s="11" t="n">
        <v>7225</v>
      </c>
      <c r="D70" s="12" t="n">
        <v>15172</v>
      </c>
      <c r="E70" s="12" t="n">
        <v>7597</v>
      </c>
      <c r="F70" s="12" t="n">
        <v>2755</v>
      </c>
      <c r="G70" s="12" t="n">
        <v>208</v>
      </c>
      <c r="H70" s="12" t="n">
        <v>3299</v>
      </c>
      <c r="I70" s="12" t="n">
        <v>-139</v>
      </c>
      <c r="J70" s="12" t="n">
        <v>9469</v>
      </c>
      <c r="K70" s="12" t="n">
        <v>-4113</v>
      </c>
      <c r="L70" s="12" t="n">
        <v>-92572</v>
      </c>
      <c r="M70" s="12" t="n">
        <v>1128</v>
      </c>
      <c r="N70" s="12" t="n">
        <v>1289</v>
      </c>
      <c r="O70" s="11" t="n"/>
      <c r="P70" s="12" t="n">
        <v>34772</v>
      </c>
      <c r="Q70" s="12" t="n">
        <v>66513</v>
      </c>
      <c r="R70" s="12" t="n">
        <v>7693</v>
      </c>
      <c r="S70" s="12" t="n">
        <v>-34497</v>
      </c>
      <c r="T70" s="12" t="n">
        <v>42679</v>
      </c>
      <c r="U70" s="12" t="n">
        <v>44944</v>
      </c>
      <c r="V70" s="12" t="n">
        <v>32570</v>
      </c>
      <c r="W70" s="12" t="n">
        <v>6123</v>
      </c>
      <c r="X70" s="12" t="n">
        <v>-86088</v>
      </c>
      <c r="Y70" s="11">
        <f>IF(OR(Y68="",Y71=""),"",IFERROR(Y68*Y71,""))</f>
        <v/>
      </c>
      <c r="Z70" s="12">
        <f>IF(OR(Z68="",Z71=""),"",IFERROR(Z68*Z71,""))</f>
        <v/>
      </c>
      <c r="AA70" s="12">
        <f>IF(OR(AA68="",AA71=""),"",IFERROR(AA68*AA71,""))</f>
        <v/>
      </c>
      <c r="AB70" s="12">
        <f>IF(OR(AB68="",AB71=""),"",IFERROR(AB68*AB71,""))</f>
        <v/>
      </c>
      <c r="AC70" s="12">
        <f>IF(OR(AC68="",AC71=""),"",IFERROR(AC68*AC71,""))</f>
        <v/>
      </c>
    </row>
    <row r="71">
      <c r="A71" s="13" t="inlineStr">
        <is>
          <t>지배주주 순이익률</t>
        </is>
      </c>
      <c r="B71" s="10" t="inlineStr">
        <is>
          <t>MW 기본 100%</t>
        </is>
      </c>
      <c r="C71" s="14">
        <f>IF(OR(C70="",C68=""),"",IFERROR(C70/C68,""))</f>
        <v/>
      </c>
      <c r="D71" s="15">
        <f>IF(OR(D70="",D68=""),"",IFERROR(D70/D68,""))</f>
        <v/>
      </c>
      <c r="E71" s="15">
        <f>IF(OR(E70="",E68=""),"",IFERROR(E70/E68,""))</f>
        <v/>
      </c>
      <c r="F71" s="15">
        <f>IF(OR(F70="",F68=""),"",IFERROR(F70/F68,""))</f>
        <v/>
      </c>
      <c r="G71" s="15">
        <f>IF(OR(G70="",G68=""),"",IFERROR(G70/G68,""))</f>
        <v/>
      </c>
      <c r="H71" s="15">
        <f>IF(OR(H70="",H68=""),"",IFERROR(H70/H68,""))</f>
        <v/>
      </c>
      <c r="I71" s="15">
        <f>IF(OR(I70="",I68=""),"",IFERROR(I70/I68,""))</f>
        <v/>
      </c>
      <c r="J71" s="15">
        <f>IF(OR(J70="",J68=""),"",IFERROR(J70/J68,""))</f>
        <v/>
      </c>
      <c r="K71" s="15">
        <f>IF(OR(K70="",K68=""),"",IFERROR(K70/K68,""))</f>
        <v/>
      </c>
      <c r="L71" s="15">
        <f>IF(OR(L70="",L68=""),"",IFERROR(L70/L68,""))</f>
        <v/>
      </c>
      <c r="M71" s="15">
        <f>IF(OR(M70="",M68=""),"",IFERROR(M70/M68,""))</f>
        <v/>
      </c>
      <c r="N71" s="15">
        <f>IF(OR(N70="",N68=""),"",IFERROR(N70/N68,""))</f>
        <v/>
      </c>
      <c r="O71" s="14">
        <f>IF(OR(O70="",O68=""),"",IFERROR(O70/O68,""))</f>
        <v/>
      </c>
      <c r="P71" s="15">
        <f>IF(OR(P70="",P68=""),"",IFERROR(P70/P68,""))</f>
        <v/>
      </c>
      <c r="Q71" s="15">
        <f>IF(OR(Q70="",Q68=""),"",IFERROR(Q70/Q68,""))</f>
        <v/>
      </c>
      <c r="R71" s="15">
        <f>IF(OR(R70="",R68=""),"",IFERROR(R70/R68,""))</f>
        <v/>
      </c>
      <c r="S71" s="15">
        <f>IF(OR(S70="",S68=""),"",IFERROR(S70/S68,""))</f>
        <v/>
      </c>
      <c r="T71" s="15">
        <f>IF(OR(T70="",T68=""),"",IFERROR(T70/T68,""))</f>
        <v/>
      </c>
      <c r="U71" s="15">
        <f>IF(OR(U70="",U68=""),"",IFERROR(U70/U68,""))</f>
        <v/>
      </c>
      <c r="V71" s="15">
        <f>IF(OR(V70="",V68=""),"",IFERROR(V70/V68,""))</f>
        <v/>
      </c>
      <c r="W71" s="15">
        <f>IF(OR(W70="",W68=""),"",IFERROR(W70/W68,""))</f>
        <v/>
      </c>
      <c r="X71" s="15">
        <f>IF(OR(X70="",X68=""),"",IFERROR(X70/X68,""))</f>
        <v/>
      </c>
      <c r="Y71" s="25" t="n">
        <v>1</v>
      </c>
      <c r="Z71" s="26" t="n">
        <v>1</v>
      </c>
      <c r="AA71" s="26" t="n">
        <v>1</v>
      </c>
      <c r="AB71" s="26" t="n">
        <v>1</v>
      </c>
      <c r="AC71" s="26" t="n">
        <v>1</v>
      </c>
    </row>
    <row r="72">
      <c r="A72" s="13" t="inlineStr">
        <is>
          <t>지배주주 순이익 YoY</t>
        </is>
      </c>
      <c r="B72" s="10" t="n"/>
      <c r="C72" s="14" t="n"/>
      <c r="D72" s="15" t="n"/>
      <c r="E72" s="15" t="n"/>
      <c r="F72" s="15" t="n"/>
      <c r="G72" s="15">
        <f>IF(OR(G70="",C70=""),"",IF(C70&lt;=0,"",IFERROR(G70/C70-1,"")))</f>
        <v/>
      </c>
      <c r="H72" s="15">
        <f>IF(OR(H70="",D70=""),"",IF(D70&lt;=0,"",IFERROR(H70/D70-1,"")))</f>
        <v/>
      </c>
      <c r="I72" s="15">
        <f>IF(OR(I70="",E70=""),"",IF(E70&lt;=0,"",IFERROR(I70/E70-1,"")))</f>
        <v/>
      </c>
      <c r="J72" s="15">
        <f>IF(OR(J70="",F70=""),"",IF(F70&lt;=0,"",IFERROR(J70/F70-1,"")))</f>
        <v/>
      </c>
      <c r="K72" s="15">
        <f>IF(OR(K70="",G70=""),"",IF(G70&lt;=0,"",IFERROR(K70/G70-1,"")))</f>
        <v/>
      </c>
      <c r="L72" s="15">
        <f>IF(OR(L70="",H70=""),"",IF(H70&lt;=0,"",IFERROR(L70/H70-1,"")))</f>
        <v/>
      </c>
      <c r="M72" s="15">
        <f>IF(OR(M70="",I70=""),"",IF(I70&lt;=0,"",IFERROR(M70/I70-1,"")))</f>
        <v/>
      </c>
      <c r="N72" s="15">
        <f>IF(OR(N70="",J70=""),"",IF(J70&lt;=0,"",IFERROR(N70/J70-1,"")))</f>
        <v/>
      </c>
      <c r="O72" s="14" t="n"/>
      <c r="P72" s="15">
        <f>IF(OR(P70="",O70=""),"",IF(O70&lt;=0,"",IFERROR(P70/O70-1,"")))</f>
        <v/>
      </c>
      <c r="Q72" s="15">
        <f>IF(OR(Q70="",P70=""),"",IF(P70&lt;=0,"",IFERROR(Q70/P70-1,"")))</f>
        <v/>
      </c>
      <c r="R72" s="15">
        <f>IF(OR(R70="",Q70=""),"",IF(Q70&lt;=0,"",IFERROR(R70/Q70-1,"")))</f>
        <v/>
      </c>
      <c r="S72" s="15">
        <f>IF(OR(S70="",R70=""),"",IF(R70&lt;=0,"",IFERROR(S70/R70-1,"")))</f>
        <v/>
      </c>
      <c r="T72" s="15">
        <f>IF(OR(T70="",S70=""),"",IF(S70&lt;=0,"",IFERROR(T70/S70-1,"")))</f>
        <v/>
      </c>
      <c r="U72" s="15">
        <f>IF(OR(U70="",T70=""),"",IF(T70&lt;=0,"",IFERROR(U70/T70-1,"")))</f>
        <v/>
      </c>
      <c r="V72" s="15">
        <f>IF(OR(V70="",U70=""),"",IF(U70&lt;=0,"",IFERROR(V70/U70-1,"")))</f>
        <v/>
      </c>
      <c r="W72" s="15">
        <f>IF(OR(W70="",V70=""),"",IF(V70&lt;=0,"",IFERROR(W70/V70-1,"")))</f>
        <v/>
      </c>
      <c r="X72" s="15">
        <f>IF(OR(X70="",W70=""),"",IF(W70&lt;=0,"",IFERROR(X70/W70-1,"")))</f>
        <v/>
      </c>
      <c r="Y72" s="14">
        <f>IF(OR(Y70="",X70=""),"",IF(X70&lt;=0,"",IFERROR(Y70/X70-1,"")))</f>
        <v/>
      </c>
      <c r="Z72" s="15">
        <f>IF(OR(Z70="",Y70=""),"",IF(Y70&lt;=0,"",IFERROR(Z70/Y70-1,"")))</f>
        <v/>
      </c>
      <c r="AA72" s="15">
        <f>IF(OR(AA70="",Z70=""),"",IF(Z70&lt;=0,"",IFERROR(AA70/Z70-1,"")))</f>
        <v/>
      </c>
      <c r="AB72" s="15">
        <f>IF(OR(AB70="",AA70=""),"",IF(AA70&lt;=0,"",IFERROR(AB70/AA70-1,"")))</f>
        <v/>
      </c>
      <c r="AC72" s="15">
        <f>IF(OR(AC70="",AB70=""),"",IF(AB70&lt;=0,"",IFERROR(AC70/AB70-1,"")))</f>
        <v/>
      </c>
    </row>
    <row r="73">
      <c r="A73" s="16" t="inlineStr">
        <is>
          <t>목표주가 산출</t>
        </is>
      </c>
      <c r="B73" s="16" t="n"/>
      <c r="C73" s="17" t="n"/>
      <c r="D73" s="16" t="n"/>
      <c r="E73" s="16" t="n"/>
      <c r="F73" s="16" t="n"/>
      <c r="G73" s="16" t="n"/>
      <c r="H73" s="16" t="n"/>
      <c r="I73" s="16" t="n"/>
      <c r="J73" s="16" t="n"/>
      <c r="K73" s="16" t="n"/>
      <c r="L73" s="16" t="n"/>
      <c r="M73" s="16" t="n"/>
      <c r="N73" s="16" t="n"/>
      <c r="O73" s="17" t="n"/>
      <c r="P73" s="16" t="n"/>
      <c r="Q73" s="16" t="n"/>
      <c r="R73" s="16" t="n"/>
      <c r="S73" s="16" t="n"/>
      <c r="T73" s="16" t="n"/>
      <c r="U73" s="16" t="n"/>
      <c r="V73" s="16" t="n"/>
      <c r="W73" s="16" t="n"/>
      <c r="X73" s="16" t="n"/>
      <c r="Y73" s="17" t="n"/>
      <c r="Z73" s="16" t="n"/>
      <c r="AA73" s="16" t="n"/>
      <c r="AB73" s="16" t="n"/>
      <c r="AC73" s="16" t="n"/>
    </row>
    <row r="74">
      <c r="A74" s="18" t="inlineStr">
        <is>
          <t>현재 주가 ()</t>
        </is>
      </c>
      <c r="B74" s="27" t="n"/>
      <c r="C74" s="28" t="n"/>
      <c r="D74" s="29" t="n"/>
      <c r="E74" s="29" t="n"/>
      <c r="F74" s="29" t="n"/>
      <c r="G74" s="29" t="n"/>
      <c r="H74" s="29" t="n"/>
      <c r="I74" s="29" t="n"/>
      <c r="J74" s="29" t="n"/>
      <c r="K74" s="29" t="n"/>
      <c r="L74" s="29" t="n"/>
      <c r="M74" s="29" t="n"/>
      <c r="N74" s="29" t="n"/>
      <c r="O74" s="28" t="n"/>
      <c r="P74" s="29" t="n"/>
      <c r="Q74" s="29" t="n"/>
      <c r="R74" s="29" t="n"/>
      <c r="S74" s="29" t="n"/>
      <c r="T74" s="29" t="n"/>
      <c r="U74" s="29" t="n"/>
      <c r="V74" s="29" t="n"/>
      <c r="W74" s="29" t="n"/>
      <c r="X74" s="29" t="n"/>
      <c r="Y74" s="28" t="n"/>
      <c r="Z74" s="29" t="n"/>
      <c r="AA74" s="29" t="n"/>
      <c r="AB74" s="29" t="n"/>
      <c r="AC74" s="29" t="n"/>
    </row>
    <row r="75">
      <c r="A75" s="18" t="inlineStr">
        <is>
          <t>발행주식수 (보통주)</t>
        </is>
      </c>
      <c r="B75" s="27" t="n"/>
      <c r="C75" s="28" t="n"/>
      <c r="D75" s="29" t="n"/>
      <c r="E75" s="29" t="n"/>
      <c r="F75" s="29" t="n"/>
      <c r="G75" s="29" t="n"/>
      <c r="H75" s="29" t="n"/>
      <c r="I75" s="29" t="n"/>
      <c r="J75" s="29" t="n"/>
      <c r="K75" s="29" t="n"/>
      <c r="L75" s="29" t="n"/>
      <c r="M75" s="29" t="n"/>
      <c r="N75" s="29" t="n"/>
      <c r="O75" s="28" t="n"/>
      <c r="P75" s="29" t="n"/>
      <c r="Q75" s="29" t="n"/>
      <c r="R75" s="29" t="n"/>
      <c r="S75" s="29" t="n"/>
      <c r="T75" s="29" t="n"/>
      <c r="U75" s="29" t="n"/>
      <c r="V75" s="29" t="n"/>
      <c r="W75" s="29" t="n"/>
      <c r="X75" s="29" t="n"/>
      <c r="Y75" s="28" t="n"/>
      <c r="Z75" s="29" t="n"/>
      <c r="AA75" s="29" t="n"/>
      <c r="AB75" s="29" t="n"/>
      <c r="AC75" s="29" t="n"/>
    </row>
    <row r="76">
      <c r="A76" s="18" t="inlineStr">
        <is>
          <t>시가총액 (백만엔)</t>
        </is>
      </c>
      <c r="B76" s="12">
        <f>IF(OR(B74="",B75=""),"",B74*B75/1000000.0)</f>
        <v/>
      </c>
      <c r="C76" s="19" t="n"/>
      <c r="D76" s="20" t="n"/>
      <c r="E76" s="20" t="n"/>
      <c r="F76" s="20" t="n"/>
      <c r="G76" s="20" t="n"/>
      <c r="H76" s="20" t="n"/>
      <c r="I76" s="20" t="n"/>
      <c r="J76" s="20" t="n"/>
      <c r="K76" s="20" t="n"/>
      <c r="L76" s="20" t="n"/>
      <c r="M76" s="20" t="n"/>
      <c r="N76" s="20" t="n"/>
      <c r="O76" s="19" t="n"/>
      <c r="P76" s="20" t="n"/>
      <c r="Q76" s="20" t="n"/>
      <c r="R76" s="20" t="n"/>
      <c r="S76" s="20" t="n"/>
      <c r="T76" s="20" t="n"/>
      <c r="U76" s="20" t="n"/>
      <c r="V76" s="20" t="n"/>
      <c r="W76" s="20" t="n"/>
      <c r="X76" s="20" t="n"/>
      <c r="Y76" s="19" t="n"/>
      <c r="Z76" s="20" t="n"/>
      <c r="AA76" s="20" t="n"/>
      <c r="AB76" s="20" t="n"/>
      <c r="AC76" s="20" t="n"/>
    </row>
    <row r="77">
      <c r="A77" s="13" t="inlineStr">
        <is>
          <t>OPM</t>
        </is>
      </c>
      <c r="B77" s="10" t="n"/>
      <c r="C77" s="14" t="n"/>
      <c r="D77" s="15" t="n"/>
      <c r="E77" s="15" t="n"/>
      <c r="F77" s="15" t="n"/>
      <c r="G77" s="15" t="n"/>
      <c r="H77" s="15" t="n"/>
      <c r="I77" s="15" t="n"/>
      <c r="J77" s="15" t="n"/>
      <c r="K77" s="15" t="n"/>
      <c r="L77" s="15" t="n"/>
      <c r="M77" s="15" t="n"/>
      <c r="N77" s="15" t="n"/>
      <c r="O77" s="14">
        <f>IF(O41="","",O41)</f>
        <v/>
      </c>
      <c r="P77" s="15">
        <f>IF(P41="","",P41)</f>
        <v/>
      </c>
      <c r="Q77" s="15">
        <f>IF(Q41="","",Q41)</f>
        <v/>
      </c>
      <c r="R77" s="15">
        <f>IF(R41="","",R41)</f>
        <v/>
      </c>
      <c r="S77" s="15">
        <f>IF(S41="","",S41)</f>
        <v/>
      </c>
      <c r="T77" s="15">
        <f>IF(T41="","",T41)</f>
        <v/>
      </c>
      <c r="U77" s="15">
        <f>IF(U41="","",U41)</f>
        <v/>
      </c>
      <c r="V77" s="15">
        <f>IF(V41="","",V41)</f>
        <v/>
      </c>
      <c r="W77" s="15">
        <f>IF(W41="","",W41)</f>
        <v/>
      </c>
      <c r="X77" s="15">
        <f>IF(X41="","",X41)</f>
        <v/>
      </c>
      <c r="Y77" s="14">
        <f>IF(Y41="","",Y41)</f>
        <v/>
      </c>
      <c r="Z77" s="15">
        <f>IF(Z41="","",Z41)</f>
        <v/>
      </c>
      <c r="AA77" s="15">
        <f>IF(AA41="","",AA41)</f>
        <v/>
      </c>
      <c r="AB77" s="15">
        <f>IF(AB41="","",AB41)</f>
        <v/>
      </c>
      <c r="AC77" s="15">
        <f>IF(AC41="","",AC41)</f>
        <v/>
      </c>
    </row>
    <row r="78">
      <c r="A78" s="13" t="inlineStr">
        <is>
          <t>지배주주 순이익 증가율</t>
        </is>
      </c>
      <c r="B78" s="10" t="n"/>
      <c r="C78" s="14" t="n"/>
      <c r="D78" s="15" t="n"/>
      <c r="E78" s="15" t="n"/>
      <c r="F78" s="15" t="n"/>
      <c r="G78" s="15" t="n"/>
      <c r="H78" s="15" t="n"/>
      <c r="I78" s="15" t="n"/>
      <c r="J78" s="15" t="n"/>
      <c r="K78" s="15" t="n"/>
      <c r="L78" s="15" t="n"/>
      <c r="M78" s="15" t="n"/>
      <c r="N78" s="15" t="n"/>
      <c r="O78" s="14" t="n"/>
      <c r="P78" s="15">
        <f>IF(OR(P70="",O70=""),"",IFERROR(P70/O70-1,""))</f>
        <v/>
      </c>
      <c r="Q78" s="15">
        <f>IF(OR(Q70="",P70=""),"",IFERROR(Q70/P70-1,""))</f>
        <v/>
      </c>
      <c r="R78" s="15">
        <f>IF(OR(R70="",Q70=""),"",IFERROR(R70/Q70-1,""))</f>
        <v/>
      </c>
      <c r="S78" s="15">
        <f>IF(OR(S70="",R70=""),"",IFERROR(S70/R70-1,""))</f>
        <v/>
      </c>
      <c r="T78" s="15">
        <f>IF(OR(T70="",S70=""),"",IFERROR(T70/S70-1,""))</f>
        <v/>
      </c>
      <c r="U78" s="15">
        <f>IF(OR(U70="",T70=""),"",IFERROR(U70/T70-1,""))</f>
        <v/>
      </c>
      <c r="V78" s="15">
        <f>IF(OR(V70="",U70=""),"",IFERROR(V70/U70-1,""))</f>
        <v/>
      </c>
      <c r="W78" s="15">
        <f>IF(OR(W70="",V70=""),"",IFERROR(W70/V70-1,""))</f>
        <v/>
      </c>
      <c r="X78" s="15">
        <f>IF(OR(X70="",W70=""),"",IFERROR(X70/W70-1,""))</f>
        <v/>
      </c>
      <c r="Y78" s="14">
        <f>IF(OR(Y70="",X70=""),"",IFERROR(Y70/X70-1,""))</f>
        <v/>
      </c>
      <c r="Z78" s="15">
        <f>IF(OR(Z70="",Y70=""),"",IFERROR(Z70/Y70-1,""))</f>
        <v/>
      </c>
      <c r="AA78" s="15">
        <f>IF(OR(AA70="",Z70=""),"",IFERROR(AA70/Z70-1,""))</f>
        <v/>
      </c>
      <c r="AB78" s="15">
        <f>IF(OR(AB70="",AA70=""),"",IFERROR(AB70/AA70-1,""))</f>
        <v/>
      </c>
      <c r="AC78" s="15">
        <f>IF(OR(AC70="",AB70=""),"",IFERROR(AC70/AB70-1,""))</f>
        <v/>
      </c>
    </row>
    <row r="79">
      <c r="A79" s="18" t="inlineStr">
        <is>
          <t>P/E (현재 주가)</t>
        </is>
      </c>
      <c r="B79" s="10" t="inlineStr">
        <is>
          <t>시총 ÷ 지배순이익</t>
        </is>
      </c>
      <c r="C79" s="30" t="n"/>
      <c r="D79" s="31" t="n"/>
      <c r="E79" s="31" t="n"/>
      <c r="F79" s="31" t="n"/>
      <c r="G79" s="31" t="n"/>
      <c r="H79" s="31" t="n"/>
      <c r="I79" s="31" t="n"/>
      <c r="J79" s="31" t="n"/>
      <c r="K79" s="31" t="n"/>
      <c r="L79" s="31" t="n"/>
      <c r="M79" s="31" t="n"/>
      <c r="N79" s="31" t="n"/>
      <c r="O79" s="30" t="n"/>
      <c r="P79" s="31" t="n"/>
      <c r="Q79" s="31" t="n"/>
      <c r="R79" s="31" t="n"/>
      <c r="S79" s="31" t="n"/>
      <c r="T79" s="31" t="n"/>
      <c r="U79" s="31" t="n"/>
      <c r="V79" s="31" t="n"/>
      <c r="W79" s="31" t="n"/>
      <c r="X79" s="31">
        <f>IF(OR($B$76="",X70=""),"",IFERROR($B$76/X70,""))</f>
        <v/>
      </c>
      <c r="Y79" s="30">
        <f>IF(OR($B$76="",Y70=""),"",IFERROR($B$76/Y70,""))</f>
        <v/>
      </c>
      <c r="Z79" s="31">
        <f>IF(OR($B$76="",Z70=""),"",IFERROR($B$76/Z70,""))</f>
        <v/>
      </c>
      <c r="AA79" s="31">
        <f>IF(OR($B$76="",AA70=""),"",IFERROR($B$76/AA70,""))</f>
        <v/>
      </c>
      <c r="AB79" s="31">
        <f>IF(OR($B$76="",AB70=""),"",IFERROR($B$76/AB70,""))</f>
        <v/>
      </c>
      <c r="AC79" s="31">
        <f>IF(OR($B$76="",AC70=""),"",IFERROR($B$76/AC70,""))</f>
        <v/>
      </c>
    </row>
    <row r="80">
      <c r="A80" s="18" t="inlineStr">
        <is>
          <t>Target P/E</t>
        </is>
      </c>
      <c r="B80" s="10" t="inlineStr">
        <is>
          <t>직접 입력</t>
        </is>
      </c>
      <c r="C80" s="30" t="n"/>
      <c r="D80" s="31" t="n"/>
      <c r="E80" s="31" t="n"/>
      <c r="F80" s="31" t="n"/>
      <c r="G80" s="31" t="n"/>
      <c r="H80" s="31" t="n"/>
      <c r="I80" s="31" t="n"/>
      <c r="J80" s="31" t="n"/>
      <c r="K80" s="31" t="n"/>
      <c r="L80" s="31" t="n"/>
      <c r="M80" s="31" t="n"/>
      <c r="N80" s="31" t="n"/>
      <c r="O80" s="30" t="n"/>
      <c r="P80" s="31" t="n"/>
      <c r="Q80" s="31" t="n"/>
      <c r="R80" s="31" t="n"/>
      <c r="S80" s="31" t="n"/>
      <c r="T80" s="31" t="n"/>
      <c r="U80" s="31" t="n"/>
      <c r="V80" s="31" t="n"/>
      <c r="W80" s="31" t="n"/>
      <c r="X80" s="31" t="n"/>
      <c r="Y80" s="32" t="n"/>
      <c r="Z80" s="33" t="n"/>
      <c r="AA80" s="33" t="n"/>
      <c r="AB80" s="33" t="n"/>
      <c r="AC80" s="33" t="n"/>
    </row>
    <row r="81">
      <c r="A81" s="18" t="inlineStr">
        <is>
          <t>EPS</t>
        </is>
      </c>
      <c r="B81" s="10" t="inlineStr">
        <is>
          <t>지배순이익 ÷ 주식수</t>
        </is>
      </c>
      <c r="C81" s="28" t="n"/>
      <c r="D81" s="29" t="n"/>
      <c r="E81" s="29" t="n"/>
      <c r="F81" s="29" t="n"/>
      <c r="G81" s="29" t="n"/>
      <c r="H81" s="29" t="n"/>
      <c r="I81" s="29" t="n"/>
      <c r="J81" s="29" t="n"/>
      <c r="K81" s="29" t="n"/>
      <c r="L81" s="29" t="n"/>
      <c r="M81" s="29" t="n"/>
      <c r="N81" s="29" t="n"/>
      <c r="O81" s="28">
        <f>IF(OR(O70="",$B$75=""),"",IFERROR(O70*1000000.0/$B$75,""))</f>
        <v/>
      </c>
      <c r="P81" s="29">
        <f>IF(OR(P70="",$B$75=""),"",IFERROR(P70*1000000.0/$B$75,""))</f>
        <v/>
      </c>
      <c r="Q81" s="29">
        <f>IF(OR(Q70="",$B$75=""),"",IFERROR(Q70*1000000.0/$B$75,""))</f>
        <v/>
      </c>
      <c r="R81" s="29">
        <f>IF(OR(R70="",$B$75=""),"",IFERROR(R70*1000000.0/$B$75,""))</f>
        <v/>
      </c>
      <c r="S81" s="29">
        <f>IF(OR(S70="",$B$75=""),"",IFERROR(S70*1000000.0/$B$75,""))</f>
        <v/>
      </c>
      <c r="T81" s="29">
        <f>IF(OR(T70="",$B$75=""),"",IFERROR(T70*1000000.0/$B$75,""))</f>
        <v/>
      </c>
      <c r="U81" s="29">
        <f>IF(OR(U70="",$B$75=""),"",IFERROR(U70*1000000.0/$B$75,""))</f>
        <v/>
      </c>
      <c r="V81" s="29">
        <f>IF(OR(V70="",$B$75=""),"",IFERROR(V70*1000000.0/$B$75,""))</f>
        <v/>
      </c>
      <c r="W81" s="29">
        <f>IF(OR(W70="",$B$75=""),"",IFERROR(W70*1000000.0/$B$75,""))</f>
        <v/>
      </c>
      <c r="X81" s="29">
        <f>IF(OR(X70="",$B$75=""),"",IFERROR(X70*1000000.0/$B$75,""))</f>
        <v/>
      </c>
      <c r="Y81" s="28">
        <f>IF(OR(Y70="",$B$75=""),"",IFERROR(Y70*1000000.0/$B$75,""))</f>
        <v/>
      </c>
      <c r="Z81" s="29">
        <f>IF(OR(Z70="",$B$75=""),"",IFERROR(Z70*1000000.0/$B$75,""))</f>
        <v/>
      </c>
      <c r="AA81" s="29">
        <f>IF(OR(AA70="",$B$75=""),"",IFERROR(AA70*1000000.0/$B$75,""))</f>
        <v/>
      </c>
      <c r="AB81" s="29">
        <f>IF(OR(AB70="",$B$75=""),"",IFERROR(AB70*1000000.0/$B$75,""))</f>
        <v/>
      </c>
      <c r="AC81" s="29">
        <f>IF(OR(AC70="",$B$75=""),"",IFERROR(AC70*1000000.0/$B$75,""))</f>
        <v/>
      </c>
    </row>
    <row r="82">
      <c r="A82" s="9" t="inlineStr">
        <is>
          <t>목표주가</t>
        </is>
      </c>
      <c r="B82" s="10" t="n"/>
      <c r="C82" s="34" t="n"/>
      <c r="D82" s="27" t="n"/>
      <c r="E82" s="27" t="n"/>
      <c r="F82" s="27" t="n"/>
      <c r="G82" s="27" t="n"/>
      <c r="H82" s="27" t="n"/>
      <c r="I82" s="27" t="n"/>
      <c r="J82" s="27" t="n"/>
      <c r="K82" s="27" t="n"/>
      <c r="L82" s="27" t="n"/>
      <c r="M82" s="27" t="n"/>
      <c r="N82" s="27" t="n"/>
      <c r="O82" s="34" t="n"/>
      <c r="P82" s="27" t="n"/>
      <c r="Q82" s="27" t="n"/>
      <c r="R82" s="27" t="n"/>
      <c r="S82" s="27" t="n"/>
      <c r="T82" s="27" t="n"/>
      <c r="U82" s="27" t="n"/>
      <c r="V82" s="27" t="n"/>
      <c r="W82" s="27" t="n"/>
      <c r="X82" s="27" t="n"/>
      <c r="Y82" s="34">
        <f>IF(OR(Y81="",Y80=""),"",IFERROR(Y81*Y80,""))</f>
        <v/>
      </c>
      <c r="Z82" s="27">
        <f>IF(OR(Z81="",Z80=""),"",IFERROR(Z81*Z80,""))</f>
        <v/>
      </c>
      <c r="AA82" s="27">
        <f>IF(OR(AA81="",AA80=""),"",IFERROR(AA81*AA80,""))</f>
        <v/>
      </c>
      <c r="AB82" s="27">
        <f>IF(OR(AB81="",AB80=""),"",IFERROR(AB81*AB80,""))</f>
        <v/>
      </c>
      <c r="AC82" s="27">
        <f>IF(OR(AC81="",AC80=""),"",IFERROR(AC81*AC80,""))</f>
        <v/>
      </c>
    </row>
    <row r="83">
      <c r="A83" s="18" t="inlineStr">
        <is>
          <t>상승여력</t>
        </is>
      </c>
      <c r="B83" s="10" t="n"/>
      <c r="C83" s="35" t="n"/>
      <c r="D83" s="36" t="n"/>
      <c r="E83" s="36" t="n"/>
      <c r="F83" s="36" t="n"/>
      <c r="G83" s="36" t="n"/>
      <c r="H83" s="36" t="n"/>
      <c r="I83" s="36" t="n"/>
      <c r="J83" s="36" t="n"/>
      <c r="K83" s="36" t="n"/>
      <c r="L83" s="36" t="n"/>
      <c r="M83" s="36" t="n"/>
      <c r="N83" s="36" t="n"/>
      <c r="O83" s="35" t="n"/>
      <c r="P83" s="36" t="n"/>
      <c r="Q83" s="36" t="n"/>
      <c r="R83" s="36" t="n"/>
      <c r="S83" s="36" t="n"/>
      <c r="T83" s="36" t="n"/>
      <c r="U83" s="36" t="n"/>
      <c r="V83" s="36" t="n"/>
      <c r="W83" s="36" t="n"/>
      <c r="X83" s="36" t="n"/>
      <c r="Y83" s="37">
        <f>IF(OR(Y82="",$B$74=""),"",IFERROR(Y82/$B$74-1,""))</f>
        <v/>
      </c>
      <c r="Z83" s="38">
        <f>IF(OR(Z82="",$B$74=""),"",IFERROR(Z82/$B$74-1,""))</f>
        <v/>
      </c>
      <c r="AA83" s="38">
        <f>IF(OR(AA82="",$B$74=""),"",IFERROR(AA82/$B$74-1,""))</f>
        <v/>
      </c>
      <c r="AB83" s="38">
        <f>IF(OR(AB82="",$B$74=""),"",IFERROR(AB82/$B$74-1,""))</f>
        <v/>
      </c>
      <c r="AC83" s="38">
        <f>IF(OR(AC82="",$B$74=""),"",IFERROR(AC82/$B$74-1,""))</f>
        <v/>
      </c>
    </row>
    <row r="84">
      <c r="A84" s="16" t="inlineStr">
        <is>
          <t>자산가치 산출</t>
        </is>
      </c>
      <c r="B84" s="16" t="inlineStr">
        <is>
          <t>최신 분기 BS</t>
        </is>
      </c>
      <c r="C84" s="17" t="n"/>
      <c r="D84" s="16" t="n"/>
      <c r="E84" s="16" t="n"/>
      <c r="F84" s="16" t="n"/>
      <c r="G84" s="16" t="n"/>
      <c r="H84" s="16" t="n"/>
      <c r="I84" s="16" t="n"/>
      <c r="J84" s="16" t="n"/>
      <c r="K84" s="16" t="n"/>
      <c r="L84" s="16" t="n"/>
      <c r="M84" s="16" t="n"/>
      <c r="N84" s="16" t="n"/>
      <c r="O84" s="17" t="n"/>
      <c r="P84" s="16" t="n"/>
      <c r="Q84" s="16" t="n"/>
      <c r="R84" s="16" t="n"/>
      <c r="S84" s="16" t="n"/>
      <c r="T84" s="16" t="n"/>
      <c r="U84" s="16" t="n"/>
      <c r="V84" s="16" t="n"/>
      <c r="W84" s="16" t="n"/>
      <c r="X84" s="16" t="n"/>
      <c r="Y84" s="17" t="n"/>
      <c r="Z84" s="16" t="n"/>
      <c r="AA84" s="16" t="n"/>
      <c r="AB84" s="16" t="n"/>
      <c r="AC84" s="16" t="n"/>
    </row>
    <row r="85">
      <c r="A85" s="18" t="inlineStr">
        <is>
          <t>현금및현금성자산</t>
        </is>
      </c>
      <c r="B85" s="10" t="n"/>
      <c r="C85" s="19" t="n"/>
      <c r="D85" s="20" t="n"/>
      <c r="E85" s="20" t="n"/>
      <c r="F85" s="20" t="n"/>
      <c r="G85" s="20" t="n"/>
      <c r="H85" s="20" t="n"/>
      <c r="I85" s="20" t="n"/>
      <c r="J85" s="20" t="n"/>
      <c r="K85" s="20" t="n"/>
      <c r="L85" s="20" t="n"/>
      <c r="M85" s="20" t="n"/>
      <c r="N85" s="20" t="n"/>
      <c r="O85" s="19" t="n"/>
      <c r="P85" s="20" t="n"/>
      <c r="Q85" s="20" t="n"/>
      <c r="R85" s="20" t="n"/>
      <c r="S85" s="20" t="n"/>
      <c r="T85" s="20" t="n"/>
      <c r="U85" s="20" t="n"/>
      <c r="V85" s="20" t="n"/>
      <c r="W85" s="20" t="n"/>
      <c r="X85" s="20">
        <f>'재무상태표'!G6</f>
        <v/>
      </c>
      <c r="Y85" s="19">
        <f>'재무상태표'!G6</f>
        <v/>
      </c>
      <c r="Z85" s="20">
        <f>'재무상태표'!G6</f>
        <v/>
      </c>
      <c r="AA85" s="20">
        <f>'재무상태표'!G6</f>
        <v/>
      </c>
      <c r="AB85" s="20">
        <f>'재무상태표'!G6</f>
        <v/>
      </c>
      <c r="AC85" s="20">
        <f>'재무상태표'!G6</f>
        <v/>
      </c>
    </row>
    <row r="86">
      <c r="A86" s="18" t="inlineStr">
        <is>
          <t>단기금융상품</t>
        </is>
      </c>
      <c r="B86" s="10" t="n"/>
      <c r="C86" s="19" t="n"/>
      <c r="D86" s="20" t="n"/>
      <c r="E86" s="20" t="n"/>
      <c r="F86" s="20" t="n"/>
      <c r="G86" s="20" t="n"/>
      <c r="H86" s="20" t="n"/>
      <c r="I86" s="20" t="n"/>
      <c r="J86" s="20" t="n"/>
      <c r="K86" s="20" t="n"/>
      <c r="L86" s="20" t="n"/>
      <c r="M86" s="20" t="n"/>
      <c r="N86" s="20" t="n"/>
      <c r="O86" s="19" t="n"/>
      <c r="P86" s="20" t="n"/>
      <c r="Q86" s="20" t="n"/>
      <c r="R86" s="20" t="n"/>
      <c r="S86" s="20" t="n"/>
      <c r="T86" s="20" t="n"/>
      <c r="U86" s="20" t="n"/>
      <c r="V86" s="20" t="n"/>
      <c r="W86" s="20" t="n"/>
      <c r="X86" s="20">
        <f>'재무상태표'!G7</f>
        <v/>
      </c>
      <c r="Y86" s="19">
        <f>'재무상태표'!G7</f>
        <v/>
      </c>
      <c r="Z86" s="20">
        <f>'재무상태표'!G7</f>
        <v/>
      </c>
      <c r="AA86" s="20">
        <f>'재무상태표'!G7</f>
        <v/>
      </c>
      <c r="AB86" s="20">
        <f>'재무상태표'!G7</f>
        <v/>
      </c>
      <c r="AC86" s="20">
        <f>'재무상태표'!G7</f>
        <v/>
      </c>
    </row>
    <row r="87">
      <c r="A87" s="18" t="inlineStr">
        <is>
          <t>투자부동산</t>
        </is>
      </c>
      <c r="B87" s="10" t="n"/>
      <c r="C87" s="19" t="n"/>
      <c r="D87" s="20" t="n"/>
      <c r="E87" s="20" t="n"/>
      <c r="F87" s="20" t="n"/>
      <c r="G87" s="20" t="n"/>
      <c r="H87" s="20" t="n"/>
      <c r="I87" s="20" t="n"/>
      <c r="J87" s="20" t="n"/>
      <c r="K87" s="20" t="n"/>
      <c r="L87" s="20" t="n"/>
      <c r="M87" s="20" t="n"/>
      <c r="N87" s="20" t="n"/>
      <c r="O87" s="19" t="n"/>
      <c r="P87" s="20" t="n"/>
      <c r="Q87" s="20" t="n"/>
      <c r="R87" s="20" t="n"/>
      <c r="S87" s="20" t="n"/>
      <c r="T87" s="20" t="n"/>
      <c r="U87" s="20" t="n"/>
      <c r="V87" s="20" t="n"/>
      <c r="W87" s="20" t="n"/>
      <c r="X87" s="20">
        <f>'재무상태표'!G14</f>
        <v/>
      </c>
      <c r="Y87" s="19">
        <f>'재무상태표'!G14</f>
        <v/>
      </c>
      <c r="Z87" s="20">
        <f>'재무상태표'!G14</f>
        <v/>
      </c>
      <c r="AA87" s="20">
        <f>'재무상태표'!G14</f>
        <v/>
      </c>
      <c r="AB87" s="20">
        <f>'재무상태표'!G14</f>
        <v/>
      </c>
      <c r="AC87" s="20">
        <f>'재무상태표'!G14</f>
        <v/>
      </c>
    </row>
    <row r="88">
      <c r="A88" s="18" t="inlineStr">
        <is>
          <t>지배자본</t>
        </is>
      </c>
      <c r="B88" s="10" t="n"/>
      <c r="C88" s="19" t="n"/>
      <c r="D88" s="20" t="n"/>
      <c r="E88" s="20" t="n"/>
      <c r="F88" s="20" t="n"/>
      <c r="G88" s="20" t="n"/>
      <c r="H88" s="20" t="n"/>
      <c r="I88" s="20" t="n"/>
      <c r="J88" s="20" t="n"/>
      <c r="K88" s="20" t="n"/>
      <c r="L88" s="20" t="n"/>
      <c r="M88" s="20" t="n"/>
      <c r="N88" s="20" t="n"/>
      <c r="O88" s="19" t="n"/>
      <c r="P88" s="20" t="n"/>
      <c r="Q88" s="20" t="n"/>
      <c r="R88" s="20" t="n"/>
      <c r="S88" s="20" t="n"/>
      <c r="T88" s="20" t="n"/>
      <c r="U88" s="20" t="n"/>
      <c r="V88" s="20" t="n"/>
      <c r="W88" s="20" t="n"/>
      <c r="X88" s="20">
        <f>'재무상태표'!G31</f>
        <v/>
      </c>
      <c r="Y88" s="19">
        <f>'재무상태표'!G31</f>
        <v/>
      </c>
      <c r="Z88" s="20">
        <f>'재무상태표'!G31</f>
        <v/>
      </c>
      <c r="AA88" s="20">
        <f>'재무상태표'!G31</f>
        <v/>
      </c>
      <c r="AB88" s="20">
        <f>'재무상태표'!G31</f>
        <v/>
      </c>
      <c r="AC88" s="20">
        <f>'재무상태표'!G31</f>
        <v/>
      </c>
    </row>
    <row r="89">
      <c r="A89" s="18" t="inlineStr">
        <is>
          <t>부채</t>
        </is>
      </c>
      <c r="B89" s="10" t="n"/>
      <c r="C89" s="19" t="n"/>
      <c r="D89" s="20" t="n"/>
      <c r="E89" s="20" t="n"/>
      <c r="F89" s="20" t="n"/>
      <c r="G89" s="20" t="n"/>
      <c r="H89" s="20" t="n"/>
      <c r="I89" s="20" t="n"/>
      <c r="J89" s="20" t="n"/>
      <c r="K89" s="20" t="n"/>
      <c r="L89" s="20" t="n"/>
      <c r="M89" s="20" t="n"/>
      <c r="N89" s="20" t="n"/>
      <c r="O89" s="19" t="n"/>
      <c r="P89" s="20" t="n"/>
      <c r="Q89" s="20" t="n"/>
      <c r="R89" s="20" t="n"/>
      <c r="S89" s="20" t="n"/>
      <c r="T89" s="20" t="n"/>
      <c r="U89" s="20" t="n"/>
      <c r="V89" s="20" t="n"/>
      <c r="W89" s="20" t="n"/>
      <c r="X89" s="20">
        <f>'재무상태표'!G27</f>
        <v/>
      </c>
      <c r="Y89" s="19">
        <f>'재무상태표'!G27</f>
        <v/>
      </c>
      <c r="Z89" s="20">
        <f>'재무상태표'!G27</f>
        <v/>
      </c>
      <c r="AA89" s="20">
        <f>'재무상태표'!G27</f>
        <v/>
      </c>
      <c r="AB89" s="20">
        <f>'재무상태표'!G27</f>
        <v/>
      </c>
      <c r="AC89" s="20">
        <f>'재무상태표'!G27</f>
        <v/>
      </c>
    </row>
    <row r="90">
      <c r="A90" s="13" t="inlineStr">
        <is>
          <t>부채비율</t>
        </is>
      </c>
      <c r="B90" s="10" t="n"/>
      <c r="C90" s="14" t="n"/>
      <c r="D90" s="15" t="n"/>
      <c r="E90" s="15" t="n"/>
      <c r="F90" s="15" t="n"/>
      <c r="G90" s="15" t="n"/>
      <c r="H90" s="15" t="n"/>
      <c r="I90" s="15" t="n"/>
      <c r="J90" s="15" t="n"/>
      <c r="K90" s="15" t="n"/>
      <c r="L90" s="15" t="n"/>
      <c r="M90" s="15" t="n"/>
      <c r="N90" s="15" t="n"/>
      <c r="O90" s="14" t="n"/>
      <c r="P90" s="15" t="n"/>
      <c r="Q90" s="15" t="n"/>
      <c r="R90" s="15" t="n"/>
      <c r="S90" s="15" t="n"/>
      <c r="T90" s="15" t="n"/>
      <c r="U90" s="15" t="n"/>
      <c r="V90" s="15" t="n"/>
      <c r="W90" s="15" t="n"/>
      <c r="X90" s="15">
        <f>IF(OR(X89="",X88=""),"",IFERROR(X89/X88,""))</f>
        <v/>
      </c>
      <c r="Y90" s="14">
        <f>IF(OR(Y89="",Y88=""),"",IFERROR(Y89/Y88,""))</f>
        <v/>
      </c>
      <c r="Z90" s="15">
        <f>IF(OR(Z89="",Z88=""),"",IFERROR(Z89/Z88,""))</f>
        <v/>
      </c>
      <c r="AA90" s="15">
        <f>IF(OR(AA89="",AA88=""),"",IFERROR(AA89/AA88,""))</f>
        <v/>
      </c>
      <c r="AB90" s="15">
        <f>IF(OR(AB89="",AB88=""),"",IFERROR(AB89/AB88,""))</f>
        <v/>
      </c>
      <c r="AC90" s="15">
        <f>IF(OR(AC89="",AC88=""),"",IFERROR(AC89/AC88,""))</f>
        <v/>
      </c>
    </row>
    <row r="91">
      <c r="A91" s="9" t="inlineStr">
        <is>
          <t>자산가치</t>
        </is>
      </c>
      <c r="B91" s="10" t="inlineStr">
        <is>
          <t>현금+단기금융+투자부동산</t>
        </is>
      </c>
      <c r="C91" s="11" t="n"/>
      <c r="D91" s="12" t="n"/>
      <c r="E91" s="12" t="n"/>
      <c r="F91" s="12" t="n"/>
      <c r="G91" s="12" t="n"/>
      <c r="H91" s="12" t="n"/>
      <c r="I91" s="12" t="n"/>
      <c r="J91" s="12" t="n"/>
      <c r="K91" s="12" t="n"/>
      <c r="L91" s="12" t="n"/>
      <c r="M91" s="12" t="n"/>
      <c r="N91" s="12" t="n"/>
      <c r="O91" s="11" t="n"/>
      <c r="P91" s="12" t="n"/>
      <c r="Q91" s="12" t="n"/>
      <c r="R91" s="12" t="n"/>
      <c r="S91" s="12" t="n"/>
      <c r="T91" s="12" t="n"/>
      <c r="U91" s="12" t="n"/>
      <c r="V91" s="12" t="n"/>
      <c r="W91" s="12" t="n"/>
      <c r="X91" s="12">
        <f>SUM(X85,X86,X87)</f>
        <v/>
      </c>
      <c r="Y91" s="11">
        <f>SUM(Y85,Y86,Y87)</f>
        <v/>
      </c>
      <c r="Z91" s="12">
        <f>SUM(Z85,Z86,Z87)</f>
        <v/>
      </c>
      <c r="AA91" s="12">
        <f>SUM(AA85,AA86,AA87)</f>
        <v/>
      </c>
      <c r="AB91" s="12">
        <f>SUM(AB85,AB86,AB87)</f>
        <v/>
      </c>
      <c r="AC91" s="12">
        <f>SUM(AC85,AC86,AC87)</f>
        <v/>
      </c>
    </row>
    <row r="92">
      <c r="A92" s="16" t="inlineStr">
        <is>
          <t>기업가치 산출</t>
        </is>
      </c>
      <c r="B92" s="16" t="n"/>
      <c r="C92" s="17" t="n"/>
      <c r="D92" s="16" t="n"/>
      <c r="E92" s="16" t="n"/>
      <c r="F92" s="16" t="n"/>
      <c r="G92" s="16" t="n"/>
      <c r="H92" s="16" t="n"/>
      <c r="I92" s="16" t="n"/>
      <c r="J92" s="16" t="n"/>
      <c r="K92" s="16" t="n"/>
      <c r="L92" s="16" t="n"/>
      <c r="M92" s="16" t="n"/>
      <c r="N92" s="16" t="n"/>
      <c r="O92" s="17" t="n"/>
      <c r="P92" s="16" t="n"/>
      <c r="Q92" s="16" t="n"/>
      <c r="R92" s="16" t="n"/>
      <c r="S92" s="16" t="n"/>
      <c r="T92" s="16" t="n"/>
      <c r="U92" s="16" t="n"/>
      <c r="V92" s="16" t="n"/>
      <c r="W92" s="16" t="n"/>
      <c r="X92" s="16" t="n"/>
      <c r="Y92" s="17" t="n"/>
      <c r="Z92" s="16" t="n"/>
      <c r="AA92" s="16" t="n"/>
      <c r="AB92" s="16" t="n"/>
      <c r="AC92" s="16" t="n"/>
    </row>
    <row r="93">
      <c r="A93" s="18" t="inlineStr">
        <is>
          <t>목표 시가총액 (P/E)</t>
        </is>
      </c>
      <c r="B93" s="10" t="inlineStr">
        <is>
          <t>지배순이익 × Target P/E</t>
        </is>
      </c>
      <c r="C93" s="19" t="n"/>
      <c r="D93" s="20" t="n"/>
      <c r="E93" s="20" t="n"/>
      <c r="F93" s="20" t="n"/>
      <c r="G93" s="20" t="n"/>
      <c r="H93" s="20" t="n"/>
      <c r="I93" s="20" t="n"/>
      <c r="J93" s="20" t="n"/>
      <c r="K93" s="20" t="n"/>
      <c r="L93" s="20" t="n"/>
      <c r="M93" s="20" t="n"/>
      <c r="N93" s="20" t="n"/>
      <c r="O93" s="19" t="n"/>
      <c r="P93" s="20" t="n"/>
      <c r="Q93" s="20" t="n"/>
      <c r="R93" s="20" t="n"/>
      <c r="S93" s="20" t="n"/>
      <c r="T93" s="20" t="n"/>
      <c r="U93" s="20" t="n"/>
      <c r="V93" s="20" t="n"/>
      <c r="W93" s="20" t="n"/>
      <c r="X93" s="20" t="n"/>
      <c r="Y93" s="19">
        <f>IF(OR(Y70="",Y80=""),"",IFERROR(Y70*Y80,""))</f>
        <v/>
      </c>
      <c r="Z93" s="20">
        <f>IF(OR(Z70="",Z80=""),"",IFERROR(Z70*Z80,""))</f>
        <v/>
      </c>
      <c r="AA93" s="20">
        <f>IF(OR(AA70="",AA80=""),"",IFERROR(AA70*AA80,""))</f>
        <v/>
      </c>
      <c r="AB93" s="20">
        <f>IF(OR(AB70="",AB80=""),"",IFERROR(AB70*AB80,""))</f>
        <v/>
      </c>
      <c r="AC93" s="20">
        <f>IF(OR(AC70="",AC80=""),"",IFERROR(AC70*AC80,""))</f>
        <v/>
      </c>
    </row>
    <row r="94">
      <c r="A94" s="9" t="inlineStr">
        <is>
          <t>기업가치</t>
        </is>
      </c>
      <c r="B94" s="10" t="inlineStr">
        <is>
          <t>목표시총 + 자산가치</t>
        </is>
      </c>
      <c r="C94" s="11" t="n"/>
      <c r="D94" s="12" t="n"/>
      <c r="E94" s="12" t="n"/>
      <c r="F94" s="12" t="n"/>
      <c r="G94" s="12" t="n"/>
      <c r="H94" s="12" t="n"/>
      <c r="I94" s="12" t="n"/>
      <c r="J94" s="12" t="n"/>
      <c r="K94" s="12" t="n"/>
      <c r="L94" s="12" t="n"/>
      <c r="M94" s="12" t="n"/>
      <c r="N94" s="12" t="n"/>
      <c r="O94" s="11" t="n"/>
      <c r="P94" s="12" t="n"/>
      <c r="Q94" s="12" t="n"/>
      <c r="R94" s="12" t="n"/>
      <c r="S94" s="12" t="n"/>
      <c r="T94" s="12" t="n"/>
      <c r="U94" s="12" t="n"/>
      <c r="V94" s="12" t="n"/>
      <c r="W94" s="12" t="n"/>
      <c r="X94" s="12" t="n"/>
      <c r="Y94" s="11">
        <f>IF(OR(Y93=""),"",IFERROR(Y93+Y91,""))</f>
        <v/>
      </c>
      <c r="Z94" s="12">
        <f>IF(OR(Z93=""),"",IFERROR(Z93+Z91,""))</f>
        <v/>
      </c>
      <c r="AA94" s="12">
        <f>IF(OR(AA93=""),"",IFERROR(AA93+AA91,""))</f>
        <v/>
      </c>
      <c r="AB94" s="12">
        <f>IF(OR(AB93=""),"",IFERROR(AB93+AB91,""))</f>
        <v/>
      </c>
      <c r="AC94" s="12">
        <f>IF(OR(AC93=""),"",IFERROR(AC93+AC91,""))</f>
        <v/>
      </c>
    </row>
    <row r="95">
      <c r="A95" s="18" t="inlineStr">
        <is>
          <t>현재 시가총액</t>
        </is>
      </c>
      <c r="B95" s="10" t="n"/>
      <c r="C95" s="19" t="n"/>
      <c r="D95" s="20" t="n"/>
      <c r="E95" s="20" t="n"/>
      <c r="F95" s="20" t="n"/>
      <c r="G95" s="20" t="n"/>
      <c r="H95" s="20" t="n"/>
      <c r="I95" s="20" t="n"/>
      <c r="J95" s="20" t="n"/>
      <c r="K95" s="20" t="n"/>
      <c r="L95" s="20" t="n"/>
      <c r="M95" s="20" t="n"/>
      <c r="N95" s="20" t="n"/>
      <c r="O95" s="19" t="n"/>
      <c r="P95" s="20" t="n"/>
      <c r="Q95" s="20" t="n"/>
      <c r="R95" s="20" t="n"/>
      <c r="S95" s="20" t="n"/>
      <c r="T95" s="20" t="n"/>
      <c r="U95" s="20" t="n"/>
      <c r="V95" s="20" t="n"/>
      <c r="W95" s="20" t="n"/>
      <c r="X95" s="20" t="n"/>
      <c r="Y95" s="19">
        <f>$B$76</f>
        <v/>
      </c>
      <c r="Z95" s="20">
        <f>$B$76</f>
        <v/>
      </c>
      <c r="AA95" s="20">
        <f>$B$76</f>
        <v/>
      </c>
      <c r="AB95" s="20">
        <f>$B$76</f>
        <v/>
      </c>
      <c r="AC95" s="20">
        <f>$B$76</f>
        <v/>
      </c>
    </row>
    <row r="96">
      <c r="A96" s="18" t="inlineStr">
        <is>
          <t>상승여력</t>
        </is>
      </c>
      <c r="B96" s="10" t="n"/>
      <c r="C96" s="35" t="n"/>
      <c r="D96" s="36" t="n"/>
      <c r="E96" s="36" t="n"/>
      <c r="F96" s="36" t="n"/>
      <c r="G96" s="36" t="n"/>
      <c r="H96" s="36" t="n"/>
      <c r="I96" s="36" t="n"/>
      <c r="J96" s="36" t="n"/>
      <c r="K96" s="36" t="n"/>
      <c r="L96" s="36" t="n"/>
      <c r="M96" s="36" t="n"/>
      <c r="N96" s="36" t="n"/>
      <c r="O96" s="35" t="n"/>
      <c r="P96" s="36" t="n"/>
      <c r="Q96" s="36" t="n"/>
      <c r="R96" s="36" t="n"/>
      <c r="S96" s="36" t="n"/>
      <c r="T96" s="36" t="n"/>
      <c r="U96" s="36" t="n"/>
      <c r="V96" s="36" t="n"/>
      <c r="W96" s="36" t="n"/>
      <c r="X96" s="36" t="n"/>
      <c r="Y96" s="37">
        <f>IF(OR(Y94="",Y95=""),"",IFERROR(Y94/Y95-1,""))</f>
        <v/>
      </c>
      <c r="Z96" s="38">
        <f>IF(OR(Z94="",Z95=""),"",IFERROR(Z94/Z95-1,""))</f>
        <v/>
      </c>
      <c r="AA96" s="38">
        <f>IF(OR(AA94="",AA95=""),"",IFERROR(AA94/AA95-1,""))</f>
        <v/>
      </c>
      <c r="AB96" s="38">
        <f>IF(OR(AB94="",AB95=""),"",IFERROR(AB94/AB95-1,""))</f>
        <v/>
      </c>
      <c r="AC96" s="38">
        <f>IF(OR(AC94="",AC95=""),"",IFERROR(AC94/AC95-1,""))</f>
        <v/>
      </c>
    </row>
    <row r="97">
      <c r="C97" s="39" t="n"/>
      <c r="O97" s="39" t="n"/>
      <c r="Y97" s="39" t="n"/>
    </row>
    <row r="98">
      <c r="A98" s="40" t="inlineStr">
        <is>
          <t>출처</t>
        </is>
      </c>
      <c r="C98" s="39" t="n"/>
      <c r="O98" s="39" t="n"/>
      <c r="Y98" s="39" t="n"/>
    </row>
    <row r="99">
      <c r="A99" s="41" t="inlineStr">
        <is>
          <t>결산단신 XBRL(TDnet·JPX 보관소) — 쓴 문서는 '출처' 시트</t>
        </is>
      </c>
      <c r="C99" s="39" t="n"/>
      <c r="O99" s="39" t="n"/>
      <c r="Y99" s="39" t="n"/>
    </row>
    <row r="100">
      <c r="A100" s="41" t="inlineStr">
        <is>
          <t>분기 = 누계에서 앞 분기를 뺀 3개월 값</t>
        </is>
      </c>
      <c r="C100" s="39" t="n"/>
      <c r="O100" s="39" t="n"/>
      <c r="Y100" s="39" t="n"/>
    </row>
    <row r="101">
      <c r="A101" s="41" t="inlineStr">
        <is>
          <t>주가: 야후 파이낸스 일봉</t>
        </is>
      </c>
      <c r="C101" s="39" t="n"/>
      <c r="O101" s="39" t="n"/>
      <c r="Y101" s="39" t="n"/>
    </row>
    <row r="103">
      <c r="A103" s="16" t="inlineStr">
        <is>
          <t>손익계산서 · 전 항목</t>
        </is>
      </c>
      <c r="B103" s="42" t="inlineStr">
        <is>
          <t>분기 = 3개월 단독</t>
        </is>
      </c>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row>
    <row r="104">
      <c r="A104" s="5" t="inlineStr">
        <is>
          <t>항목</t>
        </is>
      </c>
      <c r="B104" s="5" t="inlineStr">
        <is>
          <t>참고</t>
        </is>
      </c>
      <c r="C104" s="5" t="inlineStr">
        <is>
          <t>2024.2Q</t>
        </is>
      </c>
      <c r="D104" s="5" t="inlineStr">
        <is>
          <t>2024.3Q</t>
        </is>
      </c>
      <c r="E104" s="5" t="inlineStr">
        <is>
          <t>2024.4Q</t>
        </is>
      </c>
      <c r="F104" s="5" t="inlineStr">
        <is>
          <t>2025.1Q</t>
        </is>
      </c>
      <c r="G104" s="5" t="inlineStr">
        <is>
          <t>2025.2Q</t>
        </is>
      </c>
      <c r="H104" s="5" t="inlineStr">
        <is>
          <t>2025.3Q</t>
        </is>
      </c>
      <c r="I104" s="5" t="inlineStr">
        <is>
          <t>2025.4Q</t>
        </is>
      </c>
      <c r="J104" s="5" t="inlineStr">
        <is>
          <t>2026.1Q</t>
        </is>
      </c>
      <c r="K104" s="5" t="inlineStr">
        <is>
          <t>2026.2Q</t>
        </is>
      </c>
      <c r="L104" s="5" t="inlineStr">
        <is>
          <t>2026.3Q</t>
        </is>
      </c>
      <c r="M104" s="5" t="inlineStr">
        <is>
          <t>2026.4Q</t>
        </is>
      </c>
      <c r="N104" s="5" t="inlineStr">
        <is>
          <t>2027.1Q</t>
        </is>
      </c>
      <c r="O104" s="5" t="inlineStr">
        <is>
          <t>2017</t>
        </is>
      </c>
      <c r="P104" s="5" t="inlineStr">
        <is>
          <t>2018</t>
        </is>
      </c>
      <c r="Q104" s="5" t="inlineStr">
        <is>
          <t>2019</t>
        </is>
      </c>
      <c r="R104" s="5" t="inlineStr">
        <is>
          <t>2020</t>
        </is>
      </c>
      <c r="S104" s="5" t="inlineStr">
        <is>
          <t>2021</t>
        </is>
      </c>
      <c r="T104" s="5" t="inlineStr">
        <is>
          <t>2022</t>
        </is>
      </c>
      <c r="U104" s="5" t="inlineStr">
        <is>
          <t>2023</t>
        </is>
      </c>
      <c r="V104" s="5" t="inlineStr">
        <is>
          <t>2024</t>
        </is>
      </c>
      <c r="W104" s="5" t="inlineStr">
        <is>
          <t>2025</t>
        </is>
      </c>
      <c r="X104" s="5" t="inlineStr">
        <is>
          <t>2026</t>
        </is>
      </c>
      <c r="Y104" s="5" t="inlineStr">
        <is>
          <t>2027(MW)</t>
        </is>
      </c>
      <c r="Z104" s="5" t="inlineStr">
        <is>
          <t>2028(MW)</t>
        </is>
      </c>
      <c r="AA104" s="5" t="inlineStr">
        <is>
          <t>2029(MW)</t>
        </is>
      </c>
      <c r="AB104" s="5" t="inlineStr">
        <is>
          <t>2030(MW)</t>
        </is>
      </c>
      <c r="AC104" s="5" t="inlineStr">
        <is>
          <t>2031(MW)</t>
        </is>
      </c>
    </row>
    <row r="105">
      <c r="A105" s="9" t="inlineStr">
        <is>
          <t>매출수익</t>
        </is>
      </c>
      <c r="C105" s="12" t="n">
        <v>173150</v>
      </c>
      <c r="D105" s="12" t="n">
        <v>197616</v>
      </c>
      <c r="E105" s="12" t="n">
        <v>188333</v>
      </c>
      <c r="F105" s="12" t="n">
        <v>163896</v>
      </c>
      <c r="G105" s="12" t="n">
        <v>168883</v>
      </c>
      <c r="H105" s="12" t="n">
        <v>179892</v>
      </c>
      <c r="I105" s="12" t="n">
        <v>202614</v>
      </c>
      <c r="J105" s="12" t="n">
        <v>158121</v>
      </c>
      <c r="K105" s="12" t="n">
        <v>154794</v>
      </c>
      <c r="L105" s="12" t="n">
        <v>170993</v>
      </c>
      <c r="M105" s="12" t="n">
        <v>193255</v>
      </c>
      <c r="N105" s="12" t="n">
        <v>164182</v>
      </c>
      <c r="T105" s="12" t="n">
        <v>133267</v>
      </c>
      <c r="U105" s="12" t="n">
        <v>172008</v>
      </c>
      <c r="V105" s="12" t="n">
        <v>188333</v>
      </c>
      <c r="W105" s="12" t="n">
        <v>202614</v>
      </c>
      <c r="X105" s="12" t="n">
        <v>193255</v>
      </c>
    </row>
    <row r="106">
      <c r="A106" s="43" t="inlineStr">
        <is>
          <t>YoY</t>
        </is>
      </c>
      <c r="B106" s="3" t="inlineStr">
        <is>
          <t>전년 같은 분기·전년 대비</t>
        </is>
      </c>
      <c r="G106" s="15">
        <f>IF(OR(G105="",C105=""),"",IF(C105&lt;=0,"",IFERROR(G105/C105-1,"")))</f>
        <v/>
      </c>
      <c r="H106" s="15">
        <f>IF(OR(H105="",D105=""),"",IF(D105&lt;=0,"",IFERROR(H105/D105-1,"")))</f>
        <v/>
      </c>
      <c r="I106" s="15">
        <f>IF(OR(I105="",E105=""),"",IF(E105&lt;=0,"",IFERROR(I105/E105-1,"")))</f>
        <v/>
      </c>
      <c r="J106" s="15">
        <f>IF(OR(J105="",F105=""),"",IF(F105&lt;=0,"",IFERROR(J105/F105-1,"")))</f>
        <v/>
      </c>
      <c r="K106" s="15">
        <f>IF(OR(K105="",G105=""),"",IF(G105&lt;=0,"",IFERROR(K105/G105-1,"")))</f>
        <v/>
      </c>
      <c r="L106" s="15">
        <f>IF(OR(L105="",H105=""),"",IF(H105&lt;=0,"",IFERROR(L105/H105-1,"")))</f>
        <v/>
      </c>
      <c r="M106" s="15">
        <f>IF(OR(M105="",I105=""),"",IF(I105&lt;=0,"",IFERROR(M105/I105-1,"")))</f>
        <v/>
      </c>
      <c r="N106" s="15">
        <f>IF(OR(N105="",J105=""),"",IF(J105&lt;=0,"",IFERROR(N105/J105-1,"")))</f>
        <v/>
      </c>
      <c r="T106" s="15">
        <f>IF(OR(T105="",S105=""),"",IF(S105&lt;=0,"",IFERROR(T105/S105-1,"")))</f>
        <v/>
      </c>
      <c r="U106" s="15">
        <f>IF(OR(U105="",T105=""),"",IF(T105&lt;=0,"",IFERROR(U105/T105-1,"")))</f>
        <v/>
      </c>
      <c r="V106" s="15">
        <f>IF(OR(V105="",U105=""),"",IF(U105&lt;=0,"",IFERROR(V105/U105-1,"")))</f>
        <v/>
      </c>
      <c r="W106" s="15">
        <f>IF(OR(W105="",V105=""),"",IF(V105&lt;=0,"",IFERROR(W105/V105-1,"")))</f>
        <v/>
      </c>
      <c r="X106" s="15">
        <f>IF(OR(X105="",W105=""),"",IF(W105&lt;=0,"",IFERROR(X105/W105-1,"")))</f>
        <v/>
      </c>
    </row>
    <row r="107">
      <c r="A107" s="18" t="inlineStr">
        <is>
          <t>매출원가</t>
        </is>
      </c>
      <c r="C107" s="20" t="n">
        <v>97425</v>
      </c>
      <c r="D107" s="20" t="n">
        <v>109754</v>
      </c>
      <c r="E107" s="20" t="n">
        <v>108222</v>
      </c>
      <c r="F107" s="20" t="n">
        <v>89037</v>
      </c>
      <c r="G107" s="20" t="n">
        <v>91672</v>
      </c>
      <c r="H107" s="20" t="n">
        <v>101986</v>
      </c>
      <c r="I107" s="20" t="n">
        <v>120623</v>
      </c>
      <c r="J107" s="20" t="n">
        <v>90907</v>
      </c>
      <c r="K107" s="20" t="n">
        <v>90782</v>
      </c>
      <c r="L107" s="20" t="n">
        <v>103160</v>
      </c>
      <c r="M107" s="20" t="n">
        <v>115054</v>
      </c>
      <c r="N107" s="20" t="n">
        <v>99622</v>
      </c>
      <c r="T107" s="20" t="n">
        <v>78747</v>
      </c>
      <c r="U107" s="20" t="n">
        <v>98723</v>
      </c>
      <c r="V107" s="20" t="n">
        <v>108222</v>
      </c>
      <c r="W107" s="20" t="n">
        <v>120623</v>
      </c>
      <c r="X107" s="20" t="n">
        <v>115054</v>
      </c>
    </row>
    <row r="108">
      <c r="A108" s="43" t="inlineStr">
        <is>
          <t>YoY</t>
        </is>
      </c>
      <c r="B108" s="3" t="inlineStr">
        <is>
          <t>전년 같은 분기·전년 대비</t>
        </is>
      </c>
      <c r="G108" s="15">
        <f>IF(OR(G107="",C107=""),"",IF(G107*C107&lt;=0,"",IFERROR(G107/C107-1,"")))</f>
        <v/>
      </c>
      <c r="H108" s="15">
        <f>IF(OR(H107="",D107=""),"",IF(H107*D107&lt;=0,"",IFERROR(H107/D107-1,"")))</f>
        <v/>
      </c>
      <c r="I108" s="15">
        <f>IF(OR(I107="",E107=""),"",IF(I107*E107&lt;=0,"",IFERROR(I107/E107-1,"")))</f>
        <v/>
      </c>
      <c r="J108" s="15">
        <f>IF(OR(J107="",F107=""),"",IF(J107*F107&lt;=0,"",IFERROR(J107/F107-1,"")))</f>
        <v/>
      </c>
      <c r="K108" s="15">
        <f>IF(OR(K107="",G107=""),"",IF(K107*G107&lt;=0,"",IFERROR(K107/G107-1,"")))</f>
        <v/>
      </c>
      <c r="L108" s="15">
        <f>IF(OR(L107="",H107=""),"",IF(L107*H107&lt;=0,"",IFERROR(L107/H107-1,"")))</f>
        <v/>
      </c>
      <c r="M108" s="15">
        <f>IF(OR(M107="",I107=""),"",IF(M107*I107&lt;=0,"",IFERROR(M107/I107-1,"")))</f>
        <v/>
      </c>
      <c r="N108" s="15">
        <f>IF(OR(N107="",J107=""),"",IF(N107*J107&lt;=0,"",IFERROR(N107/J107-1,"")))</f>
        <v/>
      </c>
      <c r="T108" s="15">
        <f>IF(OR(T107="",S107=""),"",IF(T107*S107&lt;=0,"",IFERROR(T107/S107-1,"")))</f>
        <v/>
      </c>
      <c r="U108" s="15">
        <f>IF(OR(U107="",T107=""),"",IF(U107*T107&lt;=0,"",IFERROR(U107/T107-1,"")))</f>
        <v/>
      </c>
      <c r="V108" s="15">
        <f>IF(OR(V107="",U107=""),"",IF(V107*U107&lt;=0,"",IFERROR(V107/U107-1,"")))</f>
        <v/>
      </c>
      <c r="W108" s="15">
        <f>IF(OR(W107="",V107=""),"",IF(W107*V107&lt;=0,"",IFERROR(W107/V107-1,"")))</f>
        <v/>
      </c>
      <c r="X108" s="15">
        <f>IF(OR(X107="",W107=""),"",IF(X107*W107&lt;=0,"",IFERROR(X107/W107-1,"")))</f>
        <v/>
      </c>
    </row>
    <row r="109">
      <c r="A109" s="9" t="inlineStr">
        <is>
          <t>매출총이익</t>
        </is>
      </c>
      <c r="C109" s="12" t="n">
        <v>75725</v>
      </c>
      <c r="D109" s="12" t="n">
        <v>87861</v>
      </c>
      <c r="E109" s="12" t="n">
        <v>80112</v>
      </c>
      <c r="F109" s="12" t="n">
        <v>74859</v>
      </c>
      <c r="G109" s="12" t="n">
        <v>77211</v>
      </c>
      <c r="H109" s="12" t="n">
        <v>77906</v>
      </c>
      <c r="I109" s="12" t="n">
        <v>81992</v>
      </c>
      <c r="J109" s="12" t="n">
        <v>67214</v>
      </c>
      <c r="K109" s="12" t="n">
        <v>64012</v>
      </c>
      <c r="L109" s="12" t="n">
        <v>67833</v>
      </c>
      <c r="M109" s="12" t="n">
        <v>78202</v>
      </c>
      <c r="N109" s="12" t="n">
        <v>64561</v>
      </c>
      <c r="T109" s="12" t="n">
        <v>54519</v>
      </c>
      <c r="U109" s="12" t="n">
        <v>73285</v>
      </c>
      <c r="V109" s="12" t="n">
        <v>80112</v>
      </c>
      <c r="W109" s="12" t="n">
        <v>81992</v>
      </c>
      <c r="X109" s="12" t="n">
        <v>78202</v>
      </c>
    </row>
    <row r="110">
      <c r="A110" s="43" t="inlineStr">
        <is>
          <t>YoY</t>
        </is>
      </c>
      <c r="B110" s="3" t="inlineStr">
        <is>
          <t>전년 같은 분기·전년 대비</t>
        </is>
      </c>
      <c r="G110" s="15">
        <f>IF(OR(G109="",C109=""),"",IF(C109&lt;=0,"",IFERROR(G109/C109-1,"")))</f>
        <v/>
      </c>
      <c r="H110" s="15">
        <f>IF(OR(H109="",D109=""),"",IF(D109&lt;=0,"",IFERROR(H109/D109-1,"")))</f>
        <v/>
      </c>
      <c r="I110" s="15">
        <f>IF(OR(I109="",E109=""),"",IF(E109&lt;=0,"",IFERROR(I109/E109-1,"")))</f>
        <v/>
      </c>
      <c r="J110" s="15">
        <f>IF(OR(J109="",F109=""),"",IF(F109&lt;=0,"",IFERROR(J109/F109-1,"")))</f>
        <v/>
      </c>
      <c r="K110" s="15">
        <f>IF(OR(K109="",G109=""),"",IF(G109&lt;=0,"",IFERROR(K109/G109-1,"")))</f>
        <v/>
      </c>
      <c r="L110" s="15">
        <f>IF(OR(L109="",H109=""),"",IF(H109&lt;=0,"",IFERROR(L109/H109-1,"")))</f>
        <v/>
      </c>
      <c r="M110" s="15">
        <f>IF(OR(M109="",I109=""),"",IF(I109&lt;=0,"",IFERROR(M109/I109-1,"")))</f>
        <v/>
      </c>
      <c r="N110" s="15">
        <f>IF(OR(N109="",J109=""),"",IF(J109&lt;=0,"",IFERROR(N109/J109-1,"")))</f>
        <v/>
      </c>
      <c r="T110" s="15">
        <f>IF(OR(T109="",S109=""),"",IF(S109&lt;=0,"",IFERROR(T109/S109-1,"")))</f>
        <v/>
      </c>
      <c r="U110" s="15">
        <f>IF(OR(U109="",T109=""),"",IF(T109&lt;=0,"",IFERROR(U109/T109-1,"")))</f>
        <v/>
      </c>
      <c r="V110" s="15">
        <f>IF(OR(V109="",U109=""),"",IF(U109&lt;=0,"",IFERROR(V109/U109-1,"")))</f>
        <v/>
      </c>
      <c r="W110" s="15">
        <f>IF(OR(W109="",V109=""),"",IF(V109&lt;=0,"",IFERROR(W109/V109-1,"")))</f>
        <v/>
      </c>
      <c r="X110" s="15">
        <f>IF(OR(X109="",W109=""),"",IF(W109&lt;=0,"",IFERROR(X109/W109-1,"")))</f>
        <v/>
      </c>
    </row>
    <row r="111">
      <c r="A111" s="18" t="inlineStr">
        <is>
          <t>판매비와 관리비</t>
        </is>
      </c>
      <c r="C111" s="20" t="n">
        <v>62900</v>
      </c>
      <c r="D111" s="20" t="n">
        <v>68302</v>
      </c>
      <c r="E111" s="20" t="n">
        <v>73473</v>
      </c>
      <c r="F111" s="20" t="n">
        <v>72348</v>
      </c>
      <c r="G111" s="20" t="n">
        <v>74147</v>
      </c>
      <c r="H111" s="20" t="n">
        <v>73657</v>
      </c>
      <c r="I111" s="20" t="n">
        <v>75003</v>
      </c>
      <c r="J111" s="20" t="n">
        <v>68235</v>
      </c>
      <c r="K111" s="20" t="n">
        <v>69264</v>
      </c>
      <c r="L111" s="20" t="n">
        <v>74642</v>
      </c>
      <c r="M111" s="20" t="n">
        <v>77107</v>
      </c>
      <c r="N111" s="20" t="n">
        <v>66834</v>
      </c>
      <c r="T111" s="20" t="n">
        <v>51776</v>
      </c>
      <c r="U111" s="20" t="n">
        <v>64930</v>
      </c>
      <c r="V111" s="20" t="n">
        <v>73473</v>
      </c>
      <c r="W111" s="20" t="n">
        <v>75003</v>
      </c>
      <c r="X111" s="20" t="n">
        <v>77107</v>
      </c>
    </row>
    <row r="112">
      <c r="A112" s="43" t="inlineStr">
        <is>
          <t>YoY</t>
        </is>
      </c>
      <c r="B112" s="3" t="inlineStr">
        <is>
          <t>전년 같은 분기·전년 대비</t>
        </is>
      </c>
      <c r="G112" s="15">
        <f>IF(OR(G111="",C111=""),"",IF(G111*C111&lt;=0,"",IFERROR(G111/C111-1,"")))</f>
        <v/>
      </c>
      <c r="H112" s="15">
        <f>IF(OR(H111="",D111=""),"",IF(H111*D111&lt;=0,"",IFERROR(H111/D111-1,"")))</f>
        <v/>
      </c>
      <c r="I112" s="15">
        <f>IF(OR(I111="",E111=""),"",IF(I111*E111&lt;=0,"",IFERROR(I111/E111-1,"")))</f>
        <v/>
      </c>
      <c r="J112" s="15">
        <f>IF(OR(J111="",F111=""),"",IF(J111*F111&lt;=0,"",IFERROR(J111/F111-1,"")))</f>
        <v/>
      </c>
      <c r="K112" s="15">
        <f>IF(OR(K111="",G111=""),"",IF(K111*G111&lt;=0,"",IFERROR(K111/G111-1,"")))</f>
        <v/>
      </c>
      <c r="L112" s="15">
        <f>IF(OR(L111="",H111=""),"",IF(L111*H111&lt;=0,"",IFERROR(L111/H111-1,"")))</f>
        <v/>
      </c>
      <c r="M112" s="15">
        <f>IF(OR(M111="",I111=""),"",IF(M111*I111&lt;=0,"",IFERROR(M111/I111-1,"")))</f>
        <v/>
      </c>
      <c r="N112" s="15">
        <f>IF(OR(N111="",J111=""),"",IF(N111*J111&lt;=0,"",IFERROR(N111/J111-1,"")))</f>
        <v/>
      </c>
      <c r="T112" s="15">
        <f>IF(OR(T111="",S111=""),"",IF(T111*S111&lt;=0,"",IFERROR(T111/S111-1,"")))</f>
        <v/>
      </c>
      <c r="U112" s="15">
        <f>IF(OR(U111="",T111=""),"",IF(U111*T111&lt;=0,"",IFERROR(U111/T111-1,"")))</f>
        <v/>
      </c>
      <c r="V112" s="15">
        <f>IF(OR(V111="",U111=""),"",IF(V111*U111&lt;=0,"",IFERROR(V111/U111-1,"")))</f>
        <v/>
      </c>
      <c r="W112" s="15">
        <f>IF(OR(W111="",V111=""),"",IF(W111*V111&lt;=0,"",IFERROR(W111/V111-1,"")))</f>
        <v/>
      </c>
      <c r="X112" s="15">
        <f>IF(OR(X111="",W111=""),"",IF(X111*W111&lt;=0,"",IFERROR(X111/W111-1,"")))</f>
        <v/>
      </c>
    </row>
    <row r="113">
      <c r="A113" s="18" t="inlineStr">
        <is>
          <t>Other Operating Income</t>
        </is>
      </c>
      <c r="C113" s="20" t="n">
        <v>383</v>
      </c>
      <c r="D113" s="20" t="n">
        <v>1746</v>
      </c>
      <c r="E113" s="20" t="n">
        <v>859</v>
      </c>
      <c r="F113" s="20" t="n">
        <v>640</v>
      </c>
      <c r="G113" s="20" t="n">
        <v>685</v>
      </c>
      <c r="H113" s="20" t="n">
        <v>477</v>
      </c>
      <c r="I113" s="20" t="n">
        <v>439</v>
      </c>
      <c r="J113" s="20" t="n">
        <v>914</v>
      </c>
      <c r="K113" s="20" t="n">
        <v>3398</v>
      </c>
      <c r="L113" s="20" t="n">
        <v>871</v>
      </c>
      <c r="M113" s="20" t="n">
        <v>5527</v>
      </c>
      <c r="N113" s="20" t="n">
        <v>1482</v>
      </c>
      <c r="T113" s="20" t="n">
        <v>790</v>
      </c>
      <c r="U113" s="20" t="n">
        <v>592</v>
      </c>
      <c r="V113" s="20" t="n">
        <v>859</v>
      </c>
      <c r="W113" s="20" t="n">
        <v>439</v>
      </c>
      <c r="X113" s="20" t="n">
        <v>5527</v>
      </c>
    </row>
    <row r="114">
      <c r="A114" s="18" t="inlineStr">
        <is>
          <t>Other Operating Expenses</t>
        </is>
      </c>
      <c r="C114" s="20" t="n">
        <v>2868</v>
      </c>
      <c r="D114" s="20" t="n">
        <v>496</v>
      </c>
      <c r="E114" s="20" t="n">
        <v>2161</v>
      </c>
      <c r="F114" s="20" t="n">
        <v>200</v>
      </c>
      <c r="G114" s="20" t="n">
        <v>884</v>
      </c>
      <c r="H114" s="20" t="n">
        <v>2431</v>
      </c>
      <c r="I114" s="20" t="n">
        <v>13116</v>
      </c>
      <c r="J114" s="20" t="n">
        <v>1085</v>
      </c>
      <c r="K114" s="20" t="n">
        <v>1783</v>
      </c>
      <c r="L114" s="20" t="n">
        <v>92864</v>
      </c>
      <c r="M114" s="20" t="n">
        <v>15438</v>
      </c>
      <c r="N114" s="20" t="n">
        <v>205</v>
      </c>
      <c r="T114" s="20" t="n">
        <v>550</v>
      </c>
      <c r="U114" s="20" t="n">
        <v>4662</v>
      </c>
      <c r="V114" s="20" t="n">
        <v>2161</v>
      </c>
      <c r="W114" s="20" t="n">
        <v>13116</v>
      </c>
      <c r="X114" s="20" t="n">
        <v>15438</v>
      </c>
    </row>
    <row r="115">
      <c r="A115" s="18" t="inlineStr">
        <is>
          <t>Operating Profit Loss</t>
        </is>
      </c>
      <c r="C115" s="20" t="n">
        <v>10339</v>
      </c>
      <c r="D115" s="20" t="n">
        <v>20809</v>
      </c>
      <c r="E115" s="20" t="n">
        <v>5338</v>
      </c>
      <c r="F115" s="20" t="n">
        <v>2950</v>
      </c>
      <c r="G115" s="20" t="n">
        <v>2867</v>
      </c>
      <c r="H115" s="20" t="n">
        <v>2293</v>
      </c>
      <c r="I115" s="20" t="n">
        <v>-5688</v>
      </c>
      <c r="J115" s="20" t="n">
        <v>-1191</v>
      </c>
      <c r="K115" s="20" t="n">
        <v>-3638</v>
      </c>
      <c r="L115" s="20" t="n">
        <v>-98803</v>
      </c>
      <c r="M115" s="20" t="n">
        <v>-8816</v>
      </c>
      <c r="N115" s="20" t="n">
        <v>-997</v>
      </c>
      <c r="T115" s="20" t="n">
        <v>2983</v>
      </c>
      <c r="U115" s="20" t="n">
        <v>4285</v>
      </c>
      <c r="V115" s="20" t="n">
        <v>5338</v>
      </c>
      <c r="W115" s="20" t="n">
        <v>-5688</v>
      </c>
      <c r="X115" s="20" t="n">
        <v>-8816</v>
      </c>
    </row>
    <row r="116">
      <c r="A116" s="43" t="inlineStr">
        <is>
          <t>OPM</t>
        </is>
      </c>
      <c r="B116" s="3" t="inlineStr">
        <is>
          <t>영업이익 ÷ 매출</t>
        </is>
      </c>
      <c r="C116" s="15">
        <f>IF(OR(C115="",C105=""),"",IF(C105&lt;=0,"",IFERROR(C115/C105,"")))</f>
        <v/>
      </c>
      <c r="D116" s="15">
        <f>IF(OR(D115="",D105=""),"",IF(D105&lt;=0,"",IFERROR(D115/D105,"")))</f>
        <v/>
      </c>
      <c r="E116" s="15">
        <f>IF(OR(E115="",E105=""),"",IF(E105&lt;=0,"",IFERROR(E115/E105,"")))</f>
        <v/>
      </c>
      <c r="F116" s="15">
        <f>IF(OR(F115="",F105=""),"",IF(F105&lt;=0,"",IFERROR(F115/F105,"")))</f>
        <v/>
      </c>
      <c r="G116" s="15">
        <f>IF(OR(G115="",G105=""),"",IF(G105&lt;=0,"",IFERROR(G115/G105,"")))</f>
        <v/>
      </c>
      <c r="H116" s="15">
        <f>IF(OR(H115="",H105=""),"",IF(H105&lt;=0,"",IFERROR(H115/H105,"")))</f>
        <v/>
      </c>
      <c r="I116" s="15">
        <f>IF(OR(I115="",I105=""),"",IF(I105&lt;=0,"",IFERROR(I115/I105,"")))</f>
        <v/>
      </c>
      <c r="J116" s="15">
        <f>IF(OR(J115="",J105=""),"",IF(J105&lt;=0,"",IFERROR(J115/J105,"")))</f>
        <v/>
      </c>
      <c r="K116" s="15">
        <f>IF(OR(K115="",K105=""),"",IF(K105&lt;=0,"",IFERROR(K115/K105,"")))</f>
        <v/>
      </c>
      <c r="L116" s="15">
        <f>IF(OR(L115="",L105=""),"",IF(L105&lt;=0,"",IFERROR(L115/L105,"")))</f>
        <v/>
      </c>
      <c r="M116" s="15">
        <f>IF(OR(M115="",M105=""),"",IF(M105&lt;=0,"",IFERROR(M115/M105,"")))</f>
        <v/>
      </c>
      <c r="N116" s="15">
        <f>IF(OR(N115="",N105=""),"",IF(N105&lt;=0,"",IFERROR(N115/N105,"")))</f>
        <v/>
      </c>
      <c r="T116" s="15">
        <f>IF(OR(T115="",T105=""),"",IF(T105&lt;=0,"",IFERROR(T115/T105,"")))</f>
        <v/>
      </c>
      <c r="U116" s="15">
        <f>IF(OR(U115="",U105=""),"",IF(U105&lt;=0,"",IFERROR(U115/U105,"")))</f>
        <v/>
      </c>
      <c r="V116" s="15">
        <f>IF(OR(V115="",V105=""),"",IF(V105&lt;=0,"",IFERROR(V115/V105,"")))</f>
        <v/>
      </c>
      <c r="W116" s="15">
        <f>IF(OR(W115="",W105=""),"",IF(W105&lt;=0,"",IFERROR(W115/W105,"")))</f>
        <v/>
      </c>
      <c r="X116" s="15">
        <f>IF(OR(X115="",X105=""),"",IF(X105&lt;=0,"",IFERROR(X115/X105,"")))</f>
        <v/>
      </c>
    </row>
    <row r="117">
      <c r="A117" s="43" t="inlineStr">
        <is>
          <t>YoY</t>
        </is>
      </c>
      <c r="B117" s="3" t="inlineStr">
        <is>
          <t>전년 같은 분기·전년 대비</t>
        </is>
      </c>
      <c r="G117" s="15">
        <f>IF(OR(G115="",C115=""),"",IF(C115&lt;=0,"",IFERROR(G115/C115-1,"")))</f>
        <v/>
      </c>
      <c r="H117" s="15">
        <f>IF(OR(H115="",D115=""),"",IF(D115&lt;=0,"",IFERROR(H115/D115-1,"")))</f>
        <v/>
      </c>
      <c r="I117" s="15">
        <f>IF(OR(I115="",E115=""),"",IF(E115&lt;=0,"",IFERROR(I115/E115-1,"")))</f>
        <v/>
      </c>
      <c r="J117" s="15">
        <f>IF(OR(J115="",F115=""),"",IF(F115&lt;=0,"",IFERROR(J115/F115-1,"")))</f>
        <v/>
      </c>
      <c r="K117" s="15">
        <f>IF(OR(K115="",G115=""),"",IF(G115&lt;=0,"",IFERROR(K115/G115-1,"")))</f>
        <v/>
      </c>
      <c r="L117" s="15">
        <f>IF(OR(L115="",H115=""),"",IF(H115&lt;=0,"",IFERROR(L115/H115-1,"")))</f>
        <v/>
      </c>
      <c r="M117" s="15">
        <f>IF(OR(M115="",I115=""),"",IF(I115&lt;=0,"",IFERROR(M115/I115-1,"")))</f>
        <v/>
      </c>
      <c r="N117" s="15">
        <f>IF(OR(N115="",J115=""),"",IF(J115&lt;=0,"",IFERROR(N115/J115-1,"")))</f>
        <v/>
      </c>
      <c r="T117" s="15">
        <f>IF(OR(T115="",S115=""),"",IF(S115&lt;=0,"",IFERROR(T115/S115-1,"")))</f>
        <v/>
      </c>
      <c r="U117" s="15">
        <f>IF(OR(U115="",T115=""),"",IF(T115&lt;=0,"",IFERROR(U115/T115-1,"")))</f>
        <v/>
      </c>
      <c r="V117" s="15">
        <f>IF(OR(V115="",U115=""),"",IF(U115&lt;=0,"",IFERROR(V115/U115-1,"")))</f>
        <v/>
      </c>
      <c r="W117" s="15">
        <f>IF(OR(W115="",V115=""),"",IF(V115&lt;=0,"",IFERROR(W115/V115-1,"")))</f>
        <v/>
      </c>
      <c r="X117" s="15">
        <f>IF(OR(X115="",W115=""),"",IF(W115&lt;=0,"",IFERROR(X115/W115-1,"")))</f>
        <v/>
      </c>
    </row>
    <row r="118">
      <c r="A118" s="18" t="inlineStr">
        <is>
          <t>금융수익</t>
        </is>
      </c>
      <c r="C118" s="20" t="n">
        <v>1653</v>
      </c>
      <c r="D118" s="20" t="n">
        <v>185</v>
      </c>
      <c r="E118" s="20" t="n">
        <v>2370</v>
      </c>
      <c r="F118" s="20" t="n">
        <v>3658</v>
      </c>
      <c r="G118" s="20" t="n">
        <v>-682</v>
      </c>
      <c r="H118" s="20" t="n">
        <v>2777</v>
      </c>
      <c r="I118" s="20" t="n">
        <v>207</v>
      </c>
      <c r="J118" s="20" t="n">
        <v>2424</v>
      </c>
      <c r="K118" s="20" t="n">
        <v>928</v>
      </c>
      <c r="L118" s="20" t="n">
        <v>4414</v>
      </c>
      <c r="M118" s="20" t="n">
        <v>1438</v>
      </c>
      <c r="N118" s="20" t="n">
        <v>2765</v>
      </c>
      <c r="T118" s="20" t="n">
        <v>2583</v>
      </c>
      <c r="U118" s="20" t="n">
        <v>974</v>
      </c>
      <c r="V118" s="20" t="n">
        <v>2370</v>
      </c>
      <c r="W118" s="20" t="n">
        <v>207</v>
      </c>
      <c r="X118" s="20" t="n">
        <v>1438</v>
      </c>
    </row>
    <row r="119">
      <c r="A119" s="43" t="inlineStr">
        <is>
          <t>YoY</t>
        </is>
      </c>
      <c r="B119" s="3" t="inlineStr">
        <is>
          <t>전년 같은 분기·전년 대비</t>
        </is>
      </c>
      <c r="G119" s="15">
        <f>IF(OR(G118="",C118=""),"",IF(G118*C118&lt;=0,"",IFERROR(G118/C118-1,"")))</f>
        <v/>
      </c>
      <c r="H119" s="15">
        <f>IF(OR(H118="",D118=""),"",IF(H118*D118&lt;=0,"",IFERROR(H118/D118-1,"")))</f>
        <v/>
      </c>
      <c r="I119" s="15">
        <f>IF(OR(I118="",E118=""),"",IF(I118*E118&lt;=0,"",IFERROR(I118/E118-1,"")))</f>
        <v/>
      </c>
      <c r="J119" s="15">
        <f>IF(OR(J118="",F118=""),"",IF(J118*F118&lt;=0,"",IFERROR(J118/F118-1,"")))</f>
        <v/>
      </c>
      <c r="K119" s="15">
        <f>IF(OR(K118="",G118=""),"",IF(K118*G118&lt;=0,"",IFERROR(K118/G118-1,"")))</f>
        <v/>
      </c>
      <c r="L119" s="15">
        <f>IF(OR(L118="",H118=""),"",IF(L118*H118&lt;=0,"",IFERROR(L118/H118-1,"")))</f>
        <v/>
      </c>
      <c r="M119" s="15">
        <f>IF(OR(M118="",I118=""),"",IF(M118*I118&lt;=0,"",IFERROR(M118/I118-1,"")))</f>
        <v/>
      </c>
      <c r="N119" s="15">
        <f>IF(OR(N118="",J118=""),"",IF(N118*J118&lt;=0,"",IFERROR(N118/J118-1,"")))</f>
        <v/>
      </c>
      <c r="T119" s="15">
        <f>IF(OR(T118="",S118=""),"",IF(T118*S118&lt;=0,"",IFERROR(T118/S118-1,"")))</f>
        <v/>
      </c>
      <c r="U119" s="15">
        <f>IF(OR(U118="",T118=""),"",IF(U118*T118&lt;=0,"",IFERROR(U118/T118-1,"")))</f>
        <v/>
      </c>
      <c r="V119" s="15">
        <f>IF(OR(V118="",U118=""),"",IF(V118*U118&lt;=0,"",IFERROR(V118/U118-1,"")))</f>
        <v/>
      </c>
      <c r="W119" s="15">
        <f>IF(OR(W118="",V118=""),"",IF(W118*V118&lt;=0,"",IFERROR(W118/V118-1,"")))</f>
        <v/>
      </c>
      <c r="X119" s="15">
        <f>IF(OR(X118="",W118=""),"",IF(X118*W118&lt;=0,"",IFERROR(X118/W118-1,"")))</f>
        <v/>
      </c>
    </row>
    <row r="120">
      <c r="A120" s="18" t="inlineStr">
        <is>
          <t>금융비용</t>
        </is>
      </c>
      <c r="C120" s="20" t="n">
        <v>2005</v>
      </c>
      <c r="D120" s="20" t="n">
        <v>888</v>
      </c>
      <c r="E120" s="20" t="n">
        <v>1687</v>
      </c>
      <c r="F120" s="20" t="n">
        <v>2789</v>
      </c>
      <c r="G120" s="20" t="n">
        <v>2916</v>
      </c>
      <c r="H120" s="20" t="n">
        <v>-339</v>
      </c>
      <c r="I120" s="20" t="n">
        <v>1628</v>
      </c>
      <c r="J120" s="20" t="n">
        <v>1240</v>
      </c>
      <c r="K120" s="20" t="n">
        <v>4504</v>
      </c>
      <c r="L120" s="20" t="n">
        <v>2847</v>
      </c>
      <c r="M120" s="20" t="n">
        <v>-1073</v>
      </c>
      <c r="N120" s="20" t="n">
        <v>1233</v>
      </c>
      <c r="T120" s="20" t="n">
        <v>1525</v>
      </c>
      <c r="U120" s="20" t="n">
        <v>1094</v>
      </c>
      <c r="V120" s="20" t="n">
        <v>1687</v>
      </c>
      <c r="W120" s="20" t="n">
        <v>1628</v>
      </c>
      <c r="X120" s="20" t="n">
        <v>-1073</v>
      </c>
    </row>
    <row r="121">
      <c r="A121" s="43" t="inlineStr">
        <is>
          <t>YoY</t>
        </is>
      </c>
      <c r="B121" s="3" t="inlineStr">
        <is>
          <t>전년 같은 분기·전년 대비</t>
        </is>
      </c>
      <c r="G121" s="15">
        <f>IF(OR(G120="",C120=""),"",IF(G120*C120&lt;=0,"",IFERROR(G120/C120-1,"")))</f>
        <v/>
      </c>
      <c r="H121" s="15">
        <f>IF(OR(H120="",D120=""),"",IF(H120*D120&lt;=0,"",IFERROR(H120/D120-1,"")))</f>
        <v/>
      </c>
      <c r="I121" s="15">
        <f>IF(OR(I120="",E120=""),"",IF(I120*E120&lt;=0,"",IFERROR(I120/E120-1,"")))</f>
        <v/>
      </c>
      <c r="J121" s="15">
        <f>IF(OR(J120="",F120=""),"",IF(J120*F120&lt;=0,"",IFERROR(J120/F120-1,"")))</f>
        <v/>
      </c>
      <c r="K121" s="15">
        <f>IF(OR(K120="",G120=""),"",IF(K120*G120&lt;=0,"",IFERROR(K120/G120-1,"")))</f>
        <v/>
      </c>
      <c r="L121" s="15">
        <f>IF(OR(L120="",H120=""),"",IF(L120*H120&lt;=0,"",IFERROR(L120/H120-1,"")))</f>
        <v/>
      </c>
      <c r="M121" s="15">
        <f>IF(OR(M120="",I120=""),"",IF(M120*I120&lt;=0,"",IFERROR(M120/I120-1,"")))</f>
        <v/>
      </c>
      <c r="N121" s="15">
        <f>IF(OR(N120="",J120=""),"",IF(N120*J120&lt;=0,"",IFERROR(N120/J120-1,"")))</f>
        <v/>
      </c>
      <c r="T121" s="15">
        <f>IF(OR(T120="",S120=""),"",IF(T120*S120&lt;=0,"",IFERROR(T120/S120-1,"")))</f>
        <v/>
      </c>
      <c r="U121" s="15">
        <f>IF(OR(U120="",T120=""),"",IF(U120*T120&lt;=0,"",IFERROR(U120/T120-1,"")))</f>
        <v/>
      </c>
      <c r="V121" s="15">
        <f>IF(OR(V120="",U120=""),"",IF(V120*U120&lt;=0,"",IFERROR(V120/U120-1,"")))</f>
        <v/>
      </c>
      <c r="W121" s="15">
        <f>IF(OR(W120="",V120=""),"",IF(W120*V120&lt;=0,"",IFERROR(W120/V120-1,"")))</f>
        <v/>
      </c>
      <c r="X121" s="15">
        <f>IF(OR(X120="",W120=""),"",IF(X120*W120&lt;=0,"",IFERROR(X120/W120-1,"")))</f>
        <v/>
      </c>
    </row>
    <row r="122">
      <c r="A122" s="18" t="inlineStr">
        <is>
          <t>지분법이익</t>
        </is>
      </c>
      <c r="C122" s="20" t="n">
        <v>456</v>
      </c>
      <c r="D122" s="20" t="n">
        <v>840</v>
      </c>
      <c r="E122" s="20" t="n">
        <v>442</v>
      </c>
      <c r="F122" s="20" t="n">
        <v>826</v>
      </c>
      <c r="G122" s="20" t="n">
        <v>540</v>
      </c>
      <c r="H122" s="20" t="n">
        <v>984</v>
      </c>
      <c r="I122" s="20" t="n">
        <v>796</v>
      </c>
      <c r="J122" s="20" t="n">
        <v>802</v>
      </c>
      <c r="K122" s="20" t="n">
        <v>1152</v>
      </c>
      <c r="L122" s="20" t="n">
        <v>647</v>
      </c>
      <c r="M122" s="20" t="n">
        <v>1650</v>
      </c>
      <c r="N122" s="20" t="n">
        <v>965</v>
      </c>
      <c r="T122" s="20" t="n">
        <v>498</v>
      </c>
      <c r="U122" s="20" t="n">
        <v>581</v>
      </c>
      <c r="V122" s="20" t="n">
        <v>442</v>
      </c>
      <c r="W122" s="20" t="n">
        <v>796</v>
      </c>
      <c r="X122" s="20" t="n">
        <v>1650</v>
      </c>
    </row>
    <row r="123">
      <c r="A123" s="9" t="inlineStr">
        <is>
          <t>법인세비용차감전 중간이익</t>
        </is>
      </c>
      <c r="C123" s="12" t="n">
        <v>10443</v>
      </c>
      <c r="D123" s="12" t="n">
        <v>20946</v>
      </c>
      <c r="E123" s="12" t="n">
        <v>6463</v>
      </c>
      <c r="F123" s="12" t="n">
        <v>4645</v>
      </c>
      <c r="G123" s="12" t="n">
        <v>-191</v>
      </c>
      <c r="H123" s="12" t="n">
        <v>6394</v>
      </c>
      <c r="I123" s="12" t="n">
        <v>-6315</v>
      </c>
      <c r="J123" s="12" t="n">
        <v>795</v>
      </c>
      <c r="K123" s="12" t="n">
        <v>-6060</v>
      </c>
      <c r="L123" s="12" t="n">
        <v>-96591</v>
      </c>
      <c r="M123" s="12" t="n">
        <v>-4655</v>
      </c>
      <c r="N123" s="12" t="n">
        <v>1502</v>
      </c>
      <c r="T123" s="12" t="n">
        <v>4540</v>
      </c>
      <c r="U123" s="12" t="n">
        <v>4744</v>
      </c>
      <c r="V123" s="12" t="n">
        <v>6463</v>
      </c>
      <c r="W123" s="12" t="n">
        <v>-6315</v>
      </c>
      <c r="X123" s="12" t="n">
        <v>-4655</v>
      </c>
    </row>
    <row r="124">
      <c r="A124" s="18" t="inlineStr">
        <is>
          <t>법인소득세 비용</t>
        </is>
      </c>
      <c r="C124" s="20" t="n">
        <v>3349</v>
      </c>
      <c r="D124" s="20" t="n">
        <v>5762</v>
      </c>
      <c r="E124" s="20" t="n">
        <v>-1152</v>
      </c>
      <c r="F124" s="20" t="n">
        <v>1869</v>
      </c>
      <c r="G124" s="20" t="n">
        <v>-404</v>
      </c>
      <c r="H124" s="20" t="n">
        <v>3070</v>
      </c>
      <c r="I124" s="20" t="n">
        <v>-6125</v>
      </c>
      <c r="J124" s="20" t="n">
        <v>-8667</v>
      </c>
      <c r="K124" s="20" t="n">
        <v>-1980</v>
      </c>
      <c r="L124" s="20" t="n">
        <v>-4039</v>
      </c>
      <c r="M124" s="20" t="n">
        <v>-5790</v>
      </c>
      <c r="N124" s="20" t="n">
        <v>196</v>
      </c>
      <c r="T124" s="20" t="n">
        <v>1221</v>
      </c>
      <c r="U124" s="20" t="n">
        <v>327</v>
      </c>
      <c r="V124" s="20" t="n">
        <v>-1152</v>
      </c>
      <c r="W124" s="20" t="n">
        <v>-6125</v>
      </c>
      <c r="X124" s="20" t="n">
        <v>-5790</v>
      </c>
    </row>
    <row r="125">
      <c r="A125" s="43" t="inlineStr">
        <is>
          <t>YoY</t>
        </is>
      </c>
      <c r="B125" s="3" t="inlineStr">
        <is>
          <t>전년 같은 분기·전년 대비</t>
        </is>
      </c>
      <c r="G125" s="15">
        <f>IF(OR(G124="",C124=""),"",IF(G124*C124&lt;=0,"",IFERROR(G124/C124-1,"")))</f>
        <v/>
      </c>
      <c r="H125" s="15">
        <f>IF(OR(H124="",D124=""),"",IF(H124*D124&lt;=0,"",IFERROR(H124/D124-1,"")))</f>
        <v/>
      </c>
      <c r="I125" s="15">
        <f>IF(OR(I124="",E124=""),"",IF(I124*E124&lt;=0,"",IFERROR(I124/E124-1,"")))</f>
        <v/>
      </c>
      <c r="J125" s="15">
        <f>IF(OR(J124="",F124=""),"",IF(J124*F124&lt;=0,"",IFERROR(J124/F124-1,"")))</f>
        <v/>
      </c>
      <c r="K125" s="15">
        <f>IF(OR(K124="",G124=""),"",IF(K124*G124&lt;=0,"",IFERROR(K124/G124-1,"")))</f>
        <v/>
      </c>
      <c r="L125" s="15">
        <f>IF(OR(L124="",H124=""),"",IF(L124*H124&lt;=0,"",IFERROR(L124/H124-1,"")))</f>
        <v/>
      </c>
      <c r="M125" s="15">
        <f>IF(OR(M124="",I124=""),"",IF(M124*I124&lt;=0,"",IFERROR(M124/I124-1,"")))</f>
        <v/>
      </c>
      <c r="N125" s="15">
        <f>IF(OR(N124="",J124=""),"",IF(N124*J124&lt;=0,"",IFERROR(N124/J124-1,"")))</f>
        <v/>
      </c>
      <c r="T125" s="15">
        <f>IF(OR(T124="",S124=""),"",IF(T124*S124&lt;=0,"",IFERROR(T124/S124-1,"")))</f>
        <v/>
      </c>
      <c r="U125" s="15">
        <f>IF(OR(U124="",T124=""),"",IF(U124*T124&lt;=0,"",IFERROR(U124/T124-1,"")))</f>
        <v/>
      </c>
      <c r="V125" s="15">
        <f>IF(OR(V124="",U124=""),"",IF(V124*U124&lt;=0,"",IFERROR(V124/U124-1,"")))</f>
        <v/>
      </c>
      <c r="W125" s="15">
        <f>IF(OR(W124="",V124=""),"",IF(W124*V124&lt;=0,"",IFERROR(W124/V124-1,"")))</f>
        <v/>
      </c>
      <c r="X125" s="15">
        <f>IF(OR(X124="",W124=""),"",IF(X124*W124&lt;=0,"",IFERROR(X124/W124-1,"")))</f>
        <v/>
      </c>
    </row>
    <row r="126">
      <c r="A126" s="9" t="inlineStr">
        <is>
          <t>중간이익</t>
        </is>
      </c>
      <c r="C126" s="12" t="n">
        <v>7094</v>
      </c>
      <c r="D126" s="12" t="n">
        <v>15184</v>
      </c>
      <c r="E126" s="12" t="n">
        <v>7615</v>
      </c>
      <c r="F126" s="12" t="n">
        <v>2776</v>
      </c>
      <c r="G126" s="12" t="n">
        <v>212</v>
      </c>
      <c r="H126" s="12" t="n">
        <v>3325</v>
      </c>
      <c r="I126" s="12" t="n">
        <v>-190</v>
      </c>
      <c r="J126" s="12" t="n">
        <v>9462</v>
      </c>
      <c r="K126" s="12" t="n">
        <v>-4080</v>
      </c>
      <c r="L126" s="12" t="n">
        <v>-92552</v>
      </c>
      <c r="M126" s="12" t="n">
        <v>1135</v>
      </c>
      <c r="N126" s="12" t="n">
        <v>1306</v>
      </c>
      <c r="T126" s="12" t="n">
        <v>3319</v>
      </c>
      <c r="U126" s="12" t="n">
        <v>4418</v>
      </c>
      <c r="V126" s="12" t="n">
        <v>7615</v>
      </c>
      <c r="W126" s="12" t="n">
        <v>-190</v>
      </c>
      <c r="X126" s="12" t="n">
        <v>1135</v>
      </c>
    </row>
    <row r="127">
      <c r="A127" s="43" t="inlineStr">
        <is>
          <t>YoY</t>
        </is>
      </c>
      <c r="B127" s="3" t="inlineStr">
        <is>
          <t>전년 같은 분기·전년 대비</t>
        </is>
      </c>
      <c r="G127" s="15">
        <f>IF(OR(G126="",C126=""),"",IF(C126&lt;=0,"",IFERROR(G126/C126-1,"")))</f>
        <v/>
      </c>
      <c r="H127" s="15">
        <f>IF(OR(H126="",D126=""),"",IF(D126&lt;=0,"",IFERROR(H126/D126-1,"")))</f>
        <v/>
      </c>
      <c r="I127" s="15">
        <f>IF(OR(I126="",E126=""),"",IF(E126&lt;=0,"",IFERROR(I126/E126-1,"")))</f>
        <v/>
      </c>
      <c r="J127" s="15">
        <f>IF(OR(J126="",F126=""),"",IF(F126&lt;=0,"",IFERROR(J126/F126-1,"")))</f>
        <v/>
      </c>
      <c r="K127" s="15">
        <f>IF(OR(K126="",G126=""),"",IF(G126&lt;=0,"",IFERROR(K126/G126-1,"")))</f>
        <v/>
      </c>
      <c r="L127" s="15">
        <f>IF(OR(L126="",H126=""),"",IF(H126&lt;=0,"",IFERROR(L126/H126-1,"")))</f>
        <v/>
      </c>
      <c r="M127" s="15">
        <f>IF(OR(M126="",I126=""),"",IF(I126&lt;=0,"",IFERROR(M126/I126-1,"")))</f>
        <v/>
      </c>
      <c r="N127" s="15">
        <f>IF(OR(N126="",J126=""),"",IF(J126&lt;=0,"",IFERROR(N126/J126-1,"")))</f>
        <v/>
      </c>
      <c r="T127" s="15">
        <f>IF(OR(T126="",S126=""),"",IF(S126&lt;=0,"",IFERROR(T126/S126-1,"")))</f>
        <v/>
      </c>
      <c r="U127" s="15">
        <f>IF(OR(U126="",T126=""),"",IF(T126&lt;=0,"",IFERROR(U126/T126-1,"")))</f>
        <v/>
      </c>
      <c r="V127" s="15">
        <f>IF(OR(V126="",U126=""),"",IF(U126&lt;=0,"",IFERROR(V126/U126-1,"")))</f>
        <v/>
      </c>
      <c r="W127" s="15">
        <f>IF(OR(W126="",V126=""),"",IF(V126&lt;=0,"",IFERROR(W126/V126-1,"")))</f>
        <v/>
      </c>
      <c r="X127" s="15">
        <f>IF(OR(X126="",W126=""),"",IF(W126&lt;=0,"",IFERROR(X126/W126-1,"")))</f>
        <v/>
      </c>
    </row>
    <row r="128">
      <c r="A128" s="18" t="inlineStr">
        <is>
          <t>기본 주당 중간이익(엔)</t>
        </is>
      </c>
      <c r="C128" s="20" t="n">
        <v>2.086e-05</v>
      </c>
      <c r="D128" s="20" t="n">
        <v>4.379999999999999e-05</v>
      </c>
      <c r="E128" s="20" t="n">
        <v>2.193000000000001e-05</v>
      </c>
      <c r="F128" s="20" t="n">
        <v>7.95e-06</v>
      </c>
      <c r="G128" s="20" t="n">
        <v>6.000000000000005e-07</v>
      </c>
      <c r="H128" s="20" t="n">
        <v>9.559999999999998e-06</v>
      </c>
      <c r="I128" s="20" t="n">
        <v>-2.5e-07</v>
      </c>
      <c r="J128" s="20" t="n">
        <v>2.879e-05</v>
      </c>
      <c r="K128" s="20" t="n">
        <v>-1.251e-05</v>
      </c>
      <c r="L128" s="20" t="n">
        <v>-0.0002813099999999999</v>
      </c>
      <c r="M128" s="20" t="n">
        <v>3.45999999999998e-06</v>
      </c>
      <c r="N128" s="20" t="n">
        <v>3.91e-06</v>
      </c>
      <c r="T128" s="20" t="n">
        <v>9.820000000000008e-06</v>
      </c>
      <c r="U128" s="20" t="n">
        <v>1.625e-05</v>
      </c>
      <c r="V128" s="20" t="n">
        <v>2.193000000000001e-05</v>
      </c>
      <c r="W128" s="20" t="n">
        <v>-2.5e-07</v>
      </c>
      <c r="X128" s="20" t="n">
        <v>3.45999999999998e-06</v>
      </c>
    </row>
    <row r="129">
      <c r="A129" s="18" t="inlineStr">
        <is>
          <t>희석 주당 중간이익(엔)</t>
        </is>
      </c>
      <c r="C129" s="20" t="n">
        <v>2.075e-05</v>
      </c>
      <c r="D129" s="20" t="n">
        <v>4.357e-05</v>
      </c>
      <c r="E129" s="20" t="n">
        <v>2.181e-05</v>
      </c>
      <c r="F129" s="20" t="n">
        <v>7.91e-06</v>
      </c>
      <c r="G129" s="20" t="n">
        <v>5.999999999999997e-07</v>
      </c>
      <c r="H129" s="20" t="n">
        <v>9.51e-06</v>
      </c>
      <c r="I129" s="20" t="n">
        <v>-2.5e-07</v>
      </c>
      <c r="J129" s="20" t="n">
        <v>2.864e-05</v>
      </c>
      <c r="K129" s="20" t="n">
        <v>-1.244e-05</v>
      </c>
      <c r="L129" s="20" t="n">
        <v>-0.0002812299999999999</v>
      </c>
      <c r="M129" s="20" t="n">
        <v>3.45999999999998e-06</v>
      </c>
      <c r="N129" s="20" t="n">
        <v>3.9e-06</v>
      </c>
      <c r="T129" s="20" t="n">
        <v>9.760000000000005e-06</v>
      </c>
      <c r="U129" s="20" t="n">
        <v>1.616e-05</v>
      </c>
      <c r="V129" s="20" t="n">
        <v>2.181e-05</v>
      </c>
      <c r="W129" s="20" t="n">
        <v>-2.5e-07</v>
      </c>
      <c r="X129" s="20" t="n">
        <v>3.45999999999998e-06</v>
      </c>
    </row>
    <row r="130">
      <c r="A130" s="9" t="inlineStr">
        <is>
          <t>지배기업 소유주</t>
        </is>
      </c>
      <c r="C130" s="12" t="n">
        <v>7225</v>
      </c>
      <c r="D130" s="12" t="n">
        <v>15172</v>
      </c>
      <c r="E130" s="12" t="n">
        <v>7597</v>
      </c>
      <c r="F130" s="12" t="n">
        <v>2755</v>
      </c>
      <c r="G130" s="12" t="n">
        <v>208</v>
      </c>
      <c r="H130" s="12" t="n">
        <v>3299</v>
      </c>
      <c r="I130" s="12" t="n">
        <v>-139</v>
      </c>
      <c r="J130" s="12" t="n">
        <v>9469</v>
      </c>
      <c r="K130" s="12" t="n">
        <v>-4113</v>
      </c>
      <c r="L130" s="12" t="n">
        <v>-92572</v>
      </c>
      <c r="M130" s="12" t="n">
        <v>1128</v>
      </c>
      <c r="N130" s="12" t="n">
        <v>1289</v>
      </c>
      <c r="T130" s="12" t="n">
        <v>3606</v>
      </c>
      <c r="U130" s="12" t="n">
        <v>5488</v>
      </c>
      <c r="V130" s="12" t="n">
        <v>7597</v>
      </c>
      <c r="W130" s="12" t="n">
        <v>-139</v>
      </c>
      <c r="X130" s="12" t="n">
        <v>1128</v>
      </c>
    </row>
    <row r="131">
      <c r="A131" s="43" t="inlineStr">
        <is>
          <t>YoY</t>
        </is>
      </c>
      <c r="B131" s="3" t="inlineStr">
        <is>
          <t>전년 같은 분기·전년 대비</t>
        </is>
      </c>
      <c r="G131" s="15">
        <f>IF(OR(G130="",C130=""),"",IF(C130&lt;=0,"",IFERROR(G130/C130-1,"")))</f>
        <v/>
      </c>
      <c r="H131" s="15">
        <f>IF(OR(H130="",D130=""),"",IF(D130&lt;=0,"",IFERROR(H130/D130-1,"")))</f>
        <v/>
      </c>
      <c r="I131" s="15">
        <f>IF(OR(I130="",E130=""),"",IF(E130&lt;=0,"",IFERROR(I130/E130-1,"")))</f>
        <v/>
      </c>
      <c r="J131" s="15">
        <f>IF(OR(J130="",F130=""),"",IF(F130&lt;=0,"",IFERROR(J130/F130-1,"")))</f>
        <v/>
      </c>
      <c r="K131" s="15">
        <f>IF(OR(K130="",G130=""),"",IF(G130&lt;=0,"",IFERROR(K130/G130-1,"")))</f>
        <v/>
      </c>
      <c r="L131" s="15">
        <f>IF(OR(L130="",H130=""),"",IF(H130&lt;=0,"",IFERROR(L130/H130-1,"")))</f>
        <v/>
      </c>
      <c r="M131" s="15">
        <f>IF(OR(M130="",I130=""),"",IF(I130&lt;=0,"",IFERROR(M130/I130-1,"")))</f>
        <v/>
      </c>
      <c r="N131" s="15">
        <f>IF(OR(N130="",J130=""),"",IF(J130&lt;=0,"",IFERROR(N130/J130-1,"")))</f>
        <v/>
      </c>
      <c r="T131" s="15">
        <f>IF(OR(T130="",S130=""),"",IF(S130&lt;=0,"",IFERROR(T130/S130-1,"")))</f>
        <v/>
      </c>
      <c r="U131" s="15">
        <f>IF(OR(U130="",T130=""),"",IF(T130&lt;=0,"",IFERROR(U130/T130-1,"")))</f>
        <v/>
      </c>
      <c r="V131" s="15">
        <f>IF(OR(V130="",U130=""),"",IF(U130&lt;=0,"",IFERROR(V130/U130-1,"")))</f>
        <v/>
      </c>
      <c r="W131" s="15">
        <f>IF(OR(W130="",V130=""),"",IF(V130&lt;=0,"",IFERROR(W130/V130-1,"")))</f>
        <v/>
      </c>
      <c r="X131" s="15">
        <f>IF(OR(X130="",W130=""),"",IF(W130&lt;=0,"",IFERROR(X130/W130-1,"")))</f>
        <v/>
      </c>
    </row>
    <row r="132">
      <c r="A132" s="9" t="inlineStr">
        <is>
          <t>비지배지분</t>
        </is>
      </c>
      <c r="C132" s="12" t="n">
        <v>-132</v>
      </c>
      <c r="D132" s="12" t="n">
        <v>12</v>
      </c>
      <c r="E132" s="12" t="n">
        <v>18</v>
      </c>
      <c r="F132" s="12" t="n">
        <v>21</v>
      </c>
      <c r="G132" s="12" t="n">
        <v>4</v>
      </c>
      <c r="H132" s="12" t="n">
        <v>26</v>
      </c>
      <c r="I132" s="12" t="n">
        <v>-51</v>
      </c>
      <c r="J132" s="12" t="n">
        <v>-6</v>
      </c>
      <c r="K132" s="12" t="n">
        <v>32</v>
      </c>
      <c r="L132" s="12" t="n">
        <v>20</v>
      </c>
      <c r="M132" s="12" t="n">
        <v>7</v>
      </c>
      <c r="N132" s="12" t="n">
        <v>16</v>
      </c>
      <c r="T132" s="12" t="n">
        <v>-287</v>
      </c>
      <c r="U132" s="12" t="n">
        <v>-1070</v>
      </c>
      <c r="V132" s="12" t="n">
        <v>18</v>
      </c>
      <c r="W132" s="12" t="n">
        <v>-51</v>
      </c>
      <c r="X132" s="12" t="n">
        <v>7</v>
      </c>
    </row>
    <row r="134">
      <c r="A134" s="16" t="inlineStr">
        <is>
          <t>포괄손익 · 전 항목</t>
        </is>
      </c>
      <c r="B134" s="42" t="inlineStr">
        <is>
          <t>분기 = 3개월 단독</t>
        </is>
      </c>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row>
    <row r="135">
      <c r="A135" s="5" t="inlineStr">
        <is>
          <t>항목</t>
        </is>
      </c>
      <c r="B135" s="5" t="inlineStr">
        <is>
          <t>참고</t>
        </is>
      </c>
      <c r="C135" s="5" t="inlineStr">
        <is>
          <t>2024.2Q</t>
        </is>
      </c>
      <c r="D135" s="5" t="inlineStr">
        <is>
          <t>2024.3Q</t>
        </is>
      </c>
      <c r="E135" s="5" t="inlineStr">
        <is>
          <t>2024.4Q</t>
        </is>
      </c>
      <c r="F135" s="5" t="inlineStr">
        <is>
          <t>2025.1Q</t>
        </is>
      </c>
      <c r="G135" s="5" t="inlineStr">
        <is>
          <t>2025.2Q</t>
        </is>
      </c>
      <c r="H135" s="5" t="inlineStr">
        <is>
          <t>2025.3Q</t>
        </is>
      </c>
      <c r="I135" s="5" t="inlineStr">
        <is>
          <t>2025.4Q</t>
        </is>
      </c>
      <c r="J135" s="5" t="inlineStr">
        <is>
          <t>2026.1Q</t>
        </is>
      </c>
      <c r="K135" s="5" t="inlineStr">
        <is>
          <t>2026.2Q</t>
        </is>
      </c>
      <c r="L135" s="5" t="inlineStr">
        <is>
          <t>2026.3Q</t>
        </is>
      </c>
      <c r="M135" s="5" t="inlineStr">
        <is>
          <t>2026.4Q</t>
        </is>
      </c>
      <c r="N135" s="5" t="inlineStr">
        <is>
          <t>2027.1Q</t>
        </is>
      </c>
      <c r="O135" s="5" t="inlineStr">
        <is>
          <t>2017</t>
        </is>
      </c>
      <c r="P135" s="5" t="inlineStr">
        <is>
          <t>2018</t>
        </is>
      </c>
      <c r="Q135" s="5" t="inlineStr">
        <is>
          <t>2019</t>
        </is>
      </c>
      <c r="R135" s="5" t="inlineStr">
        <is>
          <t>2020</t>
        </is>
      </c>
      <c r="S135" s="5" t="inlineStr">
        <is>
          <t>2021</t>
        </is>
      </c>
      <c r="T135" s="5" t="inlineStr">
        <is>
          <t>2022</t>
        </is>
      </c>
      <c r="U135" s="5" t="inlineStr">
        <is>
          <t>2023</t>
        </is>
      </c>
      <c r="V135" s="5" t="inlineStr">
        <is>
          <t>2024</t>
        </is>
      </c>
      <c r="W135" s="5" t="inlineStr">
        <is>
          <t>2025</t>
        </is>
      </c>
      <c r="X135" s="5" t="inlineStr">
        <is>
          <t>2026</t>
        </is>
      </c>
      <c r="Y135" s="5" t="inlineStr">
        <is>
          <t>2027(MW)</t>
        </is>
      </c>
      <c r="Z135" s="5" t="inlineStr">
        <is>
          <t>2028(MW)</t>
        </is>
      </c>
      <c r="AA135" s="5" t="inlineStr">
        <is>
          <t>2029(MW)</t>
        </is>
      </c>
      <c r="AB135" s="5" t="inlineStr">
        <is>
          <t>2030(MW)</t>
        </is>
      </c>
      <c r="AC135" s="5" t="inlineStr">
        <is>
          <t>2031(MW)</t>
        </is>
      </c>
    </row>
    <row r="136">
      <c r="A136" s="9" t="inlineStr">
        <is>
          <t>중간이익</t>
        </is>
      </c>
      <c r="C136" s="12" t="n">
        <v>7094</v>
      </c>
      <c r="D136" s="12" t="n">
        <v>15184</v>
      </c>
      <c r="E136" s="12" t="n">
        <v>7615</v>
      </c>
      <c r="F136" s="12" t="n">
        <v>2776</v>
      </c>
      <c r="G136" s="12" t="n">
        <v>212</v>
      </c>
      <c r="H136" s="12" t="n">
        <v>3325</v>
      </c>
      <c r="I136" s="12" t="n">
        <v>-190</v>
      </c>
      <c r="J136" s="12" t="n">
        <v>9462</v>
      </c>
      <c r="K136" s="12" t="n">
        <v>-4080</v>
      </c>
      <c r="L136" s="12" t="n">
        <v>-92552</v>
      </c>
      <c r="M136" s="12" t="n">
        <v>1135</v>
      </c>
      <c r="N136" s="12" t="n">
        <v>1306</v>
      </c>
      <c r="V136" s="12" t="n">
        <v>7615</v>
      </c>
      <c r="W136" s="12" t="n">
        <v>-190</v>
      </c>
      <c r="X136" s="12" t="n">
        <v>1135</v>
      </c>
    </row>
    <row r="137">
      <c r="A137" s="18" t="inlineStr">
        <is>
          <t>Net Change In Fair Value Of Equity Instruments Designated As Measured At Fair Value Through Other Comprehensive Income Net Of Tax Items That Will Not Be Reclassified To Profit Or Loss OCI</t>
        </is>
      </c>
      <c r="C137" s="20" t="n">
        <v>1249</v>
      </c>
      <c r="D137" s="20" t="n">
        <v>4902</v>
      </c>
      <c r="E137" s="20" t="n">
        <v>3863</v>
      </c>
      <c r="F137" s="20" t="n">
        <v>3106</v>
      </c>
      <c r="G137" s="20" t="n">
        <v>-6594</v>
      </c>
      <c r="H137" s="20" t="n">
        <v>1164</v>
      </c>
      <c r="I137" s="20" t="n">
        <v>-1823</v>
      </c>
      <c r="J137" s="20" t="n">
        <v>1686</v>
      </c>
      <c r="K137" s="20" t="n">
        <v>4673</v>
      </c>
      <c r="L137" s="20" t="n">
        <v>1835</v>
      </c>
      <c r="M137" s="20" t="n">
        <v>3952</v>
      </c>
      <c r="N137" s="20" t="n">
        <v>5286</v>
      </c>
      <c r="V137" s="20" t="n">
        <v>3863</v>
      </c>
      <c r="W137" s="20" t="n">
        <v>-1823</v>
      </c>
      <c r="X137" s="20" t="n">
        <v>3952</v>
      </c>
    </row>
    <row r="138">
      <c r="A138" s="18" t="inlineStr">
        <is>
          <t>Share Of Other Comprehensive Income Of Investments Accounted For Using Equity Method Net Of Tax Items That Will Not Be Reclassified To Profit Or Loss OCI</t>
        </is>
      </c>
      <c r="C138" s="20" t="n">
        <v>0</v>
      </c>
      <c r="D138" s="20" t="n">
        <v>1</v>
      </c>
      <c r="E138" s="20" t="n">
        <v>154</v>
      </c>
      <c r="F138" s="20" t="n">
        <v>-1</v>
      </c>
      <c r="G138" s="20" t="n">
        <v>-1</v>
      </c>
      <c r="H138" s="20" t="n">
        <v>-1</v>
      </c>
      <c r="I138" s="20" t="n">
        <v>10</v>
      </c>
      <c r="J138" s="20" t="n">
        <v>0</v>
      </c>
      <c r="K138" s="20" t="n">
        <v>3</v>
      </c>
      <c r="L138" s="20" t="n">
        <v>2</v>
      </c>
      <c r="M138" s="20" t="n">
        <v>16</v>
      </c>
      <c r="N138" s="20" t="n">
        <v>1</v>
      </c>
      <c r="V138" s="20" t="n">
        <v>154</v>
      </c>
      <c r="W138" s="20" t="n">
        <v>10</v>
      </c>
      <c r="X138" s="20" t="n">
        <v>16</v>
      </c>
    </row>
    <row r="139">
      <c r="A139" s="18" t="inlineStr">
        <is>
          <t>당기손익으로 재분류되지 않는 항목 합계</t>
        </is>
      </c>
      <c r="C139" s="20" t="n">
        <v>1250</v>
      </c>
      <c r="D139" s="20" t="n">
        <v>4903</v>
      </c>
      <c r="E139" s="20" t="n">
        <v>6126</v>
      </c>
      <c r="F139" s="20" t="n">
        <v>3106</v>
      </c>
      <c r="G139" s="20" t="n">
        <v>-6595</v>
      </c>
      <c r="H139" s="20" t="n">
        <v>1162</v>
      </c>
      <c r="I139" s="20" t="n">
        <v>-845</v>
      </c>
      <c r="J139" s="20" t="n">
        <v>1686</v>
      </c>
      <c r="K139" s="20" t="n">
        <v>4676</v>
      </c>
      <c r="L139" s="20" t="n">
        <v>1837</v>
      </c>
      <c r="M139" s="20" t="n">
        <v>5867</v>
      </c>
      <c r="N139" s="20" t="n">
        <v>5287</v>
      </c>
      <c r="V139" s="20" t="n">
        <v>6126</v>
      </c>
      <c r="W139" s="20" t="n">
        <v>-845</v>
      </c>
      <c r="X139" s="20" t="n">
        <v>5867</v>
      </c>
    </row>
    <row r="140">
      <c r="A140" s="18" t="inlineStr">
        <is>
          <t>해외사업 환산차액</t>
        </is>
      </c>
      <c r="C140" s="20" t="n">
        <v>7296</v>
      </c>
      <c r="D140" s="20" t="n">
        <v>-8652</v>
      </c>
      <c r="E140" s="20" t="n">
        <v>16571</v>
      </c>
      <c r="F140" s="20" t="n">
        <v>22840</v>
      </c>
      <c r="G140" s="20" t="n">
        <v>-33401</v>
      </c>
      <c r="H140" s="20" t="n">
        <v>27607</v>
      </c>
      <c r="I140" s="20" t="n">
        <v>-19223</v>
      </c>
      <c r="J140" s="20" t="n">
        <v>417</v>
      </c>
      <c r="K140" s="20" t="n">
        <v>11252</v>
      </c>
      <c r="L140" s="20" t="n">
        <v>21678</v>
      </c>
      <c r="M140" s="20" t="n">
        <v>3483</v>
      </c>
      <c r="N140" s="20" t="n">
        <v>4894</v>
      </c>
      <c r="V140" s="20" t="n">
        <v>16571</v>
      </c>
      <c r="W140" s="20" t="n">
        <v>-19223</v>
      </c>
      <c r="X140" s="20" t="n">
        <v>3483</v>
      </c>
    </row>
    <row r="141">
      <c r="A141" s="18" t="inlineStr">
        <is>
          <t>Effective Portion Of Cash Flow Hedges Net Of Tax Items That May Be Reclassified To Profit Or Loss OCI</t>
        </is>
      </c>
      <c r="C141" s="20" t="n">
        <v>425</v>
      </c>
      <c r="D141" s="20" t="n">
        <v>286</v>
      </c>
      <c r="E141" s="20" t="n">
        <v>-179</v>
      </c>
      <c r="F141" s="20" t="n">
        <v>46</v>
      </c>
      <c r="G141" s="20" t="n">
        <v>237</v>
      </c>
      <c r="H141" s="20" t="n">
        <v>-155</v>
      </c>
      <c r="I141" s="20" t="n">
        <v>231</v>
      </c>
      <c r="J141" s="20" t="n">
        <v>96</v>
      </c>
      <c r="K141" s="20" t="n">
        <v>-92</v>
      </c>
      <c r="L141" s="20" t="n">
        <v>-21</v>
      </c>
      <c r="M141" s="20" t="n">
        <v>-28</v>
      </c>
      <c r="N141" s="20" t="n">
        <v>-71</v>
      </c>
      <c r="V141" s="20" t="n">
        <v>-179</v>
      </c>
      <c r="W141" s="20" t="n">
        <v>231</v>
      </c>
      <c r="X141" s="20" t="n">
        <v>-28</v>
      </c>
    </row>
    <row r="142">
      <c r="A142" s="18" t="inlineStr">
        <is>
          <t>Share Of Other Comprehensive Income Of Investments Accounted For Using Equity Method Net Of Tax Items That May Be Reclassified To Profit Or Loss OCI</t>
        </is>
      </c>
      <c r="C142" s="20" t="n">
        <v>11</v>
      </c>
      <c r="D142" s="20" t="n">
        <v>-88</v>
      </c>
      <c r="E142" s="20" t="n">
        <v>-3</v>
      </c>
      <c r="F142" s="20" t="n">
        <v>598</v>
      </c>
      <c r="G142" s="20" t="n">
        <v>-650</v>
      </c>
      <c r="H142" s="20" t="n">
        <v>228</v>
      </c>
      <c r="I142" s="20" t="n">
        <v>-45</v>
      </c>
      <c r="J142" s="20" t="n">
        <v>39</v>
      </c>
      <c r="K142" s="20" t="n">
        <v>60</v>
      </c>
      <c r="L142" s="20" t="n">
        <v>176</v>
      </c>
      <c r="M142" s="20" t="n">
        <v>109</v>
      </c>
      <c r="N142" s="20" t="n">
        <v>63</v>
      </c>
      <c r="V142" s="20" t="n">
        <v>-3</v>
      </c>
      <c r="W142" s="20" t="n">
        <v>-45</v>
      </c>
      <c r="X142" s="20" t="n">
        <v>109</v>
      </c>
    </row>
    <row r="143">
      <c r="A143" s="18" t="inlineStr">
        <is>
          <t>당기손익으로 재분류될 수 있는 항목 합계</t>
        </is>
      </c>
      <c r="C143" s="20" t="n">
        <v>7732</v>
      </c>
      <c r="D143" s="20" t="n">
        <v>-8454</v>
      </c>
      <c r="E143" s="20" t="n">
        <v>16390</v>
      </c>
      <c r="F143" s="20" t="n">
        <v>23484</v>
      </c>
      <c r="G143" s="20" t="n">
        <v>-33813</v>
      </c>
      <c r="H143" s="20" t="n">
        <v>27678</v>
      </c>
      <c r="I143" s="20" t="n">
        <v>-19036</v>
      </c>
      <c r="J143" s="20" t="n">
        <v>553</v>
      </c>
      <c r="K143" s="20" t="n">
        <v>11219</v>
      </c>
      <c r="L143" s="20" t="n">
        <v>21833</v>
      </c>
      <c r="M143" s="20" t="n">
        <v>3564</v>
      </c>
      <c r="N143" s="20" t="n">
        <v>4886</v>
      </c>
      <c r="V143" s="20" t="n">
        <v>16390</v>
      </c>
      <c r="W143" s="20" t="n">
        <v>-19036</v>
      </c>
      <c r="X143" s="20" t="n">
        <v>3564</v>
      </c>
    </row>
    <row r="144">
      <c r="A144" s="18" t="inlineStr">
        <is>
          <t>세후 기타포괄이익</t>
        </is>
      </c>
      <c r="C144" s="20" t="n">
        <v>8982</v>
      </c>
      <c r="D144" s="20" t="n">
        <v>-3551</v>
      </c>
      <c r="E144" s="20" t="n">
        <v>22515</v>
      </c>
      <c r="F144" s="20" t="n">
        <v>26590</v>
      </c>
      <c r="G144" s="20" t="n">
        <v>-40409</v>
      </c>
      <c r="H144" s="20" t="n">
        <v>28842</v>
      </c>
      <c r="I144" s="20" t="n">
        <v>-19882</v>
      </c>
      <c r="J144" s="20" t="n">
        <v>2239</v>
      </c>
      <c r="K144" s="20" t="n">
        <v>15895</v>
      </c>
      <c r="L144" s="20" t="n">
        <v>23670</v>
      </c>
      <c r="M144" s="20" t="n">
        <v>9432</v>
      </c>
      <c r="N144" s="20" t="n">
        <v>10173</v>
      </c>
      <c r="V144" s="20" t="n">
        <v>22515</v>
      </c>
      <c r="W144" s="20" t="n">
        <v>-19882</v>
      </c>
      <c r="X144" s="20" t="n">
        <v>9432</v>
      </c>
    </row>
    <row r="145">
      <c r="A145" s="9" t="inlineStr">
        <is>
          <t>포괄이익</t>
        </is>
      </c>
      <c r="C145" s="12" t="n">
        <v>16075</v>
      </c>
      <c r="D145" s="12" t="n">
        <v>11634</v>
      </c>
      <c r="E145" s="12" t="n">
        <v>30129</v>
      </c>
      <c r="F145" s="12" t="n">
        <v>29366</v>
      </c>
      <c r="G145" s="12" t="n">
        <v>-40196</v>
      </c>
      <c r="H145" s="12" t="n">
        <v>32166</v>
      </c>
      <c r="I145" s="12" t="n">
        <v>-20072</v>
      </c>
      <c r="J145" s="12" t="n">
        <v>11701</v>
      </c>
      <c r="K145" s="12" t="n">
        <v>11814</v>
      </c>
      <c r="L145" s="12" t="n">
        <v>-68881</v>
      </c>
      <c r="M145" s="12" t="n">
        <v>10567</v>
      </c>
      <c r="N145" s="12" t="n">
        <v>11479</v>
      </c>
      <c r="V145" s="12" t="n">
        <v>30129</v>
      </c>
      <c r="W145" s="12" t="n">
        <v>-20072</v>
      </c>
      <c r="X145" s="12" t="n">
        <v>10567</v>
      </c>
    </row>
    <row r="146">
      <c r="A146" s="9" t="inlineStr">
        <is>
          <t>지배기업 소유주</t>
        </is>
      </c>
      <c r="C146" s="12" t="n">
        <v>16134</v>
      </c>
      <c r="D146" s="12" t="n">
        <v>11649</v>
      </c>
      <c r="E146" s="12" t="n">
        <v>30054</v>
      </c>
      <c r="F146" s="12" t="n">
        <v>29305</v>
      </c>
      <c r="G146" s="12" t="n">
        <v>-40123</v>
      </c>
      <c r="H146" s="12" t="n">
        <v>32088</v>
      </c>
      <c r="I146" s="12" t="n">
        <v>-19989</v>
      </c>
      <c r="J146" s="12" t="n">
        <v>11698</v>
      </c>
      <c r="K146" s="12" t="n">
        <v>11754</v>
      </c>
      <c r="L146" s="12" t="n">
        <v>-68990</v>
      </c>
      <c r="M146" s="12" t="n">
        <v>10470</v>
      </c>
      <c r="N146" s="12" t="n">
        <v>11415</v>
      </c>
      <c r="V146" s="12" t="n">
        <v>30054</v>
      </c>
      <c r="W146" s="12" t="n">
        <v>-19989</v>
      </c>
      <c r="X146" s="12" t="n">
        <v>10470</v>
      </c>
    </row>
    <row r="147">
      <c r="A147" s="9" t="inlineStr">
        <is>
          <t>비지배지분</t>
        </is>
      </c>
      <c r="C147" s="12" t="n">
        <v>-58</v>
      </c>
      <c r="D147" s="12" t="n">
        <v>-15</v>
      </c>
      <c r="E147" s="12" t="n">
        <v>75</v>
      </c>
      <c r="F147" s="12" t="n">
        <v>61</v>
      </c>
      <c r="G147" s="12" t="n">
        <v>-74</v>
      </c>
      <c r="H147" s="12" t="n">
        <v>79</v>
      </c>
      <c r="I147" s="12" t="n">
        <v>-83</v>
      </c>
      <c r="J147" s="12" t="n">
        <v>4</v>
      </c>
      <c r="K147" s="12" t="n">
        <v>59</v>
      </c>
      <c r="L147" s="12" t="n">
        <v>109</v>
      </c>
      <c r="M147" s="12" t="n">
        <v>97</v>
      </c>
      <c r="N147" s="12" t="n">
        <v>64</v>
      </c>
      <c r="V147" s="12" t="n">
        <v>75</v>
      </c>
      <c r="W147" s="12" t="n">
        <v>-83</v>
      </c>
      <c r="X147" s="12" t="n">
        <v>97</v>
      </c>
    </row>
    <row r="149">
      <c r="A149" s="16" t="inlineStr">
        <is>
          <t>부문 · 전 항목</t>
        </is>
      </c>
      <c r="B149" s="42" t="inlineStr">
        <is>
          <t>부문 · 항목</t>
        </is>
      </c>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c r="AB149" s="16" t="n"/>
      <c r="AC149" s="16" t="n"/>
    </row>
    <row r="150">
      <c r="A150" s="5" t="inlineStr">
        <is>
          <t>항목</t>
        </is>
      </c>
      <c r="B150" s="5" t="inlineStr">
        <is>
          <t>참고</t>
        </is>
      </c>
      <c r="C150" s="5" t="inlineStr">
        <is>
          <t>2024.2Q</t>
        </is>
      </c>
      <c r="D150" s="5" t="inlineStr">
        <is>
          <t>2024.3Q</t>
        </is>
      </c>
      <c r="E150" s="5" t="inlineStr">
        <is>
          <t>2024.4Q</t>
        </is>
      </c>
      <c r="F150" s="5" t="inlineStr">
        <is>
          <t>2025.1Q</t>
        </is>
      </c>
      <c r="G150" s="5" t="inlineStr">
        <is>
          <t>2025.2Q</t>
        </is>
      </c>
      <c r="H150" s="5" t="inlineStr">
        <is>
          <t>2025.3Q</t>
        </is>
      </c>
      <c r="I150" s="5" t="inlineStr">
        <is>
          <t>2025.4Q</t>
        </is>
      </c>
      <c r="J150" s="5" t="inlineStr">
        <is>
          <t>2026.1Q</t>
        </is>
      </c>
      <c r="K150" s="5" t="inlineStr">
        <is>
          <t>2026.2Q</t>
        </is>
      </c>
      <c r="L150" s="5" t="inlineStr">
        <is>
          <t>2026.3Q</t>
        </is>
      </c>
      <c r="M150" s="5" t="inlineStr">
        <is>
          <t>2026.4Q</t>
        </is>
      </c>
      <c r="N150" s="5" t="inlineStr">
        <is>
          <t>2027.1Q</t>
        </is>
      </c>
      <c r="O150" s="5" t="inlineStr">
        <is>
          <t>2017</t>
        </is>
      </c>
      <c r="P150" s="5" t="inlineStr">
        <is>
          <t>2018</t>
        </is>
      </c>
      <c r="Q150" s="5" t="inlineStr">
        <is>
          <t>2019</t>
        </is>
      </c>
      <c r="R150" s="5" t="inlineStr">
        <is>
          <t>2020</t>
        </is>
      </c>
      <c r="S150" s="5" t="inlineStr">
        <is>
          <t>2021</t>
        </is>
      </c>
      <c r="T150" s="5" t="inlineStr">
        <is>
          <t>2022</t>
        </is>
      </c>
      <c r="U150" s="5" t="inlineStr">
        <is>
          <t>2023</t>
        </is>
      </c>
      <c r="V150" s="5" t="inlineStr">
        <is>
          <t>2024</t>
        </is>
      </c>
      <c r="W150" s="5" t="inlineStr">
        <is>
          <t>2025</t>
        </is>
      </c>
      <c r="X150" s="5" t="inlineStr">
        <is>
          <t>2026</t>
        </is>
      </c>
      <c r="Y150" s="5" t="inlineStr">
        <is>
          <t>2027(MW)</t>
        </is>
      </c>
      <c r="Z150" s="5" t="inlineStr">
        <is>
          <t>2028(MW)</t>
        </is>
      </c>
      <c r="AA150" s="5" t="inlineStr">
        <is>
          <t>2029(MW)</t>
        </is>
      </c>
      <c r="AB150" s="5" t="inlineStr">
        <is>
          <t>2030(MW)</t>
        </is>
      </c>
      <c r="AC150" s="5" t="inlineStr">
        <is>
          <t>2031(MW)</t>
        </is>
      </c>
    </row>
    <row r="151">
      <c r="A151" s="18" t="inlineStr">
        <is>
          <t>ImagingProductsBusinessReportableSegmentMember · 외부 고객 매출수익</t>
        </is>
      </c>
      <c r="C151" s="20" t="n">
        <v>63274</v>
      </c>
      <c r="D151" s="20" t="n">
        <v>84316</v>
      </c>
      <c r="E151" s="20" t="n">
        <v>57739</v>
      </c>
      <c r="F151" s="20" t="n">
        <v>83714</v>
      </c>
      <c r="G151" s="20" t="n">
        <v>68077</v>
      </c>
      <c r="H151" s="20" t="n">
        <v>83889</v>
      </c>
      <c r="I151" s="20" t="n">
        <v>59683</v>
      </c>
      <c r="J151" s="20" t="n">
        <v>80054</v>
      </c>
      <c r="K151" s="20" t="n">
        <v>64983</v>
      </c>
      <c r="L151" s="20" t="n">
        <v>84044</v>
      </c>
      <c r="M151" s="20" t="n">
        <v>60972</v>
      </c>
      <c r="N151" s="20" t="n">
        <v>72970</v>
      </c>
      <c r="V151" s="20" t="n">
        <v>57739</v>
      </c>
      <c r="W151" s="20" t="n">
        <v>59683</v>
      </c>
      <c r="X151" s="20" t="n">
        <v>60972</v>
      </c>
    </row>
    <row r="152">
      <c r="A152" s="43" t="inlineStr">
        <is>
          <t>YoY</t>
        </is>
      </c>
      <c r="B152" s="3" t="inlineStr">
        <is>
          <t>전년 같은 분기·전년 대비</t>
        </is>
      </c>
      <c r="G152" s="15">
        <f>IF(OR(G151="",C151=""),"",IF(C151&lt;=0,"",IFERROR(G151/C151-1,"")))</f>
        <v/>
      </c>
      <c r="H152" s="15">
        <f>IF(OR(H151="",D151=""),"",IF(D151&lt;=0,"",IFERROR(H151/D151-1,"")))</f>
        <v/>
      </c>
      <c r="I152" s="15">
        <f>IF(OR(I151="",E151=""),"",IF(E151&lt;=0,"",IFERROR(I151/E151-1,"")))</f>
        <v/>
      </c>
      <c r="J152" s="15">
        <f>IF(OR(J151="",F151=""),"",IF(F151&lt;=0,"",IFERROR(J151/F151-1,"")))</f>
        <v/>
      </c>
      <c r="K152" s="15">
        <f>IF(OR(K151="",G151=""),"",IF(G151&lt;=0,"",IFERROR(K151/G151-1,"")))</f>
        <v/>
      </c>
      <c r="L152" s="15">
        <f>IF(OR(L151="",H151=""),"",IF(H151&lt;=0,"",IFERROR(L151/H151-1,"")))</f>
        <v/>
      </c>
      <c r="M152" s="15">
        <f>IF(OR(M151="",I151=""),"",IF(I151&lt;=0,"",IFERROR(M151/I151-1,"")))</f>
        <v/>
      </c>
      <c r="N152" s="15">
        <f>IF(OR(N151="",J151=""),"",IF(J151&lt;=0,"",IFERROR(N151/J151-1,"")))</f>
        <v/>
      </c>
      <c r="V152" s="15">
        <f>IF(OR(V151="",U151=""),"",IF(U151&lt;=0,"",IFERROR(V151/U151-1,"")))</f>
        <v/>
      </c>
      <c r="W152" s="15">
        <f>IF(OR(W151="",V151=""),"",IF(V151&lt;=0,"",IFERROR(W151/V151-1,"")))</f>
        <v/>
      </c>
      <c r="X152" s="15">
        <f>IF(OR(X151="",W151=""),"",IF(W151&lt;=0,"",IFERROR(X151/W151-1,"")))</f>
        <v/>
      </c>
    </row>
    <row r="153">
      <c r="A153" s="18" t="inlineStr">
        <is>
          <t>PrecisionEquipmentBusinessReportableSegmentMember · 외부 고객 매출수익</t>
        </is>
      </c>
      <c r="C153" s="20" t="n">
        <v>58677</v>
      </c>
      <c r="D153" s="20" t="n">
        <v>58482</v>
      </c>
      <c r="E153" s="20" t="n">
        <v>64874</v>
      </c>
      <c r="F153" s="20" t="n">
        <v>33186</v>
      </c>
      <c r="G153" s="20" t="n">
        <v>48399</v>
      </c>
      <c r="H153" s="20" t="n">
        <v>43390</v>
      </c>
      <c r="I153" s="20" t="n">
        <v>76988</v>
      </c>
      <c r="J153" s="20" t="n">
        <v>33821</v>
      </c>
      <c r="K153" s="20" t="n">
        <v>36065</v>
      </c>
      <c r="L153" s="20" t="n">
        <v>34725</v>
      </c>
      <c r="M153" s="20" t="n">
        <v>62647</v>
      </c>
      <c r="N153" s="20" t="n">
        <v>38269</v>
      </c>
      <c r="V153" s="20" t="n">
        <v>64874</v>
      </c>
      <c r="W153" s="20" t="n">
        <v>76988</v>
      </c>
      <c r="X153" s="20" t="n">
        <v>62647</v>
      </c>
    </row>
    <row r="154">
      <c r="A154" s="43" t="inlineStr">
        <is>
          <t>YoY</t>
        </is>
      </c>
      <c r="B154" s="3" t="inlineStr">
        <is>
          <t>전년 같은 분기·전년 대비</t>
        </is>
      </c>
      <c r="G154" s="15">
        <f>IF(OR(G153="",C153=""),"",IF(C153&lt;=0,"",IFERROR(G153/C153-1,"")))</f>
        <v/>
      </c>
      <c r="H154" s="15">
        <f>IF(OR(H153="",D153=""),"",IF(D153&lt;=0,"",IFERROR(H153/D153-1,"")))</f>
        <v/>
      </c>
      <c r="I154" s="15">
        <f>IF(OR(I153="",E153=""),"",IF(E153&lt;=0,"",IFERROR(I153/E153-1,"")))</f>
        <v/>
      </c>
      <c r="J154" s="15">
        <f>IF(OR(J153="",F153=""),"",IF(F153&lt;=0,"",IFERROR(J153/F153-1,"")))</f>
        <v/>
      </c>
      <c r="K154" s="15">
        <f>IF(OR(K153="",G153=""),"",IF(G153&lt;=0,"",IFERROR(K153/G153-1,"")))</f>
        <v/>
      </c>
      <c r="L154" s="15">
        <f>IF(OR(L153="",H153=""),"",IF(H153&lt;=0,"",IFERROR(L153/H153-1,"")))</f>
        <v/>
      </c>
      <c r="M154" s="15">
        <f>IF(OR(M153="",I153=""),"",IF(I153&lt;=0,"",IFERROR(M153/I153-1,"")))</f>
        <v/>
      </c>
      <c r="N154" s="15">
        <f>IF(OR(N153="",J153=""),"",IF(J153&lt;=0,"",IFERROR(N153/J153-1,"")))</f>
        <v/>
      </c>
      <c r="V154" s="15">
        <f>IF(OR(V153="",U153=""),"",IF(U153&lt;=0,"",IFERROR(V153/U153-1,"")))</f>
        <v/>
      </c>
      <c r="W154" s="15">
        <f>IF(OR(W153="",V153=""),"",IF(V153&lt;=0,"",IFERROR(W153/V153-1,"")))</f>
        <v/>
      </c>
      <c r="X154" s="15">
        <f>IF(OR(X153="",W153=""),"",IF(W153&lt;=0,"",IFERROR(X153/W153-1,"")))</f>
        <v/>
      </c>
    </row>
    <row r="155">
      <c r="A155" s="18" t="inlineStr">
        <is>
          <t>HealthcareBusinessReportableSegmentMember · 외부 고객 매출수익</t>
        </is>
      </c>
      <c r="C155" s="20" t="n">
        <v>25990</v>
      </c>
      <c r="D155" s="20" t="n">
        <v>25598</v>
      </c>
      <c r="E155" s="20" t="n">
        <v>31031</v>
      </c>
      <c r="F155" s="20" t="n">
        <v>26227</v>
      </c>
      <c r="G155" s="20" t="n">
        <v>28906</v>
      </c>
      <c r="H155" s="20" t="n">
        <v>26465</v>
      </c>
      <c r="I155" s="20" t="n">
        <v>34854</v>
      </c>
      <c r="J155" s="20" t="n">
        <v>23173</v>
      </c>
      <c r="K155" s="20" t="n">
        <v>28045</v>
      </c>
      <c r="L155" s="20" t="n">
        <v>27813</v>
      </c>
      <c r="M155" s="20" t="n">
        <v>32891</v>
      </c>
      <c r="N155" s="20" t="n">
        <v>27791</v>
      </c>
      <c r="V155" s="20" t="n">
        <v>31031</v>
      </c>
      <c r="W155" s="20" t="n">
        <v>34854</v>
      </c>
      <c r="X155" s="20" t="n">
        <v>32891</v>
      </c>
    </row>
    <row r="156">
      <c r="A156" s="43" t="inlineStr">
        <is>
          <t>YoY</t>
        </is>
      </c>
      <c r="B156" s="3" t="inlineStr">
        <is>
          <t>전년 같은 분기·전년 대비</t>
        </is>
      </c>
      <c r="G156" s="15">
        <f>IF(OR(G155="",C155=""),"",IF(C155&lt;=0,"",IFERROR(G155/C155-1,"")))</f>
        <v/>
      </c>
      <c r="H156" s="15">
        <f>IF(OR(H155="",D155=""),"",IF(D155&lt;=0,"",IFERROR(H155/D155-1,"")))</f>
        <v/>
      </c>
      <c r="I156" s="15">
        <f>IF(OR(I155="",E155=""),"",IF(E155&lt;=0,"",IFERROR(I155/E155-1,"")))</f>
        <v/>
      </c>
      <c r="J156" s="15">
        <f>IF(OR(J155="",F155=""),"",IF(F155&lt;=0,"",IFERROR(J155/F155-1,"")))</f>
        <v/>
      </c>
      <c r="K156" s="15">
        <f>IF(OR(K155="",G155=""),"",IF(G155&lt;=0,"",IFERROR(K155/G155-1,"")))</f>
        <v/>
      </c>
      <c r="L156" s="15">
        <f>IF(OR(L155="",H155=""),"",IF(H155&lt;=0,"",IFERROR(L155/H155-1,"")))</f>
        <v/>
      </c>
      <c r="M156" s="15">
        <f>IF(OR(M155="",I155=""),"",IF(I155&lt;=0,"",IFERROR(M155/I155-1,"")))</f>
        <v/>
      </c>
      <c r="N156" s="15">
        <f>IF(OR(N155="",J155=""),"",IF(J155&lt;=0,"",IFERROR(N155/J155-1,"")))</f>
        <v/>
      </c>
      <c r="V156" s="15">
        <f>IF(OR(V155="",U155=""),"",IF(U155&lt;=0,"",IFERROR(V155/U155-1,"")))</f>
        <v/>
      </c>
      <c r="W156" s="15">
        <f>IF(OR(W155="",V155=""),"",IF(V155&lt;=0,"",IFERROR(W155/V155-1,"")))</f>
        <v/>
      </c>
      <c r="X156" s="15">
        <f>IF(OR(X155="",W155=""),"",IF(W155&lt;=0,"",IFERROR(X155/W155-1,"")))</f>
        <v/>
      </c>
    </row>
    <row r="157">
      <c r="A157" s="18" t="inlineStr">
        <is>
          <t>ComponentsBusinessReportableSegmentMember · 외부 고객 매출수익</t>
        </is>
      </c>
      <c r="C157" s="20" t="n">
        <v>20551</v>
      </c>
      <c r="D157" s="20" t="n">
        <v>22678</v>
      </c>
      <c r="E157" s="20" t="n">
        <v>26627</v>
      </c>
      <c r="F157" s="20" t="n">
        <v>13853</v>
      </c>
      <c r="G157" s="20" t="n">
        <v>16596</v>
      </c>
      <c r="H157" s="20" t="n">
        <v>18576</v>
      </c>
      <c r="I157" s="20" t="n">
        <v>25111</v>
      </c>
      <c r="J157" s="20" t="n">
        <v>15177</v>
      </c>
      <c r="K157" s="20" t="n">
        <v>19962</v>
      </c>
      <c r="L157" s="20" t="n">
        <v>16666</v>
      </c>
      <c r="M157" s="20" t="n">
        <v>24371</v>
      </c>
      <c r="V157" s="20" t="n">
        <v>26627</v>
      </c>
      <c r="W157" s="20" t="n">
        <v>25111</v>
      </c>
      <c r="X157" s="20" t="n">
        <v>24371</v>
      </c>
    </row>
    <row r="158">
      <c r="A158" s="43" t="inlineStr">
        <is>
          <t>YoY</t>
        </is>
      </c>
      <c r="B158" s="3" t="inlineStr">
        <is>
          <t>전년 같은 분기·전년 대비</t>
        </is>
      </c>
      <c r="G158" s="15">
        <f>IF(OR(G157="",C157=""),"",IF(C157&lt;=0,"",IFERROR(G157/C157-1,"")))</f>
        <v/>
      </c>
      <c r="H158" s="15">
        <f>IF(OR(H157="",D157=""),"",IF(D157&lt;=0,"",IFERROR(H157/D157-1,"")))</f>
        <v/>
      </c>
      <c r="I158" s="15">
        <f>IF(OR(I157="",E157=""),"",IF(E157&lt;=0,"",IFERROR(I157/E157-1,"")))</f>
        <v/>
      </c>
      <c r="J158" s="15">
        <f>IF(OR(J157="",F157=""),"",IF(F157&lt;=0,"",IFERROR(J157/F157-1,"")))</f>
        <v/>
      </c>
      <c r="K158" s="15">
        <f>IF(OR(K157="",G157=""),"",IF(G157&lt;=0,"",IFERROR(K157/G157-1,"")))</f>
        <v/>
      </c>
      <c r="L158" s="15">
        <f>IF(OR(L157="",H157=""),"",IF(H157&lt;=0,"",IFERROR(L157/H157-1,"")))</f>
        <v/>
      </c>
      <c r="M158" s="15">
        <f>IF(OR(M157="",I157=""),"",IF(I157&lt;=0,"",IFERROR(M157/I157-1,"")))</f>
        <v/>
      </c>
      <c r="V158" s="15">
        <f>IF(OR(V157="",U157=""),"",IF(U157&lt;=0,"",IFERROR(V157/U157-1,"")))</f>
        <v/>
      </c>
      <c r="W158" s="15">
        <f>IF(OR(W157="",V157=""),"",IF(V157&lt;=0,"",IFERROR(W157/V157-1,"")))</f>
        <v/>
      </c>
      <c r="X158" s="15">
        <f>IF(OR(X157="",W157=""),"",IF(W157&lt;=0,"",IFERROR(X157/W157-1,"")))</f>
        <v/>
      </c>
    </row>
    <row r="159">
      <c r="A159" s="18" t="inlineStr">
        <is>
          <t>IndustryBusinessReportableSegmentMember · 외부 고객 매출수익</t>
        </is>
      </c>
      <c r="J159" s="20" t="n">
        <v>15157</v>
      </c>
      <c r="N159" s="20" t="n">
        <v>17926</v>
      </c>
    </row>
    <row r="160">
      <c r="A160" s="43" t="inlineStr">
        <is>
          <t>YoY</t>
        </is>
      </c>
      <c r="B160" s="3" t="inlineStr">
        <is>
          <t>전년 같은 분기·전년 대비</t>
        </is>
      </c>
      <c r="J160" s="15">
        <f>IF(OR(J159="",F159=""),"",IF(F159&lt;=0,"",IFERROR(J159/F159-1,"")))</f>
        <v/>
      </c>
      <c r="N160" s="15">
        <f>IF(OR(N159="",J159=""),"",IF(J159&lt;=0,"",IFERROR(N159/J159-1,"")))</f>
        <v/>
      </c>
    </row>
    <row r="161">
      <c r="A161" s="18" t="inlineStr">
        <is>
          <t>DigitalManufacturingReportableSegmentMember · 외부 고객 매출수익</t>
        </is>
      </c>
      <c r="C161" s="20" t="n">
        <v>3873</v>
      </c>
      <c r="D161" s="20" t="n">
        <v>5678</v>
      </c>
      <c r="E161" s="20" t="n">
        <v>7089</v>
      </c>
      <c r="F161" s="20" t="n">
        <v>5915</v>
      </c>
      <c r="G161" s="20" t="n">
        <v>5815</v>
      </c>
      <c r="H161" s="20" t="n">
        <v>6535</v>
      </c>
      <c r="I161" s="20" t="n">
        <v>5091</v>
      </c>
      <c r="J161" s="20" t="n">
        <v>5099</v>
      </c>
      <c r="K161" s="20" t="n">
        <v>4727</v>
      </c>
      <c r="L161" s="20" t="n">
        <v>6835</v>
      </c>
      <c r="M161" s="20" t="n">
        <v>11429</v>
      </c>
      <c r="N161" s="20" t="n">
        <v>6318</v>
      </c>
      <c r="V161" s="20" t="n">
        <v>7089</v>
      </c>
      <c r="W161" s="20" t="n">
        <v>5091</v>
      </c>
      <c r="X161" s="20" t="n">
        <v>11429</v>
      </c>
    </row>
    <row r="162">
      <c r="A162" s="43" t="inlineStr">
        <is>
          <t>YoY</t>
        </is>
      </c>
      <c r="B162" s="3" t="inlineStr">
        <is>
          <t>전년 같은 분기·전년 대비</t>
        </is>
      </c>
      <c r="G162" s="15">
        <f>IF(OR(G161="",C161=""),"",IF(C161&lt;=0,"",IFERROR(G161/C161-1,"")))</f>
        <v/>
      </c>
      <c r="H162" s="15">
        <f>IF(OR(H161="",D161=""),"",IF(D161&lt;=0,"",IFERROR(H161/D161-1,"")))</f>
        <v/>
      </c>
      <c r="I162" s="15">
        <f>IF(OR(I161="",E161=""),"",IF(E161&lt;=0,"",IFERROR(I161/E161-1,"")))</f>
        <v/>
      </c>
      <c r="J162" s="15">
        <f>IF(OR(J161="",F161=""),"",IF(F161&lt;=0,"",IFERROR(J161/F161-1,"")))</f>
        <v/>
      </c>
      <c r="K162" s="15">
        <f>IF(OR(K161="",G161=""),"",IF(G161&lt;=0,"",IFERROR(K161/G161-1,"")))</f>
        <v/>
      </c>
      <c r="L162" s="15">
        <f>IF(OR(L161="",H161=""),"",IF(H161&lt;=0,"",IFERROR(L161/H161-1,"")))</f>
        <v/>
      </c>
      <c r="M162" s="15">
        <f>IF(OR(M161="",I161=""),"",IF(I161&lt;=0,"",IFERROR(M161/I161-1,"")))</f>
        <v/>
      </c>
      <c r="N162" s="15">
        <f>IF(OR(N161="",J161=""),"",IF(J161&lt;=0,"",IFERROR(N161/J161-1,"")))</f>
        <v/>
      </c>
      <c r="V162" s="15">
        <f>IF(OR(V161="",U161=""),"",IF(U161&lt;=0,"",IFERROR(V161/U161-1,"")))</f>
        <v/>
      </c>
      <c r="W162" s="15">
        <f>IF(OR(W161="",V161=""),"",IF(V161&lt;=0,"",IFERROR(W161/V161-1,"")))</f>
        <v/>
      </c>
      <c r="X162" s="15">
        <f>IF(OR(X161="",W161=""),"",IF(W161&lt;=0,"",IFERROR(X161/W161-1,"")))</f>
        <v/>
      </c>
    </row>
    <row r="163">
      <c r="A163" s="18" t="inlineStr">
        <is>
          <t>기타 · 외부 고객 매출수익</t>
        </is>
      </c>
      <c r="C163" s="20" t="n">
        <v>784</v>
      </c>
      <c r="D163" s="20" t="n">
        <v>865</v>
      </c>
      <c r="E163" s="20" t="n">
        <v>973</v>
      </c>
      <c r="F163" s="20" t="n">
        <v>1002</v>
      </c>
      <c r="G163" s="20" t="n">
        <v>1090</v>
      </c>
      <c r="H163" s="20" t="n">
        <v>1035</v>
      </c>
      <c r="I163" s="20" t="n">
        <v>888</v>
      </c>
      <c r="J163" s="20" t="n">
        <v>817</v>
      </c>
      <c r="K163" s="20" t="n">
        <v>992</v>
      </c>
      <c r="L163" s="20" t="n">
        <v>909</v>
      </c>
      <c r="M163" s="20" t="n">
        <v>946</v>
      </c>
      <c r="N163" s="20" t="n">
        <v>908</v>
      </c>
      <c r="V163" s="20" t="n">
        <v>973</v>
      </c>
      <c r="W163" s="20" t="n">
        <v>888</v>
      </c>
      <c r="X163" s="20" t="n">
        <v>946</v>
      </c>
    </row>
    <row r="164">
      <c r="A164" s="43" t="inlineStr">
        <is>
          <t>YoY</t>
        </is>
      </c>
      <c r="B164" s="3" t="inlineStr">
        <is>
          <t>전년 같은 분기·전년 대비</t>
        </is>
      </c>
      <c r="G164" s="15">
        <f>IF(OR(G163="",C163=""),"",IF(C163&lt;=0,"",IFERROR(G163/C163-1,"")))</f>
        <v/>
      </c>
      <c r="H164" s="15">
        <f>IF(OR(H163="",D163=""),"",IF(D163&lt;=0,"",IFERROR(H163/D163-1,"")))</f>
        <v/>
      </c>
      <c r="I164" s="15">
        <f>IF(OR(I163="",E163=""),"",IF(E163&lt;=0,"",IFERROR(I163/E163-1,"")))</f>
        <v/>
      </c>
      <c r="J164" s="15">
        <f>IF(OR(J163="",F163=""),"",IF(F163&lt;=0,"",IFERROR(J163/F163-1,"")))</f>
        <v/>
      </c>
      <c r="K164" s="15">
        <f>IF(OR(K163="",G163=""),"",IF(G163&lt;=0,"",IFERROR(K163/G163-1,"")))</f>
        <v/>
      </c>
      <c r="L164" s="15">
        <f>IF(OR(L163="",H163=""),"",IF(H163&lt;=0,"",IFERROR(L163/H163-1,"")))</f>
        <v/>
      </c>
      <c r="M164" s="15">
        <f>IF(OR(M163="",I163=""),"",IF(I163&lt;=0,"",IFERROR(M163/I163-1,"")))</f>
        <v/>
      </c>
      <c r="N164" s="15">
        <f>IF(OR(N163="",J163=""),"",IF(J163&lt;=0,"",IFERROR(N163/J163-1,"")))</f>
        <v/>
      </c>
      <c r="V164" s="15">
        <f>IF(OR(V163="",U163=""),"",IF(U163&lt;=0,"",IFERROR(V163/U163-1,"")))</f>
        <v/>
      </c>
      <c r="W164" s="15">
        <f>IF(OR(W163="",V163=""),"",IF(V163&lt;=0,"",IFERROR(W163/V163-1,"")))</f>
        <v/>
      </c>
      <c r="X164" s="15">
        <f>IF(OR(X163="",W163=""),"",IF(W163&lt;=0,"",IFERROR(X163/W163-1,"")))</f>
        <v/>
      </c>
    </row>
    <row r="165">
      <c r="A165" s="18" t="inlineStr">
        <is>
          <t>합계 · 외부 고객 매출수익</t>
        </is>
      </c>
      <c r="C165" s="20" t="n">
        <v>173150</v>
      </c>
      <c r="D165" s="20" t="n">
        <v>197616</v>
      </c>
      <c r="E165" s="20" t="n">
        <v>188333</v>
      </c>
      <c r="F165" s="20" t="n">
        <v>163896</v>
      </c>
      <c r="G165" s="20" t="n">
        <v>168883</v>
      </c>
      <c r="H165" s="20" t="n">
        <v>179892</v>
      </c>
      <c r="I165" s="20" t="n">
        <v>202614</v>
      </c>
      <c r="J165" s="20" t="n">
        <v>158121</v>
      </c>
      <c r="K165" s="20" t="n">
        <v>154794</v>
      </c>
      <c r="L165" s="20" t="n">
        <v>170993</v>
      </c>
      <c r="M165" s="20" t="n">
        <v>193255</v>
      </c>
      <c r="N165" s="20" t="n">
        <v>164182</v>
      </c>
      <c r="V165" s="20" t="n">
        <v>188333</v>
      </c>
      <c r="W165" s="20" t="n">
        <v>202614</v>
      </c>
      <c r="X165" s="20" t="n">
        <v>193255</v>
      </c>
    </row>
    <row r="166">
      <c r="A166" s="43" t="inlineStr">
        <is>
          <t>YoY</t>
        </is>
      </c>
      <c r="B166" s="3" t="inlineStr">
        <is>
          <t>전년 같은 분기·전년 대비</t>
        </is>
      </c>
      <c r="G166" s="15">
        <f>IF(OR(G165="",C165=""),"",IF(C165&lt;=0,"",IFERROR(G165/C165-1,"")))</f>
        <v/>
      </c>
      <c r="H166" s="15">
        <f>IF(OR(H165="",D165=""),"",IF(D165&lt;=0,"",IFERROR(H165/D165-1,"")))</f>
        <v/>
      </c>
      <c r="I166" s="15">
        <f>IF(OR(I165="",E165=""),"",IF(E165&lt;=0,"",IFERROR(I165/E165-1,"")))</f>
        <v/>
      </c>
      <c r="J166" s="15">
        <f>IF(OR(J165="",F165=""),"",IF(F165&lt;=0,"",IFERROR(J165/F165-1,"")))</f>
        <v/>
      </c>
      <c r="K166" s="15">
        <f>IF(OR(K165="",G165=""),"",IF(G165&lt;=0,"",IFERROR(K165/G165-1,"")))</f>
        <v/>
      </c>
      <c r="L166" s="15">
        <f>IF(OR(L165="",H165=""),"",IF(H165&lt;=0,"",IFERROR(L165/H165-1,"")))</f>
        <v/>
      </c>
      <c r="M166" s="15">
        <f>IF(OR(M165="",I165=""),"",IF(I165&lt;=0,"",IFERROR(M165/I165-1,"")))</f>
        <v/>
      </c>
      <c r="N166" s="15">
        <f>IF(OR(N165="",J165=""),"",IF(J165&lt;=0,"",IFERROR(N165/J165-1,"")))</f>
        <v/>
      </c>
      <c r="V166" s="15">
        <f>IF(OR(V165="",U165=""),"",IF(U165&lt;=0,"",IFERROR(V165/U165-1,"")))</f>
        <v/>
      </c>
      <c r="W166" s="15">
        <f>IF(OR(W165="",V165=""),"",IF(V165&lt;=0,"",IFERROR(W165/V165-1,"")))</f>
        <v/>
      </c>
      <c r="X166" s="15">
        <f>IF(OR(X165="",W165=""),"",IF(W165&lt;=0,"",IFERROR(X165/W165-1,"")))</f>
        <v/>
      </c>
    </row>
    <row r="167">
      <c r="A167" s="18" t="inlineStr">
        <is>
          <t>조정액 · 외부 고객 매출수익</t>
        </is>
      </c>
      <c r="C167" s="20" t="n">
        <v>0</v>
      </c>
      <c r="D167" s="20" t="n">
        <v>0</v>
      </c>
      <c r="E167" s="20" t="n">
        <v>0</v>
      </c>
      <c r="F167" s="20" t="n">
        <v>0</v>
      </c>
      <c r="G167" s="20" t="n">
        <v>0</v>
      </c>
      <c r="H167" s="20" t="n">
        <v>0</v>
      </c>
      <c r="I167" s="20" t="n">
        <v>0</v>
      </c>
      <c r="J167" s="20" t="n">
        <v>0</v>
      </c>
      <c r="K167" s="20" t="n">
        <v>0</v>
      </c>
      <c r="L167" s="20" t="n">
        <v>0</v>
      </c>
      <c r="M167" s="20" t="n">
        <v>0</v>
      </c>
      <c r="N167" s="20" t="n">
        <v>0</v>
      </c>
      <c r="V167" s="20" t="n">
        <v>0</v>
      </c>
      <c r="W167" s="20" t="n">
        <v>0</v>
      </c>
      <c r="X167" s="20" t="n">
        <v>0</v>
      </c>
    </row>
    <row r="168">
      <c r="A168" s="9" t="inlineStr">
        <is>
          <t>외부 고객 매출수익</t>
        </is>
      </c>
      <c r="C168" s="12" t="n">
        <v>173150</v>
      </c>
      <c r="D168" s="12" t="n">
        <v>197616</v>
      </c>
      <c r="E168" s="12" t="n">
        <v>188333</v>
      </c>
      <c r="F168" s="12" t="n">
        <v>163896</v>
      </c>
      <c r="G168" s="12" t="n">
        <v>168883</v>
      </c>
      <c r="H168" s="12" t="n">
        <v>179892</v>
      </c>
      <c r="I168" s="12" t="n">
        <v>202614</v>
      </c>
      <c r="V168" s="12" t="n">
        <v>188333</v>
      </c>
      <c r="W168" s="12" t="n">
        <v>202614</v>
      </c>
    </row>
    <row r="169">
      <c r="A169" s="43" t="inlineStr">
        <is>
          <t>YoY</t>
        </is>
      </c>
      <c r="B169" s="3" t="inlineStr">
        <is>
          <t>전년 같은 분기·전년 대비</t>
        </is>
      </c>
      <c r="G169" s="15">
        <f>IF(OR(G168="",C168=""),"",IF(C168&lt;=0,"",IFERROR(G168/C168-1,"")))</f>
        <v/>
      </c>
      <c r="H169" s="15">
        <f>IF(OR(H168="",D168=""),"",IF(D168&lt;=0,"",IFERROR(H168/D168-1,"")))</f>
        <v/>
      </c>
      <c r="I169" s="15">
        <f>IF(OR(I168="",E168=""),"",IF(E168&lt;=0,"",IFERROR(I168/E168-1,"")))</f>
        <v/>
      </c>
      <c r="V169" s="15">
        <f>IF(OR(V168="",U168=""),"",IF(U168&lt;=0,"",IFERROR(V168/U168-1,"")))</f>
        <v/>
      </c>
      <c r="W169" s="15">
        <f>IF(OR(W168="",V168=""),"",IF(V168&lt;=0,"",IFERROR(W168/V168-1,"")))</f>
        <v/>
      </c>
    </row>
    <row r="170">
      <c r="A170" s="18" t="inlineStr">
        <is>
          <t>EntityTotalMember · 외부 고객 매출수익</t>
        </is>
      </c>
      <c r="F170" s="20" t="n">
        <v>163896</v>
      </c>
      <c r="J170" s="20" t="n">
        <v>158121</v>
      </c>
      <c r="N170" s="20" t="n">
        <v>164182</v>
      </c>
    </row>
    <row r="171">
      <c r="A171" s="18" t="inlineStr">
        <is>
          <t>ImagingProductsBusinessReportableSegmentMember · 부문 간 매출수익</t>
        </is>
      </c>
      <c r="C171" s="20" t="n">
        <v>495</v>
      </c>
      <c r="D171" s="20" t="n">
        <v>678</v>
      </c>
      <c r="E171" s="20" t="n">
        <v>639</v>
      </c>
      <c r="F171" s="20" t="n">
        <v>729</v>
      </c>
      <c r="G171" s="20" t="n">
        <v>601</v>
      </c>
      <c r="H171" s="20" t="n">
        <v>514</v>
      </c>
      <c r="I171" s="20" t="n">
        <v>296</v>
      </c>
      <c r="J171" s="20" t="n">
        <v>310</v>
      </c>
      <c r="K171" s="20" t="n">
        <v>337</v>
      </c>
      <c r="L171" s="20" t="n">
        <v>379</v>
      </c>
      <c r="M171" s="20" t="n">
        <v>438</v>
      </c>
      <c r="N171" s="20" t="n">
        <v>491</v>
      </c>
      <c r="V171" s="20" t="n">
        <v>639</v>
      </c>
      <c r="W171" s="20" t="n">
        <v>296</v>
      </c>
      <c r="X171" s="20" t="n">
        <v>438</v>
      </c>
    </row>
    <row r="172">
      <c r="A172" s="18" t="inlineStr">
        <is>
          <t>PrecisionEquipmentBusinessReportableSegmentMember · 부문 간 매출수익</t>
        </is>
      </c>
      <c r="C172" s="20" t="n">
        <v>35</v>
      </c>
      <c r="D172" s="20" t="n">
        <v>50</v>
      </c>
      <c r="E172" s="20" t="n">
        <v>48</v>
      </c>
      <c r="F172" s="20" t="n">
        <v>42</v>
      </c>
      <c r="G172" s="20" t="n">
        <v>49</v>
      </c>
      <c r="H172" s="20" t="n">
        <v>52</v>
      </c>
      <c r="I172" s="20" t="n">
        <v>42</v>
      </c>
      <c r="J172" s="20" t="n">
        <v>46</v>
      </c>
      <c r="K172" s="20" t="n">
        <v>54</v>
      </c>
      <c r="L172" s="20" t="n">
        <v>65</v>
      </c>
      <c r="M172" s="20" t="n">
        <v>78</v>
      </c>
      <c r="N172" s="20" t="n">
        <v>196</v>
      </c>
      <c r="V172" s="20" t="n">
        <v>48</v>
      </c>
      <c r="W172" s="20" t="n">
        <v>42</v>
      </c>
      <c r="X172" s="20" t="n">
        <v>78</v>
      </c>
    </row>
    <row r="173">
      <c r="A173" s="18" t="inlineStr">
        <is>
          <t>HealthcareBusinessReportableSegmentMember · 부문 간 매출수익</t>
        </is>
      </c>
      <c r="C173" s="20" t="n">
        <v>53</v>
      </c>
      <c r="D173" s="20" t="n">
        <v>46</v>
      </c>
      <c r="E173" s="20" t="n">
        <v>62</v>
      </c>
      <c r="F173" s="20" t="n">
        <v>38</v>
      </c>
      <c r="G173" s="20" t="n">
        <v>34</v>
      </c>
      <c r="H173" s="20" t="n">
        <v>38</v>
      </c>
      <c r="I173" s="20" t="n">
        <v>46</v>
      </c>
      <c r="J173" s="20" t="n">
        <v>47</v>
      </c>
      <c r="K173" s="20" t="n">
        <v>38</v>
      </c>
      <c r="L173" s="20" t="n">
        <v>44</v>
      </c>
      <c r="M173" s="20" t="n">
        <v>78</v>
      </c>
      <c r="N173" s="20" t="n">
        <v>95</v>
      </c>
      <c r="V173" s="20" t="n">
        <v>62</v>
      </c>
      <c r="W173" s="20" t="n">
        <v>46</v>
      </c>
      <c r="X173" s="20" t="n">
        <v>78</v>
      </c>
    </row>
    <row r="174">
      <c r="A174" s="18" t="inlineStr">
        <is>
          <t>ComponentsBusinessReportableSegmentMember · 부문 간 매출수익</t>
        </is>
      </c>
      <c r="C174" s="20" t="n">
        <v>2440</v>
      </c>
      <c r="D174" s="20" t="n">
        <v>2410</v>
      </c>
      <c r="E174" s="20" t="n">
        <v>1553</v>
      </c>
      <c r="F174" s="20" t="n">
        <v>2137</v>
      </c>
      <c r="G174" s="20" t="n">
        <v>2310</v>
      </c>
      <c r="H174" s="20" t="n">
        <v>2165</v>
      </c>
      <c r="I174" s="20" t="n">
        <v>1707</v>
      </c>
      <c r="J174" s="20" t="n">
        <v>2253</v>
      </c>
      <c r="K174" s="20" t="n">
        <v>2113</v>
      </c>
      <c r="L174" s="20" t="n">
        <v>2161</v>
      </c>
      <c r="M174" s="20" t="n">
        <v>1880</v>
      </c>
      <c r="V174" s="20" t="n">
        <v>1553</v>
      </c>
      <c r="W174" s="20" t="n">
        <v>1707</v>
      </c>
      <c r="X174" s="20" t="n">
        <v>1880</v>
      </c>
    </row>
    <row r="175">
      <c r="A175" s="18" t="inlineStr">
        <is>
          <t>IndustryBusinessReportableSegmentMember · 부문 간 매출수익</t>
        </is>
      </c>
      <c r="J175" s="20" t="n">
        <v>228</v>
      </c>
      <c r="N175" s="20" t="n">
        <v>101</v>
      </c>
    </row>
    <row r="176">
      <c r="A176" s="18" t="inlineStr">
        <is>
          <t>DigitalManufacturingReportableSegmentMember · 부문 간 매출수익</t>
        </is>
      </c>
      <c r="C176" s="20" t="n">
        <v>24</v>
      </c>
      <c r="D176" s="20" t="n">
        <v>2</v>
      </c>
      <c r="E176" s="20" t="n">
        <v>8</v>
      </c>
      <c r="F176" s="20" t="n">
        <v>1</v>
      </c>
      <c r="G176" s="20" t="n">
        <v>118</v>
      </c>
      <c r="H176" s="20" t="n">
        <v>188</v>
      </c>
      <c r="I176" s="20" t="n">
        <v>33</v>
      </c>
      <c r="J176" s="20" t="n">
        <v>29</v>
      </c>
      <c r="K176" s="20" t="n">
        <v>7</v>
      </c>
      <c r="L176" s="20" t="n">
        <v>29</v>
      </c>
      <c r="M176" s="20" t="n">
        <v>4</v>
      </c>
      <c r="N176" s="20" t="n">
        <v>4</v>
      </c>
      <c r="V176" s="20" t="n">
        <v>8</v>
      </c>
      <c r="W176" s="20" t="n">
        <v>33</v>
      </c>
      <c r="X176" s="20" t="n">
        <v>4</v>
      </c>
    </row>
    <row r="177">
      <c r="A177" s="18" t="inlineStr">
        <is>
          <t>기타 · 부문 간 매출수익</t>
        </is>
      </c>
      <c r="C177" s="20" t="n">
        <v>19088</v>
      </c>
      <c r="D177" s="20" t="n">
        <v>21360</v>
      </c>
      <c r="E177" s="20" t="n">
        <v>26698</v>
      </c>
      <c r="F177" s="20" t="n">
        <v>23224</v>
      </c>
      <c r="G177" s="20" t="n">
        <v>23381</v>
      </c>
      <c r="H177" s="20" t="n">
        <v>24104</v>
      </c>
      <c r="I177" s="20" t="n">
        <v>26297</v>
      </c>
      <c r="J177" s="20" t="n">
        <v>21433</v>
      </c>
      <c r="K177" s="20" t="n">
        <v>20916</v>
      </c>
      <c r="L177" s="20" t="n">
        <v>21393</v>
      </c>
      <c r="M177" s="20" t="n">
        <v>25939</v>
      </c>
      <c r="N177" s="20" t="n">
        <v>20229</v>
      </c>
      <c r="V177" s="20" t="n">
        <v>26698</v>
      </c>
      <c r="W177" s="20" t="n">
        <v>26297</v>
      </c>
      <c r="X177" s="20" t="n">
        <v>25939</v>
      </c>
    </row>
    <row r="178">
      <c r="A178" s="18" t="inlineStr">
        <is>
          <t>합계 · 부문 간 매출수익</t>
        </is>
      </c>
      <c r="C178" s="20" t="n">
        <v>22135</v>
      </c>
      <c r="D178" s="20" t="n">
        <v>24545</v>
      </c>
      <c r="E178" s="20" t="n">
        <v>29010</v>
      </c>
      <c r="F178" s="20" t="n">
        <v>26170</v>
      </c>
      <c r="G178" s="20" t="n">
        <v>26495</v>
      </c>
      <c r="H178" s="20" t="n">
        <v>27060</v>
      </c>
      <c r="I178" s="20" t="n">
        <v>28422</v>
      </c>
      <c r="J178" s="20" t="n">
        <v>22093</v>
      </c>
      <c r="K178" s="20" t="n">
        <v>25491</v>
      </c>
      <c r="L178" s="20" t="n">
        <v>24069</v>
      </c>
      <c r="M178" s="20" t="n">
        <v>28419</v>
      </c>
      <c r="N178" s="20" t="n">
        <v>21116</v>
      </c>
      <c r="V178" s="20" t="n">
        <v>29010</v>
      </c>
      <c r="W178" s="20" t="n">
        <v>28422</v>
      </c>
      <c r="X178" s="20" t="n">
        <v>28419</v>
      </c>
    </row>
    <row r="179">
      <c r="A179" s="18" t="inlineStr">
        <is>
          <t>조정액 · 부문 간 매출수익</t>
        </is>
      </c>
      <c r="C179" s="20" t="n">
        <v>-22135</v>
      </c>
      <c r="D179" s="20" t="n">
        <v>-24545</v>
      </c>
      <c r="E179" s="20" t="n">
        <v>-29010</v>
      </c>
      <c r="F179" s="20" t="n">
        <v>-26170</v>
      </c>
      <c r="G179" s="20" t="n">
        <v>-26495</v>
      </c>
      <c r="H179" s="20" t="n">
        <v>-27060</v>
      </c>
      <c r="I179" s="20" t="n">
        <v>-28422</v>
      </c>
      <c r="J179" s="20" t="n">
        <v>-22093</v>
      </c>
      <c r="K179" s="20" t="n">
        <v>-25491</v>
      </c>
      <c r="L179" s="20" t="n">
        <v>-24069</v>
      </c>
      <c r="M179" s="20" t="n">
        <v>-28419</v>
      </c>
      <c r="N179" s="20" t="n">
        <v>-21116</v>
      </c>
      <c r="V179" s="20" t="n">
        <v>-29010</v>
      </c>
      <c r="W179" s="20" t="n">
        <v>-28422</v>
      </c>
      <c r="X179" s="20" t="n">
        <v>-28419</v>
      </c>
    </row>
    <row r="180">
      <c r="A180" s="18" t="inlineStr">
        <is>
          <t>부문 간 매출수익</t>
        </is>
      </c>
      <c r="C180" s="20" t="n">
        <v>0</v>
      </c>
      <c r="D180" s="20" t="n">
        <v>0</v>
      </c>
      <c r="E180" s="20" t="n">
        <v>0</v>
      </c>
      <c r="F180" s="20" t="n">
        <v>0</v>
      </c>
      <c r="G180" s="20" t="n">
        <v>0</v>
      </c>
      <c r="H180" s="20" t="n">
        <v>0</v>
      </c>
      <c r="I180" s="20" t="n">
        <v>0</v>
      </c>
      <c r="V180" s="20" t="n">
        <v>0</v>
      </c>
      <c r="W180" s="20" t="n">
        <v>0</v>
      </c>
    </row>
    <row r="181">
      <c r="A181" s="18" t="inlineStr">
        <is>
          <t>EntityTotalMember · 부문 간 매출수익</t>
        </is>
      </c>
      <c r="F181" s="20" t="n">
        <v>0</v>
      </c>
      <c r="J181" s="20" t="n">
        <v>0</v>
      </c>
      <c r="N181" s="20" t="n">
        <v>0</v>
      </c>
    </row>
    <row r="182">
      <c r="A182" s="18" t="inlineStr">
        <is>
          <t>ImagingProductsBusinessReportableSegmentMember · Revenue</t>
        </is>
      </c>
      <c r="C182" s="20" t="n">
        <v>63770</v>
      </c>
      <c r="D182" s="20" t="n">
        <v>84994</v>
      </c>
      <c r="E182" s="20" t="n">
        <v>58377</v>
      </c>
      <c r="F182" s="20" t="n">
        <v>84443</v>
      </c>
      <c r="G182" s="20" t="n">
        <v>68678</v>
      </c>
      <c r="H182" s="20" t="n">
        <v>84403</v>
      </c>
      <c r="I182" s="20" t="n">
        <v>59979</v>
      </c>
      <c r="J182" s="20" t="n">
        <v>80364</v>
      </c>
      <c r="K182" s="20" t="n">
        <v>65320</v>
      </c>
      <c r="L182" s="20" t="n">
        <v>84423</v>
      </c>
      <c r="M182" s="20" t="n">
        <v>61410</v>
      </c>
      <c r="N182" s="20" t="n">
        <v>73461</v>
      </c>
      <c r="V182" s="20" t="n">
        <v>58377</v>
      </c>
      <c r="W182" s="20" t="n">
        <v>59979</v>
      </c>
      <c r="X182" s="20" t="n">
        <v>61410</v>
      </c>
    </row>
    <row r="183">
      <c r="A183" s="43" t="inlineStr">
        <is>
          <t>YoY</t>
        </is>
      </c>
      <c r="B183" s="3" t="inlineStr">
        <is>
          <t>전년 같은 분기·전년 대비</t>
        </is>
      </c>
      <c r="G183" s="15">
        <f>IF(OR(G182="",C182=""),"",IF(C182&lt;=0,"",IFERROR(G182/C182-1,"")))</f>
        <v/>
      </c>
      <c r="H183" s="15">
        <f>IF(OR(H182="",D182=""),"",IF(D182&lt;=0,"",IFERROR(H182/D182-1,"")))</f>
        <v/>
      </c>
      <c r="I183" s="15">
        <f>IF(OR(I182="",E182=""),"",IF(E182&lt;=0,"",IFERROR(I182/E182-1,"")))</f>
        <v/>
      </c>
      <c r="J183" s="15">
        <f>IF(OR(J182="",F182=""),"",IF(F182&lt;=0,"",IFERROR(J182/F182-1,"")))</f>
        <v/>
      </c>
      <c r="K183" s="15">
        <f>IF(OR(K182="",G182=""),"",IF(G182&lt;=0,"",IFERROR(K182/G182-1,"")))</f>
        <v/>
      </c>
      <c r="L183" s="15">
        <f>IF(OR(L182="",H182=""),"",IF(H182&lt;=0,"",IFERROR(L182/H182-1,"")))</f>
        <v/>
      </c>
      <c r="M183" s="15">
        <f>IF(OR(M182="",I182=""),"",IF(I182&lt;=0,"",IFERROR(M182/I182-1,"")))</f>
        <v/>
      </c>
      <c r="N183" s="15">
        <f>IF(OR(N182="",J182=""),"",IF(J182&lt;=0,"",IFERROR(N182/J182-1,"")))</f>
        <v/>
      </c>
      <c r="V183" s="15">
        <f>IF(OR(V182="",U182=""),"",IF(U182&lt;=0,"",IFERROR(V182/U182-1,"")))</f>
        <v/>
      </c>
      <c r="W183" s="15">
        <f>IF(OR(W182="",V182=""),"",IF(V182&lt;=0,"",IFERROR(W182/V182-1,"")))</f>
        <v/>
      </c>
      <c r="X183" s="15">
        <f>IF(OR(X182="",W182=""),"",IF(W182&lt;=0,"",IFERROR(X182/W182-1,"")))</f>
        <v/>
      </c>
    </row>
    <row r="184">
      <c r="A184" s="18" t="inlineStr">
        <is>
          <t>PrecisionEquipmentBusinessReportableSegmentMember · Revenue</t>
        </is>
      </c>
      <c r="C184" s="20" t="n">
        <v>58712</v>
      </c>
      <c r="D184" s="20" t="n">
        <v>58532</v>
      </c>
      <c r="E184" s="20" t="n">
        <v>64922</v>
      </c>
      <c r="F184" s="20" t="n">
        <v>33227</v>
      </c>
      <c r="G184" s="20" t="n">
        <v>48449</v>
      </c>
      <c r="H184" s="20" t="n">
        <v>43442</v>
      </c>
      <c r="I184" s="20" t="n">
        <v>77030</v>
      </c>
      <c r="J184" s="20" t="n">
        <v>33867</v>
      </c>
      <c r="K184" s="20" t="n">
        <v>36119</v>
      </c>
      <c r="L184" s="20" t="n">
        <v>34790</v>
      </c>
      <c r="M184" s="20" t="n">
        <v>62725</v>
      </c>
      <c r="N184" s="20" t="n">
        <v>38465</v>
      </c>
      <c r="V184" s="20" t="n">
        <v>64922</v>
      </c>
      <c r="W184" s="20" t="n">
        <v>77030</v>
      </c>
      <c r="X184" s="20" t="n">
        <v>62725</v>
      </c>
    </row>
    <row r="185">
      <c r="A185" s="43" t="inlineStr">
        <is>
          <t>YoY</t>
        </is>
      </c>
      <c r="B185" s="3" t="inlineStr">
        <is>
          <t>전년 같은 분기·전년 대비</t>
        </is>
      </c>
      <c r="G185" s="15">
        <f>IF(OR(G184="",C184=""),"",IF(C184&lt;=0,"",IFERROR(G184/C184-1,"")))</f>
        <v/>
      </c>
      <c r="H185" s="15">
        <f>IF(OR(H184="",D184=""),"",IF(D184&lt;=0,"",IFERROR(H184/D184-1,"")))</f>
        <v/>
      </c>
      <c r="I185" s="15">
        <f>IF(OR(I184="",E184=""),"",IF(E184&lt;=0,"",IFERROR(I184/E184-1,"")))</f>
        <v/>
      </c>
      <c r="J185" s="15">
        <f>IF(OR(J184="",F184=""),"",IF(F184&lt;=0,"",IFERROR(J184/F184-1,"")))</f>
        <v/>
      </c>
      <c r="K185" s="15">
        <f>IF(OR(K184="",G184=""),"",IF(G184&lt;=0,"",IFERROR(K184/G184-1,"")))</f>
        <v/>
      </c>
      <c r="L185" s="15">
        <f>IF(OR(L184="",H184=""),"",IF(H184&lt;=0,"",IFERROR(L184/H184-1,"")))</f>
        <v/>
      </c>
      <c r="M185" s="15">
        <f>IF(OR(M184="",I184=""),"",IF(I184&lt;=0,"",IFERROR(M184/I184-1,"")))</f>
        <v/>
      </c>
      <c r="N185" s="15">
        <f>IF(OR(N184="",J184=""),"",IF(J184&lt;=0,"",IFERROR(N184/J184-1,"")))</f>
        <v/>
      </c>
      <c r="V185" s="15">
        <f>IF(OR(V184="",U184=""),"",IF(U184&lt;=0,"",IFERROR(V184/U184-1,"")))</f>
        <v/>
      </c>
      <c r="W185" s="15">
        <f>IF(OR(W184="",V184=""),"",IF(V184&lt;=0,"",IFERROR(W184/V184-1,"")))</f>
        <v/>
      </c>
      <c r="X185" s="15">
        <f>IF(OR(X184="",W184=""),"",IF(W184&lt;=0,"",IFERROR(X184/W184-1,"")))</f>
        <v/>
      </c>
    </row>
    <row r="186">
      <c r="A186" s="18" t="inlineStr">
        <is>
          <t>HealthcareBusinessReportableSegmentMember · Revenue</t>
        </is>
      </c>
      <c r="C186" s="20" t="n">
        <v>26043</v>
      </c>
      <c r="D186" s="20" t="n">
        <v>25643</v>
      </c>
      <c r="E186" s="20" t="n">
        <v>31094</v>
      </c>
      <c r="F186" s="20" t="n">
        <v>26264</v>
      </c>
      <c r="G186" s="20" t="n">
        <v>28942</v>
      </c>
      <c r="H186" s="20" t="n">
        <v>26502</v>
      </c>
      <c r="I186" s="20" t="n">
        <v>34900</v>
      </c>
      <c r="J186" s="20" t="n">
        <v>23220</v>
      </c>
      <c r="K186" s="20" t="n">
        <v>28083</v>
      </c>
      <c r="L186" s="20" t="n">
        <v>27857</v>
      </c>
      <c r="M186" s="20" t="n">
        <v>32969</v>
      </c>
      <c r="N186" s="20" t="n">
        <v>27885</v>
      </c>
      <c r="V186" s="20" t="n">
        <v>31094</v>
      </c>
      <c r="W186" s="20" t="n">
        <v>34900</v>
      </c>
      <c r="X186" s="20" t="n">
        <v>32969</v>
      </c>
    </row>
    <row r="187">
      <c r="A187" s="43" t="inlineStr">
        <is>
          <t>YoY</t>
        </is>
      </c>
      <c r="B187" s="3" t="inlineStr">
        <is>
          <t>전년 같은 분기·전년 대비</t>
        </is>
      </c>
      <c r="G187" s="15">
        <f>IF(OR(G186="",C186=""),"",IF(C186&lt;=0,"",IFERROR(G186/C186-1,"")))</f>
        <v/>
      </c>
      <c r="H187" s="15">
        <f>IF(OR(H186="",D186=""),"",IF(D186&lt;=0,"",IFERROR(H186/D186-1,"")))</f>
        <v/>
      </c>
      <c r="I187" s="15">
        <f>IF(OR(I186="",E186=""),"",IF(E186&lt;=0,"",IFERROR(I186/E186-1,"")))</f>
        <v/>
      </c>
      <c r="J187" s="15">
        <f>IF(OR(J186="",F186=""),"",IF(F186&lt;=0,"",IFERROR(J186/F186-1,"")))</f>
        <v/>
      </c>
      <c r="K187" s="15">
        <f>IF(OR(K186="",G186=""),"",IF(G186&lt;=0,"",IFERROR(K186/G186-1,"")))</f>
        <v/>
      </c>
      <c r="L187" s="15">
        <f>IF(OR(L186="",H186=""),"",IF(H186&lt;=0,"",IFERROR(L186/H186-1,"")))</f>
        <v/>
      </c>
      <c r="M187" s="15">
        <f>IF(OR(M186="",I186=""),"",IF(I186&lt;=0,"",IFERROR(M186/I186-1,"")))</f>
        <v/>
      </c>
      <c r="N187" s="15">
        <f>IF(OR(N186="",J186=""),"",IF(J186&lt;=0,"",IFERROR(N186/J186-1,"")))</f>
        <v/>
      </c>
      <c r="V187" s="15">
        <f>IF(OR(V186="",U186=""),"",IF(U186&lt;=0,"",IFERROR(V186/U186-1,"")))</f>
        <v/>
      </c>
      <c r="W187" s="15">
        <f>IF(OR(W186="",V186=""),"",IF(V186&lt;=0,"",IFERROR(W186/V186-1,"")))</f>
        <v/>
      </c>
      <c r="X187" s="15">
        <f>IF(OR(X186="",W186=""),"",IF(W186&lt;=0,"",IFERROR(X186/W186-1,"")))</f>
        <v/>
      </c>
    </row>
    <row r="188">
      <c r="A188" s="18" t="inlineStr">
        <is>
          <t>ComponentsBusinessReportableSegmentMember · Revenue</t>
        </is>
      </c>
      <c r="C188" s="20" t="n">
        <v>22990</v>
      </c>
      <c r="D188" s="20" t="n">
        <v>25088</v>
      </c>
      <c r="E188" s="20" t="n">
        <v>28180</v>
      </c>
      <c r="F188" s="20" t="n">
        <v>15990</v>
      </c>
      <c r="G188" s="20" t="n">
        <v>18906</v>
      </c>
      <c r="H188" s="20" t="n">
        <v>20742</v>
      </c>
      <c r="I188" s="20" t="n">
        <v>26818</v>
      </c>
      <c r="J188" s="20" t="n">
        <v>17430</v>
      </c>
      <c r="K188" s="20" t="n">
        <v>22076</v>
      </c>
      <c r="L188" s="20" t="n">
        <v>18826</v>
      </c>
      <c r="M188" s="20" t="n">
        <v>26251</v>
      </c>
      <c r="V188" s="20" t="n">
        <v>28180</v>
      </c>
      <c r="W188" s="20" t="n">
        <v>26818</v>
      </c>
      <c r="X188" s="20" t="n">
        <v>26251</v>
      </c>
    </row>
    <row r="189">
      <c r="A189" s="43" t="inlineStr">
        <is>
          <t>YoY</t>
        </is>
      </c>
      <c r="B189" s="3" t="inlineStr">
        <is>
          <t>전년 같은 분기·전년 대비</t>
        </is>
      </c>
      <c r="G189" s="15">
        <f>IF(OR(G188="",C188=""),"",IF(C188&lt;=0,"",IFERROR(G188/C188-1,"")))</f>
        <v/>
      </c>
      <c r="H189" s="15">
        <f>IF(OR(H188="",D188=""),"",IF(D188&lt;=0,"",IFERROR(H188/D188-1,"")))</f>
        <v/>
      </c>
      <c r="I189" s="15">
        <f>IF(OR(I188="",E188=""),"",IF(E188&lt;=0,"",IFERROR(I188/E188-1,"")))</f>
        <v/>
      </c>
      <c r="J189" s="15">
        <f>IF(OR(J188="",F188=""),"",IF(F188&lt;=0,"",IFERROR(J188/F188-1,"")))</f>
        <v/>
      </c>
      <c r="K189" s="15">
        <f>IF(OR(K188="",G188=""),"",IF(G188&lt;=0,"",IFERROR(K188/G188-1,"")))</f>
        <v/>
      </c>
      <c r="L189" s="15">
        <f>IF(OR(L188="",H188=""),"",IF(H188&lt;=0,"",IFERROR(L188/H188-1,"")))</f>
        <v/>
      </c>
      <c r="M189" s="15">
        <f>IF(OR(M188="",I188=""),"",IF(I188&lt;=0,"",IFERROR(M188/I188-1,"")))</f>
        <v/>
      </c>
      <c r="V189" s="15">
        <f>IF(OR(V188="",U188=""),"",IF(U188&lt;=0,"",IFERROR(V188/U188-1,"")))</f>
        <v/>
      </c>
      <c r="W189" s="15">
        <f>IF(OR(W188="",V188=""),"",IF(V188&lt;=0,"",IFERROR(W188/V188-1,"")))</f>
        <v/>
      </c>
      <c r="X189" s="15">
        <f>IF(OR(X188="",W188=""),"",IF(W188&lt;=0,"",IFERROR(X188/W188-1,"")))</f>
        <v/>
      </c>
    </row>
    <row r="190">
      <c r="A190" s="18" t="inlineStr">
        <is>
          <t>IndustryBusinessReportableSegmentMember · Revenue</t>
        </is>
      </c>
      <c r="J190" s="20" t="n">
        <v>15385</v>
      </c>
      <c r="N190" s="20" t="n">
        <v>18027</v>
      </c>
    </row>
    <row r="191">
      <c r="A191" s="43" t="inlineStr">
        <is>
          <t>YoY</t>
        </is>
      </c>
      <c r="B191" s="3" t="inlineStr">
        <is>
          <t>전년 같은 분기·전년 대비</t>
        </is>
      </c>
      <c r="J191" s="15">
        <f>IF(OR(J190="",F190=""),"",IF(F190&lt;=0,"",IFERROR(J190/F190-1,"")))</f>
        <v/>
      </c>
      <c r="N191" s="15">
        <f>IF(OR(N190="",J190=""),"",IF(J190&lt;=0,"",IFERROR(N190/J190-1,"")))</f>
        <v/>
      </c>
    </row>
    <row r="192">
      <c r="A192" s="18" t="inlineStr">
        <is>
          <t>DigitalManufacturingReportableSegmentMember · Revenue</t>
        </is>
      </c>
      <c r="C192" s="20" t="n">
        <v>3897</v>
      </c>
      <c r="D192" s="20" t="n">
        <v>5679</v>
      </c>
      <c r="E192" s="20" t="n">
        <v>7098</v>
      </c>
      <c r="F192" s="20" t="n">
        <v>5916</v>
      </c>
      <c r="G192" s="20" t="n">
        <v>5932</v>
      </c>
      <c r="H192" s="20" t="n">
        <v>6724</v>
      </c>
      <c r="I192" s="20" t="n">
        <v>5124</v>
      </c>
      <c r="J192" s="20" t="n">
        <v>5128</v>
      </c>
      <c r="K192" s="20" t="n">
        <v>4734</v>
      </c>
      <c r="L192" s="20" t="n">
        <v>6865</v>
      </c>
      <c r="M192" s="20" t="n">
        <v>11433</v>
      </c>
      <c r="N192" s="20" t="n">
        <v>6322</v>
      </c>
      <c r="V192" s="20" t="n">
        <v>7098</v>
      </c>
      <c r="W192" s="20" t="n">
        <v>5124</v>
      </c>
      <c r="X192" s="20" t="n">
        <v>11433</v>
      </c>
    </row>
    <row r="193">
      <c r="A193" s="43" t="inlineStr">
        <is>
          <t>YoY</t>
        </is>
      </c>
      <c r="B193" s="3" t="inlineStr">
        <is>
          <t>전년 같은 분기·전년 대비</t>
        </is>
      </c>
      <c r="G193" s="15">
        <f>IF(OR(G192="",C192=""),"",IF(C192&lt;=0,"",IFERROR(G192/C192-1,"")))</f>
        <v/>
      </c>
      <c r="H193" s="15">
        <f>IF(OR(H192="",D192=""),"",IF(D192&lt;=0,"",IFERROR(H192/D192-1,"")))</f>
        <v/>
      </c>
      <c r="I193" s="15">
        <f>IF(OR(I192="",E192=""),"",IF(E192&lt;=0,"",IFERROR(I192/E192-1,"")))</f>
        <v/>
      </c>
      <c r="J193" s="15">
        <f>IF(OR(J192="",F192=""),"",IF(F192&lt;=0,"",IFERROR(J192/F192-1,"")))</f>
        <v/>
      </c>
      <c r="K193" s="15">
        <f>IF(OR(K192="",G192=""),"",IF(G192&lt;=0,"",IFERROR(K192/G192-1,"")))</f>
        <v/>
      </c>
      <c r="L193" s="15">
        <f>IF(OR(L192="",H192=""),"",IF(H192&lt;=0,"",IFERROR(L192/H192-1,"")))</f>
        <v/>
      </c>
      <c r="M193" s="15">
        <f>IF(OR(M192="",I192=""),"",IF(I192&lt;=0,"",IFERROR(M192/I192-1,"")))</f>
        <v/>
      </c>
      <c r="N193" s="15">
        <f>IF(OR(N192="",J192=""),"",IF(J192&lt;=0,"",IFERROR(N192/J192-1,"")))</f>
        <v/>
      </c>
      <c r="V193" s="15">
        <f>IF(OR(V192="",U192=""),"",IF(U192&lt;=0,"",IFERROR(V192/U192-1,"")))</f>
        <v/>
      </c>
      <c r="W193" s="15">
        <f>IF(OR(W192="",V192=""),"",IF(V192&lt;=0,"",IFERROR(W192/V192-1,"")))</f>
        <v/>
      </c>
      <c r="X193" s="15">
        <f>IF(OR(X192="",W192=""),"",IF(W192&lt;=0,"",IFERROR(X192/W192-1,"")))</f>
        <v/>
      </c>
    </row>
    <row r="194">
      <c r="A194" s="18" t="inlineStr">
        <is>
          <t>기타 · Revenue</t>
        </is>
      </c>
      <c r="C194" s="20" t="n">
        <v>19872</v>
      </c>
      <c r="D194" s="20" t="n">
        <v>22225</v>
      </c>
      <c r="E194" s="20" t="n">
        <v>27672</v>
      </c>
      <c r="F194" s="20" t="n">
        <v>24226</v>
      </c>
      <c r="G194" s="20" t="n">
        <v>24471</v>
      </c>
      <c r="H194" s="20" t="n">
        <v>25139</v>
      </c>
      <c r="I194" s="20" t="n">
        <v>27185</v>
      </c>
      <c r="J194" s="20" t="n">
        <v>22250</v>
      </c>
      <c r="K194" s="20" t="n">
        <v>21908</v>
      </c>
      <c r="L194" s="20" t="n">
        <v>22302</v>
      </c>
      <c r="M194" s="20" t="n">
        <v>26885</v>
      </c>
      <c r="N194" s="20" t="n">
        <v>21137</v>
      </c>
      <c r="V194" s="20" t="n">
        <v>27672</v>
      </c>
      <c r="W194" s="20" t="n">
        <v>27185</v>
      </c>
      <c r="X194" s="20" t="n">
        <v>26885</v>
      </c>
    </row>
    <row r="195">
      <c r="A195" s="43" t="inlineStr">
        <is>
          <t>YoY</t>
        </is>
      </c>
      <c r="B195" s="3" t="inlineStr">
        <is>
          <t>전년 같은 분기·전년 대비</t>
        </is>
      </c>
      <c r="G195" s="15">
        <f>IF(OR(G194="",C194=""),"",IF(C194&lt;=0,"",IFERROR(G194/C194-1,"")))</f>
        <v/>
      </c>
      <c r="H195" s="15">
        <f>IF(OR(H194="",D194=""),"",IF(D194&lt;=0,"",IFERROR(H194/D194-1,"")))</f>
        <v/>
      </c>
      <c r="I195" s="15">
        <f>IF(OR(I194="",E194=""),"",IF(E194&lt;=0,"",IFERROR(I194/E194-1,"")))</f>
        <v/>
      </c>
      <c r="J195" s="15">
        <f>IF(OR(J194="",F194=""),"",IF(F194&lt;=0,"",IFERROR(J194/F194-1,"")))</f>
        <v/>
      </c>
      <c r="K195" s="15">
        <f>IF(OR(K194="",G194=""),"",IF(G194&lt;=0,"",IFERROR(K194/G194-1,"")))</f>
        <v/>
      </c>
      <c r="L195" s="15">
        <f>IF(OR(L194="",H194=""),"",IF(H194&lt;=0,"",IFERROR(L194/H194-1,"")))</f>
        <v/>
      </c>
      <c r="M195" s="15">
        <f>IF(OR(M194="",I194=""),"",IF(I194&lt;=0,"",IFERROR(M194/I194-1,"")))</f>
        <v/>
      </c>
      <c r="N195" s="15">
        <f>IF(OR(N194="",J194=""),"",IF(J194&lt;=0,"",IFERROR(N194/J194-1,"")))</f>
        <v/>
      </c>
      <c r="V195" s="15">
        <f>IF(OR(V194="",U194=""),"",IF(U194&lt;=0,"",IFERROR(V194/U194-1,"")))</f>
        <v/>
      </c>
      <c r="W195" s="15">
        <f>IF(OR(W194="",V194=""),"",IF(V194&lt;=0,"",IFERROR(W194/V194-1,"")))</f>
        <v/>
      </c>
      <c r="X195" s="15">
        <f>IF(OR(X194="",W194=""),"",IF(W194&lt;=0,"",IFERROR(X194/W194-1,"")))</f>
        <v/>
      </c>
    </row>
    <row r="196">
      <c r="A196" s="18" t="inlineStr">
        <is>
          <t>합계 · Revenue</t>
        </is>
      </c>
      <c r="C196" s="20" t="n">
        <v>195285</v>
      </c>
      <c r="D196" s="20" t="n">
        <v>222161</v>
      </c>
      <c r="E196" s="20" t="n">
        <v>217343</v>
      </c>
      <c r="F196" s="20" t="n">
        <v>190066</v>
      </c>
      <c r="G196" s="20" t="n">
        <v>195378</v>
      </c>
      <c r="H196" s="20" t="n">
        <v>206952</v>
      </c>
      <c r="I196" s="20" t="n">
        <v>231036</v>
      </c>
      <c r="J196" s="20" t="n">
        <v>180214</v>
      </c>
      <c r="K196" s="20" t="n">
        <v>180285</v>
      </c>
      <c r="L196" s="20" t="n">
        <v>195061</v>
      </c>
      <c r="M196" s="20" t="n">
        <v>221675</v>
      </c>
      <c r="N196" s="20" t="n">
        <v>185298</v>
      </c>
      <c r="V196" s="20" t="n">
        <v>217343</v>
      </c>
      <c r="W196" s="20" t="n">
        <v>231036</v>
      </c>
      <c r="X196" s="20" t="n">
        <v>221675</v>
      </c>
    </row>
    <row r="197">
      <c r="A197" s="43" t="inlineStr">
        <is>
          <t>YoY</t>
        </is>
      </c>
      <c r="B197" s="3" t="inlineStr">
        <is>
          <t>전년 같은 분기·전년 대비</t>
        </is>
      </c>
      <c r="G197" s="15">
        <f>IF(OR(G196="",C196=""),"",IF(C196&lt;=0,"",IFERROR(G196/C196-1,"")))</f>
        <v/>
      </c>
      <c r="H197" s="15">
        <f>IF(OR(H196="",D196=""),"",IF(D196&lt;=0,"",IFERROR(H196/D196-1,"")))</f>
        <v/>
      </c>
      <c r="I197" s="15">
        <f>IF(OR(I196="",E196=""),"",IF(E196&lt;=0,"",IFERROR(I196/E196-1,"")))</f>
        <v/>
      </c>
      <c r="J197" s="15">
        <f>IF(OR(J196="",F196=""),"",IF(F196&lt;=0,"",IFERROR(J196/F196-1,"")))</f>
        <v/>
      </c>
      <c r="K197" s="15">
        <f>IF(OR(K196="",G196=""),"",IF(G196&lt;=0,"",IFERROR(K196/G196-1,"")))</f>
        <v/>
      </c>
      <c r="L197" s="15">
        <f>IF(OR(L196="",H196=""),"",IF(H196&lt;=0,"",IFERROR(L196/H196-1,"")))</f>
        <v/>
      </c>
      <c r="M197" s="15">
        <f>IF(OR(M196="",I196=""),"",IF(I196&lt;=0,"",IFERROR(M196/I196-1,"")))</f>
        <v/>
      </c>
      <c r="N197" s="15">
        <f>IF(OR(N196="",J196=""),"",IF(J196&lt;=0,"",IFERROR(N196/J196-1,"")))</f>
        <v/>
      </c>
      <c r="V197" s="15">
        <f>IF(OR(V196="",U196=""),"",IF(U196&lt;=0,"",IFERROR(V196/U196-1,"")))</f>
        <v/>
      </c>
      <c r="W197" s="15">
        <f>IF(OR(W196="",V196=""),"",IF(V196&lt;=0,"",IFERROR(W196/V196-1,"")))</f>
        <v/>
      </c>
      <c r="X197" s="15">
        <f>IF(OR(X196="",W196=""),"",IF(W196&lt;=0,"",IFERROR(X196/W196-1,"")))</f>
        <v/>
      </c>
    </row>
    <row r="198">
      <c r="A198" s="18" t="inlineStr">
        <is>
          <t>조정액 · Revenue</t>
        </is>
      </c>
      <c r="C198" s="20" t="n">
        <v>-22135</v>
      </c>
      <c r="D198" s="20" t="n">
        <v>-24545</v>
      </c>
      <c r="E198" s="20" t="n">
        <v>-29010</v>
      </c>
      <c r="F198" s="20" t="n">
        <v>-26170</v>
      </c>
      <c r="G198" s="20" t="n">
        <v>-26495</v>
      </c>
      <c r="H198" s="20" t="n">
        <v>-27060</v>
      </c>
      <c r="I198" s="20" t="n">
        <v>-28422</v>
      </c>
      <c r="J198" s="20" t="n">
        <v>-22093</v>
      </c>
      <c r="K198" s="20" t="n">
        <v>-25491</v>
      </c>
      <c r="L198" s="20" t="n">
        <v>-24069</v>
      </c>
      <c r="M198" s="20" t="n">
        <v>-28419</v>
      </c>
      <c r="N198" s="20" t="n">
        <v>-21116</v>
      </c>
      <c r="V198" s="20" t="n">
        <v>-29010</v>
      </c>
      <c r="W198" s="20" t="n">
        <v>-28422</v>
      </c>
      <c r="X198" s="20" t="n">
        <v>-28419</v>
      </c>
    </row>
    <row r="199">
      <c r="A199" s="9" t="inlineStr">
        <is>
          <t>Revenue</t>
        </is>
      </c>
      <c r="C199" s="12" t="n">
        <v>173150</v>
      </c>
      <c r="D199" s="12" t="n">
        <v>197616</v>
      </c>
      <c r="E199" s="12" t="n">
        <v>188333</v>
      </c>
      <c r="F199" s="12" t="n">
        <v>163896</v>
      </c>
      <c r="G199" s="12" t="n">
        <v>168883</v>
      </c>
      <c r="H199" s="12" t="n">
        <v>179892</v>
      </c>
      <c r="I199" s="12" t="n">
        <v>202614</v>
      </c>
      <c r="V199" s="12" t="n">
        <v>188333</v>
      </c>
      <c r="W199" s="12" t="n">
        <v>202614</v>
      </c>
    </row>
    <row r="200">
      <c r="A200" s="43" t="inlineStr">
        <is>
          <t>YoY</t>
        </is>
      </c>
      <c r="B200" s="3" t="inlineStr">
        <is>
          <t>전년 같은 분기·전년 대비</t>
        </is>
      </c>
      <c r="G200" s="15">
        <f>IF(OR(G199="",C199=""),"",IF(C199&lt;=0,"",IFERROR(G199/C199-1,"")))</f>
        <v/>
      </c>
      <c r="H200" s="15">
        <f>IF(OR(H199="",D199=""),"",IF(D199&lt;=0,"",IFERROR(H199/D199-1,"")))</f>
        <v/>
      </c>
      <c r="I200" s="15">
        <f>IF(OR(I199="",E199=""),"",IF(E199&lt;=0,"",IFERROR(I199/E199-1,"")))</f>
        <v/>
      </c>
      <c r="V200" s="15">
        <f>IF(OR(V199="",U199=""),"",IF(U199&lt;=0,"",IFERROR(V199/U199-1,"")))</f>
        <v/>
      </c>
      <c r="W200" s="15">
        <f>IF(OR(W199="",V199=""),"",IF(V199&lt;=0,"",IFERROR(W199/V199-1,"")))</f>
        <v/>
      </c>
    </row>
    <row r="201">
      <c r="A201" s="18" t="inlineStr">
        <is>
          <t>EntityTotalMember · Revenue</t>
        </is>
      </c>
      <c r="F201" s="20" t="n">
        <v>163896</v>
      </c>
      <c r="J201" s="20" t="n">
        <v>158121</v>
      </c>
      <c r="N201" s="20" t="n">
        <v>164182</v>
      </c>
    </row>
    <row r="202">
      <c r="A202" s="18" t="inlineStr">
        <is>
          <t>ImagingProductsBusinessReportableSegmentMember · 부문 이익(손실)</t>
        </is>
      </c>
      <c r="C202" s="20" t="n">
        <v>9909</v>
      </c>
      <c r="D202" s="20" t="n">
        <v>17783</v>
      </c>
      <c r="E202" s="20" t="n">
        <v>3544</v>
      </c>
      <c r="F202" s="20" t="n">
        <v>17880</v>
      </c>
      <c r="G202" s="20" t="n">
        <v>10968</v>
      </c>
      <c r="H202" s="20" t="n">
        <v>15001</v>
      </c>
      <c r="I202" s="20" t="n">
        <v>-2543</v>
      </c>
      <c r="J202" s="20" t="n">
        <v>11171</v>
      </c>
      <c r="K202" s="20" t="n">
        <v>3972</v>
      </c>
      <c r="L202" s="20" t="n">
        <v>5797</v>
      </c>
      <c r="M202" s="20" t="n">
        <v>-4225</v>
      </c>
      <c r="N202" s="20" t="n">
        <v>8103</v>
      </c>
      <c r="V202" s="20" t="n">
        <v>3544</v>
      </c>
      <c r="W202" s="20" t="n">
        <v>-2543</v>
      </c>
      <c r="X202" s="20" t="n">
        <v>-4225</v>
      </c>
    </row>
    <row r="203">
      <c r="A203" s="43" t="inlineStr">
        <is>
          <t>OPM</t>
        </is>
      </c>
      <c r="B203" s="3" t="inlineStr">
        <is>
          <t>영업이익 ÷ 매출</t>
        </is>
      </c>
      <c r="C203" s="15">
        <f>IF(OR(C202="",C182=""),"",IF(C182&lt;=0,"",IFERROR(C202/C182,"")))</f>
        <v/>
      </c>
      <c r="D203" s="15">
        <f>IF(OR(D202="",D182=""),"",IF(D182&lt;=0,"",IFERROR(D202/D182,"")))</f>
        <v/>
      </c>
      <c r="E203" s="15">
        <f>IF(OR(E202="",E182=""),"",IF(E182&lt;=0,"",IFERROR(E202/E182,"")))</f>
        <v/>
      </c>
      <c r="F203" s="15">
        <f>IF(OR(F202="",F182=""),"",IF(F182&lt;=0,"",IFERROR(F202/F182,"")))</f>
        <v/>
      </c>
      <c r="G203" s="15">
        <f>IF(OR(G202="",G182=""),"",IF(G182&lt;=0,"",IFERROR(G202/G182,"")))</f>
        <v/>
      </c>
      <c r="H203" s="15">
        <f>IF(OR(H202="",H182=""),"",IF(H182&lt;=0,"",IFERROR(H202/H182,"")))</f>
        <v/>
      </c>
      <c r="I203" s="15">
        <f>IF(OR(I202="",I182=""),"",IF(I182&lt;=0,"",IFERROR(I202/I182,"")))</f>
        <v/>
      </c>
      <c r="J203" s="15">
        <f>IF(OR(J202="",J182=""),"",IF(J182&lt;=0,"",IFERROR(J202/J182,"")))</f>
        <v/>
      </c>
      <c r="K203" s="15">
        <f>IF(OR(K202="",K182=""),"",IF(K182&lt;=0,"",IFERROR(K202/K182,"")))</f>
        <v/>
      </c>
      <c r="L203" s="15">
        <f>IF(OR(L202="",L182=""),"",IF(L182&lt;=0,"",IFERROR(L202/L182,"")))</f>
        <v/>
      </c>
      <c r="M203" s="15">
        <f>IF(OR(M202="",M182=""),"",IF(M182&lt;=0,"",IFERROR(M202/M182,"")))</f>
        <v/>
      </c>
      <c r="N203" s="15">
        <f>IF(OR(N202="",N182=""),"",IF(N182&lt;=0,"",IFERROR(N202/N182,"")))</f>
        <v/>
      </c>
      <c r="V203" s="15">
        <f>IF(OR(V202="",V182=""),"",IF(V182&lt;=0,"",IFERROR(V202/V182,"")))</f>
        <v/>
      </c>
      <c r="W203" s="15">
        <f>IF(OR(W202="",W182=""),"",IF(W182&lt;=0,"",IFERROR(W202/W182,"")))</f>
        <v/>
      </c>
      <c r="X203" s="15">
        <f>IF(OR(X202="",X182=""),"",IF(X182&lt;=0,"",IFERROR(X202/X182,"")))</f>
        <v/>
      </c>
    </row>
    <row r="204">
      <c r="A204" s="43" t="inlineStr">
        <is>
          <t>YoY</t>
        </is>
      </c>
      <c r="B204" s="3" t="inlineStr">
        <is>
          <t>전년 같은 분기·전년 대비</t>
        </is>
      </c>
      <c r="G204" s="15">
        <f>IF(OR(G202="",C202=""),"",IF(C202&lt;=0,"",IFERROR(G202/C202-1,"")))</f>
        <v/>
      </c>
      <c r="H204" s="15">
        <f>IF(OR(H202="",D202=""),"",IF(D202&lt;=0,"",IFERROR(H202/D202-1,"")))</f>
        <v/>
      </c>
      <c r="I204" s="15">
        <f>IF(OR(I202="",E202=""),"",IF(E202&lt;=0,"",IFERROR(I202/E202-1,"")))</f>
        <v/>
      </c>
      <c r="J204" s="15">
        <f>IF(OR(J202="",F202=""),"",IF(F202&lt;=0,"",IFERROR(J202/F202-1,"")))</f>
        <v/>
      </c>
      <c r="K204" s="15">
        <f>IF(OR(K202="",G202=""),"",IF(G202&lt;=0,"",IFERROR(K202/G202-1,"")))</f>
        <v/>
      </c>
      <c r="L204" s="15">
        <f>IF(OR(L202="",H202=""),"",IF(H202&lt;=0,"",IFERROR(L202/H202-1,"")))</f>
        <v/>
      </c>
      <c r="M204" s="15">
        <f>IF(OR(M202="",I202=""),"",IF(I202&lt;=0,"",IFERROR(M202/I202-1,"")))</f>
        <v/>
      </c>
      <c r="N204" s="15">
        <f>IF(OR(N202="",J202=""),"",IF(J202&lt;=0,"",IFERROR(N202/J202-1,"")))</f>
        <v/>
      </c>
      <c r="V204" s="15">
        <f>IF(OR(V202="",U202=""),"",IF(U202&lt;=0,"",IFERROR(V202/U202-1,"")))</f>
        <v/>
      </c>
      <c r="W204" s="15">
        <f>IF(OR(W202="",V202=""),"",IF(V202&lt;=0,"",IFERROR(W202/V202-1,"")))</f>
        <v/>
      </c>
      <c r="X204" s="15">
        <f>IF(OR(X202="",W202=""),"",IF(W202&lt;=0,"",IFERROR(X202/W202-1,"")))</f>
        <v/>
      </c>
    </row>
    <row r="205">
      <c r="A205" s="18" t="inlineStr">
        <is>
          <t>PrecisionEquipmentBusinessReportableSegmentMember · 부문 이익(손실)</t>
        </is>
      </c>
      <c r="C205" s="20" t="n">
        <v>6887</v>
      </c>
      <c r="D205" s="20" t="n">
        <v>7876</v>
      </c>
      <c r="E205" s="20" t="n">
        <v>4061</v>
      </c>
      <c r="F205" s="20" t="n">
        <v>-2139</v>
      </c>
      <c r="G205" s="20" t="n">
        <v>3083</v>
      </c>
      <c r="H205" s="20" t="n">
        <v>-1643</v>
      </c>
      <c r="I205" s="20" t="n">
        <v>2243</v>
      </c>
      <c r="J205" s="20" t="n">
        <v>1889</v>
      </c>
      <c r="K205" s="20" t="n">
        <v>1155</v>
      </c>
      <c r="L205" s="20" t="n">
        <v>-2416</v>
      </c>
      <c r="M205" s="20" t="n">
        <v>-5193</v>
      </c>
      <c r="N205" s="20" t="n">
        <v>-2632</v>
      </c>
      <c r="V205" s="20" t="n">
        <v>4061</v>
      </c>
      <c r="W205" s="20" t="n">
        <v>2243</v>
      </c>
      <c r="X205" s="20" t="n">
        <v>-5193</v>
      </c>
    </row>
    <row r="206">
      <c r="A206" s="43" t="inlineStr">
        <is>
          <t>OPM</t>
        </is>
      </c>
      <c r="B206" s="3" t="inlineStr">
        <is>
          <t>영업이익 ÷ 매출</t>
        </is>
      </c>
      <c r="C206" s="15">
        <f>IF(OR(C205="",C184=""),"",IF(C184&lt;=0,"",IFERROR(C205/C184,"")))</f>
        <v/>
      </c>
      <c r="D206" s="15">
        <f>IF(OR(D205="",D184=""),"",IF(D184&lt;=0,"",IFERROR(D205/D184,"")))</f>
        <v/>
      </c>
      <c r="E206" s="15">
        <f>IF(OR(E205="",E184=""),"",IF(E184&lt;=0,"",IFERROR(E205/E184,"")))</f>
        <v/>
      </c>
      <c r="F206" s="15">
        <f>IF(OR(F205="",F184=""),"",IF(F184&lt;=0,"",IFERROR(F205/F184,"")))</f>
        <v/>
      </c>
      <c r="G206" s="15">
        <f>IF(OR(G205="",G184=""),"",IF(G184&lt;=0,"",IFERROR(G205/G184,"")))</f>
        <v/>
      </c>
      <c r="H206" s="15">
        <f>IF(OR(H205="",H184=""),"",IF(H184&lt;=0,"",IFERROR(H205/H184,"")))</f>
        <v/>
      </c>
      <c r="I206" s="15">
        <f>IF(OR(I205="",I184=""),"",IF(I184&lt;=0,"",IFERROR(I205/I184,"")))</f>
        <v/>
      </c>
      <c r="J206" s="15">
        <f>IF(OR(J205="",J184=""),"",IF(J184&lt;=0,"",IFERROR(J205/J184,"")))</f>
        <v/>
      </c>
      <c r="K206" s="15">
        <f>IF(OR(K205="",K184=""),"",IF(K184&lt;=0,"",IFERROR(K205/K184,"")))</f>
        <v/>
      </c>
      <c r="L206" s="15">
        <f>IF(OR(L205="",L184=""),"",IF(L184&lt;=0,"",IFERROR(L205/L184,"")))</f>
        <v/>
      </c>
      <c r="M206" s="15">
        <f>IF(OR(M205="",M184=""),"",IF(M184&lt;=0,"",IFERROR(M205/M184,"")))</f>
        <v/>
      </c>
      <c r="N206" s="15">
        <f>IF(OR(N205="",N184=""),"",IF(N184&lt;=0,"",IFERROR(N205/N184,"")))</f>
        <v/>
      </c>
      <c r="V206" s="15">
        <f>IF(OR(V205="",V184=""),"",IF(V184&lt;=0,"",IFERROR(V205/V184,"")))</f>
        <v/>
      </c>
      <c r="W206" s="15">
        <f>IF(OR(W205="",W184=""),"",IF(W184&lt;=0,"",IFERROR(W205/W184,"")))</f>
        <v/>
      </c>
      <c r="X206" s="15">
        <f>IF(OR(X205="",X184=""),"",IF(X184&lt;=0,"",IFERROR(X205/X184,"")))</f>
        <v/>
      </c>
    </row>
    <row r="207">
      <c r="A207" s="43" t="inlineStr">
        <is>
          <t>YoY</t>
        </is>
      </c>
      <c r="B207" s="3" t="inlineStr">
        <is>
          <t>전년 같은 분기·전년 대비</t>
        </is>
      </c>
      <c r="G207" s="15">
        <f>IF(OR(G205="",C205=""),"",IF(C205&lt;=0,"",IFERROR(G205/C205-1,"")))</f>
        <v/>
      </c>
      <c r="H207" s="15">
        <f>IF(OR(H205="",D205=""),"",IF(D205&lt;=0,"",IFERROR(H205/D205-1,"")))</f>
        <v/>
      </c>
      <c r="I207" s="15">
        <f>IF(OR(I205="",E205=""),"",IF(E205&lt;=0,"",IFERROR(I205/E205-1,"")))</f>
        <v/>
      </c>
      <c r="J207" s="15">
        <f>IF(OR(J205="",F205=""),"",IF(F205&lt;=0,"",IFERROR(J205/F205-1,"")))</f>
        <v/>
      </c>
      <c r="K207" s="15">
        <f>IF(OR(K205="",G205=""),"",IF(G205&lt;=0,"",IFERROR(K205/G205-1,"")))</f>
        <v/>
      </c>
      <c r="L207" s="15">
        <f>IF(OR(L205="",H205=""),"",IF(H205&lt;=0,"",IFERROR(L205/H205-1,"")))</f>
        <v/>
      </c>
      <c r="M207" s="15">
        <f>IF(OR(M205="",I205=""),"",IF(I205&lt;=0,"",IFERROR(M205/I205-1,"")))</f>
        <v/>
      </c>
      <c r="N207" s="15">
        <f>IF(OR(N205="",J205=""),"",IF(J205&lt;=0,"",IFERROR(N205/J205-1,"")))</f>
        <v/>
      </c>
      <c r="V207" s="15">
        <f>IF(OR(V205="",U205=""),"",IF(U205&lt;=0,"",IFERROR(V205/U205-1,"")))</f>
        <v/>
      </c>
      <c r="W207" s="15">
        <f>IF(OR(W205="",V205=""),"",IF(V205&lt;=0,"",IFERROR(W205/V205-1,"")))</f>
        <v/>
      </c>
      <c r="X207" s="15">
        <f>IF(OR(X205="",W205=""),"",IF(W205&lt;=0,"",IFERROR(X205/W205-1,"")))</f>
        <v/>
      </c>
    </row>
    <row r="208">
      <c r="A208" s="18" t="inlineStr">
        <is>
          <t>HealthcareBusinessReportableSegmentMember · 부문 이익(손실)</t>
        </is>
      </c>
      <c r="C208" s="20" t="n">
        <v>873</v>
      </c>
      <c r="D208" s="20" t="n">
        <v>165</v>
      </c>
      <c r="E208" s="20" t="n">
        <v>2469</v>
      </c>
      <c r="F208" s="20" t="n">
        <v>-628</v>
      </c>
      <c r="G208" s="20" t="n">
        <v>1928</v>
      </c>
      <c r="H208" s="20" t="n">
        <v>883</v>
      </c>
      <c r="I208" s="20" t="n">
        <v>4552</v>
      </c>
      <c r="J208" s="20" t="n">
        <v>-1838</v>
      </c>
      <c r="K208" s="20" t="n">
        <v>2178</v>
      </c>
      <c r="L208" s="20" t="n">
        <v>-1027</v>
      </c>
      <c r="M208" s="20" t="n">
        <v>2248</v>
      </c>
      <c r="N208" s="20" t="n">
        <v>1053</v>
      </c>
      <c r="V208" s="20" t="n">
        <v>2469</v>
      </c>
      <c r="W208" s="20" t="n">
        <v>4552</v>
      </c>
      <c r="X208" s="20" t="n">
        <v>2248</v>
      </c>
    </row>
    <row r="209">
      <c r="A209" s="43" t="inlineStr">
        <is>
          <t>OPM</t>
        </is>
      </c>
      <c r="B209" s="3" t="inlineStr">
        <is>
          <t>영업이익 ÷ 매출</t>
        </is>
      </c>
      <c r="C209" s="15">
        <f>IF(OR(C208="",C186=""),"",IF(C186&lt;=0,"",IFERROR(C208/C186,"")))</f>
        <v/>
      </c>
      <c r="D209" s="15">
        <f>IF(OR(D208="",D186=""),"",IF(D186&lt;=0,"",IFERROR(D208/D186,"")))</f>
        <v/>
      </c>
      <c r="E209" s="15">
        <f>IF(OR(E208="",E186=""),"",IF(E186&lt;=0,"",IFERROR(E208/E186,"")))</f>
        <v/>
      </c>
      <c r="F209" s="15">
        <f>IF(OR(F208="",F186=""),"",IF(F186&lt;=0,"",IFERROR(F208/F186,"")))</f>
        <v/>
      </c>
      <c r="G209" s="15">
        <f>IF(OR(G208="",G186=""),"",IF(G186&lt;=0,"",IFERROR(G208/G186,"")))</f>
        <v/>
      </c>
      <c r="H209" s="15">
        <f>IF(OR(H208="",H186=""),"",IF(H186&lt;=0,"",IFERROR(H208/H186,"")))</f>
        <v/>
      </c>
      <c r="I209" s="15">
        <f>IF(OR(I208="",I186=""),"",IF(I186&lt;=0,"",IFERROR(I208/I186,"")))</f>
        <v/>
      </c>
      <c r="J209" s="15">
        <f>IF(OR(J208="",J186=""),"",IF(J186&lt;=0,"",IFERROR(J208/J186,"")))</f>
        <v/>
      </c>
      <c r="K209" s="15">
        <f>IF(OR(K208="",K186=""),"",IF(K186&lt;=0,"",IFERROR(K208/K186,"")))</f>
        <v/>
      </c>
      <c r="L209" s="15">
        <f>IF(OR(L208="",L186=""),"",IF(L186&lt;=0,"",IFERROR(L208/L186,"")))</f>
        <v/>
      </c>
      <c r="M209" s="15">
        <f>IF(OR(M208="",M186=""),"",IF(M186&lt;=0,"",IFERROR(M208/M186,"")))</f>
        <v/>
      </c>
      <c r="N209" s="15">
        <f>IF(OR(N208="",N186=""),"",IF(N186&lt;=0,"",IFERROR(N208/N186,"")))</f>
        <v/>
      </c>
      <c r="V209" s="15">
        <f>IF(OR(V208="",V186=""),"",IF(V186&lt;=0,"",IFERROR(V208/V186,"")))</f>
        <v/>
      </c>
      <c r="W209" s="15">
        <f>IF(OR(W208="",W186=""),"",IF(W186&lt;=0,"",IFERROR(W208/W186,"")))</f>
        <v/>
      </c>
      <c r="X209" s="15">
        <f>IF(OR(X208="",X186=""),"",IF(X186&lt;=0,"",IFERROR(X208/X186,"")))</f>
        <v/>
      </c>
    </row>
    <row r="210">
      <c r="A210" s="43" t="inlineStr">
        <is>
          <t>YoY</t>
        </is>
      </c>
      <c r="B210" s="3" t="inlineStr">
        <is>
          <t>전년 같은 분기·전년 대비</t>
        </is>
      </c>
      <c r="G210" s="15">
        <f>IF(OR(G208="",C208=""),"",IF(C208&lt;=0,"",IFERROR(G208/C208-1,"")))</f>
        <v/>
      </c>
      <c r="H210" s="15">
        <f>IF(OR(H208="",D208=""),"",IF(D208&lt;=0,"",IFERROR(H208/D208-1,"")))</f>
        <v/>
      </c>
      <c r="I210" s="15">
        <f>IF(OR(I208="",E208=""),"",IF(E208&lt;=0,"",IFERROR(I208/E208-1,"")))</f>
        <v/>
      </c>
      <c r="J210" s="15">
        <f>IF(OR(J208="",F208=""),"",IF(F208&lt;=0,"",IFERROR(J208/F208-1,"")))</f>
        <v/>
      </c>
      <c r="K210" s="15">
        <f>IF(OR(K208="",G208=""),"",IF(G208&lt;=0,"",IFERROR(K208/G208-1,"")))</f>
        <v/>
      </c>
      <c r="L210" s="15">
        <f>IF(OR(L208="",H208=""),"",IF(H208&lt;=0,"",IFERROR(L208/H208-1,"")))</f>
        <v/>
      </c>
      <c r="M210" s="15">
        <f>IF(OR(M208="",I208=""),"",IF(I208&lt;=0,"",IFERROR(M208/I208-1,"")))</f>
        <v/>
      </c>
      <c r="N210" s="15">
        <f>IF(OR(N208="",J208=""),"",IF(J208&lt;=0,"",IFERROR(N208/J208-1,"")))</f>
        <v/>
      </c>
      <c r="V210" s="15">
        <f>IF(OR(V208="",U208=""),"",IF(U208&lt;=0,"",IFERROR(V208/U208-1,"")))</f>
        <v/>
      </c>
      <c r="W210" s="15">
        <f>IF(OR(W208="",V208=""),"",IF(V208&lt;=0,"",IFERROR(W208/V208-1,"")))</f>
        <v/>
      </c>
      <c r="X210" s="15">
        <f>IF(OR(X208="",W208=""),"",IF(W208&lt;=0,"",IFERROR(X208/W208-1,"")))</f>
        <v/>
      </c>
    </row>
    <row r="211">
      <c r="A211" s="18" t="inlineStr">
        <is>
          <t>ComponentsBusinessReportableSegmentMember · Operating Profit Loss</t>
        </is>
      </c>
      <c r="C211" s="20" t="n">
        <v>3759</v>
      </c>
      <c r="D211" s="20" t="n">
        <v>5672</v>
      </c>
      <c r="E211" s="20" t="n">
        <v>4322</v>
      </c>
      <c r="F211" s="20" t="n">
        <v>-114</v>
      </c>
      <c r="G211" s="20" t="n">
        <v>1600</v>
      </c>
      <c r="H211" s="20" t="n">
        <v>2165</v>
      </c>
      <c r="I211" s="20" t="n">
        <v>3534</v>
      </c>
      <c r="J211" s="20" t="n">
        <v>1801</v>
      </c>
      <c r="K211" s="20" t="n">
        <v>3480</v>
      </c>
      <c r="L211" s="20" t="n">
        <v>1364</v>
      </c>
      <c r="M211" s="20" t="n">
        <v>2908</v>
      </c>
      <c r="V211" s="20" t="n">
        <v>4322</v>
      </c>
      <c r="W211" s="20" t="n">
        <v>3534</v>
      </c>
      <c r="X211" s="20" t="n">
        <v>2908</v>
      </c>
    </row>
    <row r="212">
      <c r="A212" s="43" t="inlineStr">
        <is>
          <t>OPM</t>
        </is>
      </c>
      <c r="B212" s="3" t="inlineStr">
        <is>
          <t>영업이익 ÷ 매출</t>
        </is>
      </c>
      <c r="C212" s="15">
        <f>IF(OR(C211="",C188=""),"",IF(C188&lt;=0,"",IFERROR(C211/C188,"")))</f>
        <v/>
      </c>
      <c r="D212" s="15">
        <f>IF(OR(D211="",D188=""),"",IF(D188&lt;=0,"",IFERROR(D211/D188,"")))</f>
        <v/>
      </c>
      <c r="E212" s="15">
        <f>IF(OR(E211="",E188=""),"",IF(E188&lt;=0,"",IFERROR(E211/E188,"")))</f>
        <v/>
      </c>
      <c r="F212" s="15">
        <f>IF(OR(F211="",F188=""),"",IF(F188&lt;=0,"",IFERROR(F211/F188,"")))</f>
        <v/>
      </c>
      <c r="G212" s="15">
        <f>IF(OR(G211="",G188=""),"",IF(G188&lt;=0,"",IFERROR(G211/G188,"")))</f>
        <v/>
      </c>
      <c r="H212" s="15">
        <f>IF(OR(H211="",H188=""),"",IF(H188&lt;=0,"",IFERROR(H211/H188,"")))</f>
        <v/>
      </c>
      <c r="I212" s="15">
        <f>IF(OR(I211="",I188=""),"",IF(I188&lt;=0,"",IFERROR(I211/I188,"")))</f>
        <v/>
      </c>
      <c r="J212" s="15">
        <f>IF(OR(J211="",J188=""),"",IF(J188&lt;=0,"",IFERROR(J211/J188,"")))</f>
        <v/>
      </c>
      <c r="K212" s="15">
        <f>IF(OR(K211="",K188=""),"",IF(K188&lt;=0,"",IFERROR(K211/K188,"")))</f>
        <v/>
      </c>
      <c r="L212" s="15">
        <f>IF(OR(L211="",L188=""),"",IF(L188&lt;=0,"",IFERROR(L211/L188,"")))</f>
        <v/>
      </c>
      <c r="M212" s="15">
        <f>IF(OR(M211="",M188=""),"",IF(M188&lt;=0,"",IFERROR(M211/M188,"")))</f>
        <v/>
      </c>
      <c r="V212" s="15">
        <f>IF(OR(V211="",V188=""),"",IF(V188&lt;=0,"",IFERROR(V211/V188,"")))</f>
        <v/>
      </c>
      <c r="W212" s="15">
        <f>IF(OR(W211="",W188=""),"",IF(W188&lt;=0,"",IFERROR(W211/W188,"")))</f>
        <v/>
      </c>
      <c r="X212" s="15">
        <f>IF(OR(X211="",X188=""),"",IF(X188&lt;=0,"",IFERROR(X211/X188,"")))</f>
        <v/>
      </c>
    </row>
    <row r="213">
      <c r="A213" s="43" t="inlineStr">
        <is>
          <t>YoY</t>
        </is>
      </c>
      <c r="B213" s="3" t="inlineStr">
        <is>
          <t>전년 같은 분기·전년 대비</t>
        </is>
      </c>
      <c r="G213" s="15">
        <f>IF(OR(G211="",C211=""),"",IF(C211&lt;=0,"",IFERROR(G211/C211-1,"")))</f>
        <v/>
      </c>
      <c r="H213" s="15">
        <f>IF(OR(H211="",D211=""),"",IF(D211&lt;=0,"",IFERROR(H211/D211-1,"")))</f>
        <v/>
      </c>
      <c r="I213" s="15">
        <f>IF(OR(I211="",E211=""),"",IF(E211&lt;=0,"",IFERROR(I211/E211-1,"")))</f>
        <v/>
      </c>
      <c r="J213" s="15">
        <f>IF(OR(J211="",F211=""),"",IF(F211&lt;=0,"",IFERROR(J211/F211-1,"")))</f>
        <v/>
      </c>
      <c r="K213" s="15">
        <f>IF(OR(K211="",G211=""),"",IF(G211&lt;=0,"",IFERROR(K211/G211-1,"")))</f>
        <v/>
      </c>
      <c r="L213" s="15">
        <f>IF(OR(L211="",H211=""),"",IF(H211&lt;=0,"",IFERROR(L211/H211-1,"")))</f>
        <v/>
      </c>
      <c r="M213" s="15">
        <f>IF(OR(M211="",I211=""),"",IF(I211&lt;=0,"",IFERROR(M211/I211-1,"")))</f>
        <v/>
      </c>
      <c r="V213" s="15">
        <f>IF(OR(V211="",U211=""),"",IF(U211&lt;=0,"",IFERROR(V211/U211-1,"")))</f>
        <v/>
      </c>
      <c r="W213" s="15">
        <f>IF(OR(W211="",V211=""),"",IF(V211&lt;=0,"",IFERROR(W211/V211-1,"")))</f>
        <v/>
      </c>
      <c r="X213" s="15">
        <f>IF(OR(X211="",W211=""),"",IF(W211&lt;=0,"",IFERROR(X211/W211-1,"")))</f>
        <v/>
      </c>
    </row>
    <row r="214">
      <c r="A214" s="18" t="inlineStr">
        <is>
          <t>IndustryBusinessReportableSegmentMember · 부문 이익(손실)</t>
        </is>
      </c>
      <c r="J214" s="20" t="n">
        <v>1664</v>
      </c>
      <c r="N214" s="20" t="n">
        <v>3007</v>
      </c>
    </row>
    <row r="215">
      <c r="A215" s="43" t="inlineStr">
        <is>
          <t>OPM</t>
        </is>
      </c>
      <c r="B215" s="3" t="inlineStr">
        <is>
          <t>영업이익 ÷ 매출</t>
        </is>
      </c>
      <c r="J215" s="15">
        <f>IF(OR(J214="",J190=""),"",IF(J190&lt;=0,"",IFERROR(J214/J190,"")))</f>
        <v/>
      </c>
      <c r="N215" s="15">
        <f>IF(OR(N214="",N190=""),"",IF(N190&lt;=0,"",IFERROR(N214/N190,"")))</f>
        <v/>
      </c>
    </row>
    <row r="216">
      <c r="A216" s="43" t="inlineStr">
        <is>
          <t>YoY</t>
        </is>
      </c>
      <c r="B216" s="3" t="inlineStr">
        <is>
          <t>전년 같은 분기·전년 대비</t>
        </is>
      </c>
      <c r="J216" s="15">
        <f>IF(OR(J214="",F214=""),"",IF(F214&lt;=0,"",IFERROR(J214/F214-1,"")))</f>
        <v/>
      </c>
      <c r="N216" s="15">
        <f>IF(OR(N214="",J214=""),"",IF(J214&lt;=0,"",IFERROR(N214/J214-1,"")))</f>
        <v/>
      </c>
    </row>
    <row r="217">
      <c r="A217" s="18" t="inlineStr">
        <is>
          <t>DigitalManufacturingReportableSegmentMember · 부문 이익(손실)</t>
        </is>
      </c>
      <c r="C217" s="20" t="n">
        <v>-5010</v>
      </c>
      <c r="D217" s="20" t="n">
        <v>-3195</v>
      </c>
      <c r="E217" s="20" t="n">
        <v>-2166</v>
      </c>
      <c r="F217" s="20" t="n">
        <v>-3579</v>
      </c>
      <c r="G217" s="20" t="n">
        <v>-2865</v>
      </c>
      <c r="H217" s="20" t="n">
        <v>-3757</v>
      </c>
      <c r="I217" s="20" t="n">
        <v>-5024</v>
      </c>
      <c r="J217" s="20" t="n">
        <v>-4190</v>
      </c>
      <c r="K217" s="20" t="n">
        <v>-4773</v>
      </c>
      <c r="L217" s="20" t="n">
        <v>-94452</v>
      </c>
      <c r="M217" s="20" t="n">
        <v>-2867</v>
      </c>
      <c r="N217" s="20" t="n">
        <v>-2197</v>
      </c>
      <c r="V217" s="20" t="n">
        <v>-2166</v>
      </c>
      <c r="W217" s="20" t="n">
        <v>-5024</v>
      </c>
      <c r="X217" s="20" t="n">
        <v>-2867</v>
      </c>
    </row>
    <row r="218">
      <c r="A218" s="43" t="inlineStr">
        <is>
          <t>OPM</t>
        </is>
      </c>
      <c r="B218" s="3" t="inlineStr">
        <is>
          <t>영업이익 ÷ 매출</t>
        </is>
      </c>
      <c r="C218" s="15">
        <f>IF(OR(C217="",C192=""),"",IF(C192&lt;=0,"",IFERROR(C217/C192,"")))</f>
        <v/>
      </c>
      <c r="D218" s="15">
        <f>IF(OR(D217="",D192=""),"",IF(D192&lt;=0,"",IFERROR(D217/D192,"")))</f>
        <v/>
      </c>
      <c r="E218" s="15">
        <f>IF(OR(E217="",E192=""),"",IF(E192&lt;=0,"",IFERROR(E217/E192,"")))</f>
        <v/>
      </c>
      <c r="F218" s="15">
        <f>IF(OR(F217="",F192=""),"",IF(F192&lt;=0,"",IFERROR(F217/F192,"")))</f>
        <v/>
      </c>
      <c r="G218" s="15">
        <f>IF(OR(G217="",G192=""),"",IF(G192&lt;=0,"",IFERROR(G217/G192,"")))</f>
        <v/>
      </c>
      <c r="H218" s="15">
        <f>IF(OR(H217="",H192=""),"",IF(H192&lt;=0,"",IFERROR(H217/H192,"")))</f>
        <v/>
      </c>
      <c r="I218" s="15">
        <f>IF(OR(I217="",I192=""),"",IF(I192&lt;=0,"",IFERROR(I217/I192,"")))</f>
        <v/>
      </c>
      <c r="J218" s="15">
        <f>IF(OR(J217="",J192=""),"",IF(J192&lt;=0,"",IFERROR(J217/J192,"")))</f>
        <v/>
      </c>
      <c r="K218" s="15">
        <f>IF(OR(K217="",K192=""),"",IF(K192&lt;=0,"",IFERROR(K217/K192,"")))</f>
        <v/>
      </c>
      <c r="L218" s="15">
        <f>IF(OR(L217="",L192=""),"",IF(L192&lt;=0,"",IFERROR(L217/L192,"")))</f>
        <v/>
      </c>
      <c r="M218" s="15">
        <f>IF(OR(M217="",M192=""),"",IF(M192&lt;=0,"",IFERROR(M217/M192,"")))</f>
        <v/>
      </c>
      <c r="N218" s="15">
        <f>IF(OR(N217="",N192=""),"",IF(N192&lt;=0,"",IFERROR(N217/N192,"")))</f>
        <v/>
      </c>
      <c r="V218" s="15">
        <f>IF(OR(V217="",V192=""),"",IF(V192&lt;=0,"",IFERROR(V217/V192,"")))</f>
        <v/>
      </c>
      <c r="W218" s="15">
        <f>IF(OR(W217="",W192=""),"",IF(W192&lt;=0,"",IFERROR(W217/W192,"")))</f>
        <v/>
      </c>
      <c r="X218" s="15">
        <f>IF(OR(X217="",X192=""),"",IF(X192&lt;=0,"",IFERROR(X217/X192,"")))</f>
        <v/>
      </c>
    </row>
    <row r="219">
      <c r="A219" s="43" t="inlineStr">
        <is>
          <t>YoY</t>
        </is>
      </c>
      <c r="B219" s="3" t="inlineStr">
        <is>
          <t>전년 같은 분기·전년 대비</t>
        </is>
      </c>
      <c r="G219" s="15">
        <f>IF(OR(G217="",C217=""),"",IF(C217&lt;=0,"",IFERROR(G217/C217-1,"")))</f>
        <v/>
      </c>
      <c r="H219" s="15">
        <f>IF(OR(H217="",D217=""),"",IF(D217&lt;=0,"",IFERROR(H217/D217-1,"")))</f>
        <v/>
      </c>
      <c r="I219" s="15">
        <f>IF(OR(I217="",E217=""),"",IF(E217&lt;=0,"",IFERROR(I217/E217-1,"")))</f>
        <v/>
      </c>
      <c r="J219" s="15">
        <f>IF(OR(J217="",F217=""),"",IF(F217&lt;=0,"",IFERROR(J217/F217-1,"")))</f>
        <v/>
      </c>
      <c r="K219" s="15">
        <f>IF(OR(K217="",G217=""),"",IF(G217&lt;=0,"",IFERROR(K217/G217-1,"")))</f>
        <v/>
      </c>
      <c r="L219" s="15">
        <f>IF(OR(L217="",H217=""),"",IF(H217&lt;=0,"",IFERROR(L217/H217-1,"")))</f>
        <v/>
      </c>
      <c r="M219" s="15">
        <f>IF(OR(M217="",I217=""),"",IF(I217&lt;=0,"",IFERROR(M217/I217-1,"")))</f>
        <v/>
      </c>
      <c r="N219" s="15">
        <f>IF(OR(N217="",J217=""),"",IF(J217&lt;=0,"",IFERROR(N217/J217-1,"")))</f>
        <v/>
      </c>
      <c r="V219" s="15">
        <f>IF(OR(V217="",U217=""),"",IF(U217&lt;=0,"",IFERROR(V217/U217-1,"")))</f>
        <v/>
      </c>
      <c r="W219" s="15">
        <f>IF(OR(W217="",V217=""),"",IF(V217&lt;=0,"",IFERROR(W217/V217-1,"")))</f>
        <v/>
      </c>
      <c r="X219" s="15">
        <f>IF(OR(X217="",W217=""),"",IF(W217&lt;=0,"",IFERROR(X217/W217-1,"")))</f>
        <v/>
      </c>
    </row>
    <row r="220">
      <c r="A220" s="18" t="inlineStr">
        <is>
          <t>기타 · 부문 이익(손실)</t>
        </is>
      </c>
      <c r="C220" s="20" t="n">
        <v>242</v>
      </c>
      <c r="D220" s="20" t="n">
        <v>1700</v>
      </c>
      <c r="E220" s="20" t="n">
        <v>2558</v>
      </c>
      <c r="F220" s="20" t="n">
        <v>274</v>
      </c>
      <c r="G220" s="20" t="n">
        <v>343</v>
      </c>
      <c r="H220" s="20" t="n">
        <v>113</v>
      </c>
      <c r="I220" s="20" t="n">
        <v>2192</v>
      </c>
      <c r="J220" s="20" t="n">
        <v>-212</v>
      </c>
      <c r="K220" s="20" t="n">
        <v>-364</v>
      </c>
      <c r="L220" s="20" t="n">
        <v>-979</v>
      </c>
      <c r="M220" s="20" t="n">
        <v>2956</v>
      </c>
      <c r="N220" s="20" t="n">
        <v>300</v>
      </c>
      <c r="V220" s="20" t="n">
        <v>2558</v>
      </c>
      <c r="W220" s="20" t="n">
        <v>2192</v>
      </c>
      <c r="X220" s="20" t="n">
        <v>2956</v>
      </c>
    </row>
    <row r="221">
      <c r="A221" s="43" t="inlineStr">
        <is>
          <t>OPM</t>
        </is>
      </c>
      <c r="B221" s="3" t="inlineStr">
        <is>
          <t>영업이익 ÷ 매출</t>
        </is>
      </c>
      <c r="C221" s="15">
        <f>IF(OR(C220="",C194=""),"",IF(C194&lt;=0,"",IFERROR(C220/C194,"")))</f>
        <v/>
      </c>
      <c r="D221" s="15">
        <f>IF(OR(D220="",D194=""),"",IF(D194&lt;=0,"",IFERROR(D220/D194,"")))</f>
        <v/>
      </c>
      <c r="E221" s="15">
        <f>IF(OR(E220="",E194=""),"",IF(E194&lt;=0,"",IFERROR(E220/E194,"")))</f>
        <v/>
      </c>
      <c r="F221" s="15">
        <f>IF(OR(F220="",F194=""),"",IF(F194&lt;=0,"",IFERROR(F220/F194,"")))</f>
        <v/>
      </c>
      <c r="G221" s="15">
        <f>IF(OR(G220="",G194=""),"",IF(G194&lt;=0,"",IFERROR(G220/G194,"")))</f>
        <v/>
      </c>
      <c r="H221" s="15">
        <f>IF(OR(H220="",H194=""),"",IF(H194&lt;=0,"",IFERROR(H220/H194,"")))</f>
        <v/>
      </c>
      <c r="I221" s="15">
        <f>IF(OR(I220="",I194=""),"",IF(I194&lt;=0,"",IFERROR(I220/I194,"")))</f>
        <v/>
      </c>
      <c r="J221" s="15">
        <f>IF(OR(J220="",J194=""),"",IF(J194&lt;=0,"",IFERROR(J220/J194,"")))</f>
        <v/>
      </c>
      <c r="K221" s="15">
        <f>IF(OR(K220="",K194=""),"",IF(K194&lt;=0,"",IFERROR(K220/K194,"")))</f>
        <v/>
      </c>
      <c r="L221" s="15">
        <f>IF(OR(L220="",L194=""),"",IF(L194&lt;=0,"",IFERROR(L220/L194,"")))</f>
        <v/>
      </c>
      <c r="M221" s="15">
        <f>IF(OR(M220="",M194=""),"",IF(M194&lt;=0,"",IFERROR(M220/M194,"")))</f>
        <v/>
      </c>
      <c r="N221" s="15">
        <f>IF(OR(N220="",N194=""),"",IF(N194&lt;=0,"",IFERROR(N220/N194,"")))</f>
        <v/>
      </c>
      <c r="V221" s="15">
        <f>IF(OR(V220="",V194=""),"",IF(V194&lt;=0,"",IFERROR(V220/V194,"")))</f>
        <v/>
      </c>
      <c r="W221" s="15">
        <f>IF(OR(W220="",W194=""),"",IF(W194&lt;=0,"",IFERROR(W220/W194,"")))</f>
        <v/>
      </c>
      <c r="X221" s="15">
        <f>IF(OR(X220="",X194=""),"",IF(X194&lt;=0,"",IFERROR(X220/X194,"")))</f>
        <v/>
      </c>
    </row>
    <row r="222">
      <c r="A222" s="43" t="inlineStr">
        <is>
          <t>YoY</t>
        </is>
      </c>
      <c r="B222" s="3" t="inlineStr">
        <is>
          <t>전년 같은 분기·전년 대비</t>
        </is>
      </c>
      <c r="G222" s="15">
        <f>IF(OR(G220="",C220=""),"",IF(C220&lt;=0,"",IFERROR(G220/C220-1,"")))</f>
        <v/>
      </c>
      <c r="H222" s="15">
        <f>IF(OR(H220="",D220=""),"",IF(D220&lt;=0,"",IFERROR(H220/D220-1,"")))</f>
        <v/>
      </c>
      <c r="I222" s="15">
        <f>IF(OR(I220="",E220=""),"",IF(E220&lt;=0,"",IFERROR(I220/E220-1,"")))</f>
        <v/>
      </c>
      <c r="J222" s="15">
        <f>IF(OR(J220="",F220=""),"",IF(F220&lt;=0,"",IFERROR(J220/F220-1,"")))</f>
        <v/>
      </c>
      <c r="K222" s="15">
        <f>IF(OR(K220="",G220=""),"",IF(G220&lt;=0,"",IFERROR(K220/G220-1,"")))</f>
        <v/>
      </c>
      <c r="L222" s="15">
        <f>IF(OR(L220="",H220=""),"",IF(H220&lt;=0,"",IFERROR(L220/H220-1,"")))</f>
        <v/>
      </c>
      <c r="M222" s="15">
        <f>IF(OR(M220="",I220=""),"",IF(I220&lt;=0,"",IFERROR(M220/I220-1,"")))</f>
        <v/>
      </c>
      <c r="N222" s="15">
        <f>IF(OR(N220="",J220=""),"",IF(J220&lt;=0,"",IFERROR(N220/J220-1,"")))</f>
        <v/>
      </c>
      <c r="V222" s="15">
        <f>IF(OR(V220="",U220=""),"",IF(U220&lt;=0,"",IFERROR(V220/U220-1,"")))</f>
        <v/>
      </c>
      <c r="W222" s="15">
        <f>IF(OR(W220="",V220=""),"",IF(V220&lt;=0,"",IFERROR(W220/V220-1,"")))</f>
        <v/>
      </c>
      <c r="X222" s="15">
        <f>IF(OR(X220="",W220=""),"",IF(W220&lt;=0,"",IFERROR(X220/W220-1,"")))</f>
        <v/>
      </c>
    </row>
    <row r="223">
      <c r="A223" s="18" t="inlineStr">
        <is>
          <t>합계 · 부문 이익(손실)</t>
        </is>
      </c>
      <c r="C223" s="20" t="n">
        <v>16661</v>
      </c>
      <c r="D223" s="20" t="n">
        <v>30002</v>
      </c>
      <c r="E223" s="20" t="n">
        <v>14789</v>
      </c>
      <c r="F223" s="20" t="n">
        <v>11693</v>
      </c>
      <c r="G223" s="20" t="n">
        <v>15058</v>
      </c>
      <c r="H223" s="20" t="n">
        <v>12762</v>
      </c>
      <c r="I223" s="20" t="n">
        <v>4955</v>
      </c>
      <c r="J223" s="20" t="n">
        <v>8484</v>
      </c>
      <c r="K223" s="20" t="n">
        <v>5786</v>
      </c>
      <c r="L223" s="20" t="n">
        <v>-91714</v>
      </c>
      <c r="M223" s="20" t="n">
        <v>-4173</v>
      </c>
      <c r="N223" s="20" t="n">
        <v>7634</v>
      </c>
      <c r="V223" s="20" t="n">
        <v>14789</v>
      </c>
      <c r="W223" s="20" t="n">
        <v>4955</v>
      </c>
      <c r="X223" s="20" t="n">
        <v>-4173</v>
      </c>
    </row>
    <row r="224">
      <c r="A224" s="43" t="inlineStr">
        <is>
          <t>OPM</t>
        </is>
      </c>
      <c r="B224" s="3" t="inlineStr">
        <is>
          <t>영업이익 ÷ 매출</t>
        </is>
      </c>
      <c r="C224" s="15">
        <f>IF(OR(C223="",C196=""),"",IF(C196&lt;=0,"",IFERROR(C223/C196,"")))</f>
        <v/>
      </c>
      <c r="D224" s="15">
        <f>IF(OR(D223="",D196=""),"",IF(D196&lt;=0,"",IFERROR(D223/D196,"")))</f>
        <v/>
      </c>
      <c r="E224" s="15">
        <f>IF(OR(E223="",E196=""),"",IF(E196&lt;=0,"",IFERROR(E223/E196,"")))</f>
        <v/>
      </c>
      <c r="F224" s="15">
        <f>IF(OR(F223="",F196=""),"",IF(F196&lt;=0,"",IFERROR(F223/F196,"")))</f>
        <v/>
      </c>
      <c r="G224" s="15">
        <f>IF(OR(G223="",G196=""),"",IF(G196&lt;=0,"",IFERROR(G223/G196,"")))</f>
        <v/>
      </c>
      <c r="H224" s="15">
        <f>IF(OR(H223="",H196=""),"",IF(H196&lt;=0,"",IFERROR(H223/H196,"")))</f>
        <v/>
      </c>
      <c r="I224" s="15">
        <f>IF(OR(I223="",I196=""),"",IF(I196&lt;=0,"",IFERROR(I223/I196,"")))</f>
        <v/>
      </c>
      <c r="J224" s="15">
        <f>IF(OR(J223="",J196=""),"",IF(J196&lt;=0,"",IFERROR(J223/J196,"")))</f>
        <v/>
      </c>
      <c r="K224" s="15">
        <f>IF(OR(K223="",K196=""),"",IF(K196&lt;=0,"",IFERROR(K223/K196,"")))</f>
        <v/>
      </c>
      <c r="L224" s="15">
        <f>IF(OR(L223="",L196=""),"",IF(L196&lt;=0,"",IFERROR(L223/L196,"")))</f>
        <v/>
      </c>
      <c r="M224" s="15">
        <f>IF(OR(M223="",M196=""),"",IF(M196&lt;=0,"",IFERROR(M223/M196,"")))</f>
        <v/>
      </c>
      <c r="N224" s="15">
        <f>IF(OR(N223="",N196=""),"",IF(N196&lt;=0,"",IFERROR(N223/N196,"")))</f>
        <v/>
      </c>
      <c r="V224" s="15">
        <f>IF(OR(V223="",V196=""),"",IF(V196&lt;=0,"",IFERROR(V223/V196,"")))</f>
        <v/>
      </c>
      <c r="W224" s="15">
        <f>IF(OR(W223="",W196=""),"",IF(W196&lt;=0,"",IFERROR(W223/W196,"")))</f>
        <v/>
      </c>
      <c r="X224" s="15">
        <f>IF(OR(X223="",X196=""),"",IF(X196&lt;=0,"",IFERROR(X223/X196,"")))</f>
        <v/>
      </c>
    </row>
    <row r="225">
      <c r="A225" s="43" t="inlineStr">
        <is>
          <t>YoY</t>
        </is>
      </c>
      <c r="B225" s="3" t="inlineStr">
        <is>
          <t>전년 같은 분기·전년 대비</t>
        </is>
      </c>
      <c r="G225" s="15">
        <f>IF(OR(G223="",C223=""),"",IF(C223&lt;=0,"",IFERROR(G223/C223-1,"")))</f>
        <v/>
      </c>
      <c r="H225" s="15">
        <f>IF(OR(H223="",D223=""),"",IF(D223&lt;=0,"",IFERROR(H223/D223-1,"")))</f>
        <v/>
      </c>
      <c r="I225" s="15">
        <f>IF(OR(I223="",E223=""),"",IF(E223&lt;=0,"",IFERROR(I223/E223-1,"")))</f>
        <v/>
      </c>
      <c r="J225" s="15">
        <f>IF(OR(J223="",F223=""),"",IF(F223&lt;=0,"",IFERROR(J223/F223-1,"")))</f>
        <v/>
      </c>
      <c r="K225" s="15">
        <f>IF(OR(K223="",G223=""),"",IF(G223&lt;=0,"",IFERROR(K223/G223-1,"")))</f>
        <v/>
      </c>
      <c r="L225" s="15">
        <f>IF(OR(L223="",H223=""),"",IF(H223&lt;=0,"",IFERROR(L223/H223-1,"")))</f>
        <v/>
      </c>
      <c r="M225" s="15">
        <f>IF(OR(M223="",I223=""),"",IF(I223&lt;=0,"",IFERROR(M223/I223-1,"")))</f>
        <v/>
      </c>
      <c r="N225" s="15">
        <f>IF(OR(N223="",J223=""),"",IF(J223&lt;=0,"",IFERROR(N223/J223-1,"")))</f>
        <v/>
      </c>
      <c r="V225" s="15">
        <f>IF(OR(V223="",U223=""),"",IF(U223&lt;=0,"",IFERROR(V223/U223-1,"")))</f>
        <v/>
      </c>
      <c r="W225" s="15">
        <f>IF(OR(W223="",V223=""),"",IF(V223&lt;=0,"",IFERROR(W223/V223-1,"")))</f>
        <v/>
      </c>
      <c r="X225" s="15">
        <f>IF(OR(X223="",W223=""),"",IF(W223&lt;=0,"",IFERROR(X223/W223-1,"")))</f>
        <v/>
      </c>
    </row>
    <row r="226">
      <c r="A226" s="18" t="inlineStr">
        <is>
          <t>조정액 · 부문 이익(손실)</t>
        </is>
      </c>
      <c r="C226" s="20" t="n">
        <v>-6321</v>
      </c>
      <c r="D226" s="20" t="n">
        <v>-9194</v>
      </c>
      <c r="E226" s="20" t="n">
        <v>-9451</v>
      </c>
      <c r="F226" s="20" t="n">
        <v>-8743</v>
      </c>
      <c r="G226" s="20" t="n">
        <v>-12191</v>
      </c>
      <c r="H226" s="20" t="n">
        <v>-10468</v>
      </c>
      <c r="I226" s="20" t="n">
        <v>-10645</v>
      </c>
      <c r="J226" s="20" t="n">
        <v>-9675</v>
      </c>
      <c r="K226" s="20" t="n">
        <v>-9424</v>
      </c>
      <c r="L226" s="20" t="n">
        <v>-7089</v>
      </c>
      <c r="M226" s="20" t="n">
        <v>-4643</v>
      </c>
      <c r="N226" s="20" t="n">
        <v>-8631</v>
      </c>
      <c r="V226" s="20" t="n">
        <v>-9451</v>
      </c>
      <c r="W226" s="20" t="n">
        <v>-10645</v>
      </c>
      <c r="X226" s="20" t="n">
        <v>-4643</v>
      </c>
    </row>
    <row r="227">
      <c r="A227" s="18" t="inlineStr">
        <is>
          <t>Operating Profit Loss</t>
        </is>
      </c>
      <c r="C227" s="20" t="n">
        <v>10339</v>
      </c>
      <c r="D227" s="20" t="n">
        <v>20809</v>
      </c>
      <c r="E227" s="20" t="n">
        <v>5338</v>
      </c>
      <c r="F227" s="20" t="n">
        <v>2950</v>
      </c>
      <c r="G227" s="20" t="n">
        <v>2867</v>
      </c>
      <c r="H227" s="20" t="n">
        <v>2293</v>
      </c>
      <c r="I227" s="20" t="n">
        <v>-5688</v>
      </c>
      <c r="V227" s="20" t="n">
        <v>5338</v>
      </c>
      <c r="W227" s="20" t="n">
        <v>-5688</v>
      </c>
    </row>
    <row r="228">
      <c r="A228" s="43" t="inlineStr">
        <is>
          <t>OPM</t>
        </is>
      </c>
      <c r="B228" s="3" t="inlineStr">
        <is>
          <t>영업이익 ÷ 매출</t>
        </is>
      </c>
      <c r="C228" s="15">
        <f>IF(OR(C227="",C168=""),"",IF(C168&lt;=0,"",IFERROR(C227/C168,"")))</f>
        <v/>
      </c>
      <c r="D228" s="15">
        <f>IF(OR(D227="",D168=""),"",IF(D168&lt;=0,"",IFERROR(D227/D168,"")))</f>
        <v/>
      </c>
      <c r="E228" s="15">
        <f>IF(OR(E227="",E168=""),"",IF(E168&lt;=0,"",IFERROR(E227/E168,"")))</f>
        <v/>
      </c>
      <c r="F228" s="15">
        <f>IF(OR(F227="",F168=""),"",IF(F168&lt;=0,"",IFERROR(F227/F168,"")))</f>
        <v/>
      </c>
      <c r="G228" s="15">
        <f>IF(OR(G227="",G168=""),"",IF(G168&lt;=0,"",IFERROR(G227/G168,"")))</f>
        <v/>
      </c>
      <c r="H228" s="15">
        <f>IF(OR(H227="",H168=""),"",IF(H168&lt;=0,"",IFERROR(H227/H168,"")))</f>
        <v/>
      </c>
      <c r="I228" s="15">
        <f>IF(OR(I227="",I168=""),"",IF(I168&lt;=0,"",IFERROR(I227/I168,"")))</f>
        <v/>
      </c>
      <c r="V228" s="15">
        <f>IF(OR(V227="",V168=""),"",IF(V168&lt;=0,"",IFERROR(V227/V168,"")))</f>
        <v/>
      </c>
      <c r="W228" s="15">
        <f>IF(OR(W227="",W168=""),"",IF(W168&lt;=0,"",IFERROR(W227/W168,"")))</f>
        <v/>
      </c>
    </row>
    <row r="229">
      <c r="A229" s="43" t="inlineStr">
        <is>
          <t>YoY</t>
        </is>
      </c>
      <c r="B229" s="3" t="inlineStr">
        <is>
          <t>전년 같은 분기·전년 대비</t>
        </is>
      </c>
      <c r="G229" s="15">
        <f>IF(OR(G227="",C227=""),"",IF(C227&lt;=0,"",IFERROR(G227/C227-1,"")))</f>
        <v/>
      </c>
      <c r="H229" s="15">
        <f>IF(OR(H227="",D227=""),"",IF(D227&lt;=0,"",IFERROR(H227/D227-1,"")))</f>
        <v/>
      </c>
      <c r="I229" s="15">
        <f>IF(OR(I227="",E227=""),"",IF(E227&lt;=0,"",IFERROR(I227/E227-1,"")))</f>
        <v/>
      </c>
      <c r="V229" s="15">
        <f>IF(OR(V227="",U227=""),"",IF(U227&lt;=0,"",IFERROR(V227/U227-1,"")))</f>
        <v/>
      </c>
      <c r="W229" s="15">
        <f>IF(OR(W227="",V227=""),"",IF(V227&lt;=0,"",IFERROR(W227/V227-1,"")))</f>
        <v/>
      </c>
    </row>
    <row r="230">
      <c r="A230" s="18" t="inlineStr">
        <is>
          <t>금융수익</t>
        </is>
      </c>
      <c r="C230" s="20" t="n">
        <v>1653</v>
      </c>
      <c r="D230" s="20" t="n">
        <v>185</v>
      </c>
      <c r="E230" s="20" t="n">
        <v>2370</v>
      </c>
      <c r="F230" s="20" t="n">
        <v>3658</v>
      </c>
      <c r="G230" s="20" t="n">
        <v>-682</v>
      </c>
      <c r="H230" s="20" t="n">
        <v>2777</v>
      </c>
      <c r="I230" s="20" t="n">
        <v>207</v>
      </c>
      <c r="V230" s="20" t="n">
        <v>2370</v>
      </c>
      <c r="W230" s="20" t="n">
        <v>207</v>
      </c>
    </row>
    <row r="231">
      <c r="A231" s="43" t="inlineStr">
        <is>
          <t>YoY</t>
        </is>
      </c>
      <c r="B231" s="3" t="inlineStr">
        <is>
          <t>전년 같은 분기·전년 대비</t>
        </is>
      </c>
      <c r="G231" s="15">
        <f>IF(OR(G230="",C230=""),"",IF(G230*C230&lt;=0,"",IFERROR(G230/C230-1,"")))</f>
        <v/>
      </c>
      <c r="H231" s="15">
        <f>IF(OR(H230="",D230=""),"",IF(H230*D230&lt;=0,"",IFERROR(H230/D230-1,"")))</f>
        <v/>
      </c>
      <c r="I231" s="15">
        <f>IF(OR(I230="",E230=""),"",IF(I230*E230&lt;=0,"",IFERROR(I230/E230-1,"")))</f>
        <v/>
      </c>
      <c r="V231" s="15">
        <f>IF(OR(V230="",U230=""),"",IF(V230*U230&lt;=0,"",IFERROR(V230/U230-1,"")))</f>
        <v/>
      </c>
      <c r="W231" s="15">
        <f>IF(OR(W230="",V230=""),"",IF(W230*V230&lt;=0,"",IFERROR(W230/V230-1,"")))</f>
        <v/>
      </c>
    </row>
    <row r="232">
      <c r="A232" s="18" t="inlineStr">
        <is>
          <t>금융비용</t>
        </is>
      </c>
      <c r="C232" s="20" t="n">
        <v>2005</v>
      </c>
      <c r="D232" s="20" t="n">
        <v>888</v>
      </c>
      <c r="E232" s="20" t="n">
        <v>1687</v>
      </c>
      <c r="F232" s="20" t="n">
        <v>2789</v>
      </c>
      <c r="G232" s="20" t="n">
        <v>2916</v>
      </c>
      <c r="H232" s="20" t="n">
        <v>-339</v>
      </c>
      <c r="I232" s="20" t="n">
        <v>1628</v>
      </c>
      <c r="V232" s="20" t="n">
        <v>1687</v>
      </c>
      <c r="W232" s="20" t="n">
        <v>1628</v>
      </c>
    </row>
    <row r="233">
      <c r="A233" s="43" t="inlineStr">
        <is>
          <t>YoY</t>
        </is>
      </c>
      <c r="B233" s="3" t="inlineStr">
        <is>
          <t>전년 같은 분기·전년 대비</t>
        </is>
      </c>
      <c r="G233" s="15">
        <f>IF(OR(G232="",C232=""),"",IF(G232*C232&lt;=0,"",IFERROR(G232/C232-1,"")))</f>
        <v/>
      </c>
      <c r="H233" s="15">
        <f>IF(OR(H232="",D232=""),"",IF(H232*D232&lt;=0,"",IFERROR(H232/D232-1,"")))</f>
        <v/>
      </c>
      <c r="I233" s="15">
        <f>IF(OR(I232="",E232=""),"",IF(I232*E232&lt;=0,"",IFERROR(I232/E232-1,"")))</f>
        <v/>
      </c>
      <c r="V233" s="15">
        <f>IF(OR(V232="",U232=""),"",IF(V232*U232&lt;=0,"",IFERROR(V232/U232-1,"")))</f>
        <v/>
      </c>
      <c r="W233" s="15">
        <f>IF(OR(W232="",V232=""),"",IF(W232*V232&lt;=0,"",IFERROR(W232/V232-1,"")))</f>
        <v/>
      </c>
    </row>
    <row r="234">
      <c r="A234" s="18" t="inlineStr">
        <is>
          <t>지분법이익</t>
        </is>
      </c>
      <c r="C234" s="20" t="n">
        <v>456</v>
      </c>
      <c r="D234" s="20" t="n">
        <v>840</v>
      </c>
      <c r="E234" s="20" t="n">
        <v>442</v>
      </c>
      <c r="F234" s="20" t="n">
        <v>826</v>
      </c>
      <c r="G234" s="20" t="n">
        <v>540</v>
      </c>
      <c r="H234" s="20" t="n">
        <v>984</v>
      </c>
      <c r="I234" s="20" t="n">
        <v>796</v>
      </c>
      <c r="V234" s="20" t="n">
        <v>442</v>
      </c>
      <c r="W234" s="20" t="n">
        <v>796</v>
      </c>
    </row>
    <row r="235">
      <c r="A235" s="9" t="inlineStr">
        <is>
          <t>Profit Loss Before Tax</t>
        </is>
      </c>
      <c r="C235" s="12" t="n">
        <v>10443</v>
      </c>
      <c r="D235" s="12" t="n">
        <v>20946</v>
      </c>
      <c r="E235" s="12" t="n">
        <v>6463</v>
      </c>
      <c r="F235" s="12" t="n">
        <v>4645</v>
      </c>
      <c r="G235" s="12" t="n">
        <v>-191</v>
      </c>
      <c r="H235" s="12" t="n">
        <v>6394</v>
      </c>
      <c r="I235" s="12" t="n">
        <v>-6315</v>
      </c>
      <c r="V235" s="12" t="n">
        <v>6463</v>
      </c>
      <c r="W235" s="12" t="n">
        <v>-6315</v>
      </c>
    </row>
    <row r="236">
      <c r="A236" s="18" t="inlineStr">
        <is>
          <t>ImagingProductsBusinessReportableSegmentMember · Impairment Losses PL</t>
        </is>
      </c>
      <c r="I236" s="20" t="n">
        <v>850</v>
      </c>
      <c r="M236" s="20" t="n">
        <v>37</v>
      </c>
      <c r="W236" s="20" t="n">
        <v>850</v>
      </c>
      <c r="X236" s="20" t="n">
        <v>37</v>
      </c>
    </row>
    <row r="237">
      <c r="A237" s="18" t="inlineStr">
        <is>
          <t>PrecisionEquipmentBusinessReportableSegmentMember · Impairment Losses PL</t>
        </is>
      </c>
      <c r="I237" s="20" t="n">
        <v>7886</v>
      </c>
      <c r="M237" s="20" t="n">
        <v>5778</v>
      </c>
      <c r="W237" s="20" t="n">
        <v>7886</v>
      </c>
      <c r="X237" s="20" t="n">
        <v>5778</v>
      </c>
    </row>
    <row r="238">
      <c r="A238" s="18" t="inlineStr">
        <is>
          <t>HealthcareBusinessReportableSegmentMember · Impairment Losses PL</t>
        </is>
      </c>
      <c r="I238" s="20" t="n">
        <v>0</v>
      </c>
      <c r="M238" s="20" t="n">
        <v>11</v>
      </c>
      <c r="W238" s="20" t="n">
        <v>0</v>
      </c>
      <c r="X238" s="20" t="n">
        <v>11</v>
      </c>
    </row>
    <row r="239">
      <c r="A239" s="18" t="inlineStr">
        <is>
          <t>ComponentsBusinessReportableSegmentMember · Impairment Losses PL</t>
        </is>
      </c>
      <c r="I239" s="20" t="n">
        <v>584</v>
      </c>
      <c r="M239" s="20" t="n">
        <v>1548</v>
      </c>
      <c r="W239" s="20" t="n">
        <v>584</v>
      </c>
      <c r="X239" s="20" t="n">
        <v>1548</v>
      </c>
    </row>
    <row r="240">
      <c r="A240" s="18" t="inlineStr">
        <is>
          <t>DigitalManufacturingReportableSegmentMember · Impairment Losses PL</t>
        </is>
      </c>
      <c r="I240" s="20" t="n">
        <v>0</v>
      </c>
      <c r="M240" s="20" t="n">
        <v>0</v>
      </c>
      <c r="W240" s="20" t="n">
        <v>0</v>
      </c>
      <c r="X240" s="20" t="n">
        <v>0</v>
      </c>
    </row>
    <row r="241">
      <c r="A241" s="18" t="inlineStr">
        <is>
          <t>기타 · Impairment Losses PL</t>
        </is>
      </c>
      <c r="I241" s="20" t="n">
        <v>0</v>
      </c>
      <c r="M241" s="20" t="n">
        <v>31</v>
      </c>
      <c r="W241" s="20" t="n">
        <v>0</v>
      </c>
      <c r="X241" s="20" t="n">
        <v>31</v>
      </c>
    </row>
    <row r="242">
      <c r="A242" s="18" t="inlineStr">
        <is>
          <t>합계 · Impairment Losses PL</t>
        </is>
      </c>
      <c r="I242" s="20" t="n">
        <v>9321</v>
      </c>
      <c r="M242" s="20" t="n">
        <v>7405</v>
      </c>
      <c r="W242" s="20" t="n">
        <v>9321</v>
      </c>
      <c r="X242" s="20" t="n">
        <v>7405</v>
      </c>
    </row>
    <row r="243">
      <c r="A243" s="18" t="inlineStr">
        <is>
          <t>조정액 · Impairment Losses PL</t>
        </is>
      </c>
      <c r="I243" s="20" t="n">
        <v>0</v>
      </c>
      <c r="M243" s="20" t="n">
        <v>1110</v>
      </c>
      <c r="W243" s="20" t="n">
        <v>0</v>
      </c>
      <c r="X243" s="20" t="n">
        <v>1110</v>
      </c>
    </row>
    <row r="244">
      <c r="A244" s="18" t="inlineStr">
        <is>
          <t>Impairment Losses PL</t>
        </is>
      </c>
      <c r="I244" s="20" t="n">
        <v>9320</v>
      </c>
      <c r="W244" s="20" t="n">
        <v>9320</v>
      </c>
    </row>
    <row r="245">
      <c r="A245" s="18" t="inlineStr">
        <is>
          <t>EntityTotalMember · 부문 이익(손실)</t>
        </is>
      </c>
      <c r="F245" s="20" t="n">
        <v>2950</v>
      </c>
      <c r="J245" s="20" t="n">
        <v>-1191</v>
      </c>
      <c r="N245" s="20" t="n">
        <v>-997</v>
      </c>
    </row>
    <row r="246">
      <c r="A246" s="18" t="inlineStr">
        <is>
          <t>EntityTotalMember · 금융수익</t>
        </is>
      </c>
      <c r="F246" s="20" t="n">
        <v>3658</v>
      </c>
      <c r="J246" s="20" t="n">
        <v>2424</v>
      </c>
      <c r="N246" s="20" t="n">
        <v>2765</v>
      </c>
    </row>
    <row r="247">
      <c r="A247" s="18" t="inlineStr">
        <is>
          <t>EntityTotalMember · 금융비용</t>
        </is>
      </c>
      <c r="F247" s="20" t="n">
        <v>2789</v>
      </c>
      <c r="J247" s="20" t="n">
        <v>1240</v>
      </c>
      <c r="N247" s="20" t="n">
        <v>1233</v>
      </c>
    </row>
    <row r="248">
      <c r="A248" s="18" t="inlineStr">
        <is>
          <t>EntityTotalMember · 지분법이익</t>
        </is>
      </c>
      <c r="F248" s="20" t="n">
        <v>826</v>
      </c>
      <c r="J248" s="20" t="n">
        <v>802</v>
      </c>
      <c r="N248" s="20" t="n">
        <v>965</v>
      </c>
    </row>
    <row r="249">
      <c r="A249" s="18" t="inlineStr">
        <is>
          <t>EntityTotalMember · 법인세비용차감전 중간이익</t>
        </is>
      </c>
      <c r="F249" s="20" t="n">
        <v>4645</v>
      </c>
      <c r="J249" s="20" t="n">
        <v>795</v>
      </c>
      <c r="N249" s="20" t="n">
        <v>1502</v>
      </c>
    </row>
    <row r="251">
      <c r="A251" s="16" t="inlineStr">
        <is>
          <t>현금흐름표 · 전 항목</t>
        </is>
      </c>
      <c r="B251" s="42" t="inlineStr">
        <is>
          <t>분기 = 결산기 첫날부터 누계(공시 그대로)</t>
        </is>
      </c>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c r="AB251" s="16" t="n"/>
      <c r="AC251" s="16" t="n"/>
    </row>
    <row r="252">
      <c r="A252" s="5" t="inlineStr">
        <is>
          <t>항목</t>
        </is>
      </c>
      <c r="B252" s="5" t="inlineStr">
        <is>
          <t>참고</t>
        </is>
      </c>
      <c r="C252" s="5" t="inlineStr">
        <is>
          <t>2024.2Q</t>
        </is>
      </c>
      <c r="D252" s="5" t="inlineStr">
        <is>
          <t>2024.3Q</t>
        </is>
      </c>
      <c r="E252" s="5" t="inlineStr">
        <is>
          <t>2024.4Q</t>
        </is>
      </c>
      <c r="F252" s="5" t="inlineStr">
        <is>
          <t>2025.1Q</t>
        </is>
      </c>
      <c r="G252" s="5" t="inlineStr">
        <is>
          <t>2025.2Q</t>
        </is>
      </c>
      <c r="H252" s="5" t="inlineStr">
        <is>
          <t>2025.3Q</t>
        </is>
      </c>
      <c r="I252" s="5" t="inlineStr">
        <is>
          <t>2025.4Q</t>
        </is>
      </c>
      <c r="J252" s="5" t="inlineStr">
        <is>
          <t>2026.1Q</t>
        </is>
      </c>
      <c r="K252" s="5" t="inlineStr">
        <is>
          <t>2026.2Q</t>
        </is>
      </c>
      <c r="L252" s="5" t="inlineStr">
        <is>
          <t>2026.3Q</t>
        </is>
      </c>
      <c r="M252" s="5" t="inlineStr">
        <is>
          <t>2026.4Q</t>
        </is>
      </c>
      <c r="N252" s="5" t="inlineStr">
        <is>
          <t>2027.1Q</t>
        </is>
      </c>
      <c r="O252" s="5" t="inlineStr">
        <is>
          <t>2017</t>
        </is>
      </c>
      <c r="P252" s="5" t="inlineStr">
        <is>
          <t>2018</t>
        </is>
      </c>
      <c r="Q252" s="5" t="inlineStr">
        <is>
          <t>2019</t>
        </is>
      </c>
      <c r="R252" s="5" t="inlineStr">
        <is>
          <t>2020</t>
        </is>
      </c>
      <c r="S252" s="5" t="inlineStr">
        <is>
          <t>2021</t>
        </is>
      </c>
      <c r="T252" s="5" t="inlineStr">
        <is>
          <t>2022</t>
        </is>
      </c>
      <c r="U252" s="5" t="inlineStr">
        <is>
          <t>2023</t>
        </is>
      </c>
      <c r="V252" s="5" t="inlineStr">
        <is>
          <t>2024</t>
        </is>
      </c>
      <c r="W252" s="5" t="inlineStr">
        <is>
          <t>2025</t>
        </is>
      </c>
      <c r="X252" s="5" t="inlineStr">
        <is>
          <t>2026</t>
        </is>
      </c>
      <c r="Y252" s="5" t="inlineStr">
        <is>
          <t>2027(MW)</t>
        </is>
      </c>
      <c r="Z252" s="5" t="inlineStr">
        <is>
          <t>2028(MW)</t>
        </is>
      </c>
      <c r="AA252" s="5" t="inlineStr">
        <is>
          <t>2029(MW)</t>
        </is>
      </c>
      <c r="AB252" s="5" t="inlineStr">
        <is>
          <t>2030(MW)</t>
        </is>
      </c>
      <c r="AC252" s="5" t="inlineStr">
        <is>
          <t>2031(MW)</t>
        </is>
      </c>
    </row>
    <row r="253">
      <c r="A253" s="9" t="inlineStr">
        <is>
          <t>법인세비용차감전 중간이익</t>
        </is>
      </c>
      <c r="E253" s="12" t="n">
        <v>42669</v>
      </c>
      <c r="F253" s="12" t="n">
        <v>4645</v>
      </c>
      <c r="G253" s="12" t="n">
        <v>4454</v>
      </c>
      <c r="H253" s="12" t="n">
        <v>10848</v>
      </c>
      <c r="I253" s="12" t="n">
        <v>4533</v>
      </c>
      <c r="J253" s="12" t="n">
        <v>795</v>
      </c>
      <c r="K253" s="12" t="n">
        <v>-5265</v>
      </c>
      <c r="L253" s="12" t="n">
        <v>-101856</v>
      </c>
      <c r="M253" s="12" t="n">
        <v>-106511</v>
      </c>
      <c r="N253" s="12" t="n">
        <v>1502</v>
      </c>
      <c r="P253" s="12" t="n">
        <v>56257</v>
      </c>
      <c r="Q253" s="12" t="n">
        <v>87915</v>
      </c>
      <c r="R253" s="12" t="n">
        <v>11864</v>
      </c>
      <c r="S253" s="12" t="n">
        <v>-45342</v>
      </c>
      <c r="T253" s="12" t="n">
        <v>57096</v>
      </c>
      <c r="U253" s="12" t="n">
        <v>57058</v>
      </c>
      <c r="V253" s="12" t="n">
        <v>42669</v>
      </c>
      <c r="W253" s="12" t="n">
        <v>4533</v>
      </c>
      <c r="X253" s="12" t="n">
        <v>-106511</v>
      </c>
    </row>
    <row r="254">
      <c r="A254" s="18" t="inlineStr">
        <is>
          <t>감가상각비 및 상각비</t>
        </is>
      </c>
      <c r="E254" s="20" t="n">
        <v>35666</v>
      </c>
      <c r="F254" s="20" t="n">
        <v>9871</v>
      </c>
      <c r="G254" s="20" t="n">
        <v>22599</v>
      </c>
      <c r="H254" s="20" t="n">
        <v>33192</v>
      </c>
      <c r="I254" s="20" t="n">
        <v>44189</v>
      </c>
      <c r="J254" s="20" t="n">
        <v>10313</v>
      </c>
      <c r="K254" s="20" t="n">
        <v>21222</v>
      </c>
      <c r="L254" s="20" t="n">
        <v>32446</v>
      </c>
      <c r="M254" s="20" t="n">
        <v>43087</v>
      </c>
      <c r="N254" s="20" t="n">
        <v>10520</v>
      </c>
      <c r="P254" s="20" t="n">
        <v>31706</v>
      </c>
      <c r="Q254" s="20" t="n">
        <v>27805</v>
      </c>
      <c r="R254" s="20" t="n">
        <v>34105</v>
      </c>
      <c r="S254" s="20" t="n">
        <v>28027</v>
      </c>
      <c r="T254" s="20" t="n">
        <v>24857</v>
      </c>
      <c r="U254" s="20" t="n">
        <v>29056</v>
      </c>
      <c r="V254" s="20" t="n">
        <v>35666</v>
      </c>
      <c r="W254" s="20" t="n">
        <v>44189</v>
      </c>
      <c r="X254" s="20" t="n">
        <v>43087</v>
      </c>
    </row>
    <row r="255">
      <c r="A255" s="18" t="inlineStr">
        <is>
          <t>손상차손</t>
        </is>
      </c>
      <c r="E255" s="20" t="n">
        <v>2716</v>
      </c>
      <c r="H255" s="20" t="n">
        <v>1496</v>
      </c>
      <c r="I255" s="20" t="n">
        <v>10816</v>
      </c>
      <c r="L255" s="20" t="n">
        <v>90627</v>
      </c>
      <c r="M255" s="20" t="n">
        <v>99141</v>
      </c>
      <c r="P255" s="20" t="n">
        <v>1397</v>
      </c>
      <c r="Q255" s="20" t="n">
        <v>1023</v>
      </c>
      <c r="R255" s="20" t="n">
        <v>11275</v>
      </c>
      <c r="S255" s="20" t="n">
        <v>26054</v>
      </c>
      <c r="T255" s="20" t="n">
        <v>449</v>
      </c>
      <c r="U255" s="20" t="n">
        <v>4389</v>
      </c>
      <c r="V255" s="20" t="n">
        <v>2716</v>
      </c>
      <c r="W255" s="20" t="n">
        <v>10816</v>
      </c>
      <c r="X255" s="20" t="n">
        <v>99141</v>
      </c>
    </row>
    <row r="256">
      <c r="A256" s="18" t="inlineStr">
        <is>
          <t>이자·배당금 수익</t>
        </is>
      </c>
      <c r="E256" s="20" t="n">
        <v>-5610</v>
      </c>
      <c r="F256" s="20" t="n">
        <v>-1948</v>
      </c>
      <c r="G256" s="20" t="n">
        <v>-2869</v>
      </c>
      <c r="H256" s="20" t="n">
        <v>-4512</v>
      </c>
      <c r="I256" s="20" t="n">
        <v>-5471</v>
      </c>
      <c r="J256" s="20" t="n">
        <v>-1805</v>
      </c>
      <c r="K256" s="20" t="n">
        <v>-2785</v>
      </c>
      <c r="L256" s="20" t="n">
        <v>-4581</v>
      </c>
      <c r="M256" s="20" t="n">
        <v>-5632</v>
      </c>
      <c r="N256" s="20" t="n">
        <v>-1929</v>
      </c>
      <c r="P256" s="20" t="n">
        <v>-4395</v>
      </c>
      <c r="Q256" s="20" t="n">
        <v>-5086</v>
      </c>
      <c r="R256" s="20" t="n">
        <v>-3911</v>
      </c>
      <c r="S256" s="20" t="n">
        <v>-2727</v>
      </c>
      <c r="T256" s="20" t="n">
        <v>-2163</v>
      </c>
      <c r="U256" s="20" t="n">
        <v>-4179</v>
      </c>
      <c r="V256" s="20" t="n">
        <v>-5610</v>
      </c>
      <c r="W256" s="20" t="n">
        <v>-5471</v>
      </c>
      <c r="X256" s="20" t="n">
        <v>-5632</v>
      </c>
    </row>
    <row r="257">
      <c r="A257" s="18" t="inlineStr">
        <is>
          <t>지분법손익</t>
        </is>
      </c>
      <c r="E257" s="20" t="n">
        <v>-2467</v>
      </c>
      <c r="F257" s="20" t="n">
        <v>-826</v>
      </c>
      <c r="G257" s="20" t="n">
        <v>-1366</v>
      </c>
      <c r="H257" s="20" t="n">
        <v>-2350</v>
      </c>
      <c r="I257" s="20" t="n">
        <v>-3146</v>
      </c>
      <c r="J257" s="20" t="n">
        <v>-802</v>
      </c>
      <c r="K257" s="20" t="n">
        <v>-1954</v>
      </c>
      <c r="L257" s="20" t="n">
        <v>-2601</v>
      </c>
      <c r="M257" s="20" t="n">
        <v>-4251</v>
      </c>
      <c r="N257" s="20" t="n">
        <v>-965</v>
      </c>
      <c r="P257" s="20" t="n">
        <v>219</v>
      </c>
      <c r="Q257" s="20" t="n">
        <v>-1762</v>
      </c>
      <c r="R257" s="20" t="n">
        <v>-1816</v>
      </c>
      <c r="S257" s="20" t="n">
        <v>-1969</v>
      </c>
      <c r="T257" s="20" t="n">
        <v>-1213</v>
      </c>
      <c r="U257" s="20" t="n">
        <v>-2543</v>
      </c>
      <c r="V257" s="20" t="n">
        <v>-2467</v>
      </c>
      <c r="W257" s="20" t="n">
        <v>-3146</v>
      </c>
      <c r="X257" s="20" t="n">
        <v>-4251</v>
      </c>
    </row>
    <row r="258">
      <c r="A258" s="18" t="inlineStr">
        <is>
          <t>고정자산 매각손익</t>
        </is>
      </c>
      <c r="E258" s="20" t="n">
        <v>217</v>
      </c>
      <c r="F258" s="20" t="n">
        <v>10</v>
      </c>
      <c r="G258" s="20" t="n">
        <v>-11</v>
      </c>
      <c r="H258" s="20" t="n">
        <v>-30</v>
      </c>
      <c r="I258" s="20" t="n">
        <v>-34</v>
      </c>
      <c r="J258" s="20" t="n">
        <v>-11</v>
      </c>
      <c r="K258" s="20" t="n">
        <v>-20</v>
      </c>
      <c r="L258" s="20" t="n">
        <v>-117</v>
      </c>
      <c r="M258" s="20" t="n">
        <v>-4820</v>
      </c>
      <c r="N258" s="20" t="n">
        <v>-34</v>
      </c>
      <c r="P258" s="20" t="n">
        <v>-120</v>
      </c>
      <c r="Q258" s="20" t="n">
        <v>-109</v>
      </c>
      <c r="R258" s="20" t="n">
        <v>-4123</v>
      </c>
      <c r="S258" s="20" t="n">
        <v>-141</v>
      </c>
      <c r="T258" s="20" t="n">
        <v>-3537</v>
      </c>
      <c r="U258" s="20" t="n">
        <v>-268</v>
      </c>
      <c r="V258" s="20" t="n">
        <v>217</v>
      </c>
      <c r="W258" s="20" t="n">
        <v>-34</v>
      </c>
      <c r="X258" s="20" t="n">
        <v>-4820</v>
      </c>
    </row>
    <row r="259">
      <c r="A259" s="18" t="inlineStr">
        <is>
          <t>이자비용</t>
        </is>
      </c>
      <c r="E259" s="20" t="n">
        <v>3195</v>
      </c>
      <c r="F259" s="20" t="n">
        <v>930</v>
      </c>
      <c r="G259" s="20" t="n">
        <v>1587</v>
      </c>
      <c r="H259" s="20" t="n">
        <v>2105</v>
      </c>
      <c r="I259" s="20" t="n">
        <v>2681</v>
      </c>
      <c r="J259" s="20" t="n">
        <v>709</v>
      </c>
      <c r="K259" s="20" t="n">
        <v>1627</v>
      </c>
      <c r="L259" s="20" t="n">
        <v>2524</v>
      </c>
      <c r="M259" s="20" t="n">
        <v>3541</v>
      </c>
      <c r="N259" s="20" t="n">
        <v>878</v>
      </c>
      <c r="P259" s="20" t="n">
        <v>1440</v>
      </c>
      <c r="Q259" s="20" t="n">
        <v>1515</v>
      </c>
      <c r="R259" s="20" t="n">
        <v>1721</v>
      </c>
      <c r="S259" s="20" t="n">
        <v>1246</v>
      </c>
      <c r="T259" s="20" t="n">
        <v>1054</v>
      </c>
      <c r="U259" s="20" t="n">
        <v>1982</v>
      </c>
      <c r="V259" s="20" t="n">
        <v>3195</v>
      </c>
      <c r="W259" s="20" t="n">
        <v>2681</v>
      </c>
      <c r="X259" s="20" t="n">
        <v>3541</v>
      </c>
    </row>
    <row r="260">
      <c r="A260" s="18" t="inlineStr">
        <is>
          <t>매출채권 및 기타채권 증감액</t>
        </is>
      </c>
      <c r="E260" s="20" t="n">
        <v>-17274</v>
      </c>
      <c r="F260" s="20" t="n">
        <v>22802</v>
      </c>
      <c r="G260" s="20" t="n">
        <v>23714</v>
      </c>
      <c r="H260" s="20" t="n">
        <v>20845</v>
      </c>
      <c r="I260" s="20" t="n">
        <v>15298</v>
      </c>
      <c r="J260" s="20" t="n">
        <v>9729</v>
      </c>
      <c r="K260" s="20" t="n">
        <v>16810</v>
      </c>
      <c r="L260" s="20" t="n">
        <v>16058</v>
      </c>
      <c r="M260" s="20" t="n">
        <v>4301</v>
      </c>
      <c r="N260" s="20" t="n">
        <v>7011</v>
      </c>
      <c r="P260" s="20" t="n">
        <v>-6999</v>
      </c>
      <c r="Q260" s="20" t="n">
        <v>-12077</v>
      </c>
      <c r="R260" s="20" t="n">
        <v>25788</v>
      </c>
      <c r="S260" s="20" t="n">
        <v>17271</v>
      </c>
      <c r="T260" s="20" t="n">
        <v>-13321</v>
      </c>
      <c r="U260" s="20" t="n">
        <v>-15501</v>
      </c>
      <c r="V260" s="20" t="n">
        <v>-17274</v>
      </c>
      <c r="W260" s="20" t="n">
        <v>15298</v>
      </c>
      <c r="X260" s="20" t="n">
        <v>4301</v>
      </c>
    </row>
    <row r="261">
      <c r="A261" s="18" t="inlineStr">
        <is>
          <t>재고자산 증감</t>
        </is>
      </c>
      <c r="E261" s="20" t="n">
        <v>4910</v>
      </c>
      <c r="F261" s="20" t="n">
        <v>-15648</v>
      </c>
      <c r="G261" s="20" t="n">
        <v>-28275</v>
      </c>
      <c r="H261" s="20" t="n">
        <v>-37400</v>
      </c>
      <c r="I261" s="20" t="n">
        <v>-20042</v>
      </c>
      <c r="J261" s="20" t="n">
        <v>-13338</v>
      </c>
      <c r="K261" s="20" t="n">
        <v>-26253</v>
      </c>
      <c r="L261" s="20" t="n">
        <v>-30487</v>
      </c>
      <c r="M261" s="20" t="n">
        <v>-12788</v>
      </c>
      <c r="N261" s="20" t="n">
        <v>-3847</v>
      </c>
      <c r="P261" s="20" t="n">
        <v>-14476</v>
      </c>
      <c r="Q261" s="20" t="n">
        <v>-18185</v>
      </c>
      <c r="R261" s="20" t="n">
        <v>1034</v>
      </c>
      <c r="S261" s="20" t="n">
        <v>13122</v>
      </c>
      <c r="T261" s="20" t="n">
        <v>2181</v>
      </c>
      <c r="U261" s="20" t="n">
        <v>-28844</v>
      </c>
      <c r="V261" s="20" t="n">
        <v>4910</v>
      </c>
      <c r="W261" s="20" t="n">
        <v>-20042</v>
      </c>
      <c r="X261" s="20" t="n">
        <v>-12788</v>
      </c>
    </row>
    <row r="262">
      <c r="A262" s="18" t="inlineStr">
        <is>
          <t>매입채무 및 기타채무 증감액</t>
        </is>
      </c>
      <c r="E262" s="20" t="n">
        <v>5990</v>
      </c>
      <c r="F262" s="20" t="n">
        <v>-504</v>
      </c>
      <c r="G262" s="20" t="n">
        <v>-1095</v>
      </c>
      <c r="H262" s="20" t="n">
        <v>-2572</v>
      </c>
      <c r="I262" s="20" t="n">
        <v>-1652</v>
      </c>
      <c r="J262" s="20" t="n">
        <v>-519</v>
      </c>
      <c r="K262" s="20" t="n">
        <v>-3456</v>
      </c>
      <c r="L262" s="20" t="n">
        <v>-6483</v>
      </c>
      <c r="M262" s="20" t="n">
        <v>-10794</v>
      </c>
      <c r="N262" s="20" t="n">
        <v>7332</v>
      </c>
      <c r="P262" s="20" t="n">
        <v>6132</v>
      </c>
      <c r="Q262" s="20" t="n">
        <v>-18739</v>
      </c>
      <c r="R262" s="20" t="n">
        <v>-24533</v>
      </c>
      <c r="S262" s="20" t="n">
        <v>-9615</v>
      </c>
      <c r="T262" s="20" t="n">
        <v>3067</v>
      </c>
      <c r="U262" s="20" t="n">
        <v>895</v>
      </c>
      <c r="V262" s="20" t="n">
        <v>5990</v>
      </c>
      <c r="W262" s="20" t="n">
        <v>-1652</v>
      </c>
      <c r="X262" s="20" t="n">
        <v>-10794</v>
      </c>
    </row>
    <row r="263">
      <c r="A263" s="18" t="inlineStr">
        <is>
          <t>선수금 증감</t>
        </is>
      </c>
      <c r="E263" s="20" t="n">
        <v>-33292</v>
      </c>
      <c r="F263" s="20" t="n">
        <v>13304</v>
      </c>
      <c r="G263" s="20" t="n">
        <v>21676</v>
      </c>
      <c r="H263" s="20" t="n">
        <v>20340</v>
      </c>
      <c r="I263" s="20" t="n">
        <v>-3493</v>
      </c>
      <c r="J263" s="20" t="n">
        <v>13091</v>
      </c>
      <c r="K263" s="20" t="n">
        <v>6224</v>
      </c>
      <c r="L263" s="20" t="n">
        <v>4406</v>
      </c>
      <c r="M263" s="20" t="n">
        <v>-2716</v>
      </c>
      <c r="N263" s="20" t="n">
        <v>10803</v>
      </c>
      <c r="P263" s="20" t="n">
        <v>65970</v>
      </c>
      <c r="Q263" s="20" t="n">
        <v>15149</v>
      </c>
      <c r="R263" s="20" t="n">
        <v>-15561</v>
      </c>
      <c r="S263" s="20" t="n">
        <v>-13802</v>
      </c>
      <c r="T263" s="20" t="n">
        <v>-27697</v>
      </c>
      <c r="U263" s="20" t="n">
        <v>-44849</v>
      </c>
      <c r="V263" s="20" t="n">
        <v>-33292</v>
      </c>
      <c r="W263" s="20" t="n">
        <v>-3493</v>
      </c>
      <c r="X263" s="20" t="n">
        <v>-2716</v>
      </c>
    </row>
    <row r="264">
      <c r="A264" s="18" t="inlineStr">
        <is>
          <t>충당금 증감</t>
        </is>
      </c>
      <c r="E264" s="20" t="n">
        <v>3160</v>
      </c>
      <c r="F264" s="20" t="n">
        <v>-2816</v>
      </c>
      <c r="G264" s="20" t="n">
        <v>-3257</v>
      </c>
      <c r="H264" s="20" t="n">
        <v>-3098</v>
      </c>
      <c r="I264" s="20" t="n">
        <v>-2421</v>
      </c>
      <c r="J264" s="20" t="n">
        <v>-878</v>
      </c>
      <c r="K264" s="20" t="n">
        <v>-1670</v>
      </c>
      <c r="L264" s="20" t="n">
        <v>285</v>
      </c>
      <c r="M264" s="20" t="n">
        <v>1984</v>
      </c>
      <c r="N264" s="20" t="n">
        <v>-1647</v>
      </c>
      <c r="P264" s="20" t="n">
        <v>-919</v>
      </c>
      <c r="Q264" s="20" t="n">
        <v>-1173</v>
      </c>
      <c r="R264" s="20" t="n">
        <v>-224</v>
      </c>
      <c r="S264" s="20" t="n">
        <v>25</v>
      </c>
      <c r="T264" s="20" t="n">
        <v>-699</v>
      </c>
      <c r="U264" s="20" t="n">
        <v>-564</v>
      </c>
      <c r="V264" s="20" t="n">
        <v>3160</v>
      </c>
      <c r="W264" s="20" t="n">
        <v>-2421</v>
      </c>
      <c r="X264" s="20" t="n">
        <v>1984</v>
      </c>
    </row>
    <row r="265">
      <c r="A265" s="18" t="inlineStr">
        <is>
          <t>기타</t>
        </is>
      </c>
      <c r="P265" s="20" t="n">
        <v>13385</v>
      </c>
      <c r="Q265" s="20" t="n">
        <v>7375</v>
      </c>
    </row>
    <row r="266">
      <c r="A266" s="18" t="inlineStr">
        <is>
          <t>기타</t>
        </is>
      </c>
      <c r="E266" s="20" t="n">
        <v>2351</v>
      </c>
      <c r="F266" s="20" t="n">
        <v>-11574</v>
      </c>
      <c r="G266" s="20" t="n">
        <v>3484</v>
      </c>
      <c r="H266" s="20" t="n">
        <v>5344</v>
      </c>
      <c r="I266" s="20" t="n">
        <v>9430</v>
      </c>
      <c r="J266" s="20" t="n">
        <v>-10162</v>
      </c>
      <c r="K266" s="20" t="n">
        <v>-5528</v>
      </c>
      <c r="L266" s="20" t="n">
        <v>-8033</v>
      </c>
      <c r="M266" s="20" t="n">
        <v>-1552</v>
      </c>
      <c r="N266" s="20" t="n">
        <v>-7668</v>
      </c>
      <c r="Q266" s="20" t="n">
        <v>7375</v>
      </c>
      <c r="R266" s="20" t="n">
        <v>-7949</v>
      </c>
      <c r="S266" s="20" t="n">
        <v>-3718</v>
      </c>
      <c r="T266" s="20" t="n">
        <v>-6234</v>
      </c>
      <c r="U266" s="20" t="n">
        <v>10663</v>
      </c>
      <c r="V266" s="20" t="n">
        <v>2351</v>
      </c>
      <c r="W266" s="20" t="n">
        <v>9430</v>
      </c>
      <c r="X266" s="20" t="n">
        <v>-1552</v>
      </c>
    </row>
    <row r="267">
      <c r="A267" s="18" t="inlineStr">
        <is>
          <t>소계</t>
        </is>
      </c>
      <c r="E267" s="20" t="n">
        <v>42231</v>
      </c>
      <c r="F267" s="20" t="n">
        <v>18246</v>
      </c>
      <c r="G267" s="20" t="n">
        <v>40642</v>
      </c>
      <c r="H267" s="20" t="n">
        <v>44209</v>
      </c>
      <c r="I267" s="20" t="n">
        <v>50689</v>
      </c>
      <c r="J267" s="20" t="n">
        <v>7122</v>
      </c>
      <c r="K267" s="20" t="n">
        <v>-1049</v>
      </c>
      <c r="L267" s="20" t="n">
        <v>-7813</v>
      </c>
      <c r="M267" s="20" t="n">
        <v>2990</v>
      </c>
      <c r="N267" s="20" t="n">
        <v>21956</v>
      </c>
      <c r="P267" s="20" t="n">
        <v>149598</v>
      </c>
      <c r="Q267" s="20" t="n">
        <v>83651</v>
      </c>
      <c r="R267" s="20" t="n">
        <v>27668</v>
      </c>
      <c r="S267" s="20" t="n">
        <v>8431</v>
      </c>
      <c r="T267" s="20" t="n">
        <v>33840</v>
      </c>
      <c r="U267" s="20" t="n">
        <v>7295</v>
      </c>
      <c r="V267" s="20" t="n">
        <v>42231</v>
      </c>
      <c r="W267" s="20" t="n">
        <v>50689</v>
      </c>
      <c r="X267" s="20" t="n">
        <v>2990</v>
      </c>
    </row>
    <row r="268">
      <c r="A268" s="18" t="inlineStr">
        <is>
          <t>이자·배당금 수취</t>
        </is>
      </c>
      <c r="E268" s="20" t="n">
        <v>8836</v>
      </c>
      <c r="F268" s="20" t="n">
        <v>1943</v>
      </c>
      <c r="G268" s="20" t="n">
        <v>3167</v>
      </c>
      <c r="H268" s="20" t="n">
        <v>4789</v>
      </c>
      <c r="I268" s="20" t="n">
        <v>8395</v>
      </c>
      <c r="J268" s="20" t="n">
        <v>1761</v>
      </c>
      <c r="K268" s="20" t="n">
        <v>2903</v>
      </c>
      <c r="L268" s="20" t="n">
        <v>4683</v>
      </c>
      <c r="M268" s="20" t="n">
        <v>7917</v>
      </c>
      <c r="N268" s="20" t="n">
        <v>1934</v>
      </c>
      <c r="P268" s="20" t="n">
        <v>6110</v>
      </c>
      <c r="Q268" s="20" t="n">
        <v>6321</v>
      </c>
      <c r="R268" s="20" t="n">
        <v>5498</v>
      </c>
      <c r="S268" s="20" t="n">
        <v>3606</v>
      </c>
      <c r="T268" s="20" t="n">
        <v>3920</v>
      </c>
      <c r="U268" s="20" t="n">
        <v>6960</v>
      </c>
      <c r="V268" s="20" t="n">
        <v>8836</v>
      </c>
      <c r="W268" s="20" t="n">
        <v>8395</v>
      </c>
      <c r="X268" s="20" t="n">
        <v>7917</v>
      </c>
    </row>
    <row r="269">
      <c r="A269" s="18" t="inlineStr">
        <is>
          <t>이자 지급</t>
        </is>
      </c>
      <c r="E269" s="20" t="n">
        <v>-3022</v>
      </c>
      <c r="F269" s="20" t="n">
        <v>-297</v>
      </c>
      <c r="G269" s="20" t="n">
        <v>-1801</v>
      </c>
      <c r="H269" s="20" t="n">
        <v>-2192</v>
      </c>
      <c r="I269" s="20" t="n">
        <v>-2631</v>
      </c>
      <c r="J269" s="20" t="n">
        <v>-745</v>
      </c>
      <c r="K269" s="20" t="n">
        <v>-1525</v>
      </c>
      <c r="L269" s="20" t="n">
        <v>-2457</v>
      </c>
      <c r="M269" s="20" t="n">
        <v>-3354</v>
      </c>
      <c r="N269" s="20" t="n">
        <v>-954</v>
      </c>
      <c r="P269" s="20" t="n">
        <v>-1400</v>
      </c>
      <c r="Q269" s="20" t="n">
        <v>-1409</v>
      </c>
      <c r="R269" s="20" t="n">
        <v>-1693</v>
      </c>
      <c r="S269" s="20" t="n">
        <v>-1250</v>
      </c>
      <c r="T269" s="20" t="n">
        <v>-1123</v>
      </c>
      <c r="U269" s="20" t="n">
        <v>-1769</v>
      </c>
      <c r="V269" s="20" t="n">
        <v>-3022</v>
      </c>
      <c r="W269" s="20" t="n">
        <v>-2631</v>
      </c>
      <c r="X269" s="20" t="n">
        <v>-3354</v>
      </c>
    </row>
    <row r="270">
      <c r="A270" s="18" t="inlineStr">
        <is>
          <t>Additional Retirement Benefits Paid Ope CF</t>
        </is>
      </c>
      <c r="P270" s="20" t="n">
        <v>-19968</v>
      </c>
      <c r="Q270" s="20" t="n">
        <v>0</v>
      </c>
    </row>
    <row r="271">
      <c r="A271" s="18" t="inlineStr">
        <is>
          <t>Income Taxes Refund Paid Ope CF</t>
        </is>
      </c>
      <c r="E271" s="20" t="n">
        <v>-17278</v>
      </c>
      <c r="F271" s="20" t="n">
        <v>-2336</v>
      </c>
      <c r="G271" s="20" t="n">
        <v>-3534</v>
      </c>
      <c r="H271" s="20" t="n">
        <v>-7147</v>
      </c>
      <c r="I271" s="20" t="n">
        <v>-8195</v>
      </c>
      <c r="J271" s="20" t="n">
        <v>-3737</v>
      </c>
      <c r="K271" s="20" t="n">
        <v>-5745</v>
      </c>
      <c r="L271" s="20" t="n">
        <v>-9183</v>
      </c>
      <c r="M271" s="20" t="n">
        <v>-11991</v>
      </c>
      <c r="N271" s="20" t="n">
        <v>-2410</v>
      </c>
      <c r="P271" s="20" t="n">
        <v>-9258</v>
      </c>
      <c r="Q271" s="20" t="n">
        <v>-19662</v>
      </c>
      <c r="R271" s="20" t="n">
        <v>-15054</v>
      </c>
      <c r="S271" s="20" t="n">
        <v>-5821</v>
      </c>
      <c r="T271" s="20" t="n">
        <v>-5285</v>
      </c>
      <c r="U271" s="20" t="n">
        <v>-12471</v>
      </c>
      <c r="V271" s="20" t="n">
        <v>-17278</v>
      </c>
      <c r="W271" s="20" t="n">
        <v>-8195</v>
      </c>
      <c r="X271" s="20" t="n">
        <v>-11991</v>
      </c>
    </row>
    <row r="272">
      <c r="A272" s="9" t="inlineStr">
        <is>
          <t>영업활동 현금흐름</t>
        </is>
      </c>
      <c r="E272" s="12" t="n">
        <v>30767</v>
      </c>
      <c r="F272" s="12" t="n">
        <v>17556</v>
      </c>
      <c r="G272" s="12" t="n">
        <v>38473</v>
      </c>
      <c r="H272" s="12" t="n">
        <v>39660</v>
      </c>
      <c r="I272" s="12" t="n">
        <v>48258</v>
      </c>
      <c r="J272" s="12" t="n">
        <v>4401</v>
      </c>
      <c r="K272" s="12" t="n">
        <v>-5416</v>
      </c>
      <c r="L272" s="12" t="n">
        <v>-14770</v>
      </c>
      <c r="M272" s="12" t="n">
        <v>-4439</v>
      </c>
      <c r="N272" s="12" t="n">
        <v>20526</v>
      </c>
      <c r="P272" s="12" t="n">
        <v>125082</v>
      </c>
      <c r="Q272" s="12" t="n">
        <v>68901</v>
      </c>
      <c r="R272" s="12" t="n">
        <v>16419</v>
      </c>
      <c r="S272" s="12" t="n">
        <v>4966</v>
      </c>
      <c r="T272" s="12" t="n">
        <v>31351</v>
      </c>
      <c r="U272" s="12" t="n">
        <v>15</v>
      </c>
      <c r="V272" s="12" t="n">
        <v>30767</v>
      </c>
      <c r="W272" s="12" t="n">
        <v>48258</v>
      </c>
      <c r="X272" s="12" t="n">
        <v>-4439</v>
      </c>
    </row>
    <row r="273">
      <c r="A273" s="18" t="inlineStr">
        <is>
          <t>유형자산 취득(설비투자)</t>
        </is>
      </c>
      <c r="E273" s="20" t="n">
        <v>-39214</v>
      </c>
      <c r="F273" s="20" t="n">
        <v>-7519</v>
      </c>
      <c r="G273" s="20" t="n">
        <v>-26417</v>
      </c>
      <c r="H273" s="20" t="n">
        <v>-37549</v>
      </c>
      <c r="I273" s="20" t="n">
        <v>-52163</v>
      </c>
      <c r="J273" s="20" t="n">
        <v>-10207</v>
      </c>
      <c r="K273" s="20" t="n">
        <v>-18662</v>
      </c>
      <c r="L273" s="20" t="n">
        <v>-24611</v>
      </c>
      <c r="M273" s="20" t="n">
        <v>-36537</v>
      </c>
      <c r="N273" s="20" t="n">
        <v>-9721</v>
      </c>
      <c r="P273" s="20" t="n">
        <v>-28062</v>
      </c>
      <c r="Q273" s="20" t="n">
        <v>-20827</v>
      </c>
      <c r="R273" s="20" t="n">
        <v>-19463</v>
      </c>
      <c r="S273" s="20" t="n">
        <v>-16965</v>
      </c>
      <c r="T273" s="20" t="n">
        <v>-17981</v>
      </c>
      <c r="U273" s="20" t="n">
        <v>-23139</v>
      </c>
      <c r="V273" s="20" t="n">
        <v>-39214</v>
      </c>
      <c r="W273" s="20" t="n">
        <v>-52163</v>
      </c>
      <c r="X273" s="20" t="n">
        <v>-36537</v>
      </c>
    </row>
    <row r="274">
      <c r="A274" s="18" t="inlineStr">
        <is>
          <t>유형자산 매각</t>
        </is>
      </c>
      <c r="E274" s="20" t="n">
        <v>763</v>
      </c>
      <c r="F274" s="20" t="n">
        <v>95</v>
      </c>
      <c r="G274" s="20" t="n">
        <v>321</v>
      </c>
      <c r="H274" s="20" t="n">
        <v>441</v>
      </c>
      <c r="I274" s="20" t="n">
        <v>405</v>
      </c>
      <c r="J274" s="20" t="n">
        <v>83</v>
      </c>
      <c r="K274" s="20" t="n">
        <v>139</v>
      </c>
      <c r="L274" s="20" t="n">
        <v>306</v>
      </c>
      <c r="M274" s="20" t="n">
        <v>5329</v>
      </c>
      <c r="N274" s="20" t="n">
        <v>88</v>
      </c>
      <c r="P274" s="20" t="n">
        <v>921</v>
      </c>
      <c r="Q274" s="20" t="n">
        <v>2807</v>
      </c>
      <c r="R274" s="20" t="n">
        <v>4505</v>
      </c>
      <c r="S274" s="20" t="n">
        <v>681</v>
      </c>
      <c r="T274" s="20" t="n">
        <v>5484</v>
      </c>
      <c r="U274" s="20" t="n">
        <v>381</v>
      </c>
      <c r="V274" s="20" t="n">
        <v>763</v>
      </c>
      <c r="W274" s="20" t="n">
        <v>405</v>
      </c>
      <c r="X274" s="20" t="n">
        <v>5329</v>
      </c>
    </row>
    <row r="275">
      <c r="A275" s="18" t="inlineStr">
        <is>
          <t>무형자산 취득 지출</t>
        </is>
      </c>
      <c r="E275" s="20" t="n">
        <v>-16001</v>
      </c>
      <c r="F275" s="20" t="n">
        <v>-5364</v>
      </c>
      <c r="G275" s="20" t="n">
        <v>-8874</v>
      </c>
      <c r="H275" s="20" t="n">
        <v>-12715</v>
      </c>
      <c r="I275" s="20" t="n">
        <v>-17497</v>
      </c>
      <c r="J275" s="20" t="n">
        <v>-4071</v>
      </c>
      <c r="K275" s="20" t="n">
        <v>-8812</v>
      </c>
      <c r="L275" s="20" t="n">
        <v>-14099</v>
      </c>
      <c r="M275" s="20" t="n">
        <v>-19201</v>
      </c>
      <c r="N275" s="20" t="n">
        <v>-5167</v>
      </c>
      <c r="P275" s="20" t="n">
        <v>-7672</v>
      </c>
      <c r="Q275" s="20" t="n">
        <v>-7566</v>
      </c>
      <c r="R275" s="20" t="n">
        <v>-5968</v>
      </c>
      <c r="S275" s="20" t="n">
        <v>-6134</v>
      </c>
      <c r="T275" s="20" t="n">
        <v>-5844</v>
      </c>
      <c r="U275" s="20" t="n">
        <v>-9884</v>
      </c>
      <c r="V275" s="20" t="n">
        <v>-16001</v>
      </c>
      <c r="W275" s="20" t="n">
        <v>-17497</v>
      </c>
      <c r="X275" s="20" t="n">
        <v>-19201</v>
      </c>
    </row>
    <row r="276">
      <c r="A276" s="18" t="inlineStr">
        <is>
          <t>Payments For Acquisition Of Shares Of Subsidiaries Resulting In Changes In The Consolidation Scope Inv CF</t>
        </is>
      </c>
      <c r="P276" s="20" t="n">
        <v>0</v>
      </c>
      <c r="Q276" s="20" t="n">
        <v>-2380</v>
      </c>
      <c r="R276" s="20" t="n">
        <v>0</v>
      </c>
      <c r="S276" s="20" t="n">
        <v>0</v>
      </c>
      <c r="T276" s="20" t="n">
        <v>-378</v>
      </c>
    </row>
    <row r="277">
      <c r="A277" s="18" t="inlineStr">
        <is>
          <t>투자유가증권 취득</t>
        </is>
      </c>
      <c r="E277" s="20" t="n">
        <v>-1404</v>
      </c>
      <c r="F277" s="20" t="n">
        <v>-236</v>
      </c>
      <c r="G277" s="20" t="n">
        <v>-438</v>
      </c>
      <c r="H277" s="20" t="n">
        <v>-691</v>
      </c>
      <c r="I277" s="20" t="n">
        <v>-865</v>
      </c>
      <c r="J277" s="20" t="n">
        <v>-148</v>
      </c>
      <c r="K277" s="20" t="n">
        <v>-399</v>
      </c>
      <c r="L277" s="20" t="n">
        <v>-1328</v>
      </c>
      <c r="M277" s="20" t="n">
        <v>-1532</v>
      </c>
      <c r="N277" s="20" t="n">
        <v>-207</v>
      </c>
      <c r="P277" s="20" t="n">
        <v>-6625</v>
      </c>
      <c r="Q277" s="20" t="n">
        <v>-6281</v>
      </c>
      <c r="R277" s="20" t="n">
        <v>-7802</v>
      </c>
      <c r="S277" s="20" t="n">
        <v>-1126</v>
      </c>
      <c r="T277" s="20" t="n">
        <v>-4224</v>
      </c>
      <c r="U277" s="20" t="n">
        <v>-4781</v>
      </c>
      <c r="V277" s="20" t="n">
        <v>-1404</v>
      </c>
      <c r="W277" s="20" t="n">
        <v>-865</v>
      </c>
      <c r="X277" s="20" t="n">
        <v>-1532</v>
      </c>
    </row>
    <row r="278">
      <c r="A278" s="18" t="inlineStr">
        <is>
          <t>투자유가증권 매각</t>
        </is>
      </c>
      <c r="E278" s="20" t="n">
        <v>16740</v>
      </c>
      <c r="F278" s="20" t="n">
        <v>59</v>
      </c>
      <c r="G278" s="20" t="n">
        <v>5328</v>
      </c>
      <c r="H278" s="20" t="n">
        <v>7313</v>
      </c>
      <c r="I278" s="20" t="n">
        <v>7649</v>
      </c>
      <c r="J278" s="20" t="n">
        <v>370</v>
      </c>
      <c r="K278" s="20" t="n">
        <v>7082</v>
      </c>
      <c r="L278" s="20" t="n">
        <v>8113</v>
      </c>
      <c r="M278" s="20" t="n">
        <v>35702</v>
      </c>
      <c r="N278" s="20" t="n">
        <v>225</v>
      </c>
      <c r="P278" s="20" t="n">
        <v>8328</v>
      </c>
      <c r="Q278" s="20" t="n">
        <v>651</v>
      </c>
      <c r="R278" s="20" t="n">
        <v>5870</v>
      </c>
      <c r="S278" s="20" t="n">
        <v>38754</v>
      </c>
      <c r="T278" s="20" t="n">
        <v>20459</v>
      </c>
      <c r="U278" s="20" t="n">
        <v>1265</v>
      </c>
      <c r="V278" s="20" t="n">
        <v>16740</v>
      </c>
      <c r="W278" s="20" t="n">
        <v>7649</v>
      </c>
      <c r="X278" s="20" t="n">
        <v>35702</v>
      </c>
    </row>
    <row r="279">
      <c r="A279" s="18" t="inlineStr">
        <is>
          <t>정기예금 예입</t>
        </is>
      </c>
      <c r="P279" s="20" t="n">
        <v>-5670</v>
      </c>
      <c r="Q279" s="20" t="n">
        <v>-1327</v>
      </c>
      <c r="R279" s="20" t="n">
        <v>-370</v>
      </c>
      <c r="S279" s="20" t="n">
        <v>-3</v>
      </c>
      <c r="T279" s="20" t="n">
        <v>0</v>
      </c>
    </row>
    <row r="280">
      <c r="A280" s="18" t="inlineStr">
        <is>
          <t>Proceeds From Withdrawal From Term Deposits Inv CF</t>
        </is>
      </c>
      <c r="P280" s="20" t="n">
        <v>4110</v>
      </c>
      <c r="Q280" s="20" t="n">
        <v>8403</v>
      </c>
      <c r="R280" s="20" t="n">
        <v>481</v>
      </c>
      <c r="S280" s="20" t="n">
        <v>1857</v>
      </c>
      <c r="T280" s="20" t="n">
        <v>0</v>
      </c>
    </row>
    <row r="281">
      <c r="A281" s="18" t="inlineStr">
        <is>
          <t>투자유가증권 상환</t>
        </is>
      </c>
      <c r="E281" s="20" t="n">
        <v>0</v>
      </c>
      <c r="G281" s="20" t="n">
        <v>4000</v>
      </c>
      <c r="H281" s="20" t="n">
        <v>4000</v>
      </c>
      <c r="I281" s="20" t="n">
        <v>4000</v>
      </c>
      <c r="K281" s="20" t="n">
        <v>0</v>
      </c>
      <c r="L281" s="20" t="n">
        <v>0</v>
      </c>
      <c r="M281" s="20" t="n">
        <v>0</v>
      </c>
      <c r="V281" s="20" t="n">
        <v>0</v>
      </c>
      <c r="W281" s="20" t="n">
        <v>4000</v>
      </c>
      <c r="X281" s="20" t="n">
        <v>0</v>
      </c>
    </row>
    <row r="282">
      <c r="A282" s="18" t="inlineStr">
        <is>
          <t>Purchase Of Subsidiaries Or Other Businesses Inv CF</t>
        </is>
      </c>
      <c r="E282" s="20" t="n">
        <v>-2289</v>
      </c>
      <c r="F282" s="20" t="n">
        <v>-12459</v>
      </c>
      <c r="G282" s="20" t="n">
        <v>-12459</v>
      </c>
      <c r="H282" s="20" t="n">
        <v>-12459</v>
      </c>
      <c r="I282" s="20" t="n">
        <v>-12014</v>
      </c>
      <c r="J282" s="20" t="n">
        <v>0</v>
      </c>
      <c r="K282" s="20" t="n">
        <v>0</v>
      </c>
      <c r="L282" s="20" t="n">
        <v>0</v>
      </c>
      <c r="M282" s="20" t="n">
        <v>0</v>
      </c>
      <c r="T282" s="20" t="n">
        <v>-378</v>
      </c>
      <c r="U282" s="20" t="n">
        <v>-76877</v>
      </c>
      <c r="V282" s="20" t="n">
        <v>-2289</v>
      </c>
      <c r="W282" s="20" t="n">
        <v>-12014</v>
      </c>
      <c r="X282" s="20" t="n">
        <v>0</v>
      </c>
    </row>
    <row r="283">
      <c r="A283" s="18" t="inlineStr">
        <is>
          <t>Proceeds From Sale Of Shares Of Subsidiaries Or Other Businesses Inv CF</t>
        </is>
      </c>
      <c r="E283" s="20" t="n">
        <v>0</v>
      </c>
      <c r="T283" s="20" t="n">
        <v>0</v>
      </c>
      <c r="U283" s="20" t="n">
        <v>8</v>
      </c>
      <c r="V283" s="20" t="n">
        <v>0</v>
      </c>
    </row>
    <row r="284">
      <c r="A284" s="18" t="inlineStr">
        <is>
          <t>사업양도 수입</t>
        </is>
      </c>
      <c r="G284" s="20" t="n">
        <v>0</v>
      </c>
      <c r="H284" s="20" t="n">
        <v>0</v>
      </c>
      <c r="I284" s="20" t="n">
        <v>0</v>
      </c>
      <c r="K284" s="20" t="n">
        <v>3000</v>
      </c>
      <c r="L284" s="20" t="n">
        <v>3000</v>
      </c>
      <c r="M284" s="20" t="n">
        <v>3000</v>
      </c>
      <c r="W284" s="20" t="n">
        <v>0</v>
      </c>
      <c r="X284" s="20" t="n">
        <v>3000</v>
      </c>
    </row>
    <row r="285">
      <c r="A285" s="18" t="inlineStr">
        <is>
          <t>기타</t>
        </is>
      </c>
      <c r="E285" s="20" t="n">
        <v>0</v>
      </c>
      <c r="F285" s="20" t="n">
        <v>-138</v>
      </c>
      <c r="G285" s="20" t="n">
        <v>-228</v>
      </c>
      <c r="H285" s="20" t="n">
        <v>545</v>
      </c>
      <c r="I285" s="20" t="n">
        <v>498</v>
      </c>
      <c r="J285" s="20" t="n">
        <v>175</v>
      </c>
      <c r="K285" s="20" t="n">
        <v>30</v>
      </c>
      <c r="L285" s="20" t="n">
        <v>552</v>
      </c>
      <c r="M285" s="20" t="n">
        <v>637</v>
      </c>
      <c r="N285" s="20" t="n">
        <v>-1191</v>
      </c>
      <c r="P285" s="20" t="n">
        <v>-137</v>
      </c>
      <c r="Q285" s="20" t="n">
        <v>1216</v>
      </c>
      <c r="R285" s="20" t="n">
        <v>1467</v>
      </c>
      <c r="S285" s="20" t="n">
        <v>960</v>
      </c>
      <c r="T285" s="20" t="n">
        <v>2098</v>
      </c>
      <c r="U285" s="20" t="n">
        <v>882</v>
      </c>
      <c r="V285" s="20" t="n">
        <v>0</v>
      </c>
      <c r="W285" s="20" t="n">
        <v>498</v>
      </c>
      <c r="X285" s="20" t="n">
        <v>637</v>
      </c>
    </row>
    <row r="286">
      <c r="A286" s="9" t="inlineStr">
        <is>
          <t>투자활동 현금흐름</t>
        </is>
      </c>
      <c r="E286" s="12" t="n">
        <v>-41405</v>
      </c>
      <c r="F286" s="12" t="n">
        <v>-25563</v>
      </c>
      <c r="G286" s="12" t="n">
        <v>-38768</v>
      </c>
      <c r="H286" s="12" t="n">
        <v>-51115</v>
      </c>
      <c r="I286" s="12" t="n">
        <v>-69988</v>
      </c>
      <c r="J286" s="12" t="n">
        <v>-13798</v>
      </c>
      <c r="K286" s="12" t="n">
        <v>-17622</v>
      </c>
      <c r="L286" s="12" t="n">
        <v>-28067</v>
      </c>
      <c r="M286" s="12" t="n">
        <v>-12603</v>
      </c>
      <c r="N286" s="12" t="n">
        <v>-15973</v>
      </c>
      <c r="P286" s="12" t="n">
        <v>-34808</v>
      </c>
      <c r="Q286" s="12" t="n">
        <v>-25304</v>
      </c>
      <c r="R286" s="12" t="n">
        <v>-21281</v>
      </c>
      <c r="S286" s="12" t="n">
        <v>18024</v>
      </c>
      <c r="T286" s="12" t="n">
        <v>-385</v>
      </c>
      <c r="U286" s="12" t="n">
        <v>-112146</v>
      </c>
      <c r="V286" s="12" t="n">
        <v>-41405</v>
      </c>
      <c r="W286" s="12" t="n">
        <v>-69988</v>
      </c>
      <c r="X286" s="12" t="n">
        <v>-12603</v>
      </c>
    </row>
    <row r="287">
      <c r="A287" s="18" t="inlineStr">
        <is>
          <t>단기차입금 순증감</t>
        </is>
      </c>
      <c r="E287" s="20" t="n">
        <v>40065</v>
      </c>
      <c r="F287" s="20" t="n">
        <v>465</v>
      </c>
      <c r="G287" s="20" t="n">
        <v>25743</v>
      </c>
      <c r="H287" s="20" t="n">
        <v>-39243</v>
      </c>
      <c r="I287" s="20" t="n">
        <v>-9231</v>
      </c>
      <c r="J287" s="20" t="n">
        <v>10847</v>
      </c>
      <c r="K287" s="20" t="n">
        <v>20905</v>
      </c>
      <c r="L287" s="20" t="n">
        <v>51066</v>
      </c>
      <c r="M287" s="20" t="n">
        <v>35111</v>
      </c>
      <c r="N287" s="20" t="n">
        <v>-547</v>
      </c>
      <c r="P287" s="20" t="n">
        <v>-1400</v>
      </c>
      <c r="Q287" s="20" t="n">
        <v>-50</v>
      </c>
      <c r="R287" s="20" t="n">
        <v>-2250</v>
      </c>
      <c r="S287" s="20" t="n">
        <v>0</v>
      </c>
      <c r="T287" s="20" t="n">
        <v>13189</v>
      </c>
      <c r="U287" s="20" t="n">
        <v>-9625</v>
      </c>
      <c r="V287" s="20" t="n">
        <v>40065</v>
      </c>
      <c r="W287" s="20" t="n">
        <v>-9231</v>
      </c>
      <c r="X287" s="20" t="n">
        <v>35111</v>
      </c>
    </row>
    <row r="288">
      <c r="A288" s="18" t="inlineStr">
        <is>
          <t>Redemption Of Bonds And Repayments Of Long Term Borrowings Fin CF</t>
        </is>
      </c>
      <c r="P288" s="20" t="n">
        <v>-10095</v>
      </c>
      <c r="Q288" s="20" t="n">
        <v>0</v>
      </c>
    </row>
    <row r="289">
      <c r="A289" s="18" t="inlineStr">
        <is>
          <t>장기차입</t>
        </is>
      </c>
      <c r="E289" s="20" t="n">
        <v>0</v>
      </c>
      <c r="F289" s="20" t="n">
        <v>0</v>
      </c>
      <c r="G289" s="20" t="n">
        <v>0</v>
      </c>
      <c r="H289" s="20" t="n">
        <v>64489</v>
      </c>
      <c r="I289" s="20" t="n">
        <v>69489</v>
      </c>
      <c r="J289" s="20" t="n">
        <v>10000</v>
      </c>
      <c r="K289" s="20" t="n">
        <v>10000</v>
      </c>
      <c r="L289" s="20" t="n">
        <v>10000</v>
      </c>
      <c r="M289" s="20" t="n">
        <v>16000</v>
      </c>
      <c r="N289" s="20" t="n">
        <v>0</v>
      </c>
      <c r="S289" s="20" t="n">
        <v>1000</v>
      </c>
      <c r="T289" s="20" t="n">
        <v>0</v>
      </c>
      <c r="U289" s="20" t="n">
        <v>23895</v>
      </c>
      <c r="V289" s="20" t="n">
        <v>0</v>
      </c>
      <c r="W289" s="20" t="n">
        <v>69489</v>
      </c>
      <c r="X289" s="20" t="n">
        <v>16000</v>
      </c>
    </row>
    <row r="290">
      <c r="A290" s="18" t="inlineStr">
        <is>
          <t>장기차입금 상환</t>
        </is>
      </c>
      <c r="E290" s="20" t="n">
        <v>-2209</v>
      </c>
      <c r="F290" s="20" t="n">
        <v>-56</v>
      </c>
      <c r="G290" s="20" t="n">
        <v>-33711</v>
      </c>
      <c r="H290" s="20" t="n">
        <v>-33765</v>
      </c>
      <c r="I290" s="20" t="n">
        <v>-34011</v>
      </c>
      <c r="J290" s="20" t="n">
        <v>-55</v>
      </c>
      <c r="K290" s="20" t="n">
        <v>-1304</v>
      </c>
      <c r="L290" s="20" t="n">
        <v>-1364</v>
      </c>
      <c r="M290" s="20" t="n">
        <v>-15618</v>
      </c>
      <c r="N290" s="20" t="n">
        <v>-62</v>
      </c>
      <c r="S290" s="20" t="n">
        <v>-1000</v>
      </c>
      <c r="T290" s="20" t="n">
        <v>-10803</v>
      </c>
      <c r="U290" s="20" t="n">
        <v>-14046</v>
      </c>
      <c r="V290" s="20" t="n">
        <v>-2209</v>
      </c>
      <c r="W290" s="20" t="n">
        <v>-34011</v>
      </c>
      <c r="X290" s="20" t="n">
        <v>-15618</v>
      </c>
    </row>
    <row r="291">
      <c r="A291" s="18" t="inlineStr">
        <is>
          <t>사채 발행</t>
        </is>
      </c>
      <c r="R291" s="20" t="n">
        <v>0</v>
      </c>
      <c r="S291" s="20" t="n">
        <v>19894</v>
      </c>
      <c r="T291" s="20" t="n">
        <v>0</v>
      </c>
    </row>
    <row r="292">
      <c r="A292" s="18" t="inlineStr">
        <is>
          <t>사채 상환</t>
        </is>
      </c>
      <c r="E292" s="20" t="n">
        <v>-10331</v>
      </c>
      <c r="H292" s="20" t="n">
        <v>0</v>
      </c>
      <c r="I292" s="20" t="n">
        <v>0</v>
      </c>
      <c r="L292" s="20" t="n">
        <v>-10000</v>
      </c>
      <c r="M292" s="20" t="n">
        <v>-10000</v>
      </c>
      <c r="R292" s="20" t="n">
        <v>0</v>
      </c>
      <c r="S292" s="20" t="n">
        <v>-10000</v>
      </c>
      <c r="T292" s="20" t="n">
        <v>-10000</v>
      </c>
      <c r="U292" s="20" t="n">
        <v>-3767</v>
      </c>
      <c r="V292" s="20" t="n">
        <v>-10331</v>
      </c>
      <c r="W292" s="20" t="n">
        <v>0</v>
      </c>
      <c r="X292" s="20" t="n">
        <v>-10000</v>
      </c>
    </row>
    <row r="293">
      <c r="A293" s="18" t="inlineStr">
        <is>
          <t>리스부채 상환 지출</t>
        </is>
      </c>
      <c r="E293" s="20" t="n">
        <v>-11089</v>
      </c>
      <c r="F293" s="20" t="n">
        <v>-2314</v>
      </c>
      <c r="G293" s="20" t="n">
        <v>-4618</v>
      </c>
      <c r="H293" s="20" t="n">
        <v>-6953</v>
      </c>
      <c r="I293" s="20" t="n">
        <v>-9147</v>
      </c>
      <c r="J293" s="20" t="n">
        <v>-1899</v>
      </c>
      <c r="K293" s="20" t="n">
        <v>-3866</v>
      </c>
      <c r="L293" s="20" t="n">
        <v>-5969</v>
      </c>
      <c r="M293" s="20" t="n">
        <v>-8047</v>
      </c>
      <c r="N293" s="20" t="n">
        <v>-2049</v>
      </c>
      <c r="Q293" s="20" t="n">
        <v>-798</v>
      </c>
      <c r="R293" s="20" t="n">
        <v>-7194</v>
      </c>
      <c r="S293" s="20" t="n">
        <v>-7448</v>
      </c>
      <c r="T293" s="20" t="n">
        <v>-7438</v>
      </c>
      <c r="U293" s="20" t="n">
        <v>-8045</v>
      </c>
      <c r="V293" s="20" t="n">
        <v>-11089</v>
      </c>
      <c r="W293" s="20" t="n">
        <v>-9147</v>
      </c>
      <c r="X293" s="20" t="n">
        <v>-8047</v>
      </c>
    </row>
    <row r="294">
      <c r="A294" s="18" t="inlineStr">
        <is>
          <t>비지배지분으로부터 자회사 지분 취득 지출</t>
        </is>
      </c>
      <c r="E294" s="20" t="n">
        <v>-7871</v>
      </c>
      <c r="I294" s="20" t="n">
        <v>0</v>
      </c>
      <c r="U294" s="20" t="n">
        <v>0</v>
      </c>
      <c r="V294" s="20" t="n">
        <v>-7871</v>
      </c>
      <c r="W294" s="20" t="n">
        <v>0</v>
      </c>
    </row>
    <row r="295">
      <c r="A295" s="18" t="inlineStr">
        <is>
          <t>배당금 지급</t>
        </is>
      </c>
      <c r="E295" s="20" t="n">
        <v>-17310</v>
      </c>
      <c r="F295" s="20" t="n">
        <v>-8409</v>
      </c>
      <c r="G295" s="20" t="n">
        <v>-8657</v>
      </c>
      <c r="H295" s="20" t="n">
        <v>-17158</v>
      </c>
      <c r="I295" s="20" t="n">
        <v>-17321</v>
      </c>
      <c r="J295" s="20" t="n">
        <v>-8060</v>
      </c>
      <c r="K295" s="20" t="n">
        <v>-8218</v>
      </c>
      <c r="L295" s="20" t="n">
        <v>-16307</v>
      </c>
      <c r="M295" s="20" t="n">
        <v>-16447</v>
      </c>
      <c r="N295" s="20" t="n">
        <v>-4872</v>
      </c>
      <c r="P295" s="20" t="n">
        <v>-7153</v>
      </c>
      <c r="Q295" s="20" t="n">
        <v>-20621</v>
      </c>
      <c r="R295" s="20" t="n">
        <v>-23552</v>
      </c>
      <c r="S295" s="20" t="n">
        <v>-7350</v>
      </c>
      <c r="T295" s="20" t="n">
        <v>-11024</v>
      </c>
      <c r="U295" s="20" t="n">
        <v>-14522</v>
      </c>
      <c r="V295" s="20" t="n">
        <v>-17310</v>
      </c>
      <c r="W295" s="20" t="n">
        <v>-17321</v>
      </c>
      <c r="X295" s="20" t="n">
        <v>-16447</v>
      </c>
    </row>
    <row r="296">
      <c r="A296" s="18" t="inlineStr">
        <is>
          <t>비지배지분 배당금 지급액</t>
        </is>
      </c>
      <c r="E296" s="20" t="n">
        <v>-64</v>
      </c>
      <c r="F296" s="20" t="n">
        <v>0</v>
      </c>
      <c r="G296" s="20" t="n">
        <v>-42</v>
      </c>
      <c r="H296" s="20" t="n">
        <v>-42</v>
      </c>
      <c r="I296" s="20" t="n">
        <v>-42</v>
      </c>
      <c r="J296" s="20" t="n">
        <v>-18</v>
      </c>
      <c r="K296" s="20" t="n">
        <v>-22</v>
      </c>
      <c r="L296" s="20" t="n">
        <v>-26</v>
      </c>
      <c r="M296" s="20" t="n">
        <v>-26</v>
      </c>
      <c r="N296" s="20" t="n">
        <v>-47</v>
      </c>
      <c r="P296" s="20" t="n">
        <v>-57</v>
      </c>
      <c r="Q296" s="20" t="n">
        <v>-40</v>
      </c>
      <c r="R296" s="20" t="n">
        <v>-42</v>
      </c>
      <c r="S296" s="20" t="n">
        <v>-43</v>
      </c>
      <c r="T296" s="20" t="n">
        <v>-17</v>
      </c>
      <c r="U296" s="20" t="n">
        <v>-21</v>
      </c>
      <c r="V296" s="20" t="n">
        <v>-64</v>
      </c>
      <c r="W296" s="20" t="n">
        <v>-42</v>
      </c>
      <c r="X296" s="20" t="n">
        <v>-26</v>
      </c>
    </row>
    <row r="297">
      <c r="A297" s="18" t="inlineStr">
        <is>
          <t>자기주식 취득</t>
        </is>
      </c>
      <c r="E297" s="20" t="n">
        <v>-3</v>
      </c>
      <c r="F297" s="20" t="n">
        <v>-1</v>
      </c>
      <c r="G297" s="20" t="n">
        <v>-1</v>
      </c>
      <c r="H297" s="20" t="n">
        <v>-12163</v>
      </c>
      <c r="I297" s="20" t="n">
        <v>-30003</v>
      </c>
      <c r="J297" s="20" t="n">
        <v>-0</v>
      </c>
      <c r="K297" s="20" t="n">
        <v>-1</v>
      </c>
      <c r="L297" s="20" t="n">
        <v>-2</v>
      </c>
      <c r="M297" s="20" t="n">
        <v>-2</v>
      </c>
      <c r="Q297" s="20" t="n">
        <v>-3</v>
      </c>
      <c r="R297" s="20" t="n">
        <v>-40002</v>
      </c>
      <c r="S297" s="20" t="n">
        <v>-1</v>
      </c>
      <c r="T297" s="20" t="n">
        <v>-2</v>
      </c>
      <c r="U297" s="20" t="n">
        <v>-30001</v>
      </c>
      <c r="V297" s="20" t="n">
        <v>-3</v>
      </c>
      <c r="W297" s="20" t="n">
        <v>-30003</v>
      </c>
      <c r="X297" s="20" t="n">
        <v>-2</v>
      </c>
    </row>
    <row r="298">
      <c r="A298" s="18" t="inlineStr">
        <is>
          <t>Proceeds From Settlement Of Derivatives Fin CF</t>
        </is>
      </c>
      <c r="E298" s="20" t="n">
        <v>0</v>
      </c>
      <c r="G298" s="20" t="n">
        <v>10648</v>
      </c>
      <c r="H298" s="20" t="n">
        <v>10648</v>
      </c>
      <c r="I298" s="20" t="n">
        <v>10648</v>
      </c>
      <c r="K298" s="20" t="n">
        <v>0</v>
      </c>
      <c r="L298" s="20" t="n">
        <v>0</v>
      </c>
      <c r="M298" s="20" t="n">
        <v>0</v>
      </c>
      <c r="V298" s="20" t="n">
        <v>0</v>
      </c>
      <c r="W298" s="20" t="n">
        <v>10648</v>
      </c>
      <c r="X298" s="20" t="n">
        <v>0</v>
      </c>
    </row>
    <row r="299">
      <c r="A299" s="18" t="inlineStr">
        <is>
          <t>기타</t>
        </is>
      </c>
      <c r="E299" s="20" t="n">
        <v>-125</v>
      </c>
      <c r="F299" s="20" t="n">
        <v>-38</v>
      </c>
      <c r="G299" s="20" t="n">
        <v>-80</v>
      </c>
      <c r="H299" s="20" t="n">
        <v>-112</v>
      </c>
      <c r="I299" s="20" t="n">
        <v>-189</v>
      </c>
      <c r="J299" s="20" t="n">
        <v>17</v>
      </c>
      <c r="K299" s="20" t="n">
        <v>-55</v>
      </c>
      <c r="L299" s="20" t="n">
        <v>-76</v>
      </c>
      <c r="M299" s="20" t="n">
        <v>-114</v>
      </c>
      <c r="N299" s="20" t="n">
        <v>22</v>
      </c>
      <c r="P299" s="20" t="n">
        <v>-1265</v>
      </c>
      <c r="Q299" s="20" t="n">
        <v>-71</v>
      </c>
      <c r="R299" s="20" t="n">
        <v>301</v>
      </c>
      <c r="S299" s="20" t="n">
        <v>-43</v>
      </c>
      <c r="T299" s="20" t="n">
        <v>-57</v>
      </c>
      <c r="U299" s="20" t="n">
        <v>-79</v>
      </c>
      <c r="V299" s="20" t="n">
        <v>-125</v>
      </c>
      <c r="W299" s="20" t="n">
        <v>-189</v>
      </c>
      <c r="X299" s="20" t="n">
        <v>-114</v>
      </c>
    </row>
    <row r="300">
      <c r="A300" s="9" t="inlineStr">
        <is>
          <t>재무활동 현금흐름</t>
        </is>
      </c>
      <c r="E300" s="12" t="n">
        <v>-8938</v>
      </c>
      <c r="F300" s="12" t="n">
        <v>-10353</v>
      </c>
      <c r="G300" s="12" t="n">
        <v>-10718</v>
      </c>
      <c r="H300" s="12" t="n">
        <v>-34300</v>
      </c>
      <c r="I300" s="12" t="n">
        <v>-19808</v>
      </c>
      <c r="J300" s="12" t="n">
        <v>10833</v>
      </c>
      <c r="K300" s="12" t="n">
        <v>17439</v>
      </c>
      <c r="L300" s="12" t="n">
        <v>27322</v>
      </c>
      <c r="M300" s="12" t="n">
        <v>858</v>
      </c>
      <c r="N300" s="12" t="n">
        <v>-7555</v>
      </c>
      <c r="P300" s="12" t="n">
        <v>-19970</v>
      </c>
      <c r="Q300" s="12" t="n">
        <v>-21583</v>
      </c>
      <c r="R300" s="12" t="n">
        <v>-72739</v>
      </c>
      <c r="S300" s="12" t="n">
        <v>-4991</v>
      </c>
      <c r="T300" s="12" t="n">
        <v>-26151</v>
      </c>
      <c r="U300" s="12" t="n">
        <v>-56210</v>
      </c>
      <c r="V300" s="12" t="n">
        <v>-8938</v>
      </c>
      <c r="W300" s="12" t="n">
        <v>-19808</v>
      </c>
      <c r="X300" s="12" t="n">
        <v>858</v>
      </c>
    </row>
    <row r="301">
      <c r="A301" s="18" t="inlineStr">
        <is>
          <t>현금성자산 환산차이</t>
        </is>
      </c>
      <c r="E301" s="20" t="n">
        <v>14883</v>
      </c>
      <c r="F301" s="20" t="n">
        <v>7369</v>
      </c>
      <c r="G301" s="20" t="n">
        <v>-3855</v>
      </c>
      <c r="H301" s="20" t="n">
        <v>4032</v>
      </c>
      <c r="I301" s="20" t="n">
        <v>-1516</v>
      </c>
      <c r="J301" s="20" t="n">
        <v>-285</v>
      </c>
      <c r="K301" s="20" t="n">
        <v>2642</v>
      </c>
      <c r="L301" s="20" t="n">
        <v>9842</v>
      </c>
      <c r="M301" s="20" t="n">
        <v>10629</v>
      </c>
      <c r="N301" s="20" t="n">
        <v>2026</v>
      </c>
      <c r="P301" s="20" t="n">
        <v>-913</v>
      </c>
      <c r="Q301" s="20" t="n">
        <v>603</v>
      </c>
      <c r="R301" s="20" t="n">
        <v>-9421</v>
      </c>
      <c r="S301" s="20" t="n">
        <v>9766</v>
      </c>
      <c r="T301" s="20" t="n">
        <v>13664</v>
      </c>
      <c r="U301" s="20" t="n">
        <v>9401</v>
      </c>
      <c r="V301" s="20" t="n">
        <v>14883</v>
      </c>
      <c r="W301" s="20" t="n">
        <v>-1516</v>
      </c>
      <c r="X301" s="20" t="n">
        <v>10629</v>
      </c>
    </row>
    <row r="302">
      <c r="A302" s="18" t="inlineStr">
        <is>
          <t>Net Increase Decrease In Cash And Cash Equivalents</t>
        </is>
      </c>
      <c r="E302" s="20" t="n">
        <v>-4693</v>
      </c>
      <c r="F302" s="20" t="n">
        <v>-10991</v>
      </c>
      <c r="G302" s="20" t="n">
        <v>-14868</v>
      </c>
      <c r="H302" s="20" t="n">
        <v>-41723</v>
      </c>
      <c r="I302" s="20" t="n">
        <v>-43054</v>
      </c>
      <c r="J302" s="20" t="n">
        <v>1150</v>
      </c>
      <c r="K302" s="20" t="n">
        <v>-2957</v>
      </c>
      <c r="L302" s="20" t="n">
        <v>-5672</v>
      </c>
      <c r="M302" s="20" t="n">
        <v>-5554</v>
      </c>
      <c r="N302" s="20" t="n">
        <v>-976</v>
      </c>
      <c r="P302" s="20" t="n">
        <v>69392</v>
      </c>
      <c r="Q302" s="20" t="n">
        <v>22617</v>
      </c>
      <c r="R302" s="20" t="n">
        <v>-87021</v>
      </c>
      <c r="S302" s="20" t="n">
        <v>27765</v>
      </c>
      <c r="T302" s="20" t="n">
        <v>18478</v>
      </c>
      <c r="U302" s="20" t="n">
        <v>-158940</v>
      </c>
      <c r="V302" s="20" t="n">
        <v>-4693</v>
      </c>
      <c r="W302" s="20" t="n">
        <v>-43054</v>
      </c>
      <c r="X302" s="20" t="n">
        <v>-5554</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11"/>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7731 재무상태표</t>
        </is>
      </c>
    </row>
    <row r="2">
      <c r="A2" s="44" t="inlineStr">
        <is>
          <t>재무비율은 기말 잔액 기준 · 분기 손익은 최근 4분기 합산(TTM)</t>
        </is>
      </c>
      <c r="B2" s="3" t="inlineStr">
        <is>
          <t>(단위: 백만엔)</t>
        </is>
      </c>
    </row>
    <row r="3">
      <c r="A3" s="5" t="inlineStr">
        <is>
          <t>항목</t>
        </is>
      </c>
      <c r="B3" s="5" t="inlineStr">
        <is>
          <t>참고</t>
        </is>
      </c>
      <c r="C3" s="6" t="inlineStr">
        <is>
          <t>2026.1Q</t>
        </is>
      </c>
      <c r="D3" s="5" t="inlineStr">
        <is>
          <t>2026.2Q</t>
        </is>
      </c>
      <c r="E3" s="5" t="inlineStr">
        <is>
          <t>2026.3Q</t>
        </is>
      </c>
      <c r="F3" s="5" t="inlineStr">
        <is>
          <t>2026.4Q</t>
        </is>
      </c>
      <c r="G3" s="5" t="inlineStr">
        <is>
          <t>2027.1Q</t>
        </is>
      </c>
      <c r="H3" s="6" t="inlineStr">
        <is>
          <t>2022</t>
        </is>
      </c>
      <c r="I3" s="5" t="inlineStr">
        <is>
          <t>2023</t>
        </is>
      </c>
      <c r="J3" s="5" t="inlineStr">
        <is>
          <t>2024</t>
        </is>
      </c>
      <c r="K3" s="5" t="inlineStr">
        <is>
          <t>2025</t>
        </is>
      </c>
      <c r="L3" s="5" t="inlineStr">
        <is>
          <t>2026</t>
        </is>
      </c>
    </row>
    <row r="4">
      <c r="A4" s="16" t="inlineStr">
        <is>
          <t>자산</t>
        </is>
      </c>
      <c r="B4" s="16" t="n"/>
      <c r="C4" s="17" t="n"/>
      <c r="D4" s="16" t="n"/>
      <c r="E4" s="16" t="n"/>
      <c r="F4" s="16" t="n"/>
      <c r="G4" s="16" t="n"/>
      <c r="H4" s="17" t="n"/>
      <c r="I4" s="16" t="n"/>
      <c r="J4" s="16" t="n"/>
      <c r="K4" s="16" t="n"/>
      <c r="L4" s="16" t="n"/>
    </row>
    <row r="5">
      <c r="A5" s="9" t="inlineStr">
        <is>
          <t>유동자산</t>
        </is>
      </c>
      <c r="B5" s="10" t="n"/>
      <c r="C5" s="11" t="n">
        <v>630915</v>
      </c>
      <c r="D5" s="12" t="n">
        <v>639509</v>
      </c>
      <c r="E5" s="12" t="n">
        <v>657477</v>
      </c>
      <c r="F5" s="12" t="n">
        <v>646499</v>
      </c>
      <c r="G5" s="12" t="n">
        <v>651729</v>
      </c>
      <c r="H5" s="11" t="n">
        <v>714214</v>
      </c>
      <c r="I5" s="12" t="n">
        <v>617880</v>
      </c>
      <c r="J5" s="12" t="n">
        <v>667340</v>
      </c>
      <c r="K5" s="12" t="n">
        <v>620220</v>
      </c>
      <c r="L5" s="12" t="n">
        <v>646499</v>
      </c>
    </row>
    <row r="6">
      <c r="A6" s="18" t="inlineStr">
        <is>
          <t>현금및현금성자산</t>
        </is>
      </c>
      <c r="B6" s="10" t="n"/>
      <c r="C6" s="19" t="n">
        <v>164740</v>
      </c>
      <c r="D6" s="20" t="n">
        <v>160633</v>
      </c>
      <c r="E6" s="20" t="n">
        <v>157917</v>
      </c>
      <c r="F6" s="20" t="n">
        <v>158036</v>
      </c>
      <c r="G6" s="20" t="n">
        <v>157060</v>
      </c>
      <c r="H6" s="19" t="n">
        <v>370277</v>
      </c>
      <c r="I6" s="20" t="n">
        <v>211337</v>
      </c>
      <c r="J6" s="20" t="n">
        <v>206644</v>
      </c>
      <c r="K6" s="20" t="n">
        <v>163590</v>
      </c>
      <c r="L6" s="20" t="n">
        <v>158036</v>
      </c>
    </row>
    <row r="7">
      <c r="A7" s="18" t="inlineStr">
        <is>
          <t>단기금융상품</t>
        </is>
      </c>
      <c r="B7" s="10" t="n"/>
      <c r="C7" s="19" t="n">
        <v>3746</v>
      </c>
      <c r="D7" s="20" t="n">
        <v>2295</v>
      </c>
      <c r="E7" s="20" t="n">
        <v>2757</v>
      </c>
      <c r="F7" s="20" t="n">
        <v>2316</v>
      </c>
      <c r="G7" s="20" t="n">
        <v>4577</v>
      </c>
      <c r="H7" s="19" t="n">
        <v>948</v>
      </c>
      <c r="I7" s="20" t="n">
        <v>1242</v>
      </c>
      <c r="J7" s="20" t="n">
        <v>15908</v>
      </c>
      <c r="K7" s="20" t="n">
        <v>3116</v>
      </c>
      <c r="L7" s="20" t="n">
        <v>2316</v>
      </c>
    </row>
    <row r="8">
      <c r="A8" s="18" t="inlineStr">
        <is>
          <t>매출채권</t>
        </is>
      </c>
      <c r="B8" s="10" t="n"/>
      <c r="C8" s="19" t="n"/>
      <c r="D8" s="20" t="n"/>
      <c r="E8" s="20" t="n"/>
      <c r="F8" s="20" t="n"/>
      <c r="G8" s="20" t="n"/>
      <c r="H8" s="19" t="n"/>
      <c r="I8" s="20" t="n"/>
      <c r="J8" s="20" t="n"/>
      <c r="K8" s="20" t="n"/>
      <c r="L8" s="20" t="n"/>
    </row>
    <row r="9">
      <c r="A9" s="18" t="inlineStr">
        <is>
          <t>재고자산</t>
        </is>
      </c>
      <c r="B9" s="10" t="n"/>
      <c r="C9" s="19" t="n">
        <v>321553</v>
      </c>
      <c r="D9" s="20" t="n">
        <v>338672</v>
      </c>
      <c r="E9" s="20" t="n">
        <v>351655</v>
      </c>
      <c r="F9" s="20" t="n">
        <v>332872</v>
      </c>
      <c r="G9" s="20" t="n">
        <v>338296</v>
      </c>
      <c r="H9" s="19" t="n">
        <v>238950</v>
      </c>
      <c r="I9" s="20" t="n">
        <v>277281</v>
      </c>
      <c r="J9" s="20" t="n">
        <v>285239</v>
      </c>
      <c r="K9" s="20" t="n">
        <v>307533</v>
      </c>
      <c r="L9" s="20" t="n">
        <v>332872</v>
      </c>
    </row>
    <row r="10">
      <c r="A10" s="18" t="inlineStr">
        <is>
          <t>기타유동자산</t>
        </is>
      </c>
      <c r="B10" s="10" t="inlineStr">
        <is>
          <t>총계 − 위 항목</t>
        </is>
      </c>
      <c r="C10" s="19">
        <f>IF(OR(C5=""),"",IFERROR(C5-SUM(C6,C7,C8,C9),""))</f>
        <v/>
      </c>
      <c r="D10" s="20">
        <f>IF(OR(D5=""),"",IFERROR(D5-SUM(D6,D7,D8,D9),""))</f>
        <v/>
      </c>
      <c r="E10" s="20">
        <f>IF(OR(E5=""),"",IFERROR(E5-SUM(E6,E7,E8,E9),""))</f>
        <v/>
      </c>
      <c r="F10" s="20">
        <f>IF(OR(F5=""),"",IFERROR(F5-SUM(F6,F7,F8,F9),""))</f>
        <v/>
      </c>
      <c r="G10" s="20">
        <f>IF(OR(G5=""),"",IFERROR(G5-SUM(G6,G7,G8,G9),""))</f>
        <v/>
      </c>
      <c r="H10" s="19">
        <f>IF(OR(H5=""),"",IFERROR(H5-SUM(H6,H7,H8,H9),""))</f>
        <v/>
      </c>
      <c r="I10" s="20">
        <f>IF(OR(I5=""),"",IFERROR(I5-SUM(I6,I7,I8,I9),""))</f>
        <v/>
      </c>
      <c r="J10" s="20">
        <f>IF(OR(J5=""),"",IFERROR(J5-SUM(J6,J7,J8,J9),""))</f>
        <v/>
      </c>
      <c r="K10" s="20">
        <f>IF(OR(K5=""),"",IFERROR(K5-SUM(K6,K7,K8,K9),""))</f>
        <v/>
      </c>
      <c r="L10" s="20">
        <f>IF(OR(L5=""),"",IFERROR(L5-SUM(L6,L7,L8,L9),""))</f>
        <v/>
      </c>
    </row>
    <row r="11">
      <c r="A11" s="9" t="inlineStr">
        <is>
          <t>비유동자산</t>
        </is>
      </c>
      <c r="B11" s="10" t="n"/>
      <c r="C11" s="11" t="n">
        <v>507504</v>
      </c>
      <c r="D11" s="12" t="n">
        <v>514699</v>
      </c>
      <c r="E11" s="12" t="n">
        <v>442350</v>
      </c>
      <c r="F11" s="12" t="n">
        <v>428508</v>
      </c>
      <c r="G11" s="12" t="n">
        <v>445403</v>
      </c>
      <c r="H11" s="11" t="n">
        <v>325353</v>
      </c>
      <c r="I11" s="12" t="n">
        <v>432387</v>
      </c>
      <c r="J11" s="12" t="n">
        <v>479771</v>
      </c>
      <c r="K11" s="12" t="n">
        <v>490294</v>
      </c>
      <c r="L11" s="12" t="n">
        <v>428508</v>
      </c>
    </row>
    <row r="12">
      <c r="A12" s="18" t="inlineStr">
        <is>
          <t>유형자산</t>
        </is>
      </c>
      <c r="B12" s="10" t="n"/>
      <c r="C12" s="19" t="n">
        <v>148018</v>
      </c>
      <c r="D12" s="20" t="n">
        <v>150500</v>
      </c>
      <c r="E12" s="20" t="n">
        <v>153401</v>
      </c>
      <c r="F12" s="20" t="n">
        <v>150758</v>
      </c>
      <c r="G12" s="20" t="n">
        <v>156912</v>
      </c>
      <c r="H12" s="19" t="n">
        <v>88956</v>
      </c>
      <c r="I12" s="20" t="n">
        <v>101553</v>
      </c>
      <c r="J12" s="20" t="n">
        <v>133428</v>
      </c>
      <c r="K12" s="20" t="n">
        <v>146473</v>
      </c>
      <c r="L12" s="20" t="n">
        <v>150758</v>
      </c>
    </row>
    <row r="13">
      <c r="A13" s="18" t="inlineStr">
        <is>
          <t>무형자산</t>
        </is>
      </c>
      <c r="B13" s="10" t="n"/>
      <c r="C13" s="19" t="n"/>
      <c r="D13" s="20" t="n"/>
      <c r="E13" s="20" t="n"/>
      <c r="F13" s="20" t="n"/>
      <c r="G13" s="20" t="n"/>
      <c r="H13" s="19" t="n"/>
      <c r="I13" s="20" t="n"/>
      <c r="J13" s="20" t="n"/>
      <c r="K13" s="20" t="n"/>
      <c r="L13" s="20" t="n"/>
    </row>
    <row r="14">
      <c r="A14" s="18" t="inlineStr">
        <is>
          <t>투자부동산</t>
        </is>
      </c>
      <c r="B14" s="10" t="n"/>
      <c r="C14" s="19" t="n"/>
      <c r="D14" s="20" t="n"/>
      <c r="E14" s="20" t="n"/>
      <c r="F14" s="20" t="n"/>
      <c r="G14" s="20" t="n"/>
      <c r="H14" s="19" t="n"/>
      <c r="I14" s="20" t="n"/>
      <c r="J14" s="20" t="n"/>
      <c r="K14" s="20" t="n"/>
      <c r="L14" s="20" t="n"/>
    </row>
    <row r="15">
      <c r="A15" s="18" t="inlineStr">
        <is>
          <t>기타비유동자산</t>
        </is>
      </c>
      <c r="B15" s="10" t="inlineStr">
        <is>
          <t>총계 − 위 항목</t>
        </is>
      </c>
      <c r="C15" s="19">
        <f>IF(OR(C11=""),"",IFERROR(C11-SUM(C12,C13,C14),""))</f>
        <v/>
      </c>
      <c r="D15" s="20">
        <f>IF(OR(D11=""),"",IFERROR(D11-SUM(D12,D13,D14),""))</f>
        <v/>
      </c>
      <c r="E15" s="20">
        <f>IF(OR(E11=""),"",IFERROR(E11-SUM(E12,E13,E14),""))</f>
        <v/>
      </c>
      <c r="F15" s="20">
        <f>IF(OR(F11=""),"",IFERROR(F11-SUM(F12,F13,F14),""))</f>
        <v/>
      </c>
      <c r="G15" s="20">
        <f>IF(OR(G11=""),"",IFERROR(G11-SUM(G12,G13,G14),""))</f>
        <v/>
      </c>
      <c r="H15" s="19">
        <f>IF(OR(H11=""),"",IFERROR(H11-SUM(H12,H13,H14),""))</f>
        <v/>
      </c>
      <c r="I15" s="20">
        <f>IF(OR(I11=""),"",IFERROR(I11-SUM(I12,I13,I14),""))</f>
        <v/>
      </c>
      <c r="J15" s="20">
        <f>IF(OR(J11=""),"",IFERROR(J11-SUM(J12,J13,J14),""))</f>
        <v/>
      </c>
      <c r="K15" s="20">
        <f>IF(OR(K11=""),"",IFERROR(K11-SUM(K12,K13,K14),""))</f>
        <v/>
      </c>
      <c r="L15" s="20">
        <f>IF(OR(L11=""),"",IFERROR(L11-SUM(L12,L13,L14),""))</f>
        <v/>
      </c>
    </row>
    <row r="16">
      <c r="A16" s="9" t="inlineStr">
        <is>
          <t>자산총계</t>
        </is>
      </c>
      <c r="B16" s="10" t="n"/>
      <c r="C16" s="11" t="n">
        <v>1138420</v>
      </c>
      <c r="D16" s="12" t="n">
        <v>1154208</v>
      </c>
      <c r="E16" s="12" t="n">
        <v>1099827</v>
      </c>
      <c r="F16" s="12" t="n">
        <v>1075007</v>
      </c>
      <c r="G16" s="12" t="n">
        <v>1097132</v>
      </c>
      <c r="H16" s="11" t="n">
        <v>1039566</v>
      </c>
      <c r="I16" s="12" t="n">
        <v>1050267</v>
      </c>
      <c r="J16" s="12" t="n">
        <v>1147110</v>
      </c>
      <c r="K16" s="12" t="n">
        <v>1110514</v>
      </c>
      <c r="L16" s="12" t="n">
        <v>1075007</v>
      </c>
    </row>
    <row r="17">
      <c r="A17" s="16" t="inlineStr">
        <is>
          <t>부채</t>
        </is>
      </c>
      <c r="B17" s="16" t="n"/>
      <c r="C17" s="17" t="n"/>
      <c r="D17" s="16" t="n"/>
      <c r="E17" s="16" t="n"/>
      <c r="F17" s="16" t="n"/>
      <c r="G17" s="16" t="n"/>
      <c r="H17" s="17" t="n"/>
      <c r="I17" s="16" t="n"/>
      <c r="J17" s="16" t="n"/>
      <c r="K17" s="16" t="n"/>
      <c r="L17" s="16" t="n"/>
    </row>
    <row r="18">
      <c r="A18" s="9" t="inlineStr">
        <is>
          <t>유동부채</t>
        </is>
      </c>
      <c r="B18" s="10" t="n"/>
      <c r="C18" s="11" t="n">
        <v>319205</v>
      </c>
      <c r="D18" s="12" t="n">
        <v>338087</v>
      </c>
      <c r="E18" s="12" t="n">
        <v>368382</v>
      </c>
      <c r="F18" s="12" t="n">
        <v>328298</v>
      </c>
      <c r="G18" s="12" t="n">
        <v>341990</v>
      </c>
      <c r="H18" s="11" t="n">
        <v>313921</v>
      </c>
      <c r="I18" s="12" t="n">
        <v>277303</v>
      </c>
      <c r="J18" s="12" t="n">
        <v>330416</v>
      </c>
      <c r="K18" s="12" t="n">
        <v>305545</v>
      </c>
      <c r="L18" s="12" t="n">
        <v>328298</v>
      </c>
    </row>
    <row r="19">
      <c r="A19" s="18" t="inlineStr">
        <is>
          <t>매입채무</t>
        </is>
      </c>
      <c r="B19" s="10" t="n"/>
      <c r="C19" s="19" t="n"/>
      <c r="D19" s="20" t="n"/>
      <c r="E19" s="20" t="n"/>
      <c r="F19" s="20" t="n"/>
      <c r="G19" s="20" t="n"/>
      <c r="H19" s="19" t="n"/>
      <c r="I19" s="20" t="n"/>
      <c r="J19" s="20" t="n"/>
      <c r="K19" s="20" t="n"/>
      <c r="L19" s="20" t="n"/>
    </row>
    <row r="20">
      <c r="A20" s="18" t="inlineStr">
        <is>
          <t>단기차입금</t>
        </is>
      </c>
      <c r="B20" s="10" t="n"/>
      <c r="C20" s="19" t="n"/>
      <c r="D20" s="20" t="n"/>
      <c r="E20" s="20" t="n"/>
      <c r="F20" s="20" t="n"/>
      <c r="G20" s="20" t="n"/>
      <c r="H20" s="19" t="n"/>
      <c r="I20" s="20" t="n"/>
      <c r="J20" s="20" t="n"/>
      <c r="K20" s="20" t="n"/>
      <c r="L20" s="20" t="n"/>
    </row>
    <row r="21">
      <c r="A21" s="18" t="inlineStr">
        <is>
          <t>유동성장기부채</t>
        </is>
      </c>
      <c r="B21" s="10" t="n"/>
      <c r="C21" s="19" t="n"/>
      <c r="D21" s="20" t="n"/>
      <c r="E21" s="20" t="n"/>
      <c r="F21" s="20" t="n"/>
      <c r="G21" s="20" t="n"/>
      <c r="H21" s="19" t="n"/>
      <c r="I21" s="20" t="n"/>
      <c r="J21" s="20" t="n"/>
      <c r="K21" s="20" t="n"/>
      <c r="L21" s="20" t="n"/>
    </row>
    <row r="22">
      <c r="A22" s="18" t="inlineStr">
        <is>
          <t>기타유동부채</t>
        </is>
      </c>
      <c r="B22" s="10" t="inlineStr">
        <is>
          <t>총계 − 위 항목</t>
        </is>
      </c>
      <c r="C22" s="19">
        <f>IF(OR(C18=""),"",IFERROR(C18-SUM(C19,C20,C21),""))</f>
        <v/>
      </c>
      <c r="D22" s="20">
        <f>IF(OR(D18=""),"",IFERROR(D18-SUM(D19,D20,D21),""))</f>
        <v/>
      </c>
      <c r="E22" s="20">
        <f>IF(OR(E18=""),"",IFERROR(E18-SUM(E19,E20,E21),""))</f>
        <v/>
      </c>
      <c r="F22" s="20">
        <f>IF(OR(F18=""),"",IFERROR(F18-SUM(F19,F20,F21),""))</f>
        <v/>
      </c>
      <c r="G22" s="20">
        <f>IF(OR(G18=""),"",IFERROR(G18-SUM(G19,G20,G21),""))</f>
        <v/>
      </c>
      <c r="H22" s="19">
        <f>IF(OR(H18=""),"",IFERROR(H18-SUM(H19,H20,H21),""))</f>
        <v/>
      </c>
      <c r="I22" s="20">
        <f>IF(OR(I18=""),"",IFERROR(I18-SUM(I19,I20,I21),""))</f>
        <v/>
      </c>
      <c r="J22" s="20">
        <f>IF(OR(J18=""),"",IFERROR(J18-SUM(J19,J20,J21),""))</f>
        <v/>
      </c>
      <c r="K22" s="20">
        <f>IF(OR(K18=""),"",IFERROR(K18-SUM(K19,K20,K21),""))</f>
        <v/>
      </c>
      <c r="L22" s="20">
        <f>IF(OR(L18=""),"",IFERROR(L18-SUM(L19,L20,L21),""))</f>
        <v/>
      </c>
    </row>
    <row r="23">
      <c r="A23" s="9" t="inlineStr">
        <is>
          <t>비유동부채</t>
        </is>
      </c>
      <c r="B23" s="10" t="n"/>
      <c r="C23" s="11" t="n">
        <v>176489</v>
      </c>
      <c r="D23" s="12" t="n">
        <v>161498</v>
      </c>
      <c r="E23" s="12" t="n">
        <v>153822</v>
      </c>
      <c r="F23" s="12" t="n">
        <v>158513</v>
      </c>
      <c r="G23" s="12" t="n">
        <v>160382</v>
      </c>
      <c r="H23" s="11" t="n">
        <v>125679</v>
      </c>
      <c r="I23" s="12" t="n">
        <v>154614</v>
      </c>
      <c r="J23" s="12" t="n">
        <v>131602</v>
      </c>
      <c r="K23" s="12" t="n">
        <v>165746</v>
      </c>
      <c r="L23" s="12" t="n">
        <v>158513</v>
      </c>
    </row>
    <row r="24">
      <c r="A24" s="18" t="inlineStr">
        <is>
          <t>장기차입금</t>
        </is>
      </c>
      <c r="B24" s="10" t="n"/>
      <c r="C24" s="19" t="n"/>
      <c r="D24" s="20" t="n"/>
      <c r="E24" s="20" t="n"/>
      <c r="F24" s="20" t="n"/>
      <c r="G24" s="20" t="n"/>
      <c r="H24" s="19" t="n"/>
      <c r="I24" s="20" t="n"/>
      <c r="J24" s="20" t="n"/>
      <c r="K24" s="20" t="n"/>
      <c r="L24" s="20" t="n"/>
    </row>
    <row r="25">
      <c r="A25" s="18" t="inlineStr">
        <is>
          <t>사채</t>
        </is>
      </c>
      <c r="B25" s="10" t="n"/>
      <c r="C25" s="19" t="n">
        <v>132130</v>
      </c>
      <c r="D25" s="20" t="n">
        <v>116905</v>
      </c>
      <c r="E25" s="20" t="n">
        <v>116910</v>
      </c>
      <c r="F25" s="20" t="n">
        <v>122240</v>
      </c>
      <c r="G25" s="20" t="n">
        <v>122262</v>
      </c>
      <c r="H25" s="19" t="n">
        <v>92715</v>
      </c>
      <c r="I25" s="20" t="n">
        <v>107625</v>
      </c>
      <c r="J25" s="20" t="n">
        <v>78392</v>
      </c>
      <c r="K25" s="20" t="n">
        <v>122157</v>
      </c>
      <c r="L25" s="20" t="n">
        <v>122240</v>
      </c>
    </row>
    <row r="26">
      <c r="A26" s="18" t="inlineStr">
        <is>
          <t>기타비유동부채</t>
        </is>
      </c>
      <c r="B26" s="10" t="inlineStr">
        <is>
          <t>총계 − 위 항목</t>
        </is>
      </c>
      <c r="C26" s="19">
        <f>IF(OR(C23=""),"",IFERROR(C23-SUM(C24,C25),""))</f>
        <v/>
      </c>
      <c r="D26" s="20">
        <f>IF(OR(D23=""),"",IFERROR(D23-SUM(D24,D25),""))</f>
        <v/>
      </c>
      <c r="E26" s="20">
        <f>IF(OR(E23=""),"",IFERROR(E23-SUM(E24,E25),""))</f>
        <v/>
      </c>
      <c r="F26" s="20">
        <f>IF(OR(F23=""),"",IFERROR(F23-SUM(F24,F25),""))</f>
        <v/>
      </c>
      <c r="G26" s="20">
        <f>IF(OR(G23=""),"",IFERROR(G23-SUM(G24,G25),""))</f>
        <v/>
      </c>
      <c r="H26" s="19">
        <f>IF(OR(H23=""),"",IFERROR(H23-SUM(H24,H25),""))</f>
        <v/>
      </c>
      <c r="I26" s="20">
        <f>IF(OR(I23=""),"",IFERROR(I23-SUM(I24,I25),""))</f>
        <v/>
      </c>
      <c r="J26" s="20">
        <f>IF(OR(J23=""),"",IFERROR(J23-SUM(J24,J25),""))</f>
        <v/>
      </c>
      <c r="K26" s="20">
        <f>IF(OR(K23=""),"",IFERROR(K23-SUM(K24,K25),""))</f>
        <v/>
      </c>
      <c r="L26" s="20">
        <f>IF(OR(L23=""),"",IFERROR(L23-SUM(L24,L25),""))</f>
        <v/>
      </c>
    </row>
    <row r="27">
      <c r="A27" s="9" t="inlineStr">
        <is>
          <t>부채총계</t>
        </is>
      </c>
      <c r="B27" s="10" t="n"/>
      <c r="C27" s="11" t="n">
        <v>495694</v>
      </c>
      <c r="D27" s="12" t="n">
        <v>499585</v>
      </c>
      <c r="E27" s="12" t="n">
        <v>522204</v>
      </c>
      <c r="F27" s="12" t="n">
        <v>486811</v>
      </c>
      <c r="G27" s="12" t="n">
        <v>502372</v>
      </c>
      <c r="H27" s="11" t="n">
        <v>439600</v>
      </c>
      <c r="I27" s="12" t="n">
        <v>431917</v>
      </c>
      <c r="J27" s="12" t="n">
        <v>462019</v>
      </c>
      <c r="K27" s="12" t="n">
        <v>471291</v>
      </c>
      <c r="L27" s="12" t="n">
        <v>486811</v>
      </c>
    </row>
    <row r="28">
      <c r="A28" s="18" t="inlineStr">
        <is>
          <t>총차입금</t>
        </is>
      </c>
      <c r="B28" s="10" t="inlineStr">
        <is>
          <t>단기+유동성장기+장기+사채</t>
        </is>
      </c>
      <c r="C28" s="19">
        <f>SUM(C20,C21,C24,C25)</f>
        <v/>
      </c>
      <c r="D28" s="20">
        <f>SUM(D20,D21,D24,D25)</f>
        <v/>
      </c>
      <c r="E28" s="20">
        <f>SUM(E20,E21,E24,E25)</f>
        <v/>
      </c>
      <c r="F28" s="20">
        <f>SUM(F20,F21,F24,F25)</f>
        <v/>
      </c>
      <c r="G28" s="20">
        <f>SUM(G20,G21,G24,G25)</f>
        <v/>
      </c>
      <c r="H28" s="19">
        <f>SUM(H20,H21,H24,H25)</f>
        <v/>
      </c>
      <c r="I28" s="20">
        <f>SUM(I20,I21,I24,I25)</f>
        <v/>
      </c>
      <c r="J28" s="20">
        <f>SUM(J20,J21,J24,J25)</f>
        <v/>
      </c>
      <c r="K28" s="20">
        <f>SUM(K20,K21,K24,K25)</f>
        <v/>
      </c>
      <c r="L28" s="20">
        <f>SUM(L20,L21,L24,L25)</f>
        <v/>
      </c>
    </row>
    <row r="29">
      <c r="A29" s="18" t="inlineStr">
        <is>
          <t>순차입금</t>
        </is>
      </c>
      <c r="B29" s="10" t="inlineStr">
        <is>
          <t>음수 = 순현금</t>
        </is>
      </c>
      <c r="C29" s="19">
        <f>C28-C6-N(C7)</f>
        <v/>
      </c>
      <c r="D29" s="20">
        <f>D28-D6-N(D7)</f>
        <v/>
      </c>
      <c r="E29" s="20">
        <f>E28-E6-N(E7)</f>
        <v/>
      </c>
      <c r="F29" s="20">
        <f>F28-F6-N(F7)</f>
        <v/>
      </c>
      <c r="G29" s="20">
        <f>G28-G6-N(G7)</f>
        <v/>
      </c>
      <c r="H29" s="19">
        <f>H28-H6-N(H7)</f>
        <v/>
      </c>
      <c r="I29" s="20">
        <f>I28-I6-N(I7)</f>
        <v/>
      </c>
      <c r="J29" s="20">
        <f>J28-J6-N(J7)</f>
        <v/>
      </c>
      <c r="K29" s="20">
        <f>K28-K6-N(K7)</f>
        <v/>
      </c>
      <c r="L29" s="20">
        <f>L28-L6-N(L7)</f>
        <v/>
      </c>
    </row>
    <row r="30">
      <c r="A30" s="16" t="inlineStr">
        <is>
          <t>자본</t>
        </is>
      </c>
      <c r="B30" s="16" t="n"/>
      <c r="C30" s="17" t="n"/>
      <c r="D30" s="16" t="n"/>
      <c r="E30" s="16" t="n"/>
      <c r="F30" s="16" t="n"/>
      <c r="G30" s="16" t="n"/>
      <c r="H30" s="17" t="n"/>
      <c r="I30" s="16" t="n"/>
      <c r="J30" s="16" t="n"/>
      <c r="K30" s="16" t="n"/>
      <c r="L30" s="16" t="n"/>
    </row>
    <row r="31">
      <c r="A31" s="9" t="inlineStr">
        <is>
          <t>지배주주지분</t>
        </is>
      </c>
      <c r="B31" s="10" t="n"/>
      <c r="C31" s="11" t="n">
        <v>641493</v>
      </c>
      <c r="D31" s="12" t="n">
        <v>653356</v>
      </c>
      <c r="E31" s="12" t="n">
        <v>576222</v>
      </c>
      <c r="F31" s="12" t="n">
        <v>586785</v>
      </c>
      <c r="G31" s="12" t="n">
        <v>593360</v>
      </c>
      <c r="H31" s="11" t="n">
        <v>597681</v>
      </c>
      <c r="I31" s="12" t="n">
        <v>614966</v>
      </c>
      <c r="J31" s="12" t="n">
        <v>683795</v>
      </c>
      <c r="K31" s="12" t="n">
        <v>637977</v>
      </c>
      <c r="L31" s="12" t="n">
        <v>586785</v>
      </c>
    </row>
    <row r="32">
      <c r="A32" s="18" t="inlineStr">
        <is>
          <t>자본금</t>
        </is>
      </c>
      <c r="B32" s="10" t="n"/>
      <c r="C32" s="19" t="n">
        <v>65476</v>
      </c>
      <c r="D32" s="20" t="n">
        <v>65476</v>
      </c>
      <c r="E32" s="20" t="n">
        <v>65476</v>
      </c>
      <c r="F32" s="20" t="n">
        <v>65476</v>
      </c>
      <c r="G32" s="20" t="n">
        <v>65476</v>
      </c>
      <c r="H32" s="19" t="n">
        <v>65476</v>
      </c>
      <c r="I32" s="20" t="n">
        <v>65476</v>
      </c>
      <c r="J32" s="20" t="n">
        <v>65476</v>
      </c>
      <c r="K32" s="20" t="n">
        <v>65476</v>
      </c>
      <c r="L32" s="20" t="n">
        <v>65476</v>
      </c>
    </row>
    <row r="33">
      <c r="A33" s="18" t="inlineStr">
        <is>
          <t>이익잉여금</t>
        </is>
      </c>
      <c r="B33" s="10" t="n"/>
      <c r="C33" s="19" t="n">
        <v>513873</v>
      </c>
      <c r="D33" s="20" t="n">
        <v>512162</v>
      </c>
      <c r="E33" s="20" t="n">
        <v>408439</v>
      </c>
      <c r="F33" s="20" t="n">
        <v>419169</v>
      </c>
      <c r="G33" s="20" t="n">
        <v>415317</v>
      </c>
      <c r="H33" s="19" t="n">
        <v>500912</v>
      </c>
      <c r="I33" s="20" t="n">
        <v>527148</v>
      </c>
      <c r="J33" s="20" t="n">
        <v>548843</v>
      </c>
      <c r="K33" s="20" t="n">
        <v>513115</v>
      </c>
      <c r="L33" s="20" t="n">
        <v>419169</v>
      </c>
    </row>
    <row r="34">
      <c r="A34" s="18" t="inlineStr">
        <is>
          <t>비지배지분</t>
        </is>
      </c>
      <c r="B34" s="10" t="n"/>
      <c r="C34" s="19" t="n">
        <v>1232</v>
      </c>
      <c r="D34" s="20" t="n">
        <v>1268</v>
      </c>
      <c r="E34" s="20" t="n">
        <v>1401</v>
      </c>
      <c r="F34" s="20" t="n">
        <v>1411</v>
      </c>
      <c r="G34" s="20" t="n">
        <v>1400</v>
      </c>
      <c r="H34" s="19" t="n">
        <v>2285</v>
      </c>
      <c r="I34" s="20" t="n">
        <v>3384</v>
      </c>
      <c r="J34" s="20" t="n">
        <v>1297</v>
      </c>
      <c r="K34" s="20" t="n">
        <v>1246</v>
      </c>
      <c r="L34" s="20" t="n">
        <v>1411</v>
      </c>
    </row>
    <row r="35">
      <c r="A35" s="9" t="inlineStr">
        <is>
          <t>자본총계</t>
        </is>
      </c>
      <c r="B35" s="10" t="n"/>
      <c r="C35" s="11" t="n">
        <v>642726</v>
      </c>
      <c r="D35" s="12" t="n">
        <v>654624</v>
      </c>
      <c r="E35" s="12" t="n">
        <v>577623</v>
      </c>
      <c r="F35" s="12" t="n">
        <v>588196</v>
      </c>
      <c r="G35" s="12" t="n">
        <v>594760</v>
      </c>
      <c r="H35" s="11" t="n">
        <v>599967</v>
      </c>
      <c r="I35" s="12" t="n">
        <v>618351</v>
      </c>
      <c r="J35" s="12" t="n">
        <v>685091</v>
      </c>
      <c r="K35" s="12" t="n">
        <v>639223</v>
      </c>
      <c r="L35" s="12" t="n">
        <v>588196</v>
      </c>
    </row>
    <row r="36">
      <c r="A36" s="16" t="inlineStr">
        <is>
          <t>현금흐름 요약</t>
        </is>
      </c>
      <c r="B36" s="16" t="inlineStr">
        <is>
          <t>분기 = TTM (있을 때만)</t>
        </is>
      </c>
      <c r="C36" s="17" t="n"/>
      <c r="D36" s="16" t="n"/>
      <c r="E36" s="16" t="n"/>
      <c r="F36" s="16" t="n"/>
      <c r="G36" s="16" t="n"/>
      <c r="H36" s="17" t="n"/>
      <c r="I36" s="16" t="n"/>
      <c r="J36" s="16" t="n"/>
      <c r="K36" s="16" t="n"/>
      <c r="L36" s="16" t="n"/>
    </row>
    <row r="37">
      <c r="A37" s="9" t="inlineStr">
        <is>
          <t>영업활동현금흐름</t>
        </is>
      </c>
      <c r="B37" s="10" t="n"/>
      <c r="C37" s="11" t="n">
        <v>35103</v>
      </c>
      <c r="D37" s="12" t="n">
        <v>4369</v>
      </c>
      <c r="E37" s="12" t="n">
        <v>-6172</v>
      </c>
      <c r="F37" s="12" t="n">
        <v>-4439</v>
      </c>
      <c r="G37" s="12" t="n">
        <v>11686</v>
      </c>
      <c r="H37" s="11" t="n">
        <v>31351</v>
      </c>
      <c r="I37" s="12" t="n">
        <v>15</v>
      </c>
      <c r="J37" s="12" t="n">
        <v>30767</v>
      </c>
      <c r="K37" s="12" t="n">
        <v>48258</v>
      </c>
      <c r="L37" s="12" t="n">
        <v>-4439</v>
      </c>
    </row>
    <row r="38">
      <c r="A38" s="18" t="inlineStr">
        <is>
          <t>CAPEX (유·무형 취득)</t>
        </is>
      </c>
      <c r="B38" s="10" t="inlineStr">
        <is>
          <t>양수로 입력</t>
        </is>
      </c>
      <c r="C38" s="19" t="n">
        <v>71055</v>
      </c>
      <c r="D38" s="20" t="n">
        <v>61843</v>
      </c>
      <c r="E38" s="20" t="n">
        <v>58106</v>
      </c>
      <c r="F38" s="20" t="n">
        <v>55738</v>
      </c>
      <c r="G38" s="20" t="n">
        <v>56348</v>
      </c>
      <c r="H38" s="19" t="n">
        <v>23825</v>
      </c>
      <c r="I38" s="20" t="n">
        <v>33023</v>
      </c>
      <c r="J38" s="20" t="n">
        <v>55215</v>
      </c>
      <c r="K38" s="20" t="n">
        <v>69660</v>
      </c>
      <c r="L38" s="20" t="n">
        <v>55738</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18" t="inlineStr">
        <is>
          <t>배당금 지급</t>
        </is>
      </c>
      <c r="B40" s="10" t="inlineStr">
        <is>
          <t>양수로 입력</t>
        </is>
      </c>
      <c r="C40" s="19" t="n">
        <v>16972</v>
      </c>
      <c r="D40" s="20" t="n">
        <v>16882</v>
      </c>
      <c r="E40" s="20" t="n">
        <v>16470</v>
      </c>
      <c r="F40" s="20" t="n">
        <v>16447</v>
      </c>
      <c r="G40" s="20" t="n">
        <v>13259</v>
      </c>
      <c r="H40" s="19" t="n">
        <v>11024</v>
      </c>
      <c r="I40" s="20" t="n">
        <v>14522</v>
      </c>
      <c r="J40" s="20" t="n">
        <v>17310</v>
      </c>
      <c r="K40" s="20" t="n">
        <v>17321</v>
      </c>
      <c r="L40" s="20" t="n">
        <v>16447</v>
      </c>
    </row>
    <row r="41">
      <c r="A41" s="16" t="inlineStr">
        <is>
          <t>주요 재무 비율</t>
        </is>
      </c>
      <c r="B41" s="16" t="inlineStr">
        <is>
          <t>기준 (빨간 글씨 = 미달)</t>
        </is>
      </c>
      <c r="C41" s="17" t="n"/>
      <c r="D41" s="16" t="n"/>
      <c r="E41" s="16" t="n"/>
      <c r="F41" s="16" t="n"/>
      <c r="G41" s="16" t="n"/>
      <c r="H41" s="17" t="n"/>
      <c r="I41" s="16" t="n"/>
      <c r="J41" s="16" t="n"/>
      <c r="K41" s="16" t="n"/>
      <c r="L41" s="16" t="n"/>
    </row>
    <row r="42">
      <c r="A42" s="23" t="inlineStr">
        <is>
          <t>안정성</t>
        </is>
      </c>
      <c r="B42" s="23" t="n"/>
      <c r="C42" s="24" t="n"/>
      <c r="D42" s="23" t="n"/>
      <c r="E42" s="23" t="n"/>
      <c r="F42" s="23" t="n"/>
      <c r="G42" s="23" t="n"/>
      <c r="H42" s="24" t="n"/>
      <c r="I42" s="23" t="n"/>
      <c r="J42" s="23" t="n"/>
      <c r="K42" s="23" t="n"/>
      <c r="L42" s="23" t="n"/>
    </row>
    <row r="43">
      <c r="A43" s="45" t="inlineStr">
        <is>
          <t>부채비율</t>
        </is>
      </c>
      <c r="B43" s="10" t="inlineStr">
        <is>
          <t>100%↓</t>
        </is>
      </c>
      <c r="C43" s="35">
        <f>IF(OR(C27="",C35=""),"",IFERROR(C27/C35,""))</f>
        <v/>
      </c>
      <c r="D43" s="36">
        <f>IF(OR(D27="",D35=""),"",IFERROR(D27/D35,""))</f>
        <v/>
      </c>
      <c r="E43" s="36">
        <f>IF(OR(E27="",E35=""),"",IFERROR(E27/E35,""))</f>
        <v/>
      </c>
      <c r="F43" s="36">
        <f>IF(OR(F27="",F35=""),"",IFERROR(F27/F35,""))</f>
        <v/>
      </c>
      <c r="G43" s="36">
        <f>IF(OR(G27="",G35=""),"",IFERROR(G27/G35,""))</f>
        <v/>
      </c>
      <c r="H43" s="35">
        <f>IF(OR(H27="",H35=""),"",IFERROR(H27/H35,""))</f>
        <v/>
      </c>
      <c r="I43" s="36">
        <f>IF(OR(I27="",I35=""),"",IFERROR(I27/I35,""))</f>
        <v/>
      </c>
      <c r="J43" s="36">
        <f>IF(OR(J27="",J35=""),"",IFERROR(J27/J35,""))</f>
        <v/>
      </c>
      <c r="K43" s="36">
        <f>IF(OR(K27="",K35=""),"",IFERROR(K27/K35,""))</f>
        <v/>
      </c>
      <c r="L43" s="36">
        <f>IF(OR(L27="",L35=""),"",IFERROR(L27/L35,""))</f>
        <v/>
      </c>
    </row>
    <row r="44">
      <c r="A44" s="45" t="inlineStr">
        <is>
          <t>순차입금비율</t>
        </is>
      </c>
      <c r="B44" s="10" t="inlineStr">
        <is>
          <t>0%↓ 순현금</t>
        </is>
      </c>
      <c r="C44" s="35">
        <f>IF(OR(C29="",C35=""),"",IFERROR(C29/C35,""))</f>
        <v/>
      </c>
      <c r="D44" s="36">
        <f>IF(OR(D29="",D35=""),"",IFERROR(D29/D35,""))</f>
        <v/>
      </c>
      <c r="E44" s="36">
        <f>IF(OR(E29="",E35=""),"",IFERROR(E29/E35,""))</f>
        <v/>
      </c>
      <c r="F44" s="36">
        <f>IF(OR(F29="",F35=""),"",IFERROR(F29/F35,""))</f>
        <v/>
      </c>
      <c r="G44" s="36">
        <f>IF(OR(G29="",G35=""),"",IFERROR(G29/G35,""))</f>
        <v/>
      </c>
      <c r="H44" s="35">
        <f>IF(OR(H29="",H35=""),"",IFERROR(H29/H35,""))</f>
        <v/>
      </c>
      <c r="I44" s="36">
        <f>IF(OR(I29="",I35=""),"",IFERROR(I29/I35,""))</f>
        <v/>
      </c>
      <c r="J44" s="36">
        <f>IF(OR(J29="",J35=""),"",IFERROR(J29/J35,""))</f>
        <v/>
      </c>
      <c r="K44" s="36">
        <f>IF(OR(K29="",K35=""),"",IFERROR(K29/K35,""))</f>
        <v/>
      </c>
      <c r="L44" s="36">
        <f>IF(OR(L29="",L35=""),"",IFERROR(L29/L35,""))</f>
        <v/>
      </c>
    </row>
    <row r="45">
      <c r="A45" s="45" t="inlineStr">
        <is>
          <t>자기자본비율</t>
        </is>
      </c>
      <c r="B45" s="10" t="inlineStr">
        <is>
          <t>50%↑</t>
        </is>
      </c>
      <c r="C45" s="35">
        <f>IF(OR(C35="",C16=""),"",IFERROR(C35/C16,""))</f>
        <v/>
      </c>
      <c r="D45" s="36">
        <f>IF(OR(D35="",D16=""),"",IFERROR(D35/D16,""))</f>
        <v/>
      </c>
      <c r="E45" s="36">
        <f>IF(OR(E35="",E16=""),"",IFERROR(E35/E16,""))</f>
        <v/>
      </c>
      <c r="F45" s="36">
        <f>IF(OR(F35="",F16=""),"",IFERROR(F35/F16,""))</f>
        <v/>
      </c>
      <c r="G45" s="36">
        <f>IF(OR(G35="",G16=""),"",IFERROR(G35/G16,""))</f>
        <v/>
      </c>
      <c r="H45" s="35">
        <f>IF(OR(H35="",H16=""),"",IFERROR(H35/H16,""))</f>
        <v/>
      </c>
      <c r="I45" s="36">
        <f>IF(OR(I35="",I16=""),"",IFERROR(I35/I16,""))</f>
        <v/>
      </c>
      <c r="J45" s="36">
        <f>IF(OR(J35="",J16=""),"",IFERROR(J35/J16,""))</f>
        <v/>
      </c>
      <c r="K45" s="36">
        <f>IF(OR(K35="",K16=""),"",IFERROR(K35/K16,""))</f>
        <v/>
      </c>
      <c r="L45" s="36">
        <f>IF(OR(L35="",L16=""),"",IFERROR(L35/L16,""))</f>
        <v/>
      </c>
    </row>
    <row r="46">
      <c r="A46" s="45" t="inlineStr">
        <is>
          <t>유동비율</t>
        </is>
      </c>
      <c r="B46" s="10" t="inlineStr">
        <is>
          <t>150%↑</t>
        </is>
      </c>
      <c r="C46" s="35">
        <f>IF(OR(C5="",C18=""),"",IFERROR(C5/C18,""))</f>
        <v/>
      </c>
      <c r="D46" s="36">
        <f>IF(OR(D5="",D18=""),"",IFERROR(D5/D18,""))</f>
        <v/>
      </c>
      <c r="E46" s="36">
        <f>IF(OR(E5="",E18=""),"",IFERROR(E5/E18,""))</f>
        <v/>
      </c>
      <c r="F46" s="36">
        <f>IF(OR(F5="",F18=""),"",IFERROR(F5/F18,""))</f>
        <v/>
      </c>
      <c r="G46" s="36">
        <f>IF(OR(G5="",G18=""),"",IFERROR(G5/G18,""))</f>
        <v/>
      </c>
      <c r="H46" s="35">
        <f>IF(OR(H5="",H18=""),"",IFERROR(H5/H18,""))</f>
        <v/>
      </c>
      <c r="I46" s="36">
        <f>IF(OR(I5="",I18=""),"",IFERROR(I5/I18,""))</f>
        <v/>
      </c>
      <c r="J46" s="36">
        <f>IF(OR(J5="",J18=""),"",IFERROR(J5/J18,""))</f>
        <v/>
      </c>
      <c r="K46" s="36">
        <f>IF(OR(K5="",K18=""),"",IFERROR(K5/K18,""))</f>
        <v/>
      </c>
      <c r="L46" s="36">
        <f>IF(OR(L5="",L18=""),"",IFERROR(L5/L18,""))</f>
        <v/>
      </c>
    </row>
    <row r="47">
      <c r="A47" s="45" t="inlineStr">
        <is>
          <t>당좌비율</t>
        </is>
      </c>
      <c r="B47" s="10" t="inlineStr">
        <is>
          <t>100%↑</t>
        </is>
      </c>
      <c r="C47" s="35">
        <f>IF(OR(C5="",C18=""),"",IFERROR((C5-N(C9))/C18,""))</f>
        <v/>
      </c>
      <c r="D47" s="36">
        <f>IF(OR(D5="",D18=""),"",IFERROR((D5-N(D9))/D18,""))</f>
        <v/>
      </c>
      <c r="E47" s="36">
        <f>IF(OR(E5="",E18=""),"",IFERROR((E5-N(E9))/E18,""))</f>
        <v/>
      </c>
      <c r="F47" s="36">
        <f>IF(OR(F5="",F18=""),"",IFERROR((F5-N(F9))/F18,""))</f>
        <v/>
      </c>
      <c r="G47" s="36">
        <f>IF(OR(G5="",G18=""),"",IFERROR((G5-N(G9))/G18,""))</f>
        <v/>
      </c>
      <c r="H47" s="35">
        <f>IF(OR(H5="",H18=""),"",IFERROR((H5-N(H9))/H18,""))</f>
        <v/>
      </c>
      <c r="I47" s="36">
        <f>IF(OR(I5="",I18=""),"",IFERROR((I5-N(I9))/I18,""))</f>
        <v/>
      </c>
      <c r="J47" s="36">
        <f>IF(OR(J5="",J18=""),"",IFERROR((J5-N(J9))/J18,""))</f>
        <v/>
      </c>
      <c r="K47" s="36">
        <f>IF(OR(K5="",K18=""),"",IFERROR((K5-N(K9))/K18,""))</f>
        <v/>
      </c>
      <c r="L47" s="36">
        <f>IF(OR(L5="",L18=""),"",IFERROR((L5-N(L9))/L18,""))</f>
        <v/>
      </c>
    </row>
    <row r="48">
      <c r="A48" s="45" t="inlineStr">
        <is>
          <t>이자보상배율</t>
        </is>
      </c>
      <c r="B48" s="10" t="inlineStr">
        <is>
          <t>5x↑ (금융원가 기준)</t>
        </is>
      </c>
      <c r="C48" s="30">
        <f>IFERROR((IF(COUNT('연간'!G40:J40)&lt;4,"",SUM('연간'!G40:J40)))/(IF(COUNT('연간'!G62:J62)&lt;4,"",SUM('연간'!G62:J62))),"")</f>
        <v/>
      </c>
      <c r="D48" s="31">
        <f>IFERROR((IF(COUNT('연간'!H40:K40)&lt;4,"",SUM('연간'!H40:K40)))/(IF(COUNT('연간'!H62:K62)&lt;4,"",SUM('연간'!H62:K62))),"")</f>
        <v/>
      </c>
      <c r="E48" s="31">
        <f>IFERROR((IF(COUNT('연간'!I40:L40)&lt;4,"",SUM('연간'!I40:L40)))/(IF(COUNT('연간'!I62:L62)&lt;4,"",SUM('연간'!I62:L62))),"")</f>
        <v/>
      </c>
      <c r="F48" s="31">
        <f>IFERROR((IF(COUNT('연간'!J40:M40)&lt;4,"",SUM('연간'!J40:M40)))/(IF(COUNT('연간'!J62:M62)&lt;4,"",SUM('연간'!J62:M62))),"")</f>
        <v/>
      </c>
      <c r="G48" s="31">
        <f>IFERROR((IF(COUNT('연간'!K40:N40)&lt;4,"",SUM('연간'!K40:N40)))/(IF(COUNT('연간'!K62:N62)&lt;4,"",SUM('연간'!K62:N62))),"")</f>
        <v/>
      </c>
      <c r="H48" s="30">
        <f>IFERROR(('연간'!T40)/('연간'!T62),"")</f>
        <v/>
      </c>
      <c r="I48" s="31">
        <f>IFERROR(('연간'!U40)/('연간'!U62),"")</f>
        <v/>
      </c>
      <c r="J48" s="31">
        <f>IFERROR(('연간'!V40)/('연간'!V62),"")</f>
        <v/>
      </c>
      <c r="K48" s="31">
        <f>IFERROR(('연간'!W40)/('연간'!W62),"")</f>
        <v/>
      </c>
      <c r="L48" s="31">
        <f>IFERROR(('연간'!X40)/('연간'!X62),"")</f>
        <v/>
      </c>
    </row>
    <row r="49">
      <c r="A49" s="45" t="inlineStr">
        <is>
          <t>차입금 상환연수</t>
        </is>
      </c>
      <c r="B49" s="10" t="inlineStr">
        <is>
          <t>4년↓ (버핏)</t>
        </is>
      </c>
      <c r="C49" s="46">
        <f>IFERROR(IF((IF(COUNT('연간'!G70:J70)&lt;4,"",SUM('연간'!G70:J70)))&lt;=0,"적자",C28/(IF(COUNT('연간'!G70:J70)&lt;4,"",SUM('연간'!G70:J70)))),"")</f>
        <v/>
      </c>
      <c r="D49" s="47">
        <f>IFERROR(IF((IF(COUNT('연간'!H70:K70)&lt;4,"",SUM('연간'!H70:K70)))&lt;=0,"적자",D28/(IF(COUNT('연간'!H70:K70)&lt;4,"",SUM('연간'!H70:K70)))),"")</f>
        <v/>
      </c>
      <c r="E49" s="47">
        <f>IFERROR(IF((IF(COUNT('연간'!I70:L70)&lt;4,"",SUM('연간'!I70:L70)))&lt;=0,"적자",E28/(IF(COUNT('연간'!I70:L70)&lt;4,"",SUM('연간'!I70:L70)))),"")</f>
        <v/>
      </c>
      <c r="F49" s="47">
        <f>IFERROR(IF((IF(COUNT('연간'!J70:M70)&lt;4,"",SUM('연간'!J70:M70)))&lt;=0,"적자",F28/(IF(COUNT('연간'!J70:M70)&lt;4,"",SUM('연간'!J70:M70)))),"")</f>
        <v/>
      </c>
      <c r="G49" s="47">
        <f>IFERROR(IF((IF(COUNT('연간'!K70:N70)&lt;4,"",SUM('연간'!K70:N70)))&lt;=0,"적자",G28/(IF(COUNT('연간'!K70:N70)&lt;4,"",SUM('연간'!K70:N70)))),"")</f>
        <v/>
      </c>
      <c r="H49" s="46">
        <f>IFERROR(IF(('연간'!T70)&lt;=0,"적자",H28/('연간'!T70)),"")</f>
        <v/>
      </c>
      <c r="I49" s="47">
        <f>IFERROR(IF(('연간'!U70)&lt;=0,"적자",I28/('연간'!U70)),"")</f>
        <v/>
      </c>
      <c r="J49" s="47">
        <f>IFERROR(IF(('연간'!V70)&lt;=0,"적자",J28/('연간'!V70)),"")</f>
        <v/>
      </c>
      <c r="K49" s="47">
        <f>IFERROR(IF(('연간'!W70)&lt;=0,"적자",K28/('연간'!W70)),"")</f>
        <v/>
      </c>
      <c r="L49" s="47">
        <f>IFERROR(IF(('연간'!X70)&lt;=0,"적자",L28/('연간'!X70)),"")</f>
        <v/>
      </c>
    </row>
    <row r="50">
      <c r="A50" s="23" t="inlineStr">
        <is>
          <t>수익성</t>
        </is>
      </c>
      <c r="B50" s="23" t="n"/>
      <c r="C50" s="24" t="n"/>
      <c r="D50" s="23" t="n"/>
      <c r="E50" s="23" t="n"/>
      <c r="F50" s="23" t="n"/>
      <c r="G50" s="23" t="n"/>
      <c r="H50" s="24" t="n"/>
      <c r="I50" s="23" t="n"/>
      <c r="J50" s="23" t="n"/>
      <c r="K50" s="23" t="n"/>
      <c r="L50" s="23" t="n"/>
    </row>
    <row r="51">
      <c r="A51" s="45" t="inlineStr">
        <is>
          <t>ROE</t>
        </is>
      </c>
      <c r="B51" s="10" t="inlineStr">
        <is>
          <t>15%↑ (버핏)</t>
        </is>
      </c>
      <c r="C51" s="35">
        <f>IFERROR((IF(COUNT('연간'!G70:J70)&lt;4,"",SUM('연간'!G70:J70)))/C31,"")</f>
        <v/>
      </c>
      <c r="D51" s="36">
        <f>IFERROR((IF(COUNT('연간'!H70:K70)&lt;4,"",SUM('연간'!H70:K70)))/D31,"")</f>
        <v/>
      </c>
      <c r="E51" s="36">
        <f>IFERROR((IF(COUNT('연간'!I70:L70)&lt;4,"",SUM('연간'!I70:L70)))/E31,"")</f>
        <v/>
      </c>
      <c r="F51" s="36">
        <f>IFERROR((IF(COUNT('연간'!J70:M70)&lt;4,"",SUM('연간'!J70:M70)))/F31,"")</f>
        <v/>
      </c>
      <c r="G51" s="36">
        <f>IFERROR((IF(COUNT('연간'!K70:N70)&lt;4,"",SUM('연간'!K70:N70)))/G31,"")</f>
        <v/>
      </c>
      <c r="H51" s="35">
        <f>IFERROR(('연간'!T70)/H31,"")</f>
        <v/>
      </c>
      <c r="I51" s="36">
        <f>IFERROR(('연간'!U70)/I31,"")</f>
        <v/>
      </c>
      <c r="J51" s="36">
        <f>IFERROR(('연간'!V70)/J31,"")</f>
        <v/>
      </c>
      <c r="K51" s="36">
        <f>IFERROR(('연간'!W70)/K31,"")</f>
        <v/>
      </c>
      <c r="L51" s="36">
        <f>IFERROR(('연간'!X70)/L31,"")</f>
        <v/>
      </c>
    </row>
    <row r="52">
      <c r="A52" s="45" t="inlineStr">
        <is>
          <t>ROA</t>
        </is>
      </c>
      <c r="B52" s="10" t="inlineStr">
        <is>
          <t>5%↑</t>
        </is>
      </c>
      <c r="C52" s="35">
        <f>IFERROR((IF(COUNT('연간'!G68:J68)&lt;4,"",SUM('연간'!G68:J68)))/C16,"")</f>
        <v/>
      </c>
      <c r="D52" s="36">
        <f>IFERROR((IF(COUNT('연간'!H68:K68)&lt;4,"",SUM('연간'!H68:K68)))/D16,"")</f>
        <v/>
      </c>
      <c r="E52" s="36">
        <f>IFERROR((IF(COUNT('연간'!I68:L68)&lt;4,"",SUM('연간'!I68:L68)))/E16,"")</f>
        <v/>
      </c>
      <c r="F52" s="36">
        <f>IFERROR((IF(COUNT('연간'!J68:M68)&lt;4,"",SUM('연간'!J68:M68)))/F16,"")</f>
        <v/>
      </c>
      <c r="G52" s="36">
        <f>IFERROR((IF(COUNT('연간'!K68:N68)&lt;4,"",SUM('연간'!K68:N68)))/G16,"")</f>
        <v/>
      </c>
      <c r="H52" s="35">
        <f>IFERROR(('연간'!T68)/H16,"")</f>
        <v/>
      </c>
      <c r="I52" s="36">
        <f>IFERROR(('연간'!U68)/I16,"")</f>
        <v/>
      </c>
      <c r="J52" s="36">
        <f>IFERROR(('연간'!V68)/J16,"")</f>
        <v/>
      </c>
      <c r="K52" s="36">
        <f>IFERROR(('연간'!W68)/K16,"")</f>
        <v/>
      </c>
      <c r="L52" s="36">
        <f>IFERROR(('연간'!X68)/L16,"")</f>
        <v/>
      </c>
    </row>
    <row r="53">
      <c r="A53" s="45" t="inlineStr">
        <is>
          <t>ROIC</t>
        </is>
      </c>
      <c r="B53" s="10" t="inlineStr">
        <is>
          <t>10%↑ (세후영업이익 기준)</t>
        </is>
      </c>
      <c r="C53" s="35">
        <f>IFERROR((IF(COUNT('연간'!G40:J40)&lt;4,"",SUM('연간'!G40:J40)))*(1-0.3)/(C35+C29),"")</f>
        <v/>
      </c>
      <c r="D53" s="36">
        <f>IFERROR((IF(COUNT('연간'!H40:K40)&lt;4,"",SUM('연간'!H40:K40)))*(1-0.3)/(D35+D29),"")</f>
        <v/>
      </c>
      <c r="E53" s="36">
        <f>IFERROR((IF(COUNT('연간'!I40:L40)&lt;4,"",SUM('연간'!I40:L40)))*(1-0.3)/(E35+E29),"")</f>
        <v/>
      </c>
      <c r="F53" s="36">
        <f>IFERROR((IF(COUNT('연간'!J40:M40)&lt;4,"",SUM('연간'!J40:M40)))*(1-0.3)/(F35+F29),"")</f>
        <v/>
      </c>
      <c r="G53" s="36">
        <f>IFERROR((IF(COUNT('연간'!K40:N40)&lt;4,"",SUM('연간'!K40:N40)))*(1-0.3)/(G35+G29),"")</f>
        <v/>
      </c>
      <c r="H53" s="35">
        <f>IFERROR(('연간'!T40)*(1-0.3)/(H35+H29),"")</f>
        <v/>
      </c>
      <c r="I53" s="36">
        <f>IFERROR(('연간'!U40)*(1-0.3)/(I35+I29),"")</f>
        <v/>
      </c>
      <c r="J53" s="36">
        <f>IFERROR(('연간'!V40)*(1-0.3)/(J35+J29),"")</f>
        <v/>
      </c>
      <c r="K53" s="36">
        <f>IFERROR(('연간'!W40)*(1-0.3)/(K35+K29),"")</f>
        <v/>
      </c>
      <c r="L53" s="36">
        <f>IFERROR(('연간'!X40)*(1-0.3)/(L35+L29),"")</f>
        <v/>
      </c>
    </row>
    <row r="54">
      <c r="A54" s="45" t="inlineStr">
        <is>
          <t>매출총이익률 (GPM)</t>
        </is>
      </c>
      <c r="B54" s="10" t="inlineStr">
        <is>
          <t>40%↑ (해자 신호)</t>
        </is>
      </c>
      <c r="C54" s="35">
        <f>IFERROR((IF(COUNT('연간'!G34:J34)&lt;4,"",SUM('연간'!G34:J34)))/(IF(COUNT('연간'!G4:J4)&lt;4,"",SUM('연간'!G4:J4))),"")</f>
        <v/>
      </c>
      <c r="D54" s="36">
        <f>IFERROR((IF(COUNT('연간'!H34:K34)&lt;4,"",SUM('연간'!H34:K34)))/(IF(COUNT('연간'!H4:K4)&lt;4,"",SUM('연간'!H4:K4))),"")</f>
        <v/>
      </c>
      <c r="E54" s="36">
        <f>IFERROR((IF(COUNT('연간'!I34:L34)&lt;4,"",SUM('연간'!I34:L34)))/(IF(COUNT('연간'!I4:L4)&lt;4,"",SUM('연간'!I4:L4))),"")</f>
        <v/>
      </c>
      <c r="F54" s="36">
        <f>IFERROR((IF(COUNT('연간'!J34:M34)&lt;4,"",SUM('연간'!J34:M34)))/(IF(COUNT('연간'!J4:M4)&lt;4,"",SUM('연간'!J4:M4))),"")</f>
        <v/>
      </c>
      <c r="G54" s="36">
        <f>IFERROR((IF(COUNT('연간'!K34:N34)&lt;4,"",SUM('연간'!K34:N34)))/(IF(COUNT('연간'!K4:N4)&lt;4,"",SUM('연간'!K4:N4))),"")</f>
        <v/>
      </c>
      <c r="H54" s="35">
        <f>IFERROR(('연간'!T34)/('연간'!T4),"")</f>
        <v/>
      </c>
      <c r="I54" s="36">
        <f>IFERROR(('연간'!U34)/('연간'!U4),"")</f>
        <v/>
      </c>
      <c r="J54" s="36">
        <f>IFERROR(('연간'!V34)/('연간'!V4),"")</f>
        <v/>
      </c>
      <c r="K54" s="36">
        <f>IFERROR(('연간'!W34)/('연간'!W4),"")</f>
        <v/>
      </c>
      <c r="L54" s="36">
        <f>IFERROR(('연간'!X34)/('연간'!X4),"")</f>
        <v/>
      </c>
    </row>
    <row r="55">
      <c r="A55" s="45" t="inlineStr">
        <is>
          <t>영업이익률 (OPM)</t>
        </is>
      </c>
      <c r="B55" s="10" t="inlineStr">
        <is>
          <t>15%↑</t>
        </is>
      </c>
      <c r="C55" s="35">
        <f>IFERROR((IF(COUNT('연간'!G40:J40)&lt;4,"",SUM('연간'!G40:J40)))/(IF(COUNT('연간'!G4:J4)&lt;4,"",SUM('연간'!G4:J4))),"")</f>
        <v/>
      </c>
      <c r="D55" s="36">
        <f>IFERROR((IF(COUNT('연간'!H40:K40)&lt;4,"",SUM('연간'!H40:K40)))/(IF(COUNT('연간'!H4:K4)&lt;4,"",SUM('연간'!H4:K4))),"")</f>
        <v/>
      </c>
      <c r="E55" s="36">
        <f>IFERROR((IF(COUNT('연간'!I40:L40)&lt;4,"",SUM('연간'!I40:L40)))/(IF(COUNT('연간'!I4:L4)&lt;4,"",SUM('연간'!I4:L4))),"")</f>
        <v/>
      </c>
      <c r="F55" s="36">
        <f>IFERROR((IF(COUNT('연간'!J40:M40)&lt;4,"",SUM('연간'!J40:M40)))/(IF(COUNT('연간'!J4:M4)&lt;4,"",SUM('연간'!J4:M4))),"")</f>
        <v/>
      </c>
      <c r="G55" s="36">
        <f>IFERROR((IF(COUNT('연간'!K40:N40)&lt;4,"",SUM('연간'!K40:N40)))/(IF(COUNT('연간'!K4:N4)&lt;4,"",SUM('연간'!K4:N4))),"")</f>
        <v/>
      </c>
      <c r="H55" s="35">
        <f>IFERROR(('연간'!T40)/('연간'!T4),"")</f>
        <v/>
      </c>
      <c r="I55" s="36">
        <f>IFERROR(('연간'!U40)/('연간'!U4),"")</f>
        <v/>
      </c>
      <c r="J55" s="36">
        <f>IFERROR(('연간'!V40)/('연간'!V4),"")</f>
        <v/>
      </c>
      <c r="K55" s="36">
        <f>IFERROR(('연간'!W40)/('연간'!W4),"")</f>
        <v/>
      </c>
      <c r="L55" s="36">
        <f>IFERROR(('연간'!X40)/('연간'!X4),"")</f>
        <v/>
      </c>
    </row>
    <row r="56">
      <c r="A56" s="45" t="inlineStr">
        <is>
          <t>순이익률</t>
        </is>
      </c>
      <c r="B56" s="10" t="inlineStr">
        <is>
          <t>10%↑</t>
        </is>
      </c>
      <c r="C56" s="35">
        <f>IFERROR((IF(COUNT('연간'!G68:J68)&lt;4,"",SUM('연간'!G68:J68)))/(IF(COUNT('연간'!G4:J4)&lt;4,"",SUM('연간'!G4:J4))),"")</f>
        <v/>
      </c>
      <c r="D56" s="36">
        <f>IFERROR((IF(COUNT('연간'!H68:K68)&lt;4,"",SUM('연간'!H68:K68)))/(IF(COUNT('연간'!H4:K4)&lt;4,"",SUM('연간'!H4:K4))),"")</f>
        <v/>
      </c>
      <c r="E56" s="36">
        <f>IFERROR((IF(COUNT('연간'!I68:L68)&lt;4,"",SUM('연간'!I68:L68)))/(IF(COUNT('연간'!I4:L4)&lt;4,"",SUM('연간'!I4:L4))),"")</f>
        <v/>
      </c>
      <c r="F56" s="36">
        <f>IFERROR((IF(COUNT('연간'!J68:M68)&lt;4,"",SUM('연간'!J68:M68)))/(IF(COUNT('연간'!J4:M4)&lt;4,"",SUM('연간'!J4:M4))),"")</f>
        <v/>
      </c>
      <c r="G56" s="36">
        <f>IFERROR((IF(COUNT('연간'!K68:N68)&lt;4,"",SUM('연간'!K68:N68)))/(IF(COUNT('연간'!K4:N4)&lt;4,"",SUM('연간'!K4:N4))),"")</f>
        <v/>
      </c>
      <c r="H56" s="35">
        <f>IFERROR(('연간'!T68)/('연간'!T4),"")</f>
        <v/>
      </c>
      <c r="I56" s="36">
        <f>IFERROR(('연간'!U68)/('연간'!U4),"")</f>
        <v/>
      </c>
      <c r="J56" s="36">
        <f>IFERROR(('연간'!V68)/('연간'!V4),"")</f>
        <v/>
      </c>
      <c r="K56" s="36">
        <f>IFERROR(('연간'!W68)/('연간'!W4),"")</f>
        <v/>
      </c>
      <c r="L56" s="36">
        <f>IFERROR(('연간'!X68)/('연간'!X4),"")</f>
        <v/>
      </c>
    </row>
    <row r="57">
      <c r="A57" s="23" t="inlineStr">
        <is>
          <t>효율성 (회전율)</t>
        </is>
      </c>
      <c r="B57" s="23" t="n"/>
      <c r="C57" s="24" t="n"/>
      <c r="D57" s="23" t="n"/>
      <c r="E57" s="23" t="n"/>
      <c r="F57" s="23" t="n"/>
      <c r="G57" s="23" t="n"/>
      <c r="H57" s="24" t="n"/>
      <c r="I57" s="23" t="n"/>
      <c r="J57" s="23" t="n"/>
      <c r="K57" s="23" t="n"/>
      <c r="L57" s="23" t="n"/>
    </row>
    <row r="58">
      <c r="A58" s="45" t="inlineStr">
        <is>
          <t>총자산회전율</t>
        </is>
      </c>
      <c r="B58" s="10" t="inlineStr">
        <is>
          <t>높을수록↑</t>
        </is>
      </c>
      <c r="C58" s="30">
        <f>IFERROR((IF(COUNT('연간'!G4:J4)&lt;4,"",SUM('연간'!G4:J4)))/C16,"")</f>
        <v/>
      </c>
      <c r="D58" s="31">
        <f>IFERROR((IF(COUNT('연간'!H4:K4)&lt;4,"",SUM('연간'!H4:K4)))/D16,"")</f>
        <v/>
      </c>
      <c r="E58" s="31">
        <f>IFERROR((IF(COUNT('연간'!I4:L4)&lt;4,"",SUM('연간'!I4:L4)))/E16,"")</f>
        <v/>
      </c>
      <c r="F58" s="31">
        <f>IFERROR((IF(COUNT('연간'!J4:M4)&lt;4,"",SUM('연간'!J4:M4)))/F16,"")</f>
        <v/>
      </c>
      <c r="G58" s="31">
        <f>IFERROR((IF(COUNT('연간'!K4:N4)&lt;4,"",SUM('연간'!K4:N4)))/G16,"")</f>
        <v/>
      </c>
      <c r="H58" s="30">
        <f>IFERROR(('연간'!T4)/H16,"")</f>
        <v/>
      </c>
      <c r="I58" s="31">
        <f>IFERROR(('연간'!U4)/I16,"")</f>
        <v/>
      </c>
      <c r="J58" s="31">
        <f>IFERROR(('연간'!V4)/J16,"")</f>
        <v/>
      </c>
      <c r="K58" s="31">
        <f>IFERROR(('연간'!W4)/K16,"")</f>
        <v/>
      </c>
      <c r="L58" s="31">
        <f>IFERROR(('연간'!X4)/L16,"")</f>
        <v/>
      </c>
    </row>
    <row r="59">
      <c r="A59" s="45" t="inlineStr">
        <is>
          <t>매출채권회전일수</t>
        </is>
      </c>
      <c r="B59" s="10" t="inlineStr">
        <is>
          <t>짧을수록↑</t>
        </is>
      </c>
      <c r="C59" s="48">
        <f>IFERROR(C8/(IF(COUNT('연간'!G4:J4)&lt;4,"",SUM('연간'!G4:J4)))*365,"")</f>
        <v/>
      </c>
      <c r="D59" s="49">
        <f>IFERROR(D8/(IF(COUNT('연간'!H4:K4)&lt;4,"",SUM('연간'!H4:K4)))*365,"")</f>
        <v/>
      </c>
      <c r="E59" s="49">
        <f>IFERROR(E8/(IF(COUNT('연간'!I4:L4)&lt;4,"",SUM('연간'!I4:L4)))*365,"")</f>
        <v/>
      </c>
      <c r="F59" s="49">
        <f>IFERROR(F8/(IF(COUNT('연간'!J4:M4)&lt;4,"",SUM('연간'!J4:M4)))*365,"")</f>
        <v/>
      </c>
      <c r="G59" s="49">
        <f>IFERROR(G8/(IF(COUNT('연간'!K4:N4)&lt;4,"",SUM('연간'!K4:N4)))*365,"")</f>
        <v/>
      </c>
      <c r="H59" s="48">
        <f>IFERROR(H8/('연간'!T4)*365,"")</f>
        <v/>
      </c>
      <c r="I59" s="49">
        <f>IFERROR(I8/('연간'!U4)*365,"")</f>
        <v/>
      </c>
      <c r="J59" s="49">
        <f>IFERROR(J8/('연간'!V4)*365,"")</f>
        <v/>
      </c>
      <c r="K59" s="49">
        <f>IFERROR(K8/('연간'!W4)*365,"")</f>
        <v/>
      </c>
      <c r="L59" s="49">
        <f>IFERROR(L8/('연간'!X4)*365,"")</f>
        <v/>
      </c>
    </row>
    <row r="60">
      <c r="A60" s="45" t="inlineStr">
        <is>
          <t>재고자산회전일수</t>
        </is>
      </c>
      <c r="B60" s="10" t="inlineStr">
        <is>
          <t>짧을수록↑</t>
        </is>
      </c>
      <c r="C60" s="48">
        <f>IFERROR(C9/(IF(COUNT('연간'!G32:J32)&lt;4,"",SUM('연간'!G32:J32)))*365,"")</f>
        <v/>
      </c>
      <c r="D60" s="49">
        <f>IFERROR(D9/(IF(COUNT('연간'!H32:K32)&lt;4,"",SUM('연간'!H32:K32)))*365,"")</f>
        <v/>
      </c>
      <c r="E60" s="49">
        <f>IFERROR(E9/(IF(COUNT('연간'!I32:L32)&lt;4,"",SUM('연간'!I32:L32)))*365,"")</f>
        <v/>
      </c>
      <c r="F60" s="49">
        <f>IFERROR(F9/(IF(COUNT('연간'!J32:M32)&lt;4,"",SUM('연간'!J32:M32)))*365,"")</f>
        <v/>
      </c>
      <c r="G60" s="49">
        <f>IFERROR(G9/(IF(COUNT('연간'!K32:N32)&lt;4,"",SUM('연간'!K32:N32)))*365,"")</f>
        <v/>
      </c>
      <c r="H60" s="48">
        <f>IFERROR(H9/('연간'!T32)*365,"")</f>
        <v/>
      </c>
      <c r="I60" s="49">
        <f>IFERROR(I9/('연간'!U32)*365,"")</f>
        <v/>
      </c>
      <c r="J60" s="49">
        <f>IFERROR(J9/('연간'!V32)*365,"")</f>
        <v/>
      </c>
      <c r="K60" s="49">
        <f>IFERROR(K9/('연간'!W32)*365,"")</f>
        <v/>
      </c>
      <c r="L60" s="49">
        <f>IFERROR(L9/('연간'!X32)*365,"")</f>
        <v/>
      </c>
    </row>
    <row r="61">
      <c r="A61" s="45" t="inlineStr">
        <is>
          <t>매입채무회전일수</t>
        </is>
      </c>
      <c r="B61" s="10" t="inlineStr">
        <is>
          <t>길수록 유리</t>
        </is>
      </c>
      <c r="C61" s="48">
        <f>IFERROR(C19/(IF(COUNT('연간'!G32:J32)&lt;4,"",SUM('연간'!G32:J32)))*365,"")</f>
        <v/>
      </c>
      <c r="D61" s="49">
        <f>IFERROR(D19/(IF(COUNT('연간'!H32:K32)&lt;4,"",SUM('연간'!H32:K32)))*365,"")</f>
        <v/>
      </c>
      <c r="E61" s="49">
        <f>IFERROR(E19/(IF(COUNT('연간'!I32:L32)&lt;4,"",SUM('연간'!I32:L32)))*365,"")</f>
        <v/>
      </c>
      <c r="F61" s="49">
        <f>IFERROR(F19/(IF(COUNT('연간'!J32:M32)&lt;4,"",SUM('연간'!J32:M32)))*365,"")</f>
        <v/>
      </c>
      <c r="G61" s="49">
        <f>IFERROR(G19/(IF(COUNT('연간'!K32:N32)&lt;4,"",SUM('연간'!K32:N32)))*365,"")</f>
        <v/>
      </c>
      <c r="H61" s="48">
        <f>IFERROR(H19/('연간'!T32)*365,"")</f>
        <v/>
      </c>
      <c r="I61" s="49">
        <f>IFERROR(I19/('연간'!U32)*365,"")</f>
        <v/>
      </c>
      <c r="J61" s="49">
        <f>IFERROR(J19/('연간'!V32)*365,"")</f>
        <v/>
      </c>
      <c r="K61" s="49">
        <f>IFERROR(K19/('연간'!W32)*365,"")</f>
        <v/>
      </c>
      <c r="L61" s="49">
        <f>IFERROR(L19/('연간'!X32)*365,"")</f>
        <v/>
      </c>
    </row>
    <row r="62">
      <c r="A62" s="45" t="inlineStr">
        <is>
          <t>현금전환주기 (CCC)</t>
        </is>
      </c>
      <c r="B62" s="10" t="inlineStr">
        <is>
          <t>짧을수록↑</t>
        </is>
      </c>
      <c r="C62" s="48">
        <f>IF(OR(C59="",C60="",C61=""),"",IFERROR(C59+C60-C61,""))</f>
        <v/>
      </c>
      <c r="D62" s="49">
        <f>IF(OR(D59="",D60="",D61=""),"",IFERROR(D59+D60-D61,""))</f>
        <v/>
      </c>
      <c r="E62" s="49">
        <f>IF(OR(E59="",E60="",E61=""),"",IFERROR(E59+E60-E61,""))</f>
        <v/>
      </c>
      <c r="F62" s="49">
        <f>IF(OR(F59="",F60="",F61=""),"",IFERROR(F59+F60-F61,""))</f>
        <v/>
      </c>
      <c r="G62" s="49">
        <f>IF(OR(G59="",G60="",G61=""),"",IFERROR(G59+G60-G61,""))</f>
        <v/>
      </c>
      <c r="H62" s="48">
        <f>IF(OR(H59="",H60="",H61=""),"",IFERROR(H59+H60-H61,""))</f>
        <v/>
      </c>
      <c r="I62" s="49">
        <f>IF(OR(I59="",I60="",I61=""),"",IFERROR(I59+I60-I61,""))</f>
        <v/>
      </c>
      <c r="J62" s="49">
        <f>IF(OR(J59="",J60="",J61=""),"",IFERROR(J59+J60-J61,""))</f>
        <v/>
      </c>
      <c r="K62" s="49">
        <f>IF(OR(K59="",K60="",K61=""),"",IFERROR(K59+K60-K61,""))</f>
        <v/>
      </c>
      <c r="L62" s="49">
        <f>IF(OR(L59="",L60="",L61=""),"",IFERROR(L59+L60-L61,""))</f>
        <v/>
      </c>
    </row>
    <row r="63">
      <c r="A63" s="23" t="inlineStr">
        <is>
          <t>현금흐름</t>
        </is>
      </c>
      <c r="B63" s="23" t="n"/>
      <c r="C63" s="24" t="n"/>
      <c r="D63" s="23" t="n"/>
      <c r="E63" s="23" t="n"/>
      <c r="F63" s="23" t="n"/>
      <c r="G63" s="23" t="n"/>
      <c r="H63" s="24" t="n"/>
      <c r="I63" s="23" t="n"/>
      <c r="J63" s="23" t="n"/>
      <c r="K63" s="23" t="n"/>
      <c r="L63" s="23" t="n"/>
    </row>
    <row r="64">
      <c r="A64" s="45" t="inlineStr">
        <is>
          <t>영업현금흐름 / 순이익</t>
        </is>
      </c>
      <c r="B64" s="10" t="inlineStr">
        <is>
          <t>1x↑ (이익의 질)</t>
        </is>
      </c>
      <c r="C64" s="30">
        <f>IF(C37="","",IFERROR(C37/(IF(COUNT('연간'!G68:J68)&lt;4,"",SUM('연간'!G68:J68))),""))</f>
        <v/>
      </c>
      <c r="D64" s="31">
        <f>IF(D37="","",IFERROR(D37/(IF(COUNT('연간'!H68:K68)&lt;4,"",SUM('연간'!H68:K68))),""))</f>
        <v/>
      </c>
      <c r="E64" s="31">
        <f>IF(E37="","",IFERROR(E37/(IF(COUNT('연간'!I68:L68)&lt;4,"",SUM('연간'!I68:L68))),""))</f>
        <v/>
      </c>
      <c r="F64" s="31">
        <f>IF(F37="","",IFERROR(F37/(IF(COUNT('연간'!J68:M68)&lt;4,"",SUM('연간'!J68:M68))),""))</f>
        <v/>
      </c>
      <c r="G64" s="31">
        <f>IF(G37="","",IFERROR(G37/(IF(COUNT('연간'!K68:N68)&lt;4,"",SUM('연간'!K68:N68))),""))</f>
        <v/>
      </c>
      <c r="H64" s="30">
        <f>IF(H37="","",IFERROR(H37/('연간'!T68),""))</f>
        <v/>
      </c>
      <c r="I64" s="31">
        <f>IF(I37="","",IFERROR(I37/('연간'!U68),""))</f>
        <v/>
      </c>
      <c r="J64" s="31">
        <f>IF(J37="","",IFERROR(J37/('연간'!V68),""))</f>
        <v/>
      </c>
      <c r="K64" s="31">
        <f>IF(K37="","",IFERROR(K37/('연간'!W68),""))</f>
        <v/>
      </c>
      <c r="L64" s="31">
        <f>IF(L37="","",IFERROR(L37/('연간'!X68),""))</f>
        <v/>
      </c>
    </row>
    <row r="65">
      <c r="A65" s="45" t="inlineStr">
        <is>
          <t>FCF 마진</t>
        </is>
      </c>
      <c r="B65" s="10" t="inlineStr">
        <is>
          <t>5%↑</t>
        </is>
      </c>
      <c r="C65" s="35">
        <f>IF(C39="","",IFERROR(C39/(IF(COUNT('연간'!G4:J4)&lt;4,"",SUM('연간'!G4:J4))),""))</f>
        <v/>
      </c>
      <c r="D65" s="36">
        <f>IF(D39="","",IFERROR(D39/(IF(COUNT('연간'!H4:K4)&lt;4,"",SUM('연간'!H4:K4))),""))</f>
        <v/>
      </c>
      <c r="E65" s="36">
        <f>IF(E39="","",IFERROR(E39/(IF(COUNT('연간'!I4:L4)&lt;4,"",SUM('연간'!I4:L4))),""))</f>
        <v/>
      </c>
      <c r="F65" s="36">
        <f>IF(F39="","",IFERROR(F39/(IF(COUNT('연간'!J4:M4)&lt;4,"",SUM('연간'!J4:M4))),""))</f>
        <v/>
      </c>
      <c r="G65" s="36">
        <f>IF(G39="","",IFERROR(G39/(IF(COUNT('연간'!K4:N4)&lt;4,"",SUM('연간'!K4:N4))),""))</f>
        <v/>
      </c>
      <c r="H65" s="35">
        <f>IF(H39="","",IFERROR(H39/('연간'!T4),""))</f>
        <v/>
      </c>
      <c r="I65" s="36">
        <f>IF(I39="","",IFERROR(I39/('연간'!U4),""))</f>
        <v/>
      </c>
      <c r="J65" s="36">
        <f>IF(J39="","",IFERROR(J39/('연간'!V4),""))</f>
        <v/>
      </c>
      <c r="K65" s="36">
        <f>IF(K39="","",IFERROR(K39/('연간'!W4),""))</f>
        <v/>
      </c>
      <c r="L65" s="36">
        <f>IF(L39="","",IFERROR(L39/('연간'!X4),""))</f>
        <v/>
      </c>
    </row>
    <row r="66">
      <c r="A66" s="45" t="inlineStr">
        <is>
          <t>CAPEX / 매출</t>
        </is>
      </c>
      <c r="B66" s="10" t="inlineStr">
        <is>
          <t>낮을수록↑ (자본 가벼움)</t>
        </is>
      </c>
      <c r="C66" s="35">
        <f>IF(C38="","",IFERROR(C38/(IF(COUNT('연간'!G4:J4)&lt;4,"",SUM('연간'!G4:J4))),""))</f>
        <v/>
      </c>
      <c r="D66" s="36">
        <f>IF(D38="","",IFERROR(D38/(IF(COUNT('연간'!H4:K4)&lt;4,"",SUM('연간'!H4:K4))),""))</f>
        <v/>
      </c>
      <c r="E66" s="36">
        <f>IF(E38="","",IFERROR(E38/(IF(COUNT('연간'!I4:L4)&lt;4,"",SUM('연간'!I4:L4))),""))</f>
        <v/>
      </c>
      <c r="F66" s="36">
        <f>IF(F38="","",IFERROR(F38/(IF(COUNT('연간'!J4:M4)&lt;4,"",SUM('연간'!J4:M4))),""))</f>
        <v/>
      </c>
      <c r="G66" s="36">
        <f>IF(G38="","",IFERROR(G38/(IF(COUNT('연간'!K4:N4)&lt;4,"",SUM('연간'!K4:N4))),""))</f>
        <v/>
      </c>
      <c r="H66" s="35">
        <f>IF(H38="","",IFERROR(H38/('연간'!T4),""))</f>
        <v/>
      </c>
      <c r="I66" s="36">
        <f>IF(I38="","",IFERROR(I38/('연간'!U4),""))</f>
        <v/>
      </c>
      <c r="J66" s="36">
        <f>IF(J38="","",IFERROR(J38/('연간'!V4),""))</f>
        <v/>
      </c>
      <c r="K66" s="36">
        <f>IF(K38="","",IFERROR(K38/('연간'!W4),""))</f>
        <v/>
      </c>
      <c r="L66" s="36">
        <f>IF(L38="","",IFERROR(L38/('연간'!X4),""))</f>
        <v/>
      </c>
    </row>
    <row r="67">
      <c r="A67" s="45" t="inlineStr">
        <is>
          <t>배당성향</t>
        </is>
      </c>
      <c r="B67" s="10" t="inlineStr">
        <is>
          <t>참고</t>
        </is>
      </c>
      <c r="C67" s="35">
        <f>IF(C40="","",IFERROR(C40/(IF(COUNT('연간'!G70:J70)&lt;4,"",SUM('연간'!G70:J70))),""))</f>
        <v/>
      </c>
      <c r="D67" s="36">
        <f>IF(D40="","",IFERROR(D40/(IF(COUNT('연간'!H70:K70)&lt;4,"",SUM('연간'!H70:K70))),""))</f>
        <v/>
      </c>
      <c r="E67" s="36">
        <f>IF(E40="","",IFERROR(E40/(IF(COUNT('연간'!I70:L70)&lt;4,"",SUM('연간'!I70:L70))),""))</f>
        <v/>
      </c>
      <c r="F67" s="36">
        <f>IF(F40="","",IFERROR(F40/(IF(COUNT('연간'!J70:M70)&lt;4,"",SUM('연간'!J70:M70))),""))</f>
        <v/>
      </c>
      <c r="G67" s="36">
        <f>IF(G40="","",IFERROR(G40/(IF(COUNT('연간'!K70:N70)&lt;4,"",SUM('연간'!K70:N70))),""))</f>
        <v/>
      </c>
      <c r="H67" s="35">
        <f>IF(H40="","",IFERROR(H40/('연간'!T70),""))</f>
        <v/>
      </c>
      <c r="I67" s="36">
        <f>IF(I40="","",IFERROR(I40/('연간'!U70),""))</f>
        <v/>
      </c>
      <c r="J67" s="36">
        <f>IF(J40="","",IFERROR(J40/('연간'!V70),""))</f>
        <v/>
      </c>
      <c r="K67" s="36">
        <f>IF(K40="","",IFERROR(K40/('연간'!W70),""))</f>
        <v/>
      </c>
      <c r="L67" s="36">
        <f>IF(L40="","",IFERROR(L40/('연간'!X70),""))</f>
        <v/>
      </c>
    </row>
    <row r="69">
      <c r="A69" s="16" t="inlineStr">
        <is>
          <t>재무상태표 · 전 항목</t>
        </is>
      </c>
      <c r="B69" s="42" t="inlineStr">
        <is>
          <t>분기 말 잔액</t>
        </is>
      </c>
      <c r="C69" s="16" t="n"/>
      <c r="D69" s="16" t="n"/>
      <c r="E69" s="16" t="n"/>
      <c r="F69" s="16" t="n"/>
      <c r="G69" s="16" t="n"/>
      <c r="H69" s="16" t="n"/>
      <c r="I69" s="16" t="n"/>
      <c r="J69" s="16" t="n"/>
      <c r="K69" s="16" t="n"/>
      <c r="L69" s="16" t="n"/>
    </row>
    <row r="70">
      <c r="A70" s="5" t="inlineStr">
        <is>
          <t>항목</t>
        </is>
      </c>
      <c r="B70" s="5" t="inlineStr">
        <is>
          <t>참고</t>
        </is>
      </c>
      <c r="C70" s="5" t="inlineStr">
        <is>
          <t>2026.1Q</t>
        </is>
      </c>
      <c r="D70" s="5" t="inlineStr">
        <is>
          <t>2026.2Q</t>
        </is>
      </c>
      <c r="E70" s="5" t="inlineStr">
        <is>
          <t>2026.3Q</t>
        </is>
      </c>
      <c r="F70" s="5" t="inlineStr">
        <is>
          <t>2026.4Q</t>
        </is>
      </c>
      <c r="G70" s="5" t="inlineStr">
        <is>
          <t>2027.1Q</t>
        </is>
      </c>
      <c r="H70" s="5" t="inlineStr">
        <is>
          <t>2022</t>
        </is>
      </c>
      <c r="I70" s="5" t="inlineStr">
        <is>
          <t>2023</t>
        </is>
      </c>
      <c r="J70" s="5" t="inlineStr">
        <is>
          <t>2024</t>
        </is>
      </c>
      <c r="K70" s="5" t="inlineStr">
        <is>
          <t>2025</t>
        </is>
      </c>
      <c r="L70" s="5" t="inlineStr">
        <is>
          <t>2026</t>
        </is>
      </c>
    </row>
    <row r="71">
      <c r="A71" s="18" t="inlineStr">
        <is>
          <t>현금및현금성자산</t>
        </is>
      </c>
      <c r="C71" s="20" t="n">
        <v>164740</v>
      </c>
      <c r="D71" s="20" t="n">
        <v>160633</v>
      </c>
      <c r="E71" s="20" t="n">
        <v>157917</v>
      </c>
      <c r="F71" s="20" t="n">
        <v>158036</v>
      </c>
      <c r="G71" s="20" t="n">
        <v>157060</v>
      </c>
      <c r="H71" s="20" t="n">
        <v>370277</v>
      </c>
      <c r="I71" s="20" t="n">
        <v>211337</v>
      </c>
      <c r="J71" s="20" t="n">
        <v>206644</v>
      </c>
      <c r="K71" s="20" t="n">
        <v>163590</v>
      </c>
      <c r="L71" s="20" t="n">
        <v>158036</v>
      </c>
    </row>
    <row r="72">
      <c r="A72" s="18" t="inlineStr">
        <is>
          <t>매출채권 및 기타채권</t>
        </is>
      </c>
      <c r="C72" s="20" t="n">
        <v>115942</v>
      </c>
      <c r="D72" s="20" t="n">
        <v>110870</v>
      </c>
      <c r="E72" s="20" t="n">
        <v>115649</v>
      </c>
      <c r="F72" s="20" t="n">
        <v>127459</v>
      </c>
      <c r="G72" s="20" t="n">
        <v>121926</v>
      </c>
      <c r="H72" s="20" t="n">
        <v>90571</v>
      </c>
      <c r="I72" s="20" t="n">
        <v>114239</v>
      </c>
      <c r="J72" s="20" t="n">
        <v>139922</v>
      </c>
      <c r="K72" s="20" t="n">
        <v>125441</v>
      </c>
      <c r="L72" s="20" t="n">
        <v>127459</v>
      </c>
    </row>
    <row r="73">
      <c r="A73" s="18" t="inlineStr">
        <is>
          <t>재고자산</t>
        </is>
      </c>
      <c r="C73" s="20" t="n">
        <v>321553</v>
      </c>
      <c r="D73" s="20" t="n">
        <v>338672</v>
      </c>
      <c r="E73" s="20" t="n">
        <v>351655</v>
      </c>
      <c r="F73" s="20" t="n">
        <v>332872</v>
      </c>
      <c r="G73" s="20" t="n">
        <v>338296</v>
      </c>
      <c r="H73" s="20" t="n">
        <v>238950</v>
      </c>
      <c r="I73" s="20" t="n">
        <v>277281</v>
      </c>
      <c r="J73" s="20" t="n">
        <v>285239</v>
      </c>
      <c r="K73" s="20" t="n">
        <v>307533</v>
      </c>
      <c r="L73" s="20" t="n">
        <v>332872</v>
      </c>
    </row>
    <row r="74">
      <c r="A74" s="18" t="inlineStr">
        <is>
          <t>기타금융자산</t>
        </is>
      </c>
      <c r="C74" s="20" t="n">
        <v>3746</v>
      </c>
      <c r="D74" s="20" t="n">
        <v>2295</v>
      </c>
      <c r="E74" s="20" t="n">
        <v>2757</v>
      </c>
      <c r="F74" s="20" t="n">
        <v>2316</v>
      </c>
      <c r="G74" s="20" t="n">
        <v>4577</v>
      </c>
      <c r="H74" s="20" t="n">
        <v>948</v>
      </c>
      <c r="I74" s="20" t="n">
        <v>1242</v>
      </c>
      <c r="J74" s="20" t="n">
        <v>15908</v>
      </c>
      <c r="K74" s="20" t="n">
        <v>3116</v>
      </c>
      <c r="L74" s="20" t="n">
        <v>2316</v>
      </c>
    </row>
    <row r="75">
      <c r="A75" s="18" t="inlineStr">
        <is>
          <t>기타유동자산</t>
        </is>
      </c>
      <c r="C75" s="20" t="n">
        <v>24934</v>
      </c>
      <c r="D75" s="20" t="n">
        <v>27040</v>
      </c>
      <c r="E75" s="20" t="n">
        <v>29498</v>
      </c>
      <c r="F75" s="20" t="n">
        <v>25816</v>
      </c>
      <c r="G75" s="20" t="n">
        <v>29870</v>
      </c>
      <c r="H75" s="20" t="n">
        <v>13467</v>
      </c>
      <c r="I75" s="20" t="n">
        <v>13781</v>
      </c>
      <c r="J75" s="20" t="n">
        <v>19627</v>
      </c>
      <c r="K75" s="20" t="n">
        <v>20540</v>
      </c>
      <c r="L75" s="20" t="n">
        <v>25816</v>
      </c>
    </row>
    <row r="76">
      <c r="A76" s="9" t="inlineStr">
        <is>
          <t>유동자산 합계</t>
        </is>
      </c>
      <c r="C76" s="12" t="n">
        <v>630915</v>
      </c>
      <c r="D76" s="12" t="n">
        <v>639509</v>
      </c>
      <c r="E76" s="12" t="n">
        <v>657477</v>
      </c>
      <c r="F76" s="12" t="n">
        <v>646499</v>
      </c>
      <c r="G76" s="12" t="n">
        <v>651729</v>
      </c>
      <c r="H76" s="12" t="n">
        <v>714214</v>
      </c>
      <c r="I76" s="12" t="n">
        <v>617880</v>
      </c>
      <c r="J76" s="12" t="n">
        <v>667340</v>
      </c>
      <c r="K76" s="12" t="n">
        <v>620220</v>
      </c>
      <c r="L76" s="12" t="n">
        <v>646499</v>
      </c>
    </row>
    <row r="77">
      <c r="A77" s="18" t="inlineStr">
        <is>
          <t>유형자산</t>
        </is>
      </c>
      <c r="C77" s="20" t="n">
        <v>148018</v>
      </c>
      <c r="D77" s="20" t="n">
        <v>150500</v>
      </c>
      <c r="E77" s="20" t="n">
        <v>153401</v>
      </c>
      <c r="F77" s="20" t="n">
        <v>150758</v>
      </c>
      <c r="G77" s="20" t="n">
        <v>156912</v>
      </c>
      <c r="H77" s="20" t="n">
        <v>88956</v>
      </c>
      <c r="I77" s="20" t="n">
        <v>101553</v>
      </c>
      <c r="J77" s="20" t="n">
        <v>133428</v>
      </c>
      <c r="K77" s="20" t="n">
        <v>146473</v>
      </c>
      <c r="L77" s="20" t="n">
        <v>150758</v>
      </c>
    </row>
    <row r="78">
      <c r="A78" s="18" t="inlineStr">
        <is>
          <t>사용권자산</t>
        </is>
      </c>
      <c r="C78" s="20" t="n">
        <v>19399</v>
      </c>
      <c r="D78" s="20" t="n">
        <v>19223</v>
      </c>
      <c r="E78" s="20" t="n">
        <v>18984</v>
      </c>
      <c r="F78" s="20" t="n">
        <v>17600</v>
      </c>
      <c r="G78" s="20" t="n">
        <v>17105</v>
      </c>
      <c r="H78" s="20" t="n">
        <v>22310</v>
      </c>
      <c r="I78" s="20" t="n">
        <v>23195</v>
      </c>
      <c r="J78" s="20" t="n">
        <v>24455</v>
      </c>
      <c r="K78" s="20" t="n">
        <v>18752</v>
      </c>
      <c r="L78" s="20" t="n">
        <v>17600</v>
      </c>
    </row>
    <row r="79">
      <c r="A79" s="18" t="inlineStr">
        <is>
          <t>영업권 및 무형자산</t>
        </is>
      </c>
      <c r="C79" s="20" t="n">
        <v>168743</v>
      </c>
      <c r="D79" s="20" t="n">
        <v>173826</v>
      </c>
      <c r="E79" s="20" t="n">
        <v>94173</v>
      </c>
      <c r="F79" s="20" t="n">
        <v>95614</v>
      </c>
      <c r="G79" s="20" t="n">
        <v>98064</v>
      </c>
      <c r="H79" s="20" t="n">
        <v>49379</v>
      </c>
      <c r="I79" s="20" t="n">
        <v>139476</v>
      </c>
      <c r="J79" s="20" t="n">
        <v>158573</v>
      </c>
      <c r="K79" s="20" t="n">
        <v>165462</v>
      </c>
      <c r="L79" s="20" t="n">
        <v>95614</v>
      </c>
    </row>
    <row r="80">
      <c r="A80" s="18" t="inlineStr">
        <is>
          <t>퇴직급여자산</t>
        </is>
      </c>
      <c r="C80" s="20" t="n">
        <v>14344</v>
      </c>
      <c r="D80" s="20" t="n">
        <v>14691</v>
      </c>
      <c r="E80" s="20" t="n">
        <v>15042</v>
      </c>
      <c r="F80" s="20" t="n">
        <v>3309</v>
      </c>
      <c r="G80" s="20" t="n">
        <v>3752</v>
      </c>
      <c r="H80" s="20" t="n">
        <v>8685</v>
      </c>
      <c r="I80" s="20" t="n">
        <v>8474</v>
      </c>
      <c r="J80" s="20" t="n">
        <v>11658</v>
      </c>
      <c r="K80" s="20" t="n">
        <v>13998</v>
      </c>
      <c r="L80" s="20" t="n">
        <v>3309</v>
      </c>
    </row>
    <row r="81">
      <c r="A81" s="18" t="inlineStr">
        <is>
          <t>지분법 투자</t>
        </is>
      </c>
      <c r="C81" s="20" t="n">
        <v>10782</v>
      </c>
      <c r="D81" s="20" t="n">
        <v>11997</v>
      </c>
      <c r="E81" s="20" t="n">
        <v>12822</v>
      </c>
      <c r="F81" s="20" t="n">
        <v>12417</v>
      </c>
      <c r="G81" s="20" t="n">
        <v>13270</v>
      </c>
      <c r="H81" s="20" t="n">
        <v>10702</v>
      </c>
      <c r="I81" s="20" t="n">
        <v>10308</v>
      </c>
      <c r="J81" s="20" t="n">
        <v>9728</v>
      </c>
      <c r="K81" s="20" t="n">
        <v>10068</v>
      </c>
      <c r="L81" s="20" t="n">
        <v>12417</v>
      </c>
    </row>
    <row r="82">
      <c r="A82" s="18" t="inlineStr">
        <is>
          <t>기타금융자산</t>
        </is>
      </c>
      <c r="C82" s="20" t="n">
        <v>78063</v>
      </c>
      <c r="D82" s="20" t="n">
        <v>75617</v>
      </c>
      <c r="E82" s="20" t="n">
        <v>78686</v>
      </c>
      <c r="F82" s="20" t="n">
        <v>73974</v>
      </c>
      <c r="G82" s="20" t="n">
        <v>81292</v>
      </c>
      <c r="H82" s="20" t="n">
        <v>93308</v>
      </c>
      <c r="I82" s="20" t="n">
        <v>92200</v>
      </c>
      <c r="J82" s="20" t="n">
        <v>89618</v>
      </c>
      <c r="K82" s="20" t="n">
        <v>76111</v>
      </c>
      <c r="L82" s="20" t="n">
        <v>73974</v>
      </c>
    </row>
    <row r="83">
      <c r="A83" s="18" t="inlineStr">
        <is>
          <t>이연법인세자산</t>
        </is>
      </c>
      <c r="C83" s="20" t="n">
        <v>67398</v>
      </c>
      <c r="D83" s="20" t="n">
        <v>67940</v>
      </c>
      <c r="E83" s="20" t="n">
        <v>68281</v>
      </c>
      <c r="F83" s="20" t="n">
        <v>73918</v>
      </c>
      <c r="G83" s="20" t="n">
        <v>73283</v>
      </c>
      <c r="H83" s="20" t="n">
        <v>51610</v>
      </c>
      <c r="I83" s="20" t="n">
        <v>56654</v>
      </c>
      <c r="J83" s="20" t="n">
        <v>51471</v>
      </c>
      <c r="K83" s="20" t="n">
        <v>58614</v>
      </c>
      <c r="L83" s="20" t="n">
        <v>73918</v>
      </c>
    </row>
    <row r="84">
      <c r="A84" s="18" t="inlineStr">
        <is>
          <t>기타비유동자산</t>
        </is>
      </c>
      <c r="C84" s="20" t="n">
        <v>758</v>
      </c>
      <c r="D84" s="20" t="n">
        <v>905</v>
      </c>
      <c r="E84" s="20" t="n">
        <v>961</v>
      </c>
      <c r="F84" s="20" t="n">
        <v>918</v>
      </c>
      <c r="G84" s="20" t="n">
        <v>1726</v>
      </c>
      <c r="H84" s="20" t="n">
        <v>403</v>
      </c>
      <c r="I84" s="20" t="n">
        <v>528</v>
      </c>
      <c r="J84" s="20" t="n">
        <v>840</v>
      </c>
      <c r="K84" s="20" t="n">
        <v>817</v>
      </c>
      <c r="L84" s="20" t="n">
        <v>918</v>
      </c>
    </row>
    <row r="85">
      <c r="A85" s="18" t="inlineStr">
        <is>
          <t>비유동자산 합계</t>
        </is>
      </c>
      <c r="C85" s="20" t="n">
        <v>507504</v>
      </c>
      <c r="D85" s="20" t="n">
        <v>514699</v>
      </c>
      <c r="E85" s="20" t="n">
        <v>442350</v>
      </c>
      <c r="F85" s="20" t="n">
        <v>428508</v>
      </c>
      <c r="G85" s="20" t="n">
        <v>445403</v>
      </c>
      <c r="H85" s="20" t="n">
        <v>325353</v>
      </c>
      <c r="I85" s="20" t="n">
        <v>432387</v>
      </c>
      <c r="J85" s="20" t="n">
        <v>479771</v>
      </c>
      <c r="K85" s="20" t="n">
        <v>490294</v>
      </c>
      <c r="L85" s="20" t="n">
        <v>428508</v>
      </c>
    </row>
    <row r="86">
      <c r="A86" s="18" t="inlineStr">
        <is>
          <t>자산 합계</t>
        </is>
      </c>
      <c r="C86" s="20" t="n">
        <v>1138420</v>
      </c>
      <c r="D86" s="20" t="n">
        <v>1154208</v>
      </c>
      <c r="E86" s="20" t="n">
        <v>1099827</v>
      </c>
      <c r="F86" s="20" t="n">
        <v>1075007</v>
      </c>
      <c r="G86" s="20" t="n">
        <v>1097132</v>
      </c>
      <c r="H86" s="20" t="n">
        <v>1039566</v>
      </c>
      <c r="I86" s="20" t="n">
        <v>1050267</v>
      </c>
      <c r="J86" s="20" t="n">
        <v>1147110</v>
      </c>
      <c r="K86" s="20" t="n">
        <v>1110514</v>
      </c>
      <c r="L86" s="20" t="n">
        <v>1075007</v>
      </c>
    </row>
    <row r="87">
      <c r="A87" s="18" t="inlineStr">
        <is>
          <t>매입채무 및 기타채무</t>
        </is>
      </c>
      <c r="C87" s="20" t="n">
        <v>78897</v>
      </c>
      <c r="D87" s="20" t="n">
        <v>77222</v>
      </c>
      <c r="E87" s="20" t="n">
        <v>80055</v>
      </c>
      <c r="F87" s="20" t="n">
        <v>73367</v>
      </c>
      <c r="G87" s="20" t="n">
        <v>83657</v>
      </c>
      <c r="H87" s="20" t="n">
        <v>65161</v>
      </c>
      <c r="I87" s="20" t="n">
        <v>68026</v>
      </c>
      <c r="J87" s="20" t="n">
        <v>83647</v>
      </c>
      <c r="K87" s="20" t="n">
        <v>82200</v>
      </c>
      <c r="L87" s="20" t="n">
        <v>73367</v>
      </c>
    </row>
    <row r="88">
      <c r="A88" s="18" t="inlineStr">
        <is>
          <t>사채 및 차입금</t>
        </is>
      </c>
      <c r="C88" s="20" t="n">
        <v>82434</v>
      </c>
      <c r="D88" s="20" t="n">
        <v>106593</v>
      </c>
      <c r="E88" s="20" t="n">
        <v>127161</v>
      </c>
      <c r="F88" s="20" t="n">
        <v>97717</v>
      </c>
      <c r="G88" s="20" t="n">
        <v>97159</v>
      </c>
      <c r="H88" s="20" t="n">
        <v>37347</v>
      </c>
      <c r="I88" s="20" t="n">
        <v>26395</v>
      </c>
      <c r="J88" s="20" t="n">
        <v>88313</v>
      </c>
      <c r="K88" s="20" t="n">
        <v>71413</v>
      </c>
      <c r="L88" s="20" t="n">
        <v>97717</v>
      </c>
    </row>
    <row r="89">
      <c r="A89" s="18" t="inlineStr">
        <is>
          <t>미지급법인세</t>
        </is>
      </c>
      <c r="C89" s="20" t="n">
        <v>3892</v>
      </c>
      <c r="D89" s="20" t="n">
        <v>4076</v>
      </c>
      <c r="E89" s="20" t="n">
        <v>4569</v>
      </c>
      <c r="F89" s="20" t="n">
        <v>5151</v>
      </c>
      <c r="G89" s="20" t="n">
        <v>4985</v>
      </c>
      <c r="H89" s="20" t="n">
        <v>4770</v>
      </c>
      <c r="I89" s="20" t="n">
        <v>8845</v>
      </c>
      <c r="J89" s="20" t="n">
        <v>5056</v>
      </c>
      <c r="K89" s="20" t="n">
        <v>5474</v>
      </c>
      <c r="L89" s="20" t="n">
        <v>5151</v>
      </c>
    </row>
    <row r="90">
      <c r="A90" s="18" t="inlineStr">
        <is>
          <t>선수금</t>
        </is>
      </c>
      <c r="C90" s="20" t="n">
        <v>82003</v>
      </c>
      <c r="D90" s="20" t="n">
        <v>75541</v>
      </c>
      <c r="E90" s="20" t="n">
        <v>74833</v>
      </c>
      <c r="F90" s="20" t="n">
        <v>67372</v>
      </c>
      <c r="G90" s="20" t="n">
        <v>77616</v>
      </c>
      <c r="H90" s="20" t="n">
        <v>139300</v>
      </c>
      <c r="I90" s="20" t="n">
        <v>99836</v>
      </c>
      <c r="J90" s="20" t="n">
        <v>71875</v>
      </c>
      <c r="K90" s="20" t="n">
        <v>68157</v>
      </c>
      <c r="L90" s="20" t="n">
        <v>67372</v>
      </c>
    </row>
    <row r="91">
      <c r="A91" s="18" t="inlineStr">
        <is>
          <t>충당금</t>
        </is>
      </c>
      <c r="C91" s="20" t="n">
        <v>5016</v>
      </c>
      <c r="D91" s="20" t="n">
        <v>4298</v>
      </c>
      <c r="E91" s="20" t="n">
        <v>8484</v>
      </c>
      <c r="F91" s="20" t="n">
        <v>9548</v>
      </c>
      <c r="G91" s="20" t="n">
        <v>7591</v>
      </c>
      <c r="H91" s="20" t="n">
        <v>5403</v>
      </c>
      <c r="I91" s="20" t="n">
        <v>5872</v>
      </c>
      <c r="J91" s="20" t="n">
        <v>7892</v>
      </c>
      <c r="K91" s="20" t="n">
        <v>5756</v>
      </c>
      <c r="L91" s="20" t="n">
        <v>9548</v>
      </c>
    </row>
    <row r="92">
      <c r="A92" s="18" t="inlineStr">
        <is>
          <t>기타금융부채</t>
        </is>
      </c>
      <c r="C92" s="20" t="n">
        <v>28984</v>
      </c>
      <c r="D92" s="20" t="n">
        <v>29581</v>
      </c>
      <c r="E92" s="20" t="n">
        <v>31627</v>
      </c>
      <c r="F92" s="20" t="n">
        <v>30042</v>
      </c>
      <c r="G92" s="20" t="n">
        <v>30263</v>
      </c>
      <c r="H92" s="20" t="n">
        <v>27424</v>
      </c>
      <c r="I92" s="20" t="n">
        <v>29367</v>
      </c>
      <c r="J92" s="20" t="n">
        <v>32993</v>
      </c>
      <c r="K92" s="20" t="n">
        <v>31814</v>
      </c>
      <c r="L92" s="20" t="n">
        <v>30042</v>
      </c>
    </row>
    <row r="93">
      <c r="A93" s="18" t="inlineStr">
        <is>
          <t>기타유동부채</t>
        </is>
      </c>
      <c r="C93" s="20" t="n">
        <v>37980</v>
      </c>
      <c r="D93" s="20" t="n">
        <v>40776</v>
      </c>
      <c r="E93" s="20" t="n">
        <v>41652</v>
      </c>
      <c r="F93" s="20" t="n">
        <v>45101</v>
      </c>
      <c r="G93" s="20" t="n">
        <v>40719</v>
      </c>
      <c r="H93" s="20" t="n">
        <v>34516</v>
      </c>
      <c r="I93" s="20" t="n">
        <v>38962</v>
      </c>
      <c r="J93" s="20" t="n">
        <v>40641</v>
      </c>
      <c r="K93" s="20" t="n">
        <v>40731</v>
      </c>
      <c r="L93" s="20" t="n">
        <v>45101</v>
      </c>
    </row>
    <row r="94">
      <c r="A94" s="18" t="inlineStr">
        <is>
          <t>유동부채 합계</t>
        </is>
      </c>
      <c r="C94" s="20" t="n">
        <v>319205</v>
      </c>
      <c r="D94" s="20" t="n">
        <v>338087</v>
      </c>
      <c r="E94" s="20" t="n">
        <v>368382</v>
      </c>
      <c r="F94" s="20" t="n">
        <v>328298</v>
      </c>
      <c r="G94" s="20" t="n">
        <v>341990</v>
      </c>
      <c r="H94" s="20" t="n">
        <v>313921</v>
      </c>
      <c r="I94" s="20" t="n">
        <v>277303</v>
      </c>
      <c r="J94" s="20" t="n">
        <v>330416</v>
      </c>
      <c r="K94" s="20" t="n">
        <v>305545</v>
      </c>
      <c r="L94" s="20" t="n">
        <v>328298</v>
      </c>
    </row>
    <row r="95">
      <c r="A95" s="18" t="inlineStr">
        <is>
          <t>사채 및 차입금</t>
        </is>
      </c>
      <c r="C95" s="20" t="n">
        <v>132130</v>
      </c>
      <c r="D95" s="20" t="n">
        <v>116905</v>
      </c>
      <c r="E95" s="20" t="n">
        <v>116910</v>
      </c>
      <c r="F95" s="20" t="n">
        <v>122240</v>
      </c>
      <c r="G95" s="20" t="n">
        <v>122262</v>
      </c>
      <c r="H95" s="20" t="n">
        <v>92715</v>
      </c>
      <c r="I95" s="20" t="n">
        <v>107625</v>
      </c>
      <c r="J95" s="20" t="n">
        <v>78392</v>
      </c>
      <c r="K95" s="20" t="n">
        <v>122157</v>
      </c>
      <c r="L95" s="20" t="n">
        <v>122240</v>
      </c>
    </row>
    <row r="96">
      <c r="A96" s="18" t="inlineStr">
        <is>
          <t>퇴직급여부채</t>
        </is>
      </c>
      <c r="C96" s="20" t="n">
        <v>8164</v>
      </c>
      <c r="D96" s="20" t="n">
        <v>8462</v>
      </c>
      <c r="E96" s="20" t="n">
        <v>8826</v>
      </c>
      <c r="F96" s="20" t="n">
        <v>8582</v>
      </c>
      <c r="G96" s="20" t="n">
        <v>8802</v>
      </c>
      <c r="H96" s="20" t="n">
        <v>5543</v>
      </c>
      <c r="I96" s="20" t="n">
        <v>6616</v>
      </c>
      <c r="J96" s="20" t="n">
        <v>7330</v>
      </c>
      <c r="K96" s="20" t="n">
        <v>7897</v>
      </c>
      <c r="L96" s="20" t="n">
        <v>8582</v>
      </c>
    </row>
    <row r="97">
      <c r="A97" s="18" t="inlineStr">
        <is>
          <t>충당금</t>
        </is>
      </c>
      <c r="C97" s="20" t="n">
        <v>6506</v>
      </c>
      <c r="D97" s="20" t="n">
        <v>6602</v>
      </c>
      <c r="E97" s="20" t="n">
        <v>5139</v>
      </c>
      <c r="F97" s="20" t="n">
        <v>5298</v>
      </c>
      <c r="G97" s="20" t="n">
        <v>5469</v>
      </c>
      <c r="H97" s="20" t="n">
        <v>5186</v>
      </c>
      <c r="I97" s="20" t="n">
        <v>5372</v>
      </c>
      <c r="J97" s="20" t="n">
        <v>8286</v>
      </c>
      <c r="K97" s="20" t="n">
        <v>6521</v>
      </c>
      <c r="L97" s="20" t="n">
        <v>5298</v>
      </c>
    </row>
    <row r="98">
      <c r="A98" s="18" t="inlineStr">
        <is>
          <t>이연법인세부채</t>
        </is>
      </c>
      <c r="C98" s="20" t="n">
        <v>11038</v>
      </c>
      <c r="D98" s="20" t="n">
        <v>11053</v>
      </c>
      <c r="E98" s="20" t="n">
        <v>4328</v>
      </c>
      <c r="F98" s="20" t="n">
        <v>3257</v>
      </c>
      <c r="G98" s="20" t="n">
        <v>3134</v>
      </c>
      <c r="H98" s="20" t="n">
        <v>3360</v>
      </c>
      <c r="I98" s="20" t="n">
        <v>15388</v>
      </c>
      <c r="J98" s="20" t="n">
        <v>16631</v>
      </c>
      <c r="K98" s="20" t="n">
        <v>11347</v>
      </c>
      <c r="L98" s="20" t="n">
        <v>3257</v>
      </c>
    </row>
    <row r="99">
      <c r="A99" s="18" t="inlineStr">
        <is>
          <t>기타금융부채</t>
        </is>
      </c>
      <c r="C99" s="20" t="n">
        <v>14191</v>
      </c>
      <c r="D99" s="20" t="n">
        <v>13799</v>
      </c>
      <c r="E99" s="20" t="n">
        <v>13760</v>
      </c>
      <c r="F99" s="20" t="n">
        <v>13323</v>
      </c>
      <c r="G99" s="20" t="n">
        <v>13341</v>
      </c>
      <c r="H99" s="20" t="n">
        <v>16188</v>
      </c>
      <c r="I99" s="20" t="n">
        <v>16836</v>
      </c>
      <c r="J99" s="20" t="n">
        <v>17395</v>
      </c>
      <c r="K99" s="20" t="n">
        <v>13480</v>
      </c>
      <c r="L99" s="20" t="n">
        <v>13323</v>
      </c>
    </row>
    <row r="100">
      <c r="A100" s="18" t="inlineStr">
        <is>
          <t>기타비유동부채</t>
        </is>
      </c>
      <c r="C100" s="20" t="n">
        <v>4459</v>
      </c>
      <c r="D100" s="20" t="n">
        <v>4677</v>
      </c>
      <c r="E100" s="20" t="n">
        <v>4858</v>
      </c>
      <c r="F100" s="20" t="n">
        <v>5813</v>
      </c>
      <c r="G100" s="20" t="n">
        <v>7376</v>
      </c>
      <c r="H100" s="20" t="n">
        <v>2687</v>
      </c>
      <c r="I100" s="20" t="n">
        <v>2777</v>
      </c>
      <c r="J100" s="20" t="n">
        <v>3568</v>
      </c>
      <c r="K100" s="20" t="n">
        <v>4345</v>
      </c>
      <c r="L100" s="20" t="n">
        <v>5813</v>
      </c>
    </row>
    <row r="101">
      <c r="A101" s="18" t="inlineStr">
        <is>
          <t>비유동부채 합계</t>
        </is>
      </c>
      <c r="C101" s="20" t="n">
        <v>176489</v>
      </c>
      <c r="D101" s="20" t="n">
        <v>161498</v>
      </c>
      <c r="E101" s="20" t="n">
        <v>153822</v>
      </c>
      <c r="F101" s="20" t="n">
        <v>158513</v>
      </c>
      <c r="G101" s="20" t="n">
        <v>160382</v>
      </c>
      <c r="H101" s="20" t="n">
        <v>125679</v>
      </c>
      <c r="I101" s="20" t="n">
        <v>154614</v>
      </c>
      <c r="J101" s="20" t="n">
        <v>131602</v>
      </c>
      <c r="K101" s="20" t="n">
        <v>165746</v>
      </c>
      <c r="L101" s="20" t="n">
        <v>158513</v>
      </c>
    </row>
    <row r="102">
      <c r="A102" s="18" t="inlineStr">
        <is>
          <t>부채 합계</t>
        </is>
      </c>
      <c r="C102" s="20" t="n">
        <v>495694</v>
      </c>
      <c r="D102" s="20" t="n">
        <v>499585</v>
      </c>
      <c r="E102" s="20" t="n">
        <v>522204</v>
      </c>
      <c r="F102" s="20" t="n">
        <v>486811</v>
      </c>
      <c r="G102" s="20" t="n">
        <v>502372</v>
      </c>
      <c r="H102" s="20" t="n">
        <v>439600</v>
      </c>
      <c r="I102" s="20" t="n">
        <v>431917</v>
      </c>
      <c r="J102" s="20" t="n">
        <v>462019</v>
      </c>
      <c r="K102" s="20" t="n">
        <v>471291</v>
      </c>
      <c r="L102" s="20" t="n">
        <v>486811</v>
      </c>
    </row>
    <row r="103">
      <c r="A103" s="18" t="inlineStr">
        <is>
          <t>자본금</t>
        </is>
      </c>
      <c r="C103" s="20" t="n">
        <v>65476</v>
      </c>
      <c r="D103" s="20" t="n">
        <v>65476</v>
      </c>
      <c r="E103" s="20" t="n">
        <v>65476</v>
      </c>
      <c r="F103" s="20" t="n">
        <v>65476</v>
      </c>
      <c r="G103" s="20" t="n">
        <v>65476</v>
      </c>
      <c r="H103" s="20" t="n">
        <v>65476</v>
      </c>
      <c r="I103" s="20" t="n">
        <v>65476</v>
      </c>
      <c r="J103" s="20" t="n">
        <v>65476</v>
      </c>
      <c r="K103" s="20" t="n">
        <v>65476</v>
      </c>
      <c r="L103" s="20" t="n">
        <v>65476</v>
      </c>
    </row>
    <row r="104">
      <c r="A104" s="18" t="inlineStr">
        <is>
          <t>자본잉여금</t>
        </is>
      </c>
      <c r="F104" s="20" t="n">
        <v>0</v>
      </c>
      <c r="G104" s="20" t="n">
        <v>30</v>
      </c>
      <c r="H104" s="20" t="n">
        <v>46483</v>
      </c>
      <c r="I104" s="20" t="n">
        <v>7053</v>
      </c>
      <c r="J104" s="20" t="n">
        <v>897</v>
      </c>
      <c r="K104" s="20" t="n">
        <v>0</v>
      </c>
      <c r="L104" s="20" t="n">
        <v>0</v>
      </c>
    </row>
    <row r="105">
      <c r="A105" s="18" t="inlineStr">
        <is>
          <t>자기주식</t>
        </is>
      </c>
      <c r="C105" s="20" t="n">
        <v>-7262</v>
      </c>
      <c r="D105" s="20" t="n">
        <v>-7216</v>
      </c>
      <c r="E105" s="20" t="n">
        <v>-7207</v>
      </c>
      <c r="F105" s="20" t="n">
        <v>-6813</v>
      </c>
      <c r="G105" s="20" t="n">
        <v>-6775</v>
      </c>
      <c r="H105" s="20" t="n">
        <v>-17395</v>
      </c>
      <c r="I105" s="20" t="n">
        <v>-7709</v>
      </c>
      <c r="J105" s="20" t="n">
        <v>-7297</v>
      </c>
      <c r="K105" s="20" t="n">
        <v>-7761</v>
      </c>
      <c r="L105" s="20" t="n">
        <v>-6813</v>
      </c>
    </row>
    <row r="106">
      <c r="A106" s="18" t="inlineStr">
        <is>
          <t>기타자본구성요소</t>
        </is>
      </c>
      <c r="C106" s="20" t="n">
        <v>69406</v>
      </c>
      <c r="D106" s="20" t="n">
        <v>82934</v>
      </c>
      <c r="E106" s="20" t="n">
        <v>109513</v>
      </c>
      <c r="F106" s="20" t="n">
        <v>108953</v>
      </c>
      <c r="G106" s="20" t="n">
        <v>119312</v>
      </c>
      <c r="H106" s="20" t="n">
        <v>2206</v>
      </c>
      <c r="I106" s="20" t="n">
        <v>22999</v>
      </c>
      <c r="J106" s="20" t="n">
        <v>75876</v>
      </c>
      <c r="K106" s="20" t="n">
        <v>67147</v>
      </c>
      <c r="L106" s="20" t="n">
        <v>108953</v>
      </c>
    </row>
    <row r="107">
      <c r="A107" s="18" t="inlineStr">
        <is>
          <t>이익잉여금</t>
        </is>
      </c>
      <c r="C107" s="20" t="n">
        <v>513873</v>
      </c>
      <c r="D107" s="20" t="n">
        <v>512162</v>
      </c>
      <c r="E107" s="20" t="n">
        <v>408439</v>
      </c>
      <c r="F107" s="20" t="n">
        <v>419169</v>
      </c>
      <c r="G107" s="20" t="n">
        <v>415317</v>
      </c>
      <c r="H107" s="20" t="n">
        <v>500912</v>
      </c>
      <c r="I107" s="20" t="n">
        <v>527148</v>
      </c>
      <c r="J107" s="20" t="n">
        <v>548843</v>
      </c>
      <c r="K107" s="20" t="n">
        <v>513115</v>
      </c>
      <c r="L107" s="20" t="n">
        <v>419169</v>
      </c>
    </row>
    <row r="108">
      <c r="A108" s="18" t="inlineStr">
        <is>
          <t>지배기업 소유주 지분</t>
        </is>
      </c>
      <c r="C108" s="20" t="n">
        <v>641493</v>
      </c>
      <c r="D108" s="20" t="n">
        <v>653356</v>
      </c>
      <c r="E108" s="20" t="n">
        <v>576222</v>
      </c>
      <c r="F108" s="20" t="n">
        <v>586785</v>
      </c>
      <c r="G108" s="20" t="n">
        <v>593360</v>
      </c>
      <c r="H108" s="20" t="n">
        <v>597681</v>
      </c>
      <c r="I108" s="20" t="n">
        <v>614966</v>
      </c>
      <c r="J108" s="20" t="n">
        <v>683795</v>
      </c>
      <c r="K108" s="20" t="n">
        <v>637977</v>
      </c>
      <c r="L108" s="20" t="n">
        <v>586785</v>
      </c>
    </row>
    <row r="109">
      <c r="A109" s="18" t="inlineStr">
        <is>
          <t>비지배지분</t>
        </is>
      </c>
      <c r="C109" s="20" t="n">
        <v>1232</v>
      </c>
      <c r="D109" s="20" t="n">
        <v>1268</v>
      </c>
      <c r="E109" s="20" t="n">
        <v>1401</v>
      </c>
      <c r="F109" s="20" t="n">
        <v>1411</v>
      </c>
      <c r="G109" s="20" t="n">
        <v>1400</v>
      </c>
      <c r="H109" s="20" t="n">
        <v>2285</v>
      </c>
      <c r="I109" s="20" t="n">
        <v>3384</v>
      </c>
      <c r="J109" s="20" t="n">
        <v>1297</v>
      </c>
      <c r="K109" s="20" t="n">
        <v>1246</v>
      </c>
      <c r="L109" s="20" t="n">
        <v>1411</v>
      </c>
    </row>
    <row r="110">
      <c r="A110" s="18" t="inlineStr">
        <is>
          <t>자본 합계</t>
        </is>
      </c>
      <c r="C110" s="20" t="n">
        <v>642726</v>
      </c>
      <c r="D110" s="20" t="n">
        <v>654624</v>
      </c>
      <c r="E110" s="20" t="n">
        <v>577623</v>
      </c>
      <c r="F110" s="20" t="n">
        <v>588196</v>
      </c>
      <c r="G110" s="20" t="n">
        <v>594760</v>
      </c>
      <c r="H110" s="20" t="n">
        <v>599967</v>
      </c>
      <c r="I110" s="20" t="n">
        <v>618351</v>
      </c>
      <c r="J110" s="20" t="n">
        <v>685091</v>
      </c>
      <c r="K110" s="20" t="n">
        <v>639223</v>
      </c>
      <c r="L110" s="20" t="n">
        <v>588196</v>
      </c>
    </row>
    <row r="111">
      <c r="A111" s="18" t="inlineStr">
        <is>
          <t>부채및자본 합계</t>
        </is>
      </c>
      <c r="C111" s="20" t="n">
        <v>1138420</v>
      </c>
      <c r="D111" s="20" t="n">
        <v>1154208</v>
      </c>
      <c r="E111" s="20" t="n">
        <v>1099827</v>
      </c>
      <c r="F111" s="20" t="n">
        <v>1075007</v>
      </c>
      <c r="G111" s="20" t="n">
        <v>1097132</v>
      </c>
      <c r="H111" s="20" t="n">
        <v>1039566</v>
      </c>
      <c r="I111" s="20" t="n">
        <v>1050267</v>
      </c>
      <c r="J111" s="20" t="n">
        <v>1147110</v>
      </c>
      <c r="K111" s="20" t="n">
        <v>1110514</v>
      </c>
      <c r="L111" s="20" t="n">
        <v>1075007</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196"/>
  <sheetViews>
    <sheetView showGridLines="0" workbookViewId="0">
      <selection activeCell="A1" sqref="A1"/>
    </sheetView>
  </sheetViews>
  <sheetFormatPr baseColWidth="8" defaultRowHeight="15"/>
  <cols>
    <col width="30" customWidth="1" min="1" max="1"/>
    <col width="11" customWidth="1" min="2" max="2"/>
    <col width="44" customWidth="1" min="3" max="3"/>
  </cols>
  <sheetData>
    <row r="1">
      <c r="A1" s="50" t="inlineStr">
        <is>
          <t>7731 섹터·사업 데이터</t>
        </is>
      </c>
    </row>
    <row r="2">
      <c r="A2" s="51" t="inlineStr">
        <is>
          <t>2단계 보고서를 만들 때 모은 자료 · 월차 · 출처는 맨 오른쪽</t>
        </is>
      </c>
    </row>
    <row r="4">
      <c r="A4" s="52" t="inlineStr">
        <is>
          <t>derived 2Q27</t>
        </is>
      </c>
      <c r="B4" s="52" t="n"/>
      <c r="C4" s="52" t="n"/>
    </row>
    <row r="5">
      <c r="A5" s="53" t="inlineStr">
        <is>
          <t>항목</t>
        </is>
      </c>
      <c r="B5" s="53" t="inlineStr">
        <is>
          <t>값</t>
        </is>
      </c>
      <c r="C5" s="53" t="inlineStr">
        <is>
          <t>출처</t>
        </is>
      </c>
    </row>
    <row r="6">
      <c r="A6" s="54" t="inlineStr">
        <is>
          <t>매출</t>
        </is>
      </c>
      <c r="B6" s="55" t="n">
        <v>1703.2</v>
      </c>
      <c r="C6" s="56" t="inlineStr">
        <is>
          <t>2단계 보고서 자료(회사 설명회 자료·공시)</t>
        </is>
      </c>
    </row>
    <row r="7">
      <c r="A7" s="54" t="inlineStr">
        <is>
          <t>영업이익</t>
        </is>
      </c>
      <c r="B7" s="55" t="n">
        <v>100</v>
      </c>
    </row>
    <row r="8">
      <c r="A8" s="54" t="inlineStr">
        <is>
          <t>pbt</t>
        </is>
      </c>
      <c r="B8" s="55" t="n">
        <v>110</v>
      </c>
    </row>
    <row r="9">
      <c r="A9" s="54" t="inlineStr">
        <is>
          <t>순이익</t>
        </is>
      </c>
      <c r="B9" s="55" t="n">
        <v>92.09999999999999</v>
      </c>
    </row>
    <row r="10">
      <c r="A10" s="54" t="inlineStr">
        <is>
          <t>EPS</t>
        </is>
      </c>
      <c r="B10" s="55" t="n">
        <v>27.96</v>
      </c>
    </row>
    <row r="11">
      <c r="A11" s="54" t="inlineStr">
        <is>
          <t>YoY 매출 %</t>
        </is>
      </c>
      <c r="B11" s="55" t="n">
        <v>10</v>
      </c>
    </row>
    <row r="13">
      <c r="A13" s="52" t="inlineStr">
        <is>
          <t>derived 2Q27 · prior q</t>
        </is>
      </c>
      <c r="B13" s="52" t="n"/>
      <c r="C13" s="52" t="n"/>
    </row>
    <row r="14">
      <c r="A14" s="53" t="inlineStr">
        <is>
          <t>항목</t>
        </is>
      </c>
      <c r="B14" s="53" t="inlineStr">
        <is>
          <t>값</t>
        </is>
      </c>
      <c r="C14" s="53" t="inlineStr">
        <is>
          <t>출처</t>
        </is>
      </c>
    </row>
    <row r="15">
      <c r="A15" s="54" t="inlineStr">
        <is>
          <t>매출</t>
        </is>
      </c>
      <c r="B15" s="55" t="n">
        <v>1547.9</v>
      </c>
      <c r="C15" s="56" t="inlineStr">
        <is>
          <t>2단계 보고서 자료(회사 설명회 자료·공시)</t>
        </is>
      </c>
    </row>
    <row r="16">
      <c r="A16" s="54" t="inlineStr">
        <is>
          <t>영업이익</t>
        </is>
      </c>
      <c r="B16" s="55" t="n">
        <v>-36.4</v>
      </c>
    </row>
    <row r="17">
      <c r="A17" s="54" t="inlineStr">
        <is>
          <t>pbt</t>
        </is>
      </c>
      <c r="B17" s="55" t="n">
        <v>-60.6</v>
      </c>
    </row>
    <row r="18">
      <c r="A18" s="54" t="inlineStr">
        <is>
          <t>순이익</t>
        </is>
      </c>
      <c r="B18" s="55" t="n">
        <v>-41.1</v>
      </c>
    </row>
    <row r="19">
      <c r="A19" s="54" t="inlineStr">
        <is>
          <t>EPS</t>
        </is>
      </c>
      <c r="B19" s="55" t="n">
        <v>-12.51</v>
      </c>
    </row>
    <row r="21">
      <c r="A21" s="52" t="inlineStr">
        <is>
          <t>implied 2H27 · new</t>
        </is>
      </c>
      <c r="B21" s="52" t="n"/>
      <c r="C21" s="52" t="n"/>
    </row>
    <row r="22">
      <c r="A22" s="53" t="inlineStr">
        <is>
          <t>항목</t>
        </is>
      </c>
      <c r="B22" s="53" t="inlineStr">
        <is>
          <t>값</t>
        </is>
      </c>
      <c r="C22" s="53" t="inlineStr">
        <is>
          <t>출처</t>
        </is>
      </c>
    </row>
    <row r="23">
      <c r="A23" s="54" t="inlineStr">
        <is>
          <t>매출</t>
        </is>
      </c>
      <c r="B23" s="57" t="n">
        <v>3875</v>
      </c>
      <c r="C23" s="56" t="inlineStr">
        <is>
          <t>2단계 보고서 자료(회사 설명회 자료·공시)</t>
        </is>
      </c>
    </row>
    <row r="24">
      <c r="A24" s="54" t="inlineStr">
        <is>
          <t>영업이익</t>
        </is>
      </c>
      <c r="B24" s="57" t="n">
        <v>75</v>
      </c>
    </row>
    <row r="25">
      <c r="A25" s="54" t="inlineStr">
        <is>
          <t>순이익</t>
        </is>
      </c>
      <c r="B25" s="57" t="n">
        <v>55</v>
      </c>
    </row>
    <row r="27">
      <c r="A27" s="52" t="inlineStr">
        <is>
          <t>implied 2H27 · 직전</t>
        </is>
      </c>
      <c r="B27" s="52" t="n"/>
      <c r="C27" s="52" t="n"/>
    </row>
    <row r="28">
      <c r="A28" s="53" t="inlineStr">
        <is>
          <t>항목</t>
        </is>
      </c>
      <c r="B28" s="53" t="inlineStr">
        <is>
          <t>값</t>
        </is>
      </c>
      <c r="C28" s="53" t="inlineStr">
        <is>
          <t>출처</t>
        </is>
      </c>
    </row>
    <row r="29">
      <c r="A29" s="54" t="inlineStr">
        <is>
          <t>매출</t>
        </is>
      </c>
      <c r="B29" s="57" t="n">
        <v>3960</v>
      </c>
      <c r="C29" s="56" t="inlineStr">
        <is>
          <t>2단계 보고서 자료(회사 설명회 자료·공시)</t>
        </is>
      </c>
    </row>
    <row r="30">
      <c r="A30" s="54" t="inlineStr">
        <is>
          <t>영업이익</t>
        </is>
      </c>
      <c r="B30" s="57" t="n">
        <v>165</v>
      </c>
    </row>
    <row r="31">
      <c r="A31" s="54" t="inlineStr">
        <is>
          <t>순이익</t>
        </is>
      </c>
      <c r="B31" s="57" t="n">
        <v>125</v>
      </c>
    </row>
    <row r="33">
      <c r="A33" s="52" t="inlineStr">
        <is>
          <t>implied 2H27 · prior year</t>
        </is>
      </c>
      <c r="B33" s="52" t="n"/>
      <c r="C33" s="52" t="n"/>
    </row>
    <row r="34">
      <c r="A34" s="53" t="inlineStr">
        <is>
          <t>항목</t>
        </is>
      </c>
      <c r="B34" s="53" t="inlineStr">
        <is>
          <t>값</t>
        </is>
      </c>
      <c r="C34" s="53" t="inlineStr">
        <is>
          <t>출처</t>
        </is>
      </c>
    </row>
    <row r="35">
      <c r="A35" s="54" t="inlineStr">
        <is>
          <t>매출</t>
        </is>
      </c>
      <c r="B35" s="55" t="n">
        <v>3642.5</v>
      </c>
      <c r="C35" s="56" t="inlineStr">
        <is>
          <t>2단계 보고서 자료(회사 설명회 자료·공시)</t>
        </is>
      </c>
    </row>
    <row r="36">
      <c r="A36" s="54" t="inlineStr">
        <is>
          <t>영업이익</t>
        </is>
      </c>
      <c r="B36" s="55" t="n">
        <v>-1076.2</v>
      </c>
    </row>
    <row r="38">
      <c r="A38" s="52" t="inlineStr">
        <is>
          <t>컨센서스 2026 10 30 · 2Q27</t>
        </is>
      </c>
      <c r="B38" s="52" t="n"/>
      <c r="C38" s="52" t="n"/>
    </row>
    <row r="39">
      <c r="A39" s="53" t="inlineStr">
        <is>
          <t>항목</t>
        </is>
      </c>
      <c r="B39" s="53" t="inlineStr">
        <is>
          <t>값</t>
        </is>
      </c>
      <c r="C39" s="53" t="inlineStr">
        <is>
          <t>출처</t>
        </is>
      </c>
    </row>
    <row r="40">
      <c r="A40" s="54" t="inlineStr">
        <is>
          <t>매출</t>
        </is>
      </c>
      <c r="B40" s="55" t="n">
        <v>1665.8</v>
      </c>
      <c r="C40" s="56" t="inlineStr">
        <is>
          <t>jp_consensus(야후) 2026-10-30 — 수정 공시 반영 전</t>
        </is>
      </c>
    </row>
    <row r="41">
      <c r="A41" s="54" t="inlineStr">
        <is>
          <t>EPS</t>
        </is>
      </c>
      <c r="B41" s="55" t="n">
        <v>-4.14</v>
      </c>
    </row>
    <row r="42">
      <c r="A42" s="54" t="inlineStr">
        <is>
          <t>EPS 애널리스트 수</t>
        </is>
      </c>
      <c r="B42" s="57" t="n">
        <v>3</v>
      </c>
    </row>
    <row r="43">
      <c r="A43" s="54" t="inlineStr">
        <is>
          <t>매출 애널리스트 수</t>
        </is>
      </c>
      <c r="B43" s="57" t="n">
        <v>6</v>
      </c>
    </row>
    <row r="45">
      <c r="A45" s="52" t="inlineStr">
        <is>
          <t>컨센서스 2026 10 30 · 3Q27</t>
        </is>
      </c>
      <c r="B45" s="52" t="n"/>
      <c r="C45" s="52" t="n"/>
    </row>
    <row r="46">
      <c r="A46" s="53" t="inlineStr">
        <is>
          <t>항목</t>
        </is>
      </c>
      <c r="B46" s="53" t="inlineStr">
        <is>
          <t>값</t>
        </is>
      </c>
      <c r="C46" s="53" t="inlineStr">
        <is>
          <t>출처</t>
        </is>
      </c>
    </row>
    <row r="47">
      <c r="A47" s="54" t="inlineStr">
        <is>
          <t>매출</t>
        </is>
      </c>
      <c r="B47" s="55" t="n">
        <v>1894.8</v>
      </c>
      <c r="C47" s="56" t="inlineStr">
        <is>
          <t>jp_consensus(야후) 2026-10-30 — 수정 공시 반영 전</t>
        </is>
      </c>
    </row>
    <row r="48">
      <c r="A48" s="54" t="inlineStr">
        <is>
          <t>EPS</t>
        </is>
      </c>
      <c r="B48" s="55" t="n">
        <v>13.31</v>
      </c>
    </row>
    <row r="50">
      <c r="A50" s="52" t="inlineStr">
        <is>
          <t>컨센서스 2026 10 30 · FY27</t>
        </is>
      </c>
      <c r="B50" s="52" t="n"/>
      <c r="C50" s="52" t="n"/>
    </row>
    <row r="51">
      <c r="A51" s="53" t="inlineStr">
        <is>
          <t>항목</t>
        </is>
      </c>
      <c r="B51" s="53" t="inlineStr">
        <is>
          <t>값</t>
        </is>
      </c>
      <c r="C51" s="53" t="inlineStr">
        <is>
          <t>출처</t>
        </is>
      </c>
    </row>
    <row r="52">
      <c r="A52" s="54" t="inlineStr">
        <is>
          <t>매출</t>
        </is>
      </c>
      <c r="B52" s="55" t="n">
        <v>7120.9</v>
      </c>
      <c r="C52" s="56" t="inlineStr">
        <is>
          <t>jp_consensus(야후) 2026-10-30 — 수정 공시 반영 전</t>
        </is>
      </c>
    </row>
    <row r="53">
      <c r="A53" s="54" t="inlineStr">
        <is>
          <t>EPS</t>
        </is>
      </c>
      <c r="B53" s="55" t="n">
        <v>33.4</v>
      </c>
    </row>
    <row r="54">
      <c r="A54" s="54" t="inlineStr">
        <is>
          <t>애널리스트 수</t>
        </is>
      </c>
      <c r="B54" s="57" t="n">
        <v>9</v>
      </c>
    </row>
    <row r="56">
      <c r="A56" s="52" t="inlineStr">
        <is>
          <t>컨센서스 2026 10 30 · FY28</t>
        </is>
      </c>
      <c r="B56" s="52" t="n"/>
      <c r="C56" s="52" t="n"/>
    </row>
    <row r="57">
      <c r="A57" s="53" t="inlineStr">
        <is>
          <t>항목</t>
        </is>
      </c>
      <c r="B57" s="53" t="inlineStr">
        <is>
          <t>값</t>
        </is>
      </c>
      <c r="C57" s="53" t="inlineStr">
        <is>
          <t>출처</t>
        </is>
      </c>
    </row>
    <row r="58">
      <c r="A58" s="54" t="inlineStr">
        <is>
          <t>매출</t>
        </is>
      </c>
      <c r="B58" s="55" t="n">
        <v>7524.6</v>
      </c>
      <c r="C58" s="56" t="inlineStr">
        <is>
          <t>jp_consensus(야후) 2026-10-30 — 수정 공시 반영 전</t>
        </is>
      </c>
    </row>
    <row r="59">
      <c r="A59" s="54" t="inlineStr">
        <is>
          <t>EPS</t>
        </is>
      </c>
      <c r="B59" s="55" t="n">
        <v>62.13</v>
      </c>
    </row>
    <row r="60">
      <c r="A60" s="54" t="inlineStr">
        <is>
          <t>애널리스트 수</t>
        </is>
      </c>
      <c r="B60" s="57" t="n">
        <v>9</v>
      </c>
    </row>
    <row r="62">
      <c r="A62" s="52" t="inlineStr">
        <is>
          <t>컨센서스 2026 10 30 · 목표주가</t>
        </is>
      </c>
      <c r="B62" s="52" t="n"/>
      <c r="C62" s="52" t="n"/>
    </row>
    <row r="63">
      <c r="A63" s="53" t="inlineStr">
        <is>
          <t>항목</t>
        </is>
      </c>
      <c r="B63" s="53" t="inlineStr">
        <is>
          <t>값</t>
        </is>
      </c>
      <c r="C63" s="53" t="inlineStr">
        <is>
          <t>출처</t>
        </is>
      </c>
    </row>
    <row r="64">
      <c r="A64" s="54" t="inlineStr">
        <is>
          <t>평균</t>
        </is>
      </c>
      <c r="B64" s="57" t="n">
        <v>1663</v>
      </c>
      <c r="C64" s="56" t="inlineStr">
        <is>
          <t>jp_consensus(야후) 2026-10-30 — 수정 공시 반영 전</t>
        </is>
      </c>
    </row>
    <row r="65">
      <c r="A65" s="54" t="inlineStr">
        <is>
          <t>중앙값</t>
        </is>
      </c>
      <c r="B65" s="57" t="n">
        <v>1765</v>
      </c>
    </row>
    <row r="66">
      <c r="A66" s="54" t="inlineStr">
        <is>
          <t>최고</t>
        </is>
      </c>
      <c r="B66" s="57" t="n">
        <v>2200</v>
      </c>
    </row>
    <row r="67">
      <c r="A67" s="54" t="inlineStr">
        <is>
          <t>최저</t>
        </is>
      </c>
      <c r="B67" s="57" t="n">
        <v>1100</v>
      </c>
    </row>
    <row r="68">
      <c r="A68" s="54" t="inlineStr">
        <is>
          <t>애널리스트 수</t>
        </is>
      </c>
      <c r="B68" s="57" t="n">
        <v>10</v>
      </c>
    </row>
    <row r="70">
      <c r="A70" s="52" t="inlineStr">
        <is>
          <t>컨센서스 2026 10 30 · EPS trend FY27</t>
        </is>
      </c>
      <c r="B70" s="52" t="n"/>
      <c r="C70" s="52" t="n"/>
    </row>
    <row r="71">
      <c r="A71" s="53" t="inlineStr">
        <is>
          <t>항목</t>
        </is>
      </c>
      <c r="B71" s="53" t="inlineStr">
        <is>
          <t>값</t>
        </is>
      </c>
      <c r="C71" s="53" t="inlineStr">
        <is>
          <t>출처</t>
        </is>
      </c>
    </row>
    <row r="72">
      <c r="A72" s="54" t="inlineStr">
        <is>
          <t>now</t>
        </is>
      </c>
      <c r="B72" s="55" t="n">
        <v>33.4</v>
      </c>
      <c r="C72" s="56" t="inlineStr">
        <is>
          <t>jp_consensus(야후) 2026-10-30 — 수정 공시 반영 전</t>
        </is>
      </c>
    </row>
    <row r="73">
      <c r="A73" s="54" t="inlineStr">
        <is>
          <t>7d</t>
        </is>
      </c>
      <c r="B73" s="55" t="n">
        <v>33.94</v>
      </c>
    </row>
    <row r="74">
      <c r="A74" s="54" t="inlineStr">
        <is>
          <t>30d</t>
        </is>
      </c>
      <c r="B74" s="55" t="n">
        <v>33.17</v>
      </c>
    </row>
    <row r="75">
      <c r="A75" s="54" t="inlineStr">
        <is>
          <t>60d</t>
        </is>
      </c>
      <c r="B75" s="55" t="n">
        <v>31.27</v>
      </c>
    </row>
    <row r="76">
      <c r="A76" s="54" t="inlineStr">
        <is>
          <t>90d</t>
        </is>
      </c>
      <c r="B76" s="55" t="n">
        <v>26.74</v>
      </c>
    </row>
    <row r="78">
      <c r="A78" s="52" t="inlineStr">
        <is>
          <t>컨센서스 2026 10 30 · EPS trend FY28</t>
        </is>
      </c>
      <c r="B78" s="52" t="n"/>
      <c r="C78" s="52" t="n"/>
    </row>
    <row r="79">
      <c r="A79" s="53" t="inlineStr">
        <is>
          <t>항목</t>
        </is>
      </c>
      <c r="B79" s="53" t="inlineStr">
        <is>
          <t>값</t>
        </is>
      </c>
      <c r="C79" s="53" t="inlineStr">
        <is>
          <t>출처</t>
        </is>
      </c>
    </row>
    <row r="80">
      <c r="A80" s="54" t="inlineStr">
        <is>
          <t>now</t>
        </is>
      </c>
      <c r="B80" s="55" t="n">
        <v>62.13</v>
      </c>
      <c r="C80" s="56" t="inlineStr">
        <is>
          <t>jp_consensus(야후) 2026-10-30 — 수정 공시 반영 전</t>
        </is>
      </c>
    </row>
    <row r="81">
      <c r="A81" s="54" t="inlineStr">
        <is>
          <t>30d</t>
        </is>
      </c>
      <c r="B81" s="55" t="n">
        <v>66.94</v>
      </c>
    </row>
    <row r="82">
      <c r="A82" s="54" t="inlineStr">
        <is>
          <t>90d</t>
        </is>
      </c>
      <c r="B82" s="55" t="n">
        <v>66.02</v>
      </c>
    </row>
    <row r="84">
      <c r="A84" s="52" t="inlineStr">
        <is>
          <t>dps</t>
        </is>
      </c>
      <c r="B84" s="52" t="n"/>
      <c r="C84" s="52" t="n"/>
    </row>
    <row r="85">
      <c r="A85" s="53" t="inlineStr">
        <is>
          <t>항목</t>
        </is>
      </c>
      <c r="B85" s="53" t="inlineStr">
        <is>
          <t>값</t>
        </is>
      </c>
      <c r="C85" s="53" t="inlineStr">
        <is>
          <t>출처</t>
        </is>
      </c>
    </row>
    <row r="86">
      <c r="A86" s="54" t="inlineStr">
        <is>
          <t>FY22</t>
        </is>
      </c>
      <c r="B86" s="57" t="n">
        <v>40</v>
      </c>
      <c r="C86" s="56" t="inlineStr">
        <is>
          <t>FY27 예상 중간 10·기말 10(1Q 결산단신 기준). 수정 공시에 배당 변경 언급 없음</t>
        </is>
      </c>
    </row>
    <row r="87">
      <c r="A87" s="54" t="inlineStr">
        <is>
          <t>FY23</t>
        </is>
      </c>
      <c r="B87" s="57" t="n">
        <v>45</v>
      </c>
    </row>
    <row r="88">
      <c r="A88" s="54" t="inlineStr">
        <is>
          <t>FY24</t>
        </is>
      </c>
      <c r="B88" s="57" t="n">
        <v>50</v>
      </c>
    </row>
    <row r="89">
      <c r="A89" s="54" t="inlineStr">
        <is>
          <t>FY25</t>
        </is>
      </c>
      <c r="B89" s="57" t="n">
        <v>50</v>
      </c>
    </row>
    <row r="90">
      <c r="A90" s="54" t="inlineStr">
        <is>
          <t>FY26</t>
        </is>
      </c>
      <c r="B90" s="57" t="n">
        <v>40</v>
      </c>
    </row>
    <row r="91">
      <c r="A91" s="54" t="inlineStr">
        <is>
          <t>FY27G</t>
        </is>
      </c>
      <c r="B91" s="57" t="n">
        <v>20</v>
      </c>
    </row>
    <row r="93">
      <c r="A93" s="52" t="inlineStr">
        <is>
          <t>EPS annual</t>
        </is>
      </c>
      <c r="B93" s="52" t="n"/>
      <c r="C93" s="52" t="n"/>
    </row>
    <row r="94">
      <c r="A94" s="53" t="inlineStr">
        <is>
          <t>항목</t>
        </is>
      </c>
      <c r="B94" s="53" t="inlineStr">
        <is>
          <t>값</t>
        </is>
      </c>
      <c r="C94" s="53" t="inlineStr">
        <is>
          <t>출처</t>
        </is>
      </c>
    </row>
    <row r="95">
      <c r="A95" s="54" t="inlineStr">
        <is>
          <t>FY18</t>
        </is>
      </c>
      <c r="B95" s="55" t="n">
        <v>87.76000000000001</v>
      </c>
      <c r="C95" s="56" t="inlineStr">
        <is>
          <t>2단계 보고서 자료(회사 설명회 자료·공시)</t>
        </is>
      </c>
    </row>
    <row r="96">
      <c r="A96" s="54" t="inlineStr">
        <is>
          <t>FY19</t>
        </is>
      </c>
      <c r="B96" s="55" t="n">
        <v>167.86</v>
      </c>
    </row>
    <row r="97">
      <c r="A97" s="54" t="inlineStr">
        <is>
          <t>FY20</t>
        </is>
      </c>
      <c r="B97" s="55" t="n">
        <v>19.93</v>
      </c>
    </row>
    <row r="98">
      <c r="A98" s="54" t="inlineStr">
        <is>
          <t>FY21</t>
        </is>
      </c>
      <c r="B98" s="55" t="n">
        <v>-93.95999999999999</v>
      </c>
    </row>
    <row r="99">
      <c r="A99" s="54" t="inlineStr">
        <is>
          <t>FY22</t>
        </is>
      </c>
      <c r="B99" s="55" t="n">
        <v>116.23</v>
      </c>
    </row>
    <row r="100">
      <c r="A100" s="54" t="inlineStr">
        <is>
          <t>FY23</t>
        </is>
      </c>
      <c r="B100" s="55" t="n">
        <v>125.46</v>
      </c>
    </row>
    <row r="101">
      <c r="A101" s="54" t="inlineStr">
        <is>
          <t>FY24</t>
        </is>
      </c>
      <c r="B101" s="55" t="n">
        <v>94.03</v>
      </c>
    </row>
    <row r="102">
      <c r="A102" s="54" t="inlineStr">
        <is>
          <t>FY25</t>
        </is>
      </c>
      <c r="B102" s="55" t="n">
        <v>17.86</v>
      </c>
    </row>
    <row r="103">
      <c r="A103" s="54" t="inlineStr">
        <is>
          <t>FY26</t>
        </is>
      </c>
      <c r="B103" s="55" t="n">
        <v>-261.57</v>
      </c>
    </row>
    <row r="105">
      <c r="A105" s="52" t="inlineStr">
        <is>
          <t>quarter EPS</t>
        </is>
      </c>
      <c r="B105" s="52" t="n"/>
      <c r="C105" s="52" t="n"/>
    </row>
    <row r="106">
      <c r="A106" s="53" t="inlineStr">
        <is>
          <t>항목</t>
        </is>
      </c>
      <c r="B106" s="53" t="inlineStr">
        <is>
          <t>값</t>
        </is>
      </c>
      <c r="C106" s="53" t="inlineStr">
        <is>
          <t>출처</t>
        </is>
      </c>
    </row>
    <row r="107">
      <c r="A107" s="54" t="inlineStr">
        <is>
          <t>2024.4Q</t>
        </is>
      </c>
      <c r="B107" s="55" t="n">
        <v>21.93</v>
      </c>
      <c r="C107" s="56" t="inlineStr">
        <is>
          <t>2단계 보고서 자료(회사 설명회 자료·공시)</t>
        </is>
      </c>
    </row>
    <row r="108">
      <c r="A108" s="54" t="inlineStr">
        <is>
          <t>2025.1Q</t>
        </is>
      </c>
      <c r="B108" s="55" t="n">
        <v>7.95</v>
      </c>
    </row>
    <row r="109">
      <c r="A109" s="54" t="inlineStr">
        <is>
          <t>2025.2Q</t>
        </is>
      </c>
      <c r="B109" s="55" t="n">
        <v>0.6</v>
      </c>
    </row>
    <row r="110">
      <c r="A110" s="54" t="inlineStr">
        <is>
          <t>2025.3Q</t>
        </is>
      </c>
      <c r="B110" s="55" t="n">
        <v>9.56</v>
      </c>
    </row>
    <row r="111">
      <c r="A111" s="54" t="inlineStr">
        <is>
          <t>2025.4Q</t>
        </is>
      </c>
      <c r="B111" s="55" t="n">
        <v>-0.25</v>
      </c>
    </row>
    <row r="112">
      <c r="A112" s="54" t="inlineStr">
        <is>
          <t>2026.1Q</t>
        </is>
      </c>
      <c r="B112" s="55" t="n">
        <v>28.79</v>
      </c>
    </row>
    <row r="113">
      <c r="A113" s="54" t="inlineStr">
        <is>
          <t>2026.2Q</t>
        </is>
      </c>
      <c r="B113" s="55" t="n">
        <v>-12.51</v>
      </c>
    </row>
    <row r="114">
      <c r="A114" s="54" t="inlineStr">
        <is>
          <t>2026.3Q</t>
        </is>
      </c>
      <c r="B114" s="55" t="n">
        <v>-281.31</v>
      </c>
    </row>
    <row r="115">
      <c r="A115" s="54" t="inlineStr">
        <is>
          <t>2026.4Q</t>
        </is>
      </c>
      <c r="B115" s="55" t="n">
        <v>3.46</v>
      </c>
    </row>
    <row r="116">
      <c r="A116" s="54" t="inlineStr">
        <is>
          <t>2027.1Q</t>
        </is>
      </c>
      <c r="B116" s="55" t="n">
        <v>3.91</v>
      </c>
    </row>
    <row r="118">
      <c r="A118" s="52" t="inlineStr">
        <is>
          <t>segment_op_cum · FY27.1Q</t>
        </is>
      </c>
      <c r="B118" s="52" t="n"/>
      <c r="C118" s="52" t="n"/>
    </row>
    <row r="119">
      <c r="A119" s="53" t="inlineStr">
        <is>
          <t>항목</t>
        </is>
      </c>
      <c r="B119" s="53" t="inlineStr">
        <is>
          <t>값</t>
        </is>
      </c>
      <c r="C119" s="53" t="inlineStr">
        <is>
          <t>출처</t>
        </is>
      </c>
    </row>
    <row r="120">
      <c r="A120" s="54" t="inlineStr">
        <is>
          <t>영상</t>
        </is>
      </c>
      <c r="B120" s="55" t="n">
        <v>81.03</v>
      </c>
      <c r="C120" s="56" t="inlineStr">
        <is>
          <t>2단계 보고서 자료(회사 설명회 자료·공시)</t>
        </is>
      </c>
    </row>
    <row r="121">
      <c r="A121" s="54" t="inlineStr">
        <is>
          <t>정밀장비</t>
        </is>
      </c>
      <c r="B121" s="55" t="n">
        <v>-26.32</v>
      </c>
    </row>
    <row r="122">
      <c r="A122" s="54" t="inlineStr">
        <is>
          <t>헬스케어</t>
        </is>
      </c>
      <c r="B122" s="55" t="n">
        <v>10.53</v>
      </c>
    </row>
    <row r="123">
      <c r="A123" s="54" t="inlineStr">
        <is>
          <t>산업</t>
        </is>
      </c>
      <c r="B123" s="55" t="n">
        <v>30.07</v>
      </c>
    </row>
    <row r="124">
      <c r="A124" s="54" t="inlineStr">
        <is>
          <t>디지털제조</t>
        </is>
      </c>
      <c r="B124" s="55" t="n">
        <v>-21.97</v>
      </c>
    </row>
    <row r="125">
      <c r="A125" s="54" t="inlineStr">
        <is>
          <t>기타</t>
        </is>
      </c>
      <c r="B125" s="55" t="n">
        <v>3</v>
      </c>
    </row>
    <row r="126">
      <c r="A126" s="54" t="inlineStr">
        <is>
          <t>조정</t>
        </is>
      </c>
      <c r="B126" s="55" t="n">
        <v>-86.31</v>
      </c>
    </row>
    <row r="127">
      <c r="A127" s="54" t="inlineStr">
        <is>
          <t>합계</t>
        </is>
      </c>
      <c r="B127" s="55" t="n">
        <v>-9.970000000000001</v>
      </c>
    </row>
    <row r="129">
      <c r="A129" s="52" t="inlineStr">
        <is>
          <t>segment_op_cum · FY26.1Q_새기준</t>
        </is>
      </c>
      <c r="B129" s="52" t="n"/>
      <c r="C129" s="52" t="n"/>
    </row>
    <row r="130">
      <c r="A130" s="53" t="inlineStr">
        <is>
          <t>항목</t>
        </is>
      </c>
      <c r="B130" s="53" t="inlineStr">
        <is>
          <t>값</t>
        </is>
      </c>
      <c r="C130" s="53" t="inlineStr">
        <is>
          <t>출처</t>
        </is>
      </c>
    </row>
    <row r="131">
      <c r="A131" s="54" t="inlineStr">
        <is>
          <t>영상</t>
        </is>
      </c>
      <c r="B131" s="55" t="n">
        <v>111.71</v>
      </c>
      <c r="C131" s="56" t="inlineStr">
        <is>
          <t>2단계 보고서 자료(회사 설명회 자료·공시)</t>
        </is>
      </c>
    </row>
    <row r="132">
      <c r="A132" s="54" t="inlineStr">
        <is>
          <t>정밀장비</t>
        </is>
      </c>
      <c r="B132" s="55" t="n">
        <v>18.89</v>
      </c>
    </row>
    <row r="133">
      <c r="A133" s="54" t="inlineStr">
        <is>
          <t>헬스케어</t>
        </is>
      </c>
      <c r="B133" s="55" t="n">
        <v>-18.38</v>
      </c>
    </row>
    <row r="134">
      <c r="A134" s="54" t="inlineStr">
        <is>
          <t>산업</t>
        </is>
      </c>
      <c r="B134" s="55" t="n">
        <v>16.64</v>
      </c>
    </row>
    <row r="135">
      <c r="A135" s="54" t="inlineStr">
        <is>
          <t>디지털제조</t>
        </is>
      </c>
      <c r="B135" s="55" t="n">
        <v>-41.9</v>
      </c>
    </row>
    <row r="136">
      <c r="A136" s="54" t="inlineStr">
        <is>
          <t>기타</t>
        </is>
      </c>
      <c r="B136" s="55" t="n">
        <v>-2.12</v>
      </c>
    </row>
    <row r="137">
      <c r="A137" s="54" t="inlineStr">
        <is>
          <t>조정</t>
        </is>
      </c>
      <c r="B137" s="55" t="n">
        <v>-96.75</v>
      </c>
    </row>
    <row r="139">
      <c r="A139" s="52" t="inlineStr">
        <is>
          <t>segment_op_cum · FY26.2Q누계</t>
        </is>
      </c>
      <c r="B139" s="52" t="n"/>
      <c r="C139" s="52" t="n"/>
    </row>
    <row r="140">
      <c r="A140" s="53" t="inlineStr">
        <is>
          <t>항목</t>
        </is>
      </c>
      <c r="B140" s="53" t="inlineStr">
        <is>
          <t>값</t>
        </is>
      </c>
      <c r="C140" s="53" t="inlineStr">
        <is>
          <t>출처</t>
        </is>
      </c>
    </row>
    <row r="141">
      <c r="A141" s="54" t="inlineStr">
        <is>
          <t>영상</t>
        </is>
      </c>
      <c r="B141" s="55" t="n">
        <v>151.43</v>
      </c>
      <c r="C141" s="56" t="inlineStr">
        <is>
          <t>2단계 보고서 자료(회사 설명회 자료·공시)</t>
        </is>
      </c>
    </row>
    <row r="142">
      <c r="A142" s="54" t="inlineStr">
        <is>
          <t>정밀장비</t>
        </is>
      </c>
      <c r="B142" s="55" t="n">
        <v>30.44</v>
      </c>
    </row>
    <row r="143">
      <c r="A143" s="54" t="inlineStr">
        <is>
          <t>헬스케어</t>
        </is>
      </c>
      <c r="B143" s="55" t="n">
        <v>3.4</v>
      </c>
    </row>
    <row r="144">
      <c r="A144" s="54" t="inlineStr">
        <is>
          <t>부품</t>
        </is>
      </c>
      <c r="B144" s="55" t="n">
        <v>52.81</v>
      </c>
    </row>
    <row r="145">
      <c r="A145" s="54" t="inlineStr">
        <is>
          <t>디지털제조</t>
        </is>
      </c>
      <c r="B145" s="55" t="n">
        <v>-89.63</v>
      </c>
    </row>
    <row r="146">
      <c r="A146" s="54" t="inlineStr">
        <is>
          <t>기타</t>
        </is>
      </c>
      <c r="B146" s="55" t="n">
        <v>-5.76</v>
      </c>
    </row>
    <row r="147">
      <c r="A147" s="54" t="inlineStr">
        <is>
          <t>조정</t>
        </is>
      </c>
      <c r="B147" s="55" t="n">
        <v>-190.99</v>
      </c>
    </row>
    <row r="149">
      <c r="A149" s="52" t="inlineStr">
        <is>
          <t>segment_op_cum · FY26.3Q누계</t>
        </is>
      </c>
      <c r="B149" s="52" t="n"/>
      <c r="C149" s="52" t="n"/>
    </row>
    <row r="150">
      <c r="A150" s="53" t="inlineStr">
        <is>
          <t>항목</t>
        </is>
      </c>
      <c r="B150" s="53" t="inlineStr">
        <is>
          <t>값</t>
        </is>
      </c>
      <c r="C150" s="53" t="inlineStr">
        <is>
          <t>출처</t>
        </is>
      </c>
    </row>
    <row r="151">
      <c r="A151" s="54" t="inlineStr">
        <is>
          <t>영상</t>
        </is>
      </c>
      <c r="B151" s="55" t="n">
        <v>209.4</v>
      </c>
      <c r="C151" s="56" t="inlineStr">
        <is>
          <t>2단계 보고서 자료(회사 설명회 자료·공시)</t>
        </is>
      </c>
    </row>
    <row r="152">
      <c r="A152" s="54" t="inlineStr">
        <is>
          <t>정밀장비</t>
        </is>
      </c>
      <c r="B152" s="55" t="n">
        <v>6.28</v>
      </c>
    </row>
    <row r="153">
      <c r="A153" s="54" t="inlineStr">
        <is>
          <t>헬스케어</t>
        </is>
      </c>
      <c r="B153" s="55" t="n">
        <v>-6.87</v>
      </c>
    </row>
    <row r="154">
      <c r="A154" s="54" t="inlineStr">
        <is>
          <t>부품</t>
        </is>
      </c>
      <c r="B154" s="55" t="n">
        <v>66.45</v>
      </c>
    </row>
    <row r="155">
      <c r="A155" s="54" t="inlineStr">
        <is>
          <t>디지털제조</t>
        </is>
      </c>
      <c r="B155" s="55" t="n">
        <v>-1034.15</v>
      </c>
    </row>
    <row r="156">
      <c r="A156" s="54" t="inlineStr">
        <is>
          <t>기타</t>
        </is>
      </c>
      <c r="B156" s="55" t="n">
        <v>-15.55</v>
      </c>
    </row>
    <row r="157">
      <c r="A157" s="54" t="inlineStr">
        <is>
          <t>조정</t>
        </is>
      </c>
      <c r="B157" s="55" t="n">
        <v>-261.88</v>
      </c>
    </row>
    <row r="159">
      <c r="A159" s="52" t="inlineStr">
        <is>
          <t>segment_op_cum · FY26연간</t>
        </is>
      </c>
      <c r="B159" s="52" t="n"/>
      <c r="C159" s="52" t="n"/>
    </row>
    <row r="160">
      <c r="A160" s="53" t="inlineStr">
        <is>
          <t>항목</t>
        </is>
      </c>
      <c r="B160" s="53" t="inlineStr">
        <is>
          <t>값</t>
        </is>
      </c>
      <c r="C160" s="53" t="inlineStr">
        <is>
          <t>출처</t>
        </is>
      </c>
    </row>
    <row r="161">
      <c r="A161" s="54" t="inlineStr">
        <is>
          <t>영상</t>
        </is>
      </c>
      <c r="B161" s="55" t="n">
        <v>167.15</v>
      </c>
      <c r="C161" s="56" t="inlineStr">
        <is>
          <t>2단계 보고서 자료(회사 설명회 자료·공시)</t>
        </is>
      </c>
    </row>
    <row r="162">
      <c r="A162" s="54" t="inlineStr">
        <is>
          <t>정밀장비</t>
        </is>
      </c>
      <c r="B162" s="55" t="n">
        <v>-45.65</v>
      </c>
    </row>
    <row r="163">
      <c r="A163" s="54" t="inlineStr">
        <is>
          <t>헬스케어</t>
        </is>
      </c>
      <c r="B163" s="55" t="n">
        <v>15.61</v>
      </c>
    </row>
    <row r="164">
      <c r="A164" s="54" t="inlineStr">
        <is>
          <t>부품</t>
        </is>
      </c>
      <c r="B164" s="55" t="n">
        <v>95.53</v>
      </c>
    </row>
    <row r="165">
      <c r="A165" s="54" t="inlineStr">
        <is>
          <t>디지털제조</t>
        </is>
      </c>
      <c r="B165" s="55" t="n">
        <v>-1062.82</v>
      </c>
    </row>
    <row r="166">
      <c r="A166" s="54" t="inlineStr">
        <is>
          <t>기타</t>
        </is>
      </c>
      <c r="B166" s="55" t="n">
        <v>14.01</v>
      </c>
    </row>
    <row r="167">
      <c r="A167" s="54" t="inlineStr">
        <is>
          <t>조정</t>
        </is>
      </c>
      <c r="B167" s="55" t="n">
        <v>-308.31</v>
      </c>
    </row>
    <row r="169">
      <c r="A169" s="52" t="inlineStr">
        <is>
          <t>segment_op_cum · FY25연간</t>
        </is>
      </c>
      <c r="B169" s="52" t="n"/>
      <c r="C169" s="52" t="n"/>
    </row>
    <row r="170">
      <c r="A170" s="53" t="inlineStr">
        <is>
          <t>항목</t>
        </is>
      </c>
      <c r="B170" s="53" t="inlineStr">
        <is>
          <t>값</t>
        </is>
      </c>
      <c r="C170" s="53" t="inlineStr">
        <is>
          <t>출처</t>
        </is>
      </c>
    </row>
    <row r="171">
      <c r="A171" s="54" t="inlineStr">
        <is>
          <t>영상</t>
        </is>
      </c>
      <c r="B171" s="55" t="n">
        <v>413.06</v>
      </c>
      <c r="C171" s="56" t="inlineStr">
        <is>
          <t>2단계 보고서 자료(회사 설명회 자료·공시)</t>
        </is>
      </c>
    </row>
    <row r="172">
      <c r="A172" s="54" t="inlineStr">
        <is>
          <t>정밀장비</t>
        </is>
      </c>
      <c r="B172" s="55" t="n">
        <v>15.44</v>
      </c>
    </row>
    <row r="173">
      <c r="A173" s="54" t="inlineStr">
        <is>
          <t>헬스케어</t>
        </is>
      </c>
      <c r="B173" s="55" t="n">
        <v>67.34999999999999</v>
      </c>
    </row>
    <row r="174">
      <c r="A174" s="54" t="inlineStr">
        <is>
          <t>부품</t>
        </is>
      </c>
      <c r="B174" s="55" t="n">
        <v>71.84999999999999</v>
      </c>
    </row>
    <row r="175">
      <c r="A175" s="54" t="inlineStr">
        <is>
          <t>디지털제조</t>
        </is>
      </c>
      <c r="B175" s="55" t="n">
        <v>-152.25</v>
      </c>
    </row>
    <row r="176">
      <c r="A176" s="54" t="inlineStr">
        <is>
          <t>기타</t>
        </is>
      </c>
      <c r="B176" s="55" t="n">
        <v>29.22</v>
      </c>
    </row>
    <row r="177">
      <c r="A177" s="54" t="inlineStr">
        <is>
          <t>조정</t>
        </is>
      </c>
      <c r="B177" s="55" t="n">
        <v>-420.47</v>
      </c>
    </row>
    <row r="179">
      <c r="A179" s="52" t="inlineStr">
        <is>
          <t>segment_op_cum · FY24연간</t>
        </is>
      </c>
      <c r="B179" s="52" t="n"/>
      <c r="C179" s="52" t="n"/>
    </row>
    <row r="180">
      <c r="A180" s="53" t="inlineStr">
        <is>
          <t>항목</t>
        </is>
      </c>
      <c r="B180" s="53" t="inlineStr">
        <is>
          <t>값</t>
        </is>
      </c>
      <c r="C180" s="53" t="inlineStr">
        <is>
          <t>출처</t>
        </is>
      </c>
    </row>
    <row r="181">
      <c r="A181" s="54" t="inlineStr">
        <is>
          <t>영상</t>
        </is>
      </c>
      <c r="B181" s="55" t="n">
        <v>465.42</v>
      </c>
      <c r="C181" s="56" t="inlineStr">
        <is>
          <t>2단계 보고서 자료(회사 설명회 자료·공시)</t>
        </is>
      </c>
    </row>
    <row r="182">
      <c r="A182" s="54" t="inlineStr">
        <is>
          <t>정밀장비</t>
        </is>
      </c>
      <c r="B182" s="55" t="n">
        <v>151.79</v>
      </c>
    </row>
    <row r="183">
      <c r="A183" s="54" t="inlineStr">
        <is>
          <t>헬스케어</t>
        </is>
      </c>
      <c r="B183" s="55" t="n">
        <v>53.88</v>
      </c>
    </row>
    <row r="184">
      <c r="A184" s="54" t="inlineStr">
        <is>
          <t>부품</t>
        </is>
      </c>
      <c r="B184" s="55" t="n">
        <v>151.21</v>
      </c>
    </row>
    <row r="185">
      <c r="A185" s="54" t="inlineStr">
        <is>
          <t>디지털제조</t>
        </is>
      </c>
      <c r="B185" s="55" t="n">
        <v>-140.93</v>
      </c>
    </row>
    <row r="186">
      <c r="A186" s="54" t="inlineStr">
        <is>
          <t>기타</t>
        </is>
      </c>
      <c r="B186" s="55" t="n">
        <v>44.47</v>
      </c>
    </row>
    <row r="187">
      <c r="A187" s="54" t="inlineStr">
        <is>
          <t>조정</t>
        </is>
      </c>
      <c r="B187" s="55" t="n">
        <v>-328.1</v>
      </c>
    </row>
    <row r="189">
      <c r="A189" s="52" t="inlineStr">
        <is>
          <t>bm detail · fy26 pie</t>
        </is>
      </c>
      <c r="B189" s="52" t="n"/>
      <c r="C189" s="52" t="n"/>
    </row>
    <row r="190">
      <c r="A190" s="53" t="inlineStr">
        <is>
          <t>항목</t>
        </is>
      </c>
      <c r="B190" s="53" t="inlineStr">
        <is>
          <t>값</t>
        </is>
      </c>
      <c r="C190" s="53" t="inlineStr">
        <is>
          <t>출처</t>
        </is>
      </c>
    </row>
    <row r="191">
      <c r="A191" s="54" t="inlineStr">
        <is>
          <t>영상</t>
        </is>
      </c>
      <c r="B191" s="55" t="n">
        <v>2900.5</v>
      </c>
      <c r="C191" s="56" t="inlineStr">
        <is>
          <t>2단계 보고서 자료(회사 설명회 자료·공시)</t>
        </is>
      </c>
    </row>
    <row r="192">
      <c r="A192" s="54" t="inlineStr">
        <is>
          <t>정밀장비</t>
        </is>
      </c>
      <c r="B192" s="55" t="n">
        <v>1672.6</v>
      </c>
    </row>
    <row r="193">
      <c r="A193" s="54" t="inlineStr">
        <is>
          <t>헬스케어</t>
        </is>
      </c>
      <c r="B193" s="55" t="n">
        <v>1119.2</v>
      </c>
    </row>
    <row r="194">
      <c r="A194" s="54" t="inlineStr">
        <is>
          <t>산업</t>
        </is>
      </c>
      <c r="B194" s="55" t="n">
        <v>761.8</v>
      </c>
    </row>
    <row r="195">
      <c r="A195" s="54" t="inlineStr">
        <is>
          <t>디지털제조</t>
        </is>
      </c>
      <c r="B195" s="55" t="n">
        <v>280.9</v>
      </c>
    </row>
    <row r="196">
      <c r="A196" s="54" t="inlineStr">
        <is>
          <t>기타</t>
        </is>
      </c>
      <c r="B196" s="55" t="n">
        <v>36.6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0" t="inlineStr">
        <is>
          <t>출처 · 쓴 결산단신</t>
        </is>
      </c>
    </row>
    <row r="3">
      <c r="A3" s="58" t="inlineStr">
        <is>
          <t>공시일</t>
        </is>
      </c>
      <c r="B3" s="58" t="inlineStr">
        <is>
          <t>문서</t>
        </is>
      </c>
      <c r="C3" s="58" t="inlineStr">
        <is>
          <t>PDF</t>
        </is>
      </c>
    </row>
    <row r="4">
      <c r="A4" t="inlineStr">
        <is>
          <t>2026-08-06</t>
        </is>
      </c>
      <c r="B4" t="inlineStr">
        <is>
          <t>2027년 3월 결산기 １분기 결산단신</t>
        </is>
      </c>
      <c r="C4" t="inlineStr">
        <is>
          <t>https://www2.jpx.co.jp/disc/77310/140120260806511396.pdf</t>
        </is>
      </c>
    </row>
    <row r="5">
      <c r="A5" t="inlineStr">
        <is>
          <t>2026-05-08</t>
        </is>
      </c>
      <c r="B5" t="inlineStr">
        <is>
          <t>2026년 3월 결산기 연간 결산단신</t>
        </is>
      </c>
      <c r="C5" t="inlineStr">
        <is>
          <t>https://www2.jpx.co.jp/disc/77310/140120260507518927.pdf</t>
        </is>
      </c>
    </row>
    <row r="6">
      <c r="A6" t="inlineStr">
        <is>
          <t>2026-02-05</t>
        </is>
      </c>
      <c r="B6" t="inlineStr">
        <is>
          <t>2026년 3월 결산기 ３분기 결산단신</t>
        </is>
      </c>
      <c r="C6" t="inlineStr">
        <is>
          <t>https://www2.jpx.co.jp/disc/77310/140120260205548304.pdf</t>
        </is>
      </c>
    </row>
    <row r="7">
      <c r="A7" t="inlineStr">
        <is>
          <t>2025-11-06</t>
        </is>
      </c>
      <c r="B7" t="inlineStr">
        <is>
          <t>2026년 3월 결산기 ２분기 결산단신</t>
        </is>
      </c>
      <c r="C7" t="inlineStr">
        <is>
          <t>https://www2.jpx.co.jp/disc/77310/140120251106589377.pdf</t>
        </is>
      </c>
    </row>
    <row r="8">
      <c r="A8" t="inlineStr">
        <is>
          <t>2025-08-07</t>
        </is>
      </c>
      <c r="B8" t="inlineStr">
        <is>
          <t>2026년 3월 결산기 １분기 결산단신</t>
        </is>
      </c>
      <c r="C8" t="inlineStr">
        <is>
          <t>https://www2.jpx.co.jp/disc/77310/140120250806533124.pdf</t>
        </is>
      </c>
    </row>
    <row r="9">
      <c r="A9" t="inlineStr">
        <is>
          <t>2025-05-08</t>
        </is>
      </c>
      <c r="B9" t="inlineStr">
        <is>
          <t>2025년 3월 결산기 연간 결산단신</t>
        </is>
      </c>
      <c r="C9" t="inlineStr">
        <is>
          <t>https://www2.jpx.co.jp/disc/77310/140120250508533371.pdf</t>
        </is>
      </c>
    </row>
    <row r="10">
      <c r="A10" t="inlineStr">
        <is>
          <t>2025-02-06</t>
        </is>
      </c>
      <c r="B10" t="inlineStr">
        <is>
          <t>2025년 3월 결산기 ３분기 결산단신</t>
        </is>
      </c>
      <c r="C10" t="inlineStr">
        <is>
          <t>https://www2.jpx.co.jp/disc/77310/140120250206564504.pdf</t>
        </is>
      </c>
    </row>
    <row r="11">
      <c r="A11" t="inlineStr">
        <is>
          <t>2024-11-07</t>
        </is>
      </c>
      <c r="B11" t="inlineStr">
        <is>
          <t>2025년 3월 결산기 ２분기 결산단신</t>
        </is>
      </c>
      <c r="C11" t="inlineStr">
        <is>
          <t>https://www2.jpx.co.jp/disc/77310/140120241107513717.pdf</t>
        </is>
      </c>
    </row>
    <row r="12">
      <c r="A12" t="inlineStr">
        <is>
          <t>2024-08-08</t>
        </is>
      </c>
      <c r="B12" t="inlineStr">
        <is>
          <t>2025년 3월 결산기 １분기 결산단신</t>
        </is>
      </c>
      <c r="C12" t="inlineStr">
        <is>
          <t>https://www2.jpx.co.jp/disc/77310/140120240806563775.pdf</t>
        </is>
      </c>
    </row>
    <row r="13">
      <c r="A13" t="inlineStr">
        <is>
          <t>2024-05-09</t>
        </is>
      </c>
      <c r="B13" t="inlineStr">
        <is>
          <t>2024년 3월 결산기 연간 결산단신</t>
        </is>
      </c>
      <c r="C13" t="inlineStr">
        <is>
          <t>https://www2.jpx.co.jp/disc/77310/140120240508585120.pdf</t>
        </is>
      </c>
    </row>
    <row r="14">
      <c r="A14" t="inlineStr">
        <is>
          <t>2024-02-08</t>
        </is>
      </c>
      <c r="B14" t="inlineStr">
        <is>
          <t>2024년 3월 결산기 ３분기 결산단신</t>
        </is>
      </c>
      <c r="C14" t="inlineStr">
        <is>
          <t>https://www2.jpx.co.jp/disc/77310/140120240207528982.pdf</t>
        </is>
      </c>
    </row>
    <row r="15">
      <c r="A15" t="inlineStr">
        <is>
          <t>2023-11-09</t>
        </is>
      </c>
      <c r="B15" t="inlineStr">
        <is>
          <t>2024년 3월 결산기 ２분기 결산단신</t>
        </is>
      </c>
      <c r="C15" t="inlineStr">
        <is>
          <t>https://www2.jpx.co.jp/disc/77310/140120231108582966.pdf</t>
        </is>
      </c>
    </row>
    <row r="16">
      <c r="A16" t="inlineStr">
        <is>
          <t>2023-08-08</t>
        </is>
      </c>
      <c r="B16" t="inlineStr">
        <is>
          <t>2024년 3월 결산기 １분기 결산단신</t>
        </is>
      </c>
      <c r="C16" t="inlineStr">
        <is>
          <t>https://www2.jpx.co.jp/disc/77310/140120230807536266.pdf</t>
        </is>
      </c>
    </row>
    <row r="17">
      <c r="A17" t="inlineStr">
        <is>
          <t>2023-05-11</t>
        </is>
      </c>
      <c r="B17" t="inlineStr">
        <is>
          <t>2023년 3월 결산기 연간 결산단신</t>
        </is>
      </c>
      <c r="C17" t="inlineStr">
        <is>
          <t>https://www2.jpx.co.jp/disc/77310/140120230510564126.pdf</t>
        </is>
      </c>
    </row>
    <row r="18">
      <c r="A18" t="inlineStr">
        <is>
          <t>2023-02-09</t>
        </is>
      </c>
      <c r="B18" t="inlineStr">
        <is>
          <t>2023년 3월 결산기 ３분기 결산단신</t>
        </is>
      </c>
      <c r="C18" t="inlineStr">
        <is>
          <t>https://www2.jpx.co.jp/disc/77310/140120230208503827.pdf</t>
        </is>
      </c>
    </row>
    <row r="19">
      <c r="A19" t="inlineStr">
        <is>
          <t>2022-11-10</t>
        </is>
      </c>
      <c r="B19" t="inlineStr">
        <is>
          <t>2023년 3월 결산기 ２분기 결산단신</t>
        </is>
      </c>
      <c r="C19" t="inlineStr">
        <is>
          <t>https://www2.jpx.co.jp/disc/77310/140120221109561118.pdf</t>
        </is>
      </c>
    </row>
    <row r="20">
      <c r="A20" t="inlineStr">
        <is>
          <t>2022-05-12</t>
        </is>
      </c>
      <c r="B20" t="inlineStr">
        <is>
          <t>2022년 3월 결산기 연간 결산단신</t>
        </is>
      </c>
      <c r="C20" t="inlineStr">
        <is>
          <t>https://www2.jpx.co.jp/disc/77310/140120220509536350.pdf</t>
        </is>
      </c>
    </row>
    <row r="21">
      <c r="A21" t="inlineStr">
        <is>
          <t>2021-05-13</t>
        </is>
      </c>
      <c r="B21" t="inlineStr">
        <is>
          <t>2021년 3월 결산기 연간 결산단신</t>
        </is>
      </c>
      <c r="C21" t="inlineStr">
        <is>
          <t>https://www2.jpx.co.jp/disc/77310/140120210513415302.pdf</t>
        </is>
      </c>
    </row>
    <row r="22">
      <c r="A22" t="inlineStr">
        <is>
          <t>2020-05-28</t>
        </is>
      </c>
      <c r="B22" t="inlineStr">
        <is>
          <t>2020년 3월 결산기 연간 결산단신</t>
        </is>
      </c>
      <c r="C22" t="inlineStr">
        <is>
          <t>https://www2.jpx.co.jp/disc/77310/140120200528427249.pdf</t>
        </is>
      </c>
    </row>
    <row r="23">
      <c r="A23" t="inlineStr">
        <is>
          <t>2019-05-09</t>
        </is>
      </c>
      <c r="B23" t="inlineStr">
        <is>
          <t>2019년 3월 결산기 연간 결산단신</t>
        </is>
      </c>
      <c r="C23" t="inlineStr">
        <is>
          <t>https://www2.jpx.co.jp/disc/77310/140120190508417079.pdf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P2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7.5" customWidth="1" min="2" max="2"/>
    <col width="7.5"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7.5" customWidth="1" min="12" max="12"/>
    <col width="7.5" customWidth="1" min="13" max="13"/>
    <col width="7.5"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7.5" customWidth="1" min="22" max="22"/>
    <col width="7.5" customWidth="1" min="23" max="23"/>
    <col width="7.5" customWidth="1" min="24" max="24"/>
    <col width="7.5" customWidth="1" min="25" max="25"/>
    <col width="7.5" customWidth="1" min="26" max="26"/>
    <col width="7.5" customWidth="1" min="27" max="27"/>
    <col width="7.5" customWidth="1" min="28" max="28"/>
    <col width="7.5" customWidth="1" min="29" max="29"/>
    <col width="7.5" customWidth="1" min="30" max="30"/>
    <col width="7.5" customWidth="1" min="31" max="31"/>
    <col width="7.5" customWidth="1" min="32" max="32"/>
    <col width="7.5" customWidth="1" min="33" max="33"/>
    <col width="7.5" customWidth="1" min="34" max="34"/>
    <col width="7.5" customWidth="1" min="35" max="35"/>
    <col width="7.5" customWidth="1" min="36" max="36"/>
    <col width="7.5" customWidth="1" min="37" max="37"/>
    <col width="7.5" customWidth="1" min="38" max="38"/>
    <col width="7.5" customWidth="1" min="39" max="39"/>
    <col width="7.5" customWidth="1" min="40" max="40"/>
    <col width="7.5" customWidth="1" min="41" max="41"/>
  </cols>
  <sheetData>
    <row r="1">
      <c r="A1" s="59" t="inlineStr">
        <is>
          <t>7731 재무제표 한눈에 보기 — 최근 40개 분기(달력 분기, 3Q26 = 26.7~9) · 단위 억 엔</t>
        </is>
      </c>
    </row>
    <row r="2">
      <c r="A2" s="60" t="inlineStr">
        <is>
          <t>출처: 매출·영업이익 결산단신 XBRL · 재무상태표 등 결산단신 XBRL 30건(2019-05-09~2026-08-06). 부문·지역·수주·수출은 있을 때만(출처는 줄 끝). 총 차입금 = 이자 붙는 부채 전부(단기·장기 차입금, CP, 사채·전환사채, 리스부채)</t>
        </is>
      </c>
    </row>
    <row r="4">
      <c r="A4" s="61" t="inlineStr">
        <is>
          <t>항목</t>
        </is>
      </c>
      <c r="B4" s="62" t="inlineStr">
        <is>
          <t>3Q16</t>
        </is>
      </c>
      <c r="C4" s="62" t="inlineStr">
        <is>
          <t>4Q16</t>
        </is>
      </c>
      <c r="D4" s="62" t="inlineStr">
        <is>
          <t>1Q17</t>
        </is>
      </c>
      <c r="E4" s="62" t="inlineStr">
        <is>
          <t>2Q17</t>
        </is>
      </c>
      <c r="F4" s="62" t="inlineStr">
        <is>
          <t>3Q17</t>
        </is>
      </c>
      <c r="G4" s="62" t="inlineStr">
        <is>
          <t>4Q17</t>
        </is>
      </c>
      <c r="H4" s="62" t="inlineStr">
        <is>
          <t>1Q18</t>
        </is>
      </c>
      <c r="I4" s="62" t="inlineStr">
        <is>
          <t>2Q18</t>
        </is>
      </c>
      <c r="J4" s="62" t="inlineStr">
        <is>
          <t>3Q18</t>
        </is>
      </c>
      <c r="K4" s="62" t="inlineStr">
        <is>
          <t>4Q18</t>
        </is>
      </c>
      <c r="L4" s="62" t="inlineStr">
        <is>
          <t>1Q19</t>
        </is>
      </c>
      <c r="M4" s="62" t="inlineStr">
        <is>
          <t>2Q19</t>
        </is>
      </c>
      <c r="N4" s="62" t="inlineStr">
        <is>
          <t>3Q19</t>
        </is>
      </c>
      <c r="O4" s="62" t="inlineStr">
        <is>
          <t>4Q19</t>
        </is>
      </c>
      <c r="P4" s="62" t="inlineStr">
        <is>
          <t>1Q20</t>
        </is>
      </c>
      <c r="Q4" s="62" t="inlineStr">
        <is>
          <t>2Q20</t>
        </is>
      </c>
      <c r="R4" s="62" t="inlineStr">
        <is>
          <t>3Q20</t>
        </is>
      </c>
      <c r="S4" s="62" t="inlineStr">
        <is>
          <t>4Q20</t>
        </is>
      </c>
      <c r="T4" s="62" t="inlineStr">
        <is>
          <t>1Q21</t>
        </is>
      </c>
      <c r="U4" s="62" t="inlineStr">
        <is>
          <t>2Q21</t>
        </is>
      </c>
      <c r="V4" s="62" t="inlineStr">
        <is>
          <t>3Q21</t>
        </is>
      </c>
      <c r="W4" s="62" t="inlineStr">
        <is>
          <t>4Q21</t>
        </is>
      </c>
      <c r="X4" s="62" t="inlineStr">
        <is>
          <t>1Q22</t>
        </is>
      </c>
      <c r="Y4" s="62" t="inlineStr">
        <is>
          <t>2Q22</t>
        </is>
      </c>
      <c r="Z4" s="62" t="inlineStr">
        <is>
          <t>3Q22</t>
        </is>
      </c>
      <c r="AA4" s="62" t="inlineStr">
        <is>
          <t>4Q22</t>
        </is>
      </c>
      <c r="AB4" s="62" t="inlineStr">
        <is>
          <t>1Q23</t>
        </is>
      </c>
      <c r="AC4" s="62" t="inlineStr">
        <is>
          <t>2Q23</t>
        </is>
      </c>
      <c r="AD4" s="62" t="inlineStr">
        <is>
          <t>3Q23</t>
        </is>
      </c>
      <c r="AE4" s="62" t="inlineStr">
        <is>
          <t>4Q23</t>
        </is>
      </c>
      <c r="AF4" s="62" t="inlineStr">
        <is>
          <t>1Q24</t>
        </is>
      </c>
      <c r="AG4" s="62" t="inlineStr">
        <is>
          <t>2Q24</t>
        </is>
      </c>
      <c r="AH4" s="62" t="inlineStr">
        <is>
          <t>3Q24</t>
        </is>
      </c>
      <c r="AI4" s="62" t="inlineStr">
        <is>
          <t>4Q24</t>
        </is>
      </c>
      <c r="AJ4" s="62" t="inlineStr">
        <is>
          <t>1Q25</t>
        </is>
      </c>
      <c r="AK4" s="62" t="inlineStr">
        <is>
          <t>2Q25</t>
        </is>
      </c>
      <c r="AL4" s="62" t="inlineStr">
        <is>
          <t>3Q25</t>
        </is>
      </c>
      <c r="AM4" s="62" t="inlineStr">
        <is>
          <t>4Q25</t>
        </is>
      </c>
      <c r="AN4" s="62" t="inlineStr">
        <is>
          <t>1Q26</t>
        </is>
      </c>
      <c r="AO4" s="62" t="inlineStr">
        <is>
          <t>2Q26</t>
        </is>
      </c>
      <c r="AP4" s="61" t="inlineStr">
        <is>
          <t>출처</t>
        </is>
      </c>
    </row>
    <row r="5">
      <c r="A5" s="63" t="inlineStr">
        <is>
          <t>매출액</t>
        </is>
      </c>
      <c r="B5" s="64" t="n"/>
      <c r="C5" s="64" t="n"/>
      <c r="D5" s="64" t="n"/>
      <c r="E5" s="64" t="n"/>
      <c r="F5" s="64" t="n"/>
      <c r="G5" s="64" t="n"/>
      <c r="H5" s="64" t="n"/>
      <c r="I5" s="64" t="n">
        <v>1669</v>
      </c>
      <c r="J5" s="64" t="n">
        <v>1688.4</v>
      </c>
      <c r="K5" s="64" t="n">
        <v>1905.2</v>
      </c>
      <c r="L5" s="64" t="n">
        <v>1823.9</v>
      </c>
      <c r="M5" s="64" t="n">
        <v>1429.5</v>
      </c>
      <c r="N5" s="64" t="n">
        <v>1481</v>
      </c>
      <c r="O5" s="64" t="n">
        <v>1534.1</v>
      </c>
      <c r="P5" s="64" t="n">
        <v>1465.5</v>
      </c>
      <c r="Q5" s="64" t="n">
        <v>647.2</v>
      </c>
      <c r="R5" s="64" t="n">
        <v>1109.2</v>
      </c>
      <c r="S5" s="64" t="n">
        <v>1506.1</v>
      </c>
      <c r="T5" s="64" t="n">
        <v>1249.7</v>
      </c>
      <c r="U5" s="64" t="n">
        <v>1322.8</v>
      </c>
      <c r="V5" s="64" t="n">
        <v>1407.7</v>
      </c>
      <c r="W5" s="64" t="n">
        <v>1333</v>
      </c>
      <c r="X5" s="64" t="n">
        <v>1332.7</v>
      </c>
      <c r="Y5" s="64" t="n">
        <v>1456.5</v>
      </c>
      <c r="Z5" s="64" t="n">
        <v>1426.8</v>
      </c>
      <c r="AA5" s="64" t="n">
        <v>1677.7</v>
      </c>
      <c r="AB5" s="64" t="n">
        <v>1720.1</v>
      </c>
      <c r="AC5" s="64" t="n">
        <v>1581.5</v>
      </c>
      <c r="AD5" s="64" t="n">
        <v>1731.5</v>
      </c>
      <c r="AE5" s="64" t="n">
        <v>1976.2</v>
      </c>
      <c r="AF5" s="64" t="n">
        <v>1883.3</v>
      </c>
      <c r="AG5" s="64" t="n">
        <v>1639</v>
      </c>
      <c r="AH5" s="64" t="n">
        <v>1688.8</v>
      </c>
      <c r="AI5" s="64" t="n">
        <v>1798.9</v>
      </c>
      <c r="AJ5" s="64" t="n">
        <v>2026.1</v>
      </c>
      <c r="AK5" s="64" t="n">
        <v>1581.2</v>
      </c>
      <c r="AL5" s="64" t="n">
        <v>1547.9</v>
      </c>
      <c r="AM5" s="64" t="n">
        <v>1709.9</v>
      </c>
      <c r="AN5" s="64" t="n">
        <v>1932.5</v>
      </c>
      <c r="AO5" s="64" t="n">
        <v>1641.8</v>
      </c>
    </row>
    <row r="6">
      <c r="A6" s="63" t="inlineStr">
        <is>
          <t>매출액 YoY</t>
        </is>
      </c>
      <c r="B6" s="65" t="n"/>
      <c r="C6" s="65" t="n"/>
      <c r="D6" s="65" t="n"/>
      <c r="E6" s="65" t="n"/>
      <c r="F6" s="65" t="n"/>
      <c r="G6" s="65" t="n"/>
      <c r="H6" s="65" t="n"/>
      <c r="I6" s="65" t="n"/>
      <c r="J6" s="65" t="n"/>
      <c r="K6" s="65" t="n"/>
      <c r="L6" s="65" t="n"/>
      <c r="M6" s="65" t="n">
        <v>-14.3</v>
      </c>
      <c r="N6" s="65" t="n">
        <v>-12.3</v>
      </c>
      <c r="O6" s="65" t="n">
        <v>-19.5</v>
      </c>
      <c r="P6" s="65" t="n">
        <v>-19.7</v>
      </c>
      <c r="Q6" s="65" t="n">
        <v>-54.7</v>
      </c>
      <c r="R6" s="65" t="n">
        <v>-25.1</v>
      </c>
      <c r="S6" s="65" t="n">
        <v>-1.8</v>
      </c>
      <c r="T6" s="65" t="n">
        <v>-14.7</v>
      </c>
      <c r="U6" s="65" t="n">
        <v>104.4</v>
      </c>
      <c r="V6" s="65" t="n">
        <v>26.9</v>
      </c>
      <c r="W6" s="65" t="n">
        <v>-11.5</v>
      </c>
      <c r="X6" s="65" t="n">
        <v>6.6</v>
      </c>
      <c r="Y6" s="65" t="n">
        <v>10.1</v>
      </c>
      <c r="Z6" s="65" t="n">
        <v>1.4</v>
      </c>
      <c r="AA6" s="65" t="n">
        <v>25.9</v>
      </c>
      <c r="AB6" s="65" t="n">
        <v>29.1</v>
      </c>
      <c r="AC6" s="65" t="n">
        <v>8.6</v>
      </c>
      <c r="AD6" s="65" t="n">
        <v>21.4</v>
      </c>
      <c r="AE6" s="65" t="n">
        <v>17.8</v>
      </c>
      <c r="AF6" s="65" t="n">
        <v>9.5</v>
      </c>
      <c r="AG6" s="65" t="n">
        <v>3.6</v>
      </c>
      <c r="AH6" s="65" t="n">
        <v>-2.5</v>
      </c>
      <c r="AI6" s="65" t="n">
        <v>-9</v>
      </c>
      <c r="AJ6" s="65" t="n">
        <v>7.6</v>
      </c>
      <c r="AK6" s="65" t="n">
        <v>-3.5</v>
      </c>
      <c r="AL6" s="65" t="n">
        <v>-8.300000000000001</v>
      </c>
      <c r="AM6" s="65" t="n">
        <v>-4.9</v>
      </c>
      <c r="AN6" s="65" t="n">
        <v>-4.6</v>
      </c>
      <c r="AO6" s="65" t="n">
        <v>3.8</v>
      </c>
    </row>
    <row r="7">
      <c r="A7" s="63" t="inlineStr">
        <is>
          <t>영업이익</t>
        </is>
      </c>
      <c r="B7" s="64" t="n"/>
      <c r="C7" s="64" t="n"/>
      <c r="D7" s="64" t="n"/>
      <c r="E7" s="64" t="n"/>
      <c r="F7" s="64" t="n"/>
      <c r="G7" s="64" t="n"/>
      <c r="H7" s="64" t="n"/>
      <c r="I7" s="64" t="n">
        <v>190</v>
      </c>
      <c r="J7" s="64" t="n">
        <v>116.4</v>
      </c>
      <c r="K7" s="64" t="n">
        <v>219.1</v>
      </c>
      <c r="L7" s="64" t="n">
        <v>301</v>
      </c>
      <c r="M7" s="64" t="n">
        <v>93</v>
      </c>
      <c r="N7" s="64" t="n">
        <v>82</v>
      </c>
      <c r="O7" s="64" t="n">
        <v>40.6</v>
      </c>
      <c r="P7" s="64" t="n">
        <v>-148.2</v>
      </c>
      <c r="Q7" s="64" t="n">
        <v>-205.4</v>
      </c>
      <c r="R7" s="64" t="n">
        <v>-261</v>
      </c>
      <c r="S7" s="64" t="n">
        <v>98.7</v>
      </c>
      <c r="T7" s="64" t="n">
        <v>-194.8</v>
      </c>
      <c r="U7" s="64" t="n">
        <v>199.6</v>
      </c>
      <c r="V7" s="64" t="n">
        <v>121.4</v>
      </c>
      <c r="W7" s="64" t="n">
        <v>148.5</v>
      </c>
      <c r="X7" s="64" t="n">
        <v>29.8</v>
      </c>
      <c r="Y7" s="64" t="n">
        <v>153.6</v>
      </c>
      <c r="Z7" s="64" t="n">
        <v>90.59999999999999</v>
      </c>
      <c r="AA7" s="64" t="n">
        <v>262</v>
      </c>
      <c r="AB7" s="64" t="n">
        <v>42.9</v>
      </c>
      <c r="AC7" s="64" t="n">
        <v>32.9</v>
      </c>
      <c r="AD7" s="64" t="n">
        <v>103.4</v>
      </c>
      <c r="AE7" s="64" t="n">
        <v>208.1</v>
      </c>
      <c r="AF7" s="64" t="n">
        <v>53.4</v>
      </c>
      <c r="AG7" s="64" t="n">
        <v>29.5</v>
      </c>
      <c r="AH7" s="64" t="n">
        <v>28.7</v>
      </c>
      <c r="AI7" s="64" t="n">
        <v>22.9</v>
      </c>
      <c r="AJ7" s="64" t="n">
        <v>-56.9</v>
      </c>
      <c r="AK7" s="64" t="n">
        <v>-11.9</v>
      </c>
      <c r="AL7" s="64" t="n">
        <v>-36.4</v>
      </c>
      <c r="AM7" s="64" t="n">
        <v>-988</v>
      </c>
      <c r="AN7" s="64" t="n">
        <v>-88.2</v>
      </c>
      <c r="AO7" s="64" t="n">
        <v>-10</v>
      </c>
    </row>
    <row r="8">
      <c r="A8" s="63" t="inlineStr">
        <is>
          <t>영업이익률</t>
        </is>
      </c>
      <c r="B8" s="65" t="n"/>
      <c r="C8" s="65" t="n"/>
      <c r="D8" s="65" t="n"/>
      <c r="E8" s="65" t="n"/>
      <c r="F8" s="65" t="n"/>
      <c r="G8" s="65" t="n"/>
      <c r="H8" s="65" t="n"/>
      <c r="I8" s="65" t="n">
        <v>11.4</v>
      </c>
      <c r="J8" s="65" t="n">
        <v>6.9</v>
      </c>
      <c r="K8" s="65" t="n">
        <v>11.5</v>
      </c>
      <c r="L8" s="65" t="n">
        <v>16.5</v>
      </c>
      <c r="M8" s="65" t="n">
        <v>6.5</v>
      </c>
      <c r="N8" s="65" t="n">
        <v>5.5</v>
      </c>
      <c r="O8" s="65" t="n">
        <v>2.6</v>
      </c>
      <c r="P8" s="65" t="n">
        <v>-10.1</v>
      </c>
      <c r="Q8" s="65" t="n">
        <v>-31.7</v>
      </c>
      <c r="R8" s="65" t="n">
        <v>-23.5</v>
      </c>
      <c r="S8" s="65" t="n">
        <v>6.6</v>
      </c>
      <c r="T8" s="65" t="n">
        <v>-15.6</v>
      </c>
      <c r="U8" s="65" t="n">
        <v>15.1</v>
      </c>
      <c r="V8" s="65" t="n">
        <v>8.6</v>
      </c>
      <c r="W8" s="65" t="n">
        <v>11.1</v>
      </c>
      <c r="X8" s="65" t="n">
        <v>2.2</v>
      </c>
      <c r="Y8" s="65" t="n">
        <v>10.5</v>
      </c>
      <c r="Z8" s="65" t="n">
        <v>6.3</v>
      </c>
      <c r="AA8" s="65" t="n">
        <v>15.6</v>
      </c>
      <c r="AB8" s="65" t="n">
        <v>2.5</v>
      </c>
      <c r="AC8" s="65" t="n">
        <v>2.1</v>
      </c>
      <c r="AD8" s="65" t="n">
        <v>6</v>
      </c>
      <c r="AE8" s="65" t="n">
        <v>10.5</v>
      </c>
      <c r="AF8" s="65" t="n">
        <v>2.8</v>
      </c>
      <c r="AG8" s="65" t="n">
        <v>1.8</v>
      </c>
      <c r="AH8" s="65" t="n">
        <v>1.7</v>
      </c>
      <c r="AI8" s="65" t="n">
        <v>1.3</v>
      </c>
      <c r="AJ8" s="65" t="n">
        <v>-2.8</v>
      </c>
      <c r="AK8" s="65" t="n">
        <v>-0.8</v>
      </c>
      <c r="AL8" s="65" t="n">
        <v>-2.4</v>
      </c>
      <c r="AM8" s="65" t="n">
        <v>-57.8</v>
      </c>
      <c r="AN8" s="65" t="n">
        <v>-4.6</v>
      </c>
      <c r="AO8" s="65" t="n">
        <v>-0.6</v>
      </c>
    </row>
    <row r="9">
      <c r="A9" s="63" t="inlineStr">
        <is>
          <t>영업이익 YoY</t>
        </is>
      </c>
      <c r="B9" s="65" t="n"/>
      <c r="C9" s="65" t="n"/>
      <c r="D9" s="65" t="n"/>
      <c r="E9" s="65" t="n"/>
      <c r="F9" s="65" t="n"/>
      <c r="G9" s="65" t="n"/>
      <c r="H9" s="65" t="n"/>
      <c r="I9" s="65" t="n"/>
      <c r="J9" s="65" t="n"/>
      <c r="K9" s="65" t="n"/>
      <c r="L9" s="65" t="n"/>
      <c r="M9" s="65" t="n">
        <v>-51.1</v>
      </c>
      <c r="N9" s="65" t="n">
        <v>-29.6</v>
      </c>
      <c r="O9" s="65" t="n">
        <v>-81.5</v>
      </c>
      <c r="P9" s="65" t="n">
        <v>-149.2</v>
      </c>
      <c r="Q9" s="65" t="n">
        <v>-320.9</v>
      </c>
      <c r="R9" s="65" t="n">
        <v>-418.3</v>
      </c>
      <c r="S9" s="65" t="n">
        <v>143.1</v>
      </c>
      <c r="T9" s="65" t="n"/>
      <c r="U9" s="65" t="n"/>
      <c r="V9" s="65" t="n"/>
      <c r="W9" s="65" t="n">
        <v>50.5</v>
      </c>
      <c r="X9" s="65" t="n"/>
      <c r="Y9" s="65" t="n">
        <v>-23</v>
      </c>
      <c r="Z9" s="65" t="n">
        <v>-25.4</v>
      </c>
      <c r="AA9" s="65" t="n">
        <v>76.40000000000001</v>
      </c>
      <c r="AB9" s="65" t="n">
        <v>44</v>
      </c>
      <c r="AC9" s="65" t="n">
        <v>-78.59999999999999</v>
      </c>
      <c r="AD9" s="65" t="n">
        <v>14.1</v>
      </c>
      <c r="AE9" s="65" t="n">
        <v>-20.6</v>
      </c>
      <c r="AF9" s="65" t="n">
        <v>24.5</v>
      </c>
      <c r="AG9" s="65" t="n">
        <v>-10.3</v>
      </c>
      <c r="AH9" s="65" t="n">
        <v>-72.2</v>
      </c>
      <c r="AI9" s="65" t="n">
        <v>-89</v>
      </c>
      <c r="AJ9" s="65" t="n">
        <v>-206.6</v>
      </c>
      <c r="AK9" s="65" t="n">
        <v>-140.3</v>
      </c>
      <c r="AL9" s="65" t="n">
        <v>-226.8</v>
      </c>
      <c r="AM9" s="65" t="n">
        <v>-4414.4</v>
      </c>
      <c r="AN9" s="65" t="n"/>
      <c r="AO9" s="65" t="n"/>
    </row>
    <row r="10">
      <c r="A10" s="63" t="inlineStr">
        <is>
          <t>유동자산</t>
        </is>
      </c>
      <c r="B10" s="64" t="n"/>
      <c r="C10" s="64" t="n"/>
      <c r="D10" s="64" t="n"/>
      <c r="E10" s="64" t="n"/>
      <c r="F10" s="64" t="n"/>
      <c r="G10" s="64" t="n"/>
      <c r="H10" s="64" t="n">
        <v>7541.8</v>
      </c>
      <c r="I10" s="64" t="n"/>
      <c r="J10" s="64" t="n"/>
      <c r="K10" s="64" t="n"/>
      <c r="L10" s="64" t="n">
        <v>7986.9</v>
      </c>
      <c r="M10" s="64" t="n">
        <v>7582.7</v>
      </c>
      <c r="N10" s="64" t="n">
        <v>7549.8</v>
      </c>
      <c r="O10" s="64" t="n">
        <v>7441.6</v>
      </c>
      <c r="P10" s="64" t="n">
        <v>6772</v>
      </c>
      <c r="Q10" s="64" t="n">
        <v>6670.4</v>
      </c>
      <c r="R10" s="64" t="n">
        <v>6592.3</v>
      </c>
      <c r="S10" s="64" t="n">
        <v>6826.4</v>
      </c>
      <c r="T10" s="64" t="n">
        <v>6758.5</v>
      </c>
      <c r="U10" s="64" t="n">
        <v>6672.9</v>
      </c>
      <c r="V10" s="64" t="n">
        <v>6718</v>
      </c>
      <c r="W10" s="64" t="n">
        <v>6925.4</v>
      </c>
      <c r="X10" s="64" t="n">
        <v>7142.1</v>
      </c>
      <c r="Y10" s="64" t="n">
        <v>7401.2</v>
      </c>
      <c r="Z10" s="64" t="n">
        <v>7390.7</v>
      </c>
      <c r="AA10" s="64" t="n">
        <v>7114.3</v>
      </c>
      <c r="AB10" s="64" t="n">
        <v>6178.8</v>
      </c>
      <c r="AC10" s="64" t="n">
        <v>6461.5</v>
      </c>
      <c r="AD10" s="64" t="n">
        <v>6461.5</v>
      </c>
      <c r="AE10" s="64" t="n">
        <v>6345.6</v>
      </c>
      <c r="AF10" s="64" t="n">
        <v>6673.4</v>
      </c>
      <c r="AG10" s="64" t="n">
        <v>6747.9</v>
      </c>
      <c r="AH10" s="64" t="n">
        <v>6442.7</v>
      </c>
      <c r="AI10" s="64" t="n">
        <v>6472.1</v>
      </c>
      <c r="AJ10" s="64" t="n">
        <v>6202.2</v>
      </c>
      <c r="AK10" s="64" t="n">
        <v>6309.1</v>
      </c>
      <c r="AL10" s="64" t="n">
        <v>6395.1</v>
      </c>
      <c r="AM10" s="64" t="n">
        <v>6574.8</v>
      </c>
      <c r="AN10" s="64" t="n">
        <v>6465</v>
      </c>
      <c r="AO10" s="64" t="n">
        <v>6517.3</v>
      </c>
    </row>
    <row r="11">
      <c r="A11" s="63" t="inlineStr">
        <is>
          <t>유동부채</t>
        </is>
      </c>
      <c r="B11" s="64" t="n"/>
      <c r="C11" s="64" t="n"/>
      <c r="D11" s="64" t="n"/>
      <c r="E11" s="64" t="n"/>
      <c r="F11" s="64" t="n"/>
      <c r="G11" s="64" t="n"/>
      <c r="H11" s="64" t="n">
        <v>3897.6</v>
      </c>
      <c r="I11" s="64" t="n"/>
      <c r="J11" s="64" t="n"/>
      <c r="K11" s="64" t="n"/>
      <c r="L11" s="64" t="n">
        <v>3835.6</v>
      </c>
      <c r="M11" s="64" t="n">
        <v>3677.8</v>
      </c>
      <c r="N11" s="64" t="n">
        <v>3618.3</v>
      </c>
      <c r="O11" s="64" t="n">
        <v>3648.5</v>
      </c>
      <c r="P11" s="64" t="n">
        <v>3301.5</v>
      </c>
      <c r="Q11" s="64" t="n">
        <v>3318.5</v>
      </c>
      <c r="R11" s="64" t="n">
        <v>3324</v>
      </c>
      <c r="S11" s="64" t="n">
        <v>3259.3</v>
      </c>
      <c r="T11" s="64" t="n">
        <v>3183.1</v>
      </c>
      <c r="U11" s="64" t="n">
        <v>3006.3</v>
      </c>
      <c r="V11" s="64" t="n">
        <v>2844.1</v>
      </c>
      <c r="W11" s="64" t="n">
        <v>2974.8</v>
      </c>
      <c r="X11" s="64" t="n">
        <v>3139.2</v>
      </c>
      <c r="Y11" s="64" t="n">
        <v>3265.7</v>
      </c>
      <c r="Z11" s="64" t="n">
        <v>3249.1</v>
      </c>
      <c r="AA11" s="64" t="n">
        <v>3093.8</v>
      </c>
      <c r="AB11" s="64" t="n">
        <v>2773</v>
      </c>
      <c r="AC11" s="64" t="n">
        <v>2986.7</v>
      </c>
      <c r="AD11" s="64" t="n">
        <v>3170</v>
      </c>
      <c r="AE11" s="64" t="n">
        <v>3170.9</v>
      </c>
      <c r="AF11" s="64" t="n">
        <v>3304.2</v>
      </c>
      <c r="AG11" s="64" t="n">
        <v>3568.2</v>
      </c>
      <c r="AH11" s="64" t="n">
        <v>3428.8</v>
      </c>
      <c r="AI11" s="64" t="n">
        <v>2956.9</v>
      </c>
      <c r="AJ11" s="64" t="n">
        <v>3055.4</v>
      </c>
      <c r="AK11" s="64" t="n">
        <v>3192.1</v>
      </c>
      <c r="AL11" s="64" t="n">
        <v>3380.9</v>
      </c>
      <c r="AM11" s="64" t="n">
        <v>3683.8</v>
      </c>
      <c r="AN11" s="64" t="n">
        <v>3283</v>
      </c>
      <c r="AO11" s="64" t="n">
        <v>3419.9</v>
      </c>
    </row>
    <row r="12">
      <c r="A12" s="63" t="inlineStr">
        <is>
          <t>부채총계</t>
        </is>
      </c>
      <c r="B12" s="64" t="n"/>
      <c r="C12" s="64" t="n"/>
      <c r="D12" s="64" t="n"/>
      <c r="E12" s="64" t="n"/>
      <c r="F12" s="64" t="n"/>
      <c r="G12" s="64" t="n"/>
      <c r="H12" s="64" t="n">
        <v>5248</v>
      </c>
      <c r="I12" s="64" t="n"/>
      <c r="J12" s="64" t="n"/>
      <c r="K12" s="64" t="n"/>
      <c r="L12" s="64" t="n">
        <v>5182.6</v>
      </c>
      <c r="M12" s="64" t="n">
        <v>5118.8</v>
      </c>
      <c r="N12" s="64" t="n">
        <v>5049.8</v>
      </c>
      <c r="O12" s="64" t="n">
        <v>5067.7</v>
      </c>
      <c r="P12" s="64" t="n">
        <v>4641.2</v>
      </c>
      <c r="Q12" s="64" t="n">
        <v>4660.6</v>
      </c>
      <c r="R12" s="64" t="n">
        <v>4651.5</v>
      </c>
      <c r="S12" s="64" t="n">
        <v>4765</v>
      </c>
      <c r="T12" s="64" t="n">
        <v>4510.1</v>
      </c>
      <c r="U12" s="64" t="n">
        <v>4327.2</v>
      </c>
      <c r="V12" s="64" t="n">
        <v>4238.3</v>
      </c>
      <c r="W12" s="64" t="n">
        <v>4352</v>
      </c>
      <c r="X12" s="64" t="n">
        <v>4396</v>
      </c>
      <c r="Y12" s="64" t="n">
        <v>4558.2</v>
      </c>
      <c r="Z12" s="64" t="n">
        <v>4683.2</v>
      </c>
      <c r="AA12" s="64" t="n">
        <v>4483.3</v>
      </c>
      <c r="AB12" s="64" t="n">
        <v>4319.2</v>
      </c>
      <c r="AC12" s="64" t="n">
        <v>4581</v>
      </c>
      <c r="AD12" s="64" t="n">
        <v>4470.8</v>
      </c>
      <c r="AE12" s="64" t="n">
        <v>4452.9</v>
      </c>
      <c r="AF12" s="64" t="n">
        <v>4620.2</v>
      </c>
      <c r="AG12" s="64" t="n">
        <v>4885.5</v>
      </c>
      <c r="AH12" s="64" t="n">
        <v>4688.6</v>
      </c>
      <c r="AI12" s="64" t="n">
        <v>4788.4</v>
      </c>
      <c r="AJ12" s="64" t="n">
        <v>4712.9</v>
      </c>
      <c r="AK12" s="64" t="n">
        <v>4956.9</v>
      </c>
      <c r="AL12" s="64" t="n">
        <v>4995.9</v>
      </c>
      <c r="AM12" s="64" t="n">
        <v>5222</v>
      </c>
      <c r="AN12" s="64" t="n">
        <v>4868.1</v>
      </c>
      <c r="AO12" s="64" t="n">
        <v>5023.7</v>
      </c>
    </row>
    <row r="13">
      <c r="A13" s="63" t="inlineStr">
        <is>
          <t>자기자본</t>
        </is>
      </c>
      <c r="B13" s="65" t="n"/>
      <c r="C13" s="65" t="n"/>
      <c r="D13" s="65" t="n"/>
      <c r="E13" s="65" t="n"/>
      <c r="F13" s="65" t="n"/>
      <c r="G13" s="65" t="n"/>
      <c r="H13" s="65" t="n">
        <v>5735.4</v>
      </c>
      <c r="I13" s="65" t="n"/>
      <c r="J13" s="65" t="n"/>
      <c r="K13" s="65" t="n"/>
      <c r="L13" s="65" t="n">
        <v>6167.3</v>
      </c>
      <c r="M13" s="65" t="n">
        <v>5967</v>
      </c>
      <c r="N13" s="65" t="n">
        <v>6025.1</v>
      </c>
      <c r="O13" s="65" t="n">
        <v>5924.1</v>
      </c>
      <c r="P13" s="65" t="n">
        <v>5417.6</v>
      </c>
      <c r="Q13" s="65" t="n">
        <v>5309.4</v>
      </c>
      <c r="R13" s="65" t="n">
        <v>5292.9</v>
      </c>
      <c r="S13" s="65" t="n">
        <v>5445.3</v>
      </c>
      <c r="T13" s="65" t="n">
        <v>5387.3</v>
      </c>
      <c r="U13" s="65" t="n">
        <v>5592.6</v>
      </c>
      <c r="V13" s="65" t="n">
        <v>5764.6</v>
      </c>
      <c r="W13" s="65" t="n">
        <v>5861.5</v>
      </c>
      <c r="X13" s="65" t="n">
        <v>5999.7</v>
      </c>
      <c r="Y13" s="65" t="n">
        <v>6195.8</v>
      </c>
      <c r="Z13" s="65" t="n">
        <v>6261.3</v>
      </c>
      <c r="AA13" s="65" t="n">
        <v>6103.9</v>
      </c>
      <c r="AB13" s="65" t="n">
        <v>6183.5</v>
      </c>
      <c r="AC13" s="65" t="n">
        <v>6436.2</v>
      </c>
      <c r="AD13" s="65" t="n">
        <v>6518.1</v>
      </c>
      <c r="AE13" s="65" t="n">
        <v>6548.5</v>
      </c>
      <c r="AF13" s="65" t="n">
        <v>6850.9</v>
      </c>
      <c r="AG13" s="65" t="n">
        <v>7058.1</v>
      </c>
      <c r="AH13" s="65" t="n">
        <v>6656.7</v>
      </c>
      <c r="AI13" s="65" t="n">
        <v>6770.9</v>
      </c>
      <c r="AJ13" s="65" t="n">
        <v>6392.2</v>
      </c>
      <c r="AK13" s="65" t="n">
        <v>6427.3</v>
      </c>
      <c r="AL13" s="65" t="n">
        <v>6546.2</v>
      </c>
      <c r="AM13" s="65" t="n">
        <v>5776.2</v>
      </c>
      <c r="AN13" s="65" t="n">
        <v>5882</v>
      </c>
      <c r="AO13" s="65" t="n">
        <v>5947.6</v>
      </c>
    </row>
    <row r="14">
      <c r="A14" s="63" t="inlineStr">
        <is>
          <t>유동비율</t>
        </is>
      </c>
      <c r="B14" s="65" t="n"/>
      <c r="C14" s="65" t="n"/>
      <c r="D14" s="65" t="n"/>
      <c r="E14" s="65" t="n"/>
      <c r="F14" s="65" t="n"/>
      <c r="G14" s="65" t="n"/>
      <c r="H14" s="65" t="n">
        <v>193.5</v>
      </c>
      <c r="I14" s="65" t="n"/>
      <c r="J14" s="65" t="n"/>
      <c r="K14" s="65" t="n"/>
      <c r="L14" s="65" t="n">
        <v>208.2</v>
      </c>
      <c r="M14" s="65" t="n">
        <v>206.2</v>
      </c>
      <c r="N14" s="65" t="n">
        <v>208.7</v>
      </c>
      <c r="O14" s="65" t="n">
        <v>204</v>
      </c>
      <c r="P14" s="65" t="n">
        <v>205.1</v>
      </c>
      <c r="Q14" s="65" t="n">
        <v>201</v>
      </c>
      <c r="R14" s="65" t="n">
        <v>198.3</v>
      </c>
      <c r="S14" s="65" t="n">
        <v>209.4</v>
      </c>
      <c r="T14" s="65" t="n">
        <v>212.3</v>
      </c>
      <c r="U14" s="65" t="n">
        <v>222</v>
      </c>
      <c r="V14" s="65" t="n">
        <v>236.2</v>
      </c>
      <c r="W14" s="65" t="n">
        <v>232.8</v>
      </c>
      <c r="X14" s="65" t="n">
        <v>227.5</v>
      </c>
      <c r="Y14" s="65" t="n">
        <v>226.6</v>
      </c>
      <c r="Z14" s="65" t="n">
        <v>227.5</v>
      </c>
      <c r="AA14" s="65" t="n">
        <v>230</v>
      </c>
      <c r="AB14" s="65" t="n">
        <v>222.8</v>
      </c>
      <c r="AC14" s="65" t="n">
        <v>216.3</v>
      </c>
      <c r="AD14" s="65" t="n">
        <v>203.8</v>
      </c>
      <c r="AE14" s="65" t="n">
        <v>200.1</v>
      </c>
      <c r="AF14" s="65" t="n">
        <v>202</v>
      </c>
      <c r="AG14" s="65" t="n">
        <v>189.1</v>
      </c>
      <c r="AH14" s="65" t="n">
        <v>187.9</v>
      </c>
      <c r="AI14" s="65" t="n">
        <v>218.9</v>
      </c>
      <c r="AJ14" s="65" t="n">
        <v>203</v>
      </c>
      <c r="AK14" s="65" t="n">
        <v>197.6</v>
      </c>
      <c r="AL14" s="65" t="n">
        <v>189.2</v>
      </c>
      <c r="AM14" s="65" t="n">
        <v>178.5</v>
      </c>
      <c r="AN14" s="65" t="n">
        <v>196.9</v>
      </c>
      <c r="AO14" s="65" t="n">
        <v>190.6</v>
      </c>
    </row>
    <row r="15">
      <c r="A15" s="63" t="inlineStr">
        <is>
          <t>부채비율</t>
        </is>
      </c>
      <c r="B15" s="65" t="n"/>
      <c r="C15" s="65" t="n"/>
      <c r="D15" s="65" t="n"/>
      <c r="E15" s="65" t="n"/>
      <c r="F15" s="65" t="n"/>
      <c r="G15" s="65" t="n"/>
      <c r="H15" s="65" t="n">
        <v>91.5</v>
      </c>
      <c r="I15" s="65" t="n"/>
      <c r="J15" s="65" t="n"/>
      <c r="K15" s="65" t="n"/>
      <c r="L15" s="65" t="n">
        <v>84</v>
      </c>
      <c r="M15" s="65" t="n">
        <v>85.8</v>
      </c>
      <c r="N15" s="65" t="n">
        <v>83.8</v>
      </c>
      <c r="O15" s="65" t="n">
        <v>85.5</v>
      </c>
      <c r="P15" s="65" t="n">
        <v>85.7</v>
      </c>
      <c r="Q15" s="65" t="n">
        <v>87.8</v>
      </c>
      <c r="R15" s="65" t="n">
        <v>87.90000000000001</v>
      </c>
      <c r="S15" s="65" t="n">
        <v>87.5</v>
      </c>
      <c r="T15" s="65" t="n">
        <v>83.7</v>
      </c>
      <c r="U15" s="65" t="n">
        <v>77.40000000000001</v>
      </c>
      <c r="V15" s="65" t="n">
        <v>73.5</v>
      </c>
      <c r="W15" s="65" t="n">
        <v>74.2</v>
      </c>
      <c r="X15" s="65" t="n">
        <v>73.3</v>
      </c>
      <c r="Y15" s="65" t="n">
        <v>73.59999999999999</v>
      </c>
      <c r="Z15" s="65" t="n">
        <v>74.8</v>
      </c>
      <c r="AA15" s="65" t="n">
        <v>73.40000000000001</v>
      </c>
      <c r="AB15" s="65" t="n">
        <v>69.90000000000001</v>
      </c>
      <c r="AC15" s="65" t="n">
        <v>71.2</v>
      </c>
      <c r="AD15" s="65" t="n">
        <v>68.59999999999999</v>
      </c>
      <c r="AE15" s="65" t="n">
        <v>68</v>
      </c>
      <c r="AF15" s="65" t="n">
        <v>67.40000000000001</v>
      </c>
      <c r="AG15" s="65" t="n">
        <v>69.2</v>
      </c>
      <c r="AH15" s="65" t="n">
        <v>70.40000000000001</v>
      </c>
      <c r="AI15" s="65" t="n">
        <v>70.7</v>
      </c>
      <c r="AJ15" s="65" t="n">
        <v>73.7</v>
      </c>
      <c r="AK15" s="65" t="n">
        <v>77.09999999999999</v>
      </c>
      <c r="AL15" s="65" t="n">
        <v>76.3</v>
      </c>
      <c r="AM15" s="65" t="n">
        <v>90.40000000000001</v>
      </c>
      <c r="AN15" s="65" t="n">
        <v>82.8</v>
      </c>
      <c r="AO15" s="65" t="n">
        <v>84.5</v>
      </c>
    </row>
    <row r="16">
      <c r="A16" s="63" t="inlineStr">
        <is>
          <t>순차입금/자기자본</t>
        </is>
      </c>
      <c r="B16" s="65" t="n"/>
      <c r="C16" s="65" t="n"/>
      <c r="D16" s="65" t="n"/>
      <c r="E16" s="65" t="n"/>
      <c r="F16" s="65" t="n"/>
      <c r="G16" s="65" t="n"/>
      <c r="H16" s="65" t="n">
        <v>-45.9</v>
      </c>
      <c r="I16" s="65" t="n"/>
      <c r="J16" s="65" t="n"/>
      <c r="K16" s="65" t="n"/>
      <c r="L16" s="65" t="n">
        <v>-46.2</v>
      </c>
      <c r="M16" s="65" t="n">
        <v>-43</v>
      </c>
      <c r="N16" s="65" t="n">
        <v>-42.4</v>
      </c>
      <c r="O16" s="65" t="n">
        <v>-39.4</v>
      </c>
      <c r="P16" s="65" t="n">
        <v>-37</v>
      </c>
      <c r="Q16" s="65" t="n">
        <v>-33.5</v>
      </c>
      <c r="R16" s="65" t="n">
        <v>-34.1</v>
      </c>
      <c r="S16" s="65" t="n">
        <v>-36.7</v>
      </c>
      <c r="T16" s="65" t="n">
        <v>-40.4</v>
      </c>
      <c r="U16" s="65" t="n">
        <v>-37.4</v>
      </c>
      <c r="V16" s="65" t="n">
        <v>-40</v>
      </c>
      <c r="W16" s="65" t="n">
        <v>-39</v>
      </c>
      <c r="X16" s="65" t="n">
        <v>-40</v>
      </c>
      <c r="Y16" s="65" t="n">
        <v>-37.8</v>
      </c>
      <c r="Z16" s="65" t="n">
        <v>-33.5</v>
      </c>
      <c r="AA16" s="65" t="n">
        <v>-29.6</v>
      </c>
      <c r="AB16" s="65" t="n">
        <v>-12.5</v>
      </c>
      <c r="AC16" s="65" t="n">
        <v>-11.4</v>
      </c>
      <c r="AD16" s="65" t="n">
        <v>-5.9</v>
      </c>
      <c r="AE16" s="65" t="n">
        <v>-7.2</v>
      </c>
      <c r="AF16" s="65" t="n">
        <v>-5.8</v>
      </c>
      <c r="AG16" s="65" t="n">
        <v>-3.7</v>
      </c>
      <c r="AH16" s="65" t="n">
        <v>-4.9</v>
      </c>
      <c r="AI16" s="65" t="n">
        <v>-0.9</v>
      </c>
      <c r="AJ16" s="65" t="n">
        <v>4.7</v>
      </c>
      <c r="AK16" s="65" t="n">
        <v>7.8</v>
      </c>
      <c r="AL16" s="65" t="n">
        <v>9.6</v>
      </c>
      <c r="AM16" s="65" t="n">
        <v>14.9</v>
      </c>
      <c r="AN16" s="65" t="n">
        <v>10.5</v>
      </c>
      <c r="AO16" s="65" t="n">
        <v>10.5</v>
      </c>
    </row>
    <row r="17">
      <c r="A17" s="63" t="inlineStr">
        <is>
          <t>재고자산</t>
        </is>
      </c>
      <c r="B17" s="64" t="n"/>
      <c r="C17" s="64" t="n"/>
      <c r="D17" s="64" t="n"/>
      <c r="E17" s="64" t="n"/>
      <c r="F17" s="64" t="n"/>
      <c r="G17" s="64" t="n"/>
      <c r="H17" s="64" t="n">
        <v>2355.5</v>
      </c>
      <c r="I17" s="64" t="n"/>
      <c r="J17" s="64" t="n"/>
      <c r="K17" s="64" t="n"/>
      <c r="L17" s="64" t="n">
        <v>2533.4</v>
      </c>
      <c r="M17" s="64" t="n">
        <v>2639.8</v>
      </c>
      <c r="N17" s="64" t="n">
        <v>2706.5</v>
      </c>
      <c r="O17" s="64" t="n">
        <v>2665.1</v>
      </c>
      <c r="P17" s="64" t="n">
        <v>2465.3</v>
      </c>
      <c r="Q17" s="64" t="n">
        <v>2711.4</v>
      </c>
      <c r="R17" s="64" t="n">
        <v>2625.4</v>
      </c>
      <c r="S17" s="64" t="n">
        <v>2451.9</v>
      </c>
      <c r="T17" s="64" t="n">
        <v>2357.6</v>
      </c>
      <c r="U17" s="64" t="n">
        <v>2327.9</v>
      </c>
      <c r="V17" s="64" t="n">
        <v>2226.5</v>
      </c>
      <c r="W17" s="64" t="n">
        <v>2323.1</v>
      </c>
      <c r="X17" s="64" t="n">
        <v>2389.5</v>
      </c>
      <c r="Y17" s="64" t="n">
        <v>2613.9</v>
      </c>
      <c r="Z17" s="64" t="n">
        <v>2799.9</v>
      </c>
      <c r="AA17" s="64" t="n">
        <v>2800.7</v>
      </c>
      <c r="AB17" s="64" t="n">
        <v>2772.8</v>
      </c>
      <c r="AC17" s="64" t="n">
        <v>2930.1</v>
      </c>
      <c r="AD17" s="64" t="n">
        <v>3010.6</v>
      </c>
      <c r="AE17" s="64" t="n">
        <v>2885.7</v>
      </c>
      <c r="AF17" s="64" t="n">
        <v>2852.4</v>
      </c>
      <c r="AG17" s="64" t="n">
        <v>3118.1</v>
      </c>
      <c r="AH17" s="64" t="n">
        <v>3143.3</v>
      </c>
      <c r="AI17" s="64" t="n">
        <v>3322.1</v>
      </c>
      <c r="AJ17" s="64" t="n">
        <v>3075.3</v>
      </c>
      <c r="AK17" s="64" t="n">
        <v>3215.5</v>
      </c>
      <c r="AL17" s="64" t="n">
        <v>3386.7</v>
      </c>
      <c r="AM17" s="64" t="n">
        <v>3516.6</v>
      </c>
      <c r="AN17" s="64" t="n">
        <v>3328.7</v>
      </c>
      <c r="AO17" s="64" t="n">
        <v>3383</v>
      </c>
    </row>
    <row r="18">
      <c r="A18" s="63" t="inlineStr">
        <is>
          <t>재고자산 회전일수</t>
        </is>
      </c>
      <c r="B18" s="64" t="n"/>
      <c r="C18" s="64" t="n"/>
      <c r="D18" s="64" t="n"/>
      <c r="E18" s="64" t="n"/>
      <c r="F18" s="64" t="n"/>
      <c r="G18" s="64" t="n"/>
      <c r="H18" s="64" t="n"/>
      <c r="I18" s="64" t="n"/>
      <c r="J18" s="64" t="n"/>
      <c r="K18" s="64" t="n"/>
      <c r="L18" s="64" t="n">
        <v>213</v>
      </c>
      <c r="M18" s="64" t="n">
        <v>278</v>
      </c>
      <c r="N18" s="64" t="n">
        <v>279</v>
      </c>
      <c r="O18" s="64" t="n">
        <v>252</v>
      </c>
      <c r="P18" s="64" t="n">
        <v>229</v>
      </c>
      <c r="Q18" s="64" t="n">
        <v>562</v>
      </c>
      <c r="R18" s="64" t="n">
        <v>322</v>
      </c>
      <c r="S18" s="64" t="n">
        <v>239</v>
      </c>
      <c r="T18" s="64" t="n">
        <v>256</v>
      </c>
      <c r="U18" s="64" t="n">
        <v>295</v>
      </c>
      <c r="V18" s="64" t="n">
        <v>246</v>
      </c>
      <c r="W18" s="64" t="n">
        <v>299</v>
      </c>
      <c r="X18" s="64" t="n">
        <v>276</v>
      </c>
      <c r="Y18" s="64" t="n">
        <v>301</v>
      </c>
      <c r="Z18" s="64" t="n">
        <v>330</v>
      </c>
      <c r="AA18" s="64" t="n">
        <v>303</v>
      </c>
      <c r="AB18" s="64" t="n">
        <v>256</v>
      </c>
      <c r="AC18" s="64" t="n">
        <v>290</v>
      </c>
      <c r="AD18" s="64" t="n">
        <v>281</v>
      </c>
      <c r="AE18" s="64" t="n">
        <v>239</v>
      </c>
      <c r="AF18" s="64" t="n">
        <v>240</v>
      </c>
      <c r="AG18" s="64" t="n">
        <v>319</v>
      </c>
      <c r="AH18" s="64" t="n">
        <v>312</v>
      </c>
      <c r="AI18" s="64" t="n">
        <v>296</v>
      </c>
      <c r="AJ18" s="64" t="n">
        <v>232</v>
      </c>
      <c r="AK18" s="64" t="n">
        <v>322</v>
      </c>
      <c r="AL18" s="64" t="n">
        <v>339</v>
      </c>
      <c r="AM18" s="64" t="n">
        <v>310</v>
      </c>
      <c r="AN18" s="64" t="n">
        <v>263</v>
      </c>
      <c r="AO18" s="64" t="n">
        <v>309</v>
      </c>
    </row>
    <row r="19">
      <c r="A19" s="63" t="inlineStr">
        <is>
          <t>매출채권 회전일수</t>
        </is>
      </c>
      <c r="B19" s="64" t="n"/>
      <c r="C19" s="64" t="n"/>
      <c r="D19" s="64" t="n"/>
      <c r="E19" s="64" t="n"/>
      <c r="F19" s="64" t="n"/>
      <c r="G19" s="64" t="n"/>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c r="AB19" s="64" t="n"/>
      <c r="AC19" s="64" t="n"/>
      <c r="AD19" s="64" t="n"/>
      <c r="AE19" s="64" t="n"/>
      <c r="AF19" s="64" t="n"/>
      <c r="AG19" s="64" t="n"/>
      <c r="AH19" s="64" t="n"/>
      <c r="AI19" s="64" t="n"/>
      <c r="AJ19" s="64" t="n"/>
      <c r="AK19" s="64" t="n"/>
      <c r="AL19" s="64" t="n"/>
      <c r="AM19" s="64" t="n"/>
      <c r="AN19" s="64" t="n"/>
      <c r="AO19" s="64" t="n"/>
    </row>
    <row r="20">
      <c r="A20" s="63" t="inlineStr">
        <is>
          <t>매입채무 회전일수</t>
        </is>
      </c>
      <c r="B20" s="64" t="n"/>
      <c r="C20" s="64" t="n"/>
      <c r="D20" s="64" t="n"/>
      <c r="E20" s="64" t="n"/>
      <c r="F20" s="64" t="n"/>
      <c r="G20" s="64" t="n"/>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c r="AB20" s="64" t="n"/>
      <c r="AC20" s="64" t="n"/>
      <c r="AD20" s="64" t="n"/>
      <c r="AE20" s="64" t="n"/>
      <c r="AF20" s="64" t="n"/>
      <c r="AG20" s="64" t="n"/>
      <c r="AH20" s="64" t="n"/>
      <c r="AI20" s="64" t="n"/>
      <c r="AJ20" s="64" t="n"/>
      <c r="AK20" s="64" t="n"/>
      <c r="AL20" s="64" t="n"/>
      <c r="AM20" s="64" t="n"/>
      <c r="AN20" s="64" t="n"/>
      <c r="AO20" s="64" t="n"/>
    </row>
    <row r="21">
      <c r="A21" s="63" t="inlineStr">
        <is>
          <t>현금전환주기(CCC)</t>
        </is>
      </c>
      <c r="B21" s="64" t="n"/>
      <c r="C21" s="64" t="n"/>
      <c r="D21" s="64" t="n"/>
      <c r="E21" s="64" t="n"/>
      <c r="F21" s="64"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c r="AB21" s="64" t="n"/>
      <c r="AC21" s="64" t="n"/>
      <c r="AD21" s="64" t="n"/>
      <c r="AE21" s="64" t="n"/>
      <c r="AF21" s="64" t="n"/>
      <c r="AG21" s="64" t="n"/>
      <c r="AH21" s="64" t="n"/>
      <c r="AI21" s="64" t="n"/>
      <c r="AJ21" s="64" t="n"/>
      <c r="AK21" s="64" t="n"/>
      <c r="AL21" s="64" t="n"/>
      <c r="AM21" s="64" t="n"/>
      <c r="AN21" s="64" t="n"/>
      <c r="AO21" s="64" t="n"/>
    </row>
    <row r="22">
      <c r="A22" s="63" t="inlineStr">
        <is>
          <t>총 차입금</t>
        </is>
      </c>
      <c r="B22" s="64" t="n"/>
      <c r="C22" s="64" t="n"/>
      <c r="D22" s="64" t="n"/>
      <c r="E22" s="64" t="n"/>
      <c r="F22" s="64" t="n"/>
      <c r="G22" s="64" t="n"/>
      <c r="H22" s="64" t="n">
        <v>1253.4</v>
      </c>
      <c r="I22" s="64" t="n"/>
      <c r="J22" s="64" t="n"/>
      <c r="K22" s="64" t="n"/>
      <c r="L22" s="64" t="n">
        <v>1264.1</v>
      </c>
      <c r="M22" s="64" t="n">
        <v>1234.7</v>
      </c>
      <c r="N22" s="64" t="n">
        <v>1235.1</v>
      </c>
      <c r="O22" s="64" t="n">
        <v>1236.8</v>
      </c>
      <c r="P22" s="64" t="n">
        <v>1237.3</v>
      </c>
      <c r="Q22" s="64" t="n">
        <v>1235</v>
      </c>
      <c r="R22" s="64" t="n">
        <v>1230.9</v>
      </c>
      <c r="S22" s="64" t="n">
        <v>1425</v>
      </c>
      <c r="T22" s="64" t="n">
        <v>1340.7</v>
      </c>
      <c r="U22" s="64" t="n">
        <v>1384.2</v>
      </c>
      <c r="V22" s="64" t="n">
        <v>1384.2</v>
      </c>
      <c r="W22" s="64" t="n">
        <v>1385.5</v>
      </c>
      <c r="X22" s="64" t="n">
        <v>1300.6</v>
      </c>
      <c r="Y22" s="64" t="n">
        <v>1332.3</v>
      </c>
      <c r="Z22" s="64" t="n">
        <v>1353.7</v>
      </c>
      <c r="AA22" s="64" t="n">
        <v>1330.6</v>
      </c>
      <c r="AB22" s="64" t="n">
        <v>1340.1</v>
      </c>
      <c r="AC22" s="64" t="n">
        <v>1366.2</v>
      </c>
      <c r="AD22" s="64" t="n">
        <v>1376.8</v>
      </c>
      <c r="AE22" s="64" t="n">
        <v>1360.4</v>
      </c>
      <c r="AF22" s="64" t="n">
        <v>1667</v>
      </c>
      <c r="AG22" s="64" t="n">
        <v>1695.8</v>
      </c>
      <c r="AH22" s="64" t="n">
        <v>1592.6</v>
      </c>
      <c r="AI22" s="64" t="n">
        <v>1589.6</v>
      </c>
      <c r="AJ22" s="64" t="n">
        <v>1935.7</v>
      </c>
      <c r="AK22" s="64" t="n">
        <v>2145.6</v>
      </c>
      <c r="AL22" s="64" t="n">
        <v>2234.9</v>
      </c>
      <c r="AM22" s="64" t="n">
        <v>2440.7</v>
      </c>
      <c r="AN22" s="64" t="n">
        <v>2199.6</v>
      </c>
      <c r="AO22" s="64" t="n">
        <v>2194.2</v>
      </c>
    </row>
    <row r="23">
      <c r="A23" s="63" t="inlineStr">
        <is>
          <t>현금</t>
        </is>
      </c>
      <c r="B23" s="64" t="n"/>
      <c r="C23" s="64" t="n"/>
      <c r="D23" s="64" t="n"/>
      <c r="E23" s="64" t="n"/>
      <c r="F23" s="64" t="n"/>
      <c r="G23" s="64" t="n"/>
      <c r="H23" s="64" t="n">
        <v>3884.4</v>
      </c>
      <c r="I23" s="64" t="n"/>
      <c r="J23" s="64" t="n"/>
      <c r="K23" s="64" t="n"/>
      <c r="L23" s="64" t="n">
        <v>4110.6</v>
      </c>
      <c r="M23" s="64" t="n">
        <v>3801.4</v>
      </c>
      <c r="N23" s="64" t="n">
        <v>3792.4</v>
      </c>
      <c r="O23" s="64" t="n">
        <v>3568.6</v>
      </c>
      <c r="P23" s="64" t="n">
        <v>3240.3</v>
      </c>
      <c r="Q23" s="64" t="n">
        <v>3013.8</v>
      </c>
      <c r="R23" s="64" t="n">
        <v>3038</v>
      </c>
      <c r="S23" s="64" t="n">
        <v>3423.8</v>
      </c>
      <c r="T23" s="64" t="n">
        <v>3518</v>
      </c>
      <c r="U23" s="64" t="n">
        <v>3473.5</v>
      </c>
      <c r="V23" s="64" t="n">
        <v>3691.7</v>
      </c>
      <c r="W23" s="64" t="n">
        <v>3673.6</v>
      </c>
      <c r="X23" s="64" t="n">
        <v>3702.8</v>
      </c>
      <c r="Y23" s="64" t="n">
        <v>3674.4</v>
      </c>
      <c r="Z23" s="64" t="n">
        <v>3454.3</v>
      </c>
      <c r="AA23" s="64" t="n">
        <v>3135.2</v>
      </c>
      <c r="AB23" s="64" t="n">
        <v>2113.4</v>
      </c>
      <c r="AC23" s="64" t="n">
        <v>2099.6</v>
      </c>
      <c r="AD23" s="64" t="n">
        <v>1763.9</v>
      </c>
      <c r="AE23" s="64" t="n">
        <v>1833.4</v>
      </c>
      <c r="AF23" s="64" t="n">
        <v>2066.4</v>
      </c>
      <c r="AG23" s="64" t="n">
        <v>1956.5</v>
      </c>
      <c r="AH23" s="64" t="n">
        <v>1917.8</v>
      </c>
      <c r="AI23" s="64" t="n">
        <v>1649.2</v>
      </c>
      <c r="AJ23" s="64" t="n">
        <v>1635.9</v>
      </c>
      <c r="AK23" s="64" t="n">
        <v>1647.4</v>
      </c>
      <c r="AL23" s="64" t="n">
        <v>1606.3</v>
      </c>
      <c r="AM23" s="64" t="n">
        <v>1579.2</v>
      </c>
      <c r="AN23" s="64" t="n">
        <v>1580.4</v>
      </c>
      <c r="AO23" s="64" t="n">
        <v>1570.6</v>
      </c>
    </row>
    <row r="24">
      <c r="A24" s="63" t="inlineStr">
        <is>
          <t>부문별 매출 · ImagingProductsBusinessReportableSegmentMember</t>
        </is>
      </c>
      <c r="B24" s="64" t="n"/>
      <c r="C24" s="64" t="n"/>
      <c r="D24" s="64" t="n"/>
      <c r="E24" s="64" t="n"/>
      <c r="F24" s="64" t="n"/>
      <c r="G24" s="64" t="n"/>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c r="AB24" s="64" t="n"/>
      <c r="AC24" s="64" t="n">
        <v>744.1</v>
      </c>
      <c r="AD24" s="64" t="n">
        <v>632.7</v>
      </c>
      <c r="AE24" s="64" t="n">
        <v>843.2</v>
      </c>
      <c r="AF24" s="64" t="n">
        <v>577.4</v>
      </c>
      <c r="AG24" s="64" t="n">
        <v>837.1</v>
      </c>
      <c r="AH24" s="64" t="n">
        <v>680.8</v>
      </c>
      <c r="AI24" s="64" t="n">
        <v>838.9</v>
      </c>
      <c r="AJ24" s="64" t="n">
        <v>596.8</v>
      </c>
      <c r="AK24" s="64" t="n">
        <v>800.5</v>
      </c>
      <c r="AL24" s="64" t="n">
        <v>649.8</v>
      </c>
      <c r="AM24" s="64" t="n">
        <v>840.4</v>
      </c>
      <c r="AN24" s="64" t="n">
        <v>609.7</v>
      </c>
      <c r="AO24" s="64" t="n">
        <v>729.7</v>
      </c>
      <c r="AP24" s="60" t="inlineStr">
        <is>
          <t>결산단신 부문 정보(외부 고객 매출)</t>
        </is>
      </c>
    </row>
    <row r="25">
      <c r="A25" s="63" t="inlineStr">
        <is>
          <t>부문별 매출 · PrecisionEquipmentBusinessReportableSegmentMember</t>
        </is>
      </c>
      <c r="B25" s="64" t="n"/>
      <c r="C25" s="64" t="n"/>
      <c r="D25" s="64" t="n"/>
      <c r="E25" s="64" t="n"/>
      <c r="F25" s="64" t="n"/>
      <c r="G25" s="64"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c r="AB25" s="64" t="n"/>
      <c r="AC25" s="64" t="n">
        <v>373.5</v>
      </c>
      <c r="AD25" s="64" t="n">
        <v>586.8</v>
      </c>
      <c r="AE25" s="64" t="n">
        <v>584.8</v>
      </c>
      <c r="AF25" s="64" t="n">
        <v>648.7</v>
      </c>
      <c r="AG25" s="64" t="n">
        <v>331.9</v>
      </c>
      <c r="AH25" s="64" t="n">
        <v>484</v>
      </c>
      <c r="AI25" s="64" t="n">
        <v>433.9</v>
      </c>
      <c r="AJ25" s="64" t="n">
        <v>769.9</v>
      </c>
      <c r="AK25" s="64" t="n">
        <v>338.2</v>
      </c>
      <c r="AL25" s="64" t="n">
        <v>360.6</v>
      </c>
      <c r="AM25" s="64" t="n">
        <v>347.2</v>
      </c>
      <c r="AN25" s="64" t="n">
        <v>626.5</v>
      </c>
      <c r="AO25" s="64" t="n">
        <v>382.7</v>
      </c>
      <c r="AP25" s="60" t="inlineStr">
        <is>
          <t>결산단신 부문 정보(외부 고객 매출)</t>
        </is>
      </c>
    </row>
    <row r="26">
      <c r="A26" s="63" t="inlineStr">
        <is>
          <t>부문별 매출 · HealthcareBusinessReportableSegmentMember</t>
        </is>
      </c>
      <c r="B26" s="64" t="n"/>
      <c r="C26" s="64" t="n"/>
      <c r="D26" s="64" t="n"/>
      <c r="E26" s="64" t="n"/>
      <c r="F26" s="64" t="n"/>
      <c r="G26" s="64"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c r="AB26" s="64" t="n"/>
      <c r="AC26" s="64" t="n">
        <v>252.7</v>
      </c>
      <c r="AD26" s="64" t="n">
        <v>259.9</v>
      </c>
      <c r="AE26" s="64" t="n">
        <v>256</v>
      </c>
      <c r="AF26" s="64" t="n">
        <v>310.3</v>
      </c>
      <c r="AG26" s="64" t="n">
        <v>262.3</v>
      </c>
      <c r="AH26" s="64" t="n">
        <v>289.1</v>
      </c>
      <c r="AI26" s="64" t="n">
        <v>264.6</v>
      </c>
      <c r="AJ26" s="64" t="n">
        <v>348.5</v>
      </c>
      <c r="AK26" s="64" t="n">
        <v>231.7</v>
      </c>
      <c r="AL26" s="64" t="n">
        <v>280.4</v>
      </c>
      <c r="AM26" s="64" t="n">
        <v>278.1</v>
      </c>
      <c r="AN26" s="64" t="n">
        <v>328.9</v>
      </c>
      <c r="AO26" s="64" t="n">
        <v>277.9</v>
      </c>
      <c r="AP26" s="60" t="inlineStr">
        <is>
          <t>결산단신 부문 정보(외부 고객 매출)</t>
        </is>
      </c>
    </row>
    <row r="27">
      <c r="A27" s="63" t="inlineStr">
        <is>
          <t>부문별 매출 · ComponentsBusinessReportableSegmentMember</t>
        </is>
      </c>
      <c r="B27" s="64" t="n"/>
      <c r="C27" s="64" t="n"/>
      <c r="D27" s="64" t="n"/>
      <c r="E27" s="64" t="n"/>
      <c r="F27" s="64" t="n"/>
      <c r="G27" s="64" t="n"/>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c r="AB27" s="64" t="n"/>
      <c r="AC27" s="64" t="n">
        <v>160.8</v>
      </c>
      <c r="AD27" s="64" t="n">
        <v>205.5</v>
      </c>
      <c r="AE27" s="64" t="n">
        <v>226.8</v>
      </c>
      <c r="AF27" s="64" t="n">
        <v>266.3</v>
      </c>
      <c r="AG27" s="64" t="n">
        <v>138.5</v>
      </c>
      <c r="AH27" s="64" t="n">
        <v>166</v>
      </c>
      <c r="AI27" s="64" t="n">
        <v>185.8</v>
      </c>
      <c r="AJ27" s="64" t="n">
        <v>251.1</v>
      </c>
      <c r="AK27" s="64" t="n">
        <v>151.8</v>
      </c>
      <c r="AL27" s="64" t="n">
        <v>199.6</v>
      </c>
      <c r="AM27" s="64" t="n">
        <v>166.7</v>
      </c>
      <c r="AN27" s="64" t="n">
        <v>243.7</v>
      </c>
      <c r="AO27" s="64" t="n"/>
      <c r="AP27" s="60" t="inlineStr">
        <is>
          <t>결산단신 부문 정보(외부 고객 매출)</t>
        </is>
      </c>
    </row>
    <row r="28">
      <c r="A28" s="63" t="inlineStr">
        <is>
          <t>부문별 매출 · DigitalManufacturingReportableSegmentMember</t>
        </is>
      </c>
      <c r="B28" s="64" t="n"/>
      <c r="C28" s="64" t="n"/>
      <c r="D28" s="64" t="n"/>
      <c r="E28" s="64" t="n"/>
      <c r="F28" s="64" t="n"/>
      <c r="G28" s="64" t="n"/>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c r="AB28" s="64" t="n"/>
      <c r="AC28" s="64" t="n">
        <v>43.6</v>
      </c>
      <c r="AD28" s="64" t="n">
        <v>38.7</v>
      </c>
      <c r="AE28" s="64" t="n">
        <v>56.8</v>
      </c>
      <c r="AF28" s="64" t="n">
        <v>70.90000000000001</v>
      </c>
      <c r="AG28" s="64" t="n">
        <v>59.1</v>
      </c>
      <c r="AH28" s="64" t="n">
        <v>58.1</v>
      </c>
      <c r="AI28" s="64" t="n">
        <v>65.3</v>
      </c>
      <c r="AJ28" s="64" t="n">
        <v>50.9</v>
      </c>
      <c r="AK28" s="64" t="n">
        <v>51</v>
      </c>
      <c r="AL28" s="64" t="n">
        <v>47.3</v>
      </c>
      <c r="AM28" s="64" t="n">
        <v>68.3</v>
      </c>
      <c r="AN28" s="64" t="n">
        <v>114.3</v>
      </c>
      <c r="AO28" s="64" t="n">
        <v>63.2</v>
      </c>
      <c r="AP28" s="60" t="inlineStr">
        <is>
          <t>결산단신 부문 정보(외부 고객 매출)</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2026-10-30T08:26:17Z</dcterms:created>
  <dcterms:modified xmlns:dcterms="http://purl.org/dc/terms/" xmlns:xsi="http://www.w3.org/2001/XMLSchema-instance" xsi:type="dcterms:W3CDTF">2026-10-30T08:27:31Z</dcterms:modified>
</cp:coreProperties>
</file>