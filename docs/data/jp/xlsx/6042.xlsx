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ser>
          <idx val="3"/>
          <order val="3"/>
          <tx>
            <strRef>
              <f>'재무제표 한눈에 보기'!A27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보기'!$B$27:$AO$27</f>
            </numRef>
          </val>
          <smooth val="0"/>
        </ser>
        <ser>
          <idx val="4"/>
          <order val="4"/>
          <tx>
            <strRef>
              <f>'재무제표 한눈에 보기'!A28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보기'!$B$28:$AO$28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30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49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49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2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6042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2291.775</v>
      </c>
      <c r="D4" s="12" t="n">
        <v>2146.983</v>
      </c>
      <c r="E4" s="12" t="n">
        <v>2619.298</v>
      </c>
      <c r="F4" s="12" t="n">
        <v>2223.097</v>
      </c>
      <c r="G4" s="12" t="n">
        <v>1518.756</v>
      </c>
      <c r="H4" s="12" t="n">
        <v>1999.053</v>
      </c>
      <c r="I4" s="12" t="n">
        <v>2050.984</v>
      </c>
      <c r="J4" s="12" t="n">
        <v>2228.002</v>
      </c>
      <c r="K4" s="12" t="n">
        <v>2325.54</v>
      </c>
      <c r="L4" s="12" t="n">
        <v>2664.553</v>
      </c>
      <c r="M4" s="12" t="n">
        <v>2683.456</v>
      </c>
      <c r="N4" s="12" t="n">
        <v>2689.707</v>
      </c>
      <c r="O4" s="11" t="n">
        <v>8439.482</v>
      </c>
      <c r="P4" s="12" t="n">
        <v>9185.467000000001</v>
      </c>
      <c r="Q4" s="12" t="n">
        <v>7867.447</v>
      </c>
      <c r="R4" s="12" t="n">
        <v>7526.505</v>
      </c>
      <c r="S4" s="12" t="n">
        <v>5895.873</v>
      </c>
      <c r="T4" s="12" t="n">
        <v>8844.286</v>
      </c>
      <c r="U4" s="12" t="n">
        <v>8802.960999999999</v>
      </c>
      <c r="V4" s="12" t="n">
        <v>9355.388000000001</v>
      </c>
      <c r="W4" s="12" t="n">
        <v>8360.204</v>
      </c>
      <c r="X4" s="12" t="n">
        <v>9269.079</v>
      </c>
      <c r="Y4" s="11">
        <f>IF(COUNT(Y7,Y10,Y13,Y16,Y19,Y22,Y25,Y28,Y31,Y34,Y37,Y40)=0,"",SUM(Y7,Y10,Y13,Y16,Y19,Y22,Y25,Y28,Y31,Y34,Y37,Y40))</f>
        <v/>
      </c>
      <c r="Z4" s="12">
        <f>IF(COUNT(Z7,Z10,Z13,Z16,Z19,Z22,Z25,Z28,Z31,Z34,Z37,Z40)=0,"",SUM(Z7,Z10,Z13,Z16,Z19,Z22,Z25,Z28,Z31,Z34,Z37,Z40))</f>
        <v/>
      </c>
      <c r="AA4" s="12">
        <f>IF(COUNT(AA7,AA10,AA13,AA16,AA19,AA22,AA25,AA28,AA31,AA34,AA37,AA40)=0,"",SUM(AA7,AA10,AA13,AA16,AA19,AA22,AA25,AA28,AA31,AA34,AA37,AA40))</f>
        <v/>
      </c>
      <c r="AB4" s="12">
        <f>IF(COUNT(AB7,AB10,AB13,AB16,AB19,AB22,AB25,AB28,AB31,AB34,AB37,AB40)=0,"",SUM(AB7,AB10,AB13,AB16,AB19,AB22,AB25,AB28,AB31,AB34,AB37,AB40))</f>
        <v/>
      </c>
      <c r="AC4" s="12">
        <f>IF(COUNT(AC7,AC10,AC13,AC16,AC19,AC22,AC25,AC28,AC31,AC34,AC37,AC40)=0,"",SUM(AC7,AC10,AC13,AC16,AC19,AC22,AC25,AC28,AC31,AC34,AC37,AC40))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Gas Equipment Business Reportable Segments</t>
        </is>
      </c>
      <c r="B7" s="10" t="n"/>
      <c r="C7" s="19" t="n">
        <v>761.772</v>
      </c>
      <c r="D7" s="20" t="n"/>
      <c r="E7" s="20" t="n">
        <v>1071.787</v>
      </c>
      <c r="F7" s="20" t="n">
        <v>910.25</v>
      </c>
      <c r="G7" s="20" t="n">
        <v>561.903</v>
      </c>
      <c r="H7" s="20" t="n"/>
      <c r="I7" s="20" t="n">
        <v>622.438</v>
      </c>
      <c r="J7" s="20" t="n">
        <v>879.471</v>
      </c>
      <c r="K7" s="20" t="n">
        <v>720.543</v>
      </c>
      <c r="L7" s="20" t="n"/>
      <c r="M7" s="20" t="n">
        <v>700.77</v>
      </c>
      <c r="N7" s="20" t="n">
        <v>683.326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General Purpose Equipment Business Reportable Segments</t>
        </is>
      </c>
      <c r="B10" s="10" t="n"/>
      <c r="C10" s="19" t="n"/>
      <c r="D10" s="20" t="n"/>
      <c r="E10" s="20" t="n">
        <v>1041.167</v>
      </c>
      <c r="F10" s="20" t="n"/>
      <c r="G10" s="20" t="n"/>
      <c r="H10" s="20" t="n"/>
      <c r="I10" s="20" t="n">
        <v>980.013</v>
      </c>
      <c r="J10" s="20" t="n"/>
      <c r="K10" s="20" t="n"/>
      <c r="L10" s="20" t="n"/>
      <c r="M10" s="20" t="n">
        <v>1165.74</v>
      </c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Automotive Equipment Business Reportable Segments</t>
        </is>
      </c>
      <c r="B13" s="10" t="n"/>
      <c r="C13" s="19" t="n"/>
      <c r="D13" s="20" t="n"/>
      <c r="E13" s="20" t="n">
        <v>226.808</v>
      </c>
      <c r="F13" s="20" t="n"/>
      <c r="G13" s="20" t="n"/>
      <c r="H13" s="20" t="n"/>
      <c r="I13" s="20" t="n">
        <v>182.739</v>
      </c>
      <c r="J13" s="20" t="n"/>
      <c r="K13" s="20" t="n"/>
      <c r="L13" s="20" t="n"/>
      <c r="M13" s="20" t="n">
        <v>218.55</v>
      </c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Generic Equipment Business Reportable Segments</t>
        </is>
      </c>
      <c r="B16" s="10" t="n"/>
      <c r="C16" s="19" t="n">
        <v>1012.97</v>
      </c>
      <c r="D16" s="20" t="n"/>
      <c r="E16" s="20" t="n"/>
      <c r="F16" s="20" t="n"/>
      <c r="G16" s="20" t="n">
        <v>505.306</v>
      </c>
      <c r="H16" s="20" t="n"/>
      <c r="I16" s="20" t="n"/>
      <c r="J16" s="20" t="n"/>
      <c r="K16" s="20" t="n">
        <v>937.106</v>
      </c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Automatic Car Equipment Business Reportable Segments</t>
        </is>
      </c>
      <c r="B19" s="10" t="n"/>
      <c r="C19" s="19" t="n">
        <v>229.961</v>
      </c>
      <c r="D19" s="20" t="n"/>
      <c r="E19" s="20" t="n"/>
      <c r="F19" s="20" t="n"/>
      <c r="G19" s="20" t="n">
        <v>178.591</v>
      </c>
      <c r="H19" s="20" t="n"/>
      <c r="I19" s="20" t="n"/>
      <c r="J19" s="20" t="n"/>
      <c r="K19" s="20" t="n">
        <v>223.099</v>
      </c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Industrial Equipment Business Reportable Segments</t>
        </is>
      </c>
      <c r="B22" s="10" t="n"/>
      <c r="C22" s="19" t="n"/>
      <c r="D22" s="20" t="n">
        <v>169.607</v>
      </c>
      <c r="E22" s="20" t="n">
        <v>126.908</v>
      </c>
      <c r="F22" s="20" t="n">
        <v>124.739</v>
      </c>
      <c r="G22" s="20" t="n">
        <v>108.38</v>
      </c>
      <c r="H22" s="20" t="n">
        <v>35.517</v>
      </c>
      <c r="I22" s="20" t="n">
        <v>76.253</v>
      </c>
      <c r="J22" s="20" t="n">
        <v>71.527</v>
      </c>
      <c r="K22" s="20" t="n">
        <v>255.407</v>
      </c>
      <c r="L22" s="20" t="n">
        <v>265.896</v>
      </c>
      <c r="M22" s="20" t="n">
        <v>408.965</v>
      </c>
      <c r="N22" s="20" t="n">
        <v>382.591</v>
      </c>
      <c r="O22" s="19" t="n"/>
      <c r="P22" s="20" t="n"/>
      <c r="Q22" s="20" t="n"/>
      <c r="R22" s="20" t="n"/>
      <c r="S22" s="20" t="n"/>
      <c r="T22" s="20" t="n"/>
      <c r="U22" s="20" t="n"/>
      <c r="V22" s="20" t="n">
        <v>339.779</v>
      </c>
      <c r="W22" s="20" t="n">
        <v>395.544</v>
      </c>
      <c r="X22" s="20" t="n">
        <v>669.083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부동산 임대 사업</t>
        </is>
      </c>
      <c r="B25" s="10" t="n"/>
      <c r="C25" s="19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>
        <v>532.63</v>
      </c>
      <c r="W25" s="20" t="n">
        <v>659.095</v>
      </c>
      <c r="X25" s="20" t="n">
        <v>757.896</v>
      </c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8" t="inlineStr">
        <is>
          <t>부동산 임대 사업</t>
        </is>
      </c>
      <c r="B28" s="10" t="n"/>
      <c r="C28" s="19" t="n"/>
      <c r="D28" s="20" t="n"/>
      <c r="E28" s="20" t="n">
        <v>152.626</v>
      </c>
      <c r="F28" s="20" t="n"/>
      <c r="G28" s="20" t="n"/>
      <c r="H28" s="20" t="n"/>
      <c r="I28" s="20" t="n">
        <v>189.539</v>
      </c>
      <c r="J28" s="20" t="n"/>
      <c r="K28" s="20" t="n"/>
      <c r="L28" s="20" t="n"/>
      <c r="M28" s="20" t="n">
        <v>189.431</v>
      </c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1" t="n"/>
      <c r="Z28" s="22" t="n"/>
      <c r="AA28" s="22" t="n"/>
      <c r="AB28" s="22" t="n"/>
      <c r="AC28" s="22" t="n"/>
    </row>
    <row r="29">
      <c r="A29" s="13" t="inlineStr">
        <is>
          <t>비중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8" t="inlineStr">
        <is>
          <t>부동산 임대 사업</t>
        </is>
      </c>
      <c r="B31" s="10" t="n"/>
      <c r="C31" s="19" t="n">
        <v>116.9</v>
      </c>
      <c r="D31" s="20" t="n"/>
      <c r="E31" s="20" t="n"/>
      <c r="F31" s="20" t="n"/>
      <c r="G31" s="20" t="n">
        <v>164.577</v>
      </c>
      <c r="H31" s="20" t="n"/>
      <c r="I31" s="20" t="n"/>
      <c r="J31" s="20" t="n"/>
      <c r="K31" s="20" t="n">
        <v>189.385</v>
      </c>
      <c r="L31" s="20" t="n"/>
      <c r="M31" s="20" t="n"/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1" t="n"/>
      <c r="Z31" s="22" t="n"/>
      <c r="AA31" s="22" t="n"/>
      <c r="AB31" s="22" t="n"/>
      <c r="AC31" s="22" t="n"/>
    </row>
    <row r="32">
      <c r="A32" s="13" t="inlineStr">
        <is>
          <t>비중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8" t="inlineStr">
        <is>
          <t>Gas Equipment Business</t>
        </is>
      </c>
      <c r="B34" s="10" t="n"/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>
        <v>3443.858</v>
      </c>
      <c r="W34" s="20" t="n">
        <v>3102.829</v>
      </c>
      <c r="X34" s="20" t="n">
        <v>3124.855</v>
      </c>
      <c r="Y34" s="21" t="n"/>
      <c r="Z34" s="22" t="n"/>
      <c r="AA34" s="22" t="n"/>
      <c r="AB34" s="22" t="n"/>
      <c r="AC34" s="22" t="n"/>
    </row>
    <row r="35">
      <c r="A35" s="13" t="inlineStr">
        <is>
          <t>비중</t>
        </is>
      </c>
      <c r="B35" s="10" t="n"/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>
        <f>IF(OR(Y34="",Y4=""),"",IFERROR(Y34/Y4,""))</f>
        <v/>
      </c>
      <c r="Z35" s="15">
        <f>IF(OR(Z34="",Z4=""),"",IFERROR(Z34/Z4,""))</f>
        <v/>
      </c>
      <c r="AA35" s="15">
        <f>IF(OR(AA34="",AA4=""),"",IFERROR(AA34/AA4,""))</f>
        <v/>
      </c>
      <c r="AB35" s="15">
        <f>IF(OR(AB34="",AB4=""),"",IFERROR(AB34/AB4,""))</f>
        <v/>
      </c>
      <c r="AC35" s="15">
        <f>IF(OR(AC34="",AC4=""),"",IFERROR(AC34/AC4,""))</f>
        <v/>
      </c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8" t="inlineStr">
        <is>
          <t>Generic Equipment Business</t>
        </is>
      </c>
      <c r="B37" s="10" t="n"/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>
        <v>4101.227</v>
      </c>
      <c r="W37" s="20" t="n">
        <v>3441.014</v>
      </c>
      <c r="X37" s="20" t="n">
        <v>3918.092</v>
      </c>
      <c r="Y37" s="21" t="n"/>
      <c r="Z37" s="22" t="n"/>
      <c r="AA37" s="22" t="n"/>
      <c r="AB37" s="22" t="n"/>
      <c r="AC37" s="22" t="n"/>
    </row>
    <row r="38">
      <c r="A38" s="13" t="inlineStr">
        <is>
          <t>비중</t>
        </is>
      </c>
      <c r="B38" s="10" t="n"/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>
        <f>IF(OR(Y37="",Y4=""),"",IFERROR(Y37/Y4,""))</f>
        <v/>
      </c>
      <c r="Z38" s="15">
        <f>IF(OR(Z37="",Z4=""),"",IFERROR(Z37/Z4,""))</f>
        <v/>
      </c>
      <c r="AA38" s="15">
        <f>IF(OR(AA37="",AA4=""),"",IFERROR(AA37/AA4,""))</f>
        <v/>
      </c>
      <c r="AB38" s="15">
        <f>IF(OR(AB37="",AB4=""),"",IFERROR(AB37/AB4,""))</f>
        <v/>
      </c>
      <c r="AC38" s="15">
        <f>IF(OR(AC37="",AC4=""),"",IFERROR(AC37/AC4,""))</f>
        <v/>
      </c>
    </row>
    <row r="39">
      <c r="A39" s="13" t="inlineStr">
        <is>
          <t>YoY</t>
        </is>
      </c>
      <c r="B39" s="10" t="n"/>
      <c r="C39" s="14" t="n"/>
      <c r="D39" s="15" t="n"/>
      <c r="E39" s="15" t="n"/>
      <c r="F39" s="15" t="n"/>
      <c r="G39" s="15">
        <f>IF(OR(G37="",C37=""),"",IFERROR(G37/C37-1,""))</f>
        <v/>
      </c>
      <c r="H39" s="15">
        <f>IF(OR(H37="",D37=""),"",IFERROR(H37/D37-1,""))</f>
        <v/>
      </c>
      <c r="I39" s="15">
        <f>IF(OR(I37="",E37=""),"",IFERROR(I37/E37-1,""))</f>
        <v/>
      </c>
      <c r="J39" s="15">
        <f>IF(OR(J37="",F37=""),"",IFERROR(J37/F37-1,""))</f>
        <v/>
      </c>
      <c r="K39" s="15">
        <f>IF(OR(K37="",G37=""),"",IFERROR(K37/G37-1,""))</f>
        <v/>
      </c>
      <c r="L39" s="15">
        <f>IF(OR(L37="",H37=""),"",IFERROR(L37/H37-1,""))</f>
        <v/>
      </c>
      <c r="M39" s="15">
        <f>IF(OR(M37="",I37=""),"",IFERROR(M37/I37-1,""))</f>
        <v/>
      </c>
      <c r="N39" s="15">
        <f>IF(OR(N37="",J37=""),"",IFERROR(N37/J37-1,""))</f>
        <v/>
      </c>
      <c r="O39" s="14" t="n"/>
      <c r="P39" s="15">
        <f>IF(OR(P37="",O37=""),"",IFERROR(P37/O37-1,""))</f>
        <v/>
      </c>
      <c r="Q39" s="15">
        <f>IF(OR(Q37="",P37=""),"",IFERROR(Q37/P37-1,""))</f>
        <v/>
      </c>
      <c r="R39" s="15">
        <f>IF(OR(R37="",Q37=""),"",IFERROR(R37/Q37-1,""))</f>
        <v/>
      </c>
      <c r="S39" s="15">
        <f>IF(OR(S37="",R37=""),"",IFERROR(S37/R37-1,""))</f>
        <v/>
      </c>
      <c r="T39" s="15">
        <f>IF(OR(T37="",S37=""),"",IFERROR(T37/S37-1,""))</f>
        <v/>
      </c>
      <c r="U39" s="15">
        <f>IF(OR(U37="",T37=""),"",IFERROR(U37/T37-1,""))</f>
        <v/>
      </c>
      <c r="V39" s="15">
        <f>IF(OR(V37="",U37=""),"",IFERROR(V37/U37-1,""))</f>
        <v/>
      </c>
      <c r="W39" s="15">
        <f>IF(OR(W37="",V37=""),"",IFERROR(W37/V37-1,""))</f>
        <v/>
      </c>
      <c r="X39" s="15">
        <f>IF(OR(X37="",W37=""),"",IFERROR(X37/W37-1,""))</f>
        <v/>
      </c>
      <c r="Y39" s="14">
        <f>IF(OR(Y37="",X37=""),"",IFERROR(Y37/X37-1,""))</f>
        <v/>
      </c>
      <c r="Z39" s="15">
        <f>IF(OR(Z37="",Y37=""),"",IFERROR(Z37/Y37-1,""))</f>
        <v/>
      </c>
      <c r="AA39" s="15">
        <f>IF(OR(AA37="",Z37=""),"",IFERROR(AA37/Z37-1,""))</f>
        <v/>
      </c>
      <c r="AB39" s="15">
        <f>IF(OR(AB37="",AA37=""),"",IFERROR(AB37/AA37-1,""))</f>
        <v/>
      </c>
      <c r="AC39" s="15">
        <f>IF(OR(AC37="",AB37=""),"",IFERROR(AC37/AB37-1,""))</f>
        <v/>
      </c>
    </row>
    <row r="40">
      <c r="A40" s="18" t="inlineStr">
        <is>
          <t>Automatic Car Equipment Business</t>
        </is>
      </c>
      <c r="B40" s="10" t="n"/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>
        <v>937.893</v>
      </c>
      <c r="W40" s="20" t="n">
        <v>761.721</v>
      </c>
      <c r="X40" s="20" t="n">
        <v>799.152</v>
      </c>
      <c r="Y40" s="21" t="n"/>
      <c r="Z40" s="22" t="n"/>
      <c r="AA40" s="22" t="n"/>
      <c r="AB40" s="22" t="n"/>
      <c r="AC40" s="22" t="n"/>
    </row>
    <row r="41">
      <c r="A41" s="13" t="inlineStr">
        <is>
          <t>비중</t>
        </is>
      </c>
      <c r="B41" s="10" t="n"/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>
        <f>IF(OR(Y40="",Y4=""),"",IFERROR(Y40/Y4,""))</f>
        <v/>
      </c>
      <c r="Z41" s="15">
        <f>IF(OR(Z40="",Z4=""),"",IFERROR(Z40/Z4,""))</f>
        <v/>
      </c>
      <c r="AA41" s="15">
        <f>IF(OR(AA40="",AA4=""),"",IFERROR(AA40/AA4,""))</f>
        <v/>
      </c>
      <c r="AB41" s="15">
        <f>IF(OR(AB40="",AB4=""),"",IFERROR(AB40/AB4,""))</f>
        <v/>
      </c>
      <c r="AC41" s="15">
        <f>IF(OR(AC40="",AC4=""),"",IFERROR(AC40/AC4,""))</f>
        <v/>
      </c>
    </row>
    <row r="42">
      <c r="A42" s="13" t="inlineStr">
        <is>
          <t>YoY</t>
        </is>
      </c>
      <c r="B42" s="10" t="n"/>
      <c r="C42" s="14" t="n"/>
      <c r="D42" s="15" t="n"/>
      <c r="E42" s="15" t="n"/>
      <c r="F42" s="15" t="n"/>
      <c r="G42" s="15">
        <f>IF(OR(G40="",C40=""),"",IFERROR(G40/C40-1,""))</f>
        <v/>
      </c>
      <c r="H42" s="15">
        <f>IF(OR(H40="",D40=""),"",IFERROR(H40/D40-1,""))</f>
        <v/>
      </c>
      <c r="I42" s="15">
        <f>IF(OR(I40="",E40=""),"",IFERROR(I40/E40-1,""))</f>
        <v/>
      </c>
      <c r="J42" s="15">
        <f>IF(OR(J40="",F40=""),"",IFERROR(J40/F40-1,""))</f>
        <v/>
      </c>
      <c r="K42" s="15">
        <f>IF(OR(K40="",G40=""),"",IFERROR(K40/G40-1,""))</f>
        <v/>
      </c>
      <c r="L42" s="15">
        <f>IF(OR(L40="",H40=""),"",IFERROR(L40/H40-1,""))</f>
        <v/>
      </c>
      <c r="M42" s="15">
        <f>IF(OR(M40="",I40=""),"",IFERROR(M40/I40-1,""))</f>
        <v/>
      </c>
      <c r="N42" s="15">
        <f>IF(OR(N40="",J40=""),"",IFERROR(N40/J40-1,""))</f>
        <v/>
      </c>
      <c r="O42" s="14" t="n"/>
      <c r="P42" s="15">
        <f>IF(OR(P40="",O40=""),"",IFERROR(P40/O40-1,""))</f>
        <v/>
      </c>
      <c r="Q42" s="15">
        <f>IF(OR(Q40="",P40=""),"",IFERROR(Q40/P40-1,""))</f>
        <v/>
      </c>
      <c r="R42" s="15">
        <f>IF(OR(R40="",Q40=""),"",IFERROR(R40/Q40-1,""))</f>
        <v/>
      </c>
      <c r="S42" s="15">
        <f>IF(OR(S40="",R40=""),"",IFERROR(S40/R40-1,""))</f>
        <v/>
      </c>
      <c r="T42" s="15">
        <f>IF(OR(T40="",S40=""),"",IFERROR(T40/S40-1,""))</f>
        <v/>
      </c>
      <c r="U42" s="15">
        <f>IF(OR(U40="",T40=""),"",IFERROR(U40/T40-1,""))</f>
        <v/>
      </c>
      <c r="V42" s="15">
        <f>IF(OR(V40="",U40=""),"",IFERROR(V40/U40-1,""))</f>
        <v/>
      </c>
      <c r="W42" s="15">
        <f>IF(OR(W40="",V40=""),"",IFERROR(W40/V40-1,""))</f>
        <v/>
      </c>
      <c r="X42" s="15">
        <f>IF(OR(X40="",W40=""),"",IFERROR(X40/W40-1,""))</f>
        <v/>
      </c>
      <c r="Y42" s="14">
        <f>IF(OR(Y40="",X40=""),"",IFERROR(Y40/X40-1,""))</f>
        <v/>
      </c>
      <c r="Z42" s="15">
        <f>IF(OR(Z40="",Y40=""),"",IFERROR(Z40/Y40-1,""))</f>
        <v/>
      </c>
      <c r="AA42" s="15">
        <f>IF(OR(AA40="",Z40=""),"",IFERROR(AA40/Z40-1,""))</f>
        <v/>
      </c>
      <c r="AB42" s="15">
        <f>IF(OR(AB40="",AA40=""),"",IFERROR(AB40/AA40-1,""))</f>
        <v/>
      </c>
      <c r="AC42" s="15">
        <f>IF(OR(AC40="",AB40=""),"",IFERROR(AC40/AB40-1,""))</f>
        <v/>
      </c>
    </row>
    <row r="43">
      <c r="A43" s="16" t="inlineStr">
        <is>
          <t>매출원가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전체 매출원가</t>
        </is>
      </c>
      <c r="B44" s="10" t="n"/>
      <c r="C44" s="19" t="n">
        <v>1549.408</v>
      </c>
      <c r="D44" s="20" t="n">
        <v>1821.954</v>
      </c>
      <c r="E44" s="20" t="n">
        <v>1809.3</v>
      </c>
      <c r="F44" s="20" t="n">
        <v>1375.618</v>
      </c>
      <c r="G44" s="20" t="n">
        <v>1148.789</v>
      </c>
      <c r="H44" s="20" t="n">
        <v>1312.272</v>
      </c>
      <c r="I44" s="20" t="n">
        <v>1301.647</v>
      </c>
      <c r="J44" s="20" t="n">
        <v>1541.998</v>
      </c>
      <c r="K44" s="20" t="n">
        <v>1653.913</v>
      </c>
      <c r="L44" s="20" t="n">
        <v>1803.534</v>
      </c>
      <c r="M44" s="20" t="n">
        <v>1808.255</v>
      </c>
      <c r="N44" s="20" t="n">
        <v>1837.752</v>
      </c>
      <c r="O44" s="19" t="n">
        <v>6399.469</v>
      </c>
      <c r="P44" s="20" t="n">
        <v>6672.933</v>
      </c>
      <c r="Q44" s="20" t="n">
        <v>5594.104</v>
      </c>
      <c r="R44" s="20" t="n">
        <v>5464.65</v>
      </c>
      <c r="S44" s="20" t="n">
        <v>4356.962</v>
      </c>
      <c r="T44" s="20" t="n">
        <v>6367.69</v>
      </c>
      <c r="U44" s="20" t="n">
        <v>6049.239</v>
      </c>
      <c r="V44" s="20" t="n">
        <v>6673.822</v>
      </c>
      <c r="W44" s="20" t="n">
        <v>5645.979</v>
      </c>
      <c r="X44" s="20" t="n">
        <v>6301.092</v>
      </c>
      <c r="Y44" s="19" t="n"/>
      <c r="Z44" s="20" t="n"/>
      <c r="AA44" s="20" t="n"/>
      <c r="AB44" s="20" t="n"/>
      <c r="AC44" s="20" t="n"/>
    </row>
    <row r="45">
      <c r="A45" s="13" t="inlineStr">
        <is>
          <t>YoY</t>
        </is>
      </c>
      <c r="B45" s="10" t="n"/>
      <c r="C45" s="14" t="n"/>
      <c r="D45" s="15" t="n"/>
      <c r="E45" s="15" t="n"/>
      <c r="F45" s="15" t="n"/>
      <c r="G45" s="15">
        <f>IF(OR(G44="",C44=""),"",IF(C44&lt;=0,"",IFERROR(G44/C44-1,"")))</f>
        <v/>
      </c>
      <c r="H45" s="15">
        <f>IF(OR(H44="",D44=""),"",IF(D44&lt;=0,"",IFERROR(H44/D44-1,"")))</f>
        <v/>
      </c>
      <c r="I45" s="15">
        <f>IF(OR(I44="",E44=""),"",IF(E44&lt;=0,"",IFERROR(I44/E44-1,"")))</f>
        <v/>
      </c>
      <c r="J45" s="15">
        <f>IF(OR(J44="",F44=""),"",IF(F44&lt;=0,"",IFERROR(J44/F44-1,"")))</f>
        <v/>
      </c>
      <c r="K45" s="15">
        <f>IF(OR(K44="",G44=""),"",IF(G44&lt;=0,"",IFERROR(K44/G44-1,"")))</f>
        <v/>
      </c>
      <c r="L45" s="15">
        <f>IF(OR(L44="",H44=""),"",IF(H44&lt;=0,"",IFERROR(L44/H44-1,"")))</f>
        <v/>
      </c>
      <c r="M45" s="15">
        <f>IF(OR(M44="",I44=""),"",IF(I44&lt;=0,"",IFERROR(M44/I44-1,"")))</f>
        <v/>
      </c>
      <c r="N45" s="15">
        <f>IF(OR(N44="",J44=""),"",IF(J44&lt;=0,"",IFERROR(N44/J44-1,"")))</f>
        <v/>
      </c>
      <c r="O45" s="14" t="n"/>
      <c r="P45" s="15">
        <f>IF(OR(P44="",O44=""),"",IF(O44&lt;=0,"",IFERROR(P44/O44-1,"")))</f>
        <v/>
      </c>
      <c r="Q45" s="15">
        <f>IF(OR(Q44="",P44=""),"",IF(P44&lt;=0,"",IFERROR(Q44/P44-1,"")))</f>
        <v/>
      </c>
      <c r="R45" s="15">
        <f>IF(OR(R44="",Q44=""),"",IF(Q44&lt;=0,"",IFERROR(R44/Q44-1,"")))</f>
        <v/>
      </c>
      <c r="S45" s="15">
        <f>IF(OR(S44="",R44=""),"",IF(R44&lt;=0,"",IFERROR(S44/R44-1,"")))</f>
        <v/>
      </c>
      <c r="T45" s="15">
        <f>IF(OR(T44="",S44=""),"",IF(S44&lt;=0,"",IFERROR(T44/S44-1,"")))</f>
        <v/>
      </c>
      <c r="U45" s="15">
        <f>IF(OR(U44="",T44=""),"",IF(T44&lt;=0,"",IFERROR(U44/T44-1,"")))</f>
        <v/>
      </c>
      <c r="V45" s="15">
        <f>IF(OR(V44="",U44=""),"",IF(U44&lt;=0,"",IFERROR(V44/U44-1,"")))</f>
        <v/>
      </c>
      <c r="W45" s="15">
        <f>IF(OR(W44="",V44=""),"",IF(V44&lt;=0,"",IFERROR(W44/V44-1,"")))</f>
        <v/>
      </c>
      <c r="X45" s="15">
        <f>IF(OR(X44="",W44=""),"",IF(W44&lt;=0,"",IFERROR(X44/W44-1,"")))</f>
        <v/>
      </c>
      <c r="Y45" s="14">
        <f>IF(OR(Y44="",X44=""),"",IF(X44&lt;=0,"",IFERROR(Y44/X44-1,"")))</f>
        <v/>
      </c>
      <c r="Z45" s="15">
        <f>IF(OR(Z44="",Y44=""),"",IF(Y44&lt;=0,"",IFERROR(Z44/Y44-1,"")))</f>
        <v/>
      </c>
      <c r="AA45" s="15">
        <f>IF(OR(AA44="",Z44=""),"",IF(Z44&lt;=0,"",IFERROR(AA44/Z44-1,"")))</f>
        <v/>
      </c>
      <c r="AB45" s="15">
        <f>IF(OR(AB44="",AA44=""),"",IF(AA44&lt;=0,"",IFERROR(AB44/AA44-1,"")))</f>
        <v/>
      </c>
      <c r="AC45" s="15">
        <f>IF(OR(AC44="",AB44=""),"",IF(AB44&lt;=0,"",IFERROR(AC44/AB44-1,"")))</f>
        <v/>
      </c>
    </row>
    <row r="46">
      <c r="A46" s="18" t="inlineStr">
        <is>
          <t>매출총이익</t>
        </is>
      </c>
      <c r="B46" s="10" t="n"/>
      <c r="C46" s="19">
        <f>IF(OR(C4="",C44=""),"",IFERROR(C4-C44,""))</f>
        <v/>
      </c>
      <c r="D46" s="20">
        <f>IF(OR(D4="",D44=""),"",IFERROR(D4-D44,""))</f>
        <v/>
      </c>
      <c r="E46" s="20">
        <f>IF(OR(E4="",E44=""),"",IFERROR(E4-E44,""))</f>
        <v/>
      </c>
      <c r="F46" s="20">
        <f>IF(OR(F4="",F44=""),"",IFERROR(F4-F44,""))</f>
        <v/>
      </c>
      <c r="G46" s="20">
        <f>IF(OR(G4="",G44=""),"",IFERROR(G4-G44,""))</f>
        <v/>
      </c>
      <c r="H46" s="20">
        <f>IF(OR(H4="",H44=""),"",IFERROR(H4-H44,""))</f>
        <v/>
      </c>
      <c r="I46" s="20">
        <f>IF(OR(I4="",I44=""),"",IFERROR(I4-I44,""))</f>
        <v/>
      </c>
      <c r="J46" s="20">
        <f>IF(OR(J4="",J44=""),"",IFERROR(J4-J44,""))</f>
        <v/>
      </c>
      <c r="K46" s="20">
        <f>IF(OR(K4="",K44=""),"",IFERROR(K4-K44,""))</f>
        <v/>
      </c>
      <c r="L46" s="20">
        <f>IF(OR(L4="",L44=""),"",IFERROR(L4-L44,""))</f>
        <v/>
      </c>
      <c r="M46" s="20">
        <f>IF(OR(M4="",M44=""),"",IFERROR(M4-M44,""))</f>
        <v/>
      </c>
      <c r="N46" s="20">
        <f>IF(OR(N4="",N44=""),"",IFERROR(N4-N44,""))</f>
        <v/>
      </c>
      <c r="O46" s="19">
        <f>IF(OR(O4="",O44=""),"",IFERROR(O4-O44,""))</f>
        <v/>
      </c>
      <c r="P46" s="20">
        <f>IF(OR(P4="",P44=""),"",IFERROR(P4-P44,""))</f>
        <v/>
      </c>
      <c r="Q46" s="20">
        <f>IF(OR(Q4="",Q44=""),"",IFERROR(Q4-Q44,""))</f>
        <v/>
      </c>
      <c r="R46" s="20">
        <f>IF(OR(R4="",R44=""),"",IFERROR(R4-R44,""))</f>
        <v/>
      </c>
      <c r="S46" s="20">
        <f>IF(OR(S4="",S44=""),"",IFERROR(S4-S44,""))</f>
        <v/>
      </c>
      <c r="T46" s="20">
        <f>IF(OR(T4="",T44=""),"",IFERROR(T4-T44,""))</f>
        <v/>
      </c>
      <c r="U46" s="20">
        <f>IF(OR(U4="",U44=""),"",IFERROR(U4-U44,""))</f>
        <v/>
      </c>
      <c r="V46" s="20">
        <f>IF(OR(V4="",V44=""),"",IFERROR(V4-V44,""))</f>
        <v/>
      </c>
      <c r="W46" s="20">
        <f>IF(OR(W4="",W44=""),"",IFERROR(W4-W44,""))</f>
        <v/>
      </c>
      <c r="X46" s="20">
        <f>IF(OR(X4="",X44=""),"",IFERROR(X4-X44,""))</f>
        <v/>
      </c>
      <c r="Y46" s="19" t="n"/>
      <c r="Z46" s="20" t="n"/>
      <c r="AA46" s="20" t="n"/>
      <c r="AB46" s="20" t="n"/>
      <c r="AC46" s="20" t="n"/>
    </row>
    <row r="47">
      <c r="A47" s="13" t="inlineStr">
        <is>
          <t>GPM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14">
        <f>IF(OR(Y46="",Y4=""),"",IFERROR(Y46/Y4,""))</f>
        <v/>
      </c>
      <c r="Z47" s="15">
        <f>IF(OR(Z46="",Z4=""),"",IFERROR(Z46/Z4,""))</f>
        <v/>
      </c>
      <c r="AA47" s="15">
        <f>IF(OR(AA46="",AA4=""),"",IFERROR(AA46/AA4,""))</f>
        <v/>
      </c>
      <c r="AB47" s="15">
        <f>IF(OR(AB46="",AB4=""),"",IFERROR(AB46/AB4,""))</f>
        <v/>
      </c>
      <c r="AC47" s="15">
        <f>IF(OR(AC46="",AC4=""),"",IFERROR(AC46/AC4,""))</f>
        <v/>
      </c>
    </row>
    <row r="48">
      <c r="A48" s="13" t="inlineStr">
        <is>
          <t>YoY</t>
        </is>
      </c>
      <c r="B48" s="10" t="n"/>
      <c r="C48" s="14" t="n"/>
      <c r="D48" s="15" t="n"/>
      <c r="E48" s="15" t="n"/>
      <c r="F48" s="15" t="n"/>
      <c r="G48" s="15">
        <f>IF(OR(G46="",C46=""),"",IF(C46&lt;=0,"",IFERROR(G46/C46-1,"")))</f>
        <v/>
      </c>
      <c r="H48" s="15">
        <f>IF(OR(H46="",D46=""),"",IF(D46&lt;=0,"",IFERROR(H46/D46-1,"")))</f>
        <v/>
      </c>
      <c r="I48" s="15">
        <f>IF(OR(I46="",E46=""),"",IF(E46&lt;=0,"",IFERROR(I46/E46-1,"")))</f>
        <v/>
      </c>
      <c r="J48" s="15">
        <f>IF(OR(J46="",F46=""),"",IF(F46&lt;=0,"",IFERROR(J46/F46-1,"")))</f>
        <v/>
      </c>
      <c r="K48" s="15">
        <f>IF(OR(K46="",G46=""),"",IF(G46&lt;=0,"",IFERROR(K46/G46-1,"")))</f>
        <v/>
      </c>
      <c r="L48" s="15">
        <f>IF(OR(L46="",H46=""),"",IF(H46&lt;=0,"",IFERROR(L46/H46-1,"")))</f>
        <v/>
      </c>
      <c r="M48" s="15">
        <f>IF(OR(M46="",I46=""),"",IF(I46&lt;=0,"",IFERROR(M46/I46-1,"")))</f>
        <v/>
      </c>
      <c r="N48" s="15">
        <f>IF(OR(N46="",J46=""),"",IF(J46&lt;=0,"",IFERROR(N46/J46-1,"")))</f>
        <v/>
      </c>
      <c r="O48" s="14" t="n"/>
      <c r="P48" s="15">
        <f>IF(OR(P46="",O46=""),"",IF(O46&lt;=0,"",IFERROR(P46/O46-1,"")))</f>
        <v/>
      </c>
      <c r="Q48" s="15">
        <f>IF(OR(Q46="",P46=""),"",IF(P46&lt;=0,"",IFERROR(Q46/P46-1,"")))</f>
        <v/>
      </c>
      <c r="R48" s="15">
        <f>IF(OR(R46="",Q46=""),"",IF(Q46&lt;=0,"",IFERROR(R46/Q46-1,"")))</f>
        <v/>
      </c>
      <c r="S48" s="15">
        <f>IF(OR(S46="",R46=""),"",IF(R46&lt;=0,"",IFERROR(S46/R46-1,"")))</f>
        <v/>
      </c>
      <c r="T48" s="15">
        <f>IF(OR(T46="",S46=""),"",IF(S46&lt;=0,"",IFERROR(T46/S46-1,"")))</f>
        <v/>
      </c>
      <c r="U48" s="15">
        <f>IF(OR(U46="",T46=""),"",IF(T46&lt;=0,"",IFERROR(U46/T46-1,"")))</f>
        <v/>
      </c>
      <c r="V48" s="15">
        <f>IF(OR(V46="",U46=""),"",IF(U46&lt;=0,"",IFERROR(V46/U46-1,"")))</f>
        <v/>
      </c>
      <c r="W48" s="15">
        <f>IF(OR(W46="",V46=""),"",IF(V46&lt;=0,"",IFERROR(W46/V46-1,"")))</f>
        <v/>
      </c>
      <c r="X48" s="15">
        <f>IF(OR(X46="",W46=""),"",IF(W46&lt;=0,"",IFERROR(X46/W46-1,"")))</f>
        <v/>
      </c>
      <c r="Y48" s="14">
        <f>IF(OR(Y46="",X46=""),"",IF(X46&lt;=0,"",IFERROR(Y46/X46-1,"")))</f>
        <v/>
      </c>
      <c r="Z48" s="15">
        <f>IF(OR(Z46="",Y46=""),"",IF(Y46&lt;=0,"",IFERROR(Z46/Y46-1,"")))</f>
        <v/>
      </c>
      <c r="AA48" s="15">
        <f>IF(OR(AA46="",Z46=""),"",IF(Z46&lt;=0,"",IFERROR(AA46/Z46-1,"")))</f>
        <v/>
      </c>
      <c r="AB48" s="15">
        <f>IF(OR(AB46="",AA46=""),"",IF(AA46&lt;=0,"",IFERROR(AB46/AA46-1,"")))</f>
        <v/>
      </c>
      <c r="AC48" s="15">
        <f>IF(OR(AC46="",AB46=""),"",IF(AB46&lt;=0,"",IFERROR(AC46/AB46-1,"")))</f>
        <v/>
      </c>
    </row>
    <row r="49">
      <c r="A49" s="23" t="inlineStr">
        <is>
          <t>판매관리비</t>
        </is>
      </c>
      <c r="B49" s="23" t="n"/>
      <c r="C49" s="24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4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4" t="n"/>
      <c r="Z49" s="23" t="n"/>
      <c r="AA49" s="23" t="n"/>
      <c r="AB49" s="23" t="n"/>
      <c r="AC49" s="23" t="n"/>
    </row>
    <row r="50">
      <c r="A50" s="18" t="inlineStr">
        <is>
          <t>전체 판관비</t>
        </is>
      </c>
      <c r="B50" s="10" t="n"/>
      <c r="C50" s="19" t="n">
        <v>418.065</v>
      </c>
      <c r="D50" s="20" t="n">
        <v>506.215</v>
      </c>
      <c r="E50" s="20" t="n">
        <v>501.056</v>
      </c>
      <c r="F50" s="20" t="n">
        <v>489.828</v>
      </c>
      <c r="G50" s="20" t="n">
        <v>405.436</v>
      </c>
      <c r="H50" s="20" t="n">
        <v>432.599</v>
      </c>
      <c r="I50" s="20" t="n">
        <v>428.532</v>
      </c>
      <c r="J50" s="20" t="n">
        <v>482.459</v>
      </c>
      <c r="K50" s="20" t="n">
        <v>460.123</v>
      </c>
      <c r="L50" s="20" t="n">
        <v>491.328</v>
      </c>
      <c r="M50" s="20" t="n">
        <v>509.173</v>
      </c>
      <c r="N50" s="20" t="n">
        <v>510.792</v>
      </c>
      <c r="O50" s="19" t="n">
        <v>1538.773</v>
      </c>
      <c r="P50" s="20" t="n">
        <v>1617.152</v>
      </c>
      <c r="Q50" s="20" t="n">
        <v>1491.312</v>
      </c>
      <c r="R50" s="20" t="n">
        <v>1422.738</v>
      </c>
      <c r="S50" s="20" t="n">
        <v>1314.861</v>
      </c>
      <c r="T50" s="20" t="n">
        <v>1392.159</v>
      </c>
      <c r="U50" s="20" t="n">
        <v>1584.694</v>
      </c>
      <c r="V50" s="20" t="n">
        <v>1777.501</v>
      </c>
      <c r="W50" s="20" t="n">
        <v>1828.919</v>
      </c>
      <c r="X50" s="20" t="n">
        <v>1862.442</v>
      </c>
      <c r="Y50" s="19" t="n"/>
      <c r="Z50" s="20" t="n"/>
      <c r="AA50" s="20" t="n"/>
      <c r="AB50" s="20" t="n"/>
      <c r="AC50" s="20" t="n"/>
    </row>
    <row r="51">
      <c r="A51" s="13" t="inlineStr">
        <is>
          <t>YoY</t>
        </is>
      </c>
      <c r="B51" s="10" t="n"/>
      <c r="C51" s="14" t="n"/>
      <c r="D51" s="15" t="n"/>
      <c r="E51" s="15" t="n"/>
      <c r="F51" s="15" t="n"/>
      <c r="G51" s="15">
        <f>IF(OR(G50="",C50=""),"",IF(C50&lt;=0,"",IFERROR(G50/C50-1,"")))</f>
        <v/>
      </c>
      <c r="H51" s="15">
        <f>IF(OR(H50="",D50=""),"",IF(D50&lt;=0,"",IFERROR(H50/D50-1,"")))</f>
        <v/>
      </c>
      <c r="I51" s="15">
        <f>IF(OR(I50="",E50=""),"",IF(E50&lt;=0,"",IFERROR(I50/E50-1,"")))</f>
        <v/>
      </c>
      <c r="J51" s="15">
        <f>IF(OR(J50="",F50=""),"",IF(F50&lt;=0,"",IFERROR(J50/F50-1,"")))</f>
        <v/>
      </c>
      <c r="K51" s="15">
        <f>IF(OR(K50="",G50=""),"",IF(G50&lt;=0,"",IFERROR(K50/G50-1,"")))</f>
        <v/>
      </c>
      <c r="L51" s="15">
        <f>IF(OR(L50="",H50=""),"",IF(H50&lt;=0,"",IFERROR(L50/H50-1,"")))</f>
        <v/>
      </c>
      <c r="M51" s="15">
        <f>IF(OR(M50="",I50=""),"",IF(I50&lt;=0,"",IFERROR(M50/I50-1,"")))</f>
        <v/>
      </c>
      <c r="N51" s="15">
        <f>IF(OR(N50="",J50=""),"",IF(J50&lt;=0,"",IFERROR(N50/J50-1,"")))</f>
        <v/>
      </c>
      <c r="O51" s="14" t="n"/>
      <c r="P51" s="15">
        <f>IF(OR(P50="",O50=""),"",IF(O50&lt;=0,"",IFERROR(P50/O50-1,"")))</f>
        <v/>
      </c>
      <c r="Q51" s="15">
        <f>IF(OR(Q50="",P50=""),"",IF(P50&lt;=0,"",IFERROR(Q50/P50-1,"")))</f>
        <v/>
      </c>
      <c r="R51" s="15">
        <f>IF(OR(R50="",Q50=""),"",IF(Q50&lt;=0,"",IFERROR(R50/Q50-1,"")))</f>
        <v/>
      </c>
      <c r="S51" s="15">
        <f>IF(OR(S50="",R50=""),"",IF(R50&lt;=0,"",IFERROR(S50/R50-1,"")))</f>
        <v/>
      </c>
      <c r="T51" s="15">
        <f>IF(OR(T50="",S50=""),"",IF(S50&lt;=0,"",IFERROR(T50/S50-1,"")))</f>
        <v/>
      </c>
      <c r="U51" s="15">
        <f>IF(OR(U50="",T50=""),"",IF(T50&lt;=0,"",IFERROR(U50/T50-1,"")))</f>
        <v/>
      </c>
      <c r="V51" s="15">
        <f>IF(OR(V50="",U50=""),"",IF(U50&lt;=0,"",IFERROR(V50/U50-1,"")))</f>
        <v/>
      </c>
      <c r="W51" s="15">
        <f>IF(OR(W50="",V50=""),"",IF(V50&lt;=0,"",IFERROR(W50/V50-1,"")))</f>
        <v/>
      </c>
      <c r="X51" s="15">
        <f>IF(OR(X50="",W50=""),"",IF(W50&lt;=0,"",IFERROR(X50/W50-1,"")))</f>
        <v/>
      </c>
      <c r="Y51" s="14">
        <f>IF(OR(Y50="",X50=""),"",IF(X50&lt;=0,"",IFERROR(Y50/X50-1,"")))</f>
        <v/>
      </c>
      <c r="Z51" s="15">
        <f>IF(OR(Z50="",Y50=""),"",IF(Y50&lt;=0,"",IFERROR(Z50/Y50-1,"")))</f>
        <v/>
      </c>
      <c r="AA51" s="15">
        <f>IF(OR(AA50="",Z50=""),"",IF(Z50&lt;=0,"",IFERROR(AA50/Z50-1,"")))</f>
        <v/>
      </c>
      <c r="AB51" s="15">
        <f>IF(OR(AB50="",AA50=""),"",IF(AA50&lt;=0,"",IFERROR(AB50/AA50-1,"")))</f>
        <v/>
      </c>
      <c r="AC51" s="15">
        <f>IF(OR(AC50="",AB50=""),"",IF(AB50&lt;=0,"",IFERROR(AC50/AB50-1,"")))</f>
        <v/>
      </c>
    </row>
    <row r="52">
      <c r="A52" s="9" t="inlineStr">
        <is>
          <t>영업이익</t>
        </is>
      </c>
      <c r="B52" s="10" t="inlineStr">
        <is>
          <t>MW = 매출 × OPM</t>
        </is>
      </c>
      <c r="C52" s="11" t="n">
        <v>324.302</v>
      </c>
      <c r="D52" s="12" t="n">
        <v>-181.186</v>
      </c>
      <c r="E52" s="12" t="n">
        <v>308.94</v>
      </c>
      <c r="F52" s="12" t="n">
        <v>357.652</v>
      </c>
      <c r="G52" s="12" t="n">
        <v>-35.469</v>
      </c>
      <c r="H52" s="12" t="n">
        <v>254.182</v>
      </c>
      <c r="I52" s="12" t="n">
        <v>320.804</v>
      </c>
      <c r="J52" s="12" t="n">
        <v>203.545</v>
      </c>
      <c r="K52" s="12" t="n">
        <v>211.503</v>
      </c>
      <c r="L52" s="12" t="n">
        <v>369.692</v>
      </c>
      <c r="M52" s="12" t="n">
        <v>366.027</v>
      </c>
      <c r="N52" s="12" t="n">
        <v>341.163</v>
      </c>
      <c r="O52" s="11" t="n">
        <v>501.24</v>
      </c>
      <c r="P52" s="12" t="n">
        <v>895.381</v>
      </c>
      <c r="Q52" s="12" t="n">
        <v>782.03</v>
      </c>
      <c r="R52" s="12" t="n">
        <v>639.116</v>
      </c>
      <c r="S52" s="12" t="n">
        <v>224.05</v>
      </c>
      <c r="T52" s="12" t="n">
        <v>1084.437</v>
      </c>
      <c r="U52" s="12" t="n">
        <v>1169.028</v>
      </c>
      <c r="V52" s="12" t="n">
        <v>904.064</v>
      </c>
      <c r="W52" s="12" t="n">
        <v>885.3049999999999</v>
      </c>
      <c r="X52" s="12" t="n">
        <v>1105.544</v>
      </c>
      <c r="Y52" s="11">
        <f>IF(OR(Y4="",Y53=""),"",IFERROR(Y4*Y53,""))</f>
        <v/>
      </c>
      <c r="Z52" s="12">
        <f>IF(OR(Z4="",Z53=""),"",IFERROR(Z4*Z53,""))</f>
        <v/>
      </c>
      <c r="AA52" s="12">
        <f>IF(OR(AA4="",AA53=""),"",IFERROR(AA4*AA53,""))</f>
        <v/>
      </c>
      <c r="AB52" s="12">
        <f>IF(OR(AB4="",AB53=""),"",IFERROR(AB4*AB53,""))</f>
        <v/>
      </c>
      <c r="AC52" s="12">
        <f>IF(OR(AC4="",AC53=""),"",IFERROR(AC4*AC53,""))</f>
        <v/>
      </c>
    </row>
    <row r="53">
      <c r="A53" s="13" t="inlineStr">
        <is>
          <t>OPM</t>
        </is>
      </c>
      <c r="B53" s="10" t="inlineStr">
        <is>
          <t>MW 입력</t>
        </is>
      </c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 t="n"/>
      <c r="Z53" s="26" t="n"/>
      <c r="AA53" s="26" t="n"/>
      <c r="AB53" s="26" t="n"/>
      <c r="AC53" s="26" t="n"/>
    </row>
    <row r="54">
      <c r="A54" s="13" t="inlineStr">
        <is>
          <t>증가율</t>
        </is>
      </c>
      <c r="B54" s="10" t="n"/>
      <c r="C54" s="14" t="n"/>
      <c r="D54" s="15" t="n"/>
      <c r="E54" s="15" t="n"/>
      <c r="F54" s="15" t="n"/>
      <c r="G54" s="15">
        <f>IF(OR(G52="",C52=""),"",IFERROR(G52/C52-1,""))</f>
        <v/>
      </c>
      <c r="H54" s="15">
        <f>IF(OR(H52="",D52=""),"",IFERROR(H52/D52-1,""))</f>
        <v/>
      </c>
      <c r="I54" s="15">
        <f>IF(OR(I52="",E52=""),"",IFERROR(I52/E52-1,""))</f>
        <v/>
      </c>
      <c r="J54" s="15">
        <f>IF(OR(J52="",F52=""),"",IFERROR(J52/F52-1,""))</f>
        <v/>
      </c>
      <c r="K54" s="15">
        <f>IF(OR(K52="",G52=""),"",IFERROR(K52/G52-1,""))</f>
        <v/>
      </c>
      <c r="L54" s="15">
        <f>IF(OR(L52="",H52=""),"",IFERROR(L52/H52-1,""))</f>
        <v/>
      </c>
      <c r="M54" s="15">
        <f>IF(OR(M52="",I52=""),"",IFERROR(M52/I52-1,""))</f>
        <v/>
      </c>
      <c r="N54" s="15">
        <f>IF(OR(N52="",J52=""),"",IFERROR(N52/J52-1,""))</f>
        <v/>
      </c>
      <c r="O54" s="14" t="n"/>
      <c r="P54" s="15">
        <f>IF(OR(P52="",O52=""),"",IFERROR(P52/O52-1,""))</f>
        <v/>
      </c>
      <c r="Q54" s="15">
        <f>IF(OR(Q52="",P52=""),"",IFERROR(Q52/P52-1,""))</f>
        <v/>
      </c>
      <c r="R54" s="15">
        <f>IF(OR(R52="",Q52=""),"",IFERROR(R52/Q52-1,""))</f>
        <v/>
      </c>
      <c r="S54" s="15">
        <f>IF(OR(S52="",R52=""),"",IFERROR(S52/R52-1,""))</f>
        <v/>
      </c>
      <c r="T54" s="15">
        <f>IF(OR(T52="",S52=""),"",IFERROR(T52/S52-1,""))</f>
        <v/>
      </c>
      <c r="U54" s="15">
        <f>IF(OR(U52="",T52=""),"",IFERROR(U52/T52-1,""))</f>
        <v/>
      </c>
      <c r="V54" s="15">
        <f>IF(OR(V52="",U52=""),"",IFERROR(V52/U52-1,""))</f>
        <v/>
      </c>
      <c r="W54" s="15">
        <f>IF(OR(W52="",V52=""),"",IFERROR(W52/V52-1,""))</f>
        <v/>
      </c>
      <c r="X54" s="15">
        <f>IF(OR(X52="",W52=""),"",IFERROR(X52/W52-1,""))</f>
        <v/>
      </c>
      <c r="Y54" s="14">
        <f>IF(OR(Y52="",X52=""),"",IFERROR(Y52/X52-1,""))</f>
        <v/>
      </c>
      <c r="Z54" s="15">
        <f>IF(OR(Z52="",Y52=""),"",IFERROR(Z52/Y52-1,""))</f>
        <v/>
      </c>
      <c r="AA54" s="15">
        <f>IF(OR(AA52="",Z52=""),"",IFERROR(AA52/Z52-1,""))</f>
        <v/>
      </c>
      <c r="AB54" s="15">
        <f>IF(OR(AB52="",AA52=""),"",IFERROR(AB52/AA52-1,""))</f>
        <v/>
      </c>
      <c r="AC54" s="15">
        <f>IF(OR(AC52="",AB52=""),"",IFERROR(AC52/AB52-1,""))</f>
        <v/>
      </c>
    </row>
    <row r="55">
      <c r="A55" s="16" t="inlineStr">
        <is>
          <t>비용의 성격별 분류</t>
        </is>
      </c>
      <c r="B55" s="16" t="inlineStr">
        <is>
          <t>참고 데이터</t>
        </is>
      </c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9" t="inlineStr">
        <is>
          <t>총 판관비</t>
        </is>
      </c>
      <c r="B56" s="10" t="n"/>
      <c r="C56" s="11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1">
        <f>IF(O50="","",O50)</f>
        <v/>
      </c>
      <c r="P56" s="12">
        <f>IF(P50="","",P50)</f>
        <v/>
      </c>
      <c r="Q56" s="12">
        <f>IF(Q50="","",Q50)</f>
        <v/>
      </c>
      <c r="R56" s="12">
        <f>IF(R50="","",R50)</f>
        <v/>
      </c>
      <c r="S56" s="12">
        <f>IF(S50="","",S50)</f>
        <v/>
      </c>
      <c r="T56" s="12">
        <f>IF(T50="","",T50)</f>
        <v/>
      </c>
      <c r="U56" s="12">
        <f>IF(U50="","",U50)</f>
        <v/>
      </c>
      <c r="V56" s="12">
        <f>IF(V50="","",V50)</f>
        <v/>
      </c>
      <c r="W56" s="12">
        <f>IF(W50="","",W50)</f>
        <v/>
      </c>
      <c r="X56" s="12">
        <f>IF(X50="","",X50)</f>
        <v/>
      </c>
      <c r="Y56" s="11" t="n"/>
      <c r="Z56" s="12" t="n"/>
      <c r="AA56" s="12" t="n"/>
      <c r="AB56" s="12" t="n"/>
      <c r="AC56" s="12" t="n"/>
    </row>
    <row r="57">
      <c r="A57" s="18" t="inlineStr">
        <is>
          <t>급여</t>
        </is>
      </c>
      <c r="B57" s="10" t="inlineStr">
        <is>
          <t>고정비</t>
        </is>
      </c>
      <c r="C57" s="19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19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19" t="n"/>
      <c r="Z57" s="20" t="n"/>
      <c r="AA57" s="20" t="n"/>
      <c r="AB57" s="20" t="n"/>
      <c r="AC57" s="20" t="n"/>
    </row>
    <row r="58">
      <c r="A58" s="13" t="inlineStr">
        <is>
          <t>% of Sales</t>
        </is>
      </c>
      <c r="B58" s="10" t="n"/>
      <c r="C58" s="14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4">
        <f>IF(OR(O57="",O4=""),"",IFERROR(O57/O4,""))</f>
        <v/>
      </c>
      <c r="P58" s="15">
        <f>IF(OR(P57="",P4=""),"",IFERROR(P57/P4,""))</f>
        <v/>
      </c>
      <c r="Q58" s="15">
        <f>IF(OR(Q57="",Q4=""),"",IFERROR(Q57/Q4,""))</f>
        <v/>
      </c>
      <c r="R58" s="15">
        <f>IF(OR(R57="",R4=""),"",IFERROR(R57/R4,""))</f>
        <v/>
      </c>
      <c r="S58" s="15">
        <f>IF(OR(S57="",S4=""),"",IFERROR(S57/S4,""))</f>
        <v/>
      </c>
      <c r="T58" s="15">
        <f>IF(OR(T57="",T4=""),"",IFERROR(T57/T4,""))</f>
        <v/>
      </c>
      <c r="U58" s="15">
        <f>IF(OR(U57="",U4=""),"",IFERROR(U57/U4,""))</f>
        <v/>
      </c>
      <c r="V58" s="15">
        <f>IF(OR(V57="",V4=""),"",IFERROR(V57/V4,""))</f>
        <v/>
      </c>
      <c r="W58" s="15">
        <f>IF(OR(W57="",W4=""),"",IFERROR(W57/W4,""))</f>
        <v/>
      </c>
      <c r="X58" s="15">
        <f>IF(OR(X57="",X4=""),"",IFERROR(X57/X4,""))</f>
        <v/>
      </c>
      <c r="Y58" s="14" t="n"/>
      <c r="Z58" s="15" t="n"/>
      <c r="AA58" s="15" t="n"/>
      <c r="AB58" s="15" t="n"/>
      <c r="AC58" s="15" t="n"/>
    </row>
    <row r="59">
      <c r="A59" s="18" t="inlineStr">
        <is>
          <t>감가상각비</t>
        </is>
      </c>
      <c r="B59" s="10" t="inlineStr">
        <is>
          <t>고정비</t>
        </is>
      </c>
      <c r="C59" s="19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19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19" t="n"/>
      <c r="Z59" s="20" t="n"/>
      <c r="AA59" s="20" t="n"/>
      <c r="AB59" s="20" t="n"/>
      <c r="AC59" s="20" t="n"/>
    </row>
    <row r="60">
      <c r="A60" s="13" t="inlineStr">
        <is>
          <t>% of Sales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14" t="n"/>
      <c r="Z60" s="15" t="n"/>
      <c r="AA60" s="15" t="n"/>
      <c r="AB60" s="15" t="n"/>
      <c r="AC60" s="15" t="n"/>
    </row>
    <row r="61">
      <c r="A61" s="18" t="inlineStr">
        <is>
          <t>지급수수료</t>
        </is>
      </c>
      <c r="B61" s="10" t="inlineStr">
        <is>
          <t>고정비</t>
        </is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% of Sales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IF(OR(O61="",O4=""),"",IFERROR(O61/O4,""))</f>
        <v/>
      </c>
      <c r="P62" s="15">
        <f>IF(OR(P61="",P4=""),"",IFERROR(P61/P4,""))</f>
        <v/>
      </c>
      <c r="Q62" s="15">
        <f>IF(OR(Q61="",Q4=""),"",IFERROR(Q61/Q4,""))</f>
        <v/>
      </c>
      <c r="R62" s="15">
        <f>IF(OR(R61="",R4=""),"",IFERROR(R61/R4,""))</f>
        <v/>
      </c>
      <c r="S62" s="15">
        <f>IF(OR(S61="",S4=""),"",IFERROR(S61/S4,""))</f>
        <v/>
      </c>
      <c r="T62" s="15">
        <f>IF(OR(T61="",T4=""),"",IFERROR(T61/T4,""))</f>
        <v/>
      </c>
      <c r="U62" s="15">
        <f>IF(OR(U61="",U4=""),"",IFERROR(U61/U4,""))</f>
        <v/>
      </c>
      <c r="V62" s="15">
        <f>IF(OR(V61="",V4=""),"",IFERROR(V61/V4,""))</f>
        <v/>
      </c>
      <c r="W62" s="15">
        <f>IF(OR(W61="",W4=""),"",IFERROR(W61/W4,""))</f>
        <v/>
      </c>
      <c r="X62" s="15">
        <f>IF(OR(X61="",X4=""),"",IFERROR(X61/X4,""))</f>
        <v/>
      </c>
      <c r="Y62" s="14" t="n"/>
      <c r="Z62" s="15" t="n"/>
      <c r="AA62" s="15" t="n"/>
      <c r="AB62" s="15" t="n"/>
      <c r="AC62" s="15" t="n"/>
    </row>
    <row r="63">
      <c r="A63" s="18" t="inlineStr">
        <is>
          <t>연구개발비</t>
        </is>
      </c>
      <c r="B63" s="10" t="inlineStr">
        <is>
          <t>변동비</t>
        </is>
      </c>
      <c r="C63" s="19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19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19" t="n"/>
      <c r="Z63" s="20" t="n"/>
      <c r="AA63" s="20" t="n"/>
      <c r="AB63" s="20" t="n"/>
      <c r="AC63" s="20" t="n"/>
    </row>
    <row r="64">
      <c r="A64" s="13" t="inlineStr">
        <is>
          <t>% of Sales</t>
        </is>
      </c>
      <c r="B64" s="10" t="n"/>
      <c r="C64" s="14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4">
        <f>IF(OR(O63="",O4=""),"",IFERROR(O63/O4,""))</f>
        <v/>
      </c>
      <c r="P64" s="15">
        <f>IF(OR(P63="",P4=""),"",IFERROR(P63/P4,""))</f>
        <v/>
      </c>
      <c r="Q64" s="15">
        <f>IF(OR(Q63="",Q4=""),"",IFERROR(Q63/Q4,""))</f>
        <v/>
      </c>
      <c r="R64" s="15">
        <f>IF(OR(R63="",R4=""),"",IFERROR(R63/R4,""))</f>
        <v/>
      </c>
      <c r="S64" s="15">
        <f>IF(OR(S63="",S4=""),"",IFERROR(S63/S4,""))</f>
        <v/>
      </c>
      <c r="T64" s="15">
        <f>IF(OR(T63="",T4=""),"",IFERROR(T63/T4,""))</f>
        <v/>
      </c>
      <c r="U64" s="15">
        <f>IF(OR(U63="",U4=""),"",IFERROR(U63/U4,""))</f>
        <v/>
      </c>
      <c r="V64" s="15">
        <f>IF(OR(V63="",V4=""),"",IFERROR(V63/V4,""))</f>
        <v/>
      </c>
      <c r="W64" s="15">
        <f>IF(OR(W63="",W4=""),"",IFERROR(W63/W4,""))</f>
        <v/>
      </c>
      <c r="X64" s="15">
        <f>IF(OR(X63="",X4=""),"",IFERROR(X63/X4,""))</f>
        <v/>
      </c>
      <c r="Y64" s="14" t="n"/>
      <c r="Z64" s="15" t="n"/>
      <c r="AA64" s="15" t="n"/>
      <c r="AB64" s="15" t="n"/>
      <c r="AC64" s="15" t="n"/>
    </row>
    <row r="65">
      <c r="A65" s="18" t="inlineStr">
        <is>
          <t>기타비용</t>
        </is>
      </c>
      <c r="B65" s="10" t="inlineStr">
        <is>
          <t>변동비</t>
        </is>
      </c>
      <c r="C65" s="19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19">
        <f>IF(OR(O56="",O57="",O59="",O61="",O63=""),"",IFERROR(O56-O57-O59-O61-O63,""))</f>
        <v/>
      </c>
      <c r="P65" s="20">
        <f>IF(OR(P56="",P57="",P59="",P61="",P63=""),"",IFERROR(P56-P57-P59-P61-P63,""))</f>
        <v/>
      </c>
      <c r="Q65" s="20">
        <f>IF(OR(Q56="",Q57="",Q59="",Q61="",Q63=""),"",IFERROR(Q56-Q57-Q59-Q61-Q63,""))</f>
        <v/>
      </c>
      <c r="R65" s="20">
        <f>IF(OR(R56="",R57="",R59="",R61="",R63=""),"",IFERROR(R56-R57-R59-R61-R63,""))</f>
        <v/>
      </c>
      <c r="S65" s="20">
        <f>IF(OR(S56="",S57="",S59="",S61="",S63=""),"",IFERROR(S56-S57-S59-S61-S63,""))</f>
        <v/>
      </c>
      <c r="T65" s="20">
        <f>IF(OR(T56="",T57="",T59="",T61="",T63=""),"",IFERROR(T56-T57-T59-T61-T63,""))</f>
        <v/>
      </c>
      <c r="U65" s="20">
        <f>IF(OR(U56="",U57="",U59="",U61="",U63=""),"",IFERROR(U56-U57-U59-U61-U63,""))</f>
        <v/>
      </c>
      <c r="V65" s="20">
        <f>IF(OR(V56="",V57="",V59="",V61="",V63=""),"",IFERROR(V56-V57-V59-V61-V63,""))</f>
        <v/>
      </c>
      <c r="W65" s="20">
        <f>IF(OR(W56="",W57="",W59="",W61="",W63=""),"",IFERROR(W56-W57-W59-W61-W63,""))</f>
        <v/>
      </c>
      <c r="X65" s="20">
        <f>IF(OR(X56="",X57="",X59="",X61="",X63=""),"",IFERROR(X56-X57-X59-X61-X63,""))</f>
        <v/>
      </c>
      <c r="Y65" s="19" t="n"/>
      <c r="Z65" s="20" t="n"/>
      <c r="AA65" s="20" t="n"/>
      <c r="AB65" s="20" t="n"/>
      <c r="AC65" s="20" t="n"/>
    </row>
    <row r="66">
      <c r="A66" s="13" t="inlineStr">
        <is>
          <t>% of Sales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>
        <f>IF(OR(O65="",O4=""),"",IFERROR(O65/O4,""))</f>
        <v/>
      </c>
      <c r="P66" s="15">
        <f>IF(OR(P65="",P4=""),"",IFERROR(P65/P4,""))</f>
        <v/>
      </c>
      <c r="Q66" s="15">
        <f>IF(OR(Q65="",Q4=""),"",IFERROR(Q65/Q4,""))</f>
        <v/>
      </c>
      <c r="R66" s="15">
        <f>IF(OR(R65="",R4=""),"",IFERROR(R65/R4,""))</f>
        <v/>
      </c>
      <c r="S66" s="15">
        <f>IF(OR(S65="",S4=""),"",IFERROR(S65/S4,""))</f>
        <v/>
      </c>
      <c r="T66" s="15">
        <f>IF(OR(T65="",T4=""),"",IFERROR(T65/T4,""))</f>
        <v/>
      </c>
      <c r="U66" s="15">
        <f>IF(OR(U65="",U4=""),"",IFERROR(U65/U4,""))</f>
        <v/>
      </c>
      <c r="V66" s="15">
        <f>IF(OR(V65="",V4=""),"",IFERROR(V65/V4,""))</f>
        <v/>
      </c>
      <c r="W66" s="15">
        <f>IF(OR(W65="",W4=""),"",IFERROR(W65/W4,""))</f>
        <v/>
      </c>
      <c r="X66" s="15">
        <f>IF(OR(X65="",X4=""),"",IFERROR(X65/X4,""))</f>
        <v/>
      </c>
      <c r="Y66" s="14" t="n"/>
      <c r="Z66" s="15" t="n"/>
      <c r="AA66" s="15" t="n"/>
      <c r="AB66" s="15" t="n"/>
      <c r="AC66" s="15" t="n"/>
    </row>
    <row r="67">
      <c r="A67" s="16" t="inlineStr">
        <is>
          <t>당기순이익 추정</t>
        </is>
      </c>
      <c r="B67" s="16" t="n"/>
      <c r="C67" s="17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7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7" t="n"/>
      <c r="Z67" s="16" t="n"/>
      <c r="AA67" s="16" t="n"/>
      <c r="AB67" s="16" t="n"/>
      <c r="AC67" s="16" t="n"/>
    </row>
    <row r="68">
      <c r="A68" s="18" t="inlineStr">
        <is>
          <t>특별이익</t>
        </is>
      </c>
      <c r="B68" s="10" t="n"/>
      <c r="C68" s="19" t="n">
        <v>90.396</v>
      </c>
      <c r="D68" s="20" t="n">
        <v>1712.268</v>
      </c>
      <c r="E68" s="20" t="n">
        <v>0</v>
      </c>
      <c r="F68" s="20" t="n">
        <v>27.292</v>
      </c>
      <c r="G68" s="20" t="n">
        <v>18.193</v>
      </c>
      <c r="H68" s="20" t="n">
        <v>210.842</v>
      </c>
      <c r="I68" s="20" t="n">
        <v>1.483</v>
      </c>
      <c r="J68" s="20" t="n">
        <v>42.661</v>
      </c>
      <c r="K68" s="20" t="n">
        <v>-15.298</v>
      </c>
      <c r="L68" s="20" t="n">
        <v>67.121</v>
      </c>
      <c r="M68" s="20" t="n">
        <v>0</v>
      </c>
      <c r="N68" s="20" t="n">
        <v>57.509</v>
      </c>
      <c r="O68" s="19" t="n">
        <v>6.886</v>
      </c>
      <c r="P68" s="20" t="n">
        <v>0.421</v>
      </c>
      <c r="Q68" s="20" t="n">
        <v>0.016</v>
      </c>
      <c r="R68" s="20" t="n">
        <v>3.027</v>
      </c>
      <c r="S68" s="20" t="n">
        <v>101.493</v>
      </c>
      <c r="T68" s="20" t="n">
        <v>2.047</v>
      </c>
      <c r="U68" s="20" t="n">
        <v>369.199</v>
      </c>
      <c r="V68" s="20" t="n">
        <v>1803.379</v>
      </c>
      <c r="W68" s="20" t="n">
        <v>256.327</v>
      </c>
      <c r="X68" s="20" t="n">
        <v>95.967</v>
      </c>
      <c r="Y68" s="19">
        <f>IF(OR(Y4="",Y69=""),"",IFERROR(Y4*Y69,""))</f>
        <v/>
      </c>
      <c r="Z68" s="20">
        <f>IF(OR(Z4="",Z69=""),"",IFERROR(Z4*Z69,""))</f>
        <v/>
      </c>
      <c r="AA68" s="20">
        <f>IF(OR(AA4="",AA69=""),"",IFERROR(AA4*AA69,""))</f>
        <v/>
      </c>
      <c r="AB68" s="20">
        <f>IF(OR(AB4="",AB69=""),"",IFERROR(AB4*AB69,""))</f>
        <v/>
      </c>
      <c r="AC68" s="20">
        <f>IF(OR(AC4="",AC69=""),"",IFERROR(AC4*AC69,""))</f>
        <v/>
      </c>
    </row>
    <row r="69">
      <c r="A69" s="13" t="inlineStr">
        <is>
          <t>% of Sales</t>
        </is>
      </c>
      <c r="B69" s="10" t="inlineStr">
        <is>
          <t>MW = 최근 3년 평균</t>
        </is>
      </c>
      <c r="C69" s="14">
        <f>IF(OR(C68="",C4=""),"",IFERROR(C68/C4,""))</f>
        <v/>
      </c>
      <c r="D69" s="15">
        <f>IF(OR(D68="",D4=""),"",IFERROR(D68/D4,""))</f>
        <v/>
      </c>
      <c r="E69" s="15">
        <f>IF(OR(E68="",E4=""),"",IFERROR(E68/E4,""))</f>
        <v/>
      </c>
      <c r="F69" s="15">
        <f>IF(OR(F68="",F4=""),"",IFERROR(F68/F4,""))</f>
        <v/>
      </c>
      <c r="G69" s="15">
        <f>IF(OR(G68="",G4=""),"",IFERROR(G68/G4,""))</f>
        <v/>
      </c>
      <c r="H69" s="15">
        <f>IF(OR(H68="",H4=""),"",IFERROR(H68/H4,""))</f>
        <v/>
      </c>
      <c r="I69" s="15">
        <f>IF(OR(I68="",I4=""),"",IFERROR(I68/I4,""))</f>
        <v/>
      </c>
      <c r="J69" s="15">
        <f>IF(OR(J68="",J4=""),"",IFERROR(J68/J4,""))</f>
        <v/>
      </c>
      <c r="K69" s="15">
        <f>IF(OR(K68="",K4=""),"",IFERROR(K68/K4,""))</f>
        <v/>
      </c>
      <c r="L69" s="15">
        <f>IF(OR(L68="",L4=""),"",IFERROR(L68/L4,""))</f>
        <v/>
      </c>
      <c r="M69" s="15">
        <f>IF(OR(M68="",M4=""),"",IFERROR(M68/M4,""))</f>
        <v/>
      </c>
      <c r="N69" s="15">
        <f>IF(OR(N68="",N4=""),"",IFERROR(N68/N4,""))</f>
        <v/>
      </c>
      <c r="O69" s="14">
        <f>IF(OR(O68="",O4=""),"",IFERROR(O68/O4,""))</f>
        <v/>
      </c>
      <c r="P69" s="15">
        <f>IF(OR(P68="",P4=""),"",IFERROR(P68/P4,""))</f>
        <v/>
      </c>
      <c r="Q69" s="15">
        <f>IF(OR(Q68="",Q4=""),"",IFERROR(Q68/Q4,""))</f>
        <v/>
      </c>
      <c r="R69" s="15">
        <f>IF(OR(R68="",R4=""),"",IFERROR(R68/R4,""))</f>
        <v/>
      </c>
      <c r="S69" s="15">
        <f>IF(OR(S68="",S4=""),"",IFERROR(S68/S4,""))</f>
        <v/>
      </c>
      <c r="T69" s="15">
        <f>IF(OR(T68="",T4=""),"",IFERROR(T68/T4,""))</f>
        <v/>
      </c>
      <c r="U69" s="15">
        <f>IF(OR(U68="",U4=""),"",IFERROR(U68/U4,""))</f>
        <v/>
      </c>
      <c r="V69" s="15">
        <f>IF(OR(V68="",V4=""),"",IFERROR(V68/V4,""))</f>
        <v/>
      </c>
      <c r="W69" s="15">
        <f>IF(OR(W68="",W4=""),"",IFERROR(W68/W4,""))</f>
        <v/>
      </c>
      <c r="X69" s="15">
        <f>IF(OR(X68="",X4=""),"",IFERROR(X68/X4,""))</f>
        <v/>
      </c>
      <c r="Y69" s="25">
        <f>IFERROR(AVERAGE(V69,W69,X69),"")</f>
        <v/>
      </c>
      <c r="Z69" s="26">
        <f>Y69</f>
        <v/>
      </c>
      <c r="AA69" s="26">
        <f>Z69</f>
        <v/>
      </c>
      <c r="AB69" s="26">
        <f>AA69</f>
        <v/>
      </c>
      <c r="AC69" s="26">
        <f>AB69</f>
        <v/>
      </c>
    </row>
    <row r="70">
      <c r="A70" s="18" t="inlineStr">
        <is>
          <t>특별손실</t>
        </is>
      </c>
      <c r="B70" s="10" t="n"/>
      <c r="C70" s="19" t="n">
        <v>3.353</v>
      </c>
      <c r="D70" s="20" t="n">
        <v>9.195</v>
      </c>
      <c r="E70" s="20" t="n">
        <v>3.016</v>
      </c>
      <c r="F70" s="20" t="n">
        <v>1.183</v>
      </c>
      <c r="G70" s="20" t="n">
        <v>10.392</v>
      </c>
      <c r="H70" s="20" t="n">
        <v>2.139</v>
      </c>
      <c r="I70" s="20" t="n">
        <v>0.205</v>
      </c>
      <c r="J70" s="20" t="n">
        <v>0.38</v>
      </c>
      <c r="K70" s="20" t="n">
        <v>4.205</v>
      </c>
      <c r="L70" s="20" t="n">
        <v>1.173</v>
      </c>
      <c r="M70" s="20" t="n">
        <v>0.08799999999999999</v>
      </c>
      <c r="N70" s="20" t="n">
        <v>0.362</v>
      </c>
      <c r="O70" s="19" t="n">
        <v>0.5629999999999999</v>
      </c>
      <c r="P70" s="20" t="n">
        <v>0.903</v>
      </c>
      <c r="Q70" s="20" t="n">
        <v>1.099</v>
      </c>
      <c r="R70" s="20" t="n">
        <v>22.306</v>
      </c>
      <c r="S70" s="20" t="n">
        <v>154.721</v>
      </c>
      <c r="T70" s="20" t="n">
        <v>78.422</v>
      </c>
      <c r="U70" s="20" t="n">
        <v>587.833</v>
      </c>
      <c r="V70" s="20" t="n">
        <v>15.009</v>
      </c>
      <c r="W70" s="20" t="n">
        <v>16.73</v>
      </c>
      <c r="X70" s="20" t="n">
        <v>5.963</v>
      </c>
      <c r="Y70" s="19">
        <f>IF(OR(Y4="",Y71=""),"",IFERROR(Y4*Y71,""))</f>
        <v/>
      </c>
      <c r="Z70" s="20">
        <f>IF(OR(Z4="",Z71=""),"",IFERROR(Z4*Z71,""))</f>
        <v/>
      </c>
      <c r="AA70" s="20">
        <f>IF(OR(AA4="",AA71=""),"",IFERROR(AA4*AA71,""))</f>
        <v/>
      </c>
      <c r="AB70" s="20">
        <f>IF(OR(AB4="",AB71=""),"",IFERROR(AB4*AB71,""))</f>
        <v/>
      </c>
      <c r="AC70" s="20">
        <f>IF(OR(AC4="",AC71=""),"",IFERROR(AC4*AC71,""))</f>
        <v/>
      </c>
    </row>
    <row r="71">
      <c r="A71" s="13" t="inlineStr">
        <is>
          <t>% of Sales</t>
        </is>
      </c>
      <c r="B71" s="10" t="n"/>
      <c r="C71" s="14">
        <f>IF(OR(C70="",C4=""),"",IFERROR(C70/C4,""))</f>
        <v/>
      </c>
      <c r="D71" s="15">
        <f>IF(OR(D70="",D4=""),"",IFERROR(D70/D4,""))</f>
        <v/>
      </c>
      <c r="E71" s="15">
        <f>IF(OR(E70="",E4=""),"",IFERROR(E70/E4,""))</f>
        <v/>
      </c>
      <c r="F71" s="15">
        <f>IF(OR(F70="",F4=""),"",IFERROR(F70/F4,""))</f>
        <v/>
      </c>
      <c r="G71" s="15">
        <f>IF(OR(G70="",G4=""),"",IFERROR(G70/G4,""))</f>
        <v/>
      </c>
      <c r="H71" s="15">
        <f>IF(OR(H70="",H4=""),"",IFERROR(H70/H4,""))</f>
        <v/>
      </c>
      <c r="I71" s="15">
        <f>IF(OR(I70="",I4=""),"",IFERROR(I70/I4,""))</f>
        <v/>
      </c>
      <c r="J71" s="15">
        <f>IF(OR(J70="",J4=""),"",IFERROR(J70/J4,""))</f>
        <v/>
      </c>
      <c r="K71" s="15">
        <f>IF(OR(K70="",K4=""),"",IFERROR(K70/K4,""))</f>
        <v/>
      </c>
      <c r="L71" s="15">
        <f>IF(OR(L70="",L4=""),"",IFERROR(L70/L4,""))</f>
        <v/>
      </c>
      <c r="M71" s="15">
        <f>IF(OR(M70="",M4=""),"",IFERROR(M70/M4,""))</f>
        <v/>
      </c>
      <c r="N71" s="15">
        <f>IF(OR(N70="",N4=""),"",IFERROR(N70/N4,""))</f>
        <v/>
      </c>
      <c r="O71" s="14">
        <f>IF(OR(O70="",O4=""),"",IFERROR(O70/O4,""))</f>
        <v/>
      </c>
      <c r="P71" s="15">
        <f>IF(OR(P70="",P4=""),"",IFERROR(P70/P4,""))</f>
        <v/>
      </c>
      <c r="Q71" s="15">
        <f>IF(OR(Q70="",Q4=""),"",IFERROR(Q70/Q4,""))</f>
        <v/>
      </c>
      <c r="R71" s="15">
        <f>IF(OR(R70="",R4=""),"",IFERROR(R70/R4,""))</f>
        <v/>
      </c>
      <c r="S71" s="15">
        <f>IF(OR(S70="",S4=""),"",IFERROR(S70/S4,""))</f>
        <v/>
      </c>
      <c r="T71" s="15">
        <f>IF(OR(T70="",T4=""),"",IFERROR(T70/T4,""))</f>
        <v/>
      </c>
      <c r="U71" s="15">
        <f>IF(OR(U70="",U4=""),"",IFERROR(U70/U4,""))</f>
        <v/>
      </c>
      <c r="V71" s="15">
        <f>IF(OR(V70="",V4=""),"",IFERROR(V70/V4,""))</f>
        <v/>
      </c>
      <c r="W71" s="15">
        <f>IF(OR(W70="",W4=""),"",IFERROR(W70/W4,""))</f>
        <v/>
      </c>
      <c r="X71" s="15">
        <f>IF(OR(X70="",X4=""),"",IFERROR(X70/X4,""))</f>
        <v/>
      </c>
      <c r="Y71" s="25">
        <f>IFERROR(AVERAGE(V71,W71,X71),"")</f>
        <v/>
      </c>
      <c r="Z71" s="26">
        <f>Y71</f>
        <v/>
      </c>
      <c r="AA71" s="26">
        <f>Z71</f>
        <v/>
      </c>
      <c r="AB71" s="26">
        <f>AA71</f>
        <v/>
      </c>
      <c r="AC71" s="26">
        <f>AB71</f>
        <v/>
      </c>
    </row>
    <row r="72">
      <c r="A72" s="18" t="inlineStr">
        <is>
          <t>영업외수익</t>
        </is>
      </c>
      <c r="B72" s="10" t="n"/>
      <c r="C72" s="19" t="n">
        <v>112.827</v>
      </c>
      <c r="D72" s="20" t="n">
        <v>66.642</v>
      </c>
      <c r="E72" s="20" t="n">
        <v>82.574</v>
      </c>
      <c r="F72" s="20" t="n">
        <v>22.003</v>
      </c>
      <c r="G72" s="20" t="n">
        <v>58.876</v>
      </c>
      <c r="H72" s="20" t="n">
        <v>-5.127</v>
      </c>
      <c r="I72" s="20" t="n">
        <v>80.432</v>
      </c>
      <c r="J72" s="20" t="n">
        <v>54.183</v>
      </c>
      <c r="K72" s="20" t="n">
        <v>60.447</v>
      </c>
      <c r="L72" s="20" t="n">
        <v>3.202</v>
      </c>
      <c r="M72" s="20" t="n">
        <v>124.422</v>
      </c>
      <c r="N72" s="20" t="n">
        <v>-30.474</v>
      </c>
      <c r="O72" s="19" t="n">
        <v>114.719</v>
      </c>
      <c r="P72" s="20" t="n">
        <v>79.428</v>
      </c>
      <c r="Q72" s="20" t="n">
        <v>221.86</v>
      </c>
      <c r="R72" s="20" t="n">
        <v>112.237</v>
      </c>
      <c r="S72" s="20" t="n">
        <v>157.18</v>
      </c>
      <c r="T72" s="20" t="n">
        <v>338.698</v>
      </c>
      <c r="U72" s="20" t="n">
        <v>284.662</v>
      </c>
      <c r="V72" s="20" t="n">
        <v>448.019</v>
      </c>
      <c r="W72" s="20" t="n">
        <v>158.326</v>
      </c>
      <c r="X72" s="20" t="n">
        <v>198.264</v>
      </c>
      <c r="Y72" s="19">
        <f>IF(OR(Y4="",Y73=""),"",IFERROR(Y4*Y73,""))</f>
        <v/>
      </c>
      <c r="Z72" s="20">
        <f>IF(OR(Z4="",Z73=""),"",IFERROR(Z4*Z73,""))</f>
        <v/>
      </c>
      <c r="AA72" s="20">
        <f>IF(OR(AA4="",AA73=""),"",IFERROR(AA4*AA73,""))</f>
        <v/>
      </c>
      <c r="AB72" s="20">
        <f>IF(OR(AB4="",AB73=""),"",IFERROR(AB4*AB73,""))</f>
        <v/>
      </c>
      <c r="AC72" s="20">
        <f>IF(OR(AC4="",AC73=""),"",IFERROR(AC4*AC73,""))</f>
        <v/>
      </c>
    </row>
    <row r="73">
      <c r="A73" s="13" t="inlineStr">
        <is>
          <t>% of Sales</t>
        </is>
      </c>
      <c r="B73" s="10" t="n"/>
      <c r="C73" s="14">
        <f>IF(OR(C72="",C4=""),"",IFERROR(C72/C4,""))</f>
        <v/>
      </c>
      <c r="D73" s="15">
        <f>IF(OR(D72="",D4=""),"",IFERROR(D72/D4,""))</f>
        <v/>
      </c>
      <c r="E73" s="15">
        <f>IF(OR(E72="",E4=""),"",IFERROR(E72/E4,""))</f>
        <v/>
      </c>
      <c r="F73" s="15">
        <f>IF(OR(F72="",F4=""),"",IFERROR(F72/F4,""))</f>
        <v/>
      </c>
      <c r="G73" s="15">
        <f>IF(OR(G72="",G4=""),"",IFERROR(G72/G4,""))</f>
        <v/>
      </c>
      <c r="H73" s="15">
        <f>IF(OR(H72="",H4=""),"",IFERROR(H72/H4,""))</f>
        <v/>
      </c>
      <c r="I73" s="15">
        <f>IF(OR(I72="",I4=""),"",IFERROR(I72/I4,""))</f>
        <v/>
      </c>
      <c r="J73" s="15">
        <f>IF(OR(J72="",J4=""),"",IFERROR(J72/J4,""))</f>
        <v/>
      </c>
      <c r="K73" s="15">
        <f>IF(OR(K72="",K4=""),"",IFERROR(K72/K4,""))</f>
        <v/>
      </c>
      <c r="L73" s="15">
        <f>IF(OR(L72="",L4=""),"",IFERROR(L72/L4,""))</f>
        <v/>
      </c>
      <c r="M73" s="15">
        <f>IF(OR(M72="",M4=""),"",IFERROR(M72/M4,""))</f>
        <v/>
      </c>
      <c r="N73" s="15">
        <f>IF(OR(N72="",N4=""),"",IFERROR(N72/N4,""))</f>
        <v/>
      </c>
      <c r="O73" s="14">
        <f>IF(OR(O72="",O4=""),"",IFERROR(O72/O4,""))</f>
        <v/>
      </c>
      <c r="P73" s="15">
        <f>IF(OR(P72="",P4=""),"",IFERROR(P72/P4,""))</f>
        <v/>
      </c>
      <c r="Q73" s="15">
        <f>IF(OR(Q72="",Q4=""),"",IFERROR(Q72/Q4,""))</f>
        <v/>
      </c>
      <c r="R73" s="15">
        <f>IF(OR(R72="",R4=""),"",IFERROR(R72/R4,""))</f>
        <v/>
      </c>
      <c r="S73" s="15">
        <f>IF(OR(S72="",S4=""),"",IFERROR(S72/S4,""))</f>
        <v/>
      </c>
      <c r="T73" s="15">
        <f>IF(OR(T72="",T4=""),"",IFERROR(T72/T4,""))</f>
        <v/>
      </c>
      <c r="U73" s="15">
        <f>IF(OR(U72="",U4=""),"",IFERROR(U72/U4,""))</f>
        <v/>
      </c>
      <c r="V73" s="15">
        <f>IF(OR(V72="",V4=""),"",IFERROR(V72/V4,""))</f>
        <v/>
      </c>
      <c r="W73" s="15">
        <f>IF(OR(W72="",W4=""),"",IFERROR(W72/W4,""))</f>
        <v/>
      </c>
      <c r="X73" s="15">
        <f>IF(OR(X72="",X4=""),"",IFERROR(X72/X4,""))</f>
        <v/>
      </c>
      <c r="Y73" s="25">
        <f>IFERROR(AVERAGE(V73,W73,X73),"")</f>
        <v/>
      </c>
      <c r="Z73" s="26">
        <f>Y73</f>
        <v/>
      </c>
      <c r="AA73" s="26">
        <f>Z73</f>
        <v/>
      </c>
      <c r="AB73" s="26">
        <f>AA73</f>
        <v/>
      </c>
      <c r="AC73" s="26">
        <f>AB73</f>
        <v/>
      </c>
    </row>
    <row r="74">
      <c r="A74" s="18" t="inlineStr">
        <is>
          <t>영업외비용</t>
        </is>
      </c>
      <c r="B74" s="10" t="n"/>
      <c r="C74" s="19" t="n">
        <v>18.931</v>
      </c>
      <c r="D74" s="20" t="n">
        <v>18.433</v>
      </c>
      <c r="E74" s="20" t="n">
        <v>174.622</v>
      </c>
      <c r="F74" s="20" t="n">
        <v>-98.11499999999999</v>
      </c>
      <c r="G74" s="20" t="n">
        <v>-8.837999999999999</v>
      </c>
      <c r="H74" s="20" t="n">
        <v>326.847</v>
      </c>
      <c r="I74" s="20" t="n">
        <v>49.37</v>
      </c>
      <c r="J74" s="20" t="n">
        <v>8.311999999999999</v>
      </c>
      <c r="K74" s="20" t="n">
        <v>26.977</v>
      </c>
      <c r="L74" s="20" t="n">
        <v>42.049</v>
      </c>
      <c r="M74" s="20" t="n">
        <v>34.762</v>
      </c>
      <c r="N74" s="20" t="n">
        <v>69.53</v>
      </c>
      <c r="O74" s="19" t="n">
        <v>31.174</v>
      </c>
      <c r="P74" s="20" t="n">
        <v>82.271</v>
      </c>
      <c r="Q74" s="20" t="n">
        <v>27.344</v>
      </c>
      <c r="R74" s="20" t="n">
        <v>32.43</v>
      </c>
      <c r="S74" s="20" t="n">
        <v>30.81</v>
      </c>
      <c r="T74" s="20" t="n">
        <v>50.293</v>
      </c>
      <c r="U74" s="20" t="n">
        <v>47.823</v>
      </c>
      <c r="V74" s="20" t="n">
        <v>73.706</v>
      </c>
      <c r="W74" s="20" t="n">
        <v>394.516</v>
      </c>
      <c r="X74" s="20" t="n">
        <v>126.708</v>
      </c>
      <c r="Y74" s="19">
        <f>IF(OR(Y4="",Y75=""),"",IFERROR(Y4*Y75,""))</f>
        <v/>
      </c>
      <c r="Z74" s="20">
        <f>IF(OR(Z4="",Z75=""),"",IFERROR(Z4*Z75,""))</f>
        <v/>
      </c>
      <c r="AA74" s="20">
        <f>IF(OR(AA4="",AA75=""),"",IFERROR(AA4*AA75,""))</f>
        <v/>
      </c>
      <c r="AB74" s="20">
        <f>IF(OR(AB4="",AB75=""),"",IFERROR(AB4*AB75,""))</f>
        <v/>
      </c>
      <c r="AC74" s="20">
        <f>IF(OR(AC4="",AC75=""),"",IFERROR(AC4*AC75,""))</f>
        <v/>
      </c>
    </row>
    <row r="75">
      <c r="A75" s="13" t="inlineStr">
        <is>
          <t>% of Sales</t>
        </is>
      </c>
      <c r="B75" s="10" t="n"/>
      <c r="C75" s="14">
        <f>IF(OR(C74="",C4=""),"",IFERROR(C74/C4,""))</f>
        <v/>
      </c>
      <c r="D75" s="15">
        <f>IF(OR(D74="",D4=""),"",IFERROR(D74/D4,""))</f>
        <v/>
      </c>
      <c r="E75" s="15">
        <f>IF(OR(E74="",E4=""),"",IFERROR(E74/E4,""))</f>
        <v/>
      </c>
      <c r="F75" s="15">
        <f>IF(OR(F74="",F4=""),"",IFERROR(F74/F4,""))</f>
        <v/>
      </c>
      <c r="G75" s="15">
        <f>IF(OR(G74="",G4=""),"",IFERROR(G74/G4,""))</f>
        <v/>
      </c>
      <c r="H75" s="15">
        <f>IF(OR(H74="",H4=""),"",IFERROR(H74/H4,""))</f>
        <v/>
      </c>
      <c r="I75" s="15">
        <f>IF(OR(I74="",I4=""),"",IFERROR(I74/I4,""))</f>
        <v/>
      </c>
      <c r="J75" s="15">
        <f>IF(OR(J74="",J4=""),"",IFERROR(J74/J4,""))</f>
        <v/>
      </c>
      <c r="K75" s="15">
        <f>IF(OR(K74="",K4=""),"",IFERROR(K74/K4,""))</f>
        <v/>
      </c>
      <c r="L75" s="15">
        <f>IF(OR(L74="",L4=""),"",IFERROR(L74/L4,""))</f>
        <v/>
      </c>
      <c r="M75" s="15">
        <f>IF(OR(M74="",M4=""),"",IFERROR(M74/M4,""))</f>
        <v/>
      </c>
      <c r="N75" s="15">
        <f>IF(OR(N74="",N4=""),"",IFERROR(N74/N4,""))</f>
        <v/>
      </c>
      <c r="O75" s="14">
        <f>IF(OR(O74="",O4=""),"",IFERROR(O74/O4,""))</f>
        <v/>
      </c>
      <c r="P75" s="15">
        <f>IF(OR(P74="",P4=""),"",IFERROR(P74/P4,""))</f>
        <v/>
      </c>
      <c r="Q75" s="15">
        <f>IF(OR(Q74="",Q4=""),"",IFERROR(Q74/Q4,""))</f>
        <v/>
      </c>
      <c r="R75" s="15">
        <f>IF(OR(R74="",R4=""),"",IFERROR(R74/R4,""))</f>
        <v/>
      </c>
      <c r="S75" s="15">
        <f>IF(OR(S74="",S4=""),"",IFERROR(S74/S4,""))</f>
        <v/>
      </c>
      <c r="T75" s="15">
        <f>IF(OR(T74="",T4=""),"",IFERROR(T74/T4,""))</f>
        <v/>
      </c>
      <c r="U75" s="15">
        <f>IF(OR(U74="",U4=""),"",IFERROR(U74/U4,""))</f>
        <v/>
      </c>
      <c r="V75" s="15">
        <f>IF(OR(V74="",V4=""),"",IFERROR(V74/V4,""))</f>
        <v/>
      </c>
      <c r="W75" s="15">
        <f>IF(OR(W74="",W4=""),"",IFERROR(W74/W4,""))</f>
        <v/>
      </c>
      <c r="X75" s="15">
        <f>IF(OR(X74="",X4=""),"",IFERROR(X74/X4,""))</f>
        <v/>
      </c>
      <c r="Y75" s="25">
        <f>IFERROR(AVERAGE(V75,W75,X75),"")</f>
        <v/>
      </c>
      <c r="Z75" s="26">
        <f>Y75</f>
        <v/>
      </c>
      <c r="AA75" s="26">
        <f>Z75</f>
        <v/>
      </c>
      <c r="AB75" s="26">
        <f>AA75</f>
        <v/>
      </c>
      <c r="AC75" s="26">
        <f>AB75</f>
        <v/>
      </c>
    </row>
    <row r="76">
      <c r="A76" s="9" t="inlineStr">
        <is>
          <t>법인세비용차감전순이익(손실)</t>
        </is>
      </c>
      <c r="B76" s="10" t="n"/>
      <c r="C76" s="11" t="n">
        <v>505.239</v>
      </c>
      <c r="D76" s="12" t="n">
        <v>1570.097</v>
      </c>
      <c r="E76" s="12" t="n">
        <v>213.876</v>
      </c>
      <c r="F76" s="12" t="n">
        <v>503.879</v>
      </c>
      <c r="G76" s="12" t="n">
        <v>40.047</v>
      </c>
      <c r="H76" s="12" t="n">
        <v>130.91</v>
      </c>
      <c r="I76" s="12" t="n">
        <v>353.145</v>
      </c>
      <c r="J76" s="12" t="n">
        <v>291.696</v>
      </c>
      <c r="K76" s="12" t="n">
        <v>225.47</v>
      </c>
      <c r="L76" s="12" t="n">
        <v>396.794</v>
      </c>
      <c r="M76" s="12" t="n">
        <v>455.599</v>
      </c>
      <c r="N76" s="12" t="n">
        <v>298.308</v>
      </c>
      <c r="O76" s="11" t="n">
        <v>591.109</v>
      </c>
      <c r="P76" s="12" t="n">
        <v>892.056</v>
      </c>
      <c r="Q76" s="12" t="n">
        <v>975.462</v>
      </c>
      <c r="R76" s="12" t="n">
        <v>699.643</v>
      </c>
      <c r="S76" s="12" t="n">
        <v>297.191</v>
      </c>
      <c r="T76" s="12" t="n">
        <v>1296.466</v>
      </c>
      <c r="U76" s="12" t="n">
        <v>1187.233</v>
      </c>
      <c r="V76" s="12" t="n">
        <v>3066.747</v>
      </c>
      <c r="W76" s="12" t="n">
        <v>888.712</v>
      </c>
      <c r="X76" s="12" t="n">
        <v>1267.105</v>
      </c>
      <c r="Y76" s="11">
        <f>IF(OR(Y52=""),"",IFERROR(Y52+N(Y68)-N(Y70)+N(Y72)-N(Y74),""))</f>
        <v/>
      </c>
      <c r="Z76" s="12">
        <f>IF(OR(Z52=""),"",IFERROR(Z52+N(Z68)-N(Z70)+N(Z72)-N(Z74),""))</f>
        <v/>
      </c>
      <c r="AA76" s="12">
        <f>IF(OR(AA52=""),"",IFERROR(AA52+N(AA68)-N(AA70)+N(AA72)-N(AA74),""))</f>
        <v/>
      </c>
      <c r="AB76" s="12">
        <f>IF(OR(AB52=""),"",IFERROR(AB52+N(AB68)-N(AB70)+N(AB72)-N(AB74),""))</f>
        <v/>
      </c>
      <c r="AC76" s="12">
        <f>IF(OR(AC52=""),"",IFERROR(AC52+N(AC68)-N(AC70)+N(AC72)-N(AC74),""))</f>
        <v/>
      </c>
    </row>
    <row r="77">
      <c r="A77" s="13" t="inlineStr">
        <is>
          <t>YoY</t>
        </is>
      </c>
      <c r="B77" s="10" t="n"/>
      <c r="C77" s="14" t="n"/>
      <c r="D77" s="15" t="n"/>
      <c r="E77" s="15" t="n"/>
      <c r="F77" s="15" t="n"/>
      <c r="G77" s="15">
        <f>IF(OR(G76="",C76=""),"",IF(C76&lt;=0,"",IFERROR(G76/C76-1,"")))</f>
        <v/>
      </c>
      <c r="H77" s="15">
        <f>IF(OR(H76="",D76=""),"",IF(D76&lt;=0,"",IFERROR(H76/D76-1,"")))</f>
        <v/>
      </c>
      <c r="I77" s="15">
        <f>IF(OR(I76="",E76=""),"",IF(E76&lt;=0,"",IFERROR(I76/E76-1,"")))</f>
        <v/>
      </c>
      <c r="J77" s="15">
        <f>IF(OR(J76="",F76=""),"",IF(F76&lt;=0,"",IFERROR(J76/F76-1,"")))</f>
        <v/>
      </c>
      <c r="K77" s="15">
        <f>IF(OR(K76="",G76=""),"",IF(G76&lt;=0,"",IFERROR(K76/G76-1,"")))</f>
        <v/>
      </c>
      <c r="L77" s="15">
        <f>IF(OR(L76="",H76=""),"",IF(H76&lt;=0,"",IFERROR(L76/H76-1,"")))</f>
        <v/>
      </c>
      <c r="M77" s="15">
        <f>IF(OR(M76="",I76=""),"",IF(I76&lt;=0,"",IFERROR(M76/I76-1,"")))</f>
        <v/>
      </c>
      <c r="N77" s="15">
        <f>IF(OR(N76="",J76=""),"",IF(J76&lt;=0,"",IFERROR(N76/J76-1,"")))</f>
        <v/>
      </c>
      <c r="O77" s="14" t="n"/>
      <c r="P77" s="15">
        <f>IF(OR(P76="",O76=""),"",IF(O76&lt;=0,"",IFERROR(P76/O76-1,"")))</f>
        <v/>
      </c>
      <c r="Q77" s="15">
        <f>IF(OR(Q76="",P76=""),"",IF(P76&lt;=0,"",IFERROR(Q76/P76-1,"")))</f>
        <v/>
      </c>
      <c r="R77" s="15">
        <f>IF(OR(R76="",Q76=""),"",IF(Q76&lt;=0,"",IFERROR(R76/Q76-1,"")))</f>
        <v/>
      </c>
      <c r="S77" s="15">
        <f>IF(OR(S76="",R76=""),"",IF(R76&lt;=0,"",IFERROR(S76/R76-1,"")))</f>
        <v/>
      </c>
      <c r="T77" s="15">
        <f>IF(OR(T76="",S76=""),"",IF(S76&lt;=0,"",IFERROR(T76/S76-1,"")))</f>
        <v/>
      </c>
      <c r="U77" s="15">
        <f>IF(OR(U76="",T76=""),"",IF(T76&lt;=0,"",IFERROR(U76/T76-1,"")))</f>
        <v/>
      </c>
      <c r="V77" s="15">
        <f>IF(OR(V76="",U76=""),"",IF(U76&lt;=0,"",IFERROR(V76/U76-1,"")))</f>
        <v/>
      </c>
      <c r="W77" s="15">
        <f>IF(OR(W76="",V76=""),"",IF(V76&lt;=0,"",IFERROR(W76/V76-1,"")))</f>
        <v/>
      </c>
      <c r="X77" s="15">
        <f>IF(OR(X76="",W76=""),"",IF(W76&lt;=0,"",IFERROR(X76/W76-1,"")))</f>
        <v/>
      </c>
      <c r="Y77" s="14">
        <f>IF(OR(Y76="",X76=""),"",IF(X76&lt;=0,"",IFERROR(Y76/X76-1,"")))</f>
        <v/>
      </c>
      <c r="Z77" s="15">
        <f>IF(OR(Z76="",Y76=""),"",IF(Y76&lt;=0,"",IFERROR(Z76/Y76-1,"")))</f>
        <v/>
      </c>
      <c r="AA77" s="15">
        <f>IF(OR(AA76="",Z76=""),"",IF(Z76&lt;=0,"",IFERROR(AA76/Z76-1,"")))</f>
        <v/>
      </c>
      <c r="AB77" s="15">
        <f>IF(OR(AB76="",AA76=""),"",IF(AA76&lt;=0,"",IFERROR(AB76/AA76-1,"")))</f>
        <v/>
      </c>
      <c r="AC77" s="15">
        <f>IF(OR(AC76="",AB76=""),"",IF(AB76&lt;=0,"",IFERROR(AC76/AB76-1,"")))</f>
        <v/>
      </c>
    </row>
    <row r="78">
      <c r="A78" s="18" t="inlineStr">
        <is>
          <t>법인세비용(수익)</t>
        </is>
      </c>
      <c r="B78" s="10" t="n"/>
      <c r="C78" s="19" t="n">
        <v>75.22</v>
      </c>
      <c r="D78" s="20" t="n">
        <v>500.95</v>
      </c>
      <c r="E78" s="20" t="n">
        <v>114.264</v>
      </c>
      <c r="F78" s="20" t="n">
        <v>68.952</v>
      </c>
      <c r="G78" s="20" t="n">
        <v>69.60599999999999</v>
      </c>
      <c r="H78" s="20" t="n">
        <v>5.403</v>
      </c>
      <c r="I78" s="20" t="n">
        <v>126.608</v>
      </c>
      <c r="J78" s="20" t="n">
        <v>59.32</v>
      </c>
      <c r="K78" s="20" t="n">
        <v>77.90000000000001</v>
      </c>
      <c r="L78" s="20" t="n">
        <v>47.776</v>
      </c>
      <c r="M78" s="20" t="n">
        <v>162.054</v>
      </c>
      <c r="N78" s="20" t="n">
        <v>60.21</v>
      </c>
      <c r="O78" s="19" t="n">
        <v>102.466</v>
      </c>
      <c r="P78" s="20" t="n">
        <v>263.413</v>
      </c>
      <c r="Q78" s="20" t="n">
        <v>176.169</v>
      </c>
      <c r="R78" s="20" t="n">
        <v>205.093</v>
      </c>
      <c r="S78" s="20" t="n">
        <v>51.853</v>
      </c>
      <c r="T78" s="20" t="n">
        <v>373.824</v>
      </c>
      <c r="U78" s="20" t="n">
        <v>308.628</v>
      </c>
      <c r="V78" s="20" t="n">
        <v>874.046</v>
      </c>
      <c r="W78" s="20" t="n">
        <v>258.225</v>
      </c>
      <c r="X78" s="20" t="n">
        <v>311.604</v>
      </c>
      <c r="Y78" s="19">
        <f>IF(OR(Y76="",Y79=""),"",IFERROR(MAX(Y76,0)*Y79,""))</f>
        <v/>
      </c>
      <c r="Z78" s="20">
        <f>IF(OR(Z76="",Z79=""),"",IFERROR(MAX(Z76,0)*Z79,""))</f>
        <v/>
      </c>
      <c r="AA78" s="20">
        <f>IF(OR(AA76="",AA79=""),"",IFERROR(MAX(AA76,0)*AA79,""))</f>
        <v/>
      </c>
      <c r="AB78" s="20">
        <f>IF(OR(AB76="",AB79=""),"",IFERROR(MAX(AB76,0)*AB79,""))</f>
        <v/>
      </c>
      <c r="AC78" s="20">
        <f>IF(OR(AC76="",AC79=""),"",IFERROR(MAX(AC76,0)*AC79,""))</f>
        <v/>
      </c>
    </row>
    <row r="79">
      <c r="A79" s="13" t="inlineStr">
        <is>
          <t>법인세율</t>
        </is>
      </c>
      <c r="B79" s="10" t="inlineStr">
        <is>
          <t>MW 기본 30%</t>
        </is>
      </c>
      <c r="C79" s="14">
        <f>IF(OR(C78="",C76=""),"",IFERROR(C78/C76,""))</f>
        <v/>
      </c>
      <c r="D79" s="15">
        <f>IF(OR(D78="",D76=""),"",IFERROR(D78/D76,""))</f>
        <v/>
      </c>
      <c r="E79" s="15">
        <f>IF(OR(E78="",E76=""),"",IFERROR(E78/E76,""))</f>
        <v/>
      </c>
      <c r="F79" s="15">
        <f>IF(OR(F78="",F76=""),"",IFERROR(F78/F76,""))</f>
        <v/>
      </c>
      <c r="G79" s="15">
        <f>IF(OR(G78="",G76=""),"",IFERROR(G78/G76,""))</f>
        <v/>
      </c>
      <c r="H79" s="15">
        <f>IF(OR(H78="",H76=""),"",IFERROR(H78/H76,""))</f>
        <v/>
      </c>
      <c r="I79" s="15">
        <f>IF(OR(I78="",I76=""),"",IFERROR(I78/I76,""))</f>
        <v/>
      </c>
      <c r="J79" s="15">
        <f>IF(OR(J78="",J76=""),"",IFERROR(J78/J76,""))</f>
        <v/>
      </c>
      <c r="K79" s="15">
        <f>IF(OR(K78="",K76=""),"",IFERROR(K78/K76,""))</f>
        <v/>
      </c>
      <c r="L79" s="15">
        <f>IF(OR(L78="",L76=""),"",IFERROR(L78/L76,""))</f>
        <v/>
      </c>
      <c r="M79" s="15">
        <f>IF(OR(M78="",M76=""),"",IFERROR(M78/M76,""))</f>
        <v/>
      </c>
      <c r="N79" s="15">
        <f>IF(OR(N78="",N76=""),"",IFERROR(N78/N76,""))</f>
        <v/>
      </c>
      <c r="O79" s="14">
        <f>IF(OR(O78="",O76=""),"",IFERROR(O78/O76,""))</f>
        <v/>
      </c>
      <c r="P79" s="15">
        <f>IF(OR(P78="",P76=""),"",IFERROR(P78/P76,""))</f>
        <v/>
      </c>
      <c r="Q79" s="15">
        <f>IF(OR(Q78="",Q76=""),"",IFERROR(Q78/Q76,""))</f>
        <v/>
      </c>
      <c r="R79" s="15">
        <f>IF(OR(R78="",R76=""),"",IFERROR(R78/R76,""))</f>
        <v/>
      </c>
      <c r="S79" s="15">
        <f>IF(OR(S78="",S76=""),"",IFERROR(S78/S76,""))</f>
        <v/>
      </c>
      <c r="T79" s="15">
        <f>IF(OR(T78="",T76=""),"",IFERROR(T78/T76,""))</f>
        <v/>
      </c>
      <c r="U79" s="15">
        <f>IF(OR(U78="",U76=""),"",IFERROR(U78/U76,""))</f>
        <v/>
      </c>
      <c r="V79" s="15">
        <f>IF(OR(V78="",V76=""),"",IFERROR(V78/V76,""))</f>
        <v/>
      </c>
      <c r="W79" s="15">
        <f>IF(OR(W78="",W76=""),"",IFERROR(W78/W76,""))</f>
        <v/>
      </c>
      <c r="X79" s="15">
        <f>IF(OR(X78="",X76=""),"",IFERROR(X78/X76,""))</f>
        <v/>
      </c>
      <c r="Y79" s="25" t="n">
        <v>0.3</v>
      </c>
      <c r="Z79" s="26" t="n">
        <v>0.3</v>
      </c>
      <c r="AA79" s="26" t="n">
        <v>0.3</v>
      </c>
      <c r="AB79" s="26" t="n">
        <v>0.3</v>
      </c>
      <c r="AC79" s="26" t="n">
        <v>0.3</v>
      </c>
    </row>
    <row r="80">
      <c r="A80" s="9" t="inlineStr">
        <is>
          <t>당기순이익(손실)</t>
        </is>
      </c>
      <c r="B80" s="10" t="n"/>
      <c r="C80" s="11" t="n">
        <v>430.019</v>
      </c>
      <c r="D80" s="12" t="n">
        <v>1069.147</v>
      </c>
      <c r="E80" s="12" t="n">
        <v>99.611</v>
      </c>
      <c r="F80" s="12" t="n">
        <v>434.928</v>
      </c>
      <c r="G80" s="12" t="n">
        <v>-29.56</v>
      </c>
      <c r="H80" s="12" t="n">
        <v>125.507</v>
      </c>
      <c r="I80" s="12" t="n">
        <v>226.537</v>
      </c>
      <c r="J80" s="12" t="n">
        <v>232.376</v>
      </c>
      <c r="K80" s="12" t="n">
        <v>147.569</v>
      </c>
      <c r="L80" s="12" t="n">
        <v>349.018</v>
      </c>
      <c r="M80" s="12" t="n">
        <v>293.545</v>
      </c>
      <c r="N80" s="12" t="n">
        <v>238.097</v>
      </c>
      <c r="O80" s="11" t="n">
        <v>488.642</v>
      </c>
      <c r="P80" s="12" t="n">
        <v>628.643</v>
      </c>
      <c r="Q80" s="12" t="n">
        <v>799.292</v>
      </c>
      <c r="R80" s="12" t="n">
        <v>494.55</v>
      </c>
      <c r="S80" s="12" t="n">
        <v>245.338</v>
      </c>
      <c r="T80" s="12" t="n">
        <v>922.6420000000001</v>
      </c>
      <c r="U80" s="12" t="n">
        <v>878.604</v>
      </c>
      <c r="V80" s="12" t="n">
        <v>2192.7</v>
      </c>
      <c r="W80" s="12" t="n">
        <v>630.486</v>
      </c>
      <c r="X80" s="12" t="n">
        <v>955.5</v>
      </c>
      <c r="Y80" s="11">
        <f>IF(OR(Y76=""),"",IFERROR(Y76-Y78,""))</f>
        <v/>
      </c>
      <c r="Z80" s="12">
        <f>IF(OR(Z76=""),"",IFERROR(Z76-Z78,""))</f>
        <v/>
      </c>
      <c r="AA80" s="12">
        <f>IF(OR(AA76=""),"",IFERROR(AA76-AA78,""))</f>
        <v/>
      </c>
      <c r="AB80" s="12">
        <f>IF(OR(AB76=""),"",IFERROR(AB76-AB78,""))</f>
        <v/>
      </c>
      <c r="AC80" s="12">
        <f>IF(OR(AC76=""),"",IFERROR(AC76-AC78,""))</f>
        <v/>
      </c>
    </row>
    <row r="81">
      <c r="A81" s="13" t="inlineStr">
        <is>
          <t>YoY</t>
        </is>
      </c>
      <c r="B81" s="10" t="n"/>
      <c r="C81" s="14" t="n"/>
      <c r="D81" s="15" t="n"/>
      <c r="E81" s="15" t="n"/>
      <c r="F81" s="15" t="n"/>
      <c r="G81" s="15">
        <f>IF(OR(G80="",C80=""),"",IF(C80&lt;=0,"",IFERROR(G80/C80-1,"")))</f>
        <v/>
      </c>
      <c r="H81" s="15">
        <f>IF(OR(H80="",D80=""),"",IF(D80&lt;=0,"",IFERROR(H80/D80-1,"")))</f>
        <v/>
      </c>
      <c r="I81" s="15">
        <f>IF(OR(I80="",E80=""),"",IF(E80&lt;=0,"",IFERROR(I80/E80-1,"")))</f>
        <v/>
      </c>
      <c r="J81" s="15">
        <f>IF(OR(J80="",F80=""),"",IF(F80&lt;=0,"",IFERROR(J80/F80-1,"")))</f>
        <v/>
      </c>
      <c r="K81" s="15">
        <f>IF(OR(K80="",G80=""),"",IF(G80&lt;=0,"",IFERROR(K80/G80-1,"")))</f>
        <v/>
      </c>
      <c r="L81" s="15">
        <f>IF(OR(L80="",H80=""),"",IF(H80&lt;=0,"",IFERROR(L80/H80-1,"")))</f>
        <v/>
      </c>
      <c r="M81" s="15">
        <f>IF(OR(M80="",I80=""),"",IF(I80&lt;=0,"",IFERROR(M80/I80-1,"")))</f>
        <v/>
      </c>
      <c r="N81" s="15">
        <f>IF(OR(N80="",J80=""),"",IF(J80&lt;=0,"",IFERROR(N80/J80-1,"")))</f>
        <v/>
      </c>
      <c r="O81" s="14" t="n"/>
      <c r="P81" s="15">
        <f>IF(OR(P80="",O80=""),"",IF(O80&lt;=0,"",IFERROR(P80/O80-1,"")))</f>
        <v/>
      </c>
      <c r="Q81" s="15">
        <f>IF(OR(Q80="",P80=""),"",IF(P80&lt;=0,"",IFERROR(Q80/P80-1,"")))</f>
        <v/>
      </c>
      <c r="R81" s="15">
        <f>IF(OR(R80="",Q80=""),"",IF(Q80&lt;=0,"",IFERROR(R80/Q80-1,"")))</f>
        <v/>
      </c>
      <c r="S81" s="15">
        <f>IF(OR(S80="",R80=""),"",IF(R80&lt;=0,"",IFERROR(S80/R80-1,"")))</f>
        <v/>
      </c>
      <c r="T81" s="15">
        <f>IF(OR(T80="",S80=""),"",IF(S80&lt;=0,"",IFERROR(T80/S80-1,"")))</f>
        <v/>
      </c>
      <c r="U81" s="15">
        <f>IF(OR(U80="",T80=""),"",IF(T80&lt;=0,"",IFERROR(U80/T80-1,"")))</f>
        <v/>
      </c>
      <c r="V81" s="15">
        <f>IF(OR(V80="",U80=""),"",IF(U80&lt;=0,"",IFERROR(V80/U80-1,"")))</f>
        <v/>
      </c>
      <c r="W81" s="15">
        <f>IF(OR(W80="",V80=""),"",IF(V80&lt;=0,"",IFERROR(W80/V80-1,"")))</f>
        <v/>
      </c>
      <c r="X81" s="15">
        <f>IF(OR(X80="",W80=""),"",IF(W80&lt;=0,"",IFERROR(X80/W80-1,"")))</f>
        <v/>
      </c>
      <c r="Y81" s="14">
        <f>IF(OR(Y80="",X80=""),"",IF(X80&lt;=0,"",IFERROR(Y80/X80-1,"")))</f>
        <v/>
      </c>
      <c r="Z81" s="15">
        <f>IF(OR(Z80="",Y80=""),"",IF(Y80&lt;=0,"",IFERROR(Z80/Y80-1,"")))</f>
        <v/>
      </c>
      <c r="AA81" s="15">
        <f>IF(OR(AA80="",Z80=""),"",IF(Z80&lt;=0,"",IFERROR(AA80/Z80-1,"")))</f>
        <v/>
      </c>
      <c r="AB81" s="15">
        <f>IF(OR(AB80="",AA80=""),"",IF(AA80&lt;=0,"",IFERROR(AB80/AA80-1,"")))</f>
        <v/>
      </c>
      <c r="AC81" s="15">
        <f>IF(OR(AC80="",AB80=""),"",IF(AB80&lt;=0,"",IFERROR(AC80/AB80-1,"")))</f>
        <v/>
      </c>
    </row>
    <row r="82">
      <c r="A82" s="9" t="inlineStr">
        <is>
          <t>지배주주 순이익</t>
        </is>
      </c>
      <c r="B82" s="10" t="n"/>
      <c r="C82" s="11" t="n">
        <v>430.043</v>
      </c>
      <c r="D82" s="12" t="n">
        <v>1068.782</v>
      </c>
      <c r="E82" s="12" t="n">
        <v>99.434</v>
      </c>
      <c r="F82" s="12" t="n">
        <v>435.064</v>
      </c>
      <c r="G82" s="12" t="n">
        <v>-29.531</v>
      </c>
      <c r="H82" s="12" t="n">
        <v>125.581</v>
      </c>
      <c r="I82" s="12" t="n">
        <v>226.485</v>
      </c>
      <c r="J82" s="12" t="n">
        <v>232.206</v>
      </c>
      <c r="K82" s="12" t="n">
        <v>147.405</v>
      </c>
      <c r="L82" s="12" t="n">
        <v>349.084</v>
      </c>
      <c r="M82" s="12" t="n">
        <v>293.663</v>
      </c>
      <c r="N82" s="12" t="n">
        <v>237.781</v>
      </c>
      <c r="O82" s="11" t="n">
        <v>492.278</v>
      </c>
      <c r="P82" s="12" t="n">
        <v>657.229</v>
      </c>
      <c r="Q82" s="12" t="n">
        <v>801.989</v>
      </c>
      <c r="R82" s="12" t="n">
        <v>491.572</v>
      </c>
      <c r="S82" s="12" t="n">
        <v>256.977</v>
      </c>
      <c r="T82" s="12" t="n">
        <v>923.484</v>
      </c>
      <c r="U82" s="12" t="n">
        <v>878.232</v>
      </c>
      <c r="V82" s="12" t="n">
        <v>2192.001</v>
      </c>
      <c r="W82" s="12" t="n">
        <v>630.548</v>
      </c>
      <c r="X82" s="12" t="n">
        <v>955.1799999999999</v>
      </c>
      <c r="Y82" s="11">
        <f>IF(OR(Y80="",Y83=""),"",IFERROR(Y80*Y83,""))</f>
        <v/>
      </c>
      <c r="Z82" s="12">
        <f>IF(OR(Z80="",Z83=""),"",IFERROR(Z80*Z83,""))</f>
        <v/>
      </c>
      <c r="AA82" s="12">
        <f>IF(OR(AA80="",AA83=""),"",IFERROR(AA80*AA83,""))</f>
        <v/>
      </c>
      <c r="AB82" s="12">
        <f>IF(OR(AB80="",AB83=""),"",IFERROR(AB80*AB83,""))</f>
        <v/>
      </c>
      <c r="AC82" s="12">
        <f>IF(OR(AC80="",AC83=""),"",IFERROR(AC80*AC83,""))</f>
        <v/>
      </c>
    </row>
    <row r="83">
      <c r="A83" s="13" t="inlineStr">
        <is>
          <t>지배주주 순이익률</t>
        </is>
      </c>
      <c r="B83" s="10" t="inlineStr">
        <is>
          <t>MW 기본 100%</t>
        </is>
      </c>
      <c r="C83" s="14">
        <f>IF(OR(C82="",C80=""),"",IFERROR(C82/C80,""))</f>
        <v/>
      </c>
      <c r="D83" s="15">
        <f>IF(OR(D82="",D80=""),"",IFERROR(D82/D80,""))</f>
        <v/>
      </c>
      <c r="E83" s="15">
        <f>IF(OR(E82="",E80=""),"",IFERROR(E82/E80,""))</f>
        <v/>
      </c>
      <c r="F83" s="15">
        <f>IF(OR(F82="",F80=""),"",IFERROR(F82/F80,""))</f>
        <v/>
      </c>
      <c r="G83" s="15">
        <f>IF(OR(G82="",G80=""),"",IFERROR(G82/G80,""))</f>
        <v/>
      </c>
      <c r="H83" s="15">
        <f>IF(OR(H82="",H80=""),"",IFERROR(H82/H80,""))</f>
        <v/>
      </c>
      <c r="I83" s="15">
        <f>IF(OR(I82="",I80=""),"",IFERROR(I82/I80,""))</f>
        <v/>
      </c>
      <c r="J83" s="15">
        <f>IF(OR(J82="",J80=""),"",IFERROR(J82/J80,""))</f>
        <v/>
      </c>
      <c r="K83" s="15">
        <f>IF(OR(K82="",K80=""),"",IFERROR(K82/K80,""))</f>
        <v/>
      </c>
      <c r="L83" s="15">
        <f>IF(OR(L82="",L80=""),"",IFERROR(L82/L80,""))</f>
        <v/>
      </c>
      <c r="M83" s="15">
        <f>IF(OR(M82="",M80=""),"",IFERROR(M82/M80,""))</f>
        <v/>
      </c>
      <c r="N83" s="15">
        <f>IF(OR(N82="",N80=""),"",IFERROR(N82/N80,""))</f>
        <v/>
      </c>
      <c r="O83" s="14">
        <f>IF(OR(O82="",O80=""),"",IFERROR(O82/O80,""))</f>
        <v/>
      </c>
      <c r="P83" s="15">
        <f>IF(OR(P82="",P80=""),"",IFERROR(P82/P80,""))</f>
        <v/>
      </c>
      <c r="Q83" s="15">
        <f>IF(OR(Q82="",Q80=""),"",IFERROR(Q82/Q80,""))</f>
        <v/>
      </c>
      <c r="R83" s="15">
        <f>IF(OR(R82="",R80=""),"",IFERROR(R82/R80,""))</f>
        <v/>
      </c>
      <c r="S83" s="15">
        <f>IF(OR(S82="",S80=""),"",IFERROR(S82/S80,""))</f>
        <v/>
      </c>
      <c r="T83" s="15">
        <f>IF(OR(T82="",T80=""),"",IFERROR(T82/T80,""))</f>
        <v/>
      </c>
      <c r="U83" s="15">
        <f>IF(OR(U82="",U80=""),"",IFERROR(U82/U80,""))</f>
        <v/>
      </c>
      <c r="V83" s="15">
        <f>IF(OR(V82="",V80=""),"",IFERROR(V82/V80,""))</f>
        <v/>
      </c>
      <c r="W83" s="15">
        <f>IF(OR(W82="",W80=""),"",IFERROR(W82/W80,""))</f>
        <v/>
      </c>
      <c r="X83" s="15">
        <f>IF(OR(X82="",X80=""),"",IFERROR(X82/X80,""))</f>
        <v/>
      </c>
      <c r="Y83" s="25" t="n">
        <v>1</v>
      </c>
      <c r="Z83" s="26" t="n">
        <v>1</v>
      </c>
      <c r="AA83" s="26" t="n">
        <v>1</v>
      </c>
      <c r="AB83" s="26" t="n">
        <v>1</v>
      </c>
      <c r="AC83" s="26" t="n">
        <v>1</v>
      </c>
    </row>
    <row r="84">
      <c r="A84" s="13" t="inlineStr">
        <is>
          <t>지배주주 순이익 YoY</t>
        </is>
      </c>
      <c r="B84" s="10" t="n"/>
      <c r="C84" s="14" t="n"/>
      <c r="D84" s="15" t="n"/>
      <c r="E84" s="15" t="n"/>
      <c r="F84" s="15" t="n"/>
      <c r="G84" s="15">
        <f>IF(OR(G82="",C82=""),"",IF(C82&lt;=0,"",IFERROR(G82/C82-1,"")))</f>
        <v/>
      </c>
      <c r="H84" s="15">
        <f>IF(OR(H82="",D82=""),"",IF(D82&lt;=0,"",IFERROR(H82/D82-1,"")))</f>
        <v/>
      </c>
      <c r="I84" s="15">
        <f>IF(OR(I82="",E82=""),"",IF(E82&lt;=0,"",IFERROR(I82/E82-1,"")))</f>
        <v/>
      </c>
      <c r="J84" s="15">
        <f>IF(OR(J82="",F82=""),"",IF(F82&lt;=0,"",IFERROR(J82/F82-1,"")))</f>
        <v/>
      </c>
      <c r="K84" s="15">
        <f>IF(OR(K82="",G82=""),"",IF(G82&lt;=0,"",IFERROR(K82/G82-1,"")))</f>
        <v/>
      </c>
      <c r="L84" s="15">
        <f>IF(OR(L82="",H82=""),"",IF(H82&lt;=0,"",IFERROR(L82/H82-1,"")))</f>
        <v/>
      </c>
      <c r="M84" s="15">
        <f>IF(OR(M82="",I82=""),"",IF(I82&lt;=0,"",IFERROR(M82/I82-1,"")))</f>
        <v/>
      </c>
      <c r="N84" s="15">
        <f>IF(OR(N82="",J82=""),"",IF(J82&lt;=0,"",IFERROR(N82/J82-1,"")))</f>
        <v/>
      </c>
      <c r="O84" s="14" t="n"/>
      <c r="P84" s="15">
        <f>IF(OR(P82="",O82=""),"",IF(O82&lt;=0,"",IFERROR(P82/O82-1,"")))</f>
        <v/>
      </c>
      <c r="Q84" s="15">
        <f>IF(OR(Q82="",P82=""),"",IF(P82&lt;=0,"",IFERROR(Q82/P82-1,"")))</f>
        <v/>
      </c>
      <c r="R84" s="15">
        <f>IF(OR(R82="",Q82=""),"",IF(Q82&lt;=0,"",IFERROR(R82/Q82-1,"")))</f>
        <v/>
      </c>
      <c r="S84" s="15">
        <f>IF(OR(S82="",R82=""),"",IF(R82&lt;=0,"",IFERROR(S82/R82-1,"")))</f>
        <v/>
      </c>
      <c r="T84" s="15">
        <f>IF(OR(T82="",S82=""),"",IF(S82&lt;=0,"",IFERROR(T82/S82-1,"")))</f>
        <v/>
      </c>
      <c r="U84" s="15">
        <f>IF(OR(U82="",T82=""),"",IF(T82&lt;=0,"",IFERROR(U82/T82-1,"")))</f>
        <v/>
      </c>
      <c r="V84" s="15">
        <f>IF(OR(V82="",U82=""),"",IF(U82&lt;=0,"",IFERROR(V82/U82-1,"")))</f>
        <v/>
      </c>
      <c r="W84" s="15">
        <f>IF(OR(W82="",V82=""),"",IF(V82&lt;=0,"",IFERROR(W82/V82-1,"")))</f>
        <v/>
      </c>
      <c r="X84" s="15">
        <f>IF(OR(X82="",W82=""),"",IF(W82&lt;=0,"",IFERROR(X82/W82-1,"")))</f>
        <v/>
      </c>
      <c r="Y84" s="14">
        <f>IF(OR(Y82="",X82=""),"",IF(X82&lt;=0,"",IFERROR(Y82/X82-1,"")))</f>
        <v/>
      </c>
      <c r="Z84" s="15">
        <f>IF(OR(Z82="",Y82=""),"",IF(Y82&lt;=0,"",IFERROR(Z82/Y82-1,"")))</f>
        <v/>
      </c>
      <c r="AA84" s="15">
        <f>IF(OR(AA82="",Z82=""),"",IF(Z82&lt;=0,"",IFERROR(AA82/Z82-1,"")))</f>
        <v/>
      </c>
      <c r="AB84" s="15">
        <f>IF(OR(AB82="",AA82=""),"",IF(AA82&lt;=0,"",IFERROR(AB82/AA82-1,"")))</f>
        <v/>
      </c>
      <c r="AC84" s="15">
        <f>IF(OR(AC82="",AB82=""),"",IF(AB82&lt;=0,"",IFERROR(AC82/AB82-1,"")))</f>
        <v/>
      </c>
    </row>
    <row r="85">
      <c r="A85" s="16" t="inlineStr">
        <is>
          <t>목표주가 산출</t>
        </is>
      </c>
      <c r="B85" s="16" t="n"/>
      <c r="C85" s="17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7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7" t="n"/>
      <c r="Z85" s="16" t="n"/>
      <c r="AA85" s="16" t="n"/>
      <c r="AB85" s="16" t="n"/>
      <c r="AC85" s="16" t="n"/>
    </row>
    <row r="86">
      <c r="A86" s="18" t="inlineStr">
        <is>
          <t>현재 주가 ()</t>
        </is>
      </c>
      <c r="B86" s="27" t="n"/>
      <c r="C86" s="28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8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8" t="n"/>
      <c r="Z86" s="29" t="n"/>
      <c r="AA86" s="29" t="n"/>
      <c r="AB86" s="29" t="n"/>
      <c r="AC86" s="29" t="n"/>
    </row>
    <row r="87">
      <c r="A87" s="18" t="inlineStr">
        <is>
          <t>발행주식수 (보통주)</t>
        </is>
      </c>
      <c r="B87" s="27" t="n"/>
      <c r="C87" s="28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8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8" t="n"/>
      <c r="Z87" s="29" t="n"/>
      <c r="AA87" s="29" t="n"/>
      <c r="AB87" s="29" t="n"/>
      <c r="AC87" s="29" t="n"/>
    </row>
    <row r="88">
      <c r="A88" s="18" t="inlineStr">
        <is>
          <t>시가총액 (백만엔)</t>
        </is>
      </c>
      <c r="B88" s="12">
        <f>IF(OR(B86="",B87=""),"",B86*B87/1000000.0)</f>
        <v/>
      </c>
      <c r="C88" s="19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19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19" t="n"/>
      <c r="Z88" s="20" t="n"/>
      <c r="AA88" s="20" t="n"/>
      <c r="AB88" s="20" t="n"/>
      <c r="AC88" s="20" t="n"/>
    </row>
    <row r="89">
      <c r="A89" s="13" t="inlineStr">
        <is>
          <t>OPM</t>
        </is>
      </c>
      <c r="B89" s="10" t="n"/>
      <c r="C89" s="14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4">
        <f>IF(O53="","",O53)</f>
        <v/>
      </c>
      <c r="P89" s="15">
        <f>IF(P53="","",P53)</f>
        <v/>
      </c>
      <c r="Q89" s="15">
        <f>IF(Q53="","",Q53)</f>
        <v/>
      </c>
      <c r="R89" s="15">
        <f>IF(R53="","",R53)</f>
        <v/>
      </c>
      <c r="S89" s="15">
        <f>IF(S53="","",S53)</f>
        <v/>
      </c>
      <c r="T89" s="15">
        <f>IF(T53="","",T53)</f>
        <v/>
      </c>
      <c r="U89" s="15">
        <f>IF(U53="","",U53)</f>
        <v/>
      </c>
      <c r="V89" s="15">
        <f>IF(V53="","",V53)</f>
        <v/>
      </c>
      <c r="W89" s="15">
        <f>IF(W53="","",W53)</f>
        <v/>
      </c>
      <c r="X89" s="15">
        <f>IF(X53="","",X53)</f>
        <v/>
      </c>
      <c r="Y89" s="14">
        <f>IF(Y53="","",Y53)</f>
        <v/>
      </c>
      <c r="Z89" s="15">
        <f>IF(Z53="","",Z53)</f>
        <v/>
      </c>
      <c r="AA89" s="15">
        <f>IF(AA53="","",AA53)</f>
        <v/>
      </c>
      <c r="AB89" s="15">
        <f>IF(AB53="","",AB53)</f>
        <v/>
      </c>
      <c r="AC89" s="15">
        <f>IF(AC53="","",AC53)</f>
        <v/>
      </c>
    </row>
    <row r="90">
      <c r="A90" s="13" t="inlineStr">
        <is>
          <t>지배주주 순이익 증가율</t>
        </is>
      </c>
      <c r="B90" s="10" t="n"/>
      <c r="C90" s="14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4" t="n"/>
      <c r="P90" s="15">
        <f>IF(OR(P82="",O82=""),"",IFERROR(P82/O82-1,""))</f>
        <v/>
      </c>
      <c r="Q90" s="15">
        <f>IF(OR(Q82="",P82=""),"",IFERROR(Q82/P82-1,""))</f>
        <v/>
      </c>
      <c r="R90" s="15">
        <f>IF(OR(R82="",Q82=""),"",IFERROR(R82/Q82-1,""))</f>
        <v/>
      </c>
      <c r="S90" s="15">
        <f>IF(OR(S82="",R82=""),"",IFERROR(S82/R82-1,""))</f>
        <v/>
      </c>
      <c r="T90" s="15">
        <f>IF(OR(T82="",S82=""),"",IFERROR(T82/S82-1,""))</f>
        <v/>
      </c>
      <c r="U90" s="15">
        <f>IF(OR(U82="",T82=""),"",IFERROR(U82/T82-1,""))</f>
        <v/>
      </c>
      <c r="V90" s="15">
        <f>IF(OR(V82="",U82=""),"",IFERROR(V82/U82-1,""))</f>
        <v/>
      </c>
      <c r="W90" s="15">
        <f>IF(OR(W82="",V82=""),"",IFERROR(W82/V82-1,""))</f>
        <v/>
      </c>
      <c r="X90" s="15">
        <f>IF(OR(X82="",W82=""),"",IFERROR(X82/W82-1,""))</f>
        <v/>
      </c>
      <c r="Y90" s="14">
        <f>IF(OR(Y82="",X82=""),"",IFERROR(Y82/X82-1,""))</f>
        <v/>
      </c>
      <c r="Z90" s="15">
        <f>IF(OR(Z82="",Y82=""),"",IFERROR(Z82/Y82-1,""))</f>
        <v/>
      </c>
      <c r="AA90" s="15">
        <f>IF(OR(AA82="",Z82=""),"",IFERROR(AA82/Z82-1,""))</f>
        <v/>
      </c>
      <c r="AB90" s="15">
        <f>IF(OR(AB82="",AA82=""),"",IFERROR(AB82/AA82-1,""))</f>
        <v/>
      </c>
      <c r="AC90" s="15">
        <f>IF(OR(AC82="",AB82=""),"",IFERROR(AC82/AB82-1,""))</f>
        <v/>
      </c>
    </row>
    <row r="91">
      <c r="A91" s="18" t="inlineStr">
        <is>
          <t>P/E (현재 주가)</t>
        </is>
      </c>
      <c r="B91" s="10" t="inlineStr">
        <is>
          <t>시총 ÷ 지배순이익</t>
        </is>
      </c>
      <c r="C91" s="30" t="n"/>
      <c r="D91" s="31" t="n"/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31" t="n"/>
      <c r="O91" s="30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>
        <f>IF(OR($B$88="",X82=""),"",IFERROR($B$88/X82,""))</f>
        <v/>
      </c>
      <c r="Y91" s="30">
        <f>IF(OR($B$88="",Y82=""),"",IFERROR($B$88/Y82,""))</f>
        <v/>
      </c>
      <c r="Z91" s="31">
        <f>IF(OR($B$88="",Z82=""),"",IFERROR($B$88/Z82,""))</f>
        <v/>
      </c>
      <c r="AA91" s="31">
        <f>IF(OR($B$88="",AA82=""),"",IFERROR($B$88/AA82,""))</f>
        <v/>
      </c>
      <c r="AB91" s="31">
        <f>IF(OR($B$88="",AB82=""),"",IFERROR($B$88/AB82,""))</f>
        <v/>
      </c>
      <c r="AC91" s="31">
        <f>IF(OR($B$88="",AC82=""),"",IFERROR($B$88/AC82,""))</f>
        <v/>
      </c>
    </row>
    <row r="92">
      <c r="A92" s="18" t="inlineStr">
        <is>
          <t>Target P/E</t>
        </is>
      </c>
      <c r="B92" s="10" t="inlineStr">
        <is>
          <t>직접 입력</t>
        </is>
      </c>
      <c r="C92" s="30" t="n"/>
      <c r="D92" s="31" t="n"/>
      <c r="E92" s="31" t="n"/>
      <c r="F92" s="31" t="n"/>
      <c r="G92" s="31" t="n"/>
      <c r="H92" s="31" t="n"/>
      <c r="I92" s="31" t="n"/>
      <c r="J92" s="31" t="n"/>
      <c r="K92" s="31" t="n"/>
      <c r="L92" s="31" t="n"/>
      <c r="M92" s="31" t="n"/>
      <c r="N92" s="31" t="n"/>
      <c r="O92" s="30" t="n"/>
      <c r="P92" s="31" t="n"/>
      <c r="Q92" s="31" t="n"/>
      <c r="R92" s="31" t="n"/>
      <c r="S92" s="31" t="n"/>
      <c r="T92" s="31" t="n"/>
      <c r="U92" s="31" t="n"/>
      <c r="V92" s="31" t="n"/>
      <c r="W92" s="31" t="n"/>
      <c r="X92" s="31" t="n"/>
      <c r="Y92" s="32" t="n"/>
      <c r="Z92" s="33" t="n"/>
      <c r="AA92" s="33" t="n"/>
      <c r="AB92" s="33" t="n"/>
      <c r="AC92" s="33" t="n"/>
    </row>
    <row r="93">
      <c r="A93" s="18" t="inlineStr">
        <is>
          <t>EPS</t>
        </is>
      </c>
      <c r="B93" s="10" t="inlineStr">
        <is>
          <t>지배순이익 ÷ 주식수</t>
        </is>
      </c>
      <c r="C93" s="28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8">
        <f>IF(OR(O82="",$B$87=""),"",IFERROR(O82*1000000.0/$B$87,""))</f>
        <v/>
      </c>
      <c r="P93" s="29">
        <f>IF(OR(P82="",$B$87=""),"",IFERROR(P82*1000000.0/$B$87,""))</f>
        <v/>
      </c>
      <c r="Q93" s="29">
        <f>IF(OR(Q82="",$B$87=""),"",IFERROR(Q82*1000000.0/$B$87,""))</f>
        <v/>
      </c>
      <c r="R93" s="29">
        <f>IF(OR(R82="",$B$87=""),"",IFERROR(R82*1000000.0/$B$87,""))</f>
        <v/>
      </c>
      <c r="S93" s="29">
        <f>IF(OR(S82="",$B$87=""),"",IFERROR(S82*1000000.0/$B$87,""))</f>
        <v/>
      </c>
      <c r="T93" s="29">
        <f>IF(OR(T82="",$B$87=""),"",IFERROR(T82*1000000.0/$B$87,""))</f>
        <v/>
      </c>
      <c r="U93" s="29">
        <f>IF(OR(U82="",$B$87=""),"",IFERROR(U82*1000000.0/$B$87,""))</f>
        <v/>
      </c>
      <c r="V93" s="29">
        <f>IF(OR(V82="",$B$87=""),"",IFERROR(V82*1000000.0/$B$87,""))</f>
        <v/>
      </c>
      <c r="W93" s="29">
        <f>IF(OR(W82="",$B$87=""),"",IFERROR(W82*1000000.0/$B$87,""))</f>
        <v/>
      </c>
      <c r="X93" s="29">
        <f>IF(OR(X82="",$B$87=""),"",IFERROR(X82*1000000.0/$B$87,""))</f>
        <v/>
      </c>
      <c r="Y93" s="28">
        <f>IF(OR(Y82="",$B$87=""),"",IFERROR(Y82*1000000.0/$B$87,""))</f>
        <v/>
      </c>
      <c r="Z93" s="29">
        <f>IF(OR(Z82="",$B$87=""),"",IFERROR(Z82*1000000.0/$B$87,""))</f>
        <v/>
      </c>
      <c r="AA93" s="29">
        <f>IF(OR(AA82="",$B$87=""),"",IFERROR(AA82*1000000.0/$B$87,""))</f>
        <v/>
      </c>
      <c r="AB93" s="29">
        <f>IF(OR(AB82="",$B$87=""),"",IFERROR(AB82*1000000.0/$B$87,""))</f>
        <v/>
      </c>
      <c r="AC93" s="29">
        <f>IF(OR(AC82="",$B$87=""),"",IFERROR(AC82*1000000.0/$B$87,""))</f>
        <v/>
      </c>
    </row>
    <row r="94">
      <c r="A94" s="9" t="inlineStr">
        <is>
          <t>목표주가</t>
        </is>
      </c>
      <c r="B94" s="10" t="n"/>
      <c r="C94" s="34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34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34">
        <f>IF(OR(Y93="",Y92=""),"",IFERROR(Y93*Y92,""))</f>
        <v/>
      </c>
      <c r="Z94" s="27">
        <f>IF(OR(Z93="",Z92=""),"",IFERROR(Z93*Z92,""))</f>
        <v/>
      </c>
      <c r="AA94" s="27">
        <f>IF(OR(AA93="",AA92=""),"",IFERROR(AA93*AA92,""))</f>
        <v/>
      </c>
      <c r="AB94" s="27">
        <f>IF(OR(AB93="",AB92=""),"",IFERROR(AB93*AB92,""))</f>
        <v/>
      </c>
      <c r="AC94" s="27">
        <f>IF(OR(AC93="",AC92=""),"",IFERROR(AC93*AC92,""))</f>
        <v/>
      </c>
    </row>
    <row r="95">
      <c r="A95" s="18" t="inlineStr">
        <is>
          <t>상승여력</t>
        </is>
      </c>
      <c r="B95" s="10" t="n"/>
      <c r="C95" s="35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5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7">
        <f>IF(OR(Y94="",$B$86=""),"",IFERROR(Y94/$B$86-1,""))</f>
        <v/>
      </c>
      <c r="Z95" s="38">
        <f>IF(OR(Z94="",$B$86=""),"",IFERROR(Z94/$B$86-1,""))</f>
        <v/>
      </c>
      <c r="AA95" s="38">
        <f>IF(OR(AA94="",$B$86=""),"",IFERROR(AA94/$B$86-1,""))</f>
        <v/>
      </c>
      <c r="AB95" s="38">
        <f>IF(OR(AB94="",$B$86=""),"",IFERROR(AB94/$B$86-1,""))</f>
        <v/>
      </c>
      <c r="AC95" s="38">
        <f>IF(OR(AC94="",$B$86=""),"",IFERROR(AC94/$B$86-1,""))</f>
        <v/>
      </c>
    </row>
    <row r="96">
      <c r="A96" s="16" t="inlineStr">
        <is>
          <t>자산가치 산출</t>
        </is>
      </c>
      <c r="B96" s="16" t="inlineStr">
        <is>
          <t>최신 분기 BS</t>
        </is>
      </c>
      <c r="C96" s="17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7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7" t="n"/>
      <c r="Z96" s="16" t="n"/>
      <c r="AA96" s="16" t="n"/>
      <c r="AB96" s="16" t="n"/>
      <c r="AC96" s="16" t="n"/>
    </row>
    <row r="97">
      <c r="A97" s="18" t="inlineStr">
        <is>
          <t>현금및현금성자산</t>
        </is>
      </c>
      <c r="B97" s="10" t="n"/>
      <c r="C97" s="19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19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>
        <f>'재무상태표'!G6</f>
        <v/>
      </c>
      <c r="Y97" s="19">
        <f>'재무상태표'!G6</f>
        <v/>
      </c>
      <c r="Z97" s="20">
        <f>'재무상태표'!G6</f>
        <v/>
      </c>
      <c r="AA97" s="20">
        <f>'재무상태표'!G6</f>
        <v/>
      </c>
      <c r="AB97" s="20">
        <f>'재무상태표'!G6</f>
        <v/>
      </c>
      <c r="AC97" s="20">
        <f>'재무상태표'!G6</f>
        <v/>
      </c>
    </row>
    <row r="98">
      <c r="A98" s="18" t="inlineStr">
        <is>
          <t>단기금융상품</t>
        </is>
      </c>
      <c r="B98" s="10" t="n"/>
      <c r="C98" s="19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19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>
        <f>'재무상태표'!G7</f>
        <v/>
      </c>
      <c r="Y98" s="19">
        <f>'재무상태표'!G7</f>
        <v/>
      </c>
      <c r="Z98" s="20">
        <f>'재무상태표'!G7</f>
        <v/>
      </c>
      <c r="AA98" s="20">
        <f>'재무상태표'!G7</f>
        <v/>
      </c>
      <c r="AB98" s="20">
        <f>'재무상태표'!G7</f>
        <v/>
      </c>
      <c r="AC98" s="20">
        <f>'재무상태표'!G7</f>
        <v/>
      </c>
    </row>
    <row r="99">
      <c r="A99" s="18" t="inlineStr">
        <is>
          <t>투자부동산</t>
        </is>
      </c>
      <c r="B99" s="10" t="n"/>
      <c r="C99" s="19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19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>
        <f>'재무상태표'!G14</f>
        <v/>
      </c>
      <c r="Y99" s="19">
        <f>'재무상태표'!G14</f>
        <v/>
      </c>
      <c r="Z99" s="20">
        <f>'재무상태표'!G14</f>
        <v/>
      </c>
      <c r="AA99" s="20">
        <f>'재무상태표'!G14</f>
        <v/>
      </c>
      <c r="AB99" s="20">
        <f>'재무상태표'!G14</f>
        <v/>
      </c>
      <c r="AC99" s="20">
        <f>'재무상태표'!G14</f>
        <v/>
      </c>
    </row>
    <row r="100">
      <c r="A100" s="18" t="inlineStr">
        <is>
          <t>지배자본</t>
        </is>
      </c>
      <c r="B100" s="10" t="n"/>
      <c r="C100" s="19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19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>
        <f>'재무상태표'!G31</f>
        <v/>
      </c>
      <c r="Y100" s="19">
        <f>'재무상태표'!G31</f>
        <v/>
      </c>
      <c r="Z100" s="20">
        <f>'재무상태표'!G31</f>
        <v/>
      </c>
      <c r="AA100" s="20">
        <f>'재무상태표'!G31</f>
        <v/>
      </c>
      <c r="AB100" s="20">
        <f>'재무상태표'!G31</f>
        <v/>
      </c>
      <c r="AC100" s="20">
        <f>'재무상태표'!G31</f>
        <v/>
      </c>
    </row>
    <row r="101">
      <c r="A101" s="18" t="inlineStr">
        <is>
          <t>부채</t>
        </is>
      </c>
      <c r="B101" s="10" t="n"/>
      <c r="C101" s="19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19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>
        <f>'재무상태표'!G27</f>
        <v/>
      </c>
      <c r="Y101" s="19">
        <f>'재무상태표'!G27</f>
        <v/>
      </c>
      <c r="Z101" s="20">
        <f>'재무상태표'!G27</f>
        <v/>
      </c>
      <c r="AA101" s="20">
        <f>'재무상태표'!G27</f>
        <v/>
      </c>
      <c r="AB101" s="20">
        <f>'재무상태표'!G27</f>
        <v/>
      </c>
      <c r="AC101" s="20">
        <f>'재무상태표'!G27</f>
        <v/>
      </c>
    </row>
    <row r="102">
      <c r="A102" s="13" t="inlineStr">
        <is>
          <t>부채비율</t>
        </is>
      </c>
      <c r="B102" s="10" t="n"/>
      <c r="C102" s="14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4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>
        <f>IF(OR(X101="",X100=""),"",IFERROR(X101/X100,""))</f>
        <v/>
      </c>
      <c r="Y102" s="14">
        <f>IF(OR(Y101="",Y100=""),"",IFERROR(Y101/Y100,""))</f>
        <v/>
      </c>
      <c r="Z102" s="15">
        <f>IF(OR(Z101="",Z100=""),"",IFERROR(Z101/Z100,""))</f>
        <v/>
      </c>
      <c r="AA102" s="15">
        <f>IF(OR(AA101="",AA100=""),"",IFERROR(AA101/AA100,""))</f>
        <v/>
      </c>
      <c r="AB102" s="15">
        <f>IF(OR(AB101="",AB100=""),"",IFERROR(AB101/AB100,""))</f>
        <v/>
      </c>
      <c r="AC102" s="15">
        <f>IF(OR(AC101="",AC100=""),"",IFERROR(AC101/AC100,""))</f>
        <v/>
      </c>
    </row>
    <row r="103">
      <c r="A103" s="9" t="inlineStr">
        <is>
          <t>자산가치</t>
        </is>
      </c>
      <c r="B103" s="10" t="inlineStr">
        <is>
          <t>현금+단기금융+투자부동산</t>
        </is>
      </c>
      <c r="C103" s="11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1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>
        <f>SUM(X97,X98,X99)</f>
        <v/>
      </c>
      <c r="Y103" s="11">
        <f>SUM(Y97,Y98,Y99)</f>
        <v/>
      </c>
      <c r="Z103" s="12">
        <f>SUM(Z97,Z98,Z99)</f>
        <v/>
      </c>
      <c r="AA103" s="12">
        <f>SUM(AA97,AA98,AA99)</f>
        <v/>
      </c>
      <c r="AB103" s="12">
        <f>SUM(AB97,AB98,AB99)</f>
        <v/>
      </c>
      <c r="AC103" s="12">
        <f>SUM(AC97,AC98,AC99)</f>
        <v/>
      </c>
    </row>
    <row r="104">
      <c r="A104" s="16" t="inlineStr">
        <is>
          <t>기업가치 산출</t>
        </is>
      </c>
      <c r="B104" s="16" t="n"/>
      <c r="C104" s="17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7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7" t="n"/>
      <c r="Z104" s="16" t="n"/>
      <c r="AA104" s="16" t="n"/>
      <c r="AB104" s="16" t="n"/>
      <c r="AC104" s="16" t="n"/>
    </row>
    <row r="105">
      <c r="A105" s="18" t="inlineStr">
        <is>
          <t>목표 시가총액 (P/E)</t>
        </is>
      </c>
      <c r="B105" s="10" t="inlineStr">
        <is>
          <t>지배순이익 × Target P/E</t>
        </is>
      </c>
      <c r="C105" s="19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19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19">
        <f>IF(OR(Y82="",Y92=""),"",IFERROR(Y82*Y92,""))</f>
        <v/>
      </c>
      <c r="Z105" s="20">
        <f>IF(OR(Z82="",Z92=""),"",IFERROR(Z82*Z92,""))</f>
        <v/>
      </c>
      <c r="AA105" s="20">
        <f>IF(OR(AA82="",AA92=""),"",IFERROR(AA82*AA92,""))</f>
        <v/>
      </c>
      <c r="AB105" s="20">
        <f>IF(OR(AB82="",AB92=""),"",IFERROR(AB82*AB92,""))</f>
        <v/>
      </c>
      <c r="AC105" s="20">
        <f>IF(OR(AC82="",AC92=""),"",IFERROR(AC82*AC92,""))</f>
        <v/>
      </c>
    </row>
    <row r="106">
      <c r="A106" s="9" t="inlineStr">
        <is>
          <t>기업가치</t>
        </is>
      </c>
      <c r="B106" s="10" t="inlineStr">
        <is>
          <t>목표시총 + 자산가치</t>
        </is>
      </c>
      <c r="C106" s="11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1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1">
        <f>IF(OR(Y105=""),"",IFERROR(Y105+Y103,""))</f>
        <v/>
      </c>
      <c r="Z106" s="12">
        <f>IF(OR(Z105=""),"",IFERROR(Z105+Z103,""))</f>
        <v/>
      </c>
      <c r="AA106" s="12">
        <f>IF(OR(AA105=""),"",IFERROR(AA105+AA103,""))</f>
        <v/>
      </c>
      <c r="AB106" s="12">
        <f>IF(OR(AB105=""),"",IFERROR(AB105+AB103,""))</f>
        <v/>
      </c>
      <c r="AC106" s="12">
        <f>IF(OR(AC105=""),"",IFERROR(AC105+AC103,""))</f>
        <v/>
      </c>
    </row>
    <row r="107">
      <c r="A107" s="18" t="inlineStr">
        <is>
          <t>현재 시가총액</t>
        </is>
      </c>
      <c r="B107" s="10" t="n"/>
      <c r="C107" s="19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19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19">
        <f>$B$88</f>
        <v/>
      </c>
      <c r="Z107" s="20">
        <f>$B$88</f>
        <v/>
      </c>
      <c r="AA107" s="20">
        <f>$B$88</f>
        <v/>
      </c>
      <c r="AB107" s="20">
        <f>$B$88</f>
        <v/>
      </c>
      <c r="AC107" s="20">
        <f>$B$88</f>
        <v/>
      </c>
    </row>
    <row r="108">
      <c r="A108" s="18" t="inlineStr">
        <is>
          <t>상승여력</t>
        </is>
      </c>
      <c r="B108" s="10" t="n"/>
      <c r="C108" s="35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5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7">
        <f>IF(OR(Y106="",Y107=""),"",IFERROR(Y106/Y107-1,""))</f>
        <v/>
      </c>
      <c r="Z108" s="38">
        <f>IF(OR(Z106="",Z107=""),"",IFERROR(Z106/Z107-1,""))</f>
        <v/>
      </c>
      <c r="AA108" s="38">
        <f>IF(OR(AA106="",AA107=""),"",IFERROR(AA106/AA107-1,""))</f>
        <v/>
      </c>
      <c r="AB108" s="38">
        <f>IF(OR(AB106="",AB107=""),"",IFERROR(AB106/AB107-1,""))</f>
        <v/>
      </c>
      <c r="AC108" s="38">
        <f>IF(OR(AC106="",AC107=""),"",IFERROR(AC106/AC107-1,""))</f>
        <v/>
      </c>
    </row>
    <row r="109">
      <c r="C109" s="39" t="n"/>
      <c r="O109" s="39" t="n"/>
      <c r="Y109" s="39" t="n"/>
    </row>
    <row r="110">
      <c r="A110" s="40" t="inlineStr">
        <is>
          <t>출처</t>
        </is>
      </c>
      <c r="C110" s="39" t="n"/>
      <c r="O110" s="39" t="n"/>
      <c r="Y110" s="39" t="n"/>
    </row>
    <row r="111">
      <c r="A111" s="41" t="inlineStr">
        <is>
          <t>결산단신 XBRL(TDnet·JPX 보관소) — 쓴 문서는 '출처' 시트</t>
        </is>
      </c>
      <c r="C111" s="39" t="n"/>
      <c r="O111" s="39" t="n"/>
      <c r="Y111" s="39" t="n"/>
    </row>
    <row r="112">
      <c r="A112" s="41" t="inlineStr">
        <is>
          <t>분기 = 누계에서 앞 분기를 뺀 3개월 값</t>
        </is>
      </c>
      <c r="C112" s="39" t="n"/>
      <c r="O112" s="39" t="n"/>
      <c r="Y112" s="39" t="n"/>
    </row>
    <row r="113">
      <c r="A113" s="41" t="inlineStr">
        <is>
          <t>주가: 야후 파이낸스 일봉</t>
        </is>
      </c>
      <c r="C113" s="39" t="n"/>
      <c r="O113" s="39" t="n"/>
      <c r="Y113" s="39" t="n"/>
    </row>
    <row r="115">
      <c r="A115" s="16" t="inlineStr">
        <is>
          <t>손익계산서 · 전 항목</t>
        </is>
      </c>
      <c r="B115" s="42" t="inlineStr">
        <is>
          <t>분기 = 3개월 단독</t>
        </is>
      </c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</row>
    <row r="116">
      <c r="A116" s="5" t="inlineStr">
        <is>
          <t>항목</t>
        </is>
      </c>
      <c r="B116" s="5" t="inlineStr">
        <is>
          <t>참고</t>
        </is>
      </c>
      <c r="C116" s="5" t="inlineStr">
        <is>
          <t>2024.3Q</t>
        </is>
      </c>
      <c r="D116" s="5" t="inlineStr">
        <is>
          <t>2024.4Q</t>
        </is>
      </c>
      <c r="E116" s="5" t="inlineStr">
        <is>
          <t>2025.1Q</t>
        </is>
      </c>
      <c r="F116" s="5" t="inlineStr">
        <is>
          <t>2025.2Q</t>
        </is>
      </c>
      <c r="G116" s="5" t="inlineStr">
        <is>
          <t>2025.3Q</t>
        </is>
      </c>
      <c r="H116" s="5" t="inlineStr">
        <is>
          <t>2025.4Q</t>
        </is>
      </c>
      <c r="I116" s="5" t="inlineStr">
        <is>
          <t>2026.1Q</t>
        </is>
      </c>
      <c r="J116" s="5" t="inlineStr">
        <is>
          <t>2026.2Q</t>
        </is>
      </c>
      <c r="K116" s="5" t="inlineStr">
        <is>
          <t>2026.3Q</t>
        </is>
      </c>
      <c r="L116" s="5" t="inlineStr">
        <is>
          <t>2026.4Q</t>
        </is>
      </c>
      <c r="M116" s="5" t="inlineStr">
        <is>
          <t>2027.1Q</t>
        </is>
      </c>
      <c r="N116" s="5" t="inlineStr">
        <is>
          <t>2027.2Q</t>
        </is>
      </c>
      <c r="O116" s="5" t="inlineStr">
        <is>
          <t>2017</t>
        </is>
      </c>
      <c r="P116" s="5" t="inlineStr">
        <is>
          <t>2018</t>
        </is>
      </c>
      <c r="Q116" s="5" t="inlineStr">
        <is>
          <t>2019</t>
        </is>
      </c>
      <c r="R116" s="5" t="inlineStr">
        <is>
          <t>2020</t>
        </is>
      </c>
      <c r="S116" s="5" t="inlineStr">
        <is>
          <t>2021</t>
        </is>
      </c>
      <c r="T116" s="5" t="inlineStr">
        <is>
          <t>2022</t>
        </is>
      </c>
      <c r="U116" s="5" t="inlineStr">
        <is>
          <t>2023</t>
        </is>
      </c>
      <c r="V116" s="5" t="inlineStr">
        <is>
          <t>2024</t>
        </is>
      </c>
      <c r="W116" s="5" t="inlineStr">
        <is>
          <t>2025</t>
        </is>
      </c>
      <c r="X116" s="5" t="inlineStr">
        <is>
          <t>2026</t>
        </is>
      </c>
      <c r="Y116" s="5" t="inlineStr">
        <is>
          <t>2027(MW)</t>
        </is>
      </c>
      <c r="Z116" s="5" t="inlineStr">
        <is>
          <t>2028(MW)</t>
        </is>
      </c>
      <c r="AA116" s="5" t="inlineStr">
        <is>
          <t>2029(MW)</t>
        </is>
      </c>
      <c r="AB116" s="5" t="inlineStr">
        <is>
          <t>2030(MW)</t>
        </is>
      </c>
      <c r="AC116" s="5" t="inlineStr">
        <is>
          <t>2031(MW)</t>
        </is>
      </c>
    </row>
    <row r="117">
      <c r="A117" s="9" t="inlineStr">
        <is>
          <t>매출액</t>
        </is>
      </c>
      <c r="C117" s="12" t="n">
        <v>2291.775</v>
      </c>
      <c r="D117" s="12" t="n">
        <v>2146.983</v>
      </c>
      <c r="E117" s="12" t="n">
        <v>2619.298</v>
      </c>
      <c r="F117" s="12" t="n">
        <v>2223.097</v>
      </c>
      <c r="G117" s="12" t="n">
        <v>1518.756</v>
      </c>
      <c r="H117" s="12" t="n">
        <v>1999.053</v>
      </c>
      <c r="I117" s="12" t="n">
        <v>2050.984</v>
      </c>
      <c r="J117" s="12" t="n">
        <v>2228.002</v>
      </c>
      <c r="K117" s="12" t="n">
        <v>2325.54</v>
      </c>
      <c r="L117" s="12" t="n">
        <v>2664.553</v>
      </c>
      <c r="M117" s="12" t="n">
        <v>2683.456</v>
      </c>
      <c r="N117" s="12" t="n">
        <v>2689.707</v>
      </c>
      <c r="T117" s="12" t="n">
        <v>2549.119</v>
      </c>
      <c r="U117" s="12" t="n">
        <v>2243.192</v>
      </c>
      <c r="V117" s="12" t="n">
        <v>2146.983</v>
      </c>
      <c r="W117" s="12" t="n">
        <v>1999.053</v>
      </c>
      <c r="X117" s="12" t="n">
        <v>2664.553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IF(OR(G117="",C117=""),"",IF(C117&lt;=0,"",IFERROR(G117/C117-1,"")))</f>
        <v/>
      </c>
      <c r="H118" s="15">
        <f>IF(OR(H117="",D117=""),"",IF(D117&lt;=0,"",IFERROR(H117/D117-1,"")))</f>
        <v/>
      </c>
      <c r="I118" s="15">
        <f>IF(OR(I117="",E117=""),"",IF(E117&lt;=0,"",IFERROR(I117/E117-1,"")))</f>
        <v/>
      </c>
      <c r="J118" s="15">
        <f>IF(OR(J117="",F117=""),"",IF(F117&lt;=0,"",IFERROR(J117/F117-1,"")))</f>
        <v/>
      </c>
      <c r="K118" s="15">
        <f>IF(OR(K117="",G117=""),"",IF(G117&lt;=0,"",IFERROR(K117/G117-1,"")))</f>
        <v/>
      </c>
      <c r="L118" s="15">
        <f>IF(OR(L117="",H117=""),"",IF(H117&lt;=0,"",IFERROR(L117/H117-1,"")))</f>
        <v/>
      </c>
      <c r="M118" s="15">
        <f>IF(OR(M117="",I117=""),"",IF(I117&lt;=0,"",IFERROR(M117/I117-1,"")))</f>
        <v/>
      </c>
      <c r="N118" s="15">
        <f>IF(OR(N117="",J117=""),"",IF(J117&lt;=0,"",IFERROR(N117/J117-1,"")))</f>
        <v/>
      </c>
      <c r="T118" s="15">
        <f>IF(OR(T117="",S117=""),"",IF(S117&lt;=0,"",IFERROR(T117/S117-1,"")))</f>
        <v/>
      </c>
      <c r="U118" s="15">
        <f>IF(OR(U117="",T117=""),"",IF(T117&lt;=0,"",IFERROR(U117/T117-1,"")))</f>
        <v/>
      </c>
      <c r="V118" s="15">
        <f>IF(OR(V117="",U117=""),"",IF(U117&lt;=0,"",IFERROR(V117/U117-1,"")))</f>
        <v/>
      </c>
      <c r="W118" s="15">
        <f>IF(OR(W117="",V117=""),"",IF(V117&lt;=0,"",IFERROR(W117/V117-1,"")))</f>
        <v/>
      </c>
      <c r="X118" s="15">
        <f>IF(OR(X117="",W117=""),"",IF(W117&lt;=0,"",IFERROR(X117/W117-1,"")))</f>
        <v/>
      </c>
    </row>
    <row r="119">
      <c r="A119" s="18" t="inlineStr">
        <is>
          <t>매출원가</t>
        </is>
      </c>
      <c r="C119" s="20" t="n">
        <v>1549.408</v>
      </c>
      <c r="D119" s="20" t="n">
        <v>1821.954</v>
      </c>
      <c r="E119" s="20" t="n">
        <v>1809.3</v>
      </c>
      <c r="F119" s="20" t="n">
        <v>1375.618</v>
      </c>
      <c r="G119" s="20" t="n">
        <v>1148.789</v>
      </c>
      <c r="H119" s="20" t="n">
        <v>1312.272</v>
      </c>
      <c r="I119" s="20" t="n">
        <v>1301.647</v>
      </c>
      <c r="J119" s="20" t="n">
        <v>1541.998</v>
      </c>
      <c r="K119" s="20" t="n">
        <v>1653.913</v>
      </c>
      <c r="L119" s="20" t="n">
        <v>1803.534</v>
      </c>
      <c r="M119" s="20" t="n">
        <v>1808.255</v>
      </c>
      <c r="N119" s="20" t="n">
        <v>1837.752</v>
      </c>
      <c r="T119" s="20" t="n">
        <v>1852.502</v>
      </c>
      <c r="U119" s="20" t="n">
        <v>1579.961</v>
      </c>
      <c r="V119" s="20" t="n">
        <v>1821.954</v>
      </c>
      <c r="W119" s="20" t="n">
        <v>1312.272</v>
      </c>
      <c r="X119" s="20" t="n">
        <v>1803.534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IF(OR(G119="",C119=""),"",IF(G119*C119&lt;=0,"",IFERROR(G119/C119-1,"")))</f>
        <v/>
      </c>
      <c r="H120" s="15">
        <f>IF(OR(H119="",D119=""),"",IF(H119*D119&lt;=0,"",IFERROR(H119/D119-1,"")))</f>
        <v/>
      </c>
      <c r="I120" s="15">
        <f>IF(OR(I119="",E119=""),"",IF(I119*E119&lt;=0,"",IFERROR(I119/E119-1,"")))</f>
        <v/>
      </c>
      <c r="J120" s="15">
        <f>IF(OR(J119="",F119=""),"",IF(J119*F119&lt;=0,"",IFERROR(J119/F119-1,"")))</f>
        <v/>
      </c>
      <c r="K120" s="15">
        <f>IF(OR(K119="",G119=""),"",IF(K119*G119&lt;=0,"",IFERROR(K119/G119-1,"")))</f>
        <v/>
      </c>
      <c r="L120" s="15">
        <f>IF(OR(L119="",H119=""),"",IF(L119*H119&lt;=0,"",IFERROR(L119/H119-1,"")))</f>
        <v/>
      </c>
      <c r="M120" s="15">
        <f>IF(OR(M119="",I119=""),"",IF(M119*I119&lt;=0,"",IFERROR(M119/I119-1,"")))</f>
        <v/>
      </c>
      <c r="N120" s="15">
        <f>IF(OR(N119="",J119=""),"",IF(N119*J119&lt;=0,"",IFERROR(N119/J119-1,"")))</f>
        <v/>
      </c>
      <c r="T120" s="15">
        <f>IF(OR(T119="",S119=""),"",IF(T119*S119&lt;=0,"",IFERROR(T119/S119-1,"")))</f>
        <v/>
      </c>
      <c r="U120" s="15">
        <f>IF(OR(U119="",T119=""),"",IF(U119*T119&lt;=0,"",IFERROR(U119/T119-1,"")))</f>
        <v/>
      </c>
      <c r="V120" s="15">
        <f>IF(OR(V119="",U119=""),"",IF(V119*U119&lt;=0,"",IFERROR(V119/U119-1,"")))</f>
        <v/>
      </c>
      <c r="W120" s="15">
        <f>IF(OR(W119="",V119=""),"",IF(W119*V119&lt;=0,"",IFERROR(W119/V119-1,"")))</f>
        <v/>
      </c>
      <c r="X120" s="15">
        <f>IF(OR(X119="",W119=""),"",IF(X119*W119&lt;=0,"",IFERROR(X119/W119-1,"")))</f>
        <v/>
      </c>
    </row>
    <row r="121">
      <c r="A121" s="9" t="inlineStr">
        <is>
          <t>매출총이익</t>
        </is>
      </c>
      <c r="C121" s="12" t="n">
        <v>742.366</v>
      </c>
      <c r="D121" s="12" t="n">
        <v>325.03</v>
      </c>
      <c r="E121" s="12" t="n">
        <v>809.997</v>
      </c>
      <c r="F121" s="12" t="n">
        <v>847.479</v>
      </c>
      <c r="G121" s="12" t="n">
        <v>369.968</v>
      </c>
      <c r="H121" s="12" t="n">
        <v>686.78</v>
      </c>
      <c r="I121" s="12" t="n">
        <v>749.336</v>
      </c>
      <c r="J121" s="12" t="n">
        <v>686.004</v>
      </c>
      <c r="K121" s="12" t="n">
        <v>671.627</v>
      </c>
      <c r="L121" s="12" t="n">
        <v>861.02</v>
      </c>
      <c r="M121" s="12" t="n">
        <v>875.201</v>
      </c>
      <c r="N121" s="12" t="n">
        <v>851.955</v>
      </c>
      <c r="T121" s="12" t="n">
        <v>696.6180000000001</v>
      </c>
      <c r="U121" s="12" t="n">
        <v>663.232</v>
      </c>
      <c r="V121" s="12" t="n">
        <v>325.03</v>
      </c>
      <c r="W121" s="12" t="n">
        <v>686.78</v>
      </c>
      <c r="X121" s="12" t="n">
        <v>861.02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IF(OR(G121="",C121=""),"",IF(C121&lt;=0,"",IFERROR(G121/C121-1,"")))</f>
        <v/>
      </c>
      <c r="H122" s="15">
        <f>IF(OR(H121="",D121=""),"",IF(D121&lt;=0,"",IFERROR(H121/D121-1,"")))</f>
        <v/>
      </c>
      <c r="I122" s="15">
        <f>IF(OR(I121="",E121=""),"",IF(E121&lt;=0,"",IFERROR(I121/E121-1,"")))</f>
        <v/>
      </c>
      <c r="J122" s="15">
        <f>IF(OR(J121="",F121=""),"",IF(F121&lt;=0,"",IFERROR(J121/F121-1,"")))</f>
        <v/>
      </c>
      <c r="K122" s="15">
        <f>IF(OR(K121="",G121=""),"",IF(G121&lt;=0,"",IFERROR(K121/G121-1,"")))</f>
        <v/>
      </c>
      <c r="L122" s="15">
        <f>IF(OR(L121="",H121=""),"",IF(H121&lt;=0,"",IFERROR(L121/H121-1,"")))</f>
        <v/>
      </c>
      <c r="M122" s="15">
        <f>IF(OR(M121="",I121=""),"",IF(I121&lt;=0,"",IFERROR(M121/I121-1,"")))</f>
        <v/>
      </c>
      <c r="N122" s="15">
        <f>IF(OR(N121="",J121=""),"",IF(J121&lt;=0,"",IFERROR(N121/J121-1,"")))</f>
        <v/>
      </c>
      <c r="T122" s="15">
        <f>IF(OR(T121="",S121=""),"",IF(S121&lt;=0,"",IFERROR(T121/S121-1,"")))</f>
        <v/>
      </c>
      <c r="U122" s="15">
        <f>IF(OR(U121="",T121=""),"",IF(T121&lt;=0,"",IFERROR(U121/T121-1,"")))</f>
        <v/>
      </c>
      <c r="V122" s="15">
        <f>IF(OR(V121="",U121=""),"",IF(U121&lt;=0,"",IFERROR(V121/U121-1,"")))</f>
        <v/>
      </c>
      <c r="W122" s="15">
        <f>IF(OR(W121="",V121=""),"",IF(V121&lt;=0,"",IFERROR(W121/V121-1,"")))</f>
        <v/>
      </c>
      <c r="X122" s="15">
        <f>IF(OR(X121="",W121=""),"",IF(W121&lt;=0,"",IFERROR(X121/W121-1,"")))</f>
        <v/>
      </c>
    </row>
    <row r="123">
      <c r="A123" s="18" t="inlineStr">
        <is>
          <t>판매비와 관리비</t>
        </is>
      </c>
      <c r="C123" s="20" t="n">
        <v>418.065</v>
      </c>
      <c r="D123" s="20" t="n">
        <v>506.215</v>
      </c>
      <c r="E123" s="20" t="n">
        <v>501.056</v>
      </c>
      <c r="F123" s="20" t="n">
        <v>489.828</v>
      </c>
      <c r="G123" s="20" t="n">
        <v>405.436</v>
      </c>
      <c r="H123" s="20" t="n">
        <v>432.599</v>
      </c>
      <c r="I123" s="20" t="n">
        <v>428.532</v>
      </c>
      <c r="J123" s="20" t="n">
        <v>482.459</v>
      </c>
      <c r="K123" s="20" t="n">
        <v>460.123</v>
      </c>
      <c r="L123" s="20" t="n">
        <v>491.328</v>
      </c>
      <c r="M123" s="20" t="n">
        <v>509.173</v>
      </c>
      <c r="N123" s="20" t="n">
        <v>510.792</v>
      </c>
      <c r="T123" s="20" t="n">
        <v>381.702</v>
      </c>
      <c r="U123" s="20" t="n">
        <v>372.474</v>
      </c>
      <c r="V123" s="20" t="n">
        <v>506.215</v>
      </c>
      <c r="W123" s="20" t="n">
        <v>432.599</v>
      </c>
      <c r="X123" s="20" t="n">
        <v>491.328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IF(OR(G123="",C123=""),"",IF(G123*C123&lt;=0,"",IFERROR(G123/C123-1,"")))</f>
        <v/>
      </c>
      <c r="H124" s="15">
        <f>IF(OR(H123="",D123=""),"",IF(H123*D123&lt;=0,"",IFERROR(H123/D123-1,"")))</f>
        <v/>
      </c>
      <c r="I124" s="15">
        <f>IF(OR(I123="",E123=""),"",IF(I123*E123&lt;=0,"",IFERROR(I123/E123-1,"")))</f>
        <v/>
      </c>
      <c r="J124" s="15">
        <f>IF(OR(J123="",F123=""),"",IF(J123*F123&lt;=0,"",IFERROR(J123/F123-1,"")))</f>
        <v/>
      </c>
      <c r="K124" s="15">
        <f>IF(OR(K123="",G123=""),"",IF(K123*G123&lt;=0,"",IFERROR(K123/G123-1,"")))</f>
        <v/>
      </c>
      <c r="L124" s="15">
        <f>IF(OR(L123="",H123=""),"",IF(L123*H123&lt;=0,"",IFERROR(L123/H123-1,"")))</f>
        <v/>
      </c>
      <c r="M124" s="15">
        <f>IF(OR(M123="",I123=""),"",IF(M123*I123&lt;=0,"",IFERROR(M123/I123-1,"")))</f>
        <v/>
      </c>
      <c r="N124" s="15">
        <f>IF(OR(N123="",J123=""),"",IF(N123*J123&lt;=0,"",IFERROR(N123/J123-1,"")))</f>
        <v/>
      </c>
      <c r="T124" s="15">
        <f>IF(OR(T123="",S123=""),"",IF(T123*S123&lt;=0,"",IFERROR(T123/S123-1,"")))</f>
        <v/>
      </c>
      <c r="U124" s="15">
        <f>IF(OR(U123="",T123=""),"",IF(U123*T123&lt;=0,"",IFERROR(U123/T123-1,"")))</f>
        <v/>
      </c>
      <c r="V124" s="15">
        <f>IF(OR(V123="",U123=""),"",IF(V123*U123&lt;=0,"",IFERROR(V123/U123-1,"")))</f>
        <v/>
      </c>
      <c r="W124" s="15">
        <f>IF(OR(W123="",V123=""),"",IF(W123*V123&lt;=0,"",IFERROR(W123/V123-1,"")))</f>
        <v/>
      </c>
      <c r="X124" s="15">
        <f>IF(OR(X123="",W123=""),"",IF(X123*W123&lt;=0,"",IFERROR(X123/W123-1,"")))</f>
        <v/>
      </c>
    </row>
    <row r="125">
      <c r="A125" s="9" t="inlineStr">
        <is>
          <t>영업이익</t>
        </is>
      </c>
      <c r="C125" s="12" t="n">
        <v>324.302</v>
      </c>
      <c r="D125" s="12" t="n">
        <v>-181.186</v>
      </c>
      <c r="E125" s="12" t="n">
        <v>308.94</v>
      </c>
      <c r="F125" s="12" t="n">
        <v>357.652</v>
      </c>
      <c r="G125" s="12" t="n">
        <v>-35.469</v>
      </c>
      <c r="H125" s="12" t="n">
        <v>254.182</v>
      </c>
      <c r="I125" s="12" t="n">
        <v>320.804</v>
      </c>
      <c r="J125" s="12" t="n">
        <v>203.545</v>
      </c>
      <c r="K125" s="12" t="n">
        <v>211.503</v>
      </c>
      <c r="L125" s="12" t="n">
        <v>369.692</v>
      </c>
      <c r="M125" s="12" t="n">
        <v>366.027</v>
      </c>
      <c r="N125" s="12" t="n">
        <v>341.163</v>
      </c>
      <c r="T125" s="12" t="n">
        <v>314.916</v>
      </c>
      <c r="U125" s="12" t="n">
        <v>290.759</v>
      </c>
      <c r="V125" s="12" t="n">
        <v>-181.186</v>
      </c>
      <c r="W125" s="12" t="n">
        <v>254.182</v>
      </c>
      <c r="X125" s="12" t="n">
        <v>369.692</v>
      </c>
    </row>
    <row r="126">
      <c r="A126" s="43" t="inlineStr">
        <is>
          <t>OPM</t>
        </is>
      </c>
      <c r="B126" s="3" t="inlineStr">
        <is>
          <t>영업이익 ÷ 매출</t>
        </is>
      </c>
      <c r="C126" s="15">
        <f>IF(OR(C125="",C117=""),"",IF(C117&lt;=0,"",IFERROR(C125/C117,"")))</f>
        <v/>
      </c>
      <c r="D126" s="15">
        <f>IF(OR(D125="",D117=""),"",IF(D117&lt;=0,"",IFERROR(D125/D117,"")))</f>
        <v/>
      </c>
      <c r="E126" s="15">
        <f>IF(OR(E125="",E117=""),"",IF(E117&lt;=0,"",IFERROR(E125/E117,"")))</f>
        <v/>
      </c>
      <c r="F126" s="15">
        <f>IF(OR(F125="",F117=""),"",IF(F117&lt;=0,"",IFERROR(F125/F117,"")))</f>
        <v/>
      </c>
      <c r="G126" s="15">
        <f>IF(OR(G125="",G117=""),"",IF(G117&lt;=0,"",IFERROR(G125/G117,"")))</f>
        <v/>
      </c>
      <c r="H126" s="15">
        <f>IF(OR(H125="",H117=""),"",IF(H117&lt;=0,"",IFERROR(H125/H117,"")))</f>
        <v/>
      </c>
      <c r="I126" s="15">
        <f>IF(OR(I125="",I117=""),"",IF(I117&lt;=0,"",IFERROR(I125/I117,"")))</f>
        <v/>
      </c>
      <c r="J126" s="15">
        <f>IF(OR(J125="",J117=""),"",IF(J117&lt;=0,"",IFERROR(J125/J117,"")))</f>
        <v/>
      </c>
      <c r="K126" s="15">
        <f>IF(OR(K125="",K117=""),"",IF(K117&lt;=0,"",IFERROR(K125/K117,"")))</f>
        <v/>
      </c>
      <c r="L126" s="15">
        <f>IF(OR(L125="",L117=""),"",IF(L117&lt;=0,"",IFERROR(L125/L117,"")))</f>
        <v/>
      </c>
      <c r="M126" s="15">
        <f>IF(OR(M125="",M117=""),"",IF(M117&lt;=0,"",IFERROR(M125/M117,"")))</f>
        <v/>
      </c>
      <c r="N126" s="15">
        <f>IF(OR(N125="",N117=""),"",IF(N117&lt;=0,"",IFERROR(N125/N117,"")))</f>
        <v/>
      </c>
      <c r="T126" s="15">
        <f>IF(OR(T125="",T117=""),"",IF(T117&lt;=0,"",IFERROR(T125/T117,"")))</f>
        <v/>
      </c>
      <c r="U126" s="15">
        <f>IF(OR(U125="",U117=""),"",IF(U117&lt;=0,"",IFERROR(U125/U117,"")))</f>
        <v/>
      </c>
      <c r="V126" s="15">
        <f>IF(OR(V125="",V117=""),"",IF(V117&lt;=0,"",IFERROR(V125/V117,"")))</f>
        <v/>
      </c>
      <c r="W126" s="15">
        <f>IF(OR(W125="",W117=""),"",IF(W117&lt;=0,"",IFERROR(W125/W117,"")))</f>
        <v/>
      </c>
      <c r="X126" s="15">
        <f>IF(OR(X125="",X117=""),"",IF(X117&lt;=0,"",IFERROR(X125/X117,"")))</f>
        <v/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IF(OR(G125="",C125=""),"",IF(C125&lt;=0,"",IFERROR(G125/C125-1,"")))</f>
        <v/>
      </c>
      <c r="H127" s="15">
        <f>IF(OR(H125="",D125=""),"",IF(D125&lt;=0,"",IFERROR(H125/D125-1,"")))</f>
        <v/>
      </c>
      <c r="I127" s="15">
        <f>IF(OR(I125="",E125=""),"",IF(E125&lt;=0,"",IFERROR(I125/E125-1,"")))</f>
        <v/>
      </c>
      <c r="J127" s="15">
        <f>IF(OR(J125="",F125=""),"",IF(F125&lt;=0,"",IFERROR(J125/F125-1,"")))</f>
        <v/>
      </c>
      <c r="K127" s="15">
        <f>IF(OR(K125="",G125=""),"",IF(G125&lt;=0,"",IFERROR(K125/G125-1,"")))</f>
        <v/>
      </c>
      <c r="L127" s="15">
        <f>IF(OR(L125="",H125=""),"",IF(H125&lt;=0,"",IFERROR(L125/H125-1,"")))</f>
        <v/>
      </c>
      <c r="M127" s="15">
        <f>IF(OR(M125="",I125=""),"",IF(I125&lt;=0,"",IFERROR(M125/I125-1,"")))</f>
        <v/>
      </c>
      <c r="N127" s="15">
        <f>IF(OR(N125="",J125=""),"",IF(J125&lt;=0,"",IFERROR(N125/J125-1,"")))</f>
        <v/>
      </c>
      <c r="T127" s="15">
        <f>IF(OR(T125="",S125=""),"",IF(S125&lt;=0,"",IFERROR(T125/S125-1,"")))</f>
        <v/>
      </c>
      <c r="U127" s="15">
        <f>IF(OR(U125="",T125=""),"",IF(T125&lt;=0,"",IFERROR(U125/T125-1,"")))</f>
        <v/>
      </c>
      <c r="V127" s="15">
        <f>IF(OR(V125="",U125=""),"",IF(U125&lt;=0,"",IFERROR(V125/U125-1,"")))</f>
        <v/>
      </c>
      <c r="W127" s="15">
        <f>IF(OR(W125="",V125=""),"",IF(V125&lt;=0,"",IFERROR(W125/V125-1,"")))</f>
        <v/>
      </c>
      <c r="X127" s="15">
        <f>IF(OR(X125="",W125=""),"",IF(W125&lt;=0,"",IFERROR(X125/W125-1,"")))</f>
        <v/>
      </c>
    </row>
    <row r="128">
      <c r="A128" s="18" t="inlineStr">
        <is>
          <t>이자수익</t>
        </is>
      </c>
      <c r="C128" s="20" t="n">
        <v>7.9</v>
      </c>
      <c r="D128" s="20" t="n">
        <v>12.99</v>
      </c>
      <c r="E128" s="20" t="n">
        <v>10.088</v>
      </c>
      <c r="F128" s="20" t="n">
        <v>8.125999999999999</v>
      </c>
      <c r="G128" s="20" t="n">
        <v>11.703</v>
      </c>
      <c r="H128" s="20" t="n">
        <v>16.392</v>
      </c>
      <c r="I128" s="20" t="n">
        <v>13.764</v>
      </c>
      <c r="J128" s="20" t="n">
        <v>13.348</v>
      </c>
      <c r="K128" s="20" t="n">
        <v>16.44</v>
      </c>
      <c r="L128" s="20" t="n">
        <v>16.665</v>
      </c>
      <c r="M128" s="20" t="n">
        <v>17.765</v>
      </c>
      <c r="N128" s="20" t="n">
        <v>23.19</v>
      </c>
      <c r="T128" s="20" t="n">
        <v>4.192</v>
      </c>
      <c r="U128" s="20" t="n">
        <v>8.039</v>
      </c>
      <c r="V128" s="20" t="n">
        <v>12.99</v>
      </c>
      <c r="W128" s="20" t="n">
        <v>16.392</v>
      </c>
      <c r="X128" s="20" t="n">
        <v>16.665</v>
      </c>
    </row>
    <row r="129">
      <c r="A129" s="18" t="inlineStr">
        <is>
          <t>배당금수익</t>
        </is>
      </c>
      <c r="C129" s="20" t="n">
        <v>8.459</v>
      </c>
      <c r="D129" s="20" t="n">
        <v>0.159</v>
      </c>
      <c r="E129" s="20" t="n">
        <v>49.509</v>
      </c>
      <c r="F129" s="20" t="n">
        <v>0.661</v>
      </c>
      <c r="G129" s="20" t="n">
        <v>9.346</v>
      </c>
      <c r="H129" s="20" t="n">
        <v>0.181</v>
      </c>
      <c r="I129" s="20" t="n">
        <v>58.928</v>
      </c>
      <c r="J129" s="20" t="n">
        <v>0.732</v>
      </c>
      <c r="K129" s="20" t="n">
        <v>12.416</v>
      </c>
      <c r="L129" s="20" t="n">
        <v>-0.252</v>
      </c>
      <c r="M129" s="20" t="n">
        <v>81.84</v>
      </c>
      <c r="N129" s="20" t="n">
        <v>-63.229</v>
      </c>
      <c r="T129" s="20" t="n">
        <v>0</v>
      </c>
      <c r="U129" s="20" t="n">
        <v>0</v>
      </c>
      <c r="V129" s="20" t="n">
        <v>0.159</v>
      </c>
      <c r="W129" s="20" t="n">
        <v>0.181</v>
      </c>
      <c r="X129" s="20" t="n">
        <v>-0.252</v>
      </c>
    </row>
    <row r="130">
      <c r="A130" s="18" t="inlineStr">
        <is>
          <t>외환차익</t>
        </is>
      </c>
      <c r="C130" s="20" t="n">
        <v>89.947</v>
      </c>
      <c r="D130" s="20" t="n">
        <v>47.359</v>
      </c>
      <c r="E130" s="20" t="n">
        <v>0</v>
      </c>
      <c r="F130" s="20" t="n">
        <v>0</v>
      </c>
      <c r="G130" s="20" t="n">
        <v>31.778</v>
      </c>
      <c r="H130" s="20" t="n">
        <v>-31.778</v>
      </c>
      <c r="I130" s="20" t="n">
        <v>0</v>
      </c>
      <c r="J130" s="20" t="n">
        <v>30.179</v>
      </c>
      <c r="K130" s="20" t="n">
        <v>18.803</v>
      </c>
      <c r="L130" s="20" t="n">
        <v>-27.778</v>
      </c>
      <c r="M130" s="20" t="n">
        <v>6.843</v>
      </c>
      <c r="N130" s="20" t="n">
        <v>-6.843</v>
      </c>
      <c r="T130" s="20" t="n">
        <v>134.166</v>
      </c>
      <c r="U130" s="20" t="n">
        <v>0.955</v>
      </c>
      <c r="V130" s="20" t="n">
        <v>47.359</v>
      </c>
      <c r="W130" s="20" t="n">
        <v>-31.778</v>
      </c>
      <c r="X130" s="20" t="n">
        <v>-27.778</v>
      </c>
    </row>
    <row r="131">
      <c r="A131" s="18" t="inlineStr">
        <is>
          <t>잡이익</t>
        </is>
      </c>
      <c r="I131" s="20" t="n">
        <v>1.813</v>
      </c>
      <c r="J131" s="20" t="n">
        <v>4.036</v>
      </c>
      <c r="M131" s="20" t="n">
        <v>14.14</v>
      </c>
      <c r="N131" s="20" t="n">
        <v>11.935</v>
      </c>
    </row>
    <row r="132">
      <c r="A132" s="18" t="inlineStr">
        <is>
          <t>기타</t>
        </is>
      </c>
      <c r="C132" s="20" t="n">
        <v>6.521</v>
      </c>
      <c r="D132" s="20" t="n">
        <v>6.133</v>
      </c>
      <c r="E132" s="20" t="n">
        <v>22.977</v>
      </c>
      <c r="F132" s="20" t="n">
        <v>13.215</v>
      </c>
      <c r="G132" s="20" t="n">
        <v>6.05</v>
      </c>
      <c r="H132" s="20" t="n">
        <v>-9.938000000000001</v>
      </c>
      <c r="I132" s="20" t="n">
        <v>5.926</v>
      </c>
      <c r="J132" s="20" t="n">
        <v>5.888</v>
      </c>
      <c r="K132" s="20" t="n">
        <v>18.636</v>
      </c>
      <c r="L132" s="20" t="n">
        <v>-7.802</v>
      </c>
      <c r="M132" s="20" t="n">
        <v>3.833</v>
      </c>
      <c r="N132" s="20" t="n">
        <v>4.474</v>
      </c>
      <c r="T132" s="20" t="n">
        <v>-0.672</v>
      </c>
      <c r="U132" s="20" t="n">
        <v>3.119</v>
      </c>
      <c r="V132" s="20" t="n">
        <v>6.133</v>
      </c>
      <c r="W132" s="20" t="n">
        <v>-9.938000000000001</v>
      </c>
      <c r="X132" s="20" t="n">
        <v>-7.802</v>
      </c>
    </row>
    <row r="133">
      <c r="A133" s="18" t="inlineStr">
        <is>
          <t>영업외수익 합계</t>
        </is>
      </c>
      <c r="C133" s="20" t="n">
        <v>112.827</v>
      </c>
      <c r="D133" s="20" t="n">
        <v>66.642</v>
      </c>
      <c r="E133" s="20" t="n">
        <v>82.574</v>
      </c>
      <c r="F133" s="20" t="n">
        <v>22.003</v>
      </c>
      <c r="G133" s="20" t="n">
        <v>58.876</v>
      </c>
      <c r="H133" s="20" t="n">
        <v>-5.127</v>
      </c>
      <c r="I133" s="20" t="n">
        <v>80.432</v>
      </c>
      <c r="J133" s="20" t="n">
        <v>54.183</v>
      </c>
      <c r="K133" s="20" t="n">
        <v>60.447</v>
      </c>
      <c r="L133" s="20" t="n">
        <v>3.202</v>
      </c>
      <c r="M133" s="20" t="n">
        <v>124.422</v>
      </c>
      <c r="N133" s="20" t="n">
        <v>-30.474</v>
      </c>
      <c r="T133" s="20" t="n">
        <v>157.182</v>
      </c>
      <c r="U133" s="20" t="n">
        <v>13.01</v>
      </c>
      <c r="V133" s="20" t="n">
        <v>66.642</v>
      </c>
      <c r="W133" s="20" t="n">
        <v>-5.127</v>
      </c>
      <c r="X133" s="20" t="n">
        <v>3.202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IF(OR(G133="",C133=""),"",IF(G133*C133&lt;=0,"",IFERROR(G133/C133-1,"")))</f>
        <v/>
      </c>
      <c r="H134" s="15">
        <f>IF(OR(H133="",D133=""),"",IF(H133*D133&lt;=0,"",IFERROR(H133/D133-1,"")))</f>
        <v/>
      </c>
      <c r="I134" s="15">
        <f>IF(OR(I133="",E133=""),"",IF(I133*E133&lt;=0,"",IFERROR(I133/E133-1,"")))</f>
        <v/>
      </c>
      <c r="J134" s="15">
        <f>IF(OR(J133="",F133=""),"",IF(J133*F133&lt;=0,"",IFERROR(J133/F133-1,"")))</f>
        <v/>
      </c>
      <c r="K134" s="15">
        <f>IF(OR(K133="",G133=""),"",IF(K133*G133&lt;=0,"",IFERROR(K133/G133-1,"")))</f>
        <v/>
      </c>
      <c r="L134" s="15">
        <f>IF(OR(L133="",H133=""),"",IF(L133*H133&lt;=0,"",IFERROR(L133/H133-1,"")))</f>
        <v/>
      </c>
      <c r="M134" s="15">
        <f>IF(OR(M133="",I133=""),"",IF(M133*I133&lt;=0,"",IFERROR(M133/I133-1,"")))</f>
        <v/>
      </c>
      <c r="N134" s="15">
        <f>IF(OR(N133="",J133=""),"",IF(N133*J133&lt;=0,"",IFERROR(N133/J133-1,"")))</f>
        <v/>
      </c>
      <c r="T134" s="15">
        <f>IF(OR(T133="",S133=""),"",IF(T133*S133&lt;=0,"",IFERROR(T133/S133-1,"")))</f>
        <v/>
      </c>
      <c r="U134" s="15">
        <f>IF(OR(U133="",T133=""),"",IF(U133*T133&lt;=0,"",IFERROR(U133/T133-1,"")))</f>
        <v/>
      </c>
      <c r="V134" s="15">
        <f>IF(OR(V133="",U133=""),"",IF(V133*U133&lt;=0,"",IFERROR(V133/U133-1,"")))</f>
        <v/>
      </c>
      <c r="W134" s="15">
        <f>IF(OR(W133="",V133=""),"",IF(W133*V133&lt;=0,"",IFERROR(W133/V133-1,"")))</f>
        <v/>
      </c>
      <c r="X134" s="15">
        <f>IF(OR(X133="",W133=""),"",IF(X133*W133&lt;=0,"",IFERROR(X133/W133-1,"")))</f>
        <v/>
      </c>
    </row>
    <row r="135">
      <c r="A135" s="18" t="inlineStr">
        <is>
          <t>이자비용</t>
        </is>
      </c>
      <c r="C135" s="20" t="n">
        <v>18.165</v>
      </c>
      <c r="D135" s="20" t="n">
        <v>18.257</v>
      </c>
      <c r="E135" s="20" t="n">
        <v>20.31</v>
      </c>
      <c r="F135" s="20" t="n">
        <v>21.861</v>
      </c>
      <c r="G135" s="20" t="n">
        <v>25.483</v>
      </c>
      <c r="H135" s="20" t="n">
        <v>25.3</v>
      </c>
      <c r="I135" s="20" t="n">
        <v>27.155</v>
      </c>
      <c r="J135" s="20" t="n">
        <v>30.527</v>
      </c>
      <c r="K135" s="20" t="n">
        <v>26.977</v>
      </c>
      <c r="L135" s="20" t="n">
        <v>28.721</v>
      </c>
      <c r="M135" s="20" t="n">
        <v>31.981</v>
      </c>
      <c r="N135" s="20" t="n">
        <v>33.066</v>
      </c>
      <c r="T135" s="20" t="n">
        <v>6.955</v>
      </c>
      <c r="U135" s="20" t="n">
        <v>15.151</v>
      </c>
      <c r="V135" s="20" t="n">
        <v>18.257</v>
      </c>
      <c r="W135" s="20" t="n">
        <v>25.3</v>
      </c>
      <c r="X135" s="20" t="n">
        <v>28.721</v>
      </c>
    </row>
    <row r="136">
      <c r="A136" s="18" t="inlineStr">
        <is>
          <t>지급수수료</t>
        </is>
      </c>
      <c r="T136" s="20" t="n">
        <v>0</v>
      </c>
      <c r="U136" s="20" t="n">
        <v>0</v>
      </c>
    </row>
    <row r="137">
      <c r="A137" s="18" t="inlineStr">
        <is>
          <t>외환차손</t>
        </is>
      </c>
      <c r="E137" s="20" t="n">
        <v>154.31</v>
      </c>
      <c r="F137" s="20" t="n">
        <v>-119.98</v>
      </c>
      <c r="I137" s="20" t="n">
        <v>22.215</v>
      </c>
      <c r="J137" s="20" t="n">
        <v>-22.215</v>
      </c>
      <c r="M137" s="20" t="n">
        <v>0</v>
      </c>
      <c r="N137" s="20" t="n">
        <v>34.123</v>
      </c>
    </row>
    <row r="138">
      <c r="A138" s="18" t="inlineStr">
        <is>
          <t>기타</t>
        </is>
      </c>
      <c r="C138" s="20" t="n">
        <v>0.766</v>
      </c>
      <c r="D138" s="20" t="n">
        <v>0.175</v>
      </c>
      <c r="E138" s="20" t="n">
        <v>0.002</v>
      </c>
      <c r="F138" s="20" t="n">
        <v>0.002</v>
      </c>
      <c r="G138" s="20" t="n">
        <v>0.01</v>
      </c>
      <c r="H138" s="20" t="n">
        <v>0</v>
      </c>
      <c r="I138" s="20" t="n">
        <v>0</v>
      </c>
      <c r="J138" s="20" t="n">
        <v>0</v>
      </c>
      <c r="K138" s="20" t="n">
        <v>0</v>
      </c>
      <c r="L138" s="20" t="n">
        <v>0</v>
      </c>
      <c r="M138" s="20" t="n">
        <v>2.78</v>
      </c>
      <c r="N138" s="20" t="n">
        <v>2.34</v>
      </c>
      <c r="T138" s="20" t="n">
        <v>0</v>
      </c>
      <c r="U138" s="20" t="n">
        <v>0.323</v>
      </c>
      <c r="V138" s="20" t="n">
        <v>0.175</v>
      </c>
      <c r="W138" s="20" t="n">
        <v>0</v>
      </c>
      <c r="X138" s="20" t="n">
        <v>0</v>
      </c>
    </row>
    <row r="139">
      <c r="A139" s="18" t="inlineStr">
        <is>
          <t>영업외비용 합계</t>
        </is>
      </c>
      <c r="C139" s="20" t="n">
        <v>18.931</v>
      </c>
      <c r="D139" s="20" t="n">
        <v>18.433</v>
      </c>
      <c r="E139" s="20" t="n">
        <v>174.622</v>
      </c>
      <c r="F139" s="20" t="n">
        <v>-98.11499999999999</v>
      </c>
      <c r="G139" s="20" t="n">
        <v>-8.837999999999999</v>
      </c>
      <c r="H139" s="20" t="n">
        <v>326.847</v>
      </c>
      <c r="I139" s="20" t="n">
        <v>49.37</v>
      </c>
      <c r="J139" s="20" t="n">
        <v>8.311999999999999</v>
      </c>
      <c r="K139" s="20" t="n">
        <v>26.977</v>
      </c>
      <c r="L139" s="20" t="n">
        <v>42.049</v>
      </c>
      <c r="M139" s="20" t="n">
        <v>34.762</v>
      </c>
      <c r="N139" s="20" t="n">
        <v>69.53</v>
      </c>
      <c r="T139" s="20" t="n">
        <v>6.955</v>
      </c>
      <c r="U139" s="20" t="n">
        <v>15.475</v>
      </c>
      <c r="V139" s="20" t="n">
        <v>18.433</v>
      </c>
      <c r="W139" s="20" t="n">
        <v>326.847</v>
      </c>
      <c r="X139" s="20" t="n">
        <v>42.049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IF(OR(G139="",C139=""),"",IF(G139*C139&lt;=0,"",IFERROR(G139/C139-1,"")))</f>
        <v/>
      </c>
      <c r="H140" s="15">
        <f>IF(OR(H139="",D139=""),"",IF(H139*D139&lt;=0,"",IFERROR(H139/D139-1,"")))</f>
        <v/>
      </c>
      <c r="I140" s="15">
        <f>IF(OR(I139="",E139=""),"",IF(I139*E139&lt;=0,"",IFERROR(I139/E139-1,"")))</f>
        <v/>
      </c>
      <c r="J140" s="15">
        <f>IF(OR(J139="",F139=""),"",IF(J139*F139&lt;=0,"",IFERROR(J139/F139-1,"")))</f>
        <v/>
      </c>
      <c r="K140" s="15">
        <f>IF(OR(K139="",G139=""),"",IF(K139*G139&lt;=0,"",IFERROR(K139/G139-1,"")))</f>
        <v/>
      </c>
      <c r="L140" s="15">
        <f>IF(OR(L139="",H139=""),"",IF(L139*H139&lt;=0,"",IFERROR(L139/H139-1,"")))</f>
        <v/>
      </c>
      <c r="M140" s="15">
        <f>IF(OR(M139="",I139=""),"",IF(M139*I139&lt;=0,"",IFERROR(M139/I139-1,"")))</f>
        <v/>
      </c>
      <c r="N140" s="15">
        <f>IF(OR(N139="",J139=""),"",IF(N139*J139&lt;=0,"",IFERROR(N139/J139-1,"")))</f>
        <v/>
      </c>
      <c r="T140" s="15">
        <f>IF(OR(T139="",S139=""),"",IF(T139*S139&lt;=0,"",IFERROR(T139/S139-1,"")))</f>
        <v/>
      </c>
      <c r="U140" s="15">
        <f>IF(OR(U139="",T139=""),"",IF(U139*T139&lt;=0,"",IFERROR(U139/T139-1,"")))</f>
        <v/>
      </c>
      <c r="V140" s="15">
        <f>IF(OR(V139="",U139=""),"",IF(V139*U139&lt;=0,"",IFERROR(V139/U139-1,"")))</f>
        <v/>
      </c>
      <c r="W140" s="15">
        <f>IF(OR(W139="",V139=""),"",IF(W139*V139&lt;=0,"",IFERROR(W139/V139-1,"")))</f>
        <v/>
      </c>
      <c r="X140" s="15">
        <f>IF(OR(X139="",W139=""),"",IF(X139*W139&lt;=0,"",IFERROR(X139/W139-1,"")))</f>
        <v/>
      </c>
    </row>
    <row r="141">
      <c r="A141" s="9" t="inlineStr">
        <is>
          <t>경상이익</t>
        </is>
      </c>
      <c r="C141" s="12" t="n">
        <v>418.197</v>
      </c>
      <c r="D141" s="12" t="n">
        <v>-132.977</v>
      </c>
      <c r="E141" s="12" t="n">
        <v>216.892</v>
      </c>
      <c r="F141" s="12" t="n">
        <v>477.77</v>
      </c>
      <c r="G141" s="12" t="n">
        <v>32.246</v>
      </c>
      <c r="H141" s="12" t="n">
        <v>-77.79300000000001</v>
      </c>
      <c r="I141" s="12" t="n">
        <v>351.867</v>
      </c>
      <c r="J141" s="12" t="n">
        <v>249.415</v>
      </c>
      <c r="K141" s="12" t="n">
        <v>244.973</v>
      </c>
      <c r="L141" s="12" t="n">
        <v>330.845</v>
      </c>
      <c r="M141" s="12" t="n">
        <v>455.687</v>
      </c>
      <c r="N141" s="12" t="n">
        <v>241.16</v>
      </c>
      <c r="T141" s="12" t="n">
        <v>465.143</v>
      </c>
      <c r="U141" s="12" t="n">
        <v>288.293</v>
      </c>
      <c r="V141" s="12" t="n">
        <v>-132.977</v>
      </c>
      <c r="W141" s="12" t="n">
        <v>-77.79300000000001</v>
      </c>
      <c r="X141" s="12" t="n">
        <v>330.845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T142" s="15">
        <f>IF(OR(T141="",S141=""),"",IF(S141&lt;=0,"",IFERROR(T141/S141-1,"")))</f>
        <v/>
      </c>
      <c r="U142" s="15">
        <f>IF(OR(U141="",T141=""),"",IF(T141&lt;=0,"",IFERROR(U141/T141-1,"")))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3">
      <c r="A143" s="18" t="inlineStr">
        <is>
          <t>고정자산 매각이익</t>
        </is>
      </c>
      <c r="C143" s="20" t="n">
        <v>0</v>
      </c>
      <c r="D143" s="20" t="n">
        <v>1659.323</v>
      </c>
      <c r="E143" s="20" t="n">
        <v>0</v>
      </c>
      <c r="F143" s="20" t="n">
        <v>0</v>
      </c>
      <c r="G143" s="20" t="n">
        <v>0</v>
      </c>
      <c r="H143" s="20" t="n">
        <v>0.345</v>
      </c>
      <c r="I143" s="20" t="n">
        <v>1.483</v>
      </c>
      <c r="J143" s="20" t="n">
        <v>0.01</v>
      </c>
      <c r="K143" s="20" t="n">
        <v>0.061</v>
      </c>
      <c r="L143" s="20" t="n">
        <v>1.55</v>
      </c>
      <c r="M143" s="20" t="n">
        <v>0</v>
      </c>
      <c r="N143" s="20" t="n">
        <v>2.097</v>
      </c>
      <c r="T143" s="20" t="n">
        <v>0</v>
      </c>
      <c r="U143" s="20" t="n">
        <v>-32.303</v>
      </c>
      <c r="V143" s="20" t="n">
        <v>1659.323</v>
      </c>
      <c r="W143" s="20" t="n">
        <v>0.345</v>
      </c>
      <c r="X143" s="20" t="n">
        <v>1.55</v>
      </c>
    </row>
    <row r="144">
      <c r="A144" s="18" t="inlineStr">
        <is>
          <t>위약금 수입</t>
        </is>
      </c>
      <c r="D144" s="20" t="n">
        <v>0</v>
      </c>
      <c r="H144" s="20" t="n">
        <v>0</v>
      </c>
      <c r="U144" s="20" t="n">
        <v>0</v>
      </c>
      <c r="V144" s="20" t="n">
        <v>0</v>
      </c>
      <c r="W144" s="20" t="n">
        <v>0</v>
      </c>
    </row>
    <row r="145">
      <c r="A145" s="18" t="inlineStr">
        <is>
          <t>보조금 수입</t>
        </is>
      </c>
      <c r="C145" s="20" t="n">
        <v>0</v>
      </c>
      <c r="D145" s="20" t="n">
        <v>37.292</v>
      </c>
      <c r="G145" s="20" t="n">
        <v>0</v>
      </c>
      <c r="H145" s="20" t="n">
        <v>10</v>
      </c>
      <c r="K145" s="20" t="n">
        <v>0</v>
      </c>
      <c r="L145" s="20" t="n">
        <v>10</v>
      </c>
      <c r="V145" s="20" t="n">
        <v>37.292</v>
      </c>
      <c r="W145" s="20" t="n">
        <v>10</v>
      </c>
      <c r="X145" s="20" t="n">
        <v>10</v>
      </c>
    </row>
    <row r="146">
      <c r="A146" s="18" t="inlineStr">
        <is>
          <t>보험금 수익</t>
        </is>
      </c>
      <c r="D146" s="20" t="n">
        <v>0</v>
      </c>
      <c r="H146" s="20" t="n">
        <v>0</v>
      </c>
      <c r="L146" s="20" t="n">
        <v>0</v>
      </c>
      <c r="V146" s="20" t="n">
        <v>0</v>
      </c>
      <c r="W146" s="20" t="n">
        <v>0</v>
      </c>
      <c r="X146" s="20" t="n">
        <v>0</v>
      </c>
    </row>
    <row r="147">
      <c r="A147" s="18" t="inlineStr">
        <is>
          <t>특별이익 합계</t>
        </is>
      </c>
      <c r="C147" s="20" t="n">
        <v>90.396</v>
      </c>
      <c r="D147" s="20" t="n">
        <v>1712.268</v>
      </c>
      <c r="E147" s="20" t="n">
        <v>0</v>
      </c>
      <c r="F147" s="20" t="n">
        <v>27.292</v>
      </c>
      <c r="G147" s="20" t="n">
        <v>18.193</v>
      </c>
      <c r="H147" s="20" t="n">
        <v>210.842</v>
      </c>
      <c r="I147" s="20" t="n">
        <v>1.483</v>
      </c>
      <c r="J147" s="20" t="n">
        <v>42.661</v>
      </c>
      <c r="K147" s="20" t="n">
        <v>-15.298</v>
      </c>
      <c r="L147" s="20" t="n">
        <v>67.121</v>
      </c>
      <c r="M147" s="20" t="n">
        <v>0</v>
      </c>
      <c r="N147" s="20" t="n">
        <v>57.509</v>
      </c>
      <c r="T147" s="20" t="n">
        <v>1.804</v>
      </c>
      <c r="U147" s="20" t="n">
        <v>-22.245</v>
      </c>
      <c r="V147" s="20" t="n">
        <v>1712.268</v>
      </c>
      <c r="W147" s="20" t="n">
        <v>210.842</v>
      </c>
      <c r="X147" s="20" t="n">
        <v>67.121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G148" s="15">
        <f>IF(OR(G147="",C147=""),"",IF(G147*C147&lt;=0,"",IFERROR(G147/C147-1,"")))</f>
        <v/>
      </c>
      <c r="H148" s="15">
        <f>IF(OR(H147="",D147=""),"",IF(H147*D147&lt;=0,"",IFERROR(H147/D147-1,"")))</f>
        <v/>
      </c>
      <c r="I148" s="15">
        <f>IF(OR(I147="",E147=""),"",IF(I147*E147&lt;=0,"",IFERROR(I147/E147-1,"")))</f>
        <v/>
      </c>
      <c r="J148" s="15">
        <f>IF(OR(J147="",F147=""),"",IF(J147*F147&lt;=0,"",IFERROR(J147/F147-1,"")))</f>
        <v/>
      </c>
      <c r="K148" s="15">
        <f>IF(OR(K147="",G147=""),"",IF(K147*G147&lt;=0,"",IFERROR(K147/G147-1,"")))</f>
        <v/>
      </c>
      <c r="L148" s="15">
        <f>IF(OR(L147="",H147=""),"",IF(L147*H147&lt;=0,"",IFERROR(L147/H147-1,"")))</f>
        <v/>
      </c>
      <c r="M148" s="15">
        <f>IF(OR(M147="",I147=""),"",IF(M147*I147&lt;=0,"",IFERROR(M147/I147-1,"")))</f>
        <v/>
      </c>
      <c r="N148" s="15">
        <f>IF(OR(N147="",J147=""),"",IF(N147*J147&lt;=0,"",IFERROR(N147/J147-1,"")))</f>
        <v/>
      </c>
      <c r="T148" s="15">
        <f>IF(OR(T147="",S147=""),"",IF(T147*S147&lt;=0,"",IFERROR(T147/S147-1,"")))</f>
        <v/>
      </c>
      <c r="U148" s="15">
        <f>IF(OR(U147="",T147=""),"",IF(U147*T147&lt;=0,"",IFERROR(U147/T147-1,"")))</f>
        <v/>
      </c>
      <c r="V148" s="15">
        <f>IF(OR(V147="",U147=""),"",IF(V147*U147&lt;=0,"",IFERROR(V147/U147-1,"")))</f>
        <v/>
      </c>
      <c r="W148" s="15">
        <f>IF(OR(W147="",V147=""),"",IF(W147*V147&lt;=0,"",IFERROR(W147/V147-1,"")))</f>
        <v/>
      </c>
      <c r="X148" s="15">
        <f>IF(OR(X147="",W147=""),"",IF(X147*W147&lt;=0,"",IFERROR(X147/W147-1,"")))</f>
        <v/>
      </c>
    </row>
    <row r="149">
      <c r="A149" s="18" t="inlineStr">
        <is>
          <t>고정자산 제각·매각손실</t>
        </is>
      </c>
      <c r="C149" s="20" t="n">
        <v>0.9389999999999999</v>
      </c>
      <c r="D149" s="20" t="n">
        <v>6.912</v>
      </c>
      <c r="E149" s="20" t="n">
        <v>3.016</v>
      </c>
      <c r="F149" s="20" t="n">
        <v>0.172</v>
      </c>
      <c r="G149" s="20" t="n">
        <v>-0.224</v>
      </c>
      <c r="H149" s="20" t="n">
        <v>2.139</v>
      </c>
      <c r="I149" s="20" t="n">
        <v>0.205</v>
      </c>
      <c r="J149" s="20" t="n">
        <v>0.38</v>
      </c>
      <c r="K149" s="20" t="n">
        <v>4.205</v>
      </c>
      <c r="L149" s="20" t="n">
        <v>1.173</v>
      </c>
      <c r="M149" s="20" t="n">
        <v>0.08799999999999999</v>
      </c>
      <c r="N149" s="20" t="n">
        <v>0.362</v>
      </c>
      <c r="T149" s="20" t="n">
        <v>1.116</v>
      </c>
      <c r="U149" s="20" t="n">
        <v>195.525</v>
      </c>
      <c r="V149" s="20" t="n">
        <v>6.912</v>
      </c>
      <c r="W149" s="20" t="n">
        <v>2.139</v>
      </c>
      <c r="X149" s="20" t="n">
        <v>1.173</v>
      </c>
    </row>
    <row r="150">
      <c r="A150" s="18" t="inlineStr">
        <is>
          <t>환경대책비</t>
        </is>
      </c>
      <c r="D150" s="20" t="n">
        <v>0</v>
      </c>
      <c r="H150" s="20" t="n">
        <v>0</v>
      </c>
      <c r="T150" s="20" t="n">
        <v>0</v>
      </c>
      <c r="U150" s="20" t="n">
        <v>73.703</v>
      </c>
      <c r="V150" s="20" t="n">
        <v>0</v>
      </c>
      <c r="W150" s="20" t="n">
        <v>0</v>
      </c>
    </row>
    <row r="151">
      <c r="A151" s="18" t="inlineStr">
        <is>
          <t>Provision For Head Office Relocation Expenses EL</t>
        </is>
      </c>
      <c r="C151" s="20" t="n">
        <v>0</v>
      </c>
      <c r="D151" s="20" t="n">
        <v>0</v>
      </c>
      <c r="T151" s="20" t="n">
        <v>0</v>
      </c>
      <c r="U151" s="20" t="n">
        <v>-244.757</v>
      </c>
      <c r="V151" s="20" t="n">
        <v>0</v>
      </c>
    </row>
    <row r="152">
      <c r="A152" s="18" t="inlineStr">
        <is>
          <t>본사 이전 비용</t>
        </is>
      </c>
      <c r="C152" s="20" t="n">
        <v>0</v>
      </c>
      <c r="D152" s="20" t="n">
        <v>0</v>
      </c>
      <c r="T152" s="20" t="n">
        <v>0</v>
      </c>
      <c r="U152" s="20" t="n">
        <v>4.928</v>
      </c>
      <c r="V152" s="20" t="n">
        <v>0</v>
      </c>
    </row>
    <row r="153">
      <c r="A153" s="18" t="inlineStr">
        <is>
          <t>골프회원권 매각손실</t>
        </is>
      </c>
      <c r="D153" s="20" t="n">
        <v>0</v>
      </c>
      <c r="H153" s="20" t="n">
        <v>0</v>
      </c>
      <c r="V153" s="20" t="n">
        <v>0</v>
      </c>
      <c r="W153" s="20" t="n">
        <v>0</v>
      </c>
    </row>
    <row r="154">
      <c r="A154" s="18" t="inlineStr">
        <is>
          <t>재해 손실</t>
        </is>
      </c>
      <c r="C154" s="20" t="n">
        <v>0</v>
      </c>
      <c r="D154" s="20" t="n">
        <v>2.282</v>
      </c>
      <c r="G154" s="20" t="n">
        <v>10.616</v>
      </c>
      <c r="H154" s="20" t="n">
        <v>0</v>
      </c>
      <c r="K154" s="20" t="n">
        <v>0</v>
      </c>
      <c r="L154" s="20" t="n">
        <v>0</v>
      </c>
      <c r="V154" s="20" t="n">
        <v>2.282</v>
      </c>
      <c r="W154" s="20" t="n">
        <v>0</v>
      </c>
      <c r="X154" s="20" t="n">
        <v>0</v>
      </c>
    </row>
    <row r="155">
      <c r="A155" s="18" t="inlineStr">
        <is>
          <t>기타</t>
        </is>
      </c>
      <c r="C155" s="20" t="n">
        <v>2.414</v>
      </c>
    </row>
    <row r="156">
      <c r="A156" s="18" t="inlineStr">
        <is>
          <t>특별손실 합계</t>
        </is>
      </c>
      <c r="C156" s="20" t="n">
        <v>3.353</v>
      </c>
      <c r="D156" s="20" t="n">
        <v>9.195</v>
      </c>
      <c r="E156" s="20" t="n">
        <v>3.016</v>
      </c>
      <c r="F156" s="20" t="n">
        <v>1.183</v>
      </c>
      <c r="G156" s="20" t="n">
        <v>10.392</v>
      </c>
      <c r="H156" s="20" t="n">
        <v>2.139</v>
      </c>
      <c r="I156" s="20" t="n">
        <v>0.205</v>
      </c>
      <c r="J156" s="20" t="n">
        <v>0.38</v>
      </c>
      <c r="K156" s="20" t="n">
        <v>4.205</v>
      </c>
      <c r="L156" s="20" t="n">
        <v>1.173</v>
      </c>
      <c r="M156" s="20" t="n">
        <v>0.08799999999999999</v>
      </c>
      <c r="N156" s="20" t="n">
        <v>0.362</v>
      </c>
      <c r="T156" s="20" t="n">
        <v>7.091</v>
      </c>
      <c r="U156" s="20" t="n">
        <v>29.399</v>
      </c>
      <c r="V156" s="20" t="n">
        <v>9.195</v>
      </c>
      <c r="W156" s="20" t="n">
        <v>2.139</v>
      </c>
      <c r="X156" s="20" t="n">
        <v>1.173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IF(OR(G156="",C156=""),"",IF(G156*C156&lt;=0,"",IFERROR(G156/C156-1,"")))</f>
        <v/>
      </c>
      <c r="H157" s="15">
        <f>IF(OR(H156="",D156=""),"",IF(H156*D156&lt;=0,"",IFERROR(H156/D156-1,"")))</f>
        <v/>
      </c>
      <c r="I157" s="15">
        <f>IF(OR(I156="",E156=""),"",IF(I156*E156&lt;=0,"",IFERROR(I156/E156-1,"")))</f>
        <v/>
      </c>
      <c r="J157" s="15">
        <f>IF(OR(J156="",F156=""),"",IF(J156*F156&lt;=0,"",IFERROR(J156/F156-1,"")))</f>
        <v/>
      </c>
      <c r="K157" s="15">
        <f>IF(OR(K156="",G156=""),"",IF(K156*G156&lt;=0,"",IFERROR(K156/G156-1,"")))</f>
        <v/>
      </c>
      <c r="L157" s="15">
        <f>IF(OR(L156="",H156=""),"",IF(L156*H156&lt;=0,"",IFERROR(L156/H156-1,"")))</f>
        <v/>
      </c>
      <c r="M157" s="15">
        <f>IF(OR(M156="",I156=""),"",IF(M156*I156&lt;=0,"",IFERROR(M156/I156-1,"")))</f>
        <v/>
      </c>
      <c r="N157" s="15">
        <f>IF(OR(N156="",J156=""),"",IF(N156*J156&lt;=0,"",IFERROR(N156/J156-1,"")))</f>
        <v/>
      </c>
      <c r="T157" s="15">
        <f>IF(OR(T156="",S156=""),"",IF(T156*S156&lt;=0,"",IFERROR(T156/S156-1,"")))</f>
        <v/>
      </c>
      <c r="U157" s="15">
        <f>IF(OR(U156="",T156=""),"",IF(U156*T156&lt;=0,"",IFERROR(U156/T156-1,"")))</f>
        <v/>
      </c>
      <c r="V157" s="15">
        <f>IF(OR(V156="",U156=""),"",IF(V156*U156&lt;=0,"",IFERROR(V156/U156-1,"")))</f>
        <v/>
      </c>
      <c r="W157" s="15">
        <f>IF(OR(W156="",V156=""),"",IF(W156*V156&lt;=0,"",IFERROR(W156/V156-1,"")))</f>
        <v/>
      </c>
      <c r="X157" s="15">
        <f>IF(OR(X156="",W156=""),"",IF(X156*W156&lt;=0,"",IFERROR(X156/W156-1,"")))</f>
        <v/>
      </c>
    </row>
    <row r="158">
      <c r="A158" s="9" t="inlineStr">
        <is>
          <t>법인세차감전 순이익</t>
        </is>
      </c>
      <c r="C158" s="12" t="n">
        <v>505.239</v>
      </c>
      <c r="D158" s="12" t="n">
        <v>1570.097</v>
      </c>
      <c r="E158" s="12" t="n">
        <v>213.876</v>
      </c>
      <c r="F158" s="12" t="n">
        <v>503.879</v>
      </c>
      <c r="G158" s="12" t="n">
        <v>40.047</v>
      </c>
      <c r="H158" s="12" t="n">
        <v>130.91</v>
      </c>
      <c r="I158" s="12" t="n">
        <v>353.145</v>
      </c>
      <c r="J158" s="12" t="n">
        <v>291.696</v>
      </c>
      <c r="K158" s="12" t="n">
        <v>225.47</v>
      </c>
      <c r="L158" s="12" t="n">
        <v>396.794</v>
      </c>
      <c r="M158" s="12" t="n">
        <v>455.599</v>
      </c>
      <c r="N158" s="12" t="n">
        <v>298.308</v>
      </c>
      <c r="T158" s="12" t="n">
        <v>459.855</v>
      </c>
      <c r="U158" s="12" t="n">
        <v>236.651</v>
      </c>
      <c r="V158" s="12" t="n">
        <v>1570.097</v>
      </c>
      <c r="W158" s="12" t="n">
        <v>130.91</v>
      </c>
      <c r="X158" s="12" t="n">
        <v>396.794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J159" s="15">
        <f>IF(OR(J158="",F158=""),"",IF(F158&lt;=0,"",IFERROR(J158/F158-1,"")))</f>
        <v/>
      </c>
      <c r="K159" s="15">
        <f>IF(OR(K158="",G158=""),"",IF(G158&lt;=0,"",IFERROR(K158/G158-1,"")))</f>
        <v/>
      </c>
      <c r="L159" s="15">
        <f>IF(OR(L158="",H158=""),"",IF(H158&lt;=0,"",IFERROR(L158/H158-1,"")))</f>
        <v/>
      </c>
      <c r="M159" s="15">
        <f>IF(OR(M158="",I158=""),"",IF(I158&lt;=0,"",IFERROR(M158/I158-1,"")))</f>
        <v/>
      </c>
      <c r="N159" s="15">
        <f>IF(OR(N158="",J158=""),"",IF(J158&lt;=0,"",IFERROR(N158/J158-1,"")))</f>
        <v/>
      </c>
      <c r="T159" s="15">
        <f>IF(OR(T158="",S158=""),"",IF(S158&lt;=0,"",IFERROR(T158/S158-1,"")))</f>
        <v/>
      </c>
      <c r="U159" s="15">
        <f>IF(OR(U158="",T158=""),"",IF(T158&lt;=0,"",IFERROR(U158/T158-1,"")))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  <c r="X159" s="15">
        <f>IF(OR(X158="",W158=""),"",IF(W158&lt;=0,"",IFERROR(X158/W158-1,"")))</f>
        <v/>
      </c>
    </row>
    <row r="160">
      <c r="A160" s="18" t="inlineStr">
        <is>
          <t>법인세 등</t>
        </is>
      </c>
      <c r="C160" s="20" t="n">
        <v>75.22</v>
      </c>
      <c r="D160" s="20" t="n">
        <v>500.95</v>
      </c>
      <c r="E160" s="20" t="n">
        <v>114.264</v>
      </c>
      <c r="F160" s="20" t="n">
        <v>68.952</v>
      </c>
      <c r="G160" s="20" t="n">
        <v>69.60599999999999</v>
      </c>
      <c r="H160" s="20" t="n">
        <v>5.403</v>
      </c>
      <c r="I160" s="20" t="n">
        <v>126.608</v>
      </c>
      <c r="J160" s="20" t="n">
        <v>59.32</v>
      </c>
      <c r="K160" s="20" t="n">
        <v>77.90000000000001</v>
      </c>
      <c r="L160" s="20" t="n">
        <v>47.776</v>
      </c>
      <c r="M160" s="20" t="n">
        <v>162.054</v>
      </c>
      <c r="N160" s="20" t="n">
        <v>60.21</v>
      </c>
      <c r="T160" s="20" t="n">
        <v>89.923</v>
      </c>
      <c r="U160" s="20" t="n">
        <v>13.071</v>
      </c>
      <c r="V160" s="20" t="n">
        <v>500.95</v>
      </c>
      <c r="W160" s="20" t="n">
        <v>5.403</v>
      </c>
      <c r="X160" s="20" t="n">
        <v>47.776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IF(OR(G160="",C160=""),"",IF(G160*C160&lt;=0,"",IFERROR(G160/C160-1,"")))</f>
        <v/>
      </c>
      <c r="H161" s="15">
        <f>IF(OR(H160="",D160=""),"",IF(H160*D160&lt;=0,"",IFERROR(H160/D160-1,"")))</f>
        <v/>
      </c>
      <c r="I161" s="15">
        <f>IF(OR(I160="",E160=""),"",IF(I160*E160&lt;=0,"",IFERROR(I160/E160-1,"")))</f>
        <v/>
      </c>
      <c r="J161" s="15">
        <f>IF(OR(J160="",F160=""),"",IF(J160*F160&lt;=0,"",IFERROR(J160/F160-1,"")))</f>
        <v/>
      </c>
      <c r="K161" s="15">
        <f>IF(OR(K160="",G160=""),"",IF(K160*G160&lt;=0,"",IFERROR(K160/G160-1,"")))</f>
        <v/>
      </c>
      <c r="L161" s="15">
        <f>IF(OR(L160="",H160=""),"",IF(L160*H160&lt;=0,"",IFERROR(L160/H160-1,"")))</f>
        <v/>
      </c>
      <c r="M161" s="15">
        <f>IF(OR(M160="",I160=""),"",IF(M160*I160&lt;=0,"",IFERROR(M160/I160-1,"")))</f>
        <v/>
      </c>
      <c r="N161" s="15">
        <f>IF(OR(N160="",J160=""),"",IF(N160*J160&lt;=0,"",IFERROR(N160/J160-1,"")))</f>
        <v/>
      </c>
      <c r="T161" s="15">
        <f>IF(OR(T160="",S160=""),"",IF(T160*S160&lt;=0,"",IFERROR(T160/S160-1,"")))</f>
        <v/>
      </c>
      <c r="U161" s="15">
        <f>IF(OR(U160="",T160=""),"",IF(U160*T160&lt;=0,"",IFERROR(U160/T160-1,"")))</f>
        <v/>
      </c>
      <c r="V161" s="15">
        <f>IF(OR(V160="",U160=""),"",IF(V160*U160&lt;=0,"",IFERROR(V160/U160-1,"")))</f>
        <v/>
      </c>
      <c r="W161" s="15">
        <f>IF(OR(W160="",V160=""),"",IF(W160*V160&lt;=0,"",IFERROR(W160/V160-1,"")))</f>
        <v/>
      </c>
      <c r="X161" s="15">
        <f>IF(OR(X160="",W160=""),"",IF(X160*W160&lt;=0,"",IFERROR(X160/W160-1,"")))</f>
        <v/>
      </c>
    </row>
    <row r="162">
      <c r="A162" s="18" t="inlineStr">
        <is>
          <t>과년도 법인세</t>
        </is>
      </c>
      <c r="T162" s="20" t="n">
        <v>0</v>
      </c>
    </row>
    <row r="163">
      <c r="A163" s="9" t="inlineStr">
        <is>
          <t>순이익</t>
        </is>
      </c>
      <c r="C163" s="12" t="n">
        <v>430.019</v>
      </c>
      <c r="D163" s="12" t="n">
        <v>1069.147</v>
      </c>
      <c r="E163" s="12" t="n">
        <v>99.611</v>
      </c>
      <c r="F163" s="12" t="n">
        <v>434.928</v>
      </c>
      <c r="G163" s="12" t="n">
        <v>-29.56</v>
      </c>
      <c r="H163" s="12" t="n">
        <v>125.507</v>
      </c>
      <c r="I163" s="12" t="n">
        <v>226.537</v>
      </c>
      <c r="J163" s="12" t="n">
        <v>232.376</v>
      </c>
      <c r="K163" s="12" t="n">
        <v>147.569</v>
      </c>
      <c r="L163" s="12" t="n">
        <v>349.018</v>
      </c>
      <c r="M163" s="12" t="n">
        <v>293.545</v>
      </c>
      <c r="N163" s="12" t="n">
        <v>238.097</v>
      </c>
      <c r="T163" s="12" t="n">
        <v>369.932</v>
      </c>
      <c r="U163" s="12" t="n">
        <v>223.579</v>
      </c>
      <c r="V163" s="12" t="n">
        <v>1069.147</v>
      </c>
      <c r="W163" s="12" t="n">
        <v>125.507</v>
      </c>
      <c r="X163" s="12" t="n">
        <v>349.018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T164" s="15">
        <f>IF(OR(T163="",S163=""),"",IF(S163&lt;=0,"",IFERROR(T163/S163-1,"")))</f>
        <v/>
      </c>
      <c r="U164" s="15">
        <f>IF(OR(U163="",T163=""),"",IF(T163&lt;=0,"",IFERROR(U163/T163-1,"")))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9" t="inlineStr">
        <is>
          <t>비지배주주 순이익</t>
        </is>
      </c>
      <c r="C165" s="12" t="n">
        <v>-0.024</v>
      </c>
      <c r="D165" s="12" t="n">
        <v>0.364</v>
      </c>
      <c r="E165" s="12" t="n">
        <v>0.177</v>
      </c>
      <c r="F165" s="12" t="n">
        <v>-0.136</v>
      </c>
      <c r="G165" s="12" t="n">
        <v>-0.03</v>
      </c>
      <c r="H165" s="12" t="n">
        <v>-0.073</v>
      </c>
      <c r="I165" s="12" t="n">
        <v>0.051</v>
      </c>
      <c r="J165" s="12" t="n">
        <v>0.171</v>
      </c>
      <c r="K165" s="12" t="n">
        <v>0.164</v>
      </c>
      <c r="L165" s="12" t="n">
        <v>-0.067</v>
      </c>
      <c r="M165" s="12" t="n">
        <v>-0.118</v>
      </c>
      <c r="N165" s="12" t="n">
        <v>0.315</v>
      </c>
      <c r="T165" s="12" t="n">
        <v>-0.216</v>
      </c>
      <c r="U165" s="12" t="n">
        <v>0.332</v>
      </c>
      <c r="V165" s="12" t="n">
        <v>0.364</v>
      </c>
      <c r="W165" s="12" t="n">
        <v>-0.073</v>
      </c>
      <c r="X165" s="12" t="n">
        <v>-0.067</v>
      </c>
    </row>
    <row r="166">
      <c r="A166" s="9" t="inlineStr">
        <is>
          <t>지배주주 순이익</t>
        </is>
      </c>
      <c r="C166" s="12" t="n">
        <v>430.043</v>
      </c>
      <c r="D166" s="12" t="n">
        <v>1068.782</v>
      </c>
      <c r="E166" s="12" t="n">
        <v>99.434</v>
      </c>
      <c r="F166" s="12" t="n">
        <v>435.064</v>
      </c>
      <c r="G166" s="12" t="n">
        <v>-29.531</v>
      </c>
      <c r="H166" s="12" t="n">
        <v>125.581</v>
      </c>
      <c r="I166" s="12" t="n">
        <v>226.485</v>
      </c>
      <c r="J166" s="12" t="n">
        <v>232.206</v>
      </c>
      <c r="K166" s="12" t="n">
        <v>147.405</v>
      </c>
      <c r="L166" s="12" t="n">
        <v>349.084</v>
      </c>
      <c r="M166" s="12" t="n">
        <v>293.663</v>
      </c>
      <c r="N166" s="12" t="n">
        <v>237.781</v>
      </c>
      <c r="T166" s="12" t="n">
        <v>370.148</v>
      </c>
      <c r="U166" s="12" t="n">
        <v>223.247</v>
      </c>
      <c r="V166" s="12" t="n">
        <v>1068.782</v>
      </c>
      <c r="W166" s="12" t="n">
        <v>125.581</v>
      </c>
      <c r="X166" s="12" t="n">
        <v>349.084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T167" s="15">
        <f>IF(OR(T166="",S166=""),"",IF(S166&lt;=0,"",IFERROR(T166/S166-1,"")))</f>
        <v/>
      </c>
      <c r="U167" s="15">
        <f>IF(OR(U166="",T166=""),"",IF(T166&lt;=0,"",IFERROR(U166/T166-1,"")))</f>
        <v/>
      </c>
      <c r="V167" s="15">
        <f>IF(OR(V166="",U166=""),"",IF(U166&lt;=0,"",IFERROR(V166/U166-1,"")))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9">
      <c r="A169" s="16" t="inlineStr">
        <is>
          <t>포괄손익 · 전 항목</t>
        </is>
      </c>
      <c r="B169" s="42" t="inlineStr">
        <is>
          <t>분기 = 3개월 단독</t>
        </is>
      </c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</row>
    <row r="170">
      <c r="A170" s="5" t="inlineStr">
        <is>
          <t>항목</t>
        </is>
      </c>
      <c r="B170" s="5" t="inlineStr">
        <is>
          <t>참고</t>
        </is>
      </c>
      <c r="C170" s="5" t="inlineStr">
        <is>
          <t>2024.3Q</t>
        </is>
      </c>
      <c r="D170" s="5" t="inlineStr">
        <is>
          <t>2024.4Q</t>
        </is>
      </c>
      <c r="E170" s="5" t="inlineStr">
        <is>
          <t>2025.1Q</t>
        </is>
      </c>
      <c r="F170" s="5" t="inlineStr">
        <is>
          <t>2025.2Q</t>
        </is>
      </c>
      <c r="G170" s="5" t="inlineStr">
        <is>
          <t>2025.3Q</t>
        </is>
      </c>
      <c r="H170" s="5" t="inlineStr">
        <is>
          <t>2025.4Q</t>
        </is>
      </c>
      <c r="I170" s="5" t="inlineStr">
        <is>
          <t>2026.1Q</t>
        </is>
      </c>
      <c r="J170" s="5" t="inlineStr">
        <is>
          <t>2026.2Q</t>
        </is>
      </c>
      <c r="K170" s="5" t="inlineStr">
        <is>
          <t>2026.3Q</t>
        </is>
      </c>
      <c r="L170" s="5" t="inlineStr">
        <is>
          <t>2026.4Q</t>
        </is>
      </c>
      <c r="M170" s="5" t="inlineStr">
        <is>
          <t>2027.1Q</t>
        </is>
      </c>
      <c r="N170" s="5" t="inlineStr">
        <is>
          <t>2027.2Q</t>
        </is>
      </c>
      <c r="O170" s="5" t="inlineStr">
        <is>
          <t>2017</t>
        </is>
      </c>
      <c r="P170" s="5" t="inlineStr">
        <is>
          <t>2018</t>
        </is>
      </c>
      <c r="Q170" s="5" t="inlineStr">
        <is>
          <t>2019</t>
        </is>
      </c>
      <c r="R170" s="5" t="inlineStr">
        <is>
          <t>2020</t>
        </is>
      </c>
      <c r="S170" s="5" t="inlineStr">
        <is>
          <t>2021</t>
        </is>
      </c>
      <c r="T170" s="5" t="inlineStr">
        <is>
          <t>2022</t>
        </is>
      </c>
      <c r="U170" s="5" t="inlineStr">
        <is>
          <t>2023</t>
        </is>
      </c>
      <c r="V170" s="5" t="inlineStr">
        <is>
          <t>2024</t>
        </is>
      </c>
      <c r="W170" s="5" t="inlineStr">
        <is>
          <t>2025</t>
        </is>
      </c>
      <c r="X170" s="5" t="inlineStr">
        <is>
          <t>2026</t>
        </is>
      </c>
      <c r="Y170" s="5" t="inlineStr">
        <is>
          <t>2027(MW)</t>
        </is>
      </c>
      <c r="Z170" s="5" t="inlineStr">
        <is>
          <t>2028(MW)</t>
        </is>
      </c>
      <c r="AA170" s="5" t="inlineStr">
        <is>
          <t>2029(MW)</t>
        </is>
      </c>
      <c r="AB170" s="5" t="inlineStr">
        <is>
          <t>2030(MW)</t>
        </is>
      </c>
      <c r="AC170" s="5" t="inlineStr">
        <is>
          <t>2031(MW)</t>
        </is>
      </c>
    </row>
    <row r="171">
      <c r="A171" s="9" t="inlineStr">
        <is>
          <t>순이익</t>
        </is>
      </c>
      <c r="C171" s="12" t="n">
        <v>430.019</v>
      </c>
      <c r="D171" s="12" t="n">
        <v>1069.147</v>
      </c>
      <c r="E171" s="12" t="n">
        <v>99.611</v>
      </c>
      <c r="F171" s="12" t="n">
        <v>434.928</v>
      </c>
      <c r="G171" s="12" t="n">
        <v>-29.56</v>
      </c>
      <c r="H171" s="12" t="n">
        <v>125.507</v>
      </c>
      <c r="I171" s="12" t="n">
        <v>226.537</v>
      </c>
      <c r="J171" s="12" t="n">
        <v>232.376</v>
      </c>
      <c r="K171" s="12" t="n">
        <v>147.569</v>
      </c>
      <c r="L171" s="12" t="n">
        <v>349.018</v>
      </c>
      <c r="M171" s="12" t="n">
        <v>293.545</v>
      </c>
      <c r="N171" s="12" t="n">
        <v>238.097</v>
      </c>
      <c r="T171" s="12" t="n">
        <v>369.932</v>
      </c>
      <c r="U171" s="12" t="n">
        <v>223.579</v>
      </c>
      <c r="V171" s="12" t="n">
        <v>1069.147</v>
      </c>
      <c r="W171" s="12" t="n">
        <v>125.507</v>
      </c>
      <c r="X171" s="12" t="n">
        <v>349.018</v>
      </c>
    </row>
    <row r="172">
      <c r="A172" s="18" t="inlineStr">
        <is>
          <t>기타유가증권 평가차액</t>
        </is>
      </c>
      <c r="C172" s="20" t="n">
        <v>-37.063</v>
      </c>
      <c r="D172" s="20" t="n">
        <v>70.199</v>
      </c>
      <c r="E172" s="20" t="n">
        <v>111.869</v>
      </c>
      <c r="F172" s="20" t="n">
        <v>-114.392</v>
      </c>
      <c r="G172" s="20" t="n">
        <v>125.858</v>
      </c>
      <c r="H172" s="20" t="n">
        <v>-86.13</v>
      </c>
      <c r="I172" s="20" t="n">
        <v>91.093</v>
      </c>
      <c r="J172" s="20" t="n">
        <v>94.982</v>
      </c>
      <c r="K172" s="20" t="n">
        <v>63.397</v>
      </c>
      <c r="L172" s="20" t="n">
        <v>-74.46299999999999</v>
      </c>
      <c r="M172" s="20" t="n">
        <v>95.006</v>
      </c>
      <c r="N172" s="20" t="n">
        <v>234.389</v>
      </c>
      <c r="T172" s="20" t="n">
        <v>-44.116</v>
      </c>
      <c r="U172" s="20" t="n">
        <v>84.053</v>
      </c>
      <c r="V172" s="20" t="n">
        <v>70.199</v>
      </c>
      <c r="W172" s="20" t="n">
        <v>-86.13</v>
      </c>
      <c r="X172" s="20" t="n">
        <v>-74.46299999999999</v>
      </c>
    </row>
    <row r="173">
      <c r="A173" s="18" t="inlineStr">
        <is>
          <t>해외사업환산조정</t>
        </is>
      </c>
      <c r="C173" s="20" t="n">
        <v>-16.799</v>
      </c>
      <c r="D173" s="20" t="n">
        <v>12.848</v>
      </c>
      <c r="E173" s="20" t="n">
        <v>203.41</v>
      </c>
      <c r="F173" s="20" t="n">
        <v>-40.467</v>
      </c>
      <c r="G173" s="20" t="n">
        <v>-167.971</v>
      </c>
      <c r="H173" s="20" t="n">
        <v>221.117</v>
      </c>
      <c r="I173" s="20" t="n">
        <v>-212.135</v>
      </c>
      <c r="J173" s="20" t="n">
        <v>-97.211</v>
      </c>
      <c r="K173" s="20" t="n">
        <v>132.502</v>
      </c>
      <c r="L173" s="20" t="n">
        <v>113.829</v>
      </c>
      <c r="M173" s="20" t="n">
        <v>88.714</v>
      </c>
      <c r="N173" s="20" t="n">
        <v>19.131</v>
      </c>
      <c r="T173" s="20" t="n">
        <v>103.579</v>
      </c>
      <c r="U173" s="20" t="n">
        <v>-74.97199999999999</v>
      </c>
      <c r="V173" s="20" t="n">
        <v>12.848</v>
      </c>
      <c r="W173" s="20" t="n">
        <v>221.117</v>
      </c>
      <c r="X173" s="20" t="n">
        <v>113.829</v>
      </c>
    </row>
    <row r="174">
      <c r="A174" s="18" t="inlineStr">
        <is>
          <t>퇴직급여 조정액</t>
        </is>
      </c>
      <c r="C174" s="20" t="n">
        <v>-0.472</v>
      </c>
      <c r="D174" s="20" t="n">
        <v>77.857</v>
      </c>
      <c r="E174" s="20" t="n">
        <v>-6.916</v>
      </c>
      <c r="F174" s="20" t="n">
        <v>-6.917</v>
      </c>
      <c r="G174" s="20" t="n">
        <v>-6.917</v>
      </c>
      <c r="H174" s="20" t="n">
        <v>-11.371</v>
      </c>
      <c r="I174" s="20" t="n">
        <v>-2.562</v>
      </c>
      <c r="J174" s="20" t="n">
        <v>-2.562</v>
      </c>
      <c r="K174" s="20" t="n">
        <v>-2.562</v>
      </c>
      <c r="L174" s="20" t="n">
        <v>21.385</v>
      </c>
      <c r="M174" s="20" t="n">
        <v>-4.068</v>
      </c>
      <c r="N174" s="20" t="n">
        <v>-4.069</v>
      </c>
      <c r="T174" s="20" t="n">
        <v>-3.657</v>
      </c>
      <c r="U174" s="20" t="n">
        <v>-35.918</v>
      </c>
      <c r="V174" s="20" t="n">
        <v>77.857</v>
      </c>
      <c r="W174" s="20" t="n">
        <v>-11.371</v>
      </c>
      <c r="X174" s="20" t="n">
        <v>21.385</v>
      </c>
    </row>
    <row r="175">
      <c r="A175" s="18" t="inlineStr">
        <is>
          <t>기타포괄손익 합계</t>
        </is>
      </c>
      <c r="C175" s="20" t="n">
        <v>-54.335</v>
      </c>
      <c r="D175" s="20" t="n">
        <v>160.905</v>
      </c>
      <c r="E175" s="20" t="n">
        <v>308.363</v>
      </c>
      <c r="F175" s="20" t="n">
        <v>-161.776</v>
      </c>
      <c r="G175" s="20" t="n">
        <v>-49.031</v>
      </c>
      <c r="H175" s="20" t="n">
        <v>123.617</v>
      </c>
      <c r="I175" s="20" t="n">
        <v>-123.604</v>
      </c>
      <c r="J175" s="20" t="n">
        <v>-4.791</v>
      </c>
      <c r="K175" s="20" t="n">
        <v>193.335</v>
      </c>
      <c r="L175" s="20" t="n">
        <v>60.753</v>
      </c>
      <c r="M175" s="20" t="n">
        <v>179.651</v>
      </c>
      <c r="N175" s="20" t="n">
        <v>249.452</v>
      </c>
      <c r="T175" s="20" t="n">
        <v>55.806</v>
      </c>
      <c r="U175" s="20" t="n">
        <v>-26.838</v>
      </c>
      <c r="V175" s="20" t="n">
        <v>160.905</v>
      </c>
      <c r="W175" s="20" t="n">
        <v>123.617</v>
      </c>
      <c r="X175" s="20" t="n">
        <v>60.753</v>
      </c>
    </row>
    <row r="176">
      <c r="A176" s="9" t="inlineStr">
        <is>
          <t>포괄이익</t>
        </is>
      </c>
      <c r="C176" s="12" t="n">
        <v>375.684</v>
      </c>
      <c r="D176" s="12" t="n">
        <v>1230.052</v>
      </c>
      <c r="E176" s="12" t="n">
        <v>407.975</v>
      </c>
      <c r="F176" s="12" t="n">
        <v>273.151</v>
      </c>
      <c r="G176" s="12" t="n">
        <v>-78.59099999999999</v>
      </c>
      <c r="H176" s="12" t="n">
        <v>249.125</v>
      </c>
      <c r="I176" s="12" t="n">
        <v>102.933</v>
      </c>
      <c r="J176" s="12" t="n">
        <v>227.585</v>
      </c>
      <c r="K176" s="12" t="n">
        <v>340.905</v>
      </c>
      <c r="L176" s="12" t="n">
        <v>409.77</v>
      </c>
      <c r="M176" s="12" t="n">
        <v>473.197</v>
      </c>
      <c r="N176" s="12" t="n">
        <v>487.549</v>
      </c>
      <c r="T176" s="12" t="n">
        <v>425.737</v>
      </c>
      <c r="U176" s="12" t="n">
        <v>196.741</v>
      </c>
      <c r="V176" s="12" t="n">
        <v>1230.052</v>
      </c>
      <c r="W176" s="12" t="n">
        <v>249.125</v>
      </c>
      <c r="X176" s="12" t="n">
        <v>409.77</v>
      </c>
    </row>
    <row r="177">
      <c r="A177" s="9" t="inlineStr">
        <is>
          <t>지배주주 포괄이익</t>
        </is>
      </c>
      <c r="C177" s="12" t="n">
        <v>375.578</v>
      </c>
      <c r="D177" s="12" t="n">
        <v>1229.428</v>
      </c>
      <c r="E177" s="12" t="n">
        <v>407.599</v>
      </c>
      <c r="F177" s="12" t="n">
        <v>271.963</v>
      </c>
      <c r="G177" s="12" t="n">
        <v>-78.893</v>
      </c>
      <c r="H177" s="12" t="n">
        <v>247.676</v>
      </c>
      <c r="I177" s="12" t="n">
        <v>104.483</v>
      </c>
      <c r="J177" s="12" t="n">
        <v>227.148</v>
      </c>
      <c r="K177" s="12" t="n">
        <v>339.539</v>
      </c>
      <c r="L177" s="12" t="n">
        <v>407.5</v>
      </c>
      <c r="M177" s="12" t="n">
        <v>474.056</v>
      </c>
      <c r="N177" s="12" t="n">
        <v>487.099</v>
      </c>
      <c r="T177" s="12" t="n">
        <v>425.111</v>
      </c>
      <c r="U177" s="12" t="n">
        <v>196.472</v>
      </c>
      <c r="V177" s="12" t="n">
        <v>1229.428</v>
      </c>
      <c r="W177" s="12" t="n">
        <v>247.676</v>
      </c>
      <c r="X177" s="12" t="n">
        <v>407.5</v>
      </c>
    </row>
    <row r="178">
      <c r="A178" s="9" t="inlineStr">
        <is>
          <t>비지배주주 포괄이익</t>
        </is>
      </c>
      <c r="C178" s="12" t="n">
        <v>0.106</v>
      </c>
      <c r="D178" s="12" t="n">
        <v>0.624</v>
      </c>
      <c r="E178" s="12" t="n">
        <v>0.375</v>
      </c>
      <c r="F178" s="12" t="n">
        <v>1.189</v>
      </c>
      <c r="G178" s="12" t="n">
        <v>0.301</v>
      </c>
      <c r="H178" s="12" t="n">
        <v>1.449</v>
      </c>
      <c r="I178" s="12" t="n">
        <v>-1.55</v>
      </c>
      <c r="J178" s="12" t="n">
        <v>0.437</v>
      </c>
      <c r="K178" s="12" t="n">
        <v>1.365</v>
      </c>
      <c r="L178" s="12" t="n">
        <v>2.271</v>
      </c>
      <c r="M178" s="12" t="n">
        <v>-0.859</v>
      </c>
      <c r="N178" s="12" t="n">
        <v>0.45</v>
      </c>
      <c r="T178" s="12" t="n">
        <v>0.627</v>
      </c>
      <c r="U178" s="12" t="n">
        <v>0.268</v>
      </c>
      <c r="V178" s="12" t="n">
        <v>0.624</v>
      </c>
      <c r="W178" s="12" t="n">
        <v>1.449</v>
      </c>
      <c r="X178" s="12" t="n">
        <v>2.271</v>
      </c>
    </row>
    <row r="180">
      <c r="A180" s="16" t="inlineStr">
        <is>
          <t>부문 · 전 항목</t>
        </is>
      </c>
      <c r="B180" s="42" t="inlineStr">
        <is>
          <t>부문 · 항목</t>
        </is>
      </c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</row>
    <row r="181">
      <c r="A181" s="5" t="inlineStr">
        <is>
          <t>항목</t>
        </is>
      </c>
      <c r="B181" s="5" t="inlineStr">
        <is>
          <t>참고</t>
        </is>
      </c>
      <c r="C181" s="5" t="inlineStr">
        <is>
          <t>2024.3Q</t>
        </is>
      </c>
      <c r="D181" s="5" t="inlineStr">
        <is>
          <t>2024.4Q</t>
        </is>
      </c>
      <c r="E181" s="5" t="inlineStr">
        <is>
          <t>2025.1Q</t>
        </is>
      </c>
      <c r="F181" s="5" t="inlineStr">
        <is>
          <t>2025.2Q</t>
        </is>
      </c>
      <c r="G181" s="5" t="inlineStr">
        <is>
          <t>2025.3Q</t>
        </is>
      </c>
      <c r="H181" s="5" t="inlineStr">
        <is>
          <t>2025.4Q</t>
        </is>
      </c>
      <c r="I181" s="5" t="inlineStr">
        <is>
          <t>2026.1Q</t>
        </is>
      </c>
      <c r="J181" s="5" t="inlineStr">
        <is>
          <t>2026.2Q</t>
        </is>
      </c>
      <c r="K181" s="5" t="inlineStr">
        <is>
          <t>2026.3Q</t>
        </is>
      </c>
      <c r="L181" s="5" t="inlineStr">
        <is>
          <t>2026.4Q</t>
        </is>
      </c>
      <c r="M181" s="5" t="inlineStr">
        <is>
          <t>2027.1Q</t>
        </is>
      </c>
      <c r="N181" s="5" t="inlineStr">
        <is>
          <t>2027.2Q</t>
        </is>
      </c>
      <c r="O181" s="5" t="inlineStr">
        <is>
          <t>2017</t>
        </is>
      </c>
      <c r="P181" s="5" t="inlineStr">
        <is>
          <t>2018</t>
        </is>
      </c>
      <c r="Q181" s="5" t="inlineStr">
        <is>
          <t>2019</t>
        </is>
      </c>
      <c r="R181" s="5" t="inlineStr">
        <is>
          <t>2020</t>
        </is>
      </c>
      <c r="S181" s="5" t="inlineStr">
        <is>
          <t>2021</t>
        </is>
      </c>
      <c r="T181" s="5" t="inlineStr">
        <is>
          <t>2022</t>
        </is>
      </c>
      <c r="U181" s="5" t="inlineStr">
        <is>
          <t>2023</t>
        </is>
      </c>
      <c r="V181" s="5" t="inlineStr">
        <is>
          <t>2024</t>
        </is>
      </c>
      <c r="W181" s="5" t="inlineStr">
        <is>
          <t>2025</t>
        </is>
      </c>
      <c r="X181" s="5" t="inlineStr">
        <is>
          <t>2026</t>
        </is>
      </c>
      <c r="Y181" s="5" t="inlineStr">
        <is>
          <t>2027(MW)</t>
        </is>
      </c>
      <c r="Z181" s="5" t="inlineStr">
        <is>
          <t>2028(MW)</t>
        </is>
      </c>
      <c r="AA181" s="5" t="inlineStr">
        <is>
          <t>2029(MW)</t>
        </is>
      </c>
      <c r="AB181" s="5" t="inlineStr">
        <is>
          <t>2030(MW)</t>
        </is>
      </c>
      <c r="AC181" s="5" t="inlineStr">
        <is>
          <t>2031(MW)</t>
        </is>
      </c>
    </row>
    <row r="182">
      <c r="A182" s="18" t="inlineStr">
        <is>
          <t>부문 · 외부 고객 매출</t>
        </is>
      </c>
      <c r="C182" s="20" t="n">
        <v>761.772</v>
      </c>
      <c r="E182" s="20" t="n">
        <v>1071.787</v>
      </c>
      <c r="F182" s="20" t="n">
        <v>910.25</v>
      </c>
      <c r="G182" s="20" t="n">
        <v>561.903</v>
      </c>
      <c r="I182" s="20" t="n">
        <v>622.438</v>
      </c>
      <c r="J182" s="20" t="n">
        <v>879.471</v>
      </c>
      <c r="K182" s="20" t="n">
        <v>720.543</v>
      </c>
      <c r="M182" s="20" t="n">
        <v>700.77</v>
      </c>
      <c r="N182" s="20" t="n">
        <v>683.326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IF(OR(G182="",C182=""),"",IF(C182&lt;=0,"",IFERROR(G182/C182-1,"")))</f>
        <v/>
      </c>
      <c r="I183" s="15">
        <f>IF(OR(I182="",E182=""),"",IF(E182&lt;=0,"",IFERROR(I182/E182-1,"")))</f>
        <v/>
      </c>
      <c r="J183" s="15">
        <f>IF(OR(J182="",F182=""),"",IF(F182&lt;=0,"",IFERROR(J182/F182-1,"")))</f>
        <v/>
      </c>
      <c r="K183" s="15">
        <f>IF(OR(K182="",G182=""),"",IF(G182&lt;=0,"",IFERROR(K182/G182-1,"")))</f>
        <v/>
      </c>
      <c r="M183" s="15">
        <f>IF(OR(M182="",I182=""),"",IF(I182&lt;=0,"",IFERROR(M182/I182-1,"")))</f>
        <v/>
      </c>
      <c r="N183" s="15">
        <f>IF(OR(N182="",J182=""),"",IF(J182&lt;=0,"",IFERROR(N182/J182-1,"")))</f>
        <v/>
      </c>
    </row>
    <row r="184">
      <c r="A184" s="18" t="inlineStr">
        <is>
          <t>부문 · 외부 고객 매출</t>
        </is>
      </c>
      <c r="E184" s="20" t="n">
        <v>1041.167</v>
      </c>
      <c r="I184" s="20" t="n">
        <v>980.013</v>
      </c>
      <c r="M184" s="20" t="n">
        <v>1165.74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I185" s="15">
        <f>IF(OR(I184="",E184=""),"",IF(E184&lt;=0,"",IFERROR(I184/E184-1,"")))</f>
        <v/>
      </c>
      <c r="M185" s="15">
        <f>IF(OR(M184="",I184=""),"",IF(I184&lt;=0,"",IFERROR(M184/I184-1,"")))</f>
        <v/>
      </c>
    </row>
    <row r="186">
      <c r="A186" s="18" t="inlineStr">
        <is>
          <t>부문 · 외부 고객 매출</t>
        </is>
      </c>
      <c r="E186" s="20" t="n">
        <v>226.808</v>
      </c>
      <c r="I186" s="20" t="n">
        <v>182.739</v>
      </c>
      <c r="M186" s="20" t="n">
        <v>218.55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I187" s="15">
        <f>IF(OR(I186="",E186=""),"",IF(E186&lt;=0,"",IFERROR(I186/E186-1,"")))</f>
        <v/>
      </c>
      <c r="M187" s="15">
        <f>IF(OR(M186="",I186=""),"",IF(I186&lt;=0,"",IFERROR(M186/I186-1,"")))</f>
        <v/>
      </c>
    </row>
    <row r="188">
      <c r="A188" s="18" t="inlineStr">
        <is>
          <t>부문 · 외부 고객 매출</t>
        </is>
      </c>
      <c r="C188" s="20" t="n">
        <v>1012.97</v>
      </c>
      <c r="G188" s="20" t="n">
        <v>505.306</v>
      </c>
      <c r="K188" s="20" t="n">
        <v>937.106</v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IF(OR(G188="",C188=""),"",IF(C188&lt;=0,"",IFERROR(G188/C188-1,"")))</f>
        <v/>
      </c>
      <c r="K189" s="15">
        <f>IF(OR(K188="",G188=""),"",IF(G188&lt;=0,"",IFERROR(K188/G188-1,"")))</f>
        <v/>
      </c>
    </row>
    <row r="190">
      <c r="A190" s="18" t="inlineStr">
        <is>
          <t>부문 · 외부 고객 매출</t>
        </is>
      </c>
      <c r="C190" s="20" t="n">
        <v>229.961</v>
      </c>
      <c r="G190" s="20" t="n">
        <v>178.591</v>
      </c>
      <c r="K190" s="20" t="n">
        <v>223.099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IF(OR(G190="",C190=""),"",IF(C190&lt;=0,"",IFERROR(G190/C190-1,"")))</f>
        <v/>
      </c>
      <c r="K191" s="15">
        <f>IF(OR(K190="",G190=""),"",IF(G190&lt;=0,"",IFERROR(K190/G190-1,"")))</f>
        <v/>
      </c>
    </row>
    <row r="192">
      <c r="A192" s="18" t="inlineStr">
        <is>
          <t>부문 · 외부 고객 매출</t>
        </is>
      </c>
      <c r="D192" s="20" t="n">
        <v>169.607</v>
      </c>
      <c r="E192" s="20" t="n">
        <v>126.908</v>
      </c>
      <c r="F192" s="20" t="n">
        <v>124.739</v>
      </c>
      <c r="G192" s="20" t="n">
        <v>108.38</v>
      </c>
      <c r="H192" s="20" t="n">
        <v>35.517</v>
      </c>
      <c r="I192" s="20" t="n">
        <v>76.253</v>
      </c>
      <c r="J192" s="20" t="n">
        <v>71.527</v>
      </c>
      <c r="K192" s="20" t="n">
        <v>255.407</v>
      </c>
      <c r="L192" s="20" t="n">
        <v>265.896</v>
      </c>
      <c r="M192" s="20" t="n">
        <v>408.965</v>
      </c>
      <c r="N192" s="20" t="n">
        <v>382.591</v>
      </c>
      <c r="V192" s="20" t="n">
        <v>169.607</v>
      </c>
      <c r="W192" s="20" t="n">
        <v>35.517</v>
      </c>
      <c r="X192" s="20" t="n">
        <v>265.896</v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IF(OR(G192="",C192=""),"",IF(C192&lt;=0,"",IFERROR(G192/C192-1,"")))</f>
        <v/>
      </c>
      <c r="H193" s="15">
        <f>IF(OR(H192="",D192=""),"",IF(D192&lt;=0,"",IFERROR(H192/D192-1,"")))</f>
        <v/>
      </c>
      <c r="I193" s="15">
        <f>IF(OR(I192="",E192=""),"",IF(E192&lt;=0,"",IFERROR(I192/E192-1,"")))</f>
        <v/>
      </c>
      <c r="J193" s="15">
        <f>IF(OR(J192="",F192=""),"",IF(F192&lt;=0,"",IFERROR(J192/F192-1,"")))</f>
        <v/>
      </c>
      <c r="K193" s="15">
        <f>IF(OR(K192="",G192=""),"",IF(G192&lt;=0,"",IFERROR(K192/G192-1,"")))</f>
        <v/>
      </c>
      <c r="L193" s="15">
        <f>IF(OR(L192="",H192=""),"",IF(H192&lt;=0,"",IFERROR(L192/H192-1,"")))</f>
        <v/>
      </c>
      <c r="M193" s="15">
        <f>IF(OR(M192="",I192=""),"",IF(I192&lt;=0,"",IFERROR(M192/I192-1,"")))</f>
        <v/>
      </c>
      <c r="N193" s="15">
        <f>IF(OR(N192="",J192=""),"",IF(J192&lt;=0,"",IFERROR(N192/J192-1,"")))</f>
        <v/>
      </c>
      <c r="V193" s="15">
        <f>IF(OR(V192="",U192=""),"",IF(U192&lt;=0,"",IFERROR(V192/U192-1,"")))</f>
        <v/>
      </c>
      <c r="W193" s="15">
        <f>IF(OR(W192="",V192=""),"",IF(V192&lt;=0,"",IFERROR(W192/V192-1,"")))</f>
        <v/>
      </c>
      <c r="X193" s="15">
        <f>IF(OR(X192="",W192=""),"",IF(W192&lt;=0,"",IFERROR(X192/W192-1,"")))</f>
        <v/>
      </c>
    </row>
    <row r="194">
      <c r="A194" s="18" t="inlineStr">
        <is>
          <t>부동산 임대 사업 · 외부 고객 매출</t>
        </is>
      </c>
      <c r="E194" s="20" t="n">
        <v>152.626</v>
      </c>
      <c r="I194" s="20" t="n">
        <v>189.539</v>
      </c>
      <c r="M194" s="20" t="n">
        <v>189.431</v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I195" s="15">
        <f>IF(OR(I194="",E194=""),"",IF(E194&lt;=0,"",IFERROR(I194/E194-1,"")))</f>
        <v/>
      </c>
      <c r="M195" s="15">
        <f>IF(OR(M194="",I194=""),"",IF(I194&lt;=0,"",IFERROR(M194/I194-1,"")))</f>
        <v/>
      </c>
    </row>
    <row r="196">
      <c r="A196" s="18" t="inlineStr">
        <is>
          <t>부동산 임대 사업 · 외부 고객 매출</t>
        </is>
      </c>
      <c r="C196" s="20" t="n">
        <v>116.9</v>
      </c>
      <c r="G196" s="20" t="n">
        <v>164.577</v>
      </c>
      <c r="K196" s="20" t="n">
        <v>189.385</v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G197" s="15">
        <f>IF(OR(G196="",C196=""),"",IF(C196&lt;=0,"",IFERROR(G196/C196-1,"")))</f>
        <v/>
      </c>
      <c r="K197" s="15">
        <f>IF(OR(K196="",G196=""),"",IF(G196&lt;=0,"",IFERROR(K196/G196-1,"")))</f>
        <v/>
      </c>
    </row>
    <row r="198">
      <c r="A198" s="18" t="inlineStr">
        <is>
          <t>합계 · 외부 고객 매출</t>
        </is>
      </c>
      <c r="C198" s="20" t="n">
        <v>2291.775</v>
      </c>
      <c r="E198" s="20" t="n">
        <v>2619.298</v>
      </c>
      <c r="F198" s="20" t="n">
        <v>2223.097</v>
      </c>
      <c r="G198" s="20" t="n">
        <v>1518.756</v>
      </c>
      <c r="I198" s="20" t="n">
        <v>2050.984</v>
      </c>
      <c r="J198" s="20" t="n">
        <v>2228.002</v>
      </c>
      <c r="K198" s="20" t="n">
        <v>2325.54</v>
      </c>
      <c r="M198" s="20" t="n">
        <v>2683.456</v>
      </c>
      <c r="N198" s="20" t="n">
        <v>2689.707</v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IF(OR(G198="",C198=""),"",IF(C198&lt;=0,"",IFERROR(G198/C198-1,"")))</f>
        <v/>
      </c>
      <c r="I199" s="15">
        <f>IF(OR(I198="",E198=""),"",IF(E198&lt;=0,"",IFERROR(I198/E198-1,"")))</f>
        <v/>
      </c>
      <c r="J199" s="15">
        <f>IF(OR(J198="",F198=""),"",IF(F198&lt;=0,"",IFERROR(J198/F198-1,"")))</f>
        <v/>
      </c>
      <c r="K199" s="15">
        <f>IF(OR(K198="",G198=""),"",IF(G198&lt;=0,"",IFERROR(K198/G198-1,"")))</f>
        <v/>
      </c>
      <c r="M199" s="15">
        <f>IF(OR(M198="",I198=""),"",IF(I198&lt;=0,"",IFERROR(M198/I198-1,"")))</f>
        <v/>
      </c>
      <c r="N199" s="15">
        <f>IF(OR(N198="",J198=""),"",IF(J198&lt;=0,"",IFERROR(N198/J198-1,"")))</f>
        <v/>
      </c>
    </row>
    <row r="200">
      <c r="A200" s="18" t="inlineStr">
        <is>
          <t>조정액 · 외부 고객 매출</t>
        </is>
      </c>
      <c r="C200" s="20" t="n">
        <v>0</v>
      </c>
      <c r="D200" s="20" t="n">
        <v>0</v>
      </c>
      <c r="E200" s="20" t="n">
        <v>0</v>
      </c>
      <c r="F200" s="20" t="n">
        <v>0</v>
      </c>
      <c r="G200" s="20" t="n">
        <v>0</v>
      </c>
      <c r="H200" s="20" t="n">
        <v>0</v>
      </c>
      <c r="I200" s="20" t="n">
        <v>0</v>
      </c>
      <c r="J200" s="20" t="n">
        <v>0</v>
      </c>
      <c r="K200" s="20" t="n">
        <v>0</v>
      </c>
      <c r="L200" s="20" t="n">
        <v>0</v>
      </c>
      <c r="M200" s="20" t="n">
        <v>0</v>
      </c>
      <c r="N200" s="20" t="n">
        <v>0</v>
      </c>
      <c r="V200" s="20" t="n">
        <v>0</v>
      </c>
      <c r="W200" s="20" t="n">
        <v>0</v>
      </c>
      <c r="X200" s="20" t="n">
        <v>0</v>
      </c>
    </row>
    <row r="201">
      <c r="A201" s="9" t="inlineStr">
        <is>
          <t>외부 고객 매출</t>
        </is>
      </c>
      <c r="C201" s="12" t="n">
        <v>2291.775</v>
      </c>
      <c r="D201" s="12" t="n">
        <v>2146.983</v>
      </c>
      <c r="E201" s="12" t="n">
        <v>2619.298</v>
      </c>
      <c r="F201" s="12" t="n">
        <v>2223.097</v>
      </c>
      <c r="G201" s="12" t="n">
        <v>1518.756</v>
      </c>
      <c r="H201" s="12" t="n">
        <v>1999.053</v>
      </c>
      <c r="I201" s="12" t="n">
        <v>2050.984</v>
      </c>
      <c r="J201" s="12" t="n">
        <v>2228.002</v>
      </c>
      <c r="K201" s="12" t="n">
        <v>2325.54</v>
      </c>
      <c r="L201" s="12" t="n">
        <v>2664.553</v>
      </c>
      <c r="M201" s="12" t="n">
        <v>2683.456</v>
      </c>
      <c r="N201" s="12" t="n">
        <v>2689.707</v>
      </c>
      <c r="V201" s="12" t="n">
        <v>2146.983</v>
      </c>
      <c r="W201" s="12" t="n">
        <v>1999.053</v>
      </c>
      <c r="X201" s="12" t="n">
        <v>2664.553</v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G202" s="15">
        <f>IF(OR(G201="",C201=""),"",IF(C201&lt;=0,"",IFERROR(G201/C201-1,"")))</f>
        <v/>
      </c>
      <c r="H202" s="15">
        <f>IF(OR(H201="",D201=""),"",IF(D201&lt;=0,"",IFERROR(H201/D201-1,"")))</f>
        <v/>
      </c>
      <c r="I202" s="15">
        <f>IF(OR(I201="",E201=""),"",IF(E201&lt;=0,"",IFERROR(I201/E201-1,"")))</f>
        <v/>
      </c>
      <c r="J202" s="15">
        <f>IF(OR(J201="",F201=""),"",IF(F201&lt;=0,"",IFERROR(J201/F201-1,"")))</f>
        <v/>
      </c>
      <c r="K202" s="15">
        <f>IF(OR(K201="",G201=""),"",IF(G201&lt;=0,"",IFERROR(K201/G201-1,"")))</f>
        <v/>
      </c>
      <c r="L202" s="15">
        <f>IF(OR(L201="",H201=""),"",IF(H201&lt;=0,"",IFERROR(L201/H201-1,"")))</f>
        <v/>
      </c>
      <c r="M202" s="15">
        <f>IF(OR(M201="",I201=""),"",IF(I201&lt;=0,"",IFERROR(M201/I201-1,"")))</f>
        <v/>
      </c>
      <c r="N202" s="15">
        <f>IF(OR(N201="",J201=""),"",IF(J201&lt;=0,"",IFERROR(N201/J201-1,"")))</f>
        <v/>
      </c>
      <c r="V202" s="15">
        <f>IF(OR(V201="",U201=""),"",IF(U201&lt;=0,"",IFERROR(V201/U201-1,"")))</f>
        <v/>
      </c>
      <c r="W202" s="15">
        <f>IF(OR(W201="",V201=""),"",IF(V201&lt;=0,"",IFERROR(W201/V201-1,"")))</f>
        <v/>
      </c>
      <c r="X202" s="15">
        <f>IF(OR(X201="",W201=""),"",IF(W201&lt;=0,"",IFERROR(X201/W201-1,"")))</f>
        <v/>
      </c>
    </row>
    <row r="203">
      <c r="A203" s="18" t="inlineStr">
        <is>
          <t>부문 · 부문 간 내부매출·대체</t>
        </is>
      </c>
      <c r="C203" s="20" t="n">
        <v>0</v>
      </c>
      <c r="E203" s="20" t="n">
        <v>0</v>
      </c>
      <c r="F203" s="20" t="n">
        <v>0</v>
      </c>
      <c r="G203" s="20" t="n">
        <v>0</v>
      </c>
      <c r="I203" s="20" t="n">
        <v>0</v>
      </c>
      <c r="J203" s="20" t="n">
        <v>0</v>
      </c>
      <c r="K203" s="20" t="n">
        <v>0</v>
      </c>
      <c r="M203" s="20" t="n">
        <v>0</v>
      </c>
      <c r="N203" s="20" t="n">
        <v>0</v>
      </c>
    </row>
    <row r="204">
      <c r="A204" s="18" t="inlineStr">
        <is>
          <t>부문 · 부문 간 내부매출·대체</t>
        </is>
      </c>
      <c r="E204" s="20" t="n">
        <v>0</v>
      </c>
      <c r="I204" s="20" t="n">
        <v>0</v>
      </c>
      <c r="M204" s="20" t="n">
        <v>0</v>
      </c>
    </row>
    <row r="205">
      <c r="A205" s="18" t="inlineStr">
        <is>
          <t>부문 · 부문 간 내부매출·대체</t>
        </is>
      </c>
      <c r="E205" s="20" t="n">
        <v>0</v>
      </c>
      <c r="I205" s="20" t="n">
        <v>0</v>
      </c>
      <c r="M205" s="20" t="n">
        <v>0</v>
      </c>
    </row>
    <row r="206">
      <c r="A206" s="18" t="inlineStr">
        <is>
          <t>부문 · 부문 간 내부매출·대체</t>
        </is>
      </c>
      <c r="C206" s="20" t="n">
        <v>0</v>
      </c>
      <c r="G206" s="20" t="n">
        <v>0</v>
      </c>
      <c r="K206" s="20" t="n">
        <v>0</v>
      </c>
    </row>
    <row r="207">
      <c r="A207" s="18" t="inlineStr">
        <is>
          <t>부문 · 부문 간 내부매출·대체</t>
        </is>
      </c>
      <c r="C207" s="20" t="n">
        <v>0</v>
      </c>
      <c r="G207" s="20" t="n">
        <v>0</v>
      </c>
      <c r="K207" s="20" t="n">
        <v>0</v>
      </c>
    </row>
    <row r="208">
      <c r="A208" s="18" t="inlineStr">
        <is>
          <t>부문 · 부문 간 내부매출·대체</t>
        </is>
      </c>
      <c r="D208" s="20" t="n">
        <v>0</v>
      </c>
      <c r="E208" s="20" t="n">
        <v>0</v>
      </c>
      <c r="F208" s="20" t="n">
        <v>0</v>
      </c>
      <c r="G208" s="20" t="n">
        <v>0</v>
      </c>
      <c r="H208" s="20" t="n">
        <v>0</v>
      </c>
      <c r="I208" s="20" t="n">
        <v>0</v>
      </c>
      <c r="J208" s="20" t="n">
        <v>0</v>
      </c>
      <c r="K208" s="20" t="n">
        <v>0</v>
      </c>
      <c r="L208" s="20" t="n">
        <v>0</v>
      </c>
      <c r="M208" s="20" t="n">
        <v>0</v>
      </c>
      <c r="N208" s="20" t="n">
        <v>0</v>
      </c>
      <c r="V208" s="20" t="n">
        <v>0</v>
      </c>
      <c r="W208" s="20" t="n">
        <v>0</v>
      </c>
      <c r="X208" s="20" t="n">
        <v>0</v>
      </c>
    </row>
    <row r="209">
      <c r="A209" s="18" t="inlineStr">
        <is>
          <t>부동산 임대 사업 · 부문 간 내부매출·대체</t>
        </is>
      </c>
      <c r="E209" s="20" t="n">
        <v>0</v>
      </c>
      <c r="I209" s="20" t="n">
        <v>0</v>
      </c>
      <c r="M209" s="20" t="n">
        <v>0</v>
      </c>
    </row>
    <row r="210">
      <c r="A210" s="18" t="inlineStr">
        <is>
          <t>부동산 임대 사업 · 부문 간 내부매출·대체</t>
        </is>
      </c>
      <c r="C210" s="20" t="n">
        <v>0</v>
      </c>
      <c r="G210" s="20" t="n">
        <v>0</v>
      </c>
      <c r="K210" s="20" t="n">
        <v>0</v>
      </c>
    </row>
    <row r="211">
      <c r="A211" s="18" t="inlineStr">
        <is>
          <t>합계 · 부문 간 내부매출·대체</t>
        </is>
      </c>
      <c r="C211" s="20" t="n">
        <v>0</v>
      </c>
      <c r="E211" s="20" t="n">
        <v>0</v>
      </c>
      <c r="F211" s="20" t="n">
        <v>0</v>
      </c>
      <c r="G211" s="20" t="n">
        <v>0</v>
      </c>
      <c r="I211" s="20" t="n">
        <v>0</v>
      </c>
      <c r="J211" s="20" t="n">
        <v>0</v>
      </c>
      <c r="K211" s="20" t="n">
        <v>0</v>
      </c>
      <c r="M211" s="20" t="n">
        <v>0</v>
      </c>
      <c r="N211" s="20" t="n">
        <v>0</v>
      </c>
    </row>
    <row r="212">
      <c r="A212" s="18" t="inlineStr">
        <is>
          <t>조정액 · 부문 간 내부매출·대체</t>
        </is>
      </c>
      <c r="C212" s="20" t="n">
        <v>0</v>
      </c>
      <c r="D212" s="20" t="n">
        <v>0</v>
      </c>
      <c r="E212" s="20" t="n">
        <v>0</v>
      </c>
      <c r="F212" s="20" t="n">
        <v>0</v>
      </c>
      <c r="G212" s="20" t="n">
        <v>0</v>
      </c>
      <c r="H212" s="20" t="n">
        <v>0</v>
      </c>
      <c r="I212" s="20" t="n">
        <v>0</v>
      </c>
      <c r="J212" s="20" t="n">
        <v>0</v>
      </c>
      <c r="K212" s="20" t="n">
        <v>0</v>
      </c>
      <c r="L212" s="20" t="n">
        <v>0</v>
      </c>
      <c r="M212" s="20" t="n">
        <v>0</v>
      </c>
      <c r="N212" s="20" t="n">
        <v>0</v>
      </c>
      <c r="V212" s="20" t="n">
        <v>0</v>
      </c>
      <c r="W212" s="20" t="n">
        <v>0</v>
      </c>
      <c r="X212" s="20" t="n">
        <v>0</v>
      </c>
    </row>
    <row r="213">
      <c r="A213" s="18" t="inlineStr">
        <is>
          <t>부문 간 내부매출·대체</t>
        </is>
      </c>
      <c r="C213" s="20" t="n">
        <v>0</v>
      </c>
      <c r="D213" s="20" t="n">
        <v>0</v>
      </c>
      <c r="E213" s="20" t="n">
        <v>0</v>
      </c>
      <c r="F213" s="20" t="n">
        <v>0</v>
      </c>
      <c r="G213" s="20" t="n">
        <v>0</v>
      </c>
      <c r="H213" s="20" t="n">
        <v>0</v>
      </c>
      <c r="I213" s="20" t="n">
        <v>0</v>
      </c>
      <c r="J213" s="20" t="n">
        <v>0</v>
      </c>
      <c r="K213" s="20" t="n">
        <v>0</v>
      </c>
      <c r="L213" s="20" t="n">
        <v>0</v>
      </c>
      <c r="M213" s="20" t="n">
        <v>0</v>
      </c>
      <c r="N213" s="20" t="n">
        <v>0</v>
      </c>
      <c r="V213" s="20" t="n">
        <v>0</v>
      </c>
      <c r="W213" s="20" t="n">
        <v>0</v>
      </c>
      <c r="X213" s="20" t="n">
        <v>0</v>
      </c>
    </row>
    <row r="214">
      <c r="A214" s="18" t="inlineStr">
        <is>
          <t>부문 · 계</t>
        </is>
      </c>
      <c r="C214" s="20" t="n">
        <v>761.772</v>
      </c>
      <c r="E214" s="20" t="n">
        <v>1071.787</v>
      </c>
      <c r="F214" s="20" t="n">
        <v>910.25</v>
      </c>
      <c r="G214" s="20" t="n">
        <v>561.903</v>
      </c>
      <c r="I214" s="20" t="n">
        <v>622.438</v>
      </c>
      <c r="J214" s="20" t="n">
        <v>879.471</v>
      </c>
      <c r="K214" s="20" t="n">
        <v>720.543</v>
      </c>
      <c r="M214" s="20" t="n">
        <v>700.77</v>
      </c>
      <c r="N214" s="20" t="n">
        <v>683.326</v>
      </c>
    </row>
    <row r="215">
      <c r="A215" s="43" t="inlineStr">
        <is>
          <t>YoY</t>
        </is>
      </c>
      <c r="B215" s="3" t="inlineStr">
        <is>
          <t>전년 같은 분기·전년 대비</t>
        </is>
      </c>
      <c r="G215" s="15">
        <f>IF(OR(G214="",C214=""),"",IF(C214&lt;=0,"",IFERROR(G214/C214-1,"")))</f>
        <v/>
      </c>
      <c r="I215" s="15">
        <f>IF(OR(I214="",E214=""),"",IF(E214&lt;=0,"",IFERROR(I214/E214-1,"")))</f>
        <v/>
      </c>
      <c r="J215" s="15">
        <f>IF(OR(J214="",F214=""),"",IF(F214&lt;=0,"",IFERROR(J214/F214-1,"")))</f>
        <v/>
      </c>
      <c r="K215" s="15">
        <f>IF(OR(K214="",G214=""),"",IF(G214&lt;=0,"",IFERROR(K214/G214-1,"")))</f>
        <v/>
      </c>
      <c r="M215" s="15">
        <f>IF(OR(M214="",I214=""),"",IF(I214&lt;=0,"",IFERROR(M214/I214-1,"")))</f>
        <v/>
      </c>
      <c r="N215" s="15">
        <f>IF(OR(N214="",J214=""),"",IF(J214&lt;=0,"",IFERROR(N214/J214-1,"")))</f>
        <v/>
      </c>
    </row>
    <row r="216">
      <c r="A216" s="18" t="inlineStr">
        <is>
          <t>부문 · 계</t>
        </is>
      </c>
      <c r="E216" s="20" t="n">
        <v>1041.167</v>
      </c>
      <c r="I216" s="20" t="n">
        <v>980.013</v>
      </c>
      <c r="M216" s="20" t="n">
        <v>1165.74</v>
      </c>
    </row>
    <row r="217">
      <c r="A217" s="43" t="inlineStr">
        <is>
          <t>YoY</t>
        </is>
      </c>
      <c r="B217" s="3" t="inlineStr">
        <is>
          <t>전년 같은 분기·전년 대비</t>
        </is>
      </c>
      <c r="I217" s="15">
        <f>IF(OR(I216="",E216=""),"",IF(E216&lt;=0,"",IFERROR(I216/E216-1,"")))</f>
        <v/>
      </c>
      <c r="M217" s="15">
        <f>IF(OR(M216="",I216=""),"",IF(I216&lt;=0,"",IFERROR(M216/I216-1,"")))</f>
        <v/>
      </c>
    </row>
    <row r="218">
      <c r="A218" s="18" t="inlineStr">
        <is>
          <t>부문 · 계</t>
        </is>
      </c>
      <c r="E218" s="20" t="n">
        <v>226.808</v>
      </c>
      <c r="I218" s="20" t="n">
        <v>182.739</v>
      </c>
      <c r="M218" s="20" t="n">
        <v>218.55</v>
      </c>
    </row>
    <row r="219">
      <c r="A219" s="43" t="inlineStr">
        <is>
          <t>YoY</t>
        </is>
      </c>
      <c r="B219" s="3" t="inlineStr">
        <is>
          <t>전년 같은 분기·전년 대비</t>
        </is>
      </c>
      <c r="I219" s="15">
        <f>IF(OR(I218="",E218=""),"",IF(E218&lt;=0,"",IFERROR(I218/E218-1,"")))</f>
        <v/>
      </c>
      <c r="M219" s="15">
        <f>IF(OR(M218="",I218=""),"",IF(I218&lt;=0,"",IFERROR(M218/I218-1,"")))</f>
        <v/>
      </c>
    </row>
    <row r="220">
      <c r="A220" s="18" t="inlineStr">
        <is>
          <t>부문 · 계</t>
        </is>
      </c>
      <c r="C220" s="20" t="n">
        <v>1012.97</v>
      </c>
      <c r="G220" s="20" t="n">
        <v>505.306</v>
      </c>
      <c r="K220" s="20" t="n">
        <v>937.106</v>
      </c>
    </row>
    <row r="221">
      <c r="A221" s="43" t="inlineStr">
        <is>
          <t>YoY</t>
        </is>
      </c>
      <c r="B221" s="3" t="inlineStr">
        <is>
          <t>전년 같은 분기·전년 대비</t>
        </is>
      </c>
      <c r="G221" s="15">
        <f>IF(OR(G220="",C220=""),"",IF(C220&lt;=0,"",IFERROR(G220/C220-1,"")))</f>
        <v/>
      </c>
      <c r="K221" s="15">
        <f>IF(OR(K220="",G220=""),"",IF(G220&lt;=0,"",IFERROR(K220/G220-1,"")))</f>
        <v/>
      </c>
    </row>
    <row r="222">
      <c r="A222" s="18" t="inlineStr">
        <is>
          <t>부문 · 계</t>
        </is>
      </c>
      <c r="C222" s="20" t="n">
        <v>229.961</v>
      </c>
      <c r="G222" s="20" t="n">
        <v>178.591</v>
      </c>
      <c r="K222" s="20" t="n">
        <v>223.099</v>
      </c>
    </row>
    <row r="223">
      <c r="A223" s="43" t="inlineStr">
        <is>
          <t>YoY</t>
        </is>
      </c>
      <c r="B223" s="3" t="inlineStr">
        <is>
          <t>전년 같은 분기·전년 대비</t>
        </is>
      </c>
      <c r="G223" s="15">
        <f>IF(OR(G222="",C222=""),"",IF(C222&lt;=0,"",IFERROR(G222/C222-1,"")))</f>
        <v/>
      </c>
      <c r="K223" s="15">
        <f>IF(OR(K222="",G222=""),"",IF(G222&lt;=0,"",IFERROR(K222/G222-1,"")))</f>
        <v/>
      </c>
    </row>
    <row r="224">
      <c r="A224" s="18" t="inlineStr">
        <is>
          <t>부문 · 계</t>
        </is>
      </c>
      <c r="D224" s="20" t="n">
        <v>169.607</v>
      </c>
      <c r="E224" s="20" t="n">
        <v>126.908</v>
      </c>
      <c r="F224" s="20" t="n">
        <v>124.739</v>
      </c>
      <c r="G224" s="20" t="n">
        <v>108.38</v>
      </c>
      <c r="H224" s="20" t="n">
        <v>35.517</v>
      </c>
      <c r="I224" s="20" t="n">
        <v>76.253</v>
      </c>
      <c r="J224" s="20" t="n">
        <v>71.527</v>
      </c>
      <c r="K224" s="20" t="n">
        <v>255.407</v>
      </c>
      <c r="L224" s="20" t="n">
        <v>265.896</v>
      </c>
      <c r="M224" s="20" t="n">
        <v>408.965</v>
      </c>
      <c r="N224" s="20" t="n">
        <v>382.591</v>
      </c>
      <c r="V224" s="20" t="n">
        <v>169.607</v>
      </c>
      <c r="W224" s="20" t="n">
        <v>35.517</v>
      </c>
      <c r="X224" s="20" t="n">
        <v>265.896</v>
      </c>
    </row>
    <row r="225">
      <c r="A225" s="43" t="inlineStr">
        <is>
          <t>YoY</t>
        </is>
      </c>
      <c r="B225" s="3" t="inlineStr">
        <is>
          <t>전년 같은 분기·전년 대비</t>
        </is>
      </c>
      <c r="G225" s="15">
        <f>IF(OR(G224="",C224=""),"",IF(C224&lt;=0,"",IFERROR(G224/C224-1,"")))</f>
        <v/>
      </c>
      <c r="H225" s="15">
        <f>IF(OR(H224="",D224=""),"",IF(D224&lt;=0,"",IFERROR(H224/D224-1,"")))</f>
        <v/>
      </c>
      <c r="I225" s="15">
        <f>IF(OR(I224="",E224=""),"",IF(E224&lt;=0,"",IFERROR(I224/E224-1,"")))</f>
        <v/>
      </c>
      <c r="J225" s="15">
        <f>IF(OR(J224="",F224=""),"",IF(F224&lt;=0,"",IFERROR(J224/F224-1,"")))</f>
        <v/>
      </c>
      <c r="K225" s="15">
        <f>IF(OR(K224="",G224=""),"",IF(G224&lt;=0,"",IFERROR(K224/G224-1,"")))</f>
        <v/>
      </c>
      <c r="L225" s="15">
        <f>IF(OR(L224="",H224=""),"",IF(H224&lt;=0,"",IFERROR(L224/H224-1,"")))</f>
        <v/>
      </c>
      <c r="M225" s="15">
        <f>IF(OR(M224="",I224=""),"",IF(I224&lt;=0,"",IFERROR(M224/I224-1,"")))</f>
        <v/>
      </c>
      <c r="N225" s="15">
        <f>IF(OR(N224="",J224=""),"",IF(J224&lt;=0,"",IFERROR(N224/J224-1,"")))</f>
        <v/>
      </c>
      <c r="V225" s="15">
        <f>IF(OR(V224="",U224=""),"",IF(U224&lt;=0,"",IFERROR(V224/U224-1,"")))</f>
        <v/>
      </c>
      <c r="W225" s="15">
        <f>IF(OR(W224="",V224=""),"",IF(V224&lt;=0,"",IFERROR(W224/V224-1,"")))</f>
        <v/>
      </c>
      <c r="X225" s="15">
        <f>IF(OR(X224="",W224=""),"",IF(W224&lt;=0,"",IFERROR(X224/W224-1,"")))</f>
        <v/>
      </c>
    </row>
    <row r="226">
      <c r="A226" s="18" t="inlineStr">
        <is>
          <t>부동산 임대 사업 · 계</t>
        </is>
      </c>
      <c r="E226" s="20" t="n">
        <v>152.626</v>
      </c>
      <c r="I226" s="20" t="n">
        <v>189.539</v>
      </c>
      <c r="M226" s="20" t="n">
        <v>189.431</v>
      </c>
    </row>
    <row r="227">
      <c r="A227" s="43" t="inlineStr">
        <is>
          <t>YoY</t>
        </is>
      </c>
      <c r="B227" s="3" t="inlineStr">
        <is>
          <t>전년 같은 분기·전년 대비</t>
        </is>
      </c>
      <c r="I227" s="15">
        <f>IF(OR(I226="",E226=""),"",IF(E226&lt;=0,"",IFERROR(I226/E226-1,"")))</f>
        <v/>
      </c>
      <c r="M227" s="15">
        <f>IF(OR(M226="",I226=""),"",IF(I226&lt;=0,"",IFERROR(M226/I226-1,"")))</f>
        <v/>
      </c>
    </row>
    <row r="228">
      <c r="A228" s="18" t="inlineStr">
        <is>
          <t>부동산 임대 사업 · 계</t>
        </is>
      </c>
      <c r="C228" s="20" t="n">
        <v>116.9</v>
      </c>
      <c r="G228" s="20" t="n">
        <v>164.577</v>
      </c>
      <c r="K228" s="20" t="n">
        <v>189.385</v>
      </c>
    </row>
    <row r="229">
      <c r="A229" s="43" t="inlineStr">
        <is>
          <t>YoY</t>
        </is>
      </c>
      <c r="B229" s="3" t="inlineStr">
        <is>
          <t>전년 같은 분기·전년 대비</t>
        </is>
      </c>
      <c r="G229" s="15">
        <f>IF(OR(G228="",C228=""),"",IF(C228&lt;=0,"",IFERROR(G228/C228-1,"")))</f>
        <v/>
      </c>
      <c r="K229" s="15">
        <f>IF(OR(K228="",G228=""),"",IF(G228&lt;=0,"",IFERROR(K228/G228-1,"")))</f>
        <v/>
      </c>
    </row>
    <row r="230">
      <c r="A230" s="18" t="inlineStr">
        <is>
          <t>합계 · 계</t>
        </is>
      </c>
      <c r="C230" s="20" t="n">
        <v>2291.775</v>
      </c>
      <c r="E230" s="20" t="n">
        <v>2619.298</v>
      </c>
      <c r="F230" s="20" t="n">
        <v>2223.097</v>
      </c>
      <c r="G230" s="20" t="n">
        <v>1518.756</v>
      </c>
      <c r="I230" s="20" t="n">
        <v>2050.984</v>
      </c>
      <c r="J230" s="20" t="n">
        <v>2228.002</v>
      </c>
      <c r="K230" s="20" t="n">
        <v>2325.54</v>
      </c>
      <c r="M230" s="20" t="n">
        <v>2683.456</v>
      </c>
      <c r="N230" s="20" t="n">
        <v>2689.707</v>
      </c>
    </row>
    <row r="231">
      <c r="A231" s="43" t="inlineStr">
        <is>
          <t>YoY</t>
        </is>
      </c>
      <c r="B231" s="3" t="inlineStr">
        <is>
          <t>전년 같은 분기·전년 대비</t>
        </is>
      </c>
      <c r="G231" s="15">
        <f>IF(OR(G230="",C230=""),"",IF(C230&lt;=0,"",IFERROR(G230/C230-1,"")))</f>
        <v/>
      </c>
      <c r="I231" s="15">
        <f>IF(OR(I230="",E230=""),"",IF(E230&lt;=0,"",IFERROR(I230/E230-1,"")))</f>
        <v/>
      </c>
      <c r="J231" s="15">
        <f>IF(OR(J230="",F230=""),"",IF(F230&lt;=0,"",IFERROR(J230/F230-1,"")))</f>
        <v/>
      </c>
      <c r="K231" s="15">
        <f>IF(OR(K230="",G230=""),"",IF(G230&lt;=0,"",IFERROR(K230/G230-1,"")))</f>
        <v/>
      </c>
      <c r="M231" s="15">
        <f>IF(OR(M230="",I230=""),"",IF(I230&lt;=0,"",IFERROR(M230/I230-1,"")))</f>
        <v/>
      </c>
      <c r="N231" s="15">
        <f>IF(OR(N230="",J230=""),"",IF(J230&lt;=0,"",IFERROR(N230/J230-1,"")))</f>
        <v/>
      </c>
    </row>
    <row r="232">
      <c r="A232" s="18" t="inlineStr">
        <is>
          <t>조정액 · 계</t>
        </is>
      </c>
      <c r="C232" s="20" t="n">
        <v>0</v>
      </c>
      <c r="D232" s="20" t="n">
        <v>0</v>
      </c>
      <c r="E232" s="20" t="n">
        <v>0</v>
      </c>
      <c r="F232" s="20" t="n">
        <v>0</v>
      </c>
      <c r="G232" s="20" t="n">
        <v>0</v>
      </c>
      <c r="H232" s="20" t="n">
        <v>0</v>
      </c>
      <c r="I232" s="20" t="n">
        <v>0</v>
      </c>
      <c r="J232" s="20" t="n">
        <v>0</v>
      </c>
      <c r="K232" s="20" t="n">
        <v>0</v>
      </c>
      <c r="L232" s="20" t="n">
        <v>0</v>
      </c>
      <c r="M232" s="20" t="n">
        <v>0</v>
      </c>
      <c r="N232" s="20" t="n">
        <v>0</v>
      </c>
      <c r="V232" s="20" t="n">
        <v>0</v>
      </c>
      <c r="W232" s="20" t="n">
        <v>0</v>
      </c>
      <c r="X232" s="20" t="n">
        <v>0</v>
      </c>
    </row>
    <row r="233">
      <c r="A233" s="9" t="inlineStr">
        <is>
          <t>계</t>
        </is>
      </c>
      <c r="C233" s="12" t="n">
        <v>2291.775</v>
      </c>
      <c r="D233" s="12" t="n">
        <v>2146.983</v>
      </c>
      <c r="E233" s="12" t="n">
        <v>2619.298</v>
      </c>
      <c r="F233" s="12" t="n">
        <v>2223.097</v>
      </c>
      <c r="G233" s="12" t="n">
        <v>1518.756</v>
      </c>
      <c r="H233" s="12" t="n">
        <v>1999.053</v>
      </c>
      <c r="I233" s="12" t="n">
        <v>2050.984</v>
      </c>
      <c r="J233" s="12" t="n">
        <v>2228.002</v>
      </c>
      <c r="K233" s="12" t="n">
        <v>2325.54</v>
      </c>
      <c r="L233" s="12" t="n">
        <v>2664.553</v>
      </c>
      <c r="M233" s="12" t="n">
        <v>2683.456</v>
      </c>
      <c r="N233" s="12" t="n">
        <v>2689.707</v>
      </c>
      <c r="V233" s="12" t="n">
        <v>2146.983</v>
      </c>
      <c r="W233" s="12" t="n">
        <v>1999.053</v>
      </c>
      <c r="X233" s="12" t="n">
        <v>2664.553</v>
      </c>
    </row>
    <row r="234">
      <c r="A234" s="43" t="inlineStr">
        <is>
          <t>YoY</t>
        </is>
      </c>
      <c r="B234" s="3" t="inlineStr">
        <is>
          <t>전년 같은 분기·전년 대비</t>
        </is>
      </c>
      <c r="G234" s="15">
        <f>IF(OR(G233="",C233=""),"",IF(C233&lt;=0,"",IFERROR(G233/C233-1,"")))</f>
        <v/>
      </c>
      <c r="H234" s="15">
        <f>IF(OR(H233="",D233=""),"",IF(D233&lt;=0,"",IFERROR(H233/D233-1,"")))</f>
        <v/>
      </c>
      <c r="I234" s="15">
        <f>IF(OR(I233="",E233=""),"",IF(E233&lt;=0,"",IFERROR(I233/E233-1,"")))</f>
        <v/>
      </c>
      <c r="J234" s="15">
        <f>IF(OR(J233="",F233=""),"",IF(F233&lt;=0,"",IFERROR(J233/F233-1,"")))</f>
        <v/>
      </c>
      <c r="K234" s="15">
        <f>IF(OR(K233="",G233=""),"",IF(G233&lt;=0,"",IFERROR(K233/G233-1,"")))</f>
        <v/>
      </c>
      <c r="L234" s="15">
        <f>IF(OR(L233="",H233=""),"",IF(H233&lt;=0,"",IFERROR(L233/H233-1,"")))</f>
        <v/>
      </c>
      <c r="M234" s="15">
        <f>IF(OR(M233="",I233=""),"",IF(I233&lt;=0,"",IFERROR(M233/I233-1,"")))</f>
        <v/>
      </c>
      <c r="N234" s="15">
        <f>IF(OR(N233="",J233=""),"",IF(J233&lt;=0,"",IFERROR(N233/J233-1,"")))</f>
        <v/>
      </c>
      <c r="V234" s="15">
        <f>IF(OR(V233="",U233=""),"",IF(U233&lt;=0,"",IFERROR(V233/U233-1,"")))</f>
        <v/>
      </c>
      <c r="W234" s="15">
        <f>IF(OR(W233="",V233=""),"",IF(V233&lt;=0,"",IFERROR(W233/V233-1,"")))</f>
        <v/>
      </c>
      <c r="X234" s="15">
        <f>IF(OR(X233="",W233=""),"",IF(W233&lt;=0,"",IFERROR(X233/W233-1,"")))</f>
        <v/>
      </c>
    </row>
    <row r="235">
      <c r="A235" s="18" t="inlineStr">
        <is>
          <t>부문 · 부문 이익(손실)</t>
        </is>
      </c>
      <c r="C235" s="20" t="n">
        <v>82.331</v>
      </c>
      <c r="E235" s="20" t="n">
        <v>77.078</v>
      </c>
      <c r="F235" s="20" t="n">
        <v>147.198</v>
      </c>
      <c r="G235" s="20" t="n">
        <v>-48.803</v>
      </c>
      <c r="I235" s="20" t="n">
        <v>34.505</v>
      </c>
      <c r="J235" s="20" t="n">
        <v>30.36</v>
      </c>
      <c r="K235" s="20" t="n">
        <v>8.391999999999999</v>
      </c>
      <c r="M235" s="20" t="n">
        <v>6.159</v>
      </c>
      <c r="N235" s="20" t="n">
        <v>-52.006</v>
      </c>
    </row>
    <row r="236">
      <c r="A236" s="43" t="inlineStr">
        <is>
          <t>OPM</t>
        </is>
      </c>
      <c r="B236" s="3" t="inlineStr">
        <is>
          <t>영업이익 ÷ 매출</t>
        </is>
      </c>
      <c r="C236" s="15">
        <f>IF(OR(C235="",C214=""),"",IF(C214&lt;=0,"",IFERROR(C235/C214,"")))</f>
        <v/>
      </c>
      <c r="E236" s="15">
        <f>IF(OR(E235="",E214=""),"",IF(E214&lt;=0,"",IFERROR(E235/E214,"")))</f>
        <v/>
      </c>
      <c r="F236" s="15">
        <f>IF(OR(F235="",F214=""),"",IF(F214&lt;=0,"",IFERROR(F235/F214,"")))</f>
        <v/>
      </c>
      <c r="G236" s="15">
        <f>IF(OR(G235="",G214=""),"",IF(G214&lt;=0,"",IFERROR(G235/G214,"")))</f>
        <v/>
      </c>
      <c r="I236" s="15">
        <f>IF(OR(I235="",I214=""),"",IF(I214&lt;=0,"",IFERROR(I235/I214,"")))</f>
        <v/>
      </c>
      <c r="J236" s="15">
        <f>IF(OR(J235="",J214=""),"",IF(J214&lt;=0,"",IFERROR(J235/J214,"")))</f>
        <v/>
      </c>
      <c r="K236" s="15">
        <f>IF(OR(K235="",K214=""),"",IF(K214&lt;=0,"",IFERROR(K235/K214,"")))</f>
        <v/>
      </c>
      <c r="M236" s="15">
        <f>IF(OR(M235="",M214=""),"",IF(M214&lt;=0,"",IFERROR(M235/M214,"")))</f>
        <v/>
      </c>
      <c r="N236" s="15">
        <f>IF(OR(N235="",N214=""),"",IF(N214&lt;=0,"",IFERROR(N235/N214,"")))</f>
        <v/>
      </c>
    </row>
    <row r="237">
      <c r="A237" s="43" t="inlineStr">
        <is>
          <t>YoY</t>
        </is>
      </c>
      <c r="B237" s="3" t="inlineStr">
        <is>
          <t>전년 같은 분기·전년 대비</t>
        </is>
      </c>
      <c r="G237" s="15">
        <f>IF(OR(G235="",C235=""),"",IF(C235&lt;=0,"",IFERROR(G235/C235-1,"")))</f>
        <v/>
      </c>
      <c r="I237" s="15">
        <f>IF(OR(I235="",E235=""),"",IF(E235&lt;=0,"",IFERROR(I235/E235-1,"")))</f>
        <v/>
      </c>
      <c r="J237" s="15">
        <f>IF(OR(J235="",F235=""),"",IF(F235&lt;=0,"",IFERROR(J235/F235-1,"")))</f>
        <v/>
      </c>
      <c r="K237" s="15">
        <f>IF(OR(K235="",G235=""),"",IF(G235&lt;=0,"",IFERROR(K235/G235-1,"")))</f>
        <v/>
      </c>
      <c r="M237" s="15">
        <f>IF(OR(M235="",I235=""),"",IF(I235&lt;=0,"",IFERROR(M235/I235-1,"")))</f>
        <v/>
      </c>
      <c r="N237" s="15">
        <f>IF(OR(N235="",J235=""),"",IF(J235&lt;=0,"",IFERROR(N235/J235-1,"")))</f>
        <v/>
      </c>
    </row>
    <row r="238">
      <c r="A238" s="18" t="inlineStr">
        <is>
          <t>부문 · 부문 이익(손실)</t>
        </is>
      </c>
      <c r="E238" s="20" t="n">
        <v>197.531</v>
      </c>
      <c r="I238" s="20" t="n">
        <v>209.197</v>
      </c>
      <c r="M238" s="20" t="n">
        <v>120.934</v>
      </c>
    </row>
    <row r="239">
      <c r="A239" s="43" t="inlineStr">
        <is>
          <t>OPM</t>
        </is>
      </c>
      <c r="B239" s="3" t="inlineStr">
        <is>
          <t>영업이익 ÷ 매출</t>
        </is>
      </c>
      <c r="E239" s="15">
        <f>IF(OR(E238="",E216=""),"",IF(E216&lt;=0,"",IFERROR(E238/E216,"")))</f>
        <v/>
      </c>
      <c r="I239" s="15">
        <f>IF(OR(I238="",I216=""),"",IF(I216&lt;=0,"",IFERROR(I238/I216,"")))</f>
        <v/>
      </c>
      <c r="M239" s="15">
        <f>IF(OR(M238="",M216=""),"",IF(M216&lt;=0,"",IFERROR(M238/M216,"")))</f>
        <v/>
      </c>
    </row>
    <row r="240">
      <c r="A240" s="43" t="inlineStr">
        <is>
          <t>YoY</t>
        </is>
      </c>
      <c r="B240" s="3" t="inlineStr">
        <is>
          <t>전년 같은 분기·전년 대비</t>
        </is>
      </c>
      <c r="I240" s="15">
        <f>IF(OR(I238="",E238=""),"",IF(E238&lt;=0,"",IFERROR(I238/E238-1,"")))</f>
        <v/>
      </c>
      <c r="M240" s="15">
        <f>IF(OR(M238="",I238=""),"",IF(I238&lt;=0,"",IFERROR(M238/I238-1,"")))</f>
        <v/>
      </c>
    </row>
    <row r="241">
      <c r="A241" s="18" t="inlineStr">
        <is>
          <t>부문 · 부문 이익(손실)</t>
        </is>
      </c>
      <c r="E241" s="20" t="n">
        <v>-54.493</v>
      </c>
      <c r="I241" s="20" t="n">
        <v>-57.481</v>
      </c>
      <c r="M241" s="20" t="n">
        <v>-23.203</v>
      </c>
    </row>
    <row r="242">
      <c r="A242" s="43" t="inlineStr">
        <is>
          <t>OPM</t>
        </is>
      </c>
      <c r="B242" s="3" t="inlineStr">
        <is>
          <t>영업이익 ÷ 매출</t>
        </is>
      </c>
      <c r="E242" s="15">
        <f>IF(OR(E241="",E218=""),"",IF(E218&lt;=0,"",IFERROR(E241/E218,"")))</f>
        <v/>
      </c>
      <c r="I242" s="15">
        <f>IF(OR(I241="",I218=""),"",IF(I218&lt;=0,"",IFERROR(I241/I218,"")))</f>
        <v/>
      </c>
      <c r="M242" s="15">
        <f>IF(OR(M241="",M218=""),"",IF(M218&lt;=0,"",IFERROR(M241/M218,"")))</f>
        <v/>
      </c>
    </row>
    <row r="243">
      <c r="A243" s="43" t="inlineStr">
        <is>
          <t>YoY</t>
        </is>
      </c>
      <c r="B243" s="3" t="inlineStr">
        <is>
          <t>전년 같은 분기·전년 대비</t>
        </is>
      </c>
      <c r="I243" s="15">
        <f>IF(OR(I241="",E241=""),"",IF(E241&lt;=0,"",IFERROR(I241/E241-1,"")))</f>
        <v/>
      </c>
      <c r="M243" s="15">
        <f>IF(OR(M241="",I241=""),"",IF(I241&lt;=0,"",IFERROR(M241/I241-1,"")))</f>
        <v/>
      </c>
    </row>
    <row r="244">
      <c r="A244" s="18" t="inlineStr">
        <is>
          <t>부문 · 부문 이익(손실)</t>
        </is>
      </c>
      <c r="C244" s="20" t="n">
        <v>243.81</v>
      </c>
      <c r="G244" s="20" t="n">
        <v>-22.951</v>
      </c>
      <c r="K244" s="20" t="n">
        <v>82.593</v>
      </c>
    </row>
    <row r="245">
      <c r="A245" s="43" t="inlineStr">
        <is>
          <t>OPM</t>
        </is>
      </c>
      <c r="B245" s="3" t="inlineStr">
        <is>
          <t>영업이익 ÷ 매출</t>
        </is>
      </c>
      <c r="C245" s="15">
        <f>IF(OR(C244="",C220=""),"",IF(C220&lt;=0,"",IFERROR(C244/C220,"")))</f>
        <v/>
      </c>
      <c r="G245" s="15">
        <f>IF(OR(G244="",G220=""),"",IF(G220&lt;=0,"",IFERROR(G244/G220,"")))</f>
        <v/>
      </c>
      <c r="K245" s="15">
        <f>IF(OR(K244="",K220=""),"",IF(K220&lt;=0,"",IFERROR(K244/K220,"")))</f>
        <v/>
      </c>
    </row>
    <row r="246">
      <c r="A246" s="43" t="inlineStr">
        <is>
          <t>YoY</t>
        </is>
      </c>
      <c r="B246" s="3" t="inlineStr">
        <is>
          <t>전년 같은 분기·전년 대비</t>
        </is>
      </c>
      <c r="G246" s="15">
        <f>IF(OR(G244="",C244=""),"",IF(C244&lt;=0,"",IFERROR(G244/C244-1,"")))</f>
        <v/>
      </c>
      <c r="K246" s="15">
        <f>IF(OR(K244="",G244=""),"",IF(G244&lt;=0,"",IFERROR(K244/G244-1,"")))</f>
        <v/>
      </c>
    </row>
    <row r="247">
      <c r="A247" s="18" t="inlineStr">
        <is>
          <t>부문 · 부문 이익(손실)</t>
        </is>
      </c>
      <c r="C247" s="20" t="n">
        <v>-66.54300000000001</v>
      </c>
      <c r="G247" s="20" t="n">
        <v>-70.121</v>
      </c>
      <c r="K247" s="20" t="n">
        <v>-45.386</v>
      </c>
    </row>
    <row r="248">
      <c r="A248" s="43" t="inlineStr">
        <is>
          <t>OPM</t>
        </is>
      </c>
      <c r="B248" s="3" t="inlineStr">
        <is>
          <t>영업이익 ÷ 매출</t>
        </is>
      </c>
      <c r="C248" s="15">
        <f>IF(OR(C247="",C222=""),"",IF(C222&lt;=0,"",IFERROR(C247/C222,"")))</f>
        <v/>
      </c>
      <c r="G248" s="15">
        <f>IF(OR(G247="",G222=""),"",IF(G222&lt;=0,"",IFERROR(G247/G222,"")))</f>
        <v/>
      </c>
      <c r="K248" s="15">
        <f>IF(OR(K247="",K222=""),"",IF(K222&lt;=0,"",IFERROR(K247/K222,"")))</f>
        <v/>
      </c>
    </row>
    <row r="249">
      <c r="A249" s="43" t="inlineStr">
        <is>
          <t>YoY</t>
        </is>
      </c>
      <c r="B249" s="3" t="inlineStr">
        <is>
          <t>전년 같은 분기·전년 대비</t>
        </is>
      </c>
      <c r="G249" s="15">
        <f>IF(OR(G247="",C247=""),"",IF(C247&lt;=0,"",IFERROR(G247/C247-1,"")))</f>
        <v/>
      </c>
      <c r="K249" s="15">
        <f>IF(OR(K247="",G247=""),"",IF(G247&lt;=0,"",IFERROR(K247/G247-1,"")))</f>
        <v/>
      </c>
    </row>
    <row r="250">
      <c r="A250" s="18" t="inlineStr">
        <is>
          <t>부문 · 부문 이익(손실)</t>
        </is>
      </c>
      <c r="D250" s="20" t="n">
        <v>-29.588</v>
      </c>
      <c r="E250" s="20" t="n">
        <v>-24.966</v>
      </c>
      <c r="F250" s="20" t="n">
        <v>-23.66</v>
      </c>
      <c r="G250" s="20" t="n">
        <v>-19.861</v>
      </c>
      <c r="H250" s="20" t="n">
        <v>-48.561</v>
      </c>
      <c r="I250" s="20" t="n">
        <v>-15.678</v>
      </c>
      <c r="J250" s="20" t="n">
        <v>-19.787</v>
      </c>
      <c r="K250" s="20" t="n">
        <v>15.972</v>
      </c>
      <c r="L250" s="20" t="n">
        <v>13.595</v>
      </c>
      <c r="M250" s="20" t="n">
        <v>113.734</v>
      </c>
      <c r="N250" s="20" t="n">
        <v>-40.974</v>
      </c>
      <c r="V250" s="20" t="n">
        <v>-29.588</v>
      </c>
      <c r="W250" s="20" t="n">
        <v>-48.561</v>
      </c>
      <c r="X250" s="20" t="n">
        <v>13.595</v>
      </c>
    </row>
    <row r="251">
      <c r="A251" s="43" t="inlineStr">
        <is>
          <t>OPM</t>
        </is>
      </c>
      <c r="B251" s="3" t="inlineStr">
        <is>
          <t>영업이익 ÷ 매출</t>
        </is>
      </c>
      <c r="D251" s="15">
        <f>IF(OR(D250="",D224=""),"",IF(D224&lt;=0,"",IFERROR(D250/D224,"")))</f>
        <v/>
      </c>
      <c r="E251" s="15">
        <f>IF(OR(E250="",E224=""),"",IF(E224&lt;=0,"",IFERROR(E250/E224,"")))</f>
        <v/>
      </c>
      <c r="F251" s="15">
        <f>IF(OR(F250="",F224=""),"",IF(F224&lt;=0,"",IFERROR(F250/F224,"")))</f>
        <v/>
      </c>
      <c r="G251" s="15">
        <f>IF(OR(G250="",G224=""),"",IF(G224&lt;=0,"",IFERROR(G250/G224,"")))</f>
        <v/>
      </c>
      <c r="H251" s="15">
        <f>IF(OR(H250="",H224=""),"",IF(H224&lt;=0,"",IFERROR(H250/H224,"")))</f>
        <v/>
      </c>
      <c r="I251" s="15">
        <f>IF(OR(I250="",I224=""),"",IF(I224&lt;=0,"",IFERROR(I250/I224,"")))</f>
        <v/>
      </c>
      <c r="J251" s="15">
        <f>IF(OR(J250="",J224=""),"",IF(J224&lt;=0,"",IFERROR(J250/J224,"")))</f>
        <v/>
      </c>
      <c r="K251" s="15">
        <f>IF(OR(K250="",K224=""),"",IF(K224&lt;=0,"",IFERROR(K250/K224,"")))</f>
        <v/>
      </c>
      <c r="L251" s="15">
        <f>IF(OR(L250="",L224=""),"",IF(L224&lt;=0,"",IFERROR(L250/L224,"")))</f>
        <v/>
      </c>
      <c r="M251" s="15">
        <f>IF(OR(M250="",M224=""),"",IF(M224&lt;=0,"",IFERROR(M250/M224,"")))</f>
        <v/>
      </c>
      <c r="N251" s="15">
        <f>IF(OR(N250="",N224=""),"",IF(N224&lt;=0,"",IFERROR(N250/N224,"")))</f>
        <v/>
      </c>
      <c r="V251" s="15">
        <f>IF(OR(V250="",V224=""),"",IF(V224&lt;=0,"",IFERROR(V250/V224,"")))</f>
        <v/>
      </c>
      <c r="W251" s="15">
        <f>IF(OR(W250="",W224=""),"",IF(W224&lt;=0,"",IFERROR(W250/W224,"")))</f>
        <v/>
      </c>
      <c r="X251" s="15">
        <f>IF(OR(X250="",X224=""),"",IF(X224&lt;=0,"",IFERROR(X250/X224,"")))</f>
        <v/>
      </c>
    </row>
    <row r="252">
      <c r="A252" s="43" t="inlineStr">
        <is>
          <t>YoY</t>
        </is>
      </c>
      <c r="B252" s="3" t="inlineStr">
        <is>
          <t>전년 같은 분기·전년 대비</t>
        </is>
      </c>
      <c r="G252" s="15">
        <f>IF(OR(G250="",C250=""),"",IF(C250&lt;=0,"",IFERROR(G250/C250-1,"")))</f>
        <v/>
      </c>
      <c r="H252" s="15">
        <f>IF(OR(H250="",D250=""),"",IF(D250&lt;=0,"",IFERROR(H250/D250-1,"")))</f>
        <v/>
      </c>
      <c r="I252" s="15">
        <f>IF(OR(I250="",E250=""),"",IF(E250&lt;=0,"",IFERROR(I250/E250-1,"")))</f>
        <v/>
      </c>
      <c r="J252" s="15">
        <f>IF(OR(J250="",F250=""),"",IF(F250&lt;=0,"",IFERROR(J250/F250-1,"")))</f>
        <v/>
      </c>
      <c r="K252" s="15">
        <f>IF(OR(K250="",G250=""),"",IF(G250&lt;=0,"",IFERROR(K250/G250-1,"")))</f>
        <v/>
      </c>
      <c r="L252" s="15">
        <f>IF(OR(L250="",H250=""),"",IF(H250&lt;=0,"",IFERROR(L250/H250-1,"")))</f>
        <v/>
      </c>
      <c r="M252" s="15">
        <f>IF(OR(M250="",I250=""),"",IF(I250&lt;=0,"",IFERROR(M250/I250-1,"")))</f>
        <v/>
      </c>
      <c r="N252" s="15">
        <f>IF(OR(N250="",J250=""),"",IF(J250&lt;=0,"",IFERROR(N250/J250-1,"")))</f>
        <v/>
      </c>
      <c r="V252" s="15">
        <f>IF(OR(V250="",U250=""),"",IF(U250&lt;=0,"",IFERROR(V250/U250-1,"")))</f>
        <v/>
      </c>
      <c r="W252" s="15">
        <f>IF(OR(W250="",V250=""),"",IF(V250&lt;=0,"",IFERROR(W250/V250-1,"")))</f>
        <v/>
      </c>
      <c r="X252" s="15">
        <f>IF(OR(X250="",W250=""),"",IF(W250&lt;=0,"",IFERROR(X250/W250-1,"")))</f>
        <v/>
      </c>
    </row>
    <row r="253">
      <c r="A253" s="18" t="inlineStr">
        <is>
          <t>부동산 임대 사업 · 부문 이익(손실)</t>
        </is>
      </c>
      <c r="E253" s="20" t="n">
        <v>113.79</v>
      </c>
      <c r="I253" s="20" t="n">
        <v>150.262</v>
      </c>
      <c r="M253" s="20" t="n">
        <v>148.401</v>
      </c>
    </row>
    <row r="254">
      <c r="A254" s="43" t="inlineStr">
        <is>
          <t>OPM</t>
        </is>
      </c>
      <c r="B254" s="3" t="inlineStr">
        <is>
          <t>영업이익 ÷ 매출</t>
        </is>
      </c>
      <c r="E254" s="15">
        <f>IF(OR(E253="",E226=""),"",IF(E226&lt;=0,"",IFERROR(E253/E226,"")))</f>
        <v/>
      </c>
      <c r="I254" s="15">
        <f>IF(OR(I253="",I226=""),"",IF(I226&lt;=0,"",IFERROR(I253/I226,"")))</f>
        <v/>
      </c>
      <c r="M254" s="15">
        <f>IF(OR(M253="",M226=""),"",IF(M226&lt;=0,"",IFERROR(M253/M226,"")))</f>
        <v/>
      </c>
    </row>
    <row r="255">
      <c r="A255" s="43" t="inlineStr">
        <is>
          <t>YoY</t>
        </is>
      </c>
      <c r="B255" s="3" t="inlineStr">
        <is>
          <t>전년 같은 분기·전년 대비</t>
        </is>
      </c>
      <c r="I255" s="15">
        <f>IF(OR(I253="",E253=""),"",IF(E253&lt;=0,"",IFERROR(I253/E253-1,"")))</f>
        <v/>
      </c>
      <c r="M255" s="15">
        <f>IF(OR(M253="",I253=""),"",IF(I253&lt;=0,"",IFERROR(M253/I253-1,"")))</f>
        <v/>
      </c>
    </row>
    <row r="256">
      <c r="A256" s="18" t="inlineStr">
        <is>
          <t>부동산 임대 사업 · 부문 이익(손실)</t>
        </is>
      </c>
      <c r="C256" s="20" t="n">
        <v>79.956</v>
      </c>
      <c r="G256" s="20" t="n">
        <v>126.267</v>
      </c>
      <c r="K256" s="20" t="n">
        <v>149.932</v>
      </c>
    </row>
    <row r="257">
      <c r="A257" s="43" t="inlineStr">
        <is>
          <t>OPM</t>
        </is>
      </c>
      <c r="B257" s="3" t="inlineStr">
        <is>
          <t>영업이익 ÷ 매출</t>
        </is>
      </c>
      <c r="C257" s="15">
        <f>IF(OR(C256="",C228=""),"",IF(C228&lt;=0,"",IFERROR(C256/C228,"")))</f>
        <v/>
      </c>
      <c r="G257" s="15">
        <f>IF(OR(G256="",G228=""),"",IF(G228&lt;=0,"",IFERROR(G256/G228,"")))</f>
        <v/>
      </c>
      <c r="K257" s="15">
        <f>IF(OR(K256="",K228=""),"",IF(K228&lt;=0,"",IFERROR(K256/K228,"")))</f>
        <v/>
      </c>
    </row>
    <row r="258">
      <c r="A258" s="43" t="inlineStr">
        <is>
          <t>YoY</t>
        </is>
      </c>
      <c r="B258" s="3" t="inlineStr">
        <is>
          <t>전년 같은 분기·전년 대비</t>
        </is>
      </c>
      <c r="G258" s="15">
        <f>IF(OR(G256="",C256=""),"",IF(C256&lt;=0,"",IFERROR(G256/C256-1,"")))</f>
        <v/>
      </c>
      <c r="K258" s="15">
        <f>IF(OR(K256="",G256=""),"",IF(G256&lt;=0,"",IFERROR(K256/G256-1,"")))</f>
        <v/>
      </c>
    </row>
    <row r="259">
      <c r="A259" s="18" t="inlineStr">
        <is>
          <t>합계 · 부문 이익(손실)</t>
        </is>
      </c>
      <c r="C259" s="20" t="n">
        <v>324.302</v>
      </c>
      <c r="E259" s="20" t="n">
        <v>308.94</v>
      </c>
      <c r="F259" s="20" t="n">
        <v>357.652</v>
      </c>
      <c r="G259" s="20" t="n">
        <v>-35.469</v>
      </c>
      <c r="I259" s="20" t="n">
        <v>320.804</v>
      </c>
      <c r="J259" s="20" t="n">
        <v>203.545</v>
      </c>
      <c r="K259" s="20" t="n">
        <v>211.503</v>
      </c>
      <c r="M259" s="20" t="n">
        <v>366.027</v>
      </c>
      <c r="N259" s="20" t="n">
        <v>341.163</v>
      </c>
    </row>
    <row r="260">
      <c r="A260" s="43" t="inlineStr">
        <is>
          <t>OPM</t>
        </is>
      </c>
      <c r="B260" s="3" t="inlineStr">
        <is>
          <t>영업이익 ÷ 매출</t>
        </is>
      </c>
      <c r="C260" s="15">
        <f>IF(OR(C259="",C230=""),"",IF(C230&lt;=0,"",IFERROR(C259/C230,"")))</f>
        <v/>
      </c>
      <c r="E260" s="15">
        <f>IF(OR(E259="",E230=""),"",IF(E230&lt;=0,"",IFERROR(E259/E230,"")))</f>
        <v/>
      </c>
      <c r="F260" s="15">
        <f>IF(OR(F259="",F230=""),"",IF(F230&lt;=0,"",IFERROR(F259/F230,"")))</f>
        <v/>
      </c>
      <c r="G260" s="15">
        <f>IF(OR(G259="",G230=""),"",IF(G230&lt;=0,"",IFERROR(G259/G230,"")))</f>
        <v/>
      </c>
      <c r="I260" s="15">
        <f>IF(OR(I259="",I230=""),"",IF(I230&lt;=0,"",IFERROR(I259/I230,"")))</f>
        <v/>
      </c>
      <c r="J260" s="15">
        <f>IF(OR(J259="",J230=""),"",IF(J230&lt;=0,"",IFERROR(J259/J230,"")))</f>
        <v/>
      </c>
      <c r="K260" s="15">
        <f>IF(OR(K259="",K230=""),"",IF(K230&lt;=0,"",IFERROR(K259/K230,"")))</f>
        <v/>
      </c>
      <c r="M260" s="15">
        <f>IF(OR(M259="",M230=""),"",IF(M230&lt;=0,"",IFERROR(M259/M230,"")))</f>
        <v/>
      </c>
      <c r="N260" s="15">
        <f>IF(OR(N259="",N230=""),"",IF(N230&lt;=0,"",IFERROR(N259/N230,"")))</f>
        <v/>
      </c>
    </row>
    <row r="261">
      <c r="A261" s="43" t="inlineStr">
        <is>
          <t>YoY</t>
        </is>
      </c>
      <c r="B261" s="3" t="inlineStr">
        <is>
          <t>전년 같은 분기·전년 대비</t>
        </is>
      </c>
      <c r="G261" s="15">
        <f>IF(OR(G259="",C259=""),"",IF(C259&lt;=0,"",IFERROR(G259/C259-1,"")))</f>
        <v/>
      </c>
      <c r="I261" s="15">
        <f>IF(OR(I259="",E259=""),"",IF(E259&lt;=0,"",IFERROR(I259/E259-1,"")))</f>
        <v/>
      </c>
      <c r="J261" s="15">
        <f>IF(OR(J259="",F259=""),"",IF(F259&lt;=0,"",IFERROR(J259/F259-1,"")))</f>
        <v/>
      </c>
      <c r="K261" s="15">
        <f>IF(OR(K259="",G259=""),"",IF(G259&lt;=0,"",IFERROR(K259/G259-1,"")))</f>
        <v/>
      </c>
      <c r="M261" s="15">
        <f>IF(OR(M259="",I259=""),"",IF(I259&lt;=0,"",IFERROR(M259/I259-1,"")))</f>
        <v/>
      </c>
      <c r="N261" s="15">
        <f>IF(OR(N259="",J259=""),"",IF(J259&lt;=0,"",IFERROR(N259/J259-1,"")))</f>
        <v/>
      </c>
    </row>
    <row r="262">
      <c r="A262" s="18" t="inlineStr">
        <is>
          <t>조정액 · 부문 이익(손실)</t>
        </is>
      </c>
      <c r="C262" s="20" t="n">
        <v>0</v>
      </c>
      <c r="D262" s="20" t="n">
        <v>0</v>
      </c>
      <c r="E262" s="20" t="n">
        <v>0</v>
      </c>
      <c r="F262" s="20" t="n">
        <v>0</v>
      </c>
      <c r="G262" s="20" t="n">
        <v>0</v>
      </c>
      <c r="H262" s="20" t="n">
        <v>0</v>
      </c>
      <c r="I262" s="20" t="n">
        <v>0</v>
      </c>
      <c r="J262" s="20" t="n">
        <v>0</v>
      </c>
      <c r="K262" s="20" t="n">
        <v>0</v>
      </c>
      <c r="L262" s="20" t="n">
        <v>0</v>
      </c>
      <c r="M262" s="20" t="n">
        <v>0</v>
      </c>
      <c r="N262" s="20" t="n">
        <v>0</v>
      </c>
      <c r="V262" s="20" t="n">
        <v>0</v>
      </c>
      <c r="W262" s="20" t="n">
        <v>0</v>
      </c>
      <c r="X262" s="20" t="n">
        <v>0</v>
      </c>
    </row>
    <row r="263">
      <c r="A263" s="9" t="inlineStr">
        <is>
          <t>부문 이익(손실)</t>
        </is>
      </c>
      <c r="C263" s="12" t="n">
        <v>324.302</v>
      </c>
      <c r="D263" s="12" t="n">
        <v>-181.186</v>
      </c>
      <c r="E263" s="12" t="n">
        <v>308.94</v>
      </c>
      <c r="F263" s="12" t="n">
        <v>357.652</v>
      </c>
      <c r="G263" s="12" t="n">
        <v>-35.469</v>
      </c>
      <c r="H263" s="12" t="n">
        <v>254.182</v>
      </c>
      <c r="I263" s="12" t="n">
        <v>320.804</v>
      </c>
      <c r="J263" s="12" t="n">
        <v>203.545</v>
      </c>
      <c r="K263" s="12" t="n">
        <v>211.503</v>
      </c>
      <c r="L263" s="12" t="n">
        <v>369.692</v>
      </c>
      <c r="M263" s="12" t="n">
        <v>366.027</v>
      </c>
      <c r="N263" s="12" t="n">
        <v>341.163</v>
      </c>
      <c r="V263" s="12" t="n">
        <v>-181.186</v>
      </c>
      <c r="W263" s="12" t="n">
        <v>254.182</v>
      </c>
      <c r="X263" s="12" t="n">
        <v>369.692</v>
      </c>
    </row>
    <row r="264">
      <c r="A264" s="43" t="inlineStr">
        <is>
          <t>OPM</t>
        </is>
      </c>
      <c r="B264" s="3" t="inlineStr">
        <is>
          <t>영업이익 ÷ 매출</t>
        </is>
      </c>
      <c r="C264" s="15">
        <f>IF(OR(C263="",C201=""),"",IF(C201&lt;=0,"",IFERROR(C263/C201,"")))</f>
        <v/>
      </c>
      <c r="D264" s="15">
        <f>IF(OR(D263="",D201=""),"",IF(D201&lt;=0,"",IFERROR(D263/D201,"")))</f>
        <v/>
      </c>
      <c r="E264" s="15">
        <f>IF(OR(E263="",E201=""),"",IF(E201&lt;=0,"",IFERROR(E263/E201,"")))</f>
        <v/>
      </c>
      <c r="F264" s="15">
        <f>IF(OR(F263="",F201=""),"",IF(F201&lt;=0,"",IFERROR(F263/F201,"")))</f>
        <v/>
      </c>
      <c r="G264" s="15">
        <f>IF(OR(G263="",G201=""),"",IF(G201&lt;=0,"",IFERROR(G263/G201,"")))</f>
        <v/>
      </c>
      <c r="H264" s="15">
        <f>IF(OR(H263="",H201=""),"",IF(H201&lt;=0,"",IFERROR(H263/H201,"")))</f>
        <v/>
      </c>
      <c r="I264" s="15">
        <f>IF(OR(I263="",I201=""),"",IF(I201&lt;=0,"",IFERROR(I263/I201,"")))</f>
        <v/>
      </c>
      <c r="J264" s="15">
        <f>IF(OR(J263="",J201=""),"",IF(J201&lt;=0,"",IFERROR(J263/J201,"")))</f>
        <v/>
      </c>
      <c r="K264" s="15">
        <f>IF(OR(K263="",K201=""),"",IF(K201&lt;=0,"",IFERROR(K263/K201,"")))</f>
        <v/>
      </c>
      <c r="L264" s="15">
        <f>IF(OR(L263="",L201=""),"",IF(L201&lt;=0,"",IFERROR(L263/L201,"")))</f>
        <v/>
      </c>
      <c r="M264" s="15">
        <f>IF(OR(M263="",M201=""),"",IF(M201&lt;=0,"",IFERROR(M263/M201,"")))</f>
        <v/>
      </c>
      <c r="N264" s="15">
        <f>IF(OR(N263="",N201=""),"",IF(N201&lt;=0,"",IFERROR(N263/N201,"")))</f>
        <v/>
      </c>
      <c r="V264" s="15">
        <f>IF(OR(V263="",V201=""),"",IF(V201&lt;=0,"",IFERROR(V263/V201,"")))</f>
        <v/>
      </c>
      <c r="W264" s="15">
        <f>IF(OR(W263="",W201=""),"",IF(W201&lt;=0,"",IFERROR(W263/W201,"")))</f>
        <v/>
      </c>
      <c r="X264" s="15">
        <f>IF(OR(X263="",X201=""),"",IF(X201&lt;=0,"",IFERROR(X263/X201,"")))</f>
        <v/>
      </c>
    </row>
    <row r="265">
      <c r="A265" s="43" t="inlineStr">
        <is>
          <t>YoY</t>
        </is>
      </c>
      <c r="B265" s="3" t="inlineStr">
        <is>
          <t>전년 같은 분기·전년 대비</t>
        </is>
      </c>
      <c r="G265" s="15">
        <f>IF(OR(G263="",C263=""),"",IF(C263&lt;=0,"",IFERROR(G263/C263-1,"")))</f>
        <v/>
      </c>
      <c r="H265" s="15">
        <f>IF(OR(H263="",D263=""),"",IF(D263&lt;=0,"",IFERROR(H263/D263-1,"")))</f>
        <v/>
      </c>
      <c r="I265" s="15">
        <f>IF(OR(I263="",E263=""),"",IF(E263&lt;=0,"",IFERROR(I263/E263-1,"")))</f>
        <v/>
      </c>
      <c r="J265" s="15">
        <f>IF(OR(J263="",F263=""),"",IF(F263&lt;=0,"",IFERROR(J263/F263-1,"")))</f>
        <v/>
      </c>
      <c r="K265" s="15">
        <f>IF(OR(K263="",G263=""),"",IF(G263&lt;=0,"",IFERROR(K263/G263-1,"")))</f>
        <v/>
      </c>
      <c r="L265" s="15">
        <f>IF(OR(L263="",H263=""),"",IF(H263&lt;=0,"",IFERROR(L263/H263-1,"")))</f>
        <v/>
      </c>
      <c r="M265" s="15">
        <f>IF(OR(M263="",I263=""),"",IF(I263&lt;=0,"",IFERROR(M263/I263-1,"")))</f>
        <v/>
      </c>
      <c r="N265" s="15">
        <f>IF(OR(N263="",J263=""),"",IF(J263&lt;=0,"",IFERROR(N263/J263-1,"")))</f>
        <v/>
      </c>
      <c r="V265" s="15">
        <f>IF(OR(V263="",U263=""),"",IF(U263&lt;=0,"",IFERROR(V263/U263-1,"")))</f>
        <v/>
      </c>
      <c r="W265" s="15">
        <f>IF(OR(W263="",V263=""),"",IF(V263&lt;=0,"",IFERROR(W263/V263-1,"")))</f>
        <v/>
      </c>
      <c r="X265" s="15">
        <f>IF(OR(X263="",W263=""),"",IF(W263&lt;=0,"",IFERROR(X263/W263-1,"")))</f>
        <v/>
      </c>
    </row>
    <row r="267">
      <c r="A267" s="16" t="inlineStr">
        <is>
          <t>현금흐름표 · 전 항목</t>
        </is>
      </c>
      <c r="B267" s="42" t="inlineStr">
        <is>
          <t>분기 = 결산기 첫날부터 누계(공시 그대로)</t>
        </is>
      </c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</row>
    <row r="268">
      <c r="A268" s="5" t="inlineStr">
        <is>
          <t>항목</t>
        </is>
      </c>
      <c r="B268" s="5" t="inlineStr">
        <is>
          <t>참고</t>
        </is>
      </c>
      <c r="C268" s="5" t="inlineStr">
        <is>
          <t>2024.3Q</t>
        </is>
      </c>
      <c r="D268" s="5" t="inlineStr">
        <is>
          <t>2024.4Q</t>
        </is>
      </c>
      <c r="E268" s="5" t="inlineStr">
        <is>
          <t>2025.1Q</t>
        </is>
      </c>
      <c r="F268" s="5" t="inlineStr">
        <is>
          <t>2025.2Q</t>
        </is>
      </c>
      <c r="G268" s="5" t="inlineStr">
        <is>
          <t>2025.3Q</t>
        </is>
      </c>
      <c r="H268" s="5" t="inlineStr">
        <is>
          <t>2025.4Q</t>
        </is>
      </c>
      <c r="I268" s="5" t="inlineStr">
        <is>
          <t>2026.1Q</t>
        </is>
      </c>
      <c r="J268" s="5" t="inlineStr">
        <is>
          <t>2026.2Q</t>
        </is>
      </c>
      <c r="K268" s="5" t="inlineStr">
        <is>
          <t>2026.3Q</t>
        </is>
      </c>
      <c r="L268" s="5" t="inlineStr">
        <is>
          <t>2026.4Q</t>
        </is>
      </c>
      <c r="M268" s="5" t="inlineStr">
        <is>
          <t>2027.1Q</t>
        </is>
      </c>
      <c r="N268" s="5" t="inlineStr">
        <is>
          <t>2027.2Q</t>
        </is>
      </c>
      <c r="O268" s="5" t="inlineStr">
        <is>
          <t>2017</t>
        </is>
      </c>
      <c r="P268" s="5" t="inlineStr">
        <is>
          <t>2018</t>
        </is>
      </c>
      <c r="Q268" s="5" t="inlineStr">
        <is>
          <t>2019</t>
        </is>
      </c>
      <c r="R268" s="5" t="inlineStr">
        <is>
          <t>2020</t>
        </is>
      </c>
      <c r="S268" s="5" t="inlineStr">
        <is>
          <t>2021</t>
        </is>
      </c>
      <c r="T268" s="5" t="inlineStr">
        <is>
          <t>2022</t>
        </is>
      </c>
      <c r="U268" s="5" t="inlineStr">
        <is>
          <t>2023</t>
        </is>
      </c>
      <c r="V268" s="5" t="inlineStr">
        <is>
          <t>2024</t>
        </is>
      </c>
      <c r="W268" s="5" t="inlineStr">
        <is>
          <t>2025</t>
        </is>
      </c>
      <c r="X268" s="5" t="inlineStr">
        <is>
          <t>2026</t>
        </is>
      </c>
      <c r="Y268" s="5" t="inlineStr">
        <is>
          <t>2027(MW)</t>
        </is>
      </c>
      <c r="Z268" s="5" t="inlineStr">
        <is>
          <t>2028(MW)</t>
        </is>
      </c>
      <c r="AA268" s="5" t="inlineStr">
        <is>
          <t>2029(MW)</t>
        </is>
      </c>
      <c r="AB268" s="5" t="inlineStr">
        <is>
          <t>2030(MW)</t>
        </is>
      </c>
      <c r="AC268" s="5" t="inlineStr">
        <is>
          <t>2031(MW)</t>
        </is>
      </c>
    </row>
    <row r="269">
      <c r="A269" s="9" t="inlineStr">
        <is>
          <t>법인세차감전 순이익</t>
        </is>
      </c>
      <c r="D269" s="12" t="n">
        <v>3066.747</v>
      </c>
      <c r="F269" s="12" t="n">
        <v>717.755</v>
      </c>
      <c r="H269" s="12" t="n">
        <v>888.712</v>
      </c>
      <c r="J269" s="12" t="n">
        <v>644.841</v>
      </c>
      <c r="L269" s="12" t="n">
        <v>1267.105</v>
      </c>
      <c r="N269" s="12" t="n">
        <v>753.907</v>
      </c>
      <c r="O269" s="12" t="n">
        <v>591.109</v>
      </c>
      <c r="P269" s="12" t="n">
        <v>892.056</v>
      </c>
      <c r="Q269" s="12" t="n">
        <v>975.462</v>
      </c>
      <c r="R269" s="12" t="n">
        <v>699.643</v>
      </c>
      <c r="S269" s="12" t="n">
        <v>297.191</v>
      </c>
      <c r="T269" s="12" t="n">
        <v>1296.466</v>
      </c>
      <c r="U269" s="12" t="n">
        <v>1187.233</v>
      </c>
      <c r="V269" s="12" t="n">
        <v>3066.747</v>
      </c>
      <c r="W269" s="12" t="n">
        <v>888.712</v>
      </c>
      <c r="X269" s="12" t="n">
        <v>1267.105</v>
      </c>
    </row>
    <row r="270">
      <c r="A270" s="18" t="inlineStr">
        <is>
          <t>감가상각비</t>
        </is>
      </c>
      <c r="D270" s="20" t="n">
        <v>673.903</v>
      </c>
      <c r="F270" s="20" t="n">
        <v>432.51</v>
      </c>
      <c r="H270" s="20" t="n">
        <v>843.227</v>
      </c>
      <c r="J270" s="20" t="n">
        <v>352.975</v>
      </c>
      <c r="L270" s="20" t="n">
        <v>782.222</v>
      </c>
      <c r="N270" s="20" t="n">
        <v>371.825</v>
      </c>
      <c r="O270" s="20" t="n">
        <v>793.553</v>
      </c>
      <c r="P270" s="20" t="n">
        <v>646.426</v>
      </c>
      <c r="Q270" s="20" t="n">
        <v>609.84</v>
      </c>
      <c r="R270" s="20" t="n">
        <v>537.098</v>
      </c>
      <c r="S270" s="20" t="n">
        <v>529.83</v>
      </c>
      <c r="T270" s="20" t="n">
        <v>473.501</v>
      </c>
      <c r="U270" s="20" t="n">
        <v>545.035</v>
      </c>
      <c r="V270" s="20" t="n">
        <v>673.903</v>
      </c>
      <c r="W270" s="20" t="n">
        <v>843.227</v>
      </c>
      <c r="X270" s="20" t="n">
        <v>782.222</v>
      </c>
    </row>
    <row r="271">
      <c r="A271" s="18" t="inlineStr">
        <is>
          <t>손상차손</t>
        </is>
      </c>
      <c r="Q271" s="20" t="n">
        <v>0</v>
      </c>
      <c r="R271" s="20" t="n">
        <v>22.21</v>
      </c>
      <c r="S271" s="20" t="n">
        <v>154.661</v>
      </c>
      <c r="T271" s="20" t="n">
        <v>5.975</v>
      </c>
      <c r="U271" s="20" t="n">
        <v>0</v>
      </c>
    </row>
    <row r="272">
      <c r="A272" s="18" t="inlineStr">
        <is>
          <t>임원 퇴직위로 충당금 증감</t>
        </is>
      </c>
      <c r="O272" s="20" t="n">
        <v>17.812</v>
      </c>
      <c r="P272" s="20" t="n">
        <v>11.297</v>
      </c>
      <c r="Q272" s="20" t="n">
        <v>-167.833</v>
      </c>
      <c r="R272" s="20" t="n">
        <v>0</v>
      </c>
    </row>
    <row r="273">
      <c r="A273" s="18" t="inlineStr">
        <is>
          <t>영업권 상각</t>
        </is>
      </c>
      <c r="D273" s="20" t="n">
        <v>39.934</v>
      </c>
      <c r="F273" s="20" t="n">
        <v>39.934</v>
      </c>
      <c r="H273" s="20" t="n">
        <v>79.869</v>
      </c>
      <c r="J273" s="20" t="n">
        <v>39.934</v>
      </c>
      <c r="L273" s="20" t="n">
        <v>79.869</v>
      </c>
      <c r="N273" s="20" t="n">
        <v>39.934</v>
      </c>
      <c r="U273" s="20" t="n">
        <v>0</v>
      </c>
      <c r="V273" s="20" t="n">
        <v>39.934</v>
      </c>
      <c r="W273" s="20" t="n">
        <v>79.869</v>
      </c>
      <c r="X273" s="20" t="n">
        <v>79.869</v>
      </c>
    </row>
    <row r="274">
      <c r="A274" s="18" t="inlineStr">
        <is>
          <t>대손충당금 증감</t>
        </is>
      </c>
      <c r="D274" s="20" t="n">
        <v>-0.228</v>
      </c>
      <c r="F274" s="20" t="n">
        <v>-0.439</v>
      </c>
      <c r="H274" s="20" t="n">
        <v>6.193</v>
      </c>
      <c r="J274" s="20" t="n">
        <v>-0.106</v>
      </c>
      <c r="L274" s="20" t="n">
        <v>-0.181</v>
      </c>
      <c r="N274" s="20" t="n">
        <v>-9.504</v>
      </c>
      <c r="O274" s="20" t="n">
        <v>1.139</v>
      </c>
      <c r="P274" s="20" t="n">
        <v>-0.082</v>
      </c>
      <c r="Q274" s="20" t="n">
        <v>-1.85</v>
      </c>
      <c r="R274" s="20" t="n">
        <v>1.409</v>
      </c>
      <c r="S274" s="20" t="n">
        <v>1.461</v>
      </c>
      <c r="T274" s="20" t="n">
        <v>3.028</v>
      </c>
      <c r="U274" s="20" t="n">
        <v>-7.052</v>
      </c>
      <c r="V274" s="20" t="n">
        <v>-0.228</v>
      </c>
      <c r="W274" s="20" t="n">
        <v>6.193</v>
      </c>
      <c r="X274" s="20" t="n">
        <v>-0.181</v>
      </c>
    </row>
    <row r="275">
      <c r="A275" s="18" t="inlineStr">
        <is>
          <t>상여충당금 증감</t>
        </is>
      </c>
      <c r="D275" s="20" t="n">
        <v>3.513</v>
      </c>
      <c r="F275" s="20" t="n">
        <v>16.39</v>
      </c>
      <c r="H275" s="20" t="n">
        <v>1.393</v>
      </c>
      <c r="J275" s="20" t="n">
        <v>10.415</v>
      </c>
      <c r="L275" s="20" t="n">
        <v>-0.5</v>
      </c>
      <c r="N275" s="20" t="n">
        <v>22.899</v>
      </c>
      <c r="O275" s="20" t="n">
        <v>-11.727</v>
      </c>
      <c r="P275" s="20" t="n">
        <v>6.326</v>
      </c>
      <c r="Q275" s="20" t="n">
        <v>6.803</v>
      </c>
      <c r="R275" s="20" t="n">
        <v>-3.138</v>
      </c>
      <c r="S275" s="20" t="n">
        <v>-6.527</v>
      </c>
      <c r="T275" s="20" t="n">
        <v>4.765</v>
      </c>
      <c r="U275" s="20" t="n">
        <v>-4.384</v>
      </c>
      <c r="V275" s="20" t="n">
        <v>3.513</v>
      </c>
      <c r="W275" s="20" t="n">
        <v>1.393</v>
      </c>
      <c r="X275" s="20" t="n">
        <v>-0.5</v>
      </c>
    </row>
    <row r="276">
      <c r="A276" s="18" t="inlineStr">
        <is>
          <t>환경대책 충당금 증감</t>
        </is>
      </c>
      <c r="O276" s="20" t="n">
        <v>-5.015</v>
      </c>
      <c r="P276" s="20" t="n">
        <v>0</v>
      </c>
      <c r="Q276" s="20" t="n">
        <v>-0.892</v>
      </c>
      <c r="R276" s="20" t="n">
        <v>0</v>
      </c>
    </row>
    <row r="277">
      <c r="A277" s="18" t="inlineStr">
        <is>
          <t>Increase Decrease In Provision For Head Office Relocation Expenses Ope CF</t>
        </is>
      </c>
      <c r="D277" s="20" t="n">
        <v>-3.45</v>
      </c>
      <c r="F277" s="20" t="n">
        <v>0</v>
      </c>
      <c r="H277" s="20" t="n">
        <v>0</v>
      </c>
      <c r="T277" s="20" t="n">
        <v>0</v>
      </c>
      <c r="U277" s="20" t="n">
        <v>3.45</v>
      </c>
      <c r="V277" s="20" t="n">
        <v>-3.45</v>
      </c>
      <c r="W277" s="20" t="n">
        <v>0</v>
      </c>
    </row>
    <row r="278">
      <c r="A278" s="18" t="inlineStr">
        <is>
          <t>퇴직급여자산 증감</t>
        </is>
      </c>
      <c r="D278" s="20" t="n">
        <v>-177.125</v>
      </c>
      <c r="H278" s="20" t="n">
        <v>-67.795</v>
      </c>
      <c r="L278" s="20" t="n">
        <v>-113.272</v>
      </c>
      <c r="U278" s="20" t="n">
        <v>0</v>
      </c>
      <c r="V278" s="20" t="n">
        <v>-177.125</v>
      </c>
      <c r="W278" s="20" t="n">
        <v>-67.795</v>
      </c>
      <c r="X278" s="20" t="n">
        <v>-113.272</v>
      </c>
    </row>
    <row r="279">
      <c r="A279" s="18" t="inlineStr">
        <is>
          <t>퇴직급여부채 증감</t>
        </is>
      </c>
      <c r="D279" s="20" t="n">
        <v>-37.708</v>
      </c>
      <c r="F279" s="20" t="n">
        <v>-47.652</v>
      </c>
      <c r="H279" s="20" t="n">
        <v>0.352</v>
      </c>
      <c r="J279" s="20" t="n">
        <v>-58.334</v>
      </c>
      <c r="L279" s="20" t="n">
        <v>-36.098</v>
      </c>
      <c r="N279" s="20" t="n">
        <v>-46.356</v>
      </c>
      <c r="O279" s="20" t="n">
        <v>-91.965</v>
      </c>
      <c r="P279" s="20" t="n">
        <v>-132.236</v>
      </c>
      <c r="Q279" s="20" t="n">
        <v>-98.79300000000001</v>
      </c>
      <c r="R279" s="20" t="n">
        <v>-68.95399999999999</v>
      </c>
      <c r="S279" s="20" t="n">
        <v>-101.931</v>
      </c>
      <c r="T279" s="20" t="n">
        <v>-139.754</v>
      </c>
      <c r="U279" s="20" t="n">
        <v>-142.333</v>
      </c>
      <c r="V279" s="20" t="n">
        <v>-37.708</v>
      </c>
      <c r="W279" s="20" t="n">
        <v>0.352</v>
      </c>
      <c r="X279" s="20" t="n">
        <v>-36.098</v>
      </c>
    </row>
    <row r="280">
      <c r="A280" s="18" t="inlineStr">
        <is>
          <t>이자·배당금 수익</t>
        </is>
      </c>
      <c r="D280" s="20" t="n">
        <v>-83.557</v>
      </c>
      <c r="F280" s="20" t="n">
        <v>-68.38500000000001</v>
      </c>
      <c r="H280" s="20" t="n">
        <v>-106.006</v>
      </c>
      <c r="J280" s="20" t="n">
        <v>-86.77200000000001</v>
      </c>
      <c r="L280" s="20" t="n">
        <v>-132.042</v>
      </c>
      <c r="N280" s="20" t="n">
        <v>-59.566</v>
      </c>
      <c r="O280" s="20" t="n">
        <v>-60.172</v>
      </c>
      <c r="P280" s="20" t="n">
        <v>-55.768</v>
      </c>
      <c r="Q280" s="20" t="n">
        <v>-66.89</v>
      </c>
      <c r="R280" s="20" t="n">
        <v>-62.59</v>
      </c>
      <c r="S280" s="20" t="n">
        <v>-49.079</v>
      </c>
      <c r="T280" s="20" t="n">
        <v>-54.67</v>
      </c>
      <c r="U280" s="20" t="n">
        <v>-68.014</v>
      </c>
      <c r="V280" s="20" t="n">
        <v>-83.557</v>
      </c>
      <c r="W280" s="20" t="n">
        <v>-106.006</v>
      </c>
      <c r="X280" s="20" t="n">
        <v>-132.042</v>
      </c>
    </row>
    <row r="281">
      <c r="A281" s="18" t="inlineStr">
        <is>
          <t>이자비용</t>
        </is>
      </c>
      <c r="D281" s="20" t="n">
        <v>72.764</v>
      </c>
      <c r="F281" s="20" t="n">
        <v>42.171</v>
      </c>
      <c r="H281" s="20" t="n">
        <v>92.95399999999999</v>
      </c>
      <c r="J281" s="20" t="n">
        <v>57.682</v>
      </c>
      <c r="L281" s="20" t="n">
        <v>113.38</v>
      </c>
      <c r="N281" s="20" t="n">
        <v>65.047</v>
      </c>
      <c r="O281" s="20" t="n">
        <v>31.154</v>
      </c>
      <c r="P281" s="20" t="n">
        <v>31.026</v>
      </c>
      <c r="Q281" s="20" t="n">
        <v>27.344</v>
      </c>
      <c r="R281" s="20" t="n">
        <v>32.43</v>
      </c>
      <c r="S281" s="20" t="n">
        <v>30.81</v>
      </c>
      <c r="T281" s="20" t="n">
        <v>30.293</v>
      </c>
      <c r="U281" s="20" t="n">
        <v>47.493</v>
      </c>
      <c r="V281" s="20" t="n">
        <v>72.764</v>
      </c>
      <c r="W281" s="20" t="n">
        <v>92.95399999999999</v>
      </c>
      <c r="X281" s="20" t="n">
        <v>113.38</v>
      </c>
    </row>
    <row r="282">
      <c r="A282" s="18" t="inlineStr">
        <is>
          <t>투자유가증권 매각손익</t>
        </is>
      </c>
      <c r="D282" s="20" t="n">
        <v>0</v>
      </c>
      <c r="H282" s="20" t="n">
        <v>-200.497</v>
      </c>
      <c r="J282" s="20" t="n">
        <v>0</v>
      </c>
      <c r="L282" s="20" t="n">
        <v>-40.212</v>
      </c>
      <c r="N282" s="20" t="n">
        <v>-28.12</v>
      </c>
      <c r="R282" s="20" t="n">
        <v>0</v>
      </c>
      <c r="S282" s="20" t="n">
        <v>-100.237</v>
      </c>
      <c r="T282" s="20" t="n">
        <v>-1.804</v>
      </c>
      <c r="U282" s="20" t="n">
        <v>-0.058</v>
      </c>
      <c r="V282" s="20" t="n">
        <v>0</v>
      </c>
      <c r="W282" s="20" t="n">
        <v>-200.497</v>
      </c>
      <c r="X282" s="20" t="n">
        <v>-40.212</v>
      </c>
    </row>
    <row r="283">
      <c r="A283" s="18" t="inlineStr">
        <is>
          <t>고정자산 제각·매각손익</t>
        </is>
      </c>
      <c r="D283" s="20" t="n">
        <v>-1651.975</v>
      </c>
      <c r="F283" s="20" t="n">
        <v>3.187</v>
      </c>
      <c r="H283" s="20" t="n">
        <v>4.757</v>
      </c>
      <c r="J283" s="20" t="n">
        <v>-0.908</v>
      </c>
      <c r="L283" s="20" t="n">
        <v>2.859</v>
      </c>
      <c r="N283" s="20" t="n">
        <v>-1.647</v>
      </c>
      <c r="O283" s="20" t="n">
        <v>-6.323</v>
      </c>
      <c r="P283" s="20" t="n">
        <v>0.481</v>
      </c>
      <c r="Q283" s="20" t="n">
        <v>1.099</v>
      </c>
      <c r="R283" s="20" t="n">
        <v>0.068</v>
      </c>
      <c r="S283" s="20" t="n">
        <v>-1.195</v>
      </c>
      <c r="T283" s="20" t="n">
        <v>48.064</v>
      </c>
      <c r="U283" s="20" t="n">
        <v>-49.488</v>
      </c>
      <c r="V283" s="20" t="n">
        <v>-1651.975</v>
      </c>
      <c r="W283" s="20" t="n">
        <v>4.757</v>
      </c>
      <c r="X283" s="20" t="n">
        <v>2.859</v>
      </c>
    </row>
    <row r="284">
      <c r="A284" s="18" t="inlineStr">
        <is>
          <t>본사 이전 비용</t>
        </is>
      </c>
      <c r="T284" s="20" t="n">
        <v>0</v>
      </c>
      <c r="U284" s="20" t="n">
        <v>166.647</v>
      </c>
    </row>
    <row r="285">
      <c r="A285" s="18" t="inlineStr">
        <is>
          <t>부의 영업권 발생이익</t>
        </is>
      </c>
      <c r="H285" s="20" t="n">
        <v>0</v>
      </c>
      <c r="J285" s="20" t="n">
        <v>-15.359</v>
      </c>
      <c r="L285" s="20" t="n">
        <v>-15.359</v>
      </c>
      <c r="N285" s="20" t="n">
        <v>0</v>
      </c>
      <c r="W285" s="20" t="n">
        <v>0</v>
      </c>
      <c r="X285" s="20" t="n">
        <v>-15.359</v>
      </c>
    </row>
    <row r="286">
      <c r="A286" s="18" t="inlineStr">
        <is>
          <t>외환차손익</t>
        </is>
      </c>
      <c r="D286" s="20" t="n">
        <v>-31.288</v>
      </c>
      <c r="F286" s="20" t="n">
        <v>2.453</v>
      </c>
      <c r="H286" s="20" t="n">
        <v>6.629</v>
      </c>
      <c r="J286" s="20" t="n">
        <v>-6.041</v>
      </c>
      <c r="L286" s="20" t="n">
        <v>-13.918</v>
      </c>
      <c r="N286" s="20" t="n">
        <v>-25.724</v>
      </c>
      <c r="O286" s="20" t="n">
        <v>-18.684</v>
      </c>
      <c r="P286" s="20" t="n">
        <v>-17.709</v>
      </c>
      <c r="Q286" s="20" t="n">
        <v>-23.687</v>
      </c>
      <c r="R286" s="20" t="n">
        <v>-16.589</v>
      </c>
      <c r="S286" s="20" t="n">
        <v>33.898</v>
      </c>
      <c r="T286" s="20" t="n">
        <v>-34.421</v>
      </c>
      <c r="U286" s="20" t="n">
        <v>-1.613</v>
      </c>
      <c r="V286" s="20" t="n">
        <v>-31.288</v>
      </c>
      <c r="W286" s="20" t="n">
        <v>6.629</v>
      </c>
      <c r="X286" s="20" t="n">
        <v>-13.918</v>
      </c>
    </row>
    <row r="287">
      <c r="A287" s="18" t="inlineStr">
        <is>
          <t>환경대책비</t>
        </is>
      </c>
      <c r="T287" s="20" t="n">
        <v>0</v>
      </c>
      <c r="U287" s="20" t="n">
        <v>108.083</v>
      </c>
    </row>
    <row r="288">
      <c r="A288" s="18" t="inlineStr">
        <is>
          <t>보조금 수입</t>
        </is>
      </c>
      <c r="D288" s="20" t="n">
        <v>0</v>
      </c>
      <c r="F288" s="20" t="n">
        <v>-27.292</v>
      </c>
      <c r="H288" s="20" t="n">
        <v>-37.292</v>
      </c>
      <c r="J288" s="20" t="n">
        <v>-27.292</v>
      </c>
      <c r="L288" s="20" t="n">
        <v>-37.292</v>
      </c>
      <c r="N288" s="20" t="n">
        <v>-27.292</v>
      </c>
      <c r="V288" s="20" t="n">
        <v>0</v>
      </c>
      <c r="W288" s="20" t="n">
        <v>-37.292</v>
      </c>
      <c r="X288" s="20" t="n">
        <v>-37.292</v>
      </c>
    </row>
    <row r="289">
      <c r="A289" s="18" t="inlineStr">
        <is>
          <t>매출채권 증감</t>
        </is>
      </c>
      <c r="D289" s="20" t="n">
        <v>301.272</v>
      </c>
      <c r="F289" s="20" t="n">
        <v>282.364</v>
      </c>
      <c r="H289" s="20" t="n">
        <v>632.5119999999999</v>
      </c>
      <c r="J289" s="20" t="n">
        <v>-519.348</v>
      </c>
      <c r="L289" s="20" t="n">
        <v>-477.317</v>
      </c>
      <c r="N289" s="20" t="n">
        <v>261.298</v>
      </c>
      <c r="O289" s="20" t="n">
        <v>-239.921</v>
      </c>
      <c r="P289" s="20" t="n">
        <v>-51.863</v>
      </c>
      <c r="Q289" s="20" t="n">
        <v>404.919</v>
      </c>
      <c r="R289" s="20" t="n">
        <v>274.502</v>
      </c>
      <c r="S289" s="20" t="n">
        <v>31.224</v>
      </c>
      <c r="T289" s="20" t="n">
        <v>-483.153</v>
      </c>
      <c r="U289" s="20" t="n">
        <v>-127.63</v>
      </c>
      <c r="V289" s="20" t="n">
        <v>301.272</v>
      </c>
      <c r="W289" s="20" t="n">
        <v>632.5119999999999</v>
      </c>
      <c r="X289" s="20" t="n">
        <v>-477.317</v>
      </c>
    </row>
    <row r="290">
      <c r="A290" s="18" t="inlineStr">
        <is>
          <t>재고자산 증감</t>
        </is>
      </c>
      <c r="D290" s="20" t="n">
        <v>97.538</v>
      </c>
      <c r="F290" s="20" t="n">
        <v>-77.236</v>
      </c>
      <c r="H290" s="20" t="n">
        <v>-523.064</v>
      </c>
      <c r="J290" s="20" t="n">
        <v>124.693</v>
      </c>
      <c r="L290" s="20" t="n">
        <v>95.623</v>
      </c>
      <c r="N290" s="20" t="n">
        <v>47.388</v>
      </c>
      <c r="O290" s="20" t="n">
        <v>101.079</v>
      </c>
      <c r="P290" s="20" t="n">
        <v>-68.852</v>
      </c>
      <c r="Q290" s="20" t="n">
        <v>-105.554</v>
      </c>
      <c r="R290" s="20" t="n">
        <v>-334.269</v>
      </c>
      <c r="S290" s="20" t="n">
        <v>59.118</v>
      </c>
      <c r="T290" s="20" t="n">
        <v>-327.314</v>
      </c>
      <c r="U290" s="20" t="n">
        <v>4.527</v>
      </c>
      <c r="V290" s="20" t="n">
        <v>97.538</v>
      </c>
      <c r="W290" s="20" t="n">
        <v>-523.064</v>
      </c>
      <c r="X290" s="20" t="n">
        <v>95.623</v>
      </c>
    </row>
    <row r="291">
      <c r="A291" s="18" t="inlineStr">
        <is>
          <t>Increase Decrease In Long Term Prepaid Expenses Ope CF</t>
        </is>
      </c>
      <c r="D291" s="20" t="n">
        <v>5.164</v>
      </c>
      <c r="H291" s="20" t="n">
        <v>3.173</v>
      </c>
      <c r="T291" s="20" t="n">
        <v>0</v>
      </c>
      <c r="U291" s="20" t="n">
        <v>-11.027</v>
      </c>
      <c r="V291" s="20" t="n">
        <v>5.164</v>
      </c>
      <c r="W291" s="20" t="n">
        <v>3.173</v>
      </c>
    </row>
    <row r="292">
      <c r="A292" s="18" t="inlineStr">
        <is>
          <t>장기선급비용 증감</t>
        </is>
      </c>
      <c r="H292" s="20" t="n">
        <v>3.173</v>
      </c>
      <c r="L292" s="20" t="n">
        <v>-13.459</v>
      </c>
      <c r="W292" s="20" t="n">
        <v>3.173</v>
      </c>
      <c r="X292" s="20" t="n">
        <v>-13.459</v>
      </c>
    </row>
    <row r="293">
      <c r="A293" s="18" t="inlineStr">
        <is>
          <t>기타 유동자산 증감</t>
        </is>
      </c>
      <c r="D293" s="20" t="n">
        <v>297.802</v>
      </c>
      <c r="H293" s="20" t="n">
        <v>-3.456</v>
      </c>
      <c r="L293" s="20" t="n">
        <v>-24.502</v>
      </c>
      <c r="O293" s="20" t="n">
        <v>24.97</v>
      </c>
      <c r="P293" s="20" t="n">
        <v>-95.48399999999999</v>
      </c>
      <c r="Q293" s="20" t="n">
        <v>25.456</v>
      </c>
      <c r="R293" s="20" t="n">
        <v>24.035</v>
      </c>
      <c r="S293" s="20" t="n">
        <v>-33.13</v>
      </c>
      <c r="T293" s="20" t="n">
        <v>-307.134</v>
      </c>
      <c r="U293" s="20" t="n">
        <v>-27.883</v>
      </c>
      <c r="V293" s="20" t="n">
        <v>297.802</v>
      </c>
      <c r="W293" s="20" t="n">
        <v>-3.456</v>
      </c>
      <c r="X293" s="20" t="n">
        <v>-24.502</v>
      </c>
    </row>
    <row r="294">
      <c r="A294" s="18" t="inlineStr">
        <is>
          <t>매입채무 증감</t>
        </is>
      </c>
      <c r="D294" s="20" t="n">
        <v>6.458</v>
      </c>
      <c r="F294" s="20" t="n">
        <v>-420.658</v>
      </c>
      <c r="H294" s="20" t="n">
        <v>-708.595</v>
      </c>
      <c r="J294" s="20" t="n">
        <v>111.247</v>
      </c>
      <c r="L294" s="20" t="n">
        <v>-7.923</v>
      </c>
      <c r="N294" s="20" t="n">
        <v>-26.406</v>
      </c>
      <c r="O294" s="20" t="n">
        <v>-105.369</v>
      </c>
      <c r="P294" s="20" t="n">
        <v>-11.095</v>
      </c>
      <c r="Q294" s="20" t="n">
        <v>-184.215</v>
      </c>
      <c r="R294" s="20" t="n">
        <v>4.29</v>
      </c>
      <c r="S294" s="20" t="n">
        <v>-248.54</v>
      </c>
      <c r="T294" s="20" t="n">
        <v>177.245</v>
      </c>
      <c r="U294" s="20" t="n">
        <v>-109.406</v>
      </c>
      <c r="V294" s="20" t="n">
        <v>6.458</v>
      </c>
      <c r="W294" s="20" t="n">
        <v>-708.595</v>
      </c>
      <c r="X294" s="20" t="n">
        <v>-7.923</v>
      </c>
    </row>
    <row r="295">
      <c r="A295" s="18" t="inlineStr">
        <is>
          <t>기타 유동부채 증감</t>
        </is>
      </c>
      <c r="D295" s="20" t="n">
        <v>-118.753</v>
      </c>
      <c r="H295" s="20" t="n">
        <v>-97.074</v>
      </c>
      <c r="L295" s="20" t="n">
        <v>36.876</v>
      </c>
      <c r="O295" s="20" t="n">
        <v>-2.508</v>
      </c>
      <c r="P295" s="20" t="n">
        <v>-52.5</v>
      </c>
      <c r="Q295" s="20" t="n">
        <v>-47.03</v>
      </c>
      <c r="R295" s="20" t="n">
        <v>-22.351</v>
      </c>
      <c r="S295" s="20" t="n">
        <v>-9.987</v>
      </c>
      <c r="T295" s="20" t="n">
        <v>40.699</v>
      </c>
      <c r="U295" s="20" t="n">
        <v>17.705</v>
      </c>
      <c r="V295" s="20" t="n">
        <v>-118.753</v>
      </c>
      <c r="W295" s="20" t="n">
        <v>-97.074</v>
      </c>
      <c r="X295" s="20" t="n">
        <v>36.876</v>
      </c>
    </row>
    <row r="296">
      <c r="A296" s="18" t="inlineStr">
        <is>
          <t>기타</t>
        </is>
      </c>
      <c r="D296" s="20" t="n">
        <v>-440.93</v>
      </c>
      <c r="F296" s="20" t="n">
        <v>48.348</v>
      </c>
      <c r="H296" s="20" t="n">
        <v>-1.55</v>
      </c>
      <c r="J296" s="20" t="n">
        <v>126.458</v>
      </c>
      <c r="L296" s="20" t="n">
        <v>-20.558</v>
      </c>
      <c r="N296" s="20" t="n">
        <v>79.075</v>
      </c>
      <c r="O296" s="20" t="n">
        <v>-10.74</v>
      </c>
      <c r="P296" s="20" t="n">
        <v>4.094</v>
      </c>
      <c r="Q296" s="20" t="n">
        <v>185.785</v>
      </c>
      <c r="R296" s="20" t="n">
        <v>17.046</v>
      </c>
      <c r="S296" s="20" t="n">
        <v>6.953</v>
      </c>
      <c r="T296" s="20" t="n">
        <v>7.689</v>
      </c>
      <c r="U296" s="20" t="n">
        <v>17.025</v>
      </c>
      <c r="V296" s="20" t="n">
        <v>-440.93</v>
      </c>
      <c r="W296" s="20" t="n">
        <v>-1.55</v>
      </c>
      <c r="X296" s="20" t="n">
        <v>-20.558</v>
      </c>
    </row>
    <row r="297">
      <c r="A297" s="18" t="inlineStr">
        <is>
          <t>소계</t>
        </is>
      </c>
      <c r="D297" s="20" t="n">
        <v>2020.083</v>
      </c>
      <c r="F297" s="20" t="n">
        <v>943.453</v>
      </c>
      <c r="H297" s="20" t="n">
        <v>814.444</v>
      </c>
      <c r="J297" s="20" t="n">
        <v>754.087</v>
      </c>
      <c r="L297" s="20" t="n">
        <v>1445.296</v>
      </c>
      <c r="N297" s="20" t="n">
        <v>1416.758</v>
      </c>
      <c r="O297" s="20" t="n">
        <v>1008.39</v>
      </c>
      <c r="P297" s="20" t="n">
        <v>1106.116</v>
      </c>
      <c r="Q297" s="20" t="n">
        <v>1539.962</v>
      </c>
      <c r="R297" s="20" t="n">
        <v>1104.844</v>
      </c>
      <c r="S297" s="20" t="n">
        <v>594.521</v>
      </c>
      <c r="T297" s="20" t="n">
        <v>739.477</v>
      </c>
      <c r="U297" s="20" t="n">
        <v>1273.577</v>
      </c>
      <c r="V297" s="20" t="n">
        <v>2020.083</v>
      </c>
      <c r="W297" s="20" t="n">
        <v>814.444</v>
      </c>
      <c r="X297" s="20" t="n">
        <v>1445.296</v>
      </c>
    </row>
    <row r="298">
      <c r="A298" s="18" t="inlineStr">
        <is>
          <t>이자·배당금 수취</t>
        </is>
      </c>
      <c r="D298" s="20" t="n">
        <v>83.557</v>
      </c>
      <c r="F298" s="20" t="n">
        <v>68.38500000000001</v>
      </c>
      <c r="H298" s="20" t="n">
        <v>106.006</v>
      </c>
      <c r="J298" s="20" t="n">
        <v>86.77200000000001</v>
      </c>
      <c r="L298" s="20" t="n">
        <v>132.042</v>
      </c>
      <c r="N298" s="20" t="n">
        <v>59.566</v>
      </c>
      <c r="O298" s="20" t="n">
        <v>60.172</v>
      </c>
      <c r="P298" s="20" t="n">
        <v>55.768</v>
      </c>
      <c r="Q298" s="20" t="n">
        <v>66.89</v>
      </c>
      <c r="R298" s="20" t="n">
        <v>62.59</v>
      </c>
      <c r="S298" s="20" t="n">
        <v>49.079</v>
      </c>
      <c r="T298" s="20" t="n">
        <v>54.67</v>
      </c>
      <c r="U298" s="20" t="n">
        <v>68.014</v>
      </c>
      <c r="V298" s="20" t="n">
        <v>83.557</v>
      </c>
      <c r="W298" s="20" t="n">
        <v>106.006</v>
      </c>
      <c r="X298" s="20" t="n">
        <v>132.042</v>
      </c>
    </row>
    <row r="299">
      <c r="A299" s="18" t="inlineStr">
        <is>
          <t>보조금 수취</t>
        </is>
      </c>
      <c r="D299" s="20" t="n">
        <v>0</v>
      </c>
      <c r="F299" s="20" t="n">
        <v>27.292</v>
      </c>
      <c r="H299" s="20" t="n">
        <v>37.292</v>
      </c>
      <c r="J299" s="20" t="n">
        <v>27.292</v>
      </c>
      <c r="L299" s="20" t="n">
        <v>37.292</v>
      </c>
      <c r="N299" s="20" t="n">
        <v>27.292</v>
      </c>
      <c r="V299" s="20" t="n">
        <v>0</v>
      </c>
      <c r="W299" s="20" t="n">
        <v>37.292</v>
      </c>
      <c r="X299" s="20" t="n">
        <v>37.292</v>
      </c>
    </row>
    <row r="300">
      <c r="A300" s="18" t="inlineStr">
        <is>
          <t>이자 지급</t>
        </is>
      </c>
      <c r="D300" s="20" t="n">
        <v>-71.944</v>
      </c>
      <c r="F300" s="20" t="n">
        <v>-44.399</v>
      </c>
      <c r="H300" s="20" t="n">
        <v>-96.764</v>
      </c>
      <c r="J300" s="20" t="n">
        <v>-57.603</v>
      </c>
      <c r="L300" s="20" t="n">
        <v>-115.38</v>
      </c>
      <c r="N300" s="20" t="n">
        <v>-66.967</v>
      </c>
      <c r="O300" s="20" t="n">
        <v>-30.889</v>
      </c>
      <c r="P300" s="20" t="n">
        <v>-31.1</v>
      </c>
      <c r="Q300" s="20" t="n">
        <v>-27.344</v>
      </c>
      <c r="R300" s="20" t="n">
        <v>-32.399</v>
      </c>
      <c r="S300" s="20" t="n">
        <v>-30.879</v>
      </c>
      <c r="T300" s="20" t="n">
        <v>-27.381</v>
      </c>
      <c r="U300" s="20" t="n">
        <v>-50.362</v>
      </c>
      <c r="V300" s="20" t="n">
        <v>-71.944</v>
      </c>
      <c r="W300" s="20" t="n">
        <v>-96.764</v>
      </c>
      <c r="X300" s="20" t="n">
        <v>-115.38</v>
      </c>
    </row>
    <row r="301">
      <c r="A301" s="18" t="inlineStr">
        <is>
          <t>법인세 납부</t>
        </is>
      </c>
      <c r="D301" s="20" t="n">
        <v>-227.893</v>
      </c>
      <c r="F301" s="20" t="n">
        <v>-827.521</v>
      </c>
      <c r="H301" s="20" t="n">
        <v>-1302.32</v>
      </c>
      <c r="J301" s="20" t="n">
        <v>-128.439</v>
      </c>
      <c r="L301" s="20" t="n">
        <v>-256.933</v>
      </c>
      <c r="N301" s="20" t="n">
        <v>-245.367</v>
      </c>
      <c r="O301" s="20" t="n">
        <v>-33.963</v>
      </c>
      <c r="P301" s="20" t="n">
        <v>-150.572</v>
      </c>
      <c r="Q301" s="20" t="n">
        <v>-347.563</v>
      </c>
      <c r="R301" s="20" t="n">
        <v>-225.361</v>
      </c>
      <c r="S301" s="20" t="n">
        <v>-116.322</v>
      </c>
      <c r="T301" s="20" t="n">
        <v>-89.375</v>
      </c>
      <c r="U301" s="20" t="n">
        <v>-489.716</v>
      </c>
      <c r="V301" s="20" t="n">
        <v>-227.893</v>
      </c>
      <c r="W301" s="20" t="n">
        <v>-1302.32</v>
      </c>
      <c r="X301" s="20" t="n">
        <v>-256.933</v>
      </c>
    </row>
    <row r="302">
      <c r="A302" s="18" t="inlineStr">
        <is>
          <t>법인세 환급</t>
        </is>
      </c>
      <c r="D302" s="20" t="n">
        <v>114.328</v>
      </c>
      <c r="F302" s="20" t="n">
        <v>0</v>
      </c>
      <c r="H302" s="20" t="n">
        <v>0</v>
      </c>
      <c r="J302" s="20" t="n">
        <v>278.42</v>
      </c>
      <c r="L302" s="20" t="n">
        <v>278.42</v>
      </c>
      <c r="N302" s="20" t="n">
        <v>0</v>
      </c>
      <c r="O302" s="20" t="n">
        <v>54</v>
      </c>
      <c r="P302" s="20" t="n">
        <v>0</v>
      </c>
      <c r="U302" s="20" t="n">
        <v>0</v>
      </c>
      <c r="V302" s="20" t="n">
        <v>114.328</v>
      </c>
      <c r="W302" s="20" t="n">
        <v>0</v>
      </c>
      <c r="X302" s="20" t="n">
        <v>278.42</v>
      </c>
    </row>
    <row r="303">
      <c r="A303" s="9" t="inlineStr">
        <is>
          <t>영업활동 현금흐름</t>
        </is>
      </c>
      <c r="D303" s="12" t="n">
        <v>1918.131</v>
      </c>
      <c r="F303" s="12" t="n">
        <v>167.209</v>
      </c>
      <c r="H303" s="12" t="n">
        <v>-441.341</v>
      </c>
      <c r="J303" s="12" t="n">
        <v>960.529</v>
      </c>
      <c r="L303" s="12" t="n">
        <v>1520.737</v>
      </c>
      <c r="N303" s="12" t="n">
        <v>1191.282</v>
      </c>
      <c r="O303" s="12" t="n">
        <v>1057.711</v>
      </c>
      <c r="P303" s="12" t="n">
        <v>980.213</v>
      </c>
      <c r="Q303" s="12" t="n">
        <v>1231.945</v>
      </c>
      <c r="R303" s="12" t="n">
        <v>909.673</v>
      </c>
      <c r="S303" s="12" t="n">
        <v>496.398</v>
      </c>
      <c r="T303" s="12" t="n">
        <v>677.391</v>
      </c>
      <c r="U303" s="12" t="n">
        <v>801.5119999999999</v>
      </c>
      <c r="V303" s="12" t="n">
        <v>1918.131</v>
      </c>
      <c r="W303" s="12" t="n">
        <v>-441.341</v>
      </c>
      <c r="X303" s="12" t="n">
        <v>1520.737</v>
      </c>
    </row>
    <row r="304">
      <c r="A304" s="18" t="inlineStr">
        <is>
          <t>정기예금 예입</t>
        </is>
      </c>
      <c r="D304" s="20" t="n">
        <v>-699.989</v>
      </c>
      <c r="F304" s="20" t="n">
        <v>0</v>
      </c>
      <c r="H304" s="20" t="n">
        <v>-333.147</v>
      </c>
      <c r="J304" s="20" t="n">
        <v>-262.334</v>
      </c>
      <c r="L304" s="20" t="n">
        <v>-346.582</v>
      </c>
      <c r="N304" s="20" t="n">
        <v>-111.634</v>
      </c>
      <c r="O304" s="20" t="n">
        <v>-315.296</v>
      </c>
      <c r="P304" s="20" t="n">
        <v>-194.755</v>
      </c>
      <c r="Q304" s="20" t="n">
        <v>-190.011</v>
      </c>
      <c r="R304" s="20" t="n">
        <v>-188.709</v>
      </c>
      <c r="S304" s="20" t="n">
        <v>-223.253</v>
      </c>
      <c r="T304" s="20" t="n">
        <v>-205.614</v>
      </c>
      <c r="U304" s="20" t="n">
        <v>-100</v>
      </c>
      <c r="V304" s="20" t="n">
        <v>-699.989</v>
      </c>
      <c r="W304" s="20" t="n">
        <v>-333.147</v>
      </c>
      <c r="X304" s="20" t="n">
        <v>-346.582</v>
      </c>
    </row>
    <row r="305">
      <c r="A305" s="18" t="inlineStr">
        <is>
          <t>정기예금 인출</t>
        </is>
      </c>
      <c r="D305" s="20" t="n">
        <v>533.418</v>
      </c>
      <c r="F305" s="20" t="n">
        <v>0</v>
      </c>
      <c r="H305" s="20" t="n">
        <v>286.711</v>
      </c>
      <c r="J305" s="20" t="n">
        <v>249.015</v>
      </c>
      <c r="L305" s="20" t="n">
        <v>328.875</v>
      </c>
      <c r="N305" s="20" t="n">
        <v>54.362</v>
      </c>
      <c r="O305" s="20" t="n">
        <v>353.371</v>
      </c>
      <c r="P305" s="20" t="n">
        <v>210.77</v>
      </c>
      <c r="Q305" s="20" t="n">
        <v>189.118</v>
      </c>
      <c r="R305" s="20" t="n">
        <v>187.829</v>
      </c>
      <c r="S305" s="20" t="n">
        <v>222.345</v>
      </c>
      <c r="T305" s="20" t="n">
        <v>247.384</v>
      </c>
      <c r="U305" s="20" t="n">
        <v>121.372</v>
      </c>
      <c r="V305" s="20" t="n">
        <v>533.418</v>
      </c>
      <c r="W305" s="20" t="n">
        <v>286.711</v>
      </c>
      <c r="X305" s="20" t="n">
        <v>328.875</v>
      </c>
    </row>
    <row r="306">
      <c r="A306" s="18" t="inlineStr">
        <is>
          <t>자회사 출자금 취득 지출</t>
        </is>
      </c>
      <c r="O306" s="20" t="n">
        <v>0</v>
      </c>
      <c r="P306" s="20" t="n">
        <v>-62.611</v>
      </c>
      <c r="Q306" s="20" t="n">
        <v>0</v>
      </c>
    </row>
    <row r="307">
      <c r="A307" s="18" t="inlineStr">
        <is>
          <t>투자유가증권 취득</t>
        </is>
      </c>
      <c r="D307" s="20" t="n">
        <v>-0.18</v>
      </c>
      <c r="F307" s="20" t="n">
        <v>-0.329</v>
      </c>
      <c r="H307" s="20" t="n">
        <v>-0.663</v>
      </c>
      <c r="J307" s="20" t="n">
        <v>-0.333</v>
      </c>
      <c r="L307" s="20" t="n">
        <v>-0.672</v>
      </c>
      <c r="N307" s="20" t="n">
        <v>-0.339</v>
      </c>
      <c r="O307" s="20" t="n">
        <v>0</v>
      </c>
      <c r="P307" s="20" t="n">
        <v>-76.048</v>
      </c>
      <c r="Q307" s="20" t="n">
        <v>0</v>
      </c>
      <c r="U307" s="20" t="n">
        <v>0</v>
      </c>
      <c r="V307" s="20" t="n">
        <v>-0.18</v>
      </c>
      <c r="W307" s="20" t="n">
        <v>-0.663</v>
      </c>
      <c r="X307" s="20" t="n">
        <v>-0.672</v>
      </c>
    </row>
    <row r="308">
      <c r="A308" s="18" t="inlineStr">
        <is>
          <t>투자유가증권 매각</t>
        </is>
      </c>
      <c r="D308" s="20" t="n">
        <v>3.387</v>
      </c>
      <c r="H308" s="20" t="n">
        <v>220.945</v>
      </c>
      <c r="L308" s="20" t="n">
        <v>49.788</v>
      </c>
      <c r="O308" s="20" t="n">
        <v>0</v>
      </c>
      <c r="P308" s="20" t="n">
        <v>0</v>
      </c>
      <c r="Q308" s="20" t="n">
        <v>0.103</v>
      </c>
      <c r="R308" s="20" t="n">
        <v>0</v>
      </c>
      <c r="S308" s="20" t="n">
        <v>156.589</v>
      </c>
      <c r="T308" s="20" t="n">
        <v>9.504</v>
      </c>
      <c r="U308" s="20" t="n">
        <v>0.174</v>
      </c>
      <c r="V308" s="20" t="n">
        <v>3.387</v>
      </c>
      <c r="W308" s="20" t="n">
        <v>220.945</v>
      </c>
      <c r="X308" s="20" t="n">
        <v>49.788</v>
      </c>
    </row>
    <row r="309">
      <c r="A309" s="18" t="inlineStr">
        <is>
          <t>투자유가증권 환급 수입</t>
        </is>
      </c>
      <c r="J309" s="20" t="n">
        <v>0</v>
      </c>
      <c r="N309" s="20" t="n">
        <v>64.11799999999999</v>
      </c>
    </row>
    <row r="310">
      <c r="A310" s="18" t="inlineStr">
        <is>
          <t>유형자산 취득(설비투자)</t>
        </is>
      </c>
      <c r="D310" s="20" t="n">
        <v>-4589.239</v>
      </c>
      <c r="F310" s="20" t="n">
        <v>-165.049</v>
      </c>
      <c r="H310" s="20" t="n">
        <v>-257.528</v>
      </c>
      <c r="J310" s="20" t="n">
        <v>-167.502</v>
      </c>
      <c r="L310" s="20" t="n">
        <v>-307.408</v>
      </c>
      <c r="N310" s="20" t="n">
        <v>-111.389</v>
      </c>
      <c r="O310" s="20" t="n">
        <v>-581.167</v>
      </c>
      <c r="P310" s="20" t="n">
        <v>-246.672</v>
      </c>
      <c r="Q310" s="20" t="n">
        <v>-225.953</v>
      </c>
      <c r="R310" s="20" t="n">
        <v>-509.226</v>
      </c>
      <c r="S310" s="20" t="n">
        <v>-810.655</v>
      </c>
      <c r="T310" s="20" t="n">
        <v>-2510.6</v>
      </c>
      <c r="U310" s="20" t="n">
        <v>-3237.738</v>
      </c>
      <c r="V310" s="20" t="n">
        <v>-4589.239</v>
      </c>
      <c r="W310" s="20" t="n">
        <v>-257.528</v>
      </c>
      <c r="X310" s="20" t="n">
        <v>-307.408</v>
      </c>
    </row>
    <row r="311">
      <c r="A311" s="18" t="inlineStr">
        <is>
          <t>유형자산 매각</t>
        </is>
      </c>
      <c r="D311" s="20" t="n">
        <v>3495.054</v>
      </c>
      <c r="F311" s="20" t="n">
        <v>4.813</v>
      </c>
      <c r="H311" s="20" t="n">
        <v>15.784</v>
      </c>
      <c r="J311" s="20" t="n">
        <v>1.562</v>
      </c>
      <c r="L311" s="20" t="n">
        <v>4.092</v>
      </c>
      <c r="N311" s="20" t="n">
        <v>2.32</v>
      </c>
      <c r="O311" s="20" t="n">
        <v>10.026</v>
      </c>
      <c r="P311" s="20" t="n">
        <v>10.547</v>
      </c>
      <c r="Q311" s="20" t="n">
        <v>0</v>
      </c>
      <c r="R311" s="20" t="n">
        <v>0.06</v>
      </c>
      <c r="S311" s="20" t="n">
        <v>2.217</v>
      </c>
      <c r="T311" s="20" t="n">
        <v>3.753</v>
      </c>
      <c r="U311" s="20" t="n">
        <v>584.3339999999999</v>
      </c>
      <c r="V311" s="20" t="n">
        <v>3495.054</v>
      </c>
      <c r="W311" s="20" t="n">
        <v>15.784</v>
      </c>
      <c r="X311" s="20" t="n">
        <v>4.092</v>
      </c>
    </row>
    <row r="312">
      <c r="A312" s="18" t="inlineStr">
        <is>
          <t>무형자산 취득</t>
        </is>
      </c>
      <c r="D312" s="20" t="n">
        <v>-7.8</v>
      </c>
      <c r="F312" s="20" t="n">
        <v>-78.59399999999999</v>
      </c>
      <c r="H312" s="20" t="n">
        <v>-245.118</v>
      </c>
      <c r="J312" s="20" t="n">
        <v>-112.513</v>
      </c>
      <c r="L312" s="20" t="n">
        <v>-140.161</v>
      </c>
      <c r="N312" s="20" t="n">
        <v>-9.161</v>
      </c>
      <c r="O312" s="20" t="n">
        <v>-16.776</v>
      </c>
      <c r="P312" s="20" t="n">
        <v>-5.56</v>
      </c>
      <c r="Q312" s="20" t="n">
        <v>0</v>
      </c>
      <c r="R312" s="20" t="n">
        <v>-1.723</v>
      </c>
      <c r="S312" s="20" t="n">
        <v>0</v>
      </c>
      <c r="T312" s="20" t="n">
        <v>-11.285</v>
      </c>
      <c r="U312" s="20" t="n">
        <v>-2.28</v>
      </c>
      <c r="V312" s="20" t="n">
        <v>-7.8</v>
      </c>
      <c r="W312" s="20" t="n">
        <v>-245.118</v>
      </c>
      <c r="X312" s="20" t="n">
        <v>-140.161</v>
      </c>
    </row>
    <row r="313">
      <c r="A313" s="18" t="inlineStr">
        <is>
          <t>대여</t>
        </is>
      </c>
      <c r="O313" s="20" t="n">
        <v>-0.424</v>
      </c>
      <c r="P313" s="20" t="n">
        <v>-1.329</v>
      </c>
      <c r="Q313" s="20" t="n">
        <v>-0.373</v>
      </c>
      <c r="R313" s="20" t="n">
        <v>-0.459</v>
      </c>
      <c r="S313" s="20" t="n">
        <v>-0.209</v>
      </c>
      <c r="T313" s="20" t="n">
        <v>0</v>
      </c>
    </row>
    <row r="314">
      <c r="A314" s="18" t="inlineStr">
        <is>
          <t>대여금 회수</t>
        </is>
      </c>
      <c r="O314" s="20" t="n">
        <v>0.731</v>
      </c>
      <c r="P314" s="20" t="n">
        <v>0.822</v>
      </c>
      <c r="Q314" s="20" t="n">
        <v>0.8100000000000001</v>
      </c>
      <c r="R314" s="20" t="n">
        <v>0.826</v>
      </c>
      <c r="S314" s="20" t="n">
        <v>0.55</v>
      </c>
      <c r="T314" s="20" t="n">
        <v>0</v>
      </c>
    </row>
    <row r="315">
      <c r="A315" s="18" t="inlineStr">
        <is>
          <t>연결범위 변경 자회사 주식 취득</t>
        </is>
      </c>
      <c r="D315" s="20" t="n">
        <v>-1227.19</v>
      </c>
      <c r="F315" s="20" t="n">
        <v>0</v>
      </c>
      <c r="H315" s="20" t="n">
        <v>0</v>
      </c>
      <c r="J315" s="20" t="n">
        <v>-327.761</v>
      </c>
      <c r="L315" s="20" t="n">
        <v>-327.761</v>
      </c>
      <c r="N315" s="20" t="n">
        <v>0</v>
      </c>
      <c r="U315" s="20" t="n">
        <v>0</v>
      </c>
      <c r="V315" s="20" t="n">
        <v>-1227.19</v>
      </c>
      <c r="W315" s="20" t="n">
        <v>0</v>
      </c>
      <c r="X315" s="20" t="n">
        <v>-327.761</v>
      </c>
    </row>
    <row r="316">
      <c r="A316" s="18" t="inlineStr">
        <is>
          <t>Other Investment Payment Inv CF</t>
        </is>
      </c>
      <c r="D316" s="20" t="n">
        <v>-15.768</v>
      </c>
      <c r="H316" s="20" t="n">
        <v>-11.237</v>
      </c>
      <c r="L316" s="20" t="n">
        <v>-9.968999999999999</v>
      </c>
      <c r="O316" s="20" t="n">
        <v>-14.028</v>
      </c>
      <c r="P316" s="20" t="n">
        <v>-2.506</v>
      </c>
      <c r="Q316" s="20" t="n">
        <v>-0.237</v>
      </c>
      <c r="R316" s="20" t="n">
        <v>-2.424</v>
      </c>
      <c r="S316" s="20" t="n">
        <v>-0.5600000000000001</v>
      </c>
      <c r="T316" s="20" t="n">
        <v>-0.554</v>
      </c>
      <c r="U316" s="20" t="n">
        <v>-35.485</v>
      </c>
      <c r="V316" s="20" t="n">
        <v>-15.768</v>
      </c>
      <c r="W316" s="20" t="n">
        <v>-11.237</v>
      </c>
      <c r="X316" s="20" t="n">
        <v>-9.968999999999999</v>
      </c>
    </row>
    <row r="317">
      <c r="A317" s="18" t="inlineStr">
        <is>
          <t>Other Investment Income Inv CF</t>
        </is>
      </c>
      <c r="D317" s="20" t="n">
        <v>55.411</v>
      </c>
      <c r="H317" s="20" t="n">
        <v>29.02</v>
      </c>
      <c r="L317" s="20" t="n">
        <v>0.75</v>
      </c>
      <c r="O317" s="20" t="n">
        <v>0.992</v>
      </c>
      <c r="P317" s="20" t="n">
        <v>1.737</v>
      </c>
      <c r="Q317" s="20" t="n">
        <v>0.213</v>
      </c>
      <c r="R317" s="20" t="n">
        <v>2.841</v>
      </c>
      <c r="S317" s="20" t="n">
        <v>2.833</v>
      </c>
      <c r="T317" s="20" t="n">
        <v>1.688</v>
      </c>
      <c r="U317" s="20" t="n">
        <v>0.581</v>
      </c>
      <c r="V317" s="20" t="n">
        <v>55.411</v>
      </c>
      <c r="W317" s="20" t="n">
        <v>29.02</v>
      </c>
      <c r="X317" s="20" t="n">
        <v>0.75</v>
      </c>
    </row>
    <row r="318">
      <c r="A318" s="18" t="inlineStr">
        <is>
          <t>기타</t>
        </is>
      </c>
      <c r="F318" s="20" t="n">
        <v>22.189</v>
      </c>
      <c r="J318" s="20" t="n">
        <v>-5.191</v>
      </c>
      <c r="N318" s="20" t="n">
        <v>17.629</v>
      </c>
    </row>
    <row r="319">
      <c r="A319" s="9" t="inlineStr">
        <is>
          <t>투자활동 현금흐름</t>
        </is>
      </c>
      <c r="D319" s="12" t="n">
        <v>-2452.896</v>
      </c>
      <c r="F319" s="12" t="n">
        <v>-216.97</v>
      </c>
      <c r="H319" s="12" t="n">
        <v>-295.233</v>
      </c>
      <c r="J319" s="12" t="n">
        <v>-625.059</v>
      </c>
      <c r="L319" s="12" t="n">
        <v>-749.049</v>
      </c>
      <c r="N319" s="12" t="n">
        <v>-94.093</v>
      </c>
      <c r="O319" s="12" t="n">
        <v>-562.5700000000001</v>
      </c>
      <c r="P319" s="12" t="n">
        <v>-365.604</v>
      </c>
      <c r="Q319" s="12" t="n">
        <v>-226.329</v>
      </c>
      <c r="R319" s="12" t="n">
        <v>-510.986</v>
      </c>
      <c r="S319" s="12" t="n">
        <v>-650.144</v>
      </c>
      <c r="T319" s="12" t="n">
        <v>-2465.723</v>
      </c>
      <c r="U319" s="12" t="n">
        <v>-2669.042</v>
      </c>
      <c r="V319" s="12" t="n">
        <v>-2452.896</v>
      </c>
      <c r="W319" s="12" t="n">
        <v>-295.233</v>
      </c>
      <c r="X319" s="12" t="n">
        <v>-749.049</v>
      </c>
    </row>
    <row r="320">
      <c r="A320" s="18" t="inlineStr">
        <is>
          <t>장기차입</t>
        </is>
      </c>
      <c r="D320" s="20" t="n">
        <v>0</v>
      </c>
      <c r="J320" s="20" t="n">
        <v>0</v>
      </c>
      <c r="N320" s="20" t="n">
        <v>100</v>
      </c>
      <c r="O320" s="20" t="n">
        <v>150</v>
      </c>
      <c r="P320" s="20" t="n">
        <v>0</v>
      </c>
      <c r="Q320" s="20" t="n">
        <v>100</v>
      </c>
      <c r="R320" s="20" t="n">
        <v>0</v>
      </c>
      <c r="S320" s="20" t="n">
        <v>100</v>
      </c>
      <c r="T320" s="20" t="n">
        <v>1440</v>
      </c>
      <c r="U320" s="20" t="n">
        <v>2660</v>
      </c>
      <c r="V320" s="20" t="n">
        <v>0</v>
      </c>
    </row>
    <row r="321">
      <c r="A321" s="18" t="inlineStr">
        <is>
          <t>장기차입금 상환</t>
        </is>
      </c>
      <c r="D321" s="20" t="n">
        <v>-209.188</v>
      </c>
      <c r="F321" s="20" t="n">
        <v>-104.594</v>
      </c>
      <c r="H321" s="20" t="n">
        <v>-209.188</v>
      </c>
      <c r="J321" s="20" t="n">
        <v>-104.594</v>
      </c>
      <c r="L321" s="20" t="n">
        <v>-217.33</v>
      </c>
      <c r="N321" s="20" t="n">
        <v>-212.716</v>
      </c>
      <c r="O321" s="20" t="n">
        <v>-211.453</v>
      </c>
      <c r="P321" s="20" t="n">
        <v>-7.689</v>
      </c>
      <c r="Q321" s="20" t="n">
        <v>-107.186</v>
      </c>
      <c r="R321" s="20" t="n">
        <v>-6.968</v>
      </c>
      <c r="S321" s="20" t="n">
        <v>-103.53</v>
      </c>
      <c r="T321" s="20" t="n">
        <v>0</v>
      </c>
      <c r="U321" s="20" t="n">
        <v>-182.258</v>
      </c>
      <c r="V321" s="20" t="n">
        <v>-209.188</v>
      </c>
      <c r="W321" s="20" t="n">
        <v>-209.188</v>
      </c>
      <c r="X321" s="20" t="n">
        <v>-217.33</v>
      </c>
    </row>
    <row r="322">
      <c r="A322" s="18" t="inlineStr">
        <is>
          <t>자기주식 취득</t>
        </is>
      </c>
      <c r="D322" s="20" t="n">
        <v>0</v>
      </c>
      <c r="O322" s="20" t="n">
        <v>-0.16</v>
      </c>
      <c r="P322" s="20" t="n">
        <v>-0.632</v>
      </c>
      <c r="Q322" s="20" t="n">
        <v>-0.215</v>
      </c>
      <c r="R322" s="20" t="n">
        <v>-0.012</v>
      </c>
      <c r="S322" s="20" t="n">
        <v>0</v>
      </c>
      <c r="T322" s="20" t="n">
        <v>0</v>
      </c>
      <c r="U322" s="20" t="n">
        <v>-147.2</v>
      </c>
      <c r="V322" s="20" t="n">
        <v>0</v>
      </c>
    </row>
    <row r="323">
      <c r="A323" s="18" t="inlineStr">
        <is>
          <t>리스부채 상환</t>
        </is>
      </c>
      <c r="D323" s="20" t="n">
        <v>-11.237</v>
      </c>
      <c r="F323" s="20" t="n">
        <v>-23.347</v>
      </c>
      <c r="H323" s="20" t="n">
        <v>-47.219</v>
      </c>
      <c r="J323" s="20" t="n">
        <v>-23.012</v>
      </c>
      <c r="L323" s="20" t="n">
        <v>-49.836</v>
      </c>
      <c r="N323" s="20" t="n">
        <v>-26.416</v>
      </c>
      <c r="O323" s="20" t="n">
        <v>-84.952</v>
      </c>
      <c r="P323" s="20" t="n">
        <v>-52.701</v>
      </c>
      <c r="Q323" s="20" t="n">
        <v>-39.287</v>
      </c>
      <c r="R323" s="20" t="n">
        <v>-16.868</v>
      </c>
      <c r="S323" s="20" t="n">
        <v>-15.661</v>
      </c>
      <c r="T323" s="20" t="n">
        <v>-13.979</v>
      </c>
      <c r="U323" s="20" t="n">
        <v>-8.23</v>
      </c>
      <c r="V323" s="20" t="n">
        <v>-11.237</v>
      </c>
      <c r="W323" s="20" t="n">
        <v>-47.219</v>
      </c>
      <c r="X323" s="20" t="n">
        <v>-49.836</v>
      </c>
    </row>
    <row r="324">
      <c r="A324" s="18" t="inlineStr">
        <is>
          <t>단기차입금 순증감</t>
        </is>
      </c>
      <c r="D324" s="20" t="n">
        <v>0</v>
      </c>
      <c r="F324" s="20" t="n">
        <v>1000</v>
      </c>
      <c r="H324" s="20" t="n">
        <v>1000</v>
      </c>
      <c r="J324" s="20" t="n">
        <v>0</v>
      </c>
      <c r="L324" s="20" t="n">
        <v>200</v>
      </c>
      <c r="T324" s="20" t="n">
        <v>0</v>
      </c>
      <c r="U324" s="20" t="n">
        <v>1000</v>
      </c>
      <c r="V324" s="20" t="n">
        <v>0</v>
      </c>
      <c r="W324" s="20" t="n">
        <v>1000</v>
      </c>
      <c r="X324" s="20" t="n">
        <v>200</v>
      </c>
    </row>
    <row r="325">
      <c r="A325" s="18" t="inlineStr">
        <is>
          <t>배당금 지급</t>
        </is>
      </c>
      <c r="D325" s="20" t="n">
        <v>-147.485</v>
      </c>
      <c r="F325" s="20" t="n">
        <v>-203.837</v>
      </c>
      <c r="H325" s="20" t="n">
        <v>-203.837</v>
      </c>
      <c r="J325" s="20" t="n">
        <v>-204.673</v>
      </c>
      <c r="L325" s="20" t="n">
        <v>-204.673</v>
      </c>
      <c r="N325" s="20" t="n">
        <v>-224.167</v>
      </c>
      <c r="O325" s="20" t="n">
        <v>-121.839</v>
      </c>
      <c r="P325" s="20" t="n">
        <v>-131.205</v>
      </c>
      <c r="Q325" s="20" t="n">
        <v>-149.92</v>
      </c>
      <c r="R325" s="20" t="n">
        <v>-160.001</v>
      </c>
      <c r="S325" s="20" t="n">
        <v>-160.876</v>
      </c>
      <c r="T325" s="20" t="n">
        <v>-104.646</v>
      </c>
      <c r="U325" s="20" t="n">
        <v>-133.907</v>
      </c>
      <c r="V325" s="20" t="n">
        <v>-147.485</v>
      </c>
      <c r="W325" s="20" t="n">
        <v>-203.837</v>
      </c>
      <c r="X325" s="20" t="n">
        <v>-204.673</v>
      </c>
    </row>
    <row r="326">
      <c r="A326" s="18" t="inlineStr">
        <is>
          <t>연결범위 변경 없는 자회사 주식 취득</t>
        </is>
      </c>
      <c r="S326" s="20" t="n">
        <v>0</v>
      </c>
      <c r="T326" s="20" t="n">
        <v>-2.633</v>
      </c>
      <c r="U326" s="20" t="n">
        <v>0</v>
      </c>
    </row>
    <row r="327">
      <c r="A327" s="9" t="inlineStr">
        <is>
          <t>재무활동 현금흐름</t>
        </is>
      </c>
      <c r="D327" s="12" t="n">
        <v>-367.91</v>
      </c>
      <c r="F327" s="12" t="n">
        <v>668.221</v>
      </c>
      <c r="H327" s="12" t="n">
        <v>539.755</v>
      </c>
      <c r="J327" s="12" t="n">
        <v>-332.279</v>
      </c>
      <c r="L327" s="12" t="n">
        <v>-271.839</v>
      </c>
      <c r="N327" s="12" t="n">
        <v>-363.3</v>
      </c>
      <c r="O327" s="12" t="n">
        <v>-268.405</v>
      </c>
      <c r="P327" s="12" t="n">
        <v>-192.228</v>
      </c>
      <c r="Q327" s="12" t="n">
        <v>-196.61</v>
      </c>
      <c r="R327" s="12" t="n">
        <v>-183.851</v>
      </c>
      <c r="S327" s="12" t="n">
        <v>-180.067</v>
      </c>
      <c r="T327" s="12" t="n">
        <v>1318.74</v>
      </c>
      <c r="U327" s="12" t="n">
        <v>3188.403</v>
      </c>
      <c r="V327" s="12" t="n">
        <v>-367.91</v>
      </c>
      <c r="W327" s="12" t="n">
        <v>539.755</v>
      </c>
      <c r="X327" s="12" t="n">
        <v>-271.839</v>
      </c>
    </row>
    <row r="328">
      <c r="A328" s="18" t="inlineStr">
        <is>
          <t>현금성자산 환산차이</t>
        </is>
      </c>
      <c r="D328" s="20" t="n">
        <v>158.635</v>
      </c>
      <c r="F328" s="20" t="n">
        <v>54.681</v>
      </c>
      <c r="H328" s="20" t="n">
        <v>57.093</v>
      </c>
      <c r="J328" s="20" t="n">
        <v>-113.653</v>
      </c>
      <c r="L328" s="20" t="n">
        <v>-13.25</v>
      </c>
      <c r="N328" s="20" t="n">
        <v>40.832</v>
      </c>
      <c r="O328" s="20" t="n">
        <v>20.806</v>
      </c>
      <c r="P328" s="20" t="n">
        <v>40.976</v>
      </c>
      <c r="Q328" s="20" t="n">
        <v>24.188</v>
      </c>
      <c r="R328" s="20" t="n">
        <v>9.532</v>
      </c>
      <c r="S328" s="20" t="n">
        <v>2.95</v>
      </c>
      <c r="T328" s="20" t="n">
        <v>-108.82</v>
      </c>
      <c r="U328" s="20" t="n">
        <v>117.87</v>
      </c>
      <c r="V328" s="20" t="n">
        <v>158.635</v>
      </c>
      <c r="W328" s="20" t="n">
        <v>57.093</v>
      </c>
      <c r="X328" s="20" t="n">
        <v>-13.25</v>
      </c>
    </row>
    <row r="329">
      <c r="A329" s="18" t="inlineStr">
        <is>
          <t>현금성자산 증감</t>
        </is>
      </c>
      <c r="D329" s="20" t="n">
        <v>-744.04</v>
      </c>
      <c r="F329" s="20" t="n">
        <v>673.1420000000001</v>
      </c>
      <c r="H329" s="20" t="n">
        <v>-139.726</v>
      </c>
      <c r="J329" s="20" t="n">
        <v>-110.463</v>
      </c>
      <c r="L329" s="20" t="n">
        <v>486.597</v>
      </c>
      <c r="N329" s="20" t="n">
        <v>774.721</v>
      </c>
      <c r="O329" s="20" t="n">
        <v>247.541</v>
      </c>
      <c r="P329" s="20" t="n">
        <v>463.356</v>
      </c>
      <c r="Q329" s="20" t="n">
        <v>833.193</v>
      </c>
      <c r="R329" s="20" t="n">
        <v>224.367</v>
      </c>
      <c r="S329" s="20" t="n">
        <v>-330.863</v>
      </c>
      <c r="T329" s="20" t="n">
        <v>-578.4109999999999</v>
      </c>
      <c r="U329" s="20" t="n">
        <v>1438.744</v>
      </c>
      <c r="V329" s="20" t="n">
        <v>-744.04</v>
      </c>
      <c r="W329" s="20" t="n">
        <v>-139.726</v>
      </c>
      <c r="X329" s="20" t="n">
        <v>486.597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6042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9278.157999999999</v>
      </c>
      <c r="D5" s="12" t="n">
        <v>9478.477000000001</v>
      </c>
      <c r="E5" s="12" t="n">
        <v>10140.242</v>
      </c>
      <c r="F5" s="12" t="n">
        <v>10571.545</v>
      </c>
      <c r="G5" s="12" t="n">
        <v>10857.756</v>
      </c>
      <c r="H5" s="11" t="n">
        <v>8000.134</v>
      </c>
      <c r="I5" s="12" t="n">
        <v>9752.447</v>
      </c>
      <c r="J5" s="12" t="n">
        <v>9039.198</v>
      </c>
      <c r="K5" s="12" t="n">
        <v>9415.648999999999</v>
      </c>
      <c r="L5" s="12" t="n">
        <v>10140.242</v>
      </c>
    </row>
    <row r="6">
      <c r="A6" s="18" t="inlineStr">
        <is>
          <t>현금및현금성자산</t>
        </is>
      </c>
      <c r="B6" s="10" t="n"/>
      <c r="C6" s="19" t="n">
        <v>3995.482</v>
      </c>
      <c r="D6" s="20" t="n">
        <v>4098.745</v>
      </c>
      <c r="E6" s="20" t="n">
        <v>4623.611</v>
      </c>
      <c r="F6" s="20" t="n">
        <v>5114.876</v>
      </c>
      <c r="G6" s="20" t="n">
        <v>5450.755</v>
      </c>
      <c r="H6" s="19" t="n">
        <v>3257.415</v>
      </c>
      <c r="I6" s="20" t="n">
        <v>4675.856</v>
      </c>
      <c r="J6" s="20" t="n">
        <v>4175.416</v>
      </c>
      <c r="K6" s="20" t="n">
        <v>4102.694</v>
      </c>
      <c r="L6" s="20" t="n">
        <v>4623.611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1587.93</v>
      </c>
      <c r="D8" s="20" t="n">
        <v>1440.894</v>
      </c>
      <c r="E8" s="20" t="n">
        <v>1658.661</v>
      </c>
      <c r="F8" s="20" t="n">
        <v>1568.278</v>
      </c>
      <c r="G8" s="20" t="n">
        <v>1539.083</v>
      </c>
      <c r="H8" s="19" t="n">
        <v>1313.498</v>
      </c>
      <c r="I8" s="20" t="n">
        <v>1737.785</v>
      </c>
      <c r="J8" s="20" t="n">
        <v>1597.892</v>
      </c>
      <c r="K8" s="20" t="n">
        <v>1100.563</v>
      </c>
      <c r="L8" s="20" t="n">
        <v>1658.661</v>
      </c>
    </row>
    <row r="9">
      <c r="A9" s="18" t="inlineStr">
        <is>
          <t>재고자산</t>
        </is>
      </c>
      <c r="B9" s="10" t="n"/>
      <c r="C9" s="19" t="n">
        <v>3252.19</v>
      </c>
      <c r="D9" s="20" t="n">
        <v>3372.93</v>
      </c>
      <c r="E9" s="20" t="n">
        <v>3429.783</v>
      </c>
      <c r="F9" s="20" t="n">
        <v>3489.678</v>
      </c>
      <c r="G9" s="20" t="n">
        <v>3428.907</v>
      </c>
      <c r="H9" s="19" t="n">
        <v>2495.274</v>
      </c>
      <c r="I9" s="20" t="n">
        <v>2704.832</v>
      </c>
      <c r="J9" s="20" t="n">
        <v>2782.247</v>
      </c>
      <c r="K9" s="20" t="n">
        <v>3461.75</v>
      </c>
      <c r="L9" s="20" t="n">
        <v>3429.783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14308.986</v>
      </c>
      <c r="D11" s="12" t="n">
        <v>14312.301</v>
      </c>
      <c r="E11" s="12" t="n">
        <v>14158.129</v>
      </c>
      <c r="F11" s="12" t="n">
        <v>14119.978</v>
      </c>
      <c r="G11" s="12" t="n">
        <v>14327.414</v>
      </c>
      <c r="H11" s="11" t="n">
        <v>9839.040999999999</v>
      </c>
      <c r="I11" s="12" t="n">
        <v>10524.491</v>
      </c>
      <c r="J11" s="12" t="n">
        <v>14025.731</v>
      </c>
      <c r="K11" s="12" t="n">
        <v>13952.122</v>
      </c>
      <c r="L11" s="12" t="n">
        <v>14158.129</v>
      </c>
    </row>
    <row r="12">
      <c r="A12" s="18" t="inlineStr">
        <is>
          <t>유형자산</t>
        </is>
      </c>
      <c r="B12" s="10" t="n"/>
      <c r="C12" s="19" t="n">
        <v>10350.347</v>
      </c>
      <c r="D12" s="20" t="n">
        <v>10239.516</v>
      </c>
      <c r="E12" s="20" t="n">
        <v>10141.903</v>
      </c>
      <c r="F12" s="20" t="n">
        <v>10057.176</v>
      </c>
      <c r="G12" s="20" t="n">
        <v>9976.601000000001</v>
      </c>
      <c r="H12" s="19" t="n">
        <v>8175.272</v>
      </c>
      <c r="I12" s="20" t="n">
        <v>8815.352000000001</v>
      </c>
      <c r="J12" s="20" t="n">
        <v>10777.337</v>
      </c>
      <c r="K12" s="20" t="n">
        <v>10456.561</v>
      </c>
      <c r="L12" s="20" t="n">
        <v>10141.903</v>
      </c>
    </row>
    <row r="13">
      <c r="A13" s="18" t="inlineStr">
        <is>
          <t>무형자산</t>
        </is>
      </c>
      <c r="B13" s="10" t="n"/>
      <c r="C13" s="19" t="n">
        <v>1082.79</v>
      </c>
      <c r="D13" s="20" t="n">
        <v>1061.86</v>
      </c>
      <c r="E13" s="20" t="n">
        <v>1012.048</v>
      </c>
      <c r="F13" s="20" t="n">
        <v>969.026</v>
      </c>
      <c r="G13" s="20" t="n">
        <v>935.016</v>
      </c>
      <c r="H13" s="19" t="n">
        <v>53.184</v>
      </c>
      <c r="I13" s="20" t="n">
        <v>52.861</v>
      </c>
      <c r="J13" s="20" t="n">
        <v>908.568</v>
      </c>
      <c r="K13" s="20" t="n">
        <v>1017.12</v>
      </c>
      <c r="L13" s="20" t="n">
        <v>1012.048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23587.144</v>
      </c>
      <c r="D16" s="12" t="n">
        <v>23790.779</v>
      </c>
      <c r="E16" s="12" t="n">
        <v>24298.371</v>
      </c>
      <c r="F16" s="12" t="n">
        <v>24691.523</v>
      </c>
      <c r="G16" s="12" t="n">
        <v>25185.171</v>
      </c>
      <c r="H16" s="11" t="n">
        <v>17839.176</v>
      </c>
      <c r="I16" s="12" t="n">
        <v>20276.939</v>
      </c>
      <c r="J16" s="12" t="n">
        <v>23064.929</v>
      </c>
      <c r="K16" s="12" t="n">
        <v>23367.772</v>
      </c>
      <c r="L16" s="12" t="n">
        <v>24298.371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5816.149</v>
      </c>
      <c r="D18" s="12" t="n">
        <v>5834.209</v>
      </c>
      <c r="E18" s="12" t="n">
        <v>5978.716</v>
      </c>
      <c r="F18" s="12" t="n">
        <v>6172.819</v>
      </c>
      <c r="G18" s="12" t="n">
        <v>6034.038</v>
      </c>
      <c r="H18" s="11" t="n">
        <v>5864.723</v>
      </c>
      <c r="I18" s="12" t="n">
        <v>5161.691</v>
      </c>
      <c r="J18" s="12" t="n">
        <v>5992.612</v>
      </c>
      <c r="K18" s="12" t="n">
        <v>5673.413</v>
      </c>
      <c r="L18" s="12" t="n">
        <v>5978.716</v>
      </c>
    </row>
    <row r="19">
      <c r="A19" s="18" t="inlineStr">
        <is>
          <t>매입채무</t>
        </is>
      </c>
      <c r="B19" s="10" t="n"/>
      <c r="C19" s="19" t="n">
        <v>323.845</v>
      </c>
      <c r="D19" s="20" t="n">
        <v>401.149</v>
      </c>
      <c r="E19" s="20" t="n">
        <v>426.674</v>
      </c>
      <c r="F19" s="20" t="n">
        <v>437.341</v>
      </c>
      <c r="G19" s="20" t="n">
        <v>419.189</v>
      </c>
      <c r="H19" s="19" t="n">
        <v>199.41</v>
      </c>
      <c r="I19" s="20" t="n">
        <v>399.017</v>
      </c>
      <c r="J19" s="20" t="n">
        <v>498.894</v>
      </c>
      <c r="K19" s="20" t="n">
        <v>278.445</v>
      </c>
      <c r="L19" s="20" t="n">
        <v>426.674</v>
      </c>
    </row>
    <row r="20">
      <c r="A20" s="18" t="inlineStr">
        <is>
          <t>단기차입금</t>
        </is>
      </c>
      <c r="B20" s="10" t="n"/>
      <c r="C20" s="19" t="n">
        <v>4569.188</v>
      </c>
      <c r="D20" s="20" t="n">
        <v>4684.951</v>
      </c>
      <c r="E20" s="20" t="n">
        <v>4834.45</v>
      </c>
      <c r="F20" s="20" t="n">
        <v>4833.949</v>
      </c>
      <c r="G20" s="20" t="n">
        <v>4733.468</v>
      </c>
      <c r="H20" s="19" t="n">
        <v>2441.74</v>
      </c>
      <c r="I20" s="20" t="n">
        <v>3509.188</v>
      </c>
      <c r="J20" s="20" t="n">
        <v>3619.188</v>
      </c>
      <c r="K20" s="20" t="n">
        <v>4519.188</v>
      </c>
      <c r="L20" s="20" t="n">
        <v>4834.45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4578.019</v>
      </c>
      <c r="D23" s="12" t="n">
        <v>4407.329</v>
      </c>
      <c r="E23" s="12" t="n">
        <v>4360.645</v>
      </c>
      <c r="F23" s="12" t="n">
        <v>4310.663</v>
      </c>
      <c r="G23" s="12" t="n">
        <v>4433.542</v>
      </c>
      <c r="H23" s="11" t="n">
        <v>2829.079</v>
      </c>
      <c r="I23" s="12" t="n">
        <v>5285.525</v>
      </c>
      <c r="J23" s="12" t="n">
        <v>4676.509</v>
      </c>
      <c r="K23" s="12" t="n">
        <v>4630.968</v>
      </c>
      <c r="L23" s="12" t="n">
        <v>4360.645</v>
      </c>
    </row>
    <row r="24">
      <c r="A24" s="18" t="inlineStr">
        <is>
          <t>장기차입금</t>
        </is>
      </c>
      <c r="B24" s="10" t="n"/>
      <c r="C24" s="19" t="n">
        <v>3329.008</v>
      </c>
      <c r="D24" s="20" t="n">
        <v>3156.877</v>
      </c>
      <c r="E24" s="20" t="n">
        <v>3151.01</v>
      </c>
      <c r="F24" s="20" t="n">
        <v>3095.143</v>
      </c>
      <c r="G24" s="20" t="n">
        <v>3139.276</v>
      </c>
      <c r="H24" s="19" t="n">
        <v>1448.26</v>
      </c>
      <c r="I24" s="20" t="n">
        <v>3858.554</v>
      </c>
      <c r="J24" s="20" t="n">
        <v>3549.366</v>
      </c>
      <c r="K24" s="20" t="n">
        <v>3440.178</v>
      </c>
      <c r="L24" s="20" t="n">
        <v>3151.01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10394.169</v>
      </c>
      <c r="D27" s="12" t="n">
        <v>10241.539</v>
      </c>
      <c r="E27" s="12" t="n">
        <v>10339.361</v>
      </c>
      <c r="F27" s="12" t="n">
        <v>10483.483</v>
      </c>
      <c r="G27" s="12" t="n">
        <v>10467.58</v>
      </c>
      <c r="H27" s="11" t="n">
        <v>8693.803</v>
      </c>
      <c r="I27" s="12" t="n">
        <v>10447.217</v>
      </c>
      <c r="J27" s="12" t="n">
        <v>10669.122</v>
      </c>
      <c r="K27" s="12" t="n">
        <v>10304.382</v>
      </c>
      <c r="L27" s="12" t="n">
        <v>10339.361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13164.025</v>
      </c>
      <c r="D31" s="12" t="n">
        <v>13518.924</v>
      </c>
      <c r="E31" s="12" t="n">
        <v>13926.424</v>
      </c>
      <c r="F31" s="12" t="n">
        <v>14176.313</v>
      </c>
      <c r="G31" s="12" t="n">
        <v>14685.414</v>
      </c>
      <c r="H31" s="11" t="n">
        <v>9124.175999999999</v>
      </c>
      <c r="I31" s="12" t="n">
        <v>9805.808000000001</v>
      </c>
      <c r="J31" s="12" t="n">
        <v>12369.058</v>
      </c>
      <c r="K31" s="12" t="n">
        <v>13033.327</v>
      </c>
      <c r="L31" s="12" t="n">
        <v>13926.424</v>
      </c>
    </row>
    <row r="32">
      <c r="A32" s="18" t="inlineStr">
        <is>
          <t>자본금</t>
        </is>
      </c>
      <c r="B32" s="10" t="n"/>
      <c r="C32" s="19" t="n">
        <v>500</v>
      </c>
      <c r="D32" s="20" t="n">
        <v>500</v>
      </c>
      <c r="E32" s="20" t="n">
        <v>500</v>
      </c>
      <c r="F32" s="20" t="n">
        <v>500</v>
      </c>
      <c r="G32" s="20" t="n">
        <v>500</v>
      </c>
      <c r="H32" s="19" t="n">
        <v>500</v>
      </c>
      <c r="I32" s="20" t="n">
        <v>500</v>
      </c>
      <c r="J32" s="20" t="n">
        <v>500</v>
      </c>
      <c r="K32" s="20" t="n">
        <v>500</v>
      </c>
      <c r="L32" s="20" t="n">
        <v>500</v>
      </c>
    </row>
    <row r="33">
      <c r="A33" s="18" t="inlineStr">
        <is>
          <t>이익잉여금</t>
        </is>
      </c>
      <c r="B33" s="10" t="n"/>
      <c r="C33" s="19" t="n">
        <v>11198.46</v>
      </c>
      <c r="D33" s="20" t="n">
        <v>11361.225</v>
      </c>
      <c r="E33" s="20" t="n">
        <v>11710.309</v>
      </c>
      <c r="F33" s="20" t="n">
        <v>11779.805</v>
      </c>
      <c r="G33" s="20" t="n">
        <v>12017.586</v>
      </c>
      <c r="H33" s="19" t="n">
        <v>7750.913</v>
      </c>
      <c r="I33" s="20" t="n">
        <v>8489.290999999999</v>
      </c>
      <c r="J33" s="20" t="n">
        <v>10533.09</v>
      </c>
      <c r="K33" s="20" t="n">
        <v>10959.801</v>
      </c>
      <c r="L33" s="20" t="n">
        <v>11710.309</v>
      </c>
    </row>
    <row r="34">
      <c r="A34" s="18" t="inlineStr">
        <is>
          <t>비지배지분</t>
        </is>
      </c>
      <c r="B34" s="10" t="n"/>
      <c r="C34" s="19" t="n">
        <v>28.95</v>
      </c>
      <c r="D34" s="20" t="n">
        <v>30.316</v>
      </c>
      <c r="E34" s="20" t="n">
        <v>32.586</v>
      </c>
      <c r="F34" s="20" t="n">
        <v>31.726</v>
      </c>
      <c r="G34" s="20" t="n">
        <v>32.177</v>
      </c>
      <c r="H34" s="19" t="n">
        <v>21.196</v>
      </c>
      <c r="I34" s="20" t="n">
        <v>23.913</v>
      </c>
      <c r="J34" s="20" t="n">
        <v>26.749</v>
      </c>
      <c r="K34" s="20" t="n">
        <v>30.063</v>
      </c>
      <c r="L34" s="20" t="n">
        <v>32.586</v>
      </c>
    </row>
    <row r="35">
      <c r="A35" s="9" t="inlineStr">
        <is>
          <t>자본총계</t>
        </is>
      </c>
      <c r="B35" s="10" t="n"/>
      <c r="C35" s="11" t="n">
        <v>13192.975</v>
      </c>
      <c r="D35" s="12" t="n">
        <v>13549.24</v>
      </c>
      <c r="E35" s="12" t="n">
        <v>13959.01</v>
      </c>
      <c r="F35" s="12" t="n">
        <v>14208.039</v>
      </c>
      <c r="G35" s="12" t="n">
        <v>14717.591</v>
      </c>
      <c r="H35" s="11" t="n">
        <v>9145.371999999999</v>
      </c>
      <c r="I35" s="12" t="n">
        <v>9829.721</v>
      </c>
      <c r="J35" s="12" t="n">
        <v>12395.807</v>
      </c>
      <c r="K35" s="12" t="n">
        <v>13063.39</v>
      </c>
      <c r="L35" s="12" t="n">
        <v>13959.01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351.979</v>
      </c>
      <c r="D37" s="12" t="n"/>
      <c r="E37" s="12" t="n">
        <v>1520.737</v>
      </c>
      <c r="F37" s="12" t="n"/>
      <c r="G37" s="12" t="n">
        <v>1751.49</v>
      </c>
      <c r="H37" s="11" t="n">
        <v>677.391</v>
      </c>
      <c r="I37" s="12" t="n">
        <v>801.5119999999999</v>
      </c>
      <c r="J37" s="12" t="n">
        <v>1918.131</v>
      </c>
      <c r="K37" s="12" t="n">
        <v>-441.341</v>
      </c>
      <c r="L37" s="12" t="n">
        <v>1520.737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539.018</v>
      </c>
      <c r="D38" s="20" t="n"/>
      <c r="E38" s="20" t="n">
        <v>447.569</v>
      </c>
      <c r="F38" s="20" t="n"/>
      <c r="G38" s="20" t="n">
        <v>288.104</v>
      </c>
      <c r="H38" s="19" t="n">
        <v>2521.885</v>
      </c>
      <c r="I38" s="20" t="n">
        <v>3240.018</v>
      </c>
      <c r="J38" s="20" t="n">
        <v>4597.039</v>
      </c>
      <c r="K38" s="20" t="n">
        <v>502.646</v>
      </c>
      <c r="L38" s="20" t="n">
        <v>447.569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204.673</v>
      </c>
      <c r="D40" s="20" t="n"/>
      <c r="E40" s="20" t="n">
        <v>204.673</v>
      </c>
      <c r="F40" s="20" t="n"/>
      <c r="G40" s="20" t="n">
        <v>224.167</v>
      </c>
      <c r="H40" s="19" t="n">
        <v>104.646</v>
      </c>
      <c r="I40" s="20" t="n">
        <v>133.907</v>
      </c>
      <c r="J40" s="20" t="n">
        <v>147.485</v>
      </c>
      <c r="K40" s="20" t="n">
        <v>203.837</v>
      </c>
      <c r="L40" s="20" t="n">
        <v>204.673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IFERROR((IF(COUNT('연간'!G52:J52)&lt;4,"",SUM('연간'!G52:J52)))/(IF(COUNT('연간'!G74:J74)&lt;4,"",SUM('연간'!G74:J74))),"")</f>
        <v/>
      </c>
      <c r="D48" s="31">
        <f>IFERROR((IF(COUNT('연간'!H52:K52)&lt;4,"",SUM('연간'!H52:K52)))/(IF(COUNT('연간'!H74:K74)&lt;4,"",SUM('연간'!H74:K74))),"")</f>
        <v/>
      </c>
      <c r="E48" s="31">
        <f>IFERROR((IF(COUNT('연간'!I52:L52)&lt;4,"",SUM('연간'!I52:L52)))/(IF(COUNT('연간'!I74:L74)&lt;4,"",SUM('연간'!I74:L74))),"")</f>
        <v/>
      </c>
      <c r="F48" s="31">
        <f>IFERROR((IF(COUNT('연간'!J52:M52)&lt;4,"",SUM('연간'!J52:M52)))/(IF(COUNT('연간'!J74:M74)&lt;4,"",SUM('연간'!J74:M74))),"")</f>
        <v/>
      </c>
      <c r="G48" s="31">
        <f>IFERROR((IF(COUNT('연간'!K52:N52)&lt;4,"",SUM('연간'!K52:N52)))/(IF(COUNT('연간'!K74:N74)&lt;4,"",SUM('연간'!K74:N74))),"")</f>
        <v/>
      </c>
      <c r="H48" s="30">
        <f>IFERROR(('연간'!T52)/('연간'!T74),"")</f>
        <v/>
      </c>
      <c r="I48" s="31">
        <f>IFERROR(('연간'!U52)/('연간'!U74),"")</f>
        <v/>
      </c>
      <c r="J48" s="31">
        <f>IFERROR(('연간'!V52)/('연간'!V74),"")</f>
        <v/>
      </c>
      <c r="K48" s="31">
        <f>IFERROR(('연간'!W52)/('연간'!W74),"")</f>
        <v/>
      </c>
      <c r="L48" s="31">
        <f>IFERROR(('연간'!X52)/('연간'!X74),"")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IFERROR(IF((IF(COUNT('연간'!G82:J82)&lt;4,"",SUM('연간'!G82:J82)))&lt;=0,"적자",C28/(IF(COUNT('연간'!G82:J82)&lt;4,"",SUM('연간'!G82:J82)))),"")</f>
        <v/>
      </c>
      <c r="D49" s="47">
        <f>IFERROR(IF((IF(COUNT('연간'!H82:K82)&lt;4,"",SUM('연간'!H82:K82)))&lt;=0,"적자",D28/(IF(COUNT('연간'!H82:K82)&lt;4,"",SUM('연간'!H82:K82)))),"")</f>
        <v/>
      </c>
      <c r="E49" s="47">
        <f>IFERROR(IF((IF(COUNT('연간'!I82:L82)&lt;4,"",SUM('연간'!I82:L82)))&lt;=0,"적자",E28/(IF(COUNT('연간'!I82:L82)&lt;4,"",SUM('연간'!I82:L82)))),"")</f>
        <v/>
      </c>
      <c r="F49" s="47">
        <f>IFERROR(IF((IF(COUNT('연간'!J82:M82)&lt;4,"",SUM('연간'!J82:M82)))&lt;=0,"적자",F28/(IF(COUNT('연간'!J82:M82)&lt;4,"",SUM('연간'!J82:M82)))),"")</f>
        <v/>
      </c>
      <c r="G49" s="47">
        <f>IFERROR(IF((IF(COUNT('연간'!K82:N82)&lt;4,"",SUM('연간'!K82:N82)))&lt;=0,"적자",G28/(IF(COUNT('연간'!K82:N82)&lt;4,"",SUM('연간'!K82:N82)))),"")</f>
        <v/>
      </c>
      <c r="H49" s="46">
        <f>IFERROR(IF(('연간'!T82)&lt;=0,"적자",H28/('연간'!T82)),"")</f>
        <v/>
      </c>
      <c r="I49" s="47">
        <f>IFERROR(IF(('연간'!U82)&lt;=0,"적자",I28/('연간'!U82)),"")</f>
        <v/>
      </c>
      <c r="J49" s="47">
        <f>IFERROR(IF(('연간'!V82)&lt;=0,"적자",J28/('연간'!V82)),"")</f>
        <v/>
      </c>
      <c r="K49" s="47">
        <f>IFERROR(IF(('연간'!W82)&lt;=0,"적자",K28/('연간'!W82)),"")</f>
        <v/>
      </c>
      <c r="L49" s="47">
        <f>IFERROR(IF(('연간'!X82)&lt;=0,"적자",L28/('연간'!X82)),"")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IFERROR((IF(COUNT('연간'!G82:J82)&lt;4,"",SUM('연간'!G82:J82)))/C31,"")</f>
        <v/>
      </c>
      <c r="D51" s="36">
        <f>IFERROR((IF(COUNT('연간'!H82:K82)&lt;4,"",SUM('연간'!H82:K82)))/D31,"")</f>
        <v/>
      </c>
      <c r="E51" s="36">
        <f>IFERROR((IF(COUNT('연간'!I82:L82)&lt;4,"",SUM('연간'!I82:L82)))/E31,"")</f>
        <v/>
      </c>
      <c r="F51" s="36">
        <f>IFERROR((IF(COUNT('연간'!J82:M82)&lt;4,"",SUM('연간'!J82:M82)))/F31,"")</f>
        <v/>
      </c>
      <c r="G51" s="36">
        <f>IFERROR((IF(COUNT('연간'!K82:N82)&lt;4,"",SUM('연간'!K82:N82)))/G31,"")</f>
        <v/>
      </c>
      <c r="H51" s="35">
        <f>IFERROR(('연간'!T82)/H31,"")</f>
        <v/>
      </c>
      <c r="I51" s="36">
        <f>IFERROR(('연간'!U82)/I31,"")</f>
        <v/>
      </c>
      <c r="J51" s="36">
        <f>IFERROR(('연간'!V82)/J31,"")</f>
        <v/>
      </c>
      <c r="K51" s="36">
        <f>IFERROR(('연간'!W82)/K31,"")</f>
        <v/>
      </c>
      <c r="L51" s="36">
        <f>IFERROR(('연간'!X82)/L31,"")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IFERROR((IF(COUNT('연간'!G80:J80)&lt;4,"",SUM('연간'!G80:J80)))/C16,"")</f>
        <v/>
      </c>
      <c r="D52" s="36">
        <f>IFERROR((IF(COUNT('연간'!H80:K80)&lt;4,"",SUM('연간'!H80:K80)))/D16,"")</f>
        <v/>
      </c>
      <c r="E52" s="36">
        <f>IFERROR((IF(COUNT('연간'!I80:L80)&lt;4,"",SUM('연간'!I80:L80)))/E16,"")</f>
        <v/>
      </c>
      <c r="F52" s="36">
        <f>IFERROR((IF(COUNT('연간'!J80:M80)&lt;4,"",SUM('연간'!J80:M80)))/F16,"")</f>
        <v/>
      </c>
      <c r="G52" s="36">
        <f>IFERROR((IF(COUNT('연간'!K80:N80)&lt;4,"",SUM('연간'!K80:N80)))/G16,"")</f>
        <v/>
      </c>
      <c r="H52" s="35">
        <f>IFERROR(('연간'!T80)/H16,"")</f>
        <v/>
      </c>
      <c r="I52" s="36">
        <f>IFERROR(('연간'!U80)/I16,"")</f>
        <v/>
      </c>
      <c r="J52" s="36">
        <f>IFERROR(('연간'!V80)/J16,"")</f>
        <v/>
      </c>
      <c r="K52" s="36">
        <f>IFERROR(('연간'!W80)/K16,"")</f>
        <v/>
      </c>
      <c r="L52" s="36">
        <f>IFERROR(('연간'!X80)/L16,"")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IFERROR((IF(COUNT('연간'!G52:J52)&lt;4,"",SUM('연간'!G52:J52)))*(1-0.3)/(C35+C29),"")</f>
        <v/>
      </c>
      <c r="D53" s="36">
        <f>IFERROR((IF(COUNT('연간'!H52:K52)&lt;4,"",SUM('연간'!H52:K52)))*(1-0.3)/(D35+D29),"")</f>
        <v/>
      </c>
      <c r="E53" s="36">
        <f>IFERROR((IF(COUNT('연간'!I52:L52)&lt;4,"",SUM('연간'!I52:L52)))*(1-0.3)/(E35+E29),"")</f>
        <v/>
      </c>
      <c r="F53" s="36">
        <f>IFERROR((IF(COUNT('연간'!J52:M52)&lt;4,"",SUM('연간'!J52:M52)))*(1-0.3)/(F35+F29),"")</f>
        <v/>
      </c>
      <c r="G53" s="36">
        <f>IFERROR((IF(COUNT('연간'!K52:N52)&lt;4,"",SUM('연간'!K52:N52)))*(1-0.3)/(G35+G29),"")</f>
        <v/>
      </c>
      <c r="H53" s="35">
        <f>IFERROR(('연간'!T52)*(1-0.3)/(H35+H29),"")</f>
        <v/>
      </c>
      <c r="I53" s="36">
        <f>IFERROR(('연간'!U52)*(1-0.3)/(I35+I29),"")</f>
        <v/>
      </c>
      <c r="J53" s="36">
        <f>IFERROR(('연간'!V52)*(1-0.3)/(J35+J29),"")</f>
        <v/>
      </c>
      <c r="K53" s="36">
        <f>IFERROR(('연간'!W52)*(1-0.3)/(K35+K29),"")</f>
        <v/>
      </c>
      <c r="L53" s="36">
        <f>IFERROR(('연간'!X52)*(1-0.3)/(L35+L29),"")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IFERROR((IF(COUNT('연간'!G46:J46)&lt;4,"",SUM('연간'!G46:J46)))/(IF(COUNT('연간'!G4:J4)&lt;4,"",SUM('연간'!G4:J4))),"")</f>
        <v/>
      </c>
      <c r="D54" s="36">
        <f>IFERROR((IF(COUNT('연간'!H46:K46)&lt;4,"",SUM('연간'!H46:K46)))/(IF(COUNT('연간'!H4:K4)&lt;4,"",SUM('연간'!H4:K4))),"")</f>
        <v/>
      </c>
      <c r="E54" s="36">
        <f>IFERROR((IF(COUNT('연간'!I46:L46)&lt;4,"",SUM('연간'!I46:L46)))/(IF(COUNT('연간'!I4:L4)&lt;4,"",SUM('연간'!I4:L4))),"")</f>
        <v/>
      </c>
      <c r="F54" s="36">
        <f>IFERROR((IF(COUNT('연간'!J46:M46)&lt;4,"",SUM('연간'!J46:M46)))/(IF(COUNT('연간'!J4:M4)&lt;4,"",SUM('연간'!J4:M4))),"")</f>
        <v/>
      </c>
      <c r="G54" s="36">
        <f>IFERROR((IF(COUNT('연간'!K46:N46)&lt;4,"",SUM('연간'!K46:N46)))/(IF(COUNT('연간'!K4:N4)&lt;4,"",SUM('연간'!K4:N4))),"")</f>
        <v/>
      </c>
      <c r="H54" s="35">
        <f>IFERROR(('연간'!T46)/('연간'!T4),"")</f>
        <v/>
      </c>
      <c r="I54" s="36">
        <f>IFERROR(('연간'!U46)/('연간'!U4),"")</f>
        <v/>
      </c>
      <c r="J54" s="36">
        <f>IFERROR(('연간'!V46)/('연간'!V4),"")</f>
        <v/>
      </c>
      <c r="K54" s="36">
        <f>IFERROR(('연간'!W46)/('연간'!W4),"")</f>
        <v/>
      </c>
      <c r="L54" s="36">
        <f>IFERROR(('연간'!X46)/('연간'!X4),"")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IFERROR((IF(COUNT('연간'!G52:J52)&lt;4,"",SUM('연간'!G52:J52)))/(IF(COUNT('연간'!G4:J4)&lt;4,"",SUM('연간'!G4:J4))),"")</f>
        <v/>
      </c>
      <c r="D55" s="36">
        <f>IFERROR((IF(COUNT('연간'!H52:K52)&lt;4,"",SUM('연간'!H52:K52)))/(IF(COUNT('연간'!H4:K4)&lt;4,"",SUM('연간'!H4:K4))),"")</f>
        <v/>
      </c>
      <c r="E55" s="36">
        <f>IFERROR((IF(COUNT('연간'!I52:L52)&lt;4,"",SUM('연간'!I52:L52)))/(IF(COUNT('연간'!I4:L4)&lt;4,"",SUM('연간'!I4:L4))),"")</f>
        <v/>
      </c>
      <c r="F55" s="36">
        <f>IFERROR((IF(COUNT('연간'!J52:M52)&lt;4,"",SUM('연간'!J52:M52)))/(IF(COUNT('연간'!J4:M4)&lt;4,"",SUM('연간'!J4:M4))),"")</f>
        <v/>
      </c>
      <c r="G55" s="36">
        <f>IFERROR((IF(COUNT('연간'!K52:N52)&lt;4,"",SUM('연간'!K52:N52)))/(IF(COUNT('연간'!K4:N4)&lt;4,"",SUM('연간'!K4:N4))),"")</f>
        <v/>
      </c>
      <c r="H55" s="35">
        <f>IFERROR(('연간'!T52)/('연간'!T4),"")</f>
        <v/>
      </c>
      <c r="I55" s="36">
        <f>IFERROR(('연간'!U52)/('연간'!U4),"")</f>
        <v/>
      </c>
      <c r="J55" s="36">
        <f>IFERROR(('연간'!V52)/('연간'!V4),"")</f>
        <v/>
      </c>
      <c r="K55" s="36">
        <f>IFERROR(('연간'!W52)/('연간'!W4),"")</f>
        <v/>
      </c>
      <c r="L55" s="36">
        <f>IFERROR(('연간'!X52)/('연간'!X4),"")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IFERROR((IF(COUNT('연간'!G80:J80)&lt;4,"",SUM('연간'!G80:J80)))/(IF(COUNT('연간'!G4:J4)&lt;4,"",SUM('연간'!G4:J4))),"")</f>
        <v/>
      </c>
      <c r="D56" s="36">
        <f>IFERROR((IF(COUNT('연간'!H80:K80)&lt;4,"",SUM('연간'!H80:K80)))/(IF(COUNT('연간'!H4:K4)&lt;4,"",SUM('연간'!H4:K4))),"")</f>
        <v/>
      </c>
      <c r="E56" s="36">
        <f>IFERROR((IF(COUNT('연간'!I80:L80)&lt;4,"",SUM('연간'!I80:L80)))/(IF(COUNT('연간'!I4:L4)&lt;4,"",SUM('연간'!I4:L4))),"")</f>
        <v/>
      </c>
      <c r="F56" s="36">
        <f>IFERROR((IF(COUNT('연간'!J80:M80)&lt;4,"",SUM('연간'!J80:M80)))/(IF(COUNT('연간'!J4:M4)&lt;4,"",SUM('연간'!J4:M4))),"")</f>
        <v/>
      </c>
      <c r="G56" s="36">
        <f>IFERROR((IF(COUNT('연간'!K80:N80)&lt;4,"",SUM('연간'!K80:N80)))/(IF(COUNT('연간'!K4:N4)&lt;4,"",SUM('연간'!K4:N4))),"")</f>
        <v/>
      </c>
      <c r="H56" s="35">
        <f>IFERROR(('연간'!T80)/('연간'!T4),"")</f>
        <v/>
      </c>
      <c r="I56" s="36">
        <f>IFERROR(('연간'!U80)/('연간'!U4),"")</f>
        <v/>
      </c>
      <c r="J56" s="36">
        <f>IFERROR(('연간'!V80)/('연간'!V4),"")</f>
        <v/>
      </c>
      <c r="K56" s="36">
        <f>IFERROR(('연간'!W80)/('연간'!W4),"")</f>
        <v/>
      </c>
      <c r="L56" s="36">
        <f>IFERROR(('연간'!X80)/('연간'!X4),"")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IFERROR(C9/(IF(COUNT('연간'!G44:J44)&lt;4,"",SUM('연간'!G44:J44)))*365,"")</f>
        <v/>
      </c>
      <c r="D60" s="49">
        <f>IFERROR(D9/(IF(COUNT('연간'!H44:K44)&lt;4,"",SUM('연간'!H44:K44)))*365,"")</f>
        <v/>
      </c>
      <c r="E60" s="49">
        <f>IFERROR(E9/(IF(COUNT('연간'!I44:L44)&lt;4,"",SUM('연간'!I44:L44)))*365,"")</f>
        <v/>
      </c>
      <c r="F60" s="49">
        <f>IFERROR(F9/(IF(COUNT('연간'!J44:M44)&lt;4,"",SUM('연간'!J44:M44)))*365,"")</f>
        <v/>
      </c>
      <c r="G60" s="49">
        <f>IFERROR(G9/(IF(COUNT('연간'!K44:N44)&lt;4,"",SUM('연간'!K44:N44)))*365,"")</f>
        <v/>
      </c>
      <c r="H60" s="48">
        <f>IFERROR(H9/('연간'!T44)*365,"")</f>
        <v/>
      </c>
      <c r="I60" s="49">
        <f>IFERROR(I9/('연간'!U44)*365,"")</f>
        <v/>
      </c>
      <c r="J60" s="49">
        <f>IFERROR(J9/('연간'!V44)*365,"")</f>
        <v/>
      </c>
      <c r="K60" s="49">
        <f>IFERROR(K9/('연간'!W44)*365,"")</f>
        <v/>
      </c>
      <c r="L60" s="49">
        <f>IFERROR(L9/('연간'!X44)*365,"")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IFERROR(C19/(IF(COUNT('연간'!G44:J44)&lt;4,"",SUM('연간'!G44:J44)))*365,"")</f>
        <v/>
      </c>
      <c r="D61" s="49">
        <f>IFERROR(D19/(IF(COUNT('연간'!H44:K44)&lt;4,"",SUM('연간'!H44:K44)))*365,"")</f>
        <v/>
      </c>
      <c r="E61" s="49">
        <f>IFERROR(E19/(IF(COUNT('연간'!I44:L44)&lt;4,"",SUM('연간'!I44:L44)))*365,"")</f>
        <v/>
      </c>
      <c r="F61" s="49">
        <f>IFERROR(F19/(IF(COUNT('연간'!J44:M44)&lt;4,"",SUM('연간'!J44:M44)))*365,"")</f>
        <v/>
      </c>
      <c r="G61" s="49">
        <f>IFERROR(G19/(IF(COUNT('연간'!K44:N44)&lt;4,"",SUM('연간'!K44:N44)))*365,"")</f>
        <v/>
      </c>
      <c r="H61" s="48">
        <f>IFERROR(H19/('연간'!T44)*365,"")</f>
        <v/>
      </c>
      <c r="I61" s="49">
        <f>IFERROR(I19/('연간'!U44)*365,"")</f>
        <v/>
      </c>
      <c r="J61" s="49">
        <f>IFERROR(J19/('연간'!V44)*365,"")</f>
        <v/>
      </c>
      <c r="K61" s="49">
        <f>IFERROR(K19/('연간'!W44)*365,"")</f>
        <v/>
      </c>
      <c r="L61" s="49">
        <f>IFERROR(L19/('연간'!X44)*365,"")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IF(C37="","",IFERROR(C37/(IF(COUNT('연간'!G80:J80)&lt;4,"",SUM('연간'!G80:J80))),""))</f>
        <v/>
      </c>
      <c r="D64" s="31">
        <f>IF(D37="","",IFERROR(D37/(IF(COUNT('연간'!H80:K80)&lt;4,"",SUM('연간'!H80:K80))),""))</f>
        <v/>
      </c>
      <c r="E64" s="31">
        <f>IF(E37="","",IFERROR(E37/(IF(COUNT('연간'!I80:L80)&lt;4,"",SUM('연간'!I80:L80))),""))</f>
        <v/>
      </c>
      <c r="F64" s="31">
        <f>IF(F37="","",IFERROR(F37/(IF(COUNT('연간'!J80:M80)&lt;4,"",SUM('연간'!J80:M80))),""))</f>
        <v/>
      </c>
      <c r="G64" s="31">
        <f>IF(G37="","",IFERROR(G37/(IF(COUNT('연간'!K80:N80)&lt;4,"",SUM('연간'!K80:N80))),""))</f>
        <v/>
      </c>
      <c r="H64" s="30">
        <f>IF(H37="","",IFERROR(H37/('연간'!T80),""))</f>
        <v/>
      </c>
      <c r="I64" s="31">
        <f>IF(I37="","",IFERROR(I37/('연간'!U80),""))</f>
        <v/>
      </c>
      <c r="J64" s="31">
        <f>IF(J37="","",IFERROR(J37/('연간'!V80),""))</f>
        <v/>
      </c>
      <c r="K64" s="31">
        <f>IF(K37="","",IFERROR(K37/('연간'!W80),""))</f>
        <v/>
      </c>
      <c r="L64" s="31">
        <f>IF(L37="","",IFERROR(L37/('연간'!X80),""))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IF(C40="","",IFERROR(C40/(IF(COUNT('연간'!G82:J82)&lt;4,"",SUM('연간'!G82:J82))),""))</f>
        <v/>
      </c>
      <c r="D67" s="36">
        <f>IF(D40="","",IFERROR(D40/(IF(COUNT('연간'!H82:K82)&lt;4,"",SUM('연간'!H82:K82))),""))</f>
        <v/>
      </c>
      <c r="E67" s="36">
        <f>IF(E40="","",IFERROR(E40/(IF(COUNT('연간'!I82:L82)&lt;4,"",SUM('연간'!I82:L82))),""))</f>
        <v/>
      </c>
      <c r="F67" s="36">
        <f>IF(F40="","",IFERROR(F40/(IF(COUNT('연간'!J82:M82)&lt;4,"",SUM('연간'!J82:M82))),""))</f>
        <v/>
      </c>
      <c r="G67" s="36">
        <f>IF(G40="","",IFERROR(G40/(IF(COUNT('연간'!K82:N82)&lt;4,"",SUM('연간'!K82:N82))),""))</f>
        <v/>
      </c>
      <c r="H67" s="35">
        <f>IF(H40="","",IFERROR(H40/('연간'!T82),""))</f>
        <v/>
      </c>
      <c r="I67" s="36">
        <f>IF(I40="","",IFERROR(I40/('연간'!U82),""))</f>
        <v/>
      </c>
      <c r="J67" s="36">
        <f>IF(J40="","",IFERROR(J40/('연간'!V82),""))</f>
        <v/>
      </c>
      <c r="K67" s="36">
        <f>IF(K40="","",IFERROR(K40/('연간'!W82),""))</f>
        <v/>
      </c>
      <c r="L67" s="36">
        <f>IF(L40="","",IFERROR(L40/('연간'!X82),""))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3995.482</v>
      </c>
      <c r="D71" s="20" t="n">
        <v>4098.745</v>
      </c>
      <c r="E71" s="20" t="n">
        <v>4623.611</v>
      </c>
      <c r="F71" s="20" t="n">
        <v>5114.876</v>
      </c>
      <c r="G71" s="20" t="n">
        <v>5450.755</v>
      </c>
      <c r="H71" s="20" t="n">
        <v>3257.415</v>
      </c>
      <c r="I71" s="20" t="n">
        <v>4675.856</v>
      </c>
      <c r="J71" s="20" t="n">
        <v>4175.416</v>
      </c>
      <c r="K71" s="20" t="n">
        <v>4102.694</v>
      </c>
      <c r="L71" s="20" t="n">
        <v>4623.611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H73" s="20" t="n">
        <v>1313.498</v>
      </c>
    </row>
    <row r="74">
      <c r="A74" s="18" t="inlineStr">
        <is>
          <t>매출채권</t>
        </is>
      </c>
      <c r="C74" s="20" t="n">
        <v>1587.93</v>
      </c>
      <c r="D74" s="20" t="n">
        <v>1440.894</v>
      </c>
      <c r="E74" s="20" t="n">
        <v>1658.661</v>
      </c>
      <c r="F74" s="20" t="n">
        <v>1568.278</v>
      </c>
      <c r="G74" s="20" t="n">
        <v>1539.083</v>
      </c>
      <c r="H74" s="20" t="n">
        <v>1313.498</v>
      </c>
      <c r="I74" s="20" t="n">
        <v>1737.785</v>
      </c>
      <c r="J74" s="20" t="n">
        <v>1597.892</v>
      </c>
      <c r="K74" s="20" t="n">
        <v>1100.563</v>
      </c>
      <c r="L74" s="20" t="n">
        <v>1658.661</v>
      </c>
    </row>
    <row r="75">
      <c r="A75" s="18" t="inlineStr">
        <is>
          <t>전자기록채권</t>
        </is>
      </c>
      <c r="C75" s="20" t="n">
        <v>118.406</v>
      </c>
      <c r="D75" s="20" t="n">
        <v>169.515</v>
      </c>
      <c r="E75" s="20" t="n">
        <v>48.876</v>
      </c>
      <c r="F75" s="20" t="n">
        <v>13.205</v>
      </c>
      <c r="G75" s="20" t="n">
        <v>5.866</v>
      </c>
      <c r="H75" s="20" t="n">
        <v>416</v>
      </c>
      <c r="I75" s="20" t="n">
        <v>187.488</v>
      </c>
      <c r="J75" s="20" t="n">
        <v>154.662</v>
      </c>
      <c r="K75" s="20" t="n">
        <v>139.307</v>
      </c>
      <c r="L75" s="20" t="n">
        <v>48.876</v>
      </c>
    </row>
    <row r="76">
      <c r="A76" s="18" t="inlineStr">
        <is>
          <t>상품·제품</t>
        </is>
      </c>
      <c r="C76" s="20" t="n">
        <v>982.836</v>
      </c>
      <c r="D76" s="20" t="n">
        <v>1045.486</v>
      </c>
      <c r="E76" s="20" t="n">
        <v>1069.203</v>
      </c>
      <c r="F76" s="20" t="n">
        <v>1081.936</v>
      </c>
      <c r="G76" s="20" t="n">
        <v>935.352</v>
      </c>
      <c r="H76" s="20" t="n">
        <v>1255.332</v>
      </c>
      <c r="I76" s="20" t="n">
        <v>1464.87</v>
      </c>
      <c r="J76" s="20" t="n">
        <v>1184.258</v>
      </c>
      <c r="K76" s="20" t="n">
        <v>1194.341</v>
      </c>
      <c r="L76" s="20" t="n">
        <v>1069.203</v>
      </c>
    </row>
    <row r="77">
      <c r="A77" s="18" t="inlineStr">
        <is>
          <t>재공품</t>
        </is>
      </c>
      <c r="C77" s="20" t="n">
        <v>2170.229</v>
      </c>
      <c r="D77" s="20" t="n">
        <v>2219.325</v>
      </c>
      <c r="E77" s="20" t="n">
        <v>2215.347</v>
      </c>
      <c r="F77" s="20" t="n">
        <v>2249.288</v>
      </c>
      <c r="G77" s="20" t="n">
        <v>2267.202</v>
      </c>
      <c r="H77" s="20" t="n">
        <v>1161.657</v>
      </c>
      <c r="I77" s="20" t="n">
        <v>1144.668</v>
      </c>
      <c r="J77" s="20" t="n">
        <v>1508.041</v>
      </c>
      <c r="K77" s="20" t="n">
        <v>2162.318</v>
      </c>
      <c r="L77" s="20" t="n">
        <v>2215.347</v>
      </c>
    </row>
    <row r="78">
      <c r="A78" s="18" t="inlineStr">
        <is>
          <t>원재료·저장품</t>
        </is>
      </c>
      <c r="C78" s="20" t="n">
        <v>99.125</v>
      </c>
      <c r="D78" s="20" t="n">
        <v>108.119</v>
      </c>
      <c r="E78" s="20" t="n">
        <v>145.233</v>
      </c>
      <c r="F78" s="20" t="n">
        <v>158.454</v>
      </c>
      <c r="G78" s="20" t="n">
        <v>226.353</v>
      </c>
      <c r="H78" s="20" t="n">
        <v>78.285</v>
      </c>
      <c r="I78" s="20" t="n">
        <v>95.294</v>
      </c>
      <c r="J78" s="20" t="n">
        <v>89.94799999999999</v>
      </c>
      <c r="K78" s="20" t="n">
        <v>105.091</v>
      </c>
      <c r="L78" s="20" t="n">
        <v>145.233</v>
      </c>
    </row>
    <row r="79">
      <c r="A79" s="18" t="inlineStr">
        <is>
          <t>기타</t>
        </is>
      </c>
      <c r="C79" s="20" t="n">
        <v>334.269</v>
      </c>
      <c r="D79" s="20" t="n">
        <v>406.339</v>
      </c>
      <c r="E79" s="20" t="n">
        <v>389.363</v>
      </c>
      <c r="F79" s="20" t="n">
        <v>386.104</v>
      </c>
      <c r="G79" s="20" t="n">
        <v>433.694</v>
      </c>
      <c r="H79" s="20" t="n">
        <v>529.251</v>
      </c>
      <c r="I79" s="20" t="n">
        <v>450.775</v>
      </c>
      <c r="J79" s="20" t="n">
        <v>333.042</v>
      </c>
      <c r="K79" s="20" t="n">
        <v>621.591</v>
      </c>
      <c r="L79" s="20" t="n">
        <v>389.363</v>
      </c>
    </row>
    <row r="80">
      <c r="A80" s="18" t="inlineStr">
        <is>
          <t>대손충당금</t>
        </is>
      </c>
      <c r="C80" s="20" t="n">
        <v>-10.122</v>
      </c>
      <c r="D80" s="20" t="n">
        <v>-9.949999999999999</v>
      </c>
      <c r="E80" s="20" t="n">
        <v>-10.055</v>
      </c>
      <c r="F80" s="20" t="n">
        <v>-0.597</v>
      </c>
      <c r="G80" s="20" t="n">
        <v>-0.551</v>
      </c>
      <c r="H80" s="20" t="n">
        <v>-11.307</v>
      </c>
      <c r="I80" s="20" t="n">
        <v>-4.292</v>
      </c>
      <c r="J80" s="20" t="n">
        <v>-4.063</v>
      </c>
      <c r="K80" s="20" t="n">
        <v>-10.257</v>
      </c>
      <c r="L80" s="20" t="n">
        <v>-10.055</v>
      </c>
    </row>
    <row r="81">
      <c r="A81" s="9" t="inlineStr">
        <is>
          <t>유동자산 합계</t>
        </is>
      </c>
      <c r="C81" s="12" t="n">
        <v>9278.157999999999</v>
      </c>
      <c r="D81" s="12" t="n">
        <v>9478.477000000001</v>
      </c>
      <c r="E81" s="12" t="n">
        <v>10140.242</v>
      </c>
      <c r="F81" s="12" t="n">
        <v>10571.545</v>
      </c>
      <c r="G81" s="12" t="n">
        <v>10857.756</v>
      </c>
      <c r="H81" s="12" t="n">
        <v>8000.134</v>
      </c>
      <c r="I81" s="12" t="n">
        <v>9752.447</v>
      </c>
      <c r="J81" s="12" t="n">
        <v>9039.198</v>
      </c>
      <c r="K81" s="12" t="n">
        <v>9415.648999999999</v>
      </c>
      <c r="L81" s="12" t="n">
        <v>10140.242</v>
      </c>
    </row>
    <row r="82">
      <c r="A82" s="18" t="inlineStr">
        <is>
          <t>건물·구축물(순액)</t>
        </is>
      </c>
      <c r="C82" s="20" t="n">
        <v>8245.777</v>
      </c>
      <c r="D82" s="20" t="n">
        <v>8179.467</v>
      </c>
      <c r="E82" s="20" t="n">
        <v>8112.773</v>
      </c>
      <c r="F82" s="20" t="n">
        <v>8047.965</v>
      </c>
      <c r="G82" s="20" t="n">
        <v>7992.759</v>
      </c>
      <c r="H82" s="20" t="n">
        <v>2331.385</v>
      </c>
      <c r="I82" s="20" t="n">
        <v>6460.564</v>
      </c>
      <c r="J82" s="20" t="n">
        <v>8476.882</v>
      </c>
      <c r="K82" s="20" t="n">
        <v>8317.286</v>
      </c>
      <c r="L82" s="20" t="n">
        <v>8112.773</v>
      </c>
    </row>
    <row r="83">
      <c r="A83" s="18" t="inlineStr">
        <is>
          <t>기계장치·운반구(순액)</t>
        </is>
      </c>
      <c r="C83" s="20" t="n">
        <v>1126.37</v>
      </c>
      <c r="D83" s="20" t="n">
        <v>1147.471</v>
      </c>
      <c r="E83" s="20" t="n">
        <v>1082.513</v>
      </c>
      <c r="F83" s="20" t="n">
        <v>1060.024</v>
      </c>
      <c r="G83" s="20" t="n">
        <v>1049.72</v>
      </c>
      <c r="H83" s="20" t="n">
        <v>682.518</v>
      </c>
      <c r="I83" s="20" t="n">
        <v>600.609</v>
      </c>
      <c r="J83" s="20" t="n">
        <v>1429.293</v>
      </c>
      <c r="K83" s="20" t="n">
        <v>1167.678</v>
      </c>
      <c r="L83" s="20" t="n">
        <v>1082.513</v>
      </c>
    </row>
    <row r="84">
      <c r="A84" s="18" t="inlineStr">
        <is>
          <t>토지</t>
        </is>
      </c>
      <c r="E84" s="20" t="n">
        <v>600.223</v>
      </c>
      <c r="H84" s="20" t="n">
        <v>405.723</v>
      </c>
      <c r="I84" s="20" t="n">
        <v>379.569</v>
      </c>
      <c r="J84" s="20" t="n">
        <v>441.31</v>
      </c>
      <c r="K84" s="20" t="n">
        <v>455.382</v>
      </c>
      <c r="L84" s="20" t="n">
        <v>600.223</v>
      </c>
    </row>
    <row r="85">
      <c r="A85" s="18" t="inlineStr">
        <is>
          <t>리스자산(순액)</t>
        </is>
      </c>
      <c r="E85" s="20" t="n">
        <v>86.483</v>
      </c>
      <c r="H85" s="20" t="n">
        <v>36.181</v>
      </c>
      <c r="I85" s="20" t="n">
        <v>82.15600000000001</v>
      </c>
      <c r="J85" s="20" t="n">
        <v>76.14400000000001</v>
      </c>
      <c r="K85" s="20" t="n">
        <v>135.779</v>
      </c>
      <c r="L85" s="20" t="n">
        <v>86.483</v>
      </c>
    </row>
    <row r="86">
      <c r="A86" s="18" t="inlineStr">
        <is>
          <t>건설중인자산</t>
        </is>
      </c>
      <c r="E86" s="20" t="n">
        <v>99.78100000000001</v>
      </c>
      <c r="H86" s="20" t="n">
        <v>4582.516</v>
      </c>
      <c r="I86" s="20" t="n">
        <v>1052.886</v>
      </c>
      <c r="J86" s="20" t="n">
        <v>134.52</v>
      </c>
      <c r="K86" s="20" t="n">
        <v>178.331</v>
      </c>
      <c r="L86" s="20" t="n">
        <v>99.78100000000001</v>
      </c>
    </row>
    <row r="87">
      <c r="A87" s="18" t="inlineStr">
        <is>
          <t>기타(순액)</t>
        </is>
      </c>
      <c r="C87" s="20" t="n">
        <v>978.198</v>
      </c>
      <c r="D87" s="20" t="n">
        <v>912.577</v>
      </c>
      <c r="E87" s="20" t="n">
        <v>946.617</v>
      </c>
      <c r="F87" s="20" t="n">
        <v>949.186</v>
      </c>
      <c r="G87" s="20" t="n">
        <v>934.121</v>
      </c>
      <c r="H87" s="20" t="n">
        <v>136.946</v>
      </c>
      <c r="I87" s="20" t="n">
        <v>239.566</v>
      </c>
      <c r="J87" s="20" t="n">
        <v>219.187</v>
      </c>
      <c r="K87" s="20" t="n">
        <v>202.102</v>
      </c>
      <c r="L87" s="20" t="n">
        <v>946.617</v>
      </c>
    </row>
    <row r="88">
      <c r="A88" s="18" t="inlineStr">
        <is>
          <t>유형자산 합계</t>
        </is>
      </c>
      <c r="C88" s="20" t="n">
        <v>10350.347</v>
      </c>
      <c r="D88" s="20" t="n">
        <v>10239.516</v>
      </c>
      <c r="E88" s="20" t="n">
        <v>10141.903</v>
      </c>
      <c r="F88" s="20" t="n">
        <v>10057.176</v>
      </c>
      <c r="G88" s="20" t="n">
        <v>9976.601000000001</v>
      </c>
      <c r="H88" s="20" t="n">
        <v>8175.272</v>
      </c>
      <c r="I88" s="20" t="n">
        <v>8815.352000000001</v>
      </c>
      <c r="J88" s="20" t="n">
        <v>10777.337</v>
      </c>
      <c r="K88" s="20" t="n">
        <v>10456.561</v>
      </c>
      <c r="L88" s="20" t="n">
        <v>10141.903</v>
      </c>
    </row>
    <row r="89">
      <c r="A89" s="18" t="inlineStr">
        <is>
          <t>소프트웨어</t>
        </is>
      </c>
      <c r="C89" s="20" t="n">
        <v>333.16</v>
      </c>
      <c r="D89" s="20" t="n">
        <v>376.361</v>
      </c>
      <c r="E89" s="20" t="n">
        <v>362.708</v>
      </c>
      <c r="F89" s="20" t="n">
        <v>341.201</v>
      </c>
      <c r="G89" s="20" t="n">
        <v>324.561</v>
      </c>
      <c r="K89" s="20" t="n">
        <v>28.537</v>
      </c>
      <c r="L89" s="20" t="n">
        <v>362.708</v>
      </c>
    </row>
    <row r="90">
      <c r="A90" s="18" t="inlineStr">
        <is>
          <t>영업권</t>
        </is>
      </c>
      <c r="C90" s="20" t="n">
        <v>493.878</v>
      </c>
      <c r="D90" s="20" t="n">
        <v>473.911</v>
      </c>
      <c r="E90" s="20" t="n">
        <v>439.281</v>
      </c>
      <c r="F90" s="20" t="n">
        <v>419.313</v>
      </c>
      <c r="G90" s="20" t="n">
        <v>399.346</v>
      </c>
      <c r="I90" s="20" t="n">
        <v>0</v>
      </c>
      <c r="J90" s="20" t="n">
        <v>599.019</v>
      </c>
      <c r="K90" s="20" t="n">
        <v>519.15</v>
      </c>
      <c r="L90" s="20" t="n">
        <v>439.281</v>
      </c>
    </row>
    <row r="91">
      <c r="A91" s="18" t="inlineStr">
        <is>
          <t>고객관계자산</t>
        </is>
      </c>
      <c r="I91" s="20" t="n">
        <v>0</v>
      </c>
      <c r="J91" s="20" t="n">
        <v>45</v>
      </c>
      <c r="K91" s="20" t="n">
        <v>0</v>
      </c>
    </row>
    <row r="92">
      <c r="A92" s="18" t="inlineStr">
        <is>
          <t>기술 관련 자산</t>
        </is>
      </c>
      <c r="C92" s="20" t="n">
        <v>171</v>
      </c>
      <c r="D92" s="20" t="n">
        <v>168.625</v>
      </c>
      <c r="E92" s="20" t="n">
        <v>166.25</v>
      </c>
      <c r="F92" s="20" t="n">
        <v>163.875</v>
      </c>
      <c r="G92" s="20" t="n">
        <v>161.5</v>
      </c>
      <c r="I92" s="20" t="n">
        <v>0</v>
      </c>
      <c r="J92" s="20" t="n">
        <v>185.25</v>
      </c>
      <c r="K92" s="20" t="n">
        <v>175.75</v>
      </c>
      <c r="L92" s="20" t="n">
        <v>166.25</v>
      </c>
    </row>
    <row r="93">
      <c r="A93" s="18" t="inlineStr">
        <is>
          <t>개발 중 소프트웨어</t>
        </is>
      </c>
      <c r="C93" s="20" t="n">
        <v>43.94</v>
      </c>
      <c r="D93" s="20" t="n">
        <v>1.35</v>
      </c>
      <c r="E93" s="20" t="n">
        <v>0</v>
      </c>
      <c r="J93" s="20" t="n">
        <v>28.8</v>
      </c>
      <c r="K93" s="20" t="n">
        <v>249.319</v>
      </c>
      <c r="L93" s="20" t="n">
        <v>0</v>
      </c>
    </row>
    <row r="94">
      <c r="A94" s="18" t="inlineStr">
        <is>
          <t>기타</t>
        </is>
      </c>
      <c r="C94" s="20" t="n">
        <v>40.811</v>
      </c>
      <c r="D94" s="20" t="n">
        <v>41.613</v>
      </c>
      <c r="E94" s="20" t="n">
        <v>43.808</v>
      </c>
      <c r="F94" s="20" t="n">
        <v>44.636</v>
      </c>
      <c r="G94" s="20" t="n">
        <v>49.608</v>
      </c>
      <c r="I94" s="20" t="n">
        <v>52.861</v>
      </c>
      <c r="J94" s="20" t="n">
        <v>50.498</v>
      </c>
      <c r="K94" s="20" t="n">
        <v>44.363</v>
      </c>
      <c r="L94" s="20" t="n">
        <v>43.808</v>
      </c>
    </row>
    <row r="95">
      <c r="A95" s="18" t="inlineStr">
        <is>
          <t>무형자산 합계</t>
        </is>
      </c>
      <c r="C95" s="20" t="n">
        <v>1082.79</v>
      </c>
      <c r="D95" s="20" t="n">
        <v>1061.86</v>
      </c>
      <c r="E95" s="20" t="n">
        <v>1012.048</v>
      </c>
      <c r="F95" s="20" t="n">
        <v>969.026</v>
      </c>
      <c r="G95" s="20" t="n">
        <v>935.016</v>
      </c>
      <c r="H95" s="20" t="n">
        <v>53.184</v>
      </c>
      <c r="I95" s="20" t="n">
        <v>52.861</v>
      </c>
      <c r="J95" s="20" t="n">
        <v>908.568</v>
      </c>
      <c r="K95" s="20" t="n">
        <v>1017.12</v>
      </c>
      <c r="L95" s="20" t="n">
        <v>1012.048</v>
      </c>
    </row>
    <row r="96">
      <c r="A96" s="18" t="inlineStr">
        <is>
          <t>투자유가증권</t>
        </is>
      </c>
      <c r="C96" s="20" t="n">
        <v>2185.151</v>
      </c>
      <c r="D96" s="20" t="n">
        <v>2277.723</v>
      </c>
      <c r="E96" s="20" t="n">
        <v>2160.724</v>
      </c>
      <c r="F96" s="20" t="n">
        <v>2299.51</v>
      </c>
      <c r="G96" s="20" t="n">
        <v>2605.144</v>
      </c>
      <c r="H96" s="20" t="n">
        <v>1558.562</v>
      </c>
      <c r="I96" s="20" t="n">
        <v>1531.697</v>
      </c>
      <c r="J96" s="20" t="n">
        <v>1831.725</v>
      </c>
      <c r="K96" s="20" t="n">
        <v>1883.543</v>
      </c>
      <c r="L96" s="20" t="n">
        <v>2160.724</v>
      </c>
    </row>
    <row r="97">
      <c r="A97" s="18" t="inlineStr">
        <is>
          <t>이연법인세자산</t>
        </is>
      </c>
      <c r="E97" s="20" t="n">
        <v>101.02</v>
      </c>
      <c r="F97" s="20" t="n">
        <v>74.396</v>
      </c>
      <c r="H97" s="20" t="n">
        <v>30.487</v>
      </c>
      <c r="I97" s="20" t="n">
        <v>57.022</v>
      </c>
      <c r="J97" s="20" t="n">
        <v>63.438</v>
      </c>
      <c r="K97" s="20" t="n">
        <v>103.963</v>
      </c>
      <c r="L97" s="20" t="n">
        <v>101.02</v>
      </c>
    </row>
    <row r="98">
      <c r="A98" s="18" t="inlineStr">
        <is>
          <t>퇴직급여자산</t>
        </is>
      </c>
      <c r="C98" s="20" t="n">
        <v>244.92</v>
      </c>
      <c r="D98" s="20" t="n">
        <v>244.92</v>
      </c>
      <c r="E98" s="20" t="n">
        <v>358.193</v>
      </c>
      <c r="F98" s="20" t="n">
        <v>358.193</v>
      </c>
      <c r="G98" s="20" t="n">
        <v>358.193</v>
      </c>
      <c r="I98" s="20" t="n">
        <v>0</v>
      </c>
      <c r="J98" s="20" t="n">
        <v>177.125</v>
      </c>
      <c r="K98" s="20" t="n">
        <v>244.92</v>
      </c>
      <c r="L98" s="20" t="n">
        <v>358.193</v>
      </c>
    </row>
    <row r="99">
      <c r="A99" s="18" t="inlineStr">
        <is>
          <t>기타</t>
        </is>
      </c>
      <c r="C99" s="20" t="n">
        <v>445.776</v>
      </c>
      <c r="D99" s="20" t="n">
        <v>488.281</v>
      </c>
      <c r="E99" s="20" t="n">
        <v>485.26</v>
      </c>
      <c r="F99" s="20" t="n">
        <v>361.675</v>
      </c>
      <c r="G99" s="20" t="n">
        <v>452.459</v>
      </c>
      <c r="H99" s="20" t="n">
        <v>21.534</v>
      </c>
      <c r="I99" s="20" t="n">
        <v>67.55500000000001</v>
      </c>
      <c r="J99" s="20" t="n">
        <v>267.535</v>
      </c>
      <c r="K99" s="20" t="n">
        <v>246.012</v>
      </c>
      <c r="L99" s="20" t="n">
        <v>485.26</v>
      </c>
    </row>
    <row r="100">
      <c r="A100" s="18" t="inlineStr">
        <is>
          <t>투자 및 기타자산 합계</t>
        </is>
      </c>
      <c r="C100" s="20" t="n">
        <v>2875.848</v>
      </c>
      <c r="D100" s="20" t="n">
        <v>3010.925</v>
      </c>
      <c r="E100" s="20" t="n">
        <v>3004.177</v>
      </c>
      <c r="F100" s="20" t="n">
        <v>3093.775</v>
      </c>
      <c r="G100" s="20" t="n">
        <v>3415.797</v>
      </c>
      <c r="H100" s="20" t="n">
        <v>1610.584</v>
      </c>
      <c r="I100" s="20" t="n">
        <v>1656.276</v>
      </c>
      <c r="J100" s="20" t="n">
        <v>2339.825</v>
      </c>
      <c r="K100" s="20" t="n">
        <v>2478.44</v>
      </c>
      <c r="L100" s="20" t="n">
        <v>3004.177</v>
      </c>
    </row>
    <row r="101">
      <c r="A101" s="9" t="inlineStr">
        <is>
          <t>비유동자산 합계</t>
        </is>
      </c>
      <c r="C101" s="12" t="n">
        <v>14308.986</v>
      </c>
      <c r="D101" s="12" t="n">
        <v>14312.301</v>
      </c>
      <c r="E101" s="12" t="n">
        <v>14158.129</v>
      </c>
      <c r="F101" s="12" t="n">
        <v>14119.978</v>
      </c>
      <c r="G101" s="12" t="n">
        <v>14327.414</v>
      </c>
      <c r="H101" s="12" t="n">
        <v>9839.040999999999</v>
      </c>
      <c r="I101" s="12" t="n">
        <v>10524.491</v>
      </c>
      <c r="J101" s="12" t="n">
        <v>14025.731</v>
      </c>
      <c r="K101" s="12" t="n">
        <v>13952.122</v>
      </c>
      <c r="L101" s="12" t="n">
        <v>14158.129</v>
      </c>
    </row>
    <row r="102">
      <c r="A102" s="9" t="inlineStr">
        <is>
          <t>자산 합계</t>
        </is>
      </c>
      <c r="C102" s="12" t="n">
        <v>23587.144</v>
      </c>
      <c r="D102" s="12" t="n">
        <v>23790.779</v>
      </c>
      <c r="E102" s="12" t="n">
        <v>24298.371</v>
      </c>
      <c r="F102" s="12" t="n">
        <v>24691.523</v>
      </c>
      <c r="G102" s="12" t="n">
        <v>25185.171</v>
      </c>
      <c r="H102" s="12" t="n">
        <v>17839.176</v>
      </c>
      <c r="I102" s="12" t="n">
        <v>20276.939</v>
      </c>
      <c r="J102" s="12" t="n">
        <v>23064.929</v>
      </c>
      <c r="K102" s="12" t="n">
        <v>23367.772</v>
      </c>
      <c r="L102" s="12" t="n">
        <v>24298.371</v>
      </c>
    </row>
    <row r="103">
      <c r="A103" s="18" t="inlineStr">
        <is>
          <t>지급어음·매입채무</t>
        </is>
      </c>
      <c r="C103" s="20" t="n">
        <v>323.845</v>
      </c>
      <c r="D103" s="20" t="n">
        <v>401.149</v>
      </c>
      <c r="E103" s="20" t="n">
        <v>426.674</v>
      </c>
      <c r="H103" s="20" t="n">
        <v>199.41</v>
      </c>
      <c r="I103" s="20" t="n">
        <v>399.017</v>
      </c>
      <c r="J103" s="20" t="n">
        <v>498.894</v>
      </c>
      <c r="K103" s="20" t="n">
        <v>278.445</v>
      </c>
      <c r="L103" s="20" t="n">
        <v>426.674</v>
      </c>
    </row>
    <row r="104">
      <c r="A104" s="18" t="inlineStr">
        <is>
          <t>매입채무</t>
        </is>
      </c>
      <c r="E104" s="20" t="n">
        <v>426.674</v>
      </c>
      <c r="F104" s="20" t="n">
        <v>437.341</v>
      </c>
      <c r="G104" s="20" t="n">
        <v>419.189</v>
      </c>
      <c r="L104" s="20" t="n">
        <v>426.674</v>
      </c>
    </row>
    <row r="105">
      <c r="A105" s="18" t="inlineStr">
        <is>
          <t>전자기록채무</t>
        </is>
      </c>
      <c r="C105" s="20" t="n">
        <v>180.609</v>
      </c>
      <c r="D105" s="20" t="n">
        <v>153.443</v>
      </c>
      <c r="E105" s="20" t="n">
        <v>42.948</v>
      </c>
      <c r="F105" s="20" t="n">
        <v>69.76900000000001</v>
      </c>
      <c r="G105" s="20" t="n">
        <v>77.015</v>
      </c>
      <c r="H105" s="20" t="n">
        <v>389.55</v>
      </c>
      <c r="I105" s="20" t="n">
        <v>401.67</v>
      </c>
      <c r="J105" s="20" t="n">
        <v>512.12</v>
      </c>
      <c r="K105" s="20" t="n">
        <v>189.76</v>
      </c>
      <c r="L105" s="20" t="n">
        <v>42.948</v>
      </c>
    </row>
    <row r="106">
      <c r="A106" s="18" t="inlineStr">
        <is>
          <t>단기차입금</t>
        </is>
      </c>
      <c r="C106" s="20" t="n">
        <v>4569.188</v>
      </c>
      <c r="D106" s="20" t="n">
        <v>4684.951</v>
      </c>
      <c r="E106" s="20" t="n">
        <v>4834.45</v>
      </c>
      <c r="F106" s="20" t="n">
        <v>4833.949</v>
      </c>
      <c r="G106" s="20" t="n">
        <v>4733.468</v>
      </c>
      <c r="H106" s="20" t="n">
        <v>2441.74</v>
      </c>
      <c r="I106" s="20" t="n">
        <v>3509.188</v>
      </c>
      <c r="J106" s="20" t="n">
        <v>3619.188</v>
      </c>
      <c r="K106" s="20" t="n">
        <v>4519.188</v>
      </c>
      <c r="L106" s="20" t="n">
        <v>4834.45</v>
      </c>
    </row>
    <row r="107">
      <c r="A107" s="18" t="inlineStr">
        <is>
          <t>리스부채</t>
        </is>
      </c>
      <c r="E107" s="20" t="n">
        <v>52.679</v>
      </c>
      <c r="H107" s="20" t="n">
        <v>6.354</v>
      </c>
      <c r="I107" s="20" t="n">
        <v>10.13</v>
      </c>
      <c r="J107" s="20" t="n">
        <v>12.82</v>
      </c>
      <c r="K107" s="20" t="n">
        <v>50.293</v>
      </c>
      <c r="L107" s="20" t="n">
        <v>52.679</v>
      </c>
    </row>
    <row r="108">
      <c r="A108" s="18" t="inlineStr">
        <is>
          <t>미지급비용</t>
        </is>
      </c>
      <c r="E108" s="20" t="n">
        <v>177.865</v>
      </c>
      <c r="H108" s="20" t="n">
        <v>154.587</v>
      </c>
      <c r="I108" s="20" t="n">
        <v>139.212</v>
      </c>
      <c r="J108" s="20" t="n">
        <v>165.66</v>
      </c>
      <c r="K108" s="20" t="n">
        <v>154.4</v>
      </c>
      <c r="L108" s="20" t="n">
        <v>177.865</v>
      </c>
    </row>
    <row r="109">
      <c r="A109" s="18" t="inlineStr">
        <is>
          <t>미지급법인세</t>
        </is>
      </c>
      <c r="C109" s="20" t="n">
        <v>137.643</v>
      </c>
      <c r="D109" s="20" t="n">
        <v>90.63800000000001</v>
      </c>
      <c r="E109" s="20" t="n">
        <v>154.975</v>
      </c>
      <c r="F109" s="20" t="n">
        <v>137.671</v>
      </c>
      <c r="G109" s="20" t="n">
        <v>142.037</v>
      </c>
      <c r="H109" s="20" t="n">
        <v>349.708</v>
      </c>
      <c r="I109" s="20" t="n">
        <v>14.314</v>
      </c>
      <c r="J109" s="20" t="n">
        <v>816.462</v>
      </c>
      <c r="K109" s="20" t="n">
        <v>62.933</v>
      </c>
      <c r="L109" s="20" t="n">
        <v>154.975</v>
      </c>
    </row>
    <row r="110">
      <c r="A110" s="18" t="inlineStr">
        <is>
          <t>상여충당금</t>
        </is>
      </c>
      <c r="C110" s="20" t="n">
        <v>166.226</v>
      </c>
      <c r="D110" s="20" t="n">
        <v>86.976</v>
      </c>
      <c r="E110" s="20" t="n">
        <v>155.469</v>
      </c>
      <c r="F110" s="20" t="n">
        <v>103.276</v>
      </c>
      <c r="G110" s="20" t="n">
        <v>177.843</v>
      </c>
      <c r="H110" s="20" t="n">
        <v>149.264</v>
      </c>
      <c r="I110" s="20" t="n">
        <v>144.922</v>
      </c>
      <c r="J110" s="20" t="n">
        <v>149.561</v>
      </c>
      <c r="K110" s="20" t="n">
        <v>150.534</v>
      </c>
      <c r="L110" s="20" t="n">
        <v>155.469</v>
      </c>
    </row>
    <row r="111">
      <c r="A111" s="18" t="inlineStr">
        <is>
          <t>Provision For Head Office Relocation Expenses CL</t>
        </is>
      </c>
      <c r="H111" s="20" t="n">
        <v>0</v>
      </c>
      <c r="I111" s="20" t="n">
        <v>3.45</v>
      </c>
      <c r="J111" s="20" t="n">
        <v>0</v>
      </c>
    </row>
    <row r="112">
      <c r="A112" s="18" t="inlineStr">
        <is>
          <t>설비관련 지급어음</t>
        </is>
      </c>
      <c r="E112" s="20" t="n">
        <v>1.76</v>
      </c>
      <c r="H112" s="20" t="n">
        <v>2002.19</v>
      </c>
      <c r="I112" s="20" t="n">
        <v>194.19</v>
      </c>
      <c r="J112" s="20" t="n">
        <v>43.39</v>
      </c>
      <c r="K112" s="20" t="n">
        <v>49.09</v>
      </c>
      <c r="L112" s="20" t="n">
        <v>1.76</v>
      </c>
    </row>
    <row r="113">
      <c r="A113" s="18" t="inlineStr">
        <is>
          <t>기타</t>
        </is>
      </c>
      <c r="C113" s="20" t="n">
        <v>438.637</v>
      </c>
      <c r="D113" s="20" t="n">
        <v>417.05</v>
      </c>
      <c r="E113" s="20" t="n">
        <v>364.197</v>
      </c>
      <c r="F113" s="20" t="n">
        <v>590.812</v>
      </c>
      <c r="G113" s="20" t="n">
        <v>484.485</v>
      </c>
      <c r="H113" s="20" t="n">
        <v>171.918</v>
      </c>
      <c r="I113" s="20" t="n">
        <v>345.596</v>
      </c>
      <c r="J113" s="20" t="n">
        <v>174.515</v>
      </c>
      <c r="K113" s="20" t="n">
        <v>218.767</v>
      </c>
      <c r="L113" s="20" t="n">
        <v>364.197</v>
      </c>
    </row>
    <row r="114">
      <c r="A114" s="9" t="inlineStr">
        <is>
          <t>유동부채 합계</t>
        </is>
      </c>
      <c r="C114" s="12" t="n">
        <v>5816.149</v>
      </c>
      <c r="D114" s="12" t="n">
        <v>5834.209</v>
      </c>
      <c r="E114" s="12" t="n">
        <v>5978.716</v>
      </c>
      <c r="F114" s="12" t="n">
        <v>6172.819</v>
      </c>
      <c r="G114" s="12" t="n">
        <v>6034.038</v>
      </c>
      <c r="H114" s="12" t="n">
        <v>5864.723</v>
      </c>
      <c r="I114" s="12" t="n">
        <v>5161.691</v>
      </c>
      <c r="J114" s="12" t="n">
        <v>5992.612</v>
      </c>
      <c r="K114" s="12" t="n">
        <v>5673.413</v>
      </c>
      <c r="L114" s="12" t="n">
        <v>5978.716</v>
      </c>
    </row>
    <row r="115">
      <c r="A115" s="18" t="inlineStr">
        <is>
          <t>장기차입금</t>
        </is>
      </c>
      <c r="C115" s="20" t="n">
        <v>3329.008</v>
      </c>
      <c r="D115" s="20" t="n">
        <v>3156.877</v>
      </c>
      <c r="E115" s="20" t="n">
        <v>3151.01</v>
      </c>
      <c r="F115" s="20" t="n">
        <v>3095.143</v>
      </c>
      <c r="G115" s="20" t="n">
        <v>3139.276</v>
      </c>
      <c r="H115" s="20" t="n">
        <v>1448.26</v>
      </c>
      <c r="I115" s="20" t="n">
        <v>3858.554</v>
      </c>
      <c r="J115" s="20" t="n">
        <v>3549.366</v>
      </c>
      <c r="K115" s="20" t="n">
        <v>3440.178</v>
      </c>
      <c r="L115" s="20" t="n">
        <v>3151.01</v>
      </c>
    </row>
    <row r="116">
      <c r="A116" s="18" t="inlineStr">
        <is>
          <t>리스부채</t>
        </is>
      </c>
      <c r="E116" s="20" t="n">
        <v>45.265</v>
      </c>
      <c r="H116" s="20" t="n">
        <v>32.919</v>
      </c>
      <c r="I116" s="20" t="n">
        <v>75.673</v>
      </c>
      <c r="J116" s="20" t="n">
        <v>70.629</v>
      </c>
      <c r="K116" s="20" t="n">
        <v>96.47799999999999</v>
      </c>
      <c r="L116" s="20" t="n">
        <v>45.265</v>
      </c>
    </row>
    <row r="117">
      <c r="A117" s="18" t="inlineStr">
        <is>
          <t>이연법인세부채</t>
        </is>
      </c>
      <c r="E117" s="20" t="n">
        <v>614.8869999999999</v>
      </c>
      <c r="H117" s="20" t="n">
        <v>145.112</v>
      </c>
      <c r="I117" s="20" t="n">
        <v>227.129</v>
      </c>
      <c r="J117" s="20" t="n">
        <v>427.608</v>
      </c>
      <c r="K117" s="20" t="n">
        <v>499.999</v>
      </c>
      <c r="L117" s="20" t="n">
        <v>614.8869999999999</v>
      </c>
    </row>
    <row r="118">
      <c r="A118" s="18" t="inlineStr">
        <is>
          <t>Deposit NCL</t>
        </is>
      </c>
      <c r="E118" s="20" t="n">
        <v>54.93</v>
      </c>
      <c r="H118" s="20" t="n">
        <v>515.713</v>
      </c>
      <c r="I118" s="20" t="n">
        <v>515.713</v>
      </c>
      <c r="J118" s="20" t="n">
        <v>54.93</v>
      </c>
      <c r="K118" s="20" t="n">
        <v>54.93</v>
      </c>
      <c r="L118" s="20" t="n">
        <v>54.93</v>
      </c>
    </row>
    <row r="119">
      <c r="A119" s="18" t="inlineStr">
        <is>
          <t>퇴직급여부채</t>
        </is>
      </c>
      <c r="C119" s="20" t="n">
        <v>332.835</v>
      </c>
      <c r="D119" s="20" t="n">
        <v>313.563</v>
      </c>
      <c r="E119" s="20" t="n">
        <v>360.283</v>
      </c>
      <c r="F119" s="20" t="n">
        <v>347.822</v>
      </c>
      <c r="G119" s="20" t="n">
        <v>324.903</v>
      </c>
      <c r="H119" s="20" t="n">
        <v>527.597</v>
      </c>
      <c r="I119" s="20" t="n">
        <v>450.529</v>
      </c>
      <c r="J119" s="20" t="n">
        <v>417.599</v>
      </c>
      <c r="K119" s="20" t="n">
        <v>384.556</v>
      </c>
      <c r="L119" s="20" t="n">
        <v>360.283</v>
      </c>
    </row>
    <row r="120">
      <c r="A120" s="18" t="inlineStr">
        <is>
          <t>기타</t>
        </is>
      </c>
      <c r="C120" s="20" t="n">
        <v>916.175</v>
      </c>
      <c r="D120" s="20" t="n">
        <v>936.889</v>
      </c>
      <c r="E120" s="20" t="n">
        <v>849.351</v>
      </c>
      <c r="F120" s="20" t="n">
        <v>867.698</v>
      </c>
      <c r="G120" s="20" t="n">
        <v>969.362</v>
      </c>
      <c r="H120" s="20" t="n">
        <v>159.476</v>
      </c>
      <c r="I120" s="20" t="n">
        <v>157.926</v>
      </c>
      <c r="J120" s="20" t="n">
        <v>156.376</v>
      </c>
      <c r="K120" s="20" t="n">
        <v>154.826</v>
      </c>
      <c r="L120" s="20" t="n">
        <v>849.351</v>
      </c>
    </row>
    <row r="121">
      <c r="A121" s="9" t="inlineStr">
        <is>
          <t>비유동부채 합계</t>
        </is>
      </c>
      <c r="C121" s="12" t="n">
        <v>4578.019</v>
      </c>
      <c r="D121" s="12" t="n">
        <v>4407.329</v>
      </c>
      <c r="E121" s="12" t="n">
        <v>4360.645</v>
      </c>
      <c r="F121" s="12" t="n">
        <v>4310.663</v>
      </c>
      <c r="G121" s="12" t="n">
        <v>4433.542</v>
      </c>
      <c r="H121" s="12" t="n">
        <v>2829.079</v>
      </c>
      <c r="I121" s="12" t="n">
        <v>5285.525</v>
      </c>
      <c r="J121" s="12" t="n">
        <v>4676.509</v>
      </c>
      <c r="K121" s="12" t="n">
        <v>4630.968</v>
      </c>
      <c r="L121" s="12" t="n">
        <v>4360.645</v>
      </c>
    </row>
    <row r="122">
      <c r="A122" s="9" t="inlineStr">
        <is>
          <t>부채 합계</t>
        </is>
      </c>
      <c r="C122" s="12" t="n">
        <v>10394.169</v>
      </c>
      <c r="D122" s="12" t="n">
        <v>10241.539</v>
      </c>
      <c r="E122" s="12" t="n">
        <v>10339.361</v>
      </c>
      <c r="F122" s="12" t="n">
        <v>10483.483</v>
      </c>
      <c r="G122" s="12" t="n">
        <v>10467.58</v>
      </c>
      <c r="H122" s="12" t="n">
        <v>8693.803</v>
      </c>
      <c r="I122" s="12" t="n">
        <v>10447.217</v>
      </c>
      <c r="J122" s="12" t="n">
        <v>10669.122</v>
      </c>
      <c r="K122" s="12" t="n">
        <v>10304.382</v>
      </c>
      <c r="L122" s="12" t="n">
        <v>10339.361</v>
      </c>
    </row>
    <row r="123">
      <c r="A123" s="18" t="inlineStr">
        <is>
          <t>자본금</t>
        </is>
      </c>
      <c r="C123" s="20" t="n">
        <v>500</v>
      </c>
      <c r="D123" s="20" t="n">
        <v>500</v>
      </c>
      <c r="E123" s="20" t="n">
        <v>500</v>
      </c>
      <c r="F123" s="20" t="n">
        <v>500</v>
      </c>
      <c r="G123" s="20" t="n">
        <v>500</v>
      </c>
      <c r="H123" s="20" t="n">
        <v>500</v>
      </c>
      <c r="I123" s="20" t="n">
        <v>500</v>
      </c>
      <c r="J123" s="20" t="n">
        <v>500</v>
      </c>
      <c r="K123" s="20" t="n">
        <v>500</v>
      </c>
      <c r="L123" s="20" t="n">
        <v>500</v>
      </c>
    </row>
    <row r="124">
      <c r="A124" s="18" t="inlineStr">
        <is>
          <t>자본잉여금</t>
        </is>
      </c>
      <c r="C124" s="20" t="n">
        <v>56.616</v>
      </c>
      <c r="D124" s="20" t="n">
        <v>56.616</v>
      </c>
      <c r="E124" s="20" t="n">
        <v>56.616</v>
      </c>
      <c r="F124" s="20" t="n">
        <v>56.616</v>
      </c>
      <c r="G124" s="20" t="n">
        <v>66.679</v>
      </c>
      <c r="H124" s="20" t="n">
        <v>49.175</v>
      </c>
      <c r="I124" s="20" t="n">
        <v>49.175</v>
      </c>
      <c r="J124" s="20" t="n">
        <v>49.175</v>
      </c>
      <c r="K124" s="20" t="n">
        <v>53.016</v>
      </c>
      <c r="L124" s="20" t="n">
        <v>56.616</v>
      </c>
    </row>
    <row r="125">
      <c r="A125" s="18" t="inlineStr">
        <is>
          <t>이익잉여금</t>
        </is>
      </c>
      <c r="C125" s="20" t="n">
        <v>11198.46</v>
      </c>
      <c r="D125" s="20" t="n">
        <v>11361.225</v>
      </c>
      <c r="E125" s="20" t="n">
        <v>11710.309</v>
      </c>
      <c r="F125" s="20" t="n">
        <v>11779.805</v>
      </c>
      <c r="G125" s="20" t="n">
        <v>12017.586</v>
      </c>
      <c r="H125" s="20" t="n">
        <v>7750.913</v>
      </c>
      <c r="I125" s="20" t="n">
        <v>8489.290999999999</v>
      </c>
      <c r="J125" s="20" t="n">
        <v>10533.09</v>
      </c>
      <c r="K125" s="20" t="n">
        <v>10959.801</v>
      </c>
      <c r="L125" s="20" t="n">
        <v>11710.309</v>
      </c>
    </row>
    <row r="126">
      <c r="A126" s="18" t="inlineStr">
        <is>
          <t>자기주식</t>
        </is>
      </c>
      <c r="C126" s="20" t="n">
        <v>-276.352</v>
      </c>
      <c r="D126" s="20" t="n">
        <v>-276.352</v>
      </c>
      <c r="E126" s="20" t="n">
        <v>-276.352</v>
      </c>
      <c r="F126" s="20" t="n">
        <v>-276.352</v>
      </c>
      <c r="G126" s="20" t="n">
        <v>-264.412</v>
      </c>
      <c r="H126" s="20" t="n">
        <v>-205.496</v>
      </c>
      <c r="I126" s="20" t="n">
        <v>-327.669</v>
      </c>
      <c r="J126" s="20" t="n">
        <v>-307.771</v>
      </c>
      <c r="K126" s="20" t="n">
        <v>-291.852</v>
      </c>
      <c r="L126" s="20" t="n">
        <v>-276.352</v>
      </c>
    </row>
    <row r="127">
      <c r="A127" s="9" t="inlineStr">
        <is>
          <t>주주자본 합계</t>
        </is>
      </c>
      <c r="C127" s="12" t="n">
        <v>11478.725</v>
      </c>
      <c r="D127" s="12" t="n">
        <v>11641.489</v>
      </c>
      <c r="E127" s="12" t="n">
        <v>11990.573</v>
      </c>
      <c r="F127" s="12" t="n">
        <v>12060.069</v>
      </c>
      <c r="G127" s="12" t="n">
        <v>12319.852</v>
      </c>
      <c r="H127" s="12" t="n">
        <v>8094.592</v>
      </c>
      <c r="I127" s="12" t="n">
        <v>8710.797</v>
      </c>
      <c r="J127" s="12" t="n">
        <v>10774.494</v>
      </c>
      <c r="K127" s="12" t="n">
        <v>11220.966</v>
      </c>
      <c r="L127" s="12" t="n">
        <v>11990.573</v>
      </c>
    </row>
    <row r="128">
      <c r="A128" s="18" t="inlineStr">
        <is>
          <t>기타유가증권 평가차액</t>
        </is>
      </c>
      <c r="C128" s="20" t="n">
        <v>1197.802</v>
      </c>
      <c r="D128" s="20" t="n">
        <v>1261.199</v>
      </c>
      <c r="E128" s="20" t="n">
        <v>1186.736</v>
      </c>
      <c r="F128" s="20" t="n">
        <v>1281.742</v>
      </c>
      <c r="G128" s="20" t="n">
        <v>1516.132</v>
      </c>
      <c r="H128" s="20" t="n">
        <v>822.9690000000001</v>
      </c>
      <c r="I128" s="20" t="n">
        <v>804.325</v>
      </c>
      <c r="J128" s="20" t="n">
        <v>974.521</v>
      </c>
      <c r="K128" s="20" t="n">
        <v>1011.726</v>
      </c>
      <c r="L128" s="20" t="n">
        <v>1186.736</v>
      </c>
    </row>
    <row r="129">
      <c r="A129" s="18" t="inlineStr">
        <is>
          <t>해외사업환산조정</t>
        </is>
      </c>
      <c r="C129" s="20" t="n">
        <v>448.807</v>
      </c>
      <c r="D129" s="20" t="n">
        <v>580.106</v>
      </c>
      <c r="E129" s="20" t="n">
        <v>691.599</v>
      </c>
      <c r="F129" s="20" t="n">
        <v>781.054</v>
      </c>
      <c r="G129" s="20" t="n">
        <v>800.051</v>
      </c>
      <c r="H129" s="20" t="n">
        <v>161.701</v>
      </c>
      <c r="I129" s="20" t="n">
        <v>291.189</v>
      </c>
      <c r="J129" s="20" t="n">
        <v>544.105</v>
      </c>
      <c r="K129" s="20" t="n">
        <v>756.818</v>
      </c>
      <c r="L129" s="20" t="n">
        <v>691.599</v>
      </c>
    </row>
    <row r="130">
      <c r="A130" s="18" t="inlineStr">
        <is>
          <t>퇴직급여 조정누계액</t>
        </is>
      </c>
      <c r="C130" s="20" t="n">
        <v>38.69</v>
      </c>
      <c r="D130" s="20" t="n">
        <v>36.128</v>
      </c>
      <c r="E130" s="20" t="n">
        <v>57.514</v>
      </c>
      <c r="F130" s="20" t="n">
        <v>53.445</v>
      </c>
      <c r="G130" s="20" t="n">
        <v>49.376</v>
      </c>
      <c r="H130" s="20" t="n">
        <v>44.912</v>
      </c>
      <c r="I130" s="20" t="n">
        <v>-0.504</v>
      </c>
      <c r="J130" s="20" t="n">
        <v>75.93600000000001</v>
      </c>
      <c r="K130" s="20" t="n">
        <v>43.814</v>
      </c>
      <c r="L130" s="20" t="n">
        <v>57.514</v>
      </c>
    </row>
    <row r="131">
      <c r="A131" s="18" t="inlineStr">
        <is>
          <t>기타포괄손익누계액 합계</t>
        </is>
      </c>
      <c r="C131" s="20" t="n">
        <v>1685.3</v>
      </c>
      <c r="D131" s="20" t="n">
        <v>1877.434</v>
      </c>
      <c r="E131" s="20" t="n">
        <v>1935.85</v>
      </c>
      <c r="F131" s="20" t="n">
        <v>2116.243</v>
      </c>
      <c r="G131" s="20" t="n">
        <v>2365.56</v>
      </c>
      <c r="H131" s="20" t="n">
        <v>1029.583</v>
      </c>
      <c r="I131" s="20" t="n">
        <v>1095.01</v>
      </c>
      <c r="J131" s="20" t="n">
        <v>1594.563</v>
      </c>
      <c r="K131" s="20" t="n">
        <v>1812.36</v>
      </c>
      <c r="L131" s="20" t="n">
        <v>1935.85</v>
      </c>
    </row>
    <row r="132">
      <c r="A132" s="18" t="inlineStr">
        <is>
          <t>비지배지분</t>
        </is>
      </c>
      <c r="C132" s="20" t="n">
        <v>28.95</v>
      </c>
      <c r="D132" s="20" t="n">
        <v>30.316</v>
      </c>
      <c r="E132" s="20" t="n">
        <v>32.586</v>
      </c>
      <c r="F132" s="20" t="n">
        <v>31.726</v>
      </c>
      <c r="G132" s="20" t="n">
        <v>32.177</v>
      </c>
      <c r="H132" s="20" t="n">
        <v>21.196</v>
      </c>
      <c r="I132" s="20" t="n">
        <v>23.913</v>
      </c>
      <c r="J132" s="20" t="n">
        <v>26.749</v>
      </c>
      <c r="K132" s="20" t="n">
        <v>30.063</v>
      </c>
      <c r="L132" s="20" t="n">
        <v>32.586</v>
      </c>
    </row>
    <row r="133">
      <c r="A133" s="9" t="inlineStr">
        <is>
          <t>순자산 합계</t>
        </is>
      </c>
      <c r="C133" s="12" t="n">
        <v>13192.975</v>
      </c>
      <c r="D133" s="12" t="n">
        <v>13549.24</v>
      </c>
      <c r="E133" s="12" t="n">
        <v>13959.01</v>
      </c>
      <c r="F133" s="12" t="n">
        <v>14208.039</v>
      </c>
      <c r="G133" s="12" t="n">
        <v>14717.591</v>
      </c>
      <c r="H133" s="12" t="n">
        <v>9145.371999999999</v>
      </c>
      <c r="I133" s="12" t="n">
        <v>9829.721</v>
      </c>
      <c r="J133" s="12" t="n">
        <v>12395.807</v>
      </c>
      <c r="K133" s="12" t="n">
        <v>13063.39</v>
      </c>
      <c r="L133" s="12" t="n">
        <v>13959.01</v>
      </c>
    </row>
    <row r="134">
      <c r="A134" s="9" t="inlineStr">
        <is>
          <t>부채·순자산 합계</t>
        </is>
      </c>
      <c r="C134" s="12" t="n">
        <v>23587.144</v>
      </c>
      <c r="D134" s="12" t="n">
        <v>23790.779</v>
      </c>
      <c r="E134" s="12" t="n">
        <v>24298.371</v>
      </c>
      <c r="F134" s="12" t="n">
        <v>24691.523</v>
      </c>
      <c r="G134" s="12" t="n">
        <v>25185.171</v>
      </c>
      <c r="H134" s="12" t="n">
        <v>17839.176</v>
      </c>
      <c r="I134" s="12" t="n">
        <v>20276.939</v>
      </c>
      <c r="J134" s="12" t="n">
        <v>23064.929</v>
      </c>
      <c r="K134" s="12" t="n">
        <v>23367.772</v>
      </c>
      <c r="L134" s="12" t="n">
        <v>24298.371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44" customWidth="1" min="5" max="5"/>
  </cols>
  <sheetData>
    <row r="1">
      <c r="A1" s="50" t="inlineStr">
        <is>
          <t>6042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nonop q · inc</t>
        </is>
      </c>
      <c r="B4" s="52" t="n"/>
      <c r="C4" s="52" t="n"/>
      <c r="D4" s="52" t="n"/>
      <c r="E4" s="52" t="n"/>
    </row>
    <row r="5">
      <c r="A5" s="53" t="inlineStr">
        <is>
          <t>항목</t>
        </is>
      </c>
      <c r="B5" s="53" t="inlineStr">
        <is>
          <t>값</t>
        </is>
      </c>
      <c r="E5" s="53" t="inlineStr">
        <is>
          <t>출처</t>
        </is>
      </c>
    </row>
    <row r="6">
      <c r="A6" s="54" t="inlineStr">
        <is>
          <t>2025-Q1</t>
        </is>
      </c>
      <c r="B6" s="55" t="n">
        <v>0.83</v>
      </c>
      <c r="E6" s="56" t="inlineStr">
        <is>
          <t>2단계 보고서 자료(회사 설명회 자료·공시)</t>
        </is>
      </c>
    </row>
    <row r="7">
      <c r="A7" s="54" t="inlineStr">
        <is>
          <t>2025-Q2</t>
        </is>
      </c>
      <c r="B7" s="55" t="n">
        <v>0.22</v>
      </c>
    </row>
    <row r="8">
      <c r="A8" s="54" t="inlineStr">
        <is>
          <t>2025-Q3</t>
        </is>
      </c>
      <c r="B8" s="55" t="n">
        <v>0.59</v>
      </c>
    </row>
    <row r="9">
      <c r="A9" s="54" t="inlineStr">
        <is>
          <t>2025-Q4</t>
        </is>
      </c>
      <c r="B9" s="55" t="n">
        <v>-0.05</v>
      </c>
    </row>
    <row r="10">
      <c r="A10" s="54" t="inlineStr">
        <is>
          <t>2026-Q1</t>
        </is>
      </c>
      <c r="B10" s="55" t="n">
        <v>0.8</v>
      </c>
    </row>
    <row r="11">
      <c r="A11" s="54" t="inlineStr">
        <is>
          <t>2026-Q2</t>
        </is>
      </c>
      <c r="B11" s="55" t="n">
        <v>0.54</v>
      </c>
    </row>
    <row r="12">
      <c r="A12" s="54" t="inlineStr">
        <is>
          <t>2026-Q3</t>
        </is>
      </c>
      <c r="B12" s="55" t="n">
        <v>0.6</v>
      </c>
    </row>
    <row r="13">
      <c r="A13" s="54" t="inlineStr">
        <is>
          <t>2026-Q4</t>
        </is>
      </c>
      <c r="B13" s="55" t="n">
        <v>0.03</v>
      </c>
    </row>
    <row r="14">
      <c r="A14" s="54" t="inlineStr">
        <is>
          <t>2027-Q1</t>
        </is>
      </c>
      <c r="B14" s="55" t="n">
        <v>1.24</v>
      </c>
    </row>
    <row r="15">
      <c r="A15" s="54" t="inlineStr">
        <is>
          <t>2027-Q2</t>
        </is>
      </c>
      <c r="B15" s="55" t="n">
        <v>-0.3</v>
      </c>
    </row>
    <row r="17">
      <c r="A17" s="52" t="inlineStr">
        <is>
          <t>nonop q · exp</t>
        </is>
      </c>
      <c r="B17" s="52" t="n"/>
      <c r="C17" s="52" t="n"/>
      <c r="D17" s="52" t="n"/>
      <c r="E17" s="52" t="n"/>
    </row>
    <row r="18">
      <c r="A18" s="53" t="inlineStr">
        <is>
          <t>항목</t>
        </is>
      </c>
      <c r="B18" s="53" t="inlineStr">
        <is>
          <t>값</t>
        </is>
      </c>
      <c r="E18" s="53" t="inlineStr">
        <is>
          <t>출처</t>
        </is>
      </c>
    </row>
    <row r="19">
      <c r="A19" s="54" t="inlineStr">
        <is>
          <t>2025-Q1</t>
        </is>
      </c>
      <c r="B19" s="55" t="n">
        <v>1.75</v>
      </c>
      <c r="E19" s="56" t="inlineStr">
        <is>
          <t>2단계 보고서 자료(회사 설명회 자료·공시)</t>
        </is>
      </c>
    </row>
    <row r="20">
      <c r="A20" s="54" t="inlineStr">
        <is>
          <t>2025-Q2</t>
        </is>
      </c>
      <c r="B20" s="55" t="n">
        <v>-0.98</v>
      </c>
    </row>
    <row r="21">
      <c r="A21" s="54" t="inlineStr">
        <is>
          <t>2025-Q3</t>
        </is>
      </c>
      <c r="B21" s="55" t="n">
        <v>-0.09</v>
      </c>
    </row>
    <row r="22">
      <c r="A22" s="54" t="inlineStr">
        <is>
          <t>2025-Q4</t>
        </is>
      </c>
      <c r="B22" s="55" t="n">
        <v>3.27</v>
      </c>
    </row>
    <row r="23">
      <c r="A23" s="54" t="inlineStr">
        <is>
          <t>2026-Q1</t>
        </is>
      </c>
      <c r="B23" s="55" t="n">
        <v>0.49</v>
      </c>
    </row>
    <row r="24">
      <c r="A24" s="54" t="inlineStr">
        <is>
          <t>2026-Q2</t>
        </is>
      </c>
      <c r="B24" s="55" t="n">
        <v>0.08</v>
      </c>
    </row>
    <row r="25">
      <c r="A25" s="54" t="inlineStr">
        <is>
          <t>2026-Q3</t>
        </is>
      </c>
      <c r="B25" s="55" t="n">
        <v>0.27</v>
      </c>
    </row>
    <row r="26">
      <c r="A26" s="54" t="inlineStr">
        <is>
          <t>2026-Q4</t>
        </is>
      </c>
      <c r="B26" s="55" t="n">
        <v>0.42</v>
      </c>
    </row>
    <row r="27">
      <c r="A27" s="54" t="inlineStr">
        <is>
          <t>2027-Q1</t>
        </is>
      </c>
      <c r="B27" s="55" t="n">
        <v>0.35</v>
      </c>
    </row>
    <row r="28">
      <c r="A28" s="54" t="inlineStr">
        <is>
          <t>2027-Q2</t>
        </is>
      </c>
      <c r="B28" s="55" t="n">
        <v>0.6899999999999999</v>
      </c>
    </row>
    <row r="30">
      <c r="A30" s="52" t="inlineStr">
        <is>
          <t>nonop q · xi</t>
        </is>
      </c>
      <c r="B30" s="52" t="n"/>
      <c r="C30" s="52" t="n"/>
      <c r="D30" s="52" t="n"/>
      <c r="E30" s="52" t="n"/>
    </row>
    <row r="31">
      <c r="A31" s="53" t="inlineStr">
        <is>
          <t>항목</t>
        </is>
      </c>
      <c r="B31" s="53" t="inlineStr">
        <is>
          <t>값</t>
        </is>
      </c>
      <c r="E31" s="53" t="inlineStr">
        <is>
          <t>출처</t>
        </is>
      </c>
    </row>
    <row r="32">
      <c r="A32" s="54" t="inlineStr">
        <is>
          <t>2025-Q1</t>
        </is>
      </c>
      <c r="B32" s="55" t="n">
        <v>0</v>
      </c>
      <c r="E32" s="56" t="inlineStr">
        <is>
          <t>2단계 보고서 자료(회사 설명회 자료·공시)</t>
        </is>
      </c>
    </row>
    <row r="33">
      <c r="A33" s="54" t="inlineStr">
        <is>
          <t>2025-Q2</t>
        </is>
      </c>
      <c r="B33" s="55" t="n">
        <v>0.27</v>
      </c>
    </row>
    <row r="34">
      <c r="A34" s="54" t="inlineStr">
        <is>
          <t>2025-Q3</t>
        </is>
      </c>
      <c r="B34" s="55" t="n">
        <v>0.18</v>
      </c>
    </row>
    <row r="35">
      <c r="A35" s="54" t="inlineStr">
        <is>
          <t>2025-Q4</t>
        </is>
      </c>
      <c r="B35" s="55" t="n">
        <v>2.11</v>
      </c>
    </row>
    <row r="36">
      <c r="A36" s="54" t="inlineStr">
        <is>
          <t>2026-Q1</t>
        </is>
      </c>
      <c r="B36" s="55" t="n">
        <v>0.01</v>
      </c>
    </row>
    <row r="37">
      <c r="A37" s="54" t="inlineStr">
        <is>
          <t>2026-Q2</t>
        </is>
      </c>
      <c r="B37" s="55" t="n">
        <v>0.43</v>
      </c>
    </row>
    <row r="38">
      <c r="A38" s="54" t="inlineStr">
        <is>
          <t>2026-Q3</t>
        </is>
      </c>
      <c r="B38" s="55" t="n">
        <v>0</v>
      </c>
    </row>
    <row r="39">
      <c r="A39" s="54" t="inlineStr">
        <is>
          <t>2026-Q4</t>
        </is>
      </c>
      <c r="B39" s="55" t="n">
        <v>0.52</v>
      </c>
    </row>
    <row r="40">
      <c r="A40" s="54" t="inlineStr">
        <is>
          <t>2027-Q1</t>
        </is>
      </c>
      <c r="B40" s="55" t="n">
        <v>0</v>
      </c>
    </row>
    <row r="41">
      <c r="A41" s="54" t="inlineStr">
        <is>
          <t>2027-Q2</t>
        </is>
      </c>
      <c r="B41" s="55" t="n">
        <v>0.57</v>
      </c>
    </row>
    <row r="43">
      <c r="A43" s="52" t="inlineStr">
        <is>
          <t>nonop q · xl</t>
        </is>
      </c>
      <c r="B43" s="52" t="n"/>
      <c r="C43" s="52" t="n"/>
      <c r="D43" s="52" t="n"/>
      <c r="E43" s="52" t="n"/>
    </row>
    <row r="44">
      <c r="A44" s="53" t="inlineStr">
        <is>
          <t>항목</t>
        </is>
      </c>
      <c r="B44" s="53" t="inlineStr">
        <is>
          <t>값</t>
        </is>
      </c>
      <c r="E44" s="53" t="inlineStr">
        <is>
          <t>출처</t>
        </is>
      </c>
    </row>
    <row r="45">
      <c r="A45" s="54" t="inlineStr">
        <is>
          <t>2025-Q1</t>
        </is>
      </c>
      <c r="B45" s="55" t="n">
        <v>0.03</v>
      </c>
      <c r="E45" s="56" t="inlineStr">
        <is>
          <t>2단계 보고서 자료(회사 설명회 자료·공시)</t>
        </is>
      </c>
    </row>
    <row r="46">
      <c r="A46" s="54" t="inlineStr">
        <is>
          <t>2025-Q2</t>
        </is>
      </c>
      <c r="B46" s="55" t="n">
        <v>0.01</v>
      </c>
    </row>
    <row r="47">
      <c r="A47" s="54" t="inlineStr">
        <is>
          <t>2025-Q3</t>
        </is>
      </c>
      <c r="B47" s="55" t="n">
        <v>0.1</v>
      </c>
    </row>
    <row r="48">
      <c r="A48" s="54" t="inlineStr">
        <is>
          <t>2025-Q4</t>
        </is>
      </c>
      <c r="B48" s="55" t="n">
        <v>0.02</v>
      </c>
    </row>
    <row r="49">
      <c r="A49" s="54" t="inlineStr">
        <is>
          <t>2026-Q1</t>
        </is>
      </c>
      <c r="B49" s="55" t="n">
        <v>0</v>
      </c>
    </row>
    <row r="50">
      <c r="A50" s="54" t="inlineStr">
        <is>
          <t>2026-Q2</t>
        </is>
      </c>
      <c r="B50" s="55" t="n">
        <v>0</v>
      </c>
    </row>
    <row r="51">
      <c r="A51" s="54" t="inlineStr">
        <is>
          <t>2026-Q3</t>
        </is>
      </c>
      <c r="B51" s="55" t="n">
        <v>0.04</v>
      </c>
    </row>
    <row r="52">
      <c r="A52" s="54" t="inlineStr">
        <is>
          <t>2026-Q4</t>
        </is>
      </c>
      <c r="B52" s="55" t="n">
        <v>0.01</v>
      </c>
    </row>
    <row r="53">
      <c r="A53" s="54" t="inlineStr">
        <is>
          <t>2027-Q1</t>
        </is>
      </c>
      <c r="B53" s="55" t="n">
        <v>0</v>
      </c>
    </row>
    <row r="54">
      <c r="A54" s="54" t="inlineStr">
        <is>
          <t>2027-Q2</t>
        </is>
      </c>
      <c r="B54" s="55" t="n">
        <v>0</v>
      </c>
    </row>
    <row r="56">
      <c r="A56" s="52" t="inlineStr">
        <is>
          <t>band</t>
        </is>
      </c>
      <c r="B56" s="52" t="n"/>
      <c r="C56" s="52" t="n"/>
      <c r="D56" s="52" t="n"/>
      <c r="E56" s="52" t="n"/>
    </row>
    <row r="57">
      <c r="A57" s="53" t="inlineStr">
        <is>
          <t>항목</t>
        </is>
      </c>
      <c r="B57" s="53" t="inlineStr">
        <is>
          <t>값</t>
        </is>
      </c>
      <c r="E57" s="53" t="inlineStr">
        <is>
          <t>출처</t>
        </is>
      </c>
    </row>
    <row r="58">
      <c r="A58" s="54" t="inlineStr">
        <is>
          <t>lo</t>
        </is>
      </c>
      <c r="B58" s="55" t="n">
        <v>9</v>
      </c>
      <c r="E58" s="56" t="inlineStr">
        <is>
          <t>2단계 보고서 자료(회사 설명회 자료·공시)</t>
        </is>
      </c>
    </row>
    <row r="59">
      <c r="A59" s="54" t="inlineStr">
        <is>
          <t>avg</t>
        </is>
      </c>
      <c r="B59" s="55" t="n">
        <v>12</v>
      </c>
    </row>
    <row r="60">
      <c r="A60" s="54" t="inlineStr">
        <is>
          <t>hi</t>
        </is>
      </c>
      <c r="B60" s="55" t="n">
        <v>17.6</v>
      </c>
    </row>
    <row r="62">
      <c r="A62" s="52" t="inlineStr">
        <is>
          <t>deck map</t>
        </is>
      </c>
      <c r="B62" s="52" t="n"/>
      <c r="C62" s="52" t="n"/>
      <c r="D62" s="52" t="n"/>
      <c r="E62" s="52" t="n"/>
    </row>
    <row r="63">
      <c r="A63" s="53" t="inlineStr">
        <is>
          <t>항목</t>
        </is>
      </c>
      <c r="B63" s="53" t="inlineStr">
        <is>
          <t>제목</t>
        </is>
      </c>
      <c r="C63" s="53" t="inlineStr">
        <is>
          <t>핵심 숫자</t>
        </is>
      </c>
      <c r="D63" s="53" t="inlineStr">
        <is>
          <t>넣은 소제목</t>
        </is>
      </c>
      <c r="E63" s="53" t="inlineStr">
        <is>
          <t>출처</t>
        </is>
      </c>
    </row>
    <row r="64">
      <c r="A64" s="54" t="inlineStr">
        <is>
          <t>1</t>
        </is>
      </c>
      <c r="B64" s="57" t="inlineStr">
        <is>
          <t>손익·부문·분기표</t>
        </is>
      </c>
      <c r="C64" s="57" t="inlineStr">
        <is>
          <t>상반기 매출 53.73억, 영업 7.07억, 부문별 매출·이익, 분기 추이</t>
        </is>
      </c>
      <c r="D64" s="57" t="inlineStr">
        <is>
          <t>①~④ 사업별, 콜아웃</t>
        </is>
      </c>
      <c r="E64" s="56" t="inlineStr">
        <is>
          <t>2단계 보고서 자료(회사 설명회 자료·공시)</t>
        </is>
      </c>
    </row>
    <row r="65">
      <c r="A65" s="54" t="inlineStr">
        <is>
          <t>2</t>
        </is>
      </c>
      <c r="B65" s="57" t="inlineStr">
        <is>
          <t>분기 추이·재무상태·자기자본비율</t>
        </is>
      </c>
      <c r="C65" s="57" t="inlineStr">
        <is>
          <t>자기자본비율 57.1%→58.3%, 현금·차입금</t>
        </is>
      </c>
      <c r="D65" s="57" t="inlineStr">
        <is>
          <t>⑦ 재무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https://www2.jpx.co.jp/disc/60420/140120261026556357.pdf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https://www2.jpx.co.jp/disc/60420/140120260706588228.pdf</t>
        </is>
      </c>
    </row>
    <row r="6">
      <c r="A6" t="inlineStr">
        <is>
          <t>2026-05-15</t>
        </is>
      </c>
      <c r="B6" t="inlineStr">
        <is>
          <t>2026년 3월 결산기 연간 결산단신</t>
        </is>
      </c>
      <c r="C6" t="inlineStr">
        <is>
          <t>https://www2.jpx.co.jp/disc/60420/140120260505517272.pdf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https://www2.jpx.co.jp/disc/60420/140120260122537067.pdf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https://www2.jpx.co.jp/disc/60420/140120251028580389.pdf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https://www2.jpx.co.jp/disc/60420/140120250724519967.pdf</t>
        </is>
      </c>
    </row>
    <row r="10">
      <c r="A10" t="inlineStr">
        <is>
          <t>2025-05-15</t>
        </is>
      </c>
      <c r="B10" t="inlineStr">
        <is>
          <t>2025년 3월 결산기 연간 결산단신</t>
        </is>
      </c>
      <c r="C10" t="inlineStr">
        <is>
          <t>https://www2.jpx.co.jp/disc/60420/140120250502530529.pdf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https://www2.jpx.co.jp/disc/60420/140120250124554637.pdf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https://www2.jpx.co.jp/disc/60420/140120241024502120.pdf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https://www2.jpx.co.jp/disc/60420/140120240703543564.pdf</t>
        </is>
      </c>
    </row>
    <row r="14">
      <c r="A14" t="inlineStr">
        <is>
          <t>2024-05-15</t>
        </is>
      </c>
      <c r="B14" t="inlineStr">
        <is>
          <t>2024년 3월 결산기 연간 결산단신</t>
        </is>
      </c>
      <c r="C14" t="inlineStr">
        <is>
          <t>https://www2.jpx.co.jp/disc/60420/140120240416571700.pdf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https://www2.jpx.co.jp/disc/60420/140120240125519624.pdf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https://www2.jpx.co.jp/disc/60420/140120231026572246.pdf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https://www2.jpx.co.jp/disc/60420/140120230726526944.pdf</t>
        </is>
      </c>
    </row>
    <row r="18">
      <c r="A18" t="inlineStr">
        <is>
          <t>2023-05-15</t>
        </is>
      </c>
      <c r="B18" t="inlineStr">
        <is>
          <t>2023년 3월 결산기 연간 결산단신</t>
        </is>
      </c>
      <c r="C18" t="inlineStr">
        <is>
          <t>https://www2.jpx.co.jp/disc/60420/140120230509562122.pdf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https://www2.jpx.co.jp/disc/60420/140120230120591926.pdf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https://www2.jpx.co.jp/disc/60420/140120220408519069.pdf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https://www2.jpx.co.jp/disc/60420/140120210512414869.pdf</t>
        </is>
      </c>
    </row>
    <row r="22">
      <c r="A22" t="inlineStr">
        <is>
          <t>2020-05-29</t>
        </is>
      </c>
      <c r="B22" t="inlineStr">
        <is>
          <t>2020년 3월 결산기 연간 결산단신</t>
        </is>
      </c>
      <c r="C22" t="inlineStr">
        <is>
          <t>https://www2.jpx.co.jp/disc/60420/140120200525423549.pdf</t>
        </is>
      </c>
    </row>
    <row r="23">
      <c r="A23" t="inlineStr">
        <is>
          <t>2019-05-15</t>
        </is>
      </c>
      <c r="B23" t="inlineStr">
        <is>
          <t>연간 결산단신</t>
        </is>
      </c>
      <c r="C23" t="inlineStr">
        <is>
          <t>https://www2.jpx.co.jp/disc/60420/140120190502414323.pdf</t>
        </is>
      </c>
    </row>
    <row r="24">
      <c r="A24" t="inlineStr">
        <is>
          <t>2018-05-15</t>
        </is>
      </c>
      <c r="B24" t="inlineStr">
        <is>
          <t>연간 결산단신</t>
        </is>
      </c>
      <c r="C24" t="inlineStr">
        <is>
          <t>https://www2.jpx.co.jp/disc/60420/140120180508430061.pdf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59" t="inlineStr">
        <is>
          <t>6042 재무제표 한눈에 보기 — 최근 40개 분기(달력 분기, 3Q26 = 26.7~9) · 단위 억 엔</t>
        </is>
      </c>
    </row>
    <row r="2">
      <c r="A2" s="60" t="inlineStr">
        <is>
          <t>출처: 매출·영업이익 결산단신 XBRL · 재무상태표 등 결산단신 XBRL 36건(2018-01-31~2026-10-30). 부문·지역·수주·수출은 있을 때만(출처는 줄 끝). 총 차입금 = 이자 붙는 부채 전부(단기·장기 차입금, CP, 사채·전환사채, 리스부채)</t>
        </is>
      </c>
    </row>
    <row r="4">
      <c r="A4" s="61" t="inlineStr">
        <is>
          <t>항목</t>
        </is>
      </c>
      <c r="B4" s="62" t="inlineStr">
        <is>
          <t>4Q16</t>
        </is>
      </c>
      <c r="C4" s="62" t="inlineStr">
        <is>
          <t>1Q17</t>
        </is>
      </c>
      <c r="D4" s="62" t="inlineStr">
        <is>
          <t>2Q17</t>
        </is>
      </c>
      <c r="E4" s="62" t="inlineStr">
        <is>
          <t>3Q17</t>
        </is>
      </c>
      <c r="F4" s="62" t="inlineStr">
        <is>
          <t>4Q17</t>
        </is>
      </c>
      <c r="G4" s="62" t="inlineStr">
        <is>
          <t>1Q18</t>
        </is>
      </c>
      <c r="H4" s="62" t="inlineStr">
        <is>
          <t>2Q18</t>
        </is>
      </c>
      <c r="I4" s="62" t="inlineStr">
        <is>
          <t>3Q18</t>
        </is>
      </c>
      <c r="J4" s="62" t="inlineStr">
        <is>
          <t>4Q18</t>
        </is>
      </c>
      <c r="K4" s="62" t="inlineStr">
        <is>
          <t>1Q19</t>
        </is>
      </c>
      <c r="L4" s="62" t="inlineStr">
        <is>
          <t>2Q19</t>
        </is>
      </c>
      <c r="M4" s="62" t="inlineStr">
        <is>
          <t>3Q19</t>
        </is>
      </c>
      <c r="N4" s="62" t="inlineStr">
        <is>
          <t>4Q19</t>
        </is>
      </c>
      <c r="O4" s="62" t="inlineStr">
        <is>
          <t>1Q20</t>
        </is>
      </c>
      <c r="P4" s="62" t="inlineStr">
        <is>
          <t>2Q20</t>
        </is>
      </c>
      <c r="Q4" s="62" t="inlineStr">
        <is>
          <t>3Q20</t>
        </is>
      </c>
      <c r="R4" s="62" t="inlineStr">
        <is>
          <t>4Q20</t>
        </is>
      </c>
      <c r="S4" s="62" t="inlineStr">
        <is>
          <t>1Q21</t>
        </is>
      </c>
      <c r="T4" s="62" t="inlineStr">
        <is>
          <t>2Q21</t>
        </is>
      </c>
      <c r="U4" s="62" t="inlineStr">
        <is>
          <t>3Q21</t>
        </is>
      </c>
      <c r="V4" s="62" t="inlineStr">
        <is>
          <t>4Q21</t>
        </is>
      </c>
      <c r="W4" s="62" t="inlineStr">
        <is>
          <t>1Q22</t>
        </is>
      </c>
      <c r="X4" s="62" t="inlineStr">
        <is>
          <t>2Q22</t>
        </is>
      </c>
      <c r="Y4" s="62" t="inlineStr">
        <is>
          <t>3Q22</t>
        </is>
      </c>
      <c r="Z4" s="62" t="inlineStr">
        <is>
          <t>4Q22</t>
        </is>
      </c>
      <c r="AA4" s="62" t="inlineStr">
        <is>
          <t>1Q23</t>
        </is>
      </c>
      <c r="AB4" s="62" t="inlineStr">
        <is>
          <t>2Q23</t>
        </is>
      </c>
      <c r="AC4" s="62" t="inlineStr">
        <is>
          <t>3Q23</t>
        </is>
      </c>
      <c r="AD4" s="62" t="inlineStr">
        <is>
          <t>4Q23</t>
        </is>
      </c>
      <c r="AE4" s="62" t="inlineStr">
        <is>
          <t>1Q24</t>
        </is>
      </c>
      <c r="AF4" s="62" t="inlineStr">
        <is>
          <t>2Q24</t>
        </is>
      </c>
      <c r="AG4" s="62" t="inlineStr">
        <is>
          <t>3Q24</t>
        </is>
      </c>
      <c r="AH4" s="62" t="inlineStr">
        <is>
          <t>4Q24</t>
        </is>
      </c>
      <c r="AI4" s="62" t="inlineStr">
        <is>
          <t>1Q25</t>
        </is>
      </c>
      <c r="AJ4" s="62" t="inlineStr">
        <is>
          <t>2Q25</t>
        </is>
      </c>
      <c r="AK4" s="62" t="inlineStr">
        <is>
          <t>3Q25</t>
        </is>
      </c>
      <c r="AL4" s="62" t="inlineStr">
        <is>
          <t>4Q25</t>
        </is>
      </c>
      <c r="AM4" s="62" t="inlineStr">
        <is>
          <t>1Q26</t>
        </is>
      </c>
      <c r="AN4" s="62" t="inlineStr">
        <is>
          <t>2Q26</t>
        </is>
      </c>
      <c r="AO4" s="62" t="inlineStr">
        <is>
          <t>3Q26</t>
        </is>
      </c>
      <c r="AP4" s="61" t="inlineStr">
        <is>
          <t>출처</t>
        </is>
      </c>
    </row>
    <row r="5">
      <c r="A5" s="63" t="inlineStr">
        <is>
          <t>매출액</t>
        </is>
      </c>
      <c r="B5" s="64" t="n"/>
      <c r="C5" s="64" t="n">
        <v>24.8</v>
      </c>
      <c r="D5" s="64" t="n">
        <v>22.9</v>
      </c>
      <c r="E5" s="64" t="n">
        <v>22.2</v>
      </c>
      <c r="F5" s="64" t="n">
        <v>24.7</v>
      </c>
      <c r="G5" s="64" t="n">
        <v>22</v>
      </c>
      <c r="H5" s="64" t="n">
        <v>19.2</v>
      </c>
      <c r="I5" s="64" t="n">
        <v>20.7</v>
      </c>
      <c r="J5" s="64" t="n">
        <v>18.9</v>
      </c>
      <c r="K5" s="64" t="n">
        <v>19.9</v>
      </c>
      <c r="L5" s="64" t="n">
        <v>20.6</v>
      </c>
      <c r="M5" s="64" t="n">
        <v>20.7</v>
      </c>
      <c r="N5" s="64" t="n">
        <v>16.3</v>
      </c>
      <c r="O5" s="64" t="n">
        <v>17.7</v>
      </c>
      <c r="P5" s="64" t="n">
        <v>16.5</v>
      </c>
      <c r="Q5" s="64" t="n">
        <v>11.6</v>
      </c>
      <c r="R5" s="64" t="n">
        <v>14.2</v>
      </c>
      <c r="S5" s="64" t="n">
        <v>16.7</v>
      </c>
      <c r="T5" s="64" t="n">
        <v>18.9</v>
      </c>
      <c r="U5" s="64" t="n">
        <v>21.4</v>
      </c>
      <c r="V5" s="64" t="n">
        <v>22.6</v>
      </c>
      <c r="W5" s="64" t="n">
        <v>25.5</v>
      </c>
      <c r="X5" s="64" t="n">
        <v>20.1</v>
      </c>
      <c r="Y5" s="64" t="n">
        <v>23</v>
      </c>
      <c r="Z5" s="64" t="n">
        <v>22.5</v>
      </c>
      <c r="AA5" s="64" t="n">
        <v>22.4</v>
      </c>
      <c r="AB5" s="64" t="n">
        <v>24.9</v>
      </c>
      <c r="AC5" s="64" t="n">
        <v>24.3</v>
      </c>
      <c r="AD5" s="64" t="n">
        <v>22.9</v>
      </c>
      <c r="AE5" s="64" t="n">
        <v>21.5</v>
      </c>
      <c r="AF5" s="64" t="n">
        <v>26.2</v>
      </c>
      <c r="AG5" s="64" t="n">
        <v>22.2</v>
      </c>
      <c r="AH5" s="64" t="n">
        <v>15.2</v>
      </c>
      <c r="AI5" s="64" t="n">
        <v>20</v>
      </c>
      <c r="AJ5" s="64" t="n">
        <v>20.5</v>
      </c>
      <c r="AK5" s="64" t="n">
        <v>22.3</v>
      </c>
      <c r="AL5" s="64" t="n">
        <v>23.3</v>
      </c>
      <c r="AM5" s="64" t="n">
        <v>26.6</v>
      </c>
      <c r="AN5" s="64" t="n">
        <v>26.8</v>
      </c>
      <c r="AO5" s="64" t="n">
        <v>26.9</v>
      </c>
    </row>
    <row r="6">
      <c r="A6" s="63" t="inlineStr">
        <is>
          <t>매출액 YoY</t>
        </is>
      </c>
      <c r="B6" s="65" t="n"/>
      <c r="C6" s="65" t="n"/>
      <c r="D6" s="65" t="n"/>
      <c r="E6" s="65" t="n"/>
      <c r="F6" s="65" t="n"/>
      <c r="G6" s="65" t="n">
        <v>-11.3</v>
      </c>
      <c r="H6" s="65" t="n">
        <v>-16.2</v>
      </c>
      <c r="I6" s="65" t="n">
        <v>-6.8</v>
      </c>
      <c r="J6" s="65" t="n">
        <v>-23.5</v>
      </c>
      <c r="K6" s="65" t="n">
        <v>-9.5</v>
      </c>
      <c r="L6" s="65" t="n">
        <v>7.3</v>
      </c>
      <c r="M6" s="65" t="n">
        <v>0</v>
      </c>
      <c r="N6" s="65" t="n">
        <v>-13.8</v>
      </c>
      <c r="O6" s="65" t="n">
        <v>-11.1</v>
      </c>
      <c r="P6" s="65" t="n">
        <v>-19.9</v>
      </c>
      <c r="Q6" s="65" t="n">
        <v>-44</v>
      </c>
      <c r="R6" s="65" t="n">
        <v>-12.9</v>
      </c>
      <c r="S6" s="65" t="n">
        <v>-5.6</v>
      </c>
      <c r="T6" s="65" t="n">
        <v>14.5</v>
      </c>
      <c r="U6" s="65" t="n">
        <v>84.5</v>
      </c>
      <c r="V6" s="65" t="n">
        <v>59.2</v>
      </c>
      <c r="W6" s="65" t="n">
        <v>52.7</v>
      </c>
      <c r="X6" s="65" t="n">
        <v>6.3</v>
      </c>
      <c r="Y6" s="65" t="n">
        <v>7.5</v>
      </c>
      <c r="Z6" s="65" t="n">
        <v>-0.4</v>
      </c>
      <c r="AA6" s="65" t="n">
        <v>-12.2</v>
      </c>
      <c r="AB6" s="65" t="n">
        <v>23.9</v>
      </c>
      <c r="AC6" s="65" t="n">
        <v>5.7</v>
      </c>
      <c r="AD6" s="65" t="n">
        <v>1.8</v>
      </c>
      <c r="AE6" s="65" t="n">
        <v>-4</v>
      </c>
      <c r="AF6" s="65" t="n">
        <v>5.2</v>
      </c>
      <c r="AG6" s="65" t="n">
        <v>-8.6</v>
      </c>
      <c r="AH6" s="65" t="n">
        <v>-33.6</v>
      </c>
      <c r="AI6" s="65" t="n">
        <v>-7</v>
      </c>
      <c r="AJ6" s="65" t="n">
        <v>-21.8</v>
      </c>
      <c r="AK6" s="65" t="n">
        <v>0.5</v>
      </c>
      <c r="AL6" s="65" t="n">
        <v>53.3</v>
      </c>
      <c r="AM6" s="65" t="n">
        <v>33</v>
      </c>
      <c r="AN6" s="65" t="n">
        <v>30.7</v>
      </c>
      <c r="AO6" s="65" t="n">
        <v>20.6</v>
      </c>
    </row>
    <row r="7">
      <c r="A7" s="63" t="inlineStr">
        <is>
          <t>영업이익</t>
        </is>
      </c>
      <c r="B7" s="64" t="n"/>
      <c r="C7" s="64" t="n">
        <v>1.1</v>
      </c>
      <c r="D7" s="64" t="n">
        <v>2.2</v>
      </c>
      <c r="E7" s="64" t="n">
        <v>2.5</v>
      </c>
      <c r="F7" s="64" t="n">
        <v>3</v>
      </c>
      <c r="G7" s="64" t="n">
        <v>1.3</v>
      </c>
      <c r="H7" s="64" t="n">
        <v>1.6</v>
      </c>
      <c r="I7" s="64" t="n">
        <v>1.8</v>
      </c>
      <c r="J7" s="64" t="n">
        <v>1.5</v>
      </c>
      <c r="K7" s="64" t="n">
        <v>2.9</v>
      </c>
      <c r="L7" s="64" t="n">
        <v>1.7</v>
      </c>
      <c r="M7" s="64" t="n">
        <v>2.3</v>
      </c>
      <c r="N7" s="64" t="n">
        <v>1.2</v>
      </c>
      <c r="O7" s="64" t="n">
        <v>1.2</v>
      </c>
      <c r="P7" s="64" t="n">
        <v>-0.2</v>
      </c>
      <c r="Q7" s="64" t="n">
        <v>-1.2</v>
      </c>
      <c r="R7" s="64" t="n">
        <v>1.7</v>
      </c>
      <c r="S7" s="64" t="n">
        <v>1.9</v>
      </c>
      <c r="T7" s="64" t="n">
        <v>2.8</v>
      </c>
      <c r="U7" s="64" t="n">
        <v>2.9</v>
      </c>
      <c r="V7" s="64" t="n">
        <v>2.1</v>
      </c>
      <c r="W7" s="64" t="n">
        <v>3.1</v>
      </c>
      <c r="X7" s="64" t="n">
        <v>3.3</v>
      </c>
      <c r="Y7" s="64" t="n">
        <v>1.7</v>
      </c>
      <c r="Z7" s="64" t="n">
        <v>3.8</v>
      </c>
      <c r="AA7" s="64" t="n">
        <v>2.9</v>
      </c>
      <c r="AB7" s="64" t="n">
        <v>4.6</v>
      </c>
      <c r="AC7" s="64" t="n">
        <v>3.1</v>
      </c>
      <c r="AD7" s="64" t="n">
        <v>3.2</v>
      </c>
      <c r="AE7" s="64" t="n">
        <v>-1.8</v>
      </c>
      <c r="AF7" s="64" t="n">
        <v>3.1</v>
      </c>
      <c r="AG7" s="64" t="n">
        <v>3.6</v>
      </c>
      <c r="AH7" s="64" t="n">
        <v>-0.4</v>
      </c>
      <c r="AI7" s="64" t="n">
        <v>2.5</v>
      </c>
      <c r="AJ7" s="64" t="n">
        <v>3.2</v>
      </c>
      <c r="AK7" s="64" t="n">
        <v>2</v>
      </c>
      <c r="AL7" s="64" t="n">
        <v>2.1</v>
      </c>
      <c r="AM7" s="64" t="n">
        <v>3.7</v>
      </c>
      <c r="AN7" s="64" t="n">
        <v>3.7</v>
      </c>
      <c r="AO7" s="64" t="n">
        <v>3.4</v>
      </c>
    </row>
    <row r="8">
      <c r="A8" s="63" t="inlineStr">
        <is>
          <t>영업이익률</t>
        </is>
      </c>
      <c r="B8" s="65" t="n"/>
      <c r="C8" s="65" t="n">
        <v>4.4</v>
      </c>
      <c r="D8" s="65" t="n">
        <v>9.6</v>
      </c>
      <c r="E8" s="65" t="n">
        <v>11.3</v>
      </c>
      <c r="F8" s="65" t="n">
        <v>12.1</v>
      </c>
      <c r="G8" s="65" t="n">
        <v>5.9</v>
      </c>
      <c r="H8" s="65" t="n">
        <v>8.300000000000001</v>
      </c>
      <c r="I8" s="65" t="n">
        <v>8.699999999999999</v>
      </c>
      <c r="J8" s="65" t="n">
        <v>7.9</v>
      </c>
      <c r="K8" s="65" t="n">
        <v>14.6</v>
      </c>
      <c r="L8" s="65" t="n">
        <v>8.300000000000001</v>
      </c>
      <c r="M8" s="65" t="n">
        <v>11.1</v>
      </c>
      <c r="N8" s="65" t="n">
        <v>7.4</v>
      </c>
      <c r="O8" s="65" t="n">
        <v>6.8</v>
      </c>
      <c r="P8" s="65" t="n">
        <v>-1.2</v>
      </c>
      <c r="Q8" s="65" t="n">
        <v>-10.3</v>
      </c>
      <c r="R8" s="65" t="n">
        <v>12</v>
      </c>
      <c r="S8" s="65" t="n">
        <v>11.4</v>
      </c>
      <c r="T8" s="65" t="n">
        <v>14.8</v>
      </c>
      <c r="U8" s="65" t="n">
        <v>13.6</v>
      </c>
      <c r="V8" s="65" t="n">
        <v>9.300000000000001</v>
      </c>
      <c r="W8" s="65" t="n">
        <v>12.2</v>
      </c>
      <c r="X8" s="65" t="n">
        <v>16.4</v>
      </c>
      <c r="Y8" s="65" t="n">
        <v>7.4</v>
      </c>
      <c r="Z8" s="65" t="n">
        <v>16.9</v>
      </c>
      <c r="AA8" s="65" t="n">
        <v>12.9</v>
      </c>
      <c r="AB8" s="65" t="n">
        <v>18.5</v>
      </c>
      <c r="AC8" s="65" t="n">
        <v>12.8</v>
      </c>
      <c r="AD8" s="65" t="n">
        <v>14</v>
      </c>
      <c r="AE8" s="65" t="n">
        <v>-8.4</v>
      </c>
      <c r="AF8" s="65" t="n">
        <v>11.8</v>
      </c>
      <c r="AG8" s="65" t="n">
        <v>16.2</v>
      </c>
      <c r="AH8" s="65" t="n">
        <v>-2.6</v>
      </c>
      <c r="AI8" s="65" t="n">
        <v>12.5</v>
      </c>
      <c r="AJ8" s="65" t="n">
        <v>15.6</v>
      </c>
      <c r="AK8" s="65" t="n">
        <v>9</v>
      </c>
      <c r="AL8" s="65" t="n">
        <v>9</v>
      </c>
      <c r="AM8" s="65" t="n">
        <v>13.9</v>
      </c>
      <c r="AN8" s="65" t="n">
        <v>13.8</v>
      </c>
      <c r="AO8" s="65" t="n">
        <v>12.6</v>
      </c>
    </row>
    <row r="9">
      <c r="A9" s="63" t="inlineStr">
        <is>
          <t>영업이익 YoY</t>
        </is>
      </c>
      <c r="B9" s="65" t="n"/>
      <c r="C9" s="65" t="n"/>
      <c r="D9" s="65" t="n"/>
      <c r="E9" s="65" t="n"/>
      <c r="F9" s="65" t="n"/>
      <c r="G9" s="65" t="n">
        <v>18.2</v>
      </c>
      <c r="H9" s="65" t="n">
        <v>-27.3</v>
      </c>
      <c r="I9" s="65" t="n">
        <v>-28</v>
      </c>
      <c r="J9" s="65" t="n">
        <v>-50</v>
      </c>
      <c r="K9" s="65" t="n">
        <v>123.1</v>
      </c>
      <c r="L9" s="65" t="n">
        <v>6.2</v>
      </c>
      <c r="M9" s="65" t="n">
        <v>27.8</v>
      </c>
      <c r="N9" s="65" t="n">
        <v>-20</v>
      </c>
      <c r="O9" s="65" t="n">
        <v>-58.6</v>
      </c>
      <c r="P9" s="65" t="n">
        <v>-111.8</v>
      </c>
      <c r="Q9" s="65" t="n">
        <v>-152.2</v>
      </c>
      <c r="R9" s="65" t="n">
        <v>41.7</v>
      </c>
      <c r="S9" s="65" t="n">
        <v>58.3</v>
      </c>
      <c r="T9" s="65" t="n"/>
      <c r="U9" s="65" t="n"/>
      <c r="V9" s="65" t="n">
        <v>23.5</v>
      </c>
      <c r="W9" s="65" t="n">
        <v>63.2</v>
      </c>
      <c r="X9" s="65" t="n">
        <v>17.9</v>
      </c>
      <c r="Y9" s="65" t="n">
        <v>-41.4</v>
      </c>
      <c r="Z9" s="65" t="n">
        <v>81</v>
      </c>
      <c r="AA9" s="65" t="n">
        <v>-6.5</v>
      </c>
      <c r="AB9" s="65" t="n">
        <v>39.4</v>
      </c>
      <c r="AC9" s="65" t="n">
        <v>82.40000000000001</v>
      </c>
      <c r="AD9" s="65" t="n">
        <v>-15.8</v>
      </c>
      <c r="AE9" s="65" t="n">
        <v>-162.1</v>
      </c>
      <c r="AF9" s="65" t="n">
        <v>-32.6</v>
      </c>
      <c r="AG9" s="65" t="n">
        <v>16.1</v>
      </c>
      <c r="AH9" s="65" t="n">
        <v>-112.5</v>
      </c>
      <c r="AI9" s="65" t="n"/>
      <c r="AJ9" s="65" t="n">
        <v>3.2</v>
      </c>
      <c r="AK9" s="65" t="n">
        <v>-44.4</v>
      </c>
      <c r="AL9" s="65" t="n"/>
      <c r="AM9" s="65" t="n">
        <v>48</v>
      </c>
      <c r="AN9" s="65" t="n">
        <v>15.6</v>
      </c>
      <c r="AO9" s="65" t="n">
        <v>70</v>
      </c>
    </row>
    <row r="10">
      <c r="A10" s="63" t="inlineStr">
        <is>
          <t>유동자산</t>
        </is>
      </c>
      <c r="B10" s="64" t="n"/>
      <c r="C10" s="64" t="n">
        <v>64.5</v>
      </c>
      <c r="D10" s="64" t="n"/>
      <c r="E10" s="64" t="n"/>
      <c r="F10" s="64" t="n">
        <v>75.3</v>
      </c>
      <c r="G10" s="64" t="n">
        <v>69.90000000000001</v>
      </c>
      <c r="H10" s="64" t="n">
        <v>69.09999999999999</v>
      </c>
      <c r="I10" s="64" t="n">
        <v>73.59999999999999</v>
      </c>
      <c r="J10" s="64" t="n">
        <v>77.09999999999999</v>
      </c>
      <c r="K10" s="64" t="n">
        <v>74.59999999999999</v>
      </c>
      <c r="L10" s="64" t="n">
        <v>78.59999999999999</v>
      </c>
      <c r="M10" s="64" t="n">
        <v>77.90000000000001</v>
      </c>
      <c r="N10" s="64" t="n">
        <v>77.90000000000001</v>
      </c>
      <c r="O10" s="64" t="n">
        <v>76.7</v>
      </c>
      <c r="P10" s="64" t="n">
        <v>75.09999999999999</v>
      </c>
      <c r="Q10" s="64" t="n">
        <v>70.40000000000001</v>
      </c>
      <c r="R10" s="64" t="n">
        <v>73.2</v>
      </c>
      <c r="S10" s="64" t="n">
        <v>72.40000000000001</v>
      </c>
      <c r="T10" s="64" t="n">
        <v>76.5</v>
      </c>
      <c r="U10" s="64" t="n">
        <v>81.2</v>
      </c>
      <c r="V10" s="64" t="n">
        <v>77.2</v>
      </c>
      <c r="W10" s="64" t="n">
        <v>80</v>
      </c>
      <c r="X10" s="64" t="n">
        <v>84.40000000000001</v>
      </c>
      <c r="Y10" s="64" t="n">
        <v>92.40000000000001</v>
      </c>
      <c r="Z10" s="64" t="n">
        <v>103.1</v>
      </c>
      <c r="AA10" s="64" t="n">
        <v>97.5</v>
      </c>
      <c r="AB10" s="64" t="n">
        <v>105.8</v>
      </c>
      <c r="AC10" s="64" t="n">
        <v>95.3</v>
      </c>
      <c r="AD10" s="64" t="n">
        <v>90.8</v>
      </c>
      <c r="AE10" s="64" t="n">
        <v>90.40000000000001</v>
      </c>
      <c r="AF10" s="64" t="n">
        <v>90.90000000000001</v>
      </c>
      <c r="AG10" s="64" t="n">
        <v>98</v>
      </c>
      <c r="AH10" s="64" t="n">
        <v>94.59999999999999</v>
      </c>
      <c r="AI10" s="64" t="n">
        <v>94.2</v>
      </c>
      <c r="AJ10" s="64" t="n">
        <v>93.2</v>
      </c>
      <c r="AK10" s="64" t="n">
        <v>92.8</v>
      </c>
      <c r="AL10" s="64" t="n">
        <v>94.8</v>
      </c>
      <c r="AM10" s="64" t="n">
        <v>101.4</v>
      </c>
      <c r="AN10" s="64" t="n">
        <v>105.7</v>
      </c>
      <c r="AO10" s="64" t="n">
        <v>108.6</v>
      </c>
    </row>
    <row r="11">
      <c r="A11" s="63" t="inlineStr">
        <is>
          <t>유동부채</t>
        </is>
      </c>
      <c r="B11" s="64" t="n"/>
      <c r="C11" s="64" t="n">
        <v>39</v>
      </c>
      <c r="D11" s="64" t="n"/>
      <c r="E11" s="64" t="n"/>
      <c r="F11" s="64" t="n">
        <v>45.1</v>
      </c>
      <c r="G11" s="64" t="n">
        <v>40.6</v>
      </c>
      <c r="H11" s="64" t="n">
        <v>38.7</v>
      </c>
      <c r="I11" s="64" t="n">
        <v>40</v>
      </c>
      <c r="J11" s="64" t="n">
        <v>41.8</v>
      </c>
      <c r="K11" s="64" t="n">
        <v>38</v>
      </c>
      <c r="L11" s="64" t="n">
        <v>42.1</v>
      </c>
      <c r="M11" s="64" t="n">
        <v>40.3</v>
      </c>
      <c r="N11" s="64" t="n">
        <v>39.8</v>
      </c>
      <c r="O11" s="64" t="n">
        <v>38.4</v>
      </c>
      <c r="P11" s="64" t="n">
        <v>39.7</v>
      </c>
      <c r="Q11" s="64" t="n">
        <v>36.6</v>
      </c>
      <c r="R11" s="64" t="n">
        <v>39</v>
      </c>
      <c r="S11" s="64" t="n">
        <v>34.2</v>
      </c>
      <c r="T11" s="64" t="n">
        <v>40.9</v>
      </c>
      <c r="U11" s="64" t="n">
        <v>62.3</v>
      </c>
      <c r="V11" s="64" t="n">
        <v>41.9</v>
      </c>
      <c r="W11" s="64" t="n">
        <v>58.6</v>
      </c>
      <c r="X11" s="64" t="n">
        <v>58.4</v>
      </c>
      <c r="Y11" s="64" t="n">
        <v>60.9</v>
      </c>
      <c r="Z11" s="64" t="n">
        <v>67.5</v>
      </c>
      <c r="AA11" s="64" t="n">
        <v>51.6</v>
      </c>
      <c r="AB11" s="64" t="n">
        <v>55.5</v>
      </c>
      <c r="AC11" s="64" t="n">
        <v>56.3</v>
      </c>
      <c r="AD11" s="64" t="n">
        <v>52.5</v>
      </c>
      <c r="AE11" s="64" t="n">
        <v>59.9</v>
      </c>
      <c r="AF11" s="64" t="n">
        <v>59.3</v>
      </c>
      <c r="AG11" s="64" t="n">
        <v>60.8</v>
      </c>
      <c r="AH11" s="64" t="n">
        <v>60.1</v>
      </c>
      <c r="AI11" s="64" t="n">
        <v>56.7</v>
      </c>
      <c r="AJ11" s="64" t="n">
        <v>57.2</v>
      </c>
      <c r="AK11" s="64" t="n">
        <v>58.2</v>
      </c>
      <c r="AL11" s="64" t="n">
        <v>58.3</v>
      </c>
      <c r="AM11" s="64" t="n">
        <v>59.8</v>
      </c>
      <c r="AN11" s="64" t="n">
        <v>61.7</v>
      </c>
      <c r="AO11" s="64" t="n">
        <v>60.3</v>
      </c>
    </row>
    <row r="12">
      <c r="A12" s="63" t="inlineStr">
        <is>
          <t>부채총계</t>
        </is>
      </c>
      <c r="B12" s="64" t="n"/>
      <c r="C12" s="64" t="n">
        <v>62.9</v>
      </c>
      <c r="D12" s="64" t="n"/>
      <c r="E12" s="64" t="n"/>
      <c r="F12" s="64" t="n">
        <v>66.90000000000001</v>
      </c>
      <c r="G12" s="64" t="n">
        <v>60.9</v>
      </c>
      <c r="H12" s="64" t="n">
        <v>58.5</v>
      </c>
      <c r="I12" s="64" t="n">
        <v>60.7</v>
      </c>
      <c r="J12" s="64" t="n">
        <v>61.6</v>
      </c>
      <c r="K12" s="64" t="n">
        <v>57.5</v>
      </c>
      <c r="L12" s="64" t="n">
        <v>61</v>
      </c>
      <c r="M12" s="64" t="n">
        <v>57.8</v>
      </c>
      <c r="N12" s="64" t="n">
        <v>57</v>
      </c>
      <c r="O12" s="64" t="n">
        <v>55.3</v>
      </c>
      <c r="P12" s="64" t="n">
        <v>56.9</v>
      </c>
      <c r="Q12" s="64" t="n">
        <v>55.4</v>
      </c>
      <c r="R12" s="64" t="n">
        <v>57.9</v>
      </c>
      <c r="S12" s="64" t="n">
        <v>51.3</v>
      </c>
      <c r="T12" s="64" t="n">
        <v>57.3</v>
      </c>
      <c r="U12" s="64" t="n">
        <v>77.2</v>
      </c>
      <c r="V12" s="64" t="n">
        <v>70.90000000000001</v>
      </c>
      <c r="W12" s="64" t="n">
        <v>86.90000000000001</v>
      </c>
      <c r="X12" s="64" t="n">
        <v>86.09999999999999</v>
      </c>
      <c r="Y12" s="64" t="n">
        <v>103.1</v>
      </c>
      <c r="Z12" s="64" t="n">
        <v>109.4</v>
      </c>
      <c r="AA12" s="64" t="n">
        <v>104.5</v>
      </c>
      <c r="AB12" s="64" t="n">
        <v>108.1</v>
      </c>
      <c r="AC12" s="64" t="n">
        <v>107.3</v>
      </c>
      <c r="AD12" s="64" t="n">
        <v>98</v>
      </c>
      <c r="AE12" s="64" t="n">
        <v>106.7</v>
      </c>
      <c r="AF12" s="64" t="n">
        <v>106</v>
      </c>
      <c r="AG12" s="64" t="n">
        <v>107.4</v>
      </c>
      <c r="AH12" s="64" t="n">
        <v>106.4</v>
      </c>
      <c r="AI12" s="64" t="n">
        <v>103</v>
      </c>
      <c r="AJ12" s="64" t="n">
        <v>102.5</v>
      </c>
      <c r="AK12" s="64" t="n">
        <v>103.9</v>
      </c>
      <c r="AL12" s="64" t="n">
        <v>102.4</v>
      </c>
      <c r="AM12" s="64" t="n">
        <v>103.4</v>
      </c>
      <c r="AN12" s="64" t="n">
        <v>104.8</v>
      </c>
      <c r="AO12" s="64" t="n">
        <v>104.7</v>
      </c>
    </row>
    <row r="13">
      <c r="A13" s="63" t="inlineStr">
        <is>
          <t>자기자본</t>
        </is>
      </c>
      <c r="B13" s="65" t="n"/>
      <c r="C13" s="65" t="n">
        <v>66.2</v>
      </c>
      <c r="D13" s="65" t="n"/>
      <c r="E13" s="65" t="n"/>
      <c r="F13" s="65" t="n">
        <v>72.2</v>
      </c>
      <c r="G13" s="65" t="n">
        <v>71</v>
      </c>
      <c r="H13" s="65" t="n">
        <v>70.40000000000001</v>
      </c>
      <c r="I13" s="65" t="n">
        <v>73.2</v>
      </c>
      <c r="J13" s="65" t="n">
        <v>73.3</v>
      </c>
      <c r="K13" s="65" t="n">
        <v>77.3</v>
      </c>
      <c r="L13" s="65" t="n">
        <v>75.40000000000001</v>
      </c>
      <c r="M13" s="65" t="n">
        <v>76.09999999999999</v>
      </c>
      <c r="N13" s="65" t="n">
        <v>77.7</v>
      </c>
      <c r="O13" s="65" t="n">
        <v>75.3</v>
      </c>
      <c r="P13" s="65" t="n">
        <v>73.5</v>
      </c>
      <c r="Q13" s="65" t="n">
        <v>74.59999999999999</v>
      </c>
      <c r="R13" s="65" t="n">
        <v>75.40000000000001</v>
      </c>
      <c r="S13" s="65" t="n">
        <v>82.2</v>
      </c>
      <c r="T13" s="65" t="n">
        <v>83.5</v>
      </c>
      <c r="U13" s="65" t="n">
        <v>85</v>
      </c>
      <c r="V13" s="65" t="n">
        <v>87.2</v>
      </c>
      <c r="W13" s="65" t="n">
        <v>91.5</v>
      </c>
      <c r="X13" s="65" t="n">
        <v>95.2</v>
      </c>
      <c r="Y13" s="65" t="n">
        <v>94.8</v>
      </c>
      <c r="Z13" s="65" t="n">
        <v>97.8</v>
      </c>
      <c r="AA13" s="65" t="n">
        <v>98.3</v>
      </c>
      <c r="AB13" s="65" t="n">
        <v>103.5</v>
      </c>
      <c r="AC13" s="65" t="n">
        <v>107.9</v>
      </c>
      <c r="AD13" s="65" t="n">
        <v>111.9</v>
      </c>
      <c r="AE13" s="65" t="n">
        <v>124</v>
      </c>
      <c r="AF13" s="65" t="n">
        <v>126</v>
      </c>
      <c r="AG13" s="65" t="n">
        <v>128.9</v>
      </c>
      <c r="AH13" s="65" t="n">
        <v>128.1</v>
      </c>
      <c r="AI13" s="65" t="n">
        <v>130.6</v>
      </c>
      <c r="AJ13" s="65" t="n">
        <v>129.6</v>
      </c>
      <c r="AK13" s="65" t="n">
        <v>131.9</v>
      </c>
      <c r="AL13" s="65" t="n">
        <v>135.5</v>
      </c>
      <c r="AM13" s="65" t="n">
        <v>139.6</v>
      </c>
      <c r="AN13" s="65" t="n">
        <v>142.1</v>
      </c>
      <c r="AO13" s="65" t="n">
        <v>147.2</v>
      </c>
    </row>
    <row r="14">
      <c r="A14" s="63" t="inlineStr">
        <is>
          <t>유동비율</t>
        </is>
      </c>
      <c r="B14" s="65" t="n"/>
      <c r="C14" s="65" t="n">
        <v>165.4</v>
      </c>
      <c r="D14" s="65" t="n"/>
      <c r="E14" s="65" t="n"/>
      <c r="F14" s="65" t="n">
        <v>167</v>
      </c>
      <c r="G14" s="65" t="n">
        <v>172.2</v>
      </c>
      <c r="H14" s="65" t="n">
        <v>178.6</v>
      </c>
      <c r="I14" s="65" t="n">
        <v>184</v>
      </c>
      <c r="J14" s="65" t="n">
        <v>184.4</v>
      </c>
      <c r="K14" s="65" t="n">
        <v>196.3</v>
      </c>
      <c r="L14" s="65" t="n">
        <v>186.7</v>
      </c>
      <c r="M14" s="65" t="n">
        <v>193.3</v>
      </c>
      <c r="N14" s="65" t="n">
        <v>195.7</v>
      </c>
      <c r="O14" s="65" t="n">
        <v>199.7</v>
      </c>
      <c r="P14" s="65" t="n">
        <v>189.2</v>
      </c>
      <c r="Q14" s="65" t="n">
        <v>192.3</v>
      </c>
      <c r="R14" s="65" t="n">
        <v>187.7</v>
      </c>
      <c r="S14" s="65" t="n">
        <v>211.7</v>
      </c>
      <c r="T14" s="65" t="n">
        <v>187</v>
      </c>
      <c r="U14" s="65" t="n">
        <v>130.3</v>
      </c>
      <c r="V14" s="65" t="n">
        <v>184.2</v>
      </c>
      <c r="W14" s="65" t="n">
        <v>136.5</v>
      </c>
      <c r="X14" s="65" t="n">
        <v>144.5</v>
      </c>
      <c r="Y14" s="65" t="n">
        <v>151.7</v>
      </c>
      <c r="Z14" s="65" t="n">
        <v>152.7</v>
      </c>
      <c r="AA14" s="65" t="n">
        <v>189</v>
      </c>
      <c r="AB14" s="65" t="n">
        <v>190.6</v>
      </c>
      <c r="AC14" s="65" t="n">
        <v>169.3</v>
      </c>
      <c r="AD14" s="65" t="n">
        <v>173</v>
      </c>
      <c r="AE14" s="65" t="n">
        <v>150.9</v>
      </c>
      <c r="AF14" s="65" t="n">
        <v>153.3</v>
      </c>
      <c r="AG14" s="65" t="n">
        <v>161.2</v>
      </c>
      <c r="AH14" s="65" t="n">
        <v>157.4</v>
      </c>
      <c r="AI14" s="65" t="n">
        <v>166.1</v>
      </c>
      <c r="AJ14" s="65" t="n">
        <v>162.9</v>
      </c>
      <c r="AK14" s="65" t="n">
        <v>159.5</v>
      </c>
      <c r="AL14" s="65" t="n">
        <v>162.6</v>
      </c>
      <c r="AM14" s="65" t="n">
        <v>169.6</v>
      </c>
      <c r="AN14" s="65" t="n">
        <v>171.3</v>
      </c>
      <c r="AO14" s="65" t="n">
        <v>180.1</v>
      </c>
    </row>
    <row r="15">
      <c r="A15" s="63" t="inlineStr">
        <is>
          <t>부채비율</t>
        </is>
      </c>
      <c r="B15" s="65" t="n"/>
      <c r="C15" s="65" t="n">
        <v>95</v>
      </c>
      <c r="D15" s="65" t="n"/>
      <c r="E15" s="65" t="n"/>
      <c r="F15" s="65" t="n">
        <v>92.7</v>
      </c>
      <c r="G15" s="65" t="n">
        <v>85.8</v>
      </c>
      <c r="H15" s="65" t="n">
        <v>83.09999999999999</v>
      </c>
      <c r="I15" s="65" t="n">
        <v>82.90000000000001</v>
      </c>
      <c r="J15" s="65" t="n">
        <v>84</v>
      </c>
      <c r="K15" s="65" t="n">
        <v>74.40000000000001</v>
      </c>
      <c r="L15" s="65" t="n">
        <v>80.90000000000001</v>
      </c>
      <c r="M15" s="65" t="n">
        <v>76</v>
      </c>
      <c r="N15" s="65" t="n">
        <v>73.40000000000001</v>
      </c>
      <c r="O15" s="65" t="n">
        <v>73.40000000000001</v>
      </c>
      <c r="P15" s="65" t="n">
        <v>77.40000000000001</v>
      </c>
      <c r="Q15" s="65" t="n">
        <v>74.3</v>
      </c>
      <c r="R15" s="65" t="n">
        <v>76.8</v>
      </c>
      <c r="S15" s="65" t="n">
        <v>62.4</v>
      </c>
      <c r="T15" s="65" t="n">
        <v>68.59999999999999</v>
      </c>
      <c r="U15" s="65" t="n">
        <v>90.8</v>
      </c>
      <c r="V15" s="65" t="n">
        <v>81.3</v>
      </c>
      <c r="W15" s="65" t="n">
        <v>95</v>
      </c>
      <c r="X15" s="65" t="n">
        <v>90.40000000000001</v>
      </c>
      <c r="Y15" s="65" t="n">
        <v>108.8</v>
      </c>
      <c r="Z15" s="65" t="n">
        <v>111.9</v>
      </c>
      <c r="AA15" s="65" t="n">
        <v>106.3</v>
      </c>
      <c r="AB15" s="65" t="n">
        <v>104.4</v>
      </c>
      <c r="AC15" s="65" t="n">
        <v>99.40000000000001</v>
      </c>
      <c r="AD15" s="65" t="n">
        <v>87.59999999999999</v>
      </c>
      <c r="AE15" s="65" t="n">
        <v>86</v>
      </c>
      <c r="AF15" s="65" t="n">
        <v>84.09999999999999</v>
      </c>
      <c r="AG15" s="65" t="n">
        <v>83.3</v>
      </c>
      <c r="AH15" s="65" t="n">
        <v>83.09999999999999</v>
      </c>
      <c r="AI15" s="65" t="n">
        <v>78.90000000000001</v>
      </c>
      <c r="AJ15" s="65" t="n">
        <v>79.09999999999999</v>
      </c>
      <c r="AK15" s="65" t="n">
        <v>78.8</v>
      </c>
      <c r="AL15" s="65" t="n">
        <v>75.59999999999999</v>
      </c>
      <c r="AM15" s="65" t="n">
        <v>74.09999999999999</v>
      </c>
      <c r="AN15" s="65" t="n">
        <v>73.8</v>
      </c>
      <c r="AO15" s="65" t="n">
        <v>71.09999999999999</v>
      </c>
    </row>
    <row r="16">
      <c r="A16" s="63" t="inlineStr">
        <is>
          <t>순차입금/자기자본</t>
        </is>
      </c>
      <c r="B16" s="65" t="n"/>
      <c r="C16" s="65" t="n">
        <v>-1.8</v>
      </c>
      <c r="D16" s="65" t="n"/>
      <c r="E16" s="65" t="n"/>
      <c r="F16" s="65" t="n">
        <v>-7.3</v>
      </c>
      <c r="G16" s="65" t="n">
        <v>-8.9</v>
      </c>
      <c r="H16" s="65" t="n">
        <v>-16.5</v>
      </c>
      <c r="I16" s="65" t="n">
        <v>-16.9</v>
      </c>
      <c r="J16" s="65" t="n">
        <v>-19</v>
      </c>
      <c r="K16" s="65" t="n">
        <v>-19.5</v>
      </c>
      <c r="L16" s="65" t="n">
        <v>-23.5</v>
      </c>
      <c r="M16" s="65" t="n">
        <v>-20.4</v>
      </c>
      <c r="N16" s="65" t="n">
        <v>-19.7</v>
      </c>
      <c r="O16" s="65" t="n">
        <v>-22.3</v>
      </c>
      <c r="P16" s="65" t="n">
        <v>-19.9</v>
      </c>
      <c r="Q16" s="65" t="n">
        <v>-16.1</v>
      </c>
      <c r="R16" s="65" t="n">
        <v>-16.6</v>
      </c>
      <c r="S16" s="65" t="n">
        <v>-16.7</v>
      </c>
      <c r="T16" s="65" t="n">
        <v>-15.6</v>
      </c>
      <c r="U16" s="65" t="n">
        <v>-12.7</v>
      </c>
      <c r="V16" s="65" t="n">
        <v>12</v>
      </c>
      <c r="W16" s="65" t="n">
        <v>7.3</v>
      </c>
      <c r="X16" s="65" t="n">
        <v>0</v>
      </c>
      <c r="Y16" s="65" t="n">
        <v>16.1</v>
      </c>
      <c r="Z16" s="65" t="n">
        <v>12.3</v>
      </c>
      <c r="AA16" s="65" t="n">
        <v>28.3</v>
      </c>
      <c r="AB16" s="65" t="n">
        <v>16.6</v>
      </c>
      <c r="AC16" s="65" t="n">
        <v>27.2</v>
      </c>
      <c r="AD16" s="65" t="n">
        <v>28</v>
      </c>
      <c r="AE16" s="65" t="n">
        <v>24.8</v>
      </c>
      <c r="AF16" s="65" t="n">
        <v>28.3</v>
      </c>
      <c r="AG16" s="65" t="n">
        <v>24.8</v>
      </c>
      <c r="AH16" s="65" t="n">
        <v>28.2</v>
      </c>
      <c r="AI16" s="65" t="n">
        <v>30.7</v>
      </c>
      <c r="AJ16" s="65" t="n">
        <v>31.5</v>
      </c>
      <c r="AK16" s="65" t="n">
        <v>29.6</v>
      </c>
      <c r="AL16" s="65" t="n">
        <v>27.6</v>
      </c>
      <c r="AM16" s="65" t="n">
        <v>24.8</v>
      </c>
      <c r="AN16" s="65" t="n">
        <v>19.8</v>
      </c>
      <c r="AO16" s="65" t="n">
        <v>16.4</v>
      </c>
    </row>
    <row r="17">
      <c r="A17" s="63" t="inlineStr">
        <is>
          <t>재고자산</t>
        </is>
      </c>
      <c r="B17" s="64" t="n"/>
      <c r="C17" s="64" t="n">
        <v>16.6</v>
      </c>
      <c r="D17" s="64" t="n"/>
      <c r="E17" s="64" t="n"/>
      <c r="F17" s="64" t="n">
        <v>18.4</v>
      </c>
      <c r="G17" s="64" t="n">
        <v>17.2</v>
      </c>
      <c r="H17" s="64" t="n">
        <v>17.2</v>
      </c>
      <c r="I17" s="64" t="n">
        <v>17.3</v>
      </c>
      <c r="J17" s="64" t="n">
        <v>18.3</v>
      </c>
      <c r="K17" s="64" t="n">
        <v>18</v>
      </c>
      <c r="L17" s="64" t="n">
        <v>20</v>
      </c>
      <c r="M17" s="64" t="n">
        <v>19.9</v>
      </c>
      <c r="N17" s="64" t="n">
        <v>20.5</v>
      </c>
      <c r="O17" s="64" t="n">
        <v>21.1</v>
      </c>
      <c r="P17" s="64" t="n">
        <v>21.6</v>
      </c>
      <c r="Q17" s="64" t="n">
        <v>20.3</v>
      </c>
      <c r="R17" s="64" t="n">
        <v>20.2</v>
      </c>
      <c r="S17" s="64" t="n">
        <v>20.2</v>
      </c>
      <c r="T17" s="64" t="n">
        <v>22.1</v>
      </c>
      <c r="U17" s="64" t="n">
        <v>23.4</v>
      </c>
      <c r="V17" s="64" t="n">
        <v>24.6</v>
      </c>
      <c r="W17" s="64" t="n">
        <v>25</v>
      </c>
      <c r="X17" s="64" t="n">
        <v>28</v>
      </c>
      <c r="Y17" s="64" t="n">
        <v>26.3</v>
      </c>
      <c r="Z17" s="64" t="n">
        <v>28.9</v>
      </c>
      <c r="AA17" s="64" t="n">
        <v>27</v>
      </c>
      <c r="AB17" s="64" t="n">
        <v>27.3</v>
      </c>
      <c r="AC17" s="64" t="n">
        <v>28</v>
      </c>
      <c r="AD17" s="64" t="n">
        <v>29</v>
      </c>
      <c r="AE17" s="64" t="n">
        <v>27.8</v>
      </c>
      <c r="AF17" s="64" t="n">
        <v>28.7</v>
      </c>
      <c r="AG17" s="64" t="n">
        <v>30.4</v>
      </c>
      <c r="AH17" s="64" t="n">
        <v>31.8</v>
      </c>
      <c r="AI17" s="64" t="n">
        <v>34.6</v>
      </c>
      <c r="AJ17" s="64" t="n">
        <v>33.8</v>
      </c>
      <c r="AK17" s="64" t="n">
        <v>32.5</v>
      </c>
      <c r="AL17" s="64" t="n">
        <v>33.8</v>
      </c>
      <c r="AM17" s="64" t="n">
        <v>34.4</v>
      </c>
      <c r="AN17" s="64" t="n">
        <v>34.9</v>
      </c>
      <c r="AO17" s="64" t="n">
        <v>34.4</v>
      </c>
    </row>
    <row r="18">
      <c r="A18" s="63" t="inlineStr">
        <is>
          <t>재고자산 회전일수</t>
        </is>
      </c>
      <c r="B18" s="64" t="n"/>
      <c r="C18" s="64" t="n">
        <v>79</v>
      </c>
      <c r="D18" s="64" t="n"/>
      <c r="E18" s="64" t="n"/>
      <c r="F18" s="64" t="n">
        <v>93</v>
      </c>
      <c r="G18" s="64" t="n">
        <v>96</v>
      </c>
      <c r="H18" s="64" t="n">
        <v>113</v>
      </c>
      <c r="I18" s="64" t="n">
        <v>104</v>
      </c>
      <c r="J18" s="64" t="n">
        <v>122</v>
      </c>
      <c r="K18" s="64" t="n">
        <v>121</v>
      </c>
      <c r="L18" s="64" t="n">
        <v>121</v>
      </c>
      <c r="M18" s="64" t="n">
        <v>122</v>
      </c>
      <c r="N18" s="64" t="n">
        <v>161</v>
      </c>
      <c r="O18" s="64" t="n">
        <v>147</v>
      </c>
      <c r="P18" s="64" t="n">
        <v>147</v>
      </c>
      <c r="Q18" s="64" t="n">
        <v>194</v>
      </c>
      <c r="R18" s="64" t="n">
        <v>198</v>
      </c>
      <c r="S18" s="64" t="n">
        <v>163</v>
      </c>
      <c r="T18" s="64" t="n">
        <v>157</v>
      </c>
      <c r="U18" s="64" t="n">
        <v>140</v>
      </c>
      <c r="V18" s="64" t="n">
        <v>130</v>
      </c>
      <c r="W18" s="64" t="n">
        <v>123</v>
      </c>
      <c r="X18" s="64" t="n">
        <v>196</v>
      </c>
      <c r="Y18" s="64" t="n">
        <v>141</v>
      </c>
      <c r="Z18" s="64" t="n">
        <v>179</v>
      </c>
      <c r="AA18" s="64" t="n">
        <v>156</v>
      </c>
      <c r="AB18" s="64" t="n">
        <v>151</v>
      </c>
      <c r="AC18" s="64" t="n">
        <v>153</v>
      </c>
      <c r="AD18" s="64" t="n">
        <v>170</v>
      </c>
      <c r="AE18" s="64" t="n">
        <v>139</v>
      </c>
      <c r="AF18" s="64" t="n">
        <v>144</v>
      </c>
      <c r="AG18" s="64" t="n">
        <v>200</v>
      </c>
      <c r="AH18" s="64" t="n">
        <v>252</v>
      </c>
      <c r="AI18" s="64" t="n">
        <v>240</v>
      </c>
      <c r="AJ18" s="64" t="n">
        <v>237</v>
      </c>
      <c r="AK18" s="64" t="n">
        <v>192</v>
      </c>
      <c r="AL18" s="64" t="n">
        <v>186</v>
      </c>
      <c r="AM18" s="64" t="n">
        <v>174</v>
      </c>
      <c r="AN18" s="64" t="n">
        <v>175</v>
      </c>
      <c r="AO18" s="64" t="n">
        <v>170</v>
      </c>
    </row>
    <row r="19">
      <c r="A19" s="63" t="inlineStr">
        <is>
          <t>매출채권 회전일수</t>
        </is>
      </c>
      <c r="B19" s="64" t="n"/>
      <c r="C19" s="64" t="n">
        <v>55</v>
      </c>
      <c r="D19" s="64" t="n"/>
      <c r="E19" s="64" t="n"/>
      <c r="F19" s="64" t="n">
        <v>55</v>
      </c>
      <c r="G19" s="64" t="n">
        <v>60</v>
      </c>
      <c r="H19" s="64" t="n">
        <v>49</v>
      </c>
      <c r="I19" s="64" t="n">
        <v>54</v>
      </c>
      <c r="J19" s="64" t="n">
        <v>51</v>
      </c>
      <c r="K19" s="64" t="n">
        <v>57</v>
      </c>
      <c r="L19" s="64" t="n">
        <v>53</v>
      </c>
      <c r="M19" s="64" t="n">
        <v>53</v>
      </c>
      <c r="N19" s="64" t="n">
        <v>56</v>
      </c>
      <c r="O19" s="64" t="n">
        <v>46</v>
      </c>
      <c r="P19" s="64" t="n">
        <v>50</v>
      </c>
      <c r="Q19" s="64" t="n">
        <v>63</v>
      </c>
      <c r="R19" s="64" t="n">
        <v>54</v>
      </c>
      <c r="S19" s="64" t="n">
        <v>0</v>
      </c>
      <c r="T19" s="64" t="n">
        <v>52</v>
      </c>
      <c r="U19" s="64" t="n">
        <v>54</v>
      </c>
      <c r="V19" s="64" t="n">
        <v>50</v>
      </c>
      <c r="W19" s="64" t="n">
        <v>47</v>
      </c>
      <c r="X19" s="64" t="n">
        <v>49</v>
      </c>
      <c r="Y19" s="64" t="n">
        <v>49</v>
      </c>
      <c r="Z19" s="64" t="n">
        <v>57</v>
      </c>
      <c r="AA19" s="64" t="n">
        <v>71</v>
      </c>
      <c r="AB19" s="64" t="n">
        <v>58</v>
      </c>
      <c r="AC19" s="64" t="n">
        <v>59</v>
      </c>
      <c r="AD19" s="64" t="n">
        <v>63</v>
      </c>
      <c r="AE19" s="64" t="n">
        <v>68</v>
      </c>
      <c r="AF19" s="64" t="n">
        <v>59</v>
      </c>
      <c r="AG19" s="64" t="n">
        <v>58</v>
      </c>
      <c r="AH19" s="64" t="n">
        <v>65</v>
      </c>
      <c r="AI19" s="64" t="n">
        <v>50</v>
      </c>
      <c r="AJ19" s="64" t="n">
        <v>65</v>
      </c>
      <c r="AK19" s="64" t="n">
        <v>65</v>
      </c>
      <c r="AL19" s="64" t="n">
        <v>56</v>
      </c>
      <c r="AM19" s="64" t="n">
        <v>57</v>
      </c>
      <c r="AN19" s="64" t="n">
        <v>53</v>
      </c>
      <c r="AO19" s="64" t="n">
        <v>52</v>
      </c>
    </row>
    <row r="20">
      <c r="A20" s="63" t="inlineStr">
        <is>
          <t>매입채무 회전일수</t>
        </is>
      </c>
      <c r="B20" s="64" t="n"/>
      <c r="C20" s="64" t="n">
        <v>23</v>
      </c>
      <c r="D20" s="64" t="n"/>
      <c r="E20" s="64" t="n"/>
      <c r="F20" s="64" t="n">
        <v>24</v>
      </c>
      <c r="G20" s="64" t="n">
        <v>21</v>
      </c>
      <c r="H20" s="64" t="n">
        <v>14</v>
      </c>
      <c r="I20" s="64" t="n">
        <v>26</v>
      </c>
      <c r="J20" s="64" t="n">
        <v>33</v>
      </c>
      <c r="K20" s="64" t="n">
        <v>17</v>
      </c>
      <c r="L20" s="64" t="n">
        <v>32</v>
      </c>
      <c r="M20" s="64" t="n">
        <v>26</v>
      </c>
      <c r="N20" s="64" t="n">
        <v>18</v>
      </c>
      <c r="O20" s="64" t="n">
        <v>25</v>
      </c>
      <c r="P20" s="64" t="n">
        <v>23</v>
      </c>
      <c r="Q20" s="64" t="n">
        <v>26</v>
      </c>
      <c r="R20" s="64" t="n">
        <v>30</v>
      </c>
      <c r="S20" s="64" t="n">
        <v>7</v>
      </c>
      <c r="T20" s="64" t="n">
        <v>6</v>
      </c>
      <c r="U20" s="64" t="n">
        <v>30</v>
      </c>
      <c r="V20" s="64" t="n">
        <v>15</v>
      </c>
      <c r="W20" s="64" t="n">
        <v>10</v>
      </c>
      <c r="X20" s="64" t="n">
        <v>10</v>
      </c>
      <c r="Y20" s="64" t="n">
        <v>13</v>
      </c>
      <c r="Z20" s="64" t="n">
        <v>40</v>
      </c>
      <c r="AA20" s="64" t="n">
        <v>23</v>
      </c>
      <c r="AB20" s="64" t="n">
        <v>24</v>
      </c>
      <c r="AC20" s="64" t="n">
        <v>21</v>
      </c>
      <c r="AD20" s="64" t="n">
        <v>23</v>
      </c>
      <c r="AE20" s="64" t="n">
        <v>25</v>
      </c>
      <c r="AF20" s="64" t="n">
        <v>22</v>
      </c>
      <c r="AG20" s="64" t="n">
        <v>20</v>
      </c>
      <c r="AH20" s="64" t="n">
        <v>36</v>
      </c>
      <c r="AI20" s="64" t="n">
        <v>19</v>
      </c>
      <c r="AJ20" s="64" t="n">
        <v>20</v>
      </c>
      <c r="AK20" s="64" t="n">
        <v>19</v>
      </c>
      <c r="AL20" s="64" t="n">
        <v>22</v>
      </c>
      <c r="AM20" s="64" t="n">
        <v>22</v>
      </c>
      <c r="AN20" s="64" t="n">
        <v>22</v>
      </c>
      <c r="AO20" s="64" t="n">
        <v>21</v>
      </c>
    </row>
    <row r="21">
      <c r="A21" s="63" t="inlineStr">
        <is>
          <t>현금전환주기(CCC)</t>
        </is>
      </c>
      <c r="B21" s="64" t="n"/>
      <c r="C21" s="64" t="n">
        <v>111</v>
      </c>
      <c r="D21" s="64" t="n"/>
      <c r="E21" s="64" t="n"/>
      <c r="F21" s="64" t="n">
        <v>124</v>
      </c>
      <c r="G21" s="64" t="n">
        <v>135</v>
      </c>
      <c r="H21" s="64" t="n">
        <v>148</v>
      </c>
      <c r="I21" s="64" t="n">
        <v>132</v>
      </c>
      <c r="J21" s="64" t="n">
        <v>140</v>
      </c>
      <c r="K21" s="64" t="n">
        <v>161</v>
      </c>
      <c r="L21" s="64" t="n">
        <v>142</v>
      </c>
      <c r="M21" s="64" t="n">
        <v>149</v>
      </c>
      <c r="N21" s="64" t="n">
        <v>199</v>
      </c>
      <c r="O21" s="64" t="n">
        <v>168</v>
      </c>
      <c r="P21" s="64" t="n">
        <v>174</v>
      </c>
      <c r="Q21" s="64" t="n">
        <v>231</v>
      </c>
      <c r="R21" s="64" t="n">
        <v>222</v>
      </c>
      <c r="S21" s="64" t="n">
        <v>156</v>
      </c>
      <c r="T21" s="64" t="n">
        <v>203</v>
      </c>
      <c r="U21" s="64" t="n">
        <v>164</v>
      </c>
      <c r="V21" s="64" t="n">
        <v>165</v>
      </c>
      <c r="W21" s="64" t="n">
        <v>160</v>
      </c>
      <c r="X21" s="64" t="n">
        <v>235</v>
      </c>
      <c r="Y21" s="64" t="n">
        <v>177</v>
      </c>
      <c r="Z21" s="64" t="n">
        <v>196</v>
      </c>
      <c r="AA21" s="64" t="n">
        <v>204</v>
      </c>
      <c r="AB21" s="64" t="n">
        <v>185</v>
      </c>
      <c r="AC21" s="64" t="n">
        <v>191</v>
      </c>
      <c r="AD21" s="64" t="n">
        <v>210</v>
      </c>
      <c r="AE21" s="64" t="n">
        <v>182</v>
      </c>
      <c r="AF21" s="64" t="n">
        <v>181</v>
      </c>
      <c r="AG21" s="64" t="n">
        <v>238</v>
      </c>
      <c r="AH21" s="64" t="n">
        <v>281</v>
      </c>
      <c r="AI21" s="64" t="n">
        <v>271</v>
      </c>
      <c r="AJ21" s="64" t="n">
        <v>282</v>
      </c>
      <c r="AK21" s="64" t="n">
        <v>238</v>
      </c>
      <c r="AL21" s="64" t="n">
        <v>220</v>
      </c>
      <c r="AM21" s="64" t="n">
        <v>209</v>
      </c>
      <c r="AN21" s="64" t="n">
        <v>206</v>
      </c>
      <c r="AO21" s="64" t="n">
        <v>201</v>
      </c>
    </row>
    <row r="22">
      <c r="A22" s="63" t="inlineStr">
        <is>
          <t>총 차입금</t>
        </is>
      </c>
      <c r="B22" s="64" t="n"/>
      <c r="C22" s="64" t="n">
        <v>25.8</v>
      </c>
      <c r="D22" s="64" t="n"/>
      <c r="E22" s="64" t="n"/>
      <c r="F22" s="64" t="n">
        <v>24.7</v>
      </c>
      <c r="G22" s="64" t="n">
        <v>25.2</v>
      </c>
      <c r="H22" s="64" t="n">
        <v>24.7</v>
      </c>
      <c r="I22" s="64" t="n">
        <v>24.7</v>
      </c>
      <c r="J22" s="64" t="n">
        <v>24.6</v>
      </c>
      <c r="K22" s="64" t="n">
        <v>24.7</v>
      </c>
      <c r="L22" s="64" t="n">
        <v>24.6</v>
      </c>
      <c r="M22" s="64" t="n">
        <v>24.6</v>
      </c>
      <c r="N22" s="64" t="n">
        <v>24.5</v>
      </c>
      <c r="O22" s="64" t="n">
        <v>25.2</v>
      </c>
      <c r="P22" s="64" t="n">
        <v>24.5</v>
      </c>
      <c r="Q22" s="64" t="n">
        <v>24.5</v>
      </c>
      <c r="R22" s="64" t="n">
        <v>24.5</v>
      </c>
      <c r="S22" s="64" t="n">
        <v>25</v>
      </c>
      <c r="T22" s="64" t="n">
        <v>24.5</v>
      </c>
      <c r="U22" s="64" t="n">
        <v>24.5</v>
      </c>
      <c r="V22" s="64" t="n">
        <v>38.9</v>
      </c>
      <c r="W22" s="64" t="n">
        <v>39.3</v>
      </c>
      <c r="X22" s="64" t="n">
        <v>38.90000000000001</v>
      </c>
      <c r="Y22" s="64" t="n">
        <v>60.09999999999999</v>
      </c>
      <c r="Z22" s="64" t="n">
        <v>59.7</v>
      </c>
      <c r="AA22" s="64" t="n">
        <v>74.60000000000001</v>
      </c>
      <c r="AB22" s="64" t="n">
        <v>73.2</v>
      </c>
      <c r="AC22" s="64" t="n">
        <v>72.7</v>
      </c>
      <c r="AD22" s="64" t="n">
        <v>72.2</v>
      </c>
      <c r="AE22" s="64" t="n">
        <v>72.5</v>
      </c>
      <c r="AF22" s="64" t="n">
        <v>76.2</v>
      </c>
      <c r="AG22" s="64" t="n">
        <v>80.59999999999999</v>
      </c>
      <c r="AH22" s="64" t="n">
        <v>80.09999999999999</v>
      </c>
      <c r="AI22" s="64" t="n">
        <v>81.09999999999999</v>
      </c>
      <c r="AJ22" s="64" t="n">
        <v>79.09999999999999</v>
      </c>
      <c r="AK22" s="64" t="n">
        <v>79</v>
      </c>
      <c r="AL22" s="64" t="n">
        <v>78.40000000000001</v>
      </c>
      <c r="AM22" s="64" t="n">
        <v>80.8</v>
      </c>
      <c r="AN22" s="64" t="n">
        <v>79.3</v>
      </c>
      <c r="AO22" s="64" t="n">
        <v>78.69999999999999</v>
      </c>
    </row>
    <row r="23">
      <c r="A23" s="63" t="inlineStr">
        <is>
          <t>현금</t>
        </is>
      </c>
      <c r="B23" s="64" t="n"/>
      <c r="C23" s="64" t="n">
        <v>27</v>
      </c>
      <c r="D23" s="64" t="n"/>
      <c r="E23" s="64" t="n"/>
      <c r="F23" s="64" t="n">
        <v>30</v>
      </c>
      <c r="G23" s="64" t="n">
        <v>31.5</v>
      </c>
      <c r="H23" s="64" t="n">
        <v>36.3</v>
      </c>
      <c r="I23" s="64" t="n">
        <v>37.1</v>
      </c>
      <c r="J23" s="64" t="n">
        <v>38.5</v>
      </c>
      <c r="K23" s="64" t="n">
        <v>39.8</v>
      </c>
      <c r="L23" s="64" t="n">
        <v>42.3</v>
      </c>
      <c r="M23" s="64" t="n">
        <v>40.1</v>
      </c>
      <c r="N23" s="64" t="n">
        <v>39.8</v>
      </c>
      <c r="O23" s="64" t="n">
        <v>42</v>
      </c>
      <c r="P23" s="64" t="n">
        <v>39.1</v>
      </c>
      <c r="Q23" s="64" t="n">
        <v>36.5</v>
      </c>
      <c r="R23" s="64" t="n">
        <v>37</v>
      </c>
      <c r="S23" s="64" t="n">
        <v>38.7</v>
      </c>
      <c r="T23" s="64" t="n">
        <v>37.5</v>
      </c>
      <c r="U23" s="64" t="n">
        <v>35.3</v>
      </c>
      <c r="V23" s="64" t="n">
        <v>28.4</v>
      </c>
      <c r="W23" s="64" t="n">
        <v>32.6</v>
      </c>
      <c r="X23" s="64" t="n">
        <v>38.9</v>
      </c>
      <c r="Y23" s="64" t="n">
        <v>44.8</v>
      </c>
      <c r="Z23" s="64" t="n">
        <v>47.7</v>
      </c>
      <c r="AA23" s="64" t="n">
        <v>46.8</v>
      </c>
      <c r="AB23" s="64" t="n">
        <v>56</v>
      </c>
      <c r="AC23" s="64" t="n">
        <v>43.3</v>
      </c>
      <c r="AD23" s="64" t="n">
        <v>40.9</v>
      </c>
      <c r="AE23" s="64" t="n">
        <v>41.8</v>
      </c>
      <c r="AF23" s="64" t="n">
        <v>40.5</v>
      </c>
      <c r="AG23" s="64" t="n">
        <v>48.6</v>
      </c>
      <c r="AH23" s="64" t="n">
        <v>44</v>
      </c>
      <c r="AI23" s="64" t="n">
        <v>41</v>
      </c>
      <c r="AJ23" s="64" t="n">
        <v>38.3</v>
      </c>
      <c r="AK23" s="64" t="n">
        <v>40</v>
      </c>
      <c r="AL23" s="64" t="n">
        <v>41</v>
      </c>
      <c r="AM23" s="64" t="n">
        <v>46.2</v>
      </c>
      <c r="AN23" s="64" t="n">
        <v>51.1</v>
      </c>
      <c r="AO23" s="64" t="n">
        <v>54.5</v>
      </c>
    </row>
    <row r="24">
      <c r="A24" s="63" t="inlineStr">
        <is>
          <t>부문별 매출 · ガス機器事業、報告セグメント [メンバー]</t>
        </is>
      </c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>
        <v>9.800000000000001</v>
      </c>
      <c r="AC24" s="64" t="n">
        <v>8.199999999999999</v>
      </c>
      <c r="AD24" s="64" t="n">
        <v>7.6</v>
      </c>
      <c r="AE24" s="64" t="n"/>
      <c r="AF24" s="64" t="n">
        <v>10.7</v>
      </c>
      <c r="AG24" s="64" t="n">
        <v>9.1</v>
      </c>
      <c r="AH24" s="64" t="n">
        <v>5.6</v>
      </c>
      <c r="AI24" s="64" t="n"/>
      <c r="AJ24" s="64" t="n">
        <v>6.2</v>
      </c>
      <c r="AK24" s="64" t="n">
        <v>8.800000000000001</v>
      </c>
      <c r="AL24" s="64" t="n">
        <v>7.2</v>
      </c>
      <c r="AM24" s="64" t="n"/>
      <c r="AN24" s="64" t="n">
        <v>7</v>
      </c>
      <c r="AO24" s="64" t="n">
        <v>6.8</v>
      </c>
      <c r="AP24" s="60" t="inlineStr">
        <is>
          <t>결산단신 부문 정보(외부 고객 매출)</t>
        </is>
      </c>
    </row>
    <row r="25">
      <c r="A25" s="63" t="inlineStr">
        <is>
          <t>부문별 매출 · 汎用機器事業、報告セグメント [メンバー]</t>
        </is>
      </c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>
        <v>11.3</v>
      </c>
      <c r="AC25" s="64" t="n"/>
      <c r="AD25" s="64" t="n"/>
      <c r="AE25" s="64" t="n"/>
      <c r="AF25" s="64" t="n">
        <v>10.4</v>
      </c>
      <c r="AG25" s="64" t="n"/>
      <c r="AH25" s="64" t="n"/>
      <c r="AI25" s="64" t="n"/>
      <c r="AJ25" s="64" t="n">
        <v>9.800000000000001</v>
      </c>
      <c r="AK25" s="64" t="n"/>
      <c r="AL25" s="64" t="n"/>
      <c r="AM25" s="64" t="n"/>
      <c r="AN25" s="64" t="n">
        <v>11.7</v>
      </c>
      <c r="AO25" s="64" t="n"/>
      <c r="AP25" s="60" t="inlineStr">
        <is>
          <t>결산단신 부문 정보(외부 고객 매출)</t>
        </is>
      </c>
    </row>
    <row r="26">
      <c r="A26" s="63" t="inlineStr">
        <is>
          <t>부문별 매출 · 自動車機器事業、報告セグメント [メンバー]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>
        <v>2.2</v>
      </c>
      <c r="AC26" s="64" t="n"/>
      <c r="AD26" s="64" t="n"/>
      <c r="AE26" s="64" t="n"/>
      <c r="AF26" s="64" t="n">
        <v>2.3</v>
      </c>
      <c r="AG26" s="64" t="n"/>
      <c r="AH26" s="64" t="n"/>
      <c r="AI26" s="64" t="n"/>
      <c r="AJ26" s="64" t="n">
        <v>1.8</v>
      </c>
      <c r="AK26" s="64" t="n"/>
      <c r="AL26" s="64" t="n"/>
      <c r="AM26" s="64" t="n"/>
      <c r="AN26" s="64" t="n">
        <v>2.2</v>
      </c>
      <c r="AO26" s="64" t="n"/>
      <c r="AP26" s="60" t="inlineStr">
        <is>
          <t>결산단신 부문 정보(외부 고객 매출)</t>
        </is>
      </c>
    </row>
    <row r="27">
      <c r="A27" s="63" t="inlineStr">
        <is>
          <t>부문별 매출 · 産業機器事業、報告セグメント[メンバー]</t>
        </is>
      </c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>
        <v>1.7</v>
      </c>
      <c r="AF27" s="64" t="n">
        <v>1.3</v>
      </c>
      <c r="AG27" s="64" t="n">
        <v>1.2</v>
      </c>
      <c r="AH27" s="64" t="n">
        <v>1.1</v>
      </c>
      <c r="AI27" s="64" t="n">
        <v>0.4</v>
      </c>
      <c r="AJ27" s="64" t="n">
        <v>0.8</v>
      </c>
      <c r="AK27" s="64" t="n">
        <v>0.7</v>
      </c>
      <c r="AL27" s="64" t="n">
        <v>2.6</v>
      </c>
      <c r="AM27" s="64" t="n">
        <v>2.7</v>
      </c>
      <c r="AN27" s="64" t="n">
        <v>4.1</v>
      </c>
      <c r="AO27" s="64" t="n">
        <v>3.8</v>
      </c>
      <c r="AP27" s="60" t="inlineStr">
        <is>
          <t>결산단신 부문 정보(외부 고객 매출)</t>
        </is>
      </c>
    </row>
    <row r="28">
      <c r="A28" s="63" t="inlineStr">
        <is>
          <t>부문별 매출 · 不動産賃貸事業、報告セグメント [メンバー]</t>
        </is>
      </c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>
        <v>1.5</v>
      </c>
      <c r="AC28" s="64" t="n"/>
      <c r="AD28" s="64" t="n"/>
      <c r="AE28" s="64" t="n"/>
      <c r="AF28" s="64" t="n">
        <v>1.5</v>
      </c>
      <c r="AG28" s="64" t="n"/>
      <c r="AH28" s="64" t="n"/>
      <c r="AI28" s="64" t="n"/>
      <c r="AJ28" s="64" t="n">
        <v>1.9</v>
      </c>
      <c r="AK28" s="64" t="n"/>
      <c r="AL28" s="64" t="n"/>
      <c r="AM28" s="64" t="n"/>
      <c r="AN28" s="64" t="n">
        <v>1.9</v>
      </c>
      <c r="AO28" s="64" t="n"/>
      <c r="AP28" s="60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2026-10-30T09:35:01Z</dcterms:created>
  <dcterms:modified xmlns:dcterms="http://purl.org/dc/terms/" xmlns:xsi="http://www.w3.org/2001/XMLSchema-instance" xsi:type="dcterms:W3CDTF">2026-10-30T09:36:12Z</dcterms:modified>
</cp:coreProperties>
</file>