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9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미크론정밀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8월 결산 · 일본 기준 · 2026.4Q = 2026년 8월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2024.1Q</t>
        </is>
      </c>
      <c r="D3" s="5" t="inlineStr">
        <is>
          <t>2024.2Q</t>
        </is>
      </c>
      <c r="E3" s="5" t="inlineStr">
        <is>
          <t>2024.3Q</t>
        </is>
      </c>
      <c r="F3" s="5" t="inlineStr">
        <is>
          <t>2024.4Q</t>
        </is>
      </c>
      <c r="G3" s="5" t="inlineStr">
        <is>
          <t>2025.1Q</t>
        </is>
      </c>
      <c r="H3" s="5" t="inlineStr">
        <is>
          <t>2025.2Q</t>
        </is>
      </c>
      <c r="I3" s="5" t="inlineStr">
        <is>
          <t>2025.3Q</t>
        </is>
      </c>
      <c r="J3" s="5" t="inlineStr">
        <is>
          <t>2025.4Q</t>
        </is>
      </c>
      <c r="K3" s="5" t="inlineStr">
        <is>
          <t>2026.1Q</t>
        </is>
      </c>
      <c r="L3" s="5" t="inlineStr">
        <is>
          <t>2026.2Q</t>
        </is>
      </c>
      <c r="M3" s="5" t="inlineStr">
        <is>
          <t>2026.3Q</t>
        </is>
      </c>
      <c r="N3" s="5" t="inlineStr">
        <is>
          <t>2026.4Q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770.787</v>
      </c>
      <c r="D4" s="12" t="n">
        <v>1180.436</v>
      </c>
      <c r="E4" s="12" t="n">
        <v>903.76</v>
      </c>
      <c r="F4" s="12" t="n">
        <v>1844.101</v>
      </c>
      <c r="G4" s="12" t="n">
        <v>928.362</v>
      </c>
      <c r="H4" s="12" t="n">
        <v>1893.71</v>
      </c>
      <c r="I4" s="12" t="n">
        <v>1314.793</v>
      </c>
      <c r="J4" s="12" t="n">
        <v>1645.507</v>
      </c>
      <c r="K4" s="12" t="n">
        <v>989.361</v>
      </c>
      <c r="L4" s="12" t="n">
        <v>862.122</v>
      </c>
      <c r="M4" s="12" t="n">
        <v>898.046</v>
      </c>
      <c r="N4" s="12" t="n">
        <v>2428.469</v>
      </c>
      <c r="O4" s="11" t="n">
        <v>5724.844</v>
      </c>
      <c r="P4" s="12" t="n">
        <v>6264.112</v>
      </c>
      <c r="Q4" s="12" t="n">
        <v>6759.941</v>
      </c>
      <c r="R4" s="12" t="n">
        <v>5416.99</v>
      </c>
      <c r="S4" s="12" t="n">
        <v>4010.347</v>
      </c>
      <c r="T4" s="12" t="n">
        <v>5201.75</v>
      </c>
      <c r="U4" s="12" t="n">
        <v>5181.18</v>
      </c>
      <c r="V4" s="12" t="n">
        <v>4699.084</v>
      </c>
      <c r="W4" s="12" t="n">
        <v>5782.372</v>
      </c>
      <c r="X4" s="12" t="n">
        <v>5177.998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442.017</v>
      </c>
      <c r="D11" s="22" t="n">
        <v>852.552</v>
      </c>
      <c r="E11" s="22" t="n">
        <v>581.943</v>
      </c>
      <c r="F11" s="22" t="n">
        <v>1056.704</v>
      </c>
      <c r="G11" s="22" t="n">
        <v>573.043</v>
      </c>
      <c r="H11" s="22" t="n">
        <v>1167.208</v>
      </c>
      <c r="I11" s="22" t="n">
        <v>854.527</v>
      </c>
      <c r="J11" s="22" t="n">
        <v>1096.829</v>
      </c>
      <c r="K11" s="22" t="n">
        <v>631.925</v>
      </c>
      <c r="L11" s="22" t="n">
        <v>541.659</v>
      </c>
      <c r="M11" s="22" t="n">
        <v>551.365</v>
      </c>
      <c r="N11" s="22" t="n">
        <v>1455.474</v>
      </c>
      <c r="O11" s="21" t="n">
        <v>3809.649</v>
      </c>
      <c r="P11" s="22" t="n">
        <v>4086.723</v>
      </c>
      <c r="Q11" s="22" t="n">
        <v>4412.289</v>
      </c>
      <c r="R11" s="22" t="n">
        <v>3636.621</v>
      </c>
      <c r="S11" s="22" t="n">
        <v>2739.583</v>
      </c>
      <c r="T11" s="22" t="n">
        <v>3520.506</v>
      </c>
      <c r="U11" s="22" t="n">
        <v>3312.952</v>
      </c>
      <c r="V11" s="22" t="n">
        <v>2933.216</v>
      </c>
      <c r="W11" s="22" t="n">
        <v>3691.607</v>
      </c>
      <c r="X11" s="22" t="n">
        <v>3180.423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360.65</v>
      </c>
      <c r="D17" s="22" t="n">
        <v>308.078</v>
      </c>
      <c r="E17" s="22" t="n">
        <v>321.563</v>
      </c>
      <c r="F17" s="22" t="n">
        <v>392.642</v>
      </c>
      <c r="G17" s="22" t="n">
        <v>360.724</v>
      </c>
      <c r="H17" s="22" t="n">
        <v>346.476</v>
      </c>
      <c r="I17" s="22" t="n">
        <v>370.435</v>
      </c>
      <c r="J17" s="22" t="n">
        <v>400.746</v>
      </c>
      <c r="K17" s="22" t="n">
        <v>355.724</v>
      </c>
      <c r="L17" s="22" t="n">
        <v>325.397</v>
      </c>
      <c r="M17" s="22" t="n">
        <v>312.553</v>
      </c>
      <c r="N17" s="22" t="n">
        <v>391.87</v>
      </c>
      <c r="O17" s="21" t="n">
        <v>1129.922</v>
      </c>
      <c r="P17" s="22" t="n">
        <v>1213.367</v>
      </c>
      <c r="Q17" s="22" t="n">
        <v>1344.05</v>
      </c>
      <c r="R17" s="22" t="n">
        <v>1197.085</v>
      </c>
      <c r="S17" s="22" t="n">
        <v>981.126</v>
      </c>
      <c r="T17" s="22" t="n">
        <v>1304.005</v>
      </c>
      <c r="U17" s="22" t="n">
        <v>1422.663</v>
      </c>
      <c r="V17" s="22" t="n">
        <v>1382.933</v>
      </c>
      <c r="W17" s="22" t="n">
        <v>1478.381</v>
      </c>
      <c r="X17" s="22" t="n">
        <v>1385.544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-31.881</v>
      </c>
      <c r="D19" s="12" t="n">
        <v>19.807</v>
      </c>
      <c r="E19" s="12" t="n">
        <v>0.253</v>
      </c>
      <c r="F19" s="12" t="n">
        <v>394.754</v>
      </c>
      <c r="G19" s="12" t="n">
        <v>-5.405</v>
      </c>
      <c r="H19" s="12" t="n">
        <v>380.025</v>
      </c>
      <c r="I19" s="12" t="n">
        <v>89.831</v>
      </c>
      <c r="J19" s="12" t="n">
        <v>147.933</v>
      </c>
      <c r="K19" s="12" t="n">
        <v>1.711</v>
      </c>
      <c r="L19" s="12" t="n">
        <v>-4.933</v>
      </c>
      <c r="M19" s="12" t="n">
        <v>34.126</v>
      </c>
      <c r="N19" s="12" t="n">
        <v>581.126</v>
      </c>
      <c r="O19" s="11" t="n">
        <v>785.273</v>
      </c>
      <c r="P19" s="12" t="n">
        <v>964.021</v>
      </c>
      <c r="Q19" s="12" t="n">
        <v>1003.601</v>
      </c>
      <c r="R19" s="12" t="n">
        <v>583.283</v>
      </c>
      <c r="S19" s="12" t="n">
        <v>289.636</v>
      </c>
      <c r="T19" s="12" t="n">
        <v>377.238</v>
      </c>
      <c r="U19" s="12" t="n">
        <v>445.564</v>
      </c>
      <c r="V19" s="12" t="n">
        <v>382.933</v>
      </c>
      <c r="W19" s="12" t="n">
        <v>612.384</v>
      </c>
      <c r="X19" s="12" t="n">
        <v>612.03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>
        <v>332.293</v>
      </c>
      <c r="P24" s="22" t="n">
        <v>360.088</v>
      </c>
      <c r="Q24" s="22" t="n">
        <v>399.844</v>
      </c>
      <c r="R24" s="22" t="n">
        <v>355.721</v>
      </c>
      <c r="S24" s="22" t="n">
        <v>324.165</v>
      </c>
      <c r="T24" s="22" t="n">
        <v>396.152</v>
      </c>
      <c r="U24" s="22" t="n">
        <v>393.352</v>
      </c>
      <c r="V24" s="22" t="n">
        <v>410.987</v>
      </c>
      <c r="W24" s="22" t="n">
        <v>430.703</v>
      </c>
      <c r="X24" s="22" t="n">
        <v>422.915</v>
      </c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>
        <v>78.35299999999999</v>
      </c>
      <c r="P26" s="22" t="n">
        <v>76.238</v>
      </c>
      <c r="Q26" s="22" t="n">
        <v>73.97799999999999</v>
      </c>
      <c r="R26" s="22" t="n">
        <v>80.854</v>
      </c>
      <c r="S26" s="22" t="n">
        <v>68.095</v>
      </c>
      <c r="T26" s="22" t="n">
        <v>91.544</v>
      </c>
      <c r="U26" s="22" t="n">
        <v>85.887</v>
      </c>
      <c r="V26" s="22" t="n">
        <v>95.878</v>
      </c>
      <c r="W26" s="22" t="n">
        <v>100.998</v>
      </c>
      <c r="X26" s="22" t="n">
        <v>98.991</v>
      </c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>
        <v>41.19</v>
      </c>
      <c r="P28" s="22" t="n">
        <v>58.435</v>
      </c>
      <c r="Q28" s="22" t="n">
        <v>57.476</v>
      </c>
      <c r="R28" s="22" t="n">
        <v>54.145</v>
      </c>
      <c r="S28" s="22" t="n">
        <v>59.142</v>
      </c>
      <c r="T28" s="22" t="n">
        <v>68.568</v>
      </c>
      <c r="U28" s="22" t="n">
        <v>72.61199999999999</v>
      </c>
      <c r="V28" s="22" t="n">
        <v>70.56399999999999</v>
      </c>
      <c r="W28" s="22" t="n">
        <v>78.414</v>
      </c>
      <c r="X28" s="22" t="n">
        <v>84.506</v>
      </c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>
        <v>139.987</v>
      </c>
      <c r="P30" s="22" t="n">
        <v>100.824</v>
      </c>
      <c r="Q30" s="22" t="n">
        <v>165.874</v>
      </c>
      <c r="R30" s="22" t="n">
        <v>162.137</v>
      </c>
      <c r="S30" s="22" t="n">
        <v>114.4</v>
      </c>
      <c r="T30" s="22" t="n">
        <v>150.182</v>
      </c>
      <c r="U30" s="22" t="n">
        <v>157.982</v>
      </c>
      <c r="V30" s="22" t="n">
        <v>121.606</v>
      </c>
      <c r="W30" s="22" t="n">
        <v>105.405</v>
      </c>
      <c r="X30" s="22" t="n">
        <v>63.807</v>
      </c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>
        <v>2.415</v>
      </c>
      <c r="D35" s="22" t="n">
        <v>0.5639999999999999</v>
      </c>
      <c r="E35" s="22" t="n">
        <v>0.232</v>
      </c>
      <c r="F35" s="22" t="n">
        <v>0.746</v>
      </c>
      <c r="G35" s="22" t="n">
        <v>0.49</v>
      </c>
      <c r="H35" s="22" t="n">
        <v>0</v>
      </c>
      <c r="I35" s="22" t="n">
        <v>0.037</v>
      </c>
      <c r="J35" s="22" t="n">
        <v>0.9419999999999999</v>
      </c>
      <c r="K35" s="22" t="n">
        <v>1.905</v>
      </c>
      <c r="L35" s="22" t="n">
        <v>0</v>
      </c>
      <c r="M35" s="22" t="n">
        <v>0</v>
      </c>
      <c r="N35" s="22" t="n">
        <v>1.434</v>
      </c>
      <c r="O35" s="21" t="n">
        <v>106.596</v>
      </c>
      <c r="P35" s="22" t="n">
        <v>1.774</v>
      </c>
      <c r="Q35" s="22" t="n">
        <v>40.335</v>
      </c>
      <c r="R35" s="22" t="n">
        <v>18.316</v>
      </c>
      <c r="S35" s="22" t="n">
        <v>1.075</v>
      </c>
      <c r="T35" s="22" t="n">
        <v>2.378</v>
      </c>
      <c r="U35" s="22" t="n">
        <v>1.687</v>
      </c>
      <c r="V35" s="22" t="n">
        <v>3.957</v>
      </c>
      <c r="W35" s="22" t="n">
        <v>1.469</v>
      </c>
      <c r="X35" s="22" t="n">
        <v>3.339</v>
      </c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/>
      <c r="D37" s="22" t="n"/>
      <c r="E37" s="22" t="n">
        <v>0</v>
      </c>
      <c r="F37" s="22" t="n">
        <v>35.923</v>
      </c>
      <c r="G37" s="22" t="n">
        <v>0</v>
      </c>
      <c r="H37" s="22" t="n">
        <v>0</v>
      </c>
      <c r="I37" s="22" t="n">
        <v>0</v>
      </c>
      <c r="J37" s="22" t="n">
        <v>10.437</v>
      </c>
      <c r="K37" s="22" t="n">
        <v>0.355</v>
      </c>
      <c r="L37" s="22" t="n">
        <v>2.634</v>
      </c>
      <c r="M37" s="22" t="n">
        <v>0.535</v>
      </c>
      <c r="N37" s="22" t="n">
        <v>0</v>
      </c>
      <c r="O37" s="21" t="n">
        <v>0.506</v>
      </c>
      <c r="P37" s="22" t="n">
        <v>0.004</v>
      </c>
      <c r="Q37" s="22" t="n">
        <v>43.774</v>
      </c>
      <c r="R37" s="22" t="n">
        <v>88.244</v>
      </c>
      <c r="S37" s="22" t="n">
        <v>20.371</v>
      </c>
      <c r="T37" s="22" t="n">
        <v>18.698</v>
      </c>
      <c r="U37" s="22" t="n">
        <v>1.686</v>
      </c>
      <c r="V37" s="22" t="n">
        <v>35.923</v>
      </c>
      <c r="W37" s="22" t="n">
        <v>10.437</v>
      </c>
      <c r="X37" s="22" t="n">
        <v>3.524</v>
      </c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168.873</v>
      </c>
      <c r="D39" s="22" t="n">
        <v>281.552</v>
      </c>
      <c r="E39" s="22" t="n">
        <v>369.159</v>
      </c>
      <c r="F39" s="22" t="n">
        <v>-356.997</v>
      </c>
      <c r="G39" s="22" t="n">
        <v>368.548</v>
      </c>
      <c r="H39" s="22" t="n">
        <v>45.781</v>
      </c>
      <c r="I39" s="22" t="n">
        <v>-112.319</v>
      </c>
      <c r="J39" s="22" t="n">
        <v>208.047</v>
      </c>
      <c r="K39" s="22" t="n">
        <v>571.473</v>
      </c>
      <c r="L39" s="22" t="n">
        <v>49.56</v>
      </c>
      <c r="M39" s="22" t="n">
        <v>270.238</v>
      </c>
      <c r="N39" s="22" t="n">
        <v>131.208</v>
      </c>
      <c r="O39" s="21" t="n">
        <v>249.192</v>
      </c>
      <c r="P39" s="22" t="n">
        <v>137.616</v>
      </c>
      <c r="Q39" s="22" t="n">
        <v>186.506</v>
      </c>
      <c r="R39" s="22" t="n">
        <v>193.113</v>
      </c>
      <c r="S39" s="22" t="n">
        <v>345.271</v>
      </c>
      <c r="T39" s="22" t="n">
        <v>1443.254</v>
      </c>
      <c r="U39" s="22" t="n">
        <v>724.898</v>
      </c>
      <c r="V39" s="22" t="n">
        <v>462.587</v>
      </c>
      <c r="W39" s="22" t="n">
        <v>510.057</v>
      </c>
      <c r="X39" s="22" t="n">
        <v>1022.479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>
        <v>14.942</v>
      </c>
      <c r="D41" s="22" t="n">
        <v>11.8</v>
      </c>
      <c r="E41" s="22" t="n">
        <v>0.592</v>
      </c>
      <c r="F41" s="22" t="n">
        <v>54.922</v>
      </c>
      <c r="G41" s="22" t="n">
        <v>0.844</v>
      </c>
      <c r="H41" s="22" t="n">
        <v>0.923</v>
      </c>
      <c r="I41" s="22" t="n">
        <v>48.959</v>
      </c>
      <c r="J41" s="22" t="n">
        <v>-47.398</v>
      </c>
      <c r="K41" s="22" t="n">
        <v>0.263</v>
      </c>
      <c r="L41" s="22" t="n">
        <v>1.293</v>
      </c>
      <c r="M41" s="22" t="n">
        <v>1.183</v>
      </c>
      <c r="N41" s="22" t="n">
        <v>0.196</v>
      </c>
      <c r="O41" s="21" t="n">
        <v>1.602</v>
      </c>
      <c r="P41" s="22" t="n">
        <v>18.478</v>
      </c>
      <c r="Q41" s="22" t="n">
        <v>175.241</v>
      </c>
      <c r="R41" s="22" t="n">
        <v>21.438</v>
      </c>
      <c r="S41" s="22" t="n">
        <v>0.5</v>
      </c>
      <c r="T41" s="22" t="n">
        <v>1.582</v>
      </c>
      <c r="U41" s="22" t="n">
        <v>10.061</v>
      </c>
      <c r="V41" s="22" t="n">
        <v>82.256</v>
      </c>
      <c r="W41" s="22" t="n">
        <v>3.328</v>
      </c>
      <c r="X41" s="22" t="n">
        <v>2.935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124.465</v>
      </c>
      <c r="D43" s="12" t="n">
        <v>290.123</v>
      </c>
      <c r="E43" s="12" t="n">
        <v>369.052</v>
      </c>
      <c r="F43" s="12" t="n">
        <v>-52.343</v>
      </c>
      <c r="G43" s="12" t="n">
        <v>362.789</v>
      </c>
      <c r="H43" s="12" t="n">
        <v>424.884</v>
      </c>
      <c r="I43" s="12" t="n">
        <v>-71.411</v>
      </c>
      <c r="J43" s="12" t="n">
        <v>393.883</v>
      </c>
      <c r="K43" s="12" t="n">
        <v>574.47</v>
      </c>
      <c r="L43" s="12" t="n">
        <v>40.699</v>
      </c>
      <c r="M43" s="12" t="n">
        <v>302.648</v>
      </c>
      <c r="N43" s="12" t="n">
        <v>713.573</v>
      </c>
      <c r="O43" s="11" t="n">
        <v>1138.953</v>
      </c>
      <c r="P43" s="12" t="n">
        <v>1084.929</v>
      </c>
      <c r="Q43" s="12" t="n">
        <v>1011.426</v>
      </c>
      <c r="R43" s="12" t="n">
        <v>685.03</v>
      </c>
      <c r="S43" s="12" t="n">
        <v>615.111</v>
      </c>
      <c r="T43" s="12" t="n">
        <v>1802.591</v>
      </c>
      <c r="U43" s="12" t="n">
        <v>1160.402</v>
      </c>
      <c r="V43" s="12" t="n">
        <v>731.297</v>
      </c>
      <c r="W43" s="12" t="n">
        <v>1110.145</v>
      </c>
      <c r="X43" s="12" t="n">
        <v>1631.39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42.24</v>
      </c>
      <c r="D45" s="22" t="n">
        <v>97.28100000000001</v>
      </c>
      <c r="E45" s="22" t="n">
        <v>123.892</v>
      </c>
      <c r="F45" s="22" t="n">
        <v>-18.916</v>
      </c>
      <c r="G45" s="22" t="n">
        <v>125.646</v>
      </c>
      <c r="H45" s="22" t="n">
        <v>131.609</v>
      </c>
      <c r="I45" s="22" t="n">
        <v>-15.954</v>
      </c>
      <c r="J45" s="22" t="n">
        <v>92.008</v>
      </c>
      <c r="K45" s="22" t="n">
        <v>186.272</v>
      </c>
      <c r="L45" s="22" t="n">
        <v>23.983</v>
      </c>
      <c r="M45" s="22" t="n">
        <v>100.816</v>
      </c>
      <c r="N45" s="22" t="n">
        <v>196.469</v>
      </c>
      <c r="O45" s="21" t="n">
        <v>357.374</v>
      </c>
      <c r="P45" s="22" t="n">
        <v>334.269</v>
      </c>
      <c r="Q45" s="22" t="n">
        <v>340.896</v>
      </c>
      <c r="R45" s="22" t="n">
        <v>240.684</v>
      </c>
      <c r="S45" s="22" t="n">
        <v>164.344</v>
      </c>
      <c r="T45" s="22" t="n">
        <v>575.79</v>
      </c>
      <c r="U45" s="22" t="n">
        <v>297.765</v>
      </c>
      <c r="V45" s="22" t="n">
        <v>244.497</v>
      </c>
      <c r="W45" s="22" t="n">
        <v>333.309</v>
      </c>
      <c r="X45" s="22" t="n">
        <v>507.54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82.22499999999999</v>
      </c>
      <c r="D47" s="12" t="n">
        <v>192.841</v>
      </c>
      <c r="E47" s="12" t="n">
        <v>245.161</v>
      </c>
      <c r="F47" s="12" t="n">
        <v>-33.427</v>
      </c>
      <c r="G47" s="12" t="n">
        <v>237.143</v>
      </c>
      <c r="H47" s="12" t="n">
        <v>293.274</v>
      </c>
      <c r="I47" s="12" t="n">
        <v>-55.456</v>
      </c>
      <c r="J47" s="12" t="n">
        <v>301.874</v>
      </c>
      <c r="K47" s="12" t="n">
        <v>388.198</v>
      </c>
      <c r="L47" s="12" t="n">
        <v>16.715</v>
      </c>
      <c r="M47" s="12" t="n">
        <v>201.832</v>
      </c>
      <c r="N47" s="12" t="n">
        <v>517.105</v>
      </c>
      <c r="O47" s="11" t="n">
        <v>781.578</v>
      </c>
      <c r="P47" s="12" t="n">
        <v>750.659</v>
      </c>
      <c r="Q47" s="12" t="n">
        <v>670.529</v>
      </c>
      <c r="R47" s="12" t="n">
        <v>444.346</v>
      </c>
      <c r="S47" s="12" t="n">
        <v>450.766</v>
      </c>
      <c r="T47" s="12" t="n">
        <v>1226.8</v>
      </c>
      <c r="U47" s="12" t="n">
        <v>862.6369999999999</v>
      </c>
      <c r="V47" s="12" t="n">
        <v>486.8</v>
      </c>
      <c r="W47" s="12" t="n">
        <v>776.835</v>
      </c>
      <c r="X47" s="12" t="n">
        <v>1123.85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>
        <v>81.889</v>
      </c>
      <c r="D49" s="12" t="n">
        <v>194.952</v>
      </c>
      <c r="E49" s="12" t="n">
        <v>247.663</v>
      </c>
      <c r="F49" s="12" t="n">
        <v>-40.356</v>
      </c>
      <c r="G49" s="12" t="n">
        <v>237.181</v>
      </c>
      <c r="H49" s="12" t="n">
        <v>295.881</v>
      </c>
      <c r="I49" s="12" t="n">
        <v>-54.715</v>
      </c>
      <c r="J49" s="12" t="n">
        <v>304.589</v>
      </c>
      <c r="K49" s="12" t="n">
        <v>391.591</v>
      </c>
      <c r="L49" s="12" t="n">
        <v>17.006</v>
      </c>
      <c r="M49" s="12" t="n">
        <v>200.486</v>
      </c>
      <c r="N49" s="12" t="n">
        <v>510.275</v>
      </c>
      <c r="O49" s="11" t="n">
        <v>785.8920000000001</v>
      </c>
      <c r="P49" s="12" t="n">
        <v>746.409</v>
      </c>
      <c r="Q49" s="12" t="n">
        <v>660.424</v>
      </c>
      <c r="R49" s="12" t="n">
        <v>432.581</v>
      </c>
      <c r="S49" s="12" t="n">
        <v>461.156</v>
      </c>
      <c r="T49" s="12" t="n">
        <v>1226.194</v>
      </c>
      <c r="U49" s="12" t="n">
        <v>868.2380000000001</v>
      </c>
      <c r="V49" s="12" t="n">
        <v>484.148</v>
      </c>
      <c r="W49" s="12" t="n">
        <v>782.936</v>
      </c>
      <c r="X49" s="12" t="n">
        <v>1119.358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()</t>
        </is>
      </c>
      <c r="B53" s="29" t="n"/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/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2024.1Q</t>
        </is>
      </c>
      <c r="D83" s="5" t="inlineStr">
        <is>
          <t>2024.2Q</t>
        </is>
      </c>
      <c r="E83" s="5" t="inlineStr">
        <is>
          <t>2024.3Q</t>
        </is>
      </c>
      <c r="F83" s="5" t="inlineStr">
        <is>
          <t>2024.4Q</t>
        </is>
      </c>
      <c r="G83" s="5" t="inlineStr">
        <is>
          <t>2025.1Q</t>
        </is>
      </c>
      <c r="H83" s="5" t="inlineStr">
        <is>
          <t>2025.2Q</t>
        </is>
      </c>
      <c r="I83" s="5" t="inlineStr">
        <is>
          <t>2025.3Q</t>
        </is>
      </c>
      <c r="J83" s="5" t="inlineStr">
        <is>
          <t>2025.4Q</t>
        </is>
      </c>
      <c r="K83" s="5" t="inlineStr">
        <is>
          <t>2026.1Q</t>
        </is>
      </c>
      <c r="L83" s="5" t="inlineStr">
        <is>
          <t>2026.2Q</t>
        </is>
      </c>
      <c r="M83" s="5" t="inlineStr">
        <is>
          <t>2026.3Q</t>
        </is>
      </c>
      <c r="N83" s="5" t="inlineStr">
        <is>
          <t>2026.4Q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C84" s="12" t="n">
        <v>770.787</v>
      </c>
      <c r="D84" s="12" t="n">
        <v>1180.436</v>
      </c>
      <c r="E84" s="12" t="n">
        <v>903.76</v>
      </c>
      <c r="F84" s="12" t="n">
        <v>1844.101</v>
      </c>
      <c r="G84" s="12" t="n">
        <v>928.362</v>
      </c>
      <c r="H84" s="12" t="n">
        <v>1893.71</v>
      </c>
      <c r="I84" s="12" t="n">
        <v>1314.793</v>
      </c>
      <c r="J84" s="12" t="n">
        <v>1645.507</v>
      </c>
      <c r="K84" s="12" t="n">
        <v>989.361</v>
      </c>
      <c r="L84" s="12" t="n">
        <v>862.122</v>
      </c>
      <c r="M84" s="12" t="n">
        <v>898.046</v>
      </c>
      <c r="N84" s="12" t="n">
        <v>2428.469</v>
      </c>
      <c r="T84" s="12" t="n">
        <v>1818.696</v>
      </c>
      <c r="U84" s="12" t="n">
        <v>1845.71</v>
      </c>
      <c r="V84" s="12" t="n">
        <v>1844.101</v>
      </c>
      <c r="W84" s="12" t="n">
        <v>1645.507</v>
      </c>
      <c r="X84" s="12" t="n">
        <v>2428.469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T85" s="17">
        <f>IF(OR(T84="",S84=""),"",IF(S84&lt;=0,"",IFERROR(T84/S84-1,"")))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C86" s="22" t="n">
        <v>442.017</v>
      </c>
      <c r="D86" s="22" t="n">
        <v>852.552</v>
      </c>
      <c r="E86" s="22" t="n">
        <v>581.943</v>
      </c>
      <c r="F86" s="22" t="n">
        <v>1056.704</v>
      </c>
      <c r="G86" s="22" t="n">
        <v>573.043</v>
      </c>
      <c r="H86" s="22" t="n">
        <v>1167.208</v>
      </c>
      <c r="I86" s="22" t="n">
        <v>854.527</v>
      </c>
      <c r="J86" s="22" t="n">
        <v>1096.829</v>
      </c>
      <c r="K86" s="22" t="n">
        <v>631.925</v>
      </c>
      <c r="L86" s="22" t="n">
        <v>541.659</v>
      </c>
      <c r="M86" s="22" t="n">
        <v>551.365</v>
      </c>
      <c r="N86" s="22" t="n">
        <v>1455.474</v>
      </c>
      <c r="T86" s="22" t="n">
        <v>1251.462</v>
      </c>
      <c r="U86" s="22" t="n">
        <v>1138.111</v>
      </c>
      <c r="V86" s="22" t="n">
        <v>1056.704</v>
      </c>
      <c r="W86" s="22" t="n">
        <v>1096.829</v>
      </c>
      <c r="X86" s="22" t="n">
        <v>1455.474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T87" s="17">
        <f>IF(OR(T86="",S86=""),"",IF(T86*S86&lt;=0,"",IFERROR(T86/S86-1,"")))</f>
        <v/>
      </c>
      <c r="U87" s="17">
        <f>IF(OR(U86="",T86=""),"",IF(U86*T86&lt;=0,"",IFERROR(U86/T86-1,"")))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C88" s="12" t="n">
        <v>328.769</v>
      </c>
      <c r="D88" s="12" t="n">
        <v>327.884</v>
      </c>
      <c r="E88" s="12" t="n">
        <v>321.817</v>
      </c>
      <c r="F88" s="12" t="n">
        <v>787.397</v>
      </c>
      <c r="G88" s="12" t="n">
        <v>355.318</v>
      </c>
      <c r="H88" s="12" t="n">
        <v>726.502</v>
      </c>
      <c r="I88" s="12" t="n">
        <v>460.266</v>
      </c>
      <c r="J88" s="12" t="n">
        <v>548.679</v>
      </c>
      <c r="K88" s="12" t="n">
        <v>357.435</v>
      </c>
      <c r="L88" s="12" t="n">
        <v>320.463</v>
      </c>
      <c r="M88" s="12" t="n">
        <v>346.681</v>
      </c>
      <c r="N88" s="12" t="n">
        <v>972.996</v>
      </c>
      <c r="T88" s="12" t="n">
        <v>567.2329999999999</v>
      </c>
      <c r="U88" s="12" t="n">
        <v>707.599</v>
      </c>
      <c r="V88" s="12" t="n">
        <v>787.397</v>
      </c>
      <c r="W88" s="12" t="n">
        <v>548.679</v>
      </c>
      <c r="X88" s="12" t="n">
        <v>972.996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T89" s="17">
        <f>IF(OR(T88="",S88=""),"",IF(S88&lt;=0,"",IFERROR(T88/S88-1,"")))</f>
        <v/>
      </c>
      <c r="U89" s="17">
        <f>IF(OR(U88="",T88=""),"",IF(T88&lt;=0,"",IFERROR(U88/T88-1,"")))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 합계</t>
        </is>
      </c>
      <c r="C90" s="22" t="n">
        <v>360.65</v>
      </c>
      <c r="D90" s="22" t="n">
        <v>308.078</v>
      </c>
      <c r="E90" s="22" t="n">
        <v>321.563</v>
      </c>
      <c r="F90" s="22" t="n">
        <v>392.642</v>
      </c>
      <c r="G90" s="22" t="n">
        <v>360.724</v>
      </c>
      <c r="H90" s="22" t="n">
        <v>346.476</v>
      </c>
      <c r="I90" s="22" t="n">
        <v>370.435</v>
      </c>
      <c r="J90" s="22" t="n">
        <v>400.746</v>
      </c>
      <c r="K90" s="22" t="n">
        <v>355.724</v>
      </c>
      <c r="L90" s="22" t="n">
        <v>325.397</v>
      </c>
      <c r="M90" s="22" t="n">
        <v>312.553</v>
      </c>
      <c r="N90" s="22" t="n">
        <v>391.87</v>
      </c>
      <c r="T90" s="22" t="n">
        <v>379.353</v>
      </c>
      <c r="U90" s="22" t="n">
        <v>389.095</v>
      </c>
      <c r="V90" s="22" t="n">
        <v>392.642</v>
      </c>
      <c r="W90" s="22" t="n">
        <v>400.746</v>
      </c>
      <c r="X90" s="22" t="n">
        <v>391.87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T91" s="17">
        <f>IF(OR(T90="",S90=""),"",IF(T90*S90&lt;=0,"",IFERROR(T90/S90-1,"")))</f>
        <v/>
      </c>
      <c r="U91" s="17">
        <f>IF(OR(U90="",T90=""),"",IF(U90*T90&lt;=0,"",IFERROR(U90/T90-1,"")))</f>
        <v/>
      </c>
      <c r="V91" s="17">
        <f>IF(OR(V90="",U90=""),"",IF(V90*U90&lt;=0,"",IFERROR(V90/U90-1,"")))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</t>
        </is>
      </c>
      <c r="C92" s="12" t="n">
        <v>-31.881</v>
      </c>
      <c r="D92" s="12" t="n">
        <v>19.807</v>
      </c>
      <c r="E92" s="12" t="n">
        <v>0.253</v>
      </c>
      <c r="F92" s="12" t="n">
        <v>394.754</v>
      </c>
      <c r="G92" s="12" t="n">
        <v>-5.405</v>
      </c>
      <c r="H92" s="12" t="n">
        <v>380.025</v>
      </c>
      <c r="I92" s="12" t="n">
        <v>89.831</v>
      </c>
      <c r="J92" s="12" t="n">
        <v>147.933</v>
      </c>
      <c r="K92" s="12" t="n">
        <v>1.711</v>
      </c>
      <c r="L92" s="12" t="n">
        <v>-4.933</v>
      </c>
      <c r="M92" s="12" t="n">
        <v>34.126</v>
      </c>
      <c r="N92" s="12" t="n">
        <v>581.126</v>
      </c>
      <c r="T92" s="12" t="n">
        <v>187.88</v>
      </c>
      <c r="U92" s="12" t="n">
        <v>318.504</v>
      </c>
      <c r="V92" s="12" t="n">
        <v>394.754</v>
      </c>
      <c r="W92" s="12" t="n">
        <v>147.933</v>
      </c>
      <c r="X92" s="12" t="n">
        <v>581.126</v>
      </c>
    </row>
    <row r="93">
      <c r="A93" s="45" t="inlineStr">
        <is>
          <t>OPM</t>
        </is>
      </c>
      <c r="B93" s="3" t="inlineStr">
        <is>
          <t>영업이익 ÷ 매출</t>
        </is>
      </c>
      <c r="C93" s="17">
        <f>IF(OR(C92="",C84=""),"",IF(C84&lt;=0,"",IFERROR(C92/C84,"")))</f>
        <v/>
      </c>
      <c r="D93" s="17">
        <f>IF(OR(D92="",D84=""),"",IF(D84&lt;=0,"",IFERROR(D92/D84,"")))</f>
        <v/>
      </c>
      <c r="E93" s="17">
        <f>IF(OR(E92="",E84=""),"",IF(E84&lt;=0,"",IFERROR(E92/E84,"")))</f>
        <v/>
      </c>
      <c r="F93" s="17">
        <f>IF(OR(F92="",F84=""),"",IF(F84&lt;=0,"",IFERROR(F92/F84,"")))</f>
        <v/>
      </c>
      <c r="G93" s="17">
        <f>IF(OR(G92="",G84=""),"",IF(G84&lt;=0,"",IFERROR(G92/G84,"")))</f>
        <v/>
      </c>
      <c r="H93" s="17">
        <f>IF(OR(H92="",H84=""),"",IF(H84&lt;=0,"",IFERROR(H92/H84,"")))</f>
        <v/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T93" s="17">
        <f>IF(OR(T92="",T84=""),"",IF(T84&lt;=0,"",IFERROR(T92/T84,"")))</f>
        <v/>
      </c>
      <c r="U93" s="17">
        <f>IF(OR(U92="",U84=""),"",IF(U84&lt;=0,"",IFERROR(U92/U84,"")))</f>
        <v/>
      </c>
      <c r="V93" s="17">
        <f>IF(OR(V92="",V84=""),"",IF(V84&lt;=0,"",IFERROR(V92/V84,"")))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G94" s="17">
        <f>IF(OR(G92="",C92=""),"",IF(C92&lt;=0,"",IFERROR(G92/C92-1,"")))</f>
        <v/>
      </c>
      <c r="H94" s="17">
        <f>IF(OR(H92="",D92=""),"",IF(D92&lt;=0,"",IFERROR(H92/D92-1,"")))</f>
        <v/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T94" s="17">
        <f>IF(OR(T92="",S92=""),"",IF(S92&lt;=0,"",IFERROR(T92/S92-1,"")))</f>
        <v/>
      </c>
      <c r="U94" s="17">
        <f>IF(OR(U92="",T92=""),"",IF(T92&lt;=0,"",IFERROR(U92/T92-1,"")))</f>
        <v/>
      </c>
      <c r="V94" s="17">
        <f>IF(OR(V92="",U92=""),"",IF(U92&lt;=0,"",IFERROR(V92/U92-1,"")))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이자수익</t>
        </is>
      </c>
      <c r="C95" s="22" t="n">
        <v>92.342</v>
      </c>
      <c r="D95" s="22" t="n">
        <v>91.685</v>
      </c>
      <c r="E95" s="22" t="n">
        <v>87.318</v>
      </c>
      <c r="F95" s="22" t="n">
        <v>75.883</v>
      </c>
      <c r="G95" s="22" t="n">
        <v>77.081</v>
      </c>
      <c r="H95" s="22" t="n">
        <v>77.462</v>
      </c>
      <c r="I95" s="22" t="n">
        <v>75.583</v>
      </c>
      <c r="J95" s="22" t="n">
        <v>82.55</v>
      </c>
      <c r="K95" s="22" t="n">
        <v>73.26000000000001</v>
      </c>
      <c r="L95" s="22" t="n">
        <v>68.45699999999999</v>
      </c>
      <c r="M95" s="22" t="n">
        <v>71.17100000000001</v>
      </c>
      <c r="N95" s="22" t="n">
        <v>69.85299999999999</v>
      </c>
      <c r="T95" s="22" t="n">
        <v>25.826</v>
      </c>
      <c r="U95" s="22" t="n">
        <v>86.741</v>
      </c>
      <c r="V95" s="22" t="n">
        <v>75.883</v>
      </c>
      <c r="W95" s="22" t="n">
        <v>82.55</v>
      </c>
      <c r="X95" s="22" t="n">
        <v>69.85299999999999</v>
      </c>
    </row>
    <row r="96">
      <c r="A96" s="20" t="inlineStr">
        <is>
          <t>배당금수익</t>
        </is>
      </c>
      <c r="C96" s="22" t="n">
        <v>12.232</v>
      </c>
      <c r="D96" s="22" t="n">
        <v>3.854</v>
      </c>
      <c r="E96" s="22" t="n">
        <v>17.941</v>
      </c>
      <c r="F96" s="22" t="n">
        <v>5.334</v>
      </c>
      <c r="G96" s="22" t="n">
        <v>15.128</v>
      </c>
      <c r="H96" s="22" t="n">
        <v>3.804</v>
      </c>
      <c r="I96" s="22" t="n">
        <v>17.576</v>
      </c>
      <c r="J96" s="22" t="n">
        <v>8.228</v>
      </c>
      <c r="K96" s="22" t="n">
        <v>16.77</v>
      </c>
      <c r="L96" s="22" t="n">
        <v>5.853</v>
      </c>
      <c r="M96" s="22" t="n">
        <v>18.697</v>
      </c>
      <c r="N96" s="22" t="n">
        <v>10.834</v>
      </c>
      <c r="T96" s="22" t="n">
        <v>4.77</v>
      </c>
      <c r="U96" s="22" t="n">
        <v>7.44</v>
      </c>
      <c r="V96" s="22" t="n">
        <v>5.334</v>
      </c>
      <c r="W96" s="22" t="n">
        <v>8.228</v>
      </c>
      <c r="X96" s="22" t="n">
        <v>10.834</v>
      </c>
    </row>
    <row r="97">
      <c r="A97" s="20" t="inlineStr">
        <is>
          <t>보조금 수입</t>
        </is>
      </c>
      <c r="C97" s="22" t="n">
        <v>4.559</v>
      </c>
      <c r="D97" s="22" t="n">
        <v>8.753</v>
      </c>
      <c r="E97" s="22" t="n">
        <v>0.08699999999999999</v>
      </c>
      <c r="F97" s="22" t="n">
        <v>0.651</v>
      </c>
      <c r="G97" s="22" t="n">
        <v>1.261</v>
      </c>
      <c r="H97" s="22" t="n">
        <v>0.969</v>
      </c>
      <c r="I97" s="22" t="n">
        <v>0.345</v>
      </c>
      <c r="J97" s="22" t="n">
        <v>13.624</v>
      </c>
      <c r="K97" s="22" t="n">
        <v>2.753</v>
      </c>
      <c r="L97" s="22" t="n">
        <v>6.403</v>
      </c>
      <c r="M97" s="22" t="n">
        <v>1.085</v>
      </c>
      <c r="N97" s="22" t="n">
        <v>0.781</v>
      </c>
      <c r="T97" s="22" t="n">
        <v>0.307</v>
      </c>
      <c r="U97" s="22" t="n">
        <v>0.296</v>
      </c>
      <c r="V97" s="22" t="n">
        <v>0.651</v>
      </c>
      <c r="W97" s="22" t="n">
        <v>13.624</v>
      </c>
      <c r="X97" s="22" t="n">
        <v>0.781</v>
      </c>
    </row>
    <row r="98">
      <c r="A98" s="20" t="inlineStr">
        <is>
          <t>투자유가증권 평가이익</t>
        </is>
      </c>
      <c r="C98" s="22" t="n">
        <v>3.385</v>
      </c>
      <c r="D98" s="22" t="n">
        <v>14.513</v>
      </c>
      <c r="E98" s="22" t="n">
        <v>24.285</v>
      </c>
      <c r="F98" s="22" t="n">
        <v>-30.499</v>
      </c>
      <c r="G98" s="22" t="n">
        <v>7.647</v>
      </c>
      <c r="H98" s="22" t="n">
        <v>1.41</v>
      </c>
      <c r="I98" s="22" t="n">
        <v>-9.057</v>
      </c>
      <c r="J98" s="22" t="n">
        <v>9.832000000000001</v>
      </c>
      <c r="K98" s="22" t="n">
        <v>17.749</v>
      </c>
      <c r="L98" s="22" t="n">
        <v>0.84</v>
      </c>
      <c r="M98" s="22" t="n">
        <v>-1.256</v>
      </c>
      <c r="N98" s="22" t="n">
        <v>2.142</v>
      </c>
      <c r="T98" s="22" t="n">
        <v>26.137</v>
      </c>
      <c r="U98" s="22" t="n">
        <v>14.507</v>
      </c>
      <c r="V98" s="22" t="n">
        <v>-30.499</v>
      </c>
      <c r="W98" s="22" t="n">
        <v>9.832000000000001</v>
      </c>
      <c r="X98" s="22" t="n">
        <v>2.142</v>
      </c>
    </row>
    <row r="99">
      <c r="A99" s="20" t="inlineStr">
        <is>
          <t>외환차익</t>
        </is>
      </c>
      <c r="C99" s="22" t="n">
        <v>45.612</v>
      </c>
      <c r="D99" s="22" t="n">
        <v>156.909</v>
      </c>
      <c r="E99" s="22" t="n">
        <v>227.977</v>
      </c>
      <c r="F99" s="22" t="n">
        <v>-430.498</v>
      </c>
      <c r="G99" s="22" t="n">
        <v>259.131</v>
      </c>
      <c r="H99" s="22" t="n">
        <v>-49.074</v>
      </c>
      <c r="I99" s="22" t="n">
        <v>-210.057</v>
      </c>
      <c r="J99" s="22" t="n">
        <v>93.675</v>
      </c>
      <c r="K99" s="22" t="n">
        <v>452.68</v>
      </c>
      <c r="L99" s="22" t="n">
        <v>-39.269</v>
      </c>
      <c r="M99" s="22" t="n">
        <v>167.196</v>
      </c>
      <c r="N99" s="22" t="n">
        <v>42.59</v>
      </c>
      <c r="T99" s="22" t="n">
        <v>464.003</v>
      </c>
      <c r="U99" s="22" t="n">
        <v>333.291</v>
      </c>
      <c r="V99" s="22" t="n">
        <v>-430.498</v>
      </c>
      <c r="W99" s="22" t="n">
        <v>93.675</v>
      </c>
      <c r="X99" s="22" t="n">
        <v>42.59</v>
      </c>
    </row>
    <row r="100">
      <c r="A100" s="20" t="inlineStr">
        <is>
          <t>기타</t>
        </is>
      </c>
      <c r="C100" s="22" t="n">
        <v>10.742</v>
      </c>
      <c r="D100" s="22" t="n">
        <v>5.838</v>
      </c>
      <c r="E100" s="22" t="n">
        <v>11.548</v>
      </c>
      <c r="F100" s="22" t="n">
        <v>22.134</v>
      </c>
      <c r="G100" s="22" t="n">
        <v>8.298</v>
      </c>
      <c r="H100" s="22" t="n">
        <v>11.209</v>
      </c>
      <c r="I100" s="22" t="n">
        <v>13.293</v>
      </c>
      <c r="J100" s="22" t="n">
        <v>0.137</v>
      </c>
      <c r="K100" s="22" t="n">
        <v>8.257999999999999</v>
      </c>
      <c r="L100" s="22" t="n">
        <v>7.276</v>
      </c>
      <c r="M100" s="22" t="n">
        <v>13.345</v>
      </c>
      <c r="N100" s="22" t="n">
        <v>5.009</v>
      </c>
      <c r="T100" s="22" t="n">
        <v>5.978</v>
      </c>
      <c r="U100" s="22" t="n">
        <v>6.45</v>
      </c>
      <c r="V100" s="22" t="n">
        <v>22.134</v>
      </c>
      <c r="W100" s="22" t="n">
        <v>0.137</v>
      </c>
      <c r="X100" s="22" t="n">
        <v>5.009</v>
      </c>
    </row>
    <row r="101">
      <c r="A101" s="20" t="inlineStr">
        <is>
          <t>영업외수익 합계</t>
        </is>
      </c>
      <c r="C101" s="22" t="n">
        <v>168.873</v>
      </c>
      <c r="D101" s="22" t="n">
        <v>281.552</v>
      </c>
      <c r="E101" s="22" t="n">
        <v>369.159</v>
      </c>
      <c r="F101" s="22" t="n">
        <v>-356.997</v>
      </c>
      <c r="G101" s="22" t="n">
        <v>368.548</v>
      </c>
      <c r="H101" s="22" t="n">
        <v>45.781</v>
      </c>
      <c r="I101" s="22" t="n">
        <v>-112.319</v>
      </c>
      <c r="J101" s="22" t="n">
        <v>208.047</v>
      </c>
      <c r="K101" s="22" t="n">
        <v>571.473</v>
      </c>
      <c r="L101" s="22" t="n">
        <v>49.56</v>
      </c>
      <c r="M101" s="22" t="n">
        <v>270.238</v>
      </c>
      <c r="N101" s="22" t="n">
        <v>131.208</v>
      </c>
      <c r="T101" s="22" t="n">
        <v>527.021</v>
      </c>
      <c r="U101" s="22" t="n">
        <v>448.726</v>
      </c>
      <c r="V101" s="22" t="n">
        <v>-356.997</v>
      </c>
      <c r="W101" s="22" t="n">
        <v>208.047</v>
      </c>
      <c r="X101" s="22" t="n">
        <v>131.208</v>
      </c>
    </row>
    <row r="102">
      <c r="A102" s="45" t="inlineStr">
        <is>
          <t>YoY</t>
        </is>
      </c>
      <c r="B102" s="3" t="inlineStr">
        <is>
          <t>전년 같은 분기·전년 대비</t>
        </is>
      </c>
      <c r="G102" s="17">
        <f>IF(OR(G101="",C101=""),"",IF(G101*C101&lt;=0,"",IFERROR(G101/C101-1,"")))</f>
        <v/>
      </c>
      <c r="H102" s="17">
        <f>IF(OR(H101="",D101=""),"",IF(H101*D101&lt;=0,"",IFERROR(H101/D101-1,"")))</f>
        <v/>
      </c>
      <c r="I102" s="17">
        <f>IF(OR(I101="",E101=""),"",IF(I101*E101&lt;=0,"",IFERROR(I101/E101-1,"")))</f>
        <v/>
      </c>
      <c r="J102" s="17">
        <f>IF(OR(J101="",F101=""),"",IF(J101*F101&lt;=0,"",IFERROR(J101/F101-1,"")))</f>
        <v/>
      </c>
      <c r="K102" s="17">
        <f>IF(OR(K101="",G101=""),"",IF(K101*G101&lt;=0,"",IFERROR(K101/G101-1,"")))</f>
        <v/>
      </c>
      <c r="L102" s="17">
        <f>IF(OR(L101="",H101=""),"",IF(L101*H101&lt;=0,"",IFERROR(L101/H101-1,"")))</f>
        <v/>
      </c>
      <c r="M102" s="17">
        <f>IF(OR(M101="",I101=""),"",IF(M101*I101&lt;=0,"",IFERROR(M101/I101-1,"")))</f>
        <v/>
      </c>
      <c r="N102" s="17">
        <f>IF(OR(N101="",J101=""),"",IF(N101*J101&lt;=0,"",IFERROR(N101/J101-1,"")))</f>
        <v/>
      </c>
      <c r="T102" s="17">
        <f>IF(OR(T101="",S101=""),"",IF(T101*S101&lt;=0,"",IFERROR(T101/S101-1,"")))</f>
        <v/>
      </c>
      <c r="U102" s="17">
        <f>IF(OR(U101="",T101=""),"",IF(U101*T101&lt;=0,"",IFERROR(U101/T101-1,"")))</f>
        <v/>
      </c>
      <c r="V102" s="17">
        <f>IF(OR(V101="",U101=""),"",IF(V101*U101&lt;=0,"",IFERROR(V101/U101-1,"")))</f>
        <v/>
      </c>
      <c r="W102" s="17">
        <f>IF(OR(W101="",V101=""),"",IF(W101*V101&lt;=0,"",IFERROR(W101/V101-1,"")))</f>
        <v/>
      </c>
      <c r="X102" s="17">
        <f>IF(OR(X101="",W101=""),"",IF(X101*W101&lt;=0,"",IFERROR(X101/W101-1,"")))</f>
        <v/>
      </c>
    </row>
    <row r="103">
      <c r="A103" s="20" t="inlineStr">
        <is>
          <t>이자비용</t>
        </is>
      </c>
      <c r="C103" s="22" t="n">
        <v>0.094</v>
      </c>
      <c r="D103" s="22" t="n">
        <v>0.253</v>
      </c>
      <c r="E103" s="22" t="n">
        <v>0.217</v>
      </c>
      <c r="F103" s="22" t="n">
        <v>0.218</v>
      </c>
      <c r="G103" s="22" t="n">
        <v>0.843</v>
      </c>
      <c r="H103" s="22" t="n">
        <v>0.902</v>
      </c>
      <c r="I103" s="22" t="n">
        <v>0.774</v>
      </c>
      <c r="J103" s="22" t="n">
        <v>0.772</v>
      </c>
      <c r="K103" s="22" t="n">
        <v>0.263</v>
      </c>
      <c r="L103" s="22" t="n">
        <v>1.259</v>
      </c>
      <c r="M103" s="22" t="n">
        <v>1.182</v>
      </c>
      <c r="N103" s="22" t="n">
        <v>0.153</v>
      </c>
      <c r="T103" s="22" t="n">
        <v>0.015</v>
      </c>
      <c r="U103" s="22" t="n">
        <v>0.301</v>
      </c>
      <c r="V103" s="22" t="n">
        <v>0.218</v>
      </c>
      <c r="W103" s="22" t="n">
        <v>0.772</v>
      </c>
      <c r="X103" s="22" t="n">
        <v>0.153</v>
      </c>
    </row>
    <row r="104">
      <c r="A104" s="20" t="inlineStr">
        <is>
          <t>창립비</t>
        </is>
      </c>
      <c r="F104" s="22" t="n">
        <v>0</v>
      </c>
      <c r="T104" s="22" t="n">
        <v>0</v>
      </c>
      <c r="U104" s="22" t="n">
        <v>0</v>
      </c>
      <c r="V104" s="22" t="n">
        <v>0</v>
      </c>
    </row>
    <row r="105">
      <c r="A105" s="20" t="inlineStr">
        <is>
          <t>개업비</t>
        </is>
      </c>
      <c r="C105" s="22" t="n">
        <v>14.434</v>
      </c>
      <c r="D105" s="22" t="n">
        <v>11.547</v>
      </c>
      <c r="E105" s="22" t="n">
        <v>0.308</v>
      </c>
      <c r="F105" s="22" t="n">
        <v>0.08</v>
      </c>
      <c r="G105" s="22" t="n">
        <v>0</v>
      </c>
      <c r="H105" s="22" t="n">
        <v>0</v>
      </c>
      <c r="I105" s="22" t="n">
        <v>0</v>
      </c>
      <c r="J105" s="22" t="n">
        <v>0</v>
      </c>
      <c r="U105" s="22" t="n">
        <v>3.176</v>
      </c>
      <c r="V105" s="22" t="n">
        <v>0.08</v>
      </c>
      <c r="W105" s="22" t="n">
        <v>0</v>
      </c>
    </row>
    <row r="106">
      <c r="A106" s="20" t="inlineStr">
        <is>
          <t>외환차손</t>
        </is>
      </c>
      <c r="C106" s="22" t="n">
        <v>0</v>
      </c>
      <c r="D106" s="22" t="n">
        <v>0</v>
      </c>
      <c r="E106" s="22" t="n">
        <v>0</v>
      </c>
      <c r="F106" s="22" t="n">
        <v>52.628</v>
      </c>
      <c r="J106" s="22" t="n">
        <v>-46.762</v>
      </c>
      <c r="V106" s="22" t="n">
        <v>52.628</v>
      </c>
      <c r="W106" s="22" t="n">
        <v>-46.762</v>
      </c>
    </row>
    <row r="107">
      <c r="A107" s="20" t="inlineStr">
        <is>
          <t>투자유가증권 평가손실</t>
        </is>
      </c>
      <c r="C107" s="22" t="n">
        <v>0</v>
      </c>
      <c r="D107" s="22" t="n">
        <v>0</v>
      </c>
      <c r="E107" s="22" t="n">
        <v>0</v>
      </c>
    </row>
    <row r="108">
      <c r="A108" s="20" t="inlineStr">
        <is>
          <t>기타</t>
        </is>
      </c>
      <c r="C108" s="22" t="n">
        <v>0.412</v>
      </c>
      <c r="D108" s="22" t="n">
        <v>0</v>
      </c>
      <c r="E108" s="22" t="n">
        <v>0.068</v>
      </c>
      <c r="F108" s="22" t="n">
        <v>0.998</v>
      </c>
      <c r="G108" s="22" t="n">
        <v>0.001</v>
      </c>
      <c r="H108" s="22" t="n">
        <v>0.02</v>
      </c>
      <c r="I108" s="22" t="n">
        <v>0.016</v>
      </c>
      <c r="J108" s="22" t="n">
        <v>0</v>
      </c>
      <c r="K108" s="22" t="n">
        <v>0</v>
      </c>
      <c r="L108" s="22" t="n">
        <v>0.034</v>
      </c>
      <c r="M108" s="22" t="n">
        <v>0</v>
      </c>
      <c r="N108" s="22" t="n">
        <v>0.043</v>
      </c>
      <c r="T108" s="22" t="n">
        <v>1.004</v>
      </c>
      <c r="U108" s="22" t="n">
        <v>0.023</v>
      </c>
      <c r="V108" s="22" t="n">
        <v>0.998</v>
      </c>
      <c r="W108" s="22" t="n">
        <v>0</v>
      </c>
      <c r="X108" s="22" t="n">
        <v>0.043</v>
      </c>
    </row>
    <row r="109">
      <c r="A109" s="20" t="inlineStr">
        <is>
          <t>영업외비용 합계</t>
        </is>
      </c>
      <c r="C109" s="22" t="n">
        <v>14.942</v>
      </c>
      <c r="D109" s="22" t="n">
        <v>11.8</v>
      </c>
      <c r="E109" s="22" t="n">
        <v>0.592</v>
      </c>
      <c r="F109" s="22" t="n">
        <v>54.922</v>
      </c>
      <c r="G109" s="22" t="n">
        <v>0.844</v>
      </c>
      <c r="H109" s="22" t="n">
        <v>0.923</v>
      </c>
      <c r="I109" s="22" t="n">
        <v>48.959</v>
      </c>
      <c r="J109" s="22" t="n">
        <v>-47.398</v>
      </c>
      <c r="K109" s="22" t="n">
        <v>0.263</v>
      </c>
      <c r="L109" s="22" t="n">
        <v>1.293</v>
      </c>
      <c r="M109" s="22" t="n">
        <v>1.183</v>
      </c>
      <c r="N109" s="22" t="n">
        <v>0.196</v>
      </c>
      <c r="T109" s="22" t="n">
        <v>1.019</v>
      </c>
      <c r="U109" s="22" t="n">
        <v>5.805</v>
      </c>
      <c r="V109" s="22" t="n">
        <v>54.922</v>
      </c>
      <c r="W109" s="22" t="n">
        <v>-47.398</v>
      </c>
      <c r="X109" s="22" t="n">
        <v>0.196</v>
      </c>
    </row>
    <row r="110">
      <c r="A110" s="45" t="inlineStr">
        <is>
          <t>YoY</t>
        </is>
      </c>
      <c r="B110" s="3" t="inlineStr">
        <is>
          <t>전년 같은 분기·전년 대비</t>
        </is>
      </c>
      <c r="G110" s="17">
        <f>IF(OR(G109="",C109=""),"",IF(G109*C109&lt;=0,"",IFERROR(G109/C109-1,"")))</f>
        <v/>
      </c>
      <c r="H110" s="17">
        <f>IF(OR(H109="",D109=""),"",IF(H109*D109&lt;=0,"",IFERROR(H109/D109-1,"")))</f>
        <v/>
      </c>
      <c r="I110" s="17">
        <f>IF(OR(I109="",E109=""),"",IF(I109*E109&lt;=0,"",IFERROR(I109/E109-1,"")))</f>
        <v/>
      </c>
      <c r="J110" s="17">
        <f>IF(OR(J109="",F109=""),"",IF(J109*F109&lt;=0,"",IFERROR(J109/F109-1,"")))</f>
        <v/>
      </c>
      <c r="K110" s="17">
        <f>IF(OR(K109="",G109=""),"",IF(K109*G109&lt;=0,"",IFERROR(K109/G109-1,"")))</f>
        <v/>
      </c>
      <c r="L110" s="17">
        <f>IF(OR(L109="",H109=""),"",IF(L109*H109&lt;=0,"",IFERROR(L109/H109-1,"")))</f>
        <v/>
      </c>
      <c r="M110" s="17">
        <f>IF(OR(M109="",I109=""),"",IF(M109*I109&lt;=0,"",IFERROR(M109/I109-1,"")))</f>
        <v/>
      </c>
      <c r="N110" s="17">
        <f>IF(OR(N109="",J109=""),"",IF(N109*J109&lt;=0,"",IFERROR(N109/J109-1,"")))</f>
        <v/>
      </c>
      <c r="T110" s="17">
        <f>IF(OR(T109="",S109=""),"",IF(T109*S109&lt;=0,"",IFERROR(T109/S109-1,"")))</f>
        <v/>
      </c>
      <c r="U110" s="17">
        <f>IF(OR(U109="",T109=""),"",IF(U109*T109&lt;=0,"",IFERROR(U109/T109-1,"")))</f>
        <v/>
      </c>
      <c r="V110" s="17">
        <f>IF(OR(V109="",U109=""),"",IF(V109*U109&lt;=0,"",IFERROR(V109/U109-1,"")))</f>
        <v/>
      </c>
      <c r="W110" s="17">
        <f>IF(OR(W109="",V109=""),"",IF(W109*V109&lt;=0,"",IFERROR(W109/V109-1,"")))</f>
        <v/>
      </c>
      <c r="X110" s="17">
        <f>IF(OR(X109="",W109=""),"",IF(X109*W109&lt;=0,"",IFERROR(X109/W109-1,"")))</f>
        <v/>
      </c>
    </row>
    <row r="111">
      <c r="A111" s="9" t="inlineStr">
        <is>
          <t>경상이익</t>
        </is>
      </c>
      <c r="C111" s="12" t="n">
        <v>122.049</v>
      </c>
      <c r="D111" s="12" t="n">
        <v>289.559</v>
      </c>
      <c r="E111" s="12" t="n">
        <v>368.82</v>
      </c>
      <c r="F111" s="12" t="n">
        <v>-17.164</v>
      </c>
      <c r="G111" s="12" t="n">
        <v>362.298</v>
      </c>
      <c r="H111" s="12" t="n">
        <v>424.884</v>
      </c>
      <c r="I111" s="12" t="n">
        <v>-71.44799999999999</v>
      </c>
      <c r="J111" s="12" t="n">
        <v>403.379</v>
      </c>
      <c r="K111" s="12" t="n">
        <v>572.921</v>
      </c>
      <c r="L111" s="12" t="n">
        <v>43.333</v>
      </c>
      <c r="M111" s="12" t="n">
        <v>303.182</v>
      </c>
      <c r="N111" s="12" t="n">
        <v>712.139</v>
      </c>
      <c r="T111" s="12" t="n">
        <v>713.884</v>
      </c>
      <c r="U111" s="12" t="n">
        <v>761.425</v>
      </c>
      <c r="V111" s="12" t="n">
        <v>-17.164</v>
      </c>
      <c r="W111" s="12" t="n">
        <v>403.379</v>
      </c>
      <c r="X111" s="12" t="n">
        <v>712.139</v>
      </c>
    </row>
    <row r="112">
      <c r="A112" s="45" t="inlineStr">
        <is>
          <t>YoY</t>
        </is>
      </c>
      <c r="B112" s="3" t="inlineStr">
        <is>
          <t>전년 같은 분기·전년 대비</t>
        </is>
      </c>
      <c r="G112" s="17">
        <f>IF(OR(G111="",C111=""),"",IF(C111&lt;=0,"",IFERROR(G111/C111-1,"")))</f>
        <v/>
      </c>
      <c r="H112" s="17">
        <f>IF(OR(H111="",D111=""),"",IF(D111&lt;=0,"",IFERROR(H111/D111-1,"")))</f>
        <v/>
      </c>
      <c r="I112" s="17">
        <f>IF(OR(I111="",E111=""),"",IF(E111&lt;=0,"",IFERROR(I111/E111-1,"")))</f>
        <v/>
      </c>
      <c r="J112" s="17">
        <f>IF(OR(J111="",F111=""),"",IF(F111&lt;=0,"",IFERROR(J111/F111-1,"")))</f>
        <v/>
      </c>
      <c r="K112" s="17">
        <f>IF(OR(K111="",G111=""),"",IF(G111&lt;=0,"",IFERROR(K111/G111-1,"")))</f>
        <v/>
      </c>
      <c r="L112" s="17">
        <f>IF(OR(L111="",H111=""),"",IF(H111&lt;=0,"",IFERROR(L111/H111-1,"")))</f>
        <v/>
      </c>
      <c r="M112" s="17">
        <f>IF(OR(M111="",I111=""),"",IF(I111&lt;=0,"",IFERROR(M111/I111-1,"")))</f>
        <v/>
      </c>
      <c r="N112" s="17">
        <f>IF(OR(N111="",J111=""),"",IF(J111&lt;=0,"",IFERROR(N111/J111-1,"")))</f>
        <v/>
      </c>
      <c r="T112" s="17">
        <f>IF(OR(T111="",S111=""),"",IF(S111&lt;=0,"",IFERROR(T111/S111-1,"")))</f>
        <v/>
      </c>
      <c r="U112" s="17">
        <f>IF(OR(U111="",T111=""),"",IF(T111&lt;=0,"",IFERROR(U111/T111-1,"")))</f>
        <v/>
      </c>
      <c r="V112" s="17">
        <f>IF(OR(V111="",U111=""),"",IF(U111&lt;=0,"",IFERROR(V111/U111-1,"")))</f>
        <v/>
      </c>
      <c r="W112" s="17">
        <f>IF(OR(W111="",V111=""),"",IF(V111&lt;=0,"",IFERROR(W111/V111-1,"")))</f>
        <v/>
      </c>
      <c r="X112" s="17">
        <f>IF(OR(X111="",W111=""),"",IF(W111&lt;=0,"",IFERROR(X111/W111-1,"")))</f>
        <v/>
      </c>
    </row>
    <row r="113">
      <c r="A113" s="20" t="inlineStr">
        <is>
          <t>고정자산 매각이익</t>
        </is>
      </c>
      <c r="C113" s="22" t="n">
        <v>2.415</v>
      </c>
      <c r="D113" s="22" t="n">
        <v>0.5639999999999999</v>
      </c>
      <c r="E113" s="22" t="n">
        <v>0.232</v>
      </c>
      <c r="F113" s="22" t="n">
        <v>0.746</v>
      </c>
      <c r="G113" s="22" t="n">
        <v>0.49</v>
      </c>
      <c r="H113" s="22" t="n">
        <v>0</v>
      </c>
      <c r="I113" s="22" t="n">
        <v>0.037</v>
      </c>
      <c r="J113" s="22" t="n">
        <v>0.9419999999999999</v>
      </c>
      <c r="K113" s="22" t="n">
        <v>1.905</v>
      </c>
      <c r="L113" s="22" t="n">
        <v>0</v>
      </c>
      <c r="M113" s="22" t="n">
        <v>0</v>
      </c>
      <c r="N113" s="22" t="n">
        <v>1.434</v>
      </c>
      <c r="T113" s="22" t="n">
        <v>0.487</v>
      </c>
      <c r="U113" s="22" t="n">
        <v>0.01</v>
      </c>
      <c r="V113" s="22" t="n">
        <v>0.746</v>
      </c>
      <c r="W113" s="22" t="n">
        <v>0.9419999999999999</v>
      </c>
      <c r="X113" s="22" t="n">
        <v>1.434</v>
      </c>
    </row>
    <row r="114">
      <c r="A114" s="20" t="inlineStr">
        <is>
          <t>특별이익 합계</t>
        </is>
      </c>
      <c r="C114" s="22" t="n">
        <v>2.415</v>
      </c>
      <c r="D114" s="22" t="n">
        <v>0.5639999999999999</v>
      </c>
      <c r="E114" s="22" t="n">
        <v>0.232</v>
      </c>
      <c r="F114" s="22" t="n">
        <v>0.746</v>
      </c>
      <c r="G114" s="22" t="n">
        <v>0.49</v>
      </c>
      <c r="H114" s="22" t="n">
        <v>0</v>
      </c>
      <c r="I114" s="22" t="n">
        <v>0.037</v>
      </c>
      <c r="J114" s="22" t="n">
        <v>0.9419999999999999</v>
      </c>
      <c r="K114" s="22" t="n">
        <v>1.905</v>
      </c>
      <c r="L114" s="22" t="n">
        <v>0</v>
      </c>
      <c r="M114" s="22" t="n">
        <v>0</v>
      </c>
      <c r="N114" s="22" t="n">
        <v>1.434</v>
      </c>
      <c r="T114" s="22" t="n">
        <v>0.487</v>
      </c>
      <c r="U114" s="22" t="n">
        <v>0.01</v>
      </c>
      <c r="V114" s="22" t="n">
        <v>0.746</v>
      </c>
      <c r="W114" s="22" t="n">
        <v>0.9419999999999999</v>
      </c>
      <c r="X114" s="22" t="n">
        <v>1.434</v>
      </c>
    </row>
    <row r="115">
      <c r="A115" s="45" t="inlineStr">
        <is>
          <t>YoY</t>
        </is>
      </c>
      <c r="B115" s="3" t="inlineStr">
        <is>
          <t>전년 같은 분기·전년 대비</t>
        </is>
      </c>
      <c r="G115" s="17">
        <f>IF(OR(G114="",C114=""),"",IF(G114*C114&lt;=0,"",IFERROR(G114/C114-1,"")))</f>
        <v/>
      </c>
      <c r="H115" s="17">
        <f>IF(OR(H114="",D114=""),"",IF(H114*D114&lt;=0,"",IFERROR(H114/D114-1,"")))</f>
        <v/>
      </c>
      <c r="I115" s="17">
        <f>IF(OR(I114="",E114=""),"",IF(I114*E114&lt;=0,"",IFERROR(I114/E114-1,"")))</f>
        <v/>
      </c>
      <c r="J115" s="17">
        <f>IF(OR(J114="",F114=""),"",IF(J114*F114&lt;=0,"",IFERROR(J114/F114-1,"")))</f>
        <v/>
      </c>
      <c r="K115" s="17">
        <f>IF(OR(K114="",G114=""),"",IF(K114*G114&lt;=0,"",IFERROR(K114/G114-1,"")))</f>
        <v/>
      </c>
      <c r="L115" s="17">
        <f>IF(OR(L114="",H114=""),"",IF(L114*H114&lt;=0,"",IFERROR(L114/H114-1,"")))</f>
        <v/>
      </c>
      <c r="M115" s="17">
        <f>IF(OR(M114="",I114=""),"",IF(M114*I114&lt;=0,"",IFERROR(M114/I114-1,"")))</f>
        <v/>
      </c>
      <c r="N115" s="17">
        <f>IF(OR(N114="",J114=""),"",IF(N114*J114&lt;=0,"",IFERROR(N114/J114-1,"")))</f>
        <v/>
      </c>
      <c r="T115" s="17">
        <f>IF(OR(T114="",S114=""),"",IF(T114*S114&lt;=0,"",IFERROR(T114/S114-1,"")))</f>
        <v/>
      </c>
      <c r="U115" s="17">
        <f>IF(OR(U114="",T114=""),"",IF(U114*T114&lt;=0,"",IFERROR(U114/T114-1,"")))</f>
        <v/>
      </c>
      <c r="V115" s="17">
        <f>IF(OR(V114="",U114=""),"",IF(V114*U114&lt;=0,"",IFERROR(V114/U114-1,"")))</f>
        <v/>
      </c>
      <c r="W115" s="17">
        <f>IF(OR(W114="",V114=""),"",IF(W114*V114&lt;=0,"",IFERROR(W114/V114-1,"")))</f>
        <v/>
      </c>
      <c r="X115" s="17">
        <f>IF(OR(X114="",W114=""),"",IF(X114*W114&lt;=0,"",IFERROR(X114/W114-1,"")))</f>
        <v/>
      </c>
    </row>
    <row r="116">
      <c r="A116" s="20" t="inlineStr">
        <is>
          <t>고정자산 제각손실</t>
        </is>
      </c>
      <c r="E116" s="22" t="n">
        <v>0</v>
      </c>
      <c r="F116" s="22" t="n">
        <v>3.113</v>
      </c>
      <c r="G116" s="22" t="n">
        <v>0</v>
      </c>
      <c r="H116" s="22" t="n">
        <v>0</v>
      </c>
      <c r="I116" s="22" t="n">
        <v>0</v>
      </c>
      <c r="J116" s="22" t="n">
        <v>10.437</v>
      </c>
      <c r="K116" s="22" t="n">
        <v>0.355</v>
      </c>
      <c r="L116" s="22" t="n">
        <v>2.634</v>
      </c>
      <c r="M116" s="22" t="n">
        <v>0.535</v>
      </c>
      <c r="N116" s="22" t="n">
        <v>0</v>
      </c>
      <c r="T116" s="22" t="n">
        <v>18.698</v>
      </c>
      <c r="U116" s="22" t="n">
        <v>0.08799999999999999</v>
      </c>
      <c r="V116" s="22" t="n">
        <v>3.113</v>
      </c>
      <c r="W116" s="22" t="n">
        <v>10.437</v>
      </c>
      <c r="X116" s="22" t="n">
        <v>0</v>
      </c>
    </row>
    <row r="117">
      <c r="A117" s="20" t="inlineStr">
        <is>
          <t>특별손실 합계</t>
        </is>
      </c>
      <c r="E117" s="22" t="n">
        <v>0</v>
      </c>
      <c r="F117" s="22" t="n">
        <v>35.923</v>
      </c>
      <c r="G117" s="22" t="n">
        <v>0</v>
      </c>
      <c r="H117" s="22" t="n">
        <v>0</v>
      </c>
      <c r="I117" s="22" t="n">
        <v>0</v>
      </c>
      <c r="J117" s="22" t="n">
        <v>10.437</v>
      </c>
      <c r="K117" s="22" t="n">
        <v>0.355</v>
      </c>
      <c r="L117" s="22" t="n">
        <v>2.634</v>
      </c>
      <c r="M117" s="22" t="n">
        <v>0.535</v>
      </c>
      <c r="N117" s="22" t="n">
        <v>0</v>
      </c>
      <c r="T117" s="22" t="n">
        <v>18.698</v>
      </c>
      <c r="U117" s="22" t="n">
        <v>0.08799999999999999</v>
      </c>
      <c r="V117" s="22" t="n">
        <v>35.923</v>
      </c>
      <c r="W117" s="22" t="n">
        <v>10.437</v>
      </c>
      <c r="X117" s="22" t="n">
        <v>0</v>
      </c>
    </row>
    <row r="118">
      <c r="A118" s="45" t="inlineStr">
        <is>
          <t>YoY</t>
        </is>
      </c>
      <c r="B118" s="3" t="inlineStr">
        <is>
          <t>전년 같은 분기·전년 대비</t>
        </is>
      </c>
      <c r="G118" s="17">
        <f>IF(OR(G117="",C117=""),"",IF(G117*C117&lt;=0,"",IFERROR(G117/C117-1,"")))</f>
        <v/>
      </c>
      <c r="H118" s="17">
        <f>IF(OR(H117="",D117=""),"",IF(H117*D117&lt;=0,"",IFERROR(H117/D117-1,"")))</f>
        <v/>
      </c>
      <c r="I118" s="17">
        <f>IF(OR(I117="",E117=""),"",IF(I117*E117&lt;=0,"",IFERROR(I117/E117-1,"")))</f>
        <v/>
      </c>
      <c r="J118" s="17">
        <f>IF(OR(J117="",F117=""),"",IF(J117*F117&lt;=0,"",IFERROR(J117/F117-1,"")))</f>
        <v/>
      </c>
      <c r="K118" s="17">
        <f>IF(OR(K117="",G117=""),"",IF(K117*G117&lt;=0,"",IFERROR(K117/G117-1,"")))</f>
        <v/>
      </c>
      <c r="L118" s="17">
        <f>IF(OR(L117="",H117=""),"",IF(L117*H117&lt;=0,"",IFERROR(L117/H117-1,"")))</f>
        <v/>
      </c>
      <c r="M118" s="17">
        <f>IF(OR(M117="",I117=""),"",IF(M117*I117&lt;=0,"",IFERROR(M117/I117-1,"")))</f>
        <v/>
      </c>
      <c r="N118" s="17">
        <f>IF(OR(N117="",J117=""),"",IF(N117*J117&lt;=0,"",IFERROR(N117/J117-1,"")))</f>
        <v/>
      </c>
      <c r="T118" s="17">
        <f>IF(OR(T117="",S117=""),"",IF(T117*S117&lt;=0,"",IFERROR(T117/S117-1,"")))</f>
        <v/>
      </c>
      <c r="U118" s="17">
        <f>IF(OR(U117="",T117=""),"",IF(U117*T117&lt;=0,"",IFERROR(U117/T117-1,"")))</f>
        <v/>
      </c>
      <c r="V118" s="17">
        <f>IF(OR(V117="",U117=""),"",IF(V117*U117&lt;=0,"",IFERROR(V117/U117-1,"")))</f>
        <v/>
      </c>
      <c r="W118" s="17">
        <f>IF(OR(W117="",V117=""),"",IF(W117*V117&lt;=0,"",IFERROR(W117/V117-1,"")))</f>
        <v/>
      </c>
      <c r="X118" s="17">
        <f>IF(OR(X117="",W117=""),"",IF(X117*W117&lt;=0,"",IFERROR(X117/W117-1,"")))</f>
        <v/>
      </c>
    </row>
    <row r="119">
      <c r="A119" s="9" t="inlineStr">
        <is>
          <t>법인세차감전 순이익</t>
        </is>
      </c>
      <c r="C119" s="12" t="n">
        <v>124.465</v>
      </c>
      <c r="D119" s="12" t="n">
        <v>290.123</v>
      </c>
      <c r="E119" s="12" t="n">
        <v>369.052</v>
      </c>
      <c r="F119" s="12" t="n">
        <v>-52.343</v>
      </c>
      <c r="G119" s="12" t="n">
        <v>362.789</v>
      </c>
      <c r="H119" s="12" t="n">
        <v>424.884</v>
      </c>
      <c r="I119" s="12" t="n">
        <v>-71.411</v>
      </c>
      <c r="J119" s="12" t="n">
        <v>393.883</v>
      </c>
      <c r="K119" s="12" t="n">
        <v>574.47</v>
      </c>
      <c r="L119" s="12" t="n">
        <v>40.699</v>
      </c>
      <c r="M119" s="12" t="n">
        <v>302.648</v>
      </c>
      <c r="N119" s="12" t="n">
        <v>713.573</v>
      </c>
      <c r="T119" s="12" t="n">
        <v>695.672</v>
      </c>
      <c r="U119" s="12" t="n">
        <v>761.347</v>
      </c>
      <c r="V119" s="12" t="n">
        <v>-52.343</v>
      </c>
      <c r="W119" s="12" t="n">
        <v>393.883</v>
      </c>
      <c r="X119" s="12" t="n">
        <v>713.573</v>
      </c>
    </row>
    <row r="120">
      <c r="A120" s="45" t="inlineStr">
        <is>
          <t>YoY</t>
        </is>
      </c>
      <c r="B120" s="3" t="inlineStr">
        <is>
          <t>전년 같은 분기·전년 대비</t>
        </is>
      </c>
      <c r="G120" s="17">
        <f>IF(OR(G119="",C119=""),"",IF(C119&lt;=0,"",IFERROR(G119/C119-1,"")))</f>
        <v/>
      </c>
      <c r="H120" s="17">
        <f>IF(OR(H119="",D119=""),"",IF(D119&lt;=0,"",IFERROR(H119/D119-1,"")))</f>
        <v/>
      </c>
      <c r="I120" s="17">
        <f>IF(OR(I119="",E119=""),"",IF(E119&lt;=0,"",IFERROR(I119/E119-1,"")))</f>
        <v/>
      </c>
      <c r="J120" s="17">
        <f>IF(OR(J119="",F119=""),"",IF(F119&lt;=0,"",IFERROR(J119/F119-1,"")))</f>
        <v/>
      </c>
      <c r="K120" s="17">
        <f>IF(OR(K119="",G119=""),"",IF(G119&lt;=0,"",IFERROR(K119/G119-1,"")))</f>
        <v/>
      </c>
      <c r="L120" s="17">
        <f>IF(OR(L119="",H119=""),"",IF(H119&lt;=0,"",IFERROR(L119/H119-1,"")))</f>
        <v/>
      </c>
      <c r="M120" s="17">
        <f>IF(OR(M119="",I119=""),"",IF(I119&lt;=0,"",IFERROR(M119/I119-1,"")))</f>
        <v/>
      </c>
      <c r="N120" s="17">
        <f>IF(OR(N119="",J119=""),"",IF(J119&lt;=0,"",IFERROR(N119/J119-1,"")))</f>
        <v/>
      </c>
      <c r="T120" s="17">
        <f>IF(OR(T119="",S119=""),"",IF(S119&lt;=0,"",IFERROR(T119/S119-1,"")))</f>
        <v/>
      </c>
      <c r="U120" s="17">
        <f>IF(OR(U119="",T119=""),"",IF(T119&lt;=0,"",IFERROR(U119/T119-1,"")))</f>
        <v/>
      </c>
      <c r="V120" s="17">
        <f>IF(OR(V119="",U119=""),"",IF(U119&lt;=0,"",IFERROR(V119/U119-1,"")))</f>
        <v/>
      </c>
      <c r="W120" s="17">
        <f>IF(OR(W119="",V119=""),"",IF(V119&lt;=0,"",IFERROR(W119/V119-1,"")))</f>
        <v/>
      </c>
      <c r="X120" s="17">
        <f>IF(OR(X119="",W119=""),"",IF(W119&lt;=0,"",IFERROR(X119/W119-1,"")))</f>
        <v/>
      </c>
    </row>
    <row r="121">
      <c r="A121" s="20" t="inlineStr">
        <is>
          <t>법인세·주민세·사업세</t>
        </is>
      </c>
      <c r="C121" s="22" t="n">
        <v>59.817</v>
      </c>
      <c r="D121" s="22" t="n">
        <v>71.423</v>
      </c>
      <c r="E121" s="22" t="n">
        <v>132.233</v>
      </c>
      <c r="F121" s="22" t="n">
        <v>-21.9</v>
      </c>
      <c r="G121" s="22" t="n">
        <v>145.034</v>
      </c>
      <c r="H121" s="22" t="n">
        <v>115.098</v>
      </c>
      <c r="I121" s="22" t="n">
        <v>0.676</v>
      </c>
      <c r="J121" s="22" t="n">
        <v>116.888</v>
      </c>
      <c r="K121" s="22" t="n">
        <v>194.913</v>
      </c>
      <c r="L121" s="22" t="n">
        <v>22.574</v>
      </c>
      <c r="M121" s="22" t="n">
        <v>118.293</v>
      </c>
      <c r="N121" s="22" t="n">
        <v>171.174</v>
      </c>
      <c r="T121" s="22" t="n">
        <v>204.4</v>
      </c>
      <c r="U121" s="22" t="n">
        <v>168.71</v>
      </c>
      <c r="V121" s="22" t="n">
        <v>-21.9</v>
      </c>
      <c r="W121" s="22" t="n">
        <v>116.888</v>
      </c>
      <c r="X121" s="22" t="n">
        <v>171.174</v>
      </c>
    </row>
    <row r="122">
      <c r="A122" s="20" t="inlineStr">
        <is>
          <t>법인세 조정액</t>
        </is>
      </c>
      <c r="C122" s="22" t="n">
        <v>-17.576</v>
      </c>
      <c r="D122" s="22" t="n">
        <v>25.857</v>
      </c>
      <c r="E122" s="22" t="n">
        <v>-8.34</v>
      </c>
      <c r="F122" s="22" t="n">
        <v>2.982</v>
      </c>
      <c r="G122" s="22" t="n">
        <v>-19.387</v>
      </c>
      <c r="H122" s="22" t="n">
        <v>16.511</v>
      </c>
      <c r="I122" s="22" t="n">
        <v>-16.63</v>
      </c>
      <c r="J122" s="22" t="n">
        <v>-24.88</v>
      </c>
      <c r="K122" s="22" t="n">
        <v>-8.641</v>
      </c>
      <c r="L122" s="22" t="n">
        <v>1.41</v>
      </c>
      <c r="M122" s="22" t="n">
        <v>-17.477</v>
      </c>
      <c r="N122" s="22" t="n">
        <v>25.293</v>
      </c>
      <c r="T122" s="22" t="n">
        <v>17.495</v>
      </c>
      <c r="U122" s="22" t="n">
        <v>6.278</v>
      </c>
      <c r="V122" s="22" t="n">
        <v>2.982</v>
      </c>
      <c r="W122" s="22" t="n">
        <v>-24.88</v>
      </c>
      <c r="X122" s="22" t="n">
        <v>25.293</v>
      </c>
    </row>
    <row r="123">
      <c r="A123" s="20" t="inlineStr">
        <is>
          <t>법인세 등 합계</t>
        </is>
      </c>
      <c r="C123" s="22" t="n">
        <v>42.24</v>
      </c>
      <c r="D123" s="22" t="n">
        <v>97.28100000000001</v>
      </c>
      <c r="E123" s="22" t="n">
        <v>123.892</v>
      </c>
      <c r="F123" s="22" t="n">
        <v>-18.916</v>
      </c>
      <c r="G123" s="22" t="n">
        <v>125.646</v>
      </c>
      <c r="H123" s="22" t="n">
        <v>131.609</v>
      </c>
      <c r="I123" s="22" t="n">
        <v>-15.954</v>
      </c>
      <c r="J123" s="22" t="n">
        <v>92.008</v>
      </c>
      <c r="K123" s="22" t="n">
        <v>186.272</v>
      </c>
      <c r="L123" s="22" t="n">
        <v>23.983</v>
      </c>
      <c r="M123" s="22" t="n">
        <v>100.816</v>
      </c>
      <c r="N123" s="22" t="n">
        <v>196.469</v>
      </c>
      <c r="T123" s="22" t="n">
        <v>221.894</v>
      </c>
      <c r="U123" s="22" t="n">
        <v>174.988</v>
      </c>
      <c r="V123" s="22" t="n">
        <v>-18.916</v>
      </c>
      <c r="W123" s="22" t="n">
        <v>92.008</v>
      </c>
      <c r="X123" s="22" t="n">
        <v>196.469</v>
      </c>
    </row>
    <row r="124">
      <c r="A124" s="45" t="inlineStr">
        <is>
          <t>YoY</t>
        </is>
      </c>
      <c r="B124" s="3" t="inlineStr">
        <is>
          <t>전년 같은 분기·전년 대비</t>
        </is>
      </c>
      <c r="G124" s="17">
        <f>IF(OR(G123="",C123=""),"",IF(G123*C123&lt;=0,"",IFERROR(G123/C123-1,"")))</f>
        <v/>
      </c>
      <c r="H124" s="17">
        <f>IF(OR(H123="",D123=""),"",IF(H123*D123&lt;=0,"",IFERROR(H123/D123-1,"")))</f>
        <v/>
      </c>
      <c r="I124" s="17">
        <f>IF(OR(I123="",E123=""),"",IF(I123*E123&lt;=0,"",IFERROR(I123/E123-1,"")))</f>
        <v/>
      </c>
      <c r="J124" s="17">
        <f>IF(OR(J123="",F123=""),"",IF(J123*F123&lt;=0,"",IFERROR(J123/F123-1,"")))</f>
        <v/>
      </c>
      <c r="K124" s="17">
        <f>IF(OR(K123="",G123=""),"",IF(K123*G123&lt;=0,"",IFERROR(K123/G123-1,"")))</f>
        <v/>
      </c>
      <c r="L124" s="17">
        <f>IF(OR(L123="",H123=""),"",IF(L123*H123&lt;=0,"",IFERROR(L123/H123-1,"")))</f>
        <v/>
      </c>
      <c r="M124" s="17">
        <f>IF(OR(M123="",I123=""),"",IF(M123*I123&lt;=0,"",IFERROR(M123/I123-1,"")))</f>
        <v/>
      </c>
      <c r="N124" s="17">
        <f>IF(OR(N123="",J123=""),"",IF(N123*J123&lt;=0,"",IFERROR(N123/J123-1,"")))</f>
        <v/>
      </c>
      <c r="T124" s="17">
        <f>IF(OR(T123="",S123=""),"",IF(T123*S123&lt;=0,"",IFERROR(T123/S123-1,"")))</f>
        <v/>
      </c>
      <c r="U124" s="17">
        <f>IF(OR(U123="",T123=""),"",IF(U123*T123&lt;=0,"",IFERROR(U123/T123-1,"")))</f>
        <v/>
      </c>
      <c r="V124" s="17">
        <f>IF(OR(V123="",U123=""),"",IF(V123*U123&lt;=0,"",IFERROR(V123/U123-1,"")))</f>
        <v/>
      </c>
      <c r="W124" s="17">
        <f>IF(OR(W123="",V123=""),"",IF(W123*V123&lt;=0,"",IFERROR(W123/V123-1,"")))</f>
        <v/>
      </c>
      <c r="X124" s="17">
        <f>IF(OR(X123="",W123=""),"",IF(X123*W123&lt;=0,"",IFERROR(X123/W123-1,"")))</f>
        <v/>
      </c>
    </row>
    <row r="125">
      <c r="A125" s="9" t="inlineStr">
        <is>
          <t>순이익</t>
        </is>
      </c>
      <c r="C125" s="12" t="n">
        <v>82.22499999999999</v>
      </c>
      <c r="D125" s="12" t="n">
        <v>192.841</v>
      </c>
      <c r="E125" s="12" t="n">
        <v>245.161</v>
      </c>
      <c r="F125" s="12" t="n">
        <v>-33.427</v>
      </c>
      <c r="G125" s="12" t="n">
        <v>237.143</v>
      </c>
      <c r="H125" s="12" t="n">
        <v>293.274</v>
      </c>
      <c r="I125" s="12" t="n">
        <v>-55.456</v>
      </c>
      <c r="J125" s="12" t="n">
        <v>301.874</v>
      </c>
      <c r="K125" s="12" t="n">
        <v>388.198</v>
      </c>
      <c r="L125" s="12" t="n">
        <v>16.715</v>
      </c>
      <c r="M125" s="12" t="n">
        <v>201.832</v>
      </c>
      <c r="N125" s="12" t="n">
        <v>517.105</v>
      </c>
      <c r="T125" s="12" t="n">
        <v>473.777</v>
      </c>
      <c r="U125" s="12" t="n">
        <v>586.36</v>
      </c>
      <c r="V125" s="12" t="n">
        <v>-33.427</v>
      </c>
      <c r="W125" s="12" t="n">
        <v>301.874</v>
      </c>
      <c r="X125" s="12" t="n">
        <v>517.105</v>
      </c>
    </row>
    <row r="126">
      <c r="A126" s="45" t="inlineStr">
        <is>
          <t>YoY</t>
        </is>
      </c>
      <c r="B126" s="3" t="inlineStr">
        <is>
          <t>전년 같은 분기·전년 대비</t>
        </is>
      </c>
      <c r="G126" s="17">
        <f>IF(OR(G125="",C125=""),"",IF(C125&lt;=0,"",IFERROR(G125/C125-1,"")))</f>
        <v/>
      </c>
      <c r="H126" s="17">
        <f>IF(OR(H125="",D125=""),"",IF(D125&lt;=0,"",IFERROR(H125/D125-1,"")))</f>
        <v/>
      </c>
      <c r="I126" s="17">
        <f>IF(OR(I125="",E125=""),"",IF(E125&lt;=0,"",IFERROR(I125/E125-1,"")))</f>
        <v/>
      </c>
      <c r="J126" s="17">
        <f>IF(OR(J125="",F125=""),"",IF(F125&lt;=0,"",IFERROR(J125/F125-1,"")))</f>
        <v/>
      </c>
      <c r="K126" s="17">
        <f>IF(OR(K125="",G125=""),"",IF(G125&lt;=0,"",IFERROR(K125/G125-1,"")))</f>
        <v/>
      </c>
      <c r="L126" s="17">
        <f>IF(OR(L125="",H125=""),"",IF(H125&lt;=0,"",IFERROR(L125/H125-1,"")))</f>
        <v/>
      </c>
      <c r="M126" s="17">
        <f>IF(OR(M125="",I125=""),"",IF(I125&lt;=0,"",IFERROR(M125/I125-1,"")))</f>
        <v/>
      </c>
      <c r="N126" s="17">
        <f>IF(OR(N125="",J125=""),"",IF(J125&lt;=0,"",IFERROR(N125/J125-1,"")))</f>
        <v/>
      </c>
      <c r="T126" s="17">
        <f>IF(OR(T125="",S125=""),"",IF(S125&lt;=0,"",IFERROR(T125/S125-1,"")))</f>
        <v/>
      </c>
      <c r="U126" s="17">
        <f>IF(OR(U125="",T125=""),"",IF(T125&lt;=0,"",IFERROR(U125/T125-1,"")))</f>
        <v/>
      </c>
      <c r="V126" s="17">
        <f>IF(OR(V125="",U125=""),"",IF(U125&lt;=0,"",IFERROR(V125/U125-1,"")))</f>
        <v/>
      </c>
      <c r="W126" s="17">
        <f>IF(OR(W125="",V125=""),"",IF(V125&lt;=0,"",IFERROR(W125/V125-1,"")))</f>
        <v/>
      </c>
      <c r="X126" s="17">
        <f>IF(OR(X125="",W125=""),"",IF(W125&lt;=0,"",IFERROR(X125/W125-1,"")))</f>
        <v/>
      </c>
    </row>
    <row r="127">
      <c r="A127" s="9" t="inlineStr">
        <is>
          <t>비지배주주 순손익</t>
        </is>
      </c>
      <c r="C127" s="12" t="n">
        <v>0.335</v>
      </c>
      <c r="D127" s="12" t="n">
        <v>-2.11</v>
      </c>
      <c r="E127" s="12" t="n">
        <v>-2.502</v>
      </c>
      <c r="F127" s="12" t="n">
        <v>6.929</v>
      </c>
      <c r="G127" s="12" t="n">
        <v>-0.037</v>
      </c>
      <c r="H127" s="12" t="n">
        <v>-2.608</v>
      </c>
      <c r="I127" s="12" t="n">
        <v>-0.741</v>
      </c>
      <c r="J127" s="12" t="n">
        <v>-2.715</v>
      </c>
      <c r="K127" s="12" t="n">
        <v>-3.393</v>
      </c>
      <c r="L127" s="12" t="n">
        <v>-0.29</v>
      </c>
      <c r="M127" s="12" t="n">
        <v>1.345</v>
      </c>
      <c r="N127" s="12" t="n">
        <v>6.829</v>
      </c>
      <c r="T127" s="12" t="n">
        <v>4.468</v>
      </c>
      <c r="U127" s="12" t="n">
        <v>0.14</v>
      </c>
      <c r="V127" s="12" t="n">
        <v>6.929</v>
      </c>
      <c r="W127" s="12" t="n">
        <v>-2.715</v>
      </c>
      <c r="X127" s="12" t="n">
        <v>6.829</v>
      </c>
    </row>
    <row r="128">
      <c r="A128" s="9" t="inlineStr">
        <is>
          <t>지배주주 순이익</t>
        </is>
      </c>
      <c r="C128" s="12" t="n">
        <v>81.889</v>
      </c>
      <c r="D128" s="12" t="n">
        <v>194.952</v>
      </c>
      <c r="E128" s="12" t="n">
        <v>247.663</v>
      </c>
      <c r="F128" s="12" t="n">
        <v>-40.356</v>
      </c>
      <c r="G128" s="12" t="n">
        <v>237.181</v>
      </c>
      <c r="H128" s="12" t="n">
        <v>295.881</v>
      </c>
      <c r="I128" s="12" t="n">
        <v>-54.715</v>
      </c>
      <c r="J128" s="12" t="n">
        <v>304.589</v>
      </c>
      <c r="K128" s="12" t="n">
        <v>391.591</v>
      </c>
      <c r="L128" s="12" t="n">
        <v>17.006</v>
      </c>
      <c r="M128" s="12" t="n">
        <v>200.486</v>
      </c>
      <c r="N128" s="12" t="n">
        <v>510.275</v>
      </c>
      <c r="T128" s="12" t="n">
        <v>469.308</v>
      </c>
      <c r="U128" s="12" t="n">
        <v>586.22</v>
      </c>
      <c r="V128" s="12" t="n">
        <v>-40.356</v>
      </c>
      <c r="W128" s="12" t="n">
        <v>304.589</v>
      </c>
      <c r="X128" s="12" t="n">
        <v>510.275</v>
      </c>
    </row>
    <row r="129">
      <c r="A129" s="45" t="inlineStr">
        <is>
          <t>YoY</t>
        </is>
      </c>
      <c r="B129" s="3" t="inlineStr">
        <is>
          <t>전년 같은 분기·전년 대비</t>
        </is>
      </c>
      <c r="G129" s="17">
        <f>IF(OR(G128="",C128=""),"",IF(C128&lt;=0,"",IFERROR(G128/C128-1,"")))</f>
        <v/>
      </c>
      <c r="H129" s="17">
        <f>IF(OR(H128="",D128=""),"",IF(D128&lt;=0,"",IFERROR(H128/D128-1,"")))</f>
        <v/>
      </c>
      <c r="I129" s="17">
        <f>IF(OR(I128="",E128=""),"",IF(E128&lt;=0,"",IFERROR(I128/E128-1,"")))</f>
        <v/>
      </c>
      <c r="J129" s="17">
        <f>IF(OR(J128="",F128=""),"",IF(F128&lt;=0,"",IFERROR(J128/F128-1,"")))</f>
        <v/>
      </c>
      <c r="K129" s="17">
        <f>IF(OR(K128="",G128=""),"",IF(G128&lt;=0,"",IFERROR(K128/G128-1,"")))</f>
        <v/>
      </c>
      <c r="L129" s="17">
        <f>IF(OR(L128="",H128=""),"",IF(H128&lt;=0,"",IFERROR(L128/H128-1,"")))</f>
        <v/>
      </c>
      <c r="M129" s="17">
        <f>IF(OR(M128="",I128=""),"",IF(I128&lt;=0,"",IFERROR(M128/I128-1,"")))</f>
        <v/>
      </c>
      <c r="N129" s="17">
        <f>IF(OR(N128="",J128=""),"",IF(J128&lt;=0,"",IFERROR(N128/J128-1,"")))</f>
        <v/>
      </c>
      <c r="T129" s="17">
        <f>IF(OR(T128="",S128=""),"",IF(S128&lt;=0,"",IFERROR(T128/S128-1,"")))</f>
        <v/>
      </c>
      <c r="U129" s="17">
        <f>IF(OR(U128="",T128=""),"",IF(T128&lt;=0,"",IFERROR(U128/T128-1,"")))</f>
        <v/>
      </c>
      <c r="V129" s="17">
        <f>IF(OR(V128="",U128=""),"",IF(U128&lt;=0,"",IFERROR(V128/U128-1,"")))</f>
        <v/>
      </c>
      <c r="W129" s="17">
        <f>IF(OR(W128="",V128=""),"",IF(V128&lt;=0,"",IFERROR(W128/V128-1,"")))</f>
        <v/>
      </c>
      <c r="X129" s="17">
        <f>IF(OR(X128="",W128=""),"",IF(W128&lt;=0,"",IFERROR(X128/W128-1,"")))</f>
        <v/>
      </c>
    </row>
    <row r="131">
      <c r="A131" s="18" t="inlineStr">
        <is>
          <t>포괄손익 · 전 항목</t>
        </is>
      </c>
      <c r="B131" s="44" t="inlineStr">
        <is>
          <t>분기 = 3개월 단독</t>
        </is>
      </c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</row>
    <row r="132">
      <c r="A132" s="5" t="inlineStr">
        <is>
          <t>항목</t>
        </is>
      </c>
      <c r="B132" s="5" t="inlineStr">
        <is>
          <t>참고</t>
        </is>
      </c>
      <c r="C132" s="5" t="inlineStr">
        <is>
          <t>2024.1Q</t>
        </is>
      </c>
      <c r="D132" s="5" t="inlineStr">
        <is>
          <t>2024.2Q</t>
        </is>
      </c>
      <c r="E132" s="5" t="inlineStr">
        <is>
          <t>2024.3Q</t>
        </is>
      </c>
      <c r="F132" s="5" t="inlineStr">
        <is>
          <t>2024.4Q</t>
        </is>
      </c>
      <c r="G132" s="5" t="inlineStr">
        <is>
          <t>2025.1Q</t>
        </is>
      </c>
      <c r="H132" s="5" t="inlineStr">
        <is>
          <t>2025.2Q</t>
        </is>
      </c>
      <c r="I132" s="5" t="inlineStr">
        <is>
          <t>2025.3Q</t>
        </is>
      </c>
      <c r="J132" s="5" t="inlineStr">
        <is>
          <t>2025.4Q</t>
        </is>
      </c>
      <c r="K132" s="5" t="inlineStr">
        <is>
          <t>2026.1Q</t>
        </is>
      </c>
      <c r="L132" s="5" t="inlineStr">
        <is>
          <t>2026.2Q</t>
        </is>
      </c>
      <c r="M132" s="5" t="inlineStr">
        <is>
          <t>2026.3Q</t>
        </is>
      </c>
      <c r="N132" s="5" t="inlineStr">
        <is>
          <t>2026.4Q</t>
        </is>
      </c>
      <c r="O132" s="5" t="inlineStr">
        <is>
          <t>2017</t>
        </is>
      </c>
      <c r="P132" s="5" t="inlineStr">
        <is>
          <t>2018</t>
        </is>
      </c>
      <c r="Q132" s="5" t="inlineStr">
        <is>
          <t>2019</t>
        </is>
      </c>
      <c r="R132" s="5" t="inlineStr">
        <is>
          <t>2020</t>
        </is>
      </c>
      <c r="S132" s="5" t="inlineStr">
        <is>
          <t>2021</t>
        </is>
      </c>
      <c r="T132" s="5" t="inlineStr">
        <is>
          <t>2022</t>
        </is>
      </c>
      <c r="U132" s="5" t="inlineStr">
        <is>
          <t>2023</t>
        </is>
      </c>
      <c r="V132" s="5" t="inlineStr">
        <is>
          <t>2024</t>
        </is>
      </c>
      <c r="W132" s="5" t="inlineStr">
        <is>
          <t>2025</t>
        </is>
      </c>
      <c r="X132" s="5" t="inlineStr">
        <is>
          <t>2026</t>
        </is>
      </c>
      <c r="Y132" s="5" t="inlineStr">
        <is>
          <t>2027(MW)</t>
        </is>
      </c>
      <c r="Z132" s="5" t="inlineStr">
        <is>
          <t>2028(MW)</t>
        </is>
      </c>
      <c r="AA132" s="5" t="inlineStr">
        <is>
          <t>2029(MW)</t>
        </is>
      </c>
      <c r="AB132" s="5" t="inlineStr">
        <is>
          <t>2030(MW)</t>
        </is>
      </c>
      <c r="AC132" s="5" t="inlineStr">
        <is>
          <t>2031(MW)</t>
        </is>
      </c>
    </row>
    <row r="133">
      <c r="A133" s="9" t="inlineStr">
        <is>
          <t>순이익</t>
        </is>
      </c>
      <c r="C133" s="12" t="n">
        <v>82.22499999999999</v>
      </c>
      <c r="D133" s="12" t="n">
        <v>192.841</v>
      </c>
      <c r="E133" s="12" t="n">
        <v>245.161</v>
      </c>
      <c r="F133" s="12" t="n">
        <v>-33.427</v>
      </c>
      <c r="G133" s="12" t="n">
        <v>237.143</v>
      </c>
      <c r="H133" s="12" t="n">
        <v>293.274</v>
      </c>
      <c r="I133" s="12" t="n">
        <v>-55.456</v>
      </c>
      <c r="J133" s="12" t="n">
        <v>301.874</v>
      </c>
      <c r="K133" s="12" t="n">
        <v>388.198</v>
      </c>
      <c r="L133" s="12" t="n">
        <v>16.715</v>
      </c>
      <c r="M133" s="12" t="n">
        <v>201.832</v>
      </c>
      <c r="N133" s="12" t="n">
        <v>517.105</v>
      </c>
      <c r="T133" s="12" t="n">
        <v>473.777</v>
      </c>
      <c r="U133" s="12" t="n">
        <v>586.36</v>
      </c>
      <c r="V133" s="12" t="n">
        <v>-33.427</v>
      </c>
      <c r="W133" s="12" t="n">
        <v>301.874</v>
      </c>
      <c r="X133" s="12" t="n">
        <v>517.105</v>
      </c>
    </row>
    <row r="134">
      <c r="A134" s="20" t="inlineStr">
        <is>
          <t>기타유가증권 평가차액</t>
        </is>
      </c>
      <c r="C134" s="22" t="n">
        <v>64.71899999999999</v>
      </c>
      <c r="D134" s="22" t="n">
        <v>157.858</v>
      </c>
      <c r="E134" s="22" t="n">
        <v>-66.223</v>
      </c>
      <c r="F134" s="22" t="n">
        <v>-83.126</v>
      </c>
      <c r="G134" s="22" t="n">
        <v>-75.62</v>
      </c>
      <c r="H134" s="22" t="n">
        <v>51.019</v>
      </c>
      <c r="I134" s="22" t="n">
        <v>11.901</v>
      </c>
      <c r="J134" s="22" t="n">
        <v>66.586</v>
      </c>
      <c r="K134" s="22" t="n">
        <v>93.69499999999999</v>
      </c>
      <c r="L134" s="22" t="n">
        <v>244.301</v>
      </c>
      <c r="M134" s="22" t="n">
        <v>-152.869</v>
      </c>
      <c r="N134" s="22" t="n">
        <v>112.168</v>
      </c>
      <c r="T134" s="22" t="n">
        <v>0.669</v>
      </c>
      <c r="U134" s="22" t="n">
        <v>123.856</v>
      </c>
      <c r="V134" s="22" t="n">
        <v>-83.126</v>
      </c>
      <c r="W134" s="22" t="n">
        <v>66.586</v>
      </c>
      <c r="X134" s="22" t="n">
        <v>112.168</v>
      </c>
    </row>
    <row r="135">
      <c r="A135" s="20" t="inlineStr">
        <is>
          <t>이연헤지손익</t>
        </is>
      </c>
      <c r="T135" s="22" t="n">
        <v>0</v>
      </c>
      <c r="U135" s="22" t="n">
        <v>0</v>
      </c>
    </row>
    <row r="136">
      <c r="A136" s="20" t="inlineStr">
        <is>
          <t>해외사업환산조정</t>
        </is>
      </c>
      <c r="C136" s="22" t="n">
        <v>14.257</v>
      </c>
      <c r="D136" s="22" t="n">
        <v>49.901</v>
      </c>
      <c r="E136" s="22" t="n">
        <v>66.151</v>
      </c>
      <c r="F136" s="22" t="n">
        <v>-125.502</v>
      </c>
      <c r="G136" s="22" t="n">
        <v>64.822</v>
      </c>
      <c r="H136" s="22" t="n">
        <v>-15.311</v>
      </c>
      <c r="I136" s="22" t="n">
        <v>-63.449</v>
      </c>
      <c r="J136" s="22" t="n">
        <v>37.369</v>
      </c>
      <c r="K136" s="22" t="n">
        <v>117.586</v>
      </c>
      <c r="L136" s="22" t="n">
        <v>-3.963</v>
      </c>
      <c r="M136" s="22" t="n">
        <v>37.352</v>
      </c>
      <c r="N136" s="22" t="n">
        <v>12.459</v>
      </c>
      <c r="T136" s="22" t="n">
        <v>87.64</v>
      </c>
      <c r="U136" s="22" t="n">
        <v>59.328</v>
      </c>
      <c r="V136" s="22" t="n">
        <v>-125.502</v>
      </c>
      <c r="W136" s="22" t="n">
        <v>37.369</v>
      </c>
      <c r="X136" s="22" t="n">
        <v>12.459</v>
      </c>
    </row>
    <row r="137">
      <c r="A137" s="20" t="inlineStr">
        <is>
          <t>기타포괄손익 합계</t>
        </is>
      </c>
      <c r="C137" s="22" t="n">
        <v>78.977</v>
      </c>
      <c r="D137" s="22" t="n">
        <v>207.759</v>
      </c>
      <c r="E137" s="22" t="n">
        <v>-0.07199999999999999</v>
      </c>
      <c r="F137" s="22" t="n">
        <v>-208.628</v>
      </c>
      <c r="G137" s="22" t="n">
        <v>-10.798</v>
      </c>
      <c r="H137" s="22" t="n">
        <v>35.707</v>
      </c>
      <c r="I137" s="22" t="n">
        <v>-51.548</v>
      </c>
      <c r="J137" s="22" t="n">
        <v>103.957</v>
      </c>
      <c r="K137" s="22" t="n">
        <v>211.281</v>
      </c>
      <c r="L137" s="22" t="n">
        <v>240.338</v>
      </c>
      <c r="M137" s="22" t="n">
        <v>-115.516</v>
      </c>
      <c r="N137" s="22" t="n">
        <v>124.627</v>
      </c>
      <c r="T137" s="22" t="n">
        <v>88.30800000000001</v>
      </c>
      <c r="U137" s="22" t="n">
        <v>183.185</v>
      </c>
      <c r="V137" s="22" t="n">
        <v>-208.628</v>
      </c>
      <c r="W137" s="22" t="n">
        <v>103.957</v>
      </c>
      <c r="X137" s="22" t="n">
        <v>124.627</v>
      </c>
    </row>
    <row r="138">
      <c r="A138" s="9" t="inlineStr">
        <is>
          <t>포괄이익</t>
        </is>
      </c>
      <c r="C138" s="12" t="n">
        <v>161.202</v>
      </c>
      <c r="D138" s="12" t="n">
        <v>400.6</v>
      </c>
      <c r="E138" s="12" t="n">
        <v>245.089</v>
      </c>
      <c r="F138" s="12" t="n">
        <v>-242.055</v>
      </c>
      <c r="G138" s="12" t="n">
        <v>226.344</v>
      </c>
      <c r="H138" s="12" t="n">
        <v>328.983</v>
      </c>
      <c r="I138" s="12" t="n">
        <v>-107.006</v>
      </c>
      <c r="J138" s="12" t="n">
        <v>405.832</v>
      </c>
      <c r="K138" s="12" t="n">
        <v>599.479</v>
      </c>
      <c r="L138" s="12" t="n">
        <v>257.054</v>
      </c>
      <c r="M138" s="12" t="n">
        <v>86.315</v>
      </c>
      <c r="N138" s="12" t="n">
        <v>641.732</v>
      </c>
      <c r="T138" s="12" t="n">
        <v>562.085</v>
      </c>
      <c r="U138" s="12" t="n">
        <v>769.545</v>
      </c>
      <c r="V138" s="12" t="n">
        <v>-242.055</v>
      </c>
      <c r="W138" s="12" t="n">
        <v>405.832</v>
      </c>
      <c r="X138" s="12" t="n">
        <v>641.732</v>
      </c>
    </row>
    <row r="139">
      <c r="A139" s="9" t="inlineStr">
        <is>
          <t>지배주주 포괄이익</t>
        </is>
      </c>
      <c r="C139" s="12" t="n">
        <v>160.637</v>
      </c>
      <c r="D139" s="12" t="n">
        <v>403.028</v>
      </c>
      <c r="E139" s="12" t="n">
        <v>247.009</v>
      </c>
      <c r="F139" s="12" t="n">
        <v>-249.051</v>
      </c>
      <c r="G139" s="12" t="n">
        <v>225.409</v>
      </c>
      <c r="H139" s="12" t="n">
        <v>331.537</v>
      </c>
      <c r="I139" s="12" t="n">
        <v>-106.47</v>
      </c>
      <c r="J139" s="12" t="n">
        <v>407.632</v>
      </c>
      <c r="K139" s="12" t="n">
        <v>600.908</v>
      </c>
      <c r="L139" s="12" t="n">
        <v>256.221</v>
      </c>
      <c r="M139" s="12" t="n">
        <v>85.657</v>
      </c>
      <c r="N139" s="12" t="n">
        <v>635.4450000000001</v>
      </c>
      <c r="T139" s="12" t="n">
        <v>556.79</v>
      </c>
      <c r="U139" s="12" t="n">
        <v>768.1319999999999</v>
      </c>
      <c r="V139" s="12" t="n">
        <v>-249.051</v>
      </c>
      <c r="W139" s="12" t="n">
        <v>407.632</v>
      </c>
      <c r="X139" s="12" t="n">
        <v>635.4450000000001</v>
      </c>
    </row>
    <row r="140">
      <c r="A140" s="9" t="inlineStr">
        <is>
          <t>비지배주주 포괄이익</t>
        </is>
      </c>
      <c r="C140" s="12" t="n">
        <v>0.5649999999999999</v>
      </c>
      <c r="D140" s="12" t="n">
        <v>-2.427</v>
      </c>
      <c r="E140" s="12" t="n">
        <v>-1.92</v>
      </c>
      <c r="F140" s="12" t="n">
        <v>6.995</v>
      </c>
      <c r="G140" s="12" t="n">
        <v>0.9350000000000001</v>
      </c>
      <c r="H140" s="12" t="n">
        <v>-2.554</v>
      </c>
      <c r="I140" s="12" t="n">
        <v>-0.536</v>
      </c>
      <c r="J140" s="12" t="n">
        <v>-1.799</v>
      </c>
      <c r="K140" s="12" t="n">
        <v>-1.428</v>
      </c>
      <c r="L140" s="12" t="n">
        <v>0.832</v>
      </c>
      <c r="M140" s="12" t="n">
        <v>0.657</v>
      </c>
      <c r="N140" s="12" t="n">
        <v>6.288</v>
      </c>
      <c r="T140" s="12" t="n">
        <v>5.294</v>
      </c>
      <c r="U140" s="12" t="n">
        <v>1.413</v>
      </c>
      <c r="V140" s="12" t="n">
        <v>6.995</v>
      </c>
      <c r="W140" s="12" t="n">
        <v>-1.799</v>
      </c>
      <c r="X140" s="12" t="n">
        <v>6.288</v>
      </c>
    </row>
    <row r="142">
      <c r="A142" s="18" t="inlineStr">
        <is>
          <t>현금흐름표 · 전 항목</t>
        </is>
      </c>
      <c r="B142" s="44" t="inlineStr">
        <is>
          <t>분기 = 결산기 첫날부터 누계(공시 그대로)</t>
        </is>
      </c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</row>
    <row r="143">
      <c r="A143" s="5" t="inlineStr">
        <is>
          <t>항목</t>
        </is>
      </c>
      <c r="B143" s="5" t="inlineStr">
        <is>
          <t>참고</t>
        </is>
      </c>
      <c r="C143" s="5" t="inlineStr">
        <is>
          <t>2024.1Q</t>
        </is>
      </c>
      <c r="D143" s="5" t="inlineStr">
        <is>
          <t>2024.2Q</t>
        </is>
      </c>
      <c r="E143" s="5" t="inlineStr">
        <is>
          <t>2024.3Q</t>
        </is>
      </c>
      <c r="F143" s="5" t="inlineStr">
        <is>
          <t>2024.4Q</t>
        </is>
      </c>
      <c r="G143" s="5" t="inlineStr">
        <is>
          <t>2025.1Q</t>
        </is>
      </c>
      <c r="H143" s="5" t="inlineStr">
        <is>
          <t>2025.2Q</t>
        </is>
      </c>
      <c r="I143" s="5" t="inlineStr">
        <is>
          <t>2025.3Q</t>
        </is>
      </c>
      <c r="J143" s="5" t="inlineStr">
        <is>
          <t>2025.4Q</t>
        </is>
      </c>
      <c r="K143" s="5" t="inlineStr">
        <is>
          <t>2026.1Q</t>
        </is>
      </c>
      <c r="L143" s="5" t="inlineStr">
        <is>
          <t>2026.2Q</t>
        </is>
      </c>
      <c r="M143" s="5" t="inlineStr">
        <is>
          <t>2026.3Q</t>
        </is>
      </c>
      <c r="N143" s="5" t="inlineStr">
        <is>
          <t>2026.4Q</t>
        </is>
      </c>
      <c r="O143" s="5" t="inlineStr">
        <is>
          <t>2017</t>
        </is>
      </c>
      <c r="P143" s="5" t="inlineStr">
        <is>
          <t>2018</t>
        </is>
      </c>
      <c r="Q143" s="5" t="inlineStr">
        <is>
          <t>2019</t>
        </is>
      </c>
      <c r="R143" s="5" t="inlineStr">
        <is>
          <t>2020</t>
        </is>
      </c>
      <c r="S143" s="5" t="inlineStr">
        <is>
          <t>2021</t>
        </is>
      </c>
      <c r="T143" s="5" t="inlineStr">
        <is>
          <t>2022</t>
        </is>
      </c>
      <c r="U143" s="5" t="inlineStr">
        <is>
          <t>2023</t>
        </is>
      </c>
      <c r="V143" s="5" t="inlineStr">
        <is>
          <t>2024</t>
        </is>
      </c>
      <c r="W143" s="5" t="inlineStr">
        <is>
          <t>2025</t>
        </is>
      </c>
      <c r="X143" s="5" t="inlineStr">
        <is>
          <t>2026</t>
        </is>
      </c>
      <c r="Y143" s="5" t="inlineStr">
        <is>
          <t>2027(MW)</t>
        </is>
      </c>
      <c r="Z143" s="5" t="inlineStr">
        <is>
          <t>2028(MW)</t>
        </is>
      </c>
      <c r="AA143" s="5" t="inlineStr">
        <is>
          <t>2029(MW)</t>
        </is>
      </c>
      <c r="AB143" s="5" t="inlineStr">
        <is>
          <t>2030(MW)</t>
        </is>
      </c>
      <c r="AC143" s="5" t="inlineStr">
        <is>
          <t>2031(MW)</t>
        </is>
      </c>
    </row>
    <row r="144">
      <c r="A144" s="9" t="inlineStr">
        <is>
          <t>법인세차감전 순이익</t>
        </is>
      </c>
      <c r="F144" s="12" t="n">
        <v>731.297</v>
      </c>
      <c r="J144" s="12" t="n">
        <v>1110.145</v>
      </c>
      <c r="N144" s="12" t="n">
        <v>1631.39</v>
      </c>
      <c r="O144" s="12" t="n">
        <v>1138.953</v>
      </c>
      <c r="P144" s="12" t="n">
        <v>1084.929</v>
      </c>
      <c r="Q144" s="12" t="n">
        <v>1011.426</v>
      </c>
      <c r="R144" s="12" t="n">
        <v>685.03</v>
      </c>
      <c r="S144" s="12" t="n">
        <v>615.111</v>
      </c>
      <c r="T144" s="12" t="n">
        <v>1802.591</v>
      </c>
      <c r="U144" s="12" t="n">
        <v>1160.402</v>
      </c>
      <c r="V144" s="12" t="n">
        <v>731.297</v>
      </c>
      <c r="W144" s="12" t="n">
        <v>1110.145</v>
      </c>
      <c r="X144" s="12" t="n">
        <v>1631.39</v>
      </c>
    </row>
    <row r="145">
      <c r="A145" s="20" t="inlineStr">
        <is>
          <t>감가상각비</t>
        </is>
      </c>
      <c r="F145" s="22" t="n">
        <v>271.347</v>
      </c>
      <c r="J145" s="22" t="n">
        <v>270.569</v>
      </c>
      <c r="N145" s="22" t="n">
        <v>243.251</v>
      </c>
      <c r="O145" s="22" t="n">
        <v>380.343</v>
      </c>
      <c r="P145" s="22" t="n">
        <v>331.425</v>
      </c>
      <c r="Q145" s="22" t="n">
        <v>314.674</v>
      </c>
      <c r="R145" s="22" t="n">
        <v>324.199</v>
      </c>
      <c r="S145" s="22" t="n">
        <v>269.668</v>
      </c>
      <c r="T145" s="22" t="n">
        <v>285.214</v>
      </c>
      <c r="U145" s="22" t="n">
        <v>251.314</v>
      </c>
      <c r="V145" s="22" t="n">
        <v>271.347</v>
      </c>
      <c r="W145" s="22" t="n">
        <v>270.569</v>
      </c>
      <c r="X145" s="22" t="n">
        <v>243.251</v>
      </c>
    </row>
    <row r="146">
      <c r="A146" s="20" t="inlineStr">
        <is>
          <t>상여충당금 증감</t>
        </is>
      </c>
      <c r="F146" s="22" t="n">
        <v>0.886</v>
      </c>
      <c r="J146" s="22" t="n">
        <v>-19.737</v>
      </c>
      <c r="N146" s="22" t="n">
        <v>21.244</v>
      </c>
      <c r="O146" s="22" t="n">
        <v>-0.672</v>
      </c>
      <c r="P146" s="22" t="n">
        <v>7.261</v>
      </c>
      <c r="Q146" s="22" t="n">
        <v>-6.668</v>
      </c>
      <c r="R146" s="22" t="n">
        <v>-43.491</v>
      </c>
      <c r="S146" s="22" t="n">
        <v>12.482</v>
      </c>
      <c r="T146" s="22" t="n">
        <v>18.751</v>
      </c>
      <c r="U146" s="22" t="n">
        <v>-27.416</v>
      </c>
      <c r="V146" s="22" t="n">
        <v>0.886</v>
      </c>
      <c r="W146" s="22" t="n">
        <v>-19.737</v>
      </c>
      <c r="X146" s="22" t="n">
        <v>21.244</v>
      </c>
    </row>
    <row r="147">
      <c r="A147" s="20" t="inlineStr">
        <is>
          <t>주식급여 충당금 증감</t>
        </is>
      </c>
      <c r="O147" s="22" t="n">
        <v>0</v>
      </c>
      <c r="P147" s="22" t="n">
        <v>24.208</v>
      </c>
      <c r="Q147" s="22" t="n">
        <v>15.366</v>
      </c>
    </row>
    <row r="148">
      <c r="A148" s="20" t="inlineStr">
        <is>
          <t>임원 주식급여 충당금 증감</t>
        </is>
      </c>
      <c r="O148" s="22" t="n">
        <v>0</v>
      </c>
      <c r="P148" s="22" t="n">
        <v>29.082</v>
      </c>
      <c r="Q148" s="22" t="n">
        <v>29.082</v>
      </c>
    </row>
    <row r="149">
      <c r="A149" s="20" t="inlineStr">
        <is>
          <t>임원 상여충당금 증감</t>
        </is>
      </c>
      <c r="F149" s="22" t="n">
        <v>-0.42</v>
      </c>
      <c r="J149" s="22" t="n">
        <v>0.3</v>
      </c>
      <c r="N149" s="22" t="n">
        <v>-0.3</v>
      </c>
      <c r="O149" s="22" t="n">
        <v>-4.5</v>
      </c>
      <c r="P149" s="22" t="n">
        <v>0</v>
      </c>
      <c r="Q149" s="22" t="n">
        <v>1.5</v>
      </c>
      <c r="R149" s="22" t="n">
        <v>0.82</v>
      </c>
      <c r="S149" s="22" t="n">
        <v>-1.62</v>
      </c>
      <c r="T149" s="22" t="n">
        <v>6.5</v>
      </c>
      <c r="U149" s="22" t="n">
        <v>-6.08</v>
      </c>
      <c r="V149" s="22" t="n">
        <v>-0.42</v>
      </c>
      <c r="W149" s="22" t="n">
        <v>0.3</v>
      </c>
      <c r="X149" s="22" t="n">
        <v>-0.3</v>
      </c>
    </row>
    <row r="150">
      <c r="A150" s="20" t="inlineStr">
        <is>
          <t>제품보증 충당금 증감</t>
        </is>
      </c>
      <c r="F150" s="22" t="n">
        <v>-2</v>
      </c>
      <c r="J150" s="22" t="n">
        <v>-1</v>
      </c>
      <c r="N150" s="22" t="n">
        <v>2</v>
      </c>
      <c r="O150" s="22" t="n">
        <v>-20.291</v>
      </c>
      <c r="P150" s="22" t="n">
        <v>2</v>
      </c>
      <c r="Q150" s="22" t="n">
        <v>1</v>
      </c>
      <c r="R150" s="22" t="n">
        <v>-6</v>
      </c>
      <c r="S150" s="22" t="n">
        <v>-3</v>
      </c>
      <c r="T150" s="22" t="n">
        <v>2</v>
      </c>
      <c r="U150" s="22" t="n">
        <v>0</v>
      </c>
      <c r="V150" s="22" t="n">
        <v>-2</v>
      </c>
      <c r="W150" s="22" t="n">
        <v>-1</v>
      </c>
      <c r="X150" s="22" t="n">
        <v>2</v>
      </c>
    </row>
    <row r="151">
      <c r="A151" s="20" t="inlineStr">
        <is>
          <t>주식급여 충당금 증감</t>
        </is>
      </c>
      <c r="F151" s="22" t="n">
        <v>13.006</v>
      </c>
      <c r="J151" s="22" t="n">
        <v>15.855</v>
      </c>
      <c r="N151" s="22" t="n">
        <v>14.821</v>
      </c>
      <c r="Q151" s="22" t="n">
        <v>15.366</v>
      </c>
      <c r="R151" s="22" t="n">
        <v>12.777</v>
      </c>
      <c r="S151" s="22" t="n">
        <v>0.432</v>
      </c>
      <c r="T151" s="22" t="n">
        <v>16.977</v>
      </c>
      <c r="U151" s="22" t="n">
        <v>18.981</v>
      </c>
      <c r="V151" s="22" t="n">
        <v>13.006</v>
      </c>
      <c r="W151" s="22" t="n">
        <v>15.855</v>
      </c>
      <c r="X151" s="22" t="n">
        <v>14.821</v>
      </c>
    </row>
    <row r="152">
      <c r="A152" s="20" t="inlineStr">
        <is>
          <t>임원 주식급여 충당금 증감</t>
        </is>
      </c>
      <c r="F152" s="22" t="n">
        <v>21.864</v>
      </c>
      <c r="J152" s="22" t="n">
        <v>27.435</v>
      </c>
      <c r="N152" s="22" t="n">
        <v>28.918</v>
      </c>
      <c r="Q152" s="22" t="n">
        <v>29.082</v>
      </c>
      <c r="R152" s="22" t="n">
        <v>22.833</v>
      </c>
      <c r="S152" s="22" t="n">
        <v>-0.117</v>
      </c>
      <c r="T152" s="22" t="n">
        <v>28.296</v>
      </c>
      <c r="U152" s="22" t="n">
        <v>34.977</v>
      </c>
      <c r="V152" s="22" t="n">
        <v>21.864</v>
      </c>
      <c r="W152" s="22" t="n">
        <v>27.435</v>
      </c>
      <c r="X152" s="22" t="n">
        <v>28.918</v>
      </c>
    </row>
    <row r="153">
      <c r="A153" s="20" t="inlineStr">
        <is>
          <t>퇴직급여부채 증감</t>
        </is>
      </c>
      <c r="O153" s="22" t="n">
        <v>-9.257999999999999</v>
      </c>
      <c r="P153" s="22" t="n">
        <v>6.666</v>
      </c>
      <c r="Q153" s="22" t="n">
        <v>-6.666</v>
      </c>
      <c r="R153" s="22" t="n">
        <v>0</v>
      </c>
    </row>
    <row r="154">
      <c r="A154" s="20" t="inlineStr">
        <is>
          <t>퇴직급여자산 증감</t>
        </is>
      </c>
      <c r="F154" s="22" t="n">
        <v>3.098</v>
      </c>
      <c r="J154" s="22" t="n">
        <v>3.169</v>
      </c>
      <c r="N154" s="22" t="n">
        <v>4.979</v>
      </c>
      <c r="O154" s="22" t="n">
        <v>-0.197</v>
      </c>
      <c r="P154" s="22" t="n">
        <v>0.197</v>
      </c>
      <c r="Q154" s="22" t="n">
        <v>-29.944</v>
      </c>
      <c r="R154" s="22" t="n">
        <v>2.587</v>
      </c>
      <c r="S154" s="22" t="n">
        <v>3.261</v>
      </c>
      <c r="T154" s="22" t="n">
        <v>2.859</v>
      </c>
      <c r="U154" s="22" t="n">
        <v>3.448</v>
      </c>
      <c r="V154" s="22" t="n">
        <v>3.098</v>
      </c>
      <c r="W154" s="22" t="n">
        <v>3.169</v>
      </c>
      <c r="X154" s="22" t="n">
        <v>4.979</v>
      </c>
    </row>
    <row r="155">
      <c r="A155" s="20" t="inlineStr">
        <is>
          <t>이자·배당금 수익</t>
        </is>
      </c>
      <c r="F155" s="22" t="n">
        <v>-386.59</v>
      </c>
      <c r="J155" s="22" t="n">
        <v>-352.444</v>
      </c>
      <c r="N155" s="22" t="n">
        <v>-334.895</v>
      </c>
      <c r="O155" s="22" t="n">
        <v>-66.73</v>
      </c>
      <c r="P155" s="22" t="n">
        <v>-71.08</v>
      </c>
      <c r="Q155" s="22" t="n">
        <v>-96.599</v>
      </c>
      <c r="R155" s="22" t="n">
        <v>-80.339</v>
      </c>
      <c r="S155" s="22" t="n">
        <v>-56.797</v>
      </c>
      <c r="T155" s="22" t="n">
        <v>-80.389</v>
      </c>
      <c r="U155" s="22" t="n">
        <v>-271.884</v>
      </c>
      <c r="V155" s="22" t="n">
        <v>-386.59</v>
      </c>
      <c r="W155" s="22" t="n">
        <v>-352.444</v>
      </c>
      <c r="X155" s="22" t="n">
        <v>-334.895</v>
      </c>
    </row>
    <row r="156">
      <c r="A156" s="20" t="inlineStr">
        <is>
          <t>이자비용</t>
        </is>
      </c>
      <c r="F156" s="22" t="n">
        <v>0.782</v>
      </c>
      <c r="J156" s="22" t="n">
        <v>3.291</v>
      </c>
      <c r="N156" s="22" t="n">
        <v>2.857</v>
      </c>
      <c r="O156" s="22" t="n">
        <v>1.107</v>
      </c>
      <c r="P156" s="22" t="n">
        <v>0.55</v>
      </c>
      <c r="Q156" s="22" t="n">
        <v>1.225</v>
      </c>
      <c r="R156" s="22" t="n">
        <v>0.928</v>
      </c>
      <c r="S156" s="22" t="n">
        <v>0.43</v>
      </c>
      <c r="T156" s="22" t="n">
        <v>0.112</v>
      </c>
      <c r="U156" s="22" t="n">
        <v>0.848</v>
      </c>
      <c r="V156" s="22" t="n">
        <v>0.782</v>
      </c>
      <c r="W156" s="22" t="n">
        <v>3.291</v>
      </c>
      <c r="X156" s="22" t="n">
        <v>2.857</v>
      </c>
    </row>
    <row r="157">
      <c r="A157" s="20" t="inlineStr">
        <is>
          <t>외환차손익</t>
        </is>
      </c>
      <c r="F157" s="22" t="n">
        <v>96.71299999999999</v>
      </c>
      <c r="J157" s="22" t="n">
        <v>-70.30200000000001</v>
      </c>
      <c r="N157" s="22" t="n">
        <v>-608.252</v>
      </c>
      <c r="O157" s="22" t="n">
        <v>-104.807</v>
      </c>
      <c r="P157" s="22" t="n">
        <v>-15.431</v>
      </c>
      <c r="Q157" s="22" t="n">
        <v>153.611</v>
      </c>
      <c r="R157" s="22" t="n">
        <v>9.513999999999999</v>
      </c>
      <c r="S157" s="22" t="n">
        <v>-179.46</v>
      </c>
      <c r="T157" s="22" t="n">
        <v>-1180.136</v>
      </c>
      <c r="U157" s="22" t="n">
        <v>-382.052</v>
      </c>
      <c r="V157" s="22" t="n">
        <v>96.71299999999999</v>
      </c>
      <c r="W157" s="22" t="n">
        <v>-70.30200000000001</v>
      </c>
      <c r="X157" s="22" t="n">
        <v>-608.252</v>
      </c>
    </row>
    <row r="158">
      <c r="A158" s="20" t="inlineStr">
        <is>
          <t>투자유가증권 평가손익</t>
        </is>
      </c>
      <c r="F158" s="22" t="n">
        <v>21.125</v>
      </c>
      <c r="J158" s="22" t="n">
        <v>-9.832000000000001</v>
      </c>
      <c r="N158" s="22" t="n">
        <v>-19.475</v>
      </c>
      <c r="O158" s="22" t="n">
        <v>-25.872</v>
      </c>
      <c r="P158" s="22" t="n">
        <v>13.758</v>
      </c>
      <c r="Q158" s="22" t="n">
        <v>-28.991</v>
      </c>
      <c r="R158" s="22" t="n">
        <v>57.162</v>
      </c>
      <c r="S158" s="22" t="n">
        <v>-9.212999999999999</v>
      </c>
      <c r="T158" s="22" t="n">
        <v>-38.723</v>
      </c>
      <c r="U158" s="22" t="n">
        <v>-14.507</v>
      </c>
      <c r="V158" s="22" t="n">
        <v>21.125</v>
      </c>
      <c r="W158" s="22" t="n">
        <v>-9.832000000000001</v>
      </c>
      <c r="X158" s="22" t="n">
        <v>-19.475</v>
      </c>
    </row>
    <row r="159">
      <c r="A159" s="20" t="inlineStr">
        <is>
          <t>투자유가증권 매각손익</t>
        </is>
      </c>
      <c r="O159" s="22" t="n">
        <v>-104.88</v>
      </c>
      <c r="P159" s="22" t="n">
        <v>0</v>
      </c>
      <c r="Q159" s="22" t="n">
        <v>0</v>
      </c>
      <c r="R159" s="22" t="n">
        <v>0.289</v>
      </c>
    </row>
    <row r="160">
      <c r="A160" s="20" t="inlineStr">
        <is>
          <t>고정자산 매각손익</t>
        </is>
      </c>
      <c r="F160" s="22" t="n">
        <v>-3.957</v>
      </c>
      <c r="J160" s="22" t="n">
        <v>-1.469</v>
      </c>
      <c r="N160" s="22" t="n">
        <v>-3.339</v>
      </c>
      <c r="O160" s="22" t="n">
        <v>-1.716</v>
      </c>
      <c r="P160" s="22" t="n">
        <v>-1.769</v>
      </c>
      <c r="Q160" s="22" t="n">
        <v>-1.991</v>
      </c>
      <c r="R160" s="22" t="n">
        <v>-17.919</v>
      </c>
      <c r="S160" s="22" t="n">
        <v>-1.075</v>
      </c>
      <c r="T160" s="22" t="n">
        <v>-2.378</v>
      </c>
      <c r="U160" s="22" t="n">
        <v>-1.687</v>
      </c>
      <c r="V160" s="22" t="n">
        <v>-3.957</v>
      </c>
      <c r="W160" s="22" t="n">
        <v>-1.469</v>
      </c>
      <c r="X160" s="22" t="n">
        <v>-3.339</v>
      </c>
    </row>
    <row r="161">
      <c r="A161" s="20" t="inlineStr">
        <is>
          <t>고정자산 제각손실</t>
        </is>
      </c>
      <c r="F161" s="22" t="n">
        <v>3.113</v>
      </c>
      <c r="J161" s="22" t="n">
        <v>10.437</v>
      </c>
      <c r="N161" s="22" t="n">
        <v>3.524</v>
      </c>
      <c r="O161" s="22" t="n">
        <v>0.506</v>
      </c>
      <c r="P161" s="22" t="n">
        <v>0</v>
      </c>
      <c r="Q161" s="22" t="n">
        <v>0.482</v>
      </c>
      <c r="R161" s="22" t="n">
        <v>0</v>
      </c>
      <c r="S161" s="22" t="n">
        <v>0</v>
      </c>
      <c r="T161" s="22" t="n">
        <v>18.698</v>
      </c>
      <c r="U161" s="22" t="n">
        <v>1.686</v>
      </c>
      <c r="V161" s="22" t="n">
        <v>3.113</v>
      </c>
      <c r="W161" s="22" t="n">
        <v>10.437</v>
      </c>
      <c r="X161" s="22" t="n">
        <v>3.524</v>
      </c>
    </row>
    <row r="162">
      <c r="A162" s="20" t="inlineStr">
        <is>
          <t>손상차손</t>
        </is>
      </c>
      <c r="P162" s="22" t="n">
        <v>0</v>
      </c>
      <c r="Q162" s="22" t="n">
        <v>43.28</v>
      </c>
      <c r="R162" s="22" t="n">
        <v>6.328</v>
      </c>
      <c r="S162" s="22" t="n">
        <v>8.423999999999999</v>
      </c>
      <c r="T162" s="22" t="n">
        <v>0</v>
      </c>
    </row>
    <row r="163">
      <c r="A163" s="20" t="inlineStr">
        <is>
          <t>유형자산에서 매출원가로 대체</t>
        </is>
      </c>
      <c r="O163" s="22" t="n">
        <v>0</v>
      </c>
      <c r="P163" s="22" t="n">
        <v>0.62</v>
      </c>
      <c r="Q163" s="22" t="n">
        <v>10.13</v>
      </c>
      <c r="R163" s="22" t="n">
        <v>0.877</v>
      </c>
      <c r="S163" s="22" t="n">
        <v>0.349</v>
      </c>
      <c r="T163" s="22" t="n">
        <v>0</v>
      </c>
    </row>
    <row r="164">
      <c r="A164" s="20" t="inlineStr">
        <is>
          <t>유형자산에서 개발비로 대체</t>
        </is>
      </c>
      <c r="O164" s="22" t="n">
        <v>11.487</v>
      </c>
      <c r="P164" s="22" t="n">
        <v>1.268</v>
      </c>
      <c r="Q164" s="22" t="n">
        <v>31.563</v>
      </c>
      <c r="R164" s="22" t="n">
        <v>0</v>
      </c>
    </row>
    <row r="165">
      <c r="A165" s="20" t="inlineStr">
        <is>
          <t>매출채권 증감</t>
        </is>
      </c>
      <c r="F165" s="22" t="n">
        <v>-561.408</v>
      </c>
      <c r="J165" s="22" t="n">
        <v>417.701</v>
      </c>
      <c r="N165" s="22" t="n">
        <v>461.864</v>
      </c>
      <c r="O165" s="22" t="n">
        <v>-113.75</v>
      </c>
      <c r="P165" s="22" t="n">
        <v>88.18600000000001</v>
      </c>
      <c r="Q165" s="22" t="n">
        <v>-2.688</v>
      </c>
      <c r="R165" s="22" t="n">
        <v>104.313</v>
      </c>
      <c r="S165" s="22" t="n">
        <v>810.514</v>
      </c>
      <c r="T165" s="22" t="n">
        <v>-237.258</v>
      </c>
      <c r="U165" s="22" t="n">
        <v>419.375</v>
      </c>
      <c r="V165" s="22" t="n">
        <v>-561.408</v>
      </c>
      <c r="W165" s="22" t="n">
        <v>417.701</v>
      </c>
      <c r="X165" s="22" t="n">
        <v>461.864</v>
      </c>
    </row>
    <row r="166">
      <c r="A166" s="20" t="inlineStr">
        <is>
          <t>재고자산 증감</t>
        </is>
      </c>
      <c r="F166" s="22" t="n">
        <v>-654.499</v>
      </c>
      <c r="J166" s="22" t="n">
        <v>370.668</v>
      </c>
      <c r="N166" s="22" t="n">
        <v>-293.763</v>
      </c>
      <c r="O166" s="22" t="n">
        <v>199.656</v>
      </c>
      <c r="P166" s="22" t="n">
        <v>-427.927</v>
      </c>
      <c r="Q166" s="22" t="n">
        <v>-57.996</v>
      </c>
      <c r="R166" s="22" t="n">
        <v>-98.887</v>
      </c>
      <c r="S166" s="22" t="n">
        <v>-94.87</v>
      </c>
      <c r="T166" s="22" t="n">
        <v>171.329</v>
      </c>
      <c r="U166" s="22" t="n">
        <v>120.672</v>
      </c>
      <c r="V166" s="22" t="n">
        <v>-654.499</v>
      </c>
      <c r="W166" s="22" t="n">
        <v>370.668</v>
      </c>
      <c r="X166" s="22" t="n">
        <v>-293.763</v>
      </c>
    </row>
    <row r="167">
      <c r="A167" s="20" t="inlineStr">
        <is>
          <t>기타 유동자산 증감</t>
        </is>
      </c>
      <c r="F167" s="22" t="n">
        <v>-39.28</v>
      </c>
      <c r="J167" s="22" t="n">
        <v>52.243</v>
      </c>
      <c r="N167" s="22" t="n">
        <v>-47.172</v>
      </c>
      <c r="O167" s="22" t="n">
        <v>89.783</v>
      </c>
      <c r="P167" s="22" t="n">
        <v>-10.231</v>
      </c>
      <c r="Q167" s="22" t="n">
        <v>71.42</v>
      </c>
      <c r="R167" s="22" t="n">
        <v>-5.465</v>
      </c>
      <c r="S167" s="22" t="n">
        <v>-13.774</v>
      </c>
      <c r="T167" s="22" t="n">
        <v>-5.423</v>
      </c>
      <c r="U167" s="22" t="n">
        <v>21.743</v>
      </c>
      <c r="V167" s="22" t="n">
        <v>-39.28</v>
      </c>
      <c r="W167" s="22" t="n">
        <v>52.243</v>
      </c>
      <c r="X167" s="22" t="n">
        <v>-47.172</v>
      </c>
    </row>
    <row r="168">
      <c r="A168" s="20" t="inlineStr">
        <is>
          <t>매입채무 증감</t>
        </is>
      </c>
      <c r="F168" s="22" t="n">
        <v>173.818</v>
      </c>
      <c r="J168" s="22" t="n">
        <v>-170.513</v>
      </c>
      <c r="N168" s="22" t="n">
        <v>159.308</v>
      </c>
      <c r="O168" s="22" t="n">
        <v>-8.616</v>
      </c>
      <c r="P168" s="22" t="n">
        <v>90.41500000000001</v>
      </c>
      <c r="Q168" s="22" t="n">
        <v>-50.446</v>
      </c>
      <c r="R168" s="22" t="n">
        <v>-60.424</v>
      </c>
      <c r="S168" s="22" t="n">
        <v>4.163</v>
      </c>
      <c r="T168" s="22" t="n">
        <v>19.591</v>
      </c>
      <c r="U168" s="22" t="n">
        <v>-53.495</v>
      </c>
      <c r="V168" s="22" t="n">
        <v>173.818</v>
      </c>
      <c r="W168" s="22" t="n">
        <v>-170.513</v>
      </c>
      <c r="X168" s="22" t="n">
        <v>159.308</v>
      </c>
    </row>
    <row r="169">
      <c r="A169" s="20" t="inlineStr">
        <is>
          <t>미지급 소비세 증감</t>
        </is>
      </c>
      <c r="O169" s="22" t="n">
        <v>147.475</v>
      </c>
      <c r="P169" s="22" t="n">
        <v>-147.475</v>
      </c>
      <c r="Q169" s="22" t="n">
        <v>39.936</v>
      </c>
      <c r="R169" s="22" t="n">
        <v>-32.165</v>
      </c>
      <c r="S169" s="22" t="n">
        <v>-7.771</v>
      </c>
      <c r="T169" s="22" t="n">
        <v>0</v>
      </c>
    </row>
    <row r="170">
      <c r="A170" s="20" t="inlineStr">
        <is>
          <t>선수금 증감</t>
        </is>
      </c>
      <c r="Q170" s="22" t="n">
        <v>88.163</v>
      </c>
      <c r="R170" s="22" t="n">
        <v>-52.783</v>
      </c>
      <c r="S170" s="22" t="n">
        <v>227.407</v>
      </c>
      <c r="T170" s="22" t="n">
        <v>0</v>
      </c>
    </row>
    <row r="171">
      <c r="A171" s="20" t="inlineStr">
        <is>
          <t>계약부채 증감</t>
        </is>
      </c>
      <c r="S171" s="22" t="n">
        <v>0</v>
      </c>
      <c r="T171" s="22" t="n">
        <v>-391.196</v>
      </c>
      <c r="U171" s="22" t="n">
        <v>170.151</v>
      </c>
    </row>
    <row r="172">
      <c r="A172" s="20" t="inlineStr">
        <is>
          <t>계약부채 증감</t>
        </is>
      </c>
      <c r="F172" s="22" t="n">
        <v>135.46</v>
      </c>
      <c r="J172" s="22" t="n">
        <v>-57.386</v>
      </c>
      <c r="N172" s="22" t="n">
        <v>257.883</v>
      </c>
      <c r="U172" s="22" t="n">
        <v>170.151</v>
      </c>
      <c r="V172" s="22" t="n">
        <v>135.46</v>
      </c>
      <c r="W172" s="22" t="n">
        <v>-57.386</v>
      </c>
      <c r="X172" s="22" t="n">
        <v>257.883</v>
      </c>
    </row>
    <row r="173">
      <c r="A173" s="20" t="inlineStr">
        <is>
          <t>기타 유동부채 증감</t>
        </is>
      </c>
      <c r="F173" s="22" t="n">
        <v>52.605</v>
      </c>
      <c r="J173" s="22" t="n">
        <v>13.998</v>
      </c>
      <c r="N173" s="22" t="n">
        <v>236.143</v>
      </c>
      <c r="O173" s="22" t="n">
        <v>164.798</v>
      </c>
      <c r="P173" s="22" t="n">
        <v>141.739</v>
      </c>
      <c r="Q173" s="22" t="n">
        <v>65.916</v>
      </c>
      <c r="R173" s="22" t="n">
        <v>-143.996</v>
      </c>
      <c r="S173" s="22" t="n">
        <v>-10.285</v>
      </c>
      <c r="T173" s="22" t="n">
        <v>50.19</v>
      </c>
      <c r="U173" s="22" t="n">
        <v>17.911</v>
      </c>
      <c r="V173" s="22" t="n">
        <v>52.605</v>
      </c>
      <c r="W173" s="22" t="n">
        <v>13.998</v>
      </c>
      <c r="X173" s="22" t="n">
        <v>236.143</v>
      </c>
    </row>
    <row r="174">
      <c r="A174" s="20" t="inlineStr">
        <is>
          <t>기타</t>
        </is>
      </c>
      <c r="F174" s="22" t="n">
        <v>-18.797</v>
      </c>
      <c r="J174" s="22" t="n">
        <v>-1.564</v>
      </c>
      <c r="N174" s="22" t="n">
        <v>6.509</v>
      </c>
      <c r="O174" s="22" t="n">
        <v>-1.731</v>
      </c>
      <c r="P174" s="22" t="n">
        <v>-7.586</v>
      </c>
      <c r="Q174" s="22" t="n">
        <v>-2.657</v>
      </c>
      <c r="R174" s="22" t="n">
        <v>13.131</v>
      </c>
      <c r="S174" s="22" t="n">
        <v>-1.453</v>
      </c>
      <c r="T174" s="22" t="n">
        <v>28.789</v>
      </c>
      <c r="U174" s="22" t="n">
        <v>23.666</v>
      </c>
      <c r="V174" s="22" t="n">
        <v>-18.797</v>
      </c>
      <c r="W174" s="22" t="n">
        <v>-1.564</v>
      </c>
      <c r="X174" s="22" t="n">
        <v>6.509</v>
      </c>
    </row>
    <row r="175">
      <c r="A175" s="20" t="inlineStr">
        <is>
          <t>소계</t>
        </is>
      </c>
      <c r="F175" s="22" t="n">
        <v>-141.832</v>
      </c>
      <c r="J175" s="22" t="n">
        <v>1611.566</v>
      </c>
      <c r="N175" s="22" t="n">
        <v>1767.497</v>
      </c>
      <c r="O175" s="22" t="n">
        <v>1671.085</v>
      </c>
      <c r="P175" s="22" t="n">
        <v>1140.808</v>
      </c>
      <c r="Q175" s="22" t="n">
        <v>1594.129</v>
      </c>
      <c r="R175" s="22" t="n">
        <v>699.0309999999999</v>
      </c>
      <c r="S175" s="22" t="n">
        <v>1572.805</v>
      </c>
      <c r="T175" s="22" t="n">
        <v>516.395</v>
      </c>
      <c r="U175" s="22" t="n">
        <v>1488.055</v>
      </c>
      <c r="V175" s="22" t="n">
        <v>-141.832</v>
      </c>
      <c r="W175" s="22" t="n">
        <v>1611.566</v>
      </c>
      <c r="X175" s="22" t="n">
        <v>1767.497</v>
      </c>
    </row>
    <row r="176">
      <c r="A176" s="20" t="inlineStr">
        <is>
          <t>이자·배당금 수취</t>
        </is>
      </c>
      <c r="F176" s="22" t="n">
        <v>389.343</v>
      </c>
      <c r="J176" s="22" t="n">
        <v>334.563</v>
      </c>
      <c r="N176" s="22" t="n">
        <v>330.332</v>
      </c>
      <c r="O176" s="22" t="n">
        <v>51.942</v>
      </c>
      <c r="P176" s="22" t="n">
        <v>57.468</v>
      </c>
      <c r="Q176" s="22" t="n">
        <v>83.179</v>
      </c>
      <c r="R176" s="22" t="n">
        <v>69.871</v>
      </c>
      <c r="S176" s="22" t="n">
        <v>49.934</v>
      </c>
      <c r="T176" s="22" t="n">
        <v>75.29900000000001</v>
      </c>
      <c r="U176" s="22" t="n">
        <v>272.705</v>
      </c>
      <c r="V176" s="22" t="n">
        <v>389.343</v>
      </c>
      <c r="W176" s="22" t="n">
        <v>334.563</v>
      </c>
      <c r="X176" s="22" t="n">
        <v>330.332</v>
      </c>
    </row>
    <row r="177">
      <c r="A177" s="20" t="inlineStr">
        <is>
          <t>이자 지급</t>
        </is>
      </c>
      <c r="F177" s="22" t="n">
        <v>-0.917</v>
      </c>
      <c r="J177" s="22" t="n">
        <v>-2.919</v>
      </c>
      <c r="N177" s="22" t="n">
        <v>-3.129</v>
      </c>
      <c r="O177" s="22" t="n">
        <v>-1.058</v>
      </c>
      <c r="P177" s="22" t="n">
        <v>-0.49</v>
      </c>
      <c r="Q177" s="22" t="n">
        <v>-1.183</v>
      </c>
      <c r="R177" s="22" t="n">
        <v>-0.82</v>
      </c>
      <c r="S177" s="22" t="n">
        <v>-0.602</v>
      </c>
      <c r="T177" s="22" t="n">
        <v>-0.105</v>
      </c>
      <c r="U177" s="22" t="n">
        <v>-0.743</v>
      </c>
      <c r="V177" s="22" t="n">
        <v>-0.917</v>
      </c>
      <c r="W177" s="22" t="n">
        <v>-2.919</v>
      </c>
      <c r="X177" s="22" t="n">
        <v>-3.129</v>
      </c>
    </row>
    <row r="178">
      <c r="A178" s="20" t="inlineStr">
        <is>
          <t>법인세 납부</t>
        </is>
      </c>
      <c r="F178" s="22" t="n">
        <v>-199.578</v>
      </c>
      <c r="J178" s="22" t="n">
        <v>-200.885</v>
      </c>
      <c r="N178" s="22" t="n">
        <v>-426.035</v>
      </c>
      <c r="O178" s="22" t="n">
        <v>-154.526</v>
      </c>
      <c r="P178" s="22" t="n">
        <v>-417.111</v>
      </c>
      <c r="Q178" s="22" t="n">
        <v>-329.229</v>
      </c>
      <c r="R178" s="22" t="n">
        <v>-294.12</v>
      </c>
      <c r="S178" s="22" t="n">
        <v>-121.278</v>
      </c>
      <c r="T178" s="22" t="n">
        <v>-204.441</v>
      </c>
      <c r="U178" s="22" t="n">
        <v>-830.861</v>
      </c>
      <c r="V178" s="22" t="n">
        <v>-199.578</v>
      </c>
      <c r="W178" s="22" t="n">
        <v>-200.885</v>
      </c>
      <c r="X178" s="22" t="n">
        <v>-426.035</v>
      </c>
    </row>
    <row r="179">
      <c r="A179" s="9" t="inlineStr">
        <is>
          <t>영업활동 현금흐름</t>
        </is>
      </c>
      <c r="F179" s="12" t="n">
        <v>47.014</v>
      </c>
      <c r="J179" s="12" t="n">
        <v>1742.324</v>
      </c>
      <c r="N179" s="12" t="n">
        <v>1668.665</v>
      </c>
      <c r="O179" s="12" t="n">
        <v>1567.442</v>
      </c>
      <c r="P179" s="12" t="n">
        <v>780.674</v>
      </c>
      <c r="Q179" s="12" t="n">
        <v>1346.895</v>
      </c>
      <c r="R179" s="12" t="n">
        <v>473.961</v>
      </c>
      <c r="S179" s="12" t="n">
        <v>1500.859</v>
      </c>
      <c r="T179" s="12" t="n">
        <v>387.147</v>
      </c>
      <c r="U179" s="12" t="n">
        <v>929.157</v>
      </c>
      <c r="V179" s="12" t="n">
        <v>47.014</v>
      </c>
      <c r="W179" s="12" t="n">
        <v>1742.324</v>
      </c>
      <c r="X179" s="12" t="n">
        <v>1668.665</v>
      </c>
    </row>
    <row r="180">
      <c r="A180" s="20" t="inlineStr">
        <is>
          <t>유형자산 취득(설비투자)</t>
        </is>
      </c>
      <c r="F180" s="22" t="n">
        <v>-255.803</v>
      </c>
      <c r="J180" s="22" t="n">
        <v>-193.134</v>
      </c>
      <c r="N180" s="22" t="n">
        <v>-230.842</v>
      </c>
      <c r="O180" s="22" t="n">
        <v>-162.842</v>
      </c>
      <c r="P180" s="22" t="n">
        <v>-161.692</v>
      </c>
      <c r="Q180" s="22" t="n">
        <v>-318.274</v>
      </c>
      <c r="R180" s="22" t="n">
        <v>-186.907</v>
      </c>
      <c r="S180" s="22" t="n">
        <v>-114.973</v>
      </c>
      <c r="T180" s="22" t="n">
        <v>-125.336</v>
      </c>
      <c r="U180" s="22" t="n">
        <v>-224.702</v>
      </c>
      <c r="V180" s="22" t="n">
        <v>-255.803</v>
      </c>
      <c r="W180" s="22" t="n">
        <v>-193.134</v>
      </c>
      <c r="X180" s="22" t="n">
        <v>-230.842</v>
      </c>
    </row>
    <row r="181">
      <c r="A181" s="20" t="inlineStr">
        <is>
          <t>유형자산 매각</t>
        </is>
      </c>
      <c r="F181" s="22" t="n">
        <v>5.214</v>
      </c>
      <c r="J181" s="22" t="n">
        <v>2.098</v>
      </c>
      <c r="N181" s="22" t="n">
        <v>3.339</v>
      </c>
      <c r="O181" s="22" t="n">
        <v>1.958</v>
      </c>
      <c r="P181" s="22" t="n">
        <v>3.387</v>
      </c>
      <c r="Q181" s="22" t="n">
        <v>2.775</v>
      </c>
      <c r="R181" s="22" t="n">
        <v>24.388</v>
      </c>
      <c r="S181" s="22" t="n">
        <v>27.011</v>
      </c>
      <c r="T181" s="22" t="n">
        <v>7.493</v>
      </c>
      <c r="U181" s="22" t="n">
        <v>1.272</v>
      </c>
      <c r="V181" s="22" t="n">
        <v>5.214</v>
      </c>
      <c r="W181" s="22" t="n">
        <v>2.098</v>
      </c>
      <c r="X181" s="22" t="n">
        <v>3.339</v>
      </c>
    </row>
    <row r="182">
      <c r="A182" s="20" t="inlineStr">
        <is>
          <t>무형자산 취득</t>
        </is>
      </c>
      <c r="F182" s="22" t="n">
        <v>-0.381</v>
      </c>
      <c r="J182" s="22" t="n">
        <v>0</v>
      </c>
      <c r="O182" s="22" t="n">
        <v>-4.2</v>
      </c>
      <c r="P182" s="22" t="n">
        <v>-11.672</v>
      </c>
      <c r="Q182" s="22" t="n">
        <v>-0.273</v>
      </c>
      <c r="R182" s="22" t="n">
        <v>-1.25</v>
      </c>
      <c r="S182" s="22" t="n">
        <v>0</v>
      </c>
      <c r="T182" s="22" t="n">
        <v>-11.233</v>
      </c>
      <c r="U182" s="22" t="n">
        <v>-11.535</v>
      </c>
      <c r="V182" s="22" t="n">
        <v>-0.381</v>
      </c>
      <c r="W182" s="22" t="n">
        <v>0</v>
      </c>
    </row>
    <row r="183">
      <c r="A183" s="20" t="inlineStr">
        <is>
          <t>유가증권 취득</t>
        </is>
      </c>
      <c r="F183" s="22" t="n">
        <v>0</v>
      </c>
      <c r="R183" s="22" t="n">
        <v>0</v>
      </c>
      <c r="S183" s="22" t="n">
        <v>-53.718</v>
      </c>
      <c r="T183" s="22" t="n">
        <v>0</v>
      </c>
      <c r="U183" s="22" t="n">
        <v>-338.789</v>
      </c>
      <c r="V183" s="22" t="n">
        <v>0</v>
      </c>
    </row>
    <row r="184">
      <c r="A184" s="20" t="inlineStr">
        <is>
          <t>투자유가증권 취득</t>
        </is>
      </c>
      <c r="F184" s="22" t="n">
        <v>-395.028</v>
      </c>
      <c r="J184" s="22" t="n">
        <v>-1.73</v>
      </c>
      <c r="N184" s="22" t="n">
        <v>-1452.73</v>
      </c>
      <c r="O184" s="22" t="n">
        <v>-273.847</v>
      </c>
      <c r="P184" s="22" t="n">
        <v>-205.796</v>
      </c>
      <c r="Q184" s="22" t="n">
        <v>-395.73</v>
      </c>
      <c r="R184" s="22" t="n">
        <v>-361.192</v>
      </c>
      <c r="S184" s="22" t="n">
        <v>-1.395</v>
      </c>
      <c r="T184" s="22" t="n">
        <v>-375.284</v>
      </c>
      <c r="U184" s="22" t="n">
        <v>-1.693</v>
      </c>
      <c r="V184" s="22" t="n">
        <v>-395.028</v>
      </c>
      <c r="W184" s="22" t="n">
        <v>-1.73</v>
      </c>
      <c r="X184" s="22" t="n">
        <v>-1452.73</v>
      </c>
    </row>
    <row r="185">
      <c r="A185" s="20" t="inlineStr">
        <is>
          <t>투자유가증권 매각</t>
        </is>
      </c>
      <c r="O185" s="22" t="n">
        <v>196.88</v>
      </c>
      <c r="P185" s="22" t="n">
        <v>0</v>
      </c>
    </row>
    <row r="186">
      <c r="A186" s="20" t="inlineStr">
        <is>
          <t>투자유가증권 상환</t>
        </is>
      </c>
      <c r="F186" s="22" t="n">
        <v>1231.862</v>
      </c>
      <c r="J186" s="22" t="n">
        <v>49.662</v>
      </c>
      <c r="N186" s="22" t="n">
        <v>52.091</v>
      </c>
      <c r="O186" s="22" t="n">
        <v>160.376</v>
      </c>
      <c r="P186" s="22" t="n">
        <v>115.291</v>
      </c>
      <c r="Q186" s="22" t="n">
        <v>627.552</v>
      </c>
      <c r="R186" s="22" t="n">
        <v>593.735</v>
      </c>
      <c r="S186" s="22" t="n">
        <v>239.514</v>
      </c>
      <c r="T186" s="22" t="n">
        <v>695.611</v>
      </c>
      <c r="U186" s="22" t="n">
        <v>316.427</v>
      </c>
      <c r="V186" s="22" t="n">
        <v>1231.862</v>
      </c>
      <c r="W186" s="22" t="n">
        <v>49.662</v>
      </c>
      <c r="X186" s="22" t="n">
        <v>52.091</v>
      </c>
    </row>
    <row r="187">
      <c r="A187" s="9" t="inlineStr">
        <is>
          <t>투자활동 현금흐름</t>
        </is>
      </c>
      <c r="F187" s="12" t="n">
        <v>585.8630000000001</v>
      </c>
      <c r="J187" s="12" t="n">
        <v>-143.103</v>
      </c>
      <c r="N187" s="12" t="n">
        <v>-1628.141</v>
      </c>
      <c r="O187" s="12" t="n">
        <v>-81.676</v>
      </c>
      <c r="P187" s="12" t="n">
        <v>-260.482</v>
      </c>
      <c r="Q187" s="12" t="n">
        <v>-83.95</v>
      </c>
      <c r="R187" s="12" t="n">
        <v>68.77200000000001</v>
      </c>
      <c r="S187" s="12" t="n">
        <v>96.437</v>
      </c>
      <c r="T187" s="12" t="n">
        <v>191.251</v>
      </c>
      <c r="U187" s="12" t="n">
        <v>-259.022</v>
      </c>
      <c r="V187" s="12" t="n">
        <v>585.8630000000001</v>
      </c>
      <c r="W187" s="12" t="n">
        <v>-143.103</v>
      </c>
      <c r="X187" s="12" t="n">
        <v>-1628.141</v>
      </c>
    </row>
    <row r="188">
      <c r="A188" s="20" t="inlineStr">
        <is>
          <t>단기차입금 순증감</t>
        </is>
      </c>
      <c r="F188" s="22" t="n">
        <v>-103.3</v>
      </c>
      <c r="J188" s="22" t="n">
        <v>23.2</v>
      </c>
      <c r="N188" s="22" t="n">
        <v>-329.3</v>
      </c>
      <c r="O188" s="22" t="n">
        <v>-1162.409</v>
      </c>
      <c r="P188" s="22" t="n">
        <v>242.53</v>
      </c>
      <c r="Q188" s="22" t="n">
        <v>158.75</v>
      </c>
      <c r="R188" s="22" t="n">
        <v>-129.4</v>
      </c>
      <c r="S188" s="22" t="n">
        <v>-379</v>
      </c>
      <c r="T188" s="22" t="n">
        <v>0</v>
      </c>
      <c r="U188" s="22" t="n">
        <v>409.4</v>
      </c>
      <c r="V188" s="22" t="n">
        <v>-103.3</v>
      </c>
      <c r="W188" s="22" t="n">
        <v>23.2</v>
      </c>
      <c r="X188" s="22" t="n">
        <v>-329.3</v>
      </c>
    </row>
    <row r="189">
      <c r="A189" s="20" t="inlineStr">
        <is>
          <t>자기주식 매각</t>
        </is>
      </c>
      <c r="F189" s="22" t="n">
        <v>0</v>
      </c>
      <c r="O189" s="22" t="n">
        <v>0</v>
      </c>
      <c r="P189" s="22" t="n">
        <v>243.66</v>
      </c>
      <c r="Q189" s="22" t="n">
        <v>0</v>
      </c>
      <c r="T189" s="22" t="n">
        <v>0</v>
      </c>
      <c r="U189" s="22" t="n">
        <v>181.951</v>
      </c>
      <c r="V189" s="22" t="n">
        <v>0</v>
      </c>
    </row>
    <row r="190">
      <c r="A190" s="20" t="inlineStr">
        <is>
          <t>자기주식 취득</t>
        </is>
      </c>
      <c r="F190" s="22" t="n">
        <v>-1374.862</v>
      </c>
      <c r="J190" s="22" t="n">
        <v>-364.539</v>
      </c>
      <c r="N190" s="22" t="n">
        <v>-295.446</v>
      </c>
      <c r="O190" s="22" t="n">
        <v>-121.316</v>
      </c>
      <c r="P190" s="22" t="n">
        <v>-243.722</v>
      </c>
      <c r="Q190" s="22" t="n">
        <v>-130.16</v>
      </c>
      <c r="R190" s="22" t="n">
        <v>-15.436</v>
      </c>
      <c r="S190" s="22" t="n">
        <v>-30.884</v>
      </c>
      <c r="T190" s="22" t="n">
        <v>-50.385</v>
      </c>
      <c r="U190" s="22" t="n">
        <v>-413.963</v>
      </c>
      <c r="V190" s="22" t="n">
        <v>-1374.862</v>
      </c>
      <c r="W190" s="22" t="n">
        <v>-364.539</v>
      </c>
      <c r="X190" s="22" t="n">
        <v>-295.446</v>
      </c>
    </row>
    <row r="191">
      <c r="A191" s="20" t="inlineStr">
        <is>
          <t>배당금 지급</t>
        </is>
      </c>
      <c r="F191" s="22" t="n">
        <v>-45.917</v>
      </c>
      <c r="J191" s="22" t="n">
        <v>-45.457</v>
      </c>
      <c r="N191" s="22" t="n">
        <v>-98.815</v>
      </c>
      <c r="O191" s="22" t="n">
        <v>-104.672</v>
      </c>
      <c r="P191" s="22" t="n">
        <v>-92.626</v>
      </c>
      <c r="Q191" s="22" t="n">
        <v>-117.105</v>
      </c>
      <c r="R191" s="22" t="n">
        <v>-112.22</v>
      </c>
      <c r="S191" s="22" t="n">
        <v>-77.61799999999999</v>
      </c>
      <c r="T191" s="22" t="n">
        <v>-49.455</v>
      </c>
      <c r="U191" s="22" t="n">
        <v>-49.085</v>
      </c>
      <c r="V191" s="22" t="n">
        <v>-45.917</v>
      </c>
      <c r="W191" s="22" t="n">
        <v>-45.457</v>
      </c>
      <c r="X191" s="22" t="n">
        <v>-98.815</v>
      </c>
    </row>
    <row r="192">
      <c r="A192" s="9" t="inlineStr">
        <is>
          <t>재무활동 현금흐름</t>
        </is>
      </c>
      <c r="F192" s="12" t="n">
        <v>-1524.079</v>
      </c>
      <c r="J192" s="12" t="n">
        <v>-386.796</v>
      </c>
      <c r="N192" s="12" t="n">
        <v>-723.562</v>
      </c>
      <c r="O192" s="12" t="n">
        <v>-1388.398</v>
      </c>
      <c r="P192" s="12" t="n">
        <v>149.841</v>
      </c>
      <c r="Q192" s="12" t="n">
        <v>-88.515</v>
      </c>
      <c r="R192" s="12" t="n">
        <v>-257.057</v>
      </c>
      <c r="S192" s="12" t="n">
        <v>-487.503</v>
      </c>
      <c r="T192" s="12" t="n">
        <v>-99.84</v>
      </c>
      <c r="U192" s="12" t="n">
        <v>128.302</v>
      </c>
      <c r="V192" s="12" t="n">
        <v>-1524.079</v>
      </c>
      <c r="W192" s="12" t="n">
        <v>-386.796</v>
      </c>
      <c r="X192" s="12" t="n">
        <v>-723.562</v>
      </c>
    </row>
    <row r="193">
      <c r="A193" s="20" t="inlineStr">
        <is>
          <t>현금성자산 환산차이</t>
        </is>
      </c>
      <c r="F193" s="22" t="n">
        <v>-34.944</v>
      </c>
      <c r="J193" s="22" t="n">
        <v>66.59399999999999</v>
      </c>
      <c r="N193" s="22" t="n">
        <v>668.828</v>
      </c>
      <c r="O193" s="22" t="n">
        <v>91.895</v>
      </c>
      <c r="P193" s="22" t="n">
        <v>17.499</v>
      </c>
      <c r="Q193" s="22" t="n">
        <v>-122.28</v>
      </c>
      <c r="R193" s="22" t="n">
        <v>-1.16</v>
      </c>
      <c r="S193" s="22" t="n">
        <v>161.425</v>
      </c>
      <c r="T193" s="22" t="n">
        <v>1202.217</v>
      </c>
      <c r="U193" s="22" t="n">
        <v>390.383</v>
      </c>
      <c r="V193" s="22" t="n">
        <v>-34.944</v>
      </c>
      <c r="W193" s="22" t="n">
        <v>66.59399999999999</v>
      </c>
      <c r="X193" s="22" t="n">
        <v>668.828</v>
      </c>
    </row>
    <row r="194">
      <c r="A194" s="20" t="inlineStr">
        <is>
          <t>현금성자산 증감</t>
        </is>
      </c>
      <c r="F194" s="22" t="n">
        <v>-926.145</v>
      </c>
      <c r="J194" s="22" t="n">
        <v>1279.019</v>
      </c>
      <c r="N194" s="22" t="n">
        <v>-14.209</v>
      </c>
      <c r="O194" s="22" t="n">
        <v>189.263</v>
      </c>
      <c r="P194" s="22" t="n">
        <v>687.532</v>
      </c>
      <c r="Q194" s="22" t="n">
        <v>1052.149</v>
      </c>
      <c r="R194" s="22" t="n">
        <v>284.515</v>
      </c>
      <c r="S194" s="22" t="n">
        <v>1271.219</v>
      </c>
      <c r="T194" s="22" t="n">
        <v>1680.776</v>
      </c>
      <c r="U194" s="22" t="n">
        <v>1188.819</v>
      </c>
      <c r="V194" s="22" t="n">
        <v>-926.145</v>
      </c>
      <c r="W194" s="22" t="n">
        <v>1279.019</v>
      </c>
      <c r="X194" s="22" t="n">
        <v>-14.209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미크론정밀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2025.4Q</t>
        </is>
      </c>
      <c r="D3" s="5" t="inlineStr">
        <is>
          <t>2026.1Q</t>
        </is>
      </c>
      <c r="E3" s="5" t="inlineStr">
        <is>
          <t>2026.2Q</t>
        </is>
      </c>
      <c r="F3" s="5" t="inlineStr">
        <is>
          <t>2026.3Q</t>
        </is>
      </c>
      <c r="G3" s="5" t="inlineStr">
        <is>
          <t>2026.4Q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11054.38</v>
      </c>
      <c r="D5" s="12" t="n">
        <v>11392.064</v>
      </c>
      <c r="E5" s="12" t="n">
        <v>10490.098</v>
      </c>
      <c r="F5" s="12" t="n">
        <v>11249.302</v>
      </c>
      <c r="G5" s="12" t="n">
        <v>10980.575</v>
      </c>
      <c r="H5" s="11" t="n">
        <v>9792.312</v>
      </c>
      <c r="I5" s="12" t="n">
        <v>11093.309</v>
      </c>
      <c r="J5" s="12" t="n">
        <v>10584.63</v>
      </c>
      <c r="K5" s="12" t="n">
        <v>11054.38</v>
      </c>
      <c r="L5" s="12" t="n">
        <v>10980.575</v>
      </c>
    </row>
    <row r="6">
      <c r="A6" s="20" t="inlineStr">
        <is>
          <t>현금및현금성자산</t>
        </is>
      </c>
      <c r="B6" s="10" t="n"/>
      <c r="C6" s="21" t="n">
        <v>6725.372</v>
      </c>
      <c r="D6" s="22" t="n">
        <v>7290.438</v>
      </c>
      <c r="E6" s="22" t="n">
        <v>7389.149</v>
      </c>
      <c r="F6" s="22" t="n">
        <v>7517.976</v>
      </c>
      <c r="G6" s="22" t="n">
        <v>7694.505</v>
      </c>
      <c r="H6" s="21" t="n">
        <v>6244.699</v>
      </c>
      <c r="I6" s="22" t="n">
        <v>7354.753</v>
      </c>
      <c r="J6" s="22" t="n">
        <v>5543.522</v>
      </c>
      <c r="K6" s="22" t="n">
        <v>6725.372</v>
      </c>
      <c r="L6" s="22" t="n">
        <v>7694.505</v>
      </c>
    </row>
    <row r="7">
      <c r="A7" s="20" t="inlineStr">
        <is>
          <t>단기금융상품</t>
        </is>
      </c>
      <c r="B7" s="10" t="n"/>
      <c r="C7" s="21" t="n">
        <v>1190.342</v>
      </c>
      <c r="D7" s="22" t="n">
        <v>1296.797</v>
      </c>
      <c r="E7" s="22" t="n">
        <v>146.832</v>
      </c>
      <c r="F7" s="22" t="n">
        <v>203.924</v>
      </c>
      <c r="G7" s="22" t="n">
        <v>221.513</v>
      </c>
      <c r="H7" s="21" t="n">
        <v>324.767</v>
      </c>
      <c r="I7" s="22" t="n">
        <v>1013.51</v>
      </c>
      <c r="J7" s="22" t="n">
        <v>1085.644</v>
      </c>
      <c r="K7" s="22" t="n">
        <v>1190.342</v>
      </c>
      <c r="L7" s="22" t="n">
        <v>221.513</v>
      </c>
    </row>
    <row r="8">
      <c r="A8" s="20" t="inlineStr">
        <is>
          <t>매출채권</t>
        </is>
      </c>
      <c r="B8" s="10" t="n"/>
      <c r="C8" s="21" t="n">
        <v>804.654</v>
      </c>
      <c r="D8" s="22" t="n">
        <v>301.271</v>
      </c>
      <c r="E8" s="22" t="n">
        <v>299.605</v>
      </c>
      <c r="F8" s="22" t="n">
        <v>515.638</v>
      </c>
      <c r="G8" s="22" t="n">
        <v>492.045</v>
      </c>
      <c r="H8" s="21" t="n">
        <v>1014.61</v>
      </c>
      <c r="I8" s="22" t="n">
        <v>561.327</v>
      </c>
      <c r="J8" s="22" t="n">
        <v>1153.503</v>
      </c>
      <c r="K8" s="22" t="n">
        <v>804.654</v>
      </c>
      <c r="L8" s="22" t="n">
        <v>492.045</v>
      </c>
    </row>
    <row r="9">
      <c r="A9" s="20" t="inlineStr">
        <is>
          <t>재고자산</t>
        </is>
      </c>
      <c r="B9" s="10" t="n"/>
      <c r="C9" s="21" t="n">
        <v>1713.195</v>
      </c>
      <c r="D9" s="22" t="n">
        <v>1816.956</v>
      </c>
      <c r="E9" s="22" t="n">
        <v>2014.666</v>
      </c>
      <c r="F9" s="22" t="n">
        <v>2438.885</v>
      </c>
      <c r="G9" s="22" t="n">
        <v>2009.012</v>
      </c>
      <c r="H9" s="21" t="n">
        <v>1520.319</v>
      </c>
      <c r="I9" s="22" t="n">
        <v>1441.038</v>
      </c>
      <c r="J9" s="22" t="n">
        <v>2098.925</v>
      </c>
      <c r="K9" s="22" t="n">
        <v>1713.195</v>
      </c>
      <c r="L9" s="22" t="n">
        <v>2009.012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4510.343</v>
      </c>
      <c r="D11" s="12" t="n">
        <v>4669.815</v>
      </c>
      <c r="E11" s="12" t="n">
        <v>6135.703</v>
      </c>
      <c r="F11" s="12" t="n">
        <v>5896.999</v>
      </c>
      <c r="G11" s="12" t="n">
        <v>6445.961</v>
      </c>
      <c r="H11" s="11" t="n">
        <v>4936.158</v>
      </c>
      <c r="I11" s="12" t="n">
        <v>4535.467</v>
      </c>
      <c r="J11" s="12" t="n">
        <v>4535.482</v>
      </c>
      <c r="K11" s="12" t="n">
        <v>4510.343</v>
      </c>
      <c r="L11" s="12" t="n">
        <v>6445.961</v>
      </c>
    </row>
    <row r="12">
      <c r="A12" s="20" t="inlineStr">
        <is>
          <t>유형자산</t>
        </is>
      </c>
      <c r="B12" s="10" t="n"/>
      <c r="C12" s="21" t="n">
        <v>2582.15</v>
      </c>
      <c r="D12" s="22" t="n">
        <v>2598.403</v>
      </c>
      <c r="E12" s="22" t="n">
        <v>2573.273</v>
      </c>
      <c r="F12" s="22" t="n">
        <v>2552.468</v>
      </c>
      <c r="G12" s="22" t="n">
        <v>2618.671</v>
      </c>
      <c r="H12" s="21" t="n">
        <v>2733.663</v>
      </c>
      <c r="I12" s="22" t="n">
        <v>2710.209</v>
      </c>
      <c r="J12" s="22" t="n">
        <v>2674.416</v>
      </c>
      <c r="K12" s="22" t="n">
        <v>2582.15</v>
      </c>
      <c r="L12" s="22" t="n">
        <v>2618.671</v>
      </c>
    </row>
    <row r="13">
      <c r="A13" s="20" t="inlineStr">
        <is>
          <t>무형자산</t>
        </is>
      </c>
      <c r="B13" s="10" t="n"/>
      <c r="C13" s="21" t="n">
        <v>9.762</v>
      </c>
      <c r="D13" s="22" t="n">
        <v>8.599</v>
      </c>
      <c r="E13" s="22" t="n">
        <v>7.429</v>
      </c>
      <c r="F13" s="22" t="n">
        <v>6.258</v>
      </c>
      <c r="G13" s="22" t="n">
        <v>5.085</v>
      </c>
      <c r="H13" s="21" t="n">
        <v>14.238</v>
      </c>
      <c r="I13" s="22" t="n">
        <v>19.806</v>
      </c>
      <c r="J13" s="22" t="n">
        <v>15.226</v>
      </c>
      <c r="K13" s="22" t="n">
        <v>9.762</v>
      </c>
      <c r="L13" s="22" t="n">
        <v>5.085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15564.724</v>
      </c>
      <c r="D16" s="12" t="n">
        <v>16061.88</v>
      </c>
      <c r="E16" s="12" t="n">
        <v>16625.802</v>
      </c>
      <c r="F16" s="12" t="n">
        <v>17146.301</v>
      </c>
      <c r="G16" s="12" t="n">
        <v>17426.537</v>
      </c>
      <c r="H16" s="11" t="n">
        <v>14728.471</v>
      </c>
      <c r="I16" s="12" t="n">
        <v>15628.776</v>
      </c>
      <c r="J16" s="12" t="n">
        <v>15120.113</v>
      </c>
      <c r="K16" s="12" t="n">
        <v>15564.724</v>
      </c>
      <c r="L16" s="12" t="n">
        <v>17426.537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1473.713</v>
      </c>
      <c r="D18" s="12" t="n">
        <v>1429.344</v>
      </c>
      <c r="E18" s="12" t="n">
        <v>1787.766</v>
      </c>
      <c r="F18" s="12" t="n">
        <v>2294.547</v>
      </c>
      <c r="G18" s="12" t="n">
        <v>1952.695</v>
      </c>
      <c r="H18" s="11" t="n">
        <v>1175.95</v>
      </c>
      <c r="I18" s="12" t="n">
        <v>1214.162</v>
      </c>
      <c r="J18" s="12" t="n">
        <v>1499.516</v>
      </c>
      <c r="K18" s="12" t="n">
        <v>1473.713</v>
      </c>
      <c r="L18" s="12" t="n">
        <v>1952.695</v>
      </c>
    </row>
    <row r="19">
      <c r="A19" s="20" t="inlineStr">
        <is>
          <t>매입채무</t>
        </is>
      </c>
      <c r="B19" s="10" t="n"/>
      <c r="C19" s="21" t="n">
        <v>103.238</v>
      </c>
      <c r="D19" s="22" t="n">
        <v>149.84</v>
      </c>
      <c r="E19" s="22" t="n">
        <v>181.147</v>
      </c>
      <c r="F19" s="22" t="n">
        <v>212.148</v>
      </c>
      <c r="G19" s="22" t="n">
        <v>264.818</v>
      </c>
      <c r="H19" s="21" t="n">
        <v>153.484</v>
      </c>
      <c r="I19" s="22" t="n">
        <v>100.988</v>
      </c>
      <c r="J19" s="22" t="n">
        <v>270.816</v>
      </c>
      <c r="K19" s="22" t="n">
        <v>103.238</v>
      </c>
      <c r="L19" s="22" t="n">
        <v>264.818</v>
      </c>
    </row>
    <row r="20">
      <c r="A20" s="20" t="inlineStr">
        <is>
          <t>단기차입금</t>
        </is>
      </c>
      <c r="B20" s="10" t="n"/>
      <c r="C20" s="21" t="n">
        <v>329.3</v>
      </c>
      <c r="D20" s="22" t="n">
        <v>250.4</v>
      </c>
      <c r="E20" s="22" t="n">
        <v>526.3</v>
      </c>
      <c r="F20" s="22" t="n">
        <v>382.3</v>
      </c>
      <c r="G20" s="22" t="n">
        <v>0</v>
      </c>
      <c r="H20" s="21" t="n">
        <v>0</v>
      </c>
      <c r="I20" s="22" t="n">
        <v>409.4</v>
      </c>
      <c r="J20" s="22" t="n">
        <v>306.1</v>
      </c>
      <c r="K20" s="22" t="n">
        <v>329.3</v>
      </c>
      <c r="L20" s="22" t="n">
        <v>0</v>
      </c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/>
      <c r="I21" s="22" t="n"/>
      <c r="J21" s="22" t="n"/>
      <c r="K21" s="22" t="n"/>
      <c r="L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457.648</v>
      </c>
      <c r="D23" s="12" t="n">
        <v>497.599</v>
      </c>
      <c r="E23" s="12" t="n">
        <v>618.414</v>
      </c>
      <c r="F23" s="12" t="n">
        <v>543.451</v>
      </c>
      <c r="G23" s="12" t="n">
        <v>643.398</v>
      </c>
      <c r="H23" s="11" t="n">
        <v>291.628</v>
      </c>
      <c r="I23" s="12" t="n">
        <v>398.095</v>
      </c>
      <c r="J23" s="12" t="n">
        <v>435.445</v>
      </c>
      <c r="K23" s="12" t="n">
        <v>457.648</v>
      </c>
      <c r="L23" s="12" t="n">
        <v>643.398</v>
      </c>
    </row>
    <row r="24">
      <c r="A24" s="20" t="inlineStr">
        <is>
          <t>장기차입금</t>
        </is>
      </c>
      <c r="B24" s="10" t="n"/>
      <c r="C24" s="21" t="n"/>
      <c r="D24" s="22" t="n"/>
      <c r="E24" s="22" t="n"/>
      <c r="F24" s="22" t="n"/>
      <c r="G24" s="22" t="n"/>
      <c r="H24" s="21" t="n"/>
      <c r="I24" s="22" t="n"/>
      <c r="J24" s="22" t="n"/>
      <c r="K24" s="22" t="n"/>
      <c r="L24" s="22" t="n"/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1931.362</v>
      </c>
      <c r="D27" s="12" t="n">
        <v>1926.944</v>
      </c>
      <c r="E27" s="12" t="n">
        <v>2406.18</v>
      </c>
      <c r="F27" s="12" t="n">
        <v>2837.998</v>
      </c>
      <c r="G27" s="12" t="n">
        <v>2596.094</v>
      </c>
      <c r="H27" s="11" t="n">
        <v>1467.579</v>
      </c>
      <c r="I27" s="12" t="n">
        <v>1612.258</v>
      </c>
      <c r="J27" s="12" t="n">
        <v>1934.961</v>
      </c>
      <c r="K27" s="12" t="n">
        <v>1931.362</v>
      </c>
      <c r="L27" s="12" t="n">
        <v>2596.094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13601.933</v>
      </c>
      <c r="D31" s="12" t="n">
        <v>14104.935</v>
      </c>
      <c r="E31" s="12" t="n">
        <v>14188.789</v>
      </c>
      <c r="F31" s="12" t="n">
        <v>14276.813</v>
      </c>
      <c r="G31" s="12" t="n">
        <v>14792.663</v>
      </c>
      <c r="H31" s="11" t="n">
        <v>13226.173</v>
      </c>
      <c r="I31" s="12" t="n">
        <v>13984.348</v>
      </c>
      <c r="J31" s="12" t="n">
        <v>13149.767</v>
      </c>
      <c r="K31" s="12" t="n">
        <v>13601.933</v>
      </c>
      <c r="L31" s="12" t="n">
        <v>14792.663</v>
      </c>
    </row>
    <row r="32">
      <c r="A32" s="20" t="inlineStr">
        <is>
          <t>자본금</t>
        </is>
      </c>
      <c r="B32" s="10" t="n"/>
      <c r="C32" s="21" t="n">
        <v>651.37</v>
      </c>
      <c r="D32" s="22" t="n">
        <v>651.37</v>
      </c>
      <c r="E32" s="22" t="n">
        <v>651.37</v>
      </c>
      <c r="F32" s="22" t="n">
        <v>651.37</v>
      </c>
      <c r="G32" s="22" t="n">
        <v>651.37</v>
      </c>
      <c r="H32" s="21" t="n">
        <v>651.37</v>
      </c>
      <c r="I32" s="22" t="n">
        <v>651.37</v>
      </c>
      <c r="J32" s="22" t="n">
        <v>651.37</v>
      </c>
      <c r="K32" s="22" t="n">
        <v>651.37</v>
      </c>
      <c r="L32" s="22" t="n">
        <v>651.37</v>
      </c>
    </row>
    <row r="33">
      <c r="A33" s="20" t="inlineStr">
        <is>
          <t>이익잉여금</t>
        </is>
      </c>
      <c r="B33" s="10" t="n"/>
      <c r="C33" s="21" t="n">
        <v>14749.838</v>
      </c>
      <c r="D33" s="22" t="n">
        <v>15042.614</v>
      </c>
      <c r="E33" s="22" t="n">
        <v>15059.62</v>
      </c>
      <c r="F33" s="22" t="n">
        <v>15260.107</v>
      </c>
      <c r="G33" s="22" t="n">
        <v>15770.381</v>
      </c>
      <c r="H33" s="21" t="n">
        <v>12754.976</v>
      </c>
      <c r="I33" s="22" t="n">
        <v>13574.128</v>
      </c>
      <c r="J33" s="22" t="n">
        <v>14012.359</v>
      </c>
      <c r="K33" s="22" t="n">
        <v>14749.838</v>
      </c>
      <c r="L33" s="22" t="n">
        <v>15770.381</v>
      </c>
    </row>
    <row r="34">
      <c r="A34" s="20" t="inlineStr">
        <is>
          <t>비지배지분</t>
        </is>
      </c>
      <c r="B34" s="10" t="n"/>
      <c r="C34" s="21" t="n">
        <v>31.429</v>
      </c>
      <c r="D34" s="22" t="n">
        <v>30</v>
      </c>
      <c r="E34" s="22" t="n">
        <v>30.833</v>
      </c>
      <c r="F34" s="22" t="n">
        <v>31.49</v>
      </c>
      <c r="G34" s="22" t="n">
        <v>37.779</v>
      </c>
      <c r="H34" s="21" t="n">
        <v>34.719</v>
      </c>
      <c r="I34" s="22" t="n">
        <v>32.17</v>
      </c>
      <c r="J34" s="22" t="n">
        <v>35.384</v>
      </c>
      <c r="K34" s="22" t="n">
        <v>31.429</v>
      </c>
      <c r="L34" s="22" t="n">
        <v>37.779</v>
      </c>
    </row>
    <row r="35">
      <c r="A35" s="9" t="inlineStr">
        <is>
          <t>자본총계</t>
        </is>
      </c>
      <c r="B35" s="10" t="n"/>
      <c r="C35" s="11" t="n">
        <v>13633.362</v>
      </c>
      <c r="D35" s="12" t="n">
        <v>14134.935</v>
      </c>
      <c r="E35" s="12" t="n">
        <v>14219.622</v>
      </c>
      <c r="F35" s="12" t="n">
        <v>14308.303</v>
      </c>
      <c r="G35" s="12" t="n">
        <v>14830.442</v>
      </c>
      <c r="H35" s="11" t="n">
        <v>13260.892</v>
      </c>
      <c r="I35" s="12" t="n">
        <v>14016.518</v>
      </c>
      <c r="J35" s="12" t="n">
        <v>13185.151</v>
      </c>
      <c r="K35" s="12" t="n">
        <v>13633.362</v>
      </c>
      <c r="L35" s="12" t="n">
        <v>14830.442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>
        <v>1742.324</v>
      </c>
      <c r="D37" s="12" t="n"/>
      <c r="E37" s="12" t="n"/>
      <c r="F37" s="12" t="n"/>
      <c r="G37" s="12" t="n">
        <v>1668.665</v>
      </c>
      <c r="H37" s="11" t="n">
        <v>387.147</v>
      </c>
      <c r="I37" s="12" t="n">
        <v>929.157</v>
      </c>
      <c r="J37" s="12" t="n">
        <v>47.014</v>
      </c>
      <c r="K37" s="12" t="n">
        <v>1742.324</v>
      </c>
      <c r="L37" s="12" t="n">
        <v>1668.665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>
        <v>193.134</v>
      </c>
      <c r="D38" s="22" t="n"/>
      <c r="E38" s="22" t="n"/>
      <c r="F38" s="22" t="n"/>
      <c r="G38" s="22" t="n">
        <v>230.842</v>
      </c>
      <c r="H38" s="21" t="n">
        <v>136.569</v>
      </c>
      <c r="I38" s="22" t="n">
        <v>236.237</v>
      </c>
      <c r="J38" s="22" t="n">
        <v>256.184</v>
      </c>
      <c r="K38" s="22" t="n">
        <v>193.134</v>
      </c>
      <c r="L38" s="22" t="n">
        <v>230.842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>
        <v>45.457</v>
      </c>
      <c r="D40" s="22" t="n"/>
      <c r="E40" s="22" t="n"/>
      <c r="F40" s="22" t="n"/>
      <c r="G40" s="22" t="n">
        <v>98.815</v>
      </c>
      <c r="H40" s="21" t="n">
        <v>49.455</v>
      </c>
      <c r="I40" s="22" t="n">
        <v>49.085</v>
      </c>
      <c r="J40" s="22" t="n">
        <v>45.917</v>
      </c>
      <c r="K40" s="22" t="n">
        <v>45.457</v>
      </c>
      <c r="L40" s="22" t="n">
        <v>98.815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2025.4Q</t>
        </is>
      </c>
      <c r="D70" s="5" t="inlineStr">
        <is>
          <t>2026.1Q</t>
        </is>
      </c>
      <c r="E70" s="5" t="inlineStr">
        <is>
          <t>2026.2Q</t>
        </is>
      </c>
      <c r="F70" s="5" t="inlineStr">
        <is>
          <t>2026.3Q</t>
        </is>
      </c>
      <c r="G70" s="5" t="inlineStr">
        <is>
          <t>2026.4Q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6725.372</v>
      </c>
      <c r="D71" s="22" t="n">
        <v>7290.438</v>
      </c>
      <c r="E71" s="22" t="n">
        <v>7389.149</v>
      </c>
      <c r="F71" s="22" t="n">
        <v>7517.976</v>
      </c>
      <c r="G71" s="22" t="n">
        <v>7694.505</v>
      </c>
      <c r="H71" s="22" t="n">
        <v>6244.699</v>
      </c>
      <c r="I71" s="22" t="n">
        <v>7354.753</v>
      </c>
      <c r="J71" s="22" t="n">
        <v>5543.522</v>
      </c>
      <c r="K71" s="22" t="n">
        <v>6725.372</v>
      </c>
      <c r="L71" s="22" t="n">
        <v>7694.505</v>
      </c>
    </row>
    <row r="72">
      <c r="A72" s="20" t="inlineStr">
        <is>
          <t>받을어음·매출채권</t>
        </is>
      </c>
      <c r="C72" s="22" t="n">
        <v>804.654</v>
      </c>
      <c r="D72" s="22" t="n">
        <v>301.271</v>
      </c>
      <c r="E72" s="22" t="n">
        <v>299.605</v>
      </c>
      <c r="F72" s="22" t="n">
        <v>515.638</v>
      </c>
      <c r="G72" s="22" t="n">
        <v>492.045</v>
      </c>
      <c r="H72" s="22" t="n">
        <v>1014.61</v>
      </c>
      <c r="I72" s="22" t="n">
        <v>561.327</v>
      </c>
      <c r="J72" s="22" t="n">
        <v>1153.503</v>
      </c>
      <c r="K72" s="22" t="n">
        <v>804.654</v>
      </c>
      <c r="L72" s="22" t="n">
        <v>492.045</v>
      </c>
    </row>
    <row r="73">
      <c r="A73" s="20" t="inlineStr">
        <is>
          <t>전자기록채권</t>
        </is>
      </c>
      <c r="C73" s="22" t="n">
        <v>133.092</v>
      </c>
      <c r="D73" s="22" t="n">
        <v>182.151</v>
      </c>
      <c r="E73" s="22" t="n">
        <v>111.028</v>
      </c>
      <c r="F73" s="22" t="n">
        <v>21.13</v>
      </c>
      <c r="G73" s="22" t="n">
        <v>12.792</v>
      </c>
      <c r="H73" s="22" t="n">
        <v>203.848</v>
      </c>
      <c r="I73" s="22" t="n">
        <v>244.042</v>
      </c>
      <c r="J73" s="22" t="n">
        <v>179.232</v>
      </c>
      <c r="K73" s="22" t="n">
        <v>133.092</v>
      </c>
      <c r="L73" s="22" t="n">
        <v>12.792</v>
      </c>
    </row>
    <row r="74">
      <c r="A74" s="20" t="inlineStr">
        <is>
          <t>유가증권</t>
        </is>
      </c>
      <c r="C74" s="22" t="n">
        <v>1190.342</v>
      </c>
      <c r="D74" s="22" t="n">
        <v>1296.797</v>
      </c>
      <c r="E74" s="22" t="n">
        <v>146.832</v>
      </c>
      <c r="F74" s="22" t="n">
        <v>203.924</v>
      </c>
      <c r="G74" s="22" t="n">
        <v>221.513</v>
      </c>
      <c r="H74" s="22" t="n">
        <v>324.767</v>
      </c>
      <c r="I74" s="22" t="n">
        <v>1013.51</v>
      </c>
      <c r="J74" s="22" t="n">
        <v>1085.644</v>
      </c>
      <c r="K74" s="22" t="n">
        <v>1190.342</v>
      </c>
      <c r="L74" s="22" t="n">
        <v>221.513</v>
      </c>
    </row>
    <row r="75">
      <c r="A75" s="20" t="inlineStr">
        <is>
          <t>반제품</t>
        </is>
      </c>
      <c r="C75" s="22" t="n">
        <v>378.638</v>
      </c>
      <c r="D75" s="22" t="n">
        <v>369.627</v>
      </c>
      <c r="E75" s="22" t="n">
        <v>386.136</v>
      </c>
      <c r="F75" s="22" t="n">
        <v>383.068</v>
      </c>
      <c r="G75" s="22" t="n">
        <v>384.619</v>
      </c>
      <c r="H75" s="22" t="n">
        <v>400.321</v>
      </c>
      <c r="I75" s="22" t="n">
        <v>366.634</v>
      </c>
      <c r="J75" s="22" t="n">
        <v>358.526</v>
      </c>
      <c r="K75" s="22" t="n">
        <v>378.638</v>
      </c>
      <c r="L75" s="22" t="n">
        <v>384.619</v>
      </c>
    </row>
    <row r="76">
      <c r="A76" s="20" t="inlineStr">
        <is>
          <t>재공품</t>
        </is>
      </c>
      <c r="C76" s="22" t="n">
        <v>1425.046</v>
      </c>
      <c r="D76" s="22" t="n">
        <v>1507.115</v>
      </c>
      <c r="E76" s="22" t="n">
        <v>1704.317</v>
      </c>
      <c r="F76" s="22" t="n">
        <v>2132.101</v>
      </c>
      <c r="G76" s="22" t="n">
        <v>1689.346</v>
      </c>
      <c r="H76" s="22" t="n">
        <v>1224.332</v>
      </c>
      <c r="I76" s="22" t="n">
        <v>1060.354</v>
      </c>
      <c r="J76" s="22" t="n">
        <v>1763.298</v>
      </c>
      <c r="K76" s="22" t="n">
        <v>1425.046</v>
      </c>
      <c r="L76" s="22" t="n">
        <v>1689.346</v>
      </c>
    </row>
    <row r="77">
      <c r="A77" s="20" t="inlineStr">
        <is>
          <t>원재료·저장품</t>
        </is>
      </c>
      <c r="C77" s="22" t="n">
        <v>288.149</v>
      </c>
      <c r="D77" s="22" t="n">
        <v>309.841</v>
      </c>
      <c r="E77" s="22" t="n">
        <v>310.349</v>
      </c>
      <c r="F77" s="22" t="n">
        <v>306.784</v>
      </c>
      <c r="G77" s="22" t="n">
        <v>319.666</v>
      </c>
      <c r="H77" s="22" t="n">
        <v>295.987</v>
      </c>
      <c r="I77" s="22" t="n">
        <v>380.684</v>
      </c>
      <c r="J77" s="22" t="n">
        <v>335.627</v>
      </c>
      <c r="K77" s="22" t="n">
        <v>288.149</v>
      </c>
      <c r="L77" s="22" t="n">
        <v>319.666</v>
      </c>
    </row>
    <row r="78">
      <c r="A78" s="20" t="inlineStr">
        <is>
          <t>기타</t>
        </is>
      </c>
      <c r="C78" s="22" t="n">
        <v>110.036</v>
      </c>
      <c r="D78" s="22" t="n">
        <v>135.857</v>
      </c>
      <c r="E78" s="22" t="n">
        <v>143.235</v>
      </c>
      <c r="F78" s="22" t="n">
        <v>169.424</v>
      </c>
      <c r="G78" s="22" t="n">
        <v>167.311</v>
      </c>
      <c r="H78" s="22" t="n">
        <v>84.624</v>
      </c>
      <c r="I78" s="22" t="n">
        <v>113.005</v>
      </c>
      <c r="J78" s="22" t="n">
        <v>166.59</v>
      </c>
      <c r="K78" s="22" t="n">
        <v>110.036</v>
      </c>
      <c r="L78" s="22" t="n">
        <v>167.311</v>
      </c>
    </row>
    <row r="79">
      <c r="A79" s="20" t="inlineStr">
        <is>
          <t>대손충당금</t>
        </is>
      </c>
      <c r="C79" s="22" t="n">
        <v>-0.954</v>
      </c>
      <c r="D79" s="22" t="n">
        <v>-1.035</v>
      </c>
      <c r="E79" s="22" t="n">
        <v>-0.5570000000000001</v>
      </c>
      <c r="F79" s="22" t="n">
        <v>-0.746</v>
      </c>
      <c r="G79" s="22" t="n">
        <v>-1.225</v>
      </c>
      <c r="H79" s="22" t="n">
        <v>-0.877</v>
      </c>
      <c r="I79" s="22" t="n">
        <v>-1.004</v>
      </c>
      <c r="J79" s="22" t="n">
        <v>-1.315</v>
      </c>
      <c r="K79" s="22" t="n">
        <v>-0.954</v>
      </c>
      <c r="L79" s="22" t="n">
        <v>-1.225</v>
      </c>
    </row>
    <row r="80">
      <c r="A80" s="9" t="inlineStr">
        <is>
          <t>유동자산 합계</t>
        </is>
      </c>
      <c r="C80" s="12" t="n">
        <v>11054.38</v>
      </c>
      <c r="D80" s="12" t="n">
        <v>11392.064</v>
      </c>
      <c r="E80" s="12" t="n">
        <v>10490.098</v>
      </c>
      <c r="F80" s="12" t="n">
        <v>11249.302</v>
      </c>
      <c r="G80" s="12" t="n">
        <v>10980.575</v>
      </c>
      <c r="H80" s="12" t="n">
        <v>9792.312</v>
      </c>
      <c r="I80" s="12" t="n">
        <v>11093.309</v>
      </c>
      <c r="J80" s="12" t="n">
        <v>10584.63</v>
      </c>
      <c r="K80" s="12" t="n">
        <v>11054.38</v>
      </c>
      <c r="L80" s="12" t="n">
        <v>10980.575</v>
      </c>
    </row>
    <row r="81">
      <c r="A81" s="20" t="inlineStr">
        <is>
          <t>건물·구축물</t>
        </is>
      </c>
      <c r="C81" s="22" t="n">
        <v>4531.366</v>
      </c>
      <c r="G81" s="22" t="n">
        <v>4565.818</v>
      </c>
      <c r="H81" s="22" t="n">
        <v>4381.184</v>
      </c>
      <c r="I81" s="22" t="n">
        <v>4408.52</v>
      </c>
      <c r="J81" s="22" t="n">
        <v>4464.645</v>
      </c>
      <c r="K81" s="22" t="n">
        <v>4531.366</v>
      </c>
      <c r="L81" s="22" t="n">
        <v>4565.818</v>
      </c>
    </row>
    <row r="82">
      <c r="A82" s="20" t="inlineStr">
        <is>
          <t>감가상각누계액</t>
        </is>
      </c>
      <c r="C82" s="22" t="n">
        <v>-3083.338</v>
      </c>
      <c r="G82" s="22" t="n">
        <v>-3203.024</v>
      </c>
      <c r="H82" s="22" t="n">
        <v>-2748.165</v>
      </c>
      <c r="I82" s="22" t="n">
        <v>-2858.48</v>
      </c>
      <c r="J82" s="22" t="n">
        <v>-2968.188</v>
      </c>
      <c r="K82" s="22" t="n">
        <v>-3083.338</v>
      </c>
      <c r="L82" s="22" t="n">
        <v>-3203.024</v>
      </c>
    </row>
    <row r="83">
      <c r="A83" s="20" t="inlineStr">
        <is>
          <t>건물·구축물(순액)</t>
        </is>
      </c>
      <c r="C83" s="22" t="n">
        <v>1448.027</v>
      </c>
      <c r="D83" s="22" t="n">
        <v>1441.772</v>
      </c>
      <c r="E83" s="22" t="n">
        <v>1413.253</v>
      </c>
      <c r="F83" s="22" t="n">
        <v>1390.025</v>
      </c>
      <c r="G83" s="22" t="n">
        <v>1362.794</v>
      </c>
      <c r="H83" s="22" t="n">
        <v>1633.018</v>
      </c>
      <c r="I83" s="22" t="n">
        <v>1550.039</v>
      </c>
      <c r="J83" s="22" t="n">
        <v>1496.457</v>
      </c>
      <c r="K83" s="22" t="n">
        <v>1448.027</v>
      </c>
      <c r="L83" s="22" t="n">
        <v>1362.794</v>
      </c>
    </row>
    <row r="84">
      <c r="A84" s="20" t="inlineStr">
        <is>
          <t>기계장치·운반구</t>
        </is>
      </c>
      <c r="C84" s="22" t="n">
        <v>2492.8</v>
      </c>
      <c r="G84" s="22" t="n">
        <v>2519.235</v>
      </c>
      <c r="H84" s="22" t="n">
        <v>2364.185</v>
      </c>
      <c r="I84" s="22" t="n">
        <v>2409.591</v>
      </c>
      <c r="J84" s="22" t="n">
        <v>2507.346</v>
      </c>
      <c r="K84" s="22" t="n">
        <v>2492.8</v>
      </c>
      <c r="L84" s="22" t="n">
        <v>2519.235</v>
      </c>
    </row>
    <row r="85">
      <c r="A85" s="20" t="inlineStr">
        <is>
          <t>감가상각누계액</t>
        </is>
      </c>
      <c r="C85" s="22" t="n">
        <v>-2276.874</v>
      </c>
      <c r="G85" s="22" t="n">
        <v>-2303.15</v>
      </c>
      <c r="H85" s="22" t="n">
        <v>-2127.622</v>
      </c>
      <c r="I85" s="22" t="n">
        <v>-2207.891</v>
      </c>
      <c r="J85" s="22" t="n">
        <v>-2233.734</v>
      </c>
      <c r="K85" s="22" t="n">
        <v>-2276.874</v>
      </c>
      <c r="L85" s="22" t="n">
        <v>-2303.15</v>
      </c>
    </row>
    <row r="86">
      <c r="A86" s="20" t="inlineStr">
        <is>
          <t>기계장치·운반구(순액)</t>
        </is>
      </c>
      <c r="C86" s="22" t="n">
        <v>215.925</v>
      </c>
      <c r="D86" s="22" t="n">
        <v>197.907</v>
      </c>
      <c r="E86" s="22" t="n">
        <v>186.16</v>
      </c>
      <c r="F86" s="22" t="n">
        <v>171.756</v>
      </c>
      <c r="G86" s="22" t="n">
        <v>216.085</v>
      </c>
      <c r="H86" s="22" t="n">
        <v>236.562</v>
      </c>
      <c r="I86" s="22" t="n">
        <v>201.7</v>
      </c>
      <c r="J86" s="22" t="n">
        <v>273.612</v>
      </c>
      <c r="K86" s="22" t="n">
        <v>215.925</v>
      </c>
      <c r="L86" s="22" t="n">
        <v>216.085</v>
      </c>
    </row>
    <row r="87">
      <c r="A87" s="20" t="inlineStr">
        <is>
          <t>토지</t>
        </is>
      </c>
      <c r="C87" s="22" t="n">
        <v>737.813</v>
      </c>
      <c r="D87" s="22" t="n">
        <v>738.944</v>
      </c>
      <c r="E87" s="22" t="n">
        <v>738.85</v>
      </c>
      <c r="F87" s="22" t="n">
        <v>739.264</v>
      </c>
      <c r="G87" s="22" t="n">
        <v>739.3390000000001</v>
      </c>
      <c r="H87" s="22" t="n">
        <v>736.849</v>
      </c>
      <c r="I87" s="22" t="n">
        <v>737.73</v>
      </c>
      <c r="J87" s="22" t="n">
        <v>737.575</v>
      </c>
      <c r="K87" s="22" t="n">
        <v>737.813</v>
      </c>
      <c r="L87" s="22" t="n">
        <v>739.3390000000001</v>
      </c>
    </row>
    <row r="88">
      <c r="A88" s="20" t="inlineStr">
        <is>
          <t>건설중인자산</t>
        </is>
      </c>
      <c r="C88" s="22" t="n">
        <v>127.709</v>
      </c>
      <c r="D88" s="22" t="n">
        <v>169.516</v>
      </c>
      <c r="E88" s="22" t="n">
        <v>191.132</v>
      </c>
      <c r="F88" s="22" t="n">
        <v>216.649</v>
      </c>
      <c r="G88" s="22" t="n">
        <v>222.469</v>
      </c>
      <c r="H88" s="22" t="n">
        <v>74.155</v>
      </c>
      <c r="I88" s="22" t="n">
        <v>145.894</v>
      </c>
      <c r="J88" s="22" t="n">
        <v>111.6</v>
      </c>
      <c r="K88" s="22" t="n">
        <v>127.709</v>
      </c>
      <c r="L88" s="22" t="n">
        <v>222.469</v>
      </c>
    </row>
    <row r="89">
      <c r="A89" s="20" t="inlineStr">
        <is>
          <t>기타</t>
        </is>
      </c>
      <c r="C89" s="22" t="n">
        <v>956.158</v>
      </c>
      <c r="G89" s="22" t="n">
        <v>1002.891</v>
      </c>
      <c r="H89" s="22" t="n">
        <v>859.414</v>
      </c>
      <c r="I89" s="22" t="n">
        <v>903.369</v>
      </c>
      <c r="J89" s="22" t="n">
        <v>923.02</v>
      </c>
      <c r="K89" s="22" t="n">
        <v>956.158</v>
      </c>
      <c r="L89" s="22" t="n">
        <v>1002.891</v>
      </c>
    </row>
    <row r="90">
      <c r="A90" s="20" t="inlineStr">
        <is>
          <t>감가상각누계액</t>
        </is>
      </c>
      <c r="C90" s="22" t="n">
        <v>-903.484</v>
      </c>
      <c r="G90" s="22" t="n">
        <v>-924.908</v>
      </c>
      <c r="H90" s="22" t="n">
        <v>-806.336</v>
      </c>
      <c r="I90" s="22" t="n">
        <v>-828.524</v>
      </c>
      <c r="J90" s="22" t="n">
        <v>-867.849</v>
      </c>
      <c r="K90" s="22" t="n">
        <v>-903.484</v>
      </c>
      <c r="L90" s="22" t="n">
        <v>-924.908</v>
      </c>
    </row>
    <row r="91">
      <c r="A91" s="20" t="inlineStr">
        <is>
          <t>기타(순액)</t>
        </is>
      </c>
      <c r="C91" s="22" t="n">
        <v>52.674</v>
      </c>
      <c r="D91" s="22" t="n">
        <v>50.262</v>
      </c>
      <c r="E91" s="22" t="n">
        <v>43.876</v>
      </c>
      <c r="F91" s="22" t="n">
        <v>34.771</v>
      </c>
      <c r="G91" s="22" t="n">
        <v>77.982</v>
      </c>
      <c r="H91" s="22" t="n">
        <v>53.077</v>
      </c>
      <c r="I91" s="22" t="n">
        <v>74.845</v>
      </c>
      <c r="J91" s="22" t="n">
        <v>55.171</v>
      </c>
      <c r="K91" s="22" t="n">
        <v>52.674</v>
      </c>
      <c r="L91" s="22" t="n">
        <v>77.982</v>
      </c>
    </row>
    <row r="92">
      <c r="A92" s="20" t="inlineStr">
        <is>
          <t>유형자산 합계</t>
        </is>
      </c>
      <c r="C92" s="22" t="n">
        <v>2582.15</v>
      </c>
      <c r="D92" s="22" t="n">
        <v>2598.403</v>
      </c>
      <c r="E92" s="22" t="n">
        <v>2573.273</v>
      </c>
      <c r="F92" s="22" t="n">
        <v>2552.468</v>
      </c>
      <c r="G92" s="22" t="n">
        <v>2618.671</v>
      </c>
      <c r="H92" s="22" t="n">
        <v>2733.663</v>
      </c>
      <c r="I92" s="22" t="n">
        <v>2710.209</v>
      </c>
      <c r="J92" s="22" t="n">
        <v>2674.416</v>
      </c>
      <c r="K92" s="22" t="n">
        <v>2582.15</v>
      </c>
      <c r="L92" s="22" t="n">
        <v>2618.671</v>
      </c>
    </row>
    <row r="93">
      <c r="A93" s="20" t="inlineStr">
        <is>
          <t>무형자산</t>
        </is>
      </c>
      <c r="C93" s="22" t="n">
        <v>9.762</v>
      </c>
      <c r="D93" s="22" t="n">
        <v>8.599</v>
      </c>
      <c r="E93" s="22" t="n">
        <v>7.429</v>
      </c>
      <c r="F93" s="22" t="n">
        <v>6.258</v>
      </c>
      <c r="G93" s="22" t="n">
        <v>5.085</v>
      </c>
      <c r="H93" s="22" t="n">
        <v>14.238</v>
      </c>
      <c r="I93" s="22" t="n">
        <v>19.806</v>
      </c>
      <c r="J93" s="22" t="n">
        <v>15.226</v>
      </c>
      <c r="K93" s="22" t="n">
        <v>9.762</v>
      </c>
      <c r="L93" s="22" t="n">
        <v>5.085</v>
      </c>
    </row>
    <row r="94">
      <c r="A94" s="20" t="inlineStr">
        <is>
          <t>투자유가증권</t>
        </is>
      </c>
      <c r="C94" s="22" t="n">
        <v>1831.389</v>
      </c>
      <c r="D94" s="22" t="n">
        <v>1975.373</v>
      </c>
      <c r="E94" s="22" t="n">
        <v>3467.937</v>
      </c>
      <c r="F94" s="22" t="n">
        <v>3251.021</v>
      </c>
      <c r="G94" s="22" t="n">
        <v>3743.067</v>
      </c>
      <c r="H94" s="22" t="n">
        <v>2095.204</v>
      </c>
      <c r="I94" s="22" t="n">
        <v>1714.366</v>
      </c>
      <c r="J94" s="22" t="n">
        <v>1754.787</v>
      </c>
      <c r="K94" s="22" t="n">
        <v>1831.389</v>
      </c>
      <c r="L94" s="22" t="n">
        <v>3743.067</v>
      </c>
    </row>
    <row r="95">
      <c r="A95" s="20" t="inlineStr">
        <is>
          <t>퇴직급여자산</t>
        </is>
      </c>
      <c r="C95" s="22" t="n">
        <v>11.52</v>
      </c>
      <c r="D95" s="22" t="n">
        <v>11.52</v>
      </c>
      <c r="E95" s="22" t="n">
        <v>11.52</v>
      </c>
      <c r="F95" s="22" t="n">
        <v>11.52</v>
      </c>
      <c r="G95" s="22" t="n">
        <v>6.54</v>
      </c>
      <c r="H95" s="22" t="n">
        <v>21.237</v>
      </c>
      <c r="I95" s="22" t="n">
        <v>17.788</v>
      </c>
      <c r="J95" s="22" t="n">
        <v>14.69</v>
      </c>
      <c r="K95" s="22" t="n">
        <v>11.52</v>
      </c>
      <c r="L95" s="22" t="n">
        <v>6.54</v>
      </c>
    </row>
    <row r="96">
      <c r="A96" s="20" t="inlineStr">
        <is>
          <t>이연법인세자산</t>
        </is>
      </c>
      <c r="C96" s="22" t="n">
        <v>3.213</v>
      </c>
      <c r="D96" s="22" t="n">
        <v>2.633</v>
      </c>
      <c r="E96" s="22" t="n">
        <v>1.25</v>
      </c>
      <c r="F96" s="22" t="n">
        <v>1.186</v>
      </c>
      <c r="G96" s="22" t="n">
        <v>2.699</v>
      </c>
      <c r="H96" s="22" t="n">
        <v>1.61</v>
      </c>
      <c r="I96" s="22" t="n">
        <v>0</v>
      </c>
      <c r="J96" s="22" t="n">
        <v>3.748</v>
      </c>
      <c r="K96" s="22" t="n">
        <v>3.213</v>
      </c>
      <c r="L96" s="22" t="n">
        <v>2.699</v>
      </c>
    </row>
    <row r="97">
      <c r="A97" s="20" t="inlineStr">
        <is>
          <t>기타</t>
        </is>
      </c>
      <c r="C97" s="22" t="n">
        <v>72.58799999999999</v>
      </c>
      <c r="D97" s="22" t="n">
        <v>73.565</v>
      </c>
      <c r="E97" s="22" t="n">
        <v>74.574</v>
      </c>
      <c r="F97" s="22" t="n">
        <v>74.824</v>
      </c>
      <c r="G97" s="22" t="n">
        <v>70.17700000000001</v>
      </c>
      <c r="H97" s="22" t="n">
        <v>70.51000000000001</v>
      </c>
      <c r="I97" s="22" t="n">
        <v>73.57599999999999</v>
      </c>
      <c r="J97" s="22" t="n">
        <v>72.89400000000001</v>
      </c>
      <c r="K97" s="22" t="n">
        <v>72.58799999999999</v>
      </c>
      <c r="L97" s="22" t="n">
        <v>70.17700000000001</v>
      </c>
    </row>
    <row r="98">
      <c r="A98" s="20" t="inlineStr">
        <is>
          <t>대손충당금</t>
        </is>
      </c>
      <c r="C98" s="22" t="n">
        <v>-0.28</v>
      </c>
      <c r="D98" s="22" t="n">
        <v>-0.28</v>
      </c>
      <c r="E98" s="22" t="n">
        <v>-0.28</v>
      </c>
      <c r="F98" s="22" t="n">
        <v>-0.28</v>
      </c>
      <c r="G98" s="22" t="n">
        <v>-0.28</v>
      </c>
      <c r="H98" s="22" t="n">
        <v>-0.305</v>
      </c>
      <c r="I98" s="22" t="n">
        <v>-0.28</v>
      </c>
      <c r="J98" s="22" t="n">
        <v>-0.28</v>
      </c>
      <c r="K98" s="22" t="n">
        <v>-0.28</v>
      </c>
      <c r="L98" s="22" t="n">
        <v>-0.28</v>
      </c>
    </row>
    <row r="99">
      <c r="A99" s="20" t="inlineStr">
        <is>
          <t>투자 및 기타자산 합계</t>
        </is>
      </c>
      <c r="C99" s="22" t="n">
        <v>1918.431</v>
      </c>
      <c r="D99" s="22" t="n">
        <v>2062.812</v>
      </c>
      <c r="E99" s="22" t="n">
        <v>3555.001</v>
      </c>
      <c r="F99" s="22" t="n">
        <v>3338.272</v>
      </c>
      <c r="G99" s="22" t="n">
        <v>3822.204</v>
      </c>
      <c r="H99" s="22" t="n">
        <v>2188.257</v>
      </c>
      <c r="I99" s="22" t="n">
        <v>1805.45</v>
      </c>
      <c r="J99" s="22" t="n">
        <v>1845.839</v>
      </c>
      <c r="K99" s="22" t="n">
        <v>1918.431</v>
      </c>
      <c r="L99" s="22" t="n">
        <v>3822.204</v>
      </c>
    </row>
    <row r="100">
      <c r="A100" s="9" t="inlineStr">
        <is>
          <t>비유동자산 합계</t>
        </is>
      </c>
      <c r="C100" s="12" t="n">
        <v>4510.343</v>
      </c>
      <c r="D100" s="12" t="n">
        <v>4669.815</v>
      </c>
      <c r="E100" s="12" t="n">
        <v>6135.703</v>
      </c>
      <c r="F100" s="12" t="n">
        <v>5896.999</v>
      </c>
      <c r="G100" s="12" t="n">
        <v>6445.961</v>
      </c>
      <c r="H100" s="12" t="n">
        <v>4936.158</v>
      </c>
      <c r="I100" s="12" t="n">
        <v>4535.467</v>
      </c>
      <c r="J100" s="12" t="n">
        <v>4535.482</v>
      </c>
      <c r="K100" s="12" t="n">
        <v>4510.343</v>
      </c>
      <c r="L100" s="12" t="n">
        <v>6445.961</v>
      </c>
    </row>
    <row r="101">
      <c r="A101" s="9" t="inlineStr">
        <is>
          <t>자산 합계</t>
        </is>
      </c>
      <c r="C101" s="12" t="n">
        <v>15564.724</v>
      </c>
      <c r="D101" s="12" t="n">
        <v>16061.88</v>
      </c>
      <c r="E101" s="12" t="n">
        <v>16625.802</v>
      </c>
      <c r="F101" s="12" t="n">
        <v>17146.301</v>
      </c>
      <c r="G101" s="12" t="n">
        <v>17426.537</v>
      </c>
      <c r="H101" s="12" t="n">
        <v>14728.471</v>
      </c>
      <c r="I101" s="12" t="n">
        <v>15628.776</v>
      </c>
      <c r="J101" s="12" t="n">
        <v>15120.113</v>
      </c>
      <c r="K101" s="12" t="n">
        <v>15564.724</v>
      </c>
      <c r="L101" s="12" t="n">
        <v>17426.537</v>
      </c>
    </row>
    <row r="102">
      <c r="A102" s="20" t="inlineStr">
        <is>
          <t>매입채무</t>
        </is>
      </c>
      <c r="C102" s="22" t="n">
        <v>103.238</v>
      </c>
      <c r="D102" s="22" t="n">
        <v>149.84</v>
      </c>
      <c r="E102" s="22" t="n">
        <v>181.147</v>
      </c>
      <c r="F102" s="22" t="n">
        <v>212.148</v>
      </c>
      <c r="G102" s="22" t="n">
        <v>264.818</v>
      </c>
      <c r="H102" s="22" t="n">
        <v>153.484</v>
      </c>
      <c r="I102" s="22" t="n">
        <v>100.988</v>
      </c>
      <c r="J102" s="22" t="n">
        <v>270.816</v>
      </c>
      <c r="K102" s="22" t="n">
        <v>103.238</v>
      </c>
      <c r="L102" s="22" t="n">
        <v>264.818</v>
      </c>
    </row>
    <row r="103">
      <c r="A103" s="20" t="inlineStr">
        <is>
          <t>단기차입금</t>
        </is>
      </c>
      <c r="C103" s="22" t="n">
        <v>329.3</v>
      </c>
      <c r="D103" s="22" t="n">
        <v>250.4</v>
      </c>
      <c r="E103" s="22" t="n">
        <v>526.3</v>
      </c>
      <c r="F103" s="22" t="n">
        <v>382.3</v>
      </c>
      <c r="G103" s="22" t="n">
        <v>0</v>
      </c>
      <c r="H103" s="22" t="n">
        <v>0</v>
      </c>
      <c r="I103" s="22" t="n">
        <v>409.4</v>
      </c>
      <c r="J103" s="22" t="n">
        <v>306.1</v>
      </c>
      <c r="K103" s="22" t="n">
        <v>329.3</v>
      </c>
      <c r="L103" s="22" t="n">
        <v>0</v>
      </c>
    </row>
    <row r="104">
      <c r="A104" s="20" t="inlineStr">
        <is>
          <t>미지급금</t>
        </is>
      </c>
      <c r="C104" s="22" t="n">
        <v>219.337</v>
      </c>
      <c r="D104" s="22" t="n">
        <v>273.91</v>
      </c>
      <c r="E104" s="22" t="n">
        <v>167.905</v>
      </c>
      <c r="F104" s="22" t="n">
        <v>167.895</v>
      </c>
      <c r="G104" s="22" t="n">
        <v>527.475</v>
      </c>
      <c r="H104" s="22" t="n">
        <v>202.358</v>
      </c>
      <c r="I104" s="22" t="n">
        <v>179.129</v>
      </c>
      <c r="J104" s="22" t="n">
        <v>239.563</v>
      </c>
      <c r="K104" s="22" t="n">
        <v>219.337</v>
      </c>
      <c r="L104" s="22" t="n">
        <v>527.475</v>
      </c>
    </row>
    <row r="105">
      <c r="A105" s="20" t="inlineStr">
        <is>
          <t>미지급법인세</t>
        </is>
      </c>
      <c r="C105" s="22" t="n">
        <v>225.987</v>
      </c>
      <c r="D105" s="22" t="n">
        <v>194.008</v>
      </c>
      <c r="E105" s="22" t="n">
        <v>208.639</v>
      </c>
      <c r="F105" s="22" t="n">
        <v>166.171</v>
      </c>
      <c r="G105" s="22" t="n">
        <v>306.906</v>
      </c>
      <c r="H105" s="22" t="n">
        <v>493.11</v>
      </c>
      <c r="I105" s="22" t="n">
        <v>7.18</v>
      </c>
      <c r="J105" s="22" t="n">
        <v>49.175</v>
      </c>
      <c r="K105" s="22" t="n">
        <v>225.987</v>
      </c>
      <c r="L105" s="22" t="n">
        <v>306.906</v>
      </c>
    </row>
    <row r="106">
      <c r="A106" s="20" t="inlineStr">
        <is>
          <t>선수금</t>
        </is>
      </c>
      <c r="H106" s="22" t="n">
        <v>0</v>
      </c>
    </row>
    <row r="107">
      <c r="A107" s="20" t="inlineStr">
        <is>
          <t>계약부채</t>
        </is>
      </c>
      <c r="C107" s="22" t="n">
        <v>446.851</v>
      </c>
      <c r="D107" s="22" t="n">
        <v>476.774</v>
      </c>
      <c r="E107" s="22" t="n">
        <v>592.28</v>
      </c>
      <c r="F107" s="22" t="n">
        <v>1182.259</v>
      </c>
      <c r="G107" s="22" t="n">
        <v>727.121</v>
      </c>
      <c r="H107" s="22" t="n">
        <v>188.112</v>
      </c>
      <c r="I107" s="22" t="n">
        <v>366.169</v>
      </c>
      <c r="J107" s="22" t="n">
        <v>500.332</v>
      </c>
      <c r="K107" s="22" t="n">
        <v>446.851</v>
      </c>
      <c r="L107" s="22" t="n">
        <v>727.121</v>
      </c>
    </row>
    <row r="108">
      <c r="A108" s="20" t="inlineStr">
        <is>
          <t>상여충당금</t>
        </is>
      </c>
      <c r="C108" s="22" t="n">
        <v>37.147</v>
      </c>
      <c r="D108" s="22" t="n">
        <v>7.445</v>
      </c>
      <c r="E108" s="22" t="n">
        <v>56.792</v>
      </c>
      <c r="F108" s="22" t="n">
        <v>122.262</v>
      </c>
      <c r="G108" s="22" t="n">
        <v>58.614</v>
      </c>
      <c r="H108" s="22" t="n">
        <v>83.31399999999999</v>
      </c>
      <c r="I108" s="22" t="n">
        <v>55.997</v>
      </c>
      <c r="J108" s="22" t="n">
        <v>56.835</v>
      </c>
      <c r="K108" s="22" t="n">
        <v>37.147</v>
      </c>
      <c r="L108" s="22" t="n">
        <v>58.614</v>
      </c>
    </row>
    <row r="109">
      <c r="A109" s="20" t="inlineStr">
        <is>
          <t>임원 상여충당금</t>
        </is>
      </c>
      <c r="C109" s="22" t="n">
        <v>1.5</v>
      </c>
      <c r="D109" s="22" t="n">
        <v>0</v>
      </c>
      <c r="E109" s="22" t="n">
        <v>0</v>
      </c>
      <c r="F109" s="22" t="n">
        <v>0</v>
      </c>
      <c r="G109" s="22" t="n">
        <v>1.2</v>
      </c>
      <c r="H109" s="22" t="n">
        <v>7.7</v>
      </c>
      <c r="I109" s="22" t="n">
        <v>1.62</v>
      </c>
      <c r="J109" s="22" t="n">
        <v>1.2</v>
      </c>
      <c r="K109" s="22" t="n">
        <v>1.5</v>
      </c>
      <c r="L109" s="22" t="n">
        <v>1.2</v>
      </c>
    </row>
    <row r="110">
      <c r="A110" s="20" t="inlineStr">
        <is>
          <t>제품보증 충당금</t>
        </is>
      </c>
      <c r="C110" s="22" t="n">
        <v>7</v>
      </c>
      <c r="D110" s="22" t="n">
        <v>7</v>
      </c>
      <c r="E110" s="22" t="n">
        <v>3</v>
      </c>
      <c r="F110" s="22" t="n">
        <v>4</v>
      </c>
      <c r="G110" s="22" t="n">
        <v>9</v>
      </c>
      <c r="H110" s="22" t="n">
        <v>10</v>
      </c>
      <c r="I110" s="22" t="n">
        <v>10</v>
      </c>
      <c r="J110" s="22" t="n">
        <v>8</v>
      </c>
      <c r="K110" s="22" t="n">
        <v>7</v>
      </c>
      <c r="L110" s="22" t="n">
        <v>9</v>
      </c>
    </row>
    <row r="111">
      <c r="A111" s="20" t="inlineStr">
        <is>
          <t>기타</t>
        </is>
      </c>
      <c r="C111" s="22" t="n">
        <v>103.35</v>
      </c>
      <c r="D111" s="22" t="n">
        <v>69.965</v>
      </c>
      <c r="E111" s="22" t="n">
        <v>51.7</v>
      </c>
      <c r="F111" s="22" t="n">
        <v>57.508</v>
      </c>
      <c r="G111" s="22" t="n">
        <v>57.559</v>
      </c>
      <c r="H111" s="22" t="n">
        <v>37.87</v>
      </c>
      <c r="I111" s="22" t="n">
        <v>83.676</v>
      </c>
      <c r="J111" s="22" t="n">
        <v>67.492</v>
      </c>
      <c r="K111" s="22" t="n">
        <v>103.35</v>
      </c>
      <c r="L111" s="22" t="n">
        <v>57.559</v>
      </c>
    </row>
    <row r="112">
      <c r="A112" s="9" t="inlineStr">
        <is>
          <t>유동부채 합계</t>
        </is>
      </c>
      <c r="C112" s="12" t="n">
        <v>1473.713</v>
      </c>
      <c r="D112" s="12" t="n">
        <v>1429.344</v>
      </c>
      <c r="E112" s="12" t="n">
        <v>1787.766</v>
      </c>
      <c r="F112" s="12" t="n">
        <v>2294.547</v>
      </c>
      <c r="G112" s="12" t="n">
        <v>1952.695</v>
      </c>
      <c r="H112" s="12" t="n">
        <v>1175.95</v>
      </c>
      <c r="I112" s="12" t="n">
        <v>1214.162</v>
      </c>
      <c r="J112" s="12" t="n">
        <v>1499.516</v>
      </c>
      <c r="K112" s="12" t="n">
        <v>1473.713</v>
      </c>
      <c r="L112" s="12" t="n">
        <v>1952.695</v>
      </c>
    </row>
    <row r="113">
      <c r="A113" s="20" t="inlineStr">
        <is>
          <t>장기미지급금</t>
        </is>
      </c>
      <c r="C113" s="22" t="n">
        <v>12.32</v>
      </c>
      <c r="D113" s="22" t="n">
        <v>12.32</v>
      </c>
      <c r="E113" s="22" t="n">
        <v>12.32</v>
      </c>
      <c r="F113" s="22" t="n">
        <v>12.32</v>
      </c>
      <c r="G113" s="22" t="n">
        <v>12.32</v>
      </c>
      <c r="H113" s="22" t="n">
        <v>15.02</v>
      </c>
      <c r="I113" s="22" t="n">
        <v>15.02</v>
      </c>
      <c r="J113" s="22" t="n">
        <v>12.32</v>
      </c>
      <c r="K113" s="22" t="n">
        <v>12.32</v>
      </c>
      <c r="L113" s="22" t="n">
        <v>12.32</v>
      </c>
    </row>
    <row r="114">
      <c r="A114" s="20" t="inlineStr">
        <is>
          <t>이연법인세부채</t>
        </is>
      </c>
      <c r="C114" s="22" t="n">
        <v>160.098</v>
      </c>
      <c r="D114" s="22" t="n">
        <v>190.051</v>
      </c>
      <c r="E114" s="22" t="n">
        <v>299.941</v>
      </c>
      <c r="F114" s="22" t="n">
        <v>216.527</v>
      </c>
      <c r="G114" s="22" t="n">
        <v>295.694</v>
      </c>
      <c r="H114" s="22" t="n">
        <v>87.807</v>
      </c>
      <c r="I114" s="22" t="n">
        <v>135.641</v>
      </c>
      <c r="J114" s="22" t="n">
        <v>171.866</v>
      </c>
      <c r="K114" s="22" t="n">
        <v>160.098</v>
      </c>
      <c r="L114" s="22" t="n">
        <v>295.694</v>
      </c>
    </row>
    <row r="115">
      <c r="A115" s="20" t="inlineStr">
        <is>
          <t>주식급여 충당금</t>
        </is>
      </c>
      <c r="C115" s="22" t="n">
        <v>105.128</v>
      </c>
      <c r="D115" s="22" t="n">
        <v>107.906</v>
      </c>
      <c r="E115" s="22" t="n">
        <v>111.609</v>
      </c>
      <c r="F115" s="22" t="n">
        <v>112.839</v>
      </c>
      <c r="G115" s="22" t="n">
        <v>113.188</v>
      </c>
      <c r="H115" s="22" t="n">
        <v>69.762</v>
      </c>
      <c r="I115" s="22" t="n">
        <v>81.682</v>
      </c>
      <c r="J115" s="22" t="n">
        <v>93.32599999999999</v>
      </c>
      <c r="K115" s="22" t="n">
        <v>105.128</v>
      </c>
      <c r="L115" s="22" t="n">
        <v>113.188</v>
      </c>
    </row>
    <row r="116">
      <c r="A116" s="20" t="inlineStr">
        <is>
          <t>임원 주식급여 충당금</t>
        </is>
      </c>
      <c r="C116" s="22" t="n">
        <v>159.941</v>
      </c>
      <c r="D116" s="22" t="n">
        <v>167.162</v>
      </c>
      <c r="E116" s="22" t="n">
        <v>174.383</v>
      </c>
      <c r="F116" s="22" t="n">
        <v>181.603</v>
      </c>
      <c r="G116" s="22" t="n">
        <v>188.86</v>
      </c>
      <c r="H116" s="22" t="n">
        <v>98.878</v>
      </c>
      <c r="I116" s="22" t="n">
        <v>133.855</v>
      </c>
      <c r="J116" s="22" t="n">
        <v>132.506</v>
      </c>
      <c r="K116" s="22" t="n">
        <v>159.941</v>
      </c>
      <c r="L116" s="22" t="n">
        <v>188.86</v>
      </c>
    </row>
    <row r="117">
      <c r="A117" s="20" t="inlineStr">
        <is>
          <t>자산복구부채</t>
        </is>
      </c>
      <c r="C117" s="22" t="n">
        <v>20.16</v>
      </c>
      <c r="D117" s="22" t="n">
        <v>20.16</v>
      </c>
      <c r="E117" s="22" t="n">
        <v>20.16</v>
      </c>
      <c r="F117" s="22" t="n">
        <v>20.16</v>
      </c>
      <c r="G117" s="22" t="n">
        <v>20.16</v>
      </c>
      <c r="H117" s="22" t="n">
        <v>20.16</v>
      </c>
      <c r="I117" s="22" t="n">
        <v>20.16</v>
      </c>
      <c r="J117" s="22" t="n">
        <v>20.16</v>
      </c>
      <c r="K117" s="22" t="n">
        <v>20.16</v>
      </c>
      <c r="L117" s="22" t="n">
        <v>20.16</v>
      </c>
    </row>
    <row r="118">
      <c r="A118" s="20" t="inlineStr">
        <is>
          <t>기타</t>
        </is>
      </c>
      <c r="C118" s="22" t="n">
        <v>0</v>
      </c>
      <c r="G118" s="22" t="n">
        <v>13.175</v>
      </c>
      <c r="H118" s="22" t="n">
        <v>0</v>
      </c>
      <c r="I118" s="22" t="n">
        <v>11.736</v>
      </c>
      <c r="J118" s="22" t="n">
        <v>5.266</v>
      </c>
      <c r="K118" s="22" t="n">
        <v>0</v>
      </c>
      <c r="L118" s="22" t="n">
        <v>13.175</v>
      </c>
    </row>
    <row r="119">
      <c r="A119" s="9" t="inlineStr">
        <is>
          <t>비유동부채 합계</t>
        </is>
      </c>
      <c r="C119" s="12" t="n">
        <v>457.648</v>
      </c>
      <c r="D119" s="12" t="n">
        <v>497.599</v>
      </c>
      <c r="E119" s="12" t="n">
        <v>618.414</v>
      </c>
      <c r="F119" s="12" t="n">
        <v>543.451</v>
      </c>
      <c r="G119" s="12" t="n">
        <v>643.398</v>
      </c>
      <c r="H119" s="12" t="n">
        <v>291.628</v>
      </c>
      <c r="I119" s="12" t="n">
        <v>398.095</v>
      </c>
      <c r="J119" s="12" t="n">
        <v>435.445</v>
      </c>
      <c r="K119" s="12" t="n">
        <v>457.648</v>
      </c>
      <c r="L119" s="12" t="n">
        <v>643.398</v>
      </c>
    </row>
    <row r="120">
      <c r="A120" s="9" t="inlineStr">
        <is>
          <t>부채 합계</t>
        </is>
      </c>
      <c r="C120" s="12" t="n">
        <v>1931.362</v>
      </c>
      <c r="D120" s="12" t="n">
        <v>1926.944</v>
      </c>
      <c r="E120" s="12" t="n">
        <v>2406.18</v>
      </c>
      <c r="F120" s="12" t="n">
        <v>2837.998</v>
      </c>
      <c r="G120" s="12" t="n">
        <v>2596.094</v>
      </c>
      <c r="H120" s="12" t="n">
        <v>1467.579</v>
      </c>
      <c r="I120" s="12" t="n">
        <v>1612.258</v>
      </c>
      <c r="J120" s="12" t="n">
        <v>1934.961</v>
      </c>
      <c r="K120" s="12" t="n">
        <v>1931.362</v>
      </c>
      <c r="L120" s="12" t="n">
        <v>2596.094</v>
      </c>
    </row>
    <row r="121">
      <c r="A121" s="20" t="inlineStr">
        <is>
          <t>자본금</t>
        </is>
      </c>
      <c r="C121" s="22" t="n">
        <v>651.37</v>
      </c>
      <c r="D121" s="22" t="n">
        <v>651.37</v>
      </c>
      <c r="E121" s="22" t="n">
        <v>651.37</v>
      </c>
      <c r="F121" s="22" t="n">
        <v>651.37</v>
      </c>
      <c r="G121" s="22" t="n">
        <v>651.37</v>
      </c>
      <c r="H121" s="22" t="n">
        <v>651.37</v>
      </c>
      <c r="I121" s="22" t="n">
        <v>651.37</v>
      </c>
      <c r="J121" s="22" t="n">
        <v>651.37</v>
      </c>
      <c r="K121" s="22" t="n">
        <v>651.37</v>
      </c>
      <c r="L121" s="22" t="n">
        <v>651.37</v>
      </c>
    </row>
    <row r="122">
      <c r="A122" s="20" t="inlineStr">
        <is>
          <t>자본잉여금</t>
        </is>
      </c>
      <c r="C122" s="22" t="n">
        <v>781.718</v>
      </c>
      <c r="D122" s="22" t="n">
        <v>781.718</v>
      </c>
      <c r="E122" s="22" t="n">
        <v>781.718</v>
      </c>
      <c r="F122" s="22" t="n">
        <v>781.718</v>
      </c>
      <c r="G122" s="22" t="n">
        <v>781.718</v>
      </c>
      <c r="H122" s="22" t="n">
        <v>709.2</v>
      </c>
      <c r="I122" s="22" t="n">
        <v>781.718</v>
      </c>
      <c r="J122" s="22" t="n">
        <v>781.718</v>
      </c>
      <c r="K122" s="22" t="n">
        <v>781.718</v>
      </c>
      <c r="L122" s="22" t="n">
        <v>781.718</v>
      </c>
    </row>
    <row r="123">
      <c r="A123" s="20" t="inlineStr">
        <is>
          <t>이익잉여금</t>
        </is>
      </c>
      <c r="C123" s="22" t="n">
        <v>14749.838</v>
      </c>
      <c r="D123" s="22" t="n">
        <v>15042.614</v>
      </c>
      <c r="E123" s="22" t="n">
        <v>15059.62</v>
      </c>
      <c r="F123" s="22" t="n">
        <v>15260.107</v>
      </c>
      <c r="G123" s="22" t="n">
        <v>15770.381</v>
      </c>
      <c r="H123" s="22" t="n">
        <v>12754.976</v>
      </c>
      <c r="I123" s="22" t="n">
        <v>13574.128</v>
      </c>
      <c r="J123" s="22" t="n">
        <v>14012.359</v>
      </c>
      <c r="K123" s="22" t="n">
        <v>14749.838</v>
      </c>
      <c r="L123" s="22" t="n">
        <v>15770.381</v>
      </c>
    </row>
    <row r="124">
      <c r="A124" s="20" t="inlineStr">
        <is>
          <t>자기주식</t>
        </is>
      </c>
      <c r="C124" s="22" t="n">
        <v>-3544.37</v>
      </c>
      <c r="D124" s="22" t="n">
        <v>-3543.462</v>
      </c>
      <c r="E124" s="22" t="n">
        <v>-3715.828</v>
      </c>
      <c r="F124" s="22" t="n">
        <v>-3713.462</v>
      </c>
      <c r="G124" s="22" t="n">
        <v>-3833.055</v>
      </c>
      <c r="H124" s="22" t="n">
        <v>-1536.129</v>
      </c>
      <c r="I124" s="22" t="n">
        <v>-1833.599</v>
      </c>
      <c r="J124" s="22" t="n">
        <v>-3183.885</v>
      </c>
      <c r="K124" s="22" t="n">
        <v>-3544.37</v>
      </c>
      <c r="L124" s="22" t="n">
        <v>-3833.055</v>
      </c>
    </row>
    <row r="125">
      <c r="A125" s="9" t="inlineStr">
        <is>
          <t>주주자본 합계</t>
        </is>
      </c>
      <c r="C125" s="12" t="n">
        <v>12638.557</v>
      </c>
      <c r="D125" s="12" t="n">
        <v>12932.241</v>
      </c>
      <c r="E125" s="12" t="n">
        <v>12776.88</v>
      </c>
      <c r="F125" s="12" t="n">
        <v>12979.733</v>
      </c>
      <c r="G125" s="12" t="n">
        <v>13370.414</v>
      </c>
      <c r="H125" s="12" t="n">
        <v>12579.416</v>
      </c>
      <c r="I125" s="12" t="n">
        <v>13173.618</v>
      </c>
      <c r="J125" s="12" t="n">
        <v>12261.563</v>
      </c>
      <c r="K125" s="12" t="n">
        <v>12638.557</v>
      </c>
      <c r="L125" s="12" t="n">
        <v>13370.414</v>
      </c>
    </row>
    <row r="126">
      <c r="A126" s="20" t="inlineStr">
        <is>
          <t>기타유가증권 평가차액</t>
        </is>
      </c>
      <c r="C126" s="22" t="n">
        <v>687.561</v>
      </c>
      <c r="D126" s="22" t="n">
        <v>781.2569999999999</v>
      </c>
      <c r="E126" s="22" t="n">
        <v>1025.558</v>
      </c>
      <c r="F126" s="22" t="n">
        <v>872.689</v>
      </c>
      <c r="G126" s="22" t="n">
        <v>984.857</v>
      </c>
      <c r="H126" s="22" t="n">
        <v>465.033</v>
      </c>
      <c r="I126" s="22" t="n">
        <v>560.446</v>
      </c>
      <c r="J126" s="22" t="n">
        <v>633.675</v>
      </c>
      <c r="K126" s="22" t="n">
        <v>687.561</v>
      </c>
      <c r="L126" s="22" t="n">
        <v>984.857</v>
      </c>
    </row>
    <row r="127">
      <c r="A127" s="20" t="inlineStr">
        <is>
          <t>이연헤지손익</t>
        </is>
      </c>
      <c r="H127" s="22" t="n">
        <v>0</v>
      </c>
    </row>
    <row r="128">
      <c r="A128" s="20" t="inlineStr">
        <is>
          <t>해외사업환산조정</t>
        </is>
      </c>
      <c r="C128" s="22" t="n">
        <v>275.814</v>
      </c>
      <c r="D128" s="22" t="n">
        <v>391.436</v>
      </c>
      <c r="E128" s="22" t="n">
        <v>386.35</v>
      </c>
      <c r="F128" s="22" t="n">
        <v>424.389</v>
      </c>
      <c r="G128" s="22" t="n">
        <v>437.391</v>
      </c>
      <c r="H128" s="22" t="n">
        <v>181.723</v>
      </c>
      <c r="I128" s="22" t="n">
        <v>250.282</v>
      </c>
      <c r="J128" s="22" t="n">
        <v>254.528</v>
      </c>
      <c r="K128" s="22" t="n">
        <v>275.814</v>
      </c>
      <c r="L128" s="22" t="n">
        <v>437.391</v>
      </c>
    </row>
    <row r="129">
      <c r="A129" s="20" t="inlineStr">
        <is>
          <t>기타포괄손익누계액 합계</t>
        </is>
      </c>
      <c r="C129" s="22" t="n">
        <v>963.376</v>
      </c>
      <c r="D129" s="22" t="n">
        <v>1172.693</v>
      </c>
      <c r="E129" s="22" t="n">
        <v>1411.908</v>
      </c>
      <c r="F129" s="22" t="n">
        <v>1297.079</v>
      </c>
      <c r="G129" s="22" t="n">
        <v>1422.249</v>
      </c>
      <c r="H129" s="22" t="n">
        <v>646.756</v>
      </c>
      <c r="I129" s="22" t="n">
        <v>810.729</v>
      </c>
      <c r="J129" s="22" t="n">
        <v>888.204</v>
      </c>
      <c r="K129" s="22" t="n">
        <v>963.376</v>
      </c>
      <c r="L129" s="22" t="n">
        <v>1422.249</v>
      </c>
    </row>
    <row r="130">
      <c r="A130" s="20" t="inlineStr">
        <is>
          <t>비지배지분</t>
        </is>
      </c>
      <c r="C130" s="22" t="n">
        <v>31.429</v>
      </c>
      <c r="D130" s="22" t="n">
        <v>30</v>
      </c>
      <c r="E130" s="22" t="n">
        <v>30.833</v>
      </c>
      <c r="F130" s="22" t="n">
        <v>31.49</v>
      </c>
      <c r="G130" s="22" t="n">
        <v>37.779</v>
      </c>
      <c r="H130" s="22" t="n">
        <v>34.719</v>
      </c>
      <c r="I130" s="22" t="n">
        <v>32.17</v>
      </c>
      <c r="J130" s="22" t="n">
        <v>35.384</v>
      </c>
      <c r="K130" s="22" t="n">
        <v>31.429</v>
      </c>
      <c r="L130" s="22" t="n">
        <v>37.779</v>
      </c>
    </row>
    <row r="131">
      <c r="A131" s="9" t="inlineStr">
        <is>
          <t>순자산 합계</t>
        </is>
      </c>
      <c r="C131" s="12" t="n">
        <v>13633.362</v>
      </c>
      <c r="D131" s="12" t="n">
        <v>14134.935</v>
      </c>
      <c r="E131" s="12" t="n">
        <v>14219.622</v>
      </c>
      <c r="F131" s="12" t="n">
        <v>14308.303</v>
      </c>
      <c r="G131" s="12" t="n">
        <v>14830.442</v>
      </c>
      <c r="H131" s="12" t="n">
        <v>13260.892</v>
      </c>
      <c r="I131" s="12" t="n">
        <v>14016.518</v>
      </c>
      <c r="J131" s="12" t="n">
        <v>13185.151</v>
      </c>
      <c r="K131" s="12" t="n">
        <v>13633.362</v>
      </c>
      <c r="L131" s="12" t="n">
        <v>14830.442</v>
      </c>
    </row>
    <row r="132">
      <c r="A132" s="9" t="inlineStr">
        <is>
          <t>부채·순자산 합계</t>
        </is>
      </c>
      <c r="C132" s="12" t="n">
        <v>15564.724</v>
      </c>
      <c r="D132" s="12" t="n">
        <v>16061.88</v>
      </c>
      <c r="E132" s="12" t="n">
        <v>16625.802</v>
      </c>
      <c r="F132" s="12" t="n">
        <v>17146.301</v>
      </c>
      <c r="G132" s="12" t="n">
        <v>17426.537</v>
      </c>
      <c r="H132" s="12" t="n">
        <v>14728.471</v>
      </c>
      <c r="I132" s="12" t="n">
        <v>15628.776</v>
      </c>
      <c r="J132" s="12" t="n">
        <v>15120.113</v>
      </c>
      <c r="K132" s="12" t="n">
        <v>15564.724</v>
      </c>
      <c r="L132" s="12" t="n">
        <v>17426.537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44" customWidth="1" min="14" max="14"/>
  </cols>
  <sheetData>
    <row r="1">
      <c r="A1" s="52" t="inlineStr">
        <is>
          <t>미크론정밀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this filing · FY26 PL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</row>
    <row r="5">
      <c r="A5" s="55" t="inlineStr">
        <is>
          <t>항목</t>
        </is>
      </c>
      <c r="B5" s="55" t="inlineStr">
        <is>
          <t>값</t>
        </is>
      </c>
      <c r="N5" s="55" t="inlineStr">
        <is>
          <t>출처</t>
        </is>
      </c>
    </row>
    <row r="6">
      <c r="A6" s="56" t="inlineStr">
        <is>
          <t>매출</t>
        </is>
      </c>
      <c r="B6" s="57" t="n">
        <v>51.78</v>
      </c>
      <c r="N6" s="58" t="inlineStr">
        <is>
          <t>2단계 보고서 자료(회사 설명회 자료·공시)</t>
        </is>
      </c>
    </row>
    <row r="7">
      <c r="A7" s="56" t="inlineStr">
        <is>
          <t>cogs</t>
        </is>
      </c>
      <c r="B7" s="57" t="n">
        <v>31.8</v>
      </c>
    </row>
    <row r="8">
      <c r="A8" s="56" t="inlineStr">
        <is>
          <t>gp</t>
        </is>
      </c>
      <c r="B8" s="57" t="n">
        <v>19.98</v>
      </c>
    </row>
    <row r="9">
      <c r="A9" s="56" t="inlineStr">
        <is>
          <t>sga</t>
        </is>
      </c>
      <c r="B9" s="57" t="n">
        <v>13.86</v>
      </c>
    </row>
    <row r="10">
      <c r="A10" s="56" t="inlineStr">
        <is>
          <t>영업이익</t>
        </is>
      </c>
      <c r="B10" s="57" t="n">
        <v>6.12</v>
      </c>
    </row>
    <row r="11">
      <c r="A11" s="56" t="inlineStr">
        <is>
          <t>nonop inc</t>
        </is>
      </c>
      <c r="B11" s="57" t="n">
        <v>10.22</v>
      </c>
    </row>
    <row r="12">
      <c r="A12" s="56" t="inlineStr">
        <is>
          <t>int inc</t>
        </is>
      </c>
      <c r="B12" s="57" t="n">
        <v>2.83</v>
      </c>
    </row>
    <row r="13">
      <c r="A13" s="56" t="inlineStr">
        <is>
          <t>div inc</t>
        </is>
      </c>
      <c r="B13" s="57" t="n">
        <v>0.52</v>
      </c>
    </row>
    <row r="14">
      <c r="A14" s="56" t="inlineStr">
        <is>
          <t>subsidy</t>
        </is>
      </c>
      <c r="B14" s="57" t="n">
        <v>0.11</v>
      </c>
    </row>
    <row r="15">
      <c r="A15" s="56" t="inlineStr">
        <is>
          <t>sec val gain</t>
        </is>
      </c>
      <c r="B15" s="57" t="n">
        <v>0.19</v>
      </c>
    </row>
    <row r="16">
      <c r="A16" s="56" t="inlineStr">
        <is>
          <t>환율 gain</t>
        </is>
      </c>
      <c r="B16" s="57" t="n">
        <v>6.23</v>
      </c>
    </row>
    <row r="17">
      <c r="A17" s="56" t="inlineStr">
        <is>
          <t>other inc</t>
        </is>
      </c>
      <c r="B17" s="57" t="n">
        <v>0.34</v>
      </c>
    </row>
    <row r="18">
      <c r="A18" s="56" t="inlineStr">
        <is>
          <t>nonop exp</t>
        </is>
      </c>
      <c r="B18" s="57" t="n">
        <v>0.03</v>
      </c>
    </row>
    <row r="19">
      <c r="A19" s="56" t="inlineStr">
        <is>
          <t>int exp</t>
        </is>
      </c>
      <c r="B19" s="57" t="n">
        <v>0.03</v>
      </c>
    </row>
    <row r="20">
      <c r="A20" s="56" t="inlineStr">
        <is>
          <t>ord</t>
        </is>
      </c>
      <c r="B20" s="57" t="n">
        <v>16.32</v>
      </c>
    </row>
    <row r="21">
      <c r="A21" s="56" t="inlineStr">
        <is>
          <t>sp gain</t>
        </is>
      </c>
      <c r="B21" s="57" t="n">
        <v>0.03</v>
      </c>
    </row>
    <row r="22">
      <c r="A22" s="56" t="inlineStr">
        <is>
          <t>sp loss</t>
        </is>
      </c>
      <c r="B22" s="57" t="n">
        <v>0.04</v>
      </c>
    </row>
    <row r="23">
      <c r="A23" s="56" t="inlineStr">
        <is>
          <t>pbt</t>
        </is>
      </c>
      <c r="B23" s="57" t="n">
        <v>16.31</v>
      </c>
    </row>
    <row r="24">
      <c r="A24" s="56" t="inlineStr">
        <is>
          <t>tax</t>
        </is>
      </c>
      <c r="B24" s="57" t="n">
        <v>5.08</v>
      </c>
    </row>
    <row r="25">
      <c r="A25" s="56" t="inlineStr">
        <is>
          <t>순이익</t>
        </is>
      </c>
      <c r="B25" s="57" t="n">
        <v>11.24</v>
      </c>
    </row>
    <row r="26">
      <c r="A26" s="56" t="inlineStr">
        <is>
          <t>nci</t>
        </is>
      </c>
      <c r="B26" s="57" t="n">
        <v>0.04</v>
      </c>
    </row>
    <row r="27">
      <c r="A27" s="56" t="inlineStr">
        <is>
          <t>순이익 owner</t>
        </is>
      </c>
      <c r="B27" s="57" t="n">
        <v>11.19</v>
      </c>
    </row>
    <row r="29">
      <c r="A29" s="54" t="inlineStr">
        <is>
          <t>this filing · FY25 PL</t>
        </is>
      </c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</row>
    <row r="30">
      <c r="A30" s="55" t="inlineStr">
        <is>
          <t>항목</t>
        </is>
      </c>
      <c r="B30" s="55" t="inlineStr">
        <is>
          <t>값</t>
        </is>
      </c>
      <c r="N30" s="55" t="inlineStr">
        <is>
          <t>출처</t>
        </is>
      </c>
    </row>
    <row r="31">
      <c r="A31" s="56" t="inlineStr">
        <is>
          <t>매출</t>
        </is>
      </c>
      <c r="B31" s="57" t="n">
        <v>57.82</v>
      </c>
      <c r="N31" s="58" t="inlineStr">
        <is>
          <t>2단계 보고서 자료(회사 설명회 자료·공시)</t>
        </is>
      </c>
    </row>
    <row r="32">
      <c r="A32" s="56" t="inlineStr">
        <is>
          <t>cogs</t>
        </is>
      </c>
      <c r="B32" s="57" t="n">
        <v>36.92</v>
      </c>
    </row>
    <row r="33">
      <c r="A33" s="56" t="inlineStr">
        <is>
          <t>gp</t>
        </is>
      </c>
      <c r="B33" s="57" t="n">
        <v>20.91</v>
      </c>
    </row>
    <row r="34">
      <c r="A34" s="56" t="inlineStr">
        <is>
          <t>sga</t>
        </is>
      </c>
      <c r="B34" s="57" t="n">
        <v>14.78</v>
      </c>
    </row>
    <row r="35">
      <c r="A35" s="56" t="inlineStr">
        <is>
          <t>영업이익</t>
        </is>
      </c>
      <c r="B35" s="57" t="n">
        <v>6.12</v>
      </c>
    </row>
    <row r="36">
      <c r="A36" s="56" t="inlineStr">
        <is>
          <t>nonop inc</t>
        </is>
      </c>
      <c r="B36" s="57" t="n">
        <v>5.1</v>
      </c>
    </row>
    <row r="37">
      <c r="A37" s="56" t="inlineStr">
        <is>
          <t>int inc</t>
        </is>
      </c>
      <c r="B37" s="57" t="n">
        <v>3.13</v>
      </c>
    </row>
    <row r="38">
      <c r="A38" s="56" t="inlineStr">
        <is>
          <t>div inc</t>
        </is>
      </c>
      <c r="B38" s="57" t="n">
        <v>0.45</v>
      </c>
    </row>
    <row r="39">
      <c r="A39" s="56" t="inlineStr">
        <is>
          <t>subsidy</t>
        </is>
      </c>
      <c r="B39" s="57" t="n">
        <v>0.16</v>
      </c>
    </row>
    <row r="40">
      <c r="A40" s="56" t="inlineStr">
        <is>
          <t>sec val gain</t>
        </is>
      </c>
      <c r="B40" s="57" t="n">
        <v>0.1</v>
      </c>
    </row>
    <row r="41">
      <c r="A41" s="56" t="inlineStr">
        <is>
          <t>환율 gain</t>
        </is>
      </c>
      <c r="B41" s="57" t="n">
        <v>0.9399999999999999</v>
      </c>
    </row>
    <row r="42">
      <c r="A42" s="56" t="inlineStr">
        <is>
          <t>other inc</t>
        </is>
      </c>
      <c r="B42" s="57" t="n">
        <v>0.33</v>
      </c>
    </row>
    <row r="43">
      <c r="A43" s="56" t="inlineStr">
        <is>
          <t>nonop exp</t>
        </is>
      </c>
      <c r="B43" s="57" t="n">
        <v>0.03</v>
      </c>
    </row>
    <row r="44">
      <c r="A44" s="56" t="inlineStr">
        <is>
          <t>ord</t>
        </is>
      </c>
      <c r="B44" s="57" t="n">
        <v>11.19</v>
      </c>
    </row>
    <row r="45">
      <c r="A45" s="56" t="inlineStr">
        <is>
          <t>sp gain</t>
        </is>
      </c>
      <c r="B45" s="57" t="n">
        <v>0.01</v>
      </c>
    </row>
    <row r="46">
      <c r="A46" s="56" t="inlineStr">
        <is>
          <t>sp loss</t>
        </is>
      </c>
      <c r="B46" s="57" t="n">
        <v>0.1</v>
      </c>
    </row>
    <row r="47">
      <c r="A47" s="56" t="inlineStr">
        <is>
          <t>pbt</t>
        </is>
      </c>
      <c r="B47" s="57" t="n">
        <v>11.1</v>
      </c>
    </row>
    <row r="48">
      <c r="A48" s="56" t="inlineStr">
        <is>
          <t>tax</t>
        </is>
      </c>
      <c r="B48" s="57" t="n">
        <v>3.33</v>
      </c>
    </row>
    <row r="49">
      <c r="A49" s="56" t="inlineStr">
        <is>
          <t>순이익 owner</t>
        </is>
      </c>
      <c r="B49" s="57" t="n">
        <v>7.83</v>
      </c>
    </row>
    <row r="51">
      <c r="A51" s="54" t="inlineStr">
        <is>
          <t>this filing · CF FY26</t>
        </is>
      </c>
      <c r="B51" s="54" t="n"/>
      <c r="C51" s="54" t="n"/>
      <c r="D51" s="54" t="n"/>
      <c r="E51" s="54" t="n"/>
      <c r="F51" s="54" t="n"/>
      <c r="G51" s="54" t="n"/>
      <c r="H51" s="54" t="n"/>
      <c r="I51" s="54" t="n"/>
      <c r="J51" s="54" t="n"/>
      <c r="K51" s="54" t="n"/>
      <c r="L51" s="54" t="n"/>
      <c r="M51" s="54" t="n"/>
      <c r="N51" s="54" t="n"/>
    </row>
    <row r="52">
      <c r="A52" s="55" t="inlineStr">
        <is>
          <t>항목</t>
        </is>
      </c>
      <c r="B52" s="55" t="inlineStr">
        <is>
          <t>값</t>
        </is>
      </c>
      <c r="N52" s="55" t="inlineStr">
        <is>
          <t>출처</t>
        </is>
      </c>
    </row>
    <row r="53">
      <c r="A53" s="56" t="inlineStr">
        <is>
          <t>ocf</t>
        </is>
      </c>
      <c r="B53" s="57" t="n">
        <v>16.69</v>
      </c>
      <c r="N53" s="58" t="inlineStr">
        <is>
          <t>2단계 보고서 자료(회사 설명회 자료·공시)</t>
        </is>
      </c>
    </row>
    <row r="54">
      <c r="A54" s="56" t="inlineStr">
        <is>
          <t>icf</t>
        </is>
      </c>
      <c r="B54" s="57" t="n">
        <v>-16.28</v>
      </c>
    </row>
    <row r="55">
      <c r="A55" s="56" t="inlineStr">
        <is>
          <t>inv sec purchase</t>
        </is>
      </c>
      <c r="B55" s="57" t="n">
        <v>-14.53</v>
      </c>
    </row>
    <row r="56">
      <c r="A56" s="56" t="inlineStr">
        <is>
          <t>설비투자</t>
        </is>
      </c>
      <c r="B56" s="57" t="n">
        <v>-2.31</v>
      </c>
    </row>
    <row r="57">
      <c r="A57" s="56" t="inlineStr">
        <is>
          <t>buyback</t>
        </is>
      </c>
      <c r="B57" s="57" t="n">
        <v>-2.95</v>
      </c>
    </row>
    <row r="58">
      <c r="A58" s="56" t="inlineStr">
        <is>
          <t>dividend</t>
        </is>
      </c>
      <c r="B58" s="57" t="n">
        <v>-0.99</v>
      </c>
    </row>
    <row r="59">
      <c r="A59" s="56" t="inlineStr">
        <is>
          <t>st debt</t>
        </is>
      </c>
      <c r="B59" s="57" t="n">
        <v>-3.29</v>
      </c>
    </row>
    <row r="61">
      <c r="A61" s="54" t="inlineStr">
        <is>
          <t>this filing · shares</t>
        </is>
      </c>
      <c r="B61" s="54" t="n"/>
      <c r="C61" s="54" t="n"/>
      <c r="D61" s="54" t="n"/>
      <c r="E61" s="54" t="n"/>
      <c r="F61" s="54" t="n"/>
      <c r="G61" s="54" t="n"/>
      <c r="H61" s="54" t="n"/>
      <c r="I61" s="54" t="n"/>
      <c r="J61" s="54" t="n"/>
      <c r="K61" s="54" t="n"/>
      <c r="L61" s="54" t="n"/>
      <c r="M61" s="54" t="n"/>
      <c r="N61" s="54" t="n"/>
    </row>
    <row r="62">
      <c r="A62" s="55" t="inlineStr">
        <is>
          <t>항목</t>
        </is>
      </c>
      <c r="B62" s="55" t="inlineStr">
        <is>
          <t>값</t>
        </is>
      </c>
      <c r="N62" s="55" t="inlineStr">
        <is>
          <t>출처</t>
        </is>
      </c>
    </row>
    <row r="63">
      <c r="A63" s="56" t="inlineStr">
        <is>
          <t>issued</t>
        </is>
      </c>
      <c r="B63" s="59" t="n">
        <v>7706100</v>
      </c>
      <c r="N63" s="58" t="inlineStr">
        <is>
          <t>2단계 보고서 자료(회사 설명회 자료·공시)</t>
        </is>
      </c>
    </row>
    <row r="64">
      <c r="A64" s="56" t="inlineStr">
        <is>
          <t>treasury incl trust</t>
        </is>
      </c>
      <c r="B64" s="59" t="n">
        <v>3153818</v>
      </c>
    </row>
    <row r="65">
      <c r="A65" s="56" t="inlineStr">
        <is>
          <t>trust</t>
        </is>
      </c>
      <c r="B65" s="59" t="n">
        <v>244399</v>
      </c>
    </row>
    <row r="66">
      <c r="A66" s="56" t="inlineStr">
        <is>
          <t>outstanding ex treasury</t>
        </is>
      </c>
      <c r="B66" s="59" t="n">
        <v>4552282</v>
      </c>
    </row>
    <row r="67">
      <c r="A67" s="56" t="inlineStr">
        <is>
          <t>avg FY26</t>
        </is>
      </c>
      <c r="B67" s="59" t="n">
        <v>4641904</v>
      </c>
    </row>
    <row r="69">
      <c r="A69" s="54" t="inlineStr">
        <is>
          <t>this filing · dividend</t>
        </is>
      </c>
      <c r="B69" s="54" t="n"/>
      <c r="C69" s="54" t="n"/>
      <c r="D69" s="54" t="n"/>
      <c r="E69" s="54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</row>
    <row r="70">
      <c r="A70" s="55" t="inlineStr">
        <is>
          <t>항목</t>
        </is>
      </c>
      <c r="B70" s="55" t="inlineStr">
        <is>
          <t>값</t>
        </is>
      </c>
      <c r="N70" s="55" t="inlineStr">
        <is>
          <t>출처</t>
        </is>
      </c>
    </row>
    <row r="71">
      <c r="A71" s="56" t="inlineStr">
        <is>
          <t>FY25</t>
        </is>
      </c>
      <c r="B71" s="57" t="n">
        <v>20</v>
      </c>
      <c r="N71" s="58" t="inlineStr">
        <is>
          <t>2단계 보고서 자료(회사 설명회 자료·공시)</t>
        </is>
      </c>
    </row>
    <row r="72">
      <c r="A72" s="56" t="inlineStr">
        <is>
          <t>FY26</t>
        </is>
      </c>
      <c r="B72" s="57" t="n">
        <v>40</v>
      </c>
    </row>
    <row r="73">
      <c r="A73" s="56" t="inlineStr">
        <is>
          <t>FY27 계획</t>
        </is>
      </c>
      <c r="B73" s="57" t="n">
        <v>45</v>
      </c>
    </row>
    <row r="74">
      <c r="A74" s="56" t="inlineStr">
        <is>
          <t>payout FY26</t>
        </is>
      </c>
      <c r="B74" s="57" t="n">
        <v>16.6</v>
      </c>
    </row>
    <row r="75">
      <c r="A75" s="56" t="inlineStr">
        <is>
          <t>payout FY27</t>
        </is>
      </c>
      <c r="B75" s="57" t="n">
        <v>25</v>
      </c>
    </row>
    <row r="77">
      <c r="A77" s="54" t="inlineStr">
        <is>
          <t>prep quarterly</t>
        </is>
      </c>
      <c r="B77" s="54" t="n"/>
      <c r="C77" s="54" t="n"/>
      <c r="D77" s="54" t="n"/>
      <c r="E77" s="54" t="n"/>
      <c r="F77" s="54" t="n"/>
      <c r="G77" s="54" t="n"/>
      <c r="H77" s="54" t="n"/>
      <c r="I77" s="54" t="n"/>
      <c r="J77" s="54" t="n"/>
      <c r="K77" s="54" t="n"/>
      <c r="L77" s="54" t="n"/>
      <c r="M77" s="54" t="n"/>
      <c r="N77" s="54" t="n"/>
    </row>
    <row r="78">
      <c r="A78" s="55" t="inlineStr">
        <is>
          <t>항목</t>
        </is>
      </c>
      <c r="B78" s="55" t="inlineStr">
        <is>
          <t>2024.1Q</t>
        </is>
      </c>
      <c r="C78" s="55" t="inlineStr">
        <is>
          <t>2024.2Q</t>
        </is>
      </c>
      <c r="D78" s="55" t="inlineStr">
        <is>
          <t>2024.3Q</t>
        </is>
      </c>
      <c r="E78" s="55" t="inlineStr">
        <is>
          <t>2024.4Q</t>
        </is>
      </c>
      <c r="F78" s="55" t="inlineStr">
        <is>
          <t>2025.1Q</t>
        </is>
      </c>
      <c r="G78" s="55" t="inlineStr">
        <is>
          <t>2025.2Q</t>
        </is>
      </c>
      <c r="H78" s="55" t="inlineStr">
        <is>
          <t>2025.3Q</t>
        </is>
      </c>
      <c r="I78" s="55" t="inlineStr">
        <is>
          <t>2025.4Q</t>
        </is>
      </c>
      <c r="J78" s="55" t="inlineStr">
        <is>
          <t>2026.1Q</t>
        </is>
      </c>
      <c r="K78" s="55" t="inlineStr">
        <is>
          <t>2026.2Q</t>
        </is>
      </c>
      <c r="L78" s="55" t="inlineStr">
        <is>
          <t>2026.3Q</t>
        </is>
      </c>
      <c r="M78" s="55" t="inlineStr">
        <is>
          <t>2026.4Q</t>
        </is>
      </c>
      <c r="N78" s="55" t="inlineStr">
        <is>
          <t>출처</t>
        </is>
      </c>
    </row>
    <row r="79">
      <c r="A79" s="56" t="inlineStr">
        <is>
          <t>매출</t>
        </is>
      </c>
      <c r="B79" s="57" t="n">
        <v>7.7</v>
      </c>
      <c r="C79" s="57" t="n">
        <v>11.8</v>
      </c>
      <c r="D79" s="57" t="n">
        <v>9</v>
      </c>
      <c r="E79" s="57" t="n">
        <v>18.4</v>
      </c>
      <c r="F79" s="57" t="n">
        <v>9.300000000000001</v>
      </c>
      <c r="G79" s="57" t="n">
        <v>18.9</v>
      </c>
      <c r="H79" s="57" t="n">
        <v>13.1</v>
      </c>
      <c r="I79" s="57" t="n">
        <v>16.5</v>
      </c>
      <c r="J79" s="57" t="n">
        <v>9.9</v>
      </c>
      <c r="K79" s="57" t="n">
        <v>8.6</v>
      </c>
      <c r="L79" s="57" t="n">
        <v>9</v>
      </c>
      <c r="M79" s="57" t="n">
        <v>24.3</v>
      </c>
      <c r="N79" s="58" t="inlineStr">
        <is>
          <t>2단계 보고서 자료(회사 설명회 자료·공시)</t>
        </is>
      </c>
    </row>
    <row r="80">
      <c r="A80" s="56" t="inlineStr">
        <is>
          <t>gp</t>
        </is>
      </c>
      <c r="B80" s="57" t="n">
        <v>3.3</v>
      </c>
      <c r="C80" s="57" t="n">
        <v>3.3</v>
      </c>
      <c r="D80" s="57" t="n">
        <v>3.2</v>
      </c>
      <c r="E80" s="57" t="n">
        <v>7.9</v>
      </c>
      <c r="F80" s="57" t="n">
        <v>3.6</v>
      </c>
      <c r="G80" s="57" t="n">
        <v>7.3</v>
      </c>
      <c r="H80" s="57" t="n">
        <v>4.6</v>
      </c>
      <c r="I80" s="57" t="n">
        <v>5.5</v>
      </c>
      <c r="J80" s="57" t="n">
        <v>3.6</v>
      </c>
      <c r="K80" s="57" t="n">
        <v>3.2</v>
      </c>
      <c r="L80" s="57" t="n">
        <v>3.5</v>
      </c>
      <c r="M80" s="57" t="n">
        <v>9.699999999999999</v>
      </c>
    </row>
    <row r="81">
      <c r="A81" s="56" t="inlineStr">
        <is>
          <t>sga</t>
        </is>
      </c>
      <c r="B81" s="57" t="n">
        <v>3.6</v>
      </c>
      <c r="C81" s="57" t="n">
        <v>3.1</v>
      </c>
      <c r="D81" s="57" t="n">
        <v>3.2</v>
      </c>
      <c r="E81" s="57" t="n">
        <v>3.9</v>
      </c>
      <c r="F81" s="57" t="n">
        <v>3.6</v>
      </c>
      <c r="G81" s="57" t="n">
        <v>3.5</v>
      </c>
      <c r="H81" s="57" t="n">
        <v>3.7</v>
      </c>
      <c r="I81" s="57" t="n">
        <v>4</v>
      </c>
      <c r="J81" s="57" t="n">
        <v>3.6</v>
      </c>
      <c r="K81" s="57" t="n">
        <v>3.3</v>
      </c>
      <c r="L81" s="57" t="n">
        <v>3.1</v>
      </c>
      <c r="M81" s="57" t="n">
        <v>3.9</v>
      </c>
    </row>
    <row r="82">
      <c r="A82" s="56" t="inlineStr">
        <is>
          <t>영업이익</t>
        </is>
      </c>
      <c r="B82" s="57" t="n">
        <v>-0.3</v>
      </c>
      <c r="C82" s="57" t="n">
        <v>0.2</v>
      </c>
      <c r="D82" s="57" t="n">
        <v>0</v>
      </c>
      <c r="E82" s="57" t="n">
        <v>3.9</v>
      </c>
      <c r="F82" s="57" t="n">
        <v>-0.1</v>
      </c>
      <c r="G82" s="57" t="n">
        <v>3.8</v>
      </c>
      <c r="H82" s="57" t="n">
        <v>0.9</v>
      </c>
      <c r="I82" s="57" t="n">
        <v>1.5</v>
      </c>
      <c r="J82" s="57" t="n">
        <v>0</v>
      </c>
      <c r="K82" s="57" t="n">
        <v>-0</v>
      </c>
      <c r="L82" s="57" t="n">
        <v>0.3</v>
      </c>
      <c r="M82" s="57" t="n">
        <v>5.8</v>
      </c>
    </row>
    <row r="83">
      <c r="A83" s="56" t="inlineStr">
        <is>
          <t>pbt</t>
        </is>
      </c>
      <c r="B83" s="57" t="n">
        <v>1.2</v>
      </c>
      <c r="C83" s="57" t="n">
        <v>2.9</v>
      </c>
      <c r="D83" s="57" t="n">
        <v>3.7</v>
      </c>
      <c r="E83" s="57" t="n">
        <v>-0.5</v>
      </c>
      <c r="F83" s="57" t="n">
        <v>3.6</v>
      </c>
      <c r="G83" s="57" t="n">
        <v>4.2</v>
      </c>
      <c r="H83" s="57" t="n">
        <v>-0.7</v>
      </c>
      <c r="I83" s="57" t="n">
        <v>3.9</v>
      </c>
      <c r="J83" s="57" t="n">
        <v>5.7</v>
      </c>
      <c r="K83" s="57" t="n">
        <v>0.4</v>
      </c>
      <c r="L83" s="57" t="n">
        <v>3</v>
      </c>
      <c r="M83" s="57" t="n">
        <v>7.1</v>
      </c>
    </row>
    <row r="84">
      <c r="A84" s="56" t="inlineStr">
        <is>
          <t>순이익 owner</t>
        </is>
      </c>
      <c r="B84" s="57" t="n">
        <v>0.8</v>
      </c>
      <c r="C84" s="57" t="n">
        <v>1.9</v>
      </c>
      <c r="D84" s="57" t="n">
        <v>2.5</v>
      </c>
      <c r="E84" s="57" t="n">
        <v>-0.4</v>
      </c>
      <c r="F84" s="57" t="n">
        <v>2.4</v>
      </c>
      <c r="G84" s="57" t="n">
        <v>3</v>
      </c>
      <c r="H84" s="57" t="n">
        <v>-0.5</v>
      </c>
      <c r="I84" s="57" t="n">
        <v>3</v>
      </c>
      <c r="J84" s="57" t="n">
        <v>3.9</v>
      </c>
      <c r="K84" s="57" t="n">
        <v>0.2</v>
      </c>
      <c r="L84" s="57" t="n">
        <v>2</v>
      </c>
      <c r="M84" s="57" t="n">
        <v>5.1</v>
      </c>
    </row>
    <row r="86">
      <c r="A86" s="54" t="inlineStr">
        <is>
          <t>prep annual</t>
        </is>
      </c>
      <c r="B86" s="54" t="n"/>
      <c r="C86" s="54" t="n"/>
      <c r="D86" s="54" t="n"/>
      <c r="E86" s="54" t="n"/>
      <c r="F86" s="54" t="n"/>
      <c r="G86" s="54" t="n"/>
      <c r="H86" s="54" t="n"/>
      <c r="I86" s="54" t="n"/>
      <c r="J86" s="54" t="n"/>
      <c r="K86" s="54" t="n"/>
      <c r="L86" s="54" t="n"/>
      <c r="M86" s="54" t="n"/>
      <c r="N86" s="54" t="n"/>
    </row>
    <row r="87">
      <c r="A87" s="55" t="inlineStr">
        <is>
          <t>항목</t>
        </is>
      </c>
      <c r="B87" s="55" t="inlineStr">
        <is>
          <t>2017</t>
        </is>
      </c>
      <c r="C87" s="55" t="inlineStr">
        <is>
          <t>2018</t>
        </is>
      </c>
      <c r="D87" s="55" t="inlineStr">
        <is>
          <t>2019</t>
        </is>
      </c>
      <c r="E87" s="55" t="inlineStr">
        <is>
          <t>2020</t>
        </is>
      </c>
      <c r="F87" s="55" t="inlineStr">
        <is>
          <t>2021</t>
        </is>
      </c>
      <c r="G87" s="55" t="inlineStr">
        <is>
          <t>2022</t>
        </is>
      </c>
      <c r="H87" s="55" t="inlineStr">
        <is>
          <t>2023</t>
        </is>
      </c>
      <c r="I87" s="55" t="inlineStr">
        <is>
          <t>2024</t>
        </is>
      </c>
      <c r="J87" s="55" t="inlineStr">
        <is>
          <t>2025</t>
        </is>
      </c>
      <c r="K87" s="55" t="inlineStr">
        <is>
          <t>2026</t>
        </is>
      </c>
      <c r="N87" s="55" t="inlineStr">
        <is>
          <t>출처</t>
        </is>
      </c>
    </row>
    <row r="88">
      <c r="A88" s="56" t="inlineStr">
        <is>
          <t>labels</t>
        </is>
      </c>
      <c r="B88" s="59" t="n">
        <v>2017</v>
      </c>
      <c r="C88" s="59" t="n">
        <v>2018</v>
      </c>
      <c r="D88" s="59" t="n">
        <v>2019</v>
      </c>
      <c r="E88" s="59" t="n">
        <v>2020</v>
      </c>
      <c r="F88" s="59" t="n">
        <v>2021</v>
      </c>
      <c r="G88" s="59" t="n">
        <v>2022</v>
      </c>
      <c r="H88" s="59" t="n">
        <v>2023</v>
      </c>
      <c r="I88" s="59" t="n">
        <v>2024</v>
      </c>
      <c r="J88" s="59" t="n">
        <v>2025</v>
      </c>
      <c r="K88" s="59" t="n">
        <v>2026</v>
      </c>
      <c r="N88" s="58" t="inlineStr">
        <is>
          <t>2단계 보고서 자료(회사 설명회 자료·공시)</t>
        </is>
      </c>
    </row>
    <row r="89">
      <c r="A89" s="56" t="inlineStr">
        <is>
          <t>매출</t>
        </is>
      </c>
      <c r="B89" s="57" t="n">
        <v>57.2</v>
      </c>
      <c r="C89" s="57" t="n">
        <v>62.6</v>
      </c>
      <c r="D89" s="57" t="n">
        <v>67.59999999999999</v>
      </c>
      <c r="E89" s="57" t="n">
        <v>54.2</v>
      </c>
      <c r="F89" s="57" t="n">
        <v>40.1</v>
      </c>
      <c r="G89" s="57" t="n">
        <v>52</v>
      </c>
      <c r="H89" s="57" t="n">
        <v>51.8</v>
      </c>
      <c r="I89" s="57" t="n">
        <v>47</v>
      </c>
      <c r="J89" s="57" t="n">
        <v>57.8</v>
      </c>
      <c r="K89" s="57" t="n">
        <v>51.8</v>
      </c>
    </row>
    <row r="90">
      <c r="A90" s="56" t="inlineStr">
        <is>
          <t>gp</t>
        </is>
      </c>
      <c r="B90" s="57" t="n">
        <v>19.2</v>
      </c>
      <c r="C90" s="57" t="n">
        <v>21.8</v>
      </c>
      <c r="D90" s="57" t="n">
        <v>23.5</v>
      </c>
      <c r="E90" s="57" t="n">
        <v>17.8</v>
      </c>
      <c r="F90" s="57" t="n">
        <v>12.7</v>
      </c>
      <c r="G90" s="57" t="n">
        <v>16.8</v>
      </c>
      <c r="H90" s="57" t="n">
        <v>18.7</v>
      </c>
      <c r="I90" s="57" t="n">
        <v>17.7</v>
      </c>
      <c r="J90" s="57" t="n">
        <v>20.9</v>
      </c>
      <c r="K90" s="57" t="n">
        <v>20</v>
      </c>
    </row>
    <row r="91">
      <c r="A91" s="56" t="inlineStr">
        <is>
          <t>sga</t>
        </is>
      </c>
      <c r="B91" s="57" t="n">
        <v>11.3</v>
      </c>
      <c r="C91" s="57" t="n">
        <v>12.1</v>
      </c>
      <c r="D91" s="57" t="n">
        <v>13.4</v>
      </c>
      <c r="E91" s="57" t="n">
        <v>12</v>
      </c>
      <c r="F91" s="57" t="n">
        <v>9.800000000000001</v>
      </c>
      <c r="G91" s="57" t="n">
        <v>13</v>
      </c>
      <c r="H91" s="57" t="n">
        <v>14.2</v>
      </c>
      <c r="I91" s="57" t="n">
        <v>13.8</v>
      </c>
      <c r="J91" s="57" t="n">
        <v>14.8</v>
      </c>
      <c r="K91" s="57" t="n">
        <v>13.9</v>
      </c>
    </row>
    <row r="92">
      <c r="A92" s="56" t="inlineStr">
        <is>
          <t>영업이익</t>
        </is>
      </c>
      <c r="B92" s="57" t="n">
        <v>7.9</v>
      </c>
      <c r="C92" s="57" t="n">
        <v>9.6</v>
      </c>
      <c r="D92" s="57" t="n">
        <v>10</v>
      </c>
      <c r="E92" s="57" t="n">
        <v>5.8</v>
      </c>
      <c r="F92" s="57" t="n">
        <v>2.9</v>
      </c>
      <c r="G92" s="57" t="n">
        <v>3.8</v>
      </c>
      <c r="H92" s="57" t="n">
        <v>4.5</v>
      </c>
      <c r="I92" s="57" t="n">
        <v>3.8</v>
      </c>
      <c r="J92" s="57" t="n">
        <v>6.1</v>
      </c>
      <c r="K92" s="57" t="n">
        <v>6.1</v>
      </c>
    </row>
    <row r="93">
      <c r="A93" s="56" t="inlineStr">
        <is>
          <t>pbt</t>
        </is>
      </c>
      <c r="B93" s="57" t="n">
        <v>11.4</v>
      </c>
      <c r="C93" s="57" t="n">
        <v>10.8</v>
      </c>
      <c r="D93" s="57" t="n">
        <v>10.1</v>
      </c>
      <c r="E93" s="57" t="n">
        <v>6.9</v>
      </c>
      <c r="F93" s="57" t="n">
        <v>6.2</v>
      </c>
      <c r="G93" s="57" t="n">
        <v>18</v>
      </c>
      <c r="H93" s="57" t="n">
        <v>11.6</v>
      </c>
      <c r="I93" s="57" t="n">
        <v>7.3</v>
      </c>
      <c r="J93" s="57" t="n">
        <v>11.1</v>
      </c>
      <c r="K93" s="57" t="n">
        <v>16.3</v>
      </c>
    </row>
    <row r="94">
      <c r="A94" s="56" t="inlineStr">
        <is>
          <t>순이익 owner</t>
        </is>
      </c>
      <c r="B94" s="57" t="n">
        <v>7.9</v>
      </c>
      <c r="C94" s="57" t="n">
        <v>7.5</v>
      </c>
      <c r="D94" s="57" t="n">
        <v>6.6</v>
      </c>
      <c r="E94" s="57" t="n">
        <v>4.3</v>
      </c>
      <c r="F94" s="57" t="n">
        <v>4.6</v>
      </c>
      <c r="G94" s="57" t="n">
        <v>12.3</v>
      </c>
      <c r="H94" s="57" t="n">
        <v>8.699999999999999</v>
      </c>
      <c r="I94" s="57" t="n">
        <v>4.8</v>
      </c>
      <c r="J94" s="57" t="n">
        <v>7.8</v>
      </c>
      <c r="K94" s="57" t="n">
        <v>11.2</v>
      </c>
    </row>
    <row r="96">
      <c r="A96" s="54" t="inlineStr">
        <is>
          <t>bs annual</t>
        </is>
      </c>
      <c r="B96" s="54" t="n"/>
      <c r="C96" s="54" t="n"/>
      <c r="D96" s="54" t="n"/>
      <c r="E96" s="54" t="n"/>
      <c r="F96" s="54" t="n"/>
      <c r="G96" s="54" t="n"/>
      <c r="H96" s="54" t="n"/>
      <c r="I96" s="54" t="n"/>
      <c r="J96" s="54" t="n"/>
      <c r="K96" s="54" t="n"/>
      <c r="L96" s="54" t="n"/>
      <c r="M96" s="54" t="n"/>
      <c r="N96" s="54" t="n"/>
    </row>
    <row r="97">
      <c r="A97" s="55" t="inlineStr">
        <is>
          <t>항목</t>
        </is>
      </c>
      <c r="B97" s="55" t="inlineStr">
        <is>
          <t>2022</t>
        </is>
      </c>
      <c r="C97" s="55" t="inlineStr">
        <is>
          <t>2023</t>
        </is>
      </c>
      <c r="D97" s="55" t="inlineStr">
        <is>
          <t>2024</t>
        </is>
      </c>
      <c r="E97" s="55" t="inlineStr">
        <is>
          <t>2025</t>
        </is>
      </c>
      <c r="F97" s="55" t="inlineStr">
        <is>
          <t>2026</t>
        </is>
      </c>
      <c r="N97" s="55" t="inlineStr">
        <is>
          <t>출처</t>
        </is>
      </c>
    </row>
    <row r="98">
      <c r="A98" s="56" t="inlineStr">
        <is>
          <t>labels</t>
        </is>
      </c>
      <c r="B98" s="59" t="n">
        <v>2022</v>
      </c>
      <c r="C98" s="59" t="n">
        <v>2023</v>
      </c>
      <c r="D98" s="59" t="n">
        <v>2024</v>
      </c>
      <c r="E98" s="59" t="n">
        <v>2025</v>
      </c>
      <c r="F98" s="59" t="n">
        <v>2026</v>
      </c>
      <c r="N98" s="58" t="inlineStr">
        <is>
          <t>2단계 보고서 자료(회사 설명회 자료·공시)</t>
        </is>
      </c>
    </row>
    <row r="99">
      <c r="A99" s="56" t="inlineStr">
        <is>
          <t>current assets</t>
        </is>
      </c>
      <c r="B99" s="57" t="n">
        <v>97.90000000000001</v>
      </c>
      <c r="C99" s="57" t="n">
        <v>110.9</v>
      </c>
      <c r="D99" s="57" t="n">
        <v>105.8</v>
      </c>
      <c r="E99" s="57" t="n">
        <v>110.5</v>
      </c>
      <c r="F99" s="57" t="n">
        <v>109.8</v>
      </c>
    </row>
    <row r="100">
      <c r="A100" s="56" t="inlineStr">
        <is>
          <t>cash</t>
        </is>
      </c>
      <c r="B100" s="57" t="n">
        <v>62.4</v>
      </c>
      <c r="C100" s="57" t="n">
        <v>73.5</v>
      </c>
      <c r="D100" s="57" t="n">
        <v>55.4</v>
      </c>
      <c r="E100" s="57" t="n">
        <v>67.3</v>
      </c>
      <c r="F100" s="57" t="n">
        <v>76.90000000000001</v>
      </c>
    </row>
    <row r="101">
      <c r="A101" s="56" t="inlineStr">
        <is>
          <t>st fin</t>
        </is>
      </c>
      <c r="B101" s="57" t="n">
        <v>3.2</v>
      </c>
      <c r="C101" s="57" t="n">
        <v>10.1</v>
      </c>
      <c r="D101" s="57" t="n">
        <v>10.9</v>
      </c>
      <c r="E101" s="57" t="n">
        <v>11.9</v>
      </c>
      <c r="F101" s="57" t="n">
        <v>2.2</v>
      </c>
    </row>
    <row r="102">
      <c r="A102" s="56" t="inlineStr">
        <is>
          <t>receivables</t>
        </is>
      </c>
      <c r="B102" s="57" t="n">
        <v>10.1</v>
      </c>
      <c r="C102" s="57" t="n">
        <v>5.6</v>
      </c>
      <c r="D102" s="57" t="n">
        <v>11.5</v>
      </c>
      <c r="E102" s="57" t="n">
        <v>8</v>
      </c>
      <c r="F102" s="57" t="n">
        <v>4.9</v>
      </c>
    </row>
    <row r="103">
      <c r="A103" s="56" t="inlineStr">
        <is>
          <t>inventory</t>
        </is>
      </c>
      <c r="B103" s="57" t="n">
        <v>15.2</v>
      </c>
      <c r="C103" s="57" t="n">
        <v>14.4</v>
      </c>
      <c r="D103" s="57" t="n">
        <v>21</v>
      </c>
      <c r="E103" s="57" t="n">
        <v>17.1</v>
      </c>
      <c r="F103" s="57" t="n">
        <v>20.1</v>
      </c>
    </row>
    <row r="104">
      <c r="A104" s="56" t="inlineStr">
        <is>
          <t>noncurrent assets</t>
        </is>
      </c>
      <c r="B104" s="57" t="n">
        <v>49.4</v>
      </c>
      <c r="C104" s="57" t="n">
        <v>45.4</v>
      </c>
      <c r="D104" s="57" t="n">
        <v>45.4</v>
      </c>
      <c r="E104" s="57" t="n">
        <v>45.1</v>
      </c>
      <c r="F104" s="57" t="n">
        <v>64.5</v>
      </c>
    </row>
    <row r="105">
      <c r="A105" s="56" t="inlineStr">
        <is>
          <t>ppe</t>
        </is>
      </c>
      <c r="B105" s="57" t="n">
        <v>27.3</v>
      </c>
      <c r="C105" s="57" t="n">
        <v>27.1</v>
      </c>
      <c r="D105" s="57" t="n">
        <v>26.7</v>
      </c>
      <c r="E105" s="57" t="n">
        <v>25.8</v>
      </c>
      <c r="F105" s="57" t="n">
        <v>26.2</v>
      </c>
    </row>
    <row r="106">
      <c r="A106" s="56" t="inlineStr">
        <is>
          <t>intangibles</t>
        </is>
      </c>
      <c r="B106" s="57" t="n">
        <v>0.1</v>
      </c>
      <c r="C106" s="57" t="n">
        <v>0.2</v>
      </c>
      <c r="D106" s="57" t="n">
        <v>0.2</v>
      </c>
      <c r="E106" s="57" t="n">
        <v>0.1</v>
      </c>
      <c r="F106" s="57" t="n">
        <v>0.1</v>
      </c>
    </row>
    <row r="107">
      <c r="A107" s="56" t="inlineStr">
        <is>
          <t>inv property</t>
        </is>
      </c>
      <c r="B107" s="60" t="n"/>
      <c r="C107" s="60" t="n"/>
      <c r="D107" s="60" t="n"/>
      <c r="E107" s="60" t="n"/>
      <c r="F107" s="60" t="n"/>
    </row>
    <row r="108">
      <c r="A108" s="56" t="inlineStr">
        <is>
          <t>합계 assets</t>
        </is>
      </c>
      <c r="B108" s="57" t="n">
        <v>147.3</v>
      </c>
      <c r="C108" s="57" t="n">
        <v>156.3</v>
      </c>
      <c r="D108" s="57" t="n">
        <v>151.2</v>
      </c>
      <c r="E108" s="57" t="n">
        <v>155.6</v>
      </c>
      <c r="F108" s="57" t="n">
        <v>174.3</v>
      </c>
    </row>
    <row r="109">
      <c r="A109" s="56" t="inlineStr">
        <is>
          <t>current liab</t>
        </is>
      </c>
      <c r="B109" s="57" t="n">
        <v>11.8</v>
      </c>
      <c r="C109" s="57" t="n">
        <v>12.1</v>
      </c>
      <c r="D109" s="57" t="n">
        <v>15</v>
      </c>
      <c r="E109" s="57" t="n">
        <v>14.7</v>
      </c>
      <c r="F109" s="57" t="n">
        <v>19.5</v>
      </c>
    </row>
    <row r="110">
      <c r="A110" s="56" t="inlineStr">
        <is>
          <t>payables</t>
        </is>
      </c>
      <c r="B110" s="57" t="n">
        <v>1.5</v>
      </c>
      <c r="C110" s="57" t="n">
        <v>1</v>
      </c>
      <c r="D110" s="57" t="n">
        <v>2.7</v>
      </c>
      <c r="E110" s="57" t="n">
        <v>1</v>
      </c>
      <c r="F110" s="57" t="n">
        <v>2.6</v>
      </c>
    </row>
    <row r="111">
      <c r="A111" s="56" t="inlineStr">
        <is>
          <t>st debt</t>
        </is>
      </c>
      <c r="B111" s="57" t="n">
        <v>0</v>
      </c>
      <c r="C111" s="57" t="n">
        <v>4.1</v>
      </c>
      <c r="D111" s="57" t="n">
        <v>3.1</v>
      </c>
      <c r="E111" s="57" t="n">
        <v>3.3</v>
      </c>
      <c r="F111" s="57" t="n">
        <v>0</v>
      </c>
    </row>
    <row r="112">
      <c r="A112" s="56" t="inlineStr">
        <is>
          <t>noncurrent liab</t>
        </is>
      </c>
      <c r="B112" s="57" t="n">
        <v>2.9</v>
      </c>
      <c r="C112" s="57" t="n">
        <v>4</v>
      </c>
      <c r="D112" s="57" t="n">
        <v>4.4</v>
      </c>
      <c r="E112" s="57" t="n">
        <v>4.6</v>
      </c>
      <c r="F112" s="57" t="n">
        <v>6.4</v>
      </c>
    </row>
    <row r="113">
      <c r="A113" s="56" t="inlineStr">
        <is>
          <t>lt debt</t>
        </is>
      </c>
      <c r="B113" s="60" t="n"/>
      <c r="C113" s="60" t="n"/>
      <c r="D113" s="60" t="n"/>
      <c r="E113" s="60" t="n"/>
      <c r="F113" s="60" t="n"/>
    </row>
    <row r="114">
      <c r="A114" s="56" t="inlineStr">
        <is>
          <t>bonds</t>
        </is>
      </c>
      <c r="B114" s="60" t="n"/>
      <c r="C114" s="60" t="n"/>
      <c r="D114" s="60" t="n"/>
      <c r="E114" s="60" t="n"/>
      <c r="F114" s="60" t="n"/>
    </row>
    <row r="115">
      <c r="A115" s="56" t="inlineStr">
        <is>
          <t>합계 liab</t>
        </is>
      </c>
      <c r="B115" s="57" t="n">
        <v>14.7</v>
      </c>
      <c r="C115" s="57" t="n">
        <v>16.1</v>
      </c>
      <c r="D115" s="57" t="n">
        <v>19.3</v>
      </c>
      <c r="E115" s="57" t="n">
        <v>19.3</v>
      </c>
      <c r="F115" s="57" t="n">
        <v>26</v>
      </c>
    </row>
    <row r="116">
      <c r="A116" s="56" t="inlineStr">
        <is>
          <t>capital stock</t>
        </is>
      </c>
      <c r="B116" s="57" t="n">
        <v>6.5</v>
      </c>
      <c r="C116" s="57" t="n">
        <v>6.5</v>
      </c>
      <c r="D116" s="57" t="n">
        <v>6.5</v>
      </c>
      <c r="E116" s="57" t="n">
        <v>6.5</v>
      </c>
      <c r="F116" s="57" t="n">
        <v>6.5</v>
      </c>
    </row>
    <row r="117">
      <c r="A117" s="56" t="inlineStr">
        <is>
          <t>retained</t>
        </is>
      </c>
      <c r="B117" s="57" t="n">
        <v>127.5</v>
      </c>
      <c r="C117" s="57" t="n">
        <v>135.7</v>
      </c>
      <c r="D117" s="57" t="n">
        <v>140.1</v>
      </c>
      <c r="E117" s="57" t="n">
        <v>147.5</v>
      </c>
      <c r="F117" s="57" t="n">
        <v>157.7</v>
      </c>
    </row>
    <row r="118">
      <c r="A118" s="56" t="inlineStr">
        <is>
          <t>nci</t>
        </is>
      </c>
      <c r="B118" s="57" t="n">
        <v>0.3</v>
      </c>
      <c r="C118" s="57" t="n">
        <v>0.3</v>
      </c>
      <c r="D118" s="57" t="n">
        <v>0.4</v>
      </c>
      <c r="E118" s="57" t="n">
        <v>0.3</v>
      </c>
      <c r="F118" s="57" t="n">
        <v>0.4</v>
      </c>
    </row>
    <row r="119">
      <c r="A119" s="56" t="inlineStr">
        <is>
          <t>합계 equity</t>
        </is>
      </c>
      <c r="B119" s="57" t="n">
        <v>132.6</v>
      </c>
      <c r="C119" s="57" t="n">
        <v>140.2</v>
      </c>
      <c r="D119" s="57" t="n">
        <v>131.9</v>
      </c>
      <c r="E119" s="57" t="n">
        <v>136.3</v>
      </c>
      <c r="F119" s="57" t="n">
        <v>148.3</v>
      </c>
    </row>
    <row r="120">
      <c r="A120" s="56" t="inlineStr">
        <is>
          <t>current ltd</t>
        </is>
      </c>
      <c r="B120" s="60" t="n"/>
      <c r="C120" s="60" t="n"/>
      <c r="D120" s="60" t="n"/>
      <c r="E120" s="60" t="n"/>
      <c r="F120" s="60" t="n"/>
    </row>
    <row r="121">
      <c r="A121" s="56" t="inlineStr">
        <is>
          <t>equity owner</t>
        </is>
      </c>
      <c r="B121" s="57" t="n">
        <v>132.3</v>
      </c>
      <c r="C121" s="57" t="n">
        <v>139.8</v>
      </c>
      <c r="D121" s="57" t="n">
        <v>131.5</v>
      </c>
      <c r="E121" s="57" t="n">
        <v>136</v>
      </c>
      <c r="F121" s="57" t="n">
        <v>147.9</v>
      </c>
    </row>
    <row r="123">
      <c r="A123" s="54" t="inlineStr">
        <is>
          <t>cf annual</t>
        </is>
      </c>
      <c r="B123" s="54" t="n"/>
      <c r="C123" s="54" t="n"/>
      <c r="D123" s="54" t="n"/>
      <c r="E123" s="54" t="n"/>
      <c r="F123" s="54" t="n"/>
      <c r="G123" s="54" t="n"/>
      <c r="H123" s="54" t="n"/>
      <c r="I123" s="54" t="n"/>
      <c r="J123" s="54" t="n"/>
      <c r="K123" s="54" t="n"/>
      <c r="L123" s="54" t="n"/>
      <c r="M123" s="54" t="n"/>
      <c r="N123" s="54" t="n"/>
    </row>
    <row r="124">
      <c r="A124" s="55" t="inlineStr">
        <is>
          <t>항목</t>
        </is>
      </c>
      <c r="B124" s="55" t="inlineStr">
        <is>
          <t>2022</t>
        </is>
      </c>
      <c r="C124" s="55" t="inlineStr">
        <is>
          <t>2023</t>
        </is>
      </c>
      <c r="D124" s="55" t="inlineStr">
        <is>
          <t>2024</t>
        </is>
      </c>
      <c r="E124" s="55" t="inlineStr">
        <is>
          <t>2025</t>
        </is>
      </c>
      <c r="F124" s="55" t="inlineStr">
        <is>
          <t>2026</t>
        </is>
      </c>
      <c r="N124" s="55" t="inlineStr">
        <is>
          <t>출처</t>
        </is>
      </c>
    </row>
    <row r="125">
      <c r="A125" s="56" t="inlineStr">
        <is>
          <t>labels</t>
        </is>
      </c>
      <c r="B125" s="59" t="n">
        <v>2022</v>
      </c>
      <c r="C125" s="59" t="n">
        <v>2023</v>
      </c>
      <c r="D125" s="59" t="n">
        <v>2024</v>
      </c>
      <c r="E125" s="59" t="n">
        <v>2025</v>
      </c>
      <c r="F125" s="59" t="n">
        <v>2026</v>
      </c>
      <c r="N125" s="58" t="inlineStr">
        <is>
          <t>2단계 보고서 자료(회사 설명회 자료·공시)</t>
        </is>
      </c>
    </row>
    <row r="126">
      <c r="A126" s="56" t="inlineStr">
        <is>
          <t>ocf</t>
        </is>
      </c>
      <c r="B126" s="57" t="n">
        <v>3.9</v>
      </c>
      <c r="C126" s="57" t="n">
        <v>9.300000000000001</v>
      </c>
      <c r="D126" s="57" t="n">
        <v>0.5</v>
      </c>
      <c r="E126" s="57" t="n">
        <v>17.4</v>
      </c>
      <c r="F126" s="57" t="n">
        <v>16.7</v>
      </c>
    </row>
    <row r="127">
      <c r="A127" s="56" t="inlineStr">
        <is>
          <t>설비투자</t>
        </is>
      </c>
      <c r="B127" s="57" t="n">
        <v>1.4</v>
      </c>
      <c r="C127" s="57" t="n">
        <v>2.4</v>
      </c>
      <c r="D127" s="57" t="n">
        <v>2.6</v>
      </c>
      <c r="E127" s="57" t="n">
        <v>1.9</v>
      </c>
      <c r="F127" s="57" t="n">
        <v>2.3</v>
      </c>
    </row>
    <row r="128">
      <c r="A128" s="56" t="inlineStr">
        <is>
          <t>dividends</t>
        </is>
      </c>
      <c r="B128" s="57" t="n">
        <v>0.5</v>
      </c>
      <c r="C128" s="57" t="n">
        <v>0.5</v>
      </c>
      <c r="D128" s="57" t="n">
        <v>0.5</v>
      </c>
      <c r="E128" s="57" t="n">
        <v>0.5</v>
      </c>
      <c r="F128" s="57" t="n">
        <v>1</v>
      </c>
    </row>
    <row r="130">
      <c r="A130" s="54" t="inlineStr">
        <is>
          <t>peer mcap oku</t>
        </is>
      </c>
      <c r="B130" s="54" t="n"/>
      <c r="C130" s="54" t="n"/>
      <c r="D130" s="54" t="n"/>
      <c r="E130" s="54" t="n"/>
      <c r="F130" s="54" t="n"/>
      <c r="G130" s="54" t="n"/>
      <c r="H130" s="54" t="n"/>
      <c r="I130" s="54" t="n"/>
      <c r="J130" s="54" t="n"/>
      <c r="K130" s="54" t="n"/>
      <c r="L130" s="54" t="n"/>
      <c r="M130" s="54" t="n"/>
      <c r="N130" s="54" t="n"/>
    </row>
    <row r="131">
      <c r="A131" s="55" t="inlineStr">
        <is>
          <t>항목</t>
        </is>
      </c>
      <c r="B131" s="55" t="inlineStr">
        <is>
          <t>값</t>
        </is>
      </c>
      <c r="N131" s="55" t="inlineStr">
        <is>
          <t>출처</t>
        </is>
      </c>
    </row>
    <row r="132">
      <c r="A132" s="56" t="inlineStr">
        <is>
          <t>6159</t>
        </is>
      </c>
      <c r="B132" s="57" t="n">
        <v>87.40000000000001</v>
      </c>
      <c r="N132" s="58" t="inlineStr">
        <is>
          <t>2단계 보고서 자료(회사 설명회 자료·공시)</t>
        </is>
      </c>
    </row>
    <row r="133">
      <c r="A133" s="56" t="inlineStr">
        <is>
          <t>6125</t>
        </is>
      </c>
      <c r="B133" s="57" t="n">
        <v>300.4</v>
      </c>
    </row>
    <row r="134">
      <c r="A134" s="56" t="inlineStr">
        <is>
          <t>6158</t>
        </is>
      </c>
      <c r="B134" s="57" t="n">
        <v>64.7</v>
      </c>
    </row>
    <row r="135">
      <c r="A135" s="56" t="inlineStr">
        <is>
          <t>6101</t>
        </is>
      </c>
      <c r="B135" s="57" t="n">
        <v>2122.8</v>
      </c>
    </row>
    <row r="137">
      <c r="A137" s="54" t="inlineStr">
        <is>
          <t>peer chg 1y</t>
        </is>
      </c>
      <c r="B137" s="54" t="n"/>
      <c r="C137" s="54" t="n"/>
      <c r="D137" s="54" t="n"/>
      <c r="E137" s="54" t="n"/>
      <c r="F137" s="54" t="n"/>
      <c r="G137" s="54" t="n"/>
      <c r="H137" s="54" t="n"/>
      <c r="I137" s="54" t="n"/>
      <c r="J137" s="54" t="n"/>
      <c r="K137" s="54" t="n"/>
      <c r="L137" s="54" t="n"/>
      <c r="M137" s="54" t="n"/>
      <c r="N137" s="54" t="n"/>
    </row>
    <row r="138">
      <c r="A138" s="55" t="inlineStr">
        <is>
          <t>항목</t>
        </is>
      </c>
      <c r="B138" s="55" t="inlineStr">
        <is>
          <t>값</t>
        </is>
      </c>
      <c r="N138" s="55" t="inlineStr">
        <is>
          <t>출처</t>
        </is>
      </c>
    </row>
    <row r="139">
      <c r="A139" s="56" t="inlineStr">
        <is>
          <t>6125</t>
        </is>
      </c>
      <c r="B139" s="57" t="n">
        <v>-3.1</v>
      </c>
      <c r="N139" s="58" t="inlineStr">
        <is>
          <t>2단계 보고서 자료(회사 설명회 자료·공시)</t>
        </is>
      </c>
    </row>
    <row r="140">
      <c r="A140" s="56" t="inlineStr">
        <is>
          <t>6158</t>
        </is>
      </c>
      <c r="B140" s="57" t="n">
        <v>15.8</v>
      </c>
    </row>
    <row r="141">
      <c r="A141" s="56" t="inlineStr">
        <is>
          <t>6101</t>
        </is>
      </c>
      <c r="B141" s="57" t="n">
        <v>70</v>
      </c>
    </row>
    <row r="142">
      <c r="A142" s="56" t="inlineStr">
        <is>
          <t>6473</t>
        </is>
      </c>
      <c r="B142" s="57" t="n">
        <v>42</v>
      </c>
    </row>
    <row r="143">
      <c r="A143" s="56" t="inlineStr">
        <is>
          <t>6159</t>
        </is>
      </c>
      <c r="B143" s="57" t="n">
        <v>13.5</v>
      </c>
    </row>
    <row r="145">
      <c r="A145" s="54" t="inlineStr">
        <is>
          <t>reactions</t>
        </is>
      </c>
      <c r="B145" s="54" t="n"/>
      <c r="C145" s="54" t="n"/>
      <c r="D145" s="54" t="n"/>
      <c r="E145" s="54" t="n"/>
      <c r="F145" s="54" t="n"/>
      <c r="G145" s="54" t="n"/>
      <c r="H145" s="54" t="n"/>
      <c r="I145" s="54" t="n"/>
      <c r="J145" s="54" t="n"/>
      <c r="K145" s="54" t="n"/>
      <c r="L145" s="54" t="n"/>
      <c r="M145" s="54" t="n"/>
      <c r="N145" s="54" t="n"/>
    </row>
    <row r="146">
      <c r="A146" s="55" t="inlineStr">
        <is>
          <t>항목</t>
        </is>
      </c>
      <c r="B146" s="55" t="inlineStr">
        <is>
          <t>기준일</t>
        </is>
      </c>
      <c r="C146" s="55" t="inlineStr">
        <is>
          <t>다음날</t>
        </is>
      </c>
      <c r="D146" s="55" t="inlineStr">
        <is>
          <t>등락%</t>
        </is>
      </c>
      <c r="N146" s="55" t="inlineStr">
        <is>
          <t>출처</t>
        </is>
      </c>
    </row>
    <row r="147">
      <c r="A147" s="56" t="inlineStr">
        <is>
          <t>2025-01-10</t>
        </is>
      </c>
      <c r="B147" s="60" t="inlineStr">
        <is>
          <t>2025-01-10</t>
        </is>
      </c>
      <c r="C147" s="60" t="inlineStr">
        <is>
          <t>2025-01-14</t>
        </is>
      </c>
      <c r="D147" s="57" t="n">
        <v>-6.2</v>
      </c>
      <c r="N147" s="58" t="inlineStr">
        <is>
          <t>2단계 보고서 자료(회사 설명회 자료·공시)</t>
        </is>
      </c>
    </row>
    <row r="148">
      <c r="A148" s="56" t="inlineStr">
        <is>
          <t>2025-04-11</t>
        </is>
      </c>
      <c r="B148" s="60" t="inlineStr">
        <is>
          <t>2025-04-11</t>
        </is>
      </c>
      <c r="C148" s="60" t="inlineStr">
        <is>
          <t>2025-04-14</t>
        </is>
      </c>
      <c r="D148" s="57" t="n">
        <v>-0.5</v>
      </c>
    </row>
    <row r="149">
      <c r="A149" s="56" t="inlineStr">
        <is>
          <t>2025-07-11</t>
        </is>
      </c>
      <c r="B149" s="60" t="inlineStr">
        <is>
          <t>2025-07-11</t>
        </is>
      </c>
      <c r="C149" s="60" t="inlineStr">
        <is>
          <t>2025-07-14</t>
        </is>
      </c>
      <c r="D149" s="57" t="n">
        <v>-3.9</v>
      </c>
    </row>
    <row r="150">
      <c r="A150" s="56" t="inlineStr">
        <is>
          <t>2025-10-10</t>
        </is>
      </c>
      <c r="B150" s="60" t="inlineStr">
        <is>
          <t>2025-10-10</t>
        </is>
      </c>
      <c r="C150" s="60" t="inlineStr">
        <is>
          <t>2025-10-14</t>
        </is>
      </c>
      <c r="D150" s="57" t="n">
        <v>-8.300000000000001</v>
      </c>
    </row>
    <row r="151">
      <c r="A151" s="56" t="inlineStr">
        <is>
          <t>2026-01-13</t>
        </is>
      </c>
      <c r="B151" s="60" t="inlineStr">
        <is>
          <t>2026-01-13</t>
        </is>
      </c>
      <c r="C151" s="60" t="inlineStr">
        <is>
          <t>2026-01-14</t>
        </is>
      </c>
      <c r="D151" s="57" t="n">
        <v>2.4</v>
      </c>
    </row>
    <row r="152">
      <c r="A152" s="56" t="inlineStr">
        <is>
          <t>2026-04-13</t>
        </is>
      </c>
      <c r="B152" s="60" t="inlineStr">
        <is>
          <t>2026-04-13</t>
        </is>
      </c>
      <c r="C152" s="60" t="inlineStr">
        <is>
          <t>2026-04-14</t>
        </is>
      </c>
      <c r="D152" s="57" t="n">
        <v>-2.8</v>
      </c>
    </row>
    <row r="153">
      <c r="A153" s="56" t="inlineStr">
        <is>
          <t>2026-07-13</t>
        </is>
      </c>
      <c r="B153" s="60" t="inlineStr">
        <is>
          <t>2026-07-13</t>
        </is>
      </c>
      <c r="C153" s="60" t="inlineStr">
        <is>
          <t>2026-07-14</t>
        </is>
      </c>
      <c r="D153" s="57" t="n">
        <v>-6</v>
      </c>
    </row>
    <row r="154">
      <c r="A154" s="56" t="inlineStr">
        <is>
          <t>2026-10-13</t>
        </is>
      </c>
      <c r="B154" s="60" t="inlineStr">
        <is>
          <t>2026-10-13</t>
        </is>
      </c>
      <c r="C154" s="60" t="inlineStr">
        <is>
          <t>2026-10-14</t>
        </is>
      </c>
      <c r="D154" s="57" t="n">
        <v>-6.4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2026-10-13</t>
        </is>
      </c>
      <c r="B4" t="inlineStr">
        <is>
          <t>2026년 8월 결산기 연간 결산단신</t>
        </is>
      </c>
      <c r="C4" t="inlineStr">
        <is>
          <t>https://www2.jpx.co.jp/disc/61590/140120261013549759.pdf</t>
        </is>
      </c>
    </row>
    <row r="5">
      <c r="A5" t="inlineStr">
        <is>
          <t>2026-07-13</t>
        </is>
      </c>
      <c r="B5" t="inlineStr">
        <is>
          <t>2026년 8월 결산기 ３분기 결산단신</t>
        </is>
      </c>
      <c r="C5" t="inlineStr">
        <is>
          <t>https://www2.jpx.co.jp/disc/61590/140120260710591406.pdf</t>
        </is>
      </c>
    </row>
    <row r="6">
      <c r="A6" t="inlineStr">
        <is>
          <t>2026-04-13</t>
        </is>
      </c>
      <c r="B6" t="inlineStr">
        <is>
          <t>2026년 8월 결산기 ２분기 결산단신</t>
        </is>
      </c>
      <c r="C6" t="inlineStr">
        <is>
          <t>https://www2.jpx.co.jp/disc/61590/140120260407599453.pdf</t>
        </is>
      </c>
    </row>
    <row r="7">
      <c r="A7" t="inlineStr">
        <is>
          <t>2026-01-13</t>
        </is>
      </c>
      <c r="B7" t="inlineStr">
        <is>
          <t>2026년 8월 결산기 １분기 결산단신</t>
        </is>
      </c>
      <c r="C7" t="inlineStr">
        <is>
          <t>https://www2.jpx.co.jp/disc/61590/140120260108530588.pdf</t>
        </is>
      </c>
    </row>
    <row r="8">
      <c r="A8" t="inlineStr">
        <is>
          <t>2025-10-10</t>
        </is>
      </c>
      <c r="B8" t="inlineStr">
        <is>
          <t>2025년 8월 결산기 연간 결산단신</t>
        </is>
      </c>
      <c r="C8" t="inlineStr">
        <is>
          <t>https://www2.jpx.co.jp/disc/61590/140120251010571283.pdf</t>
        </is>
      </c>
    </row>
    <row r="9">
      <c r="A9" t="inlineStr">
        <is>
          <t>2025-07-11</t>
        </is>
      </c>
      <c r="B9" t="inlineStr">
        <is>
          <t>2025년 8월 결산기 ３분기 결산단신</t>
        </is>
      </c>
      <c r="C9" t="inlineStr">
        <is>
          <t>https://www2.jpx.co.jp/disc/61590/140120250710511789.pdf</t>
        </is>
      </c>
    </row>
    <row r="10">
      <c r="A10" t="inlineStr">
        <is>
          <t>2025-04-11</t>
        </is>
      </c>
      <c r="B10" t="inlineStr">
        <is>
          <t>2025년 8월 결산기 ２분기 결산단신</t>
        </is>
      </c>
      <c r="C10" t="inlineStr">
        <is>
          <t>https://www2.jpx.co.jp/disc/61590/140120250410512108.pdf</t>
        </is>
      </c>
    </row>
    <row r="11">
      <c r="A11" t="inlineStr">
        <is>
          <t>2025-01-10</t>
        </is>
      </c>
      <c r="B11" t="inlineStr">
        <is>
          <t>2025년 8월 결산기 １분기 결산단신</t>
        </is>
      </c>
      <c r="C11" t="inlineStr">
        <is>
          <t>https://www2.jpx.co.jp/disc/61590/140120250108547977.pdf</t>
        </is>
      </c>
    </row>
    <row r="12">
      <c r="A12" t="inlineStr">
        <is>
          <t>2024-10-11</t>
        </is>
      </c>
      <c r="B12" t="inlineStr">
        <is>
          <t>2024년 8월 결산기 연간 결산단신</t>
        </is>
      </c>
      <c r="C12" t="inlineStr">
        <is>
          <t>https://www2.jpx.co.jp/disc/61590/140120241010596440.pdf</t>
        </is>
      </c>
    </row>
    <row r="13">
      <c r="A13" t="inlineStr">
        <is>
          <t>2024-07-12</t>
        </is>
      </c>
      <c r="B13" t="inlineStr">
        <is>
          <t>2024년 8월 결산기 ３분기 결산단신</t>
        </is>
      </c>
      <c r="C13" t="inlineStr">
        <is>
          <t>https://www2.jpx.co.jp/disc/61590/140120240712548318.pdf</t>
        </is>
      </c>
    </row>
    <row r="14">
      <c r="A14" t="inlineStr">
        <is>
          <t>2024-04-12</t>
        </is>
      </c>
      <c r="B14" t="inlineStr">
        <is>
          <t>2024년 8월 결산기 ２분기 결산단신</t>
        </is>
      </c>
      <c r="C14" t="inlineStr">
        <is>
          <t>https://www2.jpx.co.jp/disc/61590/140120240411569407.pdf</t>
        </is>
      </c>
    </row>
    <row r="15">
      <c r="A15" t="inlineStr">
        <is>
          <t>2024-01-12</t>
        </is>
      </c>
      <c r="B15" t="inlineStr">
        <is>
          <t>2024년 8월 결산기 １분기 결산단신</t>
        </is>
      </c>
      <c r="C15" t="inlineStr">
        <is>
          <t>https://www2.jpx.co.jp/disc/61590/140120240111513716.pdf</t>
        </is>
      </c>
    </row>
    <row r="16">
      <c r="A16" t="inlineStr">
        <is>
          <t>2023-10-13</t>
        </is>
      </c>
      <c r="B16" t="inlineStr">
        <is>
          <t>2023년 8월 결산기 연간 결산단신</t>
        </is>
      </c>
      <c r="C16" t="inlineStr">
        <is>
          <t>https://www2.jpx.co.jp/disc/61590/140120231012565514.pdf</t>
        </is>
      </c>
    </row>
    <row r="17">
      <c r="A17" t="inlineStr">
        <is>
          <t>2023-07-12</t>
        </is>
      </c>
      <c r="B17" t="inlineStr">
        <is>
          <t>2023년 8월 결산기 ３분기 결산단신</t>
        </is>
      </c>
      <c r="C17" t="inlineStr">
        <is>
          <t>https://www2.jpx.co.jp/disc/61590/140120230711520462.pdf</t>
        </is>
      </c>
    </row>
    <row r="18">
      <c r="A18" t="inlineStr">
        <is>
          <t>2023-04-12</t>
        </is>
      </c>
      <c r="B18" t="inlineStr">
        <is>
          <t>2023년 8월 결산기 ２분기 결산단신</t>
        </is>
      </c>
      <c r="C18" t="inlineStr">
        <is>
          <t>https://www2.jpx.co.jp/disc/61590/140120230412545795.pdf</t>
        </is>
      </c>
    </row>
    <row r="19">
      <c r="A19" t="inlineStr">
        <is>
          <t>2023-01-13</t>
        </is>
      </c>
      <c r="B19" t="inlineStr">
        <is>
          <t>2023년 8월 결산기 １분기 결산단신</t>
        </is>
      </c>
      <c r="C19" t="inlineStr">
        <is>
          <t>https://www2.jpx.co.jp/disc/61590/140120230112588637.pdf</t>
        </is>
      </c>
    </row>
    <row r="20">
      <c r="A20" t="inlineStr">
        <is>
          <t>2022-10-12</t>
        </is>
      </c>
      <c r="B20" t="inlineStr">
        <is>
          <t>2022년 8월 결산기 연간 결산단신</t>
        </is>
      </c>
      <c r="C20" t="inlineStr">
        <is>
          <t>https://www2.jpx.co.jp/disc/61590/140120221012543111.pdf</t>
        </is>
      </c>
    </row>
    <row r="21">
      <c r="A21" t="inlineStr">
        <is>
          <t>2021-10-08</t>
        </is>
      </c>
      <c r="B21" t="inlineStr">
        <is>
          <t>2021년 8월 결산기 연간 결산단신</t>
        </is>
      </c>
      <c r="C21" t="inlineStr">
        <is>
          <t>https://www2.jpx.co.jp/disc/61590/140120211007408151.pdf</t>
        </is>
      </c>
    </row>
    <row r="22">
      <c r="A22" t="inlineStr">
        <is>
          <t>2020-10-09</t>
        </is>
      </c>
      <c r="B22" t="inlineStr">
        <is>
          <t>2020년 8월 결산기 연간 결산단신</t>
        </is>
      </c>
      <c r="C22" t="inlineStr">
        <is>
          <t>https://www2.jpx.co.jp/disc/61590/140120201008401284.pdf</t>
        </is>
      </c>
    </row>
    <row r="23">
      <c r="A23" t="inlineStr">
        <is>
          <t>2019-10-15</t>
        </is>
      </c>
      <c r="B23" t="inlineStr">
        <is>
          <t>2019년 8월 결산기 연간 결산단신</t>
        </is>
      </c>
      <c r="C23" t="inlineStr">
        <is>
          <t>https://www2.jpx.co.jp/disc/61590/140120191011407679.pdf</t>
        </is>
      </c>
    </row>
    <row r="24">
      <c r="A24" t="inlineStr">
        <is>
          <t>2018-10-10</t>
        </is>
      </c>
      <c r="B24" t="inlineStr">
        <is>
          <t>연간 결산단신</t>
        </is>
      </c>
      <c r="C24" t="inlineStr">
        <is>
          <t>https://www2.jpx.co.jp/disc/61590/140120181006415112.pdf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2026-10-28T10:05:18Z</dcterms:created>
  <dcterms:modified xmlns:dcterms="http://purl.org/dc/terms/" xmlns:xsi="http://www.w3.org/2001/XMLSchema-instance" xsi:type="dcterms:W3CDTF">2026-10-28T10:05:19Z</dcterms:modified>
</cp:coreProperties>
</file>