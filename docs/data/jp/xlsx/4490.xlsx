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섹터 데이터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비자스크 손익계산서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영업수익</t>
        </is>
      </c>
      <c r="C4" s="6" t="n">
        <v>6.8431</v>
      </c>
      <c r="D4" s="6" t="n">
        <v>18.3022</v>
      </c>
      <c r="E4" s="6" t="n">
        <v>19.6274</v>
      </c>
      <c r="F4" s="6" t="n">
        <v>21.7935</v>
      </c>
      <c r="G4" s="6" t="n">
        <v>21.6237</v>
      </c>
      <c r="H4" s="6" t="n">
        <v>20.7605</v>
      </c>
      <c r="I4" s="6" t="n">
        <v>21.3449</v>
      </c>
      <c r="J4" s="6" t="n">
        <v>21.8337</v>
      </c>
      <c r="K4" s="6" t="n">
        <v>23.1363</v>
      </c>
      <c r="L4" s="6" t="n">
        <v>23.362</v>
      </c>
      <c r="M4" s="6" t="n">
        <v>25.2098</v>
      </c>
      <c r="N4" s="6" t="n">
        <v>24.1468</v>
      </c>
      <c r="O4" s="6" t="n">
        <v>23.7307</v>
      </c>
      <c r="P4" s="6" t="n">
        <v>24.7223</v>
      </c>
      <c r="Q4" s="6" t="n">
        <v>24.4643</v>
      </c>
      <c r="R4" s="6" t="n">
        <v>23.2797</v>
      </c>
      <c r="S4" s="6" t="n">
        <v>25.1374</v>
      </c>
      <c r="T4" s="6" t="n">
        <v>26.8654</v>
      </c>
      <c r="U4" s="6" t="n">
        <v>27.5583</v>
      </c>
      <c r="V4" s="6" t="n">
        <v>28.0717</v>
      </c>
      <c r="W4" s="6" t="n">
        <v>6.142</v>
      </c>
      <c r="X4" s="6" t="n">
        <v>9.8398</v>
      </c>
      <c r="Y4" s="6" t="n">
        <v>16.0432</v>
      </c>
      <c r="Z4" s="6" t="n">
        <v>37.0246</v>
      </c>
      <c r="AA4" s="6" t="n">
        <v>83.8051</v>
      </c>
      <c r="AB4" s="6" t="n">
        <v>89.6769</v>
      </c>
      <c r="AC4" s="6" t="n">
        <v>97.8095</v>
      </c>
      <c r="AD4" s="6" t="n">
        <v>99.7467</v>
      </c>
      <c r="AE4" s="7" t="inlineStr">
        <is>
          <t>결산단신 XBRL(거래소 공시, TDnet·JPX 보관소). 쓴 문서: 2026-10-15, 2026-07-15, 2026-04-14, 2026-01-14 외 23건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10" t="inlineStr">
        <is>
          <t>임원 보수</t>
        </is>
      </c>
      <c r="C6" s="11" t="n">
        <v>0.1343</v>
      </c>
      <c r="D6" s="11" t="n">
        <v>0.2486</v>
      </c>
      <c r="E6" s="11" t="n">
        <v>0.2477</v>
      </c>
      <c r="F6" s="11" t="n">
        <v>0.2986</v>
      </c>
      <c r="G6" s="11" t="n">
        <v>0.329</v>
      </c>
      <c r="H6" s="11" t="n">
        <v>0.5567</v>
      </c>
      <c r="I6" s="11" t="n">
        <v>0.3332</v>
      </c>
      <c r="J6" s="11" t="n">
        <v>0.2551</v>
      </c>
      <c r="K6" s="11" t="n">
        <v>0.2327</v>
      </c>
      <c r="L6" s="11" t="n">
        <v>0.179</v>
      </c>
      <c r="M6" s="11" t="n">
        <v>0.1604</v>
      </c>
      <c r="N6" s="11" t="n">
        <v>0.08599999999999999</v>
      </c>
      <c r="O6" s="11" t="n">
        <v>0.07240000000000001</v>
      </c>
      <c r="P6" s="11" t="n">
        <v>0.0725</v>
      </c>
      <c r="Q6" s="11" t="n">
        <v>0.0725</v>
      </c>
      <c r="R6" s="11" t="n">
        <v>0.166</v>
      </c>
      <c r="S6" s="11" t="n">
        <v>0.166</v>
      </c>
      <c r="T6" s="11" t="n">
        <v>0.166</v>
      </c>
      <c r="U6" s="11" t="n">
        <v>0.166</v>
      </c>
      <c r="V6" s="11" t="n">
        <v>0.1695</v>
      </c>
      <c r="W6" s="11" t="n">
        <v>0.3231</v>
      </c>
      <c r="X6" s="11" t="n">
        <v>0.436</v>
      </c>
      <c r="Y6" s="11" t="n">
        <v>0.4845</v>
      </c>
      <c r="Z6" s="11" t="n">
        <v>0.6086</v>
      </c>
      <c r="AA6" s="11" t="n">
        <v>1.4321</v>
      </c>
      <c r="AB6" s="11" t="n">
        <v>1</v>
      </c>
      <c r="AC6" s="11" t="n">
        <v>0.3912</v>
      </c>
      <c r="AD6" s="11" t="n">
        <v>0.5705</v>
      </c>
    </row>
    <row r="7">
      <c r="A7" s="10" t="inlineStr">
        <is>
          <t>급여·수당</t>
        </is>
      </c>
      <c r="C7" s="11" t="n">
        <v>2.1592</v>
      </c>
      <c r="D7" s="11" t="n">
        <v>6.4231</v>
      </c>
      <c r="E7" s="11" t="n">
        <v>7.1993</v>
      </c>
      <c r="F7" s="11" t="n">
        <v>8.3019</v>
      </c>
      <c r="G7" s="11" t="n">
        <v>9.260300000000001</v>
      </c>
      <c r="H7" s="11" t="n">
        <v>9.0528</v>
      </c>
      <c r="I7" s="11" t="n">
        <v>9.0892</v>
      </c>
      <c r="J7" s="11" t="n">
        <v>9.1473</v>
      </c>
      <c r="K7" s="11" t="n">
        <v>9.8818</v>
      </c>
      <c r="L7" s="11" t="n">
        <v>9.710800000000001</v>
      </c>
      <c r="M7" s="11" t="n">
        <v>10.0074</v>
      </c>
      <c r="N7" s="11" t="n">
        <v>10.6651</v>
      </c>
      <c r="O7" s="11" t="n">
        <v>10.1841</v>
      </c>
      <c r="P7" s="11" t="n">
        <v>10.5553</v>
      </c>
      <c r="Q7" s="11" t="n">
        <v>10.2979</v>
      </c>
      <c r="R7" s="11" t="n">
        <v>10.0486</v>
      </c>
      <c r="S7" s="11" t="n">
        <v>10.2318</v>
      </c>
      <c r="T7" s="11" t="n">
        <v>10.3873</v>
      </c>
      <c r="U7" s="11" t="n">
        <v>10.8396</v>
      </c>
      <c r="V7" s="11" t="n">
        <v>11.1682</v>
      </c>
      <c r="W7" s="11" t="n">
        <v>2.4255</v>
      </c>
      <c r="X7" s="11" t="n">
        <v>3.9651</v>
      </c>
      <c r="Y7" s="11" t="n">
        <v>6.2096</v>
      </c>
      <c r="Z7" s="11" t="n">
        <v>12.5611</v>
      </c>
      <c r="AA7" s="11" t="n">
        <v>33.8143</v>
      </c>
      <c r="AB7" s="11" t="n">
        <v>37.8291</v>
      </c>
      <c r="AC7" s="11" t="n">
        <v>41.4118</v>
      </c>
      <c r="AD7" s="11" t="n">
        <v>40.9655</v>
      </c>
    </row>
    <row r="8">
      <c r="A8" s="10" t="inlineStr">
        <is>
          <t>상여충당금 전입</t>
        </is>
      </c>
      <c r="C8" s="11" t="n">
        <v>0.33</v>
      </c>
      <c r="D8" s="11" t="n">
        <v>0.5568</v>
      </c>
      <c r="E8" s="11" t="n">
        <v>1.4539</v>
      </c>
      <c r="F8" s="11" t="n">
        <v>1.2879</v>
      </c>
      <c r="G8" s="11" t="n">
        <v>0.6818</v>
      </c>
      <c r="H8" s="11" t="n">
        <v>-0.1116</v>
      </c>
      <c r="I8" s="11" t="n">
        <v>1.4202</v>
      </c>
      <c r="J8" s="11" t="n">
        <v>1.3761</v>
      </c>
      <c r="K8" s="11" t="n">
        <v>-0.07679999999999999</v>
      </c>
      <c r="L8" s="11" t="n">
        <v>2.0836</v>
      </c>
      <c r="M8" s="11" t="n">
        <v>1.7687</v>
      </c>
      <c r="N8" s="11" t="n">
        <v>1.7396</v>
      </c>
      <c r="O8" s="11" t="n">
        <v>1.4969</v>
      </c>
      <c r="P8" s="11" t="n">
        <v>0.1794</v>
      </c>
      <c r="Q8" s="11" t="n">
        <v>1.5645</v>
      </c>
      <c r="R8" s="11" t="n">
        <v>1.3055</v>
      </c>
      <c r="S8" s="11" t="n">
        <v>1.4457</v>
      </c>
      <c r="T8" s="11" t="n">
        <v>0.5765</v>
      </c>
      <c r="U8" s="11" t="n">
        <v>1.7775</v>
      </c>
      <c r="V8" s="11" t="n">
        <v>1.7145</v>
      </c>
      <c r="W8" s="11" t="n">
        <v>0</v>
      </c>
      <c r="X8" s="11" t="n">
        <v>0.0949</v>
      </c>
      <c r="Y8" s="11" t="n">
        <v>0.6139</v>
      </c>
      <c r="Z8" s="11" t="n">
        <v>1.6568</v>
      </c>
      <c r="AA8" s="11" t="n">
        <v>3.3119</v>
      </c>
      <c r="AB8" s="11" t="n">
        <v>4.803</v>
      </c>
      <c r="AC8" s="11" t="n">
        <v>5.1846</v>
      </c>
      <c r="AD8" s="11" t="n">
        <v>4.8921</v>
      </c>
    </row>
    <row r="9">
      <c r="A9" s="10" t="inlineStr">
        <is>
          <t>채용비</t>
        </is>
      </c>
      <c r="W9" s="11" t="n">
        <v>0.37</v>
      </c>
      <c r="X9" s="11" t="n">
        <v>0.4875</v>
      </c>
      <c r="Y9" s="11" t="n">
        <v>0.4682</v>
      </c>
      <c r="Z9" s="11" t="n">
        <v>0.7792</v>
      </c>
      <c r="AA9" s="11" t="n">
        <v>1.2465</v>
      </c>
      <c r="AB9" s="11" t="n">
        <v>1.4733</v>
      </c>
      <c r="AC9" s="11" t="n">
        <v>1.5087</v>
      </c>
      <c r="AD9" s="11" t="n">
        <v>1.5908</v>
      </c>
    </row>
    <row r="10">
      <c r="A10" s="10" t="inlineStr">
        <is>
          <t>광고선전비</t>
        </is>
      </c>
      <c r="W10" s="11" t="n">
        <v>0.3943</v>
      </c>
      <c r="X10" s="11" t="n">
        <v>0.4255</v>
      </c>
      <c r="Y10" s="11" t="n">
        <v>1.1397</v>
      </c>
      <c r="Z10" s="11" t="n">
        <v>1.8855</v>
      </c>
      <c r="AA10" s="11" t="n">
        <v>2.4184</v>
      </c>
      <c r="AB10" s="11" t="n">
        <v>2.2335</v>
      </c>
      <c r="AC10" s="11" t="n">
        <v>2.4202</v>
      </c>
      <c r="AD10" s="11" t="n">
        <v>2.6859</v>
      </c>
    </row>
    <row r="11">
      <c r="A11" s="10" t="inlineStr">
        <is>
          <t>지대·임차료</t>
        </is>
      </c>
      <c r="W11" s="11" t="n">
        <v>0.307</v>
      </c>
      <c r="X11" s="11" t="n">
        <v>0.4819</v>
      </c>
      <c r="Y11" s="11" t="n">
        <v>0.8905999999999999</v>
      </c>
      <c r="Z11" s="11" t="n">
        <v>1.1789</v>
      </c>
      <c r="AA11" s="11" t="n">
        <v>2.2668</v>
      </c>
      <c r="AB11" s="11" t="n">
        <v>2.4947</v>
      </c>
      <c r="AC11" s="11" t="n">
        <v>2.3717</v>
      </c>
      <c r="AD11" s="11" t="n">
        <v>2.1983</v>
      </c>
    </row>
    <row r="12">
      <c r="A12" s="10" t="inlineStr">
        <is>
          <t>통신비</t>
        </is>
      </c>
      <c r="W12" s="11" t="n">
        <v>0.2239</v>
      </c>
      <c r="X12" s="11" t="n">
        <v>0.3601</v>
      </c>
      <c r="Y12" s="11" t="n">
        <v>0.4563</v>
      </c>
    </row>
    <row r="13">
      <c r="A13" s="10" t="inlineStr">
        <is>
          <t>지급수수료</t>
        </is>
      </c>
      <c r="W13" s="11" t="n">
        <v>0.2955</v>
      </c>
      <c r="X13" s="11" t="n">
        <v>0.5182</v>
      </c>
      <c r="Y13" s="11" t="n">
        <v>0.9987</v>
      </c>
    </row>
    <row r="14">
      <c r="A14" s="10" t="inlineStr">
        <is>
          <t>지급보수</t>
        </is>
      </c>
      <c r="C14" s="11" t="n">
        <v>2.9001</v>
      </c>
      <c r="D14" s="11" t="n">
        <v>1.1273</v>
      </c>
      <c r="G14" s="11" t="n">
        <v>1.316</v>
      </c>
      <c r="H14" s="11" t="n">
        <v>1.5744</v>
      </c>
      <c r="I14" s="11" t="n">
        <v>0.6352</v>
      </c>
      <c r="J14" s="11" t="n">
        <v>0.9936</v>
      </c>
      <c r="K14" s="11" t="n">
        <v>2.6047</v>
      </c>
      <c r="L14" s="11" t="n">
        <v>-0.615</v>
      </c>
      <c r="M14" s="11" t="n">
        <v>1.0643</v>
      </c>
      <c r="N14" s="11" t="n">
        <v>1.1337</v>
      </c>
      <c r="O14" s="11" t="n">
        <v>0.8458</v>
      </c>
      <c r="P14" s="11" t="n">
        <v>1.0917</v>
      </c>
      <c r="Q14" s="11" t="n">
        <v>0.873</v>
      </c>
      <c r="R14" s="11" t="n">
        <v>0.9854000000000001</v>
      </c>
      <c r="S14" s="11" t="n">
        <v>0.8178</v>
      </c>
      <c r="T14" s="11" t="n">
        <v>1.1014</v>
      </c>
      <c r="U14" s="11" t="n">
        <v>0.8658</v>
      </c>
      <c r="V14" s="11" t="n">
        <v>1.2302</v>
      </c>
      <c r="W14" s="11" t="n">
        <v>0.4106</v>
      </c>
      <c r="X14" s="11" t="n">
        <v>0.5869</v>
      </c>
      <c r="Y14" s="11" t="n">
        <v>0.446</v>
      </c>
      <c r="Z14" s="11" t="n">
        <v>8.0909</v>
      </c>
      <c r="AA14" s="11" t="n">
        <v>4.9345</v>
      </c>
      <c r="AB14" s="11" t="n">
        <v>3.6184</v>
      </c>
      <c r="AC14" s="11" t="n">
        <v>4.1355</v>
      </c>
      <c r="AD14" s="11" t="n">
        <v>3.7777</v>
      </c>
    </row>
    <row r="15">
      <c r="A15" s="10" t="inlineStr">
        <is>
          <t>감가상각비</t>
        </is>
      </c>
      <c r="W15" s="11" t="n">
        <v>0.09320000000000001</v>
      </c>
      <c r="X15" s="11" t="n">
        <v>0.1561</v>
      </c>
      <c r="Y15" s="11" t="n">
        <v>0.183</v>
      </c>
      <c r="Z15" s="11" t="n">
        <v>1.6584</v>
      </c>
      <c r="AA15" s="11" t="n">
        <v>7.0825</v>
      </c>
      <c r="AB15" s="11" t="n">
        <v>8.186400000000001</v>
      </c>
      <c r="AC15" s="11" t="n">
        <v>0.5327</v>
      </c>
      <c r="AD15" s="11" t="n">
        <v>0.5187</v>
      </c>
    </row>
    <row r="16">
      <c r="A16" s="10" t="inlineStr">
        <is>
          <t>영업권 상각</t>
        </is>
      </c>
      <c r="Y16" s="11" t="n">
        <v>0</v>
      </c>
      <c r="Z16" s="11" t="n">
        <v>0.9035</v>
      </c>
      <c r="AA16" s="11" t="n">
        <v>4.1773</v>
      </c>
      <c r="AB16" s="11" t="n">
        <v>4.4675</v>
      </c>
      <c r="AC16" s="11" t="n">
        <v>0</v>
      </c>
    </row>
    <row r="17">
      <c r="A17" s="10" t="inlineStr">
        <is>
          <t>기타</t>
        </is>
      </c>
      <c r="W17" s="11" t="n">
        <v>1.0468</v>
      </c>
      <c r="X17" s="11" t="n">
        <v>1.6125</v>
      </c>
      <c r="Y17" s="11" t="n">
        <v>3.5231</v>
      </c>
      <c r="Z17" s="11" t="n">
        <v>8.826000000000001</v>
      </c>
      <c r="AA17" s="11" t="n">
        <v>23.0768</v>
      </c>
      <c r="AB17" s="11" t="n">
        <v>24.1623</v>
      </c>
      <c r="AC17" s="11" t="n">
        <v>27.5798</v>
      </c>
      <c r="AD17" s="11" t="n">
        <v>29.1357</v>
      </c>
    </row>
    <row r="18">
      <c r="A18" s="10" t="inlineStr">
        <is>
          <t>기타</t>
        </is>
      </c>
      <c r="C18" s="11" t="n">
        <v>2.8734</v>
      </c>
      <c r="E18" s="11" t="n">
        <v>10.2703</v>
      </c>
      <c r="F18" s="11" t="n">
        <v>8.8575</v>
      </c>
      <c r="G18" s="11" t="n">
        <v>10.6164</v>
      </c>
      <c r="I18" s="11" t="n">
        <v>10.6922</v>
      </c>
      <c r="J18" s="11" t="n">
        <v>10.5305</v>
      </c>
      <c r="K18" s="11" t="n">
        <v>10.7822</v>
      </c>
      <c r="M18" s="11" t="n">
        <v>8.3531</v>
      </c>
      <c r="N18" s="11" t="n">
        <v>8.552300000000001</v>
      </c>
      <c r="O18" s="11" t="n">
        <v>8.7575</v>
      </c>
      <c r="Q18" s="11" t="n">
        <v>8.8569</v>
      </c>
      <c r="R18" s="11" t="n">
        <v>8.5739</v>
      </c>
      <c r="S18" s="11" t="n">
        <v>8.7683</v>
      </c>
      <c r="U18" s="11" t="n">
        <v>9.664999999999999</v>
      </c>
      <c r="V18" s="11" t="n">
        <v>9.552199999999999</v>
      </c>
    </row>
    <row r="19">
      <c r="A19" s="10" t="inlineStr">
        <is>
          <t>영업비용 합계</t>
        </is>
      </c>
      <c r="C19" s="11" t="n">
        <v>8.397</v>
      </c>
      <c r="D19" s="11" t="n">
        <v>16.9056</v>
      </c>
      <c r="E19" s="11" t="n">
        <v>19.1711</v>
      </c>
      <c r="F19" s="11" t="n">
        <v>20.7899</v>
      </c>
      <c r="G19" s="11" t="n">
        <v>22.2034</v>
      </c>
      <c r="H19" s="11" t="n">
        <v>21.5966</v>
      </c>
      <c r="I19" s="11" t="n">
        <v>22.1699</v>
      </c>
      <c r="J19" s="11" t="n">
        <v>22.3025</v>
      </c>
      <c r="K19" s="11" t="n">
        <v>23.4246</v>
      </c>
      <c r="L19" s="11" t="n">
        <v>22.3714</v>
      </c>
      <c r="M19" s="11" t="n">
        <v>21.3539</v>
      </c>
      <c r="N19" s="11" t="n">
        <v>22.1766</v>
      </c>
      <c r="O19" s="11" t="n">
        <v>21.3567</v>
      </c>
      <c r="P19" s="11" t="n">
        <v>20.649</v>
      </c>
      <c r="Q19" s="11" t="n">
        <v>21.6648</v>
      </c>
      <c r="R19" s="11" t="n">
        <v>21.0795</v>
      </c>
      <c r="S19" s="11" t="n">
        <v>21.4297</v>
      </c>
      <c r="T19" s="11" t="n">
        <v>22.1614</v>
      </c>
      <c r="U19" s="11" t="n">
        <v>23.314</v>
      </c>
      <c r="V19" s="11" t="n">
        <v>23.8346</v>
      </c>
      <c r="W19" s="11" t="n">
        <v>5.8898</v>
      </c>
      <c r="X19" s="11" t="n">
        <v>9.124700000000001</v>
      </c>
      <c r="Y19" s="11" t="n">
        <v>13.9587</v>
      </c>
      <c r="Z19" s="11" t="n">
        <v>38.1489</v>
      </c>
      <c r="AA19" s="11" t="n">
        <v>83.7611</v>
      </c>
      <c r="AB19" s="11" t="n">
        <v>90.2684</v>
      </c>
      <c r="AC19" s="11" t="n">
        <v>85.53619999999999</v>
      </c>
      <c r="AD19" s="11" t="n">
        <v>86.3353</v>
      </c>
    </row>
    <row r="20">
      <c r="A20" s="5" t="inlineStr">
        <is>
          <t>영업이익</t>
        </is>
      </c>
      <c r="C20" s="6" t="n">
        <v>-1.5539</v>
      </c>
      <c r="D20" s="6" t="n">
        <v>1.3966</v>
      </c>
      <c r="E20" s="6" t="n">
        <v>0.4563</v>
      </c>
      <c r="F20" s="6" t="n">
        <v>1.0036</v>
      </c>
      <c r="G20" s="6" t="n">
        <v>-0.5797</v>
      </c>
      <c r="H20" s="6" t="n">
        <v>-0.8361</v>
      </c>
      <c r="I20" s="6" t="n">
        <v>-0.825</v>
      </c>
      <c r="J20" s="6" t="n">
        <v>-0.4688</v>
      </c>
      <c r="K20" s="6" t="n">
        <v>-0.2882</v>
      </c>
      <c r="L20" s="6" t="n">
        <v>0.9907</v>
      </c>
      <c r="M20" s="6" t="n">
        <v>3.8559</v>
      </c>
      <c r="N20" s="6" t="n">
        <v>1.9701</v>
      </c>
      <c r="O20" s="6" t="n">
        <v>2.374</v>
      </c>
      <c r="P20" s="6" t="n">
        <v>4.0733</v>
      </c>
      <c r="Q20" s="6" t="n">
        <v>2.7995</v>
      </c>
      <c r="R20" s="6" t="n">
        <v>2.2002</v>
      </c>
      <c r="S20" s="6" t="n">
        <v>3.7077</v>
      </c>
      <c r="T20" s="6" t="n">
        <v>4.704</v>
      </c>
      <c r="U20" s="6" t="n">
        <v>4.2443</v>
      </c>
      <c r="V20" s="6" t="n">
        <v>4.2371</v>
      </c>
      <c r="W20" s="6" t="n">
        <v>0.2522</v>
      </c>
      <c r="X20" s="6" t="n">
        <v>0.7151</v>
      </c>
      <c r="Y20" s="6" t="n">
        <v>2.0845</v>
      </c>
      <c r="Z20" s="6" t="n">
        <v>-1.1243</v>
      </c>
      <c r="AA20" s="6" t="n">
        <v>0.0441</v>
      </c>
      <c r="AB20" s="6" t="n">
        <v>-0.5915</v>
      </c>
      <c r="AC20" s="6" t="n">
        <v>12.2733</v>
      </c>
      <c r="AD20" s="6" t="n">
        <v>13.4114</v>
      </c>
    </row>
    <row r="21">
      <c r="A21" s="8" t="inlineStr">
        <is>
          <t>영업이익률</t>
        </is>
      </c>
      <c r="C21" s="9">
        <f>IF(OR(C20="",C4=""),"",IFERROR(C20/C4,""))</f>
        <v/>
      </c>
      <c r="D21" s="9">
        <f>IF(OR(D20="",D4=""),"",IFERROR(D20/D4,""))</f>
        <v/>
      </c>
      <c r="E21" s="9">
        <f>IF(OR(E20="",E4=""),"",IFERROR(E20/E4,""))</f>
        <v/>
      </c>
      <c r="F21" s="9">
        <f>IF(OR(F20="",F4=""),"",IFERROR(F20/F4,""))</f>
        <v/>
      </c>
      <c r="G21" s="9">
        <f>IF(OR(G20="",G4=""),"",IFERROR(G20/G4,""))</f>
        <v/>
      </c>
      <c r="H21" s="9">
        <f>IF(OR(H20="",H4=""),"",IFERROR(H20/H4,""))</f>
        <v/>
      </c>
      <c r="I21" s="9">
        <f>IF(OR(I20="",I4=""),"",IFERROR(I20/I4,""))</f>
        <v/>
      </c>
      <c r="J21" s="9">
        <f>IF(OR(J20="",J4=""),"",IFERROR(J20/J4,""))</f>
        <v/>
      </c>
      <c r="K21" s="9">
        <f>IF(OR(K20="",K4=""),"",IFERROR(K20/K4,""))</f>
        <v/>
      </c>
      <c r="L21" s="9">
        <f>IF(OR(L20="",L4=""),"",IFERROR(L20/L4,""))</f>
        <v/>
      </c>
      <c r="M21" s="9">
        <f>IF(OR(M20="",M4=""),"",IFERROR(M20/M4,""))</f>
        <v/>
      </c>
      <c r="N21" s="9">
        <f>IF(OR(N20="",N4=""),"",IFERROR(N20/N4,""))</f>
        <v/>
      </c>
      <c r="O21" s="9">
        <f>IF(OR(O20="",O4=""),"",IFERROR(O20/O4,""))</f>
        <v/>
      </c>
      <c r="P21" s="9">
        <f>IF(OR(P20="",P4=""),"",IFERROR(P20/P4,""))</f>
        <v/>
      </c>
      <c r="Q21" s="9">
        <f>IF(OR(Q20="",Q4=""),"",IFERROR(Q20/Q4,""))</f>
        <v/>
      </c>
      <c r="R21" s="9">
        <f>IF(OR(R20="",R4=""),"",IFERROR(R20/R4,""))</f>
        <v/>
      </c>
      <c r="S21" s="9">
        <f>IF(OR(S20="",S4=""),"",IFERROR(S20/S4,""))</f>
        <v/>
      </c>
      <c r="T21" s="9">
        <f>IF(OR(T20="",T4=""),"",IFERROR(T20/T4,""))</f>
        <v/>
      </c>
      <c r="U21" s="9">
        <f>IF(OR(U20="",U4=""),"",IFERROR(U20/U4,""))</f>
        <v/>
      </c>
      <c r="V21" s="9">
        <f>IF(OR(V20="",V4=""),"",IFERROR(V20/V4,""))</f>
        <v/>
      </c>
      <c r="W21" s="9">
        <f>IF(OR(W20="",W4=""),"",IFERROR(W20/W4,""))</f>
        <v/>
      </c>
      <c r="X21" s="9">
        <f>IF(OR(X20="",X4=""),"",IFERROR(X20/X4,""))</f>
        <v/>
      </c>
      <c r="Y21" s="9">
        <f>IF(OR(Y20="",Y4=""),"",IFERROR(Y20/Y4,""))</f>
        <v/>
      </c>
      <c r="Z21" s="9">
        <f>IF(OR(Z20="",Z4=""),"",IFERROR(Z20/Z4,""))</f>
        <v/>
      </c>
      <c r="AA21" s="9">
        <f>IF(OR(AA20="",AA4=""),"",IFERROR(AA20/AA4,""))</f>
        <v/>
      </c>
      <c r="AB21" s="9">
        <f>IF(OR(AB20="",AB4=""),"",IFERROR(AB20/AB4,""))</f>
        <v/>
      </c>
      <c r="AC21" s="9">
        <f>IF(OR(AC20="",AC4=""),"",IFERROR(AC20/AC4,""))</f>
        <v/>
      </c>
      <c r="AD21" s="9">
        <f>IF(OR(AD20="",AD4=""),"",IFERROR(AD20/AD4,""))</f>
        <v/>
      </c>
    </row>
    <row r="22">
      <c r="A22" s="8" t="inlineStr">
        <is>
          <t>YoY</t>
        </is>
      </c>
      <c r="G22" s="9">
        <f>IF(OR(G20="",C20=""),"",IFERROR(G20/C20-1,""))</f>
        <v/>
      </c>
      <c r="H22" s="9">
        <f>IF(OR(H20="",D20=""),"",IFERROR(H20/D20-1,""))</f>
        <v/>
      </c>
      <c r="I22" s="9">
        <f>IF(OR(I20="",E20=""),"",IFERROR(I20/E20-1,""))</f>
        <v/>
      </c>
      <c r="J22" s="9">
        <f>IF(OR(J20="",F20=""),"",IFERROR(J20/F20-1,""))</f>
        <v/>
      </c>
      <c r="K22" s="9">
        <f>IF(OR(K20="",G20=""),"",IFERROR(K20/G20-1,""))</f>
        <v/>
      </c>
      <c r="L22" s="9">
        <f>IF(OR(L20="",H20=""),"",IFERROR(L20/H20-1,""))</f>
        <v/>
      </c>
      <c r="M22" s="9">
        <f>IF(OR(M20="",I20=""),"",IFERROR(M20/I20-1,""))</f>
        <v/>
      </c>
      <c r="N22" s="9">
        <f>IF(OR(N20="",J20=""),"",IFERROR(N20/J20-1,""))</f>
        <v/>
      </c>
      <c r="O22" s="9">
        <f>IF(OR(O20="",K20=""),"",IFERROR(O20/K20-1,""))</f>
        <v/>
      </c>
      <c r="P22" s="9">
        <f>IF(OR(P20="",L20=""),"",IFERROR(P20/L20-1,""))</f>
        <v/>
      </c>
      <c r="Q22" s="9">
        <f>IF(OR(Q20="",M20=""),"",IFERROR(Q20/M20-1,""))</f>
        <v/>
      </c>
      <c r="R22" s="9">
        <f>IF(OR(R20="",N20=""),"",IFERROR(R20/N20-1,""))</f>
        <v/>
      </c>
      <c r="S22" s="9">
        <f>IF(OR(S20="",O20=""),"",IFERROR(S20/O20-1,""))</f>
        <v/>
      </c>
      <c r="T22" s="9">
        <f>IF(OR(T20="",P20=""),"",IFERROR(T20/P20-1,""))</f>
        <v/>
      </c>
      <c r="U22" s="9">
        <f>IF(OR(U20="",Q20=""),"",IFERROR(U20/Q20-1,""))</f>
        <v/>
      </c>
      <c r="V22" s="9">
        <f>IF(OR(V20="",R20=""),"",IFERROR(V20/R20-1,""))</f>
        <v/>
      </c>
      <c r="X22" s="9">
        <f>IF(OR(X20="",W20=""),"",IFERROR(X20/W20-1,""))</f>
        <v/>
      </c>
      <c r="Y22" s="9">
        <f>IF(OR(Y20="",X20=""),"",IFERROR(Y20/X20-1,""))</f>
        <v/>
      </c>
      <c r="Z22" s="9">
        <f>IF(OR(Z20="",Y20=""),"",IFERROR(Z20/Y20-1,""))</f>
        <v/>
      </c>
      <c r="AA22" s="9">
        <f>IF(OR(AA20="",Z20=""),"",IFERROR(AA20/Z20-1,""))</f>
        <v/>
      </c>
      <c r="AB22" s="9">
        <f>IF(OR(AB20="",AA20=""),"",IFERROR(AB20/AA20-1,""))</f>
        <v/>
      </c>
      <c r="AC22" s="9">
        <f>IF(OR(AC20="",AB20=""),"",IFERROR(AC20/AB20-1,""))</f>
        <v/>
      </c>
      <c r="AD22" s="9">
        <f>IF(OR(AD20="",AC20=""),"",IFERROR(AD20/AC20-1,""))</f>
        <v/>
      </c>
    </row>
    <row r="23">
      <c r="A23" s="10" t="inlineStr">
        <is>
          <t>이자수익</t>
        </is>
      </c>
      <c r="C23" s="11" t="n">
        <v>0</v>
      </c>
      <c r="D23" s="11" t="n">
        <v>0.0001</v>
      </c>
      <c r="E23" s="11" t="n">
        <v>0</v>
      </c>
      <c r="F23" s="11" t="n">
        <v>0.0001</v>
      </c>
      <c r="G23" s="11" t="n">
        <v>0.0001</v>
      </c>
      <c r="H23" s="11" t="n">
        <v>0.0001</v>
      </c>
      <c r="I23" s="11" t="n">
        <v>0.0001</v>
      </c>
      <c r="J23" s="11" t="n">
        <v>0.0001</v>
      </c>
      <c r="K23" s="11" t="n">
        <v>0.0001</v>
      </c>
      <c r="L23" s="11" t="n">
        <v>0.0002</v>
      </c>
      <c r="M23" s="11" t="n">
        <v>0.0001</v>
      </c>
      <c r="N23" s="11" t="n">
        <v>0.0013</v>
      </c>
      <c r="O23" s="11" t="n">
        <v>0.004</v>
      </c>
      <c r="P23" s="11" t="n">
        <v>0.0053</v>
      </c>
      <c r="Q23" s="11" t="n">
        <v>0.0141</v>
      </c>
      <c r="R23" s="11" t="n">
        <v>0.0152</v>
      </c>
      <c r="S23" s="11" t="n">
        <v>0.0239</v>
      </c>
      <c r="T23" s="11" t="n">
        <v>0.0313</v>
      </c>
      <c r="U23" s="11" t="n">
        <v>0.0305</v>
      </c>
      <c r="V23" s="11" t="n">
        <v>0.0455</v>
      </c>
      <c r="W23" s="11" t="n">
        <v>0.0001</v>
      </c>
      <c r="X23" s="11" t="n">
        <v>0.0003</v>
      </c>
      <c r="Y23" s="11" t="n">
        <v>0.0002</v>
      </c>
      <c r="Z23" s="11" t="n">
        <v>0.0002</v>
      </c>
      <c r="AA23" s="11" t="n">
        <v>0.0003</v>
      </c>
      <c r="AB23" s="11" t="n">
        <v>0.0005</v>
      </c>
      <c r="AC23" s="11" t="n">
        <v>0.0106</v>
      </c>
      <c r="AD23" s="11" t="n">
        <v>0.08450000000000001</v>
      </c>
    </row>
    <row r="24">
      <c r="A24" s="10" t="inlineStr">
        <is>
          <t>보조금 수입</t>
        </is>
      </c>
      <c r="C24" s="11" t="n">
        <v>0.0279</v>
      </c>
      <c r="D24" s="11" t="n">
        <v>0.0245</v>
      </c>
      <c r="E24" s="11" t="n">
        <v>0.0237</v>
      </c>
      <c r="F24" s="11" t="n">
        <v>0.0226</v>
      </c>
      <c r="G24" s="11" t="n">
        <v>0.0014</v>
      </c>
      <c r="H24" s="11" t="n">
        <v>0.004</v>
      </c>
      <c r="I24" s="11" t="n">
        <v>0.003</v>
      </c>
      <c r="J24" s="11" t="n">
        <v>0.0009</v>
      </c>
      <c r="K24" s="11" t="n">
        <v>0.9688</v>
      </c>
      <c r="L24" s="11" t="n">
        <v>0.0172</v>
      </c>
      <c r="M24" s="11" t="n">
        <v>0.0033</v>
      </c>
      <c r="N24" s="11" t="n">
        <v>0.0225</v>
      </c>
      <c r="O24" s="11" t="n">
        <v>0.0004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Y24" s="11" t="n">
        <v>0.0185</v>
      </c>
      <c r="Z24" s="11" t="n">
        <v>0.06710000000000001</v>
      </c>
      <c r="AA24" s="11" t="n">
        <v>0.0515</v>
      </c>
      <c r="AB24" s="11" t="n">
        <v>0.9899</v>
      </c>
      <c r="AC24" s="11" t="n">
        <v>0.0262</v>
      </c>
      <c r="AD24" s="11" t="n">
        <v>0</v>
      </c>
    </row>
    <row r="25">
      <c r="A25" s="10" t="inlineStr">
        <is>
          <t>보험금 수익</t>
        </is>
      </c>
      <c r="H25" s="11" t="n">
        <v>0</v>
      </c>
      <c r="L25" s="11" t="n">
        <v>0.0055</v>
      </c>
      <c r="P25" s="11" t="n">
        <v>0</v>
      </c>
      <c r="AA25" s="11" t="n">
        <v>0</v>
      </c>
      <c r="AB25" s="11" t="n">
        <v>0.313</v>
      </c>
      <c r="AC25" s="11" t="n">
        <v>0</v>
      </c>
    </row>
    <row r="26">
      <c r="A26" s="10" t="inlineStr">
        <is>
          <t>채무 환입이익</t>
        </is>
      </c>
      <c r="AC26" s="11" t="n">
        <v>0</v>
      </c>
      <c r="AD26" s="11" t="n">
        <v>0.2566</v>
      </c>
    </row>
    <row r="27">
      <c r="A27" s="10" t="inlineStr">
        <is>
          <t>환급금 수익</t>
        </is>
      </c>
      <c r="AA27" s="11" t="n">
        <v>0</v>
      </c>
      <c r="AB27" s="11" t="n">
        <v>0.5969</v>
      </c>
      <c r="AC27" s="11" t="n">
        <v>0.373</v>
      </c>
      <c r="AD27" s="11" t="n">
        <v>0.4662</v>
      </c>
    </row>
    <row r="28">
      <c r="A28" s="10" t="inlineStr">
        <is>
          <t>임대료 수익</t>
        </is>
      </c>
      <c r="C28" s="11" t="n">
        <v>0.0072</v>
      </c>
      <c r="D28" s="11" t="n">
        <v>0.017</v>
      </c>
      <c r="E28" s="11" t="n">
        <v>0.0276</v>
      </c>
      <c r="F28" s="11" t="n">
        <v>0.0302</v>
      </c>
      <c r="G28" s="11" t="n">
        <v>0.0368</v>
      </c>
      <c r="H28" s="11" t="n">
        <v>0.0384</v>
      </c>
      <c r="I28" s="11" t="n">
        <v>0.0493</v>
      </c>
      <c r="J28" s="11" t="n">
        <v>0.0552</v>
      </c>
      <c r="K28" s="11" t="n">
        <v>0.056</v>
      </c>
      <c r="L28" s="11" t="n">
        <v>0.07630000000000001</v>
      </c>
      <c r="M28" s="11" t="n">
        <v>0.06510000000000001</v>
      </c>
      <c r="N28" s="11" t="n">
        <v>0.0693</v>
      </c>
      <c r="O28" s="11" t="n">
        <v>0.0796</v>
      </c>
      <c r="P28" s="11" t="n">
        <v>0.083</v>
      </c>
      <c r="Q28" s="11" t="n">
        <v>0.0916</v>
      </c>
      <c r="R28" s="11" t="n">
        <v>0.0939</v>
      </c>
      <c r="S28" s="11" t="n">
        <v>0.09669999999999999</v>
      </c>
      <c r="T28" s="11" t="n">
        <v>0.1006</v>
      </c>
      <c r="U28" s="11" t="n">
        <v>0.08740000000000001</v>
      </c>
      <c r="V28" s="11" t="n">
        <v>0.09660000000000001</v>
      </c>
      <c r="Y28" s="11" t="n">
        <v>0.0005999999999999999</v>
      </c>
      <c r="Z28" s="11" t="n">
        <v>0.0305</v>
      </c>
      <c r="AA28" s="11" t="n">
        <v>0.133</v>
      </c>
      <c r="AB28" s="11" t="n">
        <v>0.2367</v>
      </c>
      <c r="AC28" s="11" t="n">
        <v>0.297</v>
      </c>
      <c r="AD28" s="11" t="n">
        <v>0.3827</v>
      </c>
    </row>
    <row r="29">
      <c r="A29" s="10" t="inlineStr">
        <is>
          <t>채무 환입이익</t>
        </is>
      </c>
      <c r="Q29" s="11" t="n">
        <v>0</v>
      </c>
      <c r="U29" s="11" t="n">
        <v>0.06710000000000001</v>
      </c>
    </row>
    <row r="30">
      <c r="A30" s="10" t="inlineStr">
        <is>
          <t>환급금 수익</t>
        </is>
      </c>
      <c r="I30" s="11" t="n">
        <v>0</v>
      </c>
      <c r="M30" s="11" t="n">
        <v>0.3629</v>
      </c>
      <c r="Q30" s="11" t="n">
        <v>0.0022</v>
      </c>
      <c r="U30" s="11" t="n">
        <v>0.0008</v>
      </c>
    </row>
    <row r="31">
      <c r="A31" s="10" t="inlineStr">
        <is>
          <t>외환차익</t>
        </is>
      </c>
      <c r="C31" s="11" t="n">
        <v>0.0324</v>
      </c>
      <c r="E31" s="11" t="n">
        <v>0.06809999999999999</v>
      </c>
      <c r="F31" s="11" t="n">
        <v>-0.06809999999999999</v>
      </c>
      <c r="G31" s="11" t="n">
        <v>0</v>
      </c>
      <c r="I31" s="11" t="n">
        <v>0</v>
      </c>
      <c r="M31" s="11" t="n">
        <v>0</v>
      </c>
      <c r="N31" s="11" t="n">
        <v>0</v>
      </c>
      <c r="Q31" s="11" t="n">
        <v>0.2337</v>
      </c>
      <c r="R31" s="11" t="n">
        <v>-0.1593</v>
      </c>
      <c r="U31" s="11" t="n">
        <v>0</v>
      </c>
      <c r="V31" s="11" t="n">
        <v>0</v>
      </c>
      <c r="W31" s="11" t="n">
        <v>0.0032</v>
      </c>
      <c r="X31" s="11" t="n">
        <v>0</v>
      </c>
    </row>
    <row r="32">
      <c r="A32" s="10" t="inlineStr">
        <is>
          <t>기타</t>
        </is>
      </c>
      <c r="C32" s="11" t="n">
        <v>0.0072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0.0005</v>
      </c>
      <c r="K32" s="11" t="n">
        <v>0.0286</v>
      </c>
      <c r="L32" s="11" t="n">
        <v>0.0534</v>
      </c>
      <c r="M32" s="11" t="n">
        <v>0.0306</v>
      </c>
      <c r="N32" s="11" t="n">
        <v>0.0234</v>
      </c>
      <c r="O32" s="11" t="n">
        <v>0.0068</v>
      </c>
      <c r="P32" s="11" t="n">
        <v>-0.0521</v>
      </c>
      <c r="Q32" s="11" t="n">
        <v>0.0301</v>
      </c>
      <c r="R32" s="11" t="n">
        <v>0.0313</v>
      </c>
      <c r="S32" s="11" t="n">
        <v>0.0009</v>
      </c>
      <c r="T32" s="11" t="n">
        <v>0.0499</v>
      </c>
      <c r="U32" s="11" t="n">
        <v>0.0315</v>
      </c>
      <c r="V32" s="11" t="n">
        <v>0.0263</v>
      </c>
      <c r="W32" s="11" t="n">
        <v>0.0002</v>
      </c>
      <c r="X32" s="11" t="n">
        <v>0.0005999999999999999</v>
      </c>
      <c r="Y32" s="11" t="n">
        <v>0.0005999999999999999</v>
      </c>
      <c r="AA32" s="11" t="n">
        <v>0</v>
      </c>
      <c r="AB32" s="11" t="n">
        <v>0.0825</v>
      </c>
      <c r="AC32" s="11" t="n">
        <v>0.008699999999999999</v>
      </c>
      <c r="AD32" s="11" t="n">
        <v>0.1122</v>
      </c>
    </row>
    <row r="33">
      <c r="A33" s="5" t="inlineStr">
        <is>
          <t>영업외수익 합계</t>
        </is>
      </c>
      <c r="C33" s="6" t="n">
        <v>0.0674</v>
      </c>
      <c r="D33" s="6" t="n">
        <v>-0.0018</v>
      </c>
      <c r="E33" s="6" t="n">
        <v>0.1195</v>
      </c>
      <c r="F33" s="6" t="n">
        <v>-0.0152</v>
      </c>
      <c r="G33" s="6" t="n">
        <v>0.0382</v>
      </c>
      <c r="H33" s="6" t="n">
        <v>0.0424</v>
      </c>
      <c r="I33" s="6" t="n">
        <v>0.0523</v>
      </c>
      <c r="J33" s="6" t="n">
        <v>0.0568</v>
      </c>
      <c r="K33" s="6" t="n">
        <v>1.361</v>
      </c>
      <c r="L33" s="6" t="n">
        <v>0.7495000000000001</v>
      </c>
      <c r="M33" s="6" t="n">
        <v>0.4619</v>
      </c>
      <c r="N33" s="6" t="n">
        <v>0.1275</v>
      </c>
      <c r="O33" s="6" t="n">
        <v>0.0823</v>
      </c>
      <c r="P33" s="6" t="n">
        <v>0.044</v>
      </c>
      <c r="Q33" s="6" t="n">
        <v>0.3718</v>
      </c>
      <c r="R33" s="6" t="n">
        <v>-0.019</v>
      </c>
      <c r="S33" s="6" t="n">
        <v>0.5064</v>
      </c>
      <c r="T33" s="6" t="n">
        <v>0.443</v>
      </c>
      <c r="U33" s="6" t="n">
        <v>0.2173</v>
      </c>
      <c r="V33" s="6" t="n">
        <v>0.169</v>
      </c>
      <c r="W33" s="6" t="n">
        <v>0.0035</v>
      </c>
      <c r="X33" s="6" t="n">
        <v>0.0009</v>
      </c>
      <c r="Y33" s="6" t="n">
        <v>0.0193</v>
      </c>
      <c r="Z33" s="6" t="n">
        <v>0.0979</v>
      </c>
      <c r="AA33" s="6" t="n">
        <v>0.1848</v>
      </c>
      <c r="AB33" s="6" t="n">
        <v>2.2195</v>
      </c>
      <c r="AC33" s="6" t="n">
        <v>0.7157</v>
      </c>
      <c r="AD33" s="6" t="n">
        <v>1.3022</v>
      </c>
    </row>
    <row r="34">
      <c r="A34" s="10" t="inlineStr">
        <is>
          <t>이자비용</t>
        </is>
      </c>
      <c r="C34" s="11" t="n">
        <v>0.0626</v>
      </c>
      <c r="D34" s="11" t="n">
        <v>0.1162</v>
      </c>
      <c r="E34" s="11" t="n">
        <v>0.1264</v>
      </c>
      <c r="F34" s="11" t="n">
        <v>0.1185</v>
      </c>
      <c r="G34" s="11" t="n">
        <v>0.1141</v>
      </c>
      <c r="H34" s="11" t="n">
        <v>0.1021</v>
      </c>
      <c r="I34" s="11" t="n">
        <v>0.0901</v>
      </c>
      <c r="J34" s="11" t="n">
        <v>0.102</v>
      </c>
      <c r="K34" s="11" t="n">
        <v>0.0895</v>
      </c>
      <c r="L34" s="11" t="n">
        <v>0.0897</v>
      </c>
      <c r="M34" s="11" t="n">
        <v>0.0951</v>
      </c>
      <c r="N34" s="11" t="n">
        <v>0.103</v>
      </c>
      <c r="O34" s="11" t="n">
        <v>0.1112</v>
      </c>
      <c r="P34" s="11" t="n">
        <v>0.1274</v>
      </c>
      <c r="Q34" s="11" t="n">
        <v>0.1404</v>
      </c>
      <c r="R34" s="11" t="n">
        <v>0.1351</v>
      </c>
      <c r="S34" s="11" t="n">
        <v>0.1274</v>
      </c>
      <c r="T34" s="11" t="n">
        <v>0.127</v>
      </c>
      <c r="U34" s="11" t="n">
        <v>0.1395</v>
      </c>
      <c r="V34" s="11" t="n">
        <v>0.1151</v>
      </c>
      <c r="W34" s="11" t="n">
        <v>0.015</v>
      </c>
      <c r="X34" s="11" t="n">
        <v>0.0332</v>
      </c>
      <c r="Y34" s="11" t="n">
        <v>0.0848</v>
      </c>
      <c r="Z34" s="11" t="n">
        <v>0.2212</v>
      </c>
      <c r="AA34" s="11" t="n">
        <v>0.4611</v>
      </c>
      <c r="AB34" s="11" t="n">
        <v>0.3713</v>
      </c>
      <c r="AC34" s="11" t="n">
        <v>0.4367</v>
      </c>
      <c r="AD34" s="11" t="n">
        <v>0.5298</v>
      </c>
    </row>
    <row r="35">
      <c r="A35" s="10" t="inlineStr">
        <is>
          <t>외환차손</t>
        </is>
      </c>
      <c r="C35" s="11" t="n">
        <v>0</v>
      </c>
      <c r="D35" s="11" t="n">
        <v>0.0202</v>
      </c>
      <c r="E35" s="11" t="n">
        <v>0</v>
      </c>
      <c r="F35" s="11" t="n">
        <v>0.2609</v>
      </c>
      <c r="G35" s="11" t="n">
        <v>0.028</v>
      </c>
      <c r="H35" s="11" t="n">
        <v>-0.0153</v>
      </c>
      <c r="I35" s="11" t="n">
        <v>0.0557</v>
      </c>
      <c r="J35" s="11" t="n">
        <v>0.0316</v>
      </c>
      <c r="K35" s="11" t="n">
        <v>0.0203</v>
      </c>
      <c r="L35" s="11" t="n">
        <v>0.0234</v>
      </c>
      <c r="M35" s="11" t="n">
        <v>0.0255</v>
      </c>
      <c r="N35" s="11" t="n">
        <v>0.0856</v>
      </c>
      <c r="O35" s="11" t="n">
        <v>-0.0137</v>
      </c>
      <c r="P35" s="11" t="n">
        <v>-0.0859</v>
      </c>
      <c r="Q35" s="11" t="n">
        <v>0</v>
      </c>
      <c r="R35" s="11" t="n">
        <v>0</v>
      </c>
      <c r="S35" s="11" t="n">
        <v>0.07729999999999999</v>
      </c>
      <c r="T35" s="11" t="n">
        <v>-0.0133</v>
      </c>
      <c r="U35" s="11" t="n">
        <v>0.1042</v>
      </c>
      <c r="V35" s="11" t="n">
        <v>0.0027</v>
      </c>
      <c r="W35" s="11" t="n">
        <v>0</v>
      </c>
      <c r="X35" s="11" t="n">
        <v>0.0019</v>
      </c>
      <c r="Y35" s="11" t="n">
        <v>0.026</v>
      </c>
      <c r="Z35" s="11" t="n">
        <v>0.0202</v>
      </c>
      <c r="AA35" s="11" t="n">
        <v>0.2736</v>
      </c>
      <c r="AB35" s="11" t="n">
        <v>0.1309</v>
      </c>
      <c r="AC35" s="11" t="n">
        <v>0.0115</v>
      </c>
      <c r="AD35" s="11" t="n">
        <v>0.064</v>
      </c>
    </row>
    <row r="36">
      <c r="A36" s="10" t="inlineStr">
        <is>
          <t>상장 관련 비용</t>
        </is>
      </c>
      <c r="W36" s="11" t="n">
        <v>0</v>
      </c>
      <c r="X36" s="11" t="n">
        <v>0.1084</v>
      </c>
    </row>
    <row r="37">
      <c r="A37" s="10" t="inlineStr">
        <is>
          <t>상장 관련 비용</t>
        </is>
      </c>
      <c r="C37" s="11" t="n">
        <v>0</v>
      </c>
      <c r="D37" s="11" t="n">
        <v>0</v>
      </c>
      <c r="Y37" s="11" t="n">
        <v>0.0198</v>
      </c>
      <c r="Z37" s="11" t="n">
        <v>0</v>
      </c>
    </row>
    <row r="38">
      <c r="A38" s="10" t="inlineStr">
        <is>
          <t>자금조달비용</t>
        </is>
      </c>
      <c r="C38" s="11" t="n">
        <v>2.1059</v>
      </c>
      <c r="D38" s="11" t="n">
        <v>0</v>
      </c>
      <c r="G38" s="11" t="n">
        <v>0</v>
      </c>
      <c r="H38" s="11" t="n">
        <v>0</v>
      </c>
      <c r="Y38" s="11" t="n">
        <v>0</v>
      </c>
      <c r="Z38" s="11" t="n">
        <v>2.6168</v>
      </c>
      <c r="AA38" s="11" t="n">
        <v>0</v>
      </c>
    </row>
    <row r="39">
      <c r="A39" s="10" t="inlineStr">
        <is>
          <t>판매세 반환손실</t>
        </is>
      </c>
      <c r="I39" s="11" t="n">
        <v>0</v>
      </c>
      <c r="M39" s="11" t="n">
        <v>0.4105</v>
      </c>
      <c r="Q39" s="11" t="n">
        <v>0</v>
      </c>
    </row>
    <row r="40">
      <c r="A40" s="10" t="inlineStr">
        <is>
          <t>판매세 반환손실</t>
        </is>
      </c>
      <c r="AB40" s="11" t="n">
        <v>0</v>
      </c>
      <c r="AC40" s="11" t="n">
        <v>0.4185</v>
      </c>
      <c r="AD40" s="11" t="n">
        <v>0</v>
      </c>
    </row>
    <row r="41">
      <c r="A41" s="10" t="inlineStr">
        <is>
          <t>잡손실</t>
        </is>
      </c>
      <c r="AC41" s="11" t="n">
        <v>0</v>
      </c>
      <c r="AD41" s="11" t="n">
        <v>0.0756</v>
      </c>
    </row>
    <row r="42">
      <c r="A42" s="10" t="inlineStr">
        <is>
          <t>기타</t>
        </is>
      </c>
      <c r="C42" s="11" t="n">
        <v>0</v>
      </c>
      <c r="D42" s="11" t="n">
        <v>0.013</v>
      </c>
      <c r="E42" s="11" t="n">
        <v>0</v>
      </c>
      <c r="F42" s="11" t="n">
        <v>0.0001</v>
      </c>
      <c r="G42" s="11" t="n">
        <v>0</v>
      </c>
      <c r="H42" s="11" t="n">
        <v>0.0059</v>
      </c>
      <c r="I42" s="11" t="n">
        <v>0.0016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0.0002</v>
      </c>
      <c r="O42" s="11" t="n">
        <v>0.0001</v>
      </c>
      <c r="P42" s="11" t="n">
        <v>0.0035</v>
      </c>
      <c r="Q42" s="11" t="n">
        <v>0.0392</v>
      </c>
      <c r="R42" s="11" t="n">
        <v>-0.001</v>
      </c>
      <c r="S42" s="11" t="n">
        <v>0.0331</v>
      </c>
      <c r="T42" s="11" t="n">
        <v>-0.0711</v>
      </c>
      <c r="U42" s="11" t="n">
        <v>0.0013</v>
      </c>
      <c r="V42" s="11" t="n">
        <v>0</v>
      </c>
      <c r="W42" s="11" t="n">
        <v>0</v>
      </c>
      <c r="X42" s="11" t="n">
        <v>0</v>
      </c>
      <c r="Y42" s="11" t="n">
        <v>0.0008</v>
      </c>
      <c r="Z42" s="11" t="n">
        <v>0.013</v>
      </c>
      <c r="AA42" s="11" t="n">
        <v>0.0059</v>
      </c>
      <c r="AB42" s="11" t="n">
        <v>0.0017</v>
      </c>
      <c r="AC42" s="11" t="n">
        <v>0.0038</v>
      </c>
      <c r="AD42" s="11" t="n">
        <v>0.0002</v>
      </c>
    </row>
    <row r="43">
      <c r="A43" s="10" t="inlineStr">
        <is>
          <t>영업외비용 합계</t>
        </is>
      </c>
      <c r="C43" s="11" t="n">
        <v>2.1685</v>
      </c>
      <c r="D43" s="11" t="n">
        <v>0.1494</v>
      </c>
      <c r="E43" s="11" t="n">
        <v>0.1264</v>
      </c>
      <c r="F43" s="11" t="n">
        <v>0.3795</v>
      </c>
      <c r="G43" s="11" t="n">
        <v>0.1421</v>
      </c>
      <c r="H43" s="11" t="n">
        <v>0.0926</v>
      </c>
      <c r="I43" s="11" t="n">
        <v>0.1474</v>
      </c>
      <c r="J43" s="11" t="n">
        <v>0.1336</v>
      </c>
      <c r="K43" s="11" t="n">
        <v>0.1098</v>
      </c>
      <c r="L43" s="11" t="n">
        <v>0.1131</v>
      </c>
      <c r="M43" s="11" t="n">
        <v>0.5311</v>
      </c>
      <c r="N43" s="11" t="n">
        <v>0.1987</v>
      </c>
      <c r="O43" s="11" t="n">
        <v>0.0949</v>
      </c>
      <c r="P43" s="11" t="n">
        <v>0.0458</v>
      </c>
      <c r="Q43" s="11" t="n">
        <v>0.1796</v>
      </c>
      <c r="R43" s="11" t="n">
        <v>0.134</v>
      </c>
      <c r="S43" s="11" t="n">
        <v>0.2378</v>
      </c>
      <c r="T43" s="11" t="n">
        <v>0.1181</v>
      </c>
      <c r="U43" s="11" t="n">
        <v>0.245</v>
      </c>
      <c r="V43" s="11" t="n">
        <v>0.1178</v>
      </c>
      <c r="W43" s="11" t="n">
        <v>0.015</v>
      </c>
      <c r="X43" s="11" t="n">
        <v>0.1435</v>
      </c>
      <c r="Y43" s="11" t="n">
        <v>0.1315</v>
      </c>
      <c r="Z43" s="11" t="n">
        <v>2.8712</v>
      </c>
      <c r="AA43" s="11" t="n">
        <v>0.7406</v>
      </c>
      <c r="AB43" s="11" t="n">
        <v>0.5039</v>
      </c>
      <c r="AC43" s="11" t="n">
        <v>0.8704</v>
      </c>
      <c r="AD43" s="11" t="n">
        <v>0.6696</v>
      </c>
    </row>
    <row r="44">
      <c r="A44" s="5" t="inlineStr">
        <is>
          <t>경상이익</t>
        </is>
      </c>
      <c r="C44" s="6" t="n">
        <v>-3.6549</v>
      </c>
      <c r="D44" s="6" t="n">
        <v>1.2454</v>
      </c>
      <c r="E44" s="6" t="n">
        <v>0.4494</v>
      </c>
      <c r="F44" s="6" t="n">
        <v>0.6088</v>
      </c>
      <c r="G44" s="6" t="n">
        <v>-0.6836</v>
      </c>
      <c r="H44" s="6" t="n">
        <v>-0.8863</v>
      </c>
      <c r="I44" s="6" t="n">
        <v>-0.9202</v>
      </c>
      <c r="J44" s="6" t="n">
        <v>-0.5456</v>
      </c>
      <c r="K44" s="6" t="n">
        <v>0.963</v>
      </c>
      <c r="L44" s="6" t="n">
        <v>1.627</v>
      </c>
      <c r="M44" s="6" t="n">
        <v>3.7867</v>
      </c>
      <c r="N44" s="6" t="n">
        <v>1.8989</v>
      </c>
      <c r="O44" s="6" t="n">
        <v>2.3614</v>
      </c>
      <c r="P44" s="6" t="n">
        <v>4.0715</v>
      </c>
      <c r="Q44" s="6" t="n">
        <v>2.9917</v>
      </c>
      <c r="R44" s="6" t="n">
        <v>2.0471</v>
      </c>
      <c r="S44" s="6" t="n">
        <v>3.9763</v>
      </c>
      <c r="T44" s="6" t="n">
        <v>5.0289</v>
      </c>
      <c r="U44" s="6" t="n">
        <v>4.2166</v>
      </c>
      <c r="V44" s="6" t="n">
        <v>4.2883</v>
      </c>
      <c r="W44" s="6" t="n">
        <v>0.2407</v>
      </c>
      <c r="X44" s="6" t="n">
        <v>0.5725</v>
      </c>
      <c r="Y44" s="6" t="n">
        <v>1.9723</v>
      </c>
      <c r="Z44" s="6" t="n">
        <v>-3.8976</v>
      </c>
      <c r="AA44" s="6" t="n">
        <v>-0.5117</v>
      </c>
      <c r="AB44" s="6" t="n">
        <v>1.1242</v>
      </c>
      <c r="AC44" s="6" t="n">
        <v>12.1185</v>
      </c>
      <c r="AD44" s="6" t="n">
        <v>14.044</v>
      </c>
    </row>
    <row r="45">
      <c r="A45" s="8" t="inlineStr">
        <is>
          <t>경상이익률</t>
        </is>
      </c>
      <c r="C45" s="9">
        <f>IF(OR(C44="",C4=""),"",IFERROR(C44/C4,""))</f>
        <v/>
      </c>
      <c r="D45" s="9">
        <f>IF(OR(D44="",D4=""),"",IFERROR(D44/D4,""))</f>
        <v/>
      </c>
      <c r="E45" s="9">
        <f>IF(OR(E44="",E4=""),"",IFERROR(E44/E4,""))</f>
        <v/>
      </c>
      <c r="F45" s="9">
        <f>IF(OR(F44="",F4=""),"",IFERROR(F44/F4,""))</f>
        <v/>
      </c>
      <c r="G45" s="9">
        <f>IF(OR(G44="",G4=""),"",IFERROR(G44/G4,""))</f>
        <v/>
      </c>
      <c r="H45" s="9">
        <f>IF(OR(H44="",H4=""),"",IFERROR(H44/H4,""))</f>
        <v/>
      </c>
      <c r="I45" s="9">
        <f>IF(OR(I44="",I4=""),"",IFERROR(I44/I4,""))</f>
        <v/>
      </c>
      <c r="J45" s="9">
        <f>IF(OR(J44="",J4=""),"",IFERROR(J44/J4,""))</f>
        <v/>
      </c>
      <c r="K45" s="9">
        <f>IF(OR(K44="",K4=""),"",IFERROR(K44/K4,""))</f>
        <v/>
      </c>
      <c r="L45" s="9">
        <f>IF(OR(L44="",L4=""),"",IFERROR(L44/L4,""))</f>
        <v/>
      </c>
      <c r="M45" s="9">
        <f>IF(OR(M44="",M4=""),"",IFERROR(M44/M4,""))</f>
        <v/>
      </c>
      <c r="N45" s="9">
        <f>IF(OR(N44="",N4=""),"",IFERROR(N44/N4,""))</f>
        <v/>
      </c>
      <c r="O45" s="9">
        <f>IF(OR(O44="",O4=""),"",IFERROR(O44/O4,""))</f>
        <v/>
      </c>
      <c r="P45" s="9">
        <f>IF(OR(P44="",P4=""),"",IFERROR(P44/P4,""))</f>
        <v/>
      </c>
      <c r="Q45" s="9">
        <f>IF(OR(Q44="",Q4=""),"",IFERROR(Q44/Q4,""))</f>
        <v/>
      </c>
      <c r="R45" s="9">
        <f>IF(OR(R44="",R4=""),"",IFERROR(R44/R4,""))</f>
        <v/>
      </c>
      <c r="S45" s="9">
        <f>IF(OR(S44="",S4=""),"",IFERROR(S44/S4,""))</f>
        <v/>
      </c>
      <c r="T45" s="9">
        <f>IF(OR(T44="",T4=""),"",IFERROR(T44/T4,""))</f>
        <v/>
      </c>
      <c r="U45" s="9">
        <f>IF(OR(U44="",U4=""),"",IFERROR(U44/U4,""))</f>
        <v/>
      </c>
      <c r="V45" s="9">
        <f>IF(OR(V44="",V4=""),"",IFERROR(V44/V4,""))</f>
        <v/>
      </c>
      <c r="W45" s="9">
        <f>IF(OR(W44="",W4=""),"",IFERROR(W44/W4,""))</f>
        <v/>
      </c>
      <c r="X45" s="9">
        <f>IF(OR(X44="",X4=""),"",IFERROR(X44/X4,""))</f>
        <v/>
      </c>
      <c r="Y45" s="9">
        <f>IF(OR(Y44="",Y4=""),"",IFERROR(Y44/Y4,""))</f>
        <v/>
      </c>
      <c r="Z45" s="9">
        <f>IF(OR(Z44="",Z4=""),"",IFERROR(Z44/Z4,""))</f>
        <v/>
      </c>
      <c r="AA45" s="9">
        <f>IF(OR(AA44="",AA4=""),"",IFERROR(AA44/AA4,""))</f>
        <v/>
      </c>
      <c r="AB45" s="9">
        <f>IF(OR(AB44="",AB4=""),"",IFERROR(AB44/AB4,""))</f>
        <v/>
      </c>
      <c r="AC45" s="9">
        <f>IF(OR(AC44="",AC4=""),"",IFERROR(AC44/AC4,""))</f>
        <v/>
      </c>
      <c r="AD45" s="9">
        <f>IF(OR(AD44="",AD4=""),"",IFERROR(AD44/AD4,""))</f>
        <v/>
      </c>
    </row>
    <row r="46">
      <c r="A46" s="10" t="inlineStr">
        <is>
          <t>자기 신주예약권 소각손실</t>
        </is>
      </c>
      <c r="W46" s="11" t="n">
        <v>0</v>
      </c>
      <c r="X46" s="11" t="n">
        <v>0.0407</v>
      </c>
    </row>
    <row r="47">
      <c r="A47" s="10" t="inlineStr">
        <is>
          <t>투자유가증권 평가손실</t>
        </is>
      </c>
      <c r="AA47" s="11" t="n">
        <v>0</v>
      </c>
      <c r="AB47" s="11" t="n">
        <v>0.3247</v>
      </c>
      <c r="AC47" s="11" t="n">
        <v>0</v>
      </c>
      <c r="AD47" s="11" t="n">
        <v>0</v>
      </c>
    </row>
    <row r="48">
      <c r="A48" s="10" t="inlineStr">
        <is>
          <t>손상차손</t>
        </is>
      </c>
      <c r="I48" s="11" t="n">
        <v>0</v>
      </c>
      <c r="J48" s="11" t="n">
        <v>0</v>
      </c>
      <c r="K48" s="11" t="n">
        <v>0</v>
      </c>
      <c r="L48" s="11" t="n">
        <v>144.7294</v>
      </c>
      <c r="M48" s="11" t="n">
        <v>1.9544</v>
      </c>
      <c r="N48" s="11" t="n">
        <v>0.6801</v>
      </c>
      <c r="O48" s="11" t="n">
        <v>0.6302</v>
      </c>
      <c r="P48" s="11" t="n">
        <v>0.7248</v>
      </c>
      <c r="Q48" s="11" t="n">
        <v>0.7601</v>
      </c>
      <c r="R48" s="11" t="n">
        <v>0.6118</v>
      </c>
      <c r="S48" s="11" t="n">
        <v>0.4716</v>
      </c>
      <c r="T48" s="11" t="n">
        <v>0.6978</v>
      </c>
      <c r="U48" s="11" t="n">
        <v>0.6661</v>
      </c>
      <c r="V48" s="11" t="n">
        <v>0.6142</v>
      </c>
      <c r="AA48" s="11" t="n">
        <v>0</v>
      </c>
      <c r="AB48" s="11" t="n">
        <v>144.7294</v>
      </c>
      <c r="AC48" s="11" t="n">
        <v>3.9895</v>
      </c>
      <c r="AD48" s="11" t="n">
        <v>2.5413</v>
      </c>
    </row>
    <row r="49">
      <c r="A49" s="10" t="inlineStr">
        <is>
          <t>기타</t>
        </is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0.0009</v>
      </c>
      <c r="Q49" s="11" t="n">
        <v>0.0052</v>
      </c>
      <c r="R49" s="11" t="n">
        <v>0</v>
      </c>
      <c r="S49" s="11" t="n">
        <v>0</v>
      </c>
      <c r="T49" s="11" t="n">
        <v>0</v>
      </c>
      <c r="U49" s="11" t="n">
        <v>0</v>
      </c>
      <c r="V49" s="11" t="n">
        <v>0</v>
      </c>
      <c r="AB49" s="11" t="n">
        <v>0</v>
      </c>
      <c r="AC49" s="11" t="n">
        <v>0.0009</v>
      </c>
      <c r="AD49" s="11" t="n">
        <v>0.0052</v>
      </c>
    </row>
    <row r="50">
      <c r="A50" s="10" t="inlineStr">
        <is>
          <t>특별손실 합계</t>
        </is>
      </c>
      <c r="I50" s="11" t="n">
        <v>0</v>
      </c>
      <c r="J50" s="11" t="n">
        <v>0</v>
      </c>
      <c r="K50" s="11" t="n">
        <v>0</v>
      </c>
      <c r="L50" s="11" t="n">
        <v>145.054</v>
      </c>
      <c r="M50" s="11" t="n">
        <v>1.9544</v>
      </c>
      <c r="N50" s="11" t="n">
        <v>0.6801</v>
      </c>
      <c r="O50" s="11" t="n">
        <v>0.6302</v>
      </c>
      <c r="P50" s="11" t="n">
        <v>0.7257</v>
      </c>
      <c r="Q50" s="11" t="n">
        <v>0.7653</v>
      </c>
      <c r="R50" s="11" t="n">
        <v>0.6118</v>
      </c>
      <c r="S50" s="11" t="n">
        <v>0.4716</v>
      </c>
      <c r="T50" s="11" t="n">
        <v>0.6978</v>
      </c>
      <c r="U50" s="11" t="n">
        <v>0.6661</v>
      </c>
      <c r="V50" s="11" t="n">
        <v>0.6142</v>
      </c>
      <c r="W50" s="11" t="n">
        <v>0</v>
      </c>
      <c r="X50" s="11" t="n">
        <v>0.0407</v>
      </c>
      <c r="AA50" s="11" t="n">
        <v>0</v>
      </c>
      <c r="AB50" s="11" t="n">
        <v>145.054</v>
      </c>
      <c r="AC50" s="11" t="n">
        <v>3.9904</v>
      </c>
      <c r="AD50" s="11" t="n">
        <v>2.5466</v>
      </c>
    </row>
    <row r="51">
      <c r="A51" s="10" t="inlineStr">
        <is>
          <t>법인세차감전 순이익</t>
        </is>
      </c>
      <c r="C51" s="11" t="n">
        <v>-3.6549</v>
      </c>
      <c r="D51" s="11" t="n">
        <v>1.2454</v>
      </c>
      <c r="E51" s="11" t="n">
        <v>0.4494</v>
      </c>
      <c r="F51" s="11" t="n">
        <v>0.6088</v>
      </c>
      <c r="G51" s="11" t="n">
        <v>-0.6836</v>
      </c>
      <c r="H51" s="11" t="n">
        <v>-0.8863</v>
      </c>
      <c r="I51" s="11" t="n">
        <v>-0.9202</v>
      </c>
      <c r="J51" s="11" t="n">
        <v>-0.5456</v>
      </c>
      <c r="K51" s="11" t="n">
        <v>0.963</v>
      </c>
      <c r="L51" s="11" t="n">
        <v>-143.427</v>
      </c>
      <c r="M51" s="11" t="n">
        <v>1.8323</v>
      </c>
      <c r="N51" s="11" t="n">
        <v>1.2188</v>
      </c>
      <c r="O51" s="11" t="n">
        <v>1.7312</v>
      </c>
      <c r="P51" s="11" t="n">
        <v>3.3458</v>
      </c>
      <c r="Q51" s="11" t="n">
        <v>2.2264</v>
      </c>
      <c r="R51" s="11" t="n">
        <v>1.4353</v>
      </c>
      <c r="S51" s="11" t="n">
        <v>3.5047</v>
      </c>
      <c r="T51" s="11" t="n">
        <v>4.3311</v>
      </c>
      <c r="U51" s="11" t="n">
        <v>3.5505</v>
      </c>
      <c r="V51" s="11" t="n">
        <v>3.9733</v>
      </c>
      <c r="W51" s="11" t="n">
        <v>0.2407</v>
      </c>
      <c r="X51" s="11" t="n">
        <v>0.5319</v>
      </c>
      <c r="Y51" s="11" t="n">
        <v>1.9723</v>
      </c>
      <c r="Z51" s="11" t="n">
        <v>-3.8976</v>
      </c>
      <c r="AA51" s="11" t="n">
        <v>-0.5117</v>
      </c>
      <c r="AB51" s="11" t="n">
        <v>-143.9299</v>
      </c>
      <c r="AC51" s="11" t="n">
        <v>8.1281</v>
      </c>
      <c r="AD51" s="11" t="n">
        <v>11.4975</v>
      </c>
    </row>
    <row r="52">
      <c r="A52" s="10" t="inlineStr">
        <is>
          <t>법인세·주민세·사업세</t>
        </is>
      </c>
      <c r="C52" s="11" t="n">
        <v>-0.1938</v>
      </c>
      <c r="D52" s="11" t="n">
        <v>1.4514</v>
      </c>
      <c r="E52" s="11" t="n">
        <v>0.3239</v>
      </c>
      <c r="F52" s="11" t="n">
        <v>1.4618</v>
      </c>
      <c r="G52" s="11" t="n">
        <v>0.9736</v>
      </c>
      <c r="H52" s="11" t="n">
        <v>0.4087</v>
      </c>
      <c r="I52" s="11" t="n">
        <v>0.3694</v>
      </c>
      <c r="J52" s="11" t="n">
        <v>1.1348</v>
      </c>
      <c r="K52" s="11" t="n">
        <v>1.3433</v>
      </c>
      <c r="L52" s="11" t="n">
        <v>1.2309</v>
      </c>
      <c r="M52" s="11" t="n">
        <v>0.5076000000000001</v>
      </c>
      <c r="N52" s="11" t="n">
        <v>0.9056999999999999</v>
      </c>
      <c r="O52" s="11" t="n">
        <v>1.24</v>
      </c>
      <c r="P52" s="11" t="n">
        <v>0.7335</v>
      </c>
      <c r="Q52" s="11" t="n">
        <v>0.6516</v>
      </c>
      <c r="R52" s="11" t="n">
        <v>0.7894</v>
      </c>
      <c r="S52" s="11" t="n">
        <v>0.5423</v>
      </c>
      <c r="T52" s="11" t="n">
        <v>1.2891</v>
      </c>
      <c r="U52" s="11" t="n">
        <v>0.6187</v>
      </c>
      <c r="V52" s="11" t="n">
        <v>1.8044</v>
      </c>
      <c r="W52" s="11" t="n">
        <v>0.002</v>
      </c>
      <c r="X52" s="11" t="n">
        <v>0.002</v>
      </c>
      <c r="Y52" s="11" t="n">
        <v>0.3742</v>
      </c>
      <c r="Z52" s="11" t="n">
        <v>1.7722</v>
      </c>
      <c r="AA52" s="11" t="n">
        <v>3.1679</v>
      </c>
      <c r="AB52" s="11" t="n">
        <v>4.0783</v>
      </c>
      <c r="AC52" s="11" t="n">
        <v>3.3868</v>
      </c>
      <c r="AD52" s="11" t="n">
        <v>3.2724</v>
      </c>
    </row>
    <row r="53">
      <c r="A53" s="10" t="inlineStr">
        <is>
          <t>법인세 조정액</t>
        </is>
      </c>
      <c r="C53" s="11" t="n">
        <v>-0.2309</v>
      </c>
      <c r="D53" s="11" t="n">
        <v>-0.8629</v>
      </c>
      <c r="E53" s="11" t="n">
        <v>0.1454</v>
      </c>
      <c r="F53" s="11" t="n">
        <v>-0.7381</v>
      </c>
      <c r="G53" s="11" t="n">
        <v>-0.8932</v>
      </c>
      <c r="H53" s="11" t="n">
        <v>-2.9523</v>
      </c>
      <c r="I53" s="11" t="n">
        <v>-0.1684</v>
      </c>
      <c r="J53" s="11" t="n">
        <v>-0.8366</v>
      </c>
      <c r="K53" s="11" t="n">
        <v>-0.652</v>
      </c>
      <c r="L53" s="11" t="n">
        <v>-19.9934</v>
      </c>
      <c r="M53" s="11" t="n">
        <v>0.7193000000000001</v>
      </c>
      <c r="N53" s="11" t="n">
        <v>-0.1549</v>
      </c>
      <c r="O53" s="11" t="n">
        <v>-0.3975</v>
      </c>
      <c r="P53" s="11" t="n">
        <v>-0.198</v>
      </c>
      <c r="Q53" s="11" t="n">
        <v>0.7578</v>
      </c>
      <c r="R53" s="11" t="n">
        <v>-0.3535</v>
      </c>
      <c r="S53" s="11" t="n">
        <v>-0.2535</v>
      </c>
      <c r="T53" s="11" t="n">
        <v>-0.8447</v>
      </c>
      <c r="U53" s="11" t="n">
        <v>0.6676</v>
      </c>
      <c r="V53" s="11" t="n">
        <v>-0.4574</v>
      </c>
      <c r="W53" s="11" t="n">
        <v>-0.0361</v>
      </c>
      <c r="X53" s="11" t="n">
        <v>0.0011</v>
      </c>
      <c r="Y53" s="11" t="n">
        <v>-0.4214</v>
      </c>
      <c r="Z53" s="11" t="n">
        <v>-0.9143</v>
      </c>
      <c r="AA53" s="11" t="n">
        <v>-4.4382</v>
      </c>
      <c r="AB53" s="11" t="n">
        <v>-21.6504</v>
      </c>
      <c r="AC53" s="11" t="n">
        <v>-0.0311</v>
      </c>
      <c r="AD53" s="11" t="n">
        <v>-0.694</v>
      </c>
    </row>
    <row r="54">
      <c r="A54" s="10" t="inlineStr">
        <is>
          <t>법인세 등 합계</t>
        </is>
      </c>
      <c r="C54" s="11" t="n">
        <v>-0.4247</v>
      </c>
      <c r="D54" s="11" t="n">
        <v>0.5885</v>
      </c>
      <c r="E54" s="11" t="n">
        <v>0.4693</v>
      </c>
      <c r="F54" s="11" t="n">
        <v>0.7237</v>
      </c>
      <c r="G54" s="11" t="n">
        <v>0.0804</v>
      </c>
      <c r="H54" s="11" t="n">
        <v>-2.5436</v>
      </c>
      <c r="I54" s="11" t="n">
        <v>0.201</v>
      </c>
      <c r="J54" s="11" t="n">
        <v>0.2981</v>
      </c>
      <c r="K54" s="11" t="n">
        <v>0.6912</v>
      </c>
      <c r="L54" s="11" t="n">
        <v>-18.7625</v>
      </c>
      <c r="M54" s="11" t="n">
        <v>1.2269</v>
      </c>
      <c r="N54" s="11" t="n">
        <v>0.7509</v>
      </c>
      <c r="O54" s="11" t="n">
        <v>0.8425</v>
      </c>
      <c r="P54" s="11" t="n">
        <v>0.5354</v>
      </c>
      <c r="Q54" s="11" t="n">
        <v>1.4094</v>
      </c>
      <c r="R54" s="11" t="n">
        <v>0.4358</v>
      </c>
      <c r="S54" s="11" t="n">
        <v>0.2888</v>
      </c>
      <c r="T54" s="11" t="n">
        <v>0.4444</v>
      </c>
      <c r="U54" s="11" t="n">
        <v>1.2863</v>
      </c>
      <c r="V54" s="11" t="n">
        <v>1.3469</v>
      </c>
      <c r="W54" s="11" t="n">
        <v>-0.0341</v>
      </c>
      <c r="X54" s="11" t="n">
        <v>0.0031</v>
      </c>
      <c r="Y54" s="11" t="n">
        <v>-0.0472</v>
      </c>
      <c r="Z54" s="11" t="n">
        <v>0.8579</v>
      </c>
      <c r="AA54" s="11" t="n">
        <v>-1.2703</v>
      </c>
      <c r="AB54" s="11" t="n">
        <v>-17.5721</v>
      </c>
      <c r="AC54" s="11" t="n">
        <v>3.3557</v>
      </c>
      <c r="AD54" s="11" t="n">
        <v>2.5785</v>
      </c>
    </row>
    <row r="55">
      <c r="A55" s="5" t="inlineStr">
        <is>
          <t>순이익</t>
        </is>
      </c>
      <c r="C55" s="6" t="n">
        <v>-3.2303</v>
      </c>
      <c r="D55" s="6" t="n">
        <v>0.6569</v>
      </c>
      <c r="E55" s="6" t="n">
        <v>-0.0199</v>
      </c>
      <c r="F55" s="6" t="n">
        <v>-0.1148</v>
      </c>
      <c r="G55" s="6" t="n">
        <v>-0.764</v>
      </c>
      <c r="H55" s="6" t="n">
        <v>1.6573</v>
      </c>
      <c r="I55" s="6" t="n">
        <v>-1.1212</v>
      </c>
      <c r="J55" s="6" t="n">
        <v>-0.8438</v>
      </c>
      <c r="K55" s="6" t="n">
        <v>0.2717</v>
      </c>
      <c r="L55" s="6" t="n">
        <v>-124.6645</v>
      </c>
      <c r="M55" s="6" t="n">
        <v>0.6054</v>
      </c>
      <c r="N55" s="6" t="n">
        <v>0.4679</v>
      </c>
      <c r="O55" s="6" t="n">
        <v>0.8887</v>
      </c>
      <c r="P55" s="6" t="n">
        <v>2.8104</v>
      </c>
      <c r="Q55" s="6" t="n">
        <v>0.8169999999999999</v>
      </c>
      <c r="R55" s="6" t="n">
        <v>0.9995000000000001</v>
      </c>
      <c r="S55" s="6" t="n">
        <v>3.2159</v>
      </c>
      <c r="T55" s="6" t="n">
        <v>3.8867</v>
      </c>
      <c r="U55" s="6" t="n">
        <v>2.2641</v>
      </c>
      <c r="V55" s="6" t="n">
        <v>2.6264</v>
      </c>
      <c r="W55" s="6" t="n">
        <v>0.2749</v>
      </c>
      <c r="X55" s="6" t="n">
        <v>0.5286999999999999</v>
      </c>
      <c r="Y55" s="6" t="n">
        <v>2.0195</v>
      </c>
      <c r="Z55" s="6" t="n">
        <v>-4.7556</v>
      </c>
      <c r="AA55" s="6" t="n">
        <v>0.7586000000000001</v>
      </c>
      <c r="AB55" s="6" t="n">
        <v>-126.3578</v>
      </c>
      <c r="AC55" s="6" t="n">
        <v>4.7725</v>
      </c>
      <c r="AD55" s="6" t="n">
        <v>8.919</v>
      </c>
    </row>
    <row r="56">
      <c r="A56" s="5" t="inlineStr">
        <is>
          <t>지배주주 순이익</t>
        </is>
      </c>
      <c r="C56" s="6" t="n">
        <v>-3.2303</v>
      </c>
      <c r="D56" s="6" t="n">
        <v>0.6569</v>
      </c>
      <c r="E56" s="6" t="n">
        <v>-0.0199</v>
      </c>
      <c r="F56" s="6" t="n">
        <v>-0.1148</v>
      </c>
      <c r="G56" s="6" t="n">
        <v>-0.764</v>
      </c>
      <c r="H56" s="6" t="n">
        <v>1.6573</v>
      </c>
      <c r="I56" s="6" t="n">
        <v>-1.1212</v>
      </c>
      <c r="J56" s="6" t="n">
        <v>-0.8438</v>
      </c>
      <c r="K56" s="6" t="n">
        <v>0.2717</v>
      </c>
      <c r="L56" s="6" t="n">
        <v>-124.6645</v>
      </c>
      <c r="M56" s="6" t="n">
        <v>0.6054</v>
      </c>
      <c r="N56" s="6" t="n">
        <v>0.4679</v>
      </c>
      <c r="O56" s="6" t="n">
        <v>0.8887</v>
      </c>
      <c r="P56" s="6" t="n">
        <v>2.8104</v>
      </c>
      <c r="Q56" s="6" t="n">
        <v>0.8169999999999999</v>
      </c>
      <c r="R56" s="6" t="n">
        <v>0.9995000000000001</v>
      </c>
      <c r="S56" s="6" t="n">
        <v>3.2159</v>
      </c>
      <c r="T56" s="6" t="n">
        <v>3.8867</v>
      </c>
      <c r="U56" s="6" t="n">
        <v>2.2641</v>
      </c>
      <c r="V56" s="6" t="n">
        <v>2.6264</v>
      </c>
      <c r="Y56" s="6" t="n">
        <v>2.0195</v>
      </c>
      <c r="Z56" s="6" t="n">
        <v>-4.7556</v>
      </c>
      <c r="AA56" s="6" t="n">
        <v>0.7586000000000001</v>
      </c>
      <c r="AB56" s="6" t="n">
        <v>-126.3578</v>
      </c>
      <c r="AC56" s="6" t="n">
        <v>4.7725</v>
      </c>
      <c r="AD56" s="6" t="n">
        <v>8.919</v>
      </c>
    </row>
    <row r="57">
      <c r="A57" s="8" t="inlineStr">
        <is>
          <t>순이익률</t>
        </is>
      </c>
      <c r="C57" s="9">
        <f>IF(OR(C56="",C4=""),"",IFERROR(C56/C4,""))</f>
        <v/>
      </c>
      <c r="D57" s="9">
        <f>IF(OR(D56="",D4=""),"",IFERROR(D56/D4,""))</f>
        <v/>
      </c>
      <c r="E57" s="9">
        <f>IF(OR(E56="",E4=""),"",IFERROR(E56/E4,""))</f>
        <v/>
      </c>
      <c r="F57" s="9">
        <f>IF(OR(F56="",F4=""),"",IFERROR(F56/F4,""))</f>
        <v/>
      </c>
      <c r="G57" s="9">
        <f>IF(OR(G56="",G4=""),"",IFERROR(G56/G4,""))</f>
        <v/>
      </c>
      <c r="H57" s="9">
        <f>IF(OR(H56="",H4=""),"",IFERROR(H56/H4,""))</f>
        <v/>
      </c>
      <c r="I57" s="9">
        <f>IF(OR(I56="",I4=""),"",IFERROR(I56/I4,""))</f>
        <v/>
      </c>
      <c r="J57" s="9">
        <f>IF(OR(J56="",J4=""),"",IFERROR(J56/J4,""))</f>
        <v/>
      </c>
      <c r="K57" s="9">
        <f>IF(OR(K56="",K4=""),"",IFERROR(K56/K4,""))</f>
        <v/>
      </c>
      <c r="L57" s="9">
        <f>IF(OR(L56="",L4=""),"",IFERROR(L56/L4,""))</f>
        <v/>
      </c>
      <c r="M57" s="9">
        <f>IF(OR(M56="",M4=""),"",IFERROR(M56/M4,""))</f>
        <v/>
      </c>
      <c r="N57" s="9">
        <f>IF(OR(N56="",N4=""),"",IFERROR(N56/N4,""))</f>
        <v/>
      </c>
      <c r="O57" s="9">
        <f>IF(OR(O56="",O4=""),"",IFERROR(O56/O4,""))</f>
        <v/>
      </c>
      <c r="P57" s="9">
        <f>IF(OR(P56="",P4=""),"",IFERROR(P56/P4,""))</f>
        <v/>
      </c>
      <c r="Q57" s="9">
        <f>IF(OR(Q56="",Q4=""),"",IFERROR(Q56/Q4,""))</f>
        <v/>
      </c>
      <c r="R57" s="9">
        <f>IF(OR(R56="",R4=""),"",IFERROR(R56/R4,""))</f>
        <v/>
      </c>
      <c r="S57" s="9">
        <f>IF(OR(S56="",S4=""),"",IFERROR(S56/S4,""))</f>
        <v/>
      </c>
      <c r="T57" s="9">
        <f>IF(OR(T56="",T4=""),"",IFERROR(T56/T4,""))</f>
        <v/>
      </c>
      <c r="U57" s="9">
        <f>IF(OR(U56="",U4=""),"",IFERROR(U56/U4,""))</f>
        <v/>
      </c>
      <c r="V57" s="9">
        <f>IF(OR(V56="",V4=""),"",IFERROR(V56/V4,""))</f>
        <v/>
      </c>
      <c r="W57" s="9">
        <f>IF(OR(W56="",W4=""),"",IFERROR(W56/W4,""))</f>
        <v/>
      </c>
      <c r="X57" s="9">
        <f>IF(OR(X56="",X4=""),"",IFERROR(X56/X4,""))</f>
        <v/>
      </c>
      <c r="Y57" s="9">
        <f>IF(OR(Y56="",Y4=""),"",IFERROR(Y56/Y4,""))</f>
        <v/>
      </c>
      <c r="Z57" s="9">
        <f>IF(OR(Z56="",Z4=""),"",IFERROR(Z56/Z4,""))</f>
        <v/>
      </c>
      <c r="AA57" s="9">
        <f>IF(OR(AA56="",AA4=""),"",IFERROR(AA56/AA4,""))</f>
        <v/>
      </c>
      <c r="AB57" s="9">
        <f>IF(OR(AB56="",AB4=""),"",IFERROR(AB56/AB4,""))</f>
        <v/>
      </c>
      <c r="AC57" s="9">
        <f>IF(OR(AC56="",AC4=""),"",IFERROR(AC56/AC4,""))</f>
        <v/>
      </c>
      <c r="AD57" s="9">
        <f>IF(OR(AD56="",AD4=""),"",IFERROR(AD56/AD4,""))</f>
        <v/>
      </c>
    </row>
    <row r="58">
      <c r="A58" s="8" t="inlineStr">
        <is>
          <t>YoY</t>
        </is>
      </c>
      <c r="G58" s="9">
        <f>IF(OR(G56="",C56=""),"",IFERROR(G56/C56-1,""))</f>
        <v/>
      </c>
      <c r="H58" s="9">
        <f>IF(OR(H56="",D56=""),"",IFERROR(H56/D56-1,""))</f>
        <v/>
      </c>
      <c r="I58" s="9">
        <f>IF(OR(I56="",E56=""),"",IFERROR(I56/E56-1,""))</f>
        <v/>
      </c>
      <c r="J58" s="9">
        <f>IF(OR(J56="",F56=""),"",IFERROR(J56/F56-1,""))</f>
        <v/>
      </c>
      <c r="K58" s="9">
        <f>IF(OR(K56="",G56=""),"",IFERROR(K56/G56-1,""))</f>
        <v/>
      </c>
      <c r="L58" s="9">
        <f>IF(OR(L56="",H56=""),"",IFERROR(L56/H56-1,""))</f>
        <v/>
      </c>
      <c r="M58" s="9">
        <f>IF(OR(M56="",I56=""),"",IFERROR(M56/I56-1,""))</f>
        <v/>
      </c>
      <c r="N58" s="9">
        <f>IF(OR(N56="",J56=""),"",IFERROR(N56/J56-1,""))</f>
        <v/>
      </c>
      <c r="O58" s="9">
        <f>IF(OR(O56="",K56=""),"",IFERROR(O56/K56-1,""))</f>
        <v/>
      </c>
      <c r="P58" s="9">
        <f>IF(OR(P56="",L56=""),"",IFERROR(P56/L56-1,""))</f>
        <v/>
      </c>
      <c r="Q58" s="9">
        <f>IF(OR(Q56="",M56=""),"",IFERROR(Q56/M56-1,""))</f>
        <v/>
      </c>
      <c r="R58" s="9">
        <f>IF(OR(R56="",N56=""),"",IFERROR(R56/N56-1,""))</f>
        <v/>
      </c>
      <c r="S58" s="9">
        <f>IF(OR(S56="",O56=""),"",IFERROR(S56/O56-1,""))</f>
        <v/>
      </c>
      <c r="T58" s="9">
        <f>IF(OR(T56="",P56=""),"",IFERROR(T56/P56-1,""))</f>
        <v/>
      </c>
      <c r="U58" s="9">
        <f>IF(OR(U56="",Q56=""),"",IFERROR(U56/Q56-1,""))</f>
        <v/>
      </c>
      <c r="V58" s="9">
        <f>IF(OR(V56="",R56=""),"",IFERROR(V56/R56-1,""))</f>
        <v/>
      </c>
      <c r="X58" s="9">
        <f>IF(OR(X56="",W56=""),"",IFERROR(X56/W56-1,""))</f>
        <v/>
      </c>
      <c r="Y58" s="9">
        <f>IF(OR(Y56="",X56=""),"",IFERROR(Y56/X56-1,""))</f>
        <v/>
      </c>
      <c r="Z58" s="9">
        <f>IF(OR(Z56="",Y56=""),"",IFERROR(Z56/Y56-1,""))</f>
        <v/>
      </c>
      <c r="AA58" s="9">
        <f>IF(OR(AA56="",Z56=""),"",IFERROR(AA56/Z56-1,""))</f>
        <v/>
      </c>
      <c r="AB58" s="9">
        <f>IF(OR(AB56="",AA56=""),"",IFERROR(AB56/AA56-1,""))</f>
        <v/>
      </c>
      <c r="AC58" s="9">
        <f>IF(OR(AC56="",AB56=""),"",IFERROR(AC56/AB56-1,""))</f>
        <v/>
      </c>
      <c r="AD58" s="9">
        <f>IF(OR(AD56="",AC56=""),"",IFERROR(AD56/AC56-1,""))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비자스크 포괄손익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-3.2303</v>
      </c>
      <c r="D4" s="6" t="n">
        <v>0.6569</v>
      </c>
      <c r="E4" s="6" t="n">
        <v>-0.0199</v>
      </c>
      <c r="F4" s="6" t="n">
        <v>-0.1148</v>
      </c>
      <c r="G4" s="6" t="n">
        <v>-0.764</v>
      </c>
      <c r="H4" s="6" t="n">
        <v>1.6573</v>
      </c>
      <c r="I4" s="6" t="n">
        <v>-1.1212</v>
      </c>
      <c r="J4" s="6" t="n">
        <v>-0.8438</v>
      </c>
      <c r="K4" s="6" t="n">
        <v>0.2717</v>
      </c>
      <c r="L4" s="6" t="n">
        <v>-124.6645</v>
      </c>
      <c r="M4" s="6" t="n">
        <v>0.6054</v>
      </c>
      <c r="N4" s="6" t="n">
        <v>0.4679</v>
      </c>
      <c r="O4" s="6" t="n">
        <v>0.8887</v>
      </c>
      <c r="P4" s="6" t="n">
        <v>2.8104</v>
      </c>
      <c r="Q4" s="6" t="n">
        <v>0.8169999999999999</v>
      </c>
      <c r="R4" s="6" t="n">
        <v>0.9995000000000001</v>
      </c>
      <c r="S4" s="6" t="n">
        <v>3.2159</v>
      </c>
      <c r="T4" s="6" t="n">
        <v>3.8867</v>
      </c>
      <c r="U4" s="6" t="n">
        <v>2.2641</v>
      </c>
      <c r="V4" s="6" t="n">
        <v>2.6264</v>
      </c>
      <c r="Y4" s="6" t="n">
        <v>2.0195</v>
      </c>
      <c r="Z4" s="6" t="n">
        <v>-4.7556</v>
      </c>
      <c r="AA4" s="6" t="n">
        <v>0.7586000000000001</v>
      </c>
      <c r="AB4" s="6" t="n">
        <v>-126.3578</v>
      </c>
      <c r="AC4" s="6" t="n">
        <v>4.7725</v>
      </c>
      <c r="AD4" s="6" t="n">
        <v>8.919</v>
      </c>
      <c r="AE4" s="7" t="inlineStr">
        <is>
          <t>결산단신 XBRL(거래소 공시, TDnet·JPX 보관소). 쓴 문서: 2026-10-15, 2026-07-15, 2026-04-14, 2026-01-14 외 23건 — '출처' 시트에 전부</t>
        </is>
      </c>
    </row>
    <row r="5">
      <c r="A5" s="10" t="inlineStr">
        <is>
          <t>해외사업환산조정</t>
        </is>
      </c>
      <c r="C5" s="11" t="n">
        <v>0.0064</v>
      </c>
      <c r="D5" s="11" t="n">
        <v>5.2259</v>
      </c>
      <c r="E5" s="11" t="n">
        <v>7.899</v>
      </c>
      <c r="F5" s="11" t="n">
        <v>15.2414</v>
      </c>
      <c r="G5" s="11" t="n">
        <v>8.4053</v>
      </c>
      <c r="H5" s="11" t="n">
        <v>-6.9779</v>
      </c>
      <c r="I5" s="11" t="n">
        <v>0.7943</v>
      </c>
      <c r="J5" s="11" t="n">
        <v>11.3513</v>
      </c>
      <c r="K5" s="11" t="n">
        <v>4.4973</v>
      </c>
      <c r="L5" s="11" t="n">
        <v>-8.4</v>
      </c>
      <c r="M5" s="11" t="n">
        <v>0.6096</v>
      </c>
      <c r="N5" s="11" t="n">
        <v>0.2469</v>
      </c>
      <c r="O5" s="11" t="n">
        <v>-0.6801</v>
      </c>
      <c r="P5" s="11" t="n">
        <v>0.4959</v>
      </c>
      <c r="Q5" s="11" t="n">
        <v>-0.2508</v>
      </c>
      <c r="R5" s="11" t="n">
        <v>-0.1666</v>
      </c>
      <c r="S5" s="11" t="n">
        <v>0.5482</v>
      </c>
      <c r="T5" s="11" t="n">
        <v>0.3029</v>
      </c>
      <c r="U5" s="11" t="n">
        <v>0.0772</v>
      </c>
      <c r="V5" s="11" t="n">
        <v>-0.0029</v>
      </c>
      <c r="Y5" s="11" t="n">
        <v>0.0162</v>
      </c>
      <c r="Z5" s="11" t="n">
        <v>5.2401</v>
      </c>
      <c r="AA5" s="11" t="n">
        <v>24.5677</v>
      </c>
      <c r="AB5" s="11" t="n">
        <v>8.242900000000001</v>
      </c>
      <c r="AC5" s="11" t="n">
        <v>0.6724</v>
      </c>
      <c r="AD5" s="11" t="n">
        <v>0.4337</v>
      </c>
    </row>
    <row r="6">
      <c r="A6" s="10" t="inlineStr">
        <is>
          <t>기타포괄손익 합계</t>
        </is>
      </c>
      <c r="C6" s="11" t="n">
        <v>0.0064</v>
      </c>
      <c r="D6" s="11" t="n">
        <v>5.2259</v>
      </c>
      <c r="E6" s="11" t="n">
        <v>7.899</v>
      </c>
      <c r="F6" s="11" t="n">
        <v>15.2414</v>
      </c>
      <c r="G6" s="11" t="n">
        <v>8.4053</v>
      </c>
      <c r="H6" s="11" t="n">
        <v>-6.9779</v>
      </c>
      <c r="I6" s="11" t="n">
        <v>0.7943</v>
      </c>
      <c r="J6" s="11" t="n">
        <v>11.3513</v>
      </c>
      <c r="K6" s="11" t="n">
        <v>4.4973</v>
      </c>
      <c r="L6" s="11" t="n">
        <v>-8.4</v>
      </c>
      <c r="M6" s="11" t="n">
        <v>0.6096</v>
      </c>
      <c r="N6" s="11" t="n">
        <v>0.2469</v>
      </c>
      <c r="O6" s="11" t="n">
        <v>-0.6801</v>
      </c>
      <c r="P6" s="11" t="n">
        <v>0.4959</v>
      </c>
      <c r="Q6" s="11" t="n">
        <v>-0.2508</v>
      </c>
      <c r="R6" s="11" t="n">
        <v>-0.1666</v>
      </c>
      <c r="S6" s="11" t="n">
        <v>0.5482</v>
      </c>
      <c r="T6" s="11" t="n">
        <v>0.3029</v>
      </c>
      <c r="U6" s="11" t="n">
        <v>0.0772</v>
      </c>
      <c r="V6" s="11" t="n">
        <v>-0.0029</v>
      </c>
      <c r="Y6" s="11" t="n">
        <v>0.0162</v>
      </c>
      <c r="Z6" s="11" t="n">
        <v>5.2401</v>
      </c>
      <c r="AA6" s="11" t="n">
        <v>24.5677</v>
      </c>
      <c r="AB6" s="11" t="n">
        <v>8.242900000000001</v>
      </c>
      <c r="AC6" s="11" t="n">
        <v>0.6724</v>
      </c>
      <c r="AD6" s="11" t="n">
        <v>0.4337</v>
      </c>
    </row>
    <row r="7">
      <c r="A7" s="10" t="inlineStr">
        <is>
          <t>포괄이익</t>
        </is>
      </c>
      <c r="C7" s="11" t="n">
        <v>-3.2239</v>
      </c>
      <c r="D7" s="11" t="n">
        <v>5.8828</v>
      </c>
      <c r="E7" s="11" t="n">
        <v>7.8791</v>
      </c>
      <c r="F7" s="11" t="n">
        <v>15.1266</v>
      </c>
      <c r="G7" s="11" t="n">
        <v>7.6413</v>
      </c>
      <c r="H7" s="11" t="n">
        <v>-5.3206</v>
      </c>
      <c r="I7" s="11" t="n">
        <v>-0.3269</v>
      </c>
      <c r="J7" s="11" t="n">
        <v>10.5075</v>
      </c>
      <c r="K7" s="11" t="n">
        <v>4.7691</v>
      </c>
      <c r="L7" s="11" t="n">
        <v>-133.0645</v>
      </c>
      <c r="M7" s="11" t="n">
        <v>1.215</v>
      </c>
      <c r="N7" s="11" t="n">
        <v>0.7149</v>
      </c>
      <c r="O7" s="11" t="n">
        <v>0.2087</v>
      </c>
      <c r="P7" s="11" t="n">
        <v>3.3063</v>
      </c>
      <c r="Q7" s="11" t="n">
        <v>0.5661</v>
      </c>
      <c r="R7" s="11" t="n">
        <v>0.833</v>
      </c>
      <c r="S7" s="11" t="n">
        <v>3.7641</v>
      </c>
      <c r="T7" s="11" t="n">
        <v>4.1895</v>
      </c>
      <c r="U7" s="11" t="n">
        <v>2.3414</v>
      </c>
      <c r="V7" s="11" t="n">
        <v>2.6235</v>
      </c>
      <c r="Y7" s="11" t="n">
        <v>2.0358</v>
      </c>
      <c r="Z7" s="11" t="n">
        <v>0.4846</v>
      </c>
      <c r="AA7" s="11" t="n">
        <v>25.3263</v>
      </c>
      <c r="AB7" s="11" t="n">
        <v>-118.1149</v>
      </c>
      <c r="AC7" s="11" t="n">
        <v>5.4449</v>
      </c>
      <c r="AD7" s="11" t="n">
        <v>9.3527</v>
      </c>
    </row>
    <row r="8">
      <c r="A8" s="10" t="inlineStr">
        <is>
          <t>지배주주 포괄이익</t>
        </is>
      </c>
      <c r="C8" s="11" t="n">
        <v>-3.2239</v>
      </c>
      <c r="D8" s="11" t="n">
        <v>5.8828</v>
      </c>
      <c r="E8" s="11" t="n">
        <v>7.8791</v>
      </c>
      <c r="F8" s="11" t="n">
        <v>15.1266</v>
      </c>
      <c r="G8" s="11" t="n">
        <v>7.6413</v>
      </c>
      <c r="H8" s="11" t="n">
        <v>-5.3206</v>
      </c>
      <c r="I8" s="11" t="n">
        <v>-0.3269</v>
      </c>
      <c r="J8" s="11" t="n">
        <v>10.5075</v>
      </c>
      <c r="K8" s="11" t="n">
        <v>4.7691</v>
      </c>
      <c r="L8" s="11" t="n">
        <v>-133.0645</v>
      </c>
      <c r="M8" s="11" t="n">
        <v>1.215</v>
      </c>
      <c r="N8" s="11" t="n">
        <v>0.7149</v>
      </c>
      <c r="O8" s="11" t="n">
        <v>0.2087</v>
      </c>
      <c r="P8" s="11" t="n">
        <v>3.3063</v>
      </c>
      <c r="Q8" s="11" t="n">
        <v>0.5661</v>
      </c>
      <c r="R8" s="11" t="n">
        <v>0.833</v>
      </c>
      <c r="S8" s="11" t="n">
        <v>3.7641</v>
      </c>
      <c r="T8" s="11" t="n">
        <v>4.1895</v>
      </c>
      <c r="U8" s="11" t="n">
        <v>2.3414</v>
      </c>
      <c r="V8" s="11" t="n">
        <v>2.6235</v>
      </c>
      <c r="Y8" s="11" t="n">
        <v>2.0358</v>
      </c>
      <c r="Z8" s="11" t="n">
        <v>0.4846</v>
      </c>
      <c r="AA8" s="11" t="n">
        <v>25.3263</v>
      </c>
      <c r="AB8" s="11" t="n">
        <v>-118.1149</v>
      </c>
      <c r="AC8" s="11" t="n">
        <v>5.4449</v>
      </c>
      <c r="AD8" s="11" t="n">
        <v>9.3527</v>
      </c>
    </row>
    <row r="9">
      <c r="A9" s="10" t="inlineStr">
        <is>
          <t>비지배주주 포괄이익</t>
        </is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비자스크 재무상태표</t>
        </is>
      </c>
    </row>
    <row r="2">
      <c r="A2" s="2" t="inlineStr">
        <is>
          <t>결산기 기준(27.2Q = 2027년 결산기 2분기) · 2월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32.8622</v>
      </c>
      <c r="D4" s="11" t="n">
        <v>31.2305</v>
      </c>
      <c r="E4" s="11" t="n">
        <v>29.5448</v>
      </c>
      <c r="F4" s="11" t="n">
        <v>33.2475</v>
      </c>
      <c r="G4" s="11" t="n">
        <v>36.7466</v>
      </c>
      <c r="H4" s="11" t="n">
        <v>38.7508</v>
      </c>
      <c r="I4" s="11" t="n">
        <v>35.1397</v>
      </c>
      <c r="J4" s="11" t="n">
        <v>38.7261</v>
      </c>
      <c r="K4" s="11" t="n">
        <v>39.6977</v>
      </c>
      <c r="L4" s="11" t="n">
        <v>43.0699</v>
      </c>
      <c r="M4" s="11" t="n">
        <v>40.8702</v>
      </c>
      <c r="N4" s="11" t="n">
        <v>41.867</v>
      </c>
      <c r="O4" s="11" t="n">
        <v>41.5181</v>
      </c>
      <c r="P4" s="11" t="n">
        <v>45.9542</v>
      </c>
      <c r="Q4" s="11" t="n">
        <v>46.6095</v>
      </c>
      <c r="R4" s="11" t="n">
        <v>42.4944</v>
      </c>
      <c r="S4" s="11" t="n">
        <v>45.21</v>
      </c>
      <c r="T4" s="11" t="n">
        <v>49.8751</v>
      </c>
      <c r="U4" s="11" t="n">
        <v>47.071</v>
      </c>
      <c r="V4" s="11" t="n">
        <v>46.7449</v>
      </c>
      <c r="W4" s="11" t="n">
        <v>2.3452</v>
      </c>
      <c r="X4" s="11" t="n">
        <v>3.2104</v>
      </c>
      <c r="Y4" s="11" t="n">
        <v>13.5754</v>
      </c>
      <c r="Z4" s="11" t="n">
        <v>31.2305</v>
      </c>
      <c r="AA4" s="11" t="n">
        <v>38.7508</v>
      </c>
      <c r="AB4" s="11" t="n">
        <v>43.0699</v>
      </c>
      <c r="AC4" s="11" t="n">
        <v>45.9542</v>
      </c>
      <c r="AD4" s="11" t="n">
        <v>49.8751</v>
      </c>
      <c r="AE4" s="7" t="inlineStr">
        <is>
          <t>결산단신 XBRL(거래소 공시, TDnet·JPX 보관소). 쓴 문서: 2026-10-15, 2026-07-15, 2026-04-14, 2026-01-14 외 23건 — '출처' 시트에 전부</t>
        </is>
      </c>
    </row>
    <row r="5">
      <c r="A5" s="10" t="inlineStr">
        <is>
          <t>받을어음·매출채권</t>
        </is>
      </c>
      <c r="D5" s="11" t="n">
        <v>16.3394</v>
      </c>
      <c r="F5" s="11" t="n">
        <v>20.7227</v>
      </c>
      <c r="Z5" s="11" t="n">
        <v>16.3394</v>
      </c>
    </row>
    <row r="6">
      <c r="A6" s="10" t="inlineStr">
        <is>
          <t>매출채권·계약자산</t>
        </is>
      </c>
      <c r="C6" s="11" t="n">
        <v>18.0263</v>
      </c>
      <c r="D6" s="11" t="n">
        <v>16.3394</v>
      </c>
      <c r="E6" s="11" t="n">
        <v>16.846</v>
      </c>
      <c r="G6" s="11" t="n">
        <v>18.5974</v>
      </c>
      <c r="H6" s="11" t="n">
        <v>17.8953</v>
      </c>
      <c r="W6" s="11" t="n">
        <v>1.5087</v>
      </c>
      <c r="X6" s="11" t="n">
        <v>2.024</v>
      </c>
      <c r="Y6" s="11" t="n">
        <v>4.1189</v>
      </c>
      <c r="Z6" s="11" t="n">
        <v>16.3394</v>
      </c>
      <c r="AA6" s="11" t="n">
        <v>17.8953</v>
      </c>
    </row>
    <row r="7">
      <c r="A7" s="10" t="inlineStr">
        <is>
          <t>선급비용</t>
        </is>
      </c>
      <c r="W7" s="11" t="n">
        <v>0.1624</v>
      </c>
      <c r="X7" s="11" t="n">
        <v>0.2645</v>
      </c>
    </row>
    <row r="8">
      <c r="A8" s="10" t="inlineStr">
        <is>
          <t>매출채권·계약자산</t>
        </is>
      </c>
      <c r="L8" s="11" t="n">
        <v>22.2071</v>
      </c>
      <c r="N8" s="11" t="n">
        <v>20.0384</v>
      </c>
      <c r="AB8" s="11" t="n">
        <v>22.2071</v>
      </c>
    </row>
    <row r="9">
      <c r="A9" s="10" t="inlineStr">
        <is>
          <t>매출채권·계약자산</t>
        </is>
      </c>
      <c r="H9" s="11" t="n">
        <v>17.8953</v>
      </c>
      <c r="I9" s="11" t="n">
        <v>16.5299</v>
      </c>
      <c r="J9" s="11" t="n">
        <v>17.3402</v>
      </c>
      <c r="K9" s="11" t="n">
        <v>18.6127</v>
      </c>
      <c r="L9" s="11" t="n">
        <v>22.2071</v>
      </c>
      <c r="M9" s="11" t="n">
        <v>18.4021</v>
      </c>
      <c r="O9" s="11" t="n">
        <v>18.9029</v>
      </c>
      <c r="AA9" s="11" t="n">
        <v>17.8953</v>
      </c>
      <c r="AB9" s="11" t="n">
        <v>22.2071</v>
      </c>
    </row>
    <row r="10">
      <c r="A10" s="10" t="inlineStr">
        <is>
          <t>매출채권·계약자산</t>
        </is>
      </c>
      <c r="H10" s="11" t="n">
        <v>17.8953</v>
      </c>
      <c r="L10" s="11" t="n">
        <v>22.2071</v>
      </c>
      <c r="P10" s="11" t="n">
        <v>22.4969</v>
      </c>
      <c r="T10" s="11" t="n">
        <v>22.4567</v>
      </c>
      <c r="AA10" s="11" t="n">
        <v>17.8953</v>
      </c>
      <c r="AB10" s="11" t="n">
        <v>22.2071</v>
      </c>
      <c r="AC10" s="11" t="n">
        <v>22.4969</v>
      </c>
      <c r="AD10" s="11" t="n">
        <v>22.4567</v>
      </c>
    </row>
    <row r="11">
      <c r="A11" s="10" t="inlineStr">
        <is>
          <t>매출채권·계약자산</t>
        </is>
      </c>
      <c r="P11" s="11" t="n">
        <v>22.4969</v>
      </c>
      <c r="Q11" s="11" t="n">
        <v>16.4351</v>
      </c>
      <c r="R11" s="11" t="n">
        <v>17.6161</v>
      </c>
      <c r="S11" s="11" t="n">
        <v>18.9423</v>
      </c>
      <c r="T11" s="11" t="n">
        <v>22.4567</v>
      </c>
      <c r="U11" s="11" t="n">
        <v>18.8579</v>
      </c>
      <c r="V11" s="11" t="n">
        <v>21.7738</v>
      </c>
      <c r="AC11" s="11" t="n">
        <v>22.4969</v>
      </c>
      <c r="AD11" s="11" t="n">
        <v>22.4567</v>
      </c>
    </row>
    <row r="12">
      <c r="A12" s="10" t="inlineStr">
        <is>
          <t>기타</t>
        </is>
      </c>
      <c r="C12" s="11" t="n">
        <v>1.9245</v>
      </c>
      <c r="D12" s="11" t="n">
        <v>3.3077</v>
      </c>
      <c r="E12" s="11" t="n">
        <v>2.8309</v>
      </c>
      <c r="F12" s="11" t="n">
        <v>2.3783</v>
      </c>
      <c r="G12" s="11" t="n">
        <v>1.6629</v>
      </c>
      <c r="H12" s="11" t="n">
        <v>3.4032</v>
      </c>
      <c r="I12" s="11" t="n">
        <v>4.0205</v>
      </c>
      <c r="J12" s="11" t="n">
        <v>4.2531</v>
      </c>
      <c r="K12" s="11" t="n">
        <v>4.0248</v>
      </c>
      <c r="L12" s="11" t="n">
        <v>4.5422</v>
      </c>
      <c r="M12" s="11" t="n">
        <v>4.5697</v>
      </c>
      <c r="N12" s="11" t="n">
        <v>5.2798</v>
      </c>
      <c r="O12" s="11" t="n">
        <v>3.9823</v>
      </c>
      <c r="P12" s="11" t="n">
        <v>3.1904</v>
      </c>
      <c r="Q12" s="11" t="n">
        <v>2.6412</v>
      </c>
      <c r="R12" s="11" t="n">
        <v>2.6981</v>
      </c>
      <c r="S12" s="11" t="n">
        <v>2.7034</v>
      </c>
      <c r="T12" s="11" t="n">
        <v>3.3538</v>
      </c>
      <c r="U12" s="11" t="n">
        <v>4.344</v>
      </c>
      <c r="V12" s="11" t="n">
        <v>4.7667</v>
      </c>
      <c r="W12" s="11" t="n">
        <v>0.1124</v>
      </c>
      <c r="X12" s="11" t="n">
        <v>0.0988</v>
      </c>
      <c r="Y12" s="11" t="n">
        <v>0.2999</v>
      </c>
      <c r="Z12" s="11" t="n">
        <v>3.3077</v>
      </c>
      <c r="AA12" s="11" t="n">
        <v>3.4032</v>
      </c>
      <c r="AB12" s="11" t="n">
        <v>4.5422</v>
      </c>
      <c r="AC12" s="11" t="n">
        <v>3.1904</v>
      </c>
      <c r="AD12" s="11" t="n">
        <v>3.3538</v>
      </c>
    </row>
    <row r="13">
      <c r="A13" s="10" t="inlineStr">
        <is>
          <t>대손충당금</t>
        </is>
      </c>
      <c r="D13" s="11" t="n">
        <v>-0.115</v>
      </c>
      <c r="F13" s="11" t="n">
        <v>-0.1941</v>
      </c>
      <c r="Z13" s="11" t="n">
        <v>-0.115</v>
      </c>
    </row>
    <row r="14">
      <c r="A14" s="10" t="inlineStr">
        <is>
          <t>대손충당금</t>
        </is>
      </c>
      <c r="C14" s="11" t="n">
        <v>-0.2857</v>
      </c>
      <c r="D14" s="11" t="n">
        <v>-0.115</v>
      </c>
      <c r="G14" s="11" t="n">
        <v>-0.1774</v>
      </c>
      <c r="Y14" s="11" t="n">
        <v>0</v>
      </c>
      <c r="Z14" s="11" t="n">
        <v>-0.115</v>
      </c>
    </row>
    <row r="15">
      <c r="A15" s="10" t="inlineStr">
        <is>
          <t>대손충당금</t>
        </is>
      </c>
      <c r="D15" s="11" t="n">
        <v>-0.115</v>
      </c>
      <c r="E15" s="11" t="n">
        <v>-0.1585</v>
      </c>
      <c r="H15" s="11" t="n">
        <v>-0.1537</v>
      </c>
      <c r="I15" s="11" t="n">
        <v>-0.1556</v>
      </c>
      <c r="J15" s="11" t="n">
        <v>-0.0834</v>
      </c>
      <c r="K15" s="11" t="n">
        <v>-0.1061</v>
      </c>
      <c r="L15" s="11" t="n">
        <v>-0.1377</v>
      </c>
      <c r="M15" s="11" t="n">
        <v>-0.1597</v>
      </c>
      <c r="N15" s="11" t="n">
        <v>-0.1193</v>
      </c>
      <c r="O15" s="11" t="n">
        <v>-0.1129</v>
      </c>
      <c r="P15" s="11" t="n">
        <v>-0.1061</v>
      </c>
      <c r="Q15" s="11" t="n">
        <v>-0.1202</v>
      </c>
      <c r="R15" s="11" t="n">
        <v>-0.1324</v>
      </c>
      <c r="S15" s="11" t="n">
        <v>-0.1197</v>
      </c>
      <c r="T15" s="11" t="n">
        <v>-0.1436</v>
      </c>
      <c r="U15" s="11" t="n">
        <v>-0.1563</v>
      </c>
      <c r="V15" s="11" t="n">
        <v>-0.1298</v>
      </c>
      <c r="Z15" s="11" t="n">
        <v>-0.115</v>
      </c>
      <c r="AA15" s="11" t="n">
        <v>-0.1537</v>
      </c>
      <c r="AB15" s="11" t="n">
        <v>-0.1377</v>
      </c>
      <c r="AC15" s="11" t="n">
        <v>-0.1061</v>
      </c>
      <c r="AD15" s="11" t="n">
        <v>-0.1436</v>
      </c>
    </row>
    <row r="16">
      <c r="A16" s="10" t="inlineStr">
        <is>
          <t>유동자산 합계</t>
        </is>
      </c>
      <c r="C16" s="11" t="n">
        <v>52.5273</v>
      </c>
      <c r="D16" s="11" t="n">
        <v>50.7627</v>
      </c>
      <c r="E16" s="11" t="n">
        <v>49.0632</v>
      </c>
      <c r="F16" s="11" t="n">
        <v>56.1545</v>
      </c>
      <c r="G16" s="11" t="n">
        <v>56.8295</v>
      </c>
      <c r="H16" s="11" t="n">
        <v>59.8957</v>
      </c>
      <c r="I16" s="11" t="n">
        <v>55.5344</v>
      </c>
      <c r="J16" s="11" t="n">
        <v>60.236</v>
      </c>
      <c r="K16" s="11" t="n">
        <v>62.2291</v>
      </c>
      <c r="L16" s="11" t="n">
        <v>69.6815</v>
      </c>
      <c r="M16" s="11" t="n">
        <v>63.6823</v>
      </c>
      <c r="N16" s="11" t="n">
        <v>67.0658</v>
      </c>
      <c r="O16" s="11" t="n">
        <v>64.2903</v>
      </c>
      <c r="P16" s="11" t="n">
        <v>71.5354</v>
      </c>
      <c r="Q16" s="11" t="n">
        <v>65.56570000000001</v>
      </c>
      <c r="R16" s="11" t="n">
        <v>62.6761</v>
      </c>
      <c r="S16" s="11" t="n">
        <v>66.7359</v>
      </c>
      <c r="T16" s="11" t="n">
        <v>75.542</v>
      </c>
      <c r="U16" s="11" t="n">
        <v>70.11669999999999</v>
      </c>
      <c r="V16" s="11" t="n">
        <v>73.1557</v>
      </c>
      <c r="W16" s="11" t="n">
        <v>4.1287</v>
      </c>
      <c r="X16" s="11" t="n">
        <v>5.5976</v>
      </c>
      <c r="Y16" s="11" t="n">
        <v>17.9942</v>
      </c>
      <c r="Z16" s="11" t="n">
        <v>50.7627</v>
      </c>
      <c r="AA16" s="11" t="n">
        <v>59.8957</v>
      </c>
      <c r="AB16" s="11" t="n">
        <v>69.6815</v>
      </c>
      <c r="AC16" s="11" t="n">
        <v>71.5354</v>
      </c>
      <c r="AD16" s="11" t="n">
        <v>75.542</v>
      </c>
    </row>
    <row r="17">
      <c r="A17" s="10" t="inlineStr">
        <is>
          <t>건물 부속설비</t>
        </is>
      </c>
      <c r="D17" s="11" t="n">
        <v>0.219</v>
      </c>
      <c r="H17" s="11" t="n">
        <v>0.219</v>
      </c>
      <c r="L17" s="11" t="n">
        <v>0.2291</v>
      </c>
      <c r="P17" s="11" t="n">
        <v>0.5517</v>
      </c>
      <c r="T17" s="11" t="n">
        <v>1.278</v>
      </c>
      <c r="W17" s="11" t="n">
        <v>0.1067</v>
      </c>
      <c r="X17" s="11" t="n">
        <v>0.1067</v>
      </c>
      <c r="Y17" s="11" t="n">
        <v>0.219</v>
      </c>
      <c r="Z17" s="11" t="n">
        <v>0.219</v>
      </c>
      <c r="AA17" s="11" t="n">
        <v>0.219</v>
      </c>
      <c r="AB17" s="11" t="n">
        <v>0.2291</v>
      </c>
      <c r="AC17" s="11" t="n">
        <v>0.5517</v>
      </c>
      <c r="AD17" s="11" t="n">
        <v>1.278</v>
      </c>
    </row>
    <row r="18">
      <c r="A18" s="10" t="inlineStr">
        <is>
          <t>공구·기구·비품</t>
        </is>
      </c>
      <c r="D18" s="11" t="n">
        <v>2.0299</v>
      </c>
      <c r="H18" s="11" t="n">
        <v>2.7378</v>
      </c>
      <c r="L18" s="11" t="n">
        <v>0.9091</v>
      </c>
      <c r="P18" s="11" t="n">
        <v>1.0511</v>
      </c>
      <c r="T18" s="11" t="n">
        <v>1.633</v>
      </c>
      <c r="W18" s="11" t="n">
        <v>0.2418</v>
      </c>
      <c r="X18" s="11" t="n">
        <v>0.3354</v>
      </c>
      <c r="Y18" s="11" t="n">
        <v>0.4519</v>
      </c>
      <c r="Z18" s="11" t="n">
        <v>2.0299</v>
      </c>
      <c r="AA18" s="11" t="n">
        <v>2.7378</v>
      </c>
      <c r="AB18" s="11" t="n">
        <v>0.9091</v>
      </c>
      <c r="AC18" s="11" t="n">
        <v>1.0511</v>
      </c>
      <c r="AD18" s="11" t="n">
        <v>1.633</v>
      </c>
    </row>
    <row r="19">
      <c r="A19" s="10" t="inlineStr">
        <is>
          <t>감가상각누계액</t>
        </is>
      </c>
      <c r="D19" s="11" t="n">
        <v>-1.5809</v>
      </c>
      <c r="H19" s="11" t="n">
        <v>-2.1554</v>
      </c>
      <c r="L19" s="11" t="n">
        <v>-0.7986</v>
      </c>
      <c r="P19" s="11" t="n">
        <v>-1.3076</v>
      </c>
      <c r="T19" s="11" t="n">
        <v>-1.7517</v>
      </c>
      <c r="W19" s="11" t="n">
        <v>-0.1416</v>
      </c>
      <c r="X19" s="11" t="n">
        <v>-0.2809</v>
      </c>
      <c r="Y19" s="11" t="n">
        <v>-0.4409</v>
      </c>
      <c r="Z19" s="11" t="n">
        <v>-1.5809</v>
      </c>
      <c r="AA19" s="11" t="n">
        <v>-2.1554</v>
      </c>
      <c r="AB19" s="11" t="n">
        <v>-0.7986</v>
      </c>
      <c r="AC19" s="11" t="n">
        <v>-1.3076</v>
      </c>
      <c r="AD19" s="11" t="n">
        <v>-1.7517</v>
      </c>
    </row>
    <row r="20">
      <c r="A20" s="10" t="inlineStr">
        <is>
          <t>건설중인자산</t>
        </is>
      </c>
      <c r="W20" s="11" t="n">
        <v>0</v>
      </c>
      <c r="X20" s="11" t="n">
        <v>0.0147</v>
      </c>
    </row>
    <row r="21">
      <c r="A21" s="10" t="inlineStr">
        <is>
          <t>유형자산</t>
        </is>
      </c>
      <c r="C21" s="11" t="n">
        <v>0.5553</v>
      </c>
      <c r="D21" s="11" t="n">
        <v>0.668</v>
      </c>
      <c r="E21" s="11" t="n">
        <v>0.6973</v>
      </c>
      <c r="F21" s="11" t="n">
        <v>0.8113</v>
      </c>
      <c r="G21" s="11" t="n">
        <v>0.8932</v>
      </c>
      <c r="H21" s="11" t="n">
        <v>0.8014</v>
      </c>
      <c r="I21" s="11" t="n">
        <v>0.8379</v>
      </c>
      <c r="J21" s="11" t="n">
        <v>0.9974</v>
      </c>
      <c r="K21" s="11" t="n">
        <v>1.0373</v>
      </c>
      <c r="L21" s="11" t="n">
        <v>0.3395</v>
      </c>
      <c r="M21" s="11" t="n">
        <v>0.3321</v>
      </c>
      <c r="N21" s="11" t="n">
        <v>0.3132</v>
      </c>
      <c r="O21" s="11" t="n">
        <v>0.3122</v>
      </c>
      <c r="P21" s="11" t="n">
        <v>0.2953</v>
      </c>
      <c r="Q21" s="11" t="n">
        <v>1.038</v>
      </c>
      <c r="R21" s="11" t="n">
        <v>1.4146</v>
      </c>
      <c r="S21" s="11" t="n">
        <v>1.3085</v>
      </c>
      <c r="T21" s="11" t="n">
        <v>1.1594</v>
      </c>
      <c r="U21" s="11" t="n">
        <v>1.1241</v>
      </c>
      <c r="V21" s="11" t="n">
        <v>1.268</v>
      </c>
      <c r="W21" s="11" t="n">
        <v>0.2069</v>
      </c>
      <c r="X21" s="11" t="n">
        <v>0.1759</v>
      </c>
      <c r="Y21" s="11" t="n">
        <v>0.23</v>
      </c>
      <c r="Z21" s="11" t="n">
        <v>0.668</v>
      </c>
      <c r="AA21" s="11" t="n">
        <v>0.8014</v>
      </c>
      <c r="AB21" s="11" t="n">
        <v>0.3395</v>
      </c>
      <c r="AC21" s="11" t="n">
        <v>0.2953</v>
      </c>
      <c r="AD21" s="11" t="n">
        <v>1.1594</v>
      </c>
    </row>
    <row r="22">
      <c r="A22" s="10" t="inlineStr">
        <is>
          <t>소프트웨어</t>
        </is>
      </c>
      <c r="C22" s="11" t="n">
        <v>9.326000000000001</v>
      </c>
      <c r="D22" s="11" t="n">
        <v>0.5374</v>
      </c>
      <c r="E22" s="11" t="n">
        <v>0.9136</v>
      </c>
      <c r="F22" s="11" t="n">
        <v>1.5059</v>
      </c>
      <c r="G22" s="11" t="n">
        <v>2.1559</v>
      </c>
      <c r="H22" s="11" t="n">
        <v>2.502</v>
      </c>
      <c r="I22" s="11" t="n">
        <v>2.7477</v>
      </c>
      <c r="J22" s="11" t="n">
        <v>3.3023</v>
      </c>
      <c r="K22" s="11" t="n">
        <v>3.7448</v>
      </c>
      <c r="L22" s="11" t="n">
        <v>0</v>
      </c>
      <c r="Y22" s="11" t="n">
        <v>0</v>
      </c>
      <c r="Z22" s="11" t="n">
        <v>0.5374</v>
      </c>
      <c r="AA22" s="11" t="n">
        <v>2.502</v>
      </c>
      <c r="AB22" s="11" t="n">
        <v>0</v>
      </c>
    </row>
    <row r="23">
      <c r="A23" s="10" t="inlineStr">
        <is>
          <t>마케팅 관련 자산</t>
        </is>
      </c>
      <c r="D23" s="11" t="n">
        <v>2.2481</v>
      </c>
      <c r="Y23" s="11" t="n">
        <v>0</v>
      </c>
      <c r="Z23" s="11" t="n">
        <v>2.2481</v>
      </c>
    </row>
    <row r="24">
      <c r="A24" s="10" t="inlineStr">
        <is>
          <t>기술 관련 자산</t>
        </is>
      </c>
      <c r="D24" s="11" t="n">
        <v>14.4853</v>
      </c>
      <c r="Y24" s="11" t="n">
        <v>0</v>
      </c>
      <c r="Z24" s="11" t="n">
        <v>14.4853</v>
      </c>
    </row>
    <row r="25">
      <c r="A25" s="10" t="inlineStr">
        <is>
          <t>고객관계자산</t>
        </is>
      </c>
      <c r="D25" s="11" t="n">
        <v>41.8481</v>
      </c>
      <c r="Y25" s="11" t="n">
        <v>0</v>
      </c>
      <c r="Z25" s="11" t="n">
        <v>41.8481</v>
      </c>
    </row>
    <row r="26">
      <c r="A26" s="10" t="inlineStr">
        <is>
          <t>어드바이저 관련 자산</t>
        </is>
      </c>
      <c r="D26" s="11" t="n">
        <v>13.6107</v>
      </c>
      <c r="Y26" s="11" t="n">
        <v>0</v>
      </c>
      <c r="Z26" s="11" t="n">
        <v>13.6107</v>
      </c>
    </row>
    <row r="27">
      <c r="A27" s="10" t="inlineStr">
        <is>
          <t>마케팅 관련 자산</t>
        </is>
      </c>
      <c r="D27" s="11" t="n">
        <v>2.2481</v>
      </c>
      <c r="E27" s="11" t="n">
        <v>2.3365</v>
      </c>
      <c r="F27" s="11" t="n">
        <v>2.5472</v>
      </c>
      <c r="G27" s="11" t="n">
        <v>2.6329</v>
      </c>
      <c r="H27" s="11" t="n">
        <v>2.3524</v>
      </c>
      <c r="I27" s="11" t="n">
        <v>2.3064</v>
      </c>
      <c r="J27" s="11" t="n">
        <v>2.4385</v>
      </c>
      <c r="K27" s="11" t="n">
        <v>2.4477</v>
      </c>
      <c r="Z27" s="11" t="n">
        <v>2.2481</v>
      </c>
      <c r="AA27" s="11" t="n">
        <v>2.3524</v>
      </c>
    </row>
    <row r="28">
      <c r="A28" s="10" t="inlineStr">
        <is>
          <t>기술 관련 자산</t>
        </is>
      </c>
      <c r="D28" s="11" t="n">
        <v>14.4853</v>
      </c>
      <c r="E28" s="11" t="n">
        <v>14.9163</v>
      </c>
      <c r="F28" s="11" t="n">
        <v>16.1026</v>
      </c>
      <c r="G28" s="11" t="n">
        <v>16.4721</v>
      </c>
      <c r="H28" s="11" t="n">
        <v>14.5555</v>
      </c>
      <c r="I28" s="11" t="n">
        <v>14.1041</v>
      </c>
      <c r="J28" s="11" t="n">
        <v>14.7255</v>
      </c>
      <c r="K28" s="11" t="n">
        <v>14.584</v>
      </c>
      <c r="Z28" s="11" t="n">
        <v>14.4853</v>
      </c>
      <c r="AA28" s="11" t="n">
        <v>14.5555</v>
      </c>
    </row>
    <row r="29">
      <c r="A29" s="10" t="inlineStr">
        <is>
          <t>고객관계자산</t>
        </is>
      </c>
      <c r="D29" s="11" t="n">
        <v>41.8481</v>
      </c>
      <c r="E29" s="11" t="n">
        <v>43.7748</v>
      </c>
      <c r="F29" s="11" t="n">
        <v>48.043</v>
      </c>
      <c r="G29" s="11" t="n">
        <v>50.0077</v>
      </c>
      <c r="H29" s="11" t="n">
        <v>45.0074</v>
      </c>
      <c r="I29" s="11" t="n">
        <v>44.4655</v>
      </c>
      <c r="J29" s="11" t="n">
        <v>47.3876</v>
      </c>
      <c r="K29" s="11" t="n">
        <v>47.9653</v>
      </c>
      <c r="Z29" s="11" t="n">
        <v>41.8481</v>
      </c>
      <c r="AA29" s="11" t="n">
        <v>45.0074</v>
      </c>
    </row>
    <row r="30">
      <c r="A30" s="10" t="inlineStr">
        <is>
          <t>어드바이저 관련 자산</t>
        </is>
      </c>
      <c r="D30" s="11" t="n">
        <v>13.6107</v>
      </c>
      <c r="E30" s="11" t="n">
        <v>14.2788</v>
      </c>
      <c r="F30" s="11" t="n">
        <v>15.7182</v>
      </c>
      <c r="G30" s="11" t="n">
        <v>16.4118</v>
      </c>
      <c r="H30" s="11" t="n">
        <v>14.8182</v>
      </c>
      <c r="I30" s="11" t="n">
        <v>14.6883</v>
      </c>
      <c r="J30" s="11" t="n">
        <v>15.7073</v>
      </c>
      <c r="K30" s="11" t="n">
        <v>15.9552</v>
      </c>
      <c r="Z30" s="11" t="n">
        <v>13.6107</v>
      </c>
      <c r="AA30" s="11" t="n">
        <v>14.8182</v>
      </c>
    </row>
    <row r="31">
      <c r="A31" s="10" t="inlineStr">
        <is>
          <t>마케팅 관련 자산</t>
        </is>
      </c>
      <c r="D31" s="11" t="n">
        <v>2.2481</v>
      </c>
      <c r="H31" s="11" t="n">
        <v>2.3524</v>
      </c>
      <c r="L31" s="11" t="n">
        <v>0</v>
      </c>
      <c r="Z31" s="11" t="n">
        <v>2.2481</v>
      </c>
      <c r="AA31" s="11" t="n">
        <v>2.3524</v>
      </c>
      <c r="AB31" s="11" t="n">
        <v>0</v>
      </c>
    </row>
    <row r="32">
      <c r="A32" s="10" t="inlineStr">
        <is>
          <t>기술 관련 자산</t>
        </is>
      </c>
      <c r="D32" s="11" t="n">
        <v>14.4853</v>
      </c>
      <c r="H32" s="11" t="n">
        <v>14.5555</v>
      </c>
      <c r="L32" s="11" t="n">
        <v>0</v>
      </c>
      <c r="Z32" s="11" t="n">
        <v>14.4853</v>
      </c>
      <c r="AA32" s="11" t="n">
        <v>14.5555</v>
      </c>
      <c r="AB32" s="11" t="n">
        <v>0</v>
      </c>
    </row>
    <row r="33">
      <c r="A33" s="10" t="inlineStr">
        <is>
          <t>고객관계자산</t>
        </is>
      </c>
      <c r="D33" s="11" t="n">
        <v>41.8481</v>
      </c>
      <c r="H33" s="11" t="n">
        <v>45.0074</v>
      </c>
      <c r="L33" s="11" t="n">
        <v>0</v>
      </c>
      <c r="Z33" s="11" t="n">
        <v>41.8481</v>
      </c>
      <c r="AA33" s="11" t="n">
        <v>45.0074</v>
      </c>
      <c r="AB33" s="11" t="n">
        <v>0</v>
      </c>
    </row>
    <row r="34">
      <c r="A34" s="10" t="inlineStr">
        <is>
          <t>어드바이저 관련 자산</t>
        </is>
      </c>
      <c r="D34" s="11" t="n">
        <v>13.6107</v>
      </c>
      <c r="H34" s="11" t="n">
        <v>14.8182</v>
      </c>
      <c r="L34" s="11" t="n">
        <v>0</v>
      </c>
      <c r="Z34" s="11" t="n">
        <v>13.6107</v>
      </c>
      <c r="AA34" s="11" t="n">
        <v>14.8182</v>
      </c>
      <c r="AB34" s="11" t="n">
        <v>0</v>
      </c>
    </row>
    <row r="35">
      <c r="A35" s="10" t="inlineStr">
        <is>
          <t>영업권</t>
        </is>
      </c>
      <c r="C35" s="11" t="n">
        <v>103.1355</v>
      </c>
      <c r="D35" s="11" t="n">
        <v>61.2334</v>
      </c>
      <c r="E35" s="11" t="n">
        <v>64.1844</v>
      </c>
      <c r="F35" s="11" t="n">
        <v>70.5925</v>
      </c>
      <c r="G35" s="11" t="n">
        <v>73.6408</v>
      </c>
      <c r="H35" s="11" t="n">
        <v>66.428</v>
      </c>
      <c r="I35" s="11" t="n">
        <v>65.7825</v>
      </c>
      <c r="J35" s="11" t="n">
        <v>70.2761</v>
      </c>
      <c r="K35" s="11" t="n">
        <v>71.31229999999999</v>
      </c>
      <c r="L35" s="11" t="n">
        <v>0</v>
      </c>
      <c r="Y35" s="11" t="n">
        <v>0</v>
      </c>
      <c r="Z35" s="11" t="n">
        <v>61.2334</v>
      </c>
      <c r="AA35" s="11" t="n">
        <v>66.428</v>
      </c>
      <c r="AB35" s="11" t="n">
        <v>0</v>
      </c>
    </row>
    <row r="36">
      <c r="A36" s="10" t="inlineStr">
        <is>
          <t>무형자산 합계</t>
        </is>
      </c>
      <c r="C36" s="11" t="n">
        <v>112.4614</v>
      </c>
      <c r="D36" s="11" t="n">
        <v>133.963</v>
      </c>
      <c r="E36" s="11" t="n">
        <v>140.4046</v>
      </c>
      <c r="F36" s="11" t="n">
        <v>154.5094</v>
      </c>
      <c r="G36" s="11" t="n">
        <v>161.3212</v>
      </c>
      <c r="H36" s="11" t="n">
        <v>145.6636</v>
      </c>
      <c r="I36" s="11" t="n">
        <v>144.0946</v>
      </c>
      <c r="J36" s="11" t="n">
        <v>153.8373</v>
      </c>
      <c r="K36" s="11" t="n">
        <v>156.0094</v>
      </c>
      <c r="L36" s="11" t="n">
        <v>0</v>
      </c>
      <c r="Y36" s="11" t="n">
        <v>0</v>
      </c>
      <c r="Z36" s="11" t="n">
        <v>133.963</v>
      </c>
      <c r="AA36" s="11" t="n">
        <v>145.6636</v>
      </c>
      <c r="AB36" s="11" t="n">
        <v>0</v>
      </c>
    </row>
    <row r="37">
      <c r="A37" s="10" t="inlineStr">
        <is>
          <t>장기투자</t>
        </is>
      </c>
      <c r="D37" s="11" t="n">
        <v>0.3247</v>
      </c>
      <c r="H37" s="11" t="n">
        <v>0.3247</v>
      </c>
      <c r="L37" s="11" t="n">
        <v>0</v>
      </c>
      <c r="Y37" s="11" t="n">
        <v>0.3247</v>
      </c>
      <c r="Z37" s="11" t="n">
        <v>0.3247</v>
      </c>
      <c r="AA37" s="11" t="n">
        <v>0.3247</v>
      </c>
      <c r="AB37" s="11" t="n">
        <v>0</v>
      </c>
    </row>
    <row r="38">
      <c r="A38" s="10" t="inlineStr">
        <is>
          <t>임차보증금·보증금</t>
        </is>
      </c>
      <c r="D38" s="11" t="n">
        <v>0.8688</v>
      </c>
      <c r="H38" s="11" t="n">
        <v>0.8731</v>
      </c>
      <c r="L38" s="11" t="n">
        <v>0.8458</v>
      </c>
      <c r="P38" s="11" t="n">
        <v>0.8487</v>
      </c>
      <c r="T38" s="11" t="n">
        <v>0.9882</v>
      </c>
      <c r="W38" s="11" t="n">
        <v>0.4345</v>
      </c>
      <c r="X38" s="11" t="n">
        <v>0.669</v>
      </c>
      <c r="Y38" s="11" t="n">
        <v>0.6824</v>
      </c>
      <c r="Z38" s="11" t="n">
        <v>0.8688</v>
      </c>
      <c r="AA38" s="11" t="n">
        <v>0.8731</v>
      </c>
      <c r="AB38" s="11" t="n">
        <v>0.8458</v>
      </c>
      <c r="AC38" s="11" t="n">
        <v>0.8487</v>
      </c>
      <c r="AD38" s="11" t="n">
        <v>0.9882</v>
      </c>
    </row>
    <row r="39">
      <c r="A39" s="10" t="inlineStr">
        <is>
          <t>이연법인세자산</t>
        </is>
      </c>
      <c r="W39" s="11" t="n">
        <v>0.0361</v>
      </c>
      <c r="X39" s="11" t="n">
        <v>0.035</v>
      </c>
    </row>
    <row r="40">
      <c r="A40" s="10" t="inlineStr">
        <is>
          <t>이연법인세자산</t>
        </is>
      </c>
      <c r="D40" s="11" t="n">
        <v>0.6884</v>
      </c>
      <c r="H40" s="11" t="n">
        <v>1.0032</v>
      </c>
      <c r="L40" s="11" t="n">
        <v>1.6752</v>
      </c>
      <c r="P40" s="11" t="n">
        <v>1.8942</v>
      </c>
      <c r="T40" s="11" t="n">
        <v>2.5826</v>
      </c>
      <c r="Y40" s="11" t="n">
        <v>0.4565</v>
      </c>
      <c r="Z40" s="11" t="n">
        <v>0.6884</v>
      </c>
      <c r="AA40" s="11" t="n">
        <v>1.0032</v>
      </c>
      <c r="AB40" s="11" t="n">
        <v>1.6752</v>
      </c>
      <c r="AC40" s="11" t="n">
        <v>1.8942</v>
      </c>
      <c r="AD40" s="11" t="n">
        <v>2.5826</v>
      </c>
    </row>
    <row r="41">
      <c r="A41" s="10" t="inlineStr">
        <is>
          <t>장기선급비용</t>
        </is>
      </c>
      <c r="D41" s="11" t="n">
        <v>0.232</v>
      </c>
      <c r="H41" s="11" t="n">
        <v>0.2818</v>
      </c>
      <c r="L41" s="11" t="n">
        <v>0.3966</v>
      </c>
      <c r="P41" s="11" t="n">
        <v>0.5326</v>
      </c>
      <c r="T41" s="11" t="n">
        <v>0.6441</v>
      </c>
      <c r="W41" s="11" t="n">
        <v>0</v>
      </c>
      <c r="X41" s="11" t="n">
        <v>0.0047</v>
      </c>
      <c r="Y41" s="11" t="n">
        <v>0.0036</v>
      </c>
      <c r="Z41" s="11" t="n">
        <v>0.232</v>
      </c>
      <c r="AA41" s="11" t="n">
        <v>0.2818</v>
      </c>
      <c r="AB41" s="11" t="n">
        <v>0.3966</v>
      </c>
      <c r="AC41" s="11" t="n">
        <v>0.5326</v>
      </c>
      <c r="AD41" s="11" t="n">
        <v>0.6441</v>
      </c>
    </row>
    <row r="42">
      <c r="A42" s="10" t="inlineStr">
        <is>
          <t>투자 및 기타자산</t>
        </is>
      </c>
      <c r="C42" s="11" t="n">
        <v>1.9321</v>
      </c>
      <c r="D42" s="11" t="n">
        <v>2.1139</v>
      </c>
      <c r="E42" s="11" t="n">
        <v>1.7719</v>
      </c>
      <c r="F42" s="11" t="n">
        <v>2.2035</v>
      </c>
      <c r="G42" s="11" t="n">
        <v>2.443</v>
      </c>
      <c r="H42" s="11" t="n">
        <v>2.4829</v>
      </c>
      <c r="I42" s="11" t="n">
        <v>1.9941</v>
      </c>
      <c r="J42" s="11" t="n">
        <v>2.4025</v>
      </c>
      <c r="K42" s="11" t="n">
        <v>2.76</v>
      </c>
      <c r="L42" s="11" t="n">
        <v>2.9177</v>
      </c>
      <c r="M42" s="11" t="n">
        <v>2.371</v>
      </c>
      <c r="N42" s="11" t="n">
        <v>2.7017</v>
      </c>
      <c r="O42" s="11" t="n">
        <v>2.8224</v>
      </c>
      <c r="P42" s="11" t="n">
        <v>3.2755</v>
      </c>
      <c r="Q42" s="11" t="n">
        <v>2.7174</v>
      </c>
      <c r="R42" s="11" t="n">
        <v>3.0883</v>
      </c>
      <c r="S42" s="11" t="n">
        <v>3.3314</v>
      </c>
      <c r="T42" s="11" t="n">
        <v>4.2149</v>
      </c>
      <c r="U42" s="11" t="n">
        <v>4.5183</v>
      </c>
      <c r="V42" s="11" t="n">
        <v>4.9617</v>
      </c>
      <c r="W42" s="11" t="n">
        <v>0.4707</v>
      </c>
      <c r="X42" s="11" t="n">
        <v>0.7087</v>
      </c>
      <c r="Y42" s="11" t="n">
        <v>1.4672</v>
      </c>
      <c r="Z42" s="11" t="n">
        <v>2.1139</v>
      </c>
      <c r="AA42" s="11" t="n">
        <v>2.4829</v>
      </c>
      <c r="AB42" s="11" t="n">
        <v>2.9177</v>
      </c>
      <c r="AC42" s="11" t="n">
        <v>3.2755</v>
      </c>
      <c r="AD42" s="11" t="n">
        <v>4.2149</v>
      </c>
    </row>
    <row r="43">
      <c r="A43" s="10" t="inlineStr">
        <is>
          <t>비유동자산 합계</t>
        </is>
      </c>
      <c r="C43" s="11" t="n">
        <v>114.9488</v>
      </c>
      <c r="D43" s="11" t="n">
        <v>136.7449</v>
      </c>
      <c r="E43" s="11" t="n">
        <v>142.8738</v>
      </c>
      <c r="F43" s="11" t="n">
        <v>157.5242</v>
      </c>
      <c r="G43" s="11" t="n">
        <v>164.6574</v>
      </c>
      <c r="H43" s="11" t="n">
        <v>148.9479</v>
      </c>
      <c r="I43" s="11" t="n">
        <v>146.9266</v>
      </c>
      <c r="J43" s="11" t="n">
        <v>157.2372</v>
      </c>
      <c r="K43" s="11" t="n">
        <v>159.8067</v>
      </c>
      <c r="L43" s="11" t="n">
        <v>3.2572</v>
      </c>
      <c r="M43" s="11" t="n">
        <v>2.7031</v>
      </c>
      <c r="N43" s="11" t="n">
        <v>3.0149</v>
      </c>
      <c r="O43" s="11" t="n">
        <v>3.1346</v>
      </c>
      <c r="P43" s="11" t="n">
        <v>3.5708</v>
      </c>
      <c r="Q43" s="11" t="n">
        <v>3.7554</v>
      </c>
      <c r="R43" s="11" t="n">
        <v>4.5029</v>
      </c>
      <c r="S43" s="11" t="n">
        <v>4.6399</v>
      </c>
      <c r="T43" s="11" t="n">
        <v>5.3743</v>
      </c>
      <c r="U43" s="11" t="n">
        <v>5.6425</v>
      </c>
      <c r="V43" s="11" t="n">
        <v>6.2297</v>
      </c>
      <c r="W43" s="11" t="n">
        <v>0.6776</v>
      </c>
      <c r="X43" s="11" t="n">
        <v>0.8846000000000001</v>
      </c>
      <c r="Y43" s="11" t="n">
        <v>1.6972</v>
      </c>
      <c r="Z43" s="11" t="n">
        <v>136.7449</v>
      </c>
      <c r="AA43" s="11" t="n">
        <v>148.9479</v>
      </c>
      <c r="AB43" s="11" t="n">
        <v>3.2572</v>
      </c>
      <c r="AC43" s="11" t="n">
        <v>3.5708</v>
      </c>
      <c r="AD43" s="11" t="n">
        <v>5.3743</v>
      </c>
    </row>
    <row r="44">
      <c r="A44" s="10" t="inlineStr">
        <is>
          <t>자산 합계</t>
        </is>
      </c>
      <c r="C44" s="11" t="n">
        <v>167.4762</v>
      </c>
      <c r="D44" s="11" t="n">
        <v>187.5076</v>
      </c>
      <c r="E44" s="11" t="n">
        <v>191.937</v>
      </c>
      <c r="F44" s="11" t="n">
        <v>213.6787</v>
      </c>
      <c r="G44" s="11" t="n">
        <v>221.4869</v>
      </c>
      <c r="H44" s="11" t="n">
        <v>208.8436</v>
      </c>
      <c r="I44" s="11" t="n">
        <v>202.4611</v>
      </c>
      <c r="J44" s="11" t="n">
        <v>217.4732</v>
      </c>
      <c r="K44" s="11" t="n">
        <v>222.0358</v>
      </c>
      <c r="L44" s="11" t="n">
        <v>72.9387</v>
      </c>
      <c r="M44" s="11" t="n">
        <v>66.3853</v>
      </c>
      <c r="N44" s="11" t="n">
        <v>70.08069999999999</v>
      </c>
      <c r="O44" s="11" t="n">
        <v>67.42489999999999</v>
      </c>
      <c r="P44" s="11" t="n">
        <v>75.1062</v>
      </c>
      <c r="Q44" s="11" t="n">
        <v>69.3211</v>
      </c>
      <c r="R44" s="11" t="n">
        <v>67.179</v>
      </c>
      <c r="S44" s="11" t="n">
        <v>71.3758</v>
      </c>
      <c r="T44" s="11" t="n">
        <v>80.9162</v>
      </c>
      <c r="U44" s="11" t="n">
        <v>75.75920000000001</v>
      </c>
      <c r="V44" s="11" t="n">
        <v>79.3854</v>
      </c>
      <c r="W44" s="11" t="n">
        <v>4.8063</v>
      </c>
      <c r="X44" s="11" t="n">
        <v>6.4822</v>
      </c>
      <c r="Y44" s="11" t="n">
        <v>19.6914</v>
      </c>
      <c r="Z44" s="11" t="n">
        <v>187.5076</v>
      </c>
      <c r="AA44" s="11" t="n">
        <v>208.8436</v>
      </c>
      <c r="AB44" s="11" t="n">
        <v>72.9387</v>
      </c>
      <c r="AC44" s="11" t="n">
        <v>75.1062</v>
      </c>
      <c r="AD44" s="11" t="n">
        <v>80.9162</v>
      </c>
    </row>
    <row r="45">
      <c r="A45" s="10" t="inlineStr">
        <is>
          <t>매입채무</t>
        </is>
      </c>
      <c r="C45" s="11" t="n">
        <v>1.9263</v>
      </c>
      <c r="D45" s="11" t="n">
        <v>2.3645</v>
      </c>
      <c r="E45" s="11" t="n">
        <v>2.1302</v>
      </c>
      <c r="F45" s="11" t="n">
        <v>2.2368</v>
      </c>
      <c r="G45" s="11" t="n">
        <v>2.519</v>
      </c>
      <c r="H45" s="11" t="n">
        <v>2.6863</v>
      </c>
      <c r="I45" s="11" t="n">
        <v>2.164</v>
      </c>
      <c r="J45" s="11" t="n">
        <v>2.552</v>
      </c>
      <c r="K45" s="11" t="n">
        <v>2.7814</v>
      </c>
      <c r="L45" s="11" t="n">
        <v>3.1414</v>
      </c>
      <c r="M45" s="11" t="n">
        <v>2.3612</v>
      </c>
      <c r="N45" s="11" t="n">
        <v>2.7095</v>
      </c>
      <c r="O45" s="11" t="n">
        <v>2.5739</v>
      </c>
      <c r="P45" s="11" t="n">
        <v>2.9952</v>
      </c>
      <c r="Q45" s="11" t="n">
        <v>2.2801</v>
      </c>
      <c r="R45" s="11" t="n">
        <v>2.5382</v>
      </c>
      <c r="S45" s="11" t="n">
        <v>2.675</v>
      </c>
      <c r="T45" s="11" t="n">
        <v>2.9949</v>
      </c>
      <c r="U45" s="11" t="n">
        <v>2.1224</v>
      </c>
      <c r="V45" s="11" t="n">
        <v>2.5671</v>
      </c>
      <c r="W45" s="11" t="n">
        <v>0.5072</v>
      </c>
      <c r="X45" s="11" t="n">
        <v>0.6825</v>
      </c>
      <c r="Y45" s="11" t="n">
        <v>1.1869</v>
      </c>
      <c r="Z45" s="11" t="n">
        <v>2.3645</v>
      </c>
      <c r="AA45" s="11" t="n">
        <v>2.6863</v>
      </c>
      <c r="AB45" s="11" t="n">
        <v>3.1414</v>
      </c>
      <c r="AC45" s="11" t="n">
        <v>2.9952</v>
      </c>
      <c r="AD45" s="11" t="n">
        <v>2.9949</v>
      </c>
    </row>
    <row r="46">
      <c r="A46" s="10" t="inlineStr">
        <is>
          <t>1년 내 상환 장기차입금</t>
        </is>
      </c>
      <c r="C46" s="11" t="n">
        <v>4.9025</v>
      </c>
      <c r="D46" s="11" t="n">
        <v>4.9025</v>
      </c>
      <c r="E46" s="11" t="n">
        <v>4.5025</v>
      </c>
      <c r="F46" s="11" t="n">
        <v>4.5025</v>
      </c>
      <c r="G46" s="11" t="n">
        <v>3.0025</v>
      </c>
      <c r="H46" s="11" t="n">
        <v>3.2544</v>
      </c>
      <c r="I46" s="11" t="n">
        <v>3.5063</v>
      </c>
      <c r="J46" s="11" t="n">
        <v>3.7581</v>
      </c>
      <c r="K46" s="11" t="n">
        <v>4.01</v>
      </c>
      <c r="L46" s="11" t="n">
        <v>4.2569</v>
      </c>
      <c r="M46" s="11" t="n">
        <v>4.5038</v>
      </c>
      <c r="N46" s="11" t="n">
        <v>4.7506</v>
      </c>
      <c r="O46" s="11" t="n">
        <v>4.9975</v>
      </c>
      <c r="P46" s="11" t="n">
        <v>4.9975</v>
      </c>
      <c r="Q46" s="11" t="n">
        <v>4.9975</v>
      </c>
      <c r="R46" s="11" t="n">
        <v>26.2369</v>
      </c>
      <c r="S46" s="11" t="n">
        <v>24.9875</v>
      </c>
      <c r="T46" s="11" t="n">
        <v>23.7381</v>
      </c>
      <c r="U46" s="11" t="n">
        <v>22.4887</v>
      </c>
      <c r="V46" s="11" t="n">
        <v>4</v>
      </c>
      <c r="W46" s="11" t="n">
        <v>0.1667</v>
      </c>
      <c r="X46" s="11" t="n">
        <v>0.1111</v>
      </c>
      <c r="Y46" s="11" t="n">
        <v>0</v>
      </c>
      <c r="Z46" s="11" t="n">
        <v>4.9025</v>
      </c>
      <c r="AA46" s="11" t="n">
        <v>3.2544</v>
      </c>
      <c r="AB46" s="11" t="n">
        <v>4.2569</v>
      </c>
      <c r="AC46" s="11" t="n">
        <v>4.9975</v>
      </c>
      <c r="AD46" s="11" t="n">
        <v>23.7381</v>
      </c>
    </row>
    <row r="47">
      <c r="A47" s="10" t="inlineStr">
        <is>
          <t>미지급금</t>
        </is>
      </c>
      <c r="C47" s="11" t="n">
        <v>7.0804</v>
      </c>
      <c r="D47" s="11" t="n">
        <v>5.3291</v>
      </c>
      <c r="E47" s="11" t="n">
        <v>2.6182</v>
      </c>
      <c r="F47" s="11" t="n">
        <v>3.1069</v>
      </c>
      <c r="G47" s="11" t="n">
        <v>3.2809</v>
      </c>
      <c r="H47" s="11" t="n">
        <v>3.5759</v>
      </c>
      <c r="I47" s="11" t="n">
        <v>3.1234</v>
      </c>
      <c r="J47" s="11" t="n">
        <v>3.6447</v>
      </c>
      <c r="K47" s="11" t="n">
        <v>3.2848</v>
      </c>
      <c r="L47" s="11" t="n">
        <v>3.6549</v>
      </c>
      <c r="M47" s="11" t="n">
        <v>3.6587</v>
      </c>
      <c r="N47" s="11" t="n">
        <v>5.284</v>
      </c>
      <c r="O47" s="11" t="n">
        <v>4.0105</v>
      </c>
      <c r="P47" s="11" t="n">
        <v>4.5898</v>
      </c>
      <c r="Q47" s="11" t="n">
        <v>4.5622</v>
      </c>
      <c r="R47" s="11" t="n">
        <v>3.784</v>
      </c>
      <c r="S47" s="11" t="n">
        <v>3.7518</v>
      </c>
      <c r="T47" s="11" t="n">
        <v>4.5945</v>
      </c>
      <c r="U47" s="11" t="n">
        <v>4.4473</v>
      </c>
      <c r="V47" s="11" t="n">
        <v>3.8844</v>
      </c>
      <c r="W47" s="11" t="n">
        <v>0.3352</v>
      </c>
      <c r="X47" s="11" t="n">
        <v>0.4379</v>
      </c>
      <c r="Y47" s="11" t="n">
        <v>0.6523</v>
      </c>
      <c r="Z47" s="11" t="n">
        <v>5.3291</v>
      </c>
      <c r="AA47" s="11" t="n">
        <v>3.5759</v>
      </c>
      <c r="AB47" s="11" t="n">
        <v>3.6549</v>
      </c>
      <c r="AC47" s="11" t="n">
        <v>4.5898</v>
      </c>
      <c r="AD47" s="11" t="n">
        <v>4.5945</v>
      </c>
    </row>
    <row r="48">
      <c r="A48" s="10" t="inlineStr">
        <is>
          <t>미지급비용</t>
        </is>
      </c>
      <c r="W48" s="11" t="n">
        <v>0.0948</v>
      </c>
      <c r="X48" s="11" t="n">
        <v>0.2576</v>
      </c>
    </row>
    <row r="49">
      <c r="A49" s="10" t="inlineStr">
        <is>
          <t>리스부채</t>
        </is>
      </c>
      <c r="L49" s="11" t="n">
        <v>0</v>
      </c>
      <c r="P49" s="11" t="n">
        <v>0.3023</v>
      </c>
      <c r="Q49" s="11" t="n">
        <v>0.2887</v>
      </c>
      <c r="R49" s="11" t="n">
        <v>0.2844</v>
      </c>
      <c r="S49" s="11" t="n">
        <v>0.2974</v>
      </c>
      <c r="T49" s="11" t="n">
        <v>0.318</v>
      </c>
      <c r="U49" s="11" t="n">
        <v>0.3302</v>
      </c>
      <c r="V49" s="11" t="n">
        <v>0.3411</v>
      </c>
      <c r="AB49" s="11" t="n">
        <v>0</v>
      </c>
      <c r="AC49" s="11" t="n">
        <v>0.3023</v>
      </c>
      <c r="AD49" s="11" t="n">
        <v>0.318</v>
      </c>
    </row>
    <row r="50">
      <c r="A50" s="10" t="inlineStr">
        <is>
          <t>미지급법인세</t>
        </is>
      </c>
      <c r="C50" s="11" t="n">
        <v>0.9122</v>
      </c>
      <c r="D50" s="11" t="n">
        <v>0.842</v>
      </c>
      <c r="E50" s="11" t="n">
        <v>0</v>
      </c>
      <c r="F50" s="11" t="n">
        <v>0.9854000000000001</v>
      </c>
      <c r="G50" s="11" t="n">
        <v>0.953</v>
      </c>
      <c r="H50" s="11" t="n">
        <v>3.0648</v>
      </c>
      <c r="I50" s="11" t="n">
        <v>0.4842</v>
      </c>
      <c r="J50" s="11" t="n">
        <v>1.7461</v>
      </c>
      <c r="K50" s="11" t="n">
        <v>1.3082</v>
      </c>
      <c r="L50" s="11" t="n">
        <v>2.3158</v>
      </c>
      <c r="M50" s="11" t="n">
        <v>0.6414</v>
      </c>
      <c r="N50" s="11" t="n">
        <v>1.5329</v>
      </c>
      <c r="O50" s="11" t="n">
        <v>0.6569</v>
      </c>
      <c r="P50" s="11" t="n">
        <v>1.033</v>
      </c>
      <c r="Q50" s="11" t="n">
        <v>1.174</v>
      </c>
      <c r="R50" s="11" t="n">
        <v>1.051</v>
      </c>
      <c r="S50" s="11" t="n">
        <v>0.5601</v>
      </c>
      <c r="T50" s="11" t="n">
        <v>2.4326</v>
      </c>
      <c r="U50" s="11" t="n">
        <v>0.6675</v>
      </c>
      <c r="V50" s="11" t="n">
        <v>2.5032</v>
      </c>
      <c r="W50" s="11" t="n">
        <v>0.002</v>
      </c>
      <c r="X50" s="11" t="n">
        <v>0.002</v>
      </c>
      <c r="Y50" s="11" t="n">
        <v>0.5022</v>
      </c>
      <c r="Z50" s="11" t="n">
        <v>0.842</v>
      </c>
      <c r="AA50" s="11" t="n">
        <v>3.0648</v>
      </c>
      <c r="AB50" s="11" t="n">
        <v>2.3158</v>
      </c>
      <c r="AC50" s="11" t="n">
        <v>1.033</v>
      </c>
      <c r="AD50" s="11" t="n">
        <v>2.4326</v>
      </c>
    </row>
    <row r="51">
      <c r="A51" s="10" t="inlineStr">
        <is>
          <t>미지급 소비세</t>
        </is>
      </c>
      <c r="W51" s="11" t="n">
        <v>0.1927</v>
      </c>
      <c r="X51" s="11" t="n">
        <v>0.3843</v>
      </c>
    </row>
    <row r="52">
      <c r="A52" s="10" t="inlineStr">
        <is>
          <t>선수금</t>
        </is>
      </c>
      <c r="C52" s="11" t="n">
        <v>11.2579</v>
      </c>
      <c r="D52" s="11" t="n">
        <v>12.0262</v>
      </c>
      <c r="E52" s="11" t="n">
        <v>14.3131</v>
      </c>
      <c r="F52" s="11" t="n">
        <v>15.4871</v>
      </c>
      <c r="G52" s="11" t="n">
        <v>15.6584</v>
      </c>
      <c r="W52" s="11" t="n">
        <v>0.899</v>
      </c>
      <c r="X52" s="11" t="n">
        <v>1.4052</v>
      </c>
      <c r="Y52" s="11" t="n">
        <v>3.3377</v>
      </c>
      <c r="Z52" s="11" t="n">
        <v>12.0262</v>
      </c>
    </row>
    <row r="53">
      <c r="A53" s="5" t="inlineStr">
        <is>
          <t>선수수익</t>
        </is>
      </c>
      <c r="W53" s="6" t="n">
        <v>0.0516</v>
      </c>
      <c r="X53" s="6" t="n">
        <v>0.0536</v>
      </c>
    </row>
    <row r="54">
      <c r="A54" s="10" t="inlineStr">
        <is>
          <t>미지급 상여</t>
        </is>
      </c>
      <c r="C54" s="11" t="n">
        <v>3.3105</v>
      </c>
      <c r="Y54" s="11" t="n">
        <v>0</v>
      </c>
    </row>
    <row r="55">
      <c r="A55" s="10" t="inlineStr">
        <is>
          <t>계약부채</t>
        </is>
      </c>
      <c r="D55" s="11" t="n">
        <v>12.0262</v>
      </c>
      <c r="H55" s="11" t="n">
        <v>16.4843</v>
      </c>
      <c r="I55" s="11" t="n">
        <v>17.7487</v>
      </c>
      <c r="J55" s="11" t="n">
        <v>18.3509</v>
      </c>
      <c r="K55" s="11" t="n">
        <v>17.4391</v>
      </c>
      <c r="L55" s="11" t="n">
        <v>20.7205</v>
      </c>
      <c r="M55" s="11" t="n">
        <v>17.3279</v>
      </c>
      <c r="N55" s="11" t="n">
        <v>16.6518</v>
      </c>
      <c r="O55" s="11" t="n">
        <v>16.9711</v>
      </c>
      <c r="P55" s="11" t="n">
        <v>20.3326</v>
      </c>
      <c r="Q55" s="11" t="n">
        <v>18.4584</v>
      </c>
      <c r="R55" s="11" t="n">
        <v>16.5395</v>
      </c>
      <c r="S55" s="11" t="n">
        <v>17.5382</v>
      </c>
      <c r="T55" s="11" t="n">
        <v>19.6441</v>
      </c>
      <c r="U55" s="11" t="n">
        <v>18.8131</v>
      </c>
      <c r="V55" s="11" t="n">
        <v>20.0279</v>
      </c>
      <c r="Z55" s="11" t="n">
        <v>12.0262</v>
      </c>
      <c r="AA55" s="11" t="n">
        <v>16.4843</v>
      </c>
      <c r="AB55" s="11" t="n">
        <v>20.7205</v>
      </c>
      <c r="AC55" s="11" t="n">
        <v>20.3326</v>
      </c>
      <c r="AD55" s="11" t="n">
        <v>19.6441</v>
      </c>
    </row>
    <row r="56">
      <c r="A56" s="10" t="inlineStr">
        <is>
          <t>상여충당금</t>
        </is>
      </c>
      <c r="C56" s="11" t="n">
        <v>3.3129</v>
      </c>
      <c r="D56" s="11" t="n">
        <v>3.8947</v>
      </c>
      <c r="E56" s="11" t="n">
        <v>1.5403</v>
      </c>
      <c r="F56" s="11" t="n">
        <v>2.8772</v>
      </c>
      <c r="G56" s="11" t="n">
        <v>3.5819</v>
      </c>
      <c r="H56" s="11" t="n">
        <v>3.2958</v>
      </c>
      <c r="I56" s="11" t="n">
        <v>1.3904</v>
      </c>
      <c r="J56" s="11" t="n">
        <v>2.6673</v>
      </c>
      <c r="K56" s="11" t="n">
        <v>3.9045</v>
      </c>
      <c r="L56" s="11" t="n">
        <v>4.1744</v>
      </c>
      <c r="M56" s="11" t="n">
        <v>1.785</v>
      </c>
      <c r="N56" s="11" t="n">
        <v>3.3912</v>
      </c>
      <c r="O56" s="11" t="n">
        <v>4.4491</v>
      </c>
      <c r="P56" s="11" t="n">
        <v>4.7121</v>
      </c>
      <c r="Q56" s="11" t="n">
        <v>1.6399</v>
      </c>
      <c r="R56" s="11" t="n">
        <v>2.8562</v>
      </c>
      <c r="S56" s="11" t="n">
        <v>4.2104</v>
      </c>
      <c r="T56" s="11" t="n">
        <v>4.7653</v>
      </c>
      <c r="U56" s="11" t="n">
        <v>2.0653</v>
      </c>
      <c r="V56" s="11" t="n">
        <v>3.593</v>
      </c>
      <c r="W56" s="11" t="n">
        <v>0</v>
      </c>
      <c r="X56" s="11" t="n">
        <v>0.0949</v>
      </c>
      <c r="Y56" s="11" t="n">
        <v>0.6143999999999999</v>
      </c>
      <c r="Z56" s="11" t="n">
        <v>3.8947</v>
      </c>
      <c r="AA56" s="11" t="n">
        <v>3.2958</v>
      </c>
      <c r="AB56" s="11" t="n">
        <v>4.1744</v>
      </c>
      <c r="AC56" s="11" t="n">
        <v>4.7121</v>
      </c>
      <c r="AD56" s="11" t="n">
        <v>4.7653</v>
      </c>
    </row>
    <row r="57">
      <c r="A57" s="10" t="inlineStr">
        <is>
          <t>기타</t>
        </is>
      </c>
      <c r="C57" s="11" t="n">
        <v>0.5696</v>
      </c>
      <c r="D57" s="11" t="n">
        <v>0.6041</v>
      </c>
      <c r="E57" s="11" t="n">
        <v>0.9212</v>
      </c>
      <c r="F57" s="11" t="n">
        <v>1.8912</v>
      </c>
      <c r="G57" s="11" t="n">
        <v>2.3451</v>
      </c>
      <c r="H57" s="11" t="n">
        <v>2.8582</v>
      </c>
      <c r="I57" s="11" t="n">
        <v>2.0032</v>
      </c>
      <c r="J57" s="11" t="n">
        <v>2.0732</v>
      </c>
      <c r="K57" s="11" t="n">
        <v>2.5636</v>
      </c>
      <c r="L57" s="11" t="n">
        <v>2.8763</v>
      </c>
      <c r="M57" s="11" t="n">
        <v>3.1984</v>
      </c>
      <c r="N57" s="11" t="n">
        <v>3.4003</v>
      </c>
      <c r="O57" s="11" t="n">
        <v>2.6137</v>
      </c>
      <c r="P57" s="11" t="n">
        <v>2.6026</v>
      </c>
      <c r="Q57" s="11" t="n">
        <v>3.1302</v>
      </c>
      <c r="R57" s="11" t="n">
        <v>2.5748</v>
      </c>
      <c r="S57" s="11" t="n">
        <v>2.3206</v>
      </c>
      <c r="T57" s="11" t="n">
        <v>3.2468</v>
      </c>
      <c r="U57" s="11" t="n">
        <v>3.3351</v>
      </c>
      <c r="V57" s="11" t="n">
        <v>2.821</v>
      </c>
      <c r="W57" s="11" t="n">
        <v>0.0843</v>
      </c>
      <c r="X57" s="11" t="n">
        <v>0.1562</v>
      </c>
      <c r="Y57" s="11" t="n">
        <v>1.2959</v>
      </c>
      <c r="Z57" s="11" t="n">
        <v>0.6041</v>
      </c>
      <c r="AA57" s="11" t="n">
        <v>2.8582</v>
      </c>
      <c r="AB57" s="11" t="n">
        <v>2.8763</v>
      </c>
      <c r="AC57" s="11" t="n">
        <v>2.6026</v>
      </c>
      <c r="AD57" s="11" t="n">
        <v>3.2468</v>
      </c>
    </row>
    <row r="58">
      <c r="A58" s="10" t="inlineStr">
        <is>
          <t>유동부채 합계</t>
        </is>
      </c>
      <c r="C58" s="11" t="n">
        <v>33.2724</v>
      </c>
      <c r="D58" s="11" t="n">
        <v>29.9631</v>
      </c>
      <c r="E58" s="11" t="n">
        <v>26.0255</v>
      </c>
      <c r="F58" s="11" t="n">
        <v>31.0871</v>
      </c>
      <c r="G58" s="11" t="n">
        <v>31.3407</v>
      </c>
      <c r="H58" s="11" t="n">
        <v>35.2197</v>
      </c>
      <c r="I58" s="11" t="n">
        <v>30.4201</v>
      </c>
      <c r="J58" s="11" t="n">
        <v>34.7921</v>
      </c>
      <c r="K58" s="11" t="n">
        <v>35.2918</v>
      </c>
      <c r="L58" s="11" t="n">
        <v>41.1404</v>
      </c>
      <c r="M58" s="11" t="n">
        <v>33.4764</v>
      </c>
      <c r="N58" s="11" t="n">
        <v>37.7202</v>
      </c>
      <c r="O58" s="11" t="n">
        <v>36.2728</v>
      </c>
      <c r="P58" s="11" t="n">
        <v>41.5652</v>
      </c>
      <c r="Q58" s="11" t="n">
        <v>36.5311</v>
      </c>
      <c r="R58" s="11" t="n">
        <v>55.8651</v>
      </c>
      <c r="S58" s="11" t="n">
        <v>56.3411</v>
      </c>
      <c r="T58" s="11" t="n">
        <v>61.7344</v>
      </c>
      <c r="U58" s="11" t="n">
        <v>54.2697</v>
      </c>
      <c r="V58" s="11" t="n">
        <v>39.7375</v>
      </c>
      <c r="W58" s="11" t="n">
        <v>2.3335</v>
      </c>
      <c r="X58" s="11" t="n">
        <v>3.5854</v>
      </c>
      <c r="Y58" s="11" t="n">
        <v>7.5896</v>
      </c>
      <c r="Z58" s="11" t="n">
        <v>29.9631</v>
      </c>
      <c r="AA58" s="11" t="n">
        <v>35.2197</v>
      </c>
      <c r="AB58" s="11" t="n">
        <v>41.1404</v>
      </c>
      <c r="AC58" s="11" t="n">
        <v>41.5652</v>
      </c>
      <c r="AD58" s="11" t="n">
        <v>61.7344</v>
      </c>
    </row>
    <row r="59">
      <c r="A59" s="10" t="inlineStr">
        <is>
          <t>장기차입금</t>
        </is>
      </c>
      <c r="C59" s="11" t="n">
        <v>36.9975</v>
      </c>
      <c r="D59" s="11" t="n">
        <v>36.2469</v>
      </c>
      <c r="E59" s="11" t="n">
        <v>35.4963</v>
      </c>
      <c r="F59" s="11" t="n">
        <v>34.7456</v>
      </c>
      <c r="G59" s="11" t="n">
        <v>33.995</v>
      </c>
      <c r="H59" s="11" t="n">
        <v>32.9925</v>
      </c>
      <c r="I59" s="11" t="n">
        <v>31.99</v>
      </c>
      <c r="J59" s="11" t="n">
        <v>30.9875</v>
      </c>
      <c r="K59" s="11" t="n">
        <v>29.985</v>
      </c>
      <c r="L59" s="11" t="n">
        <v>28.7356</v>
      </c>
      <c r="M59" s="11" t="n">
        <v>27.4862</v>
      </c>
      <c r="N59" s="11" t="n">
        <v>26.2369</v>
      </c>
      <c r="O59" s="11" t="n">
        <v>24.9875</v>
      </c>
      <c r="P59" s="11" t="n">
        <v>23.7381</v>
      </c>
      <c r="Q59" s="11" t="n">
        <v>22.4887</v>
      </c>
      <c r="R59" s="11" t="n">
        <v>0</v>
      </c>
      <c r="S59" s="11" t="n">
        <v>0</v>
      </c>
      <c r="T59" s="11" t="n">
        <v>0</v>
      </c>
      <c r="V59" s="11" t="n">
        <v>15.6667</v>
      </c>
      <c r="W59" s="11" t="n">
        <v>2.0111</v>
      </c>
      <c r="X59" s="11" t="n">
        <v>1.9</v>
      </c>
      <c r="Y59" s="11" t="n">
        <v>1.9</v>
      </c>
      <c r="Z59" s="11" t="n">
        <v>36.2469</v>
      </c>
      <c r="AA59" s="11" t="n">
        <v>32.9925</v>
      </c>
      <c r="AB59" s="11" t="n">
        <v>28.7356</v>
      </c>
      <c r="AC59" s="11" t="n">
        <v>23.7381</v>
      </c>
      <c r="AD59" s="11" t="n">
        <v>0</v>
      </c>
    </row>
    <row r="60">
      <c r="A60" s="10" t="inlineStr">
        <is>
          <t>리스부채</t>
        </is>
      </c>
      <c r="L60" s="11" t="n">
        <v>0</v>
      </c>
      <c r="P60" s="11" t="n">
        <v>0.7849</v>
      </c>
      <c r="Q60" s="11" t="n">
        <v>0.6676</v>
      </c>
      <c r="R60" s="11" t="n">
        <v>0.5732</v>
      </c>
      <c r="S60" s="11" t="n">
        <v>0.5132</v>
      </c>
      <c r="T60" s="11" t="n">
        <v>0.4588</v>
      </c>
      <c r="U60" s="11" t="n">
        <v>0.3836</v>
      </c>
      <c r="V60" s="11" t="n">
        <v>0.3017</v>
      </c>
      <c r="AB60" s="11" t="n">
        <v>0</v>
      </c>
      <c r="AC60" s="11" t="n">
        <v>0.7849</v>
      </c>
      <c r="AD60" s="11" t="n">
        <v>0.4588</v>
      </c>
    </row>
    <row r="61">
      <c r="A61" s="10" t="inlineStr">
        <is>
          <t>이연법인세부채</t>
        </is>
      </c>
      <c r="D61" s="11" t="n">
        <v>20.8134</v>
      </c>
      <c r="E61" s="11" t="n">
        <v>21.9327</v>
      </c>
      <c r="F61" s="11" t="n">
        <v>24.1816</v>
      </c>
      <c r="G61" s="11" t="n">
        <v>24.8387</v>
      </c>
      <c r="H61" s="11" t="n">
        <v>19.846</v>
      </c>
      <c r="I61" s="11" t="n">
        <v>19.3019</v>
      </c>
      <c r="J61" s="11" t="n">
        <v>20.4075</v>
      </c>
      <c r="K61" s="11" t="n">
        <v>20.6889</v>
      </c>
      <c r="L61" s="11" t="n">
        <v>0.0407</v>
      </c>
      <c r="M61" s="11" t="n">
        <v>0.0614</v>
      </c>
      <c r="N61" s="11" t="n">
        <v>0.0573</v>
      </c>
      <c r="O61" s="11" t="n">
        <v>0.0607</v>
      </c>
      <c r="P61" s="11" t="n">
        <v>0.0605</v>
      </c>
      <c r="Q61" s="11" t="n">
        <v>0.0605</v>
      </c>
      <c r="R61" s="11" t="n">
        <v>0.0605</v>
      </c>
      <c r="S61" s="11" t="n">
        <v>0.0605</v>
      </c>
      <c r="T61" s="11" t="n">
        <v>0.0605</v>
      </c>
      <c r="U61" s="11" t="n">
        <v>0.0605</v>
      </c>
      <c r="V61" s="11" t="n">
        <v>0</v>
      </c>
      <c r="Y61" s="11" t="n">
        <v>0</v>
      </c>
      <c r="Z61" s="11" t="n">
        <v>20.8134</v>
      </c>
      <c r="AA61" s="11" t="n">
        <v>19.846</v>
      </c>
      <c r="AB61" s="11" t="n">
        <v>0.0407</v>
      </c>
      <c r="AC61" s="11" t="n">
        <v>0.0605</v>
      </c>
      <c r="AD61" s="11" t="n">
        <v>0.0605</v>
      </c>
    </row>
    <row r="62">
      <c r="A62" s="10" t="inlineStr">
        <is>
          <t>기타</t>
        </is>
      </c>
      <c r="C62" s="11" t="n">
        <v>2.6081</v>
      </c>
      <c r="L62" s="11" t="n">
        <v>0</v>
      </c>
      <c r="M62" s="11" t="n">
        <v>0.9968</v>
      </c>
      <c r="N62" s="11" t="n">
        <v>0.9716</v>
      </c>
      <c r="O62" s="11" t="n">
        <v>0.7771</v>
      </c>
      <c r="P62" s="11" t="n">
        <v>0.3025</v>
      </c>
      <c r="Q62" s="11" t="n">
        <v>0.275</v>
      </c>
      <c r="R62" s="11" t="n">
        <v>0.5273</v>
      </c>
      <c r="S62" s="11" t="n">
        <v>0.5278</v>
      </c>
      <c r="T62" s="11" t="n">
        <v>0.5283</v>
      </c>
      <c r="U62" s="11" t="n">
        <v>0.5289</v>
      </c>
      <c r="V62" s="11" t="n">
        <v>0.5294</v>
      </c>
      <c r="Y62" s="11" t="n">
        <v>0</v>
      </c>
      <c r="AB62" s="11" t="n">
        <v>0</v>
      </c>
      <c r="AC62" s="11" t="n">
        <v>0.3025</v>
      </c>
      <c r="AD62" s="11" t="n">
        <v>0.5283</v>
      </c>
    </row>
    <row r="63">
      <c r="A63" s="10" t="inlineStr">
        <is>
          <t>비유동부채 합계</t>
        </is>
      </c>
      <c r="C63" s="11" t="n">
        <v>39.6056</v>
      </c>
      <c r="D63" s="11" t="n">
        <v>57.0603</v>
      </c>
      <c r="E63" s="11" t="n">
        <v>57.4289</v>
      </c>
      <c r="F63" s="11" t="n">
        <v>58.9273</v>
      </c>
      <c r="G63" s="11" t="n">
        <v>58.8337</v>
      </c>
      <c r="H63" s="11" t="n">
        <v>52.8385</v>
      </c>
      <c r="I63" s="11" t="n">
        <v>51.2919</v>
      </c>
      <c r="J63" s="11" t="n">
        <v>51.395</v>
      </c>
      <c r="K63" s="11" t="n">
        <v>50.6739</v>
      </c>
      <c r="L63" s="11" t="n">
        <v>28.7763</v>
      </c>
      <c r="M63" s="11" t="n">
        <v>28.5444</v>
      </c>
      <c r="N63" s="11" t="n">
        <v>27.2658</v>
      </c>
      <c r="O63" s="11" t="n">
        <v>25.8253</v>
      </c>
      <c r="P63" s="11" t="n">
        <v>24.886</v>
      </c>
      <c r="Q63" s="11" t="n">
        <v>23.4918</v>
      </c>
      <c r="R63" s="11" t="n">
        <v>1.161</v>
      </c>
      <c r="S63" s="11" t="n">
        <v>1.1015</v>
      </c>
      <c r="T63" s="11" t="n">
        <v>1.0476</v>
      </c>
      <c r="U63" s="11" t="n">
        <v>0.9729</v>
      </c>
      <c r="V63" s="11" t="n">
        <v>16.4978</v>
      </c>
      <c r="W63" s="11" t="n">
        <v>2.0111</v>
      </c>
      <c r="X63" s="11" t="n">
        <v>1.9</v>
      </c>
      <c r="Y63" s="11" t="n">
        <v>1.9</v>
      </c>
      <c r="Z63" s="11" t="n">
        <v>57.0603</v>
      </c>
      <c r="AA63" s="11" t="n">
        <v>52.8385</v>
      </c>
      <c r="AB63" s="11" t="n">
        <v>28.7763</v>
      </c>
      <c r="AC63" s="11" t="n">
        <v>24.886</v>
      </c>
      <c r="AD63" s="11" t="n">
        <v>1.0476</v>
      </c>
    </row>
    <row r="64">
      <c r="A64" s="10" t="inlineStr">
        <is>
          <t>부채 합계</t>
        </is>
      </c>
      <c r="C64" s="11" t="n">
        <v>72.878</v>
      </c>
      <c r="D64" s="11" t="n">
        <v>87.02330000000001</v>
      </c>
      <c r="E64" s="11" t="n">
        <v>83.45440000000001</v>
      </c>
      <c r="F64" s="11" t="n">
        <v>90.01439999999999</v>
      </c>
      <c r="G64" s="11" t="n">
        <v>90.17440000000001</v>
      </c>
      <c r="H64" s="11" t="n">
        <v>88.0583</v>
      </c>
      <c r="I64" s="11" t="n">
        <v>81.71210000000001</v>
      </c>
      <c r="J64" s="11" t="n">
        <v>86.1872</v>
      </c>
      <c r="K64" s="11" t="n">
        <v>85.9657</v>
      </c>
      <c r="L64" s="11" t="n">
        <v>69.91670000000001</v>
      </c>
      <c r="M64" s="11" t="n">
        <v>62.0208</v>
      </c>
      <c r="N64" s="11" t="n">
        <v>64.986</v>
      </c>
      <c r="O64" s="11" t="n">
        <v>62.0981</v>
      </c>
      <c r="P64" s="11" t="n">
        <v>66.4512</v>
      </c>
      <c r="Q64" s="11" t="n">
        <v>60.0229</v>
      </c>
      <c r="R64" s="11" t="n">
        <v>57.0261</v>
      </c>
      <c r="S64" s="11" t="n">
        <v>57.4425</v>
      </c>
      <c r="T64" s="11" t="n">
        <v>62.7821</v>
      </c>
      <c r="U64" s="11" t="n">
        <v>55.2426</v>
      </c>
      <c r="V64" s="11" t="n">
        <v>56.2353</v>
      </c>
      <c r="W64" s="11" t="n">
        <v>4.3446</v>
      </c>
      <c r="X64" s="11" t="n">
        <v>5.4854</v>
      </c>
      <c r="Y64" s="11" t="n">
        <v>9.489599999999999</v>
      </c>
      <c r="Z64" s="11" t="n">
        <v>87.02330000000001</v>
      </c>
      <c r="AA64" s="11" t="n">
        <v>88.0583</v>
      </c>
      <c r="AB64" s="11" t="n">
        <v>69.91670000000001</v>
      </c>
      <c r="AC64" s="11" t="n">
        <v>66.4512</v>
      </c>
      <c r="AD64" s="11" t="n">
        <v>62.7821</v>
      </c>
    </row>
    <row r="65">
      <c r="A65" s="10" t="inlineStr">
        <is>
          <t>자본금</t>
        </is>
      </c>
      <c r="C65" s="11" t="n">
        <v>4.2007</v>
      </c>
      <c r="D65" s="11" t="n">
        <v>4.2202</v>
      </c>
      <c r="E65" s="11" t="n">
        <v>4.3404</v>
      </c>
      <c r="F65" s="11" t="n">
        <v>4.3959</v>
      </c>
      <c r="G65" s="11" t="n">
        <v>4.4029</v>
      </c>
      <c r="H65" s="11" t="n">
        <v>4.4371</v>
      </c>
      <c r="I65" s="11" t="n">
        <v>4.6151</v>
      </c>
      <c r="J65" s="11" t="n">
        <v>4.6446</v>
      </c>
      <c r="K65" s="11" t="n">
        <v>4.6603</v>
      </c>
      <c r="L65" s="11" t="n">
        <v>4.6771</v>
      </c>
      <c r="M65" s="11" t="n">
        <v>4.761</v>
      </c>
      <c r="N65" s="11" t="n">
        <v>4.7662</v>
      </c>
      <c r="O65" s="11" t="n">
        <v>4.7799</v>
      </c>
      <c r="P65" s="11" t="n">
        <v>4.7919</v>
      </c>
      <c r="Q65" s="11" t="n">
        <v>4.8254</v>
      </c>
      <c r="R65" s="11" t="n">
        <v>4.837</v>
      </c>
      <c r="S65" s="11" t="n">
        <v>4.8434</v>
      </c>
      <c r="T65" s="11" t="n">
        <v>4.8447</v>
      </c>
      <c r="U65" s="11" t="n">
        <v>4.8611</v>
      </c>
      <c r="V65" s="11" t="n">
        <v>4.8611</v>
      </c>
      <c r="W65" s="11" t="n">
        <v>0.1868</v>
      </c>
      <c r="X65" s="11" t="n">
        <v>0.1868</v>
      </c>
      <c r="Y65" s="11" t="n">
        <v>3.8817</v>
      </c>
      <c r="Z65" s="11" t="n">
        <v>4.2202</v>
      </c>
      <c r="AA65" s="11" t="n">
        <v>4.4371</v>
      </c>
      <c r="AB65" s="11" t="n">
        <v>4.6771</v>
      </c>
      <c r="AC65" s="11" t="n">
        <v>4.7919</v>
      </c>
      <c r="AD65" s="11" t="n">
        <v>4.8447</v>
      </c>
    </row>
    <row r="66">
      <c r="A66" s="10" t="inlineStr">
        <is>
          <t>자본준비금</t>
        </is>
      </c>
      <c r="W66" s="11" t="n">
        <v>0</v>
      </c>
      <c r="X66" s="11" t="n">
        <v>0</v>
      </c>
    </row>
    <row r="67">
      <c r="A67" s="10" t="inlineStr">
        <is>
          <t>자본잉여금</t>
        </is>
      </c>
      <c r="C67" s="11" t="n">
        <v>92.2933</v>
      </c>
      <c r="D67" s="11" t="n">
        <v>92.2933</v>
      </c>
      <c r="E67" s="11" t="n">
        <v>92.2933</v>
      </c>
      <c r="F67" s="11" t="n">
        <v>92.2933</v>
      </c>
      <c r="G67" s="11" t="n">
        <v>92.2933</v>
      </c>
      <c r="H67" s="11" t="n">
        <v>92.2933</v>
      </c>
      <c r="I67" s="11" t="n">
        <v>92.4067</v>
      </c>
      <c r="J67" s="11" t="n">
        <v>92.4067</v>
      </c>
      <c r="K67" s="11" t="n">
        <v>92.4067</v>
      </c>
      <c r="L67" s="11" t="n">
        <v>92.4067</v>
      </c>
      <c r="M67" s="11" t="n">
        <v>92.4397</v>
      </c>
      <c r="N67" s="11" t="n">
        <v>92.4397</v>
      </c>
      <c r="O67" s="11" t="n">
        <v>92.4397</v>
      </c>
      <c r="P67" s="11" t="n">
        <v>92.4397</v>
      </c>
      <c r="Q67" s="11" t="n">
        <v>92.47320000000001</v>
      </c>
      <c r="R67" s="11" t="n">
        <v>92.47320000000001</v>
      </c>
      <c r="S67" s="11" t="n">
        <v>92.47320000000001</v>
      </c>
      <c r="T67" s="11" t="n">
        <v>92.47320000000001</v>
      </c>
      <c r="U67" s="11" t="n">
        <v>92.48779999999999</v>
      </c>
      <c r="V67" s="11" t="n">
        <v>92.48779999999999</v>
      </c>
      <c r="W67" s="11" t="n">
        <v>0</v>
      </c>
      <c r="X67" s="11" t="n">
        <v>0</v>
      </c>
      <c r="Y67" s="11" t="n">
        <v>3.4763</v>
      </c>
      <c r="Z67" s="11" t="n">
        <v>92.2933</v>
      </c>
      <c r="AA67" s="11" t="n">
        <v>92.2933</v>
      </c>
      <c r="AB67" s="11" t="n">
        <v>92.4067</v>
      </c>
      <c r="AC67" s="11" t="n">
        <v>92.4397</v>
      </c>
      <c r="AD67" s="11" t="n">
        <v>92.47320000000001</v>
      </c>
    </row>
    <row r="68">
      <c r="A68" s="10" t="inlineStr">
        <is>
          <t>이월이익잉여금</t>
        </is>
      </c>
      <c r="W68" s="11" t="n">
        <v>0.2749</v>
      </c>
      <c r="X68" s="11" t="n">
        <v>0.8036</v>
      </c>
    </row>
    <row r="69">
      <c r="A69" s="10" t="inlineStr">
        <is>
          <t>이익잉여금</t>
        </is>
      </c>
      <c r="C69" s="11" t="n">
        <v>-2.5893</v>
      </c>
      <c r="D69" s="11" t="n">
        <v>-1.9324</v>
      </c>
      <c r="E69" s="11" t="n">
        <v>-1.9523</v>
      </c>
      <c r="F69" s="11" t="n">
        <v>-2.0671</v>
      </c>
      <c r="G69" s="11" t="n">
        <v>-2.8311</v>
      </c>
      <c r="H69" s="11" t="n">
        <v>-1.1738</v>
      </c>
      <c r="I69" s="11" t="n">
        <v>-2.295</v>
      </c>
      <c r="J69" s="11" t="n">
        <v>-3.1388</v>
      </c>
      <c r="K69" s="11" t="n">
        <v>-2.8671</v>
      </c>
      <c r="L69" s="11" t="n">
        <v>-127.5316</v>
      </c>
      <c r="M69" s="11" t="n">
        <v>-126.9262</v>
      </c>
      <c r="N69" s="11" t="n">
        <v>-126.4582</v>
      </c>
      <c r="O69" s="11" t="n">
        <v>-125.5695</v>
      </c>
      <c r="P69" s="11" t="n">
        <v>-122.7592</v>
      </c>
      <c r="Q69" s="11" t="n">
        <v>-121.9422</v>
      </c>
      <c r="R69" s="11" t="n">
        <v>-120.9427</v>
      </c>
      <c r="S69" s="11" t="n">
        <v>-117.7268</v>
      </c>
      <c r="T69" s="11" t="n">
        <v>-113.8401</v>
      </c>
      <c r="U69" s="11" t="n">
        <v>-111.576</v>
      </c>
      <c r="V69" s="11" t="n">
        <v>-108.9497</v>
      </c>
      <c r="W69" s="11" t="n">
        <v>0.2749</v>
      </c>
      <c r="X69" s="11" t="n">
        <v>0.8036</v>
      </c>
      <c r="Y69" s="11" t="n">
        <v>2.8232</v>
      </c>
      <c r="Z69" s="11" t="n">
        <v>-1.9324</v>
      </c>
      <c r="AA69" s="11" t="n">
        <v>-1.1738</v>
      </c>
      <c r="AB69" s="11" t="n">
        <v>-127.5316</v>
      </c>
      <c r="AC69" s="11" t="n">
        <v>-122.7592</v>
      </c>
      <c r="AD69" s="11" t="n">
        <v>-113.8401</v>
      </c>
    </row>
    <row r="70">
      <c r="A70" s="10" t="inlineStr">
        <is>
          <t>자기주식</t>
        </is>
      </c>
      <c r="C70" s="11" t="n">
        <v>-0.0028</v>
      </c>
      <c r="D70" s="11" t="n">
        <v>-0.0028</v>
      </c>
      <c r="E70" s="11" t="n">
        <v>-0.0028</v>
      </c>
      <c r="F70" s="11" t="n">
        <v>-0.0028</v>
      </c>
      <c r="G70" s="11" t="n">
        <v>-0.0028</v>
      </c>
      <c r="H70" s="11" t="n">
        <v>-0.0028</v>
      </c>
      <c r="I70" s="11" t="n">
        <v>-0.0028</v>
      </c>
      <c r="J70" s="11" t="n">
        <v>-0.0028</v>
      </c>
      <c r="K70" s="11" t="n">
        <v>-0.0028</v>
      </c>
      <c r="L70" s="11" t="n">
        <v>-0.0028</v>
      </c>
      <c r="M70" s="11" t="n">
        <v>-0.0028</v>
      </c>
      <c r="N70" s="11" t="n">
        <v>-0.0028</v>
      </c>
      <c r="O70" s="11" t="n">
        <v>-0.0028</v>
      </c>
      <c r="P70" s="11" t="n">
        <v>-0.0028</v>
      </c>
      <c r="Q70" s="11" t="n">
        <v>-0.0028</v>
      </c>
      <c r="R70" s="11" t="n">
        <v>-0.0028</v>
      </c>
      <c r="S70" s="11" t="n">
        <v>-0.0028</v>
      </c>
      <c r="T70" s="11" t="n">
        <v>-0.0028</v>
      </c>
      <c r="U70" s="11" t="n">
        <v>-0.0028</v>
      </c>
      <c r="V70" s="11" t="n">
        <v>-0.0028</v>
      </c>
      <c r="Y70" s="11" t="n">
        <v>-0.0018</v>
      </c>
      <c r="Z70" s="11" t="n">
        <v>-0.0028</v>
      </c>
      <c r="AA70" s="11" t="n">
        <v>-0.0028</v>
      </c>
      <c r="AB70" s="11" t="n">
        <v>-0.0028</v>
      </c>
      <c r="AC70" s="11" t="n">
        <v>-0.0028</v>
      </c>
      <c r="AD70" s="11" t="n">
        <v>-0.0028</v>
      </c>
    </row>
    <row r="71">
      <c r="A71" s="10" t="inlineStr">
        <is>
          <t>주주자본 합계</t>
        </is>
      </c>
      <c r="C71" s="11" t="n">
        <v>93.9019</v>
      </c>
      <c r="D71" s="11" t="n">
        <v>94.5783</v>
      </c>
      <c r="E71" s="11" t="n">
        <v>94.6786</v>
      </c>
      <c r="F71" s="11" t="n">
        <v>94.6193</v>
      </c>
      <c r="G71" s="11" t="n">
        <v>93.8623</v>
      </c>
      <c r="H71" s="11" t="n">
        <v>95.55370000000001</v>
      </c>
      <c r="I71" s="11" t="n">
        <v>94.7239</v>
      </c>
      <c r="J71" s="11" t="n">
        <v>93.9096</v>
      </c>
      <c r="K71" s="11" t="n">
        <v>94.19710000000001</v>
      </c>
      <c r="L71" s="11" t="n">
        <v>-30.4506</v>
      </c>
      <c r="M71" s="11" t="n">
        <v>-29.7283</v>
      </c>
      <c r="N71" s="11" t="n">
        <v>-29.2551</v>
      </c>
      <c r="O71" s="11" t="n">
        <v>-28.3527</v>
      </c>
      <c r="P71" s="11" t="n">
        <v>-25.5304</v>
      </c>
      <c r="Q71" s="11" t="n">
        <v>-24.6463</v>
      </c>
      <c r="R71" s="11" t="n">
        <v>-23.6352</v>
      </c>
      <c r="S71" s="11" t="n">
        <v>-20.413</v>
      </c>
      <c r="T71" s="11" t="n">
        <v>-16.525</v>
      </c>
      <c r="U71" s="11" t="n">
        <v>-14.23</v>
      </c>
      <c r="V71" s="11" t="n">
        <v>-11.6036</v>
      </c>
      <c r="W71" s="11" t="n">
        <v>0.4617</v>
      </c>
      <c r="X71" s="11" t="n">
        <v>0.9903999999999999</v>
      </c>
      <c r="Y71" s="11" t="n">
        <v>10.1793</v>
      </c>
      <c r="Z71" s="11" t="n">
        <v>94.5783</v>
      </c>
      <c r="AA71" s="11" t="n">
        <v>95.55370000000001</v>
      </c>
      <c r="AB71" s="11" t="n">
        <v>-30.4506</v>
      </c>
      <c r="AC71" s="11" t="n">
        <v>-25.5304</v>
      </c>
      <c r="AD71" s="11" t="n">
        <v>-16.525</v>
      </c>
    </row>
    <row r="72">
      <c r="A72" s="10" t="inlineStr">
        <is>
          <t>해외사업환산조정</t>
        </is>
      </c>
      <c r="C72" s="11" t="n">
        <v>0.0305</v>
      </c>
      <c r="D72" s="11" t="n">
        <v>5.2401</v>
      </c>
      <c r="E72" s="11" t="n">
        <v>13.1391</v>
      </c>
      <c r="F72" s="11" t="n">
        <v>28.3805</v>
      </c>
      <c r="G72" s="11" t="n">
        <v>36.7858</v>
      </c>
      <c r="H72" s="11" t="n">
        <v>24.5677</v>
      </c>
      <c r="I72" s="11" t="n">
        <v>25.362</v>
      </c>
      <c r="J72" s="11" t="n">
        <v>36.7133</v>
      </c>
      <c r="K72" s="11" t="n">
        <v>41.2107</v>
      </c>
      <c r="L72" s="11" t="n">
        <v>32.8107</v>
      </c>
      <c r="M72" s="11" t="n">
        <v>33.4203</v>
      </c>
      <c r="N72" s="11" t="n">
        <v>33.6672</v>
      </c>
      <c r="O72" s="11" t="n">
        <v>32.9872</v>
      </c>
      <c r="P72" s="11" t="n">
        <v>33.4831</v>
      </c>
      <c r="Q72" s="11" t="n">
        <v>33.2323</v>
      </c>
      <c r="R72" s="11" t="n">
        <v>33.0657</v>
      </c>
      <c r="S72" s="11" t="n">
        <v>33.6139</v>
      </c>
      <c r="T72" s="11" t="n">
        <v>33.9168</v>
      </c>
      <c r="U72" s="11" t="n">
        <v>33.994</v>
      </c>
      <c r="V72" s="11" t="n">
        <v>33.9912</v>
      </c>
      <c r="Y72" s="11" t="n">
        <v>0.0162</v>
      </c>
      <c r="Z72" s="11" t="n">
        <v>5.2401</v>
      </c>
      <c r="AA72" s="11" t="n">
        <v>24.5677</v>
      </c>
      <c r="AB72" s="11" t="n">
        <v>32.8107</v>
      </c>
      <c r="AC72" s="11" t="n">
        <v>33.4831</v>
      </c>
      <c r="AD72" s="11" t="n">
        <v>33.9168</v>
      </c>
    </row>
    <row r="73">
      <c r="A73" s="10" t="inlineStr">
        <is>
          <t>기타포괄손익누계액 합계</t>
        </is>
      </c>
      <c r="C73" s="11" t="n">
        <v>0.0305</v>
      </c>
      <c r="D73" s="11" t="n">
        <v>5.2401</v>
      </c>
      <c r="E73" s="11" t="n">
        <v>13.1391</v>
      </c>
      <c r="F73" s="11" t="n">
        <v>28.3805</v>
      </c>
      <c r="G73" s="11" t="n">
        <v>36.7858</v>
      </c>
      <c r="H73" s="11" t="n">
        <v>24.5677</v>
      </c>
      <c r="I73" s="11" t="n">
        <v>25.362</v>
      </c>
      <c r="J73" s="11" t="n">
        <v>36.7133</v>
      </c>
      <c r="K73" s="11" t="n">
        <v>41.2107</v>
      </c>
      <c r="L73" s="11" t="n">
        <v>32.8107</v>
      </c>
      <c r="M73" s="11" t="n">
        <v>33.4203</v>
      </c>
      <c r="N73" s="11" t="n">
        <v>33.6672</v>
      </c>
      <c r="O73" s="11" t="n">
        <v>32.9872</v>
      </c>
      <c r="P73" s="11" t="n">
        <v>33.4831</v>
      </c>
      <c r="Q73" s="11" t="n">
        <v>33.2323</v>
      </c>
      <c r="R73" s="11" t="n">
        <v>33.0657</v>
      </c>
      <c r="S73" s="11" t="n">
        <v>33.6139</v>
      </c>
      <c r="T73" s="11" t="n">
        <v>33.9168</v>
      </c>
      <c r="U73" s="11" t="n">
        <v>33.994</v>
      </c>
      <c r="V73" s="11" t="n">
        <v>33.9912</v>
      </c>
      <c r="Y73" s="11" t="n">
        <v>0.0162</v>
      </c>
      <c r="Z73" s="11" t="n">
        <v>5.2401</v>
      </c>
      <c r="AA73" s="11" t="n">
        <v>24.5677</v>
      </c>
      <c r="AB73" s="11" t="n">
        <v>32.8107</v>
      </c>
      <c r="AC73" s="11" t="n">
        <v>33.4831</v>
      </c>
      <c r="AD73" s="11" t="n">
        <v>33.9168</v>
      </c>
    </row>
    <row r="74">
      <c r="A74" s="10" t="inlineStr">
        <is>
          <t>신주예약권</t>
        </is>
      </c>
      <c r="C74" s="11" t="n">
        <v>0.6657</v>
      </c>
      <c r="D74" s="11" t="n">
        <v>0.6657</v>
      </c>
      <c r="E74" s="11" t="n">
        <v>0.6649</v>
      </c>
      <c r="F74" s="11" t="n">
        <v>0.6645</v>
      </c>
      <c r="G74" s="11" t="n">
        <v>0.6644</v>
      </c>
      <c r="H74" s="11" t="n">
        <v>0.6639</v>
      </c>
      <c r="I74" s="11" t="n">
        <v>0.6631</v>
      </c>
      <c r="J74" s="11" t="n">
        <v>0.6631</v>
      </c>
      <c r="K74" s="11" t="n">
        <v>0.6623</v>
      </c>
      <c r="L74" s="11" t="n">
        <v>0.6619</v>
      </c>
      <c r="M74" s="11" t="n">
        <v>0.6725</v>
      </c>
      <c r="N74" s="11" t="n">
        <v>0.6825</v>
      </c>
      <c r="O74" s="11" t="n">
        <v>0.6924</v>
      </c>
      <c r="P74" s="11" t="n">
        <v>0.7022</v>
      </c>
      <c r="Q74" s="11" t="n">
        <v>0.7123</v>
      </c>
      <c r="R74" s="11" t="n">
        <v>0.7224</v>
      </c>
      <c r="S74" s="11" t="n">
        <v>0.7323</v>
      </c>
      <c r="T74" s="11" t="n">
        <v>0.7423999999999999</v>
      </c>
      <c r="U74" s="11" t="n">
        <v>0.7524999999999999</v>
      </c>
      <c r="V74" s="11" t="n">
        <v>0.7625</v>
      </c>
      <c r="W74" s="11" t="n">
        <v>0</v>
      </c>
      <c r="X74" s="11" t="n">
        <v>0.0063</v>
      </c>
      <c r="Y74" s="11" t="n">
        <v>0.0063</v>
      </c>
      <c r="Z74" s="11" t="n">
        <v>0.6657</v>
      </c>
      <c r="AA74" s="11" t="n">
        <v>0.6639</v>
      </c>
      <c r="AB74" s="11" t="n">
        <v>0.6619</v>
      </c>
      <c r="AC74" s="11" t="n">
        <v>0.7022</v>
      </c>
      <c r="AD74" s="11" t="n">
        <v>0.7423999999999999</v>
      </c>
    </row>
    <row r="75">
      <c r="A75" s="10" t="inlineStr">
        <is>
          <t>순자산 합계</t>
        </is>
      </c>
      <c r="C75" s="11" t="n">
        <v>94.59820000000001</v>
      </c>
      <c r="D75" s="11" t="n">
        <v>100.4842</v>
      </c>
      <c r="E75" s="11" t="n">
        <v>108.4826</v>
      </c>
      <c r="F75" s="11" t="n">
        <v>123.6643</v>
      </c>
      <c r="G75" s="11" t="n">
        <v>131.3125</v>
      </c>
      <c r="H75" s="11" t="n">
        <v>120.7853</v>
      </c>
      <c r="I75" s="11" t="n">
        <v>120.749</v>
      </c>
      <c r="J75" s="11" t="n">
        <v>131.286</v>
      </c>
      <c r="K75" s="11" t="n">
        <v>136.0701</v>
      </c>
      <c r="L75" s="11" t="n">
        <v>3.0219</v>
      </c>
      <c r="M75" s="11" t="n">
        <v>4.3645</v>
      </c>
      <c r="N75" s="11" t="n">
        <v>5.0946</v>
      </c>
      <c r="O75" s="11" t="n">
        <v>5.3269</v>
      </c>
      <c r="P75" s="11" t="n">
        <v>8.654999999999999</v>
      </c>
      <c r="Q75" s="11" t="n">
        <v>9.2982</v>
      </c>
      <c r="R75" s="11" t="n">
        <v>10.1529</v>
      </c>
      <c r="S75" s="11" t="n">
        <v>13.9333</v>
      </c>
      <c r="T75" s="11" t="n">
        <v>18.1342</v>
      </c>
      <c r="U75" s="11" t="n">
        <v>20.5165</v>
      </c>
      <c r="V75" s="11" t="n">
        <v>23.1501</v>
      </c>
      <c r="W75" s="11" t="n">
        <v>0.4617</v>
      </c>
      <c r="X75" s="11" t="n">
        <v>0.9967</v>
      </c>
      <c r="Y75" s="11" t="n">
        <v>10.2018</v>
      </c>
      <c r="Z75" s="11" t="n">
        <v>100.4842</v>
      </c>
      <c r="AA75" s="11" t="n">
        <v>120.7853</v>
      </c>
      <c r="AB75" s="11" t="n">
        <v>3.0219</v>
      </c>
      <c r="AC75" s="11" t="n">
        <v>8.654999999999999</v>
      </c>
      <c r="AD75" s="11" t="n">
        <v>18.1342</v>
      </c>
    </row>
    <row r="76">
      <c r="A76" s="10" t="inlineStr">
        <is>
          <t>부채·순자산 합계</t>
        </is>
      </c>
      <c r="C76" s="11" t="n">
        <v>167.4762</v>
      </c>
      <c r="D76" s="11" t="n">
        <v>187.5076</v>
      </c>
      <c r="E76" s="11" t="n">
        <v>191.937</v>
      </c>
      <c r="F76" s="11" t="n">
        <v>213.6787</v>
      </c>
      <c r="G76" s="11" t="n">
        <v>221.4869</v>
      </c>
      <c r="H76" s="11" t="n">
        <v>208.8436</v>
      </c>
      <c r="I76" s="11" t="n">
        <v>202.4611</v>
      </c>
      <c r="J76" s="11" t="n">
        <v>217.4732</v>
      </c>
      <c r="K76" s="11" t="n">
        <v>222.0358</v>
      </c>
      <c r="L76" s="11" t="n">
        <v>72.9387</v>
      </c>
      <c r="M76" s="11" t="n">
        <v>66.3853</v>
      </c>
      <c r="N76" s="11" t="n">
        <v>70.08069999999999</v>
      </c>
      <c r="O76" s="11" t="n">
        <v>67.42489999999999</v>
      </c>
      <c r="P76" s="11" t="n">
        <v>75.1062</v>
      </c>
      <c r="Q76" s="11" t="n">
        <v>69.3211</v>
      </c>
      <c r="R76" s="11" t="n">
        <v>67.179</v>
      </c>
      <c r="S76" s="11" t="n">
        <v>71.3758</v>
      </c>
      <c r="T76" s="11" t="n">
        <v>80.9162</v>
      </c>
      <c r="U76" s="11" t="n">
        <v>75.75920000000001</v>
      </c>
      <c r="V76" s="11" t="n">
        <v>79.3854</v>
      </c>
      <c r="W76" s="11" t="n">
        <v>4.8063</v>
      </c>
      <c r="X76" s="11" t="n">
        <v>6.4822</v>
      </c>
      <c r="Y76" s="11" t="n">
        <v>19.6914</v>
      </c>
      <c r="Z76" s="11" t="n">
        <v>187.5076</v>
      </c>
      <c r="AA76" s="11" t="n">
        <v>208.8436</v>
      </c>
      <c r="AB76" s="11" t="n">
        <v>72.9387</v>
      </c>
      <c r="AC76" s="11" t="n">
        <v>75.1062</v>
      </c>
      <c r="AD76" s="11" t="n">
        <v>80.9162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비자스크 현금흐름표</t>
        </is>
      </c>
    </row>
    <row r="2">
      <c r="A2" s="2" t="inlineStr">
        <is>
          <t>결산기 기준(27.2Q = 2027년 결산기 2분기) · 2월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-3.8976</v>
      </c>
      <c r="F4" s="11" t="n">
        <v>1.0582</v>
      </c>
      <c r="H4" s="11" t="n">
        <v>-0.5117</v>
      </c>
      <c r="J4" s="11" t="n">
        <v>-1.4658</v>
      </c>
      <c r="L4" s="11" t="n">
        <v>-143.9299</v>
      </c>
      <c r="N4" s="11" t="n">
        <v>3.0511</v>
      </c>
      <c r="P4" s="11" t="n">
        <v>8.1281</v>
      </c>
      <c r="R4" s="11" t="n">
        <v>3.6617</v>
      </c>
      <c r="T4" s="11" t="n">
        <v>11.4975</v>
      </c>
      <c r="V4" s="11" t="n">
        <v>7.5238</v>
      </c>
      <c r="W4" s="11" t="n">
        <v>0.2407</v>
      </c>
      <c r="X4" s="11" t="n">
        <v>0.5319</v>
      </c>
      <c r="Y4" s="11" t="n">
        <v>1.9723</v>
      </c>
      <c r="Z4" s="11" t="n">
        <v>-3.8976</v>
      </c>
      <c r="AA4" s="11" t="n">
        <v>-0.5117</v>
      </c>
      <c r="AB4" s="11" t="n">
        <v>-143.9299</v>
      </c>
      <c r="AC4" s="11" t="n">
        <v>8.1281</v>
      </c>
      <c r="AD4" s="11" t="n">
        <v>11.4975</v>
      </c>
      <c r="AE4" s="7" t="inlineStr">
        <is>
          <t>결산단신 XBRL(거래소 공시, TDnet·JPX 보관소). 쓴 문서: 2026-10-15, 2026-07-15, 2026-04-14, 2026-01-14 외 23건 — '출처' 시트에 전부</t>
        </is>
      </c>
    </row>
    <row r="5">
      <c r="A5" s="10" t="inlineStr">
        <is>
          <t>감가상각비</t>
        </is>
      </c>
      <c r="D5" s="11" t="n">
        <v>1.6584</v>
      </c>
      <c r="F5" s="11" t="n">
        <v>3.2167</v>
      </c>
      <c r="H5" s="11" t="n">
        <v>7.0825</v>
      </c>
      <c r="J5" s="11" t="n">
        <v>3.8601</v>
      </c>
      <c r="L5" s="11" t="n">
        <v>8.186400000000001</v>
      </c>
      <c r="N5" s="11" t="n">
        <v>0.1028</v>
      </c>
      <c r="P5" s="11" t="n">
        <v>0.5327</v>
      </c>
      <c r="R5" s="11" t="n">
        <v>0.1828</v>
      </c>
      <c r="T5" s="11" t="n">
        <v>0.5187</v>
      </c>
      <c r="V5" s="11" t="n">
        <v>0.2838</v>
      </c>
      <c r="W5" s="11" t="n">
        <v>0.09320000000000001</v>
      </c>
      <c r="X5" s="11" t="n">
        <v>0.1561</v>
      </c>
      <c r="Y5" s="11" t="n">
        <v>0.183</v>
      </c>
      <c r="Z5" s="11" t="n">
        <v>1.6584</v>
      </c>
      <c r="AA5" s="11" t="n">
        <v>7.0825</v>
      </c>
      <c r="AB5" s="11" t="n">
        <v>8.186400000000001</v>
      </c>
      <c r="AC5" s="11" t="n">
        <v>0.5327</v>
      </c>
      <c r="AD5" s="11" t="n">
        <v>0.5187</v>
      </c>
    </row>
    <row r="6">
      <c r="A6" s="10" t="inlineStr">
        <is>
          <t>영업권 상각</t>
        </is>
      </c>
      <c r="D6" s="11" t="n">
        <v>0.9035</v>
      </c>
      <c r="F6" s="11" t="n">
        <v>1.9529</v>
      </c>
      <c r="H6" s="11" t="n">
        <v>4.1773</v>
      </c>
      <c r="J6" s="11" t="n">
        <v>2.143</v>
      </c>
      <c r="L6" s="11" t="n">
        <v>4.4675</v>
      </c>
      <c r="N6" s="11" t="n">
        <v>0</v>
      </c>
      <c r="P6" s="11" t="n">
        <v>0</v>
      </c>
      <c r="Y6" s="11" t="n">
        <v>0</v>
      </c>
      <c r="Z6" s="11" t="n">
        <v>0.9035</v>
      </c>
      <c r="AA6" s="11" t="n">
        <v>4.1773</v>
      </c>
      <c r="AB6" s="11" t="n">
        <v>4.4675</v>
      </c>
      <c r="AC6" s="11" t="n">
        <v>0</v>
      </c>
    </row>
    <row r="7">
      <c r="A7" s="10" t="inlineStr">
        <is>
          <t>상장 관련 비용</t>
        </is>
      </c>
      <c r="D7" s="11" t="n">
        <v>0</v>
      </c>
      <c r="Y7" s="11" t="n">
        <v>0.0198</v>
      </c>
      <c r="Z7" s="11" t="n">
        <v>0</v>
      </c>
    </row>
    <row r="8">
      <c r="A8" s="10" t="inlineStr">
        <is>
          <t>자금조달비용</t>
        </is>
      </c>
      <c r="D8" s="11" t="n">
        <v>2.6168</v>
      </c>
      <c r="Y8" s="11" t="n">
        <v>0</v>
      </c>
      <c r="Z8" s="11" t="n">
        <v>2.6168</v>
      </c>
    </row>
    <row r="9">
      <c r="A9" s="10" t="inlineStr">
        <is>
          <t>자금조달비용</t>
        </is>
      </c>
      <c r="F9" s="11" t="n">
        <v>0</v>
      </c>
    </row>
    <row r="10">
      <c r="A10" s="10" t="inlineStr">
        <is>
          <t>자금조달비용</t>
        </is>
      </c>
      <c r="D10" s="11" t="n">
        <v>2.6168</v>
      </c>
      <c r="H10" s="11" t="n">
        <v>0</v>
      </c>
      <c r="Z10" s="11" t="n">
        <v>2.6168</v>
      </c>
      <c r="AA10" s="11" t="n">
        <v>0</v>
      </c>
    </row>
    <row r="11">
      <c r="A11" s="10" t="inlineStr">
        <is>
          <t>손상차손</t>
        </is>
      </c>
      <c r="H11" s="11" t="n">
        <v>0</v>
      </c>
      <c r="J11" s="11" t="n">
        <v>0</v>
      </c>
      <c r="L11" s="11" t="n">
        <v>144.7294</v>
      </c>
      <c r="N11" s="11" t="n">
        <v>2.6345</v>
      </c>
      <c r="P11" s="11" t="n">
        <v>3.9895</v>
      </c>
      <c r="R11" s="11" t="n">
        <v>1.372</v>
      </c>
      <c r="T11" s="11" t="n">
        <v>2.5413</v>
      </c>
      <c r="V11" s="11" t="n">
        <v>1.2803</v>
      </c>
      <c r="AA11" s="11" t="n">
        <v>0</v>
      </c>
      <c r="AB11" s="11" t="n">
        <v>144.7294</v>
      </c>
      <c r="AC11" s="11" t="n">
        <v>3.9895</v>
      </c>
      <c r="AD11" s="11" t="n">
        <v>2.5413</v>
      </c>
    </row>
    <row r="12">
      <c r="A12" s="10" t="inlineStr">
        <is>
          <t>채무 환입이익</t>
        </is>
      </c>
      <c r="P12" s="11" t="n">
        <v>0</v>
      </c>
      <c r="T12" s="11" t="n">
        <v>-0.2566</v>
      </c>
      <c r="AC12" s="11" t="n">
        <v>0</v>
      </c>
      <c r="AD12" s="11" t="n">
        <v>-0.2566</v>
      </c>
    </row>
    <row r="13">
      <c r="A13" s="10" t="inlineStr">
        <is>
          <t>보조금 수입</t>
        </is>
      </c>
      <c r="D13" s="11" t="n">
        <v>-0.0267</v>
      </c>
      <c r="F13" s="11" t="n">
        <v>-0.0462</v>
      </c>
      <c r="H13" s="11" t="n">
        <v>-0.0515</v>
      </c>
      <c r="J13" s="11" t="n">
        <v>-0.0039</v>
      </c>
      <c r="L13" s="11" t="n">
        <v>-0.9899</v>
      </c>
      <c r="N13" s="11" t="n">
        <v>-0.0258</v>
      </c>
      <c r="P13" s="11" t="n">
        <v>-0.0262</v>
      </c>
      <c r="R13" s="11" t="n">
        <v>0</v>
      </c>
      <c r="T13" s="11" t="n">
        <v>0</v>
      </c>
      <c r="Y13" s="11" t="n">
        <v>0</v>
      </c>
      <c r="Z13" s="11" t="n">
        <v>-0.0267</v>
      </c>
      <c r="AA13" s="11" t="n">
        <v>-0.0515</v>
      </c>
      <c r="AB13" s="11" t="n">
        <v>-0.9899</v>
      </c>
      <c r="AC13" s="11" t="n">
        <v>-0.0262</v>
      </c>
      <c r="AD13" s="11" t="n">
        <v>0</v>
      </c>
    </row>
    <row r="14">
      <c r="A14" s="10" t="inlineStr">
        <is>
          <t>보험금 수익</t>
        </is>
      </c>
      <c r="H14" s="11" t="n">
        <v>0</v>
      </c>
      <c r="L14" s="11" t="n">
        <v>-0.313</v>
      </c>
      <c r="P14" s="11" t="n">
        <v>0</v>
      </c>
      <c r="AA14" s="11" t="n">
        <v>0</v>
      </c>
      <c r="AB14" s="11" t="n">
        <v>-0.313</v>
      </c>
      <c r="AC14" s="11" t="n">
        <v>0</v>
      </c>
    </row>
    <row r="15">
      <c r="A15" s="10" t="inlineStr">
        <is>
          <t>투자유가증권 평가손익</t>
        </is>
      </c>
      <c r="H15" s="11" t="n">
        <v>0</v>
      </c>
      <c r="L15" s="11" t="n">
        <v>0.3247</v>
      </c>
      <c r="P15" s="11" t="n">
        <v>0</v>
      </c>
      <c r="T15" s="11" t="n">
        <v>0</v>
      </c>
      <c r="AA15" s="11" t="n">
        <v>0</v>
      </c>
      <c r="AB15" s="11" t="n">
        <v>0.3247</v>
      </c>
      <c r="AC15" s="11" t="n">
        <v>0</v>
      </c>
      <c r="AD15" s="11" t="n">
        <v>0</v>
      </c>
    </row>
    <row r="16">
      <c r="A16" s="10" t="inlineStr">
        <is>
          <t>관계회사 청산손익</t>
        </is>
      </c>
      <c r="R16" s="11" t="n">
        <v>0</v>
      </c>
      <c r="V16" s="11" t="n">
        <v>-0.2992</v>
      </c>
    </row>
    <row r="17">
      <c r="A17" s="10" t="inlineStr">
        <is>
          <t>상여충당금 증감</t>
        </is>
      </c>
      <c r="D17" s="11" t="n">
        <v>0.8076</v>
      </c>
      <c r="F17" s="11" t="n">
        <v>-1.302</v>
      </c>
      <c r="H17" s="11" t="n">
        <v>-0.9183</v>
      </c>
      <c r="J17" s="11" t="n">
        <v>-0.7374000000000001</v>
      </c>
      <c r="L17" s="11" t="n">
        <v>0.7914</v>
      </c>
      <c r="N17" s="11" t="n">
        <v>-0.9792</v>
      </c>
      <c r="P17" s="11" t="n">
        <v>0.3387</v>
      </c>
      <c r="R17" s="11" t="n">
        <v>-1.7091</v>
      </c>
      <c r="T17" s="11" t="n">
        <v>0.09379999999999999</v>
      </c>
      <c r="V17" s="11" t="n">
        <v>-1.2194</v>
      </c>
      <c r="W17" s="11" t="n">
        <v>0</v>
      </c>
      <c r="X17" s="11" t="n">
        <v>0.0949</v>
      </c>
      <c r="Y17" s="11" t="n">
        <v>0.5195</v>
      </c>
      <c r="Z17" s="11" t="n">
        <v>0.8076</v>
      </c>
      <c r="AA17" s="11" t="n">
        <v>-0.9183</v>
      </c>
      <c r="AB17" s="11" t="n">
        <v>0.7914</v>
      </c>
      <c r="AC17" s="11" t="n">
        <v>0.3387</v>
      </c>
      <c r="AD17" s="11" t="n">
        <v>0.09379999999999999</v>
      </c>
    </row>
    <row r="18">
      <c r="A18" s="10" t="inlineStr">
        <is>
          <t>상장 관련 비용</t>
        </is>
      </c>
      <c r="W18" s="11" t="n">
        <v>0</v>
      </c>
      <c r="X18" s="11" t="n">
        <v>0.1084</v>
      </c>
    </row>
    <row r="19">
      <c r="A19" s="10" t="inlineStr">
        <is>
          <t>자기 신주예약권</t>
        </is>
      </c>
      <c r="W19" s="11" t="n">
        <v>0</v>
      </c>
      <c r="X19" s="11" t="n">
        <v>0.0407</v>
      </c>
    </row>
    <row r="20">
      <c r="A20" s="10" t="inlineStr">
        <is>
          <t>대손충당금 증감</t>
        </is>
      </c>
      <c r="D20" s="11" t="n">
        <v>-0.1718</v>
      </c>
      <c r="F20" s="11" t="n">
        <v>0.0516</v>
      </c>
      <c r="H20" s="11" t="n">
        <v>0.0208</v>
      </c>
      <c r="J20" s="11" t="n">
        <v>-0.0786</v>
      </c>
      <c r="L20" s="11" t="n">
        <v>-0.0262</v>
      </c>
      <c r="N20" s="11" t="n">
        <v>-0.0351</v>
      </c>
      <c r="P20" s="11" t="n">
        <v>-0.0441</v>
      </c>
      <c r="R20" s="11" t="n">
        <v>0.0332</v>
      </c>
      <c r="T20" s="11" t="n">
        <v>0.0365</v>
      </c>
      <c r="V20" s="11" t="n">
        <v>-0.0175</v>
      </c>
      <c r="Y20" s="11" t="n">
        <v>0</v>
      </c>
      <c r="Z20" s="11" t="n">
        <v>-0.1718</v>
      </c>
      <c r="AA20" s="11" t="n">
        <v>0.0208</v>
      </c>
      <c r="AB20" s="11" t="n">
        <v>-0.0262</v>
      </c>
      <c r="AC20" s="11" t="n">
        <v>-0.0441</v>
      </c>
      <c r="AD20" s="11" t="n">
        <v>0.0365</v>
      </c>
    </row>
    <row r="21">
      <c r="A21" s="10" t="inlineStr">
        <is>
          <t>이자·배당금 수익</t>
        </is>
      </c>
      <c r="D21" s="11" t="n">
        <v>-0.0002</v>
      </c>
      <c r="F21" s="11" t="n">
        <v>-0.0001</v>
      </c>
      <c r="H21" s="11" t="n">
        <v>-0.0003</v>
      </c>
      <c r="J21" s="11" t="n">
        <v>-0.0002</v>
      </c>
      <c r="L21" s="11" t="n">
        <v>-0.0005</v>
      </c>
      <c r="N21" s="11" t="n">
        <v>-0.0013</v>
      </c>
      <c r="P21" s="11" t="n">
        <v>-0.0106</v>
      </c>
      <c r="R21" s="11" t="n">
        <v>-0.0293</v>
      </c>
      <c r="T21" s="11" t="n">
        <v>-0.08450000000000001</v>
      </c>
      <c r="V21" s="11" t="n">
        <v>-0.076</v>
      </c>
      <c r="W21" s="11" t="n">
        <v>-0.0001</v>
      </c>
      <c r="X21" s="11" t="n">
        <v>-0.0003</v>
      </c>
      <c r="Y21" s="11" t="n">
        <v>-0.0002</v>
      </c>
      <c r="Z21" s="11" t="n">
        <v>-0.0002</v>
      </c>
      <c r="AA21" s="11" t="n">
        <v>-0.0003</v>
      </c>
      <c r="AB21" s="11" t="n">
        <v>-0.0005</v>
      </c>
      <c r="AC21" s="11" t="n">
        <v>-0.0106</v>
      </c>
      <c r="AD21" s="11" t="n">
        <v>-0.08450000000000001</v>
      </c>
    </row>
    <row r="22">
      <c r="A22" s="10" t="inlineStr">
        <is>
          <t>이자비용</t>
        </is>
      </c>
      <c r="D22" s="11" t="n">
        <v>0.2212</v>
      </c>
      <c r="F22" s="11" t="n">
        <v>0.2449</v>
      </c>
      <c r="H22" s="11" t="n">
        <v>0.4611</v>
      </c>
      <c r="J22" s="11" t="n">
        <v>0.1921</v>
      </c>
      <c r="L22" s="11" t="n">
        <v>0.3713</v>
      </c>
      <c r="N22" s="11" t="n">
        <v>0.1981</v>
      </c>
      <c r="P22" s="11" t="n">
        <v>0.4367</v>
      </c>
      <c r="R22" s="11" t="n">
        <v>0.2754</v>
      </c>
      <c r="T22" s="11" t="n">
        <v>0.5298</v>
      </c>
      <c r="V22" s="11" t="n">
        <v>0.2546</v>
      </c>
      <c r="W22" s="11" t="n">
        <v>0.015</v>
      </c>
      <c r="X22" s="11" t="n">
        <v>0.0332</v>
      </c>
      <c r="Y22" s="11" t="n">
        <v>0.0848</v>
      </c>
      <c r="Z22" s="11" t="n">
        <v>0.2212</v>
      </c>
      <c r="AA22" s="11" t="n">
        <v>0.4611</v>
      </c>
      <c r="AB22" s="11" t="n">
        <v>0.3713</v>
      </c>
      <c r="AC22" s="11" t="n">
        <v>0.4367</v>
      </c>
      <c r="AD22" s="11" t="n">
        <v>0.5298</v>
      </c>
    </row>
    <row r="23">
      <c r="A23" s="10" t="inlineStr">
        <is>
          <t>외환차손익</t>
        </is>
      </c>
      <c r="W23" s="11" t="n">
        <v>-0.0014</v>
      </c>
      <c r="X23" s="11" t="n">
        <v>0.0015</v>
      </c>
    </row>
    <row r="24">
      <c r="A24" s="10" t="inlineStr">
        <is>
          <t>매출채권 증감</t>
        </is>
      </c>
      <c r="W24" s="11" t="n">
        <v>-0.7164</v>
      </c>
      <c r="X24" s="11" t="n">
        <v>-0.5153</v>
      </c>
    </row>
    <row r="25">
      <c r="A25" s="10" t="inlineStr">
        <is>
          <t>재고자산 증감</t>
        </is>
      </c>
      <c r="W25" s="11" t="n">
        <v>0.0021</v>
      </c>
      <c r="X25" s="11" t="n">
        <v>0</v>
      </c>
    </row>
    <row r="26">
      <c r="A26" s="10" t="inlineStr">
        <is>
          <t>장기선급비용 증감</t>
        </is>
      </c>
      <c r="W26" s="11" t="n">
        <v>0</v>
      </c>
      <c r="X26" s="11" t="n">
        <v>-0.0047</v>
      </c>
    </row>
    <row r="27">
      <c r="A27" s="10" t="inlineStr">
        <is>
          <t>선급비용 증감</t>
        </is>
      </c>
      <c r="W27" s="11" t="n">
        <v>-0.1033</v>
      </c>
      <c r="X27" s="11" t="n">
        <v>-0.1019</v>
      </c>
    </row>
    <row r="28">
      <c r="A28" s="10" t="inlineStr">
        <is>
          <t>외환차손익</t>
        </is>
      </c>
      <c r="D28" s="11" t="n">
        <v>-0.067</v>
      </c>
      <c r="F28" s="11" t="n">
        <v>-0.1781</v>
      </c>
      <c r="H28" s="11" t="n">
        <v>-0.1489</v>
      </c>
      <c r="J28" s="11" t="n">
        <v>-0.1434</v>
      </c>
      <c r="L28" s="11" t="n">
        <v>-0.2257</v>
      </c>
      <c r="N28" s="11" t="n">
        <v>0.1461</v>
      </c>
      <c r="P28" s="11" t="n">
        <v>0.0381</v>
      </c>
      <c r="R28" s="11" t="n">
        <v>0.08699999999999999</v>
      </c>
      <c r="T28" s="11" t="n">
        <v>-0.0392</v>
      </c>
      <c r="V28" s="11" t="n">
        <v>0.1024</v>
      </c>
      <c r="Y28" s="11" t="n">
        <v>0.024</v>
      </c>
      <c r="Z28" s="11" t="n">
        <v>-0.067</v>
      </c>
      <c r="AA28" s="11" t="n">
        <v>-0.1489</v>
      </c>
      <c r="AB28" s="11" t="n">
        <v>-0.2257</v>
      </c>
      <c r="AC28" s="11" t="n">
        <v>0.0381</v>
      </c>
      <c r="AD28" s="11" t="n">
        <v>-0.0392</v>
      </c>
    </row>
    <row r="29">
      <c r="A29" s="10" t="inlineStr">
        <is>
          <t>매출채권·계약자산 증감</t>
        </is>
      </c>
      <c r="H29" s="11" t="n">
        <v>-0.1827</v>
      </c>
      <c r="L29" s="11" t="n">
        <v>-3.5609</v>
      </c>
      <c r="AA29" s="11" t="n">
        <v>-0.1827</v>
      </c>
      <c r="AB29" s="11" t="n">
        <v>-3.5609</v>
      </c>
    </row>
    <row r="30">
      <c r="A30" s="10" t="inlineStr">
        <is>
          <t>매출채권·계약자산 증감</t>
        </is>
      </c>
      <c r="L30" s="11" t="n">
        <v>-3.5609</v>
      </c>
      <c r="P30" s="11" t="n">
        <v>0.7558</v>
      </c>
      <c r="T30" s="11" t="n">
        <v>-0.0486</v>
      </c>
      <c r="AB30" s="11" t="n">
        <v>-3.5609</v>
      </c>
      <c r="AC30" s="11" t="n">
        <v>0.7558</v>
      </c>
      <c r="AD30" s="11" t="n">
        <v>-0.0486</v>
      </c>
    </row>
    <row r="31">
      <c r="A31" s="10" t="inlineStr">
        <is>
          <t>매출채권 증감</t>
        </is>
      </c>
      <c r="D31" s="11" t="n">
        <v>0.5185</v>
      </c>
      <c r="F31" s="11" t="n">
        <v>-2.2157</v>
      </c>
      <c r="H31" s="11" t="n">
        <v>-0.1827</v>
      </c>
      <c r="J31" s="11" t="n">
        <v>1.3219</v>
      </c>
      <c r="N31" s="11" t="n">
        <v>3.4759</v>
      </c>
      <c r="R31" s="11" t="n">
        <v>4.0567</v>
      </c>
      <c r="V31" s="11" t="n">
        <v>1.0196</v>
      </c>
      <c r="Y31" s="11" t="n">
        <v>-2.095</v>
      </c>
      <c r="Z31" s="11" t="n">
        <v>0.5185</v>
      </c>
      <c r="AA31" s="11" t="n">
        <v>-0.1827</v>
      </c>
    </row>
    <row r="32">
      <c r="A32" s="10" t="inlineStr">
        <is>
          <t>매입채무 증감</t>
        </is>
      </c>
      <c r="D32" s="11" t="n">
        <v>0.7868000000000001</v>
      </c>
      <c r="F32" s="11" t="n">
        <v>-0.189</v>
      </c>
      <c r="H32" s="11" t="n">
        <v>0.2642</v>
      </c>
      <c r="J32" s="11" t="n">
        <v>-0.1629</v>
      </c>
      <c r="L32" s="11" t="n">
        <v>0.4454</v>
      </c>
      <c r="N32" s="11" t="n">
        <v>-0.4913</v>
      </c>
      <c r="P32" s="11" t="n">
        <v>-0.1812</v>
      </c>
      <c r="R32" s="11" t="n">
        <v>-0.4383</v>
      </c>
      <c r="T32" s="11" t="n">
        <v>0</v>
      </c>
      <c r="V32" s="11" t="n">
        <v>-0.4378</v>
      </c>
      <c r="W32" s="11" t="n">
        <v>0.2281</v>
      </c>
      <c r="X32" s="11" t="n">
        <v>0.1754</v>
      </c>
      <c r="Y32" s="11" t="n">
        <v>0.5044</v>
      </c>
      <c r="Z32" s="11" t="n">
        <v>0.7868000000000001</v>
      </c>
      <c r="AA32" s="11" t="n">
        <v>0.2642</v>
      </c>
      <c r="AB32" s="11" t="n">
        <v>0.4454</v>
      </c>
      <c r="AC32" s="11" t="n">
        <v>-0.1812</v>
      </c>
      <c r="AD32" s="11" t="n">
        <v>0</v>
      </c>
    </row>
    <row r="33">
      <c r="A33" s="10" t="inlineStr">
        <is>
          <t>선급비용 증감</t>
        </is>
      </c>
      <c r="D33" s="11" t="n">
        <v>-0.4474</v>
      </c>
      <c r="F33" s="11" t="n">
        <v>0.1966</v>
      </c>
      <c r="H33" s="11" t="n">
        <v>0.2769</v>
      </c>
      <c r="J33" s="11" t="n">
        <v>-0.3022</v>
      </c>
      <c r="L33" s="11" t="n">
        <v>-0.3645</v>
      </c>
      <c r="N33" s="11" t="n">
        <v>0.095</v>
      </c>
      <c r="P33" s="11" t="n">
        <v>-0.4182</v>
      </c>
      <c r="R33" s="11" t="n">
        <v>0.2025</v>
      </c>
      <c r="T33" s="11" t="n">
        <v>0.6091</v>
      </c>
      <c r="V33" s="11" t="n">
        <v>-0.6465</v>
      </c>
      <c r="Y33" s="11" t="n">
        <v>0.0552</v>
      </c>
      <c r="Z33" s="11" t="n">
        <v>-0.4474</v>
      </c>
      <c r="AA33" s="11" t="n">
        <v>0.2769</v>
      </c>
      <c r="AB33" s="11" t="n">
        <v>-0.3645</v>
      </c>
      <c r="AC33" s="11" t="n">
        <v>-0.4182</v>
      </c>
      <c r="AD33" s="11" t="n">
        <v>0.6091</v>
      </c>
    </row>
    <row r="34">
      <c r="A34" s="10" t="inlineStr">
        <is>
          <t>미지급금 증감</t>
        </is>
      </c>
      <c r="D34" s="11" t="n">
        <v>-2.477</v>
      </c>
      <c r="F34" s="11" t="n">
        <v>-0.5800999999999999</v>
      </c>
      <c r="H34" s="11" t="n">
        <v>-0.1932</v>
      </c>
      <c r="J34" s="11" t="n">
        <v>-0.1512</v>
      </c>
      <c r="L34" s="11" t="n">
        <v>-0.1255</v>
      </c>
      <c r="N34" s="11" t="n">
        <v>1.325</v>
      </c>
      <c r="P34" s="11" t="n">
        <v>0.7203000000000001</v>
      </c>
      <c r="R34" s="11" t="n">
        <v>-0.6098</v>
      </c>
      <c r="T34" s="11" t="n">
        <v>0.0368</v>
      </c>
      <c r="V34" s="11" t="n">
        <v>-0.791</v>
      </c>
      <c r="W34" s="11" t="n">
        <v>0.1396</v>
      </c>
      <c r="X34" s="11" t="n">
        <v>-0.0052</v>
      </c>
      <c r="Y34" s="11" t="n">
        <v>0.2494</v>
      </c>
      <c r="Z34" s="11" t="n">
        <v>-2.477</v>
      </c>
      <c r="AA34" s="11" t="n">
        <v>-0.1932</v>
      </c>
      <c r="AB34" s="11" t="n">
        <v>-0.1255</v>
      </c>
      <c r="AC34" s="11" t="n">
        <v>0.7203000000000001</v>
      </c>
      <c r="AD34" s="11" t="n">
        <v>0.0368</v>
      </c>
    </row>
    <row r="35">
      <c r="A35" s="10" t="inlineStr">
        <is>
          <t>미지급비용 증감</t>
        </is>
      </c>
      <c r="D35" s="11" t="n">
        <v>-0.1628</v>
      </c>
      <c r="F35" s="11" t="n">
        <v>0.1824</v>
      </c>
      <c r="H35" s="11" t="n">
        <v>0.3129</v>
      </c>
      <c r="J35" s="11" t="n">
        <v>0.2772</v>
      </c>
      <c r="L35" s="11" t="n">
        <v>0.2853</v>
      </c>
      <c r="N35" s="11" t="n">
        <v>0.2213</v>
      </c>
      <c r="P35" s="11" t="n">
        <v>-0.202</v>
      </c>
      <c r="R35" s="11" t="n">
        <v>0.4604</v>
      </c>
      <c r="T35" s="11" t="n">
        <v>-0.0043</v>
      </c>
      <c r="V35" s="11" t="n">
        <v>-0.1001</v>
      </c>
      <c r="W35" s="11" t="n">
        <v>0.0222</v>
      </c>
      <c r="X35" s="11" t="n">
        <v>0.1628</v>
      </c>
      <c r="Y35" s="11" t="n">
        <v>0.0176</v>
      </c>
      <c r="Z35" s="11" t="n">
        <v>-0.1628</v>
      </c>
      <c r="AA35" s="11" t="n">
        <v>0.3129</v>
      </c>
      <c r="AB35" s="11" t="n">
        <v>0.2853</v>
      </c>
      <c r="AC35" s="11" t="n">
        <v>-0.202</v>
      </c>
      <c r="AD35" s="11" t="n">
        <v>-0.0043</v>
      </c>
    </row>
    <row r="36">
      <c r="A36" s="10" t="inlineStr">
        <is>
          <t>계약부채 증감</t>
        </is>
      </c>
      <c r="D36" s="11" t="n">
        <v>3.54</v>
      </c>
      <c r="F36" s="11" t="n">
        <v>2.5159</v>
      </c>
      <c r="H36" s="11" t="n">
        <v>3.7692</v>
      </c>
      <c r="W36" s="11" t="n">
        <v>0.4657</v>
      </c>
      <c r="X36" s="11" t="n">
        <v>0.5062</v>
      </c>
      <c r="Y36" s="11" t="n">
        <v>1.9325</v>
      </c>
      <c r="Z36" s="11" t="n">
        <v>3.54</v>
      </c>
      <c r="AA36" s="11" t="n">
        <v>3.7692</v>
      </c>
    </row>
    <row r="37">
      <c r="A37" s="10" t="inlineStr">
        <is>
          <t>계약부채 증감</t>
        </is>
      </c>
      <c r="F37" s="11" t="n">
        <v>2.5159</v>
      </c>
      <c r="J37" s="11" t="n">
        <v>1.2634</v>
      </c>
    </row>
    <row r="38">
      <c r="A38" s="10" t="inlineStr">
        <is>
          <t>계약부채 증감</t>
        </is>
      </c>
      <c r="H38" s="11" t="n">
        <v>3.7692</v>
      </c>
      <c r="L38" s="11" t="n">
        <v>3.7377</v>
      </c>
      <c r="AA38" s="11" t="n">
        <v>3.7692</v>
      </c>
      <c r="AB38" s="11" t="n">
        <v>3.7377</v>
      </c>
    </row>
    <row r="39">
      <c r="A39" s="10" t="inlineStr">
        <is>
          <t>계약부채 증감</t>
        </is>
      </c>
      <c r="J39" s="11" t="n">
        <v>1.2634</v>
      </c>
      <c r="N39" s="11" t="n">
        <v>-5.0977</v>
      </c>
    </row>
    <row r="40">
      <c r="A40" s="10" t="inlineStr">
        <is>
          <t>계약부채 증감</t>
        </is>
      </c>
      <c r="L40" s="11" t="n">
        <v>3.7377</v>
      </c>
      <c r="N40" s="11" t="n">
        <v>-5.0977</v>
      </c>
      <c r="P40" s="11" t="n">
        <v>-1.3372</v>
      </c>
      <c r="R40" s="11" t="n">
        <v>-3.1548</v>
      </c>
      <c r="T40" s="11" t="n">
        <v>-0.5661</v>
      </c>
      <c r="V40" s="11" t="n">
        <v>0.1217</v>
      </c>
      <c r="AB40" s="11" t="n">
        <v>3.7377</v>
      </c>
      <c r="AC40" s="11" t="n">
        <v>-1.3372</v>
      </c>
      <c r="AD40" s="11" t="n">
        <v>-0.5661</v>
      </c>
    </row>
    <row r="41">
      <c r="A41" s="5" t="inlineStr">
        <is>
          <t>선수수익 증감</t>
        </is>
      </c>
      <c r="D41" s="6" t="n">
        <v>-0.0056</v>
      </c>
      <c r="F41" s="6" t="n">
        <v>0.0035</v>
      </c>
      <c r="H41" s="6" t="n">
        <v>0.0212</v>
      </c>
      <c r="J41" s="6" t="n">
        <v>0.0009</v>
      </c>
      <c r="L41" s="6" t="n">
        <v>0.0132</v>
      </c>
      <c r="N41" s="6" t="n">
        <v>-0.0011</v>
      </c>
      <c r="P41" s="6" t="n">
        <v>0.0097</v>
      </c>
      <c r="R41" s="6" t="n">
        <v>-0.0129</v>
      </c>
      <c r="T41" s="6" t="n">
        <v>0.4541</v>
      </c>
      <c r="V41" s="6" t="n">
        <v>-0.0415</v>
      </c>
      <c r="W41" s="6" t="n">
        <v>0.0223</v>
      </c>
      <c r="X41" s="6" t="n">
        <v>0.0021</v>
      </c>
      <c r="Y41" s="6" t="n">
        <v>0.0052</v>
      </c>
      <c r="Z41" s="6" t="n">
        <v>-0.0056</v>
      </c>
      <c r="AA41" s="6" t="n">
        <v>0.0212</v>
      </c>
      <c r="AB41" s="6" t="n">
        <v>0.0132</v>
      </c>
      <c r="AC41" s="6" t="n">
        <v>0.0097</v>
      </c>
      <c r="AD41" s="6" t="n">
        <v>0.4541</v>
      </c>
    </row>
    <row r="42">
      <c r="A42" s="10" t="inlineStr">
        <is>
          <t>예수금 증감</t>
        </is>
      </c>
      <c r="D42" s="11" t="n">
        <v>-0.0184</v>
      </c>
      <c r="F42" s="11" t="n">
        <v>0.0114</v>
      </c>
      <c r="H42" s="11" t="n">
        <v>0.0376</v>
      </c>
      <c r="J42" s="11" t="n">
        <v>0.2974</v>
      </c>
      <c r="L42" s="11" t="n">
        <v>0.3383</v>
      </c>
      <c r="N42" s="11" t="n">
        <v>0.2243</v>
      </c>
      <c r="P42" s="11" t="n">
        <v>0.0964</v>
      </c>
      <c r="R42" s="11" t="n">
        <v>0.1141</v>
      </c>
      <c r="T42" s="11" t="n">
        <v>-0.1058</v>
      </c>
      <c r="V42" s="11" t="n">
        <v>-0.1023</v>
      </c>
      <c r="W42" s="11" t="n">
        <v>0.029</v>
      </c>
      <c r="X42" s="11" t="n">
        <v>0.1025</v>
      </c>
      <c r="Y42" s="11" t="n">
        <v>0.0577</v>
      </c>
      <c r="Z42" s="11" t="n">
        <v>-0.0184</v>
      </c>
      <c r="AA42" s="11" t="n">
        <v>0.0376</v>
      </c>
      <c r="AB42" s="11" t="n">
        <v>0.3383</v>
      </c>
      <c r="AC42" s="11" t="n">
        <v>0.0964</v>
      </c>
      <c r="AD42" s="11" t="n">
        <v>-0.1058</v>
      </c>
    </row>
    <row r="43">
      <c r="A43" s="10" t="inlineStr">
        <is>
          <t>미지급 소비세 증감</t>
        </is>
      </c>
      <c r="D43" s="11" t="n">
        <v>-0.5385</v>
      </c>
      <c r="F43" s="11" t="n">
        <v>0.7721</v>
      </c>
      <c r="H43" s="11" t="n">
        <v>1.645</v>
      </c>
      <c r="J43" s="11" t="n">
        <v>-1.1281</v>
      </c>
      <c r="L43" s="11" t="n">
        <v>-0.4117</v>
      </c>
      <c r="N43" s="11" t="n">
        <v>-0.2474</v>
      </c>
      <c r="P43" s="11" t="n">
        <v>-0.2072</v>
      </c>
      <c r="R43" s="11" t="n">
        <v>-0.5651</v>
      </c>
      <c r="T43" s="11" t="n">
        <v>0.3305</v>
      </c>
      <c r="V43" s="11" t="n">
        <v>-0.208</v>
      </c>
      <c r="W43" s="11" t="n">
        <v>0.06270000000000001</v>
      </c>
      <c r="X43" s="11" t="n">
        <v>0.1916</v>
      </c>
      <c r="Y43" s="11" t="n">
        <v>0.3635</v>
      </c>
      <c r="Z43" s="11" t="n">
        <v>-0.5385</v>
      </c>
      <c r="AA43" s="11" t="n">
        <v>1.645</v>
      </c>
      <c r="AB43" s="11" t="n">
        <v>-0.4117</v>
      </c>
      <c r="AC43" s="11" t="n">
        <v>-0.2072</v>
      </c>
      <c r="AD43" s="11" t="n">
        <v>0.3305</v>
      </c>
    </row>
    <row r="44">
      <c r="A44" s="10" t="inlineStr">
        <is>
          <t>기타 자산 증감</t>
        </is>
      </c>
      <c r="W44" s="11" t="n">
        <v>-0.0172</v>
      </c>
      <c r="X44" s="11" t="n">
        <v>-0.0292</v>
      </c>
    </row>
    <row r="45">
      <c r="A45" s="10" t="inlineStr">
        <is>
          <t>기타 부채 증감</t>
        </is>
      </c>
      <c r="W45" s="11" t="n">
        <v>0.0304</v>
      </c>
      <c r="X45" s="11" t="n">
        <v>-0.0303</v>
      </c>
    </row>
    <row r="46">
      <c r="A46" s="10" t="inlineStr">
        <is>
          <t>기타</t>
        </is>
      </c>
      <c r="D46" s="11" t="n">
        <v>-0.0832</v>
      </c>
      <c r="F46" s="11" t="n">
        <v>0.2096</v>
      </c>
      <c r="H46" s="11" t="n">
        <v>0.1612</v>
      </c>
      <c r="J46" s="11" t="n">
        <v>-0.3458</v>
      </c>
      <c r="L46" s="11" t="n">
        <v>-0.6451</v>
      </c>
      <c r="N46" s="11" t="n">
        <v>-0.8667</v>
      </c>
      <c r="P46" s="11" t="n">
        <v>-0.8411999999999999</v>
      </c>
      <c r="R46" s="11" t="n">
        <v>-0.0264</v>
      </c>
      <c r="T46" s="11" t="n">
        <v>-0.4008</v>
      </c>
      <c r="V46" s="11" t="n">
        <v>-0.1888</v>
      </c>
      <c r="Y46" s="11" t="n">
        <v>0.1237</v>
      </c>
      <c r="Z46" s="11" t="n">
        <v>-0.0832</v>
      </c>
      <c r="AA46" s="11" t="n">
        <v>0.1612</v>
      </c>
      <c r="AB46" s="11" t="n">
        <v>-0.6451</v>
      </c>
      <c r="AC46" s="11" t="n">
        <v>-0.8411999999999999</v>
      </c>
      <c r="AD46" s="11" t="n">
        <v>-0.4008</v>
      </c>
    </row>
    <row r="47">
      <c r="A47" s="10" t="inlineStr">
        <is>
          <t>소계</t>
        </is>
      </c>
      <c r="D47" s="11" t="n">
        <v>3.1566</v>
      </c>
      <c r="F47" s="11" t="n">
        <v>5.9045</v>
      </c>
      <c r="H47" s="11" t="n">
        <v>16.2233</v>
      </c>
      <c r="J47" s="11" t="n">
        <v>4.8365</v>
      </c>
      <c r="L47" s="11" t="n">
        <v>13.0975</v>
      </c>
      <c r="N47" s="11" t="n">
        <v>3.7285</v>
      </c>
      <c r="P47" s="11" t="n">
        <v>11.7782</v>
      </c>
      <c r="R47" s="11" t="n">
        <v>3.9002</v>
      </c>
      <c r="T47" s="11" t="n">
        <v>15.1423</v>
      </c>
      <c r="V47" s="11" t="n">
        <v>6.4582</v>
      </c>
      <c r="W47" s="11" t="n">
        <v>0.5127</v>
      </c>
      <c r="X47" s="11" t="n">
        <v>1.4203</v>
      </c>
      <c r="Y47" s="11" t="n">
        <v>4.0177</v>
      </c>
      <c r="Z47" s="11" t="n">
        <v>3.1566</v>
      </c>
      <c r="AA47" s="11" t="n">
        <v>16.2233</v>
      </c>
      <c r="AB47" s="11" t="n">
        <v>13.0975</v>
      </c>
      <c r="AC47" s="11" t="n">
        <v>11.7782</v>
      </c>
      <c r="AD47" s="11" t="n">
        <v>15.1423</v>
      </c>
    </row>
    <row r="48">
      <c r="A48" s="10" t="inlineStr">
        <is>
          <t>이자·배당금 수취</t>
        </is>
      </c>
      <c r="D48" s="11" t="n">
        <v>0.0002</v>
      </c>
      <c r="F48" s="11" t="n">
        <v>0.0001</v>
      </c>
      <c r="H48" s="11" t="n">
        <v>0.0003</v>
      </c>
      <c r="J48" s="11" t="n">
        <v>0.0002</v>
      </c>
      <c r="L48" s="11" t="n">
        <v>0.0005</v>
      </c>
      <c r="N48" s="11" t="n">
        <v>0.0013</v>
      </c>
      <c r="P48" s="11" t="n">
        <v>0.0106</v>
      </c>
      <c r="R48" s="11" t="n">
        <v>0.0293</v>
      </c>
      <c r="T48" s="11" t="n">
        <v>0.08450000000000001</v>
      </c>
      <c r="V48" s="11" t="n">
        <v>0.076</v>
      </c>
      <c r="W48" s="11" t="n">
        <v>0.0001</v>
      </c>
      <c r="X48" s="11" t="n">
        <v>0.0003</v>
      </c>
      <c r="Y48" s="11" t="n">
        <v>0.0002</v>
      </c>
      <c r="Z48" s="11" t="n">
        <v>0.0002</v>
      </c>
      <c r="AA48" s="11" t="n">
        <v>0.0003</v>
      </c>
      <c r="AB48" s="11" t="n">
        <v>0.0005</v>
      </c>
      <c r="AC48" s="11" t="n">
        <v>0.0106</v>
      </c>
      <c r="AD48" s="11" t="n">
        <v>0.08450000000000001</v>
      </c>
    </row>
    <row r="49">
      <c r="A49" s="10" t="inlineStr">
        <is>
          <t>이자 지급</t>
        </is>
      </c>
      <c r="D49" s="11" t="n">
        <v>-0.2524</v>
      </c>
      <c r="F49" s="11" t="n">
        <v>-0.2388</v>
      </c>
      <c r="H49" s="11" t="n">
        <v>-0.4505</v>
      </c>
      <c r="J49" s="11" t="n">
        <v>-0.1908</v>
      </c>
      <c r="L49" s="11" t="n">
        <v>-0.3732</v>
      </c>
      <c r="N49" s="11" t="n">
        <v>-0.2092</v>
      </c>
      <c r="P49" s="11" t="n">
        <v>-0.4715</v>
      </c>
      <c r="R49" s="11" t="n">
        <v>-0.2679</v>
      </c>
      <c r="T49" s="11" t="n">
        <v>-0.5284</v>
      </c>
      <c r="V49" s="11" t="n">
        <v>-0.1837</v>
      </c>
      <c r="W49" s="11" t="n">
        <v>-0.0152</v>
      </c>
      <c r="X49" s="11" t="n">
        <v>-0.0334</v>
      </c>
      <c r="Y49" s="11" t="n">
        <v>-0.0847</v>
      </c>
      <c r="Z49" s="11" t="n">
        <v>-0.2524</v>
      </c>
      <c r="AA49" s="11" t="n">
        <v>-0.4505</v>
      </c>
      <c r="AB49" s="11" t="n">
        <v>-0.3732</v>
      </c>
      <c r="AC49" s="11" t="n">
        <v>-0.4715</v>
      </c>
      <c r="AD49" s="11" t="n">
        <v>-0.5284</v>
      </c>
    </row>
    <row r="50">
      <c r="A50" s="10" t="inlineStr">
        <is>
          <t>법인세 납부·환급</t>
        </is>
      </c>
      <c r="W50" s="11" t="n">
        <v>-0.0308</v>
      </c>
      <c r="X50" s="11" t="n">
        <v>0.007900000000000001</v>
      </c>
    </row>
    <row r="51">
      <c r="A51" s="10" t="inlineStr">
        <is>
          <t>보조금 수취</t>
        </is>
      </c>
      <c r="D51" s="11" t="n">
        <v>0.0267</v>
      </c>
      <c r="F51" s="11" t="n">
        <v>0.0462</v>
      </c>
      <c r="H51" s="11" t="n">
        <v>0.0515</v>
      </c>
      <c r="J51" s="11" t="n">
        <v>0.0039</v>
      </c>
      <c r="L51" s="11" t="n">
        <v>0.9899</v>
      </c>
      <c r="N51" s="11" t="n">
        <v>0.0258</v>
      </c>
      <c r="P51" s="11" t="n">
        <v>0.0262</v>
      </c>
      <c r="R51" s="11" t="n">
        <v>0</v>
      </c>
      <c r="T51" s="11" t="n">
        <v>0</v>
      </c>
      <c r="Y51" s="11" t="n">
        <v>0</v>
      </c>
      <c r="Z51" s="11" t="n">
        <v>0.0267</v>
      </c>
      <c r="AA51" s="11" t="n">
        <v>0.0515</v>
      </c>
      <c r="AB51" s="11" t="n">
        <v>0.9899</v>
      </c>
      <c r="AC51" s="11" t="n">
        <v>0.0262</v>
      </c>
      <c r="AD51" s="11" t="n">
        <v>0</v>
      </c>
    </row>
    <row r="52">
      <c r="A52" s="10" t="inlineStr">
        <is>
          <t>보험금 수취</t>
        </is>
      </c>
      <c r="H52" s="11" t="n">
        <v>0</v>
      </c>
      <c r="L52" s="11" t="n">
        <v>0.313</v>
      </c>
      <c r="P52" s="11" t="n">
        <v>0</v>
      </c>
      <c r="AA52" s="11" t="n">
        <v>0</v>
      </c>
      <c r="AB52" s="11" t="n">
        <v>0.313</v>
      </c>
      <c r="AC52" s="11" t="n">
        <v>0</v>
      </c>
    </row>
    <row r="53">
      <c r="A53" s="10" t="inlineStr">
        <is>
          <t>법인세 납부</t>
        </is>
      </c>
      <c r="D53" s="11" t="n">
        <v>-0.6215000000000001</v>
      </c>
      <c r="F53" s="11" t="n">
        <v>-0.3445</v>
      </c>
      <c r="H53" s="11" t="n">
        <v>-0.6379</v>
      </c>
      <c r="J53" s="11" t="n">
        <v>-2.8144</v>
      </c>
      <c r="L53" s="11" t="n">
        <v>-4.7002</v>
      </c>
      <c r="N53" s="11" t="n">
        <v>-2.1726</v>
      </c>
      <c r="P53" s="11" t="n">
        <v>-3.8915</v>
      </c>
      <c r="R53" s="11" t="n">
        <v>-1.4153</v>
      </c>
      <c r="T53" s="11" t="n">
        <v>-1.7781</v>
      </c>
      <c r="V53" s="11" t="n">
        <v>-2.3269</v>
      </c>
      <c r="Y53" s="11" t="n">
        <v>-0.002</v>
      </c>
      <c r="Z53" s="11" t="n">
        <v>-0.6215000000000001</v>
      </c>
      <c r="AA53" s="11" t="n">
        <v>-0.6379</v>
      </c>
      <c r="AB53" s="11" t="n">
        <v>-4.7002</v>
      </c>
      <c r="AC53" s="11" t="n">
        <v>-3.8915</v>
      </c>
      <c r="AD53" s="11" t="n">
        <v>-1.7781</v>
      </c>
    </row>
    <row r="54">
      <c r="A54" s="10" t="inlineStr">
        <is>
          <t>법인세 환급</t>
        </is>
      </c>
      <c r="L54" s="11" t="n">
        <v>0</v>
      </c>
      <c r="P54" s="11" t="n">
        <v>1.8251</v>
      </c>
      <c r="T54" s="11" t="n">
        <v>0</v>
      </c>
      <c r="AB54" s="11" t="n">
        <v>0</v>
      </c>
      <c r="AC54" s="11" t="n">
        <v>1.8251</v>
      </c>
      <c r="AD54" s="11" t="n">
        <v>0</v>
      </c>
    </row>
    <row r="55">
      <c r="A55" s="10" t="inlineStr">
        <is>
          <t>영업활동 현금흐름</t>
        </is>
      </c>
      <c r="D55" s="11" t="n">
        <v>2.3097</v>
      </c>
      <c r="F55" s="11" t="n">
        <v>5.3676</v>
      </c>
      <c r="H55" s="11" t="n">
        <v>15.1867</v>
      </c>
      <c r="J55" s="11" t="n">
        <v>1.8354</v>
      </c>
      <c r="L55" s="11" t="n">
        <v>9.327500000000001</v>
      </c>
      <c r="N55" s="11" t="n">
        <v>1.3739</v>
      </c>
      <c r="P55" s="11" t="n">
        <v>9.277200000000001</v>
      </c>
      <c r="R55" s="11" t="n">
        <v>2.2462</v>
      </c>
      <c r="T55" s="11" t="n">
        <v>12.9203</v>
      </c>
      <c r="V55" s="11" t="n">
        <v>4.0236</v>
      </c>
      <c r="W55" s="11" t="n">
        <v>0.4668</v>
      </c>
      <c r="X55" s="11" t="n">
        <v>1.3951</v>
      </c>
      <c r="Y55" s="11" t="n">
        <v>3.9312</v>
      </c>
      <c r="Z55" s="11" t="n">
        <v>2.3097</v>
      </c>
      <c r="AA55" s="11" t="n">
        <v>15.1867</v>
      </c>
      <c r="AB55" s="11" t="n">
        <v>9.327500000000001</v>
      </c>
      <c r="AC55" s="11" t="n">
        <v>9.277200000000001</v>
      </c>
      <c r="AD55" s="11" t="n">
        <v>12.9203</v>
      </c>
    </row>
    <row r="56">
      <c r="A56" s="10" t="inlineStr">
        <is>
          <t>유형자산 취득(설비투자)</t>
        </is>
      </c>
      <c r="D56" s="11" t="n">
        <v>-0.2604</v>
      </c>
      <c r="F56" s="11" t="n">
        <v>-0.2332</v>
      </c>
      <c r="H56" s="11" t="n">
        <v>-0.43</v>
      </c>
      <c r="J56" s="11" t="n">
        <v>-0.3489</v>
      </c>
      <c r="L56" s="11" t="n">
        <v>-0.5859</v>
      </c>
      <c r="N56" s="11" t="n">
        <v>-0.1818</v>
      </c>
      <c r="P56" s="11" t="n">
        <v>-0.3861</v>
      </c>
      <c r="R56" s="11" t="n">
        <v>-1.1445</v>
      </c>
      <c r="T56" s="11" t="n">
        <v>-1.3269</v>
      </c>
      <c r="V56" s="11" t="n">
        <v>-0.4418</v>
      </c>
      <c r="W56" s="11" t="n">
        <v>-0.2253</v>
      </c>
      <c r="X56" s="11" t="n">
        <v>-0.1065</v>
      </c>
      <c r="Y56" s="11" t="n">
        <v>-0.2756</v>
      </c>
      <c r="Z56" s="11" t="n">
        <v>-0.2604</v>
      </c>
      <c r="AA56" s="11" t="n">
        <v>-0.43</v>
      </c>
      <c r="AB56" s="11" t="n">
        <v>-0.5859</v>
      </c>
      <c r="AC56" s="11" t="n">
        <v>-0.3861</v>
      </c>
      <c r="AD56" s="11" t="n">
        <v>-1.3269</v>
      </c>
    </row>
    <row r="57">
      <c r="A57" s="10" t="inlineStr">
        <is>
          <t>유형자산 매각</t>
        </is>
      </c>
      <c r="D57" s="11" t="n">
        <v>0.0029</v>
      </c>
      <c r="H57" s="11" t="n">
        <v>0</v>
      </c>
      <c r="L57" s="11" t="n">
        <v>0.0245</v>
      </c>
      <c r="P57" s="11" t="n">
        <v>0</v>
      </c>
      <c r="Y57" s="11" t="n">
        <v>0.0039</v>
      </c>
      <c r="Z57" s="11" t="n">
        <v>0.0029</v>
      </c>
      <c r="AA57" s="11" t="n">
        <v>0</v>
      </c>
      <c r="AB57" s="11" t="n">
        <v>0.0245</v>
      </c>
      <c r="AC57" s="11" t="n">
        <v>0</v>
      </c>
    </row>
    <row r="58">
      <c r="A58" s="10" t="inlineStr">
        <is>
          <t>무형자산 취득</t>
        </is>
      </c>
      <c r="D58" s="11" t="n">
        <v>-0.5341</v>
      </c>
      <c r="F58" s="11" t="n">
        <v>-0.8179</v>
      </c>
      <c r="H58" s="11" t="n">
        <v>-1.9485</v>
      </c>
      <c r="J58" s="11" t="n">
        <v>-1.0294</v>
      </c>
      <c r="L58" s="11" t="n">
        <v>-2.1743</v>
      </c>
      <c r="N58" s="11" t="n">
        <v>-1.2541</v>
      </c>
      <c r="P58" s="11" t="n">
        <v>-2.5179</v>
      </c>
      <c r="R58" s="11" t="n">
        <v>-1.3094</v>
      </c>
      <c r="T58" s="11" t="n">
        <v>-2.3771</v>
      </c>
      <c r="V58" s="11" t="n">
        <v>-1.2309</v>
      </c>
      <c r="Y58" s="11" t="n">
        <v>0</v>
      </c>
      <c r="Z58" s="11" t="n">
        <v>-0.5341</v>
      </c>
      <c r="AA58" s="11" t="n">
        <v>-1.9485</v>
      </c>
      <c r="AB58" s="11" t="n">
        <v>-2.1743</v>
      </c>
      <c r="AC58" s="11" t="n">
        <v>-2.5179</v>
      </c>
      <c r="AD58" s="11" t="n">
        <v>-2.3771</v>
      </c>
    </row>
    <row r="59">
      <c r="A59" s="10" t="inlineStr">
        <is>
          <t>임차보증금·보증금 납입</t>
        </is>
      </c>
      <c r="D59" s="11" t="n">
        <v>-0.0465</v>
      </c>
      <c r="F59" s="11" t="n">
        <v>-0.0245</v>
      </c>
      <c r="H59" s="11" t="n">
        <v>-0.0437</v>
      </c>
      <c r="J59" s="11" t="n">
        <v>-0.0269</v>
      </c>
      <c r="L59" s="11" t="n">
        <v>-0.1374</v>
      </c>
      <c r="N59" s="11" t="n">
        <v>-0.0142</v>
      </c>
      <c r="P59" s="11" t="n">
        <v>-0.0463</v>
      </c>
      <c r="R59" s="11" t="n">
        <v>-0.1988</v>
      </c>
      <c r="T59" s="11" t="n">
        <v>-0.2265</v>
      </c>
      <c r="V59" s="11" t="n">
        <v>-0.0518</v>
      </c>
      <c r="W59" s="11" t="n">
        <v>-0.2473</v>
      </c>
      <c r="X59" s="11" t="n">
        <v>-0.2344</v>
      </c>
      <c r="Y59" s="11" t="n">
        <v>-0.0135</v>
      </c>
      <c r="Z59" s="11" t="n">
        <v>-0.0465</v>
      </c>
      <c r="AA59" s="11" t="n">
        <v>-0.0437</v>
      </c>
      <c r="AB59" s="11" t="n">
        <v>-0.1374</v>
      </c>
      <c r="AC59" s="11" t="n">
        <v>-0.0463</v>
      </c>
      <c r="AD59" s="11" t="n">
        <v>-0.2265</v>
      </c>
    </row>
    <row r="60">
      <c r="A60" s="10" t="inlineStr">
        <is>
          <t>고정자산 매각</t>
        </is>
      </c>
      <c r="W60" s="11" t="n">
        <v>0</v>
      </c>
      <c r="X60" s="11" t="n">
        <v>0.0013</v>
      </c>
    </row>
    <row r="61">
      <c r="A61" s="10" t="inlineStr">
        <is>
          <t>임차보증금·보증금 회수</t>
        </is>
      </c>
      <c r="D61" s="11" t="n">
        <v>0.0335</v>
      </c>
      <c r="F61" s="11" t="n">
        <v>0.0534</v>
      </c>
      <c r="H61" s="11" t="n">
        <v>0.0614</v>
      </c>
      <c r="J61" s="11" t="n">
        <v>0.0094</v>
      </c>
      <c r="L61" s="11" t="n">
        <v>0.0171</v>
      </c>
      <c r="N61" s="11" t="n">
        <v>0.1905</v>
      </c>
      <c r="P61" s="11" t="n">
        <v>0.252</v>
      </c>
      <c r="R61" s="11" t="n">
        <v>0</v>
      </c>
      <c r="T61" s="11" t="n">
        <v>0.1006</v>
      </c>
      <c r="V61" s="11" t="n">
        <v>0.0332</v>
      </c>
      <c r="Y61" s="11" t="n">
        <v>0</v>
      </c>
      <c r="Z61" s="11" t="n">
        <v>0.0335</v>
      </c>
      <c r="AA61" s="11" t="n">
        <v>0.0614</v>
      </c>
      <c r="AB61" s="11" t="n">
        <v>0.0171</v>
      </c>
      <c r="AC61" s="11" t="n">
        <v>0.252</v>
      </c>
      <c r="AD61" s="11" t="n">
        <v>0.1006</v>
      </c>
    </row>
    <row r="62">
      <c r="A62" s="10" t="inlineStr">
        <is>
          <t>장기투자 지출</t>
        </is>
      </c>
      <c r="D62" s="11" t="n">
        <v>0</v>
      </c>
      <c r="Y62" s="11" t="n">
        <v>-0.3247</v>
      </c>
      <c r="Z62" s="11" t="n">
        <v>0</v>
      </c>
    </row>
    <row r="63">
      <c r="A63" s="10" t="inlineStr">
        <is>
          <t>연결범위 변경 자회사 주식 취득</t>
        </is>
      </c>
      <c r="D63" s="11" t="n">
        <v>-110.4256</v>
      </c>
      <c r="F63" s="11" t="n">
        <v>-1.9784</v>
      </c>
      <c r="H63" s="11" t="n">
        <v>-1.9784</v>
      </c>
      <c r="J63" s="11" t="n">
        <v>0</v>
      </c>
      <c r="L63" s="11" t="n">
        <v>0</v>
      </c>
      <c r="Y63" s="11" t="n">
        <v>0</v>
      </c>
      <c r="Z63" s="11" t="n">
        <v>-110.4256</v>
      </c>
      <c r="AA63" s="11" t="n">
        <v>-1.9784</v>
      </c>
      <c r="AB63" s="11" t="n">
        <v>0</v>
      </c>
    </row>
    <row r="64">
      <c r="A64" s="10" t="inlineStr">
        <is>
          <t>대여</t>
        </is>
      </c>
      <c r="R64" s="11" t="n">
        <v>0</v>
      </c>
      <c r="V64" s="11" t="n">
        <v>-0.95</v>
      </c>
    </row>
    <row r="65">
      <c r="A65" s="10" t="inlineStr">
        <is>
          <t>투자활동 현금흐름</t>
        </is>
      </c>
      <c r="D65" s="11" t="n">
        <v>-111.2302</v>
      </c>
      <c r="F65" s="11" t="n">
        <v>-3.0007</v>
      </c>
      <c r="H65" s="11" t="n">
        <v>-4.3393</v>
      </c>
      <c r="J65" s="11" t="n">
        <v>-1.3959</v>
      </c>
      <c r="L65" s="11" t="n">
        <v>-2.856</v>
      </c>
      <c r="N65" s="11" t="n">
        <v>-1.2596</v>
      </c>
      <c r="P65" s="11" t="n">
        <v>-2.6983</v>
      </c>
      <c r="R65" s="11" t="n">
        <v>-2.6527</v>
      </c>
      <c r="T65" s="11" t="n">
        <v>-3.8299</v>
      </c>
      <c r="V65" s="11" t="n">
        <v>-2.6413</v>
      </c>
      <c r="W65" s="11" t="n">
        <v>-0.4726</v>
      </c>
      <c r="X65" s="11" t="n">
        <v>-0.3395</v>
      </c>
      <c r="Y65" s="11" t="n">
        <v>-0.6098</v>
      </c>
      <c r="Z65" s="11" t="n">
        <v>-111.2302</v>
      </c>
      <c r="AA65" s="11" t="n">
        <v>-4.3393</v>
      </c>
      <c r="AB65" s="11" t="n">
        <v>-2.856</v>
      </c>
      <c r="AC65" s="11" t="n">
        <v>-2.6983</v>
      </c>
      <c r="AD65" s="11" t="n">
        <v>-3.8299</v>
      </c>
    </row>
    <row r="66">
      <c r="A66" s="10" t="inlineStr">
        <is>
          <t>장기차입</t>
        </is>
      </c>
      <c r="D66" s="11" t="n">
        <v>40</v>
      </c>
      <c r="H66" s="11" t="n">
        <v>0</v>
      </c>
      <c r="R66" s="11" t="n">
        <v>0</v>
      </c>
      <c r="V66" s="11" t="n">
        <v>20</v>
      </c>
      <c r="Y66" s="11" t="n">
        <v>0</v>
      </c>
      <c r="Z66" s="11" t="n">
        <v>40</v>
      </c>
      <c r="AA66" s="11" t="n">
        <v>0</v>
      </c>
    </row>
    <row r="67">
      <c r="A67" s="10" t="inlineStr">
        <is>
          <t>장기차입금 상환</t>
        </is>
      </c>
      <c r="D67" s="11" t="n">
        <v>-0.7506</v>
      </c>
      <c r="F67" s="11" t="n">
        <v>-1.9013</v>
      </c>
      <c r="H67" s="11" t="n">
        <v>-4.9025</v>
      </c>
      <c r="J67" s="11" t="n">
        <v>-1.5012</v>
      </c>
      <c r="L67" s="11" t="n">
        <v>-3.2544</v>
      </c>
      <c r="N67" s="11" t="n">
        <v>-2.005</v>
      </c>
      <c r="P67" s="11" t="n">
        <v>-4.2569</v>
      </c>
      <c r="R67" s="11" t="n">
        <v>-2.4987</v>
      </c>
      <c r="T67" s="11" t="n">
        <v>-4.9975</v>
      </c>
      <c r="V67" s="11" t="n">
        <v>-24.0714</v>
      </c>
      <c r="W67" s="11" t="n">
        <v>-0.1667</v>
      </c>
      <c r="X67" s="11" t="n">
        <v>-0.1667</v>
      </c>
      <c r="Y67" s="11" t="n">
        <v>-0.1111</v>
      </c>
      <c r="Z67" s="11" t="n">
        <v>-0.7506</v>
      </c>
      <c r="AA67" s="11" t="n">
        <v>-4.9025</v>
      </c>
      <c r="AB67" s="11" t="n">
        <v>-3.2544</v>
      </c>
      <c r="AC67" s="11" t="n">
        <v>-4.2569</v>
      </c>
      <c r="AD67" s="11" t="n">
        <v>-4.9975</v>
      </c>
    </row>
    <row r="68">
      <c r="A68" s="10" t="inlineStr">
        <is>
          <t>상장비용 지출</t>
        </is>
      </c>
      <c r="W68" s="11" t="n">
        <v>0</v>
      </c>
      <c r="X68" s="11" t="n">
        <v>-0.02</v>
      </c>
    </row>
    <row r="69">
      <c r="A69" s="10" t="inlineStr">
        <is>
          <t>주식 발행</t>
        </is>
      </c>
      <c r="D69" s="11" t="n">
        <v>89.15560000000001</v>
      </c>
      <c r="F69" s="11" t="n">
        <v>0.1744</v>
      </c>
      <c r="H69" s="11" t="n">
        <v>0.2149</v>
      </c>
      <c r="J69" s="11" t="n">
        <v>0.3201</v>
      </c>
      <c r="L69" s="11" t="n">
        <v>0.3515</v>
      </c>
      <c r="N69" s="11" t="n">
        <v>0.1213</v>
      </c>
      <c r="P69" s="11" t="n">
        <v>0.1466</v>
      </c>
      <c r="R69" s="11" t="n">
        <v>0.07870000000000001</v>
      </c>
      <c r="T69" s="11" t="n">
        <v>0.0862</v>
      </c>
      <c r="V69" s="11" t="n">
        <v>0.0309</v>
      </c>
      <c r="Y69" s="11" t="n">
        <v>7.1711</v>
      </c>
      <c r="Z69" s="11" t="n">
        <v>89.15560000000001</v>
      </c>
      <c r="AA69" s="11" t="n">
        <v>0.2149</v>
      </c>
      <c r="AB69" s="11" t="n">
        <v>0.3515</v>
      </c>
      <c r="AC69" s="11" t="n">
        <v>0.1466</v>
      </c>
      <c r="AD69" s="11" t="n">
        <v>0.0862</v>
      </c>
    </row>
    <row r="70">
      <c r="A70" s="10" t="inlineStr">
        <is>
          <t>신주예약권 발행</t>
        </is>
      </c>
      <c r="D70" s="11" t="n">
        <v>0.6594</v>
      </c>
      <c r="H70" s="11" t="n">
        <v>0</v>
      </c>
      <c r="J70" s="11" t="n">
        <v>0</v>
      </c>
      <c r="L70" s="11" t="n">
        <v>0</v>
      </c>
      <c r="N70" s="11" t="n">
        <v>0.0046</v>
      </c>
      <c r="P70" s="11" t="n">
        <v>0.0046</v>
      </c>
      <c r="R70" s="11" t="n">
        <v>0</v>
      </c>
      <c r="T70" s="11" t="n">
        <v>0</v>
      </c>
      <c r="W70" s="11" t="n">
        <v>0</v>
      </c>
      <c r="X70" s="11" t="n">
        <v>0.0063</v>
      </c>
      <c r="Y70" s="11" t="n">
        <v>0</v>
      </c>
      <c r="Z70" s="11" t="n">
        <v>0.6594</v>
      </c>
      <c r="AA70" s="11" t="n">
        <v>0</v>
      </c>
      <c r="AB70" s="11" t="n">
        <v>0</v>
      </c>
      <c r="AC70" s="11" t="n">
        <v>0.0046</v>
      </c>
      <c r="AD70" s="11" t="n">
        <v>0</v>
      </c>
    </row>
    <row r="71">
      <c r="A71" s="10" t="inlineStr">
        <is>
          <t>자기 신주예약권 소각</t>
        </is>
      </c>
      <c r="W71" s="11" t="n">
        <v>0</v>
      </c>
      <c r="X71" s="11" t="n">
        <v>-0.0407</v>
      </c>
    </row>
    <row r="72">
      <c r="A72" s="10" t="inlineStr">
        <is>
          <t>자기주식 취득</t>
        </is>
      </c>
      <c r="D72" s="11" t="n">
        <v>-0.001</v>
      </c>
      <c r="H72" s="11" t="n">
        <v>0</v>
      </c>
      <c r="Y72" s="11" t="n">
        <v>-0.0018</v>
      </c>
      <c r="Z72" s="11" t="n">
        <v>-0.001</v>
      </c>
      <c r="AA72" s="11" t="n">
        <v>0</v>
      </c>
    </row>
    <row r="73">
      <c r="A73" s="10" t="inlineStr">
        <is>
          <t>상장 관련 비용 지출</t>
        </is>
      </c>
      <c r="D73" s="11" t="n">
        <v>0</v>
      </c>
      <c r="Y73" s="11" t="n">
        <v>-0.0198</v>
      </c>
      <c r="Z73" s="11" t="n">
        <v>0</v>
      </c>
    </row>
    <row r="74">
      <c r="A74" s="10" t="inlineStr">
        <is>
          <t>자금조달비용 지출</t>
        </is>
      </c>
      <c r="D74" s="11" t="n">
        <v>-2.6168</v>
      </c>
      <c r="Y74" s="11" t="n">
        <v>0</v>
      </c>
      <c r="Z74" s="11" t="n">
        <v>-2.6168</v>
      </c>
    </row>
    <row r="75">
      <c r="A75" s="10" t="inlineStr">
        <is>
          <t>자금조달비용 지출</t>
        </is>
      </c>
      <c r="D75" s="11" t="n">
        <v>-2.6168</v>
      </c>
      <c r="H75" s="11" t="n">
        <v>0</v>
      </c>
      <c r="Z75" s="11" t="n">
        <v>-2.6168</v>
      </c>
      <c r="AA75" s="11" t="n">
        <v>0</v>
      </c>
    </row>
    <row r="76">
      <c r="A76" s="10" t="inlineStr">
        <is>
          <t>리스부채 상환</t>
        </is>
      </c>
      <c r="J76" s="11" t="n">
        <v>0</v>
      </c>
      <c r="L76" s="11" t="n">
        <v>0</v>
      </c>
      <c r="N76" s="11" t="n">
        <v>-0.1096</v>
      </c>
      <c r="P76" s="11" t="n">
        <v>-0.2542</v>
      </c>
      <c r="R76" s="11" t="n">
        <v>-0.1413</v>
      </c>
      <c r="T76" s="11" t="n">
        <v>-0.2861</v>
      </c>
      <c r="V76" s="11" t="n">
        <v>-0.1587</v>
      </c>
      <c r="AB76" s="11" t="n">
        <v>0</v>
      </c>
      <c r="AC76" s="11" t="n">
        <v>-0.2542</v>
      </c>
      <c r="AD76" s="11" t="n">
        <v>-0.2861</v>
      </c>
    </row>
    <row r="77">
      <c r="A77" s="10" t="inlineStr">
        <is>
          <t>재무활동 현금흐름</t>
        </is>
      </c>
      <c r="D77" s="11" t="n">
        <v>126.4466</v>
      </c>
      <c r="F77" s="11" t="n">
        <v>-1.7268</v>
      </c>
      <c r="H77" s="11" t="n">
        <v>-4.6876</v>
      </c>
      <c r="J77" s="11" t="n">
        <v>-1.1811</v>
      </c>
      <c r="L77" s="11" t="n">
        <v>-2.9029</v>
      </c>
      <c r="N77" s="11" t="n">
        <v>-1.9887</v>
      </c>
      <c r="P77" s="11" t="n">
        <v>-4.36</v>
      </c>
      <c r="R77" s="11" t="n">
        <v>-2.5614</v>
      </c>
      <c r="T77" s="11" t="n">
        <v>-5.1975</v>
      </c>
      <c r="V77" s="11" t="n">
        <v>-4.1993</v>
      </c>
      <c r="W77" s="11" t="n">
        <v>-0.1667</v>
      </c>
      <c r="X77" s="11" t="n">
        <v>-0.2211</v>
      </c>
      <c r="Y77" s="11" t="n">
        <v>7.0384</v>
      </c>
      <c r="Z77" s="11" t="n">
        <v>126.4466</v>
      </c>
      <c r="AA77" s="11" t="n">
        <v>-4.6876</v>
      </c>
      <c r="AB77" s="11" t="n">
        <v>-2.9029</v>
      </c>
      <c r="AC77" s="11" t="n">
        <v>-4.36</v>
      </c>
      <c r="AD77" s="11" t="n">
        <v>-5.1975</v>
      </c>
    </row>
    <row r="78">
      <c r="A78" s="10" t="inlineStr">
        <is>
          <t>현금성자산 환산차이</t>
        </is>
      </c>
      <c r="D78" s="11" t="n">
        <v>0.1354</v>
      </c>
      <c r="F78" s="11" t="n">
        <v>1.3796</v>
      </c>
      <c r="H78" s="11" t="n">
        <v>1.3562</v>
      </c>
      <c r="J78" s="11" t="n">
        <v>0.7187</v>
      </c>
      <c r="L78" s="11" t="n">
        <v>0.7529</v>
      </c>
      <c r="N78" s="11" t="n">
        <v>0.6794</v>
      </c>
      <c r="P78" s="11" t="n">
        <v>0.7723</v>
      </c>
      <c r="R78" s="11" t="n">
        <v>-0.5707</v>
      </c>
      <c r="T78" s="11" t="n">
        <v>0.0742</v>
      </c>
      <c r="V78" s="11" t="n">
        <v>0.2028</v>
      </c>
      <c r="W78" s="11" t="n">
        <v>0.0014</v>
      </c>
      <c r="X78" s="11" t="n">
        <v>-0.0015</v>
      </c>
      <c r="Y78" s="11" t="n">
        <v>-0.024</v>
      </c>
      <c r="Z78" s="11" t="n">
        <v>0.1354</v>
      </c>
      <c r="AA78" s="11" t="n">
        <v>1.3562</v>
      </c>
      <c r="AB78" s="11" t="n">
        <v>0.7529</v>
      </c>
      <c r="AC78" s="11" t="n">
        <v>0.7723</v>
      </c>
      <c r="AD78" s="11" t="n">
        <v>0.0742</v>
      </c>
    </row>
    <row r="79">
      <c r="A79" s="10" t="inlineStr">
        <is>
          <t>현금성자산 증감</t>
        </is>
      </c>
      <c r="D79" s="11" t="n">
        <v>17.6615</v>
      </c>
      <c r="F79" s="11" t="n">
        <v>2.0197</v>
      </c>
      <c r="H79" s="11" t="n">
        <v>7.516</v>
      </c>
      <c r="J79" s="11" t="n">
        <v>-0.023</v>
      </c>
      <c r="L79" s="11" t="n">
        <v>4.3214</v>
      </c>
      <c r="N79" s="11" t="n">
        <v>-1.1951</v>
      </c>
      <c r="P79" s="11" t="n">
        <v>2.9912</v>
      </c>
      <c r="R79" s="11" t="n">
        <v>-3.5386</v>
      </c>
      <c r="T79" s="11" t="n">
        <v>3.967</v>
      </c>
      <c r="V79" s="11" t="n">
        <v>-2.6142</v>
      </c>
      <c r="W79" s="11" t="n">
        <v>-0.1711</v>
      </c>
      <c r="X79" s="11" t="n">
        <v>0.833</v>
      </c>
      <c r="Y79" s="11" t="n">
        <v>10.3358</v>
      </c>
      <c r="Z79" s="11" t="n">
        <v>17.6615</v>
      </c>
      <c r="AA79" s="11" t="n">
        <v>7.516</v>
      </c>
      <c r="AB79" s="11" t="n">
        <v>4.3214</v>
      </c>
      <c r="AC79" s="11" t="n">
        <v>2.9912</v>
      </c>
      <c r="AD79" s="11" t="n">
        <v>3.967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비자스크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상반기 FY27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gmv</t>
        </is>
      </c>
      <c r="B6" s="11" t="n">
        <v>80.23</v>
      </c>
      <c r="C6" s="3" t="inlineStr">
        <is>
          <t>2단계 보고서 자료(회사 설명회 자료·공시)</t>
        </is>
      </c>
    </row>
    <row r="7">
      <c r="A7" s="14" t="inlineStr">
        <is>
          <t>gmv YoY</t>
        </is>
      </c>
      <c r="B7" s="11" t="n">
        <v>14.1</v>
      </c>
    </row>
    <row r="8">
      <c r="A8" s="14" t="inlineStr">
        <is>
          <t>매출</t>
        </is>
      </c>
      <c r="B8" s="11" t="n">
        <v>55.63</v>
      </c>
    </row>
    <row r="9">
      <c r="A9" s="14" t="inlineStr">
        <is>
          <t>매출 YoY</t>
        </is>
      </c>
      <c r="B9" s="11" t="n">
        <v>16.1</v>
      </c>
    </row>
    <row r="10">
      <c r="A10" s="14" t="inlineStr">
        <is>
          <t>adj ebitda</t>
        </is>
      </c>
      <c r="B10" s="11" t="n">
        <v>7.56</v>
      </c>
    </row>
    <row r="11">
      <c r="A11" s="14" t="inlineStr">
        <is>
          <t>adj ebitda YoY</t>
        </is>
      </c>
      <c r="B11" s="11" t="n">
        <v>93.7</v>
      </c>
    </row>
    <row r="12">
      <c r="A12" s="14" t="inlineStr">
        <is>
          <t>영업이익</t>
        </is>
      </c>
      <c r="B12" s="11" t="n">
        <v>8.48</v>
      </c>
    </row>
    <row r="13">
      <c r="A13" s="14" t="inlineStr">
        <is>
          <t>영업이익 YoY</t>
        </is>
      </c>
      <c r="B13" s="11" t="n">
        <v>70.2</v>
      </c>
    </row>
    <row r="14">
      <c r="A14" s="14" t="inlineStr">
        <is>
          <t>순이익</t>
        </is>
      </c>
      <c r="B14" s="11" t="n">
        <v>4.89</v>
      </c>
    </row>
    <row r="15">
      <c r="A15" s="14" t="inlineStr">
        <is>
          <t>순이익 YoY</t>
        </is>
      </c>
      <c r="B15" s="11" t="n">
        <v>169.2</v>
      </c>
    </row>
    <row r="17">
      <c r="A17" s="12" t="inlineStr">
        <is>
          <t>balance 2608</t>
        </is>
      </c>
      <c r="B17" s="12" t="n"/>
      <c r="C17" s="12" t="n"/>
    </row>
    <row r="18">
      <c r="A18" s="13" t="inlineStr">
        <is>
          <t>항목</t>
        </is>
      </c>
      <c r="B18" s="13" t="inlineStr">
        <is>
          <t>값</t>
        </is>
      </c>
      <c r="C18" s="13" t="inlineStr">
        <is>
          <t>출처</t>
        </is>
      </c>
    </row>
    <row r="19">
      <c r="A19" s="14" t="inlineStr">
        <is>
          <t>합계 assets</t>
        </is>
      </c>
      <c r="B19" s="11" t="n">
        <v>79.38</v>
      </c>
      <c r="C19" s="3" t="inlineStr">
        <is>
          <t>2단계 보고서 자료(회사 설명회 자료·공시)</t>
        </is>
      </c>
    </row>
    <row r="20">
      <c r="A20" s="14" t="inlineStr">
        <is>
          <t>net assets</t>
        </is>
      </c>
      <c r="B20" s="11" t="n">
        <v>23.15</v>
      </c>
    </row>
    <row r="21">
      <c r="A21" s="14" t="inlineStr">
        <is>
          <t>fixed liab</t>
        </is>
      </c>
      <c r="B21" s="11" t="n">
        <v>16.49</v>
      </c>
    </row>
    <row r="22">
      <c r="A22" s="14" t="inlineStr">
        <is>
          <t>current liab</t>
        </is>
      </c>
      <c r="B22" s="11" t="n">
        <v>39.73</v>
      </c>
    </row>
    <row r="24">
      <c r="A24" s="12" t="inlineStr">
        <is>
          <t>밸류에이션</t>
        </is>
      </c>
      <c r="B24" s="12" t="n"/>
      <c r="C24" s="12" t="n"/>
    </row>
    <row r="25">
      <c r="A25" s="13" t="inlineStr">
        <is>
          <t>항목</t>
        </is>
      </c>
      <c r="B25" s="13" t="inlineStr">
        <is>
          <t>값</t>
        </is>
      </c>
      <c r="C25" s="13" t="inlineStr">
        <is>
          <t>출처</t>
        </is>
      </c>
    </row>
    <row r="26">
      <c r="A26" s="14" t="inlineStr">
        <is>
          <t>ttm 순이익</t>
        </is>
      </c>
      <c r="B26" s="11" t="n">
        <v>11.99</v>
      </c>
      <c r="C26" s="3" t="inlineStr">
        <is>
          <t>2단계 보고서 자료(회사 설명회 자료·공시)</t>
        </is>
      </c>
    </row>
    <row r="27">
      <c r="A27" s="14" t="inlineStr">
        <is>
          <t>PER ttm</t>
        </is>
      </c>
      <c r="B27" s="11" t="n">
        <v>6</v>
      </c>
    </row>
    <row r="28">
      <c r="A28" s="14" t="inlineStr">
        <is>
          <t>PER 가이던스 순이익</t>
        </is>
      </c>
      <c r="B28" s="11" t="n">
        <v>9.699999999999999</v>
      </c>
    </row>
    <row r="29">
      <c r="A29" s="14" t="inlineStr">
        <is>
          <t>ttm 영업이익</t>
        </is>
      </c>
      <c r="B29" s="11" t="n">
        <v>16.9</v>
      </c>
    </row>
    <row r="30">
      <c r="A30" s="14" t="inlineStr">
        <is>
          <t>mcap to 영업이익</t>
        </is>
      </c>
      <c r="B30" s="11" t="n">
        <v>4.3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5" t="inlineStr">
        <is>
          <t>공시일</t>
        </is>
      </c>
      <c r="B3" s="15" t="inlineStr">
        <is>
          <t>문서</t>
        </is>
      </c>
      <c r="C3" s="15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https://www2.jpx.co.jp/disc/44900/140120261015551308.pdf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https://www2.jpx.co.jp/disc/44900/140120260715594439.pdf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https://www2.jpx.co.jp/disc/44900/140120260414503632.pdf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https://www2.jpx.co.jp/disc/44900/140120260114533478.pdf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https://www2.jpx.co.jp/disc/44900/140120251014573295.pdf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https://www2.jpx.co.jp/disc/44900/140120250714513650.pdf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https://www2.jpx.co.jp/disc/44900/140120250411513756.pdf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https://www2.jpx.co.jp/disc/44900/140120250114550381.pdf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https://www2.jpx.co.jp/disc/44900/140120241011597399.pdf</t>
        </is>
      </c>
    </row>
    <row r="13">
      <c r="A13" t="inlineStr">
        <is>
          <t>2024-07-12</t>
        </is>
      </c>
      <c r="B13" t="inlineStr">
        <is>
          <t>2025년 2월 결산기 1분기 결산단신</t>
        </is>
      </c>
      <c r="C13" t="inlineStr">
        <is>
          <t>https://www2.jpx.co.jp/disc/44900/140120240712548748.pdf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https://www2.jpx.co.jp/disc/44900/140120240412570087.pdf</t>
        </is>
      </c>
    </row>
    <row r="15">
      <c r="A15" t="inlineStr">
        <is>
          <t>2024-01-12</t>
        </is>
      </c>
      <c r="B15" t="inlineStr">
        <is>
          <t>2024년 2월 결산기 3분기 결산단신</t>
        </is>
      </c>
      <c r="C15" t="inlineStr">
        <is>
          <t>https://www2.jpx.co.jp/disc/44900/140120240112514435.pdf</t>
        </is>
      </c>
    </row>
    <row r="16">
      <c r="A16" t="inlineStr">
        <is>
          <t>2023-10-13</t>
        </is>
      </c>
      <c r="B16" t="inlineStr">
        <is>
          <t>2024년 2월 결산기 2분기 결산단신</t>
        </is>
      </c>
      <c r="C16" t="inlineStr">
        <is>
          <t>https://www2.jpx.co.jp/disc/44900/140120231013566306.pdf</t>
        </is>
      </c>
    </row>
    <row r="17">
      <c r="A17" t="inlineStr">
        <is>
          <t>2023-07-14</t>
        </is>
      </c>
      <c r="B17" t="inlineStr">
        <is>
          <t>2024년 2월 결산기 1분기 결산단신</t>
        </is>
      </c>
      <c r="C17" t="inlineStr">
        <is>
          <t>https://www2.jpx.co.jp/disc/44900/140120230714522302.pdf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https://www2.jpx.co.jp/disc/44900/140120230414547108.pdf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https://www2.jpx.co.jp/disc/44900/140120230113589192.pdf</t>
        </is>
      </c>
    </row>
    <row r="20">
      <c r="A20" t="inlineStr">
        <is>
          <t>2022-10-14</t>
        </is>
      </c>
      <c r="B20" t="inlineStr">
        <is>
          <t>2023년 2월 결산기 ２분기 결산단신</t>
        </is>
      </c>
      <c r="C20" t="inlineStr">
        <is>
          <t>https://www2.jpx.co.jp/disc/44900/140120221014544581.pdf</t>
        </is>
      </c>
    </row>
    <row r="21">
      <c r="A21" t="inlineStr">
        <is>
          <t>2022-07-15</t>
        </is>
      </c>
      <c r="B21" t="inlineStr">
        <is>
          <t>2023년 2월 결산기 １분기 결산단신</t>
        </is>
      </c>
      <c r="C21" t="inlineStr">
        <is>
          <t>https://www2.jpx.co.jp/disc/44900/140120220715500575.pdf</t>
        </is>
      </c>
    </row>
    <row r="22">
      <c r="A22" t="inlineStr">
        <is>
          <t>2022-04-14</t>
        </is>
      </c>
      <c r="B22" t="inlineStr">
        <is>
          <t>2022년 2월 결산기 연간 결산단신</t>
        </is>
      </c>
      <c r="C22" t="inlineStr">
        <is>
          <t>https://www2.jpx.co.jp/disc/44900/140120220414521983.pdf</t>
        </is>
      </c>
    </row>
    <row r="23">
      <c r="A23" t="inlineStr">
        <is>
          <t>2022-01-14</t>
        </is>
      </c>
      <c r="B23" t="inlineStr">
        <is>
          <t>2022년 2월 결산기 ３분기 결산단신</t>
        </is>
      </c>
      <c r="C23" t="inlineStr">
        <is>
          <t>https://www2.jpx.co.jp/disc/44900/140120220114567616.pdf</t>
        </is>
      </c>
    </row>
    <row r="24">
      <c r="A24" t="inlineStr">
        <is>
          <t>2021-10-15</t>
        </is>
      </c>
      <c r="B24" t="inlineStr">
        <is>
          <t>2022년 2월 결산기 2분기 결산단신</t>
        </is>
      </c>
      <c r="C24" t="inlineStr">
        <is>
          <t>https://www2.jpx.co.jp/disc/44900/140120211015411814.pdf</t>
        </is>
      </c>
    </row>
    <row r="25">
      <c r="A25" t="inlineStr">
        <is>
          <t>2021-07-15</t>
        </is>
      </c>
      <c r="B25" t="inlineStr">
        <is>
          <t>2022년 2월 결산기 １분기 결산단신</t>
        </is>
      </c>
      <c r="C25" t="inlineStr">
        <is>
          <t>https://www2.jpx.co.jp/disc/44900/140120210713466136.pdf</t>
        </is>
      </c>
    </row>
    <row r="26">
      <c r="A26" t="inlineStr">
        <is>
          <t>2021-04-14</t>
        </is>
      </c>
      <c r="B26" t="inlineStr">
        <is>
          <t>2021년 2월 결산기 연간 결산단신</t>
        </is>
      </c>
      <c r="C26" t="inlineStr">
        <is>
          <t>https://www2.jpx.co.jp/disc/44900/140120210412493257.pdf</t>
        </is>
      </c>
    </row>
    <row r="27">
      <c r="A27" t="inlineStr">
        <is>
          <t>2021-01-14</t>
        </is>
      </c>
      <c r="B27" t="inlineStr">
        <is>
          <t>2021년 2월 결산기 3분기 결산단신</t>
        </is>
      </c>
      <c r="C27" t="inlineStr">
        <is>
          <t>https://www2.jpx.co.jp/disc/44900/140120210111442702.pdf</t>
        </is>
      </c>
    </row>
    <row r="28">
      <c r="A28" t="inlineStr">
        <is>
          <t>2020-10-15</t>
        </is>
      </c>
      <c r="B28" t="inlineStr">
        <is>
          <t>2021년 2월 결산기 2분기 결산단신</t>
        </is>
      </c>
      <c r="C28" t="inlineStr">
        <is>
          <t>https://www2.jpx.co.jp/disc/44900/140120201007400639.pdf</t>
        </is>
      </c>
    </row>
    <row r="29">
      <c r="A29" t="inlineStr">
        <is>
          <t>2020-07-14</t>
        </is>
      </c>
      <c r="B29" t="inlineStr">
        <is>
          <t>2021년 2월 결산기 1분기 결산단신</t>
        </is>
      </c>
      <c r="C29" t="inlineStr">
        <is>
          <t>https://www2.jpx.co.jp/disc/44900/140120200708459573.pdf</t>
        </is>
      </c>
    </row>
    <row r="30">
      <c r="A30" t="inlineStr">
        <is>
          <t>2020-04-14</t>
        </is>
      </c>
      <c r="B30" t="inlineStr">
        <is>
          <t>2020년 2월 결산기 연간 결산단신</t>
        </is>
      </c>
      <c r="C30" t="inlineStr">
        <is>
          <t>https://www2.jpx.co.jp/disc/44900/140120200413492980.pdf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2026-10-25T06:59:51Z</dcterms:created>
  <dcterms:modified xmlns:dcterms="http://purl.org/dc/terms/" xmlns:xsi="http://www.w3.org/2001/XMLSchema-instance" xsi:type="dcterms:W3CDTF">2026-10-25T06:59:51Z</dcterms:modified>
</cp:coreProperties>
</file>