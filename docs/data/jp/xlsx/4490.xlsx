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비자스크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2313.634</v>
      </c>
      <c r="D4" s="12" t="n">
        <v>2336.204</v>
      </c>
      <c r="E4" s="12" t="n">
        <v>2520.976</v>
      </c>
      <c r="F4" s="12" t="n">
        <v>2414.676</v>
      </c>
      <c r="G4" s="12" t="n">
        <v>2373.069</v>
      </c>
      <c r="H4" s="12" t="n">
        <v>2472.229</v>
      </c>
      <c r="I4" s="12" t="n">
        <v>2446.427</v>
      </c>
      <c r="J4" s="12" t="n">
        <v>2327.965</v>
      </c>
      <c r="K4" s="12" t="n">
        <v>2513.735</v>
      </c>
      <c r="L4" s="12" t="n">
        <v>2686.543</v>
      </c>
      <c r="M4" s="12" t="n">
        <v>2755.827</v>
      </c>
      <c r="N4" s="12" t="n">
        <v>2807.172</v>
      </c>
      <c r="O4" s="11" t="n"/>
      <c r="P4" s="12" t="n"/>
      <c r="Q4" s="12" t="n">
        <v>614.204</v>
      </c>
      <c r="R4" s="12" t="n">
        <v>983.978</v>
      </c>
      <c r="S4" s="12" t="n">
        <v>1604.316</v>
      </c>
      <c r="T4" s="12" t="n">
        <v>3702.461</v>
      </c>
      <c r="U4" s="12" t="n">
        <v>8380.514999999999</v>
      </c>
      <c r="V4" s="12" t="n">
        <v>8967.691999999999</v>
      </c>
      <c r="W4" s="12" t="n">
        <v>9780.950000000001</v>
      </c>
      <c r="X4" s="12" t="n">
        <v>9974.67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1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1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-28.824</v>
      </c>
      <c r="D16" s="12" t="n">
        <v>99.068</v>
      </c>
      <c r="E16" s="12" t="n">
        <v>385.589</v>
      </c>
      <c r="F16" s="12" t="n">
        <v>197.013</v>
      </c>
      <c r="G16" s="12" t="n">
        <v>237.399</v>
      </c>
      <c r="H16" s="12" t="n">
        <v>407.327</v>
      </c>
      <c r="I16" s="12" t="n">
        <v>279.952</v>
      </c>
      <c r="J16" s="12" t="n">
        <v>220.017</v>
      </c>
      <c r="K16" s="12" t="n">
        <v>370.769</v>
      </c>
      <c r="L16" s="12" t="n">
        <v>470.403</v>
      </c>
      <c r="M16" s="12" t="n">
        <v>424.426</v>
      </c>
      <c r="N16" s="12" t="n">
        <v>423.711</v>
      </c>
      <c r="O16" s="11" t="n"/>
      <c r="P16" s="12" t="n"/>
      <c r="Q16" s="12" t="n">
        <v>25.221</v>
      </c>
      <c r="R16" s="12" t="n">
        <v>71.512</v>
      </c>
      <c r="S16" s="12" t="n">
        <v>208.448</v>
      </c>
      <c r="T16" s="12" t="n">
        <v>-112.43</v>
      </c>
      <c r="U16" s="12" t="n">
        <v>4.406</v>
      </c>
      <c r="V16" s="12" t="n">
        <v>-59.145</v>
      </c>
      <c r="W16" s="12" t="n">
        <v>1227.328</v>
      </c>
      <c r="X16" s="12" t="n">
        <v>1341.141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>
        <v>242.55</v>
      </c>
      <c r="R21" s="22" t="n">
        <v>396.514</v>
      </c>
      <c r="S21" s="22" t="n">
        <v>620.965</v>
      </c>
      <c r="T21" s="22" t="n">
        <v>1256.107</v>
      </c>
      <c r="U21" s="22" t="n">
        <v>3381.427</v>
      </c>
      <c r="V21" s="22" t="n">
        <v>3782.912</v>
      </c>
      <c r="W21" s="22" t="n">
        <v>4141.179</v>
      </c>
      <c r="X21" s="22" t="n">
        <v>4096.552</v>
      </c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>
        <v>9.319000000000001</v>
      </c>
      <c r="R23" s="22" t="n">
        <v>15.612</v>
      </c>
      <c r="S23" s="22" t="n">
        <v>18.301</v>
      </c>
      <c r="T23" s="22" t="n">
        <v>165.839</v>
      </c>
      <c r="U23" s="22" t="n">
        <v>708.246</v>
      </c>
      <c r="V23" s="22" t="n">
        <v>818.6420000000001</v>
      </c>
      <c r="W23" s="22" t="n">
        <v>53.268</v>
      </c>
      <c r="X23" s="22" t="n">
        <v>51.865</v>
      </c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>
        <v>29.546</v>
      </c>
      <c r="R25" s="22" t="n">
        <v>51.816</v>
      </c>
      <c r="S25" s="22" t="n">
        <v>99.874</v>
      </c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0</v>
      </c>
      <c r="D34" s="22" t="n">
        <v>14505.405</v>
      </c>
      <c r="E34" s="22" t="n">
        <v>195.444</v>
      </c>
      <c r="F34" s="22" t="n">
        <v>68.009</v>
      </c>
      <c r="G34" s="22" t="n">
        <v>63.019</v>
      </c>
      <c r="H34" s="22" t="n">
        <v>72.569</v>
      </c>
      <c r="I34" s="22" t="n">
        <v>76.535</v>
      </c>
      <c r="J34" s="22" t="n">
        <v>61.181</v>
      </c>
      <c r="K34" s="22" t="n">
        <v>47.16</v>
      </c>
      <c r="L34" s="22" t="n">
        <v>69.78</v>
      </c>
      <c r="M34" s="22" t="n">
        <v>66.61199999999999</v>
      </c>
      <c r="N34" s="22" t="n">
        <v>61.417</v>
      </c>
      <c r="O34" s="21" t="n"/>
      <c r="P34" s="22" t="n"/>
      <c r="Q34" s="22" t="n">
        <v>0</v>
      </c>
      <c r="R34" s="22" t="n">
        <v>4.067</v>
      </c>
      <c r="S34" s="22" t="n"/>
      <c r="T34" s="22" t="n"/>
      <c r="U34" s="22" t="n">
        <v>0</v>
      </c>
      <c r="V34" s="22" t="n">
        <v>14505.405</v>
      </c>
      <c r="W34" s="22" t="n">
        <v>399.041</v>
      </c>
      <c r="X34" s="22" t="n">
        <v>254.656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136.098</v>
      </c>
      <c r="D36" s="22" t="n">
        <v>74.949</v>
      </c>
      <c r="E36" s="22" t="n">
        <v>46.194</v>
      </c>
      <c r="F36" s="22" t="n">
        <v>12.746</v>
      </c>
      <c r="G36" s="22" t="n">
        <v>8.228999999999999</v>
      </c>
      <c r="H36" s="22" t="n">
        <v>4.4</v>
      </c>
      <c r="I36" s="22" t="n">
        <v>37.181</v>
      </c>
      <c r="J36" s="22" t="n">
        <v>-1.9</v>
      </c>
      <c r="K36" s="22" t="n">
        <v>50.642</v>
      </c>
      <c r="L36" s="22" t="n">
        <v>44.3</v>
      </c>
      <c r="M36" s="22" t="n">
        <v>21.732</v>
      </c>
      <c r="N36" s="22" t="n">
        <v>16.896</v>
      </c>
      <c r="O36" s="21" t="n"/>
      <c r="P36" s="22" t="n"/>
      <c r="Q36" s="22" t="n">
        <v>0.353</v>
      </c>
      <c r="R36" s="22" t="n">
        <v>0.093</v>
      </c>
      <c r="S36" s="22" t="n">
        <v>1.93</v>
      </c>
      <c r="T36" s="22" t="n">
        <v>9.787000000000001</v>
      </c>
      <c r="U36" s="22" t="n">
        <v>18.481</v>
      </c>
      <c r="V36" s="22" t="n">
        <v>221.955</v>
      </c>
      <c r="W36" s="22" t="n">
        <v>71.569</v>
      </c>
      <c r="X36" s="22" t="n">
        <v>130.223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10.978</v>
      </c>
      <c r="D38" s="22" t="n">
        <v>11.314</v>
      </c>
      <c r="E38" s="22" t="n">
        <v>53.11</v>
      </c>
      <c r="F38" s="22" t="n">
        <v>19.866</v>
      </c>
      <c r="G38" s="22" t="n">
        <v>9.489000000000001</v>
      </c>
      <c r="H38" s="22" t="n">
        <v>4.578</v>
      </c>
      <c r="I38" s="22" t="n">
        <v>17.962</v>
      </c>
      <c r="J38" s="22" t="n">
        <v>13.403</v>
      </c>
      <c r="K38" s="22" t="n">
        <v>23.782</v>
      </c>
      <c r="L38" s="22" t="n">
        <v>11.813</v>
      </c>
      <c r="M38" s="22" t="n">
        <v>24.499</v>
      </c>
      <c r="N38" s="22" t="n">
        <v>11.778</v>
      </c>
      <c r="O38" s="21" t="n"/>
      <c r="P38" s="22" t="n"/>
      <c r="Q38" s="22" t="n">
        <v>1.5</v>
      </c>
      <c r="R38" s="22" t="n">
        <v>14.352</v>
      </c>
      <c r="S38" s="22" t="n">
        <v>13.146</v>
      </c>
      <c r="T38" s="22" t="n">
        <v>287.119</v>
      </c>
      <c r="U38" s="22" t="n">
        <v>74.057</v>
      </c>
      <c r="V38" s="22" t="n">
        <v>50.39</v>
      </c>
      <c r="W38" s="22" t="n">
        <v>87.04300000000001</v>
      </c>
      <c r="X38" s="22" t="n">
        <v>66.95999999999999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96.297</v>
      </c>
      <c r="D40" s="12" t="n">
        <v>-14342.703</v>
      </c>
      <c r="E40" s="12" t="n">
        <v>183.23</v>
      </c>
      <c r="F40" s="12" t="n">
        <v>121.882</v>
      </c>
      <c r="G40" s="12" t="n">
        <v>173.121</v>
      </c>
      <c r="H40" s="12" t="n">
        <v>334.58</v>
      </c>
      <c r="I40" s="12" t="n">
        <v>222.635</v>
      </c>
      <c r="J40" s="12" t="n">
        <v>143.534</v>
      </c>
      <c r="K40" s="12" t="n">
        <v>350.469</v>
      </c>
      <c r="L40" s="12" t="n">
        <v>433.109</v>
      </c>
      <c r="M40" s="12" t="n">
        <v>355.047</v>
      </c>
      <c r="N40" s="12" t="n">
        <v>397.331</v>
      </c>
      <c r="O40" s="11" t="n"/>
      <c r="P40" s="12" t="n"/>
      <c r="Q40" s="12" t="n">
        <v>24.075</v>
      </c>
      <c r="R40" s="12" t="n">
        <v>53.185</v>
      </c>
      <c r="S40" s="12" t="n">
        <v>197.232</v>
      </c>
      <c r="T40" s="12" t="n">
        <v>-389.762</v>
      </c>
      <c r="U40" s="12" t="n">
        <v>-51.169</v>
      </c>
      <c r="V40" s="12" t="n">
        <v>-14392.986</v>
      </c>
      <c r="W40" s="12" t="n">
        <v>812.813</v>
      </c>
      <c r="X40" s="12" t="n">
        <v>1149.747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69.124</v>
      </c>
      <c r="D41" s="22" t="n">
        <v>-1876.248</v>
      </c>
      <c r="E41" s="22" t="n">
        <v>122.688</v>
      </c>
      <c r="F41" s="22" t="n">
        <v>75.087</v>
      </c>
      <c r="G41" s="22" t="n">
        <v>84.249</v>
      </c>
      <c r="H41" s="22" t="n">
        <v>53.544</v>
      </c>
      <c r="I41" s="22" t="n">
        <v>140.938</v>
      </c>
      <c r="J41" s="22" t="n">
        <v>43.582</v>
      </c>
      <c r="K41" s="22" t="n">
        <v>28.882</v>
      </c>
      <c r="L41" s="22" t="n">
        <v>44.443</v>
      </c>
      <c r="M41" s="22" t="n">
        <v>128.634</v>
      </c>
      <c r="N41" s="22" t="n">
        <v>134.694</v>
      </c>
      <c r="O41" s="21" t="n"/>
      <c r="P41" s="22" t="n"/>
      <c r="Q41" s="22" t="n">
        <v>-3.413</v>
      </c>
      <c r="R41" s="22" t="n">
        <v>0.312</v>
      </c>
      <c r="S41" s="22" t="n">
        <v>-4.721</v>
      </c>
      <c r="T41" s="22" t="n">
        <v>85.795</v>
      </c>
      <c r="U41" s="22" t="n">
        <v>-127.027</v>
      </c>
      <c r="V41" s="22" t="n">
        <v>-1757.208</v>
      </c>
      <c r="W41" s="22" t="n">
        <v>335.568</v>
      </c>
      <c r="X41" s="22" t="n">
        <v>257.845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27.172</v>
      </c>
      <c r="D43" s="12" t="n">
        <v>-12466.454</v>
      </c>
      <c r="E43" s="12" t="n">
        <v>60.542</v>
      </c>
      <c r="F43" s="12" t="n">
        <v>46.795</v>
      </c>
      <c r="G43" s="12" t="n">
        <v>88.872</v>
      </c>
      <c r="H43" s="12" t="n">
        <v>281.036</v>
      </c>
      <c r="I43" s="12" t="n">
        <v>81.697</v>
      </c>
      <c r="J43" s="12" t="n">
        <v>99.95099999999999</v>
      </c>
      <c r="K43" s="12" t="n">
        <v>321.587</v>
      </c>
      <c r="L43" s="12" t="n">
        <v>388.666</v>
      </c>
      <c r="M43" s="12" t="n">
        <v>226.412</v>
      </c>
      <c r="N43" s="12" t="n">
        <v>262.637</v>
      </c>
      <c r="O43" s="11" t="n"/>
      <c r="P43" s="12" t="n"/>
      <c r="Q43" s="12" t="n">
        <v>27.488</v>
      </c>
      <c r="R43" s="12" t="n">
        <v>52.872</v>
      </c>
      <c r="S43" s="12" t="n">
        <v>201.953</v>
      </c>
      <c r="T43" s="12" t="n">
        <v>-475.557</v>
      </c>
      <c r="U43" s="12" t="n">
        <v>75.857</v>
      </c>
      <c r="V43" s="12" t="n">
        <v>-12635.778</v>
      </c>
      <c r="W43" s="12" t="n">
        <v>477.245</v>
      </c>
      <c r="X43" s="12" t="n">
        <v>891.901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27.172</v>
      </c>
      <c r="D44" s="12" t="n">
        <v>-12466.454</v>
      </c>
      <c r="E44" s="12" t="n">
        <v>60.542</v>
      </c>
      <c r="F44" s="12" t="n">
        <v>46.795</v>
      </c>
      <c r="G44" s="12" t="n">
        <v>88.872</v>
      </c>
      <c r="H44" s="12" t="n">
        <v>281.036</v>
      </c>
      <c r="I44" s="12" t="n">
        <v>81.697</v>
      </c>
      <c r="J44" s="12" t="n">
        <v>99.95099999999999</v>
      </c>
      <c r="K44" s="12" t="n">
        <v>321.587</v>
      </c>
      <c r="L44" s="12" t="n">
        <v>388.666</v>
      </c>
      <c r="M44" s="12" t="n">
        <v>226.412</v>
      </c>
      <c r="N44" s="12" t="n">
        <v>262.637</v>
      </c>
      <c r="O44" s="11" t="n"/>
      <c r="P44" s="12" t="n"/>
      <c r="Q44" s="12" t="n"/>
      <c r="R44" s="12" t="n"/>
      <c r="S44" s="12" t="n">
        <v>201.953</v>
      </c>
      <c r="T44" s="12" t="n">
        <v>-475.557</v>
      </c>
      <c r="U44" s="12" t="n">
        <v>75.857</v>
      </c>
      <c r="V44" s="12" t="n">
        <v>-12635.778</v>
      </c>
      <c r="W44" s="12" t="n">
        <v>477.245</v>
      </c>
      <c r="X44" s="12" t="n">
        <v>891.901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(2026.10.23)</t>
        </is>
      </c>
      <c r="B47" s="29" t="n">
        <v>761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9284922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2026.10.23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2024.3Q</t>
        </is>
      </c>
      <c r="D77" s="5" t="inlineStr">
        <is>
          <t>2024.4Q</t>
        </is>
      </c>
      <c r="E77" s="5" t="inlineStr">
        <is>
          <t>2025.1Q</t>
        </is>
      </c>
      <c r="F77" s="5" t="inlineStr">
        <is>
          <t>2025.2Q</t>
        </is>
      </c>
      <c r="G77" s="5" t="inlineStr">
        <is>
          <t>2025.3Q</t>
        </is>
      </c>
      <c r="H77" s="5" t="inlineStr">
        <is>
          <t>2025.4Q</t>
        </is>
      </c>
      <c r="I77" s="5" t="inlineStr">
        <is>
          <t>2026.1Q</t>
        </is>
      </c>
      <c r="J77" s="5" t="inlineStr">
        <is>
          <t>2026.2Q</t>
        </is>
      </c>
      <c r="K77" s="5" t="inlineStr">
        <is>
          <t>2026.3Q</t>
        </is>
      </c>
      <c r="L77" s="5" t="inlineStr">
        <is>
          <t>2026.4Q</t>
        </is>
      </c>
      <c r="M77" s="5" t="inlineStr">
        <is>
          <t>2027.1Q</t>
        </is>
      </c>
      <c r="N77" s="5" t="inlineStr">
        <is>
          <t>2027.2Q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20" t="inlineStr">
        <is>
          <t>영업수익</t>
        </is>
      </c>
      <c r="C78" s="22" t="n">
        <v>2313.634</v>
      </c>
      <c r="D78" s="22" t="n">
        <v>2336.204</v>
      </c>
      <c r="E78" s="22" t="n">
        <v>2520.976</v>
      </c>
      <c r="F78" s="22" t="n">
        <v>2414.676</v>
      </c>
      <c r="G78" s="22" t="n">
        <v>2373.069</v>
      </c>
      <c r="H78" s="22" t="n">
        <v>2472.229</v>
      </c>
      <c r="I78" s="22" t="n">
        <v>2446.427</v>
      </c>
      <c r="J78" s="22" t="n">
        <v>2327.965</v>
      </c>
      <c r="K78" s="22" t="n">
        <v>2513.735</v>
      </c>
      <c r="L78" s="22" t="n">
        <v>2686.543</v>
      </c>
      <c r="M78" s="22" t="n">
        <v>2755.827</v>
      </c>
      <c r="N78" s="22" t="n">
        <v>2807.172</v>
      </c>
      <c r="T78" s="22" t="n">
        <v>1830.217</v>
      </c>
      <c r="U78" s="22" t="n">
        <v>2076.053</v>
      </c>
      <c r="V78" s="22" t="n">
        <v>2336.204</v>
      </c>
      <c r="W78" s="22" t="n">
        <v>2472.229</v>
      </c>
      <c r="X78" s="22" t="n">
        <v>2686.543</v>
      </c>
    </row>
    <row r="79">
      <c r="A79" s="20" t="inlineStr">
        <is>
          <t>임원 보수</t>
        </is>
      </c>
      <c r="C79" s="22" t="n">
        <v>23.271</v>
      </c>
      <c r="D79" s="22" t="n">
        <v>17.901</v>
      </c>
      <c r="E79" s="22" t="n">
        <v>16.036</v>
      </c>
      <c r="F79" s="22" t="n">
        <v>8.597</v>
      </c>
      <c r="G79" s="22" t="n">
        <v>7.241</v>
      </c>
      <c r="H79" s="22" t="n">
        <v>7.247</v>
      </c>
      <c r="I79" s="22" t="n">
        <v>7.247</v>
      </c>
      <c r="J79" s="22" t="n">
        <v>16.602</v>
      </c>
      <c r="K79" s="22" t="n">
        <v>16.603</v>
      </c>
      <c r="L79" s="22" t="n">
        <v>16.602</v>
      </c>
      <c r="M79" s="22" t="n">
        <v>16.602</v>
      </c>
      <c r="N79" s="22" t="n">
        <v>16.954</v>
      </c>
      <c r="T79" s="22" t="n">
        <v>24.857</v>
      </c>
      <c r="U79" s="22" t="n">
        <v>55.675</v>
      </c>
      <c r="V79" s="22" t="n">
        <v>17.901</v>
      </c>
      <c r="W79" s="22" t="n">
        <v>7.247</v>
      </c>
      <c r="X79" s="22" t="n">
        <v>16.602</v>
      </c>
    </row>
    <row r="80">
      <c r="A80" s="20" t="inlineStr">
        <is>
          <t>급여·수당</t>
        </is>
      </c>
      <c r="C80" s="22" t="n">
        <v>988.177</v>
      </c>
      <c r="D80" s="22" t="n">
        <v>971.083</v>
      </c>
      <c r="E80" s="22" t="n">
        <v>1000.735</v>
      </c>
      <c r="F80" s="22" t="n">
        <v>1066.51</v>
      </c>
      <c r="G80" s="22" t="n">
        <v>1018.407</v>
      </c>
      <c r="H80" s="22" t="n">
        <v>1055.527</v>
      </c>
      <c r="I80" s="22" t="n">
        <v>1029.786</v>
      </c>
      <c r="J80" s="22" t="n">
        <v>1004.856</v>
      </c>
      <c r="K80" s="22" t="n">
        <v>1023.183</v>
      </c>
      <c r="L80" s="22" t="n">
        <v>1038.727</v>
      </c>
      <c r="M80" s="22" t="n">
        <v>1083.964</v>
      </c>
      <c r="N80" s="22" t="n">
        <v>1116.816</v>
      </c>
      <c r="T80" s="22" t="n">
        <v>642.314</v>
      </c>
      <c r="U80" s="22" t="n">
        <v>905.285</v>
      </c>
      <c r="V80" s="22" t="n">
        <v>971.083</v>
      </c>
      <c r="W80" s="22" t="n">
        <v>1055.527</v>
      </c>
      <c r="X80" s="22" t="n">
        <v>1038.727</v>
      </c>
    </row>
    <row r="81">
      <c r="A81" s="20" t="inlineStr">
        <is>
          <t>상여충당금 전입</t>
        </is>
      </c>
      <c r="C81" s="22" t="n">
        <v>-7.676</v>
      </c>
      <c r="D81" s="22" t="n">
        <v>208.356</v>
      </c>
      <c r="E81" s="22" t="n">
        <v>176.872</v>
      </c>
      <c r="F81" s="22" t="n">
        <v>173.959</v>
      </c>
      <c r="G81" s="22" t="n">
        <v>149.688</v>
      </c>
      <c r="H81" s="22" t="n">
        <v>17.939</v>
      </c>
      <c r="I81" s="22" t="n">
        <v>156.451</v>
      </c>
      <c r="J81" s="22" t="n">
        <v>130.552</v>
      </c>
      <c r="K81" s="22" t="n">
        <v>144.566</v>
      </c>
      <c r="L81" s="22" t="n">
        <v>57.646</v>
      </c>
      <c r="M81" s="22" t="n">
        <v>177.754</v>
      </c>
      <c r="N81" s="22" t="n">
        <v>171.448</v>
      </c>
      <c r="T81" s="22" t="n">
        <v>55.676</v>
      </c>
      <c r="U81" s="22" t="n">
        <v>-11.157</v>
      </c>
      <c r="V81" s="22" t="n">
        <v>208.356</v>
      </c>
      <c r="W81" s="22" t="n">
        <v>17.939</v>
      </c>
      <c r="X81" s="22" t="n">
        <v>57.646</v>
      </c>
    </row>
    <row r="82">
      <c r="A82" s="20" t="inlineStr">
        <is>
          <t>지급보수</t>
        </is>
      </c>
      <c r="C82" s="22" t="n">
        <v>260.467</v>
      </c>
      <c r="D82" s="22" t="n">
        <v>-61.5</v>
      </c>
      <c r="E82" s="22" t="n">
        <v>106.426</v>
      </c>
      <c r="F82" s="22" t="n">
        <v>113.369</v>
      </c>
      <c r="G82" s="22" t="n">
        <v>84.58199999999999</v>
      </c>
      <c r="H82" s="22" t="n">
        <v>109.174</v>
      </c>
      <c r="I82" s="22" t="n">
        <v>87.303</v>
      </c>
      <c r="J82" s="22" t="n">
        <v>98.54300000000001</v>
      </c>
      <c r="K82" s="22" t="n">
        <v>81.78400000000001</v>
      </c>
      <c r="L82" s="22" t="n">
        <v>110.14</v>
      </c>
      <c r="M82" s="22" t="n">
        <v>86.58</v>
      </c>
      <c r="N82" s="22" t="n">
        <v>123.017</v>
      </c>
      <c r="T82" s="22" t="n">
        <v>112.725</v>
      </c>
      <c r="U82" s="22" t="n">
        <v>157.443</v>
      </c>
      <c r="V82" s="22" t="n">
        <v>-61.5</v>
      </c>
      <c r="W82" s="22" t="n">
        <v>109.174</v>
      </c>
      <c r="X82" s="22" t="n">
        <v>110.14</v>
      </c>
    </row>
    <row r="83">
      <c r="A83" s="20" t="inlineStr">
        <is>
          <t>기타</t>
        </is>
      </c>
      <c r="C83" s="22" t="n">
        <v>1078.22</v>
      </c>
      <c r="E83" s="22" t="n">
        <v>835.3150000000001</v>
      </c>
      <c r="F83" s="22" t="n">
        <v>855.228</v>
      </c>
      <c r="G83" s="22" t="n">
        <v>875.753</v>
      </c>
      <c r="I83" s="22" t="n">
        <v>885.686</v>
      </c>
      <c r="J83" s="22" t="n">
        <v>857.394</v>
      </c>
      <c r="K83" s="22" t="n">
        <v>876.831</v>
      </c>
      <c r="M83" s="22" t="n">
        <v>966.5</v>
      </c>
      <c r="N83" s="22" t="n">
        <v>955.224</v>
      </c>
    </row>
    <row r="84">
      <c r="A84" s="20" t="inlineStr">
        <is>
          <t>영업비용 합계</t>
        </is>
      </c>
      <c r="C84" s="22" t="n">
        <v>2342.458</v>
      </c>
      <c r="D84" s="22" t="n">
        <v>2237.136</v>
      </c>
      <c r="E84" s="22" t="n">
        <v>2135.386</v>
      </c>
      <c r="F84" s="22" t="n">
        <v>2217.663</v>
      </c>
      <c r="G84" s="22" t="n">
        <v>2135.67</v>
      </c>
      <c r="H84" s="22" t="n">
        <v>2064.902</v>
      </c>
      <c r="I84" s="22" t="n">
        <v>2166.475</v>
      </c>
      <c r="J84" s="22" t="n">
        <v>2107.947</v>
      </c>
      <c r="K84" s="22" t="n">
        <v>2142.967</v>
      </c>
      <c r="L84" s="22" t="n">
        <v>2216.139</v>
      </c>
      <c r="M84" s="22" t="n">
        <v>2331.401</v>
      </c>
      <c r="N84" s="22" t="n">
        <v>2383.461</v>
      </c>
      <c r="T84" s="22" t="n">
        <v>1690.562</v>
      </c>
      <c r="U84" s="22" t="n">
        <v>2159.658</v>
      </c>
      <c r="V84" s="22" t="n">
        <v>2237.136</v>
      </c>
      <c r="W84" s="22" t="n">
        <v>2064.902</v>
      </c>
      <c r="X84" s="22" t="n">
        <v>2216.139</v>
      </c>
    </row>
    <row r="85">
      <c r="A85" s="9" t="inlineStr">
        <is>
          <t>영업이익</t>
        </is>
      </c>
      <c r="C85" s="12" t="n">
        <v>-28.824</v>
      </c>
      <c r="D85" s="12" t="n">
        <v>99.068</v>
      </c>
      <c r="E85" s="12" t="n">
        <v>385.589</v>
      </c>
      <c r="F85" s="12" t="n">
        <v>197.013</v>
      </c>
      <c r="G85" s="12" t="n">
        <v>237.399</v>
      </c>
      <c r="H85" s="12" t="n">
        <v>407.327</v>
      </c>
      <c r="I85" s="12" t="n">
        <v>279.952</v>
      </c>
      <c r="J85" s="12" t="n">
        <v>220.017</v>
      </c>
      <c r="K85" s="12" t="n">
        <v>370.769</v>
      </c>
      <c r="L85" s="12" t="n">
        <v>470.403</v>
      </c>
      <c r="M85" s="12" t="n">
        <v>424.426</v>
      </c>
      <c r="N85" s="12" t="n">
        <v>423.711</v>
      </c>
      <c r="T85" s="12" t="n">
        <v>139.656</v>
      </c>
      <c r="U85" s="12" t="n">
        <v>-83.60599999999999</v>
      </c>
      <c r="V85" s="12" t="n">
        <v>99.068</v>
      </c>
      <c r="W85" s="12" t="n">
        <v>407.327</v>
      </c>
      <c r="X85" s="12" t="n">
        <v>470.403</v>
      </c>
    </row>
    <row r="86">
      <c r="A86" s="20" t="inlineStr">
        <is>
          <t>이자수익</t>
        </is>
      </c>
      <c r="C86" s="22" t="n">
        <v>0.011</v>
      </c>
      <c r="D86" s="22" t="n">
        <v>0.019</v>
      </c>
      <c r="E86" s="22" t="n">
        <v>0.008</v>
      </c>
      <c r="F86" s="22" t="n">
        <v>0.125</v>
      </c>
      <c r="G86" s="22" t="n">
        <v>0.404</v>
      </c>
      <c r="H86" s="22" t="n">
        <v>0.526</v>
      </c>
      <c r="I86" s="22" t="n">
        <v>1.41</v>
      </c>
      <c r="J86" s="22" t="n">
        <v>1.515</v>
      </c>
      <c r="K86" s="22" t="n">
        <v>2.394</v>
      </c>
      <c r="L86" s="22" t="n">
        <v>3.129</v>
      </c>
      <c r="M86" s="22" t="n">
        <v>3.045</v>
      </c>
      <c r="N86" s="22" t="n">
        <v>4.553</v>
      </c>
      <c r="T86" s="22" t="n">
        <v>0.012</v>
      </c>
      <c r="U86" s="22" t="n">
        <v>0.007</v>
      </c>
      <c r="V86" s="22" t="n">
        <v>0.019</v>
      </c>
      <c r="W86" s="22" t="n">
        <v>0.526</v>
      </c>
      <c r="X86" s="22" t="n">
        <v>3.129</v>
      </c>
    </row>
    <row r="87">
      <c r="A87" s="20" t="inlineStr">
        <is>
          <t>보조금 수입</t>
        </is>
      </c>
      <c r="C87" s="22" t="n">
        <v>96.875</v>
      </c>
      <c r="D87" s="22" t="n">
        <v>1.724</v>
      </c>
      <c r="E87" s="22" t="n">
        <v>0.334</v>
      </c>
      <c r="F87" s="22" t="n">
        <v>2.247</v>
      </c>
      <c r="G87" s="22" t="n">
        <v>0.044</v>
      </c>
      <c r="H87" s="22" t="n">
        <v>0</v>
      </c>
      <c r="I87" s="22" t="n">
        <v>0</v>
      </c>
      <c r="J87" s="22" t="n">
        <v>0</v>
      </c>
      <c r="K87" s="22" t="n">
        <v>0</v>
      </c>
      <c r="L87" s="22" t="n">
        <v>0</v>
      </c>
      <c r="T87" s="22" t="n">
        <v>2.446</v>
      </c>
      <c r="U87" s="22" t="n">
        <v>0.395</v>
      </c>
      <c r="V87" s="22" t="n">
        <v>1.724</v>
      </c>
      <c r="W87" s="22" t="n">
        <v>0</v>
      </c>
      <c r="X87" s="22" t="n">
        <v>0</v>
      </c>
    </row>
    <row r="88">
      <c r="A88" s="20" t="inlineStr">
        <is>
          <t>보험금 수익</t>
        </is>
      </c>
      <c r="D88" s="22" t="n">
        <v>0.546</v>
      </c>
      <c r="H88" s="22" t="n">
        <v>0</v>
      </c>
      <c r="U88" s="22" t="n">
        <v>0</v>
      </c>
      <c r="V88" s="22" t="n">
        <v>0.546</v>
      </c>
      <c r="W88" s="22" t="n">
        <v>0</v>
      </c>
    </row>
    <row r="89">
      <c r="A89" s="20" t="inlineStr">
        <is>
          <t>임대료 수익</t>
        </is>
      </c>
      <c r="C89" s="22" t="n">
        <v>5.599</v>
      </c>
      <c r="D89" s="22" t="n">
        <v>7.63</v>
      </c>
      <c r="E89" s="22" t="n">
        <v>6.507</v>
      </c>
      <c r="F89" s="22" t="n">
        <v>6.929</v>
      </c>
      <c r="G89" s="22" t="n">
        <v>7.964</v>
      </c>
      <c r="H89" s="22" t="n">
        <v>8.303000000000001</v>
      </c>
      <c r="I89" s="22" t="n">
        <v>9.164999999999999</v>
      </c>
      <c r="J89" s="22" t="n">
        <v>9.385</v>
      </c>
      <c r="K89" s="22" t="n">
        <v>9.667999999999999</v>
      </c>
      <c r="L89" s="22" t="n">
        <v>10.057</v>
      </c>
      <c r="M89" s="22" t="n">
        <v>8.743</v>
      </c>
      <c r="N89" s="22" t="n">
        <v>9.657</v>
      </c>
      <c r="T89" s="22" t="n">
        <v>1.699</v>
      </c>
      <c r="U89" s="22" t="n">
        <v>3.835</v>
      </c>
      <c r="V89" s="22" t="n">
        <v>7.63</v>
      </c>
      <c r="W89" s="22" t="n">
        <v>8.303000000000001</v>
      </c>
      <c r="X89" s="22" t="n">
        <v>10.057</v>
      </c>
    </row>
    <row r="90">
      <c r="A90" s="20" t="inlineStr">
        <is>
          <t>채무 환입이익</t>
        </is>
      </c>
      <c r="I90" s="22" t="n">
        <v>0</v>
      </c>
      <c r="J90" s="22" t="n">
        <v>0</v>
      </c>
      <c r="M90" s="22" t="n">
        <v>6.71</v>
      </c>
      <c r="N90" s="22" t="n">
        <v>0.057</v>
      </c>
    </row>
    <row r="91">
      <c r="A91" s="20" t="inlineStr">
        <is>
          <t>환급금 수익</t>
        </is>
      </c>
      <c r="C91" s="22" t="n">
        <v>0</v>
      </c>
      <c r="D91" s="22" t="n">
        <v>59.691</v>
      </c>
      <c r="E91" s="22" t="n">
        <v>36.286</v>
      </c>
      <c r="F91" s="22" t="n">
        <v>1.103</v>
      </c>
      <c r="G91" s="22" t="n">
        <v>-0.866</v>
      </c>
      <c r="H91" s="22" t="n">
        <v>0.779</v>
      </c>
      <c r="I91" s="22" t="n">
        <v>0.221</v>
      </c>
      <c r="J91" s="22" t="n">
        <v>0.003</v>
      </c>
      <c r="K91" s="22" t="n">
        <v>45.924</v>
      </c>
      <c r="L91" s="22" t="n">
        <v>0.469</v>
      </c>
      <c r="M91" s="22" t="n">
        <v>0.082</v>
      </c>
      <c r="N91" s="22" t="n">
        <v>0.001</v>
      </c>
      <c r="V91" s="22" t="n">
        <v>59.691</v>
      </c>
      <c r="W91" s="22" t="n">
        <v>0.779</v>
      </c>
      <c r="X91" s="22" t="n">
        <v>0.469</v>
      </c>
    </row>
    <row r="92">
      <c r="A92" s="20" t="inlineStr">
        <is>
          <t>외환차익</t>
        </is>
      </c>
      <c r="E92" s="22" t="n">
        <v>0</v>
      </c>
      <c r="F92" s="22" t="n">
        <v>0</v>
      </c>
      <c r="I92" s="22" t="n">
        <v>23.367</v>
      </c>
      <c r="J92" s="22" t="n">
        <v>-15.933</v>
      </c>
      <c r="M92" s="22" t="n">
        <v>0</v>
      </c>
      <c r="N92" s="22" t="n">
        <v>0</v>
      </c>
    </row>
    <row r="93">
      <c r="A93" s="20" t="inlineStr">
        <is>
          <t>기타</t>
        </is>
      </c>
      <c r="C93" s="22" t="n">
        <v>2.861</v>
      </c>
      <c r="D93" s="22" t="n">
        <v>5.338</v>
      </c>
      <c r="E93" s="22" t="n">
        <v>3.058</v>
      </c>
      <c r="F93" s="22" t="n">
        <v>2.341</v>
      </c>
      <c r="G93" s="22" t="n">
        <v>0.6830000000000001</v>
      </c>
      <c r="H93" s="22" t="n">
        <v>-5.208</v>
      </c>
      <c r="I93" s="22" t="n">
        <v>3.015</v>
      </c>
      <c r="J93" s="22" t="n">
        <v>3.131</v>
      </c>
      <c r="K93" s="22" t="n">
        <v>0.091</v>
      </c>
      <c r="L93" s="22" t="n">
        <v>4.986</v>
      </c>
      <c r="M93" s="22" t="n">
        <v>3.149</v>
      </c>
      <c r="N93" s="22" t="n">
        <v>2.629</v>
      </c>
      <c r="U93" s="22" t="n">
        <v>0</v>
      </c>
      <c r="V93" s="22" t="n">
        <v>5.338</v>
      </c>
      <c r="W93" s="22" t="n">
        <v>-5.208</v>
      </c>
      <c r="X93" s="22" t="n">
        <v>4.986</v>
      </c>
    </row>
    <row r="94">
      <c r="A94" s="20" t="inlineStr">
        <is>
          <t>영업외수익 합계</t>
        </is>
      </c>
      <c r="C94" s="22" t="n">
        <v>136.098</v>
      </c>
      <c r="D94" s="22" t="n">
        <v>74.949</v>
      </c>
      <c r="E94" s="22" t="n">
        <v>46.194</v>
      </c>
      <c r="F94" s="22" t="n">
        <v>12.746</v>
      </c>
      <c r="G94" s="22" t="n">
        <v>8.228999999999999</v>
      </c>
      <c r="H94" s="22" t="n">
        <v>4.4</v>
      </c>
      <c r="I94" s="22" t="n">
        <v>37.181</v>
      </c>
      <c r="J94" s="22" t="n">
        <v>-1.9</v>
      </c>
      <c r="K94" s="22" t="n">
        <v>50.642</v>
      </c>
      <c r="L94" s="22" t="n">
        <v>44.3</v>
      </c>
      <c r="M94" s="22" t="n">
        <v>21.732</v>
      </c>
      <c r="N94" s="22" t="n">
        <v>16.896</v>
      </c>
      <c r="T94" s="22" t="n">
        <v>-0.182</v>
      </c>
      <c r="U94" s="22" t="n">
        <v>4.237</v>
      </c>
      <c r="V94" s="22" t="n">
        <v>74.949</v>
      </c>
      <c r="W94" s="22" t="n">
        <v>4.4</v>
      </c>
      <c r="X94" s="22" t="n">
        <v>44.3</v>
      </c>
    </row>
    <row r="95">
      <c r="A95" s="20" t="inlineStr">
        <is>
          <t>이자비용</t>
        </is>
      </c>
      <c r="C95" s="22" t="n">
        <v>8.946</v>
      </c>
      <c r="D95" s="22" t="n">
        <v>8.973000000000001</v>
      </c>
      <c r="E95" s="22" t="n">
        <v>9.512</v>
      </c>
      <c r="F95" s="22" t="n">
        <v>10.301</v>
      </c>
      <c r="G95" s="22" t="n">
        <v>11.116</v>
      </c>
      <c r="H95" s="22" t="n">
        <v>12.739</v>
      </c>
      <c r="I95" s="22" t="n">
        <v>14.039</v>
      </c>
      <c r="J95" s="22" t="n">
        <v>13.506</v>
      </c>
      <c r="K95" s="22" t="n">
        <v>12.737</v>
      </c>
      <c r="L95" s="22" t="n">
        <v>12.7</v>
      </c>
      <c r="M95" s="22" t="n">
        <v>13.953</v>
      </c>
      <c r="N95" s="22" t="n">
        <v>11.506</v>
      </c>
      <c r="T95" s="22" t="n">
        <v>11.62</v>
      </c>
      <c r="U95" s="22" t="n">
        <v>10.207</v>
      </c>
      <c r="V95" s="22" t="n">
        <v>8.973000000000001</v>
      </c>
      <c r="W95" s="22" t="n">
        <v>12.739</v>
      </c>
      <c r="X95" s="22" t="n">
        <v>12.7</v>
      </c>
    </row>
    <row r="96">
      <c r="A96" s="20" t="inlineStr">
        <is>
          <t>외환차손</t>
        </is>
      </c>
      <c r="C96" s="22" t="n">
        <v>2.028</v>
      </c>
      <c r="D96" s="22" t="n">
        <v>2.338</v>
      </c>
      <c r="E96" s="22" t="n">
        <v>2.549</v>
      </c>
      <c r="F96" s="22" t="n">
        <v>8.56</v>
      </c>
      <c r="G96" s="22" t="n">
        <v>-1.369</v>
      </c>
      <c r="H96" s="22" t="n">
        <v>-8.595000000000001</v>
      </c>
      <c r="I96" s="22" t="n">
        <v>0</v>
      </c>
      <c r="J96" s="22" t="n">
        <v>0</v>
      </c>
      <c r="K96" s="22" t="n">
        <v>7.734</v>
      </c>
      <c r="L96" s="22" t="n">
        <v>-1.334</v>
      </c>
      <c r="M96" s="22" t="n">
        <v>10.415</v>
      </c>
      <c r="N96" s="22" t="n">
        <v>0.272</v>
      </c>
      <c r="T96" s="22" t="n">
        <v>2.017</v>
      </c>
      <c r="U96" s="22" t="n">
        <v>-1.532</v>
      </c>
      <c r="V96" s="22" t="n">
        <v>2.338</v>
      </c>
      <c r="W96" s="22" t="n">
        <v>-8.595000000000001</v>
      </c>
      <c r="X96" s="22" t="n">
        <v>-1.334</v>
      </c>
    </row>
    <row r="97">
      <c r="A97" s="20" t="inlineStr">
        <is>
          <t>자금조달비용</t>
        </is>
      </c>
      <c r="T97" s="22" t="n">
        <v>0</v>
      </c>
      <c r="U97" s="22" t="n">
        <v>0</v>
      </c>
    </row>
    <row r="98">
      <c r="A98" s="20" t="inlineStr">
        <is>
          <t>판매세 반환손실</t>
        </is>
      </c>
      <c r="C98" s="22" t="n">
        <v>0</v>
      </c>
      <c r="D98" s="22" t="n">
        <v>0</v>
      </c>
      <c r="E98" s="22" t="n">
        <v>41.048</v>
      </c>
      <c r="F98" s="22" t="n">
        <v>0.984</v>
      </c>
      <c r="G98" s="22" t="n">
        <v>-0.265</v>
      </c>
      <c r="H98" s="22" t="n">
        <v>0.08</v>
      </c>
      <c r="I98" s="22" t="n">
        <v>0</v>
      </c>
      <c r="J98" s="22" t="n">
        <v>0</v>
      </c>
      <c r="K98" s="22" t="n">
        <v>0</v>
      </c>
      <c r="L98" s="22" t="n">
        <v>0</v>
      </c>
      <c r="V98" s="22" t="n">
        <v>0</v>
      </c>
      <c r="W98" s="22" t="n">
        <v>0.08</v>
      </c>
      <c r="X98" s="22" t="n">
        <v>0</v>
      </c>
    </row>
    <row r="99">
      <c r="A99" s="20" t="inlineStr">
        <is>
          <t>기타</t>
        </is>
      </c>
      <c r="C99" s="22" t="n">
        <v>0.004</v>
      </c>
      <c r="D99" s="22" t="n">
        <v>0.003</v>
      </c>
      <c r="E99" s="22" t="n">
        <v>0</v>
      </c>
      <c r="F99" s="22" t="n">
        <v>0.02</v>
      </c>
      <c r="G99" s="22" t="n">
        <v>0.008</v>
      </c>
      <c r="H99" s="22" t="n">
        <v>0.354</v>
      </c>
      <c r="I99" s="22" t="n">
        <v>3.923</v>
      </c>
      <c r="J99" s="22" t="n">
        <v>-0.103</v>
      </c>
      <c r="K99" s="22" t="n">
        <v>3.309</v>
      </c>
      <c r="L99" s="22" t="n">
        <v>-7.108</v>
      </c>
      <c r="M99" s="22" t="n">
        <v>0.129</v>
      </c>
      <c r="N99" s="22" t="n">
        <v>0.001</v>
      </c>
      <c r="T99" s="22" t="n">
        <v>1.298</v>
      </c>
      <c r="U99" s="22" t="n">
        <v>0.587</v>
      </c>
      <c r="V99" s="22" t="n">
        <v>0.003</v>
      </c>
      <c r="W99" s="22" t="n">
        <v>0.354</v>
      </c>
      <c r="X99" s="22" t="n">
        <v>-7.108</v>
      </c>
    </row>
    <row r="100">
      <c r="A100" s="20" t="inlineStr">
        <is>
          <t>영업외비용 합계</t>
        </is>
      </c>
      <c r="C100" s="22" t="n">
        <v>10.978</v>
      </c>
      <c r="D100" s="22" t="n">
        <v>11.314</v>
      </c>
      <c r="E100" s="22" t="n">
        <v>53.11</v>
      </c>
      <c r="F100" s="22" t="n">
        <v>19.866</v>
      </c>
      <c r="G100" s="22" t="n">
        <v>9.489000000000001</v>
      </c>
      <c r="H100" s="22" t="n">
        <v>4.578</v>
      </c>
      <c r="I100" s="22" t="n">
        <v>17.962</v>
      </c>
      <c r="J100" s="22" t="n">
        <v>13.403</v>
      </c>
      <c r="K100" s="22" t="n">
        <v>23.782</v>
      </c>
      <c r="L100" s="22" t="n">
        <v>11.813</v>
      </c>
      <c r="M100" s="22" t="n">
        <v>24.499</v>
      </c>
      <c r="N100" s="22" t="n">
        <v>11.778</v>
      </c>
      <c r="T100" s="22" t="n">
        <v>14.936</v>
      </c>
      <c r="U100" s="22" t="n">
        <v>9.263</v>
      </c>
      <c r="V100" s="22" t="n">
        <v>11.314</v>
      </c>
      <c r="W100" s="22" t="n">
        <v>4.578</v>
      </c>
      <c r="X100" s="22" t="n">
        <v>11.813</v>
      </c>
    </row>
    <row r="101">
      <c r="A101" s="9" t="inlineStr">
        <is>
          <t>경상이익</t>
        </is>
      </c>
      <c r="C101" s="12" t="n">
        <v>96.297</v>
      </c>
      <c r="D101" s="12" t="n">
        <v>162.701</v>
      </c>
      <c r="E101" s="12" t="n">
        <v>378.674</v>
      </c>
      <c r="F101" s="12" t="n">
        <v>189.892</v>
      </c>
      <c r="G101" s="12" t="n">
        <v>236.139</v>
      </c>
      <c r="H101" s="12" t="n">
        <v>407.149</v>
      </c>
      <c r="I101" s="12" t="n">
        <v>299.171</v>
      </c>
      <c r="J101" s="12" t="n">
        <v>204.714</v>
      </c>
      <c r="K101" s="12" t="n">
        <v>397.629</v>
      </c>
      <c r="L101" s="12" t="n">
        <v>502.889</v>
      </c>
      <c r="M101" s="12" t="n">
        <v>421.659</v>
      </c>
      <c r="N101" s="12" t="n">
        <v>428.829</v>
      </c>
      <c r="T101" s="12" t="n">
        <v>124.538</v>
      </c>
      <c r="U101" s="12" t="n">
        <v>-88.631</v>
      </c>
      <c r="V101" s="12" t="n">
        <v>162.701</v>
      </c>
      <c r="W101" s="12" t="n">
        <v>407.149</v>
      </c>
      <c r="X101" s="12" t="n">
        <v>502.889</v>
      </c>
    </row>
    <row r="102">
      <c r="A102" s="20" t="inlineStr">
        <is>
          <t>손상차손</t>
        </is>
      </c>
      <c r="C102" s="22" t="n">
        <v>0</v>
      </c>
      <c r="D102" s="22" t="n">
        <v>14472.936</v>
      </c>
      <c r="E102" s="22" t="n">
        <v>195.444</v>
      </c>
      <c r="F102" s="22" t="n">
        <v>68.009</v>
      </c>
      <c r="G102" s="22" t="n">
        <v>63.019</v>
      </c>
      <c r="H102" s="22" t="n">
        <v>72.483</v>
      </c>
      <c r="I102" s="22" t="n">
        <v>76.014</v>
      </c>
      <c r="J102" s="22" t="n">
        <v>61.181</v>
      </c>
      <c r="K102" s="22" t="n">
        <v>47.16</v>
      </c>
      <c r="L102" s="22" t="n">
        <v>69.78</v>
      </c>
      <c r="M102" s="22" t="n">
        <v>66.61199999999999</v>
      </c>
      <c r="N102" s="22" t="n">
        <v>61.417</v>
      </c>
      <c r="V102" s="22" t="n">
        <v>14472.936</v>
      </c>
      <c r="W102" s="22" t="n">
        <v>72.483</v>
      </c>
      <c r="X102" s="22" t="n">
        <v>69.78</v>
      </c>
    </row>
    <row r="103">
      <c r="A103" s="20" t="inlineStr">
        <is>
          <t>기타</t>
        </is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0.08599999999999999</v>
      </c>
      <c r="I103" s="22" t="n">
        <v>0.52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V103" s="22" t="n">
        <v>0</v>
      </c>
      <c r="W103" s="22" t="n">
        <v>0.08599999999999999</v>
      </c>
      <c r="X103" s="22" t="n">
        <v>0</v>
      </c>
    </row>
    <row r="104">
      <c r="A104" s="20" t="inlineStr">
        <is>
          <t>특별손실 합계</t>
        </is>
      </c>
      <c r="C104" s="22" t="n">
        <v>0</v>
      </c>
      <c r="D104" s="22" t="n">
        <v>14505.405</v>
      </c>
      <c r="E104" s="22" t="n">
        <v>195.444</v>
      </c>
      <c r="F104" s="22" t="n">
        <v>68.009</v>
      </c>
      <c r="G104" s="22" t="n">
        <v>63.019</v>
      </c>
      <c r="H104" s="22" t="n">
        <v>72.569</v>
      </c>
      <c r="I104" s="22" t="n">
        <v>76.535</v>
      </c>
      <c r="J104" s="22" t="n">
        <v>61.181</v>
      </c>
      <c r="K104" s="22" t="n">
        <v>47.16</v>
      </c>
      <c r="L104" s="22" t="n">
        <v>69.78</v>
      </c>
      <c r="M104" s="22" t="n">
        <v>66.61199999999999</v>
      </c>
      <c r="N104" s="22" t="n">
        <v>61.417</v>
      </c>
      <c r="V104" s="22" t="n">
        <v>14505.405</v>
      </c>
      <c r="W104" s="22" t="n">
        <v>72.569</v>
      </c>
      <c r="X104" s="22" t="n">
        <v>69.78</v>
      </c>
    </row>
    <row r="105">
      <c r="A105" s="9" t="inlineStr">
        <is>
          <t>법인세차감전 순이익</t>
        </is>
      </c>
      <c r="C105" s="12" t="n">
        <v>96.297</v>
      </c>
      <c r="D105" s="12" t="n">
        <v>-14342.703</v>
      </c>
      <c r="E105" s="12" t="n">
        <v>183.23</v>
      </c>
      <c r="F105" s="12" t="n">
        <v>121.882</v>
      </c>
      <c r="G105" s="12" t="n">
        <v>173.121</v>
      </c>
      <c r="H105" s="12" t="n">
        <v>334.58</v>
      </c>
      <c r="I105" s="12" t="n">
        <v>222.635</v>
      </c>
      <c r="J105" s="12" t="n">
        <v>143.534</v>
      </c>
      <c r="K105" s="12" t="n">
        <v>350.469</v>
      </c>
      <c r="L105" s="12" t="n">
        <v>433.109</v>
      </c>
      <c r="M105" s="12" t="n">
        <v>355.047</v>
      </c>
      <c r="N105" s="12" t="n">
        <v>397.331</v>
      </c>
      <c r="T105" s="12" t="n">
        <v>124.538</v>
      </c>
      <c r="U105" s="12" t="n">
        <v>-88.631</v>
      </c>
      <c r="V105" s="12" t="n">
        <v>-14342.703</v>
      </c>
      <c r="W105" s="12" t="n">
        <v>334.58</v>
      </c>
      <c r="X105" s="12" t="n">
        <v>433.109</v>
      </c>
    </row>
    <row r="106">
      <c r="A106" s="20" t="inlineStr">
        <is>
          <t>법인세·주민세·사업세</t>
        </is>
      </c>
      <c r="C106" s="22" t="n">
        <v>134.327</v>
      </c>
      <c r="D106" s="22" t="n">
        <v>123.086</v>
      </c>
      <c r="E106" s="22" t="n">
        <v>50.76</v>
      </c>
      <c r="F106" s="22" t="n">
        <v>90.57299999999999</v>
      </c>
      <c r="G106" s="22" t="n">
        <v>123.997</v>
      </c>
      <c r="H106" s="22" t="n">
        <v>73.346</v>
      </c>
      <c r="I106" s="22" t="n">
        <v>65.158</v>
      </c>
      <c r="J106" s="22" t="n">
        <v>78.93600000000001</v>
      </c>
      <c r="K106" s="22" t="n">
        <v>54.235</v>
      </c>
      <c r="L106" s="22" t="n">
        <v>128.914</v>
      </c>
      <c r="M106" s="22" t="n">
        <v>61.87</v>
      </c>
      <c r="N106" s="22" t="n">
        <v>180.437</v>
      </c>
      <c r="T106" s="22" t="n">
        <v>145.14</v>
      </c>
      <c r="U106" s="22" t="n">
        <v>40.87</v>
      </c>
      <c r="V106" s="22" t="n">
        <v>123.086</v>
      </c>
      <c r="W106" s="22" t="n">
        <v>73.346</v>
      </c>
      <c r="X106" s="22" t="n">
        <v>128.914</v>
      </c>
    </row>
    <row r="107">
      <c r="A107" s="20" t="inlineStr">
        <is>
          <t>법인세 조정액</t>
        </is>
      </c>
      <c r="C107" s="22" t="n">
        <v>-65.203</v>
      </c>
      <c r="D107" s="22" t="n">
        <v>-1999.336</v>
      </c>
      <c r="E107" s="22" t="n">
        <v>71.92700000000001</v>
      </c>
      <c r="F107" s="22" t="n">
        <v>-15.486</v>
      </c>
      <c r="G107" s="22" t="n">
        <v>-39.748</v>
      </c>
      <c r="H107" s="22" t="n">
        <v>-19.801</v>
      </c>
      <c r="I107" s="22" t="n">
        <v>75.78</v>
      </c>
      <c r="J107" s="22" t="n">
        <v>-35.354</v>
      </c>
      <c r="K107" s="22" t="n">
        <v>-25.353</v>
      </c>
      <c r="L107" s="22" t="n">
        <v>-84.47</v>
      </c>
      <c r="M107" s="22" t="n">
        <v>66.76300000000001</v>
      </c>
      <c r="N107" s="22" t="n">
        <v>-45.743</v>
      </c>
      <c r="T107" s="22" t="n">
        <v>-86.289</v>
      </c>
      <c r="U107" s="22" t="n">
        <v>-295.229</v>
      </c>
      <c r="V107" s="22" t="n">
        <v>-1999.336</v>
      </c>
      <c r="W107" s="22" t="n">
        <v>-19.801</v>
      </c>
      <c r="X107" s="22" t="n">
        <v>-84.47</v>
      </c>
    </row>
    <row r="108">
      <c r="A108" s="20" t="inlineStr">
        <is>
          <t>법인세 등 합계</t>
        </is>
      </c>
      <c r="C108" s="22" t="n">
        <v>69.124</v>
      </c>
      <c r="D108" s="22" t="n">
        <v>-1876.248</v>
      </c>
      <c r="E108" s="22" t="n">
        <v>122.688</v>
      </c>
      <c r="F108" s="22" t="n">
        <v>75.087</v>
      </c>
      <c r="G108" s="22" t="n">
        <v>84.249</v>
      </c>
      <c r="H108" s="22" t="n">
        <v>53.544</v>
      </c>
      <c r="I108" s="22" t="n">
        <v>140.938</v>
      </c>
      <c r="J108" s="22" t="n">
        <v>43.582</v>
      </c>
      <c r="K108" s="22" t="n">
        <v>28.882</v>
      </c>
      <c r="L108" s="22" t="n">
        <v>44.443</v>
      </c>
      <c r="M108" s="22" t="n">
        <v>128.634</v>
      </c>
      <c r="N108" s="22" t="n">
        <v>134.694</v>
      </c>
      <c r="T108" s="22" t="n">
        <v>58.851</v>
      </c>
      <c r="U108" s="22" t="n">
        <v>-254.358</v>
      </c>
      <c r="V108" s="22" t="n">
        <v>-1876.248</v>
      </c>
      <c r="W108" s="22" t="n">
        <v>53.544</v>
      </c>
      <c r="X108" s="22" t="n">
        <v>44.443</v>
      </c>
    </row>
    <row r="109">
      <c r="A109" s="9" t="inlineStr">
        <is>
          <t>순이익</t>
        </is>
      </c>
      <c r="C109" s="12" t="n">
        <v>27.172</v>
      </c>
      <c r="D109" s="12" t="n">
        <v>-12466.454</v>
      </c>
      <c r="E109" s="12" t="n">
        <v>60.542</v>
      </c>
      <c r="F109" s="12" t="n">
        <v>46.795</v>
      </c>
      <c r="G109" s="12" t="n">
        <v>88.872</v>
      </c>
      <c r="H109" s="12" t="n">
        <v>281.036</v>
      </c>
      <c r="I109" s="12" t="n">
        <v>81.697</v>
      </c>
      <c r="J109" s="12" t="n">
        <v>99.95099999999999</v>
      </c>
      <c r="K109" s="12" t="n">
        <v>321.587</v>
      </c>
      <c r="L109" s="12" t="n">
        <v>388.666</v>
      </c>
      <c r="M109" s="12" t="n">
        <v>226.412</v>
      </c>
      <c r="N109" s="12" t="n">
        <v>262.637</v>
      </c>
      <c r="T109" s="12" t="n">
        <v>65.687</v>
      </c>
      <c r="U109" s="12" t="n">
        <v>165.726</v>
      </c>
      <c r="V109" s="12" t="n">
        <v>-12466.454</v>
      </c>
      <c r="W109" s="12" t="n">
        <v>281.036</v>
      </c>
      <c r="X109" s="12" t="n">
        <v>388.666</v>
      </c>
    </row>
    <row r="110">
      <c r="A110" s="9" t="inlineStr">
        <is>
          <t>지배주주 순이익</t>
        </is>
      </c>
      <c r="C110" s="12" t="n">
        <v>27.172</v>
      </c>
      <c r="D110" s="12" t="n">
        <v>-12466.454</v>
      </c>
      <c r="E110" s="12" t="n">
        <v>60.542</v>
      </c>
      <c r="F110" s="12" t="n">
        <v>46.795</v>
      </c>
      <c r="G110" s="12" t="n">
        <v>88.872</v>
      </c>
      <c r="H110" s="12" t="n">
        <v>281.036</v>
      </c>
      <c r="I110" s="12" t="n">
        <v>81.697</v>
      </c>
      <c r="J110" s="12" t="n">
        <v>99.95099999999999</v>
      </c>
      <c r="K110" s="12" t="n">
        <v>321.587</v>
      </c>
      <c r="L110" s="12" t="n">
        <v>388.666</v>
      </c>
      <c r="M110" s="12" t="n">
        <v>226.412</v>
      </c>
      <c r="N110" s="12" t="n">
        <v>262.637</v>
      </c>
      <c r="T110" s="12" t="n">
        <v>65.687</v>
      </c>
      <c r="U110" s="12" t="n">
        <v>165.726</v>
      </c>
      <c r="V110" s="12" t="n">
        <v>-12466.454</v>
      </c>
      <c r="W110" s="12" t="n">
        <v>281.036</v>
      </c>
      <c r="X110" s="12" t="n">
        <v>388.666</v>
      </c>
    </row>
    <row r="112">
      <c r="A112" s="18" t="inlineStr">
        <is>
          <t>포괄손익 · 전 항목</t>
        </is>
      </c>
      <c r="B112" s="44" t="inlineStr">
        <is>
          <t>분기 = 3개월 단독</t>
        </is>
      </c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</row>
    <row r="113">
      <c r="A113" s="5" t="inlineStr">
        <is>
          <t>항목</t>
        </is>
      </c>
      <c r="B113" s="5" t="inlineStr">
        <is>
          <t>참고</t>
        </is>
      </c>
      <c r="C113" s="5" t="inlineStr">
        <is>
          <t>2024.3Q</t>
        </is>
      </c>
      <c r="D113" s="5" t="inlineStr">
        <is>
          <t>2024.4Q</t>
        </is>
      </c>
      <c r="E113" s="5" t="inlineStr">
        <is>
          <t>2025.1Q</t>
        </is>
      </c>
      <c r="F113" s="5" t="inlineStr">
        <is>
          <t>2025.2Q</t>
        </is>
      </c>
      <c r="G113" s="5" t="inlineStr">
        <is>
          <t>2025.3Q</t>
        </is>
      </c>
      <c r="H113" s="5" t="inlineStr">
        <is>
          <t>2025.4Q</t>
        </is>
      </c>
      <c r="I113" s="5" t="inlineStr">
        <is>
          <t>2026.1Q</t>
        </is>
      </c>
      <c r="J113" s="5" t="inlineStr">
        <is>
          <t>2026.2Q</t>
        </is>
      </c>
      <c r="K113" s="5" t="inlineStr">
        <is>
          <t>2026.3Q</t>
        </is>
      </c>
      <c r="L113" s="5" t="inlineStr">
        <is>
          <t>2026.4Q</t>
        </is>
      </c>
      <c r="M113" s="5" t="inlineStr">
        <is>
          <t>2027.1Q</t>
        </is>
      </c>
      <c r="N113" s="5" t="inlineStr">
        <is>
          <t>2027.2Q</t>
        </is>
      </c>
      <c r="O113" s="5" t="inlineStr">
        <is>
          <t>2017</t>
        </is>
      </c>
      <c r="P113" s="5" t="inlineStr">
        <is>
          <t>2018</t>
        </is>
      </c>
      <c r="Q113" s="5" t="inlineStr">
        <is>
          <t>2019</t>
        </is>
      </c>
      <c r="R113" s="5" t="inlineStr">
        <is>
          <t>2020</t>
        </is>
      </c>
      <c r="S113" s="5" t="inlineStr">
        <is>
          <t>2021</t>
        </is>
      </c>
      <c r="T113" s="5" t="inlineStr">
        <is>
          <t>2022</t>
        </is>
      </c>
      <c r="U113" s="5" t="inlineStr">
        <is>
          <t>2023</t>
        </is>
      </c>
      <c r="V113" s="5" t="inlineStr">
        <is>
          <t>2024</t>
        </is>
      </c>
      <c r="W113" s="5" t="inlineStr">
        <is>
          <t>2025</t>
        </is>
      </c>
      <c r="X113" s="5" t="inlineStr">
        <is>
          <t>2026</t>
        </is>
      </c>
      <c r="Y113" s="5" t="inlineStr">
        <is>
          <t>2027(MW)</t>
        </is>
      </c>
      <c r="Z113" s="5" t="inlineStr">
        <is>
          <t>2028(MW)</t>
        </is>
      </c>
      <c r="AA113" s="5" t="inlineStr">
        <is>
          <t>2029(MW)</t>
        </is>
      </c>
      <c r="AB113" s="5" t="inlineStr">
        <is>
          <t>2030(MW)</t>
        </is>
      </c>
      <c r="AC113" s="5" t="inlineStr">
        <is>
          <t>2031(MW)</t>
        </is>
      </c>
    </row>
    <row r="114">
      <c r="A114" s="9" t="inlineStr">
        <is>
          <t>순이익</t>
        </is>
      </c>
      <c r="C114" s="12" t="n">
        <v>27.172</v>
      </c>
      <c r="D114" s="12" t="n">
        <v>-12466.454</v>
      </c>
      <c r="E114" s="12" t="n">
        <v>60.542</v>
      </c>
      <c r="F114" s="12" t="n">
        <v>46.795</v>
      </c>
      <c r="G114" s="12" t="n">
        <v>88.872</v>
      </c>
      <c r="H114" s="12" t="n">
        <v>281.036</v>
      </c>
      <c r="I114" s="12" t="n">
        <v>81.697</v>
      </c>
      <c r="J114" s="12" t="n">
        <v>99.95099999999999</v>
      </c>
      <c r="K114" s="12" t="n">
        <v>321.587</v>
      </c>
      <c r="L114" s="12" t="n">
        <v>388.666</v>
      </c>
      <c r="M114" s="12" t="n">
        <v>226.412</v>
      </c>
      <c r="N114" s="12" t="n">
        <v>262.637</v>
      </c>
      <c r="T114" s="12" t="n">
        <v>65.687</v>
      </c>
      <c r="U114" s="12" t="n">
        <v>165.726</v>
      </c>
      <c r="V114" s="12" t="n">
        <v>-12466.454</v>
      </c>
      <c r="W114" s="12" t="n">
        <v>281.036</v>
      </c>
      <c r="X114" s="12" t="n">
        <v>388.666</v>
      </c>
    </row>
    <row r="115">
      <c r="A115" s="20" t="inlineStr">
        <is>
          <t>해외사업환산조정</t>
        </is>
      </c>
      <c r="C115" s="22" t="n">
        <v>449.733</v>
      </c>
      <c r="D115" s="22" t="n">
        <v>-840.002</v>
      </c>
      <c r="E115" s="22" t="n">
        <v>60.963</v>
      </c>
      <c r="F115" s="22" t="n">
        <v>24.694</v>
      </c>
      <c r="G115" s="22" t="n">
        <v>-68.005</v>
      </c>
      <c r="H115" s="22" t="n">
        <v>49.592</v>
      </c>
      <c r="I115" s="22" t="n">
        <v>-25.084</v>
      </c>
      <c r="J115" s="22" t="n">
        <v>-16.655</v>
      </c>
      <c r="K115" s="22" t="n">
        <v>54.819</v>
      </c>
      <c r="L115" s="22" t="n">
        <v>30.288</v>
      </c>
      <c r="M115" s="22" t="n">
        <v>7.724</v>
      </c>
      <c r="N115" s="22" t="n">
        <v>-0.287</v>
      </c>
      <c r="T115" s="22" t="n">
        <v>522.59</v>
      </c>
      <c r="U115" s="22" t="n">
        <v>-697.7910000000001</v>
      </c>
      <c r="V115" s="22" t="n">
        <v>-840.002</v>
      </c>
      <c r="W115" s="22" t="n">
        <v>49.592</v>
      </c>
      <c r="X115" s="22" t="n">
        <v>30.288</v>
      </c>
    </row>
    <row r="116">
      <c r="A116" s="20" t="inlineStr">
        <is>
          <t>기타포괄손익 합계</t>
        </is>
      </c>
      <c r="C116" s="22" t="n">
        <v>449.733</v>
      </c>
      <c r="D116" s="22" t="n">
        <v>-840.002</v>
      </c>
      <c r="E116" s="22" t="n">
        <v>60.963</v>
      </c>
      <c r="F116" s="22" t="n">
        <v>24.694</v>
      </c>
      <c r="G116" s="22" t="n">
        <v>-68.005</v>
      </c>
      <c r="H116" s="22" t="n">
        <v>49.592</v>
      </c>
      <c r="I116" s="22" t="n">
        <v>-25.084</v>
      </c>
      <c r="J116" s="22" t="n">
        <v>-16.655</v>
      </c>
      <c r="K116" s="22" t="n">
        <v>54.819</v>
      </c>
      <c r="L116" s="22" t="n">
        <v>30.288</v>
      </c>
      <c r="M116" s="22" t="n">
        <v>7.724</v>
      </c>
      <c r="N116" s="22" t="n">
        <v>-0.287</v>
      </c>
      <c r="T116" s="22" t="n">
        <v>522.59</v>
      </c>
      <c r="U116" s="22" t="n">
        <v>-697.7910000000001</v>
      </c>
      <c r="V116" s="22" t="n">
        <v>-840.002</v>
      </c>
      <c r="W116" s="22" t="n">
        <v>49.592</v>
      </c>
      <c r="X116" s="22" t="n">
        <v>30.288</v>
      </c>
    </row>
    <row r="117">
      <c r="A117" s="9" t="inlineStr">
        <is>
          <t>포괄이익</t>
        </is>
      </c>
      <c r="C117" s="12" t="n">
        <v>476.906</v>
      </c>
      <c r="D117" s="12" t="n">
        <v>-13306.455</v>
      </c>
      <c r="E117" s="12" t="n">
        <v>121.505</v>
      </c>
      <c r="F117" s="12" t="n">
        <v>71.48999999999999</v>
      </c>
      <c r="G117" s="12" t="n">
        <v>20.866</v>
      </c>
      <c r="H117" s="12" t="n">
        <v>330.628</v>
      </c>
      <c r="I117" s="12" t="n">
        <v>56.612</v>
      </c>
      <c r="J117" s="12" t="n">
        <v>83.297</v>
      </c>
      <c r="K117" s="12" t="n">
        <v>376.406</v>
      </c>
      <c r="L117" s="12" t="n">
        <v>418.955</v>
      </c>
      <c r="M117" s="12" t="n">
        <v>234.136</v>
      </c>
      <c r="N117" s="12" t="n">
        <v>262.351</v>
      </c>
      <c r="T117" s="12" t="n">
        <v>588.277</v>
      </c>
      <c r="U117" s="12" t="n">
        <v>-532.064</v>
      </c>
      <c r="V117" s="12" t="n">
        <v>-13306.455</v>
      </c>
      <c r="W117" s="12" t="n">
        <v>330.628</v>
      </c>
      <c r="X117" s="12" t="n">
        <v>418.955</v>
      </c>
    </row>
    <row r="118">
      <c r="A118" s="9" t="inlineStr">
        <is>
          <t>지배주주 포괄이익</t>
        </is>
      </c>
      <c r="C118" s="12" t="n">
        <v>476.906</v>
      </c>
      <c r="D118" s="12" t="n">
        <v>-13306.455</v>
      </c>
      <c r="E118" s="12" t="n">
        <v>121.505</v>
      </c>
      <c r="F118" s="12" t="n">
        <v>71.48999999999999</v>
      </c>
      <c r="G118" s="12" t="n">
        <v>20.866</v>
      </c>
      <c r="H118" s="12" t="n">
        <v>330.628</v>
      </c>
      <c r="I118" s="12" t="n">
        <v>56.612</v>
      </c>
      <c r="J118" s="12" t="n">
        <v>83.297</v>
      </c>
      <c r="K118" s="12" t="n">
        <v>376.406</v>
      </c>
      <c r="L118" s="12" t="n">
        <v>418.955</v>
      </c>
      <c r="M118" s="12" t="n">
        <v>234.136</v>
      </c>
      <c r="N118" s="12" t="n">
        <v>262.351</v>
      </c>
      <c r="T118" s="12" t="n">
        <v>588.277</v>
      </c>
      <c r="U118" s="12" t="n">
        <v>-532.064</v>
      </c>
      <c r="V118" s="12" t="n">
        <v>-13306.455</v>
      </c>
      <c r="W118" s="12" t="n">
        <v>330.628</v>
      </c>
      <c r="X118" s="12" t="n">
        <v>418.955</v>
      </c>
    </row>
    <row r="119">
      <c r="A119" s="9" t="inlineStr">
        <is>
          <t>비지배주주 포괄이익</t>
        </is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</row>
    <row r="121">
      <c r="A121" s="18" t="inlineStr">
        <is>
          <t>현금흐름표 · 전 항목</t>
        </is>
      </c>
      <c r="B121" s="44" t="inlineStr">
        <is>
          <t>분기 = 결산기 첫날부터 누계(공시 그대로)</t>
        </is>
      </c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</row>
    <row r="122">
      <c r="A122" s="5" t="inlineStr">
        <is>
          <t>항목</t>
        </is>
      </c>
      <c r="B122" s="5" t="inlineStr">
        <is>
          <t>참고</t>
        </is>
      </c>
      <c r="C122" s="5" t="inlineStr">
        <is>
          <t>2024.3Q</t>
        </is>
      </c>
      <c r="D122" s="5" t="inlineStr">
        <is>
          <t>2024.4Q</t>
        </is>
      </c>
      <c r="E122" s="5" t="inlineStr">
        <is>
          <t>2025.1Q</t>
        </is>
      </c>
      <c r="F122" s="5" t="inlineStr">
        <is>
          <t>2025.2Q</t>
        </is>
      </c>
      <c r="G122" s="5" t="inlineStr">
        <is>
          <t>2025.3Q</t>
        </is>
      </c>
      <c r="H122" s="5" t="inlineStr">
        <is>
          <t>2025.4Q</t>
        </is>
      </c>
      <c r="I122" s="5" t="inlineStr">
        <is>
          <t>2026.1Q</t>
        </is>
      </c>
      <c r="J122" s="5" t="inlineStr">
        <is>
          <t>2026.2Q</t>
        </is>
      </c>
      <c r="K122" s="5" t="inlineStr">
        <is>
          <t>2026.3Q</t>
        </is>
      </c>
      <c r="L122" s="5" t="inlineStr">
        <is>
          <t>2026.4Q</t>
        </is>
      </c>
      <c r="M122" s="5" t="inlineStr">
        <is>
          <t>2027.1Q</t>
        </is>
      </c>
      <c r="N122" s="5" t="inlineStr">
        <is>
          <t>2027.2Q</t>
        </is>
      </c>
      <c r="O122" s="5" t="inlineStr">
        <is>
          <t>2017</t>
        </is>
      </c>
      <c r="P122" s="5" t="inlineStr">
        <is>
          <t>2018</t>
        </is>
      </c>
      <c r="Q122" s="5" t="inlineStr">
        <is>
          <t>2019</t>
        </is>
      </c>
      <c r="R122" s="5" t="inlineStr">
        <is>
          <t>2020</t>
        </is>
      </c>
      <c r="S122" s="5" t="inlineStr">
        <is>
          <t>2021</t>
        </is>
      </c>
      <c r="T122" s="5" t="inlineStr">
        <is>
          <t>2022</t>
        </is>
      </c>
      <c r="U122" s="5" t="inlineStr">
        <is>
          <t>2023</t>
        </is>
      </c>
      <c r="V122" s="5" t="inlineStr">
        <is>
          <t>2024</t>
        </is>
      </c>
      <c r="W122" s="5" t="inlineStr">
        <is>
          <t>2025</t>
        </is>
      </c>
      <c r="X122" s="5" t="inlineStr">
        <is>
          <t>2026</t>
        </is>
      </c>
      <c r="Y122" s="5" t="inlineStr">
        <is>
          <t>2027(MW)</t>
        </is>
      </c>
      <c r="Z122" s="5" t="inlineStr">
        <is>
          <t>2028(MW)</t>
        </is>
      </c>
      <c r="AA122" s="5" t="inlineStr">
        <is>
          <t>2029(MW)</t>
        </is>
      </c>
      <c r="AB122" s="5" t="inlineStr">
        <is>
          <t>2030(MW)</t>
        </is>
      </c>
      <c r="AC122" s="5" t="inlineStr">
        <is>
          <t>2031(MW)</t>
        </is>
      </c>
    </row>
    <row r="123">
      <c r="A123" s="9" t="inlineStr">
        <is>
          <t>법인세차감전 순이익</t>
        </is>
      </c>
      <c r="D123" s="12" t="n">
        <v>-14392.986</v>
      </c>
      <c r="F123" s="12" t="n">
        <v>305.112</v>
      </c>
      <c r="H123" s="12" t="n">
        <v>812.813</v>
      </c>
      <c r="J123" s="12" t="n">
        <v>366.169</v>
      </c>
      <c r="L123" s="12" t="n">
        <v>1149.747</v>
      </c>
      <c r="N123" s="12" t="n">
        <v>752.378</v>
      </c>
      <c r="Q123" s="12" t="n">
        <v>24.075</v>
      </c>
      <c r="R123" s="12" t="n">
        <v>53.185</v>
      </c>
      <c r="S123" s="12" t="n">
        <v>197.232</v>
      </c>
      <c r="T123" s="12" t="n">
        <v>-389.762</v>
      </c>
      <c r="U123" s="12" t="n">
        <v>-51.169</v>
      </c>
      <c r="V123" s="12" t="n">
        <v>-14392.986</v>
      </c>
      <c r="W123" s="12" t="n">
        <v>812.813</v>
      </c>
      <c r="X123" s="12" t="n">
        <v>1149.747</v>
      </c>
    </row>
    <row r="124">
      <c r="A124" s="20" t="inlineStr">
        <is>
          <t>감가상각비</t>
        </is>
      </c>
      <c r="D124" s="22" t="n">
        <v>818.6420000000001</v>
      </c>
      <c r="F124" s="22" t="n">
        <v>10.283</v>
      </c>
      <c r="H124" s="22" t="n">
        <v>53.268</v>
      </c>
      <c r="J124" s="22" t="n">
        <v>18.278</v>
      </c>
      <c r="L124" s="22" t="n">
        <v>51.865</v>
      </c>
      <c r="N124" s="22" t="n">
        <v>28.375</v>
      </c>
      <c r="Q124" s="22" t="n">
        <v>9.319000000000001</v>
      </c>
      <c r="R124" s="22" t="n">
        <v>15.612</v>
      </c>
      <c r="S124" s="22" t="n">
        <v>18.301</v>
      </c>
      <c r="T124" s="22" t="n">
        <v>165.84</v>
      </c>
      <c r="U124" s="22" t="n">
        <v>708.246</v>
      </c>
      <c r="V124" s="22" t="n">
        <v>818.6420000000001</v>
      </c>
      <c r="W124" s="22" t="n">
        <v>53.268</v>
      </c>
      <c r="X124" s="22" t="n">
        <v>51.865</v>
      </c>
    </row>
    <row r="125">
      <c r="A125" s="20" t="inlineStr">
        <is>
          <t>영업권 상각</t>
        </is>
      </c>
      <c r="D125" s="22" t="n">
        <v>446.746</v>
      </c>
      <c r="F125" s="22" t="n">
        <v>0</v>
      </c>
      <c r="H125" s="22" t="n">
        <v>0</v>
      </c>
      <c r="S125" s="22" t="n">
        <v>0</v>
      </c>
      <c r="T125" s="22" t="n">
        <v>90.352</v>
      </c>
      <c r="U125" s="22" t="n">
        <v>417.728</v>
      </c>
      <c r="V125" s="22" t="n">
        <v>446.746</v>
      </c>
      <c r="W125" s="22" t="n">
        <v>0</v>
      </c>
    </row>
    <row r="126">
      <c r="A126" s="20" t="inlineStr">
        <is>
          <t>상장 관련 비용</t>
        </is>
      </c>
      <c r="S126" s="22" t="n">
        <v>1.983</v>
      </c>
      <c r="T126" s="22" t="n">
        <v>0</v>
      </c>
    </row>
    <row r="127">
      <c r="A127" s="20" t="inlineStr">
        <is>
          <t>자금조달비용</t>
        </is>
      </c>
      <c r="S127" s="22" t="n">
        <v>0</v>
      </c>
      <c r="T127" s="22" t="n">
        <v>261.681</v>
      </c>
    </row>
    <row r="128">
      <c r="A128" s="20" t="inlineStr">
        <is>
          <t>자금조달비용</t>
        </is>
      </c>
      <c r="T128" s="22" t="n">
        <v>261.681</v>
      </c>
      <c r="U128" s="22" t="n">
        <v>0</v>
      </c>
    </row>
    <row r="129">
      <c r="A129" s="20" t="inlineStr">
        <is>
          <t>손상차손</t>
        </is>
      </c>
      <c r="D129" s="22" t="n">
        <v>14472.936</v>
      </c>
      <c r="F129" s="22" t="n">
        <v>263.453</v>
      </c>
      <c r="H129" s="22" t="n">
        <v>398.955</v>
      </c>
      <c r="J129" s="22" t="n">
        <v>137.195</v>
      </c>
      <c r="L129" s="22" t="n">
        <v>254.135</v>
      </c>
      <c r="N129" s="22" t="n">
        <v>128.029</v>
      </c>
      <c r="U129" s="22" t="n">
        <v>0</v>
      </c>
      <c r="V129" s="22" t="n">
        <v>14472.936</v>
      </c>
      <c r="W129" s="22" t="n">
        <v>398.955</v>
      </c>
      <c r="X129" s="22" t="n">
        <v>254.135</v>
      </c>
    </row>
    <row r="130">
      <c r="A130" s="20" t="inlineStr">
        <is>
          <t>채무 환입이익</t>
        </is>
      </c>
      <c r="H130" s="22" t="n">
        <v>0</v>
      </c>
      <c r="L130" s="22" t="n">
        <v>-25.657</v>
      </c>
      <c r="W130" s="22" t="n">
        <v>0</v>
      </c>
      <c r="X130" s="22" t="n">
        <v>-25.657</v>
      </c>
    </row>
    <row r="131">
      <c r="A131" s="20" t="inlineStr">
        <is>
          <t>보조금 수입</t>
        </is>
      </c>
      <c r="D131" s="22" t="n">
        <v>-98.988</v>
      </c>
      <c r="F131" s="22" t="n">
        <v>-2.581</v>
      </c>
      <c r="H131" s="22" t="n">
        <v>-2.625</v>
      </c>
      <c r="J131" s="22" t="n">
        <v>0</v>
      </c>
      <c r="L131" s="22" t="n">
        <v>0</v>
      </c>
      <c r="S131" s="22" t="n">
        <v>0</v>
      </c>
      <c r="T131" s="22" t="n">
        <v>-2.675</v>
      </c>
      <c r="U131" s="22" t="n">
        <v>-5.154</v>
      </c>
      <c r="V131" s="22" t="n">
        <v>-98.988</v>
      </c>
      <c r="W131" s="22" t="n">
        <v>-2.625</v>
      </c>
      <c r="X131" s="22" t="n">
        <v>0</v>
      </c>
    </row>
    <row r="132">
      <c r="A132" s="20" t="inlineStr">
        <is>
          <t>보험금 수익</t>
        </is>
      </c>
      <c r="D132" s="22" t="n">
        <v>-31.297</v>
      </c>
      <c r="H132" s="22" t="n">
        <v>0</v>
      </c>
      <c r="U132" s="22" t="n">
        <v>0</v>
      </c>
      <c r="V132" s="22" t="n">
        <v>-31.297</v>
      </c>
      <c r="W132" s="22" t="n">
        <v>0</v>
      </c>
    </row>
    <row r="133">
      <c r="A133" s="20" t="inlineStr">
        <is>
          <t>투자유가증권 평가손익</t>
        </is>
      </c>
      <c r="D133" s="22" t="n">
        <v>32.468</v>
      </c>
      <c r="H133" s="22" t="n">
        <v>0</v>
      </c>
      <c r="L133" s="22" t="n">
        <v>0</v>
      </c>
      <c r="U133" s="22" t="n">
        <v>0</v>
      </c>
      <c r="V133" s="22" t="n">
        <v>32.468</v>
      </c>
      <c r="W133" s="22" t="n">
        <v>0</v>
      </c>
      <c r="X133" s="22" t="n">
        <v>0</v>
      </c>
    </row>
    <row r="134">
      <c r="A134" s="20" t="inlineStr">
        <is>
          <t>관계회사 청산손익</t>
        </is>
      </c>
      <c r="J134" s="22" t="n">
        <v>0</v>
      </c>
      <c r="N134" s="22" t="n">
        <v>-29.919</v>
      </c>
    </row>
    <row r="135">
      <c r="A135" s="20" t="inlineStr">
        <is>
          <t>상여충당금 증감</t>
        </is>
      </c>
      <c r="D135" s="22" t="n">
        <v>79.145</v>
      </c>
      <c r="F135" s="22" t="n">
        <v>-97.925</v>
      </c>
      <c r="H135" s="22" t="n">
        <v>33.868</v>
      </c>
      <c r="J135" s="22" t="n">
        <v>-170.907</v>
      </c>
      <c r="L135" s="22" t="n">
        <v>9.378</v>
      </c>
      <c r="N135" s="22" t="n">
        <v>-121.936</v>
      </c>
      <c r="Q135" s="22" t="n">
        <v>0</v>
      </c>
      <c r="R135" s="22" t="n">
        <v>9.49</v>
      </c>
      <c r="S135" s="22" t="n">
        <v>51.95</v>
      </c>
      <c r="T135" s="22" t="n">
        <v>80.764</v>
      </c>
      <c r="U135" s="22" t="n">
        <v>-91.827</v>
      </c>
      <c r="V135" s="22" t="n">
        <v>79.145</v>
      </c>
      <c r="W135" s="22" t="n">
        <v>33.868</v>
      </c>
      <c r="X135" s="22" t="n">
        <v>9.378</v>
      </c>
    </row>
    <row r="136">
      <c r="A136" s="20" t="inlineStr">
        <is>
          <t>상장 관련 비용</t>
        </is>
      </c>
      <c r="Q136" s="22" t="n">
        <v>0</v>
      </c>
      <c r="R136" s="22" t="n">
        <v>10.842</v>
      </c>
    </row>
    <row r="137">
      <c r="A137" s="20" t="inlineStr">
        <is>
          <t>자기 신주예약권</t>
        </is>
      </c>
      <c r="Q137" s="22" t="n">
        <v>0</v>
      </c>
      <c r="R137" s="22" t="n">
        <v>4.067</v>
      </c>
    </row>
    <row r="138">
      <c r="A138" s="20" t="inlineStr">
        <is>
          <t>대손충당금 증감</t>
        </is>
      </c>
      <c r="D138" s="22" t="n">
        <v>-2.624</v>
      </c>
      <c r="F138" s="22" t="n">
        <v>-3.507</v>
      </c>
      <c r="H138" s="22" t="n">
        <v>-4.408</v>
      </c>
      <c r="J138" s="22" t="n">
        <v>3.32</v>
      </c>
      <c r="L138" s="22" t="n">
        <v>3.654</v>
      </c>
      <c r="N138" s="22" t="n">
        <v>-1.746</v>
      </c>
      <c r="S138" s="22" t="n">
        <v>0</v>
      </c>
      <c r="T138" s="22" t="n">
        <v>-17.183</v>
      </c>
      <c r="U138" s="22" t="n">
        <v>2.075</v>
      </c>
      <c r="V138" s="22" t="n">
        <v>-2.624</v>
      </c>
      <c r="W138" s="22" t="n">
        <v>-4.408</v>
      </c>
      <c r="X138" s="22" t="n">
        <v>3.654</v>
      </c>
    </row>
    <row r="139">
      <c r="A139" s="20" t="inlineStr">
        <is>
          <t>이자·배당금 수익</t>
        </is>
      </c>
      <c r="D139" s="22" t="n">
        <v>-0.053</v>
      </c>
      <c r="F139" s="22" t="n">
        <v>-0.133</v>
      </c>
      <c r="H139" s="22" t="n">
        <v>-1.063</v>
      </c>
      <c r="J139" s="22" t="n">
        <v>-2.925</v>
      </c>
      <c r="L139" s="22" t="n">
        <v>-8.448</v>
      </c>
      <c r="N139" s="22" t="n">
        <v>-7.598</v>
      </c>
      <c r="Q139" s="22" t="n">
        <v>-0.008999999999999999</v>
      </c>
      <c r="R139" s="22" t="n">
        <v>-0.033</v>
      </c>
      <c r="S139" s="22" t="n">
        <v>-0.017</v>
      </c>
      <c r="T139" s="22" t="n">
        <v>-0.024</v>
      </c>
      <c r="U139" s="22" t="n">
        <v>-0.027</v>
      </c>
      <c r="V139" s="22" t="n">
        <v>-0.053</v>
      </c>
      <c r="W139" s="22" t="n">
        <v>-1.063</v>
      </c>
      <c r="X139" s="22" t="n">
        <v>-8.448</v>
      </c>
    </row>
    <row r="140">
      <c r="A140" s="20" t="inlineStr">
        <is>
          <t>이자비용</t>
        </is>
      </c>
      <c r="D140" s="22" t="n">
        <v>37.127</v>
      </c>
      <c r="F140" s="22" t="n">
        <v>19.813</v>
      </c>
      <c r="H140" s="22" t="n">
        <v>43.668</v>
      </c>
      <c r="J140" s="22" t="n">
        <v>27.545</v>
      </c>
      <c r="L140" s="22" t="n">
        <v>52.982</v>
      </c>
      <c r="N140" s="22" t="n">
        <v>25.459</v>
      </c>
      <c r="Q140" s="22" t="n">
        <v>1.5</v>
      </c>
      <c r="R140" s="22" t="n">
        <v>3.321</v>
      </c>
      <c r="S140" s="22" t="n">
        <v>8.481</v>
      </c>
      <c r="T140" s="22" t="n">
        <v>22.121</v>
      </c>
      <c r="U140" s="22" t="n">
        <v>46.105</v>
      </c>
      <c r="V140" s="22" t="n">
        <v>37.127</v>
      </c>
      <c r="W140" s="22" t="n">
        <v>43.668</v>
      </c>
      <c r="X140" s="22" t="n">
        <v>52.982</v>
      </c>
    </row>
    <row r="141">
      <c r="A141" s="20" t="inlineStr">
        <is>
          <t>외환차손익</t>
        </is>
      </c>
      <c r="Q141" s="22" t="n">
        <v>-0.136</v>
      </c>
      <c r="R141" s="22" t="n">
        <v>0.148</v>
      </c>
    </row>
    <row r="142">
      <c r="A142" s="20" t="inlineStr">
        <is>
          <t>매출채권 증감</t>
        </is>
      </c>
      <c r="Q142" s="22" t="n">
        <v>-71.636</v>
      </c>
      <c r="R142" s="22" t="n">
        <v>-51.53</v>
      </c>
    </row>
    <row r="143">
      <c r="A143" s="20" t="inlineStr">
        <is>
          <t>재고자산 증감</t>
        </is>
      </c>
      <c r="Q143" s="22" t="n">
        <v>0.211</v>
      </c>
      <c r="R143" s="22" t="n">
        <v>0</v>
      </c>
    </row>
    <row r="144">
      <c r="A144" s="20" t="inlineStr">
        <is>
          <t>장기선급비용 증감</t>
        </is>
      </c>
      <c r="Q144" s="22" t="n">
        <v>0</v>
      </c>
      <c r="R144" s="22" t="n">
        <v>-0.468</v>
      </c>
    </row>
    <row r="145">
      <c r="A145" s="20" t="inlineStr">
        <is>
          <t>선급비용 증감</t>
        </is>
      </c>
      <c r="Q145" s="22" t="n">
        <v>-10.333</v>
      </c>
      <c r="R145" s="22" t="n">
        <v>-10.189</v>
      </c>
    </row>
    <row r="146">
      <c r="A146" s="20" t="inlineStr">
        <is>
          <t>외환차손익</t>
        </is>
      </c>
      <c r="D146" s="22" t="n">
        <v>-22.571</v>
      </c>
      <c r="F146" s="22" t="n">
        <v>14.608</v>
      </c>
      <c r="H146" s="22" t="n">
        <v>3.814</v>
      </c>
      <c r="J146" s="22" t="n">
        <v>8.702999999999999</v>
      </c>
      <c r="L146" s="22" t="n">
        <v>-3.916</v>
      </c>
      <c r="N146" s="22" t="n">
        <v>10.245</v>
      </c>
      <c r="S146" s="22" t="n">
        <v>2.404</v>
      </c>
      <c r="T146" s="22" t="n">
        <v>-6.701</v>
      </c>
      <c r="U146" s="22" t="n">
        <v>-14.892</v>
      </c>
      <c r="V146" s="22" t="n">
        <v>-22.571</v>
      </c>
      <c r="W146" s="22" t="n">
        <v>3.814</v>
      </c>
      <c r="X146" s="22" t="n">
        <v>-3.916</v>
      </c>
    </row>
    <row r="147">
      <c r="A147" s="20" t="inlineStr">
        <is>
          <t>매출채권·계약자산 증감</t>
        </is>
      </c>
      <c r="D147" s="22" t="n">
        <v>-356.094</v>
      </c>
      <c r="U147" s="22" t="n">
        <v>-18.266</v>
      </c>
      <c r="V147" s="22" t="n">
        <v>-356.094</v>
      </c>
    </row>
    <row r="148">
      <c r="A148" s="20" t="inlineStr">
        <is>
          <t>매출채권·계약자산 증감</t>
        </is>
      </c>
      <c r="D148" s="22" t="n">
        <v>-356.094</v>
      </c>
      <c r="H148" s="22" t="n">
        <v>75.575</v>
      </c>
      <c r="L148" s="22" t="n">
        <v>-4.856</v>
      </c>
      <c r="V148" s="22" t="n">
        <v>-356.094</v>
      </c>
      <c r="W148" s="22" t="n">
        <v>75.575</v>
      </c>
      <c r="X148" s="22" t="n">
        <v>-4.856</v>
      </c>
    </row>
    <row r="149">
      <c r="A149" s="20" t="inlineStr">
        <is>
          <t>매출채권 증감</t>
        </is>
      </c>
      <c r="F149" s="22" t="n">
        <v>347.586</v>
      </c>
      <c r="J149" s="22" t="n">
        <v>405.669</v>
      </c>
      <c r="N149" s="22" t="n">
        <v>101.964</v>
      </c>
      <c r="S149" s="22" t="n">
        <v>-209.498</v>
      </c>
      <c r="T149" s="22" t="n">
        <v>51.85</v>
      </c>
      <c r="U149" s="22" t="n">
        <v>-18.266</v>
      </c>
    </row>
    <row r="150">
      <c r="A150" s="20" t="inlineStr">
        <is>
          <t>매입채무 증감</t>
        </is>
      </c>
      <c r="D150" s="22" t="n">
        <v>44.536</v>
      </c>
      <c r="F150" s="22" t="n">
        <v>-49.13</v>
      </c>
      <c r="H150" s="22" t="n">
        <v>-18.118</v>
      </c>
      <c r="J150" s="22" t="n">
        <v>-43.829</v>
      </c>
      <c r="L150" s="22" t="n">
        <v>0.003</v>
      </c>
      <c r="N150" s="22" t="n">
        <v>-43.782</v>
      </c>
      <c r="Q150" s="22" t="n">
        <v>22.81</v>
      </c>
      <c r="R150" s="22" t="n">
        <v>17.536</v>
      </c>
      <c r="S150" s="22" t="n">
        <v>50.441</v>
      </c>
      <c r="T150" s="22" t="n">
        <v>78.676</v>
      </c>
      <c r="U150" s="22" t="n">
        <v>26.419</v>
      </c>
      <c r="V150" s="22" t="n">
        <v>44.536</v>
      </c>
      <c r="W150" s="22" t="n">
        <v>-18.118</v>
      </c>
      <c r="X150" s="22" t="n">
        <v>0.003</v>
      </c>
    </row>
    <row r="151">
      <c r="A151" s="20" t="inlineStr">
        <is>
          <t>선급비용 증감</t>
        </is>
      </c>
      <c r="D151" s="22" t="n">
        <v>-36.455</v>
      </c>
      <c r="F151" s="22" t="n">
        <v>9.500999999999999</v>
      </c>
      <c r="H151" s="22" t="n">
        <v>-41.824</v>
      </c>
      <c r="J151" s="22" t="n">
        <v>20.253</v>
      </c>
      <c r="L151" s="22" t="n">
        <v>60.906</v>
      </c>
      <c r="N151" s="22" t="n">
        <v>-64.654</v>
      </c>
      <c r="S151" s="22" t="n">
        <v>5.518</v>
      </c>
      <c r="T151" s="22" t="n">
        <v>-44.743</v>
      </c>
      <c r="U151" s="22" t="n">
        <v>27.688</v>
      </c>
      <c r="V151" s="22" t="n">
        <v>-36.455</v>
      </c>
      <c r="W151" s="22" t="n">
        <v>-41.824</v>
      </c>
      <c r="X151" s="22" t="n">
        <v>60.906</v>
      </c>
    </row>
    <row r="152">
      <c r="A152" s="20" t="inlineStr">
        <is>
          <t>미지급금 증감</t>
        </is>
      </c>
      <c r="D152" s="22" t="n">
        <v>-12.55</v>
      </c>
      <c r="F152" s="22" t="n">
        <v>132.501</v>
      </c>
      <c r="H152" s="22" t="n">
        <v>72.03400000000001</v>
      </c>
      <c r="J152" s="22" t="n">
        <v>-60.976</v>
      </c>
      <c r="L152" s="22" t="n">
        <v>3.678</v>
      </c>
      <c r="N152" s="22" t="n">
        <v>-79.102</v>
      </c>
      <c r="Q152" s="22" t="n">
        <v>13.959</v>
      </c>
      <c r="R152" s="22" t="n">
        <v>-0.518</v>
      </c>
      <c r="S152" s="22" t="n">
        <v>24.942</v>
      </c>
      <c r="T152" s="22" t="n">
        <v>-247.697</v>
      </c>
      <c r="U152" s="22" t="n">
        <v>-19.321</v>
      </c>
      <c r="V152" s="22" t="n">
        <v>-12.55</v>
      </c>
      <c r="W152" s="22" t="n">
        <v>72.03400000000001</v>
      </c>
      <c r="X152" s="22" t="n">
        <v>3.678</v>
      </c>
    </row>
    <row r="153">
      <c r="A153" s="20" t="inlineStr">
        <is>
          <t>미지급비용 증감</t>
        </is>
      </c>
      <c r="D153" s="22" t="n">
        <v>28.528</v>
      </c>
      <c r="F153" s="22" t="n">
        <v>22.126</v>
      </c>
      <c r="H153" s="22" t="n">
        <v>-20.196</v>
      </c>
      <c r="J153" s="22" t="n">
        <v>46.039</v>
      </c>
      <c r="L153" s="22" t="n">
        <v>-0.429</v>
      </c>
      <c r="N153" s="22" t="n">
        <v>-10.006</v>
      </c>
      <c r="Q153" s="22" t="n">
        <v>2.224</v>
      </c>
      <c r="R153" s="22" t="n">
        <v>16.28</v>
      </c>
      <c r="S153" s="22" t="n">
        <v>1.764</v>
      </c>
      <c r="T153" s="22" t="n">
        <v>-16.279</v>
      </c>
      <c r="U153" s="22" t="n">
        <v>31.288</v>
      </c>
      <c r="V153" s="22" t="n">
        <v>28.528</v>
      </c>
      <c r="W153" s="22" t="n">
        <v>-20.196</v>
      </c>
      <c r="X153" s="22" t="n">
        <v>-0.429</v>
      </c>
    </row>
    <row r="154">
      <c r="A154" s="20" t="inlineStr">
        <is>
          <t>계약부채 증감</t>
        </is>
      </c>
      <c r="Q154" s="22" t="n">
        <v>46.569</v>
      </c>
      <c r="R154" s="22" t="n">
        <v>50.619</v>
      </c>
      <c r="S154" s="22" t="n">
        <v>193.25</v>
      </c>
      <c r="T154" s="22" t="n">
        <v>353.998</v>
      </c>
      <c r="U154" s="22" t="n">
        <v>376.924</v>
      </c>
    </row>
    <row r="155">
      <c r="A155" s="20" t="inlineStr">
        <is>
          <t>계약부채 증감</t>
        </is>
      </c>
      <c r="D155" s="22" t="n">
        <v>373.773</v>
      </c>
      <c r="F155" s="22" t="n">
        <v>-509.775</v>
      </c>
      <c r="U155" s="22" t="n">
        <v>376.924</v>
      </c>
      <c r="V155" s="22" t="n">
        <v>373.773</v>
      </c>
    </row>
    <row r="156">
      <c r="A156" s="20" t="inlineStr">
        <is>
          <t>계약부채 증감</t>
        </is>
      </c>
      <c r="D156" s="22" t="n">
        <v>373.773</v>
      </c>
      <c r="F156" s="22" t="n">
        <v>-509.775</v>
      </c>
      <c r="H156" s="22" t="n">
        <v>-133.716</v>
      </c>
      <c r="J156" s="22" t="n">
        <v>-315.48</v>
      </c>
      <c r="L156" s="22" t="n">
        <v>-56.611</v>
      </c>
      <c r="N156" s="22" t="n">
        <v>12.172</v>
      </c>
      <c r="V156" s="22" t="n">
        <v>373.773</v>
      </c>
      <c r="W156" s="22" t="n">
        <v>-133.716</v>
      </c>
      <c r="X156" s="22" t="n">
        <v>-56.611</v>
      </c>
    </row>
    <row r="157">
      <c r="A157" s="20" t="inlineStr">
        <is>
          <t>선수수익 증감</t>
        </is>
      </c>
      <c r="D157" s="22" t="n">
        <v>1.319</v>
      </c>
      <c r="F157" s="22" t="n">
        <v>-0.109</v>
      </c>
      <c r="H157" s="22" t="n">
        <v>0.972</v>
      </c>
      <c r="J157" s="22" t="n">
        <v>-1.286</v>
      </c>
      <c r="L157" s="22" t="n">
        <v>45.408</v>
      </c>
      <c r="N157" s="22" t="n">
        <v>-4.147</v>
      </c>
      <c r="Q157" s="22" t="n">
        <v>2.226</v>
      </c>
      <c r="R157" s="22" t="n">
        <v>0.206</v>
      </c>
      <c r="S157" s="22" t="n">
        <v>0.52</v>
      </c>
      <c r="T157" s="22" t="n">
        <v>-0.5580000000000001</v>
      </c>
      <c r="U157" s="22" t="n">
        <v>2.121</v>
      </c>
      <c r="V157" s="22" t="n">
        <v>1.319</v>
      </c>
      <c r="W157" s="22" t="n">
        <v>0.972</v>
      </c>
      <c r="X157" s="22" t="n">
        <v>45.408</v>
      </c>
    </row>
    <row r="158">
      <c r="A158" s="20" t="inlineStr">
        <is>
          <t>예수금 증감</t>
        </is>
      </c>
      <c r="D158" s="22" t="n">
        <v>33.833</v>
      </c>
      <c r="F158" s="22" t="n">
        <v>22.434</v>
      </c>
      <c r="H158" s="22" t="n">
        <v>9.644</v>
      </c>
      <c r="J158" s="22" t="n">
        <v>11.411</v>
      </c>
      <c r="L158" s="22" t="n">
        <v>-10.58</v>
      </c>
      <c r="N158" s="22" t="n">
        <v>-10.234</v>
      </c>
      <c r="Q158" s="22" t="n">
        <v>2.901</v>
      </c>
      <c r="R158" s="22" t="n">
        <v>10.248</v>
      </c>
      <c r="S158" s="22" t="n">
        <v>5.766</v>
      </c>
      <c r="T158" s="22" t="n">
        <v>-1.835</v>
      </c>
      <c r="U158" s="22" t="n">
        <v>3.758</v>
      </c>
      <c r="V158" s="22" t="n">
        <v>33.833</v>
      </c>
      <c r="W158" s="22" t="n">
        <v>9.644</v>
      </c>
      <c r="X158" s="22" t="n">
        <v>-10.58</v>
      </c>
    </row>
    <row r="159">
      <c r="A159" s="20" t="inlineStr">
        <is>
          <t>미지급 소비세 증감</t>
        </is>
      </c>
      <c r="D159" s="22" t="n">
        <v>-41.174</v>
      </c>
      <c r="F159" s="22" t="n">
        <v>-24.74</v>
      </c>
      <c r="H159" s="22" t="n">
        <v>-20.715</v>
      </c>
      <c r="J159" s="22" t="n">
        <v>-56.513</v>
      </c>
      <c r="L159" s="22" t="n">
        <v>33.05</v>
      </c>
      <c r="N159" s="22" t="n">
        <v>-20.796</v>
      </c>
      <c r="Q159" s="22" t="n">
        <v>6.27</v>
      </c>
      <c r="R159" s="22" t="n">
        <v>19.157</v>
      </c>
      <c r="S159" s="22" t="n">
        <v>36.354</v>
      </c>
      <c r="T159" s="22" t="n">
        <v>-53.846</v>
      </c>
      <c r="U159" s="22" t="n">
        <v>164.504</v>
      </c>
      <c r="V159" s="22" t="n">
        <v>-41.174</v>
      </c>
      <c r="W159" s="22" t="n">
        <v>-20.715</v>
      </c>
      <c r="X159" s="22" t="n">
        <v>33.05</v>
      </c>
    </row>
    <row r="160">
      <c r="A160" s="20" t="inlineStr">
        <is>
          <t>기타 자산 증감</t>
        </is>
      </c>
      <c r="Q160" s="22" t="n">
        <v>-1.719</v>
      </c>
      <c r="R160" s="22" t="n">
        <v>-2.916</v>
      </c>
    </row>
    <row r="161">
      <c r="A161" s="20" t="inlineStr">
        <is>
          <t>기타 부채 증감</t>
        </is>
      </c>
      <c r="Q161" s="22" t="n">
        <v>3.038</v>
      </c>
      <c r="R161" s="22" t="n">
        <v>-3.035</v>
      </c>
    </row>
    <row r="162">
      <c r="A162" s="20" t="inlineStr">
        <is>
          <t>기타</t>
        </is>
      </c>
      <c r="D162" s="22" t="n">
        <v>-64.514</v>
      </c>
      <c r="F162" s="22" t="n">
        <v>-86.66800000000001</v>
      </c>
      <c r="H162" s="22" t="n">
        <v>-84.121</v>
      </c>
      <c r="J162" s="22" t="n">
        <v>-2.644</v>
      </c>
      <c r="L162" s="22" t="n">
        <v>-40.08</v>
      </c>
      <c r="N162" s="22" t="n">
        <v>-18.88</v>
      </c>
      <c r="S162" s="22" t="n">
        <v>12.37</v>
      </c>
      <c r="T162" s="22" t="n">
        <v>-8.317</v>
      </c>
      <c r="U162" s="22" t="n">
        <v>16.122</v>
      </c>
      <c r="V162" s="22" t="n">
        <v>-64.514</v>
      </c>
      <c r="W162" s="22" t="n">
        <v>-84.121</v>
      </c>
      <c r="X162" s="22" t="n">
        <v>-40.08</v>
      </c>
    </row>
    <row r="163">
      <c r="A163" s="20" t="inlineStr">
        <is>
          <t>소계</t>
        </is>
      </c>
      <c r="D163" s="22" t="n">
        <v>1309.747</v>
      </c>
      <c r="F163" s="22" t="n">
        <v>372.851</v>
      </c>
      <c r="H163" s="22" t="n">
        <v>1177.822</v>
      </c>
      <c r="J163" s="22" t="n">
        <v>390.021</v>
      </c>
      <c r="L163" s="22" t="n">
        <v>1514.23</v>
      </c>
      <c r="N163" s="22" t="n">
        <v>645.818</v>
      </c>
      <c r="Q163" s="22" t="n">
        <v>51.272</v>
      </c>
      <c r="R163" s="22" t="n">
        <v>142.025</v>
      </c>
      <c r="S163" s="22" t="n">
        <v>401.766</v>
      </c>
      <c r="T163" s="22" t="n">
        <v>315.658</v>
      </c>
      <c r="U163" s="22" t="n">
        <v>1622.326</v>
      </c>
      <c r="V163" s="22" t="n">
        <v>1309.747</v>
      </c>
      <c r="W163" s="22" t="n">
        <v>1177.822</v>
      </c>
      <c r="X163" s="22" t="n">
        <v>1514.23</v>
      </c>
    </row>
    <row r="164">
      <c r="A164" s="20" t="inlineStr">
        <is>
          <t>이자·배당금 수취</t>
        </is>
      </c>
      <c r="D164" s="22" t="n">
        <v>0.053</v>
      </c>
      <c r="F164" s="22" t="n">
        <v>0.133</v>
      </c>
      <c r="H164" s="22" t="n">
        <v>1.063</v>
      </c>
      <c r="J164" s="22" t="n">
        <v>2.925</v>
      </c>
      <c r="L164" s="22" t="n">
        <v>8.448</v>
      </c>
      <c r="N164" s="22" t="n">
        <v>7.598</v>
      </c>
      <c r="Q164" s="22" t="n">
        <v>0.008999999999999999</v>
      </c>
      <c r="R164" s="22" t="n">
        <v>0.033</v>
      </c>
      <c r="S164" s="22" t="n">
        <v>0.017</v>
      </c>
      <c r="T164" s="22" t="n">
        <v>0.024</v>
      </c>
      <c r="U164" s="22" t="n">
        <v>0.027</v>
      </c>
      <c r="V164" s="22" t="n">
        <v>0.053</v>
      </c>
      <c r="W164" s="22" t="n">
        <v>1.063</v>
      </c>
      <c r="X164" s="22" t="n">
        <v>8.448</v>
      </c>
    </row>
    <row r="165">
      <c r="A165" s="20" t="inlineStr">
        <is>
          <t>이자 지급</t>
        </is>
      </c>
      <c r="D165" s="22" t="n">
        <v>-37.317</v>
      </c>
      <c r="F165" s="22" t="n">
        <v>-20.922</v>
      </c>
      <c r="H165" s="22" t="n">
        <v>-47.153</v>
      </c>
      <c r="J165" s="22" t="n">
        <v>-26.787</v>
      </c>
      <c r="L165" s="22" t="n">
        <v>-52.844</v>
      </c>
      <c r="N165" s="22" t="n">
        <v>-18.369</v>
      </c>
      <c r="Q165" s="22" t="n">
        <v>-1.519</v>
      </c>
      <c r="R165" s="22" t="n">
        <v>-3.338</v>
      </c>
      <c r="S165" s="22" t="n">
        <v>-8.467000000000001</v>
      </c>
      <c r="T165" s="22" t="n">
        <v>-25.235</v>
      </c>
      <c r="U165" s="22" t="n">
        <v>-45.054</v>
      </c>
      <c r="V165" s="22" t="n">
        <v>-37.317</v>
      </c>
      <c r="W165" s="22" t="n">
        <v>-47.153</v>
      </c>
      <c r="X165" s="22" t="n">
        <v>-52.844</v>
      </c>
    </row>
    <row r="166">
      <c r="A166" s="20" t="inlineStr">
        <is>
          <t>법인세 납부·환급</t>
        </is>
      </c>
      <c r="Q166" s="22" t="n">
        <v>-3.082</v>
      </c>
      <c r="R166" s="22" t="n">
        <v>0.791</v>
      </c>
    </row>
    <row r="167">
      <c r="A167" s="20" t="inlineStr">
        <is>
          <t>보조금 수취</t>
        </is>
      </c>
      <c r="D167" s="22" t="n">
        <v>98.988</v>
      </c>
      <c r="F167" s="22" t="n">
        <v>2.581</v>
      </c>
      <c r="H167" s="22" t="n">
        <v>2.625</v>
      </c>
      <c r="J167" s="22" t="n">
        <v>0</v>
      </c>
      <c r="L167" s="22" t="n">
        <v>0</v>
      </c>
      <c r="S167" s="22" t="n">
        <v>0</v>
      </c>
      <c r="T167" s="22" t="n">
        <v>2.675</v>
      </c>
      <c r="U167" s="22" t="n">
        <v>5.154</v>
      </c>
      <c r="V167" s="22" t="n">
        <v>98.988</v>
      </c>
      <c r="W167" s="22" t="n">
        <v>2.625</v>
      </c>
      <c r="X167" s="22" t="n">
        <v>0</v>
      </c>
    </row>
    <row r="168">
      <c r="A168" s="20" t="inlineStr">
        <is>
          <t>보험금 수취</t>
        </is>
      </c>
      <c r="D168" s="22" t="n">
        <v>31.297</v>
      </c>
      <c r="H168" s="22" t="n">
        <v>0</v>
      </c>
      <c r="U168" s="22" t="n">
        <v>0</v>
      </c>
      <c r="V168" s="22" t="n">
        <v>31.297</v>
      </c>
      <c r="W168" s="22" t="n">
        <v>0</v>
      </c>
    </row>
    <row r="169">
      <c r="A169" s="20" t="inlineStr">
        <is>
          <t>법인세 납부</t>
        </is>
      </c>
      <c r="D169" s="22" t="n">
        <v>-470.023</v>
      </c>
      <c r="F169" s="22" t="n">
        <v>-217.257</v>
      </c>
      <c r="H169" s="22" t="n">
        <v>-389.152</v>
      </c>
      <c r="J169" s="22" t="n">
        <v>-141.533</v>
      </c>
      <c r="L169" s="22" t="n">
        <v>-177.806</v>
      </c>
      <c r="N169" s="22" t="n">
        <v>-232.689</v>
      </c>
      <c r="S169" s="22" t="n">
        <v>-0.2</v>
      </c>
      <c r="T169" s="22" t="n">
        <v>-62.153</v>
      </c>
      <c r="U169" s="22" t="n">
        <v>-63.788</v>
      </c>
      <c r="V169" s="22" t="n">
        <v>-470.023</v>
      </c>
      <c r="W169" s="22" t="n">
        <v>-389.152</v>
      </c>
      <c r="X169" s="22" t="n">
        <v>-177.806</v>
      </c>
    </row>
    <row r="170">
      <c r="A170" s="20" t="inlineStr">
        <is>
          <t>법인세 환급</t>
        </is>
      </c>
      <c r="D170" s="22" t="n">
        <v>0</v>
      </c>
      <c r="H170" s="22" t="n">
        <v>182.514</v>
      </c>
      <c r="L170" s="22" t="n">
        <v>0</v>
      </c>
      <c r="V170" s="22" t="n">
        <v>0</v>
      </c>
      <c r="W170" s="22" t="n">
        <v>182.514</v>
      </c>
      <c r="X170" s="22" t="n">
        <v>0</v>
      </c>
    </row>
    <row r="171">
      <c r="A171" s="9" t="inlineStr">
        <is>
          <t>영업활동 현금흐름</t>
        </is>
      </c>
      <c r="D171" s="12" t="n">
        <v>932.746</v>
      </c>
      <c r="F171" s="12" t="n">
        <v>137.386</v>
      </c>
      <c r="H171" s="12" t="n">
        <v>927.72</v>
      </c>
      <c r="J171" s="12" t="n">
        <v>224.625</v>
      </c>
      <c r="L171" s="12" t="n">
        <v>1292.027</v>
      </c>
      <c r="N171" s="12" t="n">
        <v>402.357</v>
      </c>
      <c r="Q171" s="12" t="n">
        <v>46.678</v>
      </c>
      <c r="R171" s="12" t="n">
        <v>139.511</v>
      </c>
      <c r="S171" s="12" t="n">
        <v>393.115</v>
      </c>
      <c r="T171" s="12" t="n">
        <v>230.97</v>
      </c>
      <c r="U171" s="12" t="n">
        <v>1518.665</v>
      </c>
      <c r="V171" s="12" t="n">
        <v>932.746</v>
      </c>
      <c r="W171" s="12" t="n">
        <v>927.72</v>
      </c>
      <c r="X171" s="12" t="n">
        <v>1292.027</v>
      </c>
    </row>
    <row r="172">
      <c r="A172" s="20" t="inlineStr">
        <is>
          <t>유형자산 취득(설비투자)</t>
        </is>
      </c>
      <c r="D172" s="22" t="n">
        <v>-58.594</v>
      </c>
      <c r="F172" s="22" t="n">
        <v>-18.182</v>
      </c>
      <c r="H172" s="22" t="n">
        <v>-38.608</v>
      </c>
      <c r="J172" s="22" t="n">
        <v>-114.454</v>
      </c>
      <c r="L172" s="22" t="n">
        <v>-132.689</v>
      </c>
      <c r="N172" s="22" t="n">
        <v>-44.176</v>
      </c>
      <c r="Q172" s="22" t="n">
        <v>-22.527</v>
      </c>
      <c r="R172" s="22" t="n">
        <v>-10.646</v>
      </c>
      <c r="S172" s="22" t="n">
        <v>-27.557</v>
      </c>
      <c r="T172" s="22" t="n">
        <v>-26.037</v>
      </c>
      <c r="U172" s="22" t="n">
        <v>-43.004</v>
      </c>
      <c r="V172" s="22" t="n">
        <v>-58.594</v>
      </c>
      <c r="W172" s="22" t="n">
        <v>-38.608</v>
      </c>
      <c r="X172" s="22" t="n">
        <v>-132.689</v>
      </c>
    </row>
    <row r="173">
      <c r="A173" s="20" t="inlineStr">
        <is>
          <t>유형자산 매각</t>
        </is>
      </c>
      <c r="D173" s="22" t="n">
        <v>2.451</v>
      </c>
      <c r="H173" s="22" t="n">
        <v>0</v>
      </c>
      <c r="S173" s="22" t="n">
        <v>0.394</v>
      </c>
      <c r="T173" s="22" t="n">
        <v>0.291</v>
      </c>
      <c r="U173" s="22" t="n">
        <v>0</v>
      </c>
      <c r="V173" s="22" t="n">
        <v>2.451</v>
      </c>
      <c r="W173" s="22" t="n">
        <v>0</v>
      </c>
    </row>
    <row r="174">
      <c r="A174" s="20" t="inlineStr">
        <is>
          <t>무형자산 취득</t>
        </is>
      </c>
      <c r="D174" s="22" t="n">
        <v>-217.428</v>
      </c>
      <c r="F174" s="22" t="n">
        <v>-125.409</v>
      </c>
      <c r="H174" s="22" t="n">
        <v>-251.792</v>
      </c>
      <c r="J174" s="22" t="n">
        <v>-130.935</v>
      </c>
      <c r="L174" s="22" t="n">
        <v>-237.708</v>
      </c>
      <c r="N174" s="22" t="n">
        <v>-123.094</v>
      </c>
      <c r="S174" s="22" t="n">
        <v>0</v>
      </c>
      <c r="T174" s="22" t="n">
        <v>-53.412</v>
      </c>
      <c r="U174" s="22" t="n">
        <v>-194.852</v>
      </c>
      <c r="V174" s="22" t="n">
        <v>-217.428</v>
      </c>
      <c r="W174" s="22" t="n">
        <v>-251.792</v>
      </c>
      <c r="X174" s="22" t="n">
        <v>-237.708</v>
      </c>
    </row>
    <row r="175">
      <c r="A175" s="20" t="inlineStr">
        <is>
          <t>임차보증금·보증금 납입</t>
        </is>
      </c>
      <c r="D175" s="22" t="n">
        <v>-13.739</v>
      </c>
      <c r="F175" s="22" t="n">
        <v>-1.423</v>
      </c>
      <c r="H175" s="22" t="n">
        <v>-4.632</v>
      </c>
      <c r="J175" s="22" t="n">
        <v>-19.884</v>
      </c>
      <c r="L175" s="22" t="n">
        <v>-22.649</v>
      </c>
      <c r="N175" s="22" t="n">
        <v>-5.177</v>
      </c>
      <c r="Q175" s="22" t="n">
        <v>-24.73</v>
      </c>
      <c r="R175" s="22" t="n">
        <v>-23.44</v>
      </c>
      <c r="S175" s="22" t="n">
        <v>-1.347</v>
      </c>
      <c r="T175" s="22" t="n">
        <v>-4.646</v>
      </c>
      <c r="U175" s="22" t="n">
        <v>-4.375</v>
      </c>
      <c r="V175" s="22" t="n">
        <v>-13.739</v>
      </c>
      <c r="W175" s="22" t="n">
        <v>-4.632</v>
      </c>
      <c r="X175" s="22" t="n">
        <v>-22.649</v>
      </c>
    </row>
    <row r="176">
      <c r="A176" s="20" t="inlineStr">
        <is>
          <t>고정자산 매각</t>
        </is>
      </c>
      <c r="Q176" s="22" t="n">
        <v>0</v>
      </c>
      <c r="R176" s="22" t="n">
        <v>0.131</v>
      </c>
    </row>
    <row r="177">
      <c r="A177" s="20" t="inlineStr">
        <is>
          <t>임차보증금·보증금 회수</t>
        </is>
      </c>
      <c r="D177" s="22" t="n">
        <v>1.708</v>
      </c>
      <c r="F177" s="22" t="n">
        <v>19.052</v>
      </c>
      <c r="H177" s="22" t="n">
        <v>25.204</v>
      </c>
      <c r="J177" s="22" t="n">
        <v>0</v>
      </c>
      <c r="L177" s="22" t="n">
        <v>10.056</v>
      </c>
      <c r="N177" s="22" t="n">
        <v>3.319</v>
      </c>
      <c r="S177" s="22" t="n">
        <v>0</v>
      </c>
      <c r="T177" s="22" t="n">
        <v>3.347</v>
      </c>
      <c r="U177" s="22" t="n">
        <v>6.142</v>
      </c>
      <c r="V177" s="22" t="n">
        <v>1.708</v>
      </c>
      <c r="W177" s="22" t="n">
        <v>25.204</v>
      </c>
      <c r="X177" s="22" t="n">
        <v>10.056</v>
      </c>
    </row>
    <row r="178">
      <c r="A178" s="20" t="inlineStr">
        <is>
          <t>장기투자 지출</t>
        </is>
      </c>
      <c r="S178" s="22" t="n">
        <v>-32.468</v>
      </c>
      <c r="T178" s="22" t="n">
        <v>0</v>
      </c>
    </row>
    <row r="179">
      <c r="A179" s="20" t="inlineStr">
        <is>
          <t>연결범위 변경 자회사 주식 취득</t>
        </is>
      </c>
      <c r="D179" s="22" t="n">
        <v>0</v>
      </c>
      <c r="S179" s="22" t="n">
        <v>0</v>
      </c>
      <c r="T179" s="22" t="n">
        <v>-11042.562</v>
      </c>
      <c r="U179" s="22" t="n">
        <v>-197.837</v>
      </c>
      <c r="V179" s="22" t="n">
        <v>0</v>
      </c>
    </row>
    <row r="180">
      <c r="A180" s="20" t="inlineStr">
        <is>
          <t>대여</t>
        </is>
      </c>
      <c r="J180" s="22" t="n">
        <v>0</v>
      </c>
      <c r="N180" s="22" t="n">
        <v>-95</v>
      </c>
    </row>
    <row r="181">
      <c r="A181" s="9" t="inlineStr">
        <is>
          <t>투자활동 현금흐름</t>
        </is>
      </c>
      <c r="D181" s="12" t="n">
        <v>-285.603</v>
      </c>
      <c r="F181" s="12" t="n">
        <v>-125.962</v>
      </c>
      <c r="H181" s="12" t="n">
        <v>-269.828</v>
      </c>
      <c r="J181" s="12" t="n">
        <v>-265.274</v>
      </c>
      <c r="L181" s="12" t="n">
        <v>-382.991</v>
      </c>
      <c r="N181" s="12" t="n">
        <v>-264.129</v>
      </c>
      <c r="Q181" s="12" t="n">
        <v>-47.257</v>
      </c>
      <c r="R181" s="12" t="n">
        <v>-33.954</v>
      </c>
      <c r="S181" s="12" t="n">
        <v>-60.978</v>
      </c>
      <c r="T181" s="12" t="n">
        <v>-11123.02</v>
      </c>
      <c r="U181" s="12" t="n">
        <v>-433.928</v>
      </c>
      <c r="V181" s="12" t="n">
        <v>-285.603</v>
      </c>
      <c r="W181" s="12" t="n">
        <v>-269.828</v>
      </c>
      <c r="X181" s="12" t="n">
        <v>-382.991</v>
      </c>
    </row>
    <row r="182">
      <c r="A182" s="20" t="inlineStr">
        <is>
          <t>장기차입</t>
        </is>
      </c>
      <c r="J182" s="22" t="n">
        <v>0</v>
      </c>
      <c r="N182" s="22" t="n">
        <v>2000</v>
      </c>
      <c r="S182" s="22" t="n">
        <v>0</v>
      </c>
      <c r="T182" s="22" t="n">
        <v>4000</v>
      </c>
      <c r="U182" s="22" t="n">
        <v>0</v>
      </c>
    </row>
    <row r="183">
      <c r="A183" s="20" t="inlineStr">
        <is>
          <t>장기차입금 상환</t>
        </is>
      </c>
      <c r="D183" s="22" t="n">
        <v>-325.437</v>
      </c>
      <c r="F183" s="22" t="n">
        <v>-200.5</v>
      </c>
      <c r="H183" s="22" t="n">
        <v>-425.687</v>
      </c>
      <c r="J183" s="22" t="n">
        <v>-249.875</v>
      </c>
      <c r="L183" s="22" t="n">
        <v>-499.75</v>
      </c>
      <c r="N183" s="22" t="n">
        <v>-2407.145</v>
      </c>
      <c r="Q183" s="22" t="n">
        <v>-16.668</v>
      </c>
      <c r="R183" s="22" t="n">
        <v>-16.668</v>
      </c>
      <c r="S183" s="22" t="n">
        <v>-11.108</v>
      </c>
      <c r="T183" s="22" t="n">
        <v>-75.062</v>
      </c>
      <c r="U183" s="22" t="n">
        <v>-490.25</v>
      </c>
      <c r="V183" s="22" t="n">
        <v>-325.437</v>
      </c>
      <c r="W183" s="22" t="n">
        <v>-425.687</v>
      </c>
      <c r="X183" s="22" t="n">
        <v>-499.75</v>
      </c>
    </row>
    <row r="184">
      <c r="A184" s="20" t="inlineStr">
        <is>
          <t>상장비용 지출</t>
        </is>
      </c>
      <c r="Q184" s="22" t="n">
        <v>0</v>
      </c>
      <c r="R184" s="22" t="n">
        <v>-2</v>
      </c>
    </row>
    <row r="185">
      <c r="A185" s="20" t="inlineStr">
        <is>
          <t>주식 발행</t>
        </is>
      </c>
      <c r="D185" s="22" t="n">
        <v>35.148</v>
      </c>
      <c r="F185" s="22" t="n">
        <v>12.134</v>
      </c>
      <c r="H185" s="22" t="n">
        <v>14.655</v>
      </c>
      <c r="J185" s="22" t="n">
        <v>7.866</v>
      </c>
      <c r="L185" s="22" t="n">
        <v>8.616</v>
      </c>
      <c r="N185" s="22" t="n">
        <v>3.094</v>
      </c>
      <c r="S185" s="22" t="n">
        <v>717.1130000000001</v>
      </c>
      <c r="T185" s="22" t="n">
        <v>8915.557000000001</v>
      </c>
      <c r="U185" s="22" t="n">
        <v>21.493</v>
      </c>
      <c r="V185" s="22" t="n">
        <v>35.148</v>
      </c>
      <c r="W185" s="22" t="n">
        <v>14.655</v>
      </c>
      <c r="X185" s="22" t="n">
        <v>8.616</v>
      </c>
    </row>
    <row r="186">
      <c r="A186" s="20" t="inlineStr">
        <is>
          <t>신주예약권 발행</t>
        </is>
      </c>
      <c r="D186" s="22" t="n">
        <v>0</v>
      </c>
      <c r="F186" s="22" t="n">
        <v>0.46</v>
      </c>
      <c r="H186" s="22" t="n">
        <v>0.46</v>
      </c>
      <c r="J186" s="22" t="n">
        <v>0</v>
      </c>
      <c r="L186" s="22" t="n">
        <v>0</v>
      </c>
      <c r="Q186" s="22" t="n">
        <v>0</v>
      </c>
      <c r="R186" s="22" t="n">
        <v>0.629</v>
      </c>
      <c r="S186" s="22" t="n">
        <v>0</v>
      </c>
      <c r="T186" s="22" t="n">
        <v>65.94499999999999</v>
      </c>
      <c r="U186" s="22" t="n">
        <v>0</v>
      </c>
      <c r="V186" s="22" t="n">
        <v>0</v>
      </c>
      <c r="W186" s="22" t="n">
        <v>0.46</v>
      </c>
      <c r="X186" s="22" t="n">
        <v>0</v>
      </c>
    </row>
    <row r="187">
      <c r="A187" s="20" t="inlineStr">
        <is>
          <t>자기 신주예약권 소각</t>
        </is>
      </c>
      <c r="Q187" s="22" t="n">
        <v>0</v>
      </c>
      <c r="R187" s="22" t="n">
        <v>-4.067</v>
      </c>
    </row>
    <row r="188">
      <c r="A188" s="20" t="inlineStr">
        <is>
          <t>자기주식 취득</t>
        </is>
      </c>
      <c r="S188" s="22" t="n">
        <v>-0.18</v>
      </c>
      <c r="T188" s="22" t="n">
        <v>-0.097</v>
      </c>
      <c r="U188" s="22" t="n">
        <v>0</v>
      </c>
    </row>
    <row r="189">
      <c r="A189" s="20" t="inlineStr">
        <is>
          <t>상장 관련 비용 지출</t>
        </is>
      </c>
      <c r="S189" s="22" t="n">
        <v>-1.983</v>
      </c>
      <c r="T189" s="22" t="n">
        <v>0</v>
      </c>
    </row>
    <row r="190">
      <c r="A190" s="20" t="inlineStr">
        <is>
          <t>자금조달비용 지출</t>
        </is>
      </c>
      <c r="S190" s="22" t="n">
        <v>0</v>
      </c>
      <c r="T190" s="22" t="n">
        <v>-261.681</v>
      </c>
    </row>
    <row r="191">
      <c r="A191" s="20" t="inlineStr">
        <is>
          <t>자금조달비용 지출</t>
        </is>
      </c>
      <c r="T191" s="22" t="n">
        <v>-261.681</v>
      </c>
      <c r="U191" s="22" t="n">
        <v>0</v>
      </c>
    </row>
    <row r="192">
      <c r="A192" s="20" t="inlineStr">
        <is>
          <t>리스부채 상환</t>
        </is>
      </c>
      <c r="D192" s="22" t="n">
        <v>0</v>
      </c>
      <c r="F192" s="22" t="n">
        <v>-10.964</v>
      </c>
      <c r="H192" s="22" t="n">
        <v>-25.425</v>
      </c>
      <c r="J192" s="22" t="n">
        <v>-14.129</v>
      </c>
      <c r="L192" s="22" t="n">
        <v>-28.613</v>
      </c>
      <c r="N192" s="22" t="n">
        <v>-15.873</v>
      </c>
      <c r="V192" s="22" t="n">
        <v>0</v>
      </c>
      <c r="W192" s="22" t="n">
        <v>-25.425</v>
      </c>
      <c r="X192" s="22" t="n">
        <v>-28.613</v>
      </c>
    </row>
    <row r="193">
      <c r="A193" s="9" t="inlineStr">
        <is>
          <t>재무활동 현금흐름</t>
        </is>
      </c>
      <c r="D193" s="12" t="n">
        <v>-290.288</v>
      </c>
      <c r="F193" s="12" t="n">
        <v>-198.869</v>
      </c>
      <c r="H193" s="12" t="n">
        <v>-435.996</v>
      </c>
      <c r="J193" s="12" t="n">
        <v>-256.138</v>
      </c>
      <c r="L193" s="12" t="n">
        <v>-519.747</v>
      </c>
      <c r="N193" s="12" t="n">
        <v>-419.925</v>
      </c>
      <c r="Q193" s="12" t="n">
        <v>-16.668</v>
      </c>
      <c r="R193" s="12" t="n">
        <v>-22.106</v>
      </c>
      <c r="S193" s="12" t="n">
        <v>703.842</v>
      </c>
      <c r="T193" s="12" t="n">
        <v>12644.66</v>
      </c>
      <c r="U193" s="12" t="n">
        <v>-468.756</v>
      </c>
      <c r="V193" s="12" t="n">
        <v>-290.288</v>
      </c>
      <c r="W193" s="12" t="n">
        <v>-435.996</v>
      </c>
      <c r="X193" s="12" t="n">
        <v>-519.747</v>
      </c>
    </row>
    <row r="194">
      <c r="A194" s="20" t="inlineStr">
        <is>
          <t>현금성자산 환산차이</t>
        </is>
      </c>
      <c r="D194" s="22" t="n">
        <v>75.285</v>
      </c>
      <c r="F194" s="22" t="n">
        <v>67.94</v>
      </c>
      <c r="H194" s="22" t="n">
        <v>77.227</v>
      </c>
      <c r="J194" s="22" t="n">
        <v>-57.071</v>
      </c>
      <c r="L194" s="22" t="n">
        <v>7.416</v>
      </c>
      <c r="N194" s="22" t="n">
        <v>20.28</v>
      </c>
      <c r="Q194" s="22" t="n">
        <v>0.136</v>
      </c>
      <c r="R194" s="22" t="n">
        <v>-0.148</v>
      </c>
      <c r="S194" s="22" t="n">
        <v>-2.404</v>
      </c>
      <c r="T194" s="22" t="n">
        <v>13.542</v>
      </c>
      <c r="U194" s="22" t="n">
        <v>135.616</v>
      </c>
      <c r="V194" s="22" t="n">
        <v>75.285</v>
      </c>
      <c r="W194" s="22" t="n">
        <v>77.227</v>
      </c>
      <c r="X194" s="22" t="n">
        <v>7.416</v>
      </c>
    </row>
    <row r="195">
      <c r="A195" s="20" t="inlineStr">
        <is>
          <t>현금성자산 증감</t>
        </is>
      </c>
      <c r="D195" s="22" t="n">
        <v>432.139</v>
      </c>
      <c r="F195" s="22" t="n">
        <v>-119.506</v>
      </c>
      <c r="H195" s="22" t="n">
        <v>299.122</v>
      </c>
      <c r="J195" s="22" t="n">
        <v>-353.858</v>
      </c>
      <c r="L195" s="22" t="n">
        <v>396.705</v>
      </c>
      <c r="N195" s="22" t="n">
        <v>-261.416</v>
      </c>
      <c r="Q195" s="22" t="n">
        <v>-17.11</v>
      </c>
      <c r="R195" s="22" t="n">
        <v>83.301</v>
      </c>
      <c r="S195" s="22" t="n">
        <v>1033.575</v>
      </c>
      <c r="T195" s="22" t="n">
        <v>1766.153</v>
      </c>
      <c r="U195" s="22" t="n">
        <v>751.596</v>
      </c>
      <c r="V195" s="22" t="n">
        <v>432.139</v>
      </c>
      <c r="W195" s="22" t="n">
        <v>299.122</v>
      </c>
      <c r="X195" s="22" t="n">
        <v>396.705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비자스크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6267.614</v>
      </c>
      <c r="D5" s="12" t="n">
        <v>6673.588</v>
      </c>
      <c r="E5" s="12" t="n">
        <v>7554.196</v>
      </c>
      <c r="F5" s="12" t="n">
        <v>7011.668</v>
      </c>
      <c r="G5" s="12" t="n">
        <v>7315.569</v>
      </c>
      <c r="H5" s="11" t="n">
        <v>5076.265</v>
      </c>
      <c r="I5" s="12" t="n">
        <v>5989.57</v>
      </c>
      <c r="J5" s="12" t="n">
        <v>6968.148</v>
      </c>
      <c r="K5" s="12" t="n">
        <v>7153.539</v>
      </c>
      <c r="L5" s="12" t="n">
        <v>7554.196</v>
      </c>
    </row>
    <row r="6">
      <c r="A6" s="20" t="inlineStr">
        <is>
          <t>현금및현금성자산</t>
        </is>
      </c>
      <c r="B6" s="10" t="n"/>
      <c r="C6" s="21" t="n">
        <v>4249.439</v>
      </c>
      <c r="D6" s="22" t="n">
        <v>4521</v>
      </c>
      <c r="E6" s="22" t="n">
        <v>4987.515</v>
      </c>
      <c r="F6" s="22" t="n">
        <v>4707.105</v>
      </c>
      <c r="G6" s="22" t="n">
        <v>4674.487</v>
      </c>
      <c r="H6" s="21" t="n">
        <v>3123.052</v>
      </c>
      <c r="I6" s="22" t="n">
        <v>3875.082</v>
      </c>
      <c r="J6" s="22" t="n">
        <v>4306.994</v>
      </c>
      <c r="K6" s="22" t="n">
        <v>4595.421</v>
      </c>
      <c r="L6" s="22" t="n">
        <v>4987.515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1761.606</v>
      </c>
      <c r="D8" s="22" t="n">
        <v>1894.225</v>
      </c>
      <c r="E8" s="22" t="n">
        <v>2245.666</v>
      </c>
      <c r="F8" s="22" t="n">
        <v>1885.795</v>
      </c>
      <c r="G8" s="22" t="n">
        <v>2177.383</v>
      </c>
      <c r="H8" s="21" t="n">
        <v>1633.94</v>
      </c>
      <c r="I8" s="22" t="n">
        <v>1789.527</v>
      </c>
      <c r="J8" s="22" t="n">
        <v>2220.709</v>
      </c>
      <c r="K8" s="22" t="n">
        <v>2249.692</v>
      </c>
      <c r="L8" s="22" t="n">
        <v>2245.666</v>
      </c>
    </row>
    <row r="9">
      <c r="A9" s="20" t="inlineStr">
        <is>
          <t>재고자산</t>
        </is>
      </c>
      <c r="B9" s="10" t="n"/>
      <c r="C9" s="21" t="n"/>
      <c r="D9" s="22" t="n"/>
      <c r="E9" s="22" t="n"/>
      <c r="F9" s="22" t="n"/>
      <c r="G9" s="22" t="n"/>
      <c r="H9" s="21" t="n"/>
      <c r="I9" s="22" t="n"/>
      <c r="J9" s="22" t="n"/>
      <c r="K9" s="22" t="n"/>
      <c r="L9" s="22" t="n"/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450.287</v>
      </c>
      <c r="D11" s="12" t="n">
        <v>463.994</v>
      </c>
      <c r="E11" s="12" t="n">
        <v>537.427</v>
      </c>
      <c r="F11" s="12" t="n">
        <v>564.246</v>
      </c>
      <c r="G11" s="12" t="n">
        <v>622.974</v>
      </c>
      <c r="H11" s="11" t="n">
        <v>13674.49</v>
      </c>
      <c r="I11" s="12" t="n">
        <v>14894.787</v>
      </c>
      <c r="J11" s="12" t="n">
        <v>325.718</v>
      </c>
      <c r="K11" s="12" t="n">
        <v>357.079</v>
      </c>
      <c r="L11" s="12" t="n">
        <v>537.427</v>
      </c>
    </row>
    <row r="12">
      <c r="A12" s="20" t="inlineStr">
        <is>
          <t>유형자산</t>
        </is>
      </c>
      <c r="B12" s="10" t="n"/>
      <c r="C12" s="21" t="n">
        <v>141.456</v>
      </c>
      <c r="D12" s="22" t="n">
        <v>130.854</v>
      </c>
      <c r="E12" s="22" t="n">
        <v>115.937</v>
      </c>
      <c r="F12" s="22" t="n">
        <v>112.415</v>
      </c>
      <c r="G12" s="22" t="n">
        <v>126.803</v>
      </c>
      <c r="H12" s="21" t="n">
        <v>66.804</v>
      </c>
      <c r="I12" s="22" t="n">
        <v>80.14100000000001</v>
      </c>
      <c r="J12" s="22" t="n">
        <v>33.953</v>
      </c>
      <c r="K12" s="22" t="n">
        <v>29.528</v>
      </c>
      <c r="L12" s="22" t="n">
        <v>115.937</v>
      </c>
    </row>
    <row r="13">
      <c r="A13" s="20" t="inlineStr">
        <is>
          <t>무형자산</t>
        </is>
      </c>
      <c r="B13" s="10" t="n"/>
      <c r="C13" s="21" t="n"/>
      <c r="D13" s="22" t="n"/>
      <c r="E13" s="22" t="n"/>
      <c r="F13" s="22" t="n"/>
      <c r="G13" s="22" t="n"/>
      <c r="H13" s="21" t="n">
        <v>13396.299</v>
      </c>
      <c r="I13" s="22" t="n">
        <v>14566.356</v>
      </c>
      <c r="J13" s="22" t="n">
        <v>0</v>
      </c>
      <c r="K13" s="22" t="n"/>
      <c r="L13" s="22" t="n"/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6717.902</v>
      </c>
      <c r="D16" s="12" t="n">
        <v>7137.583</v>
      </c>
      <c r="E16" s="12" t="n">
        <v>8091.624</v>
      </c>
      <c r="F16" s="12" t="n">
        <v>7575.915</v>
      </c>
      <c r="G16" s="12" t="n">
        <v>7938.543</v>
      </c>
      <c r="H16" s="11" t="n">
        <v>18750.755</v>
      </c>
      <c r="I16" s="12" t="n">
        <v>20884.357</v>
      </c>
      <c r="J16" s="12" t="n">
        <v>7293.867</v>
      </c>
      <c r="K16" s="12" t="n">
        <v>7510.618</v>
      </c>
      <c r="L16" s="12" t="n">
        <v>8091.624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5586.512</v>
      </c>
      <c r="D18" s="12" t="n">
        <v>5634.106</v>
      </c>
      <c r="E18" s="12" t="n">
        <v>6173.444</v>
      </c>
      <c r="F18" s="12" t="n">
        <v>5426.967</v>
      </c>
      <c r="G18" s="12" t="n">
        <v>3973.754</v>
      </c>
      <c r="H18" s="11" t="n">
        <v>2996.306</v>
      </c>
      <c r="I18" s="12" t="n">
        <v>3521.973</v>
      </c>
      <c r="J18" s="12" t="n">
        <v>4114.039</v>
      </c>
      <c r="K18" s="12" t="n">
        <v>4156.524</v>
      </c>
      <c r="L18" s="12" t="n">
        <v>6173.444</v>
      </c>
    </row>
    <row r="19">
      <c r="A19" s="20" t="inlineStr">
        <is>
          <t>매입채무</t>
        </is>
      </c>
      <c r="B19" s="10" t="n"/>
      <c r="C19" s="21" t="n">
        <v>253.819</v>
      </c>
      <c r="D19" s="22" t="n">
        <v>267.497</v>
      </c>
      <c r="E19" s="22" t="n">
        <v>299.492</v>
      </c>
      <c r="F19" s="22" t="n">
        <v>212.236</v>
      </c>
      <c r="G19" s="22" t="n">
        <v>256.706</v>
      </c>
      <c r="H19" s="21" t="n">
        <v>236.446</v>
      </c>
      <c r="I19" s="22" t="n">
        <v>268.63</v>
      </c>
      <c r="J19" s="22" t="n">
        <v>314.145</v>
      </c>
      <c r="K19" s="22" t="n">
        <v>299.524</v>
      </c>
      <c r="L19" s="22" t="n">
        <v>299.492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>
        <v>2623.687</v>
      </c>
      <c r="D21" s="22" t="n">
        <v>2498.75</v>
      </c>
      <c r="E21" s="22" t="n">
        <v>2373.812</v>
      </c>
      <c r="F21" s="22" t="n">
        <v>2248.875</v>
      </c>
      <c r="G21" s="22" t="n">
        <v>399.996</v>
      </c>
      <c r="H21" s="21" t="n">
        <v>490.25</v>
      </c>
      <c r="I21" s="22" t="n">
        <v>325.437</v>
      </c>
      <c r="J21" s="22" t="n">
        <v>425.687</v>
      </c>
      <c r="K21" s="22" t="n">
        <v>499.75</v>
      </c>
      <c r="L21" s="22" t="n">
        <v>2373.812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116.1</v>
      </c>
      <c r="D23" s="12" t="n">
        <v>110.149</v>
      </c>
      <c r="E23" s="12" t="n">
        <v>104.764</v>
      </c>
      <c r="F23" s="12" t="n">
        <v>97.294</v>
      </c>
      <c r="G23" s="12" t="n">
        <v>1649.777</v>
      </c>
      <c r="H23" s="11" t="n">
        <v>5706.028</v>
      </c>
      <c r="I23" s="12" t="n">
        <v>5283.852</v>
      </c>
      <c r="J23" s="12" t="n">
        <v>2877.632</v>
      </c>
      <c r="K23" s="12" t="n">
        <v>2488.597</v>
      </c>
      <c r="L23" s="12" t="n">
        <v>104.764</v>
      </c>
    </row>
    <row r="24">
      <c r="A24" s="20" t="inlineStr">
        <is>
          <t>장기차입금</t>
        </is>
      </c>
      <c r="B24" s="10" t="n"/>
      <c r="C24" s="21" t="n">
        <v>0</v>
      </c>
      <c r="D24" s="22" t="n">
        <v>0</v>
      </c>
      <c r="E24" s="22" t="n">
        <v>0</v>
      </c>
      <c r="F24" s="22" t="n"/>
      <c r="G24" s="22" t="n">
        <v>1566.671</v>
      </c>
      <c r="H24" s="21" t="n">
        <v>3624.687</v>
      </c>
      <c r="I24" s="22" t="n">
        <v>3299.25</v>
      </c>
      <c r="J24" s="22" t="n">
        <v>2873.562</v>
      </c>
      <c r="K24" s="22" t="n">
        <v>2373.812</v>
      </c>
      <c r="L24" s="22" t="n">
        <v>0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5702.613</v>
      </c>
      <c r="D27" s="12" t="n">
        <v>5744.255</v>
      </c>
      <c r="E27" s="12" t="n">
        <v>6278.209</v>
      </c>
      <c r="F27" s="12" t="n">
        <v>5524.261</v>
      </c>
      <c r="G27" s="12" t="n">
        <v>5623.531</v>
      </c>
      <c r="H27" s="11" t="n">
        <v>8702.334000000001</v>
      </c>
      <c r="I27" s="12" t="n">
        <v>8805.825000000001</v>
      </c>
      <c r="J27" s="12" t="n">
        <v>6991.671</v>
      </c>
      <c r="K27" s="12" t="n">
        <v>6645.121</v>
      </c>
      <c r="L27" s="12" t="n">
        <v>6278.209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943.05</v>
      </c>
      <c r="D31" s="12" t="n">
        <v>1320.094</v>
      </c>
      <c r="E31" s="12" t="n">
        <v>1739.177</v>
      </c>
      <c r="F31" s="12" t="n">
        <v>1976.407</v>
      </c>
      <c r="G31" s="12" t="n">
        <v>2238.758</v>
      </c>
      <c r="H31" s="11" t="n">
        <v>9981.846</v>
      </c>
      <c r="I31" s="12" t="n">
        <v>12012.147</v>
      </c>
      <c r="J31" s="12" t="n">
        <v>236.002</v>
      </c>
      <c r="K31" s="12" t="n">
        <v>795.272</v>
      </c>
      <c r="L31" s="12" t="n">
        <v>1739.177</v>
      </c>
    </row>
    <row r="32">
      <c r="A32" s="20" t="inlineStr">
        <is>
          <t>자본금</t>
        </is>
      </c>
      <c r="B32" s="10" t="n"/>
      <c r="C32" s="21" t="n">
        <v>483.702</v>
      </c>
      <c r="D32" s="22" t="n">
        <v>484.339</v>
      </c>
      <c r="E32" s="22" t="n">
        <v>484.467</v>
      </c>
      <c r="F32" s="22" t="n">
        <v>486.108</v>
      </c>
      <c r="G32" s="22" t="n">
        <v>486.108</v>
      </c>
      <c r="H32" s="21" t="n">
        <v>422.023</v>
      </c>
      <c r="I32" s="22" t="n">
        <v>443.706</v>
      </c>
      <c r="J32" s="22" t="n">
        <v>467.71</v>
      </c>
      <c r="K32" s="22" t="n">
        <v>479.187</v>
      </c>
      <c r="L32" s="22" t="n">
        <v>484.467</v>
      </c>
    </row>
    <row r="33">
      <c r="A33" s="20" t="inlineStr">
        <is>
          <t>이익잉여금</t>
        </is>
      </c>
      <c r="B33" s="10" t="n"/>
      <c r="C33" s="21" t="n">
        <v>-12094.268</v>
      </c>
      <c r="D33" s="22" t="n">
        <v>-11772.682</v>
      </c>
      <c r="E33" s="22" t="n">
        <v>-11384.015</v>
      </c>
      <c r="F33" s="22" t="n">
        <v>-11157.603</v>
      </c>
      <c r="G33" s="22" t="n">
        <v>-10894.965</v>
      </c>
      <c r="H33" s="21" t="n">
        <v>-193.242</v>
      </c>
      <c r="I33" s="22" t="n">
        <v>-117.384</v>
      </c>
      <c r="J33" s="22" t="n">
        <v>-12753.162</v>
      </c>
      <c r="K33" s="22" t="n">
        <v>-12275.917</v>
      </c>
      <c r="L33" s="22" t="n">
        <v>-11384.015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1015.288</v>
      </c>
      <c r="D35" s="12" t="n">
        <v>1393.327</v>
      </c>
      <c r="E35" s="12" t="n">
        <v>1813.415</v>
      </c>
      <c r="F35" s="12" t="n">
        <v>2051.653</v>
      </c>
      <c r="G35" s="12" t="n">
        <v>2315.012</v>
      </c>
      <c r="H35" s="11" t="n">
        <v>10048.42</v>
      </c>
      <c r="I35" s="12" t="n">
        <v>12078.532</v>
      </c>
      <c r="J35" s="12" t="n">
        <v>302.195</v>
      </c>
      <c r="K35" s="12" t="n">
        <v>865.496</v>
      </c>
      <c r="L35" s="12" t="n">
        <v>1813.415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1014.959</v>
      </c>
      <c r="D37" s="12" t="n"/>
      <c r="E37" s="12" t="n">
        <v>1292.027</v>
      </c>
      <c r="F37" s="12" t="n"/>
      <c r="G37" s="12" t="n">
        <v>1469.759</v>
      </c>
      <c r="H37" s="11" t="n">
        <v>230.97</v>
      </c>
      <c r="I37" s="12" t="n">
        <v>1518.665</v>
      </c>
      <c r="J37" s="12" t="n">
        <v>932.746</v>
      </c>
      <c r="K37" s="12" t="n">
        <v>927.72</v>
      </c>
      <c r="L37" s="12" t="n">
        <v>1292.027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392.198</v>
      </c>
      <c r="D38" s="22" t="n"/>
      <c r="E38" s="22" t="n">
        <v>370.397</v>
      </c>
      <c r="F38" s="22" t="n"/>
      <c r="G38" s="22" t="n">
        <v>292.278</v>
      </c>
      <c r="H38" s="21" t="n">
        <v>79.449</v>
      </c>
      <c r="I38" s="22" t="n">
        <v>237.856</v>
      </c>
      <c r="J38" s="22" t="n">
        <v>276.022</v>
      </c>
      <c r="K38" s="22" t="n">
        <v>290.4</v>
      </c>
      <c r="L38" s="22" t="n">
        <v>370.397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  <c r="L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IFERROR(IF(('연간'!T44)&lt;=0,"적자",H28/('연간'!T44)),"")</f>
        <v/>
      </c>
      <c r="I49" s="48">
        <f>IFERROR(IF(('연간'!U44)&lt;=0,"적자",I28/('연간'!U44)),"")</f>
        <v/>
      </c>
      <c r="J49" s="48">
        <f>IFERROR(IF(('연간'!V44)&lt;=0,"적자",J28/('연간'!V44)),"")</f>
        <v/>
      </c>
      <c r="K49" s="48">
        <f>IFERROR(IF(('연간'!W44)&lt;=0,"적자",K28/('연간'!W44)),"")</f>
        <v/>
      </c>
      <c r="L49" s="48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IFERROR(H8/('연간'!T4)*365,"")</f>
        <v/>
      </c>
      <c r="I59" s="50">
        <f>IFERROR(I8/('연간'!U4)*365,"")</f>
        <v/>
      </c>
      <c r="J59" s="50">
        <f>IFERROR(J8/('연간'!V4)*365,"")</f>
        <v/>
      </c>
      <c r="K59" s="50">
        <f>IFERROR(K8/('연간'!W4)*365,"")</f>
        <v/>
      </c>
      <c r="L59" s="50">
        <f>IFERROR(L8/('연간'!X4)*365,"")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IFERROR(H9/('연간'!T11)*365,"")</f>
        <v/>
      </c>
      <c r="I60" s="50">
        <f>IFERROR(I9/('연간'!U11)*365,"")</f>
        <v/>
      </c>
      <c r="J60" s="50">
        <f>IFERROR(J9/('연간'!V11)*365,"")</f>
        <v/>
      </c>
      <c r="K60" s="50">
        <f>IFERROR(K9/('연간'!W11)*365,"")</f>
        <v/>
      </c>
      <c r="L60" s="50">
        <f>IFERROR(L9/('연간'!X11)*365,"")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IFERROR(H19/('연간'!T11)*365,"")</f>
        <v/>
      </c>
      <c r="I61" s="50">
        <f>IFERROR(I19/('연간'!U11)*365,"")</f>
        <v/>
      </c>
      <c r="J61" s="50">
        <f>IFERROR(J19/('연간'!V11)*365,"")</f>
        <v/>
      </c>
      <c r="K61" s="50">
        <f>IFERROR(K19/('연간'!W11)*365,"")</f>
        <v/>
      </c>
      <c r="L61" s="50">
        <f>IFERROR(L19/('연간'!X11)*365,"")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  <c r="L62" s="50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4249.439</v>
      </c>
      <c r="D71" s="22" t="n">
        <v>4521</v>
      </c>
      <c r="E71" s="22" t="n">
        <v>4987.515</v>
      </c>
      <c r="F71" s="22" t="n">
        <v>4707.105</v>
      </c>
      <c r="G71" s="22" t="n">
        <v>4674.487</v>
      </c>
      <c r="H71" s="22" t="n">
        <v>3123.052</v>
      </c>
      <c r="I71" s="22" t="n">
        <v>3875.082</v>
      </c>
      <c r="J71" s="22" t="n">
        <v>4306.994</v>
      </c>
      <c r="K71" s="22" t="n">
        <v>4595.421</v>
      </c>
      <c r="L71" s="22" t="n">
        <v>4987.515</v>
      </c>
    </row>
    <row r="72">
      <c r="A72" s="20" t="inlineStr">
        <is>
          <t>매출채권·계약자산</t>
        </is>
      </c>
      <c r="H72" s="22" t="n">
        <v>1633.94</v>
      </c>
      <c r="I72" s="22" t="n">
        <v>1789.527</v>
      </c>
    </row>
    <row r="73">
      <c r="A73" s="20" t="inlineStr">
        <is>
          <t>매출채권·계약자산</t>
        </is>
      </c>
      <c r="I73" s="22" t="n">
        <v>1789.527</v>
      </c>
      <c r="J73" s="22" t="n">
        <v>2220.709</v>
      </c>
    </row>
    <row r="74">
      <c r="A74" s="20" t="inlineStr">
        <is>
          <t>매출채권·계약자산</t>
        </is>
      </c>
      <c r="E74" s="22" t="n">
        <v>2245.666</v>
      </c>
      <c r="I74" s="22" t="n">
        <v>1789.527</v>
      </c>
      <c r="J74" s="22" t="n">
        <v>2220.709</v>
      </c>
      <c r="K74" s="22" t="n">
        <v>2249.692</v>
      </c>
      <c r="L74" s="22" t="n">
        <v>2245.666</v>
      </c>
    </row>
    <row r="75">
      <c r="A75" s="20" t="inlineStr">
        <is>
          <t>매출채권·계약자산</t>
        </is>
      </c>
      <c r="C75" s="22" t="n">
        <v>1761.606</v>
      </c>
      <c r="D75" s="22" t="n">
        <v>1894.225</v>
      </c>
      <c r="E75" s="22" t="n">
        <v>2245.666</v>
      </c>
      <c r="F75" s="22" t="n">
        <v>1885.795</v>
      </c>
      <c r="G75" s="22" t="n">
        <v>2177.383</v>
      </c>
      <c r="K75" s="22" t="n">
        <v>2249.692</v>
      </c>
      <c r="L75" s="22" t="n">
        <v>2245.666</v>
      </c>
    </row>
    <row r="76">
      <c r="A76" s="20" t="inlineStr">
        <is>
          <t>기타</t>
        </is>
      </c>
      <c r="C76" s="22" t="n">
        <v>269.808</v>
      </c>
      <c r="D76" s="22" t="n">
        <v>270.336</v>
      </c>
      <c r="E76" s="22" t="n">
        <v>335.376</v>
      </c>
      <c r="F76" s="22" t="n">
        <v>434.402</v>
      </c>
      <c r="G76" s="22" t="n">
        <v>476.674</v>
      </c>
      <c r="H76" s="22" t="n">
        <v>330.774</v>
      </c>
      <c r="I76" s="22" t="n">
        <v>340.325</v>
      </c>
      <c r="J76" s="22" t="n">
        <v>454.219</v>
      </c>
      <c r="K76" s="22" t="n">
        <v>319.039</v>
      </c>
      <c r="L76" s="22" t="n">
        <v>335.376</v>
      </c>
    </row>
    <row r="77">
      <c r="A77" s="20" t="inlineStr">
        <is>
          <t>대손충당금</t>
        </is>
      </c>
      <c r="H77" s="22" t="n">
        <v>-11.502</v>
      </c>
    </row>
    <row r="78">
      <c r="A78" s="20" t="inlineStr">
        <is>
          <t>대손충당금</t>
        </is>
      </c>
      <c r="C78" s="22" t="n">
        <v>-13.24</v>
      </c>
      <c r="D78" s="22" t="n">
        <v>-11.973</v>
      </c>
      <c r="E78" s="22" t="n">
        <v>-14.36</v>
      </c>
      <c r="F78" s="22" t="n">
        <v>-15.635</v>
      </c>
      <c r="G78" s="22" t="n">
        <v>-12.975</v>
      </c>
      <c r="H78" s="22" t="n">
        <v>-11.502</v>
      </c>
      <c r="I78" s="22" t="n">
        <v>-15.365</v>
      </c>
      <c r="J78" s="22" t="n">
        <v>-13.774</v>
      </c>
      <c r="K78" s="22" t="n">
        <v>-10.613</v>
      </c>
      <c r="L78" s="22" t="n">
        <v>-14.36</v>
      </c>
    </row>
    <row r="79">
      <c r="A79" s="9" t="inlineStr">
        <is>
          <t>유동자산 합계</t>
        </is>
      </c>
      <c r="C79" s="12" t="n">
        <v>6267.614</v>
      </c>
      <c r="D79" s="12" t="n">
        <v>6673.588</v>
      </c>
      <c r="E79" s="12" t="n">
        <v>7554.196</v>
      </c>
      <c r="F79" s="12" t="n">
        <v>7011.668</v>
      </c>
      <c r="G79" s="12" t="n">
        <v>7315.569</v>
      </c>
      <c r="H79" s="12" t="n">
        <v>5076.265</v>
      </c>
      <c r="I79" s="12" t="n">
        <v>5989.57</v>
      </c>
      <c r="J79" s="12" t="n">
        <v>6968.148</v>
      </c>
      <c r="K79" s="12" t="n">
        <v>7153.539</v>
      </c>
      <c r="L79" s="12" t="n">
        <v>7554.196</v>
      </c>
    </row>
    <row r="80">
      <c r="A80" s="20" t="inlineStr">
        <is>
          <t>건물 부속설비</t>
        </is>
      </c>
      <c r="E80" s="22" t="n">
        <v>127.803</v>
      </c>
      <c r="H80" s="22" t="n">
        <v>21.901</v>
      </c>
      <c r="I80" s="22" t="n">
        <v>21.901</v>
      </c>
      <c r="J80" s="22" t="n">
        <v>22.908</v>
      </c>
      <c r="K80" s="22" t="n">
        <v>55.174</v>
      </c>
      <c r="L80" s="22" t="n">
        <v>127.803</v>
      </c>
    </row>
    <row r="81">
      <c r="A81" s="20" t="inlineStr">
        <is>
          <t>공구·기구·비품</t>
        </is>
      </c>
      <c r="E81" s="22" t="n">
        <v>163.301</v>
      </c>
      <c r="H81" s="22" t="n">
        <v>202.991</v>
      </c>
      <c r="I81" s="22" t="n">
        <v>273.777</v>
      </c>
      <c r="J81" s="22" t="n">
        <v>90.91</v>
      </c>
      <c r="K81" s="22" t="n">
        <v>105.113</v>
      </c>
      <c r="L81" s="22" t="n">
        <v>163.301</v>
      </c>
    </row>
    <row r="82">
      <c r="A82" s="20" t="inlineStr">
        <is>
          <t>감가상각누계액</t>
        </is>
      </c>
      <c r="E82" s="22" t="n">
        <v>-175.167</v>
      </c>
      <c r="H82" s="22" t="n">
        <v>-158.088</v>
      </c>
      <c r="I82" s="22" t="n">
        <v>-215.536</v>
      </c>
      <c r="J82" s="22" t="n">
        <v>-79.86499999999999</v>
      </c>
      <c r="K82" s="22" t="n">
        <v>-130.76</v>
      </c>
      <c r="L82" s="22" t="n">
        <v>-175.167</v>
      </c>
    </row>
    <row r="83">
      <c r="A83" s="20" t="inlineStr">
        <is>
          <t>유형자산</t>
        </is>
      </c>
      <c r="C83" s="22" t="n">
        <v>141.456</v>
      </c>
      <c r="D83" s="22" t="n">
        <v>130.854</v>
      </c>
      <c r="E83" s="22" t="n">
        <v>115.937</v>
      </c>
      <c r="F83" s="22" t="n">
        <v>112.415</v>
      </c>
      <c r="G83" s="22" t="n">
        <v>126.803</v>
      </c>
      <c r="H83" s="22" t="n">
        <v>66.804</v>
      </c>
      <c r="I83" s="22" t="n">
        <v>80.14100000000001</v>
      </c>
      <c r="J83" s="22" t="n">
        <v>33.953</v>
      </c>
      <c r="K83" s="22" t="n">
        <v>29.528</v>
      </c>
      <c r="L83" s="22" t="n">
        <v>115.937</v>
      </c>
    </row>
    <row r="84">
      <c r="A84" s="20" t="inlineStr">
        <is>
          <t>소프트웨어</t>
        </is>
      </c>
      <c r="H84" s="22" t="n">
        <v>53.736</v>
      </c>
      <c r="I84" s="22" t="n">
        <v>250.199</v>
      </c>
      <c r="J84" s="22" t="n">
        <v>0</v>
      </c>
    </row>
    <row r="85">
      <c r="A85" s="20" t="inlineStr">
        <is>
          <t>마케팅 관련 자산</t>
        </is>
      </c>
      <c r="H85" s="22" t="n">
        <v>224.811</v>
      </c>
    </row>
    <row r="86">
      <c r="A86" s="20" t="inlineStr">
        <is>
          <t>기술 관련 자산</t>
        </is>
      </c>
      <c r="H86" s="22" t="n">
        <v>1448.533</v>
      </c>
    </row>
    <row r="87">
      <c r="A87" s="20" t="inlineStr">
        <is>
          <t>고객관계자산</t>
        </is>
      </c>
      <c r="H87" s="22" t="n">
        <v>4184.81</v>
      </c>
    </row>
    <row r="88">
      <c r="A88" s="20" t="inlineStr">
        <is>
          <t>어드바이저 관련 자산</t>
        </is>
      </c>
      <c r="H88" s="22" t="n">
        <v>1361.069</v>
      </c>
    </row>
    <row r="89">
      <c r="A89" s="20" t="inlineStr">
        <is>
          <t>마케팅 관련 자산</t>
        </is>
      </c>
      <c r="H89" s="22" t="n">
        <v>224.811</v>
      </c>
      <c r="I89" s="22" t="n">
        <v>235.24</v>
      </c>
      <c r="J89" s="22" t="n">
        <v>0</v>
      </c>
    </row>
    <row r="90">
      <c r="A90" s="20" t="inlineStr">
        <is>
          <t>기술 관련 자산</t>
        </is>
      </c>
      <c r="H90" s="22" t="n">
        <v>1448.533</v>
      </c>
      <c r="I90" s="22" t="n">
        <v>1455.553</v>
      </c>
      <c r="J90" s="22" t="n">
        <v>0</v>
      </c>
    </row>
    <row r="91">
      <c r="A91" s="20" t="inlineStr">
        <is>
          <t>고객관계자산</t>
        </is>
      </c>
      <c r="H91" s="22" t="n">
        <v>4184.81</v>
      </c>
      <c r="I91" s="22" t="n">
        <v>4500.741</v>
      </c>
      <c r="J91" s="22" t="n">
        <v>0</v>
      </c>
    </row>
    <row r="92">
      <c r="A92" s="20" t="inlineStr">
        <is>
          <t>어드바이저 관련 자산</t>
        </is>
      </c>
      <c r="H92" s="22" t="n">
        <v>1361.069</v>
      </c>
      <c r="I92" s="22" t="n">
        <v>1481.816</v>
      </c>
      <c r="J92" s="22" t="n">
        <v>0</v>
      </c>
    </row>
    <row r="93">
      <c r="A93" s="20" t="inlineStr">
        <is>
          <t>영업권</t>
        </is>
      </c>
      <c r="H93" s="22" t="n">
        <v>6123.337</v>
      </c>
      <c r="I93" s="22" t="n">
        <v>6642.804</v>
      </c>
      <c r="J93" s="22" t="n">
        <v>0</v>
      </c>
    </row>
    <row r="94">
      <c r="A94" s="20" t="inlineStr">
        <is>
          <t>무형자산 합계</t>
        </is>
      </c>
      <c r="H94" s="22" t="n">
        <v>13396.299</v>
      </c>
      <c r="I94" s="22" t="n">
        <v>14566.356</v>
      </c>
      <c r="J94" s="22" t="n">
        <v>0</v>
      </c>
    </row>
    <row r="95">
      <c r="A95" s="20" t="inlineStr">
        <is>
          <t>장기투자</t>
        </is>
      </c>
      <c r="H95" s="22" t="n">
        <v>32.468</v>
      </c>
      <c r="I95" s="22" t="n">
        <v>32.468</v>
      </c>
      <c r="J95" s="22" t="n">
        <v>0</v>
      </c>
    </row>
    <row r="96">
      <c r="A96" s="20" t="inlineStr">
        <is>
          <t>임차보증금·보증금</t>
        </is>
      </c>
      <c r="E96" s="22" t="n">
        <v>98.81999999999999</v>
      </c>
      <c r="H96" s="22" t="n">
        <v>86.884</v>
      </c>
      <c r="I96" s="22" t="n">
        <v>87.315</v>
      </c>
      <c r="J96" s="22" t="n">
        <v>84.575</v>
      </c>
      <c r="K96" s="22" t="n">
        <v>84.87</v>
      </c>
      <c r="L96" s="22" t="n">
        <v>98.81999999999999</v>
      </c>
    </row>
    <row r="97">
      <c r="A97" s="20" t="inlineStr">
        <is>
          <t>이연법인세자산</t>
        </is>
      </c>
      <c r="E97" s="22" t="n">
        <v>258.264</v>
      </c>
      <c r="H97" s="22" t="n">
        <v>68.837</v>
      </c>
      <c r="I97" s="22" t="n">
        <v>100.323</v>
      </c>
      <c r="J97" s="22" t="n">
        <v>167.525</v>
      </c>
      <c r="K97" s="22" t="n">
        <v>189.421</v>
      </c>
      <c r="L97" s="22" t="n">
        <v>258.264</v>
      </c>
    </row>
    <row r="98">
      <c r="A98" s="20" t="inlineStr">
        <is>
          <t>장기선급비용</t>
        </is>
      </c>
      <c r="E98" s="22" t="n">
        <v>64.405</v>
      </c>
      <c r="H98" s="22" t="n">
        <v>23.196</v>
      </c>
      <c r="I98" s="22" t="n">
        <v>28.181</v>
      </c>
      <c r="J98" s="22" t="n">
        <v>39.664</v>
      </c>
      <c r="K98" s="22" t="n">
        <v>53.258</v>
      </c>
      <c r="L98" s="22" t="n">
        <v>64.405</v>
      </c>
    </row>
    <row r="99">
      <c r="A99" s="20" t="inlineStr">
        <is>
          <t>투자 및 기타자산</t>
        </is>
      </c>
      <c r="C99" s="22" t="n">
        <v>308.83</v>
      </c>
      <c r="D99" s="22" t="n">
        <v>333.139</v>
      </c>
      <c r="E99" s="22" t="n">
        <v>421.49</v>
      </c>
      <c r="F99" s="22" t="n">
        <v>451.831</v>
      </c>
      <c r="G99" s="22" t="n">
        <v>496.17</v>
      </c>
      <c r="H99" s="22" t="n">
        <v>211.387</v>
      </c>
      <c r="I99" s="22" t="n">
        <v>248.288</v>
      </c>
      <c r="J99" s="22" t="n">
        <v>291.765</v>
      </c>
      <c r="K99" s="22" t="n">
        <v>327.55</v>
      </c>
      <c r="L99" s="22" t="n">
        <v>421.49</v>
      </c>
    </row>
    <row r="100">
      <c r="A100" s="9" t="inlineStr">
        <is>
          <t>비유동자산 합계</t>
        </is>
      </c>
      <c r="C100" s="12" t="n">
        <v>450.287</v>
      </c>
      <c r="D100" s="12" t="n">
        <v>463.994</v>
      </c>
      <c r="E100" s="12" t="n">
        <v>537.427</v>
      </c>
      <c r="F100" s="12" t="n">
        <v>564.246</v>
      </c>
      <c r="G100" s="12" t="n">
        <v>622.974</v>
      </c>
      <c r="H100" s="12" t="n">
        <v>13674.49</v>
      </c>
      <c r="I100" s="12" t="n">
        <v>14894.787</v>
      </c>
      <c r="J100" s="12" t="n">
        <v>325.718</v>
      </c>
      <c r="K100" s="12" t="n">
        <v>357.079</v>
      </c>
      <c r="L100" s="12" t="n">
        <v>537.427</v>
      </c>
    </row>
    <row r="101">
      <c r="A101" s="9" t="inlineStr">
        <is>
          <t>자산 합계</t>
        </is>
      </c>
      <c r="C101" s="12" t="n">
        <v>6717.902</v>
      </c>
      <c r="D101" s="12" t="n">
        <v>7137.583</v>
      </c>
      <c r="E101" s="12" t="n">
        <v>8091.624</v>
      </c>
      <c r="F101" s="12" t="n">
        <v>7575.915</v>
      </c>
      <c r="G101" s="12" t="n">
        <v>7938.543</v>
      </c>
      <c r="H101" s="12" t="n">
        <v>18750.755</v>
      </c>
      <c r="I101" s="12" t="n">
        <v>20884.357</v>
      </c>
      <c r="J101" s="12" t="n">
        <v>7293.867</v>
      </c>
      <c r="K101" s="12" t="n">
        <v>7510.618</v>
      </c>
      <c r="L101" s="12" t="n">
        <v>8091.624</v>
      </c>
    </row>
    <row r="102">
      <c r="A102" s="20" t="inlineStr">
        <is>
          <t>매입채무</t>
        </is>
      </c>
      <c r="C102" s="22" t="n">
        <v>253.819</v>
      </c>
      <c r="D102" s="22" t="n">
        <v>267.497</v>
      </c>
      <c r="E102" s="22" t="n">
        <v>299.492</v>
      </c>
      <c r="F102" s="22" t="n">
        <v>212.236</v>
      </c>
      <c r="G102" s="22" t="n">
        <v>256.706</v>
      </c>
      <c r="H102" s="22" t="n">
        <v>236.446</v>
      </c>
      <c r="I102" s="22" t="n">
        <v>268.63</v>
      </c>
      <c r="J102" s="22" t="n">
        <v>314.145</v>
      </c>
      <c r="K102" s="22" t="n">
        <v>299.524</v>
      </c>
      <c r="L102" s="22" t="n">
        <v>299.492</v>
      </c>
    </row>
    <row r="103">
      <c r="A103" s="20" t="inlineStr">
        <is>
          <t>1년 내 상환 장기차입금</t>
        </is>
      </c>
      <c r="C103" s="22" t="n">
        <v>2623.687</v>
      </c>
      <c r="D103" s="22" t="n">
        <v>2498.75</v>
      </c>
      <c r="E103" s="22" t="n">
        <v>2373.812</v>
      </c>
      <c r="F103" s="22" t="n">
        <v>2248.875</v>
      </c>
      <c r="G103" s="22" t="n">
        <v>399.996</v>
      </c>
      <c r="H103" s="22" t="n">
        <v>490.25</v>
      </c>
      <c r="I103" s="22" t="n">
        <v>325.437</v>
      </c>
      <c r="J103" s="22" t="n">
        <v>425.687</v>
      </c>
      <c r="K103" s="22" t="n">
        <v>499.75</v>
      </c>
      <c r="L103" s="22" t="n">
        <v>2373.812</v>
      </c>
    </row>
    <row r="104">
      <c r="A104" s="20" t="inlineStr">
        <is>
          <t>미지급금</t>
        </is>
      </c>
      <c r="C104" s="22" t="n">
        <v>378.403</v>
      </c>
      <c r="D104" s="22" t="n">
        <v>375.184</v>
      </c>
      <c r="E104" s="22" t="n">
        <v>459.455</v>
      </c>
      <c r="F104" s="22" t="n">
        <v>444.729</v>
      </c>
      <c r="G104" s="22" t="n">
        <v>388.437</v>
      </c>
      <c r="H104" s="22" t="n">
        <v>532.913</v>
      </c>
      <c r="I104" s="22" t="n">
        <v>357.589</v>
      </c>
      <c r="J104" s="22" t="n">
        <v>365.491</v>
      </c>
      <c r="K104" s="22" t="n">
        <v>458.984</v>
      </c>
      <c r="L104" s="22" t="n">
        <v>459.455</v>
      </c>
    </row>
    <row r="105">
      <c r="A105" s="20" t="inlineStr">
        <is>
          <t>리스부채</t>
        </is>
      </c>
      <c r="C105" s="22" t="n">
        <v>28.439</v>
      </c>
      <c r="D105" s="22" t="n">
        <v>29.737</v>
      </c>
      <c r="E105" s="22" t="n">
        <v>31.801</v>
      </c>
      <c r="F105" s="22" t="n">
        <v>33.025</v>
      </c>
      <c r="G105" s="22" t="n">
        <v>34.109</v>
      </c>
      <c r="J105" s="22" t="n">
        <v>0</v>
      </c>
      <c r="K105" s="22" t="n">
        <v>30.232</v>
      </c>
      <c r="L105" s="22" t="n">
        <v>31.801</v>
      </c>
    </row>
    <row r="106">
      <c r="A106" s="20" t="inlineStr">
        <is>
          <t>미지급법인세</t>
        </is>
      </c>
      <c r="C106" s="22" t="n">
        <v>105.104</v>
      </c>
      <c r="D106" s="22" t="n">
        <v>56.013</v>
      </c>
      <c r="E106" s="22" t="n">
        <v>243.264</v>
      </c>
      <c r="F106" s="22" t="n">
        <v>66.752</v>
      </c>
      <c r="G106" s="22" t="n">
        <v>250.322</v>
      </c>
      <c r="H106" s="22" t="n">
        <v>84.199</v>
      </c>
      <c r="I106" s="22" t="n">
        <v>306.483</v>
      </c>
      <c r="J106" s="22" t="n">
        <v>231.583</v>
      </c>
      <c r="K106" s="22" t="n">
        <v>103.302</v>
      </c>
      <c r="L106" s="22" t="n">
        <v>243.264</v>
      </c>
    </row>
    <row r="107">
      <c r="A107" s="20" t="inlineStr">
        <is>
          <t>선수금</t>
        </is>
      </c>
      <c r="H107" s="22" t="n">
        <v>1202.622</v>
      </c>
    </row>
    <row r="108">
      <c r="A108" s="20" t="inlineStr">
        <is>
          <t>계약부채</t>
        </is>
      </c>
      <c r="C108" s="22" t="n">
        <v>1653.953</v>
      </c>
      <c r="D108" s="22" t="n">
        <v>1753.817</v>
      </c>
      <c r="E108" s="22" t="n">
        <v>1964.407</v>
      </c>
      <c r="F108" s="22" t="n">
        <v>1881.307</v>
      </c>
      <c r="G108" s="22" t="n">
        <v>2002.787</v>
      </c>
      <c r="H108" s="22" t="n">
        <v>1202.622</v>
      </c>
      <c r="I108" s="22" t="n">
        <v>1648.435</v>
      </c>
      <c r="J108" s="22" t="n">
        <v>2072.055</v>
      </c>
      <c r="K108" s="22" t="n">
        <v>2033.257</v>
      </c>
      <c r="L108" s="22" t="n">
        <v>1964.407</v>
      </c>
    </row>
    <row r="109">
      <c r="A109" s="20" t="inlineStr">
        <is>
          <t>상여충당금</t>
        </is>
      </c>
      <c r="C109" s="22" t="n">
        <v>285.622</v>
      </c>
      <c r="D109" s="22" t="n">
        <v>421.041</v>
      </c>
      <c r="E109" s="22" t="n">
        <v>476.527</v>
      </c>
      <c r="F109" s="22" t="n">
        <v>206.533</v>
      </c>
      <c r="G109" s="22" t="n">
        <v>359.297</v>
      </c>
      <c r="H109" s="22" t="n">
        <v>389.468</v>
      </c>
      <c r="I109" s="22" t="n">
        <v>329.579</v>
      </c>
      <c r="J109" s="22" t="n">
        <v>417.443</v>
      </c>
      <c r="K109" s="22" t="n">
        <v>471.213</v>
      </c>
      <c r="L109" s="22" t="n">
        <v>476.527</v>
      </c>
    </row>
    <row r="110">
      <c r="A110" s="20" t="inlineStr">
        <is>
          <t>기타</t>
        </is>
      </c>
      <c r="C110" s="22" t="n">
        <v>257.481</v>
      </c>
      <c r="D110" s="22" t="n">
        <v>232.062</v>
      </c>
      <c r="E110" s="22" t="n">
        <v>324.684</v>
      </c>
      <c r="F110" s="22" t="n">
        <v>333.506</v>
      </c>
      <c r="G110" s="22" t="n">
        <v>282.097</v>
      </c>
      <c r="H110" s="22" t="n">
        <v>60.407</v>
      </c>
      <c r="I110" s="22" t="n">
        <v>285.817</v>
      </c>
      <c r="J110" s="22" t="n">
        <v>287.632</v>
      </c>
      <c r="K110" s="22" t="n">
        <v>260.259</v>
      </c>
      <c r="L110" s="22" t="n">
        <v>324.684</v>
      </c>
    </row>
    <row r="111">
      <c r="A111" s="9" t="inlineStr">
        <is>
          <t>유동부채 합계</t>
        </is>
      </c>
      <c r="C111" s="12" t="n">
        <v>5586.512</v>
      </c>
      <c r="D111" s="12" t="n">
        <v>5634.106</v>
      </c>
      <c r="E111" s="12" t="n">
        <v>6173.444</v>
      </c>
      <c r="F111" s="12" t="n">
        <v>5426.967</v>
      </c>
      <c r="G111" s="12" t="n">
        <v>3973.754</v>
      </c>
      <c r="H111" s="12" t="n">
        <v>2996.306</v>
      </c>
      <c r="I111" s="12" t="n">
        <v>3521.973</v>
      </c>
      <c r="J111" s="12" t="n">
        <v>4114.039</v>
      </c>
      <c r="K111" s="12" t="n">
        <v>4156.524</v>
      </c>
      <c r="L111" s="12" t="n">
        <v>6173.444</v>
      </c>
    </row>
    <row r="112">
      <c r="A112" s="20" t="inlineStr">
        <is>
          <t>장기차입금</t>
        </is>
      </c>
      <c r="C112" s="22" t="n">
        <v>0</v>
      </c>
      <c r="D112" s="22" t="n">
        <v>0</v>
      </c>
      <c r="E112" s="22" t="n">
        <v>0</v>
      </c>
      <c r="G112" s="22" t="n">
        <v>1566.671</v>
      </c>
      <c r="H112" s="22" t="n">
        <v>3624.687</v>
      </c>
      <c r="I112" s="22" t="n">
        <v>3299.25</v>
      </c>
      <c r="J112" s="22" t="n">
        <v>2873.562</v>
      </c>
      <c r="K112" s="22" t="n">
        <v>2373.812</v>
      </c>
      <c r="L112" s="22" t="n">
        <v>0</v>
      </c>
    </row>
    <row r="113">
      <c r="A113" s="20" t="inlineStr">
        <is>
          <t>리스부채</t>
        </is>
      </c>
      <c r="C113" s="22" t="n">
        <v>57.319</v>
      </c>
      <c r="D113" s="22" t="n">
        <v>51.316</v>
      </c>
      <c r="E113" s="22" t="n">
        <v>45.88</v>
      </c>
      <c r="F113" s="22" t="n">
        <v>38.359</v>
      </c>
      <c r="G113" s="22" t="n">
        <v>30.169</v>
      </c>
      <c r="J113" s="22" t="n">
        <v>0</v>
      </c>
      <c r="K113" s="22" t="n">
        <v>78.485</v>
      </c>
      <c r="L113" s="22" t="n">
        <v>45.88</v>
      </c>
    </row>
    <row r="114">
      <c r="A114" s="20" t="inlineStr">
        <is>
          <t>이연법인세부채</t>
        </is>
      </c>
      <c r="C114" s="22" t="n">
        <v>6.049</v>
      </c>
      <c r="D114" s="22" t="n">
        <v>6.049</v>
      </c>
      <c r="E114" s="22" t="n">
        <v>6.049</v>
      </c>
      <c r="F114" s="22" t="n">
        <v>6.049</v>
      </c>
      <c r="G114" s="22" t="n">
        <v>0</v>
      </c>
      <c r="H114" s="22" t="n">
        <v>2081.34</v>
      </c>
      <c r="I114" s="22" t="n">
        <v>1984.602</v>
      </c>
      <c r="J114" s="22" t="n">
        <v>4.069</v>
      </c>
      <c r="K114" s="22" t="n">
        <v>6.049</v>
      </c>
      <c r="L114" s="22" t="n">
        <v>6.049</v>
      </c>
    </row>
    <row r="115">
      <c r="A115" s="20" t="inlineStr">
        <is>
          <t>기타</t>
        </is>
      </c>
      <c r="C115" s="22" t="n">
        <v>52.731</v>
      </c>
      <c r="D115" s="22" t="n">
        <v>52.782</v>
      </c>
      <c r="E115" s="22" t="n">
        <v>52.834</v>
      </c>
      <c r="F115" s="22" t="n">
        <v>52.885</v>
      </c>
      <c r="G115" s="22" t="n">
        <v>52.936</v>
      </c>
      <c r="J115" s="22" t="n">
        <v>0</v>
      </c>
      <c r="K115" s="22" t="n">
        <v>30.25</v>
      </c>
      <c r="L115" s="22" t="n">
        <v>52.834</v>
      </c>
    </row>
    <row r="116">
      <c r="A116" s="9" t="inlineStr">
        <is>
          <t>비유동부채 합계</t>
        </is>
      </c>
      <c r="C116" s="12" t="n">
        <v>116.1</v>
      </c>
      <c r="D116" s="12" t="n">
        <v>110.149</v>
      </c>
      <c r="E116" s="12" t="n">
        <v>104.764</v>
      </c>
      <c r="F116" s="12" t="n">
        <v>97.294</v>
      </c>
      <c r="G116" s="12" t="n">
        <v>1649.777</v>
      </c>
      <c r="H116" s="12" t="n">
        <v>5706.028</v>
      </c>
      <c r="I116" s="12" t="n">
        <v>5283.852</v>
      </c>
      <c r="J116" s="12" t="n">
        <v>2877.632</v>
      </c>
      <c r="K116" s="12" t="n">
        <v>2488.597</v>
      </c>
      <c r="L116" s="12" t="n">
        <v>104.764</v>
      </c>
    </row>
    <row r="117">
      <c r="A117" s="9" t="inlineStr">
        <is>
          <t>부채 합계</t>
        </is>
      </c>
      <c r="C117" s="12" t="n">
        <v>5702.613</v>
      </c>
      <c r="D117" s="12" t="n">
        <v>5744.255</v>
      </c>
      <c r="E117" s="12" t="n">
        <v>6278.209</v>
      </c>
      <c r="F117" s="12" t="n">
        <v>5524.261</v>
      </c>
      <c r="G117" s="12" t="n">
        <v>5623.531</v>
      </c>
      <c r="H117" s="12" t="n">
        <v>8702.334000000001</v>
      </c>
      <c r="I117" s="12" t="n">
        <v>8805.825000000001</v>
      </c>
      <c r="J117" s="12" t="n">
        <v>6991.671</v>
      </c>
      <c r="K117" s="12" t="n">
        <v>6645.121</v>
      </c>
      <c r="L117" s="12" t="n">
        <v>6278.209</v>
      </c>
    </row>
    <row r="118">
      <c r="A118" s="20" t="inlineStr">
        <is>
          <t>자본금</t>
        </is>
      </c>
      <c r="C118" s="22" t="n">
        <v>483.702</v>
      </c>
      <c r="D118" s="22" t="n">
        <v>484.339</v>
      </c>
      <c r="E118" s="22" t="n">
        <v>484.467</v>
      </c>
      <c r="F118" s="22" t="n">
        <v>486.108</v>
      </c>
      <c r="G118" s="22" t="n">
        <v>486.108</v>
      </c>
      <c r="H118" s="22" t="n">
        <v>422.023</v>
      </c>
      <c r="I118" s="22" t="n">
        <v>443.706</v>
      </c>
      <c r="J118" s="22" t="n">
        <v>467.71</v>
      </c>
      <c r="K118" s="22" t="n">
        <v>479.187</v>
      </c>
      <c r="L118" s="22" t="n">
        <v>484.467</v>
      </c>
    </row>
    <row r="119">
      <c r="A119" s="20" t="inlineStr">
        <is>
          <t>자본잉여금</t>
        </is>
      </c>
      <c r="C119" s="22" t="n">
        <v>9247.324000000001</v>
      </c>
      <c r="D119" s="22" t="n">
        <v>9247.324000000001</v>
      </c>
      <c r="E119" s="22" t="n">
        <v>9247.324000000001</v>
      </c>
      <c r="F119" s="22" t="n">
        <v>9248.776</v>
      </c>
      <c r="G119" s="22" t="n">
        <v>9248.776</v>
      </c>
      <c r="H119" s="22" t="n">
        <v>9229.33</v>
      </c>
      <c r="I119" s="22" t="n">
        <v>9229.33</v>
      </c>
      <c r="J119" s="22" t="n">
        <v>9240.665999999999</v>
      </c>
      <c r="K119" s="22" t="n">
        <v>9243.969999999999</v>
      </c>
      <c r="L119" s="22" t="n">
        <v>9247.324000000001</v>
      </c>
    </row>
    <row r="120">
      <c r="A120" s="20" t="inlineStr">
        <is>
          <t>이익잉여금</t>
        </is>
      </c>
      <c r="C120" s="22" t="n">
        <v>-12094.268</v>
      </c>
      <c r="D120" s="22" t="n">
        <v>-11772.682</v>
      </c>
      <c r="E120" s="22" t="n">
        <v>-11384.015</v>
      </c>
      <c r="F120" s="22" t="n">
        <v>-11157.603</v>
      </c>
      <c r="G120" s="22" t="n">
        <v>-10894.965</v>
      </c>
      <c r="H120" s="22" t="n">
        <v>-193.242</v>
      </c>
      <c r="I120" s="22" t="n">
        <v>-117.384</v>
      </c>
      <c r="J120" s="22" t="n">
        <v>-12753.162</v>
      </c>
      <c r="K120" s="22" t="n">
        <v>-12275.917</v>
      </c>
      <c r="L120" s="22" t="n">
        <v>-11384.015</v>
      </c>
    </row>
    <row r="121">
      <c r="A121" s="20" t="inlineStr">
        <is>
          <t>자기주식</t>
        </is>
      </c>
      <c r="C121" s="22" t="n">
        <v>-0.278</v>
      </c>
      <c r="D121" s="22" t="n">
        <v>-0.278</v>
      </c>
      <c r="E121" s="22" t="n">
        <v>-0.278</v>
      </c>
      <c r="F121" s="22" t="n">
        <v>-0.278</v>
      </c>
      <c r="G121" s="22" t="n">
        <v>-0.278</v>
      </c>
      <c r="H121" s="22" t="n">
        <v>-0.278</v>
      </c>
      <c r="I121" s="22" t="n">
        <v>-0.278</v>
      </c>
      <c r="J121" s="22" t="n">
        <v>-0.278</v>
      </c>
      <c r="K121" s="22" t="n">
        <v>-0.278</v>
      </c>
      <c r="L121" s="22" t="n">
        <v>-0.278</v>
      </c>
    </row>
    <row r="122">
      <c r="A122" s="9" t="inlineStr">
        <is>
          <t>주주자본 합계</t>
        </is>
      </c>
      <c r="C122" s="12" t="n">
        <v>-2363.52</v>
      </c>
      <c r="D122" s="12" t="n">
        <v>-2041.296</v>
      </c>
      <c r="E122" s="12" t="n">
        <v>-1652.502</v>
      </c>
      <c r="F122" s="12" t="n">
        <v>-1422.996</v>
      </c>
      <c r="G122" s="12" t="n">
        <v>-1160.358</v>
      </c>
      <c r="H122" s="12" t="n">
        <v>9457.832</v>
      </c>
      <c r="I122" s="12" t="n">
        <v>9555.373</v>
      </c>
      <c r="J122" s="12" t="n">
        <v>-3045.064</v>
      </c>
      <c r="K122" s="12" t="n">
        <v>-2553.038</v>
      </c>
      <c r="L122" s="12" t="n">
        <v>-1652.502</v>
      </c>
    </row>
    <row r="123">
      <c r="A123" s="20" t="inlineStr">
        <is>
          <t>해외사업환산조정</t>
        </is>
      </c>
      <c r="C123" s="22" t="n">
        <v>3306.571</v>
      </c>
      <c r="D123" s="22" t="n">
        <v>3361.39</v>
      </c>
      <c r="E123" s="22" t="n">
        <v>3391.679</v>
      </c>
      <c r="F123" s="22" t="n">
        <v>3399.403</v>
      </c>
      <c r="G123" s="22" t="n">
        <v>3399.116</v>
      </c>
      <c r="H123" s="22" t="n">
        <v>524.013</v>
      </c>
      <c r="I123" s="22" t="n">
        <v>2456.773</v>
      </c>
      <c r="J123" s="22" t="n">
        <v>3281.066</v>
      </c>
      <c r="K123" s="22" t="n">
        <v>3348.31</v>
      </c>
      <c r="L123" s="22" t="n">
        <v>3391.679</v>
      </c>
    </row>
    <row r="124">
      <c r="A124" s="20" t="inlineStr">
        <is>
          <t>기타포괄손익누계액 합계</t>
        </is>
      </c>
      <c r="C124" s="22" t="n">
        <v>3306.571</v>
      </c>
      <c r="D124" s="22" t="n">
        <v>3361.39</v>
      </c>
      <c r="E124" s="22" t="n">
        <v>3391.679</v>
      </c>
      <c r="F124" s="22" t="n">
        <v>3399.403</v>
      </c>
      <c r="G124" s="22" t="n">
        <v>3399.116</v>
      </c>
      <c r="H124" s="22" t="n">
        <v>524.013</v>
      </c>
      <c r="I124" s="22" t="n">
        <v>2456.773</v>
      </c>
      <c r="J124" s="22" t="n">
        <v>3281.066</v>
      </c>
      <c r="K124" s="22" t="n">
        <v>3348.31</v>
      </c>
      <c r="L124" s="22" t="n">
        <v>3391.679</v>
      </c>
    </row>
    <row r="125">
      <c r="A125" s="20" t="inlineStr">
        <is>
          <t>신주예약권</t>
        </is>
      </c>
      <c r="C125" s="22" t="n">
        <v>72.238</v>
      </c>
      <c r="D125" s="22" t="n">
        <v>73.233</v>
      </c>
      <c r="E125" s="22" t="n">
        <v>74.238</v>
      </c>
      <c r="F125" s="22" t="n">
        <v>75.246</v>
      </c>
      <c r="G125" s="22" t="n">
        <v>76.254</v>
      </c>
      <c r="H125" s="22" t="n">
        <v>66.574</v>
      </c>
      <c r="I125" s="22" t="n">
        <v>66.38500000000001</v>
      </c>
      <c r="J125" s="22" t="n">
        <v>66.193</v>
      </c>
      <c r="K125" s="22" t="n">
        <v>70.224</v>
      </c>
      <c r="L125" s="22" t="n">
        <v>74.238</v>
      </c>
    </row>
    <row r="126">
      <c r="A126" s="9" t="inlineStr">
        <is>
          <t>순자산 합계</t>
        </is>
      </c>
      <c r="C126" s="12" t="n">
        <v>1015.288</v>
      </c>
      <c r="D126" s="12" t="n">
        <v>1393.327</v>
      </c>
      <c r="E126" s="12" t="n">
        <v>1813.415</v>
      </c>
      <c r="F126" s="12" t="n">
        <v>2051.653</v>
      </c>
      <c r="G126" s="12" t="n">
        <v>2315.012</v>
      </c>
      <c r="H126" s="12" t="n">
        <v>10048.42</v>
      </c>
      <c r="I126" s="12" t="n">
        <v>12078.532</v>
      </c>
      <c r="J126" s="12" t="n">
        <v>302.195</v>
      </c>
      <c r="K126" s="12" t="n">
        <v>865.496</v>
      </c>
      <c r="L126" s="12" t="n">
        <v>1813.415</v>
      </c>
    </row>
    <row r="127">
      <c r="A127" s="9" t="inlineStr">
        <is>
          <t>부채·순자산 합계</t>
        </is>
      </c>
      <c r="C127" s="12" t="n">
        <v>6717.902</v>
      </c>
      <c r="D127" s="12" t="n">
        <v>7137.583</v>
      </c>
      <c r="E127" s="12" t="n">
        <v>8091.624</v>
      </c>
      <c r="F127" s="12" t="n">
        <v>7575.915</v>
      </c>
      <c r="G127" s="12" t="n">
        <v>7938.543</v>
      </c>
      <c r="H127" s="12" t="n">
        <v>18750.755</v>
      </c>
      <c r="I127" s="12" t="n">
        <v>20884.357</v>
      </c>
      <c r="J127" s="12" t="n">
        <v>7293.867</v>
      </c>
      <c r="K127" s="12" t="n">
        <v>7510.618</v>
      </c>
      <c r="L127" s="12" t="n">
        <v>8091.624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1" t="inlineStr">
        <is>
          <t>비자스크 섹터·사업 데이터</t>
        </is>
      </c>
    </row>
    <row r="2">
      <c r="A2" s="52" t="inlineStr">
        <is>
          <t>2단계 보고서를 만들 때 모은 자료 · 월차 · 출처는 맨 오른쪽</t>
        </is>
      </c>
    </row>
    <row r="4">
      <c r="A4" s="53" t="inlineStr">
        <is>
          <t>상반기 FY27</t>
        </is>
      </c>
      <c r="B4" s="53" t="n"/>
      <c r="C4" s="53" t="n"/>
    </row>
    <row r="5">
      <c r="A5" s="54" t="inlineStr">
        <is>
          <t>항목</t>
        </is>
      </c>
      <c r="B5" s="54" t="inlineStr">
        <is>
          <t>값</t>
        </is>
      </c>
      <c r="C5" s="54" t="inlineStr">
        <is>
          <t>출처</t>
        </is>
      </c>
    </row>
    <row r="6">
      <c r="A6" s="55" t="inlineStr">
        <is>
          <t>gmv</t>
        </is>
      </c>
      <c r="B6" s="56" t="n">
        <v>80.23</v>
      </c>
      <c r="C6" s="57" t="inlineStr">
        <is>
          <t>2단계 보고서 자료(회사 설명회 자료·공시)</t>
        </is>
      </c>
    </row>
    <row r="7">
      <c r="A7" s="55" t="inlineStr">
        <is>
          <t>gmv YoY</t>
        </is>
      </c>
      <c r="B7" s="56" t="n">
        <v>14.1</v>
      </c>
    </row>
    <row r="8">
      <c r="A8" s="55" t="inlineStr">
        <is>
          <t>매출</t>
        </is>
      </c>
      <c r="B8" s="56" t="n">
        <v>55.63</v>
      </c>
    </row>
    <row r="9">
      <c r="A9" s="55" t="inlineStr">
        <is>
          <t>매출 YoY</t>
        </is>
      </c>
      <c r="B9" s="56" t="n">
        <v>16.1</v>
      </c>
    </row>
    <row r="10">
      <c r="A10" s="55" t="inlineStr">
        <is>
          <t>adj ebitda</t>
        </is>
      </c>
      <c r="B10" s="56" t="n">
        <v>7.56</v>
      </c>
    </row>
    <row r="11">
      <c r="A11" s="55" t="inlineStr">
        <is>
          <t>adj ebitda YoY</t>
        </is>
      </c>
      <c r="B11" s="56" t="n">
        <v>93.7</v>
      </c>
    </row>
    <row r="12">
      <c r="A12" s="55" t="inlineStr">
        <is>
          <t>영업이익</t>
        </is>
      </c>
      <c r="B12" s="56" t="n">
        <v>8.48</v>
      </c>
    </row>
    <row r="13">
      <c r="A13" s="55" t="inlineStr">
        <is>
          <t>영업이익 YoY</t>
        </is>
      </c>
      <c r="B13" s="56" t="n">
        <v>70.2</v>
      </c>
    </row>
    <row r="14">
      <c r="A14" s="55" t="inlineStr">
        <is>
          <t>순이익</t>
        </is>
      </c>
      <c r="B14" s="56" t="n">
        <v>4.89</v>
      </c>
    </row>
    <row r="15">
      <c r="A15" s="55" t="inlineStr">
        <is>
          <t>순이익 YoY</t>
        </is>
      </c>
      <c r="B15" s="56" t="n">
        <v>169.2</v>
      </c>
    </row>
    <row r="17">
      <c r="A17" s="53" t="inlineStr">
        <is>
          <t>balance 2608</t>
        </is>
      </c>
      <c r="B17" s="53" t="n"/>
      <c r="C17" s="53" t="n"/>
    </row>
    <row r="18">
      <c r="A18" s="54" t="inlineStr">
        <is>
          <t>항목</t>
        </is>
      </c>
      <c r="B18" s="54" t="inlineStr">
        <is>
          <t>값</t>
        </is>
      </c>
      <c r="C18" s="54" t="inlineStr">
        <is>
          <t>출처</t>
        </is>
      </c>
    </row>
    <row r="19">
      <c r="A19" s="55" t="inlineStr">
        <is>
          <t>합계 assets</t>
        </is>
      </c>
      <c r="B19" s="56" t="n">
        <v>79.38</v>
      </c>
      <c r="C19" s="57" t="inlineStr">
        <is>
          <t>2단계 보고서 자료(회사 설명회 자료·공시)</t>
        </is>
      </c>
    </row>
    <row r="20">
      <c r="A20" s="55" t="inlineStr">
        <is>
          <t>net assets</t>
        </is>
      </c>
      <c r="B20" s="56" t="n">
        <v>23.15</v>
      </c>
    </row>
    <row r="21">
      <c r="A21" s="55" t="inlineStr">
        <is>
          <t>fixed liab</t>
        </is>
      </c>
      <c r="B21" s="56" t="n">
        <v>16.49</v>
      </c>
    </row>
    <row r="22">
      <c r="A22" s="55" t="inlineStr">
        <is>
          <t>current liab</t>
        </is>
      </c>
      <c r="B22" s="56" t="n">
        <v>39.73</v>
      </c>
    </row>
    <row r="24">
      <c r="A24" s="53" t="inlineStr">
        <is>
          <t>밸류에이션</t>
        </is>
      </c>
      <c r="B24" s="53" t="n"/>
      <c r="C24" s="53" t="n"/>
    </row>
    <row r="25">
      <c r="A25" s="54" t="inlineStr">
        <is>
          <t>항목</t>
        </is>
      </c>
      <c r="B25" s="54" t="inlineStr">
        <is>
          <t>값</t>
        </is>
      </c>
      <c r="C25" s="54" t="inlineStr">
        <is>
          <t>출처</t>
        </is>
      </c>
    </row>
    <row r="26">
      <c r="A26" s="55" t="inlineStr">
        <is>
          <t>ttm 순이익</t>
        </is>
      </c>
      <c r="B26" s="56" t="n">
        <v>11.99</v>
      </c>
      <c r="C26" s="57" t="inlineStr">
        <is>
          <t>2단계 보고서 자료(회사 설명회 자료·공시)</t>
        </is>
      </c>
    </row>
    <row r="27">
      <c r="A27" s="55" t="inlineStr">
        <is>
          <t>PER ttm</t>
        </is>
      </c>
      <c r="B27" s="56" t="n">
        <v>6</v>
      </c>
    </row>
    <row r="28">
      <c r="A28" s="55" t="inlineStr">
        <is>
          <t>PER 가이던스 순이익</t>
        </is>
      </c>
      <c r="B28" s="56" t="n">
        <v>9.699999999999999</v>
      </c>
    </row>
    <row r="29">
      <c r="A29" s="55" t="inlineStr">
        <is>
          <t>ttm 영업이익</t>
        </is>
      </c>
      <c r="B29" s="56" t="n">
        <v>16.9</v>
      </c>
    </row>
    <row r="30">
      <c r="A30" s="55" t="inlineStr">
        <is>
          <t>mcap to 영업이익</t>
        </is>
      </c>
      <c r="B30" s="56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https://www2.jpx.co.jp/disc/44900/140120261015551308.pdf</t>
        </is>
      </c>
    </row>
    <row r="5">
      <c r="A5" t="inlineStr">
        <is>
          <t>2026-07-15</t>
        </is>
      </c>
      <c r="B5" t="inlineStr">
        <is>
          <t>2027년 2월 결산기 １분기 결산단신</t>
        </is>
      </c>
      <c r="C5" t="inlineStr">
        <is>
          <t>https://www2.jpx.co.jp/disc/44900/140120260715594439.pdf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https://www2.jpx.co.jp/disc/44900/140120260414503632.pdf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https://www2.jpx.co.jp/disc/44900/140120260114533478.pdf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https://www2.jpx.co.jp/disc/44900/140120251014573295.pdf</t>
        </is>
      </c>
    </row>
    <row r="9">
      <c r="A9" t="inlineStr">
        <is>
          <t>2025-07-15</t>
        </is>
      </c>
      <c r="B9" t="inlineStr">
        <is>
          <t>2026년 2월 결산기 １분기 결산단신</t>
        </is>
      </c>
      <c r="C9" t="inlineStr">
        <is>
          <t>https://www2.jpx.co.jp/disc/44900/140120250714513650.pdf</t>
        </is>
      </c>
    </row>
    <row r="10">
      <c r="A10" t="inlineStr">
        <is>
          <t>2025-04-11</t>
        </is>
      </c>
      <c r="B10" t="inlineStr">
        <is>
          <t>2025년 2월 결산기 연간 결산단신</t>
        </is>
      </c>
      <c r="C10" t="inlineStr">
        <is>
          <t>https://www2.jpx.co.jp/disc/44900/140120250411513756.pdf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https://www2.jpx.co.jp/disc/44900/140120250114550381.pdf</t>
        </is>
      </c>
    </row>
    <row r="12">
      <c r="A12" t="inlineStr">
        <is>
          <t>2024-10-15</t>
        </is>
      </c>
      <c r="B12" t="inlineStr">
        <is>
          <t>2025년 2월 결산기 ２분기 결산단신</t>
        </is>
      </c>
      <c r="C12" t="inlineStr">
        <is>
          <t>https://www2.jpx.co.jp/disc/44900/140120241011597399.pdf</t>
        </is>
      </c>
    </row>
    <row r="13">
      <c r="A13" t="inlineStr">
        <is>
          <t>2024-07-12</t>
        </is>
      </c>
      <c r="B13" t="inlineStr">
        <is>
          <t>2025년 2월 결산기 1분기 결산단신</t>
        </is>
      </c>
      <c r="C13" t="inlineStr">
        <is>
          <t>https://www2.jpx.co.jp/disc/44900/140120240712548748.pdf</t>
        </is>
      </c>
    </row>
    <row r="14">
      <c r="A14" t="inlineStr">
        <is>
          <t>2024-04-12</t>
        </is>
      </c>
      <c r="B14" t="inlineStr">
        <is>
          <t>2024년 2월 결산기 연간 결산단신</t>
        </is>
      </c>
      <c r="C14" t="inlineStr">
        <is>
          <t>https://www2.jpx.co.jp/disc/44900/140120240412570087.pdf</t>
        </is>
      </c>
    </row>
    <row r="15">
      <c r="A15" t="inlineStr">
        <is>
          <t>2024-01-12</t>
        </is>
      </c>
      <c r="B15" t="inlineStr">
        <is>
          <t>2024년 2월 결산기 3분기 결산단신</t>
        </is>
      </c>
      <c r="C15" t="inlineStr">
        <is>
          <t>https://www2.jpx.co.jp/disc/44900/140120240112514435.pdf</t>
        </is>
      </c>
    </row>
    <row r="16">
      <c r="A16" t="inlineStr">
        <is>
          <t>2023-10-13</t>
        </is>
      </c>
      <c r="B16" t="inlineStr">
        <is>
          <t>2024년 2월 결산기 2분기 결산단신</t>
        </is>
      </c>
      <c r="C16" t="inlineStr">
        <is>
          <t>https://www2.jpx.co.jp/disc/44900/140120231013566306.pdf</t>
        </is>
      </c>
    </row>
    <row r="17">
      <c r="A17" t="inlineStr">
        <is>
          <t>2023-07-14</t>
        </is>
      </c>
      <c r="B17" t="inlineStr">
        <is>
          <t>2024년 2월 결산기 1분기 결산단신</t>
        </is>
      </c>
      <c r="C17" t="inlineStr">
        <is>
          <t>https://www2.jpx.co.jp/disc/44900/140120230714522302.pdf</t>
        </is>
      </c>
    </row>
    <row r="18">
      <c r="A18" t="inlineStr">
        <is>
          <t>2023-04-14</t>
        </is>
      </c>
      <c r="B18" t="inlineStr">
        <is>
          <t>2023년 2월 결산기 연간 결산단신</t>
        </is>
      </c>
      <c r="C18" t="inlineStr">
        <is>
          <t>https://www2.jpx.co.jp/disc/44900/140120230414547108.pdf</t>
        </is>
      </c>
    </row>
    <row r="19">
      <c r="A19" t="inlineStr">
        <is>
          <t>2023-01-13</t>
        </is>
      </c>
      <c r="B19" t="inlineStr">
        <is>
          <t>2023년 2월 결산기 ３분기 결산단신</t>
        </is>
      </c>
      <c r="C19" t="inlineStr">
        <is>
          <t>https://www2.jpx.co.jp/disc/44900/140120230113589192.pdf</t>
        </is>
      </c>
    </row>
    <row r="20">
      <c r="A20" t="inlineStr">
        <is>
          <t>2022-04-14</t>
        </is>
      </c>
      <c r="B20" t="inlineStr">
        <is>
          <t>2022년 2월 결산기 연간 결산단신</t>
        </is>
      </c>
      <c r="C20" t="inlineStr">
        <is>
          <t>https://www2.jpx.co.jp/disc/44900/140120220414521983.pdf</t>
        </is>
      </c>
    </row>
    <row r="21">
      <c r="A21" t="inlineStr">
        <is>
          <t>2021-04-14</t>
        </is>
      </c>
      <c r="B21" t="inlineStr">
        <is>
          <t>2021년 2월 결산기 연간 결산단신</t>
        </is>
      </c>
      <c r="C21" t="inlineStr">
        <is>
          <t>https://www2.jpx.co.jp/disc/44900/140120210412493257.pdf</t>
        </is>
      </c>
    </row>
    <row r="22">
      <c r="A22" t="inlineStr">
        <is>
          <t>2020-04-14</t>
        </is>
      </c>
      <c r="B22" t="inlineStr">
        <is>
          <t>2020년 2월 결산기 연간 결산단신</t>
        </is>
      </c>
      <c r="C22" t="inlineStr">
        <is>
          <t>https://www2.jpx.co.jp/disc/44900/140120200413492980.pdf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2026-10-26T02:38:15Z</dcterms:created>
  <dcterms:modified xmlns:dcterms="http://purl.org/dc/terms/" xmlns:xsi="http://www.w3.org/2001/XMLSchema-instance" xsi:type="dcterms:W3CDTF">2026-10-26T02:38:16Z</dcterms:modified>
</cp:coreProperties>
</file>