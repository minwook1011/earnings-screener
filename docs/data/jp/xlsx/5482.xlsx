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301"/>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5482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75501</v>
      </c>
      <c r="D4" s="12" t="n">
        <v>77654</v>
      </c>
      <c r="E4" s="12" t="n">
        <v>69548</v>
      </c>
      <c r="F4" s="12" t="n">
        <v>71933</v>
      </c>
      <c r="G4" s="12" t="n">
        <v>73030</v>
      </c>
      <c r="H4" s="12" t="n">
        <v>76909</v>
      </c>
      <c r="I4" s="12" t="n">
        <v>77415</v>
      </c>
      <c r="J4" s="12" t="n">
        <v>75086</v>
      </c>
      <c r="K4" s="12" t="n">
        <v>74722</v>
      </c>
      <c r="L4" s="12" t="n">
        <v>76886</v>
      </c>
      <c r="M4" s="12" t="n">
        <v>77647</v>
      </c>
      <c r="N4" s="12" t="n">
        <v>81603</v>
      </c>
      <c r="O4" s="11" t="n"/>
      <c r="P4" s="12" t="n">
        <v>236237</v>
      </c>
      <c r="Q4" s="12" t="n">
        <v>257315</v>
      </c>
      <c r="R4" s="12" t="n">
        <v>242262</v>
      </c>
      <c r="S4" s="12" t="n">
        <v>202247</v>
      </c>
      <c r="T4" s="12" t="n">
        <v>260117</v>
      </c>
      <c r="U4" s="12" t="n">
        <v>285141</v>
      </c>
      <c r="V4" s="12" t="n">
        <v>296516</v>
      </c>
      <c r="W4" s="12" t="n">
        <v>299287</v>
      </c>
      <c r="X4" s="12" t="n">
        <v>304341</v>
      </c>
      <c r="Y4" s="11">
        <f>IF(COUNT(Y7,Y10,Y13,Y16,Y19,Y22)=0,"",SUM(Y7,Y10,Y13,Y16,Y19,Y22))</f>
        <v/>
      </c>
      <c r="Z4" s="12">
        <f>IF(COUNT(Z7,Z10,Z13,Z16,Z19,Z22)=0,"",SUM(Z7,Z10,Z13,Z16,Z19,Z22))</f>
        <v/>
      </c>
      <c r="AA4" s="12">
        <f>IF(COUNT(AA7,AA10,AA13,AA16,AA19,AA22)=0,"",SUM(AA7,AA10,AA13,AA16,AA19,AA22))</f>
        <v/>
      </c>
      <c r="AB4" s="12">
        <f>IF(COUNT(AB7,AB10,AB13,AB16,AB19,AB22)=0,"",SUM(AB7,AB10,AB13,AB16,AB19,AB22))</f>
        <v/>
      </c>
      <c r="AC4" s="12">
        <f>IF(COUNT(AC7,AC10,AC13,AC16,AC19,AC22)=0,"",SUM(AC7,AC10,AC13,AC16,AC19,AC22))</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HaganeCompanyReportableSegmentMember</t>
        </is>
      </c>
      <c r="B7" s="10" t="n"/>
      <c r="C7" s="19" t="n">
        <v>27876</v>
      </c>
      <c r="D7" s="20" t="n">
        <v>28383</v>
      </c>
      <c r="E7" s="20" t="n">
        <v>24827</v>
      </c>
      <c r="F7" s="20" t="n">
        <v>24888</v>
      </c>
      <c r="G7" s="20" t="n">
        <v>26769</v>
      </c>
      <c r="H7" s="20" t="n">
        <v>29072</v>
      </c>
      <c r="I7" s="20" t="n">
        <v>26039</v>
      </c>
      <c r="J7" s="20" t="n">
        <v>26345</v>
      </c>
      <c r="K7" s="20" t="n">
        <v>25291</v>
      </c>
      <c r="L7" s="20" t="n">
        <v>27336</v>
      </c>
      <c r="M7" s="20" t="n">
        <v>26595</v>
      </c>
      <c r="N7" s="20" t="n">
        <v>28061</v>
      </c>
      <c r="O7" s="19" t="n"/>
      <c r="P7" s="20" t="n"/>
      <c r="Q7" s="20" t="n"/>
      <c r="R7" s="20" t="n"/>
      <c r="S7" s="20" t="n"/>
      <c r="T7" s="20" t="n"/>
      <c r="U7" s="20" t="n"/>
      <c r="V7" s="20" t="n">
        <v>108216</v>
      </c>
      <c r="W7" s="20" t="n">
        <v>106768</v>
      </c>
      <c r="X7" s="20" t="n">
        <v>105567</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StainlessCompanyReportableSegmentMember</t>
        </is>
      </c>
      <c r="B10" s="10" t="n"/>
      <c r="C10" s="19" t="n">
        <v>10014</v>
      </c>
      <c r="D10" s="20" t="n">
        <v>10403</v>
      </c>
      <c r="E10" s="20" t="n">
        <v>10705</v>
      </c>
      <c r="F10" s="20" t="n">
        <v>10616</v>
      </c>
      <c r="G10" s="20" t="n">
        <v>10410</v>
      </c>
      <c r="H10" s="20" t="n">
        <v>11218</v>
      </c>
      <c r="I10" s="20" t="n">
        <v>11811</v>
      </c>
      <c r="J10" s="20" t="n">
        <v>9786</v>
      </c>
      <c r="K10" s="20" t="n">
        <v>9704</v>
      </c>
      <c r="L10" s="20" t="n">
        <v>9116</v>
      </c>
      <c r="M10" s="20" t="n">
        <v>10291</v>
      </c>
      <c r="N10" s="20" t="n">
        <v>10522</v>
      </c>
      <c r="O10" s="19" t="n"/>
      <c r="P10" s="20" t="n"/>
      <c r="Q10" s="20" t="n"/>
      <c r="R10" s="20" t="n"/>
      <c r="S10" s="20" t="n"/>
      <c r="T10" s="20" t="n"/>
      <c r="U10" s="20" t="n"/>
      <c r="V10" s="20" t="n">
        <v>41259</v>
      </c>
      <c r="W10" s="20" t="n">
        <v>44055</v>
      </c>
      <c r="X10" s="20" t="n">
        <v>38897</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KitaeruCompanyReportableSegmentMember</t>
        </is>
      </c>
      <c r="B13" s="10" t="n"/>
      <c r="C13" s="19" t="n">
        <v>31749</v>
      </c>
      <c r="D13" s="20" t="n">
        <v>32605</v>
      </c>
      <c r="E13" s="20" t="n">
        <v>28610</v>
      </c>
      <c r="F13" s="20" t="n">
        <v>31297</v>
      </c>
      <c r="G13" s="20" t="n">
        <v>30410</v>
      </c>
      <c r="H13" s="20" t="n">
        <v>30412</v>
      </c>
      <c r="I13" s="20" t="n">
        <v>33387</v>
      </c>
      <c r="J13" s="20" t="n">
        <v>33162</v>
      </c>
      <c r="K13" s="20" t="n">
        <v>33474</v>
      </c>
      <c r="L13" s="20" t="n">
        <v>33848</v>
      </c>
      <c r="M13" s="20" t="n">
        <v>34339</v>
      </c>
      <c r="N13" s="20" t="n">
        <v>36137</v>
      </c>
      <c r="O13" s="19" t="n"/>
      <c r="P13" s="20" t="n"/>
      <c r="Q13" s="20" t="n"/>
      <c r="R13" s="20" t="n"/>
      <c r="S13" s="20" t="n"/>
      <c r="T13" s="20" t="n"/>
      <c r="U13" s="20" t="n"/>
      <c r="V13" s="20" t="n">
        <v>124262</v>
      </c>
      <c r="W13" s="20" t="n">
        <v>125506</v>
      </c>
      <c r="X13" s="20" t="n">
        <v>134823</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SmartCompanyReportableSegmentMember</t>
        </is>
      </c>
      <c r="B16" s="10" t="n"/>
      <c r="C16" s="19" t="n">
        <v>5249</v>
      </c>
      <c r="D16" s="20" t="n">
        <v>5554</v>
      </c>
      <c r="E16" s="20" t="n">
        <v>4365</v>
      </c>
      <c r="F16" s="20" t="n">
        <v>4611</v>
      </c>
      <c r="G16" s="20" t="n">
        <v>4889</v>
      </c>
      <c r="H16" s="20" t="n">
        <v>5635</v>
      </c>
      <c r="I16" s="20" t="n">
        <v>5458</v>
      </c>
      <c r="J16" s="20" t="n">
        <v>5255</v>
      </c>
      <c r="K16" s="20" t="n">
        <v>5620</v>
      </c>
      <c r="L16" s="20" t="n">
        <v>5888</v>
      </c>
      <c r="M16" s="20" t="n">
        <v>5344</v>
      </c>
      <c r="N16" s="20" t="n">
        <v>6341</v>
      </c>
      <c r="O16" s="19" t="n"/>
      <c r="P16" s="20" t="n"/>
      <c r="Q16" s="20" t="n"/>
      <c r="R16" s="20" t="n"/>
      <c r="S16" s="20" t="n"/>
      <c r="T16" s="20" t="n"/>
      <c r="U16" s="20" t="n"/>
      <c r="V16" s="20" t="n">
        <v>19940</v>
      </c>
      <c r="W16" s="20" t="n">
        <v>20593</v>
      </c>
      <c r="X16" s="20" t="n">
        <v>22107</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8" t="inlineStr">
        <is>
          <t>OtherReportableSegmentsMember</t>
        </is>
      </c>
      <c r="B19" s="10" t="n"/>
      <c r="C19" s="19" t="n">
        <v>610</v>
      </c>
      <c r="D19" s="20" t="n">
        <v>711</v>
      </c>
      <c r="E19" s="20" t="n">
        <v>1042</v>
      </c>
      <c r="F19" s="20" t="n">
        <v>518</v>
      </c>
      <c r="G19" s="20" t="n">
        <v>553</v>
      </c>
      <c r="H19" s="20" t="n">
        <v>573</v>
      </c>
      <c r="I19" s="20" t="n">
        <v>719</v>
      </c>
      <c r="J19" s="20" t="n">
        <v>536</v>
      </c>
      <c r="K19" s="20" t="n">
        <v>634</v>
      </c>
      <c r="L19" s="20" t="n">
        <v>697</v>
      </c>
      <c r="M19" s="20" t="n">
        <v>1078</v>
      </c>
      <c r="N19" s="20" t="n">
        <v>540</v>
      </c>
      <c r="O19" s="19" t="n"/>
      <c r="P19" s="20" t="n"/>
      <c r="Q19" s="20" t="n"/>
      <c r="R19" s="20" t="n"/>
      <c r="S19" s="20" t="n"/>
      <c r="T19" s="20" t="n"/>
      <c r="U19" s="20" t="n"/>
      <c r="V19" s="20" t="n">
        <v>2838</v>
      </c>
      <c r="W19" s="20" t="n">
        <v>2363</v>
      </c>
      <c r="X19" s="20" t="n">
        <v>2945</v>
      </c>
      <c r="Y19" s="21" t="n"/>
      <c r="Z19" s="22" t="n"/>
      <c r="AA19" s="22" t="n"/>
      <c r="AB19" s="22" t="n"/>
      <c r="AC19" s="22" t="n"/>
    </row>
    <row r="20">
      <c r="A20" s="13" t="inlineStr">
        <is>
          <t>비중</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IF(OR(G19="",C19=""),"",IFERROR(G19/C19-1,""))</f>
        <v/>
      </c>
      <c r="H21" s="15">
        <f>IF(OR(H19="",D19=""),"",IFERROR(H19/D19-1,""))</f>
        <v/>
      </c>
      <c r="I21" s="15">
        <f>IF(OR(I19="",E19=""),"",IFERROR(I19/E19-1,""))</f>
        <v/>
      </c>
      <c r="J21" s="15">
        <f>IF(OR(J19="",F19=""),"",IFERROR(J19/F19-1,""))</f>
        <v/>
      </c>
      <c r="K21" s="15">
        <f>IF(OR(K19="",G19=""),"",IFERROR(K19/G19-1,""))</f>
        <v/>
      </c>
      <c r="L21" s="15">
        <f>IF(OR(L19="",H19=""),"",IFERROR(L19/H19-1,""))</f>
        <v/>
      </c>
      <c r="M21" s="15">
        <f>IF(OR(M19="",I19=""),"",IFERROR(M19/I19-1,""))</f>
        <v/>
      </c>
      <c r="N21" s="15">
        <f>IF(OR(N19="",J19=""),"",IFERROR(N19/J19-1,""))</f>
        <v/>
      </c>
      <c r="O21" s="14" t="n"/>
      <c r="P21" s="15">
        <f>IF(OR(P19="",O19=""),"",IFERROR(P19/O19-1,""))</f>
        <v/>
      </c>
      <c r="Q21" s="15">
        <f>IF(OR(Q19="",P19=""),"",IFERROR(Q19/P19-1,""))</f>
        <v/>
      </c>
      <c r="R21" s="15">
        <f>IF(OR(R19="",Q19=""),"",IFERROR(R19/Q19-1,""))</f>
        <v/>
      </c>
      <c r="S21" s="15">
        <f>IF(OR(S19="",R19=""),"",IFERROR(S19/R19-1,""))</f>
        <v/>
      </c>
      <c r="T21" s="15">
        <f>IF(OR(T19="",S19=""),"",IFERROR(T19/S19-1,""))</f>
        <v/>
      </c>
      <c r="U21" s="15">
        <f>IF(OR(U19="",T19=""),"",IFERROR(U19/T19-1,""))</f>
        <v/>
      </c>
      <c r="V21" s="15">
        <f>IF(OR(V19="",U19=""),"",IFERROR(V19/U19-1,""))</f>
        <v/>
      </c>
      <c r="W21" s="15">
        <f>IF(OR(W19="",V19=""),"",IFERROR(W19/V19-1,""))</f>
        <v/>
      </c>
      <c r="X21" s="15">
        <f>IF(OR(X19="",W19=""),"",IFERROR(X19/W19-1,""))</f>
        <v/>
      </c>
      <c r="Y21" s="14">
        <f>IF(OR(Y19="",X19=""),"",IFERROR(Y19/X19-1,""))</f>
        <v/>
      </c>
      <c r="Z21" s="15">
        <f>IF(OR(Z19="",Y19=""),"",IFERROR(Z19/Y19-1,""))</f>
        <v/>
      </c>
      <c r="AA21" s="15">
        <f>IF(OR(AA19="",Z19=""),"",IFERROR(AA19/Z19-1,""))</f>
        <v/>
      </c>
      <c r="AB21" s="15">
        <f>IF(OR(AB19="",AA19=""),"",IFERROR(AB19/AA19-1,""))</f>
        <v/>
      </c>
      <c r="AC21" s="15">
        <f>IF(OR(AC19="",AB19=""),"",IFERROR(AC19/AB19-1,""))</f>
        <v/>
      </c>
    </row>
    <row r="22">
      <c r="A22" s="18" t="inlineStr">
        <is>
          <t>EntityTotalMember</t>
        </is>
      </c>
      <c r="B22" s="10" t="n"/>
      <c r="C22" s="19" t="n"/>
      <c r="D22" s="20" t="n"/>
      <c r="E22" s="20" t="n"/>
      <c r="F22" s="20" t="n">
        <v>71933</v>
      </c>
      <c r="G22" s="20" t="n"/>
      <c r="H22" s="20" t="n"/>
      <c r="I22" s="20" t="n"/>
      <c r="J22" s="20" t="n">
        <v>75086</v>
      </c>
      <c r="K22" s="20" t="n"/>
      <c r="L22" s="20" t="n"/>
      <c r="M22" s="20" t="n"/>
      <c r="N22" s="20" t="n">
        <v>81603</v>
      </c>
      <c r="O22" s="19" t="n"/>
      <c r="P22" s="20" t="n"/>
      <c r="Q22" s="20" t="n"/>
      <c r="R22" s="20" t="n"/>
      <c r="S22" s="20" t="n"/>
      <c r="T22" s="20" t="n"/>
      <c r="U22" s="20" t="n"/>
      <c r="V22" s="20" t="n"/>
      <c r="W22" s="20" t="n"/>
      <c r="X22" s="20" t="n"/>
      <c r="Y22" s="21" t="n"/>
      <c r="Z22" s="22" t="n"/>
      <c r="AA22" s="22" t="n"/>
      <c r="AB22" s="22" t="n"/>
      <c r="AC22" s="22" t="n"/>
    </row>
    <row r="23">
      <c r="A23" s="13" t="inlineStr">
        <is>
          <t>비중</t>
        </is>
      </c>
      <c r="B23" s="10" t="n"/>
      <c r="C23" s="14">
        <f>IF(OR(C22="",C4=""),"",IFERROR(C22/C4,""))</f>
        <v/>
      </c>
      <c r="D23" s="15">
        <f>IF(OR(D22="",D4=""),"",IFERROR(D22/D4,""))</f>
        <v/>
      </c>
      <c r="E23" s="15">
        <f>IF(OR(E22="",E4=""),"",IFERROR(E22/E4,""))</f>
        <v/>
      </c>
      <c r="F23" s="15">
        <f>IF(OR(F22="",F4=""),"",IFERROR(F22/F4,""))</f>
        <v/>
      </c>
      <c r="G23" s="15">
        <f>IF(OR(G22="",G4=""),"",IFERROR(G22/G4,""))</f>
        <v/>
      </c>
      <c r="H23" s="15">
        <f>IF(OR(H22="",H4=""),"",IFERROR(H22/H4,""))</f>
        <v/>
      </c>
      <c r="I23" s="15">
        <f>IF(OR(I22="",I4=""),"",IFERROR(I22/I4,""))</f>
        <v/>
      </c>
      <c r="J23" s="15">
        <f>IF(OR(J22="",J4=""),"",IFERROR(J22/J4,""))</f>
        <v/>
      </c>
      <c r="K23" s="15">
        <f>IF(OR(K22="",K4=""),"",IFERROR(K22/K4,""))</f>
        <v/>
      </c>
      <c r="L23" s="15">
        <f>IF(OR(L22="",L4=""),"",IFERROR(L22/L4,""))</f>
        <v/>
      </c>
      <c r="M23" s="15">
        <f>IF(OR(M22="",M4=""),"",IFERROR(M22/M4,""))</f>
        <v/>
      </c>
      <c r="N23" s="15">
        <f>IF(OR(N22="",N4=""),"",IFERROR(N22/N4,""))</f>
        <v/>
      </c>
      <c r="O23" s="14">
        <f>IF(OR(O22="",O4=""),"",IFERROR(O22/O4,""))</f>
        <v/>
      </c>
      <c r="P23" s="15">
        <f>IF(OR(P22="",P4=""),"",IFERROR(P22/P4,""))</f>
        <v/>
      </c>
      <c r="Q23" s="15">
        <f>IF(OR(Q22="",Q4=""),"",IFERROR(Q22/Q4,""))</f>
        <v/>
      </c>
      <c r="R23" s="15">
        <f>IF(OR(R22="",R4=""),"",IFERROR(R22/R4,""))</f>
        <v/>
      </c>
      <c r="S23" s="15">
        <f>IF(OR(S22="",S4=""),"",IFERROR(S22/S4,""))</f>
        <v/>
      </c>
      <c r="T23" s="15">
        <f>IF(OR(T22="",T4=""),"",IFERROR(T22/T4,""))</f>
        <v/>
      </c>
      <c r="U23" s="15">
        <f>IF(OR(U22="",U4=""),"",IFERROR(U22/U4,""))</f>
        <v/>
      </c>
      <c r="V23" s="15">
        <f>IF(OR(V22="",V4=""),"",IFERROR(V22/V4,""))</f>
        <v/>
      </c>
      <c r="W23" s="15">
        <f>IF(OR(W22="",W4=""),"",IFERROR(W22/W4,""))</f>
        <v/>
      </c>
      <c r="X23" s="15">
        <f>IF(OR(X22="",X4=""),"",IFERROR(X22/X4,""))</f>
        <v/>
      </c>
      <c r="Y23" s="14">
        <f>IF(OR(Y22="",Y4=""),"",IFERROR(Y22/Y4,""))</f>
        <v/>
      </c>
      <c r="Z23" s="15">
        <f>IF(OR(Z22="",Z4=""),"",IFERROR(Z22/Z4,""))</f>
        <v/>
      </c>
      <c r="AA23" s="15">
        <f>IF(OR(AA22="",AA4=""),"",IFERROR(AA22/AA4,""))</f>
        <v/>
      </c>
      <c r="AB23" s="15">
        <f>IF(OR(AB22="",AB4=""),"",IFERROR(AB22/AB4,""))</f>
        <v/>
      </c>
      <c r="AC23" s="15">
        <f>IF(OR(AC22="",AC4=""),"",IFERROR(AC22/AC4,""))</f>
        <v/>
      </c>
    </row>
    <row r="24">
      <c r="A24" s="13" t="inlineStr">
        <is>
          <t>YoY</t>
        </is>
      </c>
      <c r="B24" s="10" t="n"/>
      <c r="C24" s="14" t="n"/>
      <c r="D24" s="15" t="n"/>
      <c r="E24" s="15" t="n"/>
      <c r="F24" s="15" t="n"/>
      <c r="G24" s="15">
        <f>IF(OR(G22="",C22=""),"",IFERROR(G22/C22-1,""))</f>
        <v/>
      </c>
      <c r="H24" s="15">
        <f>IF(OR(H22="",D22=""),"",IFERROR(H22/D22-1,""))</f>
        <v/>
      </c>
      <c r="I24" s="15">
        <f>IF(OR(I22="",E22=""),"",IFERROR(I22/E22-1,""))</f>
        <v/>
      </c>
      <c r="J24" s="15">
        <f>IF(OR(J22="",F22=""),"",IFERROR(J22/F22-1,""))</f>
        <v/>
      </c>
      <c r="K24" s="15">
        <f>IF(OR(K22="",G22=""),"",IFERROR(K22/G22-1,""))</f>
        <v/>
      </c>
      <c r="L24" s="15">
        <f>IF(OR(L22="",H22=""),"",IFERROR(L22/H22-1,""))</f>
        <v/>
      </c>
      <c r="M24" s="15">
        <f>IF(OR(M22="",I22=""),"",IFERROR(M22/I22-1,""))</f>
        <v/>
      </c>
      <c r="N24" s="15">
        <f>IF(OR(N22="",J22=""),"",IFERROR(N22/J22-1,""))</f>
        <v/>
      </c>
      <c r="O24" s="14" t="n"/>
      <c r="P24" s="15">
        <f>IF(OR(P22="",O22=""),"",IFERROR(P22/O22-1,""))</f>
        <v/>
      </c>
      <c r="Q24" s="15">
        <f>IF(OR(Q22="",P22=""),"",IFERROR(Q22/P22-1,""))</f>
        <v/>
      </c>
      <c r="R24" s="15">
        <f>IF(OR(R22="",Q22=""),"",IFERROR(R22/Q22-1,""))</f>
        <v/>
      </c>
      <c r="S24" s="15">
        <f>IF(OR(S22="",R22=""),"",IFERROR(S22/R22-1,""))</f>
        <v/>
      </c>
      <c r="T24" s="15">
        <f>IF(OR(T22="",S22=""),"",IFERROR(T22/S22-1,""))</f>
        <v/>
      </c>
      <c r="U24" s="15">
        <f>IF(OR(U22="",T22=""),"",IFERROR(U22/T22-1,""))</f>
        <v/>
      </c>
      <c r="V24" s="15">
        <f>IF(OR(V22="",U22=""),"",IFERROR(V22/U22-1,""))</f>
        <v/>
      </c>
      <c r="W24" s="15">
        <f>IF(OR(W22="",V22=""),"",IFERROR(W22/V22-1,""))</f>
        <v/>
      </c>
      <c r="X24" s="15">
        <f>IF(OR(X22="",W22=""),"",IFERROR(X22/W22-1,""))</f>
        <v/>
      </c>
      <c r="Y24" s="14">
        <f>IF(OR(Y22="",X22=""),"",IFERROR(Y22/X22-1,""))</f>
        <v/>
      </c>
      <c r="Z24" s="15">
        <f>IF(OR(Z22="",Y22=""),"",IFERROR(Z22/Y22-1,""))</f>
        <v/>
      </c>
      <c r="AA24" s="15">
        <f>IF(OR(AA22="",Z22=""),"",IFERROR(AA22/Z22-1,""))</f>
        <v/>
      </c>
      <c r="AB24" s="15">
        <f>IF(OR(AB22="",AA22=""),"",IFERROR(AB22/AA22-1,""))</f>
        <v/>
      </c>
      <c r="AC24" s="15">
        <f>IF(OR(AC22="",AB22=""),"",IFERROR(AC22/AB22-1,""))</f>
        <v/>
      </c>
    </row>
    <row r="25">
      <c r="A25" s="16" t="inlineStr">
        <is>
          <t>매출원가</t>
        </is>
      </c>
      <c r="B25" s="16" t="n"/>
      <c r="C25" s="17" t="n"/>
      <c r="D25" s="16" t="n"/>
      <c r="E25" s="16" t="n"/>
      <c r="F25" s="16" t="n"/>
      <c r="G25" s="16" t="n"/>
      <c r="H25" s="16" t="n"/>
      <c r="I25" s="16" t="n"/>
      <c r="J25" s="16" t="n"/>
      <c r="K25" s="16" t="n"/>
      <c r="L25" s="16" t="n"/>
      <c r="M25" s="16" t="n"/>
      <c r="N25" s="16" t="n"/>
      <c r="O25" s="17" t="n"/>
      <c r="P25" s="16" t="n"/>
      <c r="Q25" s="16" t="n"/>
      <c r="R25" s="16" t="n"/>
      <c r="S25" s="16" t="n"/>
      <c r="T25" s="16" t="n"/>
      <c r="U25" s="16" t="n"/>
      <c r="V25" s="16" t="n"/>
      <c r="W25" s="16" t="n"/>
      <c r="X25" s="16" t="n"/>
      <c r="Y25" s="17" t="n"/>
      <c r="Z25" s="16" t="n"/>
      <c r="AA25" s="16" t="n"/>
      <c r="AB25" s="16" t="n"/>
      <c r="AC25" s="16" t="n"/>
    </row>
    <row r="26">
      <c r="A26" s="18" t="inlineStr">
        <is>
          <t>전체 매출원가</t>
        </is>
      </c>
      <c r="B26" s="10" t="n"/>
      <c r="C26" s="19" t="n">
        <v>65643</v>
      </c>
      <c r="D26" s="20" t="n">
        <v>66131</v>
      </c>
      <c r="E26" s="20" t="n">
        <v>61351</v>
      </c>
      <c r="F26" s="20" t="n">
        <v>63850</v>
      </c>
      <c r="G26" s="20" t="n">
        <v>64482</v>
      </c>
      <c r="H26" s="20" t="n">
        <v>65494</v>
      </c>
      <c r="I26" s="20" t="n">
        <v>65520</v>
      </c>
      <c r="J26" s="20" t="n">
        <v>63257</v>
      </c>
      <c r="K26" s="20" t="n">
        <v>63254</v>
      </c>
      <c r="L26" s="20" t="n">
        <v>64140</v>
      </c>
      <c r="M26" s="20" t="n">
        <v>67350</v>
      </c>
      <c r="N26" s="20" t="n">
        <v>70321</v>
      </c>
      <c r="O26" s="19" t="n"/>
      <c r="P26" s="20" t="n">
        <v>200924</v>
      </c>
      <c r="Q26" s="20" t="n">
        <v>222212</v>
      </c>
      <c r="R26" s="20" t="n">
        <v>204168</v>
      </c>
      <c r="S26" s="20" t="n">
        <v>175000</v>
      </c>
      <c r="T26" s="20" t="n">
        <v>232737</v>
      </c>
      <c r="U26" s="20" t="n">
        <v>256073</v>
      </c>
      <c r="V26" s="20" t="n">
        <v>257467</v>
      </c>
      <c r="W26" s="20" t="n">
        <v>259346</v>
      </c>
      <c r="X26" s="20" t="n">
        <v>258001</v>
      </c>
      <c r="Y26" s="19" t="n"/>
      <c r="Z26" s="20" t="n"/>
      <c r="AA26" s="20" t="n"/>
      <c r="AB26" s="20" t="n"/>
      <c r="AC26" s="20" t="n"/>
    </row>
    <row r="27">
      <c r="A27" s="18" t="inlineStr">
        <is>
          <t>매출총이익</t>
        </is>
      </c>
      <c r="B27" s="10" t="n"/>
      <c r="C27" s="19">
        <f>IF(OR(C4="",C26=""),"",IFERROR(C4-C26,""))</f>
        <v/>
      </c>
      <c r="D27" s="20">
        <f>IF(OR(D4="",D26=""),"",IFERROR(D4-D26,""))</f>
        <v/>
      </c>
      <c r="E27" s="20">
        <f>IF(OR(E4="",E26=""),"",IFERROR(E4-E26,""))</f>
        <v/>
      </c>
      <c r="F27" s="20">
        <f>IF(OR(F4="",F26=""),"",IFERROR(F4-F26,""))</f>
        <v/>
      </c>
      <c r="G27" s="20">
        <f>IF(OR(G4="",G26=""),"",IFERROR(G4-G26,""))</f>
        <v/>
      </c>
      <c r="H27" s="20">
        <f>IF(OR(H4="",H26=""),"",IFERROR(H4-H26,""))</f>
        <v/>
      </c>
      <c r="I27" s="20">
        <f>IF(OR(I4="",I26=""),"",IFERROR(I4-I26,""))</f>
        <v/>
      </c>
      <c r="J27" s="20">
        <f>IF(OR(J4="",J26=""),"",IFERROR(J4-J26,""))</f>
        <v/>
      </c>
      <c r="K27" s="20">
        <f>IF(OR(K4="",K26=""),"",IFERROR(K4-K26,""))</f>
        <v/>
      </c>
      <c r="L27" s="20">
        <f>IF(OR(L4="",L26=""),"",IFERROR(L4-L26,""))</f>
        <v/>
      </c>
      <c r="M27" s="20">
        <f>IF(OR(M4="",M26=""),"",IFERROR(M4-M26,""))</f>
        <v/>
      </c>
      <c r="N27" s="20">
        <f>IF(OR(N4="",N26=""),"",IFERROR(N4-N26,""))</f>
        <v/>
      </c>
      <c r="O27" s="19">
        <f>IF(OR(O4="",O26=""),"",IFERROR(O4-O26,""))</f>
        <v/>
      </c>
      <c r="P27" s="20">
        <f>IF(OR(P4="",P26=""),"",IFERROR(P4-P26,""))</f>
        <v/>
      </c>
      <c r="Q27" s="20">
        <f>IF(OR(Q4="",Q26=""),"",IFERROR(Q4-Q26,""))</f>
        <v/>
      </c>
      <c r="R27" s="20">
        <f>IF(OR(R4="",R26=""),"",IFERROR(R4-R26,""))</f>
        <v/>
      </c>
      <c r="S27" s="20">
        <f>IF(OR(S4="",S26=""),"",IFERROR(S4-S26,""))</f>
        <v/>
      </c>
      <c r="T27" s="20">
        <f>IF(OR(T4="",T26=""),"",IFERROR(T4-T26,""))</f>
        <v/>
      </c>
      <c r="U27" s="20">
        <f>IF(OR(U4="",U26=""),"",IFERROR(U4-U26,""))</f>
        <v/>
      </c>
      <c r="V27" s="20">
        <f>IF(OR(V4="",V26=""),"",IFERROR(V4-V26,""))</f>
        <v/>
      </c>
      <c r="W27" s="20">
        <f>IF(OR(W4="",W26=""),"",IFERROR(W4-W26,""))</f>
        <v/>
      </c>
      <c r="X27" s="20">
        <f>IF(OR(X4="",X26=""),"",IFERROR(X4-X26,""))</f>
        <v/>
      </c>
      <c r="Y27" s="19" t="n"/>
      <c r="Z27" s="20" t="n"/>
      <c r="AA27" s="20" t="n"/>
      <c r="AB27" s="20" t="n"/>
      <c r="AC27" s="20" t="n"/>
    </row>
    <row r="28">
      <c r="A28" s="13" t="inlineStr">
        <is>
          <t>GPM</t>
        </is>
      </c>
      <c r="B28" s="10" t="n"/>
      <c r="C28" s="14">
        <f>IF(OR(C27="",C4=""),"",IFERROR(C27/C4,""))</f>
        <v/>
      </c>
      <c r="D28" s="15">
        <f>IF(OR(D27="",D4=""),"",IFERROR(D27/D4,""))</f>
        <v/>
      </c>
      <c r="E28" s="15">
        <f>IF(OR(E27="",E4=""),"",IFERROR(E27/E4,""))</f>
        <v/>
      </c>
      <c r="F28" s="15">
        <f>IF(OR(F27="",F4=""),"",IFERROR(F27/F4,""))</f>
        <v/>
      </c>
      <c r="G28" s="15">
        <f>IF(OR(G27="",G4=""),"",IFERROR(G27/G4,""))</f>
        <v/>
      </c>
      <c r="H28" s="15">
        <f>IF(OR(H27="",H4=""),"",IFERROR(H27/H4,""))</f>
        <v/>
      </c>
      <c r="I28" s="15">
        <f>IF(OR(I27="",I4=""),"",IFERROR(I27/I4,""))</f>
        <v/>
      </c>
      <c r="J28" s="15">
        <f>IF(OR(J27="",J4=""),"",IFERROR(J27/J4,""))</f>
        <v/>
      </c>
      <c r="K28" s="15">
        <f>IF(OR(K27="",K4=""),"",IFERROR(K27/K4,""))</f>
        <v/>
      </c>
      <c r="L28" s="15">
        <f>IF(OR(L27="",L4=""),"",IFERROR(L27/L4,""))</f>
        <v/>
      </c>
      <c r="M28" s="15">
        <f>IF(OR(M27="",M4=""),"",IFERROR(M27/M4,""))</f>
        <v/>
      </c>
      <c r="N28" s="15">
        <f>IF(OR(N27="",N4=""),"",IFERROR(N27/N4,""))</f>
        <v/>
      </c>
      <c r="O28" s="14">
        <f>IF(OR(O27="",O4=""),"",IFERROR(O27/O4,""))</f>
        <v/>
      </c>
      <c r="P28" s="15">
        <f>IF(OR(P27="",P4=""),"",IFERROR(P27/P4,""))</f>
        <v/>
      </c>
      <c r="Q28" s="15">
        <f>IF(OR(Q27="",Q4=""),"",IFERROR(Q27/Q4,""))</f>
        <v/>
      </c>
      <c r="R28" s="15">
        <f>IF(OR(R27="",R4=""),"",IFERROR(R27/R4,""))</f>
        <v/>
      </c>
      <c r="S28" s="15">
        <f>IF(OR(S27="",S4=""),"",IFERROR(S27/S4,""))</f>
        <v/>
      </c>
      <c r="T28" s="15">
        <f>IF(OR(T27="",T4=""),"",IFERROR(T27/T4,""))</f>
        <v/>
      </c>
      <c r="U28" s="15">
        <f>IF(OR(U27="",U4=""),"",IFERROR(U27/U4,""))</f>
        <v/>
      </c>
      <c r="V28" s="15">
        <f>IF(OR(V27="",V4=""),"",IFERROR(V27/V4,""))</f>
        <v/>
      </c>
      <c r="W28" s="15">
        <f>IF(OR(W27="",W4=""),"",IFERROR(W27/W4,""))</f>
        <v/>
      </c>
      <c r="X28" s="15">
        <f>IF(OR(X27="",X4=""),"",IFERROR(X27/X4,""))</f>
        <v/>
      </c>
      <c r="Y28" s="14">
        <f>IF(OR(Y27="",Y4=""),"",IFERROR(Y27/Y4,""))</f>
        <v/>
      </c>
      <c r="Z28" s="15">
        <f>IF(OR(Z27="",Z4=""),"",IFERROR(Z27/Z4,""))</f>
        <v/>
      </c>
      <c r="AA28" s="15">
        <f>IF(OR(AA27="",AA4=""),"",IFERROR(AA27/AA4,""))</f>
        <v/>
      </c>
      <c r="AB28" s="15">
        <f>IF(OR(AB27="",AB4=""),"",IFERROR(AB27/AB4,""))</f>
        <v/>
      </c>
      <c r="AC28" s="15">
        <f>IF(OR(AC27="",AC4=""),"",IFERROR(AC27/AC4,""))</f>
        <v/>
      </c>
    </row>
    <row r="29">
      <c r="A29" s="23" t="inlineStr">
        <is>
          <t>판매관리비</t>
        </is>
      </c>
      <c r="B29" s="23" t="n"/>
      <c r="C29" s="24" t="n"/>
      <c r="D29" s="23" t="n"/>
      <c r="E29" s="23" t="n"/>
      <c r="F29" s="23" t="n"/>
      <c r="G29" s="23" t="n"/>
      <c r="H29" s="23" t="n"/>
      <c r="I29" s="23" t="n"/>
      <c r="J29" s="23" t="n"/>
      <c r="K29" s="23" t="n"/>
      <c r="L29" s="23" t="n"/>
      <c r="M29" s="23" t="n"/>
      <c r="N29" s="23" t="n"/>
      <c r="O29" s="24" t="n"/>
      <c r="P29" s="23" t="n"/>
      <c r="Q29" s="23" t="n"/>
      <c r="R29" s="23" t="n"/>
      <c r="S29" s="23" t="n"/>
      <c r="T29" s="23" t="n"/>
      <c r="U29" s="23" t="n"/>
      <c r="V29" s="23" t="n"/>
      <c r="W29" s="23" t="n"/>
      <c r="X29" s="23" t="n"/>
      <c r="Y29" s="24" t="n"/>
      <c r="Z29" s="23" t="n"/>
      <c r="AA29" s="23" t="n"/>
      <c r="AB29" s="23" t="n"/>
      <c r="AC29" s="23" t="n"/>
    </row>
    <row r="30">
      <c r="A30" s="18" t="inlineStr">
        <is>
          <t>전체 판관비</t>
        </is>
      </c>
      <c r="B30" s="10" t="n"/>
      <c r="C30" s="19" t="n">
        <v>6593</v>
      </c>
      <c r="D30" s="20" t="n">
        <v>6938</v>
      </c>
      <c r="E30" s="20" t="n">
        <v>6664</v>
      </c>
      <c r="F30" s="20" t="n">
        <v>6463</v>
      </c>
      <c r="G30" s="20" t="n">
        <v>6657</v>
      </c>
      <c r="H30" s="20" t="n">
        <v>6732</v>
      </c>
      <c r="I30" s="20" t="n">
        <v>7265</v>
      </c>
      <c r="J30" s="20" t="n">
        <v>6976</v>
      </c>
      <c r="K30" s="20" t="n">
        <v>6881</v>
      </c>
      <c r="L30" s="20" t="n">
        <v>7007</v>
      </c>
      <c r="M30" s="20" t="n">
        <v>7509</v>
      </c>
      <c r="N30" s="20" t="n">
        <v>6884</v>
      </c>
      <c r="O30" s="19" t="n"/>
      <c r="P30" s="20" t="n">
        <v>23499</v>
      </c>
      <c r="Q30" s="20" t="n">
        <v>23983</v>
      </c>
      <c r="R30" s="20" t="n">
        <v>24192</v>
      </c>
      <c r="S30" s="20" t="n">
        <v>22415</v>
      </c>
      <c r="T30" s="20" t="n">
        <v>24258</v>
      </c>
      <c r="U30" s="20" t="n">
        <v>25145</v>
      </c>
      <c r="V30" s="20" t="n">
        <v>26502</v>
      </c>
      <c r="W30" s="20" t="n">
        <v>27117</v>
      </c>
      <c r="X30" s="20" t="n">
        <v>28373</v>
      </c>
      <c r="Y30" s="19" t="n"/>
      <c r="Z30" s="20" t="n"/>
      <c r="AA30" s="20" t="n"/>
      <c r="AB30" s="20" t="n"/>
      <c r="AC30" s="20" t="n"/>
    </row>
    <row r="31">
      <c r="A31" s="9" t="inlineStr">
        <is>
          <t>영업이익</t>
        </is>
      </c>
      <c r="B31" s="10" t="inlineStr">
        <is>
          <t>MW = 매출 × OPM</t>
        </is>
      </c>
      <c r="C31" s="11" t="n">
        <v>1655</v>
      </c>
      <c r="D31" s="12" t="n">
        <v>4382</v>
      </c>
      <c r="E31" s="12" t="n">
        <v>1268</v>
      </c>
      <c r="F31" s="12" t="n">
        <v>1485</v>
      </c>
      <c r="G31" s="12" t="n">
        <v>1813</v>
      </c>
      <c r="H31" s="12" t="n">
        <v>4409</v>
      </c>
      <c r="I31" s="12" t="n">
        <v>4309</v>
      </c>
      <c r="J31" s="12" t="n">
        <v>4528</v>
      </c>
      <c r="K31" s="12" t="n">
        <v>4256</v>
      </c>
      <c r="L31" s="12" t="n">
        <v>5648</v>
      </c>
      <c r="M31" s="12" t="n">
        <v>2939</v>
      </c>
      <c r="N31" s="12" t="n">
        <v>4364</v>
      </c>
      <c r="O31" s="11" t="n"/>
      <c r="P31" s="12" t="n">
        <v>11813</v>
      </c>
      <c r="Q31" s="12" t="n">
        <v>11119</v>
      </c>
      <c r="R31" s="12" t="n">
        <v>13901</v>
      </c>
      <c r="S31" s="12" t="n">
        <v>5317</v>
      </c>
      <c r="T31" s="12" t="n">
        <v>2139</v>
      </c>
      <c r="U31" s="12" t="n">
        <v>3260</v>
      </c>
      <c r="V31" s="12" t="n">
        <v>10372</v>
      </c>
      <c r="W31" s="12" t="n">
        <v>12016</v>
      </c>
      <c r="X31" s="12" t="n">
        <v>17371</v>
      </c>
      <c r="Y31" s="11">
        <f>IF(OR(Y4="",Y32=""),"",IFERROR(Y4*Y32,""))</f>
        <v/>
      </c>
      <c r="Z31" s="12">
        <f>IF(OR(Z4="",Z32=""),"",IFERROR(Z4*Z32,""))</f>
        <v/>
      </c>
      <c r="AA31" s="12">
        <f>IF(OR(AA4="",AA32=""),"",IFERROR(AA4*AA32,""))</f>
        <v/>
      </c>
      <c r="AB31" s="12">
        <f>IF(OR(AB4="",AB32=""),"",IFERROR(AB4*AB32,""))</f>
        <v/>
      </c>
      <c r="AC31" s="12">
        <f>IF(OR(AC4="",AC32=""),"",IFERROR(AC4*AC32,""))</f>
        <v/>
      </c>
    </row>
    <row r="32">
      <c r="A32" s="13" t="inlineStr">
        <is>
          <t>OPM</t>
        </is>
      </c>
      <c r="B32" s="10" t="inlineStr">
        <is>
          <t>MW 입력</t>
        </is>
      </c>
      <c r="C32" s="14">
        <f>IF(OR(C31="",C4=""),"",IFERROR(C31/C4,""))</f>
        <v/>
      </c>
      <c r="D32" s="15">
        <f>IF(OR(D31="",D4=""),"",IFERROR(D31/D4,""))</f>
        <v/>
      </c>
      <c r="E32" s="15">
        <f>IF(OR(E31="",E4=""),"",IFERROR(E31/E4,""))</f>
        <v/>
      </c>
      <c r="F32" s="15">
        <f>IF(OR(F31="",F4=""),"",IFERROR(F31/F4,""))</f>
        <v/>
      </c>
      <c r="G32" s="15">
        <f>IF(OR(G31="",G4=""),"",IFERROR(G31/G4,""))</f>
        <v/>
      </c>
      <c r="H32" s="15">
        <f>IF(OR(H31="",H4=""),"",IFERROR(H31/H4,""))</f>
        <v/>
      </c>
      <c r="I32" s="15">
        <f>IF(OR(I31="",I4=""),"",IFERROR(I31/I4,""))</f>
        <v/>
      </c>
      <c r="J32" s="15">
        <f>IF(OR(J31="",J4=""),"",IFERROR(J31/J4,""))</f>
        <v/>
      </c>
      <c r="K32" s="15">
        <f>IF(OR(K31="",K4=""),"",IFERROR(K31/K4,""))</f>
        <v/>
      </c>
      <c r="L32" s="15">
        <f>IF(OR(L31="",L4=""),"",IFERROR(L31/L4,""))</f>
        <v/>
      </c>
      <c r="M32" s="15">
        <f>IF(OR(M31="",M4=""),"",IFERROR(M31/M4,""))</f>
        <v/>
      </c>
      <c r="N32" s="15">
        <f>IF(OR(N31="",N4=""),"",IFERROR(N31/N4,""))</f>
        <v/>
      </c>
      <c r="O32" s="14">
        <f>IF(OR(O31="",O4=""),"",IFERROR(O31/O4,""))</f>
        <v/>
      </c>
      <c r="P32" s="15">
        <f>IF(OR(P31="",P4=""),"",IFERROR(P31/P4,""))</f>
        <v/>
      </c>
      <c r="Q32" s="15">
        <f>IF(OR(Q31="",Q4=""),"",IFERROR(Q31/Q4,""))</f>
        <v/>
      </c>
      <c r="R32" s="15">
        <f>IF(OR(R31="",R4=""),"",IFERROR(R31/R4,""))</f>
        <v/>
      </c>
      <c r="S32" s="15">
        <f>IF(OR(S31="",S4=""),"",IFERROR(S31/S4,""))</f>
        <v/>
      </c>
      <c r="T32" s="15">
        <f>IF(OR(T31="",T4=""),"",IFERROR(T31/T4,""))</f>
        <v/>
      </c>
      <c r="U32" s="15">
        <f>IF(OR(U31="",U4=""),"",IFERROR(U31/U4,""))</f>
        <v/>
      </c>
      <c r="V32" s="15">
        <f>IF(OR(V31="",V4=""),"",IFERROR(V31/V4,""))</f>
        <v/>
      </c>
      <c r="W32" s="15">
        <f>IF(OR(W31="",W4=""),"",IFERROR(W31/W4,""))</f>
        <v/>
      </c>
      <c r="X32" s="15">
        <f>IF(OR(X31="",X4=""),"",IFERROR(X31/X4,""))</f>
        <v/>
      </c>
      <c r="Y32" s="25" t="n"/>
      <c r="Z32" s="26" t="n"/>
      <c r="AA32" s="26" t="n"/>
      <c r="AB32" s="26" t="n"/>
      <c r="AC32" s="26" t="n"/>
    </row>
    <row r="33">
      <c r="A33" s="13" t="inlineStr">
        <is>
          <t>증가율</t>
        </is>
      </c>
      <c r="B33" s="10" t="n"/>
      <c r="C33" s="14" t="n"/>
      <c r="D33" s="15" t="n"/>
      <c r="E33" s="15" t="n"/>
      <c r="F33" s="15" t="n"/>
      <c r="G33" s="15">
        <f>IF(OR(G31="",C31=""),"",IFERROR(G31/C31-1,""))</f>
        <v/>
      </c>
      <c r="H33" s="15">
        <f>IF(OR(H31="",D31=""),"",IFERROR(H31/D31-1,""))</f>
        <v/>
      </c>
      <c r="I33" s="15">
        <f>IF(OR(I31="",E31=""),"",IFERROR(I31/E31-1,""))</f>
        <v/>
      </c>
      <c r="J33" s="15">
        <f>IF(OR(J31="",F31=""),"",IFERROR(J31/F31-1,""))</f>
        <v/>
      </c>
      <c r="K33" s="15">
        <f>IF(OR(K31="",G31=""),"",IFERROR(K31/G31-1,""))</f>
        <v/>
      </c>
      <c r="L33" s="15">
        <f>IF(OR(L31="",H31=""),"",IFERROR(L31/H31-1,""))</f>
        <v/>
      </c>
      <c r="M33" s="15">
        <f>IF(OR(M31="",I31=""),"",IFERROR(M31/I31-1,""))</f>
        <v/>
      </c>
      <c r="N33" s="15">
        <f>IF(OR(N31="",J31=""),"",IFERROR(N31/J31-1,""))</f>
        <v/>
      </c>
      <c r="O33" s="14" t="n"/>
      <c r="P33" s="15">
        <f>IF(OR(P31="",O31=""),"",IFERROR(P31/O31-1,""))</f>
        <v/>
      </c>
      <c r="Q33" s="15">
        <f>IF(OR(Q31="",P31=""),"",IFERROR(Q31/P31-1,""))</f>
        <v/>
      </c>
      <c r="R33" s="15">
        <f>IF(OR(R31="",Q31=""),"",IFERROR(R31/Q31-1,""))</f>
        <v/>
      </c>
      <c r="S33" s="15">
        <f>IF(OR(S31="",R31=""),"",IFERROR(S31/R31-1,""))</f>
        <v/>
      </c>
      <c r="T33" s="15">
        <f>IF(OR(T31="",S31=""),"",IFERROR(T31/S31-1,""))</f>
        <v/>
      </c>
      <c r="U33" s="15">
        <f>IF(OR(U31="",T31=""),"",IFERROR(U31/T31-1,""))</f>
        <v/>
      </c>
      <c r="V33" s="15">
        <f>IF(OR(V31="",U31=""),"",IFERROR(V31/U31-1,""))</f>
        <v/>
      </c>
      <c r="W33" s="15">
        <f>IF(OR(W31="",V31=""),"",IFERROR(W31/V31-1,""))</f>
        <v/>
      </c>
      <c r="X33" s="15">
        <f>IF(OR(X31="",W31=""),"",IFERROR(X31/W31-1,""))</f>
        <v/>
      </c>
      <c r="Y33" s="14">
        <f>IF(OR(Y31="",X31=""),"",IFERROR(Y31/X31-1,""))</f>
        <v/>
      </c>
      <c r="Z33" s="15">
        <f>IF(OR(Z31="",Y31=""),"",IFERROR(Z31/Y31-1,""))</f>
        <v/>
      </c>
      <c r="AA33" s="15">
        <f>IF(OR(AA31="",Z31=""),"",IFERROR(AA31/Z31-1,""))</f>
        <v/>
      </c>
      <c r="AB33" s="15">
        <f>IF(OR(AB31="",AA31=""),"",IFERROR(AB31/AA31-1,""))</f>
        <v/>
      </c>
      <c r="AC33" s="15">
        <f>IF(OR(AC31="",AB31=""),"",IFERROR(AC31/AB31-1,""))</f>
        <v/>
      </c>
    </row>
    <row r="34">
      <c r="A34" s="16" t="inlineStr">
        <is>
          <t>비용의 성격별 분류</t>
        </is>
      </c>
      <c r="B34" s="16" t="inlineStr">
        <is>
          <t>참고 데이터</t>
        </is>
      </c>
      <c r="C34" s="17" t="n"/>
      <c r="D34" s="16" t="n"/>
      <c r="E34" s="16" t="n"/>
      <c r="F34" s="16" t="n"/>
      <c r="G34" s="16" t="n"/>
      <c r="H34" s="16" t="n"/>
      <c r="I34" s="16" t="n"/>
      <c r="J34" s="16" t="n"/>
      <c r="K34" s="16" t="n"/>
      <c r="L34" s="16" t="n"/>
      <c r="M34" s="16" t="n"/>
      <c r="N34" s="16" t="n"/>
      <c r="O34" s="17" t="n"/>
      <c r="P34" s="16" t="n"/>
      <c r="Q34" s="16" t="n"/>
      <c r="R34" s="16" t="n"/>
      <c r="S34" s="16" t="n"/>
      <c r="T34" s="16" t="n"/>
      <c r="U34" s="16" t="n"/>
      <c r="V34" s="16" t="n"/>
      <c r="W34" s="16" t="n"/>
      <c r="X34" s="16" t="n"/>
      <c r="Y34" s="17" t="n"/>
      <c r="Z34" s="16" t="n"/>
      <c r="AA34" s="16" t="n"/>
      <c r="AB34" s="16" t="n"/>
      <c r="AC34" s="16" t="n"/>
    </row>
    <row r="35">
      <c r="A35" s="9" t="inlineStr">
        <is>
          <t>총 판관비</t>
        </is>
      </c>
      <c r="B35" s="10" t="n"/>
      <c r="C35" s="11" t="n"/>
      <c r="D35" s="12" t="n"/>
      <c r="E35" s="12" t="n"/>
      <c r="F35" s="12" t="n"/>
      <c r="G35" s="12" t="n"/>
      <c r="H35" s="12" t="n"/>
      <c r="I35" s="12" t="n"/>
      <c r="J35" s="12" t="n"/>
      <c r="K35" s="12" t="n"/>
      <c r="L35" s="12" t="n"/>
      <c r="M35" s="12" t="n"/>
      <c r="N35" s="12" t="n"/>
      <c r="O35" s="11">
        <f>IF(O30="","",O30)</f>
        <v/>
      </c>
      <c r="P35" s="12">
        <f>IF(P30="","",P30)</f>
        <v/>
      </c>
      <c r="Q35" s="12">
        <f>IF(Q30="","",Q30)</f>
        <v/>
      </c>
      <c r="R35" s="12">
        <f>IF(R30="","",R30)</f>
        <v/>
      </c>
      <c r="S35" s="12">
        <f>IF(S30="","",S30)</f>
        <v/>
      </c>
      <c r="T35" s="12">
        <f>IF(T30="","",T30)</f>
        <v/>
      </c>
      <c r="U35" s="12">
        <f>IF(U30="","",U30)</f>
        <v/>
      </c>
      <c r="V35" s="12">
        <f>IF(V30="","",V30)</f>
        <v/>
      </c>
      <c r="W35" s="12">
        <f>IF(W30="","",W30)</f>
        <v/>
      </c>
      <c r="X35" s="12">
        <f>IF(X30="","",X30)</f>
        <v/>
      </c>
      <c r="Y35" s="11" t="n"/>
      <c r="Z35" s="12" t="n"/>
      <c r="AA35" s="12" t="n"/>
      <c r="AB35" s="12" t="n"/>
      <c r="AC35" s="12" t="n"/>
    </row>
    <row r="36">
      <c r="A36" s="18" t="inlineStr">
        <is>
          <t>급여</t>
        </is>
      </c>
      <c r="B36" s="10" t="inlineStr">
        <is>
          <t>고정비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감가상각비</t>
        </is>
      </c>
      <c r="B38" s="10" t="inlineStr">
        <is>
          <t>고정비</t>
        </is>
      </c>
      <c r="C38" s="19" t="n"/>
      <c r="D38" s="20" t="n"/>
      <c r="E38" s="20" t="n"/>
      <c r="F38" s="20" t="n"/>
      <c r="G38" s="20" t="n"/>
      <c r="H38" s="20" t="n"/>
      <c r="I38" s="20" t="n"/>
      <c r="J38" s="20" t="n"/>
      <c r="K38" s="20" t="n"/>
      <c r="L38" s="20" t="n"/>
      <c r="M38" s="20" t="n"/>
      <c r="N38" s="20" t="n"/>
      <c r="O38" s="19" t="n"/>
      <c r="P38" s="20" t="n"/>
      <c r="Q38" s="20" t="n"/>
      <c r="R38" s="20" t="n"/>
      <c r="S38" s="20" t="n"/>
      <c r="T38" s="20" t="n"/>
      <c r="U38" s="20" t="n"/>
      <c r="V38" s="20" t="n"/>
      <c r="W38" s="20" t="n"/>
      <c r="X38" s="20" t="n"/>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8" t="inlineStr">
        <is>
          <t>지급수수료</t>
        </is>
      </c>
      <c r="B40" s="10" t="inlineStr">
        <is>
          <t>고정비</t>
        </is>
      </c>
      <c r="C40" s="19" t="n"/>
      <c r="D40" s="20" t="n"/>
      <c r="E40" s="20" t="n"/>
      <c r="F40" s="20" t="n"/>
      <c r="G40" s="20" t="n"/>
      <c r="H40" s="20" t="n"/>
      <c r="I40" s="20" t="n"/>
      <c r="J40" s="20" t="n"/>
      <c r="K40" s="20" t="n"/>
      <c r="L40" s="20" t="n"/>
      <c r="M40" s="20" t="n"/>
      <c r="N40" s="20" t="n"/>
      <c r="O40" s="19" t="n"/>
      <c r="P40" s="20" t="n"/>
      <c r="Q40" s="20" t="n"/>
      <c r="R40" s="20" t="n"/>
      <c r="S40" s="20" t="n"/>
      <c r="T40" s="20" t="n"/>
      <c r="U40" s="20" t="n"/>
      <c r="V40" s="20" t="n"/>
      <c r="W40" s="20" t="n"/>
      <c r="X40" s="20" t="n"/>
      <c r="Y40" s="19" t="n"/>
      <c r="Z40" s="20" t="n"/>
      <c r="AA40" s="20" t="n"/>
      <c r="AB40" s="20" t="n"/>
      <c r="AC40" s="20" t="n"/>
    </row>
    <row r="41">
      <c r="A41" s="13" t="inlineStr">
        <is>
          <t>% of Sales</t>
        </is>
      </c>
      <c r="B41" s="10" t="n"/>
      <c r="C41" s="14" t="n"/>
      <c r="D41" s="15" t="n"/>
      <c r="E41" s="15" t="n"/>
      <c r="F41" s="15" t="n"/>
      <c r="G41" s="15" t="n"/>
      <c r="H41" s="15" t="n"/>
      <c r="I41" s="15" t="n"/>
      <c r="J41" s="15" t="n"/>
      <c r="K41" s="15" t="n"/>
      <c r="L41" s="15" t="n"/>
      <c r="M41" s="15" t="n"/>
      <c r="N41" s="15" t="n"/>
      <c r="O41" s="14">
        <f>IF(OR(O40="",O4=""),"",IFERROR(O40/O4,""))</f>
        <v/>
      </c>
      <c r="P41" s="15">
        <f>IF(OR(P40="",P4=""),"",IFERROR(P40/P4,""))</f>
        <v/>
      </c>
      <c r="Q41" s="15">
        <f>IF(OR(Q40="",Q4=""),"",IFERROR(Q40/Q4,""))</f>
        <v/>
      </c>
      <c r="R41" s="15">
        <f>IF(OR(R40="",R4=""),"",IFERROR(R40/R4,""))</f>
        <v/>
      </c>
      <c r="S41" s="15">
        <f>IF(OR(S40="",S4=""),"",IFERROR(S40/S4,""))</f>
        <v/>
      </c>
      <c r="T41" s="15">
        <f>IF(OR(T40="",T4=""),"",IFERROR(T40/T4,""))</f>
        <v/>
      </c>
      <c r="U41" s="15">
        <f>IF(OR(U40="",U4=""),"",IFERROR(U40/U4,""))</f>
        <v/>
      </c>
      <c r="V41" s="15">
        <f>IF(OR(V40="",V4=""),"",IFERROR(V40/V4,""))</f>
        <v/>
      </c>
      <c r="W41" s="15">
        <f>IF(OR(W40="",W4=""),"",IFERROR(W40/W4,""))</f>
        <v/>
      </c>
      <c r="X41" s="15">
        <f>IF(OR(X40="",X4=""),"",IFERROR(X40/X4,""))</f>
        <v/>
      </c>
      <c r="Y41" s="14" t="n"/>
      <c r="Z41" s="15" t="n"/>
      <c r="AA41" s="15" t="n"/>
      <c r="AB41" s="15" t="n"/>
      <c r="AC41" s="15" t="n"/>
    </row>
    <row r="42">
      <c r="A42" s="18" t="inlineStr">
        <is>
          <t>연구개발비</t>
        </is>
      </c>
      <c r="B42" s="10" t="inlineStr">
        <is>
          <t>변동비</t>
        </is>
      </c>
      <c r="C42" s="19" t="n"/>
      <c r="D42" s="20" t="n"/>
      <c r="E42" s="20" t="n"/>
      <c r="F42" s="20" t="n"/>
      <c r="G42" s="20" t="n"/>
      <c r="H42" s="20" t="n"/>
      <c r="I42" s="20" t="n"/>
      <c r="J42" s="20" t="n"/>
      <c r="K42" s="20" t="n"/>
      <c r="L42" s="20" t="n"/>
      <c r="M42" s="20" t="n"/>
      <c r="N42" s="20" t="n"/>
      <c r="O42" s="19" t="n"/>
      <c r="P42" s="20" t="n"/>
      <c r="Q42" s="20" t="n"/>
      <c r="R42" s="20" t="n"/>
      <c r="S42" s="20" t="n"/>
      <c r="T42" s="20" t="n"/>
      <c r="U42" s="20" t="n"/>
      <c r="V42" s="20" t="n"/>
      <c r="W42" s="20" t="n"/>
      <c r="X42" s="20" t="n"/>
      <c r="Y42" s="19" t="n"/>
      <c r="Z42" s="20" t="n"/>
      <c r="AA42" s="20" t="n"/>
      <c r="AB42" s="20" t="n"/>
      <c r="AC42" s="20" t="n"/>
    </row>
    <row r="43">
      <c r="A43" s="13" t="inlineStr">
        <is>
          <t>% of Sales</t>
        </is>
      </c>
      <c r="B43" s="10" t="n"/>
      <c r="C43" s="14" t="n"/>
      <c r="D43" s="15" t="n"/>
      <c r="E43" s="15" t="n"/>
      <c r="F43" s="15" t="n"/>
      <c r="G43" s="15" t="n"/>
      <c r="H43" s="15" t="n"/>
      <c r="I43" s="15" t="n"/>
      <c r="J43" s="15" t="n"/>
      <c r="K43" s="15" t="n"/>
      <c r="L43" s="15" t="n"/>
      <c r="M43" s="15" t="n"/>
      <c r="N43" s="15" t="n"/>
      <c r="O43" s="14">
        <f>IF(OR(O42="",O4=""),"",IFERROR(O42/O4,""))</f>
        <v/>
      </c>
      <c r="P43" s="15">
        <f>IF(OR(P42="",P4=""),"",IFERROR(P42/P4,""))</f>
        <v/>
      </c>
      <c r="Q43" s="15">
        <f>IF(OR(Q42="",Q4=""),"",IFERROR(Q42/Q4,""))</f>
        <v/>
      </c>
      <c r="R43" s="15">
        <f>IF(OR(R42="",R4=""),"",IFERROR(R42/R4,""))</f>
        <v/>
      </c>
      <c r="S43" s="15">
        <f>IF(OR(S42="",S4=""),"",IFERROR(S42/S4,""))</f>
        <v/>
      </c>
      <c r="T43" s="15">
        <f>IF(OR(T42="",T4=""),"",IFERROR(T42/T4,""))</f>
        <v/>
      </c>
      <c r="U43" s="15">
        <f>IF(OR(U42="",U4=""),"",IFERROR(U42/U4,""))</f>
        <v/>
      </c>
      <c r="V43" s="15">
        <f>IF(OR(V42="",V4=""),"",IFERROR(V42/V4,""))</f>
        <v/>
      </c>
      <c r="W43" s="15">
        <f>IF(OR(W42="",W4=""),"",IFERROR(W42/W4,""))</f>
        <v/>
      </c>
      <c r="X43" s="15">
        <f>IF(OR(X42="",X4=""),"",IFERROR(X42/X4,""))</f>
        <v/>
      </c>
      <c r="Y43" s="14" t="n"/>
      <c r="Z43" s="15" t="n"/>
      <c r="AA43" s="15" t="n"/>
      <c r="AB43" s="15" t="n"/>
      <c r="AC43" s="15" t="n"/>
    </row>
    <row r="44">
      <c r="A44" s="18" t="inlineStr">
        <is>
          <t>기타비용</t>
        </is>
      </c>
      <c r="B44" s="10" t="inlineStr">
        <is>
          <t>변동비</t>
        </is>
      </c>
      <c r="C44" s="19" t="n"/>
      <c r="D44" s="20" t="n"/>
      <c r="E44" s="20" t="n"/>
      <c r="F44" s="20" t="n"/>
      <c r="G44" s="20" t="n"/>
      <c r="H44" s="20" t="n"/>
      <c r="I44" s="20" t="n"/>
      <c r="J44" s="20" t="n"/>
      <c r="K44" s="20" t="n"/>
      <c r="L44" s="20" t="n"/>
      <c r="M44" s="20" t="n"/>
      <c r="N44" s="20" t="n"/>
      <c r="O44" s="19">
        <f>IF(OR(O35="",O36="",O38="",O40="",O42=""),"",IFERROR(O35-O36-O38-O40-O42,""))</f>
        <v/>
      </c>
      <c r="P44" s="20">
        <f>IF(OR(P35="",P36="",P38="",P40="",P42=""),"",IFERROR(P35-P36-P38-P40-P42,""))</f>
        <v/>
      </c>
      <c r="Q44" s="20">
        <f>IF(OR(Q35="",Q36="",Q38="",Q40="",Q42=""),"",IFERROR(Q35-Q36-Q38-Q40-Q42,""))</f>
        <v/>
      </c>
      <c r="R44" s="20">
        <f>IF(OR(R35="",R36="",R38="",R40="",R42=""),"",IFERROR(R35-R36-R38-R40-R42,""))</f>
        <v/>
      </c>
      <c r="S44" s="20">
        <f>IF(OR(S35="",S36="",S38="",S40="",S42=""),"",IFERROR(S35-S36-S38-S40-S42,""))</f>
        <v/>
      </c>
      <c r="T44" s="20">
        <f>IF(OR(T35="",T36="",T38="",T40="",T42=""),"",IFERROR(T35-T36-T38-T40-T42,""))</f>
        <v/>
      </c>
      <c r="U44" s="20">
        <f>IF(OR(U35="",U36="",U38="",U40="",U42=""),"",IFERROR(U35-U36-U38-U40-U42,""))</f>
        <v/>
      </c>
      <c r="V44" s="20">
        <f>IF(OR(V35="",V36="",V38="",V40="",V42=""),"",IFERROR(V35-V36-V38-V40-V42,""))</f>
        <v/>
      </c>
      <c r="W44" s="20">
        <f>IF(OR(W35="",W36="",W38="",W40="",W42=""),"",IFERROR(W35-W36-W38-W40-W42,""))</f>
        <v/>
      </c>
      <c r="X44" s="20">
        <f>IF(OR(X35="",X36="",X38="",X40="",X42=""),"",IFERROR(X35-X36-X38-X40-X42,""))</f>
        <v/>
      </c>
      <c r="Y44" s="19" t="n"/>
      <c r="Z44" s="20" t="n"/>
      <c r="AA44" s="20" t="n"/>
      <c r="AB44" s="20" t="n"/>
      <c r="AC44" s="20" t="n"/>
    </row>
    <row r="45">
      <c r="A45" s="13" t="inlineStr">
        <is>
          <t>% of Sales</t>
        </is>
      </c>
      <c r="B45" s="10" t="n"/>
      <c r="C45" s="14" t="n"/>
      <c r="D45" s="15" t="n"/>
      <c r="E45" s="15" t="n"/>
      <c r="F45" s="15" t="n"/>
      <c r="G45" s="15" t="n"/>
      <c r="H45" s="15" t="n"/>
      <c r="I45" s="15" t="n"/>
      <c r="J45" s="15" t="n"/>
      <c r="K45" s="15" t="n"/>
      <c r="L45" s="15" t="n"/>
      <c r="M45" s="15" t="n"/>
      <c r="N45" s="15" t="n"/>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14" t="n"/>
      <c r="Z45" s="15" t="n"/>
      <c r="AA45" s="15" t="n"/>
      <c r="AB45" s="15" t="n"/>
      <c r="AC45" s="15" t="n"/>
    </row>
    <row r="46">
      <c r="A46" s="16" t="inlineStr">
        <is>
          <t>당기순이익 추정</t>
        </is>
      </c>
      <c r="B46" s="16" t="n"/>
      <c r="C46" s="17" t="n"/>
      <c r="D46" s="16" t="n"/>
      <c r="E46" s="16" t="n"/>
      <c r="F46" s="16" t="n"/>
      <c r="G46" s="16" t="n"/>
      <c r="H46" s="16" t="n"/>
      <c r="I46" s="16" t="n"/>
      <c r="J46" s="16" t="n"/>
      <c r="K46" s="16" t="n"/>
      <c r="L46" s="16" t="n"/>
      <c r="M46" s="16" t="n"/>
      <c r="N46" s="16" t="n"/>
      <c r="O46" s="17" t="n"/>
      <c r="P46" s="16" t="n"/>
      <c r="Q46" s="16" t="n"/>
      <c r="R46" s="16" t="n"/>
      <c r="S46" s="16" t="n"/>
      <c r="T46" s="16" t="n"/>
      <c r="U46" s="16" t="n"/>
      <c r="V46" s="16" t="n"/>
      <c r="W46" s="16" t="n"/>
      <c r="X46" s="16" t="n"/>
      <c r="Y46" s="17" t="n"/>
      <c r="Z46" s="16" t="n"/>
      <c r="AA46" s="16" t="n"/>
      <c r="AB46" s="16" t="n"/>
      <c r="AC46" s="16" t="n"/>
    </row>
    <row r="47">
      <c r="A47" s="18" t="inlineStr">
        <is>
          <t>기타이익</t>
        </is>
      </c>
      <c r="B47" s="10" t="n"/>
      <c r="C47" s="19" t="n">
        <v>224</v>
      </c>
      <c r="D47" s="20" t="n">
        <v>168</v>
      </c>
      <c r="E47" s="20" t="n">
        <v>-53</v>
      </c>
      <c r="F47" s="20" t="n">
        <v>128</v>
      </c>
      <c r="G47" s="20" t="n">
        <v>93</v>
      </c>
      <c r="H47" s="20" t="n">
        <v>47</v>
      </c>
      <c r="I47" s="20" t="n">
        <v>88</v>
      </c>
      <c r="J47" s="20" t="n">
        <v>46</v>
      </c>
      <c r="K47" s="20" t="n">
        <v>34</v>
      </c>
      <c r="L47" s="20" t="n">
        <v>59</v>
      </c>
      <c r="M47" s="20" t="n">
        <v>815</v>
      </c>
      <c r="N47" s="20" t="n">
        <v>89</v>
      </c>
      <c r="O47" s="19" t="n"/>
      <c r="P47" s="20" t="n">
        <v>596</v>
      </c>
      <c r="Q47" s="20" t="n">
        <v>59</v>
      </c>
      <c r="R47" s="20" t="n">
        <v>78</v>
      </c>
      <c r="S47" s="20" t="n">
        <v>1450</v>
      </c>
      <c r="T47" s="20" t="n">
        <v>421</v>
      </c>
      <c r="U47" s="20" t="n">
        <v>399</v>
      </c>
      <c r="V47" s="20" t="n">
        <v>440</v>
      </c>
      <c r="W47" s="20" t="n">
        <v>356</v>
      </c>
      <c r="X47" s="20" t="n">
        <v>954</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inlineStr">
        <is>
          <t>MW = 최근 3년 평균</t>
        </is>
      </c>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18" t="inlineStr">
        <is>
          <t>기타손실</t>
        </is>
      </c>
      <c r="B49" s="10" t="n"/>
      <c r="C49" s="19" t="n">
        <v>1835</v>
      </c>
      <c r="D49" s="20" t="n">
        <v>371</v>
      </c>
      <c r="E49" s="20" t="n">
        <v>212</v>
      </c>
      <c r="F49" s="20" t="n">
        <v>261</v>
      </c>
      <c r="G49" s="20" t="n">
        <v>173</v>
      </c>
      <c r="H49" s="20" t="n">
        <v>319</v>
      </c>
      <c r="I49" s="20" t="n">
        <v>409</v>
      </c>
      <c r="J49" s="20" t="n">
        <v>370</v>
      </c>
      <c r="K49" s="20" t="n">
        <v>366</v>
      </c>
      <c r="L49" s="20" t="n">
        <v>150</v>
      </c>
      <c r="M49" s="20" t="n">
        <v>662</v>
      </c>
      <c r="N49" s="20" t="n">
        <v>122</v>
      </c>
      <c r="O49" s="19" t="n"/>
      <c r="P49" s="20" t="n">
        <v>0</v>
      </c>
      <c r="Q49" s="20" t="n">
        <v>928</v>
      </c>
      <c r="R49" s="20" t="n">
        <v>696</v>
      </c>
      <c r="S49" s="20" t="n">
        <v>965</v>
      </c>
      <c r="T49" s="20" t="n">
        <v>1403</v>
      </c>
      <c r="U49" s="20" t="n">
        <v>1062</v>
      </c>
      <c r="V49" s="20" t="n">
        <v>2615</v>
      </c>
      <c r="W49" s="20" t="n">
        <v>1162</v>
      </c>
      <c r="X49" s="20" t="n">
        <v>1548</v>
      </c>
      <c r="Y49" s="19">
        <f>IF(OR(Y4="",Y50=""),"",IFERROR(Y4*Y50,""))</f>
        <v/>
      </c>
      <c r="Z49" s="20">
        <f>IF(OR(Z4="",Z50=""),"",IFERROR(Z4*Z50,""))</f>
        <v/>
      </c>
      <c r="AA49" s="20">
        <f>IF(OR(AA4="",AA50=""),"",IFERROR(AA4*AA50,""))</f>
        <v/>
      </c>
      <c r="AB49" s="20">
        <f>IF(OR(AB4="",AB50=""),"",IFERROR(AB4*AB50,""))</f>
        <v/>
      </c>
      <c r="AC49" s="20">
        <f>IF(OR(AC4="",AC50=""),"",IFERROR(AC4*AC50,""))</f>
        <v/>
      </c>
    </row>
    <row r="50">
      <c r="A50" s="13" t="inlineStr">
        <is>
          <t>% of Sales</t>
        </is>
      </c>
      <c r="B50" s="10" t="n"/>
      <c r="C50" s="14">
        <f>IF(OR(C49="",C4=""),"",IFERROR(C49/C4,""))</f>
        <v/>
      </c>
      <c r="D50" s="15">
        <f>IF(OR(D49="",D4=""),"",IFERROR(D49/D4,""))</f>
        <v/>
      </c>
      <c r="E50" s="15">
        <f>IF(OR(E49="",E4=""),"",IFERROR(E49/E4,""))</f>
        <v/>
      </c>
      <c r="F50" s="15">
        <f>IF(OR(F49="",F4=""),"",IFERROR(F49/F4,""))</f>
        <v/>
      </c>
      <c r="G50" s="15">
        <f>IF(OR(G49="",G4=""),"",IFERROR(G49/G4,""))</f>
        <v/>
      </c>
      <c r="H50" s="15">
        <f>IF(OR(H49="",H4=""),"",IFERROR(H49/H4,""))</f>
        <v/>
      </c>
      <c r="I50" s="15">
        <f>IF(OR(I49="",I4=""),"",IFERROR(I49/I4,""))</f>
        <v/>
      </c>
      <c r="J50" s="15">
        <f>IF(OR(J49="",J4=""),"",IFERROR(J49/J4,""))</f>
        <v/>
      </c>
      <c r="K50" s="15">
        <f>IF(OR(K49="",K4=""),"",IFERROR(K49/K4,""))</f>
        <v/>
      </c>
      <c r="L50" s="15">
        <f>IF(OR(L49="",L4=""),"",IFERROR(L49/L4,""))</f>
        <v/>
      </c>
      <c r="M50" s="15">
        <f>IF(OR(M49="",M4=""),"",IFERROR(M49/M4,""))</f>
        <v/>
      </c>
      <c r="N50" s="15">
        <f>IF(OR(N49="",N4=""),"",IFERROR(N49/N4,""))</f>
        <v/>
      </c>
      <c r="O50" s="14">
        <f>IF(OR(O49="",O4=""),"",IFERROR(O49/O4,""))</f>
        <v/>
      </c>
      <c r="P50" s="15">
        <f>IF(OR(P49="",P4=""),"",IFERROR(P49/P4,""))</f>
        <v/>
      </c>
      <c r="Q50" s="15">
        <f>IF(OR(Q49="",Q4=""),"",IFERROR(Q49/Q4,""))</f>
        <v/>
      </c>
      <c r="R50" s="15">
        <f>IF(OR(R49="",R4=""),"",IFERROR(R49/R4,""))</f>
        <v/>
      </c>
      <c r="S50" s="15">
        <f>IF(OR(S49="",S4=""),"",IFERROR(S49/S4,""))</f>
        <v/>
      </c>
      <c r="T50" s="15">
        <f>IF(OR(T49="",T4=""),"",IFERROR(T49/T4,""))</f>
        <v/>
      </c>
      <c r="U50" s="15">
        <f>IF(OR(U49="",U4=""),"",IFERROR(U49/U4,""))</f>
        <v/>
      </c>
      <c r="V50" s="15">
        <f>IF(OR(V49="",V4=""),"",IFERROR(V49/V4,""))</f>
        <v/>
      </c>
      <c r="W50" s="15">
        <f>IF(OR(W49="",W4=""),"",IFERROR(W49/W4,""))</f>
        <v/>
      </c>
      <c r="X50" s="15">
        <f>IF(OR(X49="",X4=""),"",IFERROR(X49/X4,""))</f>
        <v/>
      </c>
      <c r="Y50" s="25">
        <f>IFERROR(AVERAGE(V50,W50,X50),"")</f>
        <v/>
      </c>
      <c r="Z50" s="26">
        <f>Y50</f>
        <v/>
      </c>
      <c r="AA50" s="26">
        <f>Z50</f>
        <v/>
      </c>
      <c r="AB50" s="26">
        <f>AA50</f>
        <v/>
      </c>
      <c r="AC50" s="26">
        <f>AB50</f>
        <v/>
      </c>
    </row>
    <row r="51">
      <c r="A51" s="18" t="inlineStr">
        <is>
          <t>금융수익</t>
        </is>
      </c>
      <c r="B51" s="10" t="n"/>
      <c r="C51" s="19" t="n">
        <v>85</v>
      </c>
      <c r="D51" s="20" t="n">
        <v>61</v>
      </c>
      <c r="E51" s="20" t="n">
        <v>373</v>
      </c>
      <c r="F51" s="20" t="n">
        <v>568</v>
      </c>
      <c r="G51" s="20" t="n">
        <v>-151</v>
      </c>
      <c r="H51" s="20" t="n">
        <v>533</v>
      </c>
      <c r="I51" s="20" t="n">
        <v>-80</v>
      </c>
      <c r="J51" s="20" t="n">
        <v>370</v>
      </c>
      <c r="K51" s="20" t="n">
        <v>400</v>
      </c>
      <c r="L51" s="20" t="n">
        <v>635</v>
      </c>
      <c r="M51" s="20" t="n">
        <v>174</v>
      </c>
      <c r="N51" s="20" t="n">
        <v>617</v>
      </c>
      <c r="O51" s="19" t="n"/>
      <c r="P51" s="20" t="n">
        <v>1036</v>
      </c>
      <c r="Q51" s="20" t="n">
        <v>1006</v>
      </c>
      <c r="R51" s="20" t="n">
        <v>727</v>
      </c>
      <c r="S51" s="20" t="n">
        <v>527</v>
      </c>
      <c r="T51" s="20" t="n">
        <v>1003</v>
      </c>
      <c r="U51" s="20" t="n">
        <v>1171</v>
      </c>
      <c r="V51" s="20" t="n">
        <v>1123</v>
      </c>
      <c r="W51" s="20" t="n">
        <v>870</v>
      </c>
      <c r="X51" s="20" t="n">
        <v>1579</v>
      </c>
      <c r="Y51" s="19">
        <f>IF(OR(Y4="",Y52=""),"",IFERROR(Y4*Y52,""))</f>
        <v/>
      </c>
      <c r="Z51" s="20">
        <f>IF(OR(Z4="",Z52=""),"",IFERROR(Z4*Z52,""))</f>
        <v/>
      </c>
      <c r="AA51" s="20">
        <f>IF(OR(AA4="",AA52=""),"",IFERROR(AA4*AA52,""))</f>
        <v/>
      </c>
      <c r="AB51" s="20">
        <f>IF(OR(AB4="",AB52=""),"",IFERROR(AB4*AB52,""))</f>
        <v/>
      </c>
      <c r="AC51" s="20">
        <f>IF(OR(AC4="",AC52=""),"",IFERROR(AC4*AC52,""))</f>
        <v/>
      </c>
    </row>
    <row r="52">
      <c r="A52" s="13" t="inlineStr">
        <is>
          <t>% of Sales</t>
        </is>
      </c>
      <c r="B52" s="10" t="n"/>
      <c r="C52" s="14">
        <f>IF(OR(C51="",C4=""),"",IFERROR(C51/C4,""))</f>
        <v/>
      </c>
      <c r="D52" s="15">
        <f>IF(OR(D51="",D4=""),"",IFERROR(D51/D4,""))</f>
        <v/>
      </c>
      <c r="E52" s="15">
        <f>IF(OR(E51="",E4=""),"",IFERROR(E51/E4,""))</f>
        <v/>
      </c>
      <c r="F52" s="15">
        <f>IF(OR(F51="",F4=""),"",IFERROR(F51/F4,""))</f>
        <v/>
      </c>
      <c r="G52" s="15">
        <f>IF(OR(G51="",G4=""),"",IFERROR(G51/G4,""))</f>
        <v/>
      </c>
      <c r="H52" s="15">
        <f>IF(OR(H51="",H4=""),"",IFERROR(H51/H4,""))</f>
        <v/>
      </c>
      <c r="I52" s="15">
        <f>IF(OR(I51="",I4=""),"",IFERROR(I51/I4,""))</f>
        <v/>
      </c>
      <c r="J52" s="15">
        <f>IF(OR(J51="",J4=""),"",IFERROR(J51/J4,""))</f>
        <v/>
      </c>
      <c r="K52" s="15">
        <f>IF(OR(K51="",K4=""),"",IFERROR(K51/K4,""))</f>
        <v/>
      </c>
      <c r="L52" s="15">
        <f>IF(OR(L51="",L4=""),"",IFERROR(L51/L4,""))</f>
        <v/>
      </c>
      <c r="M52" s="15">
        <f>IF(OR(M51="",M4=""),"",IFERROR(M51/M4,""))</f>
        <v/>
      </c>
      <c r="N52" s="15">
        <f>IF(OR(N51="",N4=""),"",IFERROR(N51/N4,""))</f>
        <v/>
      </c>
      <c r="O52" s="14">
        <f>IF(OR(O51="",O4=""),"",IFERROR(O51/O4,""))</f>
        <v/>
      </c>
      <c r="P52" s="15">
        <f>IF(OR(P51="",P4=""),"",IFERROR(P51/P4,""))</f>
        <v/>
      </c>
      <c r="Q52" s="15">
        <f>IF(OR(Q51="",Q4=""),"",IFERROR(Q51/Q4,""))</f>
        <v/>
      </c>
      <c r="R52" s="15">
        <f>IF(OR(R51="",R4=""),"",IFERROR(R51/R4,""))</f>
        <v/>
      </c>
      <c r="S52" s="15">
        <f>IF(OR(S51="",S4=""),"",IFERROR(S51/S4,""))</f>
        <v/>
      </c>
      <c r="T52" s="15">
        <f>IF(OR(T51="",T4=""),"",IFERROR(T51/T4,""))</f>
        <v/>
      </c>
      <c r="U52" s="15">
        <f>IF(OR(U51="",U4=""),"",IFERROR(U51/U4,""))</f>
        <v/>
      </c>
      <c r="V52" s="15">
        <f>IF(OR(V51="",V4=""),"",IFERROR(V51/V4,""))</f>
        <v/>
      </c>
      <c r="W52" s="15">
        <f>IF(OR(W51="",W4=""),"",IFERROR(W51/W4,""))</f>
        <v/>
      </c>
      <c r="X52" s="15">
        <f>IF(OR(X51="",X4=""),"",IFERROR(X51/X4,""))</f>
        <v/>
      </c>
      <c r="Y52" s="25">
        <f>IFERROR(AVERAGE(V52,W52,X52),"")</f>
        <v/>
      </c>
      <c r="Z52" s="26">
        <f>Y52</f>
        <v/>
      </c>
      <c r="AA52" s="26">
        <f>Z52</f>
        <v/>
      </c>
      <c r="AB52" s="26">
        <f>AA52</f>
        <v/>
      </c>
      <c r="AC52" s="26">
        <f>AB52</f>
        <v/>
      </c>
    </row>
    <row r="53">
      <c r="A53" s="18" t="inlineStr">
        <is>
          <t>금융원가</t>
        </is>
      </c>
      <c r="B53" s="10" t="n"/>
      <c r="C53" s="19" t="n">
        <v>99</v>
      </c>
      <c r="D53" s="20" t="n">
        <v>105</v>
      </c>
      <c r="E53" s="20" t="n">
        <v>250</v>
      </c>
      <c r="F53" s="20" t="n">
        <v>178</v>
      </c>
      <c r="G53" s="20" t="n">
        <v>529</v>
      </c>
      <c r="H53" s="20" t="n">
        <v>-107</v>
      </c>
      <c r="I53" s="20" t="n">
        <v>380</v>
      </c>
      <c r="J53" s="20" t="n">
        <v>287</v>
      </c>
      <c r="K53" s="20" t="n">
        <v>104</v>
      </c>
      <c r="L53" s="20" t="n">
        <v>263</v>
      </c>
      <c r="M53" s="20" t="n">
        <v>186</v>
      </c>
      <c r="N53" s="20" t="n">
        <v>150</v>
      </c>
      <c r="O53" s="19" t="n"/>
      <c r="P53" s="20" t="n">
        <v>1075</v>
      </c>
      <c r="Q53" s="20" t="n">
        <v>801</v>
      </c>
      <c r="R53" s="20" t="n">
        <v>851</v>
      </c>
      <c r="S53" s="20" t="n">
        <v>293</v>
      </c>
      <c r="T53" s="20" t="n">
        <v>247</v>
      </c>
      <c r="U53" s="20" t="n">
        <v>332</v>
      </c>
      <c r="V53" s="20" t="n">
        <v>548</v>
      </c>
      <c r="W53" s="20" t="n">
        <v>980</v>
      </c>
      <c r="X53" s="20" t="n">
        <v>840</v>
      </c>
      <c r="Y53" s="19">
        <f>IF(OR(Y4="",Y54=""),"",IFERROR(Y4*Y54,""))</f>
        <v/>
      </c>
      <c r="Z53" s="20">
        <f>IF(OR(Z4="",Z54=""),"",IFERROR(Z4*Z54,""))</f>
        <v/>
      </c>
      <c r="AA53" s="20">
        <f>IF(OR(AA4="",AA54=""),"",IFERROR(AA4*AA54,""))</f>
        <v/>
      </c>
      <c r="AB53" s="20">
        <f>IF(OR(AB4="",AB54=""),"",IFERROR(AB4*AB54,""))</f>
        <v/>
      </c>
      <c r="AC53" s="20">
        <f>IF(OR(AC4="",AC54=""),"",IFERROR(AC4*AC54,""))</f>
        <v/>
      </c>
    </row>
    <row r="54">
      <c r="A54" s="13" t="inlineStr">
        <is>
          <t>% of Sales</t>
        </is>
      </c>
      <c r="B54" s="10" t="n"/>
      <c r="C54" s="14">
        <f>IF(OR(C53="",C4=""),"",IFERROR(C53/C4,""))</f>
        <v/>
      </c>
      <c r="D54" s="15">
        <f>IF(OR(D53="",D4=""),"",IFERROR(D53/D4,""))</f>
        <v/>
      </c>
      <c r="E54" s="15">
        <f>IF(OR(E53="",E4=""),"",IFERROR(E53/E4,""))</f>
        <v/>
      </c>
      <c r="F54" s="15">
        <f>IF(OR(F53="",F4=""),"",IFERROR(F53/F4,""))</f>
        <v/>
      </c>
      <c r="G54" s="15">
        <f>IF(OR(G53="",G4=""),"",IFERROR(G53/G4,""))</f>
        <v/>
      </c>
      <c r="H54" s="15">
        <f>IF(OR(H53="",H4=""),"",IFERROR(H53/H4,""))</f>
        <v/>
      </c>
      <c r="I54" s="15">
        <f>IF(OR(I53="",I4=""),"",IFERROR(I53/I4,""))</f>
        <v/>
      </c>
      <c r="J54" s="15">
        <f>IF(OR(J53="",J4=""),"",IFERROR(J53/J4,""))</f>
        <v/>
      </c>
      <c r="K54" s="15">
        <f>IF(OR(K53="",K4=""),"",IFERROR(K53/K4,""))</f>
        <v/>
      </c>
      <c r="L54" s="15">
        <f>IF(OR(L53="",L4=""),"",IFERROR(L53/L4,""))</f>
        <v/>
      </c>
      <c r="M54" s="15">
        <f>IF(OR(M53="",M4=""),"",IFERROR(M53/M4,""))</f>
        <v/>
      </c>
      <c r="N54" s="15">
        <f>IF(OR(N53="",N4=""),"",IFERROR(N53/N4,""))</f>
        <v/>
      </c>
      <c r="O54" s="14">
        <f>IF(OR(O53="",O4=""),"",IFERROR(O53/O4,""))</f>
        <v/>
      </c>
      <c r="P54" s="15">
        <f>IF(OR(P53="",P4=""),"",IFERROR(P53/P4,""))</f>
        <v/>
      </c>
      <c r="Q54" s="15">
        <f>IF(OR(Q53="",Q4=""),"",IFERROR(Q53/Q4,""))</f>
        <v/>
      </c>
      <c r="R54" s="15">
        <f>IF(OR(R53="",R4=""),"",IFERROR(R53/R4,""))</f>
        <v/>
      </c>
      <c r="S54" s="15">
        <f>IF(OR(S53="",S4=""),"",IFERROR(S53/S4,""))</f>
        <v/>
      </c>
      <c r="T54" s="15">
        <f>IF(OR(T53="",T4=""),"",IFERROR(T53/T4,""))</f>
        <v/>
      </c>
      <c r="U54" s="15">
        <f>IF(OR(U53="",U4=""),"",IFERROR(U53/U4,""))</f>
        <v/>
      </c>
      <c r="V54" s="15">
        <f>IF(OR(V53="",V4=""),"",IFERROR(V53/V4,""))</f>
        <v/>
      </c>
      <c r="W54" s="15">
        <f>IF(OR(W53="",W4=""),"",IFERROR(W53/W4,""))</f>
        <v/>
      </c>
      <c r="X54" s="15">
        <f>IF(OR(X53="",X4=""),"",IFERROR(X53/X4,""))</f>
        <v/>
      </c>
      <c r="Y54" s="25">
        <f>IFERROR(AVERAGE(V54,W54,X54),"")</f>
        <v/>
      </c>
      <c r="Z54" s="26">
        <f>Y54</f>
        <v/>
      </c>
      <c r="AA54" s="26">
        <f>Z54</f>
        <v/>
      </c>
      <c r="AB54" s="26">
        <f>AA54</f>
        <v/>
      </c>
      <c r="AC54" s="26">
        <f>AB54</f>
        <v/>
      </c>
    </row>
    <row r="55">
      <c r="A55" s="9" t="inlineStr">
        <is>
          <t>법인세비용차감전순이익(손실)</t>
        </is>
      </c>
      <c r="B55" s="10" t="n"/>
      <c r="C55" s="11" t="n">
        <v>1641</v>
      </c>
      <c r="D55" s="12" t="n">
        <v>4339</v>
      </c>
      <c r="E55" s="12" t="n">
        <v>1391</v>
      </c>
      <c r="F55" s="12" t="n">
        <v>1875</v>
      </c>
      <c r="G55" s="12" t="n">
        <v>1133</v>
      </c>
      <c r="H55" s="12" t="n">
        <v>5049</v>
      </c>
      <c r="I55" s="12" t="n">
        <v>3850</v>
      </c>
      <c r="J55" s="12" t="n">
        <v>4610</v>
      </c>
      <c r="K55" s="12" t="n">
        <v>4695</v>
      </c>
      <c r="L55" s="12" t="n">
        <v>6162</v>
      </c>
      <c r="M55" s="12" t="n">
        <v>3018</v>
      </c>
      <c r="N55" s="12" t="n">
        <v>4985</v>
      </c>
      <c r="O55" s="11" t="n"/>
      <c r="P55" s="12" t="n">
        <v>12371</v>
      </c>
      <c r="Q55" s="12" t="n">
        <v>10455</v>
      </c>
      <c r="R55" s="12" t="n">
        <v>13158</v>
      </c>
      <c r="S55" s="12" t="n">
        <v>5552</v>
      </c>
      <c r="T55" s="12" t="n">
        <v>2895</v>
      </c>
      <c r="U55" s="12" t="n">
        <v>4099</v>
      </c>
      <c r="V55" s="12" t="n">
        <v>10947</v>
      </c>
      <c r="W55" s="12" t="n">
        <v>11907</v>
      </c>
      <c r="X55" s="12" t="n">
        <v>18485</v>
      </c>
      <c r="Y55" s="11">
        <f>IF(OR(Y31=""),"",IFERROR(Y31+N(Y47)-N(Y49)+N(Y51)-N(Y53),""))</f>
        <v/>
      </c>
      <c r="Z55" s="12">
        <f>IF(OR(Z31=""),"",IFERROR(Z31+N(Z47)-N(Z49)+N(Z51)-N(Z53),""))</f>
        <v/>
      </c>
      <c r="AA55" s="12">
        <f>IF(OR(AA31=""),"",IFERROR(AA31+N(AA47)-N(AA49)+N(AA51)-N(AA53),""))</f>
        <v/>
      </c>
      <c r="AB55" s="12">
        <f>IF(OR(AB31=""),"",IFERROR(AB31+N(AB47)-N(AB49)+N(AB51)-N(AB53),""))</f>
        <v/>
      </c>
      <c r="AC55" s="12">
        <f>IF(OR(AC31=""),"",IFERROR(AC31+N(AC47)-N(AC49)+N(AC51)-N(AC53),""))</f>
        <v/>
      </c>
    </row>
    <row r="56">
      <c r="A56" s="18" t="inlineStr">
        <is>
          <t>법인세비용(수익)</t>
        </is>
      </c>
      <c r="B56" s="10" t="n"/>
      <c r="C56" s="19" t="n">
        <v>343</v>
      </c>
      <c r="D56" s="20" t="n">
        <v>1111</v>
      </c>
      <c r="E56" s="20" t="n">
        <v>588</v>
      </c>
      <c r="F56" s="20" t="n">
        <v>372</v>
      </c>
      <c r="G56" s="20" t="n">
        <v>230</v>
      </c>
      <c r="H56" s="20" t="n">
        <v>769</v>
      </c>
      <c r="I56" s="20" t="n">
        <v>1208</v>
      </c>
      <c r="J56" s="20" t="n">
        <v>675</v>
      </c>
      <c r="K56" s="20" t="n">
        <v>2254</v>
      </c>
      <c r="L56" s="20" t="n">
        <v>1627</v>
      </c>
      <c r="M56" s="20" t="n">
        <v>970</v>
      </c>
      <c r="N56" s="20" t="n">
        <v>1325</v>
      </c>
      <c r="O56" s="19" t="n"/>
      <c r="P56" s="20" t="n">
        <v>3451</v>
      </c>
      <c r="Q56" s="20" t="n">
        <v>2990</v>
      </c>
      <c r="R56" s="20" t="n">
        <v>3694</v>
      </c>
      <c r="S56" s="20" t="n">
        <v>1495</v>
      </c>
      <c r="T56" s="20" t="n">
        <v>766</v>
      </c>
      <c r="U56" s="20" t="n">
        <v>1228</v>
      </c>
      <c r="V56" s="20" t="n">
        <v>2990</v>
      </c>
      <c r="W56" s="20" t="n">
        <v>2579</v>
      </c>
      <c r="X56" s="20" t="n">
        <v>5526</v>
      </c>
      <c r="Y56" s="19">
        <f>IF(OR(Y55="",Y57=""),"",IFERROR(MAX(Y55,0)*Y57,""))</f>
        <v/>
      </c>
      <c r="Z56" s="20">
        <f>IF(OR(Z55="",Z57=""),"",IFERROR(MAX(Z55,0)*Z57,""))</f>
        <v/>
      </c>
      <c r="AA56" s="20">
        <f>IF(OR(AA55="",AA57=""),"",IFERROR(MAX(AA55,0)*AA57,""))</f>
        <v/>
      </c>
      <c r="AB56" s="20">
        <f>IF(OR(AB55="",AB57=""),"",IFERROR(MAX(AB55,0)*AB57,""))</f>
        <v/>
      </c>
      <c r="AC56" s="20">
        <f>IF(OR(AC55="",AC57=""),"",IFERROR(MAX(AC55,0)*AC57,""))</f>
        <v/>
      </c>
    </row>
    <row r="57">
      <c r="A57" s="13" t="inlineStr">
        <is>
          <t>법인세율</t>
        </is>
      </c>
      <c r="B57" s="10" t="inlineStr">
        <is>
          <t>MW 기본 30%</t>
        </is>
      </c>
      <c r="C57" s="14">
        <f>IF(OR(C56="",C55=""),"",IFERROR(C56/C55,""))</f>
        <v/>
      </c>
      <c r="D57" s="15">
        <f>IF(OR(D56="",D55=""),"",IFERROR(D56/D55,""))</f>
        <v/>
      </c>
      <c r="E57" s="15">
        <f>IF(OR(E56="",E55=""),"",IFERROR(E56/E55,""))</f>
        <v/>
      </c>
      <c r="F57" s="15">
        <f>IF(OR(F56="",F55=""),"",IFERROR(F56/F55,""))</f>
        <v/>
      </c>
      <c r="G57" s="15">
        <f>IF(OR(G56="",G55=""),"",IFERROR(G56/G55,""))</f>
        <v/>
      </c>
      <c r="H57" s="15">
        <f>IF(OR(H56="",H55=""),"",IFERROR(H56/H55,""))</f>
        <v/>
      </c>
      <c r="I57" s="15">
        <f>IF(OR(I56="",I55=""),"",IFERROR(I56/I55,""))</f>
        <v/>
      </c>
      <c r="J57" s="15">
        <f>IF(OR(J56="",J55=""),"",IFERROR(J56/J55,""))</f>
        <v/>
      </c>
      <c r="K57" s="15">
        <f>IF(OR(K56="",K55=""),"",IFERROR(K56/K55,""))</f>
        <v/>
      </c>
      <c r="L57" s="15">
        <f>IF(OR(L56="",L55=""),"",IFERROR(L56/L55,""))</f>
        <v/>
      </c>
      <c r="M57" s="15">
        <f>IF(OR(M56="",M55=""),"",IFERROR(M56/M55,""))</f>
        <v/>
      </c>
      <c r="N57" s="15">
        <f>IF(OR(N56="",N55=""),"",IFERROR(N56/N55,""))</f>
        <v/>
      </c>
      <c r="O57" s="14">
        <f>IF(OR(O56="",O55=""),"",IFERROR(O56/O55,""))</f>
        <v/>
      </c>
      <c r="P57" s="15">
        <f>IF(OR(P56="",P55=""),"",IFERROR(P56/P55,""))</f>
        <v/>
      </c>
      <c r="Q57" s="15">
        <f>IF(OR(Q56="",Q55=""),"",IFERROR(Q56/Q55,""))</f>
        <v/>
      </c>
      <c r="R57" s="15">
        <f>IF(OR(R56="",R55=""),"",IFERROR(R56/R55,""))</f>
        <v/>
      </c>
      <c r="S57" s="15">
        <f>IF(OR(S56="",S55=""),"",IFERROR(S56/S55,""))</f>
        <v/>
      </c>
      <c r="T57" s="15">
        <f>IF(OR(T56="",T55=""),"",IFERROR(T56/T55,""))</f>
        <v/>
      </c>
      <c r="U57" s="15">
        <f>IF(OR(U56="",U55=""),"",IFERROR(U56/U55,""))</f>
        <v/>
      </c>
      <c r="V57" s="15">
        <f>IF(OR(V56="",V55=""),"",IFERROR(V56/V55,""))</f>
        <v/>
      </c>
      <c r="W57" s="15">
        <f>IF(OR(W56="",W55=""),"",IFERROR(W56/W55,""))</f>
        <v/>
      </c>
      <c r="X57" s="15">
        <f>IF(OR(X56="",X55=""),"",IFERROR(X56/X55,""))</f>
        <v/>
      </c>
      <c r="Y57" s="25" t="n">
        <v>0.3</v>
      </c>
      <c r="Z57" s="26" t="n">
        <v>0.3</v>
      </c>
      <c r="AA57" s="26" t="n">
        <v>0.3</v>
      </c>
      <c r="AB57" s="26" t="n">
        <v>0.3</v>
      </c>
      <c r="AC57" s="26" t="n">
        <v>0.3</v>
      </c>
    </row>
    <row r="58">
      <c r="A58" s="9" t="inlineStr">
        <is>
          <t>당기순이익(손실)</t>
        </is>
      </c>
      <c r="B58" s="10" t="n"/>
      <c r="C58" s="11" t="n">
        <v>1298</v>
      </c>
      <c r="D58" s="12" t="n">
        <v>3227</v>
      </c>
      <c r="E58" s="12" t="n">
        <v>803</v>
      </c>
      <c r="F58" s="12" t="n">
        <v>1502</v>
      </c>
      <c r="G58" s="12" t="n">
        <v>903</v>
      </c>
      <c r="H58" s="12" t="n">
        <v>4281</v>
      </c>
      <c r="I58" s="12" t="n">
        <v>2642</v>
      </c>
      <c r="J58" s="12" t="n">
        <v>3935</v>
      </c>
      <c r="K58" s="12" t="n">
        <v>2441</v>
      </c>
      <c r="L58" s="12" t="n">
        <v>4534</v>
      </c>
      <c r="M58" s="12" t="n">
        <v>2049</v>
      </c>
      <c r="N58" s="12" t="n">
        <v>3660</v>
      </c>
      <c r="O58" s="11" t="n"/>
      <c r="P58" s="12" t="n">
        <v>8920</v>
      </c>
      <c r="Q58" s="12" t="n">
        <v>7464</v>
      </c>
      <c r="R58" s="12" t="n">
        <v>9463</v>
      </c>
      <c r="S58" s="12" t="n">
        <v>4056</v>
      </c>
      <c r="T58" s="12" t="n">
        <v>2129</v>
      </c>
      <c r="U58" s="12" t="n">
        <v>2870</v>
      </c>
      <c r="V58" s="12" t="n">
        <v>7956</v>
      </c>
      <c r="W58" s="12" t="n">
        <v>9328</v>
      </c>
      <c r="X58" s="12" t="n">
        <v>12959</v>
      </c>
      <c r="Y58" s="11">
        <f>IF(OR(Y55=""),"",IFERROR(Y55-Y56,""))</f>
        <v/>
      </c>
      <c r="Z58" s="12">
        <f>IF(OR(Z55=""),"",IFERROR(Z55-Z56,""))</f>
        <v/>
      </c>
      <c r="AA58" s="12">
        <f>IF(OR(AA55=""),"",IFERROR(AA55-AA56,""))</f>
        <v/>
      </c>
      <c r="AB58" s="12">
        <f>IF(OR(AB55=""),"",IFERROR(AB55-AB56,""))</f>
        <v/>
      </c>
      <c r="AC58" s="12">
        <f>IF(OR(AC55=""),"",IFERROR(AC55-AC56,""))</f>
        <v/>
      </c>
    </row>
    <row r="59">
      <c r="A59" s="9" t="inlineStr">
        <is>
          <t>지배주주 순이익</t>
        </is>
      </c>
      <c r="B59" s="10" t="n"/>
      <c r="C59" s="11" t="n">
        <v>977</v>
      </c>
      <c r="D59" s="12" t="n">
        <v>2859</v>
      </c>
      <c r="E59" s="12" t="n">
        <v>480</v>
      </c>
      <c r="F59" s="12" t="n">
        <v>1122</v>
      </c>
      <c r="G59" s="12" t="n">
        <v>561</v>
      </c>
      <c r="H59" s="12" t="n">
        <v>3975</v>
      </c>
      <c r="I59" s="12" t="n">
        <v>2162</v>
      </c>
      <c r="J59" s="12" t="n">
        <v>3568</v>
      </c>
      <c r="K59" s="12" t="n">
        <v>2037</v>
      </c>
      <c r="L59" s="12" t="n">
        <v>4052</v>
      </c>
      <c r="M59" s="12" t="n">
        <v>1591</v>
      </c>
      <c r="N59" s="12" t="n">
        <v>3171</v>
      </c>
      <c r="O59" s="11" t="n"/>
      <c r="P59" s="12" t="n">
        <v>8182</v>
      </c>
      <c r="Q59" s="12" t="n">
        <v>6503</v>
      </c>
      <c r="R59" s="12" t="n">
        <v>8543</v>
      </c>
      <c r="S59" s="12" t="n">
        <v>3136</v>
      </c>
      <c r="T59" s="12" t="n">
        <v>1089</v>
      </c>
      <c r="U59" s="12" t="n">
        <v>1610</v>
      </c>
      <c r="V59" s="12" t="n">
        <v>6593</v>
      </c>
      <c r="W59" s="12" t="n">
        <v>7820</v>
      </c>
      <c r="X59" s="12" t="n">
        <v>11248</v>
      </c>
      <c r="Y59" s="11">
        <f>IF(OR(Y58="",Y60=""),"",IFERROR(Y58*Y60,""))</f>
        <v/>
      </c>
      <c r="Z59" s="12">
        <f>IF(OR(Z58="",Z60=""),"",IFERROR(Z58*Z60,""))</f>
        <v/>
      </c>
      <c r="AA59" s="12">
        <f>IF(OR(AA58="",AA60=""),"",IFERROR(AA58*AA60,""))</f>
        <v/>
      </c>
      <c r="AB59" s="12">
        <f>IF(OR(AB58="",AB60=""),"",IFERROR(AB58*AB60,""))</f>
        <v/>
      </c>
      <c r="AC59" s="12">
        <f>IF(OR(AC58="",AC60=""),"",IFERROR(AC58*AC60,""))</f>
        <v/>
      </c>
    </row>
    <row r="60">
      <c r="A60" s="13" t="inlineStr">
        <is>
          <t>지배주주 순이익률</t>
        </is>
      </c>
      <c r="B60" s="10" t="inlineStr">
        <is>
          <t>MW 기본 100%</t>
        </is>
      </c>
      <c r="C60" s="14">
        <f>IF(OR(C59="",C58=""),"",IFERROR(C59/C58,""))</f>
        <v/>
      </c>
      <c r="D60" s="15">
        <f>IF(OR(D59="",D58=""),"",IFERROR(D59/D58,""))</f>
        <v/>
      </c>
      <c r="E60" s="15">
        <f>IF(OR(E59="",E58=""),"",IFERROR(E59/E58,""))</f>
        <v/>
      </c>
      <c r="F60" s="15">
        <f>IF(OR(F59="",F58=""),"",IFERROR(F59/F58,""))</f>
        <v/>
      </c>
      <c r="G60" s="15">
        <f>IF(OR(G59="",G58=""),"",IFERROR(G59/G58,""))</f>
        <v/>
      </c>
      <c r="H60" s="15">
        <f>IF(OR(H59="",H58=""),"",IFERROR(H59/H58,""))</f>
        <v/>
      </c>
      <c r="I60" s="15">
        <f>IF(OR(I59="",I58=""),"",IFERROR(I59/I58,""))</f>
        <v/>
      </c>
      <c r="J60" s="15">
        <f>IF(OR(J59="",J58=""),"",IFERROR(J59/J58,""))</f>
        <v/>
      </c>
      <c r="K60" s="15">
        <f>IF(OR(K59="",K58=""),"",IFERROR(K59/K58,""))</f>
        <v/>
      </c>
      <c r="L60" s="15">
        <f>IF(OR(L59="",L58=""),"",IFERROR(L59/L58,""))</f>
        <v/>
      </c>
      <c r="M60" s="15">
        <f>IF(OR(M59="",M58=""),"",IFERROR(M59/M58,""))</f>
        <v/>
      </c>
      <c r="N60" s="15">
        <f>IF(OR(N59="",N58=""),"",IFERROR(N59/N58,""))</f>
        <v/>
      </c>
      <c r="O60" s="14">
        <f>IF(OR(O59="",O58=""),"",IFERROR(O59/O58,""))</f>
        <v/>
      </c>
      <c r="P60" s="15">
        <f>IF(OR(P59="",P58=""),"",IFERROR(P59/P58,""))</f>
        <v/>
      </c>
      <c r="Q60" s="15">
        <f>IF(OR(Q59="",Q58=""),"",IFERROR(Q59/Q58,""))</f>
        <v/>
      </c>
      <c r="R60" s="15">
        <f>IF(OR(R59="",R58=""),"",IFERROR(R59/R58,""))</f>
        <v/>
      </c>
      <c r="S60" s="15">
        <f>IF(OR(S59="",S58=""),"",IFERROR(S59/S58,""))</f>
        <v/>
      </c>
      <c r="T60" s="15">
        <f>IF(OR(T59="",T58=""),"",IFERROR(T59/T58,""))</f>
        <v/>
      </c>
      <c r="U60" s="15">
        <f>IF(OR(U59="",U58=""),"",IFERROR(U59/U58,""))</f>
        <v/>
      </c>
      <c r="V60" s="15">
        <f>IF(OR(V59="",V58=""),"",IFERROR(V59/V58,""))</f>
        <v/>
      </c>
      <c r="W60" s="15">
        <f>IF(OR(W59="",W58=""),"",IFERROR(W59/W58,""))</f>
        <v/>
      </c>
      <c r="X60" s="15">
        <f>IF(OR(X59="",X58=""),"",IFERROR(X59/X58,""))</f>
        <v/>
      </c>
      <c r="Y60" s="25" t="n">
        <v>1</v>
      </c>
      <c r="Z60" s="26" t="n">
        <v>1</v>
      </c>
      <c r="AA60" s="26" t="n">
        <v>1</v>
      </c>
      <c r="AB60" s="26" t="n">
        <v>1</v>
      </c>
      <c r="AC60" s="26" t="n">
        <v>1</v>
      </c>
    </row>
    <row r="61">
      <c r="A61" s="16" t="inlineStr">
        <is>
          <t>목표주가 산출</t>
        </is>
      </c>
      <c r="B61" s="16" t="n"/>
      <c r="C61" s="17" t="n"/>
      <c r="D61" s="16" t="n"/>
      <c r="E61" s="16" t="n"/>
      <c r="F61" s="16" t="n"/>
      <c r="G61" s="16" t="n"/>
      <c r="H61" s="16" t="n"/>
      <c r="I61" s="16" t="n"/>
      <c r="J61" s="16" t="n"/>
      <c r="K61" s="16" t="n"/>
      <c r="L61" s="16" t="n"/>
      <c r="M61" s="16" t="n"/>
      <c r="N61" s="16" t="n"/>
      <c r="O61" s="17" t="n"/>
      <c r="P61" s="16" t="n"/>
      <c r="Q61" s="16" t="n"/>
      <c r="R61" s="16" t="n"/>
      <c r="S61" s="16" t="n"/>
      <c r="T61" s="16" t="n"/>
      <c r="U61" s="16" t="n"/>
      <c r="V61" s="16" t="n"/>
      <c r="W61" s="16" t="n"/>
      <c r="X61" s="16" t="n"/>
      <c r="Y61" s="17" t="n"/>
      <c r="Z61" s="16" t="n"/>
      <c r="AA61" s="16" t="n"/>
      <c r="AB61" s="16" t="n"/>
      <c r="AC61" s="16" t="n"/>
    </row>
    <row r="62">
      <c r="A62" s="18" t="inlineStr">
        <is>
          <t>현재 주가 (2026.10.26)</t>
        </is>
      </c>
      <c r="B62" s="27" t="n">
        <v>2830</v>
      </c>
      <c r="C62" s="28" t="n"/>
      <c r="D62" s="29" t="n"/>
      <c r="E62" s="29" t="n"/>
      <c r="F62" s="29" t="n"/>
      <c r="G62" s="29" t="n"/>
      <c r="H62" s="29" t="n"/>
      <c r="I62" s="29" t="n"/>
      <c r="J62" s="29" t="n"/>
      <c r="K62" s="29" t="n"/>
      <c r="L62" s="29" t="n"/>
      <c r="M62" s="29" t="n"/>
      <c r="N62" s="29" t="n"/>
      <c r="O62" s="28" t="n"/>
      <c r="P62" s="29" t="n"/>
      <c r="Q62" s="29" t="n"/>
      <c r="R62" s="29" t="n"/>
      <c r="S62" s="29" t="n"/>
      <c r="T62" s="29" t="n"/>
      <c r="U62" s="29" t="n"/>
      <c r="V62" s="29" t="n"/>
      <c r="W62" s="29" t="n"/>
      <c r="X62" s="29" t="n"/>
      <c r="Y62" s="28" t="n"/>
      <c r="Z62" s="29" t="n"/>
      <c r="AA62" s="29" t="n"/>
      <c r="AB62" s="29" t="n"/>
      <c r="AC62" s="29" t="n"/>
    </row>
    <row r="63">
      <c r="A63" s="18" t="inlineStr">
        <is>
          <t>발행주식수 (보통주)</t>
        </is>
      </c>
      <c r="B63" s="27" t="n">
        <v>64520820</v>
      </c>
      <c r="C63" s="28" t="n"/>
      <c r="D63" s="29" t="n"/>
      <c r="E63" s="29" t="n"/>
      <c r="F63" s="29" t="n"/>
      <c r="G63" s="29" t="n"/>
      <c r="H63" s="29" t="n"/>
      <c r="I63" s="29" t="n"/>
      <c r="J63" s="29" t="n"/>
      <c r="K63" s="29" t="n"/>
      <c r="L63" s="29" t="n"/>
      <c r="M63" s="29" t="n"/>
      <c r="N63" s="29" t="n"/>
      <c r="O63" s="28" t="n"/>
      <c r="P63" s="29" t="n"/>
      <c r="Q63" s="29" t="n"/>
      <c r="R63" s="29" t="n"/>
      <c r="S63" s="29" t="n"/>
      <c r="T63" s="29" t="n"/>
      <c r="U63" s="29" t="n"/>
      <c r="V63" s="29" t="n"/>
      <c r="W63" s="29" t="n"/>
      <c r="X63" s="29" t="n"/>
      <c r="Y63" s="28" t="n"/>
      <c r="Z63" s="29" t="n"/>
      <c r="AA63" s="29" t="n"/>
      <c r="AB63" s="29" t="n"/>
      <c r="AC63" s="29" t="n"/>
    </row>
    <row r="64">
      <c r="A64" s="18" t="inlineStr">
        <is>
          <t>시가총액 (백만엔)</t>
        </is>
      </c>
      <c r="B64" s="12">
        <f>IF(OR(B62="",B63=""),"",B62*B63/1000000.0)</f>
        <v/>
      </c>
      <c r="C64" s="19" t="n"/>
      <c r="D64" s="20" t="n"/>
      <c r="E64" s="20" t="n"/>
      <c r="F64" s="20" t="n"/>
      <c r="G64" s="20" t="n"/>
      <c r="H64" s="20" t="n"/>
      <c r="I64" s="20" t="n"/>
      <c r="J64" s="20" t="n"/>
      <c r="K64" s="20" t="n"/>
      <c r="L64" s="20" t="n"/>
      <c r="M64" s="20" t="n"/>
      <c r="N64" s="20" t="n"/>
      <c r="O64" s="19" t="n"/>
      <c r="P64" s="20" t="n"/>
      <c r="Q64" s="20" t="n"/>
      <c r="R64" s="20" t="n"/>
      <c r="S64" s="20" t="n"/>
      <c r="T64" s="20" t="n"/>
      <c r="U64" s="20" t="n"/>
      <c r="V64" s="20" t="n"/>
      <c r="W64" s="20" t="n"/>
      <c r="X64" s="20" t="n"/>
      <c r="Y64" s="19" t="n"/>
      <c r="Z64" s="20" t="n"/>
      <c r="AA64" s="20" t="n"/>
      <c r="AB64" s="20" t="n"/>
      <c r="AC64" s="20" t="n"/>
    </row>
    <row r="65">
      <c r="A65" s="13" t="inlineStr">
        <is>
          <t>OPM</t>
        </is>
      </c>
      <c r="B65" s="10" t="n"/>
      <c r="C65" s="14" t="n"/>
      <c r="D65" s="15" t="n"/>
      <c r="E65" s="15" t="n"/>
      <c r="F65" s="15" t="n"/>
      <c r="G65" s="15" t="n"/>
      <c r="H65" s="15" t="n"/>
      <c r="I65" s="15" t="n"/>
      <c r="J65" s="15" t="n"/>
      <c r="K65" s="15" t="n"/>
      <c r="L65" s="15" t="n"/>
      <c r="M65" s="15" t="n"/>
      <c r="N65" s="15" t="n"/>
      <c r="O65" s="14">
        <f>IF(O32="","",O32)</f>
        <v/>
      </c>
      <c r="P65" s="15">
        <f>IF(P32="","",P32)</f>
        <v/>
      </c>
      <c r="Q65" s="15">
        <f>IF(Q32="","",Q32)</f>
        <v/>
      </c>
      <c r="R65" s="15">
        <f>IF(R32="","",R32)</f>
        <v/>
      </c>
      <c r="S65" s="15">
        <f>IF(S32="","",S32)</f>
        <v/>
      </c>
      <c r="T65" s="15">
        <f>IF(T32="","",T32)</f>
        <v/>
      </c>
      <c r="U65" s="15">
        <f>IF(U32="","",U32)</f>
        <v/>
      </c>
      <c r="V65" s="15">
        <f>IF(V32="","",V32)</f>
        <v/>
      </c>
      <c r="W65" s="15">
        <f>IF(W32="","",W32)</f>
        <v/>
      </c>
      <c r="X65" s="15">
        <f>IF(X32="","",X32)</f>
        <v/>
      </c>
      <c r="Y65" s="14">
        <f>IF(Y32="","",Y32)</f>
        <v/>
      </c>
      <c r="Z65" s="15">
        <f>IF(Z32="","",Z32)</f>
        <v/>
      </c>
      <c r="AA65" s="15">
        <f>IF(AA32="","",AA32)</f>
        <v/>
      </c>
      <c r="AB65" s="15">
        <f>IF(AB32="","",AB32)</f>
        <v/>
      </c>
      <c r="AC65" s="15">
        <f>IF(AC32="","",AC32)</f>
        <v/>
      </c>
    </row>
    <row r="66">
      <c r="A66" s="13" t="inlineStr">
        <is>
          <t>지배주주 순이익 증가율</t>
        </is>
      </c>
      <c r="B66" s="10" t="n"/>
      <c r="C66" s="14" t="n"/>
      <c r="D66" s="15" t="n"/>
      <c r="E66" s="15" t="n"/>
      <c r="F66" s="15" t="n"/>
      <c r="G66" s="15" t="n"/>
      <c r="H66" s="15" t="n"/>
      <c r="I66" s="15" t="n"/>
      <c r="J66" s="15" t="n"/>
      <c r="K66" s="15" t="n"/>
      <c r="L66" s="15" t="n"/>
      <c r="M66" s="15" t="n"/>
      <c r="N66" s="15" t="n"/>
      <c r="O66" s="14" t="n"/>
      <c r="P66" s="15">
        <f>IF(OR(P59="",O59=""),"",IFERROR(P59/O59-1,""))</f>
        <v/>
      </c>
      <c r="Q66" s="15">
        <f>IF(OR(Q59="",P59=""),"",IFERROR(Q59/P59-1,""))</f>
        <v/>
      </c>
      <c r="R66" s="15">
        <f>IF(OR(R59="",Q59=""),"",IFERROR(R59/Q59-1,""))</f>
        <v/>
      </c>
      <c r="S66" s="15">
        <f>IF(OR(S59="",R59=""),"",IFERROR(S59/R59-1,""))</f>
        <v/>
      </c>
      <c r="T66" s="15">
        <f>IF(OR(T59="",S59=""),"",IFERROR(T59/S59-1,""))</f>
        <v/>
      </c>
      <c r="U66" s="15">
        <f>IF(OR(U59="",T59=""),"",IFERROR(U59/T59-1,""))</f>
        <v/>
      </c>
      <c r="V66" s="15">
        <f>IF(OR(V59="",U59=""),"",IFERROR(V59/U59-1,""))</f>
        <v/>
      </c>
      <c r="W66" s="15">
        <f>IF(OR(W59="",V59=""),"",IFERROR(W59/V59-1,""))</f>
        <v/>
      </c>
      <c r="X66" s="15">
        <f>IF(OR(X59="",W59=""),"",IFERROR(X59/W59-1,""))</f>
        <v/>
      </c>
      <c r="Y66" s="14">
        <f>IF(OR(Y59="",X59=""),"",IFERROR(Y59/X59-1,""))</f>
        <v/>
      </c>
      <c r="Z66" s="15">
        <f>IF(OR(Z59="",Y59=""),"",IFERROR(Z59/Y59-1,""))</f>
        <v/>
      </c>
      <c r="AA66" s="15">
        <f>IF(OR(AA59="",Z59=""),"",IFERROR(AA59/Z59-1,""))</f>
        <v/>
      </c>
      <c r="AB66" s="15">
        <f>IF(OR(AB59="",AA59=""),"",IFERROR(AB59/AA59-1,""))</f>
        <v/>
      </c>
      <c r="AC66" s="15">
        <f>IF(OR(AC59="",AB59=""),"",IFERROR(AC59/AB59-1,""))</f>
        <v/>
      </c>
    </row>
    <row r="67">
      <c r="A67" s="18" t="inlineStr">
        <is>
          <t>P/E (현재 주가)</t>
        </is>
      </c>
      <c r="B67" s="10" t="inlineStr">
        <is>
          <t>시총 ÷ 지배순이익</t>
        </is>
      </c>
      <c r="C67" s="30" t="n"/>
      <c r="D67" s="31" t="n"/>
      <c r="E67" s="31" t="n"/>
      <c r="F67" s="31" t="n"/>
      <c r="G67" s="31" t="n"/>
      <c r="H67" s="31" t="n"/>
      <c r="I67" s="31" t="n"/>
      <c r="J67" s="31" t="n"/>
      <c r="K67" s="31" t="n"/>
      <c r="L67" s="31" t="n"/>
      <c r="M67" s="31" t="n"/>
      <c r="N67" s="31" t="n"/>
      <c r="O67" s="30" t="n"/>
      <c r="P67" s="31" t="n"/>
      <c r="Q67" s="31" t="n"/>
      <c r="R67" s="31" t="n"/>
      <c r="S67" s="31" t="n"/>
      <c r="T67" s="31" t="n"/>
      <c r="U67" s="31" t="n"/>
      <c r="V67" s="31" t="n"/>
      <c r="W67" s="31" t="n"/>
      <c r="X67" s="31">
        <f>IF(OR($B$64="",X59=""),"",IFERROR($B$64/X59,""))</f>
        <v/>
      </c>
      <c r="Y67" s="30">
        <f>IF(OR($B$64="",Y59=""),"",IFERROR($B$64/Y59,""))</f>
        <v/>
      </c>
      <c r="Z67" s="31">
        <f>IF(OR($B$64="",Z59=""),"",IFERROR($B$64/Z59,""))</f>
        <v/>
      </c>
      <c r="AA67" s="31">
        <f>IF(OR($B$64="",AA59=""),"",IFERROR($B$64/AA59,""))</f>
        <v/>
      </c>
      <c r="AB67" s="31">
        <f>IF(OR($B$64="",AB59=""),"",IFERROR($B$64/AB59,""))</f>
        <v/>
      </c>
      <c r="AC67" s="31">
        <f>IF(OR($B$64="",AC59=""),"",IFERROR($B$64/AC59,""))</f>
        <v/>
      </c>
    </row>
    <row r="68">
      <c r="A68" s="18" t="inlineStr">
        <is>
          <t>Target P/E</t>
        </is>
      </c>
      <c r="B68" s="10" t="inlineStr">
        <is>
          <t>직접 입력</t>
        </is>
      </c>
      <c r="C68" s="30" t="n"/>
      <c r="D68" s="31" t="n"/>
      <c r="E68" s="31" t="n"/>
      <c r="F68" s="31" t="n"/>
      <c r="G68" s="31" t="n"/>
      <c r="H68" s="31" t="n"/>
      <c r="I68" s="31" t="n"/>
      <c r="J68" s="31" t="n"/>
      <c r="K68" s="31" t="n"/>
      <c r="L68" s="31" t="n"/>
      <c r="M68" s="31" t="n"/>
      <c r="N68" s="31" t="n"/>
      <c r="O68" s="30" t="n"/>
      <c r="P68" s="31" t="n"/>
      <c r="Q68" s="31" t="n"/>
      <c r="R68" s="31" t="n"/>
      <c r="S68" s="31" t="n"/>
      <c r="T68" s="31" t="n"/>
      <c r="U68" s="31" t="n"/>
      <c r="V68" s="31" t="n"/>
      <c r="W68" s="31" t="n"/>
      <c r="X68" s="31" t="n"/>
      <c r="Y68" s="32" t="n"/>
      <c r="Z68" s="33" t="n"/>
      <c r="AA68" s="33" t="n"/>
      <c r="AB68" s="33" t="n"/>
      <c r="AC68" s="33" t="n"/>
    </row>
    <row r="69">
      <c r="A69" s="18" t="inlineStr">
        <is>
          <t>EPS</t>
        </is>
      </c>
      <c r="B69" s="10" t="inlineStr">
        <is>
          <t>지배순이익 ÷ 주식수</t>
        </is>
      </c>
      <c r="C69" s="28" t="n"/>
      <c r="D69" s="29" t="n"/>
      <c r="E69" s="29" t="n"/>
      <c r="F69" s="29" t="n"/>
      <c r="G69" s="29" t="n"/>
      <c r="H69" s="29" t="n"/>
      <c r="I69" s="29" t="n"/>
      <c r="J69" s="29" t="n"/>
      <c r="K69" s="29" t="n"/>
      <c r="L69" s="29" t="n"/>
      <c r="M69" s="29" t="n"/>
      <c r="N69" s="29" t="n"/>
      <c r="O69" s="28">
        <f>IF(OR(O59="",$B$63=""),"",IFERROR(O59*1000000.0/$B$63,""))</f>
        <v/>
      </c>
      <c r="P69" s="29">
        <f>IF(OR(P59="",$B$63=""),"",IFERROR(P59*1000000.0/$B$63,""))</f>
        <v/>
      </c>
      <c r="Q69" s="29">
        <f>IF(OR(Q59="",$B$63=""),"",IFERROR(Q59*1000000.0/$B$63,""))</f>
        <v/>
      </c>
      <c r="R69" s="29">
        <f>IF(OR(R59="",$B$63=""),"",IFERROR(R59*1000000.0/$B$63,""))</f>
        <v/>
      </c>
      <c r="S69" s="29">
        <f>IF(OR(S59="",$B$63=""),"",IFERROR(S59*1000000.0/$B$63,""))</f>
        <v/>
      </c>
      <c r="T69" s="29">
        <f>IF(OR(T59="",$B$63=""),"",IFERROR(T59*1000000.0/$B$63,""))</f>
        <v/>
      </c>
      <c r="U69" s="29">
        <f>IF(OR(U59="",$B$63=""),"",IFERROR(U59*1000000.0/$B$63,""))</f>
        <v/>
      </c>
      <c r="V69" s="29">
        <f>IF(OR(V59="",$B$63=""),"",IFERROR(V59*1000000.0/$B$63,""))</f>
        <v/>
      </c>
      <c r="W69" s="29">
        <f>IF(OR(W59="",$B$63=""),"",IFERROR(W59*1000000.0/$B$63,""))</f>
        <v/>
      </c>
      <c r="X69" s="29">
        <f>IF(OR(X59="",$B$63=""),"",IFERROR(X59*1000000.0/$B$63,""))</f>
        <v/>
      </c>
      <c r="Y69" s="28">
        <f>IF(OR(Y59="",$B$63=""),"",IFERROR(Y59*1000000.0/$B$63,""))</f>
        <v/>
      </c>
      <c r="Z69" s="29">
        <f>IF(OR(Z59="",$B$63=""),"",IFERROR(Z59*1000000.0/$B$63,""))</f>
        <v/>
      </c>
      <c r="AA69" s="29">
        <f>IF(OR(AA59="",$B$63=""),"",IFERROR(AA59*1000000.0/$B$63,""))</f>
        <v/>
      </c>
      <c r="AB69" s="29">
        <f>IF(OR(AB59="",$B$63=""),"",IFERROR(AB59*1000000.0/$B$63,""))</f>
        <v/>
      </c>
      <c r="AC69" s="29">
        <f>IF(OR(AC59="",$B$63=""),"",IFERROR(AC59*1000000.0/$B$63,""))</f>
        <v/>
      </c>
    </row>
    <row r="70">
      <c r="A70" s="9" t="inlineStr">
        <is>
          <t>목표주가</t>
        </is>
      </c>
      <c r="B70" s="10" t="n"/>
      <c r="C70" s="34" t="n"/>
      <c r="D70" s="27" t="n"/>
      <c r="E70" s="27" t="n"/>
      <c r="F70" s="27" t="n"/>
      <c r="G70" s="27" t="n"/>
      <c r="H70" s="27" t="n"/>
      <c r="I70" s="27" t="n"/>
      <c r="J70" s="27" t="n"/>
      <c r="K70" s="27" t="n"/>
      <c r="L70" s="27" t="n"/>
      <c r="M70" s="27" t="n"/>
      <c r="N70" s="27" t="n"/>
      <c r="O70" s="34" t="n"/>
      <c r="P70" s="27" t="n"/>
      <c r="Q70" s="27" t="n"/>
      <c r="R70" s="27" t="n"/>
      <c r="S70" s="27" t="n"/>
      <c r="T70" s="27" t="n"/>
      <c r="U70" s="27" t="n"/>
      <c r="V70" s="27" t="n"/>
      <c r="W70" s="27" t="n"/>
      <c r="X70" s="27" t="n"/>
      <c r="Y70" s="34">
        <f>IF(OR(Y69="",Y68=""),"",IFERROR(Y69*Y68,""))</f>
        <v/>
      </c>
      <c r="Z70" s="27">
        <f>IF(OR(Z69="",Z68=""),"",IFERROR(Z69*Z68,""))</f>
        <v/>
      </c>
      <c r="AA70" s="27">
        <f>IF(OR(AA69="",AA68=""),"",IFERROR(AA69*AA68,""))</f>
        <v/>
      </c>
      <c r="AB70" s="27">
        <f>IF(OR(AB69="",AB68=""),"",IFERROR(AB69*AB68,""))</f>
        <v/>
      </c>
      <c r="AC70" s="27">
        <f>IF(OR(AC69="",AC68=""),"",IFERROR(AC69*AC68,""))</f>
        <v/>
      </c>
    </row>
    <row r="71">
      <c r="A71" s="18" t="inlineStr">
        <is>
          <t>상승여력</t>
        </is>
      </c>
      <c r="B71" s="10" t="n"/>
      <c r="C71" s="35" t="n"/>
      <c r="D71" s="36" t="n"/>
      <c r="E71" s="36" t="n"/>
      <c r="F71" s="36" t="n"/>
      <c r="G71" s="36" t="n"/>
      <c r="H71" s="36" t="n"/>
      <c r="I71" s="36" t="n"/>
      <c r="J71" s="36" t="n"/>
      <c r="K71" s="36" t="n"/>
      <c r="L71" s="36" t="n"/>
      <c r="M71" s="36" t="n"/>
      <c r="N71" s="36" t="n"/>
      <c r="O71" s="35" t="n"/>
      <c r="P71" s="36" t="n"/>
      <c r="Q71" s="36" t="n"/>
      <c r="R71" s="36" t="n"/>
      <c r="S71" s="36" t="n"/>
      <c r="T71" s="36" t="n"/>
      <c r="U71" s="36" t="n"/>
      <c r="V71" s="36" t="n"/>
      <c r="W71" s="36" t="n"/>
      <c r="X71" s="36" t="n"/>
      <c r="Y71" s="37">
        <f>IF(OR(Y70="",$B$62=""),"",IFERROR(Y70/$B$62-1,""))</f>
        <v/>
      </c>
      <c r="Z71" s="38">
        <f>IF(OR(Z70="",$B$62=""),"",IFERROR(Z70/$B$62-1,""))</f>
        <v/>
      </c>
      <c r="AA71" s="38">
        <f>IF(OR(AA70="",$B$62=""),"",IFERROR(AA70/$B$62-1,""))</f>
        <v/>
      </c>
      <c r="AB71" s="38">
        <f>IF(OR(AB70="",$B$62=""),"",IFERROR(AB70/$B$62-1,""))</f>
        <v/>
      </c>
      <c r="AC71" s="38">
        <f>IF(OR(AC70="",$B$62=""),"",IFERROR(AC70/$B$62-1,""))</f>
        <v/>
      </c>
    </row>
    <row r="72">
      <c r="A72" s="16" t="inlineStr">
        <is>
          <t>자산가치 산출</t>
        </is>
      </c>
      <c r="B72" s="16" t="inlineStr">
        <is>
          <t>최신 분기 BS</t>
        </is>
      </c>
      <c r="C72" s="17" t="n"/>
      <c r="D72" s="16" t="n"/>
      <c r="E72" s="16" t="n"/>
      <c r="F72" s="16" t="n"/>
      <c r="G72" s="16" t="n"/>
      <c r="H72" s="16" t="n"/>
      <c r="I72" s="16" t="n"/>
      <c r="J72" s="16" t="n"/>
      <c r="K72" s="16" t="n"/>
      <c r="L72" s="16" t="n"/>
      <c r="M72" s="16" t="n"/>
      <c r="N72" s="16" t="n"/>
      <c r="O72" s="17" t="n"/>
      <c r="P72" s="16" t="n"/>
      <c r="Q72" s="16" t="n"/>
      <c r="R72" s="16" t="n"/>
      <c r="S72" s="16" t="n"/>
      <c r="T72" s="16" t="n"/>
      <c r="U72" s="16" t="n"/>
      <c r="V72" s="16" t="n"/>
      <c r="W72" s="16" t="n"/>
      <c r="X72" s="16" t="n"/>
      <c r="Y72" s="17" t="n"/>
      <c r="Z72" s="16" t="n"/>
      <c r="AA72" s="16" t="n"/>
      <c r="AB72" s="16" t="n"/>
      <c r="AC72" s="16" t="n"/>
    </row>
    <row r="73">
      <c r="A73" s="18" t="inlineStr">
        <is>
          <t>현금및현금성자산</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'재무상태표'!G6</f>
        <v/>
      </c>
      <c r="Y73" s="19">
        <f>'재무상태표'!G6</f>
        <v/>
      </c>
      <c r="Z73" s="20">
        <f>'재무상태표'!G6</f>
        <v/>
      </c>
      <c r="AA73" s="20">
        <f>'재무상태표'!G6</f>
        <v/>
      </c>
      <c r="AB73" s="20">
        <f>'재무상태표'!G6</f>
        <v/>
      </c>
      <c r="AC73" s="20">
        <f>'재무상태표'!G6</f>
        <v/>
      </c>
    </row>
    <row r="74">
      <c r="A74" s="18" t="inlineStr">
        <is>
          <t>단기금융상품</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'재무상태표'!G7</f>
        <v/>
      </c>
      <c r="Y74" s="19">
        <f>'재무상태표'!G7</f>
        <v/>
      </c>
      <c r="Z74" s="20">
        <f>'재무상태표'!G7</f>
        <v/>
      </c>
      <c r="AA74" s="20">
        <f>'재무상태표'!G7</f>
        <v/>
      </c>
      <c r="AB74" s="20">
        <f>'재무상태표'!G7</f>
        <v/>
      </c>
      <c r="AC74" s="20">
        <f>'재무상태표'!G7</f>
        <v/>
      </c>
    </row>
    <row r="75">
      <c r="A75" s="18" t="inlineStr">
        <is>
          <t>투자부동산</t>
        </is>
      </c>
      <c r="B75" s="10" t="n"/>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f>'재무상태표'!G14</f>
        <v/>
      </c>
      <c r="Y75" s="19">
        <f>'재무상태표'!G14</f>
        <v/>
      </c>
      <c r="Z75" s="20">
        <f>'재무상태표'!G14</f>
        <v/>
      </c>
      <c r="AA75" s="20">
        <f>'재무상태표'!G14</f>
        <v/>
      </c>
      <c r="AB75" s="20">
        <f>'재무상태표'!G14</f>
        <v/>
      </c>
      <c r="AC75" s="20">
        <f>'재무상태표'!G14</f>
        <v/>
      </c>
    </row>
    <row r="76">
      <c r="A76" s="18" t="inlineStr">
        <is>
          <t>지배자본</t>
        </is>
      </c>
      <c r="B76" s="10" t="n"/>
      <c r="C76" s="19" t="n"/>
      <c r="D76" s="20" t="n"/>
      <c r="E76" s="20" t="n"/>
      <c r="F76" s="20" t="n"/>
      <c r="G76" s="20" t="n"/>
      <c r="H76" s="20" t="n"/>
      <c r="I76" s="20" t="n"/>
      <c r="J76" s="20" t="n"/>
      <c r="K76" s="20" t="n"/>
      <c r="L76" s="20" t="n"/>
      <c r="M76" s="20" t="n"/>
      <c r="N76" s="20" t="n"/>
      <c r="O76" s="19" t="n"/>
      <c r="P76" s="20" t="n"/>
      <c r="Q76" s="20" t="n"/>
      <c r="R76" s="20" t="n"/>
      <c r="S76" s="20" t="n"/>
      <c r="T76" s="20" t="n"/>
      <c r="U76" s="20" t="n"/>
      <c r="V76" s="20" t="n"/>
      <c r="W76" s="20" t="n"/>
      <c r="X76" s="20">
        <f>'재무상태표'!G31</f>
        <v/>
      </c>
      <c r="Y76" s="19">
        <f>'재무상태표'!G31</f>
        <v/>
      </c>
      <c r="Z76" s="20">
        <f>'재무상태표'!G31</f>
        <v/>
      </c>
      <c r="AA76" s="20">
        <f>'재무상태표'!G31</f>
        <v/>
      </c>
      <c r="AB76" s="20">
        <f>'재무상태표'!G31</f>
        <v/>
      </c>
      <c r="AC76" s="20">
        <f>'재무상태표'!G31</f>
        <v/>
      </c>
    </row>
    <row r="77">
      <c r="A77" s="18" t="inlineStr">
        <is>
          <t>부채</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f>'재무상태표'!G27</f>
        <v/>
      </c>
      <c r="Y77" s="19">
        <f>'재무상태표'!G27</f>
        <v/>
      </c>
      <c r="Z77" s="20">
        <f>'재무상태표'!G27</f>
        <v/>
      </c>
      <c r="AA77" s="20">
        <f>'재무상태표'!G27</f>
        <v/>
      </c>
      <c r="AB77" s="20">
        <f>'재무상태표'!G27</f>
        <v/>
      </c>
      <c r="AC77" s="20">
        <f>'재무상태표'!G27</f>
        <v/>
      </c>
    </row>
    <row r="78">
      <c r="A78" s="13" t="inlineStr">
        <is>
          <t>부채비율</t>
        </is>
      </c>
      <c r="B78" s="10" t="n"/>
      <c r="C78" s="14" t="n"/>
      <c r="D78" s="15" t="n"/>
      <c r="E78" s="15" t="n"/>
      <c r="F78" s="15" t="n"/>
      <c r="G78" s="15" t="n"/>
      <c r="H78" s="15" t="n"/>
      <c r="I78" s="15" t="n"/>
      <c r="J78" s="15" t="n"/>
      <c r="K78" s="15" t="n"/>
      <c r="L78" s="15" t="n"/>
      <c r="M78" s="15" t="n"/>
      <c r="N78" s="15" t="n"/>
      <c r="O78" s="14" t="n"/>
      <c r="P78" s="15" t="n"/>
      <c r="Q78" s="15" t="n"/>
      <c r="R78" s="15" t="n"/>
      <c r="S78" s="15" t="n"/>
      <c r="T78" s="15" t="n"/>
      <c r="U78" s="15" t="n"/>
      <c r="V78" s="15" t="n"/>
      <c r="W78" s="15" t="n"/>
      <c r="X78" s="15">
        <f>IF(OR(X77="",X76=""),"",IFERROR(X77/X76,""))</f>
        <v/>
      </c>
      <c r="Y78" s="14">
        <f>IF(OR(Y77="",Y76=""),"",IFERROR(Y77/Y76,""))</f>
        <v/>
      </c>
      <c r="Z78" s="15">
        <f>IF(OR(Z77="",Z76=""),"",IFERROR(Z77/Z76,""))</f>
        <v/>
      </c>
      <c r="AA78" s="15">
        <f>IF(OR(AA77="",AA76=""),"",IFERROR(AA77/AA76,""))</f>
        <v/>
      </c>
      <c r="AB78" s="15">
        <f>IF(OR(AB77="",AB76=""),"",IFERROR(AB77/AB76,""))</f>
        <v/>
      </c>
      <c r="AC78" s="15">
        <f>IF(OR(AC77="",AC76=""),"",IFERROR(AC77/AC76,""))</f>
        <v/>
      </c>
    </row>
    <row r="79">
      <c r="A79" s="9" t="inlineStr">
        <is>
          <t>자산가치</t>
        </is>
      </c>
      <c r="B79" s="10" t="inlineStr">
        <is>
          <t>현금+단기금융+투자부동산</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f>SUM(X73,X74,X75)</f>
        <v/>
      </c>
      <c r="Y79" s="11">
        <f>SUM(Y73,Y74,Y75)</f>
        <v/>
      </c>
      <c r="Z79" s="12">
        <f>SUM(Z73,Z74,Z75)</f>
        <v/>
      </c>
      <c r="AA79" s="12">
        <f>SUM(AA73,AA74,AA75)</f>
        <v/>
      </c>
      <c r="AB79" s="12">
        <f>SUM(AB73,AB74,AB75)</f>
        <v/>
      </c>
      <c r="AC79" s="12">
        <f>SUM(AC73,AC74,AC75)</f>
        <v/>
      </c>
    </row>
    <row r="80">
      <c r="A80" s="16" t="inlineStr">
        <is>
          <t>기업가치 산출</t>
        </is>
      </c>
      <c r="B80" s="16" t="n"/>
      <c r="C80" s="17" t="n"/>
      <c r="D80" s="16" t="n"/>
      <c r="E80" s="16" t="n"/>
      <c r="F80" s="16" t="n"/>
      <c r="G80" s="16" t="n"/>
      <c r="H80" s="16" t="n"/>
      <c r="I80" s="16" t="n"/>
      <c r="J80" s="16" t="n"/>
      <c r="K80" s="16" t="n"/>
      <c r="L80" s="16" t="n"/>
      <c r="M80" s="16" t="n"/>
      <c r="N80" s="16" t="n"/>
      <c r="O80" s="17" t="n"/>
      <c r="P80" s="16" t="n"/>
      <c r="Q80" s="16" t="n"/>
      <c r="R80" s="16" t="n"/>
      <c r="S80" s="16" t="n"/>
      <c r="T80" s="16" t="n"/>
      <c r="U80" s="16" t="n"/>
      <c r="V80" s="16" t="n"/>
      <c r="W80" s="16" t="n"/>
      <c r="X80" s="16" t="n"/>
      <c r="Y80" s="17" t="n"/>
      <c r="Z80" s="16" t="n"/>
      <c r="AA80" s="16" t="n"/>
      <c r="AB80" s="16" t="n"/>
      <c r="AC80" s="16" t="n"/>
    </row>
    <row r="81">
      <c r="A81" s="18" t="inlineStr">
        <is>
          <t>목표 시가총액 (P/E)</t>
        </is>
      </c>
      <c r="B81" s="10" t="inlineStr">
        <is>
          <t>지배순이익 × Target P/E</t>
        </is>
      </c>
      <c r="C81" s="19" t="n"/>
      <c r="D81" s="20" t="n"/>
      <c r="E81" s="20" t="n"/>
      <c r="F81" s="20" t="n"/>
      <c r="G81" s="20" t="n"/>
      <c r="H81" s="20" t="n"/>
      <c r="I81" s="20" t="n"/>
      <c r="J81" s="20" t="n"/>
      <c r="K81" s="20" t="n"/>
      <c r="L81" s="20" t="n"/>
      <c r="M81" s="20" t="n"/>
      <c r="N81" s="20" t="n"/>
      <c r="O81" s="19" t="n"/>
      <c r="P81" s="20" t="n"/>
      <c r="Q81" s="20" t="n"/>
      <c r="R81" s="20" t="n"/>
      <c r="S81" s="20" t="n"/>
      <c r="T81" s="20" t="n"/>
      <c r="U81" s="20" t="n"/>
      <c r="V81" s="20" t="n"/>
      <c r="W81" s="20" t="n"/>
      <c r="X81" s="20" t="n"/>
      <c r="Y81" s="19">
        <f>IF(OR(Y59="",Y68=""),"",IFERROR(Y59*Y68,""))</f>
        <v/>
      </c>
      <c r="Z81" s="20">
        <f>IF(OR(Z59="",Z68=""),"",IFERROR(Z59*Z68,""))</f>
        <v/>
      </c>
      <c r="AA81" s="20">
        <f>IF(OR(AA59="",AA68=""),"",IFERROR(AA59*AA68,""))</f>
        <v/>
      </c>
      <c r="AB81" s="20">
        <f>IF(OR(AB59="",AB68=""),"",IFERROR(AB59*AB68,""))</f>
        <v/>
      </c>
      <c r="AC81" s="20">
        <f>IF(OR(AC59="",AC68=""),"",IFERROR(AC59*AC68,""))</f>
        <v/>
      </c>
    </row>
    <row r="82">
      <c r="A82" s="9" t="inlineStr">
        <is>
          <t>기업가치</t>
        </is>
      </c>
      <c r="B82" s="10" t="inlineStr">
        <is>
          <t>목표시총 + 자산가치</t>
        </is>
      </c>
      <c r="C82" s="11" t="n"/>
      <c r="D82" s="12" t="n"/>
      <c r="E82" s="12" t="n"/>
      <c r="F82" s="12" t="n"/>
      <c r="G82" s="12" t="n"/>
      <c r="H82" s="12" t="n"/>
      <c r="I82" s="12" t="n"/>
      <c r="J82" s="12" t="n"/>
      <c r="K82" s="12" t="n"/>
      <c r="L82" s="12" t="n"/>
      <c r="M82" s="12" t="n"/>
      <c r="N82" s="12" t="n"/>
      <c r="O82" s="11" t="n"/>
      <c r="P82" s="12" t="n"/>
      <c r="Q82" s="12" t="n"/>
      <c r="R82" s="12" t="n"/>
      <c r="S82" s="12" t="n"/>
      <c r="T82" s="12" t="n"/>
      <c r="U82" s="12" t="n"/>
      <c r="V82" s="12" t="n"/>
      <c r="W82" s="12" t="n"/>
      <c r="X82" s="12" t="n"/>
      <c r="Y82" s="11">
        <f>IF(OR(Y81=""),"",IFERROR(Y81+Y79,""))</f>
        <v/>
      </c>
      <c r="Z82" s="12">
        <f>IF(OR(Z81=""),"",IFERROR(Z81+Z79,""))</f>
        <v/>
      </c>
      <c r="AA82" s="12">
        <f>IF(OR(AA81=""),"",IFERROR(AA81+AA79,""))</f>
        <v/>
      </c>
      <c r="AB82" s="12">
        <f>IF(OR(AB81=""),"",IFERROR(AB81+AB79,""))</f>
        <v/>
      </c>
      <c r="AC82" s="12">
        <f>IF(OR(AC81=""),"",IFERROR(AC81+AC79,""))</f>
        <v/>
      </c>
    </row>
    <row r="83">
      <c r="A83" s="18" t="inlineStr">
        <is>
          <t>현재 시가총액</t>
        </is>
      </c>
      <c r="B83" s="10" t="n"/>
      <c r="C83" s="19" t="n"/>
      <c r="D83" s="20" t="n"/>
      <c r="E83" s="20" t="n"/>
      <c r="F83" s="20" t="n"/>
      <c r="G83" s="20" t="n"/>
      <c r="H83" s="20" t="n"/>
      <c r="I83" s="20" t="n"/>
      <c r="J83" s="20" t="n"/>
      <c r="K83" s="20" t="n"/>
      <c r="L83" s="20" t="n"/>
      <c r="M83" s="20" t="n"/>
      <c r="N83" s="20" t="n"/>
      <c r="O83" s="19" t="n"/>
      <c r="P83" s="20" t="n"/>
      <c r="Q83" s="20" t="n"/>
      <c r="R83" s="20" t="n"/>
      <c r="S83" s="20" t="n"/>
      <c r="T83" s="20" t="n"/>
      <c r="U83" s="20" t="n"/>
      <c r="V83" s="20" t="n"/>
      <c r="W83" s="20" t="n"/>
      <c r="X83" s="20" t="n"/>
      <c r="Y83" s="19">
        <f>$B$64</f>
        <v/>
      </c>
      <c r="Z83" s="20">
        <f>$B$64</f>
        <v/>
      </c>
      <c r="AA83" s="20">
        <f>$B$64</f>
        <v/>
      </c>
      <c r="AB83" s="20">
        <f>$B$64</f>
        <v/>
      </c>
      <c r="AC83" s="20">
        <f>$B$64</f>
        <v/>
      </c>
    </row>
    <row r="84">
      <c r="A84" s="18" t="inlineStr">
        <is>
          <t>상승여력</t>
        </is>
      </c>
      <c r="B84" s="10" t="n"/>
      <c r="C84" s="35" t="n"/>
      <c r="D84" s="36" t="n"/>
      <c r="E84" s="36" t="n"/>
      <c r="F84" s="36" t="n"/>
      <c r="G84" s="36" t="n"/>
      <c r="H84" s="36" t="n"/>
      <c r="I84" s="36" t="n"/>
      <c r="J84" s="36" t="n"/>
      <c r="K84" s="36" t="n"/>
      <c r="L84" s="36" t="n"/>
      <c r="M84" s="36" t="n"/>
      <c r="N84" s="36" t="n"/>
      <c r="O84" s="35" t="n"/>
      <c r="P84" s="36" t="n"/>
      <c r="Q84" s="36" t="n"/>
      <c r="R84" s="36" t="n"/>
      <c r="S84" s="36" t="n"/>
      <c r="T84" s="36" t="n"/>
      <c r="U84" s="36" t="n"/>
      <c r="V84" s="36" t="n"/>
      <c r="W84" s="36" t="n"/>
      <c r="X84" s="36" t="n"/>
      <c r="Y84" s="37">
        <f>IF(OR(Y82="",Y83=""),"",IFERROR(Y82/Y83-1,""))</f>
        <v/>
      </c>
      <c r="Z84" s="38">
        <f>IF(OR(Z82="",Z83=""),"",IFERROR(Z82/Z83-1,""))</f>
        <v/>
      </c>
      <c r="AA84" s="38">
        <f>IF(OR(AA82="",AA83=""),"",IFERROR(AA82/AA83-1,""))</f>
        <v/>
      </c>
      <c r="AB84" s="38">
        <f>IF(OR(AB82="",AB83=""),"",IFERROR(AB82/AB83-1,""))</f>
        <v/>
      </c>
      <c r="AC84" s="38">
        <f>IF(OR(AC82="",AC83=""),"",IFERROR(AC82/AC83-1,""))</f>
        <v/>
      </c>
    </row>
    <row r="85">
      <c r="C85" s="39" t="n"/>
      <c r="O85" s="39" t="n"/>
      <c r="Y85" s="39" t="n"/>
    </row>
    <row r="86">
      <c r="A86" s="40" t="inlineStr">
        <is>
          <t>출처</t>
        </is>
      </c>
      <c r="C86" s="39" t="n"/>
      <c r="O86" s="39" t="n"/>
      <c r="Y86" s="39" t="n"/>
    </row>
    <row r="87">
      <c r="A87" s="41" t="inlineStr">
        <is>
          <t>결산단신 XBRL(TDnet·JPX 보관소) — 쓴 문서는 '출처' 시트</t>
        </is>
      </c>
      <c r="C87" s="39" t="n"/>
      <c r="O87" s="39" t="n"/>
      <c r="Y87" s="39" t="n"/>
    </row>
    <row r="88">
      <c r="A88" s="41" t="inlineStr">
        <is>
          <t>분기 = 누계에서 앞 분기를 뺀 3개월 값</t>
        </is>
      </c>
      <c r="C88" s="39" t="n"/>
      <c r="O88" s="39" t="n"/>
      <c r="Y88" s="39" t="n"/>
    </row>
    <row r="89">
      <c r="A89" s="41" t="inlineStr">
        <is>
          <t>주가: 야후 파이낸스 일봉 2026.10.26</t>
        </is>
      </c>
      <c r="C89" s="39" t="n"/>
      <c r="O89" s="39" t="n"/>
      <c r="Y89" s="39" t="n"/>
    </row>
    <row r="91">
      <c r="A91" s="16" t="inlineStr">
        <is>
          <t>손익계산서 · 전 항목</t>
        </is>
      </c>
      <c r="B91" s="42" t="inlineStr">
        <is>
          <t>분기 = 3개월 단독</t>
        </is>
      </c>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row>
    <row r="92">
      <c r="A92" s="5" t="inlineStr">
        <is>
          <t>항목</t>
        </is>
      </c>
      <c r="B92" s="5" t="inlineStr">
        <is>
          <t>참고</t>
        </is>
      </c>
      <c r="C92" s="5" t="inlineStr">
        <is>
          <t>2024.2Q</t>
        </is>
      </c>
      <c r="D92" s="5" t="inlineStr">
        <is>
          <t>2024.3Q</t>
        </is>
      </c>
      <c r="E92" s="5" t="inlineStr">
        <is>
          <t>2024.4Q</t>
        </is>
      </c>
      <c r="F92" s="5" t="inlineStr">
        <is>
          <t>2025.1Q</t>
        </is>
      </c>
      <c r="G92" s="5" t="inlineStr">
        <is>
          <t>2025.2Q</t>
        </is>
      </c>
      <c r="H92" s="5" t="inlineStr">
        <is>
          <t>2025.3Q</t>
        </is>
      </c>
      <c r="I92" s="5" t="inlineStr">
        <is>
          <t>2025.4Q</t>
        </is>
      </c>
      <c r="J92" s="5" t="inlineStr">
        <is>
          <t>2026.1Q</t>
        </is>
      </c>
      <c r="K92" s="5" t="inlineStr">
        <is>
          <t>2026.2Q</t>
        </is>
      </c>
      <c r="L92" s="5" t="inlineStr">
        <is>
          <t>2026.3Q</t>
        </is>
      </c>
      <c r="M92" s="5" t="inlineStr">
        <is>
          <t>2026.4Q</t>
        </is>
      </c>
      <c r="N92" s="5" t="inlineStr">
        <is>
          <t>2027.1Q</t>
        </is>
      </c>
      <c r="O92" s="5" t="inlineStr">
        <is>
          <t>2017</t>
        </is>
      </c>
      <c r="P92" s="5" t="inlineStr">
        <is>
          <t>2018</t>
        </is>
      </c>
      <c r="Q92" s="5" t="inlineStr">
        <is>
          <t>2019</t>
        </is>
      </c>
      <c r="R92" s="5" t="inlineStr">
        <is>
          <t>2020</t>
        </is>
      </c>
      <c r="S92" s="5" t="inlineStr">
        <is>
          <t>2021</t>
        </is>
      </c>
      <c r="T92" s="5" t="inlineStr">
        <is>
          <t>2022</t>
        </is>
      </c>
      <c r="U92" s="5" t="inlineStr">
        <is>
          <t>2023</t>
        </is>
      </c>
      <c r="V92" s="5" t="inlineStr">
        <is>
          <t>2024</t>
        </is>
      </c>
      <c r="W92" s="5" t="inlineStr">
        <is>
          <t>2025</t>
        </is>
      </c>
      <c r="X92" s="5" t="inlineStr">
        <is>
          <t>2026</t>
        </is>
      </c>
      <c r="Y92" s="5" t="inlineStr">
        <is>
          <t>2027(MW)</t>
        </is>
      </c>
      <c r="Z92" s="5" t="inlineStr">
        <is>
          <t>2028(MW)</t>
        </is>
      </c>
      <c r="AA92" s="5" t="inlineStr">
        <is>
          <t>2029(MW)</t>
        </is>
      </c>
      <c r="AB92" s="5" t="inlineStr">
        <is>
          <t>2030(MW)</t>
        </is>
      </c>
      <c r="AC92" s="5" t="inlineStr">
        <is>
          <t>2031(MW)</t>
        </is>
      </c>
    </row>
    <row r="93">
      <c r="A93" s="9" t="inlineStr">
        <is>
          <t>매출수익</t>
        </is>
      </c>
      <c r="C93" s="12" t="n">
        <v>75501</v>
      </c>
      <c r="D93" s="12" t="n">
        <v>77654</v>
      </c>
      <c r="E93" s="12" t="n">
        <v>69548</v>
      </c>
      <c r="F93" s="12" t="n">
        <v>71933</v>
      </c>
      <c r="G93" s="12" t="n">
        <v>73030</v>
      </c>
      <c r="H93" s="12" t="n">
        <v>76909</v>
      </c>
      <c r="I93" s="12" t="n">
        <v>77415</v>
      </c>
      <c r="J93" s="12" t="n">
        <v>75086</v>
      </c>
      <c r="K93" s="12" t="n">
        <v>74722</v>
      </c>
      <c r="L93" s="12" t="n">
        <v>76886</v>
      </c>
      <c r="M93" s="12" t="n">
        <v>77647</v>
      </c>
      <c r="N93" s="12" t="n">
        <v>81603</v>
      </c>
      <c r="T93" s="12" t="n">
        <v>69573</v>
      </c>
      <c r="U93" s="12" t="n">
        <v>75455</v>
      </c>
      <c r="V93" s="12" t="n">
        <v>69548</v>
      </c>
      <c r="W93" s="12" t="n">
        <v>77415</v>
      </c>
      <c r="X93" s="12" t="n">
        <v>77647</v>
      </c>
    </row>
    <row r="94">
      <c r="A94" s="43" t="inlineStr">
        <is>
          <t>YoY</t>
        </is>
      </c>
      <c r="B94" s="3" t="inlineStr">
        <is>
          <t>전년 같은 분기·전년 대비</t>
        </is>
      </c>
      <c r="G94" s="15">
        <f>IF(OR(G93="",C93=""),"",IF(C93&lt;=0,"",IFERROR(G93/C93-1,"")))</f>
        <v/>
      </c>
      <c r="H94" s="15">
        <f>IF(OR(H93="",D93=""),"",IF(D93&lt;=0,"",IFERROR(H93/D93-1,"")))</f>
        <v/>
      </c>
      <c r="I94" s="15">
        <f>IF(OR(I93="",E93=""),"",IF(E93&lt;=0,"",IFERROR(I93/E93-1,"")))</f>
        <v/>
      </c>
      <c r="J94" s="15">
        <f>IF(OR(J93="",F93=""),"",IF(F93&lt;=0,"",IFERROR(J93/F93-1,"")))</f>
        <v/>
      </c>
      <c r="K94" s="15">
        <f>IF(OR(K93="",G93=""),"",IF(G93&lt;=0,"",IFERROR(K93/G93-1,"")))</f>
        <v/>
      </c>
      <c r="L94" s="15">
        <f>IF(OR(L93="",H93=""),"",IF(H93&lt;=0,"",IFERROR(L93/H93-1,"")))</f>
        <v/>
      </c>
      <c r="M94" s="15">
        <f>IF(OR(M93="",I93=""),"",IF(I93&lt;=0,"",IFERROR(M93/I93-1,"")))</f>
        <v/>
      </c>
      <c r="N94" s="15">
        <f>IF(OR(N93="",J93=""),"",IF(J93&lt;=0,"",IFERROR(N93/J93-1,"")))</f>
        <v/>
      </c>
      <c r="T94" s="15">
        <f>IF(OR(T93="",S93=""),"",IF(S93&lt;=0,"",IFERROR(T93/S93-1,"")))</f>
        <v/>
      </c>
      <c r="U94" s="15">
        <f>IF(OR(U93="",T93=""),"",IF(T93&lt;=0,"",IFERROR(U93/T93-1,"")))</f>
        <v/>
      </c>
      <c r="V94" s="15">
        <f>IF(OR(V93="",U93=""),"",IF(U93&lt;=0,"",IFERROR(V93/U93-1,"")))</f>
        <v/>
      </c>
      <c r="W94" s="15">
        <f>IF(OR(W93="",V93=""),"",IF(V93&lt;=0,"",IFERROR(W93/V93-1,"")))</f>
        <v/>
      </c>
      <c r="X94" s="15">
        <f>IF(OR(X93="",W93=""),"",IF(W93&lt;=0,"",IFERROR(X93/W93-1,"")))</f>
        <v/>
      </c>
    </row>
    <row r="95">
      <c r="A95" s="18" t="inlineStr">
        <is>
          <t>매출원가</t>
        </is>
      </c>
      <c r="C95" s="20" t="n">
        <v>65643</v>
      </c>
      <c r="D95" s="20" t="n">
        <v>66131</v>
      </c>
      <c r="E95" s="20" t="n">
        <v>61351</v>
      </c>
      <c r="F95" s="20" t="n">
        <v>63850</v>
      </c>
      <c r="G95" s="20" t="n">
        <v>64482</v>
      </c>
      <c r="H95" s="20" t="n">
        <v>65494</v>
      </c>
      <c r="I95" s="20" t="n">
        <v>65520</v>
      </c>
      <c r="J95" s="20" t="n">
        <v>63257</v>
      </c>
      <c r="K95" s="20" t="n">
        <v>63254</v>
      </c>
      <c r="L95" s="20" t="n">
        <v>64140</v>
      </c>
      <c r="M95" s="20" t="n">
        <v>67350</v>
      </c>
      <c r="N95" s="20" t="n">
        <v>70321</v>
      </c>
      <c r="T95" s="20" t="n">
        <v>64109</v>
      </c>
      <c r="U95" s="20" t="n">
        <v>66011</v>
      </c>
      <c r="V95" s="20" t="n">
        <v>61351</v>
      </c>
      <c r="W95" s="20" t="n">
        <v>65520</v>
      </c>
      <c r="X95" s="20" t="n">
        <v>67350</v>
      </c>
    </row>
    <row r="96">
      <c r="A96" s="9" t="inlineStr">
        <is>
          <t>매출총이익</t>
        </is>
      </c>
      <c r="C96" s="12" t="n">
        <v>9857</v>
      </c>
      <c r="D96" s="12" t="n">
        <v>11524</v>
      </c>
      <c r="E96" s="12" t="n">
        <v>8197</v>
      </c>
      <c r="F96" s="12" t="n">
        <v>8082</v>
      </c>
      <c r="G96" s="12" t="n">
        <v>8549</v>
      </c>
      <c r="H96" s="12" t="n">
        <v>11414</v>
      </c>
      <c r="I96" s="12" t="n">
        <v>11896</v>
      </c>
      <c r="J96" s="12" t="n">
        <v>11829</v>
      </c>
      <c r="K96" s="12" t="n">
        <v>11468</v>
      </c>
      <c r="L96" s="12" t="n">
        <v>12745</v>
      </c>
      <c r="M96" s="12" t="n">
        <v>10297</v>
      </c>
      <c r="N96" s="12" t="n">
        <v>11282</v>
      </c>
      <c r="T96" s="12" t="n">
        <v>5463</v>
      </c>
      <c r="U96" s="12" t="n">
        <v>9443</v>
      </c>
      <c r="V96" s="12" t="n">
        <v>8197</v>
      </c>
      <c r="W96" s="12" t="n">
        <v>11896</v>
      </c>
      <c r="X96" s="12" t="n">
        <v>10297</v>
      </c>
    </row>
    <row r="97">
      <c r="A97" s="43" t="inlineStr">
        <is>
          <t>YoY</t>
        </is>
      </c>
      <c r="B97" s="3" t="inlineStr">
        <is>
          <t>전년 같은 분기·전년 대비</t>
        </is>
      </c>
      <c r="G97" s="15">
        <f>IF(OR(G96="",C96=""),"",IF(C96&lt;=0,"",IFERROR(G96/C96-1,"")))</f>
        <v/>
      </c>
      <c r="H97" s="15">
        <f>IF(OR(H96="",D96=""),"",IF(D96&lt;=0,"",IFERROR(H96/D96-1,"")))</f>
        <v/>
      </c>
      <c r="I97" s="15">
        <f>IF(OR(I96="",E96=""),"",IF(E96&lt;=0,"",IFERROR(I96/E96-1,"")))</f>
        <v/>
      </c>
      <c r="J97" s="15">
        <f>IF(OR(J96="",F96=""),"",IF(F96&lt;=0,"",IFERROR(J96/F96-1,"")))</f>
        <v/>
      </c>
      <c r="K97" s="15">
        <f>IF(OR(K96="",G96=""),"",IF(G96&lt;=0,"",IFERROR(K96/G96-1,"")))</f>
        <v/>
      </c>
      <c r="L97" s="15">
        <f>IF(OR(L96="",H96=""),"",IF(H96&lt;=0,"",IFERROR(L96/H96-1,"")))</f>
        <v/>
      </c>
      <c r="M97" s="15">
        <f>IF(OR(M96="",I96=""),"",IF(I96&lt;=0,"",IFERROR(M96/I96-1,"")))</f>
        <v/>
      </c>
      <c r="N97" s="15">
        <f>IF(OR(N96="",J96=""),"",IF(J96&lt;=0,"",IFERROR(N96/J96-1,"")))</f>
        <v/>
      </c>
      <c r="T97" s="15">
        <f>IF(OR(T96="",S96=""),"",IF(S96&lt;=0,"",IFERROR(T96/S96-1,"")))</f>
        <v/>
      </c>
      <c r="U97" s="15">
        <f>IF(OR(U96="",T96=""),"",IF(T96&lt;=0,"",IFERROR(U96/T96-1,"")))</f>
        <v/>
      </c>
      <c r="V97" s="15">
        <f>IF(OR(V96="",U96=""),"",IF(U96&lt;=0,"",IFERROR(V96/U96-1,"")))</f>
        <v/>
      </c>
      <c r="W97" s="15">
        <f>IF(OR(W96="",V96=""),"",IF(V96&lt;=0,"",IFERROR(W96/V96-1,"")))</f>
        <v/>
      </c>
      <c r="X97" s="15">
        <f>IF(OR(X96="",W96=""),"",IF(W96&lt;=0,"",IFERROR(X96/W96-1,"")))</f>
        <v/>
      </c>
    </row>
    <row r="98">
      <c r="A98" s="18" t="inlineStr">
        <is>
          <t>판매비와 관리비</t>
        </is>
      </c>
      <c r="C98" s="20" t="n">
        <v>6593</v>
      </c>
      <c r="D98" s="20" t="n">
        <v>6938</v>
      </c>
      <c r="E98" s="20" t="n">
        <v>6664</v>
      </c>
      <c r="F98" s="20" t="n">
        <v>6463</v>
      </c>
      <c r="G98" s="20" t="n">
        <v>6657</v>
      </c>
      <c r="H98" s="20" t="n">
        <v>6732</v>
      </c>
      <c r="I98" s="20" t="n">
        <v>7265</v>
      </c>
      <c r="J98" s="20" t="n">
        <v>6976</v>
      </c>
      <c r="K98" s="20" t="n">
        <v>6881</v>
      </c>
      <c r="L98" s="20" t="n">
        <v>7007</v>
      </c>
      <c r="M98" s="20" t="n">
        <v>7509</v>
      </c>
      <c r="N98" s="20" t="n">
        <v>6884</v>
      </c>
      <c r="T98" s="20" t="n">
        <v>6620</v>
      </c>
      <c r="U98" s="20" t="n">
        <v>6641</v>
      </c>
      <c r="V98" s="20" t="n">
        <v>6664</v>
      </c>
      <c r="W98" s="20" t="n">
        <v>7265</v>
      </c>
      <c r="X98" s="20" t="n">
        <v>7509</v>
      </c>
    </row>
    <row r="99">
      <c r="A99" s="18" t="inlineStr">
        <is>
          <t>Other Income</t>
        </is>
      </c>
      <c r="C99" s="20" t="n">
        <v>224</v>
      </c>
      <c r="D99" s="20" t="n">
        <v>168</v>
      </c>
      <c r="E99" s="20" t="n">
        <v>-53</v>
      </c>
      <c r="F99" s="20" t="n">
        <v>128</v>
      </c>
      <c r="G99" s="20" t="n">
        <v>93</v>
      </c>
      <c r="H99" s="20" t="n">
        <v>47</v>
      </c>
      <c r="I99" s="20" t="n">
        <v>88</v>
      </c>
      <c r="J99" s="20" t="n">
        <v>46</v>
      </c>
      <c r="K99" s="20" t="n">
        <v>34</v>
      </c>
      <c r="L99" s="20" t="n">
        <v>59</v>
      </c>
      <c r="M99" s="20" t="n">
        <v>815</v>
      </c>
      <c r="N99" s="20" t="n">
        <v>89</v>
      </c>
      <c r="T99" s="20" t="n">
        <v>81</v>
      </c>
      <c r="U99" s="20" t="n">
        <v>118</v>
      </c>
      <c r="V99" s="20" t="n">
        <v>-53</v>
      </c>
      <c r="W99" s="20" t="n">
        <v>88</v>
      </c>
      <c r="X99" s="20" t="n">
        <v>815</v>
      </c>
    </row>
    <row r="100">
      <c r="A100" s="18" t="inlineStr">
        <is>
          <t>기타비용</t>
        </is>
      </c>
      <c r="C100" s="20" t="n">
        <v>1835</v>
      </c>
      <c r="D100" s="20" t="n">
        <v>371</v>
      </c>
      <c r="E100" s="20" t="n">
        <v>212</v>
      </c>
      <c r="F100" s="20" t="n">
        <v>261</v>
      </c>
      <c r="G100" s="20" t="n">
        <v>173</v>
      </c>
      <c r="H100" s="20" t="n">
        <v>319</v>
      </c>
      <c r="I100" s="20" t="n">
        <v>409</v>
      </c>
      <c r="J100" s="20" t="n">
        <v>370</v>
      </c>
      <c r="K100" s="20" t="n">
        <v>366</v>
      </c>
      <c r="L100" s="20" t="n">
        <v>150</v>
      </c>
      <c r="M100" s="20" t="n">
        <v>662</v>
      </c>
      <c r="N100" s="20" t="n">
        <v>122</v>
      </c>
      <c r="T100" s="20" t="n">
        <v>259</v>
      </c>
      <c r="U100" s="20" t="n">
        <v>266</v>
      </c>
      <c r="V100" s="20" t="n">
        <v>212</v>
      </c>
      <c r="W100" s="20" t="n">
        <v>409</v>
      </c>
      <c r="X100" s="20" t="n">
        <v>662</v>
      </c>
    </row>
    <row r="101">
      <c r="A101" s="18" t="inlineStr">
        <is>
          <t>영업이익</t>
        </is>
      </c>
      <c r="C101" s="20" t="n">
        <v>1655</v>
      </c>
      <c r="D101" s="20" t="n">
        <v>4382</v>
      </c>
      <c r="E101" s="20" t="n">
        <v>1268</v>
      </c>
      <c r="F101" s="20" t="n">
        <v>1485</v>
      </c>
      <c r="G101" s="20" t="n">
        <v>1813</v>
      </c>
      <c r="H101" s="20" t="n">
        <v>4409</v>
      </c>
      <c r="I101" s="20" t="n">
        <v>4309</v>
      </c>
      <c r="J101" s="20" t="n">
        <v>4528</v>
      </c>
      <c r="K101" s="20" t="n">
        <v>4256</v>
      </c>
      <c r="L101" s="20" t="n">
        <v>5648</v>
      </c>
      <c r="M101" s="20" t="n">
        <v>2939</v>
      </c>
      <c r="N101" s="20" t="n">
        <v>4364</v>
      </c>
      <c r="T101" s="20" t="n">
        <v>-1334</v>
      </c>
      <c r="U101" s="20" t="n">
        <v>2656</v>
      </c>
      <c r="V101" s="20" t="n">
        <v>1268</v>
      </c>
      <c r="W101" s="20" t="n">
        <v>4309</v>
      </c>
      <c r="X101" s="20" t="n">
        <v>2939</v>
      </c>
    </row>
    <row r="102">
      <c r="A102" s="43" t="inlineStr">
        <is>
          <t>OPM</t>
        </is>
      </c>
      <c r="B102" s="3" t="inlineStr">
        <is>
          <t>영업이익 ÷ 매출</t>
        </is>
      </c>
      <c r="C102" s="15">
        <f>IF(OR(C101="",C93=""),"",IF(C93&lt;=0,"",IFERROR(C101/C93,"")))</f>
        <v/>
      </c>
      <c r="D102" s="15">
        <f>IF(OR(D101="",D93=""),"",IF(D93&lt;=0,"",IFERROR(D101/D93,"")))</f>
        <v/>
      </c>
      <c r="E102" s="15">
        <f>IF(OR(E101="",E93=""),"",IF(E93&lt;=0,"",IFERROR(E101/E93,"")))</f>
        <v/>
      </c>
      <c r="F102" s="15">
        <f>IF(OR(F101="",F93=""),"",IF(F93&lt;=0,"",IFERROR(F101/F93,"")))</f>
        <v/>
      </c>
      <c r="G102" s="15">
        <f>IF(OR(G101="",G93=""),"",IF(G93&lt;=0,"",IFERROR(G101/G93,"")))</f>
        <v/>
      </c>
      <c r="H102" s="15">
        <f>IF(OR(H101="",H93=""),"",IF(H93&lt;=0,"",IFERROR(H101/H93,"")))</f>
        <v/>
      </c>
      <c r="I102" s="15">
        <f>IF(OR(I101="",I93=""),"",IF(I93&lt;=0,"",IFERROR(I101/I93,"")))</f>
        <v/>
      </c>
      <c r="J102" s="15">
        <f>IF(OR(J101="",J93=""),"",IF(J93&lt;=0,"",IFERROR(J101/J93,"")))</f>
        <v/>
      </c>
      <c r="K102" s="15">
        <f>IF(OR(K101="",K93=""),"",IF(K93&lt;=0,"",IFERROR(K101/K93,"")))</f>
        <v/>
      </c>
      <c r="L102" s="15">
        <f>IF(OR(L101="",L93=""),"",IF(L93&lt;=0,"",IFERROR(L101/L93,"")))</f>
        <v/>
      </c>
      <c r="M102" s="15">
        <f>IF(OR(M101="",M93=""),"",IF(M93&lt;=0,"",IFERROR(M101/M93,"")))</f>
        <v/>
      </c>
      <c r="N102" s="15">
        <f>IF(OR(N101="",N93=""),"",IF(N93&lt;=0,"",IFERROR(N101/N93,"")))</f>
        <v/>
      </c>
      <c r="T102" s="15">
        <f>IF(OR(T101="",T93=""),"",IF(T93&lt;=0,"",IFERROR(T101/T93,"")))</f>
        <v/>
      </c>
      <c r="U102" s="15">
        <f>IF(OR(U101="",U93=""),"",IF(U93&lt;=0,"",IFERROR(U101/U93,"")))</f>
        <v/>
      </c>
      <c r="V102" s="15">
        <f>IF(OR(V101="",V93=""),"",IF(V93&lt;=0,"",IFERROR(V101/V93,"")))</f>
        <v/>
      </c>
      <c r="W102" s="15">
        <f>IF(OR(W101="",W93=""),"",IF(W93&lt;=0,"",IFERROR(W101/W93,"")))</f>
        <v/>
      </c>
      <c r="X102" s="15">
        <f>IF(OR(X101="",X93=""),"",IF(X93&lt;=0,"",IFERROR(X101/X93,"")))</f>
        <v/>
      </c>
    </row>
    <row r="103">
      <c r="A103" s="43" t="inlineStr">
        <is>
          <t>YoY</t>
        </is>
      </c>
      <c r="B103" s="3" t="inlineStr">
        <is>
          <t>전년 같은 분기·전년 대비</t>
        </is>
      </c>
      <c r="G103" s="15">
        <f>IF(OR(G101="",C101=""),"",IF(C101&lt;=0,"",IFERROR(G101/C101-1,"")))</f>
        <v/>
      </c>
      <c r="H103" s="15">
        <f>IF(OR(H101="",D101=""),"",IF(D101&lt;=0,"",IFERROR(H101/D101-1,"")))</f>
        <v/>
      </c>
      <c r="I103" s="15">
        <f>IF(OR(I101="",E101=""),"",IF(E101&lt;=0,"",IFERROR(I101/E101-1,"")))</f>
        <v/>
      </c>
      <c r="J103" s="15">
        <f>IF(OR(J101="",F101=""),"",IF(F101&lt;=0,"",IFERROR(J101/F101-1,"")))</f>
        <v/>
      </c>
      <c r="K103" s="15">
        <f>IF(OR(K101="",G101=""),"",IF(G101&lt;=0,"",IFERROR(K101/G101-1,"")))</f>
        <v/>
      </c>
      <c r="L103" s="15">
        <f>IF(OR(L101="",H101=""),"",IF(H101&lt;=0,"",IFERROR(L101/H101-1,"")))</f>
        <v/>
      </c>
      <c r="M103" s="15">
        <f>IF(OR(M101="",I101=""),"",IF(I101&lt;=0,"",IFERROR(M101/I101-1,"")))</f>
        <v/>
      </c>
      <c r="N103" s="15">
        <f>IF(OR(N101="",J101=""),"",IF(J101&lt;=0,"",IFERROR(N101/J101-1,"")))</f>
        <v/>
      </c>
      <c r="T103" s="15">
        <f>IF(OR(T101="",S101=""),"",IF(S101&lt;=0,"",IFERROR(T101/S101-1,"")))</f>
        <v/>
      </c>
      <c r="U103" s="15">
        <f>IF(OR(U101="",T101=""),"",IF(T101&lt;=0,"",IFERROR(U101/T101-1,"")))</f>
        <v/>
      </c>
      <c r="V103" s="15">
        <f>IF(OR(V101="",U101=""),"",IF(U101&lt;=0,"",IFERROR(V101/U101-1,"")))</f>
        <v/>
      </c>
      <c r="W103" s="15">
        <f>IF(OR(W101="",V101=""),"",IF(V101&lt;=0,"",IFERROR(W101/V101-1,"")))</f>
        <v/>
      </c>
      <c r="X103" s="15">
        <f>IF(OR(X101="",W101=""),"",IF(W101&lt;=0,"",IFERROR(X101/W101-1,"")))</f>
        <v/>
      </c>
    </row>
    <row r="104">
      <c r="A104" s="18" t="inlineStr">
        <is>
          <t>금융수익</t>
        </is>
      </c>
      <c r="C104" s="20" t="n">
        <v>85</v>
      </c>
      <c r="D104" s="20" t="n">
        <v>61</v>
      </c>
      <c r="E104" s="20" t="n">
        <v>373</v>
      </c>
      <c r="F104" s="20" t="n">
        <v>568</v>
      </c>
      <c r="G104" s="20" t="n">
        <v>-151</v>
      </c>
      <c r="H104" s="20" t="n">
        <v>533</v>
      </c>
      <c r="I104" s="20" t="n">
        <v>-80</v>
      </c>
      <c r="J104" s="20" t="n">
        <v>370</v>
      </c>
      <c r="K104" s="20" t="n">
        <v>400</v>
      </c>
      <c r="L104" s="20" t="n">
        <v>635</v>
      </c>
      <c r="M104" s="20" t="n">
        <v>174</v>
      </c>
      <c r="N104" s="20" t="n">
        <v>617</v>
      </c>
      <c r="T104" s="20" t="n">
        <v>402</v>
      </c>
      <c r="U104" s="20" t="n">
        <v>202</v>
      </c>
      <c r="V104" s="20" t="n">
        <v>373</v>
      </c>
      <c r="W104" s="20" t="n">
        <v>-80</v>
      </c>
      <c r="X104" s="20" t="n">
        <v>174</v>
      </c>
    </row>
    <row r="105">
      <c r="A105" s="18" t="inlineStr">
        <is>
          <t>금융비용</t>
        </is>
      </c>
      <c r="C105" s="20" t="n">
        <v>99</v>
      </c>
      <c r="D105" s="20" t="n">
        <v>105</v>
      </c>
      <c r="E105" s="20" t="n">
        <v>250</v>
      </c>
      <c r="F105" s="20" t="n">
        <v>178</v>
      </c>
      <c r="G105" s="20" t="n">
        <v>529</v>
      </c>
      <c r="H105" s="20" t="n">
        <v>-107</v>
      </c>
      <c r="I105" s="20" t="n">
        <v>380</v>
      </c>
      <c r="J105" s="20" t="n">
        <v>287</v>
      </c>
      <c r="K105" s="20" t="n">
        <v>104</v>
      </c>
      <c r="L105" s="20" t="n">
        <v>263</v>
      </c>
      <c r="M105" s="20" t="n">
        <v>186</v>
      </c>
      <c r="N105" s="20" t="n">
        <v>150</v>
      </c>
      <c r="T105" s="20" t="n">
        <v>49</v>
      </c>
      <c r="U105" s="20" t="n">
        <v>107</v>
      </c>
      <c r="V105" s="20" t="n">
        <v>250</v>
      </c>
      <c r="W105" s="20" t="n">
        <v>380</v>
      </c>
      <c r="X105" s="20" t="n">
        <v>186</v>
      </c>
    </row>
    <row r="106">
      <c r="A106" s="18" t="inlineStr">
        <is>
          <t>Share Of Profit Loss Of Investments Accounted For Using Equity Method</t>
        </is>
      </c>
      <c r="H106" s="20" t="n">
        <v>0</v>
      </c>
      <c r="I106" s="20" t="n">
        <v>0</v>
      </c>
      <c r="J106" s="20" t="n">
        <v>0</v>
      </c>
      <c r="K106" s="20" t="n">
        <v>142</v>
      </c>
      <c r="L106" s="20" t="n">
        <v>148</v>
      </c>
      <c r="M106" s="20" t="n">
        <v>92</v>
      </c>
      <c r="N106" s="20" t="n">
        <v>154</v>
      </c>
      <c r="W106" s="20" t="n">
        <v>0</v>
      </c>
      <c r="X106" s="20" t="n">
        <v>92</v>
      </c>
    </row>
    <row r="107">
      <c r="A107" s="9" t="inlineStr">
        <is>
          <t>법인세비용차감전 중간이익</t>
        </is>
      </c>
      <c r="C107" s="12" t="n">
        <v>1641</v>
      </c>
      <c r="D107" s="12" t="n">
        <v>4339</v>
      </c>
      <c r="E107" s="12" t="n">
        <v>1391</v>
      </c>
      <c r="F107" s="12" t="n">
        <v>1875</v>
      </c>
      <c r="G107" s="12" t="n">
        <v>1133</v>
      </c>
      <c r="H107" s="12" t="n">
        <v>5049</v>
      </c>
      <c r="I107" s="12" t="n">
        <v>3850</v>
      </c>
      <c r="J107" s="12" t="n">
        <v>4610</v>
      </c>
      <c r="K107" s="12" t="n">
        <v>4695</v>
      </c>
      <c r="L107" s="12" t="n">
        <v>6162</v>
      </c>
      <c r="M107" s="12" t="n">
        <v>3018</v>
      </c>
      <c r="N107" s="12" t="n">
        <v>4985</v>
      </c>
      <c r="T107" s="12" t="n">
        <v>-981</v>
      </c>
      <c r="U107" s="12" t="n">
        <v>2750</v>
      </c>
      <c r="V107" s="12" t="n">
        <v>1391</v>
      </c>
      <c r="W107" s="12" t="n">
        <v>3850</v>
      </c>
      <c r="X107" s="12" t="n">
        <v>3018</v>
      </c>
    </row>
    <row r="108">
      <c r="A108" s="18" t="inlineStr">
        <is>
          <t>Income Tax Expense</t>
        </is>
      </c>
      <c r="C108" s="20" t="n">
        <v>343</v>
      </c>
      <c r="D108" s="20" t="n">
        <v>1111</v>
      </c>
      <c r="E108" s="20" t="n">
        <v>588</v>
      </c>
      <c r="F108" s="20" t="n">
        <v>372</v>
      </c>
      <c r="G108" s="20" t="n">
        <v>230</v>
      </c>
      <c r="H108" s="20" t="n">
        <v>769</v>
      </c>
      <c r="I108" s="20" t="n">
        <v>1208</v>
      </c>
      <c r="J108" s="20" t="n">
        <v>675</v>
      </c>
      <c r="K108" s="20" t="n">
        <v>2254</v>
      </c>
      <c r="L108" s="20" t="n">
        <v>1627</v>
      </c>
      <c r="M108" s="20" t="n">
        <v>970</v>
      </c>
      <c r="N108" s="20" t="n">
        <v>1325</v>
      </c>
      <c r="T108" s="20" t="n">
        <v>-334</v>
      </c>
      <c r="U108" s="20" t="n">
        <v>1013</v>
      </c>
      <c r="V108" s="20" t="n">
        <v>588</v>
      </c>
      <c r="W108" s="20" t="n">
        <v>1208</v>
      </c>
      <c r="X108" s="20" t="n">
        <v>970</v>
      </c>
    </row>
    <row r="109">
      <c r="A109" s="9" t="inlineStr">
        <is>
          <t>중간이익</t>
        </is>
      </c>
      <c r="C109" s="12" t="n">
        <v>1298</v>
      </c>
      <c r="D109" s="12" t="n">
        <v>3227</v>
      </c>
      <c r="E109" s="12" t="n">
        <v>803</v>
      </c>
      <c r="F109" s="12" t="n">
        <v>1502</v>
      </c>
      <c r="G109" s="12" t="n">
        <v>903</v>
      </c>
      <c r="H109" s="12" t="n">
        <v>4281</v>
      </c>
      <c r="I109" s="12" t="n">
        <v>2642</v>
      </c>
      <c r="J109" s="12" t="n">
        <v>3935</v>
      </c>
      <c r="K109" s="12" t="n">
        <v>2441</v>
      </c>
      <c r="L109" s="12" t="n">
        <v>4534</v>
      </c>
      <c r="M109" s="12" t="n">
        <v>2049</v>
      </c>
      <c r="N109" s="12" t="n">
        <v>3660</v>
      </c>
      <c r="T109" s="12" t="n">
        <v>-647</v>
      </c>
      <c r="U109" s="12" t="n">
        <v>1736</v>
      </c>
      <c r="V109" s="12" t="n">
        <v>803</v>
      </c>
      <c r="W109" s="12" t="n">
        <v>2642</v>
      </c>
      <c r="X109" s="12" t="n">
        <v>2049</v>
      </c>
    </row>
    <row r="110">
      <c r="A110" s="18" t="inlineStr">
        <is>
          <t>Basic Earnings Loss Per Share</t>
        </is>
      </c>
      <c r="C110" s="20" t="n">
        <v>4.947999999999999e-05</v>
      </c>
      <c r="D110" s="20" t="n">
        <v>0.00014486</v>
      </c>
      <c r="E110" s="20" t="n">
        <v>2.425999999999999e-05</v>
      </c>
      <c r="F110" s="20" t="n">
        <v>1.422e-05</v>
      </c>
      <c r="G110" s="20" t="n">
        <v>7.089999999999998e-06</v>
      </c>
      <c r="H110" s="20" t="n">
        <v>5.033e-05</v>
      </c>
      <c r="I110" s="20" t="n">
        <v>2.786e-05</v>
      </c>
      <c r="J110" s="20" t="n">
        <v>5.083e-05</v>
      </c>
      <c r="K110" s="20" t="n">
        <v>3.215000000000001e-05</v>
      </c>
      <c r="L110" s="20" t="n">
        <v>6.224999999999998e-05</v>
      </c>
      <c r="M110" s="20" t="n">
        <v>2.54e-05</v>
      </c>
      <c r="N110" s="20" t="n">
        <v>4.954e-05</v>
      </c>
      <c r="T110" s="20" t="n">
        <v>-5.102e-05</v>
      </c>
      <c r="U110" s="20" t="n">
        <v>7.082e-05</v>
      </c>
      <c r="V110" s="20" t="n">
        <v>2.425999999999999e-05</v>
      </c>
      <c r="W110" s="20" t="n">
        <v>2.786e-05</v>
      </c>
      <c r="X110" s="20" t="n">
        <v>2.54e-05</v>
      </c>
    </row>
    <row r="111">
      <c r="A111" s="18" t="inlineStr">
        <is>
          <t>Diluted Earnings Loss Per Share</t>
        </is>
      </c>
      <c r="C111" s="20" t="n">
        <v>4.947999999999999e-05</v>
      </c>
      <c r="D111" s="20" t="n">
        <v>0.00014486</v>
      </c>
      <c r="E111" s="20" t="n">
        <v>2.425999999999999e-05</v>
      </c>
      <c r="F111" s="20" t="n">
        <v>1.422e-05</v>
      </c>
      <c r="G111" s="20" t="n">
        <v>7.089999999999998e-06</v>
      </c>
      <c r="H111" s="20" t="n">
        <v>5.033e-05</v>
      </c>
      <c r="I111" s="20" t="n">
        <v>2.786e-05</v>
      </c>
      <c r="J111" s="20" t="n">
        <v>5.083e-05</v>
      </c>
      <c r="K111" s="20" t="n">
        <v>3.215000000000001e-05</v>
      </c>
      <c r="L111" s="20" t="n">
        <v>6.223000000000001e-05</v>
      </c>
      <c r="M111" s="20" t="n">
        <v>2.534999999999999e-05</v>
      </c>
      <c r="N111" s="20" t="n">
        <v>4.949e-05</v>
      </c>
      <c r="T111" s="20" t="n">
        <v>-5.102e-05</v>
      </c>
      <c r="U111" s="20" t="n">
        <v>7.082e-05</v>
      </c>
      <c r="V111" s="20" t="n">
        <v>2.425999999999999e-05</v>
      </c>
      <c r="W111" s="20" t="n">
        <v>2.786e-05</v>
      </c>
      <c r="X111" s="20" t="n">
        <v>2.534999999999999e-05</v>
      </c>
    </row>
    <row r="112">
      <c r="A112" s="9" t="inlineStr">
        <is>
          <t>Profit Loss Attributable To Owners Of Parent</t>
        </is>
      </c>
      <c r="C112" s="12" t="n">
        <v>977</v>
      </c>
      <c r="D112" s="12" t="n">
        <v>2859</v>
      </c>
      <c r="E112" s="12" t="n">
        <v>480</v>
      </c>
      <c r="F112" s="12" t="n">
        <v>1122</v>
      </c>
      <c r="G112" s="12" t="n">
        <v>561</v>
      </c>
      <c r="H112" s="12" t="n">
        <v>3975</v>
      </c>
      <c r="I112" s="12" t="n">
        <v>2162</v>
      </c>
      <c r="J112" s="12" t="n">
        <v>3568</v>
      </c>
      <c r="K112" s="12" t="n">
        <v>2037</v>
      </c>
      <c r="L112" s="12" t="n">
        <v>4052</v>
      </c>
      <c r="M112" s="12" t="n">
        <v>1591</v>
      </c>
      <c r="N112" s="12" t="n">
        <v>3171</v>
      </c>
      <c r="T112" s="12" t="n">
        <v>-1006</v>
      </c>
      <c r="U112" s="12" t="n">
        <v>1397</v>
      </c>
      <c r="V112" s="12" t="n">
        <v>480</v>
      </c>
      <c r="W112" s="12" t="n">
        <v>2162</v>
      </c>
      <c r="X112" s="12" t="n">
        <v>1591</v>
      </c>
    </row>
    <row r="113">
      <c r="A113" s="43" t="inlineStr">
        <is>
          <t>YoY</t>
        </is>
      </c>
      <c r="B113" s="3" t="inlineStr">
        <is>
          <t>전년 같은 분기·전년 대비</t>
        </is>
      </c>
      <c r="G113" s="15">
        <f>IF(OR(G112="",C112=""),"",IF(C112&lt;=0,"",IFERROR(G112/C112-1,"")))</f>
        <v/>
      </c>
      <c r="H113" s="15">
        <f>IF(OR(H112="",D112=""),"",IF(D112&lt;=0,"",IFERROR(H112/D112-1,"")))</f>
        <v/>
      </c>
      <c r="I113" s="15">
        <f>IF(OR(I112="",E112=""),"",IF(E112&lt;=0,"",IFERROR(I112/E112-1,"")))</f>
        <v/>
      </c>
      <c r="J113" s="15">
        <f>IF(OR(J112="",F112=""),"",IF(F112&lt;=0,"",IFERROR(J112/F112-1,"")))</f>
        <v/>
      </c>
      <c r="K113" s="15">
        <f>IF(OR(K112="",G112=""),"",IF(G112&lt;=0,"",IFERROR(K112/G112-1,"")))</f>
        <v/>
      </c>
      <c r="L113" s="15">
        <f>IF(OR(L112="",H112=""),"",IF(H112&lt;=0,"",IFERROR(L112/H112-1,"")))</f>
        <v/>
      </c>
      <c r="M113" s="15">
        <f>IF(OR(M112="",I112=""),"",IF(I112&lt;=0,"",IFERROR(M112/I112-1,"")))</f>
        <v/>
      </c>
      <c r="N113" s="15">
        <f>IF(OR(N112="",J112=""),"",IF(J112&lt;=0,"",IFERROR(N112/J112-1,"")))</f>
        <v/>
      </c>
      <c r="T113" s="15">
        <f>IF(OR(T112="",S112=""),"",IF(S112&lt;=0,"",IFERROR(T112/S112-1,"")))</f>
        <v/>
      </c>
      <c r="U113" s="15">
        <f>IF(OR(U112="",T112=""),"",IF(T112&lt;=0,"",IFERROR(U112/T112-1,"")))</f>
        <v/>
      </c>
      <c r="V113" s="15">
        <f>IF(OR(V112="",U112=""),"",IF(U112&lt;=0,"",IFERROR(V112/U112-1,"")))</f>
        <v/>
      </c>
      <c r="W113" s="15">
        <f>IF(OR(W112="",V112=""),"",IF(V112&lt;=0,"",IFERROR(W112/V112-1,"")))</f>
        <v/>
      </c>
      <c r="X113" s="15">
        <f>IF(OR(X112="",W112=""),"",IF(W112&lt;=0,"",IFERROR(X112/W112-1,"")))</f>
        <v/>
      </c>
    </row>
    <row r="114">
      <c r="A114" s="9" t="inlineStr">
        <is>
          <t>비지배지분</t>
        </is>
      </c>
      <c r="C114" s="12" t="n">
        <v>320</v>
      </c>
      <c r="D114" s="12" t="n">
        <v>369</v>
      </c>
      <c r="E114" s="12" t="n">
        <v>323</v>
      </c>
      <c r="F114" s="12" t="n">
        <v>380</v>
      </c>
      <c r="G114" s="12" t="n">
        <v>342</v>
      </c>
      <c r="H114" s="12" t="n">
        <v>305</v>
      </c>
      <c r="I114" s="12" t="n">
        <v>480</v>
      </c>
      <c r="J114" s="12" t="n">
        <v>367</v>
      </c>
      <c r="K114" s="12" t="n">
        <v>404</v>
      </c>
      <c r="L114" s="12" t="n">
        <v>482</v>
      </c>
      <c r="M114" s="12" t="n">
        <v>458</v>
      </c>
      <c r="N114" s="12" t="n">
        <v>488</v>
      </c>
      <c r="T114" s="12" t="n">
        <v>358</v>
      </c>
      <c r="U114" s="12" t="n">
        <v>340</v>
      </c>
      <c r="V114" s="12" t="n">
        <v>323</v>
      </c>
      <c r="W114" s="12" t="n">
        <v>480</v>
      </c>
      <c r="X114" s="12" t="n">
        <v>458</v>
      </c>
    </row>
    <row r="116">
      <c r="A116" s="16" t="inlineStr">
        <is>
          <t>포괄손익 · 전 항목</t>
        </is>
      </c>
      <c r="B116" s="42" t="inlineStr">
        <is>
          <t>분기 = 3개월 단독</t>
        </is>
      </c>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row>
    <row r="117">
      <c r="A117" s="5" t="inlineStr">
        <is>
          <t>항목</t>
        </is>
      </c>
      <c r="B117" s="5" t="inlineStr">
        <is>
          <t>참고</t>
        </is>
      </c>
      <c r="C117" s="5" t="inlineStr">
        <is>
          <t>2024.2Q</t>
        </is>
      </c>
      <c r="D117" s="5" t="inlineStr">
        <is>
          <t>2024.3Q</t>
        </is>
      </c>
      <c r="E117" s="5" t="inlineStr">
        <is>
          <t>2024.4Q</t>
        </is>
      </c>
      <c r="F117" s="5" t="inlineStr">
        <is>
          <t>2025.1Q</t>
        </is>
      </c>
      <c r="G117" s="5" t="inlineStr">
        <is>
          <t>2025.2Q</t>
        </is>
      </c>
      <c r="H117" s="5" t="inlineStr">
        <is>
          <t>2025.3Q</t>
        </is>
      </c>
      <c r="I117" s="5" t="inlineStr">
        <is>
          <t>2025.4Q</t>
        </is>
      </c>
      <c r="J117" s="5" t="inlineStr">
        <is>
          <t>2026.1Q</t>
        </is>
      </c>
      <c r="K117" s="5" t="inlineStr">
        <is>
          <t>2026.2Q</t>
        </is>
      </c>
      <c r="L117" s="5" t="inlineStr">
        <is>
          <t>2026.3Q</t>
        </is>
      </c>
      <c r="M117" s="5" t="inlineStr">
        <is>
          <t>2026.4Q</t>
        </is>
      </c>
      <c r="N117" s="5" t="inlineStr">
        <is>
          <t>2027.1Q</t>
        </is>
      </c>
      <c r="O117" s="5" t="inlineStr">
        <is>
          <t>2017</t>
        </is>
      </c>
      <c r="P117" s="5" t="inlineStr">
        <is>
          <t>2018</t>
        </is>
      </c>
      <c r="Q117" s="5" t="inlineStr">
        <is>
          <t>2019</t>
        </is>
      </c>
      <c r="R117" s="5" t="inlineStr">
        <is>
          <t>2020</t>
        </is>
      </c>
      <c r="S117" s="5" t="inlineStr">
        <is>
          <t>2021</t>
        </is>
      </c>
      <c r="T117" s="5" t="inlineStr">
        <is>
          <t>2022</t>
        </is>
      </c>
      <c r="U117" s="5" t="inlineStr">
        <is>
          <t>2023</t>
        </is>
      </c>
      <c r="V117" s="5" t="inlineStr">
        <is>
          <t>2024</t>
        </is>
      </c>
      <c r="W117" s="5" t="inlineStr">
        <is>
          <t>2025</t>
        </is>
      </c>
      <c r="X117" s="5" t="inlineStr">
        <is>
          <t>2026</t>
        </is>
      </c>
      <c r="Y117" s="5" t="inlineStr">
        <is>
          <t>2027(MW)</t>
        </is>
      </c>
      <c r="Z117" s="5" t="inlineStr">
        <is>
          <t>2028(MW)</t>
        </is>
      </c>
      <c r="AA117" s="5" t="inlineStr">
        <is>
          <t>2029(MW)</t>
        </is>
      </c>
      <c r="AB117" s="5" t="inlineStr">
        <is>
          <t>2030(MW)</t>
        </is>
      </c>
      <c r="AC117" s="5" t="inlineStr">
        <is>
          <t>2031(MW)</t>
        </is>
      </c>
    </row>
    <row r="118">
      <c r="A118" s="9" t="inlineStr">
        <is>
          <t>중간이익</t>
        </is>
      </c>
      <c r="C118" s="12" t="n">
        <v>1298</v>
      </c>
      <c r="D118" s="12" t="n">
        <v>3227</v>
      </c>
      <c r="E118" s="12" t="n">
        <v>803</v>
      </c>
      <c r="F118" s="12" t="n">
        <v>1502</v>
      </c>
      <c r="G118" s="12" t="n">
        <v>903</v>
      </c>
      <c r="H118" s="12" t="n">
        <v>4281</v>
      </c>
      <c r="I118" s="12" t="n">
        <v>2642</v>
      </c>
      <c r="J118" s="12" t="n">
        <v>3935</v>
      </c>
      <c r="K118" s="12" t="n">
        <v>2441</v>
      </c>
      <c r="L118" s="12" t="n">
        <v>4534</v>
      </c>
      <c r="M118" s="12" t="n">
        <v>2049</v>
      </c>
      <c r="N118" s="12" t="n">
        <v>3660</v>
      </c>
      <c r="T118" s="12" t="n">
        <v>-647</v>
      </c>
      <c r="U118" s="12" t="n">
        <v>1736</v>
      </c>
      <c r="V118" s="12" t="n">
        <v>803</v>
      </c>
      <c r="W118" s="12" t="n">
        <v>2642</v>
      </c>
      <c r="X118" s="12" t="n">
        <v>2049</v>
      </c>
    </row>
    <row r="119">
      <c r="A119" s="18" t="inlineStr">
        <is>
          <t>확정급여제도 재측정</t>
        </is>
      </c>
      <c r="C119" s="20" t="n">
        <v>0</v>
      </c>
      <c r="F119" s="20" t="n">
        <v>0</v>
      </c>
      <c r="G119" s="20" t="n">
        <v>0</v>
      </c>
      <c r="H119" s="20" t="n">
        <v>0</v>
      </c>
      <c r="I119" s="20" t="n">
        <v>-17412</v>
      </c>
      <c r="J119" s="20" t="n">
        <v>-1428</v>
      </c>
      <c r="K119" s="20" t="n">
        <v>44</v>
      </c>
      <c r="L119" s="20" t="n">
        <v>7668</v>
      </c>
      <c r="M119" s="20" t="n">
        <v>-148</v>
      </c>
      <c r="N119" s="20" t="n">
        <v>37</v>
      </c>
      <c r="T119" s="20" t="n">
        <v>6120</v>
      </c>
      <c r="U119" s="20" t="n">
        <v>-2733</v>
      </c>
      <c r="W119" s="20" t="n">
        <v>-17412</v>
      </c>
      <c r="X119" s="20" t="n">
        <v>-148</v>
      </c>
    </row>
    <row r="120">
      <c r="A120" s="18" t="inlineStr">
        <is>
          <t>Net Change In Fair Value Of Equity Instruments Designated As Measured At Fair Value Through Other Comprehensive Income Net Of Tax Items That Will Not Be Reclassified To Profit Or Loss OCI</t>
        </is>
      </c>
      <c r="C120" s="20" t="n">
        <v>2253</v>
      </c>
      <c r="D120" s="20" t="n">
        <v>-529</v>
      </c>
      <c r="E120" s="20" t="n">
        <v>11763</v>
      </c>
      <c r="F120" s="20" t="n">
        <v>4636</v>
      </c>
      <c r="G120" s="20" t="n">
        <v>-2667</v>
      </c>
      <c r="H120" s="20" t="n">
        <v>1090</v>
      </c>
      <c r="I120" s="20" t="n">
        <v>-5864</v>
      </c>
      <c r="J120" s="20" t="n">
        <v>2171</v>
      </c>
      <c r="K120" s="20" t="n">
        <v>360</v>
      </c>
      <c r="L120" s="20" t="n">
        <v>2248</v>
      </c>
      <c r="M120" s="20" t="n">
        <v>8212</v>
      </c>
      <c r="N120" s="20" t="n">
        <v>1088</v>
      </c>
      <c r="T120" s="20" t="n">
        <v>-314</v>
      </c>
      <c r="U120" s="20" t="n">
        <v>682</v>
      </c>
      <c r="V120" s="20" t="n">
        <v>11763</v>
      </c>
      <c r="W120" s="20" t="n">
        <v>-5864</v>
      </c>
      <c r="X120" s="20" t="n">
        <v>8212</v>
      </c>
    </row>
    <row r="121">
      <c r="A121" s="18" t="inlineStr">
        <is>
          <t>Share Of Other Comprehensive Income Of Investments Accounted For Using Equity Method Net Of Tax Items That Will Not Be Reclassified To Profit Or Loss OCI</t>
        </is>
      </c>
      <c r="H121" s="20" t="n">
        <v>0</v>
      </c>
      <c r="I121" s="20" t="n">
        <v>0</v>
      </c>
      <c r="J121" s="20" t="n">
        <v>0</v>
      </c>
      <c r="K121" s="20" t="n">
        <v>3776</v>
      </c>
      <c r="L121" s="20" t="n">
        <v>-1</v>
      </c>
      <c r="M121" s="20" t="n">
        <v>-5</v>
      </c>
      <c r="N121" s="20" t="n">
        <v>0</v>
      </c>
      <c r="W121" s="20" t="n">
        <v>0</v>
      </c>
      <c r="X121" s="20" t="n">
        <v>-5</v>
      </c>
    </row>
    <row r="122">
      <c r="A122" s="18" t="inlineStr">
        <is>
          <t>합계</t>
        </is>
      </c>
      <c r="C122" s="20" t="n">
        <v>2253</v>
      </c>
      <c r="D122" s="20" t="n">
        <v>-529</v>
      </c>
      <c r="E122" s="20" t="n">
        <v>36560</v>
      </c>
      <c r="F122" s="20" t="n">
        <v>4636</v>
      </c>
      <c r="G122" s="20" t="n">
        <v>-2667</v>
      </c>
      <c r="H122" s="20" t="n">
        <v>1090</v>
      </c>
      <c r="I122" s="20" t="n">
        <v>-23277</v>
      </c>
      <c r="J122" s="20" t="n">
        <v>743</v>
      </c>
      <c r="K122" s="20" t="n">
        <v>4179</v>
      </c>
      <c r="L122" s="20" t="n">
        <v>9917</v>
      </c>
      <c r="M122" s="20" t="n">
        <v>8059</v>
      </c>
      <c r="N122" s="20" t="n">
        <v>1126</v>
      </c>
      <c r="T122" s="20" t="n">
        <v>5808</v>
      </c>
      <c r="U122" s="20" t="n">
        <v>-2050</v>
      </c>
      <c r="V122" s="20" t="n">
        <v>36560</v>
      </c>
      <c r="W122" s="20" t="n">
        <v>-23277</v>
      </c>
      <c r="X122" s="20" t="n">
        <v>8059</v>
      </c>
    </row>
    <row r="123">
      <c r="A123" s="18" t="inlineStr">
        <is>
          <t>Financial Assets Measured At Fair Value Through Other Comprehensive Income Net Of Tax Items That May Be Reclassified To Profit Or Loss OCI</t>
        </is>
      </c>
      <c r="F123" s="20" t="n">
        <v>0</v>
      </c>
      <c r="G123" s="20" t="n">
        <v>0</v>
      </c>
      <c r="H123" s="20" t="n">
        <v>0</v>
      </c>
      <c r="I123" s="20" t="n">
        <v>-1</v>
      </c>
      <c r="J123" s="20" t="n">
        <v>-3</v>
      </c>
      <c r="K123" s="20" t="n">
        <v>0</v>
      </c>
      <c r="L123" s="20" t="n">
        <v>1</v>
      </c>
      <c r="M123" s="20" t="n">
        <v>0</v>
      </c>
      <c r="N123" s="20" t="n">
        <v>0</v>
      </c>
      <c r="W123" s="20" t="n">
        <v>-1</v>
      </c>
      <c r="X123" s="20" t="n">
        <v>0</v>
      </c>
    </row>
    <row r="124">
      <c r="A124" s="18" t="inlineStr">
        <is>
          <t>Exchange Differences On Translation Of Foreign Operations Net Of Tax Items That May Be Reclassified To Profit Or Loss OCI</t>
        </is>
      </c>
      <c r="C124" s="20" t="n">
        <v>487</v>
      </c>
      <c r="D124" s="20" t="n">
        <v>-673</v>
      </c>
      <c r="E124" s="20" t="n">
        <v>1024</v>
      </c>
      <c r="F124" s="20" t="n">
        <v>1658</v>
      </c>
      <c r="G124" s="20" t="n">
        <v>-1670</v>
      </c>
      <c r="H124" s="20" t="n">
        <v>1966</v>
      </c>
      <c r="I124" s="20" t="n">
        <v>-1707</v>
      </c>
      <c r="J124" s="20" t="n">
        <v>-239</v>
      </c>
      <c r="K124" s="20" t="n">
        <v>955</v>
      </c>
      <c r="L124" s="20" t="n">
        <v>2140</v>
      </c>
      <c r="M124" s="20" t="n">
        <v>238</v>
      </c>
      <c r="N124" s="20" t="n">
        <v>379</v>
      </c>
      <c r="T124" s="20" t="n">
        <v>1763</v>
      </c>
      <c r="U124" s="20" t="n">
        <v>619</v>
      </c>
      <c r="V124" s="20" t="n">
        <v>1024</v>
      </c>
      <c r="W124" s="20" t="n">
        <v>-1707</v>
      </c>
      <c r="X124" s="20" t="n">
        <v>238</v>
      </c>
    </row>
    <row r="125">
      <c r="A125" s="18" t="inlineStr">
        <is>
          <t>Share Of Other Comprehensive Income Of Investments Accounted For Using Equity Method Net Of Tax Items That May Be Reclassified To Profit Or Loss OCI</t>
        </is>
      </c>
      <c r="H125" s="20" t="n">
        <v>0</v>
      </c>
      <c r="I125" s="20" t="n">
        <v>0</v>
      </c>
      <c r="J125" s="20" t="n">
        <v>0</v>
      </c>
      <c r="K125" s="20" t="n">
        <v>-15</v>
      </c>
      <c r="L125" s="20" t="n">
        <v>212</v>
      </c>
      <c r="M125" s="20" t="n">
        <v>-141</v>
      </c>
      <c r="N125" s="20" t="n">
        <v>82</v>
      </c>
      <c r="W125" s="20" t="n">
        <v>0</v>
      </c>
      <c r="X125" s="20" t="n">
        <v>-141</v>
      </c>
    </row>
    <row r="126">
      <c r="A126" s="18" t="inlineStr">
        <is>
          <t>합계</t>
        </is>
      </c>
      <c r="C126" s="20" t="n">
        <v>487</v>
      </c>
      <c r="D126" s="20" t="n">
        <v>-673</v>
      </c>
      <c r="E126" s="20" t="n">
        <v>1029</v>
      </c>
      <c r="F126" s="20" t="n">
        <v>1658</v>
      </c>
      <c r="G126" s="20" t="n">
        <v>-1670</v>
      </c>
      <c r="H126" s="20" t="n">
        <v>1966</v>
      </c>
      <c r="I126" s="20" t="n">
        <v>-1709</v>
      </c>
      <c r="J126" s="20" t="n">
        <v>-242</v>
      </c>
      <c r="K126" s="20" t="n">
        <v>939</v>
      </c>
      <c r="L126" s="20" t="n">
        <v>2354</v>
      </c>
      <c r="M126" s="20" t="n">
        <v>97</v>
      </c>
      <c r="N126" s="20" t="n">
        <v>462</v>
      </c>
      <c r="T126" s="20" t="n">
        <v>1763</v>
      </c>
      <c r="U126" s="20" t="n">
        <v>622</v>
      </c>
      <c r="V126" s="20" t="n">
        <v>1029</v>
      </c>
      <c r="W126" s="20" t="n">
        <v>-1709</v>
      </c>
      <c r="X126" s="20" t="n">
        <v>97</v>
      </c>
    </row>
    <row r="127">
      <c r="A127" s="18" t="inlineStr">
        <is>
          <t>기타포괄손익 합계</t>
        </is>
      </c>
      <c r="C127" s="20" t="n">
        <v>2739</v>
      </c>
      <c r="D127" s="20" t="n">
        <v>-1201</v>
      </c>
      <c r="E127" s="20" t="n">
        <v>37589</v>
      </c>
      <c r="F127" s="20" t="n">
        <v>6294</v>
      </c>
      <c r="G127" s="20" t="n">
        <v>-4337</v>
      </c>
      <c r="H127" s="20" t="n">
        <v>3057</v>
      </c>
      <c r="I127" s="20" t="n">
        <v>-24986</v>
      </c>
      <c r="J127" s="20" t="n">
        <v>500</v>
      </c>
      <c r="K127" s="20" t="n">
        <v>5120</v>
      </c>
      <c r="L127" s="20" t="n">
        <v>12270</v>
      </c>
      <c r="M127" s="20" t="n">
        <v>8156</v>
      </c>
      <c r="N127" s="20" t="n">
        <v>1588</v>
      </c>
      <c r="T127" s="20" t="n">
        <v>7570</v>
      </c>
      <c r="U127" s="20" t="n">
        <v>-1430</v>
      </c>
      <c r="V127" s="20" t="n">
        <v>37589</v>
      </c>
      <c r="W127" s="20" t="n">
        <v>-24986</v>
      </c>
      <c r="X127" s="20" t="n">
        <v>8156</v>
      </c>
    </row>
    <row r="128">
      <c r="A128" s="9" t="inlineStr">
        <is>
          <t>포괄이익</t>
        </is>
      </c>
      <c r="C128" s="12" t="n">
        <v>4038</v>
      </c>
      <c r="D128" s="12" t="n">
        <v>2026</v>
      </c>
      <c r="E128" s="12" t="n">
        <v>38391</v>
      </c>
      <c r="F128" s="12" t="n">
        <v>7797</v>
      </c>
      <c r="G128" s="12" t="n">
        <v>-3435</v>
      </c>
      <c r="H128" s="12" t="n">
        <v>7338</v>
      </c>
      <c r="I128" s="12" t="n">
        <v>-22344</v>
      </c>
      <c r="J128" s="12" t="n">
        <v>4436</v>
      </c>
      <c r="K128" s="12" t="n">
        <v>7560</v>
      </c>
      <c r="L128" s="12" t="n">
        <v>16805</v>
      </c>
      <c r="M128" s="12" t="n">
        <v>10205</v>
      </c>
      <c r="N128" s="12" t="n">
        <v>5249</v>
      </c>
      <c r="T128" s="12" t="n">
        <v>6924</v>
      </c>
      <c r="U128" s="12" t="n">
        <v>307</v>
      </c>
      <c r="V128" s="12" t="n">
        <v>38391</v>
      </c>
      <c r="W128" s="12" t="n">
        <v>-22344</v>
      </c>
      <c r="X128" s="12" t="n">
        <v>10205</v>
      </c>
    </row>
    <row r="129">
      <c r="A129" s="9" t="inlineStr">
        <is>
          <t>Comprehensive Income Attributable To Owners Of Parent</t>
        </is>
      </c>
      <c r="C129" s="12" t="n">
        <v>3579</v>
      </c>
      <c r="D129" s="12" t="n">
        <v>1801</v>
      </c>
      <c r="E129" s="12" t="n">
        <v>37824</v>
      </c>
      <c r="F129" s="12" t="n">
        <v>7071</v>
      </c>
      <c r="G129" s="12" t="n">
        <v>-3369</v>
      </c>
      <c r="H129" s="12" t="n">
        <v>6638</v>
      </c>
      <c r="I129" s="12" t="n">
        <v>-22467</v>
      </c>
      <c r="J129" s="12" t="n">
        <v>4123</v>
      </c>
      <c r="K129" s="12" t="n">
        <v>6924</v>
      </c>
      <c r="L129" s="12" t="n">
        <v>15826</v>
      </c>
      <c r="M129" s="12" t="n">
        <v>9566</v>
      </c>
      <c r="N129" s="12" t="n">
        <v>4635</v>
      </c>
      <c r="T129" s="12" t="n">
        <v>6161</v>
      </c>
      <c r="U129" s="12" t="n">
        <v>-178</v>
      </c>
      <c r="V129" s="12" t="n">
        <v>37824</v>
      </c>
      <c r="W129" s="12" t="n">
        <v>-22467</v>
      </c>
      <c r="X129" s="12" t="n">
        <v>9566</v>
      </c>
    </row>
    <row r="130">
      <c r="A130" s="9" t="inlineStr">
        <is>
          <t>비지배지분</t>
        </is>
      </c>
      <c r="C130" s="12" t="n">
        <v>458</v>
      </c>
      <c r="D130" s="12" t="n">
        <v>225</v>
      </c>
      <c r="E130" s="12" t="n">
        <v>568</v>
      </c>
      <c r="F130" s="12" t="n">
        <v>725</v>
      </c>
      <c r="G130" s="12" t="n">
        <v>-65</v>
      </c>
      <c r="H130" s="12" t="n">
        <v>700</v>
      </c>
      <c r="I130" s="12" t="n">
        <v>123</v>
      </c>
      <c r="J130" s="12" t="n">
        <v>312</v>
      </c>
      <c r="K130" s="12" t="n">
        <v>637</v>
      </c>
      <c r="L130" s="12" t="n">
        <v>979</v>
      </c>
      <c r="M130" s="12" t="n">
        <v>638</v>
      </c>
      <c r="N130" s="12" t="n">
        <v>613</v>
      </c>
      <c r="T130" s="12" t="n">
        <v>762</v>
      </c>
      <c r="U130" s="12" t="n">
        <v>486</v>
      </c>
      <c r="V130" s="12" t="n">
        <v>568</v>
      </c>
      <c r="W130" s="12" t="n">
        <v>123</v>
      </c>
      <c r="X130" s="12" t="n">
        <v>638</v>
      </c>
    </row>
    <row r="132">
      <c r="A132" s="16" t="inlineStr">
        <is>
          <t>부문 · 전 항목</t>
        </is>
      </c>
      <c r="B132" s="42" t="inlineStr">
        <is>
          <t>부문 · 항목</t>
        </is>
      </c>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row>
    <row r="133">
      <c r="A133" s="5" t="inlineStr">
        <is>
          <t>항목</t>
        </is>
      </c>
      <c r="B133" s="5" t="inlineStr">
        <is>
          <t>참고</t>
        </is>
      </c>
      <c r="C133" s="5" t="inlineStr">
        <is>
          <t>2024.2Q</t>
        </is>
      </c>
      <c r="D133" s="5" t="inlineStr">
        <is>
          <t>2024.3Q</t>
        </is>
      </c>
      <c r="E133" s="5" t="inlineStr">
        <is>
          <t>2024.4Q</t>
        </is>
      </c>
      <c r="F133" s="5" t="inlineStr">
        <is>
          <t>2025.1Q</t>
        </is>
      </c>
      <c r="G133" s="5" t="inlineStr">
        <is>
          <t>2025.2Q</t>
        </is>
      </c>
      <c r="H133" s="5" t="inlineStr">
        <is>
          <t>2025.3Q</t>
        </is>
      </c>
      <c r="I133" s="5" t="inlineStr">
        <is>
          <t>2025.4Q</t>
        </is>
      </c>
      <c r="J133" s="5" t="inlineStr">
        <is>
          <t>2026.1Q</t>
        </is>
      </c>
      <c r="K133" s="5" t="inlineStr">
        <is>
          <t>2026.2Q</t>
        </is>
      </c>
      <c r="L133" s="5" t="inlineStr">
        <is>
          <t>2026.3Q</t>
        </is>
      </c>
      <c r="M133" s="5" t="inlineStr">
        <is>
          <t>2026.4Q</t>
        </is>
      </c>
      <c r="N133" s="5" t="inlineStr">
        <is>
          <t>2027.1Q</t>
        </is>
      </c>
      <c r="O133" s="5" t="inlineStr">
        <is>
          <t>2017</t>
        </is>
      </c>
      <c r="P133" s="5" t="inlineStr">
        <is>
          <t>2018</t>
        </is>
      </c>
      <c r="Q133" s="5" t="inlineStr">
        <is>
          <t>2019</t>
        </is>
      </c>
      <c r="R133" s="5" t="inlineStr">
        <is>
          <t>2020</t>
        </is>
      </c>
      <c r="S133" s="5" t="inlineStr">
        <is>
          <t>2021</t>
        </is>
      </c>
      <c r="T133" s="5" t="inlineStr">
        <is>
          <t>2022</t>
        </is>
      </c>
      <c r="U133" s="5" t="inlineStr">
        <is>
          <t>2023</t>
        </is>
      </c>
      <c r="V133" s="5" t="inlineStr">
        <is>
          <t>2024</t>
        </is>
      </c>
      <c r="W133" s="5" t="inlineStr">
        <is>
          <t>2025</t>
        </is>
      </c>
      <c r="X133" s="5" t="inlineStr">
        <is>
          <t>2026</t>
        </is>
      </c>
      <c r="Y133" s="5" t="inlineStr">
        <is>
          <t>2027(MW)</t>
        </is>
      </c>
      <c r="Z133" s="5" t="inlineStr">
        <is>
          <t>2028(MW)</t>
        </is>
      </c>
      <c r="AA133" s="5" t="inlineStr">
        <is>
          <t>2029(MW)</t>
        </is>
      </c>
      <c r="AB133" s="5" t="inlineStr">
        <is>
          <t>2030(MW)</t>
        </is>
      </c>
      <c r="AC133" s="5" t="inlineStr">
        <is>
          <t>2031(MW)</t>
        </is>
      </c>
    </row>
    <row r="134">
      <c r="A134" s="18" t="inlineStr">
        <is>
          <t>HaganeCompanyReportableSegmentMember · Revenue From External Customers</t>
        </is>
      </c>
      <c r="C134" s="20" t="n">
        <v>27876</v>
      </c>
      <c r="D134" s="20" t="n">
        <v>28383</v>
      </c>
      <c r="E134" s="20" t="n">
        <v>24827</v>
      </c>
      <c r="F134" s="20" t="n">
        <v>24888</v>
      </c>
      <c r="G134" s="20" t="n">
        <v>26769</v>
      </c>
      <c r="H134" s="20" t="n">
        <v>29072</v>
      </c>
      <c r="I134" s="20" t="n">
        <v>26039</v>
      </c>
      <c r="J134" s="20" t="n">
        <v>26345</v>
      </c>
      <c r="K134" s="20" t="n">
        <v>25291</v>
      </c>
      <c r="L134" s="20" t="n">
        <v>27336</v>
      </c>
      <c r="M134" s="20" t="n">
        <v>26595</v>
      </c>
      <c r="N134" s="20" t="n">
        <v>28061</v>
      </c>
      <c r="V134" s="20" t="n">
        <v>24827</v>
      </c>
      <c r="W134" s="20" t="n">
        <v>26039</v>
      </c>
      <c r="X134" s="20" t="n">
        <v>26595</v>
      </c>
    </row>
    <row r="135">
      <c r="A135" s="43" t="inlineStr">
        <is>
          <t>YoY</t>
        </is>
      </c>
      <c r="B135" s="3" t="inlineStr">
        <is>
          <t>전년 같은 분기·전년 대비</t>
        </is>
      </c>
      <c r="G135" s="15">
        <f>IF(OR(G134="",C134=""),"",IF(C134&lt;=0,"",IFERROR(G134/C134-1,"")))</f>
        <v/>
      </c>
      <c r="H135" s="15">
        <f>IF(OR(H134="",D134=""),"",IF(D134&lt;=0,"",IFERROR(H134/D134-1,"")))</f>
        <v/>
      </c>
      <c r="I135" s="15">
        <f>IF(OR(I134="",E134=""),"",IF(E134&lt;=0,"",IFERROR(I134/E134-1,"")))</f>
        <v/>
      </c>
      <c r="J135" s="15">
        <f>IF(OR(J134="",F134=""),"",IF(F134&lt;=0,"",IFERROR(J134/F134-1,"")))</f>
        <v/>
      </c>
      <c r="K135" s="15">
        <f>IF(OR(K134="",G134=""),"",IF(G134&lt;=0,"",IFERROR(K134/G134-1,"")))</f>
        <v/>
      </c>
      <c r="L135" s="15">
        <f>IF(OR(L134="",H134=""),"",IF(H134&lt;=0,"",IFERROR(L134/H134-1,"")))</f>
        <v/>
      </c>
      <c r="M135" s="15">
        <f>IF(OR(M134="",I134=""),"",IF(I134&lt;=0,"",IFERROR(M134/I134-1,"")))</f>
        <v/>
      </c>
      <c r="N135" s="15">
        <f>IF(OR(N134="",J134=""),"",IF(J134&lt;=0,"",IFERROR(N134/J134-1,"")))</f>
        <v/>
      </c>
      <c r="V135" s="15">
        <f>IF(OR(V134="",U134=""),"",IF(U134&lt;=0,"",IFERROR(V134/U134-1,"")))</f>
        <v/>
      </c>
      <c r="W135" s="15">
        <f>IF(OR(W134="",V134=""),"",IF(V134&lt;=0,"",IFERROR(W134/V134-1,"")))</f>
        <v/>
      </c>
      <c r="X135" s="15">
        <f>IF(OR(X134="",W134=""),"",IF(W134&lt;=0,"",IFERROR(X134/W134-1,"")))</f>
        <v/>
      </c>
    </row>
    <row r="136">
      <c r="A136" s="18" t="inlineStr">
        <is>
          <t>StainlessCompanyReportableSegmentMember · Revenue From External Customers</t>
        </is>
      </c>
      <c r="C136" s="20" t="n">
        <v>10014</v>
      </c>
      <c r="D136" s="20" t="n">
        <v>10403</v>
      </c>
      <c r="E136" s="20" t="n">
        <v>10705</v>
      </c>
      <c r="F136" s="20" t="n">
        <v>10616</v>
      </c>
      <c r="G136" s="20" t="n">
        <v>10410</v>
      </c>
      <c r="H136" s="20" t="n">
        <v>11218</v>
      </c>
      <c r="I136" s="20" t="n">
        <v>11811</v>
      </c>
      <c r="J136" s="20" t="n">
        <v>9786</v>
      </c>
      <c r="K136" s="20" t="n">
        <v>9704</v>
      </c>
      <c r="L136" s="20" t="n">
        <v>9116</v>
      </c>
      <c r="M136" s="20" t="n">
        <v>10291</v>
      </c>
      <c r="N136" s="20" t="n">
        <v>10522</v>
      </c>
      <c r="V136" s="20" t="n">
        <v>10705</v>
      </c>
      <c r="W136" s="20" t="n">
        <v>11811</v>
      </c>
      <c r="X136" s="20" t="n">
        <v>10291</v>
      </c>
    </row>
    <row r="137">
      <c r="A137" s="43" t="inlineStr">
        <is>
          <t>YoY</t>
        </is>
      </c>
      <c r="B137" s="3" t="inlineStr">
        <is>
          <t>전년 같은 분기·전년 대비</t>
        </is>
      </c>
      <c r="G137" s="15">
        <f>IF(OR(G136="",C136=""),"",IF(C136&lt;=0,"",IFERROR(G136/C136-1,"")))</f>
        <v/>
      </c>
      <c r="H137" s="15">
        <f>IF(OR(H136="",D136=""),"",IF(D136&lt;=0,"",IFERROR(H136/D136-1,"")))</f>
        <v/>
      </c>
      <c r="I137" s="15">
        <f>IF(OR(I136="",E136=""),"",IF(E136&lt;=0,"",IFERROR(I136/E136-1,"")))</f>
        <v/>
      </c>
      <c r="J137" s="15">
        <f>IF(OR(J136="",F136=""),"",IF(F136&lt;=0,"",IFERROR(J136/F136-1,"")))</f>
        <v/>
      </c>
      <c r="K137" s="15">
        <f>IF(OR(K136="",G136=""),"",IF(G136&lt;=0,"",IFERROR(K136/G136-1,"")))</f>
        <v/>
      </c>
      <c r="L137" s="15">
        <f>IF(OR(L136="",H136=""),"",IF(H136&lt;=0,"",IFERROR(L136/H136-1,"")))</f>
        <v/>
      </c>
      <c r="M137" s="15">
        <f>IF(OR(M136="",I136=""),"",IF(I136&lt;=0,"",IFERROR(M136/I136-1,"")))</f>
        <v/>
      </c>
      <c r="N137" s="15">
        <f>IF(OR(N136="",J136=""),"",IF(J136&lt;=0,"",IFERROR(N136/J136-1,"")))</f>
        <v/>
      </c>
      <c r="V137" s="15">
        <f>IF(OR(V136="",U136=""),"",IF(U136&lt;=0,"",IFERROR(V136/U136-1,"")))</f>
        <v/>
      </c>
      <c r="W137" s="15">
        <f>IF(OR(W136="",V136=""),"",IF(V136&lt;=0,"",IFERROR(W136/V136-1,"")))</f>
        <v/>
      </c>
      <c r="X137" s="15">
        <f>IF(OR(X136="",W136=""),"",IF(W136&lt;=0,"",IFERROR(X136/W136-1,"")))</f>
        <v/>
      </c>
    </row>
    <row r="138">
      <c r="A138" s="18" t="inlineStr">
        <is>
          <t>KitaeruCompanyReportableSegmentMember · Revenue From External Customers</t>
        </is>
      </c>
      <c r="C138" s="20" t="n">
        <v>31749</v>
      </c>
      <c r="D138" s="20" t="n">
        <v>32605</v>
      </c>
      <c r="E138" s="20" t="n">
        <v>28610</v>
      </c>
      <c r="F138" s="20" t="n">
        <v>31297</v>
      </c>
      <c r="G138" s="20" t="n">
        <v>30410</v>
      </c>
      <c r="H138" s="20" t="n">
        <v>30412</v>
      </c>
      <c r="I138" s="20" t="n">
        <v>33387</v>
      </c>
      <c r="J138" s="20" t="n">
        <v>33162</v>
      </c>
      <c r="K138" s="20" t="n">
        <v>33474</v>
      </c>
      <c r="L138" s="20" t="n">
        <v>33848</v>
      </c>
      <c r="M138" s="20" t="n">
        <v>34339</v>
      </c>
      <c r="N138" s="20" t="n">
        <v>36137</v>
      </c>
      <c r="V138" s="20" t="n">
        <v>28610</v>
      </c>
      <c r="W138" s="20" t="n">
        <v>33387</v>
      </c>
      <c r="X138" s="20" t="n">
        <v>34339</v>
      </c>
    </row>
    <row r="139">
      <c r="A139" s="43" t="inlineStr">
        <is>
          <t>YoY</t>
        </is>
      </c>
      <c r="B139" s="3" t="inlineStr">
        <is>
          <t>전년 같은 분기·전년 대비</t>
        </is>
      </c>
      <c r="G139" s="15">
        <f>IF(OR(G138="",C138=""),"",IF(C138&lt;=0,"",IFERROR(G138/C138-1,"")))</f>
        <v/>
      </c>
      <c r="H139" s="15">
        <f>IF(OR(H138="",D138=""),"",IF(D138&lt;=0,"",IFERROR(H138/D138-1,"")))</f>
        <v/>
      </c>
      <c r="I139" s="15">
        <f>IF(OR(I138="",E138=""),"",IF(E138&lt;=0,"",IFERROR(I138/E138-1,"")))</f>
        <v/>
      </c>
      <c r="J139" s="15">
        <f>IF(OR(J138="",F138=""),"",IF(F138&lt;=0,"",IFERROR(J138/F138-1,"")))</f>
        <v/>
      </c>
      <c r="K139" s="15">
        <f>IF(OR(K138="",G138=""),"",IF(G138&lt;=0,"",IFERROR(K138/G138-1,"")))</f>
        <v/>
      </c>
      <c r="L139" s="15">
        <f>IF(OR(L138="",H138=""),"",IF(H138&lt;=0,"",IFERROR(L138/H138-1,"")))</f>
        <v/>
      </c>
      <c r="M139" s="15">
        <f>IF(OR(M138="",I138=""),"",IF(I138&lt;=0,"",IFERROR(M138/I138-1,"")))</f>
        <v/>
      </c>
      <c r="N139" s="15">
        <f>IF(OR(N138="",J138=""),"",IF(J138&lt;=0,"",IFERROR(N138/J138-1,"")))</f>
        <v/>
      </c>
      <c r="V139" s="15">
        <f>IF(OR(V138="",U138=""),"",IF(U138&lt;=0,"",IFERROR(V138/U138-1,"")))</f>
        <v/>
      </c>
      <c r="W139" s="15">
        <f>IF(OR(W138="",V138=""),"",IF(V138&lt;=0,"",IFERROR(W138/V138-1,"")))</f>
        <v/>
      </c>
      <c r="X139" s="15">
        <f>IF(OR(X138="",W138=""),"",IF(W138&lt;=0,"",IFERROR(X138/W138-1,"")))</f>
        <v/>
      </c>
    </row>
    <row r="140">
      <c r="A140" s="18" t="inlineStr">
        <is>
          <t>SmartCompanyReportableSegmentMember · Revenue From External Customers</t>
        </is>
      </c>
      <c r="C140" s="20" t="n">
        <v>5249</v>
      </c>
      <c r="D140" s="20" t="n">
        <v>5554</v>
      </c>
      <c r="E140" s="20" t="n">
        <v>4365</v>
      </c>
      <c r="F140" s="20" t="n">
        <v>4611</v>
      </c>
      <c r="G140" s="20" t="n">
        <v>4889</v>
      </c>
      <c r="H140" s="20" t="n">
        <v>5635</v>
      </c>
      <c r="I140" s="20" t="n">
        <v>5458</v>
      </c>
      <c r="J140" s="20" t="n">
        <v>5255</v>
      </c>
      <c r="K140" s="20" t="n">
        <v>5620</v>
      </c>
      <c r="L140" s="20" t="n">
        <v>5888</v>
      </c>
      <c r="M140" s="20" t="n">
        <v>5344</v>
      </c>
      <c r="N140" s="20" t="n">
        <v>6341</v>
      </c>
      <c r="V140" s="20" t="n">
        <v>4365</v>
      </c>
      <c r="W140" s="20" t="n">
        <v>5458</v>
      </c>
      <c r="X140" s="20" t="n">
        <v>5344</v>
      </c>
    </row>
    <row r="141">
      <c r="A141" s="43" t="inlineStr">
        <is>
          <t>YoY</t>
        </is>
      </c>
      <c r="B141" s="3" t="inlineStr">
        <is>
          <t>전년 같은 분기·전년 대비</t>
        </is>
      </c>
      <c r="G141" s="15">
        <f>IF(OR(G140="",C140=""),"",IF(C140&lt;=0,"",IFERROR(G140/C140-1,"")))</f>
        <v/>
      </c>
      <c r="H141" s="15">
        <f>IF(OR(H140="",D140=""),"",IF(D140&lt;=0,"",IFERROR(H140/D140-1,"")))</f>
        <v/>
      </c>
      <c r="I141" s="15">
        <f>IF(OR(I140="",E140=""),"",IF(E140&lt;=0,"",IFERROR(I140/E140-1,"")))</f>
        <v/>
      </c>
      <c r="J141" s="15">
        <f>IF(OR(J140="",F140=""),"",IF(F140&lt;=0,"",IFERROR(J140/F140-1,"")))</f>
        <v/>
      </c>
      <c r="K141" s="15">
        <f>IF(OR(K140="",G140=""),"",IF(G140&lt;=0,"",IFERROR(K140/G140-1,"")))</f>
        <v/>
      </c>
      <c r="L141" s="15">
        <f>IF(OR(L140="",H140=""),"",IF(H140&lt;=0,"",IFERROR(L140/H140-1,"")))</f>
        <v/>
      </c>
      <c r="M141" s="15">
        <f>IF(OR(M140="",I140=""),"",IF(I140&lt;=0,"",IFERROR(M140/I140-1,"")))</f>
        <v/>
      </c>
      <c r="N141" s="15">
        <f>IF(OR(N140="",J140=""),"",IF(J140&lt;=0,"",IFERROR(N140/J140-1,"")))</f>
        <v/>
      </c>
      <c r="V141" s="15">
        <f>IF(OR(V140="",U140=""),"",IF(U140&lt;=0,"",IFERROR(V140/U140-1,"")))</f>
        <v/>
      </c>
      <c r="W141" s="15">
        <f>IF(OR(W140="",V140=""),"",IF(V140&lt;=0,"",IFERROR(W140/V140-1,"")))</f>
        <v/>
      </c>
      <c r="X141" s="15">
        <f>IF(OR(X140="",W140=""),"",IF(W140&lt;=0,"",IFERROR(X140/W140-1,"")))</f>
        <v/>
      </c>
    </row>
    <row r="142">
      <c r="A142" s="18" t="inlineStr">
        <is>
          <t>OtherReportableSegmentsMember · Revenue From External Customers</t>
        </is>
      </c>
      <c r="C142" s="20" t="n">
        <v>610</v>
      </c>
      <c r="D142" s="20" t="n">
        <v>711</v>
      </c>
      <c r="E142" s="20" t="n">
        <v>1042</v>
      </c>
      <c r="F142" s="20" t="n">
        <v>518</v>
      </c>
      <c r="G142" s="20" t="n">
        <v>553</v>
      </c>
      <c r="H142" s="20" t="n">
        <v>573</v>
      </c>
      <c r="I142" s="20" t="n">
        <v>719</v>
      </c>
      <c r="J142" s="20" t="n">
        <v>536</v>
      </c>
      <c r="K142" s="20" t="n">
        <v>634</v>
      </c>
      <c r="L142" s="20" t="n">
        <v>697</v>
      </c>
      <c r="M142" s="20" t="n">
        <v>1078</v>
      </c>
      <c r="N142" s="20" t="n">
        <v>540</v>
      </c>
      <c r="V142" s="20" t="n">
        <v>1042</v>
      </c>
      <c r="W142" s="20" t="n">
        <v>719</v>
      </c>
      <c r="X142" s="20" t="n">
        <v>1078</v>
      </c>
    </row>
    <row r="143">
      <c r="A143" s="43" t="inlineStr">
        <is>
          <t>YoY</t>
        </is>
      </c>
      <c r="B143" s="3" t="inlineStr">
        <is>
          <t>전년 같은 분기·전년 대비</t>
        </is>
      </c>
      <c r="G143" s="15">
        <f>IF(OR(G142="",C142=""),"",IF(C142&lt;=0,"",IFERROR(G142/C142-1,"")))</f>
        <v/>
      </c>
      <c r="H143" s="15">
        <f>IF(OR(H142="",D142=""),"",IF(D142&lt;=0,"",IFERROR(H142/D142-1,"")))</f>
        <v/>
      </c>
      <c r="I143" s="15">
        <f>IF(OR(I142="",E142=""),"",IF(E142&lt;=0,"",IFERROR(I142/E142-1,"")))</f>
        <v/>
      </c>
      <c r="J143" s="15">
        <f>IF(OR(J142="",F142=""),"",IF(F142&lt;=0,"",IFERROR(J142/F142-1,"")))</f>
        <v/>
      </c>
      <c r="K143" s="15">
        <f>IF(OR(K142="",G142=""),"",IF(G142&lt;=0,"",IFERROR(K142/G142-1,"")))</f>
        <v/>
      </c>
      <c r="L143" s="15">
        <f>IF(OR(L142="",H142=""),"",IF(H142&lt;=0,"",IFERROR(L142/H142-1,"")))</f>
        <v/>
      </c>
      <c r="M143" s="15">
        <f>IF(OR(M142="",I142=""),"",IF(I142&lt;=0,"",IFERROR(M142/I142-1,"")))</f>
        <v/>
      </c>
      <c r="N143" s="15">
        <f>IF(OR(N142="",J142=""),"",IF(J142&lt;=0,"",IFERROR(N142/J142-1,"")))</f>
        <v/>
      </c>
      <c r="V143" s="15">
        <f>IF(OR(V142="",U142=""),"",IF(U142&lt;=0,"",IFERROR(V142/U142-1,"")))</f>
        <v/>
      </c>
      <c r="W143" s="15">
        <f>IF(OR(W142="",V142=""),"",IF(V142&lt;=0,"",IFERROR(W142/V142-1,"")))</f>
        <v/>
      </c>
      <c r="X143" s="15">
        <f>IF(OR(X142="",W142=""),"",IF(W142&lt;=0,"",IFERROR(X142/W142-1,"")))</f>
        <v/>
      </c>
    </row>
    <row r="144">
      <c r="A144" s="18" t="inlineStr">
        <is>
          <t>보고부문 합계 · Revenue From External Customers</t>
        </is>
      </c>
      <c r="C144" s="20" t="n">
        <v>75501</v>
      </c>
      <c r="D144" s="20" t="n">
        <v>77654</v>
      </c>
      <c r="E144" s="20" t="n">
        <v>69548</v>
      </c>
      <c r="F144" s="20" t="n">
        <v>71933</v>
      </c>
      <c r="G144" s="20" t="n">
        <v>73030</v>
      </c>
      <c r="H144" s="20" t="n">
        <v>76909</v>
      </c>
      <c r="I144" s="20" t="n">
        <v>77415</v>
      </c>
      <c r="J144" s="20" t="n">
        <v>75086</v>
      </c>
      <c r="K144" s="20" t="n">
        <v>74722</v>
      </c>
      <c r="L144" s="20" t="n">
        <v>76886</v>
      </c>
      <c r="M144" s="20" t="n">
        <v>77647</v>
      </c>
      <c r="N144" s="20" t="n">
        <v>81603</v>
      </c>
      <c r="V144" s="20" t="n">
        <v>69548</v>
      </c>
      <c r="W144" s="20" t="n">
        <v>77415</v>
      </c>
      <c r="X144" s="20" t="n">
        <v>77647</v>
      </c>
    </row>
    <row r="145">
      <c r="A145" s="43" t="inlineStr">
        <is>
          <t>YoY</t>
        </is>
      </c>
      <c r="B145" s="3" t="inlineStr">
        <is>
          <t>전년 같은 분기·전년 대비</t>
        </is>
      </c>
      <c r="G145" s="15">
        <f>IF(OR(G144="",C144=""),"",IF(C144&lt;=0,"",IFERROR(G144/C144-1,"")))</f>
        <v/>
      </c>
      <c r="H145" s="15">
        <f>IF(OR(H144="",D144=""),"",IF(D144&lt;=0,"",IFERROR(H144/D144-1,"")))</f>
        <v/>
      </c>
      <c r="I145" s="15">
        <f>IF(OR(I144="",E144=""),"",IF(E144&lt;=0,"",IFERROR(I144/E144-1,"")))</f>
        <v/>
      </c>
      <c r="J145" s="15">
        <f>IF(OR(J144="",F144=""),"",IF(F144&lt;=0,"",IFERROR(J144/F144-1,"")))</f>
        <v/>
      </c>
      <c r="K145" s="15">
        <f>IF(OR(K144="",G144=""),"",IF(G144&lt;=0,"",IFERROR(K144/G144-1,"")))</f>
        <v/>
      </c>
      <c r="L145" s="15">
        <f>IF(OR(L144="",H144=""),"",IF(H144&lt;=0,"",IFERROR(L144/H144-1,"")))</f>
        <v/>
      </c>
      <c r="M145" s="15">
        <f>IF(OR(M144="",I144=""),"",IF(I144&lt;=0,"",IFERROR(M144/I144-1,"")))</f>
        <v/>
      </c>
      <c r="N145" s="15">
        <f>IF(OR(N144="",J144=""),"",IF(J144&lt;=0,"",IFERROR(N144/J144-1,"")))</f>
        <v/>
      </c>
      <c r="V145" s="15">
        <f>IF(OR(V144="",U144=""),"",IF(U144&lt;=0,"",IFERROR(V144/U144-1,"")))</f>
        <v/>
      </c>
      <c r="W145" s="15">
        <f>IF(OR(W144="",V144=""),"",IF(V144&lt;=0,"",IFERROR(W144/V144-1,"")))</f>
        <v/>
      </c>
      <c r="X145" s="15">
        <f>IF(OR(X144="",W144=""),"",IF(W144&lt;=0,"",IFERROR(X144/W144-1,"")))</f>
        <v/>
      </c>
    </row>
    <row r="146">
      <c r="A146" s="18" t="inlineStr">
        <is>
          <t>조정액 · Revenue From External Customers</t>
        </is>
      </c>
      <c r="C146" s="20" t="n">
        <v>0</v>
      </c>
      <c r="D146" s="20" t="n">
        <v>0</v>
      </c>
      <c r="E146" s="20" t="n">
        <v>0</v>
      </c>
      <c r="F146" s="20" t="n">
        <v>0</v>
      </c>
      <c r="G146" s="20" t="n">
        <v>0</v>
      </c>
      <c r="H146" s="20" t="n">
        <v>0</v>
      </c>
      <c r="I146" s="20" t="n">
        <v>0</v>
      </c>
      <c r="J146" s="20" t="n">
        <v>0</v>
      </c>
      <c r="K146" s="20" t="n">
        <v>0</v>
      </c>
      <c r="L146" s="20" t="n">
        <v>0</v>
      </c>
      <c r="M146" s="20" t="n">
        <v>0</v>
      </c>
      <c r="N146" s="20" t="n">
        <v>0</v>
      </c>
      <c r="V146" s="20" t="n">
        <v>0</v>
      </c>
      <c r="W146" s="20" t="n">
        <v>0</v>
      </c>
      <c r="X146" s="20" t="n">
        <v>0</v>
      </c>
    </row>
    <row r="147">
      <c r="A147" s="9" t="inlineStr">
        <is>
          <t>Revenue From External Customers</t>
        </is>
      </c>
      <c r="C147" s="12" t="n">
        <v>75501</v>
      </c>
      <c r="D147" s="12" t="n">
        <v>77654</v>
      </c>
      <c r="E147" s="12" t="n">
        <v>69548</v>
      </c>
      <c r="F147" s="12" t="n">
        <v>71933</v>
      </c>
      <c r="G147" s="12" t="n">
        <v>73030</v>
      </c>
      <c r="H147" s="12" t="n">
        <v>76909</v>
      </c>
      <c r="I147" s="12" t="n">
        <v>77415</v>
      </c>
      <c r="V147" s="12" t="n">
        <v>69548</v>
      </c>
      <c r="W147" s="12" t="n">
        <v>77415</v>
      </c>
    </row>
    <row r="148">
      <c r="A148" s="43" t="inlineStr">
        <is>
          <t>YoY</t>
        </is>
      </c>
      <c r="B148" s="3" t="inlineStr">
        <is>
          <t>전년 같은 분기·전년 대비</t>
        </is>
      </c>
      <c r="G148" s="15">
        <f>IF(OR(G147="",C147=""),"",IF(C147&lt;=0,"",IFERROR(G147/C147-1,"")))</f>
        <v/>
      </c>
      <c r="H148" s="15">
        <f>IF(OR(H147="",D147=""),"",IF(D147&lt;=0,"",IFERROR(H147/D147-1,"")))</f>
        <v/>
      </c>
      <c r="I148" s="15">
        <f>IF(OR(I147="",E147=""),"",IF(E147&lt;=0,"",IFERROR(I147/E147-1,"")))</f>
        <v/>
      </c>
      <c r="V148" s="15">
        <f>IF(OR(V147="",U147=""),"",IF(U147&lt;=0,"",IFERROR(V147/U147-1,"")))</f>
        <v/>
      </c>
      <c r="W148" s="15">
        <f>IF(OR(W147="",V147=""),"",IF(V147&lt;=0,"",IFERROR(W147/V147-1,"")))</f>
        <v/>
      </c>
    </row>
    <row r="149">
      <c r="A149" s="18" t="inlineStr">
        <is>
          <t>EntityTotalMember · Revenue From External Customers</t>
        </is>
      </c>
      <c r="F149" s="20" t="n">
        <v>71933</v>
      </c>
      <c r="J149" s="20" t="n">
        <v>75086</v>
      </c>
      <c r="N149" s="20" t="n">
        <v>81603</v>
      </c>
    </row>
    <row r="150">
      <c r="A150" s="18" t="inlineStr">
        <is>
          <t>HaganeCompanyReportableSegmentMember · Intersegment Revenue</t>
        </is>
      </c>
      <c r="C150" s="20" t="n">
        <v>10923</v>
      </c>
      <c r="D150" s="20" t="n">
        <v>10791</v>
      </c>
      <c r="E150" s="20" t="n">
        <v>9531</v>
      </c>
      <c r="F150" s="20" t="n">
        <v>9837</v>
      </c>
      <c r="G150" s="20" t="n">
        <v>10167</v>
      </c>
      <c r="H150" s="20" t="n">
        <v>10253</v>
      </c>
      <c r="I150" s="20" t="n">
        <v>10381</v>
      </c>
      <c r="J150" s="20" t="n">
        <v>10050</v>
      </c>
      <c r="K150" s="20" t="n">
        <v>10054</v>
      </c>
      <c r="L150" s="20" t="n">
        <v>9951</v>
      </c>
      <c r="M150" s="20" t="n">
        <v>10740</v>
      </c>
      <c r="N150" s="20" t="n">
        <v>10868</v>
      </c>
      <c r="V150" s="20" t="n">
        <v>9531</v>
      </c>
      <c r="W150" s="20" t="n">
        <v>10381</v>
      </c>
      <c r="X150" s="20" t="n">
        <v>10740</v>
      </c>
    </row>
    <row r="151">
      <c r="A151" s="18" t="inlineStr">
        <is>
          <t>StainlessCompanyReportableSegmentMember · Intersegment Revenue</t>
        </is>
      </c>
      <c r="C151" s="20" t="n">
        <v>17</v>
      </c>
      <c r="D151" s="20" t="n">
        <v>10</v>
      </c>
      <c r="E151" s="20" t="n">
        <v>2</v>
      </c>
      <c r="F151" s="20" t="n">
        <v>12</v>
      </c>
      <c r="G151" s="20" t="n">
        <v>0</v>
      </c>
      <c r="H151" s="20" t="n">
        <v>0</v>
      </c>
      <c r="I151" s="20" t="n">
        <v>10</v>
      </c>
      <c r="J151" s="20" t="n">
        <v>0</v>
      </c>
      <c r="K151" s="20" t="n">
        <v>1</v>
      </c>
      <c r="L151" s="20" t="n">
        <v>0</v>
      </c>
      <c r="M151" s="20" t="n">
        <v>9</v>
      </c>
      <c r="N151" s="20" t="n">
        <v>0</v>
      </c>
      <c r="V151" s="20" t="n">
        <v>2</v>
      </c>
      <c r="W151" s="20" t="n">
        <v>10</v>
      </c>
      <c r="X151" s="20" t="n">
        <v>9</v>
      </c>
    </row>
    <row r="152">
      <c r="A152" s="18" t="inlineStr">
        <is>
          <t>KitaeruCompanyReportableSegmentMember · Intersegment Revenue</t>
        </is>
      </c>
      <c r="C152" s="20" t="n">
        <v>0</v>
      </c>
      <c r="D152" s="20" t="n">
        <v>0</v>
      </c>
      <c r="E152" s="20" t="n">
        <v>0</v>
      </c>
      <c r="F152" s="20" t="n">
        <v>0</v>
      </c>
      <c r="G152" s="20" t="n">
        <v>0</v>
      </c>
      <c r="H152" s="20" t="n">
        <v>0</v>
      </c>
      <c r="I152" s="20" t="n">
        <v>0</v>
      </c>
      <c r="J152" s="20" t="n">
        <v>0</v>
      </c>
      <c r="K152" s="20" t="n">
        <v>0</v>
      </c>
      <c r="L152" s="20" t="n">
        <v>0</v>
      </c>
      <c r="M152" s="20" t="n">
        <v>0</v>
      </c>
      <c r="N152" s="20" t="n">
        <v>0</v>
      </c>
      <c r="V152" s="20" t="n">
        <v>0</v>
      </c>
      <c r="W152" s="20" t="n">
        <v>0</v>
      </c>
      <c r="X152" s="20" t="n">
        <v>0</v>
      </c>
    </row>
    <row r="153">
      <c r="A153" s="18" t="inlineStr">
        <is>
          <t>SmartCompanyReportableSegmentMember · Intersegment Revenue</t>
        </is>
      </c>
      <c r="C153" s="20" t="n">
        <v>0</v>
      </c>
      <c r="D153" s="20" t="n">
        <v>0</v>
      </c>
      <c r="E153" s="20" t="n">
        <v>0</v>
      </c>
      <c r="F153" s="20" t="n">
        <v>0</v>
      </c>
      <c r="G153" s="20" t="n">
        <v>0</v>
      </c>
      <c r="H153" s="20" t="n">
        <v>0</v>
      </c>
      <c r="I153" s="20" t="n">
        <v>0</v>
      </c>
      <c r="J153" s="20" t="n">
        <v>0</v>
      </c>
      <c r="K153" s="20" t="n">
        <v>0</v>
      </c>
      <c r="L153" s="20" t="n">
        <v>0</v>
      </c>
      <c r="M153" s="20" t="n">
        <v>0</v>
      </c>
      <c r="N153" s="20" t="n">
        <v>0</v>
      </c>
      <c r="V153" s="20" t="n">
        <v>0</v>
      </c>
      <c r="W153" s="20" t="n">
        <v>0</v>
      </c>
      <c r="X153" s="20" t="n">
        <v>0</v>
      </c>
    </row>
    <row r="154">
      <c r="A154" s="18" t="inlineStr">
        <is>
          <t>OtherReportableSegmentsMember · Intersegment Revenue</t>
        </is>
      </c>
      <c r="C154" s="20" t="n">
        <v>3450</v>
      </c>
      <c r="D154" s="20" t="n">
        <v>3528</v>
      </c>
      <c r="E154" s="20" t="n">
        <v>3582</v>
      </c>
      <c r="F154" s="20" t="n">
        <v>3309</v>
      </c>
      <c r="G154" s="20" t="n">
        <v>3338</v>
      </c>
      <c r="H154" s="20" t="n">
        <v>3181</v>
      </c>
      <c r="I154" s="20" t="n">
        <v>3835</v>
      </c>
      <c r="J154" s="20" t="n">
        <v>3407</v>
      </c>
      <c r="K154" s="20" t="n">
        <v>3642</v>
      </c>
      <c r="L154" s="20" t="n">
        <v>3191</v>
      </c>
      <c r="M154" s="20" t="n">
        <v>4302</v>
      </c>
      <c r="N154" s="20" t="n">
        <v>2136</v>
      </c>
      <c r="V154" s="20" t="n">
        <v>3582</v>
      </c>
      <c r="W154" s="20" t="n">
        <v>3835</v>
      </c>
      <c r="X154" s="20" t="n">
        <v>4302</v>
      </c>
    </row>
    <row r="155">
      <c r="A155" s="18" t="inlineStr">
        <is>
          <t>보고부문 합계 · Intersegment Revenue</t>
        </is>
      </c>
      <c r="C155" s="20" t="n">
        <v>14390</v>
      </c>
      <c r="D155" s="20" t="n">
        <v>14329</v>
      </c>
      <c r="E155" s="20" t="n">
        <v>13115</v>
      </c>
      <c r="F155" s="20" t="n">
        <v>13159</v>
      </c>
      <c r="G155" s="20" t="n">
        <v>13504</v>
      </c>
      <c r="H155" s="20" t="n">
        <v>13435</v>
      </c>
      <c r="I155" s="20" t="n">
        <v>14226</v>
      </c>
      <c r="J155" s="20" t="n">
        <v>13458</v>
      </c>
      <c r="K155" s="20" t="n">
        <v>13697</v>
      </c>
      <c r="L155" s="20" t="n">
        <v>13142</v>
      </c>
      <c r="M155" s="20" t="n">
        <v>15051</v>
      </c>
      <c r="N155" s="20" t="n">
        <v>13005</v>
      </c>
      <c r="V155" s="20" t="n">
        <v>13115</v>
      </c>
      <c r="W155" s="20" t="n">
        <v>14226</v>
      </c>
      <c r="X155" s="20" t="n">
        <v>15051</v>
      </c>
    </row>
    <row r="156">
      <c r="A156" s="18" t="inlineStr">
        <is>
          <t>조정액 · Intersegment Revenue</t>
        </is>
      </c>
      <c r="C156" s="20" t="n">
        <v>-14390</v>
      </c>
      <c r="D156" s="20" t="n">
        <v>-14329</v>
      </c>
      <c r="E156" s="20" t="n">
        <v>-13115</v>
      </c>
      <c r="F156" s="20" t="n">
        <v>-13159</v>
      </c>
      <c r="G156" s="20" t="n">
        <v>-13504</v>
      </c>
      <c r="H156" s="20" t="n">
        <v>-13435</v>
      </c>
      <c r="I156" s="20" t="n">
        <v>-14226</v>
      </c>
      <c r="J156" s="20" t="n">
        <v>-13458</v>
      </c>
      <c r="K156" s="20" t="n">
        <v>-13697</v>
      </c>
      <c r="L156" s="20" t="n">
        <v>-13142</v>
      </c>
      <c r="M156" s="20" t="n">
        <v>-15051</v>
      </c>
      <c r="N156" s="20" t="n">
        <v>-13005</v>
      </c>
      <c r="V156" s="20" t="n">
        <v>-13115</v>
      </c>
      <c r="W156" s="20" t="n">
        <v>-14226</v>
      </c>
      <c r="X156" s="20" t="n">
        <v>-15051</v>
      </c>
    </row>
    <row r="157">
      <c r="A157" s="18" t="inlineStr">
        <is>
          <t>Intersegment Revenue</t>
        </is>
      </c>
      <c r="C157" s="20" t="n">
        <v>0</v>
      </c>
      <c r="D157" s="20" t="n">
        <v>0</v>
      </c>
      <c r="E157" s="20" t="n">
        <v>0</v>
      </c>
      <c r="F157" s="20" t="n">
        <v>0</v>
      </c>
      <c r="G157" s="20" t="n">
        <v>0</v>
      </c>
      <c r="H157" s="20" t="n">
        <v>0</v>
      </c>
      <c r="I157" s="20" t="n">
        <v>0</v>
      </c>
      <c r="V157" s="20" t="n">
        <v>0</v>
      </c>
      <c r="W157" s="20" t="n">
        <v>0</v>
      </c>
    </row>
    <row r="158">
      <c r="A158" s="18" t="inlineStr">
        <is>
          <t>EntityTotalMember · Intersegment Revenue</t>
        </is>
      </c>
      <c r="F158" s="20" t="n">
        <v>0</v>
      </c>
      <c r="J158" s="20" t="n">
        <v>0</v>
      </c>
      <c r="N158" s="20" t="n">
        <v>0</v>
      </c>
    </row>
    <row r="159">
      <c r="A159" s="18" t="inlineStr">
        <is>
          <t>HaganeCompanyReportableSegmentMember · 계</t>
        </is>
      </c>
      <c r="C159" s="20" t="n">
        <v>38800</v>
      </c>
      <c r="D159" s="20" t="n">
        <v>39174</v>
      </c>
      <c r="E159" s="20" t="n">
        <v>34358</v>
      </c>
      <c r="F159" s="20" t="n">
        <v>34725</v>
      </c>
      <c r="G159" s="20" t="n">
        <v>36937</v>
      </c>
      <c r="H159" s="20" t="n">
        <v>39325</v>
      </c>
      <c r="I159" s="20" t="n">
        <v>36420</v>
      </c>
      <c r="J159" s="20" t="n">
        <v>36395</v>
      </c>
      <c r="K159" s="20" t="n">
        <v>35346</v>
      </c>
      <c r="L159" s="20" t="n">
        <v>37287</v>
      </c>
      <c r="M159" s="20" t="n">
        <v>37335</v>
      </c>
      <c r="N159" s="20" t="n">
        <v>38930</v>
      </c>
      <c r="V159" s="20" t="n">
        <v>34358</v>
      </c>
      <c r="W159" s="20" t="n">
        <v>36420</v>
      </c>
      <c r="X159" s="20" t="n">
        <v>37335</v>
      </c>
    </row>
    <row r="160">
      <c r="A160" s="43" t="inlineStr">
        <is>
          <t>YoY</t>
        </is>
      </c>
      <c r="B160" s="3" t="inlineStr">
        <is>
          <t>전년 같은 분기·전년 대비</t>
        </is>
      </c>
      <c r="G160" s="15">
        <f>IF(OR(G159="",C159=""),"",IF(C159&lt;=0,"",IFERROR(G159/C159-1,"")))</f>
        <v/>
      </c>
      <c r="H160" s="15">
        <f>IF(OR(H159="",D159=""),"",IF(D159&lt;=0,"",IFERROR(H159/D159-1,"")))</f>
        <v/>
      </c>
      <c r="I160" s="15">
        <f>IF(OR(I159="",E159=""),"",IF(E159&lt;=0,"",IFERROR(I159/E159-1,"")))</f>
        <v/>
      </c>
      <c r="J160" s="15">
        <f>IF(OR(J159="",F159=""),"",IF(F159&lt;=0,"",IFERROR(J159/F159-1,"")))</f>
        <v/>
      </c>
      <c r="K160" s="15">
        <f>IF(OR(K159="",G159=""),"",IF(G159&lt;=0,"",IFERROR(K159/G159-1,"")))</f>
        <v/>
      </c>
      <c r="L160" s="15">
        <f>IF(OR(L159="",H159=""),"",IF(H159&lt;=0,"",IFERROR(L159/H159-1,"")))</f>
        <v/>
      </c>
      <c r="M160" s="15">
        <f>IF(OR(M159="",I159=""),"",IF(I159&lt;=0,"",IFERROR(M159/I159-1,"")))</f>
        <v/>
      </c>
      <c r="N160" s="15">
        <f>IF(OR(N159="",J159=""),"",IF(J159&lt;=0,"",IFERROR(N159/J159-1,"")))</f>
        <v/>
      </c>
      <c r="V160" s="15">
        <f>IF(OR(V159="",U159=""),"",IF(U159&lt;=0,"",IFERROR(V159/U159-1,"")))</f>
        <v/>
      </c>
      <c r="W160" s="15">
        <f>IF(OR(W159="",V159=""),"",IF(V159&lt;=0,"",IFERROR(W159/V159-1,"")))</f>
        <v/>
      </c>
      <c r="X160" s="15">
        <f>IF(OR(X159="",W159=""),"",IF(W159&lt;=0,"",IFERROR(X159/W159-1,"")))</f>
        <v/>
      </c>
    </row>
    <row r="161">
      <c r="A161" s="18" t="inlineStr">
        <is>
          <t>StainlessCompanyReportableSegmentMember · 계</t>
        </is>
      </c>
      <c r="C161" s="20" t="n">
        <v>10032</v>
      </c>
      <c r="D161" s="20" t="n">
        <v>10413</v>
      </c>
      <c r="E161" s="20" t="n">
        <v>10707</v>
      </c>
      <c r="F161" s="20" t="n">
        <v>10628</v>
      </c>
      <c r="G161" s="20" t="n">
        <v>10411</v>
      </c>
      <c r="H161" s="20" t="n">
        <v>11217</v>
      </c>
      <c r="I161" s="20" t="n">
        <v>11822</v>
      </c>
      <c r="J161" s="20" t="n">
        <v>9786</v>
      </c>
      <c r="K161" s="20" t="n">
        <v>9705</v>
      </c>
      <c r="L161" s="20" t="n">
        <v>9116</v>
      </c>
      <c r="M161" s="20" t="n">
        <v>10300</v>
      </c>
      <c r="N161" s="20" t="n">
        <v>10522</v>
      </c>
      <c r="V161" s="20" t="n">
        <v>10707</v>
      </c>
      <c r="W161" s="20" t="n">
        <v>11822</v>
      </c>
      <c r="X161" s="20" t="n">
        <v>10300</v>
      </c>
    </row>
    <row r="162">
      <c r="A162" s="43" t="inlineStr">
        <is>
          <t>YoY</t>
        </is>
      </c>
      <c r="B162" s="3" t="inlineStr">
        <is>
          <t>전년 같은 분기·전년 대비</t>
        </is>
      </c>
      <c r="G162" s="15">
        <f>IF(OR(G161="",C161=""),"",IF(C161&lt;=0,"",IFERROR(G161/C161-1,"")))</f>
        <v/>
      </c>
      <c r="H162" s="15">
        <f>IF(OR(H161="",D161=""),"",IF(D161&lt;=0,"",IFERROR(H161/D161-1,"")))</f>
        <v/>
      </c>
      <c r="I162" s="15">
        <f>IF(OR(I161="",E161=""),"",IF(E161&lt;=0,"",IFERROR(I161/E161-1,"")))</f>
        <v/>
      </c>
      <c r="J162" s="15">
        <f>IF(OR(J161="",F161=""),"",IF(F161&lt;=0,"",IFERROR(J161/F161-1,"")))</f>
        <v/>
      </c>
      <c r="K162" s="15">
        <f>IF(OR(K161="",G161=""),"",IF(G161&lt;=0,"",IFERROR(K161/G161-1,"")))</f>
        <v/>
      </c>
      <c r="L162" s="15">
        <f>IF(OR(L161="",H161=""),"",IF(H161&lt;=0,"",IFERROR(L161/H161-1,"")))</f>
        <v/>
      </c>
      <c r="M162" s="15">
        <f>IF(OR(M161="",I161=""),"",IF(I161&lt;=0,"",IFERROR(M161/I161-1,"")))</f>
        <v/>
      </c>
      <c r="N162" s="15">
        <f>IF(OR(N161="",J161=""),"",IF(J161&lt;=0,"",IFERROR(N161/J161-1,"")))</f>
        <v/>
      </c>
      <c r="V162" s="15">
        <f>IF(OR(V161="",U161=""),"",IF(U161&lt;=0,"",IFERROR(V161/U161-1,"")))</f>
        <v/>
      </c>
      <c r="W162" s="15">
        <f>IF(OR(W161="",V161=""),"",IF(V161&lt;=0,"",IFERROR(W161/V161-1,"")))</f>
        <v/>
      </c>
      <c r="X162" s="15">
        <f>IF(OR(X161="",W161=""),"",IF(W161&lt;=0,"",IFERROR(X161/W161-1,"")))</f>
        <v/>
      </c>
    </row>
    <row r="163">
      <c r="A163" s="18" t="inlineStr">
        <is>
          <t>KitaeruCompanyReportableSegmentMember · 계</t>
        </is>
      </c>
      <c r="C163" s="20" t="n">
        <v>31749</v>
      </c>
      <c r="D163" s="20" t="n">
        <v>32605</v>
      </c>
      <c r="E163" s="20" t="n">
        <v>28610</v>
      </c>
      <c r="F163" s="20" t="n">
        <v>31297</v>
      </c>
      <c r="G163" s="20" t="n">
        <v>30410</v>
      </c>
      <c r="H163" s="20" t="n">
        <v>30412</v>
      </c>
      <c r="I163" s="20" t="n">
        <v>33387</v>
      </c>
      <c r="J163" s="20" t="n">
        <v>33162</v>
      </c>
      <c r="K163" s="20" t="n">
        <v>33474</v>
      </c>
      <c r="L163" s="20" t="n">
        <v>33848</v>
      </c>
      <c r="M163" s="20" t="n">
        <v>34339</v>
      </c>
      <c r="N163" s="20" t="n">
        <v>36137</v>
      </c>
      <c r="V163" s="20" t="n">
        <v>28610</v>
      </c>
      <c r="W163" s="20" t="n">
        <v>33387</v>
      </c>
      <c r="X163" s="20" t="n">
        <v>34339</v>
      </c>
    </row>
    <row r="164">
      <c r="A164" s="43" t="inlineStr">
        <is>
          <t>YoY</t>
        </is>
      </c>
      <c r="B164" s="3" t="inlineStr">
        <is>
          <t>전년 같은 분기·전년 대비</t>
        </is>
      </c>
      <c r="G164" s="15">
        <f>IF(OR(G163="",C163=""),"",IF(C163&lt;=0,"",IFERROR(G163/C163-1,"")))</f>
        <v/>
      </c>
      <c r="H164" s="15">
        <f>IF(OR(H163="",D163=""),"",IF(D163&lt;=0,"",IFERROR(H163/D163-1,"")))</f>
        <v/>
      </c>
      <c r="I164" s="15">
        <f>IF(OR(I163="",E163=""),"",IF(E163&lt;=0,"",IFERROR(I163/E163-1,"")))</f>
        <v/>
      </c>
      <c r="J164" s="15">
        <f>IF(OR(J163="",F163=""),"",IF(F163&lt;=0,"",IFERROR(J163/F163-1,"")))</f>
        <v/>
      </c>
      <c r="K164" s="15">
        <f>IF(OR(K163="",G163=""),"",IF(G163&lt;=0,"",IFERROR(K163/G163-1,"")))</f>
        <v/>
      </c>
      <c r="L164" s="15">
        <f>IF(OR(L163="",H163=""),"",IF(H163&lt;=0,"",IFERROR(L163/H163-1,"")))</f>
        <v/>
      </c>
      <c r="M164" s="15">
        <f>IF(OR(M163="",I163=""),"",IF(I163&lt;=0,"",IFERROR(M163/I163-1,"")))</f>
        <v/>
      </c>
      <c r="N164" s="15">
        <f>IF(OR(N163="",J163=""),"",IF(J163&lt;=0,"",IFERROR(N163/J163-1,"")))</f>
        <v/>
      </c>
      <c r="V164" s="15">
        <f>IF(OR(V163="",U163=""),"",IF(U163&lt;=0,"",IFERROR(V163/U163-1,"")))</f>
        <v/>
      </c>
      <c r="W164" s="15">
        <f>IF(OR(W163="",V163=""),"",IF(V163&lt;=0,"",IFERROR(W163/V163-1,"")))</f>
        <v/>
      </c>
      <c r="X164" s="15">
        <f>IF(OR(X163="",W163=""),"",IF(W163&lt;=0,"",IFERROR(X163/W163-1,"")))</f>
        <v/>
      </c>
    </row>
    <row r="165">
      <c r="A165" s="18" t="inlineStr">
        <is>
          <t>SmartCompanyReportableSegmentMember · 계</t>
        </is>
      </c>
      <c r="C165" s="20" t="n">
        <v>5249</v>
      </c>
      <c r="D165" s="20" t="n">
        <v>5554</v>
      </c>
      <c r="E165" s="20" t="n">
        <v>4365</v>
      </c>
      <c r="F165" s="20" t="n">
        <v>4611</v>
      </c>
      <c r="G165" s="20" t="n">
        <v>4889</v>
      </c>
      <c r="H165" s="20" t="n">
        <v>5635</v>
      </c>
      <c r="I165" s="20" t="n">
        <v>5458</v>
      </c>
      <c r="J165" s="20" t="n">
        <v>5255</v>
      </c>
      <c r="K165" s="20" t="n">
        <v>5620</v>
      </c>
      <c r="L165" s="20" t="n">
        <v>5888</v>
      </c>
      <c r="M165" s="20" t="n">
        <v>5344</v>
      </c>
      <c r="N165" s="20" t="n">
        <v>6341</v>
      </c>
      <c r="V165" s="20" t="n">
        <v>4365</v>
      </c>
      <c r="W165" s="20" t="n">
        <v>5458</v>
      </c>
      <c r="X165" s="20" t="n">
        <v>5344</v>
      </c>
    </row>
    <row r="166">
      <c r="A166" s="43" t="inlineStr">
        <is>
          <t>YoY</t>
        </is>
      </c>
      <c r="B166" s="3" t="inlineStr">
        <is>
          <t>전년 같은 분기·전년 대비</t>
        </is>
      </c>
      <c r="G166" s="15">
        <f>IF(OR(G165="",C165=""),"",IF(C165&lt;=0,"",IFERROR(G165/C165-1,"")))</f>
        <v/>
      </c>
      <c r="H166" s="15">
        <f>IF(OR(H165="",D165=""),"",IF(D165&lt;=0,"",IFERROR(H165/D165-1,"")))</f>
        <v/>
      </c>
      <c r="I166" s="15">
        <f>IF(OR(I165="",E165=""),"",IF(E165&lt;=0,"",IFERROR(I165/E165-1,"")))</f>
        <v/>
      </c>
      <c r="J166" s="15">
        <f>IF(OR(J165="",F165=""),"",IF(F165&lt;=0,"",IFERROR(J165/F165-1,"")))</f>
        <v/>
      </c>
      <c r="K166" s="15">
        <f>IF(OR(K165="",G165=""),"",IF(G165&lt;=0,"",IFERROR(K165/G165-1,"")))</f>
        <v/>
      </c>
      <c r="L166" s="15">
        <f>IF(OR(L165="",H165=""),"",IF(H165&lt;=0,"",IFERROR(L165/H165-1,"")))</f>
        <v/>
      </c>
      <c r="M166" s="15">
        <f>IF(OR(M165="",I165=""),"",IF(I165&lt;=0,"",IFERROR(M165/I165-1,"")))</f>
        <v/>
      </c>
      <c r="N166" s="15">
        <f>IF(OR(N165="",J165=""),"",IF(J165&lt;=0,"",IFERROR(N165/J165-1,"")))</f>
        <v/>
      </c>
      <c r="V166" s="15">
        <f>IF(OR(V165="",U165=""),"",IF(U165&lt;=0,"",IFERROR(V165/U165-1,"")))</f>
        <v/>
      </c>
      <c r="W166" s="15">
        <f>IF(OR(W165="",V165=""),"",IF(V165&lt;=0,"",IFERROR(W165/V165-1,"")))</f>
        <v/>
      </c>
      <c r="X166" s="15">
        <f>IF(OR(X165="",W165=""),"",IF(W165&lt;=0,"",IFERROR(X165/W165-1,"")))</f>
        <v/>
      </c>
    </row>
    <row r="167">
      <c r="A167" s="18" t="inlineStr">
        <is>
          <t>OtherReportableSegmentsMember · 계</t>
        </is>
      </c>
      <c r="C167" s="20" t="n">
        <v>4060</v>
      </c>
      <c r="D167" s="20" t="n">
        <v>4239</v>
      </c>
      <c r="E167" s="20" t="n">
        <v>4623</v>
      </c>
      <c r="F167" s="20" t="n">
        <v>3828</v>
      </c>
      <c r="G167" s="20" t="n">
        <v>3890</v>
      </c>
      <c r="H167" s="20" t="n">
        <v>3754</v>
      </c>
      <c r="I167" s="20" t="n">
        <v>4554</v>
      </c>
      <c r="J167" s="20" t="n">
        <v>3944</v>
      </c>
      <c r="K167" s="20" t="n">
        <v>4276</v>
      </c>
      <c r="L167" s="20" t="n">
        <v>3887</v>
      </c>
      <c r="M167" s="20" t="n">
        <v>5380</v>
      </c>
      <c r="N167" s="20" t="n">
        <v>2677</v>
      </c>
      <c r="V167" s="20" t="n">
        <v>4623</v>
      </c>
      <c r="W167" s="20" t="n">
        <v>4554</v>
      </c>
      <c r="X167" s="20" t="n">
        <v>5380</v>
      </c>
    </row>
    <row r="168">
      <c r="A168" s="43" t="inlineStr">
        <is>
          <t>YoY</t>
        </is>
      </c>
      <c r="B168" s="3" t="inlineStr">
        <is>
          <t>전년 같은 분기·전년 대비</t>
        </is>
      </c>
      <c r="G168" s="15">
        <f>IF(OR(G167="",C167=""),"",IF(C167&lt;=0,"",IFERROR(G167/C167-1,"")))</f>
        <v/>
      </c>
      <c r="H168" s="15">
        <f>IF(OR(H167="",D167=""),"",IF(D167&lt;=0,"",IFERROR(H167/D167-1,"")))</f>
        <v/>
      </c>
      <c r="I168" s="15">
        <f>IF(OR(I167="",E167=""),"",IF(E167&lt;=0,"",IFERROR(I167/E167-1,"")))</f>
        <v/>
      </c>
      <c r="J168" s="15">
        <f>IF(OR(J167="",F167=""),"",IF(F167&lt;=0,"",IFERROR(J167/F167-1,"")))</f>
        <v/>
      </c>
      <c r="K168" s="15">
        <f>IF(OR(K167="",G167=""),"",IF(G167&lt;=0,"",IFERROR(K167/G167-1,"")))</f>
        <v/>
      </c>
      <c r="L168" s="15">
        <f>IF(OR(L167="",H167=""),"",IF(H167&lt;=0,"",IFERROR(L167/H167-1,"")))</f>
        <v/>
      </c>
      <c r="M168" s="15">
        <f>IF(OR(M167="",I167=""),"",IF(I167&lt;=0,"",IFERROR(M167/I167-1,"")))</f>
        <v/>
      </c>
      <c r="N168" s="15">
        <f>IF(OR(N167="",J167=""),"",IF(J167&lt;=0,"",IFERROR(N167/J167-1,"")))</f>
        <v/>
      </c>
      <c r="V168" s="15">
        <f>IF(OR(V167="",U167=""),"",IF(U167&lt;=0,"",IFERROR(V167/U167-1,"")))</f>
        <v/>
      </c>
      <c r="W168" s="15">
        <f>IF(OR(W167="",V167=""),"",IF(V167&lt;=0,"",IFERROR(W167/V167-1,"")))</f>
        <v/>
      </c>
      <c r="X168" s="15">
        <f>IF(OR(X167="",W167=""),"",IF(W167&lt;=0,"",IFERROR(X167/W167-1,"")))</f>
        <v/>
      </c>
    </row>
    <row r="169">
      <c r="A169" s="18" t="inlineStr">
        <is>
          <t>보고부문 합계 · 계</t>
        </is>
      </c>
      <c r="C169" s="20" t="n">
        <v>89891</v>
      </c>
      <c r="D169" s="20" t="n">
        <v>91983</v>
      </c>
      <c r="E169" s="20" t="n">
        <v>82663</v>
      </c>
      <c r="F169" s="20" t="n">
        <v>85092</v>
      </c>
      <c r="G169" s="20" t="n">
        <v>86535</v>
      </c>
      <c r="H169" s="20" t="n">
        <v>90343</v>
      </c>
      <c r="I169" s="20" t="n">
        <v>91642</v>
      </c>
      <c r="J169" s="20" t="n">
        <v>88545</v>
      </c>
      <c r="K169" s="20" t="n">
        <v>88419</v>
      </c>
      <c r="L169" s="20" t="n">
        <v>90027</v>
      </c>
      <c r="M169" s="20" t="n">
        <v>92698</v>
      </c>
      <c r="N169" s="20" t="n">
        <v>94608</v>
      </c>
      <c r="V169" s="20" t="n">
        <v>82663</v>
      </c>
      <c r="W169" s="20" t="n">
        <v>91642</v>
      </c>
      <c r="X169" s="20" t="n">
        <v>92698</v>
      </c>
    </row>
    <row r="170">
      <c r="A170" s="43" t="inlineStr">
        <is>
          <t>YoY</t>
        </is>
      </c>
      <c r="B170" s="3" t="inlineStr">
        <is>
          <t>전년 같은 분기·전년 대비</t>
        </is>
      </c>
      <c r="G170" s="15">
        <f>IF(OR(G169="",C169=""),"",IF(C169&lt;=0,"",IFERROR(G169/C169-1,"")))</f>
        <v/>
      </c>
      <c r="H170" s="15">
        <f>IF(OR(H169="",D169=""),"",IF(D169&lt;=0,"",IFERROR(H169/D169-1,"")))</f>
        <v/>
      </c>
      <c r="I170" s="15">
        <f>IF(OR(I169="",E169=""),"",IF(E169&lt;=0,"",IFERROR(I169/E169-1,"")))</f>
        <v/>
      </c>
      <c r="J170" s="15">
        <f>IF(OR(J169="",F169=""),"",IF(F169&lt;=0,"",IFERROR(J169/F169-1,"")))</f>
        <v/>
      </c>
      <c r="K170" s="15">
        <f>IF(OR(K169="",G169=""),"",IF(G169&lt;=0,"",IFERROR(K169/G169-1,"")))</f>
        <v/>
      </c>
      <c r="L170" s="15">
        <f>IF(OR(L169="",H169=""),"",IF(H169&lt;=0,"",IFERROR(L169/H169-1,"")))</f>
        <v/>
      </c>
      <c r="M170" s="15">
        <f>IF(OR(M169="",I169=""),"",IF(I169&lt;=0,"",IFERROR(M169/I169-1,"")))</f>
        <v/>
      </c>
      <c r="N170" s="15">
        <f>IF(OR(N169="",J169=""),"",IF(J169&lt;=0,"",IFERROR(N169/J169-1,"")))</f>
        <v/>
      </c>
      <c r="V170" s="15">
        <f>IF(OR(V169="",U169=""),"",IF(U169&lt;=0,"",IFERROR(V169/U169-1,"")))</f>
        <v/>
      </c>
      <c r="W170" s="15">
        <f>IF(OR(W169="",V169=""),"",IF(V169&lt;=0,"",IFERROR(W169/V169-1,"")))</f>
        <v/>
      </c>
      <c r="X170" s="15">
        <f>IF(OR(X169="",W169=""),"",IF(W169&lt;=0,"",IFERROR(X169/W169-1,"")))</f>
        <v/>
      </c>
    </row>
    <row r="171">
      <c r="A171" s="18" t="inlineStr">
        <is>
          <t>조정액 · 계</t>
        </is>
      </c>
      <c r="C171" s="20" t="n">
        <v>-14390</v>
      </c>
      <c r="D171" s="20" t="n">
        <v>-14329</v>
      </c>
      <c r="E171" s="20" t="n">
        <v>-13115</v>
      </c>
      <c r="F171" s="20" t="n">
        <v>-13159</v>
      </c>
      <c r="G171" s="20" t="n">
        <v>-13504</v>
      </c>
      <c r="H171" s="20" t="n">
        <v>-13435</v>
      </c>
      <c r="I171" s="20" t="n">
        <v>-14226</v>
      </c>
      <c r="J171" s="20" t="n">
        <v>-13458</v>
      </c>
      <c r="K171" s="20" t="n">
        <v>-13697</v>
      </c>
      <c r="L171" s="20" t="n">
        <v>-13142</v>
      </c>
      <c r="M171" s="20" t="n">
        <v>-15051</v>
      </c>
      <c r="N171" s="20" t="n">
        <v>-13005</v>
      </c>
      <c r="V171" s="20" t="n">
        <v>-13115</v>
      </c>
      <c r="W171" s="20" t="n">
        <v>-14226</v>
      </c>
      <c r="X171" s="20" t="n">
        <v>-15051</v>
      </c>
    </row>
    <row r="172">
      <c r="A172" s="9" t="inlineStr">
        <is>
          <t>계</t>
        </is>
      </c>
      <c r="C172" s="12" t="n">
        <v>75501</v>
      </c>
      <c r="D172" s="12" t="n">
        <v>77654</v>
      </c>
      <c r="E172" s="12" t="n">
        <v>69548</v>
      </c>
      <c r="F172" s="12" t="n">
        <v>71933</v>
      </c>
      <c r="G172" s="12" t="n">
        <v>73030</v>
      </c>
      <c r="H172" s="12" t="n">
        <v>76909</v>
      </c>
      <c r="I172" s="12" t="n">
        <v>77415</v>
      </c>
      <c r="V172" s="12" t="n">
        <v>69548</v>
      </c>
      <c r="W172" s="12" t="n">
        <v>77415</v>
      </c>
    </row>
    <row r="173">
      <c r="A173" s="43" t="inlineStr">
        <is>
          <t>YoY</t>
        </is>
      </c>
      <c r="B173" s="3" t="inlineStr">
        <is>
          <t>전년 같은 분기·전년 대비</t>
        </is>
      </c>
      <c r="G173" s="15">
        <f>IF(OR(G172="",C172=""),"",IF(C172&lt;=0,"",IFERROR(G172/C172-1,"")))</f>
        <v/>
      </c>
      <c r="H173" s="15">
        <f>IF(OR(H172="",D172=""),"",IF(D172&lt;=0,"",IFERROR(H172/D172-1,"")))</f>
        <v/>
      </c>
      <c r="I173" s="15">
        <f>IF(OR(I172="",E172=""),"",IF(E172&lt;=0,"",IFERROR(I172/E172-1,"")))</f>
        <v/>
      </c>
      <c r="V173" s="15">
        <f>IF(OR(V172="",U172=""),"",IF(U172&lt;=0,"",IFERROR(V172/U172-1,"")))</f>
        <v/>
      </c>
      <c r="W173" s="15">
        <f>IF(OR(W172="",V172=""),"",IF(V172&lt;=0,"",IFERROR(W172/V172-1,"")))</f>
        <v/>
      </c>
    </row>
    <row r="174">
      <c r="A174" s="18" t="inlineStr">
        <is>
          <t>EntityTotalMember · 계</t>
        </is>
      </c>
      <c r="F174" s="20" t="n">
        <v>71933</v>
      </c>
      <c r="J174" s="20" t="n">
        <v>75086</v>
      </c>
      <c r="N174" s="20" t="n">
        <v>81603</v>
      </c>
    </row>
    <row r="175">
      <c r="A175" s="18" t="inlineStr">
        <is>
          <t>HaganeCompanyReportableSegmentMember · 부문 이익</t>
        </is>
      </c>
      <c r="C175" s="20" t="n">
        <v>1071</v>
      </c>
      <c r="D175" s="20" t="n">
        <v>1443</v>
      </c>
      <c r="E175" s="20" t="n">
        <v>-65</v>
      </c>
      <c r="F175" s="20" t="n">
        <v>-418</v>
      </c>
      <c r="G175" s="20" t="n">
        <v>859</v>
      </c>
      <c r="H175" s="20" t="n">
        <v>2638</v>
      </c>
      <c r="I175" s="20" t="n">
        <v>2273</v>
      </c>
      <c r="J175" s="20" t="n">
        <v>1746</v>
      </c>
      <c r="K175" s="20" t="n">
        <v>2086</v>
      </c>
      <c r="L175" s="20" t="n">
        <v>2879</v>
      </c>
      <c r="M175" s="20" t="n">
        <v>1449</v>
      </c>
      <c r="N175" s="20" t="n">
        <v>941</v>
      </c>
      <c r="V175" s="20" t="n">
        <v>-65</v>
      </c>
      <c r="W175" s="20" t="n">
        <v>2273</v>
      </c>
      <c r="X175" s="20" t="n">
        <v>1449</v>
      </c>
    </row>
    <row r="176">
      <c r="A176" s="43" t="inlineStr">
        <is>
          <t>OPM</t>
        </is>
      </c>
      <c r="B176" s="3" t="inlineStr">
        <is>
          <t>영업이익 ÷ 매출</t>
        </is>
      </c>
      <c r="C176" s="15">
        <f>IF(OR(C175="",C159=""),"",IF(C159&lt;=0,"",IFERROR(C175/C159,"")))</f>
        <v/>
      </c>
      <c r="D176" s="15">
        <f>IF(OR(D175="",D159=""),"",IF(D159&lt;=0,"",IFERROR(D175/D159,"")))</f>
        <v/>
      </c>
      <c r="E176" s="15">
        <f>IF(OR(E175="",E159=""),"",IF(E159&lt;=0,"",IFERROR(E175/E159,"")))</f>
        <v/>
      </c>
      <c r="F176" s="15">
        <f>IF(OR(F175="",F159=""),"",IF(F159&lt;=0,"",IFERROR(F175/F159,"")))</f>
        <v/>
      </c>
      <c r="G176" s="15">
        <f>IF(OR(G175="",G159=""),"",IF(G159&lt;=0,"",IFERROR(G175/G159,"")))</f>
        <v/>
      </c>
      <c r="H176" s="15">
        <f>IF(OR(H175="",H159=""),"",IF(H159&lt;=0,"",IFERROR(H175/H159,"")))</f>
        <v/>
      </c>
      <c r="I176" s="15">
        <f>IF(OR(I175="",I159=""),"",IF(I159&lt;=0,"",IFERROR(I175/I159,"")))</f>
        <v/>
      </c>
      <c r="J176" s="15">
        <f>IF(OR(J175="",J159=""),"",IF(J159&lt;=0,"",IFERROR(J175/J159,"")))</f>
        <v/>
      </c>
      <c r="K176" s="15">
        <f>IF(OR(K175="",K159=""),"",IF(K159&lt;=0,"",IFERROR(K175/K159,"")))</f>
        <v/>
      </c>
      <c r="L176" s="15">
        <f>IF(OR(L175="",L159=""),"",IF(L159&lt;=0,"",IFERROR(L175/L159,"")))</f>
        <v/>
      </c>
      <c r="M176" s="15">
        <f>IF(OR(M175="",M159=""),"",IF(M159&lt;=0,"",IFERROR(M175/M159,"")))</f>
        <v/>
      </c>
      <c r="N176" s="15">
        <f>IF(OR(N175="",N159=""),"",IF(N159&lt;=0,"",IFERROR(N175/N159,"")))</f>
        <v/>
      </c>
      <c r="V176" s="15">
        <f>IF(OR(V175="",V159=""),"",IF(V159&lt;=0,"",IFERROR(V175/V159,"")))</f>
        <v/>
      </c>
      <c r="W176" s="15">
        <f>IF(OR(W175="",W159=""),"",IF(W159&lt;=0,"",IFERROR(W175/W159,"")))</f>
        <v/>
      </c>
      <c r="X176" s="15">
        <f>IF(OR(X175="",X159=""),"",IF(X159&lt;=0,"",IFERROR(X175/X159,"")))</f>
        <v/>
      </c>
    </row>
    <row r="177">
      <c r="A177" s="43" t="inlineStr">
        <is>
          <t>YoY</t>
        </is>
      </c>
      <c r="B177" s="3" t="inlineStr">
        <is>
          <t>전년 같은 분기·전년 대비</t>
        </is>
      </c>
      <c r="G177" s="15">
        <f>IF(OR(G175="",C175=""),"",IF(C175&lt;=0,"",IFERROR(G175/C175-1,"")))</f>
        <v/>
      </c>
      <c r="H177" s="15">
        <f>IF(OR(H175="",D175=""),"",IF(D175&lt;=0,"",IFERROR(H175/D175-1,"")))</f>
        <v/>
      </c>
      <c r="I177" s="15">
        <f>IF(OR(I175="",E175=""),"",IF(E175&lt;=0,"",IFERROR(I175/E175-1,"")))</f>
        <v/>
      </c>
      <c r="J177" s="15">
        <f>IF(OR(J175="",F175=""),"",IF(F175&lt;=0,"",IFERROR(J175/F175-1,"")))</f>
        <v/>
      </c>
      <c r="K177" s="15">
        <f>IF(OR(K175="",G175=""),"",IF(G175&lt;=0,"",IFERROR(K175/G175-1,"")))</f>
        <v/>
      </c>
      <c r="L177" s="15">
        <f>IF(OR(L175="",H175=""),"",IF(H175&lt;=0,"",IFERROR(L175/H175-1,"")))</f>
        <v/>
      </c>
      <c r="M177" s="15">
        <f>IF(OR(M175="",I175=""),"",IF(I175&lt;=0,"",IFERROR(M175/I175-1,"")))</f>
        <v/>
      </c>
      <c r="N177" s="15">
        <f>IF(OR(N175="",J175=""),"",IF(J175&lt;=0,"",IFERROR(N175/J175-1,"")))</f>
        <v/>
      </c>
      <c r="V177" s="15">
        <f>IF(OR(V175="",U175=""),"",IF(U175&lt;=0,"",IFERROR(V175/U175-1,"")))</f>
        <v/>
      </c>
      <c r="W177" s="15">
        <f>IF(OR(W175="",V175=""),"",IF(V175&lt;=0,"",IFERROR(W175/V175-1,"")))</f>
        <v/>
      </c>
      <c r="X177" s="15">
        <f>IF(OR(X175="",W175=""),"",IF(W175&lt;=0,"",IFERROR(X175/W175-1,"")))</f>
        <v/>
      </c>
    </row>
    <row r="178">
      <c r="A178" s="18" t="inlineStr">
        <is>
          <t>StainlessCompanyReportableSegmentMember · 부문 이익</t>
        </is>
      </c>
      <c r="C178" s="20" t="n">
        <v>850</v>
      </c>
      <c r="D178" s="20" t="n">
        <v>937</v>
      </c>
      <c r="E178" s="20" t="n">
        <v>1027</v>
      </c>
      <c r="F178" s="20" t="n">
        <v>783</v>
      </c>
      <c r="G178" s="20" t="n">
        <v>657</v>
      </c>
      <c r="H178" s="20" t="n">
        <v>558</v>
      </c>
      <c r="I178" s="20" t="n">
        <v>336</v>
      </c>
      <c r="J178" s="20" t="n">
        <v>152</v>
      </c>
      <c r="K178" s="20" t="n">
        <v>264</v>
      </c>
      <c r="L178" s="20" t="n">
        <v>89</v>
      </c>
      <c r="M178" s="20" t="n">
        <v>-105</v>
      </c>
      <c r="N178" s="20" t="n">
        <v>384</v>
      </c>
      <c r="V178" s="20" t="n">
        <v>1027</v>
      </c>
      <c r="W178" s="20" t="n">
        <v>336</v>
      </c>
      <c r="X178" s="20" t="n">
        <v>-105</v>
      </c>
    </row>
    <row r="179">
      <c r="A179" s="43" t="inlineStr">
        <is>
          <t>OPM</t>
        </is>
      </c>
      <c r="B179" s="3" t="inlineStr">
        <is>
          <t>영업이익 ÷ 매출</t>
        </is>
      </c>
      <c r="C179" s="15">
        <f>IF(OR(C178="",C161=""),"",IF(C161&lt;=0,"",IFERROR(C178/C161,"")))</f>
        <v/>
      </c>
      <c r="D179" s="15">
        <f>IF(OR(D178="",D161=""),"",IF(D161&lt;=0,"",IFERROR(D178/D161,"")))</f>
        <v/>
      </c>
      <c r="E179" s="15">
        <f>IF(OR(E178="",E161=""),"",IF(E161&lt;=0,"",IFERROR(E178/E161,"")))</f>
        <v/>
      </c>
      <c r="F179" s="15">
        <f>IF(OR(F178="",F161=""),"",IF(F161&lt;=0,"",IFERROR(F178/F161,"")))</f>
        <v/>
      </c>
      <c r="G179" s="15">
        <f>IF(OR(G178="",G161=""),"",IF(G161&lt;=0,"",IFERROR(G178/G161,"")))</f>
        <v/>
      </c>
      <c r="H179" s="15">
        <f>IF(OR(H178="",H161=""),"",IF(H161&lt;=0,"",IFERROR(H178/H161,"")))</f>
        <v/>
      </c>
      <c r="I179" s="15">
        <f>IF(OR(I178="",I161=""),"",IF(I161&lt;=0,"",IFERROR(I178/I161,"")))</f>
        <v/>
      </c>
      <c r="J179" s="15">
        <f>IF(OR(J178="",J161=""),"",IF(J161&lt;=0,"",IFERROR(J178/J161,"")))</f>
        <v/>
      </c>
      <c r="K179" s="15">
        <f>IF(OR(K178="",K161=""),"",IF(K161&lt;=0,"",IFERROR(K178/K161,"")))</f>
        <v/>
      </c>
      <c r="L179" s="15">
        <f>IF(OR(L178="",L161=""),"",IF(L161&lt;=0,"",IFERROR(L178/L161,"")))</f>
        <v/>
      </c>
      <c r="M179" s="15">
        <f>IF(OR(M178="",M161=""),"",IF(M161&lt;=0,"",IFERROR(M178/M161,"")))</f>
        <v/>
      </c>
      <c r="N179" s="15">
        <f>IF(OR(N178="",N161=""),"",IF(N161&lt;=0,"",IFERROR(N178/N161,"")))</f>
        <v/>
      </c>
      <c r="V179" s="15">
        <f>IF(OR(V178="",V161=""),"",IF(V161&lt;=0,"",IFERROR(V178/V161,"")))</f>
        <v/>
      </c>
      <c r="W179" s="15">
        <f>IF(OR(W178="",W161=""),"",IF(W161&lt;=0,"",IFERROR(W178/W161,"")))</f>
        <v/>
      </c>
      <c r="X179" s="15">
        <f>IF(OR(X178="",X161=""),"",IF(X161&lt;=0,"",IFERROR(X178/X161,"")))</f>
        <v/>
      </c>
    </row>
    <row r="180">
      <c r="A180" s="43" t="inlineStr">
        <is>
          <t>YoY</t>
        </is>
      </c>
      <c r="B180" s="3" t="inlineStr">
        <is>
          <t>전년 같은 분기·전년 대비</t>
        </is>
      </c>
      <c r="G180" s="15">
        <f>IF(OR(G178="",C178=""),"",IF(C178&lt;=0,"",IFERROR(G178/C178-1,"")))</f>
        <v/>
      </c>
      <c r="H180" s="15">
        <f>IF(OR(H178="",D178=""),"",IF(D178&lt;=0,"",IFERROR(H178/D178-1,"")))</f>
        <v/>
      </c>
      <c r="I180" s="15">
        <f>IF(OR(I178="",E178=""),"",IF(E178&lt;=0,"",IFERROR(I178/E178-1,"")))</f>
        <v/>
      </c>
      <c r="J180" s="15">
        <f>IF(OR(J178="",F178=""),"",IF(F178&lt;=0,"",IFERROR(J178/F178-1,"")))</f>
        <v/>
      </c>
      <c r="K180" s="15">
        <f>IF(OR(K178="",G178=""),"",IF(G178&lt;=0,"",IFERROR(K178/G178-1,"")))</f>
        <v/>
      </c>
      <c r="L180" s="15">
        <f>IF(OR(L178="",H178=""),"",IF(H178&lt;=0,"",IFERROR(L178/H178-1,"")))</f>
        <v/>
      </c>
      <c r="M180" s="15">
        <f>IF(OR(M178="",I178=""),"",IF(I178&lt;=0,"",IFERROR(M178/I178-1,"")))</f>
        <v/>
      </c>
      <c r="N180" s="15">
        <f>IF(OR(N178="",J178=""),"",IF(J178&lt;=0,"",IFERROR(N178/J178-1,"")))</f>
        <v/>
      </c>
      <c r="V180" s="15">
        <f>IF(OR(V178="",U178=""),"",IF(U178&lt;=0,"",IFERROR(V178/U178-1,"")))</f>
        <v/>
      </c>
      <c r="W180" s="15">
        <f>IF(OR(W178="",V178=""),"",IF(V178&lt;=0,"",IFERROR(W178/V178-1,"")))</f>
        <v/>
      </c>
      <c r="X180" s="15">
        <f>IF(OR(X178="",W178=""),"",IF(W178&lt;=0,"",IFERROR(X178/W178-1,"")))</f>
        <v/>
      </c>
    </row>
    <row r="181">
      <c r="A181" s="18" t="inlineStr">
        <is>
          <t>KitaeruCompanyReportableSegmentMember · 부문 이익</t>
        </is>
      </c>
      <c r="C181" s="20" t="n">
        <v>-670</v>
      </c>
      <c r="D181" s="20" t="n">
        <v>1451</v>
      </c>
      <c r="E181" s="20" t="n">
        <v>-9</v>
      </c>
      <c r="F181" s="20" t="n">
        <v>788</v>
      </c>
      <c r="G181" s="20" t="n">
        <v>260</v>
      </c>
      <c r="H181" s="20" t="n">
        <v>452</v>
      </c>
      <c r="I181" s="20" t="n">
        <v>965</v>
      </c>
      <c r="J181" s="20" t="n">
        <v>2091</v>
      </c>
      <c r="K181" s="20" t="n">
        <v>1176</v>
      </c>
      <c r="L181" s="20" t="n">
        <v>2091</v>
      </c>
      <c r="M181" s="20" t="n">
        <v>1288</v>
      </c>
      <c r="N181" s="20" t="n">
        <v>2424</v>
      </c>
      <c r="V181" s="20" t="n">
        <v>-9</v>
      </c>
      <c r="W181" s="20" t="n">
        <v>965</v>
      </c>
      <c r="X181" s="20" t="n">
        <v>1288</v>
      </c>
    </row>
    <row r="182">
      <c r="A182" s="43" t="inlineStr">
        <is>
          <t>OPM</t>
        </is>
      </c>
      <c r="B182" s="3" t="inlineStr">
        <is>
          <t>영업이익 ÷ 매출</t>
        </is>
      </c>
      <c r="C182" s="15">
        <f>IF(OR(C181="",C163=""),"",IF(C163&lt;=0,"",IFERROR(C181/C163,"")))</f>
        <v/>
      </c>
      <c r="D182" s="15">
        <f>IF(OR(D181="",D163=""),"",IF(D163&lt;=0,"",IFERROR(D181/D163,"")))</f>
        <v/>
      </c>
      <c r="E182" s="15">
        <f>IF(OR(E181="",E163=""),"",IF(E163&lt;=0,"",IFERROR(E181/E163,"")))</f>
        <v/>
      </c>
      <c r="F182" s="15">
        <f>IF(OR(F181="",F163=""),"",IF(F163&lt;=0,"",IFERROR(F181/F163,"")))</f>
        <v/>
      </c>
      <c r="G182" s="15">
        <f>IF(OR(G181="",G163=""),"",IF(G163&lt;=0,"",IFERROR(G181/G163,"")))</f>
        <v/>
      </c>
      <c r="H182" s="15">
        <f>IF(OR(H181="",H163=""),"",IF(H163&lt;=0,"",IFERROR(H181/H163,"")))</f>
        <v/>
      </c>
      <c r="I182" s="15">
        <f>IF(OR(I181="",I163=""),"",IF(I163&lt;=0,"",IFERROR(I181/I163,"")))</f>
        <v/>
      </c>
      <c r="J182" s="15">
        <f>IF(OR(J181="",J163=""),"",IF(J163&lt;=0,"",IFERROR(J181/J163,"")))</f>
        <v/>
      </c>
      <c r="K182" s="15">
        <f>IF(OR(K181="",K163=""),"",IF(K163&lt;=0,"",IFERROR(K181/K163,"")))</f>
        <v/>
      </c>
      <c r="L182" s="15">
        <f>IF(OR(L181="",L163=""),"",IF(L163&lt;=0,"",IFERROR(L181/L163,"")))</f>
        <v/>
      </c>
      <c r="M182" s="15">
        <f>IF(OR(M181="",M163=""),"",IF(M163&lt;=0,"",IFERROR(M181/M163,"")))</f>
        <v/>
      </c>
      <c r="N182" s="15">
        <f>IF(OR(N181="",N163=""),"",IF(N163&lt;=0,"",IFERROR(N181/N163,"")))</f>
        <v/>
      </c>
      <c r="V182" s="15">
        <f>IF(OR(V181="",V163=""),"",IF(V163&lt;=0,"",IFERROR(V181/V163,"")))</f>
        <v/>
      </c>
      <c r="W182" s="15">
        <f>IF(OR(W181="",W163=""),"",IF(W163&lt;=0,"",IFERROR(W181/W163,"")))</f>
        <v/>
      </c>
      <c r="X182" s="15">
        <f>IF(OR(X181="",X163=""),"",IF(X163&lt;=0,"",IFERROR(X181/X163,"")))</f>
        <v/>
      </c>
    </row>
    <row r="183">
      <c r="A183" s="43" t="inlineStr">
        <is>
          <t>YoY</t>
        </is>
      </c>
      <c r="B183" s="3" t="inlineStr">
        <is>
          <t>전년 같은 분기·전년 대비</t>
        </is>
      </c>
      <c r="G183" s="15">
        <f>IF(OR(G181="",C181=""),"",IF(C181&lt;=0,"",IFERROR(G181/C181-1,"")))</f>
        <v/>
      </c>
      <c r="H183" s="15">
        <f>IF(OR(H181="",D181=""),"",IF(D181&lt;=0,"",IFERROR(H181/D181-1,"")))</f>
        <v/>
      </c>
      <c r="I183" s="15">
        <f>IF(OR(I181="",E181=""),"",IF(E181&lt;=0,"",IFERROR(I181/E181-1,"")))</f>
        <v/>
      </c>
      <c r="J183" s="15">
        <f>IF(OR(J181="",F181=""),"",IF(F181&lt;=0,"",IFERROR(J181/F181-1,"")))</f>
        <v/>
      </c>
      <c r="K183" s="15">
        <f>IF(OR(K181="",G181=""),"",IF(G181&lt;=0,"",IFERROR(K181/G181-1,"")))</f>
        <v/>
      </c>
      <c r="L183" s="15">
        <f>IF(OR(L181="",H181=""),"",IF(H181&lt;=0,"",IFERROR(L181/H181-1,"")))</f>
        <v/>
      </c>
      <c r="M183" s="15">
        <f>IF(OR(M181="",I181=""),"",IF(I181&lt;=0,"",IFERROR(M181/I181-1,"")))</f>
        <v/>
      </c>
      <c r="N183" s="15">
        <f>IF(OR(N181="",J181=""),"",IF(J181&lt;=0,"",IFERROR(N181/J181-1,"")))</f>
        <v/>
      </c>
      <c r="V183" s="15">
        <f>IF(OR(V181="",U181=""),"",IF(U181&lt;=0,"",IFERROR(V181/U181-1,"")))</f>
        <v/>
      </c>
      <c r="W183" s="15">
        <f>IF(OR(W181="",V181=""),"",IF(V181&lt;=0,"",IFERROR(W181/V181-1,"")))</f>
        <v/>
      </c>
      <c r="X183" s="15">
        <f>IF(OR(X181="",W181=""),"",IF(W181&lt;=0,"",IFERROR(X181/W181-1,"")))</f>
        <v/>
      </c>
    </row>
    <row r="184">
      <c r="A184" s="18" t="inlineStr">
        <is>
          <t>SmartCompanyReportableSegmentMember · 부문 이익</t>
        </is>
      </c>
      <c r="C184" s="20" t="n">
        <v>194</v>
      </c>
      <c r="D184" s="20" t="n">
        <v>431</v>
      </c>
      <c r="E184" s="20" t="n">
        <v>-23</v>
      </c>
      <c r="F184" s="20" t="n">
        <v>47</v>
      </c>
      <c r="G184" s="20" t="n">
        <v>-153</v>
      </c>
      <c r="H184" s="20" t="n">
        <v>538</v>
      </c>
      <c r="I184" s="20" t="n">
        <v>399</v>
      </c>
      <c r="J184" s="20" t="n">
        <v>408</v>
      </c>
      <c r="K184" s="20" t="n">
        <v>576</v>
      </c>
      <c r="L184" s="20" t="n">
        <v>552</v>
      </c>
      <c r="M184" s="20" t="n">
        <v>-161</v>
      </c>
      <c r="N184" s="20" t="n">
        <v>589</v>
      </c>
      <c r="V184" s="20" t="n">
        <v>-23</v>
      </c>
      <c r="W184" s="20" t="n">
        <v>399</v>
      </c>
      <c r="X184" s="20" t="n">
        <v>-161</v>
      </c>
    </row>
    <row r="185">
      <c r="A185" s="43" t="inlineStr">
        <is>
          <t>OPM</t>
        </is>
      </c>
      <c r="B185" s="3" t="inlineStr">
        <is>
          <t>영업이익 ÷ 매출</t>
        </is>
      </c>
      <c r="C185" s="15">
        <f>IF(OR(C184="",C165=""),"",IF(C165&lt;=0,"",IFERROR(C184/C165,"")))</f>
        <v/>
      </c>
      <c r="D185" s="15">
        <f>IF(OR(D184="",D165=""),"",IF(D165&lt;=0,"",IFERROR(D184/D165,"")))</f>
        <v/>
      </c>
      <c r="E185" s="15">
        <f>IF(OR(E184="",E165=""),"",IF(E165&lt;=0,"",IFERROR(E184/E165,"")))</f>
        <v/>
      </c>
      <c r="F185" s="15">
        <f>IF(OR(F184="",F165=""),"",IF(F165&lt;=0,"",IFERROR(F184/F165,"")))</f>
        <v/>
      </c>
      <c r="G185" s="15">
        <f>IF(OR(G184="",G165=""),"",IF(G165&lt;=0,"",IFERROR(G184/G165,"")))</f>
        <v/>
      </c>
      <c r="H185" s="15">
        <f>IF(OR(H184="",H165=""),"",IF(H165&lt;=0,"",IFERROR(H184/H165,"")))</f>
        <v/>
      </c>
      <c r="I185" s="15">
        <f>IF(OR(I184="",I165=""),"",IF(I165&lt;=0,"",IFERROR(I184/I165,"")))</f>
        <v/>
      </c>
      <c r="J185" s="15">
        <f>IF(OR(J184="",J165=""),"",IF(J165&lt;=0,"",IFERROR(J184/J165,"")))</f>
        <v/>
      </c>
      <c r="K185" s="15">
        <f>IF(OR(K184="",K165=""),"",IF(K165&lt;=0,"",IFERROR(K184/K165,"")))</f>
        <v/>
      </c>
      <c r="L185" s="15">
        <f>IF(OR(L184="",L165=""),"",IF(L165&lt;=0,"",IFERROR(L184/L165,"")))</f>
        <v/>
      </c>
      <c r="M185" s="15">
        <f>IF(OR(M184="",M165=""),"",IF(M165&lt;=0,"",IFERROR(M184/M165,"")))</f>
        <v/>
      </c>
      <c r="N185" s="15">
        <f>IF(OR(N184="",N165=""),"",IF(N165&lt;=0,"",IFERROR(N184/N165,"")))</f>
        <v/>
      </c>
      <c r="V185" s="15">
        <f>IF(OR(V184="",V165=""),"",IF(V165&lt;=0,"",IFERROR(V184/V165,"")))</f>
        <v/>
      </c>
      <c r="W185" s="15">
        <f>IF(OR(W184="",W165=""),"",IF(W165&lt;=0,"",IFERROR(W184/W165,"")))</f>
        <v/>
      </c>
      <c r="X185" s="15">
        <f>IF(OR(X184="",X165=""),"",IF(X165&lt;=0,"",IFERROR(X184/X165,"")))</f>
        <v/>
      </c>
    </row>
    <row r="186">
      <c r="A186" s="43" t="inlineStr">
        <is>
          <t>YoY</t>
        </is>
      </c>
      <c r="B186" s="3" t="inlineStr">
        <is>
          <t>전년 같은 분기·전년 대비</t>
        </is>
      </c>
      <c r="G186" s="15">
        <f>IF(OR(G184="",C184=""),"",IF(C184&lt;=0,"",IFERROR(G184/C184-1,"")))</f>
        <v/>
      </c>
      <c r="H186" s="15">
        <f>IF(OR(H184="",D184=""),"",IF(D184&lt;=0,"",IFERROR(H184/D184-1,"")))</f>
        <v/>
      </c>
      <c r="I186" s="15">
        <f>IF(OR(I184="",E184=""),"",IF(E184&lt;=0,"",IFERROR(I184/E184-1,"")))</f>
        <v/>
      </c>
      <c r="J186" s="15">
        <f>IF(OR(J184="",F184=""),"",IF(F184&lt;=0,"",IFERROR(J184/F184-1,"")))</f>
        <v/>
      </c>
      <c r="K186" s="15">
        <f>IF(OR(K184="",G184=""),"",IF(G184&lt;=0,"",IFERROR(K184/G184-1,"")))</f>
        <v/>
      </c>
      <c r="L186" s="15">
        <f>IF(OR(L184="",H184=""),"",IF(H184&lt;=0,"",IFERROR(L184/H184-1,"")))</f>
        <v/>
      </c>
      <c r="M186" s="15">
        <f>IF(OR(M184="",I184=""),"",IF(I184&lt;=0,"",IFERROR(M184/I184-1,"")))</f>
        <v/>
      </c>
      <c r="N186" s="15">
        <f>IF(OR(N184="",J184=""),"",IF(J184&lt;=0,"",IFERROR(N184/J184-1,"")))</f>
        <v/>
      </c>
      <c r="V186" s="15">
        <f>IF(OR(V184="",U184=""),"",IF(U184&lt;=0,"",IFERROR(V184/U184-1,"")))</f>
        <v/>
      </c>
      <c r="W186" s="15">
        <f>IF(OR(W184="",V184=""),"",IF(V184&lt;=0,"",IFERROR(W184/V184-1,"")))</f>
        <v/>
      </c>
      <c r="X186" s="15">
        <f>IF(OR(X184="",W184=""),"",IF(W184&lt;=0,"",IFERROR(X184/W184-1,"")))</f>
        <v/>
      </c>
    </row>
    <row r="187">
      <c r="A187" s="18" t="inlineStr">
        <is>
          <t>OtherReportableSegmentsMember · 부문 이익</t>
        </is>
      </c>
      <c r="C187" s="20" t="n">
        <v>230</v>
      </c>
      <c r="D187" s="20" t="n">
        <v>259</v>
      </c>
      <c r="E187" s="20" t="n">
        <v>296</v>
      </c>
      <c r="F187" s="20" t="n">
        <v>152</v>
      </c>
      <c r="G187" s="20" t="n">
        <v>195</v>
      </c>
      <c r="H187" s="20" t="n">
        <v>216</v>
      </c>
      <c r="I187" s="20" t="n">
        <v>333</v>
      </c>
      <c r="J187" s="20" t="n">
        <v>186</v>
      </c>
      <c r="K187" s="20" t="n">
        <v>216</v>
      </c>
      <c r="L187" s="20" t="n">
        <v>195</v>
      </c>
      <c r="M187" s="20" t="n">
        <v>408</v>
      </c>
      <c r="N187" s="20" t="n">
        <v>131</v>
      </c>
      <c r="V187" s="20" t="n">
        <v>296</v>
      </c>
      <c r="W187" s="20" t="n">
        <v>333</v>
      </c>
      <c r="X187" s="20" t="n">
        <v>408</v>
      </c>
    </row>
    <row r="188">
      <c r="A188" s="43" t="inlineStr">
        <is>
          <t>OPM</t>
        </is>
      </c>
      <c r="B188" s="3" t="inlineStr">
        <is>
          <t>영업이익 ÷ 매출</t>
        </is>
      </c>
      <c r="C188" s="15">
        <f>IF(OR(C187="",C167=""),"",IF(C167&lt;=0,"",IFERROR(C187/C167,"")))</f>
        <v/>
      </c>
      <c r="D188" s="15">
        <f>IF(OR(D187="",D167=""),"",IF(D167&lt;=0,"",IFERROR(D187/D167,"")))</f>
        <v/>
      </c>
      <c r="E188" s="15">
        <f>IF(OR(E187="",E167=""),"",IF(E167&lt;=0,"",IFERROR(E187/E167,"")))</f>
        <v/>
      </c>
      <c r="F188" s="15">
        <f>IF(OR(F187="",F167=""),"",IF(F167&lt;=0,"",IFERROR(F187/F167,"")))</f>
        <v/>
      </c>
      <c r="G188" s="15">
        <f>IF(OR(G187="",G167=""),"",IF(G167&lt;=0,"",IFERROR(G187/G167,"")))</f>
        <v/>
      </c>
      <c r="H188" s="15">
        <f>IF(OR(H187="",H167=""),"",IF(H167&lt;=0,"",IFERROR(H187/H167,"")))</f>
        <v/>
      </c>
      <c r="I188" s="15">
        <f>IF(OR(I187="",I167=""),"",IF(I167&lt;=0,"",IFERROR(I187/I167,"")))</f>
        <v/>
      </c>
      <c r="J188" s="15">
        <f>IF(OR(J187="",J167=""),"",IF(J167&lt;=0,"",IFERROR(J187/J167,"")))</f>
        <v/>
      </c>
      <c r="K188" s="15">
        <f>IF(OR(K187="",K167=""),"",IF(K167&lt;=0,"",IFERROR(K187/K167,"")))</f>
        <v/>
      </c>
      <c r="L188" s="15">
        <f>IF(OR(L187="",L167=""),"",IF(L167&lt;=0,"",IFERROR(L187/L167,"")))</f>
        <v/>
      </c>
      <c r="M188" s="15">
        <f>IF(OR(M187="",M167=""),"",IF(M167&lt;=0,"",IFERROR(M187/M167,"")))</f>
        <v/>
      </c>
      <c r="N188" s="15">
        <f>IF(OR(N187="",N167=""),"",IF(N167&lt;=0,"",IFERROR(N187/N167,"")))</f>
        <v/>
      </c>
      <c r="V188" s="15">
        <f>IF(OR(V187="",V167=""),"",IF(V167&lt;=0,"",IFERROR(V187/V167,"")))</f>
        <v/>
      </c>
      <c r="W188" s="15">
        <f>IF(OR(W187="",W167=""),"",IF(W167&lt;=0,"",IFERROR(W187/W167,"")))</f>
        <v/>
      </c>
      <c r="X188" s="15">
        <f>IF(OR(X187="",X167=""),"",IF(X167&lt;=0,"",IFERROR(X187/X167,"")))</f>
        <v/>
      </c>
    </row>
    <row r="189">
      <c r="A189" s="43" t="inlineStr">
        <is>
          <t>YoY</t>
        </is>
      </c>
      <c r="B189" s="3" t="inlineStr">
        <is>
          <t>전년 같은 분기·전년 대비</t>
        </is>
      </c>
      <c r="G189" s="15">
        <f>IF(OR(G187="",C187=""),"",IF(C187&lt;=0,"",IFERROR(G187/C187-1,"")))</f>
        <v/>
      </c>
      <c r="H189" s="15">
        <f>IF(OR(H187="",D187=""),"",IF(D187&lt;=0,"",IFERROR(H187/D187-1,"")))</f>
        <v/>
      </c>
      <c r="I189" s="15">
        <f>IF(OR(I187="",E187=""),"",IF(E187&lt;=0,"",IFERROR(I187/E187-1,"")))</f>
        <v/>
      </c>
      <c r="J189" s="15">
        <f>IF(OR(J187="",F187=""),"",IF(F187&lt;=0,"",IFERROR(J187/F187-1,"")))</f>
        <v/>
      </c>
      <c r="K189" s="15">
        <f>IF(OR(K187="",G187=""),"",IF(G187&lt;=0,"",IFERROR(K187/G187-1,"")))</f>
        <v/>
      </c>
      <c r="L189" s="15">
        <f>IF(OR(L187="",H187=""),"",IF(H187&lt;=0,"",IFERROR(L187/H187-1,"")))</f>
        <v/>
      </c>
      <c r="M189" s="15">
        <f>IF(OR(M187="",I187=""),"",IF(I187&lt;=0,"",IFERROR(M187/I187-1,"")))</f>
        <v/>
      </c>
      <c r="N189" s="15">
        <f>IF(OR(N187="",J187=""),"",IF(J187&lt;=0,"",IFERROR(N187/J187-1,"")))</f>
        <v/>
      </c>
      <c r="V189" s="15">
        <f>IF(OR(V187="",U187=""),"",IF(U187&lt;=0,"",IFERROR(V187/U187-1,"")))</f>
        <v/>
      </c>
      <c r="W189" s="15">
        <f>IF(OR(W187="",V187=""),"",IF(V187&lt;=0,"",IFERROR(W187/V187-1,"")))</f>
        <v/>
      </c>
      <c r="X189" s="15">
        <f>IF(OR(X187="",W187=""),"",IF(W187&lt;=0,"",IFERROR(X187/W187-1,"")))</f>
        <v/>
      </c>
    </row>
    <row r="190">
      <c r="A190" s="18" t="inlineStr">
        <is>
          <t>보고부문 합계 · 부문 이익</t>
        </is>
      </c>
      <c r="C190" s="20" t="n">
        <v>1678</v>
      </c>
      <c r="D190" s="20" t="n">
        <v>4522</v>
      </c>
      <c r="E190" s="20" t="n">
        <v>1224</v>
      </c>
      <c r="F190" s="20" t="n">
        <v>1353</v>
      </c>
      <c r="G190" s="20" t="n">
        <v>1818</v>
      </c>
      <c r="H190" s="20" t="n">
        <v>4404</v>
      </c>
      <c r="I190" s="20" t="n">
        <v>4306</v>
      </c>
      <c r="J190" s="20" t="n">
        <v>4584</v>
      </c>
      <c r="K190" s="20" t="n">
        <v>4319</v>
      </c>
      <c r="L190" s="20" t="n">
        <v>5805</v>
      </c>
      <c r="M190" s="20" t="n">
        <v>2880</v>
      </c>
      <c r="N190" s="20" t="n">
        <v>4471</v>
      </c>
      <c r="V190" s="20" t="n">
        <v>1224</v>
      </c>
      <c r="W190" s="20" t="n">
        <v>4306</v>
      </c>
      <c r="X190" s="20" t="n">
        <v>2880</v>
      </c>
    </row>
    <row r="191">
      <c r="A191" s="43" t="inlineStr">
        <is>
          <t>OPM</t>
        </is>
      </c>
      <c r="B191" s="3" t="inlineStr">
        <is>
          <t>영업이익 ÷ 매출</t>
        </is>
      </c>
      <c r="C191" s="15">
        <f>IF(OR(C190="",C169=""),"",IF(C169&lt;=0,"",IFERROR(C190/C169,"")))</f>
        <v/>
      </c>
      <c r="D191" s="15">
        <f>IF(OR(D190="",D169=""),"",IF(D169&lt;=0,"",IFERROR(D190/D169,"")))</f>
        <v/>
      </c>
      <c r="E191" s="15">
        <f>IF(OR(E190="",E169=""),"",IF(E169&lt;=0,"",IFERROR(E190/E169,"")))</f>
        <v/>
      </c>
      <c r="F191" s="15">
        <f>IF(OR(F190="",F169=""),"",IF(F169&lt;=0,"",IFERROR(F190/F169,"")))</f>
        <v/>
      </c>
      <c r="G191" s="15">
        <f>IF(OR(G190="",G169=""),"",IF(G169&lt;=0,"",IFERROR(G190/G169,"")))</f>
        <v/>
      </c>
      <c r="H191" s="15">
        <f>IF(OR(H190="",H169=""),"",IF(H169&lt;=0,"",IFERROR(H190/H169,"")))</f>
        <v/>
      </c>
      <c r="I191" s="15">
        <f>IF(OR(I190="",I169=""),"",IF(I169&lt;=0,"",IFERROR(I190/I169,"")))</f>
        <v/>
      </c>
      <c r="J191" s="15">
        <f>IF(OR(J190="",J169=""),"",IF(J169&lt;=0,"",IFERROR(J190/J169,"")))</f>
        <v/>
      </c>
      <c r="K191" s="15">
        <f>IF(OR(K190="",K169=""),"",IF(K169&lt;=0,"",IFERROR(K190/K169,"")))</f>
        <v/>
      </c>
      <c r="L191" s="15">
        <f>IF(OR(L190="",L169=""),"",IF(L169&lt;=0,"",IFERROR(L190/L169,"")))</f>
        <v/>
      </c>
      <c r="M191" s="15">
        <f>IF(OR(M190="",M169=""),"",IF(M169&lt;=0,"",IFERROR(M190/M169,"")))</f>
        <v/>
      </c>
      <c r="N191" s="15">
        <f>IF(OR(N190="",N169=""),"",IF(N169&lt;=0,"",IFERROR(N190/N169,"")))</f>
        <v/>
      </c>
      <c r="V191" s="15">
        <f>IF(OR(V190="",V169=""),"",IF(V169&lt;=0,"",IFERROR(V190/V169,"")))</f>
        <v/>
      </c>
      <c r="W191" s="15">
        <f>IF(OR(W190="",W169=""),"",IF(W169&lt;=0,"",IFERROR(W190/W169,"")))</f>
        <v/>
      </c>
      <c r="X191" s="15">
        <f>IF(OR(X190="",X169=""),"",IF(X169&lt;=0,"",IFERROR(X190/X169,"")))</f>
        <v/>
      </c>
    </row>
    <row r="192">
      <c r="A192" s="43" t="inlineStr">
        <is>
          <t>YoY</t>
        </is>
      </c>
      <c r="B192" s="3" t="inlineStr">
        <is>
          <t>전년 같은 분기·전년 대비</t>
        </is>
      </c>
      <c r="G192" s="15">
        <f>IF(OR(G190="",C190=""),"",IF(C190&lt;=0,"",IFERROR(G190/C190-1,"")))</f>
        <v/>
      </c>
      <c r="H192" s="15">
        <f>IF(OR(H190="",D190=""),"",IF(D190&lt;=0,"",IFERROR(H190/D190-1,"")))</f>
        <v/>
      </c>
      <c r="I192" s="15">
        <f>IF(OR(I190="",E190=""),"",IF(E190&lt;=0,"",IFERROR(I190/E190-1,"")))</f>
        <v/>
      </c>
      <c r="J192" s="15">
        <f>IF(OR(J190="",F190=""),"",IF(F190&lt;=0,"",IFERROR(J190/F190-1,"")))</f>
        <v/>
      </c>
      <c r="K192" s="15">
        <f>IF(OR(K190="",G190=""),"",IF(G190&lt;=0,"",IFERROR(K190/G190-1,"")))</f>
        <v/>
      </c>
      <c r="L192" s="15">
        <f>IF(OR(L190="",H190=""),"",IF(H190&lt;=0,"",IFERROR(L190/H190-1,"")))</f>
        <v/>
      </c>
      <c r="M192" s="15">
        <f>IF(OR(M190="",I190=""),"",IF(I190&lt;=0,"",IFERROR(M190/I190-1,"")))</f>
        <v/>
      </c>
      <c r="N192" s="15">
        <f>IF(OR(N190="",J190=""),"",IF(J190&lt;=0,"",IFERROR(N190/J190-1,"")))</f>
        <v/>
      </c>
      <c r="V192" s="15">
        <f>IF(OR(V190="",U190=""),"",IF(U190&lt;=0,"",IFERROR(V190/U190-1,"")))</f>
        <v/>
      </c>
      <c r="W192" s="15">
        <f>IF(OR(W190="",V190=""),"",IF(V190&lt;=0,"",IFERROR(W190/V190-1,"")))</f>
        <v/>
      </c>
      <c r="X192" s="15">
        <f>IF(OR(X190="",W190=""),"",IF(W190&lt;=0,"",IFERROR(X190/W190-1,"")))</f>
        <v/>
      </c>
    </row>
    <row r="193">
      <c r="A193" s="18" t="inlineStr">
        <is>
          <t>조정액 · 부문 이익</t>
        </is>
      </c>
      <c r="C193" s="20" t="n">
        <v>-23</v>
      </c>
      <c r="D193" s="20" t="n">
        <v>-138</v>
      </c>
      <c r="E193" s="20" t="n">
        <v>43</v>
      </c>
      <c r="F193" s="20" t="n">
        <v>131</v>
      </c>
      <c r="G193" s="20" t="n">
        <v>-5</v>
      </c>
      <c r="H193" s="20" t="n">
        <v>6</v>
      </c>
      <c r="I193" s="20" t="n">
        <v>3</v>
      </c>
      <c r="J193" s="20" t="n">
        <v>-56</v>
      </c>
      <c r="K193" s="20" t="n">
        <v>-63</v>
      </c>
      <c r="L193" s="20" t="n">
        <v>-157</v>
      </c>
      <c r="M193" s="20" t="n">
        <v>60</v>
      </c>
      <c r="N193" s="20" t="n">
        <v>-106</v>
      </c>
      <c r="V193" s="20" t="n">
        <v>43</v>
      </c>
      <c r="W193" s="20" t="n">
        <v>3</v>
      </c>
      <c r="X193" s="20" t="n">
        <v>60</v>
      </c>
    </row>
    <row r="194">
      <c r="A194" s="18" t="inlineStr">
        <is>
          <t>부문 이익</t>
        </is>
      </c>
      <c r="C194" s="20" t="n">
        <v>1655</v>
      </c>
      <c r="D194" s="20" t="n">
        <v>4382</v>
      </c>
      <c r="E194" s="20" t="n">
        <v>1268</v>
      </c>
      <c r="F194" s="20" t="n">
        <v>1485</v>
      </c>
      <c r="G194" s="20" t="n">
        <v>1813</v>
      </c>
      <c r="H194" s="20" t="n">
        <v>4409</v>
      </c>
      <c r="I194" s="20" t="n">
        <v>4309</v>
      </c>
      <c r="V194" s="20" t="n">
        <v>1268</v>
      </c>
      <c r="W194" s="20" t="n">
        <v>4309</v>
      </c>
    </row>
    <row r="195">
      <c r="A195" s="43" t="inlineStr">
        <is>
          <t>OPM</t>
        </is>
      </c>
      <c r="B195" s="3" t="inlineStr">
        <is>
          <t>영업이익 ÷ 매출</t>
        </is>
      </c>
      <c r="C195" s="15">
        <f>IF(OR(C194="",C147=""),"",IF(C147&lt;=0,"",IFERROR(C194/C147,"")))</f>
        <v/>
      </c>
      <c r="D195" s="15">
        <f>IF(OR(D194="",D147=""),"",IF(D147&lt;=0,"",IFERROR(D194/D147,"")))</f>
        <v/>
      </c>
      <c r="E195" s="15">
        <f>IF(OR(E194="",E147=""),"",IF(E147&lt;=0,"",IFERROR(E194/E147,"")))</f>
        <v/>
      </c>
      <c r="F195" s="15">
        <f>IF(OR(F194="",F147=""),"",IF(F147&lt;=0,"",IFERROR(F194/F147,"")))</f>
        <v/>
      </c>
      <c r="G195" s="15">
        <f>IF(OR(G194="",G147=""),"",IF(G147&lt;=0,"",IFERROR(G194/G147,"")))</f>
        <v/>
      </c>
      <c r="H195" s="15">
        <f>IF(OR(H194="",H147=""),"",IF(H147&lt;=0,"",IFERROR(H194/H147,"")))</f>
        <v/>
      </c>
      <c r="I195" s="15">
        <f>IF(OR(I194="",I147=""),"",IF(I147&lt;=0,"",IFERROR(I194/I147,"")))</f>
        <v/>
      </c>
      <c r="V195" s="15">
        <f>IF(OR(V194="",V147=""),"",IF(V147&lt;=0,"",IFERROR(V194/V147,"")))</f>
        <v/>
      </c>
      <c r="W195" s="15">
        <f>IF(OR(W194="",W147=""),"",IF(W147&lt;=0,"",IFERROR(W194/W147,"")))</f>
        <v/>
      </c>
    </row>
    <row r="196">
      <c r="A196" s="43" t="inlineStr">
        <is>
          <t>YoY</t>
        </is>
      </c>
      <c r="B196" s="3" t="inlineStr">
        <is>
          <t>전년 같은 분기·전년 대비</t>
        </is>
      </c>
      <c r="G196" s="15">
        <f>IF(OR(G194="",C194=""),"",IF(C194&lt;=0,"",IFERROR(G194/C194-1,"")))</f>
        <v/>
      </c>
      <c r="H196" s="15">
        <f>IF(OR(H194="",D194=""),"",IF(D194&lt;=0,"",IFERROR(H194/D194-1,"")))</f>
        <v/>
      </c>
      <c r="I196" s="15">
        <f>IF(OR(I194="",E194=""),"",IF(E194&lt;=0,"",IFERROR(I194/E194-1,"")))</f>
        <v/>
      </c>
      <c r="V196" s="15">
        <f>IF(OR(V194="",U194=""),"",IF(U194&lt;=0,"",IFERROR(V194/U194-1,"")))</f>
        <v/>
      </c>
      <c r="W196" s="15">
        <f>IF(OR(W194="",V194=""),"",IF(V194&lt;=0,"",IFERROR(W194/V194-1,"")))</f>
        <v/>
      </c>
    </row>
    <row r="197">
      <c r="A197" s="18" t="inlineStr">
        <is>
          <t>금융수익</t>
        </is>
      </c>
      <c r="C197" s="20" t="n">
        <v>85</v>
      </c>
      <c r="D197" s="20" t="n">
        <v>61</v>
      </c>
      <c r="E197" s="20" t="n">
        <v>373</v>
      </c>
      <c r="F197" s="20" t="n">
        <v>568</v>
      </c>
      <c r="G197" s="20" t="n">
        <v>-151</v>
      </c>
      <c r="H197" s="20" t="n">
        <v>533</v>
      </c>
      <c r="I197" s="20" t="n">
        <v>-80</v>
      </c>
      <c r="V197" s="20" t="n">
        <v>373</v>
      </c>
      <c r="W197" s="20" t="n">
        <v>-80</v>
      </c>
    </row>
    <row r="198">
      <c r="A198" s="18" t="inlineStr">
        <is>
          <t>금융비용</t>
        </is>
      </c>
      <c r="C198" s="20" t="n">
        <v>99</v>
      </c>
      <c r="D198" s="20" t="n">
        <v>105</v>
      </c>
      <c r="E198" s="20" t="n">
        <v>250</v>
      </c>
      <c r="F198" s="20" t="n">
        <v>178</v>
      </c>
      <c r="G198" s="20" t="n">
        <v>529</v>
      </c>
      <c r="H198" s="20" t="n">
        <v>-107</v>
      </c>
      <c r="I198" s="20" t="n">
        <v>380</v>
      </c>
      <c r="V198" s="20" t="n">
        <v>250</v>
      </c>
      <c r="W198" s="20" t="n">
        <v>380</v>
      </c>
    </row>
    <row r="199">
      <c r="A199" s="9" t="inlineStr">
        <is>
          <t>법인세차감전 이익</t>
        </is>
      </c>
      <c r="C199" s="12" t="n">
        <v>1641</v>
      </c>
      <c r="D199" s="12" t="n">
        <v>4339</v>
      </c>
      <c r="E199" s="12" t="n">
        <v>1391</v>
      </c>
      <c r="F199" s="12" t="n">
        <v>1875</v>
      </c>
      <c r="G199" s="12" t="n">
        <v>1133</v>
      </c>
      <c r="H199" s="12" t="n">
        <v>5049</v>
      </c>
      <c r="I199" s="12" t="n">
        <v>3850</v>
      </c>
      <c r="V199" s="12" t="n">
        <v>1391</v>
      </c>
      <c r="W199" s="12" t="n">
        <v>3850</v>
      </c>
    </row>
    <row r="200">
      <c r="A200" s="18" t="inlineStr">
        <is>
          <t>EntityTotalMember · 부문 이익</t>
        </is>
      </c>
      <c r="F200" s="20" t="n">
        <v>1485</v>
      </c>
      <c r="J200" s="20" t="n">
        <v>4528</v>
      </c>
      <c r="N200" s="20" t="n">
        <v>4364</v>
      </c>
    </row>
    <row r="201">
      <c r="A201" s="18" t="inlineStr">
        <is>
          <t>EntityTotalMember · 금융수익</t>
        </is>
      </c>
      <c r="F201" s="20" t="n">
        <v>568</v>
      </c>
      <c r="J201" s="20" t="n">
        <v>370</v>
      </c>
      <c r="N201" s="20" t="n">
        <v>617</v>
      </c>
    </row>
    <row r="202">
      <c r="A202" s="18" t="inlineStr">
        <is>
          <t>EntityTotalMember · 금융비용</t>
        </is>
      </c>
      <c r="F202" s="20" t="n">
        <v>178</v>
      </c>
      <c r="J202" s="20" t="n">
        <v>287</v>
      </c>
      <c r="N202" s="20" t="n">
        <v>150</v>
      </c>
    </row>
    <row r="203">
      <c r="A203" s="18" t="inlineStr">
        <is>
          <t>EntityTotalMember · Share Of Profit Loss Of Investments Accounted For Using Equity Method</t>
        </is>
      </c>
      <c r="N203" s="20" t="n">
        <v>154</v>
      </c>
    </row>
    <row r="204">
      <c r="A204" s="18" t="inlineStr">
        <is>
          <t>EntityTotalMember · 법인세비용차감전 중간이익</t>
        </is>
      </c>
      <c r="F204" s="20" t="n">
        <v>1875</v>
      </c>
      <c r="J204" s="20" t="n">
        <v>4610</v>
      </c>
      <c r="N204" s="20" t="n">
        <v>4985</v>
      </c>
    </row>
    <row r="206">
      <c r="A206" s="16" t="inlineStr">
        <is>
          <t>현금흐름표 · 전 항목</t>
        </is>
      </c>
      <c r="B206" s="42" t="inlineStr">
        <is>
          <t>분기 = 결산기 첫날부터 누계(공시 그대로)</t>
        </is>
      </c>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c r="AB206" s="16" t="n"/>
      <c r="AC206" s="16" t="n"/>
    </row>
    <row r="207">
      <c r="A207" s="5" t="inlineStr">
        <is>
          <t>항목</t>
        </is>
      </c>
      <c r="B207" s="5" t="inlineStr">
        <is>
          <t>참고</t>
        </is>
      </c>
      <c r="C207" s="5" t="inlineStr">
        <is>
          <t>2024.2Q</t>
        </is>
      </c>
      <c r="D207" s="5" t="inlineStr">
        <is>
          <t>2024.3Q</t>
        </is>
      </c>
      <c r="E207" s="5" t="inlineStr">
        <is>
          <t>2024.4Q</t>
        </is>
      </c>
      <c r="F207" s="5" t="inlineStr">
        <is>
          <t>2025.1Q</t>
        </is>
      </c>
      <c r="G207" s="5" t="inlineStr">
        <is>
          <t>2025.2Q</t>
        </is>
      </c>
      <c r="H207" s="5" t="inlineStr">
        <is>
          <t>2025.3Q</t>
        </is>
      </c>
      <c r="I207" s="5" t="inlineStr">
        <is>
          <t>2025.4Q</t>
        </is>
      </c>
      <c r="J207" s="5" t="inlineStr">
        <is>
          <t>2026.1Q</t>
        </is>
      </c>
      <c r="K207" s="5" t="inlineStr">
        <is>
          <t>2026.2Q</t>
        </is>
      </c>
      <c r="L207" s="5" t="inlineStr">
        <is>
          <t>2026.3Q</t>
        </is>
      </c>
      <c r="M207" s="5" t="inlineStr">
        <is>
          <t>2026.4Q</t>
        </is>
      </c>
      <c r="N207" s="5" t="inlineStr">
        <is>
          <t>2027.1Q</t>
        </is>
      </c>
      <c r="O207" s="5" t="inlineStr">
        <is>
          <t>2017</t>
        </is>
      </c>
      <c r="P207" s="5" t="inlineStr">
        <is>
          <t>2018</t>
        </is>
      </c>
      <c r="Q207" s="5" t="inlineStr">
        <is>
          <t>2019</t>
        </is>
      </c>
      <c r="R207" s="5" t="inlineStr">
        <is>
          <t>2020</t>
        </is>
      </c>
      <c r="S207" s="5" t="inlineStr">
        <is>
          <t>2021</t>
        </is>
      </c>
      <c r="T207" s="5" t="inlineStr">
        <is>
          <t>2022</t>
        </is>
      </c>
      <c r="U207" s="5" t="inlineStr">
        <is>
          <t>2023</t>
        </is>
      </c>
      <c r="V207" s="5" t="inlineStr">
        <is>
          <t>2024</t>
        </is>
      </c>
      <c r="W207" s="5" t="inlineStr">
        <is>
          <t>2025</t>
        </is>
      </c>
      <c r="X207" s="5" t="inlineStr">
        <is>
          <t>2026</t>
        </is>
      </c>
      <c r="Y207" s="5" t="inlineStr">
        <is>
          <t>2027(MW)</t>
        </is>
      </c>
      <c r="Z207" s="5" t="inlineStr">
        <is>
          <t>2028(MW)</t>
        </is>
      </c>
      <c r="AA207" s="5" t="inlineStr">
        <is>
          <t>2029(MW)</t>
        </is>
      </c>
      <c r="AB207" s="5" t="inlineStr">
        <is>
          <t>2030(MW)</t>
        </is>
      </c>
      <c r="AC207" s="5" t="inlineStr">
        <is>
          <t>2031(MW)</t>
        </is>
      </c>
    </row>
    <row r="208">
      <c r="A208" s="9" t="inlineStr">
        <is>
          <t>법인세비용차감전 중간이익</t>
        </is>
      </c>
      <c r="C208" s="12" t="n">
        <v>5217</v>
      </c>
      <c r="D208" s="12" t="n">
        <v>9556</v>
      </c>
      <c r="E208" s="12" t="n">
        <v>10947</v>
      </c>
      <c r="F208" s="12" t="n">
        <v>1875</v>
      </c>
      <c r="G208" s="12" t="n">
        <v>3008</v>
      </c>
      <c r="H208" s="12" t="n">
        <v>8057</v>
      </c>
      <c r="I208" s="12" t="n">
        <v>11907</v>
      </c>
      <c r="J208" s="12" t="n">
        <v>4610</v>
      </c>
      <c r="K208" s="12" t="n">
        <v>9305</v>
      </c>
      <c r="L208" s="12" t="n">
        <v>15467</v>
      </c>
      <c r="M208" s="12" t="n">
        <v>18485</v>
      </c>
      <c r="N208" s="12" t="n">
        <v>4985</v>
      </c>
      <c r="S208" s="12" t="n">
        <v>5552</v>
      </c>
      <c r="T208" s="12" t="n">
        <v>2895</v>
      </c>
      <c r="U208" s="12" t="n">
        <v>4099</v>
      </c>
      <c r="V208" s="12" t="n">
        <v>10947</v>
      </c>
      <c r="W208" s="12" t="n">
        <v>11907</v>
      </c>
      <c r="X208" s="12" t="n">
        <v>18485</v>
      </c>
    </row>
    <row r="209">
      <c r="A209" s="18" t="inlineStr">
        <is>
          <t>감가상각비 및 상각비</t>
        </is>
      </c>
      <c r="C209" s="20" t="n">
        <v>9077</v>
      </c>
      <c r="D209" s="20" t="n">
        <v>13673</v>
      </c>
      <c r="E209" s="20" t="n">
        <v>18312</v>
      </c>
      <c r="F209" s="20" t="n">
        <v>4775</v>
      </c>
      <c r="G209" s="20" t="n">
        <v>9489</v>
      </c>
      <c r="H209" s="20" t="n">
        <v>14251</v>
      </c>
      <c r="I209" s="20" t="n">
        <v>19072</v>
      </c>
      <c r="J209" s="20" t="n">
        <v>4548</v>
      </c>
      <c r="K209" s="20" t="n">
        <v>9037</v>
      </c>
      <c r="L209" s="20" t="n">
        <v>13543</v>
      </c>
      <c r="M209" s="20" t="n">
        <v>18039</v>
      </c>
      <c r="N209" s="20" t="n">
        <v>4494</v>
      </c>
      <c r="S209" s="20" t="n">
        <v>16903</v>
      </c>
      <c r="T209" s="20" t="n">
        <v>17276</v>
      </c>
      <c r="U209" s="20" t="n">
        <v>17821</v>
      </c>
      <c r="V209" s="20" t="n">
        <v>18312</v>
      </c>
      <c r="W209" s="20" t="n">
        <v>19072</v>
      </c>
      <c r="X209" s="20" t="n">
        <v>18039</v>
      </c>
    </row>
    <row r="210">
      <c r="A210" s="18" t="inlineStr">
        <is>
          <t>손상차손</t>
        </is>
      </c>
      <c r="C210" s="20" t="n">
        <v>1224</v>
      </c>
      <c r="D210" s="20" t="n">
        <v>1298</v>
      </c>
      <c r="E210" s="20" t="n">
        <v>1470</v>
      </c>
      <c r="F210" s="20" t="n">
        <v>90</v>
      </c>
      <c r="G210" s="20" t="n">
        <v>88</v>
      </c>
      <c r="H210" s="20" t="n">
        <v>88</v>
      </c>
      <c r="I210" s="20" t="n">
        <v>152</v>
      </c>
      <c r="J210" s="20" t="n">
        <v>0</v>
      </c>
      <c r="K210" s="20" t="n">
        <v>0</v>
      </c>
      <c r="L210" s="20" t="n">
        <v>0</v>
      </c>
      <c r="M210" s="20" t="n">
        <v>0</v>
      </c>
      <c r="S210" s="20" t="n">
        <v>90</v>
      </c>
      <c r="T210" s="20" t="n">
        <v>608</v>
      </c>
      <c r="U210" s="20" t="n">
        <v>168</v>
      </c>
      <c r="V210" s="20" t="n">
        <v>1470</v>
      </c>
      <c r="W210" s="20" t="n">
        <v>152</v>
      </c>
      <c r="X210" s="20" t="n">
        <v>0</v>
      </c>
    </row>
    <row r="211">
      <c r="A211" s="18" t="inlineStr">
        <is>
          <t>Loss Gain On Sale And Retirement Of Property Plant And Equipment And Intangible Assets Ope CF</t>
        </is>
      </c>
      <c r="C211" s="20" t="n">
        <v>436</v>
      </c>
      <c r="D211" s="20" t="n">
        <v>551</v>
      </c>
      <c r="E211" s="20" t="n">
        <v>676</v>
      </c>
      <c r="F211" s="20" t="n">
        <v>90</v>
      </c>
      <c r="G211" s="20" t="n">
        <v>206</v>
      </c>
      <c r="H211" s="20" t="n">
        <v>282</v>
      </c>
      <c r="I211" s="20" t="n">
        <v>541</v>
      </c>
      <c r="J211" s="20" t="n">
        <v>246</v>
      </c>
      <c r="K211" s="20" t="n">
        <v>410</v>
      </c>
      <c r="L211" s="20" t="n">
        <v>477</v>
      </c>
      <c r="M211" s="20" t="n">
        <v>578</v>
      </c>
      <c r="N211" s="20" t="n">
        <v>65</v>
      </c>
      <c r="S211" s="20" t="n">
        <v>109</v>
      </c>
      <c r="T211" s="20" t="n">
        <v>506</v>
      </c>
      <c r="U211" s="20" t="n">
        <v>515</v>
      </c>
      <c r="V211" s="20" t="n">
        <v>676</v>
      </c>
      <c r="W211" s="20" t="n">
        <v>541</v>
      </c>
      <c r="X211" s="20" t="n">
        <v>578</v>
      </c>
    </row>
    <row r="212">
      <c r="A212" s="18" t="inlineStr">
        <is>
          <t>지분법손익</t>
        </is>
      </c>
      <c r="G212" s="20" t="n">
        <v>0</v>
      </c>
      <c r="H212" s="20" t="n">
        <v>0</v>
      </c>
      <c r="I212" s="20" t="n">
        <v>0</v>
      </c>
      <c r="J212" s="20" t="n">
        <v>0</v>
      </c>
      <c r="K212" s="20" t="n">
        <v>-142</v>
      </c>
      <c r="L212" s="20" t="n">
        <v>-290</v>
      </c>
      <c r="M212" s="20" t="n">
        <v>-382</v>
      </c>
      <c r="N212" s="20" t="n">
        <v>-154</v>
      </c>
      <c r="W212" s="20" t="n">
        <v>0</v>
      </c>
      <c r="X212" s="20" t="n">
        <v>-382</v>
      </c>
    </row>
    <row r="213">
      <c r="A213" s="18" t="inlineStr">
        <is>
          <t>재고자산 증감</t>
        </is>
      </c>
      <c r="C213" s="20" t="n">
        <v>1908</v>
      </c>
      <c r="D213" s="20" t="n">
        <v>3384</v>
      </c>
      <c r="E213" s="20" t="n">
        <v>1185</v>
      </c>
      <c r="F213" s="20" t="n">
        <v>-505</v>
      </c>
      <c r="G213" s="20" t="n">
        <v>-541</v>
      </c>
      <c r="H213" s="20" t="n">
        <v>1203</v>
      </c>
      <c r="I213" s="20" t="n">
        <v>822</v>
      </c>
      <c r="J213" s="20" t="n">
        <v>794</v>
      </c>
      <c r="K213" s="20" t="n">
        <v>771</v>
      </c>
      <c r="L213" s="20" t="n">
        <v>574</v>
      </c>
      <c r="M213" s="20" t="n">
        <v>685</v>
      </c>
      <c r="N213" s="20" t="n">
        <v>-4270</v>
      </c>
      <c r="S213" s="20" t="n">
        <v>1150</v>
      </c>
      <c r="T213" s="20" t="n">
        <v>-14471</v>
      </c>
      <c r="U213" s="20" t="n">
        <v>-4560</v>
      </c>
      <c r="V213" s="20" t="n">
        <v>1185</v>
      </c>
      <c r="W213" s="20" t="n">
        <v>822</v>
      </c>
      <c r="X213" s="20" t="n">
        <v>685</v>
      </c>
    </row>
    <row r="214">
      <c r="A214" s="18" t="inlineStr">
        <is>
          <t>매출채권 및 기타채권 증감액</t>
        </is>
      </c>
      <c r="C214" s="20" t="n">
        <v>-3141</v>
      </c>
      <c r="D214" s="20" t="n">
        <v>-1863</v>
      </c>
      <c r="E214" s="20" t="n">
        <v>1776</v>
      </c>
      <c r="F214" s="20" t="n">
        <v>-1911</v>
      </c>
      <c r="G214" s="20" t="n">
        <v>1822</v>
      </c>
      <c r="H214" s="20" t="n">
        <v>-5334</v>
      </c>
      <c r="I214" s="20" t="n">
        <v>-1372</v>
      </c>
      <c r="J214" s="20" t="n">
        <v>2987</v>
      </c>
      <c r="K214" s="20" t="n">
        <v>5354</v>
      </c>
      <c r="L214" s="20" t="n">
        <v>1993</v>
      </c>
      <c r="M214" s="20" t="n">
        <v>2327</v>
      </c>
      <c r="N214" s="20" t="n">
        <v>-1991</v>
      </c>
      <c r="S214" s="20" t="n">
        <v>-5233</v>
      </c>
      <c r="T214" s="20" t="n">
        <v>-7837</v>
      </c>
      <c r="U214" s="20" t="n">
        <v>-2075</v>
      </c>
      <c r="V214" s="20" t="n">
        <v>1776</v>
      </c>
      <c r="W214" s="20" t="n">
        <v>-1372</v>
      </c>
      <c r="X214" s="20" t="n">
        <v>2327</v>
      </c>
    </row>
    <row r="215">
      <c r="A215" s="18" t="inlineStr">
        <is>
          <t>매입채무 및 기타채무 증감액</t>
        </is>
      </c>
      <c r="C215" s="20" t="n">
        <v>1796</v>
      </c>
      <c r="D215" s="20" t="n">
        <v>-2045</v>
      </c>
      <c r="E215" s="20" t="n">
        <v>1037</v>
      </c>
      <c r="F215" s="20" t="n">
        <v>-1779</v>
      </c>
      <c r="G215" s="20" t="n">
        <v>-3154</v>
      </c>
      <c r="H215" s="20" t="n">
        <v>-5621</v>
      </c>
      <c r="I215" s="20" t="n">
        <v>-3175</v>
      </c>
      <c r="J215" s="20" t="n">
        <v>47</v>
      </c>
      <c r="K215" s="20" t="n">
        <v>-730</v>
      </c>
      <c r="L215" s="20" t="n">
        <v>-2070</v>
      </c>
      <c r="M215" s="20" t="n">
        <v>948</v>
      </c>
      <c r="N215" s="20" t="n">
        <v>3619</v>
      </c>
      <c r="S215" s="20" t="n">
        <v>2309</v>
      </c>
      <c r="T215" s="20" t="n">
        <v>7590</v>
      </c>
      <c r="U215" s="20" t="n">
        <v>-2864</v>
      </c>
      <c r="V215" s="20" t="n">
        <v>1037</v>
      </c>
      <c r="W215" s="20" t="n">
        <v>-3175</v>
      </c>
      <c r="X215" s="20" t="n">
        <v>948</v>
      </c>
    </row>
    <row r="216">
      <c r="A216" s="18" t="inlineStr">
        <is>
          <t>퇴직급여자산 증감</t>
        </is>
      </c>
      <c r="F216" s="20" t="n">
        <v>71</v>
      </c>
      <c r="G216" s="20" t="n">
        <v>142</v>
      </c>
      <c r="H216" s="20" t="n">
        <v>213</v>
      </c>
      <c r="I216" s="20" t="n">
        <v>284</v>
      </c>
      <c r="J216" s="20" t="n">
        <v>6563</v>
      </c>
      <c r="K216" s="20" t="n">
        <v>6627</v>
      </c>
      <c r="L216" s="20" t="n">
        <v>28991</v>
      </c>
      <c r="M216" s="20" t="n">
        <v>29054</v>
      </c>
      <c r="N216" s="20" t="n">
        <v>54</v>
      </c>
      <c r="W216" s="20" t="n">
        <v>284</v>
      </c>
      <c r="X216" s="20" t="n">
        <v>29054</v>
      </c>
    </row>
    <row r="217">
      <c r="A217" s="18" t="inlineStr">
        <is>
          <t>퇴직급여부채 증감</t>
        </is>
      </c>
      <c r="F217" s="20" t="n">
        <v>-142</v>
      </c>
      <c r="G217" s="20" t="n">
        <v>-513</v>
      </c>
      <c r="H217" s="20" t="n">
        <v>-404</v>
      </c>
      <c r="I217" s="20" t="n">
        <v>-612</v>
      </c>
      <c r="J217" s="20" t="n">
        <v>-100</v>
      </c>
      <c r="K217" s="20" t="n">
        <v>-372</v>
      </c>
      <c r="L217" s="20" t="n">
        <v>-305</v>
      </c>
      <c r="M217" s="20" t="n">
        <v>-225</v>
      </c>
      <c r="N217" s="20" t="n">
        <v>55</v>
      </c>
      <c r="W217" s="20" t="n">
        <v>-612</v>
      </c>
      <c r="X217" s="20" t="n">
        <v>-225</v>
      </c>
    </row>
    <row r="218">
      <c r="A218" s="18" t="inlineStr">
        <is>
          <t>기타 유동부채 증감</t>
        </is>
      </c>
      <c r="C218" s="20" t="n">
        <v>807</v>
      </c>
      <c r="D218" s="20" t="n">
        <v>1668</v>
      </c>
      <c r="E218" s="20" t="n">
        <v>918</v>
      </c>
      <c r="F218" s="20" t="n">
        <v>-13</v>
      </c>
      <c r="G218" s="20" t="n">
        <v>-984</v>
      </c>
      <c r="H218" s="20" t="n">
        <v>416</v>
      </c>
      <c r="I218" s="20" t="n">
        <v>82</v>
      </c>
      <c r="J218" s="20" t="n">
        <v>488</v>
      </c>
      <c r="K218" s="20" t="n">
        <v>-804</v>
      </c>
      <c r="L218" s="20" t="n">
        <v>329</v>
      </c>
      <c r="M218" s="20" t="n">
        <v>-1323</v>
      </c>
      <c r="N218" s="20" t="n">
        <v>1378</v>
      </c>
      <c r="S218" s="20" t="n">
        <v>-1387</v>
      </c>
      <c r="T218" s="20" t="n">
        <v>-0</v>
      </c>
      <c r="U218" s="20" t="n">
        <v>834</v>
      </c>
      <c r="V218" s="20" t="n">
        <v>918</v>
      </c>
      <c r="W218" s="20" t="n">
        <v>82</v>
      </c>
      <c r="X218" s="20" t="n">
        <v>-1323</v>
      </c>
    </row>
    <row r="219">
      <c r="A219" s="18" t="inlineStr">
        <is>
          <t>기타</t>
        </is>
      </c>
      <c r="C219" s="20" t="n">
        <v>-1009</v>
      </c>
      <c r="D219" s="20" t="n">
        <v>-749</v>
      </c>
      <c r="E219" s="20" t="n">
        <v>-1308</v>
      </c>
      <c r="F219" s="20" t="n">
        <v>-644</v>
      </c>
      <c r="G219" s="20" t="n">
        <v>347</v>
      </c>
      <c r="H219" s="20" t="n">
        <v>-983</v>
      </c>
      <c r="I219" s="20" t="n">
        <v>160</v>
      </c>
      <c r="J219" s="20" t="n">
        <v>-123</v>
      </c>
      <c r="K219" s="20" t="n">
        <v>24</v>
      </c>
      <c r="L219" s="20" t="n">
        <v>-358</v>
      </c>
      <c r="M219" s="20" t="n">
        <v>-59</v>
      </c>
      <c r="N219" s="20" t="n">
        <v>-808</v>
      </c>
      <c r="S219" s="20" t="n">
        <v>-534</v>
      </c>
      <c r="T219" s="20" t="n">
        <v>-635</v>
      </c>
      <c r="U219" s="20" t="n">
        <v>444</v>
      </c>
      <c r="V219" s="20" t="n">
        <v>-1308</v>
      </c>
      <c r="W219" s="20" t="n">
        <v>160</v>
      </c>
      <c r="X219" s="20" t="n">
        <v>-59</v>
      </c>
    </row>
    <row r="220">
      <c r="A220" s="18" t="inlineStr">
        <is>
          <t>소계</t>
        </is>
      </c>
      <c r="C220" s="20" t="n">
        <v>16316</v>
      </c>
      <c r="D220" s="20" t="n">
        <v>25474</v>
      </c>
      <c r="E220" s="20" t="n">
        <v>35015</v>
      </c>
      <c r="F220" s="20" t="n">
        <v>1905</v>
      </c>
      <c r="G220" s="20" t="n">
        <v>9911</v>
      </c>
      <c r="H220" s="20" t="n">
        <v>12168</v>
      </c>
      <c r="I220" s="20" t="n">
        <v>27863</v>
      </c>
      <c r="J220" s="20" t="n">
        <v>20064</v>
      </c>
      <c r="K220" s="20" t="n">
        <v>29482</v>
      </c>
      <c r="L220" s="20" t="n">
        <v>58353</v>
      </c>
      <c r="M220" s="20" t="n">
        <v>68128</v>
      </c>
      <c r="N220" s="20" t="n">
        <v>7430</v>
      </c>
      <c r="S220" s="20" t="n">
        <v>18959</v>
      </c>
      <c r="T220" s="20" t="n">
        <v>5932</v>
      </c>
      <c r="U220" s="20" t="n">
        <v>14382</v>
      </c>
      <c r="V220" s="20" t="n">
        <v>35015</v>
      </c>
      <c r="W220" s="20" t="n">
        <v>27863</v>
      </c>
      <c r="X220" s="20" t="n">
        <v>68128</v>
      </c>
    </row>
    <row r="221">
      <c r="A221" s="18" t="inlineStr">
        <is>
          <t>이자 수취</t>
        </is>
      </c>
      <c r="C221" s="20" t="n">
        <v>57</v>
      </c>
      <c r="D221" s="20" t="n">
        <v>86</v>
      </c>
      <c r="E221" s="20" t="n">
        <v>128</v>
      </c>
      <c r="F221" s="20" t="n">
        <v>38</v>
      </c>
      <c r="G221" s="20" t="n">
        <v>82</v>
      </c>
      <c r="H221" s="20" t="n">
        <v>124</v>
      </c>
      <c r="I221" s="20" t="n">
        <v>182</v>
      </c>
      <c r="J221" s="20" t="n">
        <v>34</v>
      </c>
      <c r="K221" s="20" t="n">
        <v>410</v>
      </c>
      <c r="L221" s="20" t="n">
        <v>608</v>
      </c>
      <c r="M221" s="20" t="n">
        <v>189</v>
      </c>
      <c r="N221" s="20" t="n">
        <v>56</v>
      </c>
      <c r="S221" s="20" t="n">
        <v>58</v>
      </c>
      <c r="T221" s="20" t="n">
        <v>62</v>
      </c>
      <c r="U221" s="20" t="n">
        <v>106</v>
      </c>
      <c r="V221" s="20" t="n">
        <v>128</v>
      </c>
      <c r="W221" s="20" t="n">
        <v>182</v>
      </c>
      <c r="X221" s="20" t="n">
        <v>189</v>
      </c>
    </row>
    <row r="222">
      <c r="A222" s="18" t="inlineStr">
        <is>
          <t>배당금 수취액</t>
        </is>
      </c>
      <c r="C222" s="20" t="n">
        <v>272</v>
      </c>
      <c r="D222" s="20" t="n">
        <v>521</v>
      </c>
      <c r="E222" s="20" t="n">
        <v>556</v>
      </c>
      <c r="F222" s="20" t="n">
        <v>316</v>
      </c>
      <c r="G222" s="20" t="n">
        <v>329</v>
      </c>
      <c r="H222" s="20" t="n">
        <v>648</v>
      </c>
      <c r="I222" s="20" t="n">
        <v>652</v>
      </c>
      <c r="J222" s="20" t="n">
        <v>303</v>
      </c>
      <c r="K222" s="20" t="n">
        <v>354</v>
      </c>
      <c r="L222" s="20" t="n">
        <v>732</v>
      </c>
      <c r="M222" s="20" t="n">
        <v>735</v>
      </c>
      <c r="N222" s="20" t="n">
        <v>329</v>
      </c>
      <c r="S222" s="20" t="n">
        <v>377</v>
      </c>
      <c r="T222" s="20" t="n">
        <v>526</v>
      </c>
      <c r="U222" s="20" t="n">
        <v>589</v>
      </c>
      <c r="V222" s="20" t="n">
        <v>556</v>
      </c>
      <c r="W222" s="20" t="n">
        <v>652</v>
      </c>
      <c r="X222" s="20" t="n">
        <v>735</v>
      </c>
    </row>
    <row r="223">
      <c r="A223" s="18" t="inlineStr">
        <is>
          <t>이자 지급</t>
        </is>
      </c>
      <c r="C223" s="20" t="n">
        <v>-106</v>
      </c>
      <c r="D223" s="20" t="n">
        <v>-170</v>
      </c>
      <c r="E223" s="20" t="n">
        <v>-210</v>
      </c>
      <c r="F223" s="20" t="n">
        <v>-100</v>
      </c>
      <c r="G223" s="20" t="n">
        <v>-140</v>
      </c>
      <c r="H223" s="20" t="n">
        <v>-297</v>
      </c>
      <c r="I223" s="20" t="n">
        <v>-385</v>
      </c>
      <c r="J223" s="20" t="n">
        <v>-180</v>
      </c>
      <c r="K223" s="20" t="n">
        <v>-606</v>
      </c>
      <c r="L223" s="20" t="n">
        <v>-934</v>
      </c>
      <c r="M223" s="20" t="n">
        <v>-553</v>
      </c>
      <c r="N223" s="20" t="n">
        <v>-161</v>
      </c>
      <c r="S223" s="20" t="n">
        <v>-162</v>
      </c>
      <c r="T223" s="20" t="n">
        <v>-100</v>
      </c>
      <c r="U223" s="20" t="n">
        <v>-173</v>
      </c>
      <c r="V223" s="20" t="n">
        <v>-210</v>
      </c>
      <c r="W223" s="20" t="n">
        <v>-385</v>
      </c>
      <c r="X223" s="20" t="n">
        <v>-553</v>
      </c>
    </row>
    <row r="224">
      <c r="A224" s="18" t="inlineStr">
        <is>
          <t>법인소득세 지급액</t>
        </is>
      </c>
      <c r="C224" s="20" t="n">
        <v>-902</v>
      </c>
      <c r="D224" s="20" t="n">
        <v>-1638</v>
      </c>
      <c r="E224" s="20" t="n">
        <v>-1672</v>
      </c>
      <c r="F224" s="20" t="n">
        <v>-1427</v>
      </c>
      <c r="G224" s="20" t="n">
        <v>-1748</v>
      </c>
      <c r="H224" s="20" t="n">
        <v>-2840</v>
      </c>
      <c r="I224" s="20" t="n">
        <v>-2957</v>
      </c>
      <c r="J224" s="20" t="n">
        <v>-1634</v>
      </c>
      <c r="K224" s="20" t="n">
        <v>-1898</v>
      </c>
      <c r="L224" s="20" t="n">
        <v>-3336</v>
      </c>
      <c r="M224" s="20" t="n">
        <v>-3473</v>
      </c>
      <c r="N224" s="20" t="n">
        <v>-15676</v>
      </c>
      <c r="S224" s="20" t="n">
        <v>-3336</v>
      </c>
      <c r="T224" s="20" t="n">
        <v>-1210</v>
      </c>
      <c r="U224" s="20" t="n">
        <v>-1876</v>
      </c>
      <c r="V224" s="20" t="n">
        <v>-1672</v>
      </c>
      <c r="W224" s="20" t="n">
        <v>-2957</v>
      </c>
      <c r="X224" s="20" t="n">
        <v>-3473</v>
      </c>
    </row>
    <row r="225">
      <c r="A225" s="9" t="inlineStr">
        <is>
          <t>영업활동 현금흐름</t>
        </is>
      </c>
      <c r="C225" s="12" t="n">
        <v>15637</v>
      </c>
      <c r="D225" s="12" t="n">
        <v>24273</v>
      </c>
      <c r="E225" s="12" t="n">
        <v>33817</v>
      </c>
      <c r="F225" s="12" t="n">
        <v>732</v>
      </c>
      <c r="G225" s="12" t="n">
        <v>8434</v>
      </c>
      <c r="H225" s="12" t="n">
        <v>9803</v>
      </c>
      <c r="I225" s="12" t="n">
        <v>25354</v>
      </c>
      <c r="J225" s="12" t="n">
        <v>18587</v>
      </c>
      <c r="K225" s="12" t="n">
        <v>27741</v>
      </c>
      <c r="L225" s="12" t="n">
        <v>55423</v>
      </c>
      <c r="M225" s="12" t="n">
        <v>65028</v>
      </c>
      <c r="N225" s="12" t="n">
        <v>-8022</v>
      </c>
      <c r="S225" s="12" t="n">
        <v>15896</v>
      </c>
      <c r="T225" s="12" t="n">
        <v>5210</v>
      </c>
      <c r="U225" s="12" t="n">
        <v>13028</v>
      </c>
      <c r="V225" s="12" t="n">
        <v>33817</v>
      </c>
      <c r="W225" s="12" t="n">
        <v>25354</v>
      </c>
      <c r="X225" s="12" t="n">
        <v>65028</v>
      </c>
    </row>
    <row r="226">
      <c r="A226" s="18" t="inlineStr">
        <is>
          <t>유형자산 취득(설비투자)</t>
        </is>
      </c>
      <c r="C226" s="20" t="n">
        <v>-8990</v>
      </c>
      <c r="D226" s="20" t="n">
        <v>-11961</v>
      </c>
      <c r="E226" s="20" t="n">
        <v>-18304</v>
      </c>
      <c r="F226" s="20" t="n">
        <v>-6078</v>
      </c>
      <c r="G226" s="20" t="n">
        <v>-13632</v>
      </c>
      <c r="H226" s="20" t="n">
        <v>-16824</v>
      </c>
      <c r="I226" s="20" t="n">
        <v>-21472</v>
      </c>
      <c r="J226" s="20" t="n">
        <v>-5146</v>
      </c>
      <c r="K226" s="20" t="n">
        <v>-9559</v>
      </c>
      <c r="L226" s="20" t="n">
        <v>-12277</v>
      </c>
      <c r="M226" s="20" t="n">
        <v>-14310</v>
      </c>
      <c r="N226" s="20" t="n">
        <v>-4180</v>
      </c>
      <c r="S226" s="20" t="n">
        <v>-13457</v>
      </c>
      <c r="T226" s="20" t="n">
        <v>-14713</v>
      </c>
      <c r="U226" s="20" t="n">
        <v>-14719</v>
      </c>
      <c r="V226" s="20" t="n">
        <v>-18304</v>
      </c>
      <c r="W226" s="20" t="n">
        <v>-21472</v>
      </c>
      <c r="X226" s="20" t="n">
        <v>-14310</v>
      </c>
    </row>
    <row r="227">
      <c r="A227" s="18" t="inlineStr">
        <is>
          <t>유형자산 매각</t>
        </is>
      </c>
      <c r="C227" s="20" t="n">
        <v>9</v>
      </c>
      <c r="D227" s="20" t="n">
        <v>51</v>
      </c>
      <c r="E227" s="20" t="n">
        <v>141</v>
      </c>
      <c r="F227" s="20" t="n">
        <v>19</v>
      </c>
      <c r="G227" s="20" t="n">
        <v>25</v>
      </c>
      <c r="H227" s="20" t="n">
        <v>36</v>
      </c>
      <c r="I227" s="20" t="n">
        <v>47</v>
      </c>
      <c r="J227" s="20" t="n">
        <v>58</v>
      </c>
      <c r="K227" s="20" t="n">
        <v>99</v>
      </c>
      <c r="L227" s="20" t="n">
        <v>132</v>
      </c>
      <c r="M227" s="20" t="n">
        <v>141</v>
      </c>
      <c r="N227" s="20" t="n">
        <v>3</v>
      </c>
      <c r="S227" s="20" t="n">
        <v>589</v>
      </c>
      <c r="T227" s="20" t="n">
        <v>74</v>
      </c>
      <c r="U227" s="20" t="n">
        <v>61</v>
      </c>
      <c r="V227" s="20" t="n">
        <v>141</v>
      </c>
      <c r="W227" s="20" t="n">
        <v>47</v>
      </c>
      <c r="X227" s="20" t="n">
        <v>141</v>
      </c>
    </row>
    <row r="228">
      <c r="A228" s="18" t="inlineStr">
        <is>
          <t>Payments For Disposal Of Property Plant And Equipment Inv CF</t>
        </is>
      </c>
      <c r="C228" s="20" t="n">
        <v>-198</v>
      </c>
      <c r="D228" s="20" t="n">
        <v>-230</v>
      </c>
      <c r="E228" s="20" t="n">
        <v>-264</v>
      </c>
      <c r="F228" s="20" t="n">
        <v>-65</v>
      </c>
      <c r="G228" s="20" t="n">
        <v>-94</v>
      </c>
      <c r="H228" s="20" t="n">
        <v>-113</v>
      </c>
      <c r="I228" s="20" t="n">
        <v>-198</v>
      </c>
      <c r="J228" s="20" t="n">
        <v>-127</v>
      </c>
      <c r="K228" s="20" t="n">
        <v>-259</v>
      </c>
      <c r="L228" s="20" t="n">
        <v>-280</v>
      </c>
      <c r="M228" s="20" t="n">
        <v>-359</v>
      </c>
      <c r="N228" s="20" t="n">
        <v>-30</v>
      </c>
      <c r="S228" s="20" t="n">
        <v>-325</v>
      </c>
      <c r="T228" s="20" t="n">
        <v>-193</v>
      </c>
      <c r="U228" s="20" t="n">
        <v>-158</v>
      </c>
      <c r="V228" s="20" t="n">
        <v>-264</v>
      </c>
      <c r="W228" s="20" t="n">
        <v>-198</v>
      </c>
      <c r="X228" s="20" t="n">
        <v>-359</v>
      </c>
    </row>
    <row r="229">
      <c r="A229" s="18" t="inlineStr">
        <is>
          <t>무형자산 취득 지출</t>
        </is>
      </c>
      <c r="C229" s="20" t="n">
        <v>-212</v>
      </c>
      <c r="D229" s="20" t="n">
        <v>-439</v>
      </c>
      <c r="E229" s="20" t="n">
        <v>-735</v>
      </c>
      <c r="F229" s="20" t="n">
        <v>-199</v>
      </c>
      <c r="G229" s="20" t="n">
        <v>-389</v>
      </c>
      <c r="H229" s="20" t="n">
        <v>-468</v>
      </c>
      <c r="I229" s="20" t="n">
        <v>-751</v>
      </c>
      <c r="J229" s="20" t="n">
        <v>-92</v>
      </c>
      <c r="K229" s="20" t="n">
        <v>-226</v>
      </c>
      <c r="L229" s="20" t="n">
        <v>-363</v>
      </c>
      <c r="M229" s="20" t="n">
        <v>-2352</v>
      </c>
      <c r="N229" s="20" t="n">
        <v>-588</v>
      </c>
      <c r="S229" s="20" t="n">
        <v>-1366</v>
      </c>
      <c r="T229" s="20" t="n">
        <v>-1114</v>
      </c>
      <c r="U229" s="20" t="n">
        <v>-1102</v>
      </c>
      <c r="V229" s="20" t="n">
        <v>-735</v>
      </c>
      <c r="W229" s="20" t="n">
        <v>-751</v>
      </c>
      <c r="X229" s="20" t="n">
        <v>-2352</v>
      </c>
    </row>
    <row r="230">
      <c r="A230" s="18" t="inlineStr">
        <is>
          <t>투자유가증권 매각</t>
        </is>
      </c>
      <c r="D230" s="20" t="n">
        <v>0</v>
      </c>
      <c r="E230" s="20" t="n">
        <v>1938</v>
      </c>
      <c r="F230" s="20" t="n">
        <v>0</v>
      </c>
      <c r="G230" s="20" t="n">
        <v>0</v>
      </c>
      <c r="H230" s="20" t="n">
        <v>5302</v>
      </c>
      <c r="I230" s="20" t="n">
        <v>5369</v>
      </c>
      <c r="J230" s="20" t="n">
        <v>97</v>
      </c>
      <c r="K230" s="20" t="n">
        <v>103</v>
      </c>
      <c r="L230" s="20" t="n">
        <v>107</v>
      </c>
      <c r="M230" s="20" t="n">
        <v>10364</v>
      </c>
      <c r="N230" s="20" t="n">
        <v>5635</v>
      </c>
      <c r="V230" s="20" t="n">
        <v>1938</v>
      </c>
      <c r="W230" s="20" t="n">
        <v>5369</v>
      </c>
      <c r="X230" s="20" t="n">
        <v>10364</v>
      </c>
    </row>
    <row r="231">
      <c r="A231" s="18" t="inlineStr">
        <is>
          <t>Purchase Of Investments Accounted For Using Equity Method Inv CF</t>
        </is>
      </c>
      <c r="G231" s="20" t="n">
        <v>0</v>
      </c>
      <c r="H231" s="20" t="n">
        <v>0</v>
      </c>
      <c r="I231" s="20" t="n">
        <v>0</v>
      </c>
      <c r="K231" s="20" t="n">
        <v>-6524</v>
      </c>
      <c r="L231" s="20" t="n">
        <v>-6524</v>
      </c>
      <c r="M231" s="20" t="n">
        <v>-6524</v>
      </c>
      <c r="W231" s="20" t="n">
        <v>0</v>
      </c>
      <c r="X231" s="20" t="n">
        <v>-6524</v>
      </c>
    </row>
    <row r="232">
      <c r="A232" s="18" t="inlineStr">
        <is>
          <t>정기예금 예입</t>
        </is>
      </c>
      <c r="F232" s="20" t="n">
        <v>0</v>
      </c>
      <c r="G232" s="20" t="n">
        <v>-428</v>
      </c>
      <c r="H232" s="20" t="n">
        <v>-1905</v>
      </c>
      <c r="I232" s="20" t="n">
        <v>-2214</v>
      </c>
      <c r="J232" s="20" t="n">
        <v>-3927</v>
      </c>
      <c r="K232" s="20" t="n">
        <v>-4367</v>
      </c>
      <c r="L232" s="20" t="n">
        <v>-6460</v>
      </c>
      <c r="M232" s="20" t="n">
        <v>-8733</v>
      </c>
      <c r="N232" s="20" t="n">
        <v>-400</v>
      </c>
      <c r="W232" s="20" t="n">
        <v>-2214</v>
      </c>
      <c r="X232" s="20" t="n">
        <v>-8733</v>
      </c>
    </row>
    <row r="233">
      <c r="A233" s="18" t="inlineStr">
        <is>
          <t>Proceeds From Withdrawal Of Time Deposits Inv CF</t>
        </is>
      </c>
      <c r="G233" s="20" t="n">
        <v>33</v>
      </c>
      <c r="H233" s="20" t="n">
        <v>1281</v>
      </c>
      <c r="I233" s="20" t="n">
        <v>1285</v>
      </c>
      <c r="K233" s="20" t="n">
        <v>902</v>
      </c>
      <c r="L233" s="20" t="n">
        <v>2800</v>
      </c>
      <c r="M233" s="20" t="n">
        <v>3838</v>
      </c>
      <c r="W233" s="20" t="n">
        <v>1285</v>
      </c>
      <c r="X233" s="20" t="n">
        <v>3838</v>
      </c>
    </row>
    <row r="234">
      <c r="A234" s="18" t="inlineStr">
        <is>
          <t>Proceeds From Withdrawal From Term Deposits Inv CF</t>
        </is>
      </c>
      <c r="F234" s="20" t="n">
        <v>0</v>
      </c>
      <c r="J234" s="20" t="n">
        <v>876</v>
      </c>
      <c r="N234" s="20" t="n">
        <v>534</v>
      </c>
    </row>
    <row r="235">
      <c r="A235" s="18" t="inlineStr">
        <is>
          <t>기타</t>
        </is>
      </c>
      <c r="C235" s="20" t="n">
        <v>-1205</v>
      </c>
      <c r="D235" s="20" t="n">
        <v>-481</v>
      </c>
      <c r="E235" s="20" t="n">
        <v>-1670</v>
      </c>
      <c r="F235" s="20" t="n">
        <v>-10</v>
      </c>
      <c r="G235" s="20" t="n">
        <v>-13</v>
      </c>
      <c r="H235" s="20" t="n">
        <v>-0</v>
      </c>
      <c r="I235" s="20" t="n">
        <v>15</v>
      </c>
      <c r="J235" s="20" t="n">
        <v>2</v>
      </c>
      <c r="K235" s="20" t="n">
        <v>-36</v>
      </c>
      <c r="L235" s="20" t="n">
        <v>-62</v>
      </c>
      <c r="M235" s="20" t="n">
        <v>647</v>
      </c>
      <c r="N235" s="20" t="n">
        <v>-2</v>
      </c>
      <c r="S235" s="20" t="n">
        <v>312</v>
      </c>
      <c r="T235" s="20" t="n">
        <v>403</v>
      </c>
      <c r="U235" s="20" t="n">
        <v>-39</v>
      </c>
      <c r="V235" s="20" t="n">
        <v>-1670</v>
      </c>
      <c r="W235" s="20" t="n">
        <v>15</v>
      </c>
      <c r="X235" s="20" t="n">
        <v>647</v>
      </c>
    </row>
    <row r="236">
      <c r="A236" s="9" t="inlineStr">
        <is>
          <t>투자활동 현금흐름</t>
        </is>
      </c>
      <c r="C236" s="12" t="n">
        <v>-10596</v>
      </c>
      <c r="D236" s="12" t="n">
        <v>-13061</v>
      </c>
      <c r="E236" s="12" t="n">
        <v>-18895</v>
      </c>
      <c r="F236" s="12" t="n">
        <v>-6333</v>
      </c>
      <c r="G236" s="12" t="n">
        <v>-14498</v>
      </c>
      <c r="H236" s="12" t="n">
        <v>-12691</v>
      </c>
      <c r="I236" s="12" t="n">
        <v>-17918</v>
      </c>
      <c r="J236" s="12" t="n">
        <v>-8257</v>
      </c>
      <c r="K236" s="12" t="n">
        <v>-19867</v>
      </c>
      <c r="L236" s="12" t="n">
        <v>-22928</v>
      </c>
      <c r="M236" s="12" t="n">
        <v>-17288</v>
      </c>
      <c r="N236" s="12" t="n">
        <v>970</v>
      </c>
      <c r="S236" s="12" t="n">
        <v>-14247</v>
      </c>
      <c r="T236" s="12" t="n">
        <v>-15542</v>
      </c>
      <c r="U236" s="12" t="n">
        <v>-15958</v>
      </c>
      <c r="V236" s="12" t="n">
        <v>-18895</v>
      </c>
      <c r="W236" s="12" t="n">
        <v>-17918</v>
      </c>
      <c r="X236" s="12" t="n">
        <v>-17288</v>
      </c>
    </row>
    <row r="237">
      <c r="A237" s="18" t="inlineStr">
        <is>
          <t>단기차입</t>
        </is>
      </c>
      <c r="C237" s="20" t="n">
        <v>0</v>
      </c>
      <c r="D237" s="20" t="n">
        <v>0</v>
      </c>
      <c r="E237" s="20" t="n">
        <v>0</v>
      </c>
      <c r="F237" s="20" t="n">
        <v>0</v>
      </c>
      <c r="G237" s="20" t="n">
        <v>609</v>
      </c>
      <c r="H237" s="20" t="n">
        <v>611</v>
      </c>
      <c r="I237" s="20" t="n">
        <v>1219</v>
      </c>
      <c r="J237" s="20" t="n">
        <v>9000</v>
      </c>
      <c r="K237" s="20" t="n">
        <v>7000</v>
      </c>
      <c r="L237" s="20" t="n">
        <v>28000</v>
      </c>
      <c r="M237" s="20" t="n">
        <v>28000</v>
      </c>
      <c r="N237" s="20" t="n">
        <v>0</v>
      </c>
      <c r="S237" s="20" t="n">
        <v>5100</v>
      </c>
      <c r="T237" s="20" t="n">
        <v>0</v>
      </c>
      <c r="V237" s="20" t="n">
        <v>0</v>
      </c>
      <c r="W237" s="20" t="n">
        <v>1219</v>
      </c>
      <c r="X237" s="20" t="n">
        <v>28000</v>
      </c>
    </row>
    <row r="238">
      <c r="A238" s="18" t="inlineStr">
        <is>
          <t>단기차입금 상환</t>
        </is>
      </c>
      <c r="F238" s="20" t="n">
        <v>0</v>
      </c>
      <c r="G238" s="20" t="n">
        <v>0</v>
      </c>
      <c r="H238" s="20" t="n">
        <v>0</v>
      </c>
      <c r="I238" s="20" t="n">
        <v>0</v>
      </c>
      <c r="J238" s="20" t="n">
        <v>-1161</v>
      </c>
      <c r="K238" s="20" t="n">
        <v>-586</v>
      </c>
      <c r="L238" s="20" t="n">
        <v>-17194</v>
      </c>
      <c r="M238" s="20" t="n">
        <v>-29207</v>
      </c>
      <c r="N238" s="20" t="n">
        <v>0</v>
      </c>
      <c r="S238" s="20" t="n">
        <v>-78</v>
      </c>
      <c r="T238" s="20" t="n">
        <v>-5000</v>
      </c>
      <c r="U238" s="20" t="n">
        <v>0</v>
      </c>
      <c r="W238" s="20" t="n">
        <v>0</v>
      </c>
      <c r="X238" s="20" t="n">
        <v>-29207</v>
      </c>
    </row>
    <row r="239">
      <c r="A239" s="18" t="inlineStr">
        <is>
          <t>Proceeds From Issuance Of Commercial Paper Fin CF</t>
        </is>
      </c>
      <c r="C239" s="20" t="n">
        <v>0</v>
      </c>
      <c r="D239" s="20" t="n">
        <v>0</v>
      </c>
      <c r="E239" s="20" t="n">
        <v>0</v>
      </c>
      <c r="F239" s="20" t="n">
        <v>0</v>
      </c>
      <c r="G239" s="20" t="n">
        <v>11000</v>
      </c>
      <c r="H239" s="20" t="n">
        <v>10987</v>
      </c>
      <c r="I239" s="20" t="n">
        <v>4983</v>
      </c>
      <c r="J239" s="20" t="n">
        <v>22966</v>
      </c>
      <c r="K239" s="20" t="n">
        <v>24923</v>
      </c>
      <c r="L239" s="20" t="n">
        <v>19879</v>
      </c>
      <c r="M239" s="20" t="n">
        <v>0</v>
      </c>
      <c r="N239" s="20" t="n">
        <v>1977</v>
      </c>
      <c r="V239" s="20" t="n">
        <v>0</v>
      </c>
      <c r="W239" s="20" t="n">
        <v>4983</v>
      </c>
      <c r="X239" s="20" t="n">
        <v>0</v>
      </c>
    </row>
    <row r="240">
      <c r="A240" s="18" t="inlineStr">
        <is>
          <t>Redemption Of Commercial Paper Fin CF</t>
        </is>
      </c>
      <c r="I240" s="20" t="n">
        <v>0</v>
      </c>
      <c r="M240" s="20" t="n">
        <v>-5133</v>
      </c>
      <c r="W240" s="20" t="n">
        <v>0</v>
      </c>
      <c r="X240" s="20" t="n">
        <v>-5133</v>
      </c>
    </row>
    <row r="241">
      <c r="A241" s="18" t="inlineStr">
        <is>
          <t>장기차입</t>
        </is>
      </c>
      <c r="E241" s="20" t="n">
        <v>0</v>
      </c>
      <c r="G241" s="20" t="n">
        <v>0</v>
      </c>
      <c r="H241" s="20" t="n">
        <v>0</v>
      </c>
      <c r="I241" s="20" t="n">
        <v>0</v>
      </c>
      <c r="J241" s="20" t="n">
        <v>0</v>
      </c>
      <c r="K241" s="20" t="n">
        <v>200</v>
      </c>
      <c r="L241" s="20" t="n">
        <v>200</v>
      </c>
      <c r="M241" s="20" t="n">
        <v>200</v>
      </c>
      <c r="N241" s="20" t="n">
        <v>26000</v>
      </c>
      <c r="S241" s="20" t="n">
        <v>37050</v>
      </c>
      <c r="T241" s="20" t="n">
        <v>16000</v>
      </c>
      <c r="U241" s="20" t="n">
        <v>20038</v>
      </c>
      <c r="V241" s="20" t="n">
        <v>0</v>
      </c>
      <c r="W241" s="20" t="n">
        <v>0</v>
      </c>
      <c r="X241" s="20" t="n">
        <v>200</v>
      </c>
    </row>
    <row r="242">
      <c r="A242" s="18" t="inlineStr">
        <is>
          <t>장기차입금 상환</t>
        </is>
      </c>
      <c r="C242" s="20" t="n">
        <v>-8007</v>
      </c>
      <c r="D242" s="20" t="n">
        <v>-13011</v>
      </c>
      <c r="E242" s="20" t="n">
        <v>-13013</v>
      </c>
      <c r="F242" s="20" t="n">
        <v>-1</v>
      </c>
      <c r="G242" s="20" t="n">
        <v>-15002</v>
      </c>
      <c r="H242" s="20" t="n">
        <v>-15004</v>
      </c>
      <c r="I242" s="20" t="n">
        <v>-15005</v>
      </c>
      <c r="J242" s="20" t="n">
        <v>-11051</v>
      </c>
      <c r="K242" s="20" t="n">
        <v>-11052</v>
      </c>
      <c r="L242" s="20" t="n">
        <v>-11079</v>
      </c>
      <c r="M242" s="20" t="n">
        <v>-11105</v>
      </c>
      <c r="N242" s="20" t="n">
        <v>-8026</v>
      </c>
      <c r="S242" s="20" t="n">
        <v>-25654</v>
      </c>
      <c r="T242" s="20" t="n">
        <v>-209</v>
      </c>
      <c r="U242" s="20" t="n">
        <v>-310</v>
      </c>
      <c r="V242" s="20" t="n">
        <v>-13013</v>
      </c>
      <c r="W242" s="20" t="n">
        <v>-15005</v>
      </c>
      <c r="X242" s="20" t="n">
        <v>-11105</v>
      </c>
    </row>
    <row r="243">
      <c r="A243" s="18" t="inlineStr">
        <is>
          <t>사채 상환</t>
        </is>
      </c>
      <c r="S243" s="20" t="n">
        <v>0</v>
      </c>
      <c r="T243" s="20" t="n">
        <v>-20000</v>
      </c>
      <c r="U243" s="20" t="n">
        <v>0</v>
      </c>
    </row>
    <row r="244">
      <c r="A244" s="18" t="inlineStr">
        <is>
          <t>리스부채 상환 지출</t>
        </is>
      </c>
      <c r="C244" s="20" t="n">
        <v>-383</v>
      </c>
      <c r="D244" s="20" t="n">
        <v>-612</v>
      </c>
      <c r="E244" s="20" t="n">
        <v>-789</v>
      </c>
      <c r="F244" s="20" t="n">
        <v>-280</v>
      </c>
      <c r="G244" s="20" t="n">
        <v>-459</v>
      </c>
      <c r="H244" s="20" t="n">
        <v>-707</v>
      </c>
      <c r="I244" s="20" t="n">
        <v>-873</v>
      </c>
      <c r="J244" s="20" t="n">
        <v>-254</v>
      </c>
      <c r="K244" s="20" t="n">
        <v>-431</v>
      </c>
      <c r="L244" s="20" t="n">
        <v>-675</v>
      </c>
      <c r="M244" s="20" t="n">
        <v>-838</v>
      </c>
      <c r="N244" s="20" t="n">
        <v>-253</v>
      </c>
      <c r="S244" s="20" t="n">
        <v>-730</v>
      </c>
      <c r="T244" s="20" t="n">
        <v>-746</v>
      </c>
      <c r="U244" s="20" t="n">
        <v>-764</v>
      </c>
      <c r="V244" s="20" t="n">
        <v>-789</v>
      </c>
      <c r="W244" s="20" t="n">
        <v>-873</v>
      </c>
      <c r="X244" s="20" t="n">
        <v>-838</v>
      </c>
    </row>
    <row r="245">
      <c r="A245" s="18" t="inlineStr">
        <is>
          <t>Payments For Acquisition Of Subsidiaries Not Resulting In Change In Scope Of Consolidation Fin CF</t>
        </is>
      </c>
      <c r="J245" s="20" t="n">
        <v>0</v>
      </c>
      <c r="N245" s="20" t="n">
        <v>-1982</v>
      </c>
    </row>
    <row r="246">
      <c r="A246" s="18" t="inlineStr">
        <is>
          <t>자기주식 취득</t>
        </is>
      </c>
      <c r="E246" s="20" t="n">
        <v>-1</v>
      </c>
      <c r="F246" s="20" t="n">
        <v>-0</v>
      </c>
      <c r="G246" s="20" t="n">
        <v>-0</v>
      </c>
      <c r="H246" s="20" t="n">
        <v>-0</v>
      </c>
      <c r="I246" s="20" t="n">
        <v>-4395</v>
      </c>
      <c r="J246" s="20" t="n">
        <v>-26257</v>
      </c>
      <c r="K246" s="20" t="n">
        <v>-26258</v>
      </c>
      <c r="L246" s="20" t="n">
        <v>-26258</v>
      </c>
      <c r="M246" s="20" t="n">
        <v>-26258</v>
      </c>
      <c r="N246" s="20" t="n">
        <v>0</v>
      </c>
      <c r="V246" s="20" t="n">
        <v>-1</v>
      </c>
      <c r="W246" s="20" t="n">
        <v>-4395</v>
      </c>
      <c r="X246" s="20" t="n">
        <v>-26258</v>
      </c>
    </row>
    <row r="247">
      <c r="A247" s="18" t="inlineStr">
        <is>
          <t>배당금 지급</t>
        </is>
      </c>
      <c r="C247" s="20" t="n">
        <v>-394</v>
      </c>
      <c r="D247" s="20" t="n">
        <v>-1157</v>
      </c>
      <c r="E247" s="20" t="n">
        <v>-1183</v>
      </c>
      <c r="F247" s="20" t="n">
        <v>-1140</v>
      </c>
      <c r="G247" s="20" t="n">
        <v>-1183</v>
      </c>
      <c r="H247" s="20" t="n">
        <v>-2520</v>
      </c>
      <c r="I247" s="20" t="n">
        <v>-2565</v>
      </c>
      <c r="J247" s="20" t="n">
        <v>-1683</v>
      </c>
      <c r="K247" s="20" t="n">
        <v>-1716</v>
      </c>
      <c r="L247" s="20" t="n">
        <v>-6014</v>
      </c>
      <c r="M247" s="20" t="n">
        <v>-6128</v>
      </c>
      <c r="N247" s="20" t="n">
        <v>-4751</v>
      </c>
      <c r="S247" s="20" t="n">
        <v>-1381</v>
      </c>
      <c r="T247" s="20" t="n">
        <v>-1281</v>
      </c>
      <c r="U247" s="20" t="n">
        <v>-396</v>
      </c>
      <c r="V247" s="20" t="n">
        <v>-1183</v>
      </c>
      <c r="W247" s="20" t="n">
        <v>-2565</v>
      </c>
      <c r="X247" s="20" t="n">
        <v>-6128</v>
      </c>
    </row>
    <row r="248">
      <c r="A248" s="18" t="inlineStr">
        <is>
          <t>비지배지분 배당금 지급액</t>
        </is>
      </c>
      <c r="C248" s="20" t="n">
        <v>-1295</v>
      </c>
      <c r="D248" s="20" t="n">
        <v>-1295</v>
      </c>
      <c r="E248" s="20" t="n">
        <v>-1295</v>
      </c>
      <c r="F248" s="20" t="n">
        <v>-907</v>
      </c>
      <c r="G248" s="20" t="n">
        <v>-1035</v>
      </c>
      <c r="H248" s="20" t="n">
        <v>-1035</v>
      </c>
      <c r="I248" s="20" t="n">
        <v>-1035</v>
      </c>
      <c r="J248" s="20" t="n">
        <v>-878</v>
      </c>
      <c r="K248" s="20" t="n">
        <v>-977</v>
      </c>
      <c r="L248" s="20" t="n">
        <v>-977</v>
      </c>
      <c r="M248" s="20" t="n">
        <v>-977</v>
      </c>
      <c r="N248" s="20" t="n">
        <v>-86</v>
      </c>
      <c r="S248" s="20" t="n">
        <v>-798</v>
      </c>
      <c r="T248" s="20" t="n">
        <v>-749</v>
      </c>
      <c r="U248" s="20" t="n">
        <v>-1255</v>
      </c>
      <c r="V248" s="20" t="n">
        <v>-1295</v>
      </c>
      <c r="W248" s="20" t="n">
        <v>-1035</v>
      </c>
      <c r="X248" s="20" t="n">
        <v>-977</v>
      </c>
    </row>
    <row r="249">
      <c r="A249" s="18" t="inlineStr">
        <is>
          <t>기타</t>
        </is>
      </c>
      <c r="C249" s="20" t="n">
        <v>-0</v>
      </c>
      <c r="D249" s="20" t="n">
        <v>-0</v>
      </c>
      <c r="E249" s="20" t="n">
        <v>0</v>
      </c>
      <c r="F249" s="20" t="n">
        <v>-0</v>
      </c>
      <c r="G249" s="20" t="n">
        <v>-3</v>
      </c>
      <c r="H249" s="20" t="n">
        <v>-3</v>
      </c>
      <c r="I249" s="20" t="n">
        <v>-3</v>
      </c>
      <c r="J249" s="20" t="n">
        <v>0</v>
      </c>
      <c r="K249" s="20" t="n">
        <v>0</v>
      </c>
      <c r="L249" s="20" t="n">
        <v>0</v>
      </c>
      <c r="M249" s="20" t="n">
        <v>-192</v>
      </c>
      <c r="S249" s="20" t="n">
        <v>-27</v>
      </c>
      <c r="T249" s="20" t="n">
        <v>-0</v>
      </c>
      <c r="U249" s="20" t="n">
        <v>-312</v>
      </c>
      <c r="V249" s="20" t="n">
        <v>0</v>
      </c>
      <c r="W249" s="20" t="n">
        <v>-3</v>
      </c>
      <c r="X249" s="20" t="n">
        <v>-192</v>
      </c>
    </row>
    <row r="250">
      <c r="A250" s="9" t="inlineStr">
        <is>
          <t>재무활동 현금흐름</t>
        </is>
      </c>
      <c r="C250" s="12" t="n">
        <v>-10082</v>
      </c>
      <c r="D250" s="12" t="n">
        <v>-16077</v>
      </c>
      <c r="E250" s="12" t="n">
        <v>-16283</v>
      </c>
      <c r="F250" s="12" t="n">
        <v>-2331</v>
      </c>
      <c r="G250" s="12" t="n">
        <v>-6075</v>
      </c>
      <c r="H250" s="12" t="n">
        <v>-7670</v>
      </c>
      <c r="I250" s="12" t="n">
        <v>-17674</v>
      </c>
      <c r="J250" s="12" t="n">
        <v>-9320</v>
      </c>
      <c r="K250" s="12" t="n">
        <v>-8899</v>
      </c>
      <c r="L250" s="12" t="n">
        <v>-14119</v>
      </c>
      <c r="M250" s="12" t="n">
        <v>-51640</v>
      </c>
      <c r="N250" s="12" t="n">
        <v>12876</v>
      </c>
      <c r="S250" s="12" t="n">
        <v>13479</v>
      </c>
      <c r="T250" s="12" t="n">
        <v>-11987</v>
      </c>
      <c r="U250" s="12" t="n">
        <v>16998</v>
      </c>
      <c r="V250" s="12" t="n">
        <v>-16283</v>
      </c>
      <c r="W250" s="12" t="n">
        <v>-17674</v>
      </c>
      <c r="X250" s="12" t="n">
        <v>-51640</v>
      </c>
    </row>
    <row r="251">
      <c r="A251" s="18" t="inlineStr">
        <is>
          <t>현금성자산 환산차이</t>
        </is>
      </c>
      <c r="C251" s="20" t="n">
        <v>1023</v>
      </c>
      <c r="D251" s="20" t="n">
        <v>-56</v>
      </c>
      <c r="E251" s="20" t="n">
        <v>373</v>
      </c>
      <c r="F251" s="20" t="n">
        <v>805</v>
      </c>
      <c r="G251" s="20" t="n">
        <v>-162</v>
      </c>
      <c r="H251" s="20" t="n">
        <v>764</v>
      </c>
      <c r="I251" s="20" t="n">
        <v>-32</v>
      </c>
      <c r="J251" s="20" t="n">
        <v>-103</v>
      </c>
      <c r="K251" s="20" t="n">
        <v>269</v>
      </c>
      <c r="L251" s="20" t="n">
        <v>1017</v>
      </c>
      <c r="M251" s="20" t="n">
        <v>1200</v>
      </c>
      <c r="N251" s="20" t="n">
        <v>-927</v>
      </c>
      <c r="S251" s="20" t="n">
        <v>757</v>
      </c>
      <c r="T251" s="20" t="n">
        <v>1023</v>
      </c>
      <c r="U251" s="20" t="n">
        <v>599</v>
      </c>
      <c r="V251" s="20" t="n">
        <v>373</v>
      </c>
      <c r="W251" s="20" t="n">
        <v>-32</v>
      </c>
      <c r="X251" s="20" t="n">
        <v>1200</v>
      </c>
    </row>
    <row r="252">
      <c r="A252" s="18" t="inlineStr">
        <is>
          <t>Net Increase Decrease In Cash And Cash Equivalents</t>
        </is>
      </c>
      <c r="C252" s="20" t="n">
        <v>-4017</v>
      </c>
      <c r="D252" s="20" t="n">
        <v>-4921</v>
      </c>
      <c r="E252" s="20" t="n">
        <v>-987</v>
      </c>
      <c r="F252" s="20" t="n">
        <v>-7126</v>
      </c>
      <c r="G252" s="20" t="n">
        <v>-12301</v>
      </c>
      <c r="H252" s="20" t="n">
        <v>-9794</v>
      </c>
      <c r="I252" s="20" t="n">
        <v>-10271</v>
      </c>
      <c r="J252" s="20" t="n">
        <v>905</v>
      </c>
      <c r="K252" s="20" t="n">
        <v>-757</v>
      </c>
      <c r="L252" s="20" t="n">
        <v>19392</v>
      </c>
      <c r="M252" s="20" t="n">
        <v>-2701</v>
      </c>
      <c r="N252" s="20" t="n">
        <v>4897</v>
      </c>
      <c r="S252" s="20" t="n">
        <v>15886</v>
      </c>
      <c r="T252" s="20" t="n">
        <v>-21296</v>
      </c>
      <c r="U252" s="20" t="n">
        <v>14668</v>
      </c>
      <c r="V252" s="20" t="n">
        <v>-987</v>
      </c>
      <c r="W252" s="20" t="n">
        <v>-10271</v>
      </c>
      <c r="X252" s="20" t="n">
        <v>-2701</v>
      </c>
    </row>
    <row r="253">
      <c r="A253" s="9" t="inlineStr">
        <is>
          <t>법인세차감전 순이익</t>
        </is>
      </c>
      <c r="P253" s="12" t="n">
        <v>12371</v>
      </c>
      <c r="Q253" s="12" t="n">
        <v>10455</v>
      </c>
      <c r="R253" s="12" t="n">
        <v>13158</v>
      </c>
      <c r="S253" s="12" t="n">
        <v>4717</v>
      </c>
      <c r="T253" s="12" t="n">
        <v>3009</v>
      </c>
    </row>
    <row r="254">
      <c r="A254" s="18" t="inlineStr">
        <is>
          <t>감가상각비</t>
        </is>
      </c>
      <c r="P254" s="20" t="n">
        <v>13818</v>
      </c>
      <c r="Q254" s="20" t="n">
        <v>14423</v>
      </c>
      <c r="R254" s="20" t="n">
        <v>15884</v>
      </c>
      <c r="S254" s="20" t="n">
        <v>16963</v>
      </c>
      <c r="T254" s="20" t="n">
        <v>16988</v>
      </c>
    </row>
    <row r="255">
      <c r="A255" s="18" t="inlineStr">
        <is>
          <t>손상차손</t>
        </is>
      </c>
      <c r="P255" s="20" t="n">
        <v>0</v>
      </c>
      <c r="Q255" s="20" t="n">
        <v>928</v>
      </c>
      <c r="R255" s="20" t="n">
        <v>45</v>
      </c>
      <c r="S255" s="20" t="n">
        <v>66</v>
      </c>
      <c r="T255" s="20" t="n">
        <v>498</v>
      </c>
    </row>
    <row r="256">
      <c r="A256" s="18" t="inlineStr">
        <is>
          <t>대손충당금 증감</t>
        </is>
      </c>
      <c r="P256" s="20" t="n">
        <v>-12</v>
      </c>
      <c r="Q256" s="20" t="n">
        <v>-70</v>
      </c>
    </row>
    <row r="257">
      <c r="A257" s="18" t="inlineStr">
        <is>
          <t>퇴직급여자산 증감</t>
        </is>
      </c>
      <c r="P257" s="20" t="n">
        <v>-1011</v>
      </c>
      <c r="Q257" s="20" t="n">
        <v>-1284</v>
      </c>
      <c r="R257" s="20" t="n">
        <v>-781</v>
      </c>
      <c r="S257" s="20" t="n">
        <v>-578</v>
      </c>
      <c r="T257" s="20" t="n">
        <v>-135</v>
      </c>
    </row>
    <row r="258">
      <c r="A258" s="18" t="inlineStr">
        <is>
          <t>퇴직급여부채 증감</t>
        </is>
      </c>
      <c r="P258" s="20" t="n">
        <v>603</v>
      </c>
      <c r="Q258" s="20" t="n">
        <v>416</v>
      </c>
      <c r="R258" s="20" t="n">
        <v>177</v>
      </c>
      <c r="S258" s="20" t="n">
        <v>477</v>
      </c>
      <c r="T258" s="20" t="n">
        <v>155</v>
      </c>
    </row>
    <row r="259">
      <c r="A259" s="18" t="inlineStr">
        <is>
          <t>이자·배당금 수익</t>
        </is>
      </c>
      <c r="P259" s="20" t="n">
        <v>-478</v>
      </c>
      <c r="Q259" s="20" t="n">
        <v>-543</v>
      </c>
      <c r="R259" s="20" t="n">
        <v>-543</v>
      </c>
      <c r="S259" s="20" t="n">
        <v>-436</v>
      </c>
      <c r="T259" s="20" t="n">
        <v>-587</v>
      </c>
    </row>
    <row r="260">
      <c r="A260" s="18" t="inlineStr">
        <is>
          <t>이자비용</t>
        </is>
      </c>
      <c r="P260" s="20" t="n">
        <v>156</v>
      </c>
      <c r="Q260" s="20" t="n">
        <v>173</v>
      </c>
      <c r="R260" s="20" t="n">
        <v>154</v>
      </c>
      <c r="S260" s="20" t="n">
        <v>149</v>
      </c>
      <c r="T260" s="20" t="n">
        <v>119</v>
      </c>
    </row>
    <row r="261">
      <c r="A261" s="18" t="inlineStr">
        <is>
          <t>외환차손익</t>
        </is>
      </c>
      <c r="P261" s="20" t="n">
        <v>114</v>
      </c>
      <c r="Q261" s="20" t="n">
        <v>-59</v>
      </c>
      <c r="R261" s="20" t="n">
        <v>21</v>
      </c>
      <c r="S261" s="20" t="n">
        <v>-221</v>
      </c>
      <c r="T261" s="20" t="n">
        <v>-553</v>
      </c>
    </row>
    <row r="262">
      <c r="A262" s="18" t="inlineStr">
        <is>
          <t>파생상품 평가손익</t>
        </is>
      </c>
      <c r="R262" s="20" t="n">
        <v>0</v>
      </c>
      <c r="S262" s="20" t="n">
        <v>124</v>
      </c>
      <c r="T262" s="20" t="n">
        <v>290</v>
      </c>
    </row>
    <row r="263">
      <c r="A263" s="18" t="inlineStr">
        <is>
          <t>유형자산 매각손익</t>
        </is>
      </c>
      <c r="P263" s="20" t="n">
        <v>-599</v>
      </c>
      <c r="Q263" s="20" t="n">
        <v>-93</v>
      </c>
      <c r="R263" s="20" t="n">
        <v>0</v>
      </c>
      <c r="S263" s="20" t="n">
        <v>-427</v>
      </c>
      <c r="T263" s="20" t="n">
        <v>48</v>
      </c>
    </row>
    <row r="264">
      <c r="A264" s="18" t="inlineStr">
        <is>
          <t>유형자산 처분손익</t>
        </is>
      </c>
      <c r="P264" s="20" t="n">
        <v>618</v>
      </c>
      <c r="Q264" s="20" t="n">
        <v>403</v>
      </c>
      <c r="R264" s="20" t="n">
        <v>350</v>
      </c>
      <c r="S264" s="20" t="n">
        <v>345</v>
      </c>
      <c r="T264" s="20" t="n">
        <v>277</v>
      </c>
    </row>
    <row r="265">
      <c r="A265" s="18" t="inlineStr">
        <is>
          <t>투자유가증권 매각손익</t>
        </is>
      </c>
      <c r="P265" s="20" t="n">
        <v>1</v>
      </c>
      <c r="Q265" s="20" t="n">
        <v>-61</v>
      </c>
    </row>
    <row r="266">
      <c r="A266" s="18" t="inlineStr">
        <is>
          <t>매출채권 증감</t>
        </is>
      </c>
      <c r="P266" s="20" t="n">
        <v>-8020</v>
      </c>
      <c r="Q266" s="20" t="n">
        <v>-6043</v>
      </c>
      <c r="R266" s="20" t="n">
        <v>14637</v>
      </c>
      <c r="S266" s="20" t="n">
        <v>-5420</v>
      </c>
      <c r="T266" s="20" t="n">
        <v>-8409</v>
      </c>
    </row>
    <row r="267">
      <c r="A267" s="18" t="inlineStr">
        <is>
          <t>재고자산 증감</t>
        </is>
      </c>
      <c r="P267" s="20" t="n">
        <v>-3600</v>
      </c>
      <c r="Q267" s="20" t="n">
        <v>-2805</v>
      </c>
      <c r="R267" s="20" t="n">
        <v>2645</v>
      </c>
      <c r="S267" s="20" t="n">
        <v>1127</v>
      </c>
      <c r="T267" s="20" t="n">
        <v>-14465</v>
      </c>
    </row>
    <row r="268">
      <c r="A268" s="18" t="inlineStr">
        <is>
          <t>매입채무 증감</t>
        </is>
      </c>
      <c r="P268" s="20" t="n">
        <v>2699</v>
      </c>
      <c r="Q268" s="20" t="n">
        <v>1960</v>
      </c>
      <c r="R268" s="20" t="n">
        <v>-8732</v>
      </c>
      <c r="S268" s="20" t="n">
        <v>3768</v>
      </c>
      <c r="T268" s="20" t="n">
        <v>6987</v>
      </c>
    </row>
    <row r="269">
      <c r="A269" s="18" t="inlineStr">
        <is>
          <t>미지급 소비세 증감</t>
        </is>
      </c>
      <c r="P269" s="20" t="n">
        <v>574</v>
      </c>
      <c r="Q269" s="20" t="n">
        <v>-430</v>
      </c>
      <c r="R269" s="20" t="n">
        <v>1404</v>
      </c>
      <c r="S269" s="20" t="n">
        <v>-1379</v>
      </c>
      <c r="T269" s="20" t="n">
        <v>-408</v>
      </c>
    </row>
    <row r="270">
      <c r="A270" s="18" t="inlineStr">
        <is>
          <t>투자유가증권 평가손익</t>
        </is>
      </c>
      <c r="Q270" s="20" t="n">
        <v>0</v>
      </c>
      <c r="R270" s="20" t="n">
        <v>651</v>
      </c>
      <c r="S270" s="20" t="n">
        <v>9</v>
      </c>
      <c r="T270" s="20" t="n">
        <v>0</v>
      </c>
    </row>
    <row r="271">
      <c r="A271" s="18" t="inlineStr">
        <is>
          <t>기타 유동자산 증감</t>
        </is>
      </c>
      <c r="P271" s="20" t="n">
        <v>-291</v>
      </c>
      <c r="Q271" s="20" t="n">
        <v>-8</v>
      </c>
      <c r="R271" s="20" t="n">
        <v>-221</v>
      </c>
      <c r="S271" s="20" t="n">
        <v>-199</v>
      </c>
      <c r="T271" s="20" t="n">
        <v>-1127</v>
      </c>
    </row>
    <row r="272">
      <c r="A272" s="18" t="inlineStr">
        <is>
          <t>기타 유동부채 증감</t>
        </is>
      </c>
      <c r="P272" s="20" t="n">
        <v>-2316</v>
      </c>
      <c r="Q272" s="20" t="n">
        <v>596</v>
      </c>
      <c r="R272" s="20" t="n">
        <v>-1690</v>
      </c>
      <c r="S272" s="20" t="n">
        <v>-1290</v>
      </c>
      <c r="T272" s="20" t="n">
        <v>1832</v>
      </c>
    </row>
    <row r="273">
      <c r="A273" s="18" t="inlineStr">
        <is>
          <t>기타</t>
        </is>
      </c>
      <c r="P273" s="20" t="n">
        <v>183</v>
      </c>
      <c r="Q273" s="20" t="n">
        <v>-284</v>
      </c>
      <c r="R273" s="20" t="n">
        <v>-52</v>
      </c>
      <c r="S273" s="20" t="n">
        <v>-114</v>
      </c>
      <c r="T273" s="20" t="n">
        <v>-207</v>
      </c>
    </row>
    <row r="274">
      <c r="A274" s="18" t="inlineStr">
        <is>
          <t>소계</t>
        </is>
      </c>
      <c r="P274" s="20" t="n">
        <v>14811</v>
      </c>
      <c r="Q274" s="20" t="n">
        <v>17804</v>
      </c>
      <c r="R274" s="20" t="n">
        <v>37109</v>
      </c>
      <c r="S274" s="20" t="n">
        <v>17680</v>
      </c>
      <c r="T274" s="20" t="n">
        <v>4314</v>
      </c>
    </row>
    <row r="275">
      <c r="A275" s="18" t="inlineStr">
        <is>
          <t>이자·배당금 수취</t>
        </is>
      </c>
      <c r="P275" s="20" t="n">
        <v>477</v>
      </c>
      <c r="Q275" s="20" t="n">
        <v>543</v>
      </c>
      <c r="R275" s="20" t="n">
        <v>543</v>
      </c>
      <c r="S275" s="20" t="n">
        <v>435</v>
      </c>
      <c r="T275" s="20" t="n">
        <v>588</v>
      </c>
    </row>
    <row r="276">
      <c r="A276" s="18" t="inlineStr">
        <is>
          <t>이자 지급</t>
        </is>
      </c>
      <c r="P276" s="20" t="n">
        <v>-146</v>
      </c>
      <c r="Q276" s="20" t="n">
        <v>-175</v>
      </c>
      <c r="R276" s="20" t="n">
        <v>-154</v>
      </c>
      <c r="S276" s="20" t="n">
        <v>-162</v>
      </c>
      <c r="T276" s="20" t="n">
        <v>-112</v>
      </c>
    </row>
    <row r="277">
      <c r="A277" s="18" t="inlineStr">
        <is>
          <t>법인세 납부</t>
        </is>
      </c>
      <c r="P277" s="20" t="n">
        <v>-1978</v>
      </c>
      <c r="Q277" s="20" t="n">
        <v>-4593</v>
      </c>
      <c r="R277" s="20" t="n">
        <v>-2114</v>
      </c>
      <c r="S277" s="20" t="n">
        <v>-3159</v>
      </c>
      <c r="T277" s="20" t="n">
        <v>-895</v>
      </c>
    </row>
    <row r="278">
      <c r="A278" s="18" t="inlineStr">
        <is>
          <t>법인세 환급</t>
        </is>
      </c>
      <c r="Q278" s="20" t="n">
        <v>0</v>
      </c>
      <c r="R278" s="20" t="n">
        <v>924</v>
      </c>
      <c r="S278" s="20" t="n">
        <v>0</v>
      </c>
    </row>
    <row r="279">
      <c r="A279" s="9" t="inlineStr">
        <is>
          <t>영업활동 현금흐름</t>
        </is>
      </c>
      <c r="P279" s="12" t="n">
        <v>13164</v>
      </c>
      <c r="Q279" s="12" t="n">
        <v>13580</v>
      </c>
      <c r="R279" s="12" t="n">
        <v>36308</v>
      </c>
      <c r="S279" s="12" t="n">
        <v>14793</v>
      </c>
      <c r="T279" s="12" t="n">
        <v>3895</v>
      </c>
    </row>
    <row r="280">
      <c r="A280" s="18" t="inlineStr">
        <is>
          <t>정기예금 증감</t>
        </is>
      </c>
      <c r="P280" s="20" t="n">
        <v>-127</v>
      </c>
      <c r="Q280" s="20" t="n">
        <v>546</v>
      </c>
      <c r="R280" s="20" t="n">
        <v>26</v>
      </c>
      <c r="S280" s="20" t="n">
        <v>-257</v>
      </c>
      <c r="T280" s="20" t="n">
        <v>405</v>
      </c>
    </row>
    <row r="281">
      <c r="A281" s="18" t="inlineStr">
        <is>
          <t>유형자산 취득(설비투자)</t>
        </is>
      </c>
      <c r="P281" s="20" t="n">
        <v>-20261</v>
      </c>
      <c r="Q281" s="20" t="n">
        <v>-18586</v>
      </c>
      <c r="R281" s="20" t="n">
        <v>-22406</v>
      </c>
      <c r="S281" s="20" t="n">
        <v>-13083</v>
      </c>
      <c r="T281" s="20" t="n">
        <v>-14142</v>
      </c>
    </row>
    <row r="282">
      <c r="A282" s="18" t="inlineStr">
        <is>
          <t>유형자산 매각</t>
        </is>
      </c>
      <c r="P282" s="20" t="n">
        <v>673</v>
      </c>
      <c r="Q282" s="20" t="n">
        <v>170</v>
      </c>
      <c r="R282" s="20" t="n">
        <v>41</v>
      </c>
      <c r="S282" s="20" t="n">
        <v>589</v>
      </c>
      <c r="T282" s="20" t="n">
        <v>74</v>
      </c>
    </row>
    <row r="283">
      <c r="A283" s="18" t="inlineStr">
        <is>
          <t>Payments For Disposal Of Property Plant And Equipment Inv CF</t>
        </is>
      </c>
      <c r="P283" s="20" t="n">
        <v>-466</v>
      </c>
      <c r="Q283" s="20" t="n">
        <v>-271</v>
      </c>
      <c r="R283" s="20" t="n">
        <v>-228</v>
      </c>
      <c r="S283" s="20" t="n">
        <v>-325</v>
      </c>
      <c r="T283" s="20" t="n">
        <v>-193</v>
      </c>
    </row>
    <row r="284">
      <c r="A284" s="18" t="inlineStr">
        <is>
          <t>무형자산 취득</t>
        </is>
      </c>
      <c r="P284" s="20" t="n">
        <v>-547</v>
      </c>
      <c r="Q284" s="20" t="n">
        <v>-1484</v>
      </c>
      <c r="R284" s="20" t="n">
        <v>-1174</v>
      </c>
      <c r="S284" s="20" t="n">
        <v>-1318</v>
      </c>
      <c r="T284" s="20" t="n">
        <v>-1023</v>
      </c>
    </row>
    <row r="285">
      <c r="A285" s="18" t="inlineStr">
        <is>
          <t>투자유가증권 취득</t>
        </is>
      </c>
      <c r="P285" s="20" t="n">
        <v>-302</v>
      </c>
      <c r="Q285" s="20" t="n">
        <v>-0</v>
      </c>
      <c r="R285" s="20" t="n">
        <v>-923</v>
      </c>
      <c r="S285" s="20" t="n">
        <v>-0</v>
      </c>
      <c r="T285" s="20" t="n">
        <v>-52</v>
      </c>
    </row>
    <row r="286">
      <c r="A286" s="18" t="inlineStr">
        <is>
          <t>투자유가증권 매각</t>
        </is>
      </c>
      <c r="P286" s="20" t="n">
        <v>15</v>
      </c>
      <c r="Q286" s="20" t="n">
        <v>104</v>
      </c>
      <c r="R286" s="20" t="n">
        <v>91</v>
      </c>
      <c r="S286" s="20" t="n">
        <v>207</v>
      </c>
      <c r="T286" s="20" t="n">
        <v>8</v>
      </c>
    </row>
    <row r="287">
      <c r="A287" s="18" t="inlineStr">
        <is>
          <t>대여</t>
        </is>
      </c>
      <c r="P287" s="20" t="n">
        <v>-27</v>
      </c>
      <c r="Q287" s="20" t="n">
        <v>-20</v>
      </c>
    </row>
    <row r="288">
      <c r="A288" s="18" t="inlineStr">
        <is>
          <t>대여금 회수</t>
        </is>
      </c>
      <c r="P288" s="20" t="n">
        <v>81</v>
      </c>
      <c r="Q288" s="20" t="n">
        <v>74</v>
      </c>
    </row>
    <row r="289">
      <c r="A289" s="18" t="inlineStr">
        <is>
          <t>기타</t>
        </is>
      </c>
      <c r="P289" s="20" t="n">
        <v>7</v>
      </c>
      <c r="Q289" s="20" t="n">
        <v>-139</v>
      </c>
      <c r="R289" s="20" t="n">
        <v>55</v>
      </c>
      <c r="S289" s="20" t="n">
        <v>353</v>
      </c>
      <c r="T289" s="20" t="n">
        <v>35</v>
      </c>
    </row>
    <row r="290">
      <c r="A290" s="9" t="inlineStr">
        <is>
          <t>투자활동 현금흐름</t>
        </is>
      </c>
      <c r="P290" s="12" t="n">
        <v>-20954</v>
      </c>
      <c r="Q290" s="12" t="n">
        <v>-19765</v>
      </c>
      <c r="R290" s="12" t="n">
        <v>-24517</v>
      </c>
      <c r="S290" s="12" t="n">
        <v>-13834</v>
      </c>
      <c r="T290" s="12" t="n">
        <v>-14886</v>
      </c>
    </row>
    <row r="291">
      <c r="A291" s="18" t="inlineStr">
        <is>
          <t>단기차입금 순증감</t>
        </is>
      </c>
      <c r="P291" s="20" t="n">
        <v>-627</v>
      </c>
      <c r="Q291" s="20" t="n">
        <v>-16</v>
      </c>
      <c r="R291" s="20" t="n">
        <v>-110</v>
      </c>
      <c r="S291" s="20" t="n">
        <v>5021</v>
      </c>
      <c r="T291" s="20" t="n">
        <v>-5000</v>
      </c>
    </row>
    <row r="292">
      <c r="A292" s="18" t="inlineStr">
        <is>
          <t>장기차입</t>
        </is>
      </c>
      <c r="P292" s="20" t="n">
        <v>3104</v>
      </c>
      <c r="Q292" s="20" t="n">
        <v>13000</v>
      </c>
      <c r="R292" s="20" t="n">
        <v>0</v>
      </c>
      <c r="S292" s="20" t="n">
        <v>37050</v>
      </c>
      <c r="T292" s="20" t="n">
        <v>16000</v>
      </c>
    </row>
    <row r="293">
      <c r="A293" s="18" t="inlineStr">
        <is>
          <t>장기차입금 상환</t>
        </is>
      </c>
      <c r="P293" s="20" t="n">
        <v>-9710</v>
      </c>
      <c r="Q293" s="20" t="n">
        <v>-798</v>
      </c>
      <c r="R293" s="20" t="n">
        <v>-9</v>
      </c>
      <c r="S293" s="20" t="n">
        <v>-25654</v>
      </c>
      <c r="T293" s="20" t="n">
        <v>-209</v>
      </c>
    </row>
    <row r="294">
      <c r="A294" s="18" t="inlineStr">
        <is>
          <t>금융리스부채 상환</t>
        </is>
      </c>
      <c r="P294" s="20" t="n">
        <v>-71</v>
      </c>
      <c r="Q294" s="20" t="n">
        <v>-68</v>
      </c>
    </row>
    <row r="295">
      <c r="A295" s="18" t="inlineStr">
        <is>
          <t>사채 상환</t>
        </is>
      </c>
      <c r="S295" s="20" t="n">
        <v>0</v>
      </c>
      <c r="T295" s="20" t="n">
        <v>-20000</v>
      </c>
    </row>
    <row r="296">
      <c r="A296" s="18" t="inlineStr">
        <is>
          <t>배당금 지급</t>
        </is>
      </c>
      <c r="P296" s="20" t="n">
        <v>-1968</v>
      </c>
      <c r="Q296" s="20" t="n">
        <v>-2559</v>
      </c>
      <c r="R296" s="20" t="n">
        <v>-2360</v>
      </c>
      <c r="S296" s="20" t="n">
        <v>-1381</v>
      </c>
      <c r="T296" s="20" t="n">
        <v>-1281</v>
      </c>
    </row>
    <row r="297">
      <c r="A297" s="18" t="inlineStr">
        <is>
          <t>비지배주주 배당금 지급</t>
        </is>
      </c>
      <c r="P297" s="20" t="n">
        <v>-236</v>
      </c>
      <c r="Q297" s="20" t="n">
        <v>-499</v>
      </c>
      <c r="R297" s="20" t="n">
        <v>-737</v>
      </c>
      <c r="S297" s="20" t="n">
        <v>-798</v>
      </c>
      <c r="T297" s="20" t="n">
        <v>-749</v>
      </c>
    </row>
    <row r="298">
      <c r="A298" s="18" t="inlineStr">
        <is>
          <t>기타</t>
        </is>
      </c>
      <c r="P298" s="20" t="n">
        <v>0</v>
      </c>
      <c r="Q298" s="20" t="n">
        <v>-89</v>
      </c>
      <c r="R298" s="20" t="n">
        <v>-72</v>
      </c>
      <c r="S298" s="20" t="n">
        <v>-68</v>
      </c>
      <c r="T298" s="20" t="n">
        <v>-89</v>
      </c>
    </row>
    <row r="299">
      <c r="A299" s="9" t="inlineStr">
        <is>
          <t>재무활동 현금흐름</t>
        </is>
      </c>
      <c r="P299" s="12" t="n">
        <v>-9509</v>
      </c>
      <c r="Q299" s="12" t="n">
        <v>9035</v>
      </c>
      <c r="R299" s="12" t="n">
        <v>-3290</v>
      </c>
      <c r="S299" s="12" t="n">
        <v>14168</v>
      </c>
      <c r="T299" s="12" t="n">
        <v>-11330</v>
      </c>
    </row>
    <row r="300">
      <c r="A300" s="18" t="inlineStr">
        <is>
          <t>현금성자산 환산차이</t>
        </is>
      </c>
      <c r="P300" s="20" t="n">
        <v>7</v>
      </c>
      <c r="Q300" s="20" t="n">
        <v>22</v>
      </c>
      <c r="R300" s="20" t="n">
        <v>-536</v>
      </c>
      <c r="S300" s="20" t="n">
        <v>759</v>
      </c>
      <c r="T300" s="20" t="n">
        <v>1025</v>
      </c>
    </row>
    <row r="301">
      <c r="A301" s="18" t="inlineStr">
        <is>
          <t>현금성자산 증감</t>
        </is>
      </c>
      <c r="P301" s="20" t="n">
        <v>-17292</v>
      </c>
      <c r="Q301" s="20" t="n">
        <v>2872</v>
      </c>
      <c r="R301" s="20" t="n">
        <v>7964</v>
      </c>
      <c r="S301" s="20" t="n">
        <v>15886</v>
      </c>
      <c r="T301" s="20" t="n">
        <v>-21296</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77"/>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5482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157482</v>
      </c>
      <c r="D5" s="12" t="n">
        <v>154514</v>
      </c>
      <c r="E5" s="12" t="n">
        <v>180095</v>
      </c>
      <c r="F5" s="12" t="n">
        <v>158920</v>
      </c>
      <c r="G5" s="12" t="n">
        <v>170664</v>
      </c>
      <c r="H5" s="11" t="n">
        <v>145750</v>
      </c>
      <c r="I5" s="12" t="n">
        <v>167012</v>
      </c>
      <c r="J5" s="12" t="n">
        <v>166533</v>
      </c>
      <c r="K5" s="12" t="n">
        <v>157789</v>
      </c>
      <c r="L5" s="12" t="n">
        <v>158920</v>
      </c>
    </row>
    <row r="6">
      <c r="A6" s="18" t="inlineStr">
        <is>
          <t>현금및현금성자산</t>
        </is>
      </c>
      <c r="B6" s="10" t="n"/>
      <c r="C6" s="19" t="n">
        <v>37180</v>
      </c>
      <c r="D6" s="20" t="n">
        <v>35518</v>
      </c>
      <c r="E6" s="20" t="n">
        <v>55667</v>
      </c>
      <c r="F6" s="20" t="n">
        <v>33574</v>
      </c>
      <c r="G6" s="20" t="n">
        <v>38471</v>
      </c>
      <c r="H6" s="19" t="n">
        <v>32866</v>
      </c>
      <c r="I6" s="20" t="n">
        <v>47534</v>
      </c>
      <c r="J6" s="20" t="n">
        <v>46546</v>
      </c>
      <c r="K6" s="20" t="n">
        <v>36275</v>
      </c>
      <c r="L6" s="20" t="n">
        <v>33574</v>
      </c>
    </row>
    <row r="7">
      <c r="A7" s="18" t="inlineStr">
        <is>
          <t>단기금융상품</t>
        </is>
      </c>
      <c r="B7" s="10" t="n"/>
      <c r="C7" s="19" t="n">
        <v>6569</v>
      </c>
      <c r="D7" s="20" t="n">
        <v>7137</v>
      </c>
      <c r="E7" s="20" t="n">
        <v>7687</v>
      </c>
      <c r="F7" s="20" t="n">
        <v>8919</v>
      </c>
      <c r="G7" s="20" t="n">
        <v>8908</v>
      </c>
      <c r="H7" s="19" t="n">
        <v>711</v>
      </c>
      <c r="I7" s="20" t="n">
        <v>784</v>
      </c>
      <c r="J7" s="20" t="n">
        <v>2457</v>
      </c>
      <c r="K7" s="20" t="n">
        <v>3481</v>
      </c>
      <c r="L7" s="20" t="n">
        <v>8919</v>
      </c>
    </row>
    <row r="8">
      <c r="A8" s="18" t="inlineStr">
        <is>
          <t>매출채권</t>
        </is>
      </c>
      <c r="B8" s="10" t="n"/>
      <c r="C8" s="19" t="n">
        <v>60641</v>
      </c>
      <c r="D8" s="20" t="n">
        <v>58570</v>
      </c>
      <c r="E8" s="20" t="n">
        <v>62316</v>
      </c>
      <c r="F8" s="20" t="n">
        <v>62125</v>
      </c>
      <c r="G8" s="20" t="n">
        <v>64256</v>
      </c>
      <c r="H8" s="19" t="n">
        <v>61071</v>
      </c>
      <c r="I8" s="20" t="n">
        <v>63511</v>
      </c>
      <c r="J8" s="20" t="n">
        <v>62371</v>
      </c>
      <c r="K8" s="20" t="n">
        <v>63749</v>
      </c>
      <c r="L8" s="20" t="n">
        <v>62125</v>
      </c>
    </row>
    <row r="9">
      <c r="A9" s="18" t="inlineStr">
        <is>
          <t>재고자산</t>
        </is>
      </c>
      <c r="B9" s="10" t="n"/>
      <c r="C9" s="19" t="n">
        <v>52377</v>
      </c>
      <c r="D9" s="20" t="n">
        <v>52762</v>
      </c>
      <c r="E9" s="20" t="n">
        <v>53720</v>
      </c>
      <c r="F9" s="20" t="n">
        <v>53764</v>
      </c>
      <c r="G9" s="20" t="n">
        <v>58238</v>
      </c>
      <c r="H9" s="19" t="n">
        <v>49332</v>
      </c>
      <c r="I9" s="20" t="n">
        <v>54381</v>
      </c>
      <c r="J9" s="20" t="n">
        <v>54216</v>
      </c>
      <c r="K9" s="20" t="n">
        <v>53410</v>
      </c>
      <c r="L9" s="20" t="n">
        <v>53764</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234824</v>
      </c>
      <c r="D11" s="12" t="n">
        <v>247211</v>
      </c>
      <c r="E11" s="12" t="n">
        <v>239276</v>
      </c>
      <c r="F11" s="12" t="n">
        <v>239922</v>
      </c>
      <c r="G11" s="12" t="n">
        <v>235672</v>
      </c>
      <c r="H11" s="11" t="n">
        <v>218649</v>
      </c>
      <c r="I11" s="12" t="n">
        <v>218436</v>
      </c>
      <c r="J11" s="12" t="n">
        <v>276574</v>
      </c>
      <c r="K11" s="12" t="n">
        <v>242273</v>
      </c>
      <c r="L11" s="12" t="n">
        <v>239922</v>
      </c>
    </row>
    <row r="12">
      <c r="A12" s="18" t="inlineStr">
        <is>
          <t>유형자산</t>
        </is>
      </c>
      <c r="B12" s="10" t="n"/>
      <c r="C12" s="19" t="n">
        <v>129224</v>
      </c>
      <c r="D12" s="20" t="n">
        <v>129988</v>
      </c>
      <c r="E12" s="20" t="n">
        <v>129422</v>
      </c>
      <c r="F12" s="20" t="n">
        <v>129015</v>
      </c>
      <c r="G12" s="20" t="n">
        <v>128061</v>
      </c>
      <c r="H12" s="19" t="n">
        <v>125676</v>
      </c>
      <c r="I12" s="20" t="n">
        <v>126665</v>
      </c>
      <c r="J12" s="20" t="n">
        <v>131793</v>
      </c>
      <c r="K12" s="20" t="n">
        <v>130986</v>
      </c>
      <c r="L12" s="20" t="n">
        <v>129015</v>
      </c>
    </row>
    <row r="13">
      <c r="A13" s="18" t="inlineStr">
        <is>
          <t>무형자산</t>
        </is>
      </c>
      <c r="B13" s="10" t="n"/>
      <c r="C13" s="19" t="n">
        <v>2271</v>
      </c>
      <c r="D13" s="20" t="n">
        <v>2186</v>
      </c>
      <c r="E13" s="20" t="n">
        <v>2117</v>
      </c>
      <c r="F13" s="20" t="n">
        <v>3896</v>
      </c>
      <c r="G13" s="20" t="n">
        <v>4265</v>
      </c>
      <c r="H13" s="19" t="n">
        <v>3172</v>
      </c>
      <c r="I13" s="20" t="n">
        <v>3065</v>
      </c>
      <c r="J13" s="20" t="n">
        <v>2681</v>
      </c>
      <c r="K13" s="20" t="n">
        <v>2426</v>
      </c>
      <c r="L13" s="20" t="n">
        <v>3896</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392306</v>
      </c>
      <c r="D16" s="12" t="n">
        <v>401725</v>
      </c>
      <c r="E16" s="12" t="n">
        <v>419371</v>
      </c>
      <c r="F16" s="12" t="n">
        <v>398843</v>
      </c>
      <c r="G16" s="12" t="n">
        <v>406337</v>
      </c>
      <c r="H16" s="11" t="n">
        <v>364400</v>
      </c>
      <c r="I16" s="12" t="n">
        <v>385449</v>
      </c>
      <c r="J16" s="12" t="n">
        <v>443108</v>
      </c>
      <c r="K16" s="12" t="n">
        <v>400063</v>
      </c>
      <c r="L16" s="12" t="n">
        <v>398843</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96028</v>
      </c>
      <c r="D18" s="12" t="n">
        <v>96574</v>
      </c>
      <c r="E18" s="12" t="n">
        <v>116181</v>
      </c>
      <c r="F18" s="12" t="n">
        <v>92013</v>
      </c>
      <c r="G18" s="12" t="n">
        <v>99063</v>
      </c>
      <c r="H18" s="11" t="n">
        <v>52014</v>
      </c>
      <c r="I18" s="12" t="n">
        <v>65205</v>
      </c>
      <c r="J18" s="12" t="n">
        <v>74220</v>
      </c>
      <c r="K18" s="12" t="n">
        <v>69741</v>
      </c>
      <c r="L18" s="12" t="n">
        <v>92013</v>
      </c>
    </row>
    <row r="19">
      <c r="A19" s="18" t="inlineStr">
        <is>
          <t>매입채무</t>
        </is>
      </c>
      <c r="B19" s="10" t="n"/>
      <c r="C19" s="19" t="n">
        <v>41362</v>
      </c>
      <c r="D19" s="20" t="n">
        <v>41116</v>
      </c>
      <c r="E19" s="20" t="n">
        <v>40584</v>
      </c>
      <c r="F19" s="20" t="n">
        <v>45279</v>
      </c>
      <c r="G19" s="20" t="n">
        <v>47469</v>
      </c>
      <c r="H19" s="19" t="n">
        <v>46517</v>
      </c>
      <c r="I19" s="20" t="n">
        <v>45662</v>
      </c>
      <c r="J19" s="20" t="n">
        <v>51084</v>
      </c>
      <c r="K19" s="20" t="n">
        <v>43708</v>
      </c>
      <c r="L19" s="20" t="n">
        <v>45279</v>
      </c>
    </row>
    <row r="20">
      <c r="A20" s="18" t="inlineStr">
        <is>
          <t>단기차입금</t>
        </is>
      </c>
      <c r="B20" s="10" t="n"/>
      <c r="C20" s="19" t="n">
        <v>45293</v>
      </c>
      <c r="D20" s="20" t="n">
        <v>45986</v>
      </c>
      <c r="E20" s="20" t="n">
        <v>61391</v>
      </c>
      <c r="F20" s="20" t="n">
        <v>24405</v>
      </c>
      <c r="G20" s="20" t="n">
        <v>41399</v>
      </c>
      <c r="H20" s="19" t="n">
        <v>609</v>
      </c>
      <c r="I20" s="20" t="n">
        <v>13313</v>
      </c>
      <c r="J20" s="20" t="n">
        <v>15305</v>
      </c>
      <c r="K20" s="20" t="n">
        <v>17549</v>
      </c>
      <c r="L20" s="20" t="n">
        <v>24405</v>
      </c>
    </row>
    <row r="21">
      <c r="A21" s="18" t="inlineStr">
        <is>
          <t>유동성장기부채</t>
        </is>
      </c>
      <c r="B21" s="10" t="n"/>
      <c r="C21" s="19" t="n"/>
      <c r="D21" s="20" t="n"/>
      <c r="E21" s="20" t="n"/>
      <c r="F21" s="20" t="n"/>
      <c r="G21" s="20" t="n"/>
      <c r="H21" s="19" t="n">
        <v>309</v>
      </c>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77297</v>
      </c>
      <c r="D23" s="12" t="n">
        <v>78673</v>
      </c>
      <c r="E23" s="12" t="n">
        <v>64307</v>
      </c>
      <c r="F23" s="12" t="n">
        <v>57902</v>
      </c>
      <c r="G23" s="12" t="n">
        <v>60021</v>
      </c>
      <c r="H23" s="11" t="n">
        <v>99910</v>
      </c>
      <c r="I23" s="12" t="n">
        <v>105921</v>
      </c>
      <c r="J23" s="12" t="n">
        <v>106877</v>
      </c>
      <c r="K23" s="12" t="n">
        <v>86923</v>
      </c>
      <c r="L23" s="12" t="n">
        <v>57902</v>
      </c>
    </row>
    <row r="24">
      <c r="A24" s="18" t="inlineStr">
        <is>
          <t>장기차입금</t>
        </is>
      </c>
      <c r="B24" s="10" t="n"/>
      <c r="C24" s="19" t="n">
        <v>39019</v>
      </c>
      <c r="D24" s="20" t="n">
        <v>39118</v>
      </c>
      <c r="E24" s="20" t="n">
        <v>23091</v>
      </c>
      <c r="F24" s="20" t="n">
        <v>23065</v>
      </c>
      <c r="G24" s="20" t="n">
        <v>26039</v>
      </c>
      <c r="H24" s="19" t="n">
        <v>66058</v>
      </c>
      <c r="I24" s="20" t="n">
        <v>73081</v>
      </c>
      <c r="J24" s="20" t="n">
        <v>58076</v>
      </c>
      <c r="K24" s="20" t="n">
        <v>47020</v>
      </c>
      <c r="L24" s="20" t="n">
        <v>23065</v>
      </c>
    </row>
    <row r="25">
      <c r="A25" s="18" t="inlineStr">
        <is>
          <t>사채</t>
        </is>
      </c>
      <c r="B25" s="10" t="n"/>
      <c r="C25" s="19" t="n"/>
      <c r="D25" s="20" t="n"/>
      <c r="E25" s="20" t="n"/>
      <c r="F25" s="20" t="n"/>
      <c r="G25" s="20" t="n"/>
      <c r="H25" s="19" t="n">
        <v>66058</v>
      </c>
      <c r="I25" s="20" t="n"/>
      <c r="J25" s="20" t="n"/>
      <c r="K25" s="20" t="n"/>
      <c r="L25" s="20" t="n"/>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173325</v>
      </c>
      <c r="D27" s="12" t="n">
        <v>175248</v>
      </c>
      <c r="E27" s="12" t="n">
        <v>180488</v>
      </c>
      <c r="F27" s="12" t="n">
        <v>149916</v>
      </c>
      <c r="G27" s="12" t="n">
        <v>159085</v>
      </c>
      <c r="H27" s="11" t="n">
        <v>151925</v>
      </c>
      <c r="I27" s="12" t="n">
        <v>171126</v>
      </c>
      <c r="J27" s="12" t="n">
        <v>181097</v>
      </c>
      <c r="K27" s="12" t="n">
        <v>156664</v>
      </c>
      <c r="L27" s="12" t="n">
        <v>149916</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208083</v>
      </c>
      <c r="D31" s="12" t="n">
        <v>215040</v>
      </c>
      <c r="E31" s="12" t="n">
        <v>226467</v>
      </c>
      <c r="F31" s="12" t="n">
        <v>236265</v>
      </c>
      <c r="G31" s="12" t="n">
        <v>236665</v>
      </c>
      <c r="H31" s="11" t="n">
        <v>201548</v>
      </c>
      <c r="I31" s="12" t="n">
        <v>203759</v>
      </c>
      <c r="J31" s="12" t="n">
        <v>250970</v>
      </c>
      <c r="K31" s="12" t="n">
        <v>231936</v>
      </c>
      <c r="L31" s="12" t="n">
        <v>236265</v>
      </c>
    </row>
    <row r="32">
      <c r="A32" s="18" t="inlineStr">
        <is>
          <t>자본금</t>
        </is>
      </c>
      <c r="B32" s="10" t="n"/>
      <c r="C32" s="19" t="n">
        <v>25016</v>
      </c>
      <c r="D32" s="20" t="n">
        <v>25016</v>
      </c>
      <c r="E32" s="20" t="n">
        <v>25016</v>
      </c>
      <c r="F32" s="20" t="n">
        <v>25016</v>
      </c>
      <c r="G32" s="20" t="n">
        <v>25016</v>
      </c>
      <c r="H32" s="19" t="n">
        <v>25016</v>
      </c>
      <c r="I32" s="20" t="n">
        <v>25016</v>
      </c>
      <c r="J32" s="20" t="n">
        <v>25016</v>
      </c>
      <c r="K32" s="20" t="n">
        <v>25016</v>
      </c>
      <c r="L32" s="20" t="n">
        <v>25016</v>
      </c>
    </row>
    <row r="33">
      <c r="A33" s="18" t="inlineStr">
        <is>
          <t>이익잉여금</t>
        </is>
      </c>
      <c r="B33" s="10" t="n"/>
      <c r="C33" s="19" t="n">
        <v>138106</v>
      </c>
      <c r="D33" s="20" t="n">
        <v>114943</v>
      </c>
      <c r="E33" s="20" t="n">
        <v>122249</v>
      </c>
      <c r="F33" s="20" t="n">
        <v>131178</v>
      </c>
      <c r="G33" s="20" t="n">
        <v>133317</v>
      </c>
      <c r="H33" s="19" t="n">
        <v>121744</v>
      </c>
      <c r="I33" s="20" t="n">
        <v>120167</v>
      </c>
      <c r="J33" s="20" t="n">
        <v>151302</v>
      </c>
      <c r="K33" s="20" t="n">
        <v>137624</v>
      </c>
      <c r="L33" s="20" t="n">
        <v>131178</v>
      </c>
    </row>
    <row r="34">
      <c r="A34" s="18" t="inlineStr">
        <is>
          <t>비지배지분</t>
        </is>
      </c>
      <c r="B34" s="10" t="n"/>
      <c r="C34" s="19" t="n">
        <v>10897</v>
      </c>
      <c r="D34" s="20" t="n">
        <v>11436</v>
      </c>
      <c r="E34" s="20" t="n">
        <v>12415</v>
      </c>
      <c r="F34" s="20" t="n">
        <v>12661</v>
      </c>
      <c r="G34" s="20" t="n">
        <v>10586</v>
      </c>
      <c r="H34" s="19" t="n">
        <v>10927</v>
      </c>
      <c r="I34" s="20" t="n">
        <v>10562</v>
      </c>
      <c r="J34" s="20" t="n">
        <v>11040</v>
      </c>
      <c r="K34" s="20" t="n">
        <v>11462</v>
      </c>
      <c r="L34" s="20" t="n">
        <v>12661</v>
      </c>
    </row>
    <row r="35">
      <c r="A35" s="9" t="inlineStr">
        <is>
          <t>자본총계</t>
        </is>
      </c>
      <c r="B35" s="10" t="n"/>
      <c r="C35" s="11" t="n">
        <v>218981</v>
      </c>
      <c r="D35" s="12" t="n">
        <v>226477</v>
      </c>
      <c r="E35" s="12" t="n">
        <v>238883</v>
      </c>
      <c r="F35" s="12" t="n">
        <v>248926</v>
      </c>
      <c r="G35" s="12" t="n">
        <v>247252</v>
      </c>
      <c r="H35" s="11" t="n">
        <v>212475</v>
      </c>
      <c r="I35" s="12" t="n">
        <v>214322</v>
      </c>
      <c r="J35" s="12" t="n">
        <v>262010</v>
      </c>
      <c r="K35" s="12" t="n">
        <v>243398</v>
      </c>
      <c r="L35" s="12" t="n">
        <v>248926</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43209</v>
      </c>
      <c r="D37" s="12" t="n">
        <v>44661</v>
      </c>
      <c r="E37" s="12" t="n">
        <v>70974</v>
      </c>
      <c r="F37" s="12" t="n">
        <v>65028</v>
      </c>
      <c r="G37" s="12" t="n">
        <v>38419</v>
      </c>
      <c r="H37" s="11" t="n">
        <v>5210</v>
      </c>
      <c r="I37" s="12" t="n">
        <v>13028</v>
      </c>
      <c r="J37" s="12" t="n">
        <v>33817</v>
      </c>
      <c r="K37" s="12" t="n">
        <v>25354</v>
      </c>
      <c r="L37" s="12" t="n">
        <v>65028</v>
      </c>
    </row>
    <row r="38">
      <c r="A38" s="18" t="inlineStr">
        <is>
          <t>CAPEX (유·무형 취득)</t>
        </is>
      </c>
      <c r="B38" s="10" t="inlineStr">
        <is>
          <t>양수로 입력</t>
        </is>
      </c>
      <c r="C38" s="19" t="n">
        <v>21184</v>
      </c>
      <c r="D38" s="20" t="n">
        <v>17987</v>
      </c>
      <c r="E38" s="20" t="n">
        <v>17571</v>
      </c>
      <c r="F38" s="20" t="n">
        <v>16662</v>
      </c>
      <c r="G38" s="20" t="n">
        <v>16192</v>
      </c>
      <c r="H38" s="19" t="n">
        <v>15827</v>
      </c>
      <c r="I38" s="20" t="n">
        <v>15821</v>
      </c>
      <c r="J38" s="20" t="n">
        <v>19039</v>
      </c>
      <c r="K38" s="20" t="n">
        <v>22223</v>
      </c>
      <c r="L38" s="20" t="n">
        <v>16662</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3108</v>
      </c>
      <c r="D40" s="20" t="n">
        <v>3098</v>
      </c>
      <c r="E40" s="20" t="n">
        <v>6059</v>
      </c>
      <c r="F40" s="20" t="n">
        <v>6128</v>
      </c>
      <c r="G40" s="20" t="n">
        <v>9196</v>
      </c>
      <c r="H40" s="19" t="n">
        <v>1281</v>
      </c>
      <c r="I40" s="20" t="n">
        <v>396</v>
      </c>
      <c r="J40" s="20" t="n">
        <v>1183</v>
      </c>
      <c r="K40" s="20" t="n">
        <v>2565</v>
      </c>
      <c r="L40" s="20" t="n">
        <v>6128</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IFERROR((IF(COUNT('연간'!G31:J31)&lt;4,"",SUM('연간'!G31:J31)))/(IF(COUNT('연간'!G53:J53)&lt;4,"",SUM('연간'!G53:J53))),"")</f>
        <v/>
      </c>
      <c r="D48" s="31">
        <f>IFERROR((IF(COUNT('연간'!H31:K31)&lt;4,"",SUM('연간'!H31:K31)))/(IF(COUNT('연간'!H53:K53)&lt;4,"",SUM('연간'!H53:K53))),"")</f>
        <v/>
      </c>
      <c r="E48" s="31">
        <f>IFERROR((IF(COUNT('연간'!I31:L31)&lt;4,"",SUM('연간'!I31:L31)))/(IF(COUNT('연간'!I53:L53)&lt;4,"",SUM('연간'!I53:L53))),"")</f>
        <v/>
      </c>
      <c r="F48" s="31">
        <f>IFERROR((IF(COUNT('연간'!J31:M31)&lt;4,"",SUM('연간'!J31:M31)))/(IF(COUNT('연간'!J53:M53)&lt;4,"",SUM('연간'!J53:M53))),"")</f>
        <v/>
      </c>
      <c r="G48" s="31">
        <f>IFERROR((IF(COUNT('연간'!K31:N31)&lt;4,"",SUM('연간'!K31:N31)))/(IF(COUNT('연간'!K53:N53)&lt;4,"",SUM('연간'!K53:N53))),"")</f>
        <v/>
      </c>
      <c r="H48" s="30">
        <f>IFERROR(('연간'!T31)/('연간'!T53),"")</f>
        <v/>
      </c>
      <c r="I48" s="31">
        <f>IFERROR(('연간'!U31)/('연간'!U53),"")</f>
        <v/>
      </c>
      <c r="J48" s="31">
        <f>IFERROR(('연간'!V31)/('연간'!V53),"")</f>
        <v/>
      </c>
      <c r="K48" s="31">
        <f>IFERROR(('연간'!W31)/('연간'!W53),"")</f>
        <v/>
      </c>
      <c r="L48" s="31">
        <f>IFERROR(('연간'!X31)/('연간'!X53),"")</f>
        <v/>
      </c>
    </row>
    <row r="49">
      <c r="A49" s="45" t="inlineStr">
        <is>
          <t>차입금 상환연수</t>
        </is>
      </c>
      <c r="B49" s="10" t="inlineStr">
        <is>
          <t>4년↓ (버핏)</t>
        </is>
      </c>
      <c r="C49" s="46">
        <f>IFERROR(IF((IF(COUNT('연간'!G59:J59)&lt;4,"",SUM('연간'!G59:J59)))&lt;=0,"적자",C28/(IF(COUNT('연간'!G59:J59)&lt;4,"",SUM('연간'!G59:J59)))),"")</f>
        <v/>
      </c>
      <c r="D49" s="47">
        <f>IFERROR(IF((IF(COUNT('연간'!H59:K59)&lt;4,"",SUM('연간'!H59:K59)))&lt;=0,"적자",D28/(IF(COUNT('연간'!H59:K59)&lt;4,"",SUM('연간'!H59:K59)))),"")</f>
        <v/>
      </c>
      <c r="E49" s="47">
        <f>IFERROR(IF((IF(COUNT('연간'!I59:L59)&lt;4,"",SUM('연간'!I59:L59)))&lt;=0,"적자",E28/(IF(COUNT('연간'!I59:L59)&lt;4,"",SUM('연간'!I59:L59)))),"")</f>
        <v/>
      </c>
      <c r="F49" s="47">
        <f>IFERROR(IF((IF(COUNT('연간'!J59:M59)&lt;4,"",SUM('연간'!J59:M59)))&lt;=0,"적자",F28/(IF(COUNT('연간'!J59:M59)&lt;4,"",SUM('연간'!J59:M59)))),"")</f>
        <v/>
      </c>
      <c r="G49" s="47">
        <f>IFERROR(IF((IF(COUNT('연간'!K59:N59)&lt;4,"",SUM('연간'!K59:N59)))&lt;=0,"적자",G28/(IF(COUNT('연간'!K59:N59)&lt;4,"",SUM('연간'!K59:N59)))),"")</f>
        <v/>
      </c>
      <c r="H49" s="46">
        <f>IFERROR(IF(('연간'!T59)&lt;=0,"적자",H28/('연간'!T59)),"")</f>
        <v/>
      </c>
      <c r="I49" s="47">
        <f>IFERROR(IF(('연간'!U59)&lt;=0,"적자",I28/('연간'!U59)),"")</f>
        <v/>
      </c>
      <c r="J49" s="47">
        <f>IFERROR(IF(('연간'!V59)&lt;=0,"적자",J28/('연간'!V59)),"")</f>
        <v/>
      </c>
      <c r="K49" s="47">
        <f>IFERROR(IF(('연간'!W59)&lt;=0,"적자",K28/('연간'!W59)),"")</f>
        <v/>
      </c>
      <c r="L49" s="47">
        <f>IFERROR(IF(('연간'!X59)&lt;=0,"적자",L28/('연간'!X59)),"")</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IFERROR((IF(COUNT('연간'!G59:J59)&lt;4,"",SUM('연간'!G59:J59)))/C31,"")</f>
        <v/>
      </c>
      <c r="D51" s="36">
        <f>IFERROR((IF(COUNT('연간'!H59:K59)&lt;4,"",SUM('연간'!H59:K59)))/D31,"")</f>
        <v/>
      </c>
      <c r="E51" s="36">
        <f>IFERROR((IF(COUNT('연간'!I59:L59)&lt;4,"",SUM('연간'!I59:L59)))/E31,"")</f>
        <v/>
      </c>
      <c r="F51" s="36">
        <f>IFERROR((IF(COUNT('연간'!J59:M59)&lt;4,"",SUM('연간'!J59:M59)))/F31,"")</f>
        <v/>
      </c>
      <c r="G51" s="36">
        <f>IFERROR((IF(COUNT('연간'!K59:N59)&lt;4,"",SUM('연간'!K59:N59)))/G31,"")</f>
        <v/>
      </c>
      <c r="H51" s="35">
        <f>IFERROR(('연간'!T59)/H31,"")</f>
        <v/>
      </c>
      <c r="I51" s="36">
        <f>IFERROR(('연간'!U59)/I31,"")</f>
        <v/>
      </c>
      <c r="J51" s="36">
        <f>IFERROR(('연간'!V59)/J31,"")</f>
        <v/>
      </c>
      <c r="K51" s="36">
        <f>IFERROR(('연간'!W59)/K31,"")</f>
        <v/>
      </c>
      <c r="L51" s="36">
        <f>IFERROR(('연간'!X59)/L31,"")</f>
        <v/>
      </c>
    </row>
    <row r="52">
      <c r="A52" s="45" t="inlineStr">
        <is>
          <t>ROA</t>
        </is>
      </c>
      <c r="B52" s="10" t="inlineStr">
        <is>
          <t>5%↑</t>
        </is>
      </c>
      <c r="C52" s="35">
        <f>IFERROR((IF(COUNT('연간'!G58:J58)&lt;4,"",SUM('연간'!G58:J58)))/C16,"")</f>
        <v/>
      </c>
      <c r="D52" s="36">
        <f>IFERROR((IF(COUNT('연간'!H58:K58)&lt;4,"",SUM('연간'!H58:K58)))/D16,"")</f>
        <v/>
      </c>
      <c r="E52" s="36">
        <f>IFERROR((IF(COUNT('연간'!I58:L58)&lt;4,"",SUM('연간'!I58:L58)))/E16,"")</f>
        <v/>
      </c>
      <c r="F52" s="36">
        <f>IFERROR((IF(COUNT('연간'!J58:M58)&lt;4,"",SUM('연간'!J58:M58)))/F16,"")</f>
        <v/>
      </c>
      <c r="G52" s="36">
        <f>IFERROR((IF(COUNT('연간'!K58:N58)&lt;4,"",SUM('연간'!K58:N58)))/G16,"")</f>
        <v/>
      </c>
      <c r="H52" s="35">
        <f>IFERROR(('연간'!T58)/H16,"")</f>
        <v/>
      </c>
      <c r="I52" s="36">
        <f>IFERROR(('연간'!U58)/I16,"")</f>
        <v/>
      </c>
      <c r="J52" s="36">
        <f>IFERROR(('연간'!V58)/J16,"")</f>
        <v/>
      </c>
      <c r="K52" s="36">
        <f>IFERROR(('연간'!W58)/K16,"")</f>
        <v/>
      </c>
      <c r="L52" s="36">
        <f>IFERROR(('연간'!X58)/L16,"")</f>
        <v/>
      </c>
    </row>
    <row r="53">
      <c r="A53" s="45" t="inlineStr">
        <is>
          <t>ROIC</t>
        </is>
      </c>
      <c r="B53" s="10" t="inlineStr">
        <is>
          <t>10%↑ (세후영업이익 기준)</t>
        </is>
      </c>
      <c r="C53" s="35">
        <f>IFERROR((IF(COUNT('연간'!G31:J31)&lt;4,"",SUM('연간'!G31:J31)))*(1-0.3)/(C35+C29),"")</f>
        <v/>
      </c>
      <c r="D53" s="36">
        <f>IFERROR((IF(COUNT('연간'!H31:K31)&lt;4,"",SUM('연간'!H31:K31)))*(1-0.3)/(D35+D29),"")</f>
        <v/>
      </c>
      <c r="E53" s="36">
        <f>IFERROR((IF(COUNT('연간'!I31:L31)&lt;4,"",SUM('연간'!I31:L31)))*(1-0.3)/(E35+E29),"")</f>
        <v/>
      </c>
      <c r="F53" s="36">
        <f>IFERROR((IF(COUNT('연간'!J31:M31)&lt;4,"",SUM('연간'!J31:M31)))*(1-0.3)/(F35+F29),"")</f>
        <v/>
      </c>
      <c r="G53" s="36">
        <f>IFERROR((IF(COUNT('연간'!K31:N31)&lt;4,"",SUM('연간'!K31:N31)))*(1-0.3)/(G35+G29),"")</f>
        <v/>
      </c>
      <c r="H53" s="35">
        <f>IFERROR(('연간'!T31)*(1-0.3)/(H35+H29),"")</f>
        <v/>
      </c>
      <c r="I53" s="36">
        <f>IFERROR(('연간'!U31)*(1-0.3)/(I35+I29),"")</f>
        <v/>
      </c>
      <c r="J53" s="36">
        <f>IFERROR(('연간'!V31)*(1-0.3)/(J35+J29),"")</f>
        <v/>
      </c>
      <c r="K53" s="36">
        <f>IFERROR(('연간'!W31)*(1-0.3)/(K35+K29),"")</f>
        <v/>
      </c>
      <c r="L53" s="36">
        <f>IFERROR(('연간'!X31)*(1-0.3)/(L35+L29),"")</f>
        <v/>
      </c>
    </row>
    <row r="54">
      <c r="A54" s="45" t="inlineStr">
        <is>
          <t>매출총이익률 (GPM)</t>
        </is>
      </c>
      <c r="B54" s="10" t="inlineStr">
        <is>
          <t>40%↑ (해자 신호)</t>
        </is>
      </c>
      <c r="C54" s="35">
        <f>IFERROR((IF(COUNT('연간'!G27:J27)&lt;4,"",SUM('연간'!G27:J27)))/(IF(COUNT('연간'!G4:J4)&lt;4,"",SUM('연간'!G4:J4))),"")</f>
        <v/>
      </c>
      <c r="D54" s="36">
        <f>IFERROR((IF(COUNT('연간'!H27:K27)&lt;4,"",SUM('연간'!H27:K27)))/(IF(COUNT('연간'!H4:K4)&lt;4,"",SUM('연간'!H4:K4))),"")</f>
        <v/>
      </c>
      <c r="E54" s="36">
        <f>IFERROR((IF(COUNT('연간'!I27:L27)&lt;4,"",SUM('연간'!I27:L27)))/(IF(COUNT('연간'!I4:L4)&lt;4,"",SUM('연간'!I4:L4))),"")</f>
        <v/>
      </c>
      <c r="F54" s="36">
        <f>IFERROR((IF(COUNT('연간'!J27:M27)&lt;4,"",SUM('연간'!J27:M27)))/(IF(COUNT('연간'!J4:M4)&lt;4,"",SUM('연간'!J4:M4))),"")</f>
        <v/>
      </c>
      <c r="G54" s="36">
        <f>IFERROR((IF(COUNT('연간'!K27:N27)&lt;4,"",SUM('연간'!K27:N27)))/(IF(COUNT('연간'!K4:N4)&lt;4,"",SUM('연간'!K4:N4))),"")</f>
        <v/>
      </c>
      <c r="H54" s="35">
        <f>IFERROR(('연간'!T27)/('연간'!T4),"")</f>
        <v/>
      </c>
      <c r="I54" s="36">
        <f>IFERROR(('연간'!U27)/('연간'!U4),"")</f>
        <v/>
      </c>
      <c r="J54" s="36">
        <f>IFERROR(('연간'!V27)/('연간'!V4),"")</f>
        <v/>
      </c>
      <c r="K54" s="36">
        <f>IFERROR(('연간'!W27)/('연간'!W4),"")</f>
        <v/>
      </c>
      <c r="L54" s="36">
        <f>IFERROR(('연간'!X27)/('연간'!X4),"")</f>
        <v/>
      </c>
    </row>
    <row r="55">
      <c r="A55" s="45" t="inlineStr">
        <is>
          <t>영업이익률 (OPM)</t>
        </is>
      </c>
      <c r="B55" s="10" t="inlineStr">
        <is>
          <t>15%↑</t>
        </is>
      </c>
      <c r="C55" s="35">
        <f>IFERROR((IF(COUNT('연간'!G31:J31)&lt;4,"",SUM('연간'!G31:J31)))/(IF(COUNT('연간'!G4:J4)&lt;4,"",SUM('연간'!G4:J4))),"")</f>
        <v/>
      </c>
      <c r="D55" s="36">
        <f>IFERROR((IF(COUNT('연간'!H31:K31)&lt;4,"",SUM('연간'!H31:K31)))/(IF(COUNT('연간'!H4:K4)&lt;4,"",SUM('연간'!H4:K4))),"")</f>
        <v/>
      </c>
      <c r="E55" s="36">
        <f>IFERROR((IF(COUNT('연간'!I31:L31)&lt;4,"",SUM('연간'!I31:L31)))/(IF(COUNT('연간'!I4:L4)&lt;4,"",SUM('연간'!I4:L4))),"")</f>
        <v/>
      </c>
      <c r="F55" s="36">
        <f>IFERROR((IF(COUNT('연간'!J31:M31)&lt;4,"",SUM('연간'!J31:M31)))/(IF(COUNT('연간'!J4:M4)&lt;4,"",SUM('연간'!J4:M4))),"")</f>
        <v/>
      </c>
      <c r="G55" s="36">
        <f>IFERROR((IF(COUNT('연간'!K31:N31)&lt;4,"",SUM('연간'!K31:N31)))/(IF(COUNT('연간'!K4:N4)&lt;4,"",SUM('연간'!K4:N4))),"")</f>
        <v/>
      </c>
      <c r="H55" s="35">
        <f>IFERROR(('연간'!T31)/('연간'!T4),"")</f>
        <v/>
      </c>
      <c r="I55" s="36">
        <f>IFERROR(('연간'!U31)/('연간'!U4),"")</f>
        <v/>
      </c>
      <c r="J55" s="36">
        <f>IFERROR(('연간'!V31)/('연간'!V4),"")</f>
        <v/>
      </c>
      <c r="K55" s="36">
        <f>IFERROR(('연간'!W31)/('연간'!W4),"")</f>
        <v/>
      </c>
      <c r="L55" s="36">
        <f>IFERROR(('연간'!X31)/('연간'!X4),"")</f>
        <v/>
      </c>
    </row>
    <row r="56">
      <c r="A56" s="45" t="inlineStr">
        <is>
          <t>순이익률</t>
        </is>
      </c>
      <c r="B56" s="10" t="inlineStr">
        <is>
          <t>10%↑</t>
        </is>
      </c>
      <c r="C56" s="35">
        <f>IFERROR((IF(COUNT('연간'!G58:J58)&lt;4,"",SUM('연간'!G58:J58)))/(IF(COUNT('연간'!G4:J4)&lt;4,"",SUM('연간'!G4:J4))),"")</f>
        <v/>
      </c>
      <c r="D56" s="36">
        <f>IFERROR((IF(COUNT('연간'!H58:K58)&lt;4,"",SUM('연간'!H58:K58)))/(IF(COUNT('연간'!H4:K4)&lt;4,"",SUM('연간'!H4:K4))),"")</f>
        <v/>
      </c>
      <c r="E56" s="36">
        <f>IFERROR((IF(COUNT('연간'!I58:L58)&lt;4,"",SUM('연간'!I58:L58)))/(IF(COUNT('연간'!I4:L4)&lt;4,"",SUM('연간'!I4:L4))),"")</f>
        <v/>
      </c>
      <c r="F56" s="36">
        <f>IFERROR((IF(COUNT('연간'!J58:M58)&lt;4,"",SUM('연간'!J58:M58)))/(IF(COUNT('연간'!J4:M4)&lt;4,"",SUM('연간'!J4:M4))),"")</f>
        <v/>
      </c>
      <c r="G56" s="36">
        <f>IFERROR((IF(COUNT('연간'!K58:N58)&lt;4,"",SUM('연간'!K58:N58)))/(IF(COUNT('연간'!K4:N4)&lt;4,"",SUM('연간'!K4:N4))),"")</f>
        <v/>
      </c>
      <c r="H56" s="35">
        <f>IFERROR(('연간'!T58)/('연간'!T4),"")</f>
        <v/>
      </c>
      <c r="I56" s="36">
        <f>IFERROR(('연간'!U58)/('연간'!U4),"")</f>
        <v/>
      </c>
      <c r="J56" s="36">
        <f>IFERROR(('연간'!V58)/('연간'!V4),"")</f>
        <v/>
      </c>
      <c r="K56" s="36">
        <f>IFERROR(('연간'!W58)/('연간'!W4),"")</f>
        <v/>
      </c>
      <c r="L56" s="36">
        <f>IFERROR(('연간'!X58)/('연간'!X4),"")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IFERROR(C9/(IF(COUNT('연간'!G26:J26)&lt;4,"",SUM('연간'!G26:J26)))*365,"")</f>
        <v/>
      </c>
      <c r="D60" s="49">
        <f>IFERROR(D9/(IF(COUNT('연간'!H26:K26)&lt;4,"",SUM('연간'!H26:K26)))*365,"")</f>
        <v/>
      </c>
      <c r="E60" s="49">
        <f>IFERROR(E9/(IF(COUNT('연간'!I26:L26)&lt;4,"",SUM('연간'!I26:L26)))*365,"")</f>
        <v/>
      </c>
      <c r="F60" s="49">
        <f>IFERROR(F9/(IF(COUNT('연간'!J26:M26)&lt;4,"",SUM('연간'!J26:M26)))*365,"")</f>
        <v/>
      </c>
      <c r="G60" s="49">
        <f>IFERROR(G9/(IF(COUNT('연간'!K26:N26)&lt;4,"",SUM('연간'!K26:N26)))*365,"")</f>
        <v/>
      </c>
      <c r="H60" s="48">
        <f>IFERROR(H9/('연간'!T26)*365,"")</f>
        <v/>
      </c>
      <c r="I60" s="49">
        <f>IFERROR(I9/('연간'!U26)*365,"")</f>
        <v/>
      </c>
      <c r="J60" s="49">
        <f>IFERROR(J9/('연간'!V26)*365,"")</f>
        <v/>
      </c>
      <c r="K60" s="49">
        <f>IFERROR(K9/('연간'!W26)*365,"")</f>
        <v/>
      </c>
      <c r="L60" s="49">
        <f>IFERROR(L9/('연간'!X26)*365,"")</f>
        <v/>
      </c>
    </row>
    <row r="61">
      <c r="A61" s="45" t="inlineStr">
        <is>
          <t>매입채무회전일수</t>
        </is>
      </c>
      <c r="B61" s="10" t="inlineStr">
        <is>
          <t>길수록 유리</t>
        </is>
      </c>
      <c r="C61" s="48">
        <f>IFERROR(C19/(IF(COUNT('연간'!G26:J26)&lt;4,"",SUM('연간'!G26:J26)))*365,"")</f>
        <v/>
      </c>
      <c r="D61" s="49">
        <f>IFERROR(D19/(IF(COUNT('연간'!H26:K26)&lt;4,"",SUM('연간'!H26:K26)))*365,"")</f>
        <v/>
      </c>
      <c r="E61" s="49">
        <f>IFERROR(E19/(IF(COUNT('연간'!I26:L26)&lt;4,"",SUM('연간'!I26:L26)))*365,"")</f>
        <v/>
      </c>
      <c r="F61" s="49">
        <f>IFERROR(F19/(IF(COUNT('연간'!J26:M26)&lt;4,"",SUM('연간'!J26:M26)))*365,"")</f>
        <v/>
      </c>
      <c r="G61" s="49">
        <f>IFERROR(G19/(IF(COUNT('연간'!K26:N26)&lt;4,"",SUM('연간'!K26:N26)))*365,"")</f>
        <v/>
      </c>
      <c r="H61" s="48">
        <f>IFERROR(H19/('연간'!T26)*365,"")</f>
        <v/>
      </c>
      <c r="I61" s="49">
        <f>IFERROR(I19/('연간'!U26)*365,"")</f>
        <v/>
      </c>
      <c r="J61" s="49">
        <f>IFERROR(J19/('연간'!V26)*365,"")</f>
        <v/>
      </c>
      <c r="K61" s="49">
        <f>IFERROR(K19/('연간'!W26)*365,"")</f>
        <v/>
      </c>
      <c r="L61" s="49">
        <f>IFERROR(L19/('연간'!X26)*365,"")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IF(C37="","",IFERROR(C37/(IF(COUNT('연간'!G58:J58)&lt;4,"",SUM('연간'!G58:J58))),""))</f>
        <v/>
      </c>
      <c r="D64" s="31">
        <f>IF(D37="","",IFERROR(D37/(IF(COUNT('연간'!H58:K58)&lt;4,"",SUM('연간'!H58:K58))),""))</f>
        <v/>
      </c>
      <c r="E64" s="31">
        <f>IF(E37="","",IFERROR(E37/(IF(COUNT('연간'!I58:L58)&lt;4,"",SUM('연간'!I58:L58))),""))</f>
        <v/>
      </c>
      <c r="F64" s="31">
        <f>IF(F37="","",IFERROR(F37/(IF(COUNT('연간'!J58:M58)&lt;4,"",SUM('연간'!J58:M58))),""))</f>
        <v/>
      </c>
      <c r="G64" s="31">
        <f>IF(G37="","",IFERROR(G37/(IF(COUNT('연간'!K58:N58)&lt;4,"",SUM('연간'!K58:N58))),""))</f>
        <v/>
      </c>
      <c r="H64" s="30">
        <f>IF(H37="","",IFERROR(H37/('연간'!T58),""))</f>
        <v/>
      </c>
      <c r="I64" s="31">
        <f>IF(I37="","",IFERROR(I37/('연간'!U58),""))</f>
        <v/>
      </c>
      <c r="J64" s="31">
        <f>IF(J37="","",IFERROR(J37/('연간'!V58),""))</f>
        <v/>
      </c>
      <c r="K64" s="31">
        <f>IF(K37="","",IFERROR(K37/('연간'!W58),""))</f>
        <v/>
      </c>
      <c r="L64" s="31">
        <f>IF(L37="","",IFERROR(L37/('연간'!X58),""))</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IF(C40="","",IFERROR(C40/(IF(COUNT('연간'!G59:J59)&lt;4,"",SUM('연간'!G59:J59))),""))</f>
        <v/>
      </c>
      <c r="D67" s="36">
        <f>IF(D40="","",IFERROR(D40/(IF(COUNT('연간'!H59:K59)&lt;4,"",SUM('연간'!H59:K59))),""))</f>
        <v/>
      </c>
      <c r="E67" s="36">
        <f>IF(E40="","",IFERROR(E40/(IF(COUNT('연간'!I59:L59)&lt;4,"",SUM('연간'!I59:L59))),""))</f>
        <v/>
      </c>
      <c r="F67" s="36">
        <f>IF(F40="","",IFERROR(F40/(IF(COUNT('연간'!J59:M59)&lt;4,"",SUM('연간'!J59:M59))),""))</f>
        <v/>
      </c>
      <c r="G67" s="36">
        <f>IF(G40="","",IFERROR(G40/(IF(COUNT('연간'!K59:N59)&lt;4,"",SUM('연간'!K59:N59))),""))</f>
        <v/>
      </c>
      <c r="H67" s="35">
        <f>IF(H40="","",IFERROR(H40/('연간'!T59),""))</f>
        <v/>
      </c>
      <c r="I67" s="36">
        <f>IF(I40="","",IFERROR(I40/('연간'!U59),""))</f>
        <v/>
      </c>
      <c r="J67" s="36">
        <f>IF(J40="","",IFERROR(J40/('연간'!V59),""))</f>
        <v/>
      </c>
      <c r="K67" s="36">
        <f>IF(K40="","",IFERROR(K40/('연간'!W59),""))</f>
        <v/>
      </c>
      <c r="L67" s="36">
        <f>IF(L40="","",IFERROR(L40/('연간'!X59),""))</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37180</v>
      </c>
      <c r="D71" s="20" t="n">
        <v>35518</v>
      </c>
      <c r="E71" s="20" t="n">
        <v>55667</v>
      </c>
      <c r="F71" s="20" t="n">
        <v>33574</v>
      </c>
      <c r="G71" s="20" t="n">
        <v>38471</v>
      </c>
      <c r="H71" s="20" t="n">
        <v>32866</v>
      </c>
      <c r="I71" s="20" t="n">
        <v>47534</v>
      </c>
      <c r="J71" s="20" t="n">
        <v>46546</v>
      </c>
      <c r="K71" s="20" t="n">
        <v>36275</v>
      </c>
      <c r="L71" s="20" t="n">
        <v>33574</v>
      </c>
    </row>
    <row r="72">
      <c r="A72" s="18" t="inlineStr">
        <is>
          <t>영업채권 및 기타채권</t>
        </is>
      </c>
      <c r="C72" s="20" t="n">
        <v>60641</v>
      </c>
      <c r="D72" s="20" t="n">
        <v>58570</v>
      </c>
      <c r="E72" s="20" t="n">
        <v>62316</v>
      </c>
      <c r="F72" s="20" t="n">
        <v>62125</v>
      </c>
      <c r="G72" s="20" t="n">
        <v>64256</v>
      </c>
      <c r="H72" s="20" t="n">
        <v>61071</v>
      </c>
      <c r="I72" s="20" t="n">
        <v>63511</v>
      </c>
      <c r="J72" s="20" t="n">
        <v>62371</v>
      </c>
      <c r="K72" s="20" t="n">
        <v>63749</v>
      </c>
      <c r="L72" s="20" t="n">
        <v>62125</v>
      </c>
    </row>
    <row r="73">
      <c r="A73" s="18" t="inlineStr">
        <is>
          <t>기타금융자산</t>
        </is>
      </c>
      <c r="C73" s="20" t="n">
        <v>6569</v>
      </c>
      <c r="D73" s="20" t="n">
        <v>7137</v>
      </c>
      <c r="E73" s="20" t="n">
        <v>7687</v>
      </c>
      <c r="F73" s="20" t="n">
        <v>8919</v>
      </c>
      <c r="G73" s="20" t="n">
        <v>8908</v>
      </c>
      <c r="H73" s="20" t="n">
        <v>711</v>
      </c>
      <c r="I73" s="20" t="n">
        <v>784</v>
      </c>
      <c r="J73" s="20" t="n">
        <v>2457</v>
      </c>
      <c r="K73" s="20" t="n">
        <v>3481</v>
      </c>
      <c r="L73" s="20" t="n">
        <v>8919</v>
      </c>
    </row>
    <row r="74">
      <c r="A74" s="18" t="inlineStr">
        <is>
          <t>재고자산</t>
        </is>
      </c>
      <c r="C74" s="20" t="n">
        <v>52377</v>
      </c>
      <c r="D74" s="20" t="n">
        <v>52762</v>
      </c>
      <c r="E74" s="20" t="n">
        <v>53720</v>
      </c>
      <c r="F74" s="20" t="n">
        <v>53764</v>
      </c>
      <c r="G74" s="20" t="n">
        <v>58238</v>
      </c>
      <c r="H74" s="20" t="n">
        <v>49332</v>
      </c>
      <c r="I74" s="20" t="n">
        <v>54381</v>
      </c>
      <c r="J74" s="20" t="n">
        <v>54216</v>
      </c>
      <c r="K74" s="20" t="n">
        <v>53410</v>
      </c>
      <c r="L74" s="20" t="n">
        <v>53764</v>
      </c>
    </row>
    <row r="75">
      <c r="A75" s="18" t="inlineStr">
        <is>
          <t>기타유동자산</t>
        </is>
      </c>
      <c r="C75" s="20" t="n">
        <v>712</v>
      </c>
      <c r="D75" s="20" t="n">
        <v>526</v>
      </c>
      <c r="E75" s="20" t="n">
        <v>704</v>
      </c>
      <c r="F75" s="20" t="n">
        <v>536</v>
      </c>
      <c r="G75" s="20" t="n">
        <v>789</v>
      </c>
      <c r="H75" s="20" t="n">
        <v>1769</v>
      </c>
      <c r="I75" s="20" t="n">
        <v>801</v>
      </c>
      <c r="J75" s="20" t="n">
        <v>941</v>
      </c>
      <c r="K75" s="20" t="n">
        <v>873</v>
      </c>
      <c r="L75" s="20" t="n">
        <v>536</v>
      </c>
    </row>
    <row r="76">
      <c r="A76" s="9" t="inlineStr">
        <is>
          <t>유동자산 합계</t>
        </is>
      </c>
      <c r="C76" s="12" t="n">
        <v>157482</v>
      </c>
      <c r="D76" s="12" t="n">
        <v>154514</v>
      </c>
      <c r="E76" s="12" t="n">
        <v>180095</v>
      </c>
      <c r="F76" s="12" t="n">
        <v>158920</v>
      </c>
      <c r="G76" s="12" t="n">
        <v>170664</v>
      </c>
      <c r="H76" s="12" t="n">
        <v>145750</v>
      </c>
      <c r="I76" s="12" t="n">
        <v>167012</v>
      </c>
      <c r="J76" s="12" t="n">
        <v>166533</v>
      </c>
      <c r="K76" s="12" t="n">
        <v>157789</v>
      </c>
      <c r="L76" s="12" t="n">
        <v>158920</v>
      </c>
    </row>
    <row r="77">
      <c r="A77" s="18" t="inlineStr">
        <is>
          <t>유형자산</t>
        </is>
      </c>
      <c r="C77" s="20" t="n">
        <v>129224</v>
      </c>
      <c r="D77" s="20" t="n">
        <v>129988</v>
      </c>
      <c r="E77" s="20" t="n">
        <v>129422</v>
      </c>
      <c r="F77" s="20" t="n">
        <v>129015</v>
      </c>
      <c r="G77" s="20" t="n">
        <v>128061</v>
      </c>
      <c r="H77" s="20" t="n">
        <v>125676</v>
      </c>
      <c r="I77" s="20" t="n">
        <v>126665</v>
      </c>
      <c r="J77" s="20" t="n">
        <v>131793</v>
      </c>
      <c r="K77" s="20" t="n">
        <v>130986</v>
      </c>
      <c r="L77" s="20" t="n">
        <v>129015</v>
      </c>
    </row>
    <row r="78">
      <c r="A78" s="18" t="inlineStr">
        <is>
          <t>무형자산</t>
        </is>
      </c>
      <c r="C78" s="20" t="n">
        <v>2271</v>
      </c>
      <c r="D78" s="20" t="n">
        <v>2186</v>
      </c>
      <c r="E78" s="20" t="n">
        <v>2117</v>
      </c>
      <c r="F78" s="20" t="n">
        <v>3896</v>
      </c>
      <c r="G78" s="20" t="n">
        <v>4265</v>
      </c>
      <c r="H78" s="20" t="n">
        <v>3172</v>
      </c>
      <c r="I78" s="20" t="n">
        <v>3065</v>
      </c>
      <c r="J78" s="20" t="n">
        <v>2681</v>
      </c>
      <c r="K78" s="20" t="n">
        <v>2426</v>
      </c>
      <c r="L78" s="20" t="n">
        <v>3896</v>
      </c>
    </row>
    <row r="79">
      <c r="A79" s="18" t="inlineStr">
        <is>
          <t>영업채권 및 기타채권</t>
        </is>
      </c>
      <c r="C79" s="20" t="n">
        <v>16</v>
      </c>
      <c r="D79" s="20" t="n">
        <v>15</v>
      </c>
      <c r="E79" s="20" t="n">
        <v>13</v>
      </c>
      <c r="F79" s="20" t="n">
        <v>16</v>
      </c>
      <c r="G79" s="20" t="n">
        <v>14</v>
      </c>
      <c r="H79" s="20" t="n">
        <v>34</v>
      </c>
      <c r="I79" s="20" t="n">
        <v>36</v>
      </c>
      <c r="J79" s="20" t="n">
        <v>25</v>
      </c>
      <c r="K79" s="20" t="n">
        <v>17</v>
      </c>
      <c r="L79" s="20" t="n">
        <v>16</v>
      </c>
    </row>
    <row r="80">
      <c r="A80" s="18" t="inlineStr">
        <is>
          <t>기타금융자산</t>
        </is>
      </c>
      <c r="C80" s="20" t="n">
        <v>64688</v>
      </c>
      <c r="D80" s="20" t="n">
        <v>65282</v>
      </c>
      <c r="E80" s="20" t="n">
        <v>68612</v>
      </c>
      <c r="F80" s="20" t="n">
        <v>69546</v>
      </c>
      <c r="G80" s="20" t="n">
        <v>65509</v>
      </c>
      <c r="H80" s="20" t="n">
        <v>47117</v>
      </c>
      <c r="I80" s="20" t="n">
        <v>50432</v>
      </c>
      <c r="J80" s="20" t="n">
        <v>70283</v>
      </c>
      <c r="K80" s="20" t="n">
        <v>61607</v>
      </c>
      <c r="L80" s="20" t="n">
        <v>69546</v>
      </c>
    </row>
    <row r="81">
      <c r="A81" s="18" t="inlineStr">
        <is>
          <t>지분법 투자</t>
        </is>
      </c>
      <c r="D81" s="20" t="n">
        <v>10646</v>
      </c>
      <c r="E81" s="20" t="n">
        <v>10933</v>
      </c>
      <c r="F81" s="20" t="n">
        <v>10877</v>
      </c>
      <c r="G81" s="20" t="n">
        <v>11115</v>
      </c>
      <c r="K81" s="20" t="n">
        <v>0</v>
      </c>
      <c r="L81" s="20" t="n">
        <v>10877</v>
      </c>
    </row>
    <row r="82">
      <c r="A82" s="18" t="inlineStr">
        <is>
          <t>퇴직급여자산</t>
        </is>
      </c>
      <c r="C82" s="20" t="n">
        <v>37775</v>
      </c>
      <c r="D82" s="20" t="n">
        <v>38219</v>
      </c>
      <c r="E82" s="20" t="n">
        <v>27300</v>
      </c>
      <c r="F82" s="20" t="n">
        <v>25493</v>
      </c>
      <c r="G82" s="20" t="n">
        <v>25689</v>
      </c>
      <c r="H82" s="20" t="n">
        <v>41869</v>
      </c>
      <c r="I82" s="20" t="n">
        <v>37509</v>
      </c>
      <c r="J82" s="20" t="n">
        <v>71037</v>
      </c>
      <c r="K82" s="20" t="n">
        <v>46433</v>
      </c>
      <c r="L82" s="20" t="n">
        <v>25493</v>
      </c>
    </row>
    <row r="83">
      <c r="A83" s="18" t="inlineStr">
        <is>
          <t>이연법인세자산</t>
        </is>
      </c>
      <c r="C83" s="20" t="n">
        <v>848</v>
      </c>
      <c r="D83" s="20" t="n">
        <v>871</v>
      </c>
      <c r="E83" s="20" t="n">
        <v>877</v>
      </c>
      <c r="F83" s="20" t="n">
        <v>898</v>
      </c>
      <c r="G83" s="20" t="n">
        <v>844</v>
      </c>
      <c r="H83" s="20" t="n">
        <v>776</v>
      </c>
      <c r="I83" s="20" t="n">
        <v>721</v>
      </c>
      <c r="J83" s="20" t="n">
        <v>748</v>
      </c>
      <c r="K83" s="20" t="n">
        <v>802</v>
      </c>
      <c r="L83" s="20" t="n">
        <v>898</v>
      </c>
    </row>
    <row r="84">
      <c r="A84" s="18" t="inlineStr">
        <is>
          <t>기타비유동자산</t>
        </is>
      </c>
      <c r="C84" s="20" t="n">
        <v>0</v>
      </c>
      <c r="D84" s="20" t="n">
        <v>0</v>
      </c>
      <c r="E84" s="20" t="n">
        <v>0</v>
      </c>
      <c r="F84" s="20" t="n">
        <v>177</v>
      </c>
      <c r="G84" s="20" t="n">
        <v>171</v>
      </c>
      <c r="H84" s="20" t="n">
        <v>1</v>
      </c>
      <c r="I84" s="20" t="n">
        <v>5</v>
      </c>
      <c r="J84" s="20" t="n">
        <v>4</v>
      </c>
      <c r="K84" s="20" t="n">
        <v>0</v>
      </c>
      <c r="L84" s="20" t="n">
        <v>177</v>
      </c>
    </row>
    <row r="85">
      <c r="A85" s="18" t="inlineStr">
        <is>
          <t>비유동자산 합계</t>
        </is>
      </c>
      <c r="C85" s="20" t="n">
        <v>234824</v>
      </c>
      <c r="D85" s="20" t="n">
        <v>247211</v>
      </c>
      <c r="E85" s="20" t="n">
        <v>239276</v>
      </c>
      <c r="F85" s="20" t="n">
        <v>239922</v>
      </c>
      <c r="G85" s="20" t="n">
        <v>235672</v>
      </c>
      <c r="H85" s="20" t="n">
        <v>218649</v>
      </c>
      <c r="I85" s="20" t="n">
        <v>218436</v>
      </c>
      <c r="J85" s="20" t="n">
        <v>276574</v>
      </c>
      <c r="K85" s="20" t="n">
        <v>242273</v>
      </c>
      <c r="L85" s="20" t="n">
        <v>239922</v>
      </c>
    </row>
    <row r="86">
      <c r="A86" s="18" t="inlineStr">
        <is>
          <t>자산 합계</t>
        </is>
      </c>
      <c r="C86" s="20" t="n">
        <v>392306</v>
      </c>
      <c r="D86" s="20" t="n">
        <v>401725</v>
      </c>
      <c r="E86" s="20" t="n">
        <v>419371</v>
      </c>
      <c r="F86" s="20" t="n">
        <v>398843</v>
      </c>
      <c r="G86" s="20" t="n">
        <v>406337</v>
      </c>
      <c r="H86" s="20" t="n">
        <v>364400</v>
      </c>
      <c r="I86" s="20" t="n">
        <v>385449</v>
      </c>
      <c r="J86" s="20" t="n">
        <v>443108</v>
      </c>
      <c r="K86" s="20" t="n">
        <v>400063</v>
      </c>
      <c r="L86" s="20" t="n">
        <v>398843</v>
      </c>
    </row>
    <row r="87">
      <c r="A87" s="18" t="inlineStr">
        <is>
          <t>영업채무 및 기타채무</t>
        </is>
      </c>
      <c r="C87" s="20" t="n">
        <v>41362</v>
      </c>
      <c r="D87" s="20" t="n">
        <v>41116</v>
      </c>
      <c r="E87" s="20" t="n">
        <v>40584</v>
      </c>
      <c r="F87" s="20" t="n">
        <v>45279</v>
      </c>
      <c r="G87" s="20" t="n">
        <v>47469</v>
      </c>
      <c r="H87" s="20" t="n">
        <v>46517</v>
      </c>
      <c r="I87" s="20" t="n">
        <v>45662</v>
      </c>
      <c r="J87" s="20" t="n">
        <v>51084</v>
      </c>
      <c r="K87" s="20" t="n">
        <v>43708</v>
      </c>
      <c r="L87" s="20" t="n">
        <v>45279</v>
      </c>
    </row>
    <row r="88">
      <c r="A88" s="18" t="inlineStr">
        <is>
          <t>사채 및 차입금</t>
        </is>
      </c>
      <c r="H88" s="20" t="n">
        <v>609</v>
      </c>
    </row>
    <row r="89">
      <c r="A89" s="18" t="inlineStr">
        <is>
          <t>차입금</t>
        </is>
      </c>
      <c r="C89" s="20" t="n">
        <v>45293</v>
      </c>
      <c r="D89" s="20" t="n">
        <v>45986</v>
      </c>
      <c r="E89" s="20" t="n">
        <v>61391</v>
      </c>
      <c r="F89" s="20" t="n">
        <v>24405</v>
      </c>
      <c r="G89" s="20" t="n">
        <v>41399</v>
      </c>
      <c r="H89" s="20" t="n">
        <v>609</v>
      </c>
      <c r="I89" s="20" t="n">
        <v>13313</v>
      </c>
      <c r="J89" s="20" t="n">
        <v>15305</v>
      </c>
      <c r="K89" s="20" t="n">
        <v>17549</v>
      </c>
      <c r="L89" s="20" t="n">
        <v>24405</v>
      </c>
    </row>
    <row r="90">
      <c r="A90" s="18" t="inlineStr">
        <is>
          <t>기타금융부채</t>
        </is>
      </c>
      <c r="C90" s="20" t="n">
        <v>1292</v>
      </c>
      <c r="D90" s="20" t="n">
        <v>1466</v>
      </c>
      <c r="E90" s="20" t="n">
        <v>1475</v>
      </c>
      <c r="F90" s="20" t="n">
        <v>1674</v>
      </c>
      <c r="G90" s="20" t="n">
        <v>883</v>
      </c>
      <c r="H90" s="20" t="n">
        <v>706</v>
      </c>
      <c r="I90" s="20" t="n">
        <v>1018</v>
      </c>
      <c r="J90" s="20" t="n">
        <v>690</v>
      </c>
      <c r="K90" s="20" t="n">
        <v>861</v>
      </c>
      <c r="L90" s="20" t="n">
        <v>1674</v>
      </c>
    </row>
    <row r="91">
      <c r="A91" s="18" t="inlineStr">
        <is>
          <t>충당금</t>
        </is>
      </c>
      <c r="H91" s="20" t="n">
        <v>0</v>
      </c>
    </row>
    <row r="92">
      <c r="A92" s="18" t="inlineStr">
        <is>
          <t>미지급법인세</t>
        </is>
      </c>
      <c r="C92" s="20" t="n">
        <v>1819</v>
      </c>
      <c r="D92" s="20" t="n">
        <v>2961</v>
      </c>
      <c r="E92" s="20" t="n">
        <v>6431</v>
      </c>
      <c r="F92" s="20" t="n">
        <v>15800</v>
      </c>
      <c r="G92" s="20" t="n">
        <v>3178</v>
      </c>
      <c r="H92" s="20" t="n">
        <v>514</v>
      </c>
      <c r="I92" s="20" t="n">
        <v>617</v>
      </c>
      <c r="J92" s="20" t="n">
        <v>1577</v>
      </c>
      <c r="K92" s="20" t="n">
        <v>1724</v>
      </c>
      <c r="L92" s="20" t="n">
        <v>15800</v>
      </c>
    </row>
    <row r="93">
      <c r="A93" s="18" t="inlineStr">
        <is>
          <t>기타유동부채</t>
        </is>
      </c>
      <c r="C93" s="20" t="n">
        <v>6260</v>
      </c>
      <c r="D93" s="20" t="n">
        <v>5043</v>
      </c>
      <c r="E93" s="20" t="n">
        <v>6297</v>
      </c>
      <c r="F93" s="20" t="n">
        <v>4853</v>
      </c>
      <c r="G93" s="20" t="n">
        <v>6131</v>
      </c>
      <c r="H93" s="20" t="n">
        <v>3665</v>
      </c>
      <c r="I93" s="20" t="n">
        <v>4593</v>
      </c>
      <c r="J93" s="20" t="n">
        <v>5561</v>
      </c>
      <c r="K93" s="20" t="n">
        <v>5897</v>
      </c>
      <c r="L93" s="20" t="n">
        <v>4853</v>
      </c>
    </row>
    <row r="94">
      <c r="A94" s="18" t="inlineStr">
        <is>
          <t>유동부채 합계</t>
        </is>
      </c>
      <c r="C94" s="20" t="n">
        <v>96028</v>
      </c>
      <c r="D94" s="20" t="n">
        <v>96574</v>
      </c>
      <c r="E94" s="20" t="n">
        <v>116181</v>
      </c>
      <c r="F94" s="20" t="n">
        <v>92013</v>
      </c>
      <c r="G94" s="20" t="n">
        <v>99063</v>
      </c>
      <c r="H94" s="20" t="n">
        <v>52014</v>
      </c>
      <c r="I94" s="20" t="n">
        <v>65205</v>
      </c>
      <c r="J94" s="20" t="n">
        <v>74220</v>
      </c>
      <c r="K94" s="20" t="n">
        <v>69741</v>
      </c>
      <c r="L94" s="20" t="n">
        <v>92013</v>
      </c>
    </row>
    <row r="95">
      <c r="A95" s="18" t="inlineStr">
        <is>
          <t>사채 및 차입금</t>
        </is>
      </c>
      <c r="H95" s="20" t="n">
        <v>66058</v>
      </c>
    </row>
    <row r="96">
      <c r="A96" s="18" t="inlineStr">
        <is>
          <t>차입금</t>
        </is>
      </c>
      <c r="C96" s="20" t="n">
        <v>39019</v>
      </c>
      <c r="D96" s="20" t="n">
        <v>39118</v>
      </c>
      <c r="E96" s="20" t="n">
        <v>23091</v>
      </c>
      <c r="F96" s="20" t="n">
        <v>23065</v>
      </c>
      <c r="G96" s="20" t="n">
        <v>26039</v>
      </c>
      <c r="H96" s="20" t="n">
        <v>66058</v>
      </c>
      <c r="I96" s="20" t="n">
        <v>73081</v>
      </c>
      <c r="J96" s="20" t="n">
        <v>58076</v>
      </c>
      <c r="K96" s="20" t="n">
        <v>47020</v>
      </c>
      <c r="L96" s="20" t="n">
        <v>23065</v>
      </c>
    </row>
    <row r="97">
      <c r="A97" s="18" t="inlineStr">
        <is>
          <t>기타금융부채</t>
        </is>
      </c>
      <c r="C97" s="20" t="n">
        <v>3138</v>
      </c>
      <c r="D97" s="20" t="n">
        <v>3230</v>
      </c>
      <c r="E97" s="20" t="n">
        <v>3474</v>
      </c>
      <c r="F97" s="20" t="n">
        <v>3490</v>
      </c>
      <c r="G97" s="20" t="n">
        <v>3837</v>
      </c>
      <c r="H97" s="20" t="n">
        <v>3118</v>
      </c>
      <c r="I97" s="20" t="n">
        <v>3378</v>
      </c>
      <c r="J97" s="20" t="n">
        <v>4177</v>
      </c>
      <c r="K97" s="20" t="n">
        <v>3990</v>
      </c>
      <c r="L97" s="20" t="n">
        <v>3490</v>
      </c>
    </row>
    <row r="98">
      <c r="A98" s="18" t="inlineStr">
        <is>
          <t>퇴직급여부채</t>
        </is>
      </c>
      <c r="C98" s="20" t="n">
        <v>12171</v>
      </c>
      <c r="D98" s="20" t="n">
        <v>11962</v>
      </c>
      <c r="E98" s="20" t="n">
        <v>12127</v>
      </c>
      <c r="F98" s="20" t="n">
        <v>10568</v>
      </c>
      <c r="G98" s="20" t="n">
        <v>10705</v>
      </c>
      <c r="H98" s="20" t="n">
        <v>15399</v>
      </c>
      <c r="I98" s="20" t="n">
        <v>15008</v>
      </c>
      <c r="J98" s="20" t="n">
        <v>12189</v>
      </c>
      <c r="K98" s="20" t="n">
        <v>12209</v>
      </c>
      <c r="L98" s="20" t="n">
        <v>10568</v>
      </c>
    </row>
    <row r="99">
      <c r="A99" s="18" t="inlineStr">
        <is>
          <t>충당금</t>
        </is>
      </c>
      <c r="C99" s="20" t="n">
        <v>712</v>
      </c>
      <c r="D99" s="20" t="n">
        <v>706</v>
      </c>
      <c r="E99" s="20" t="n">
        <v>702</v>
      </c>
      <c r="F99" s="20" t="n">
        <v>702</v>
      </c>
      <c r="G99" s="20" t="n">
        <v>703</v>
      </c>
      <c r="H99" s="20" t="n">
        <v>755</v>
      </c>
      <c r="I99" s="20" t="n">
        <v>751</v>
      </c>
      <c r="J99" s="20" t="n">
        <v>760</v>
      </c>
      <c r="K99" s="20" t="n">
        <v>722</v>
      </c>
      <c r="L99" s="20" t="n">
        <v>702</v>
      </c>
    </row>
    <row r="100">
      <c r="A100" s="18" t="inlineStr">
        <is>
          <t>이연법인세부채</t>
        </is>
      </c>
      <c r="C100" s="20" t="n">
        <v>21919</v>
      </c>
      <c r="D100" s="20" t="n">
        <v>23322</v>
      </c>
      <c r="E100" s="20" t="n">
        <v>24576</v>
      </c>
      <c r="F100" s="20" t="n">
        <v>19759</v>
      </c>
      <c r="G100" s="20" t="n">
        <v>18422</v>
      </c>
      <c r="H100" s="20" t="n">
        <v>13782</v>
      </c>
      <c r="I100" s="20" t="n">
        <v>12954</v>
      </c>
      <c r="J100" s="20" t="n">
        <v>31011</v>
      </c>
      <c r="K100" s="20" t="n">
        <v>22646</v>
      </c>
      <c r="L100" s="20" t="n">
        <v>19759</v>
      </c>
    </row>
    <row r="101">
      <c r="A101" s="18" t="inlineStr">
        <is>
          <t>기타비유동부채</t>
        </is>
      </c>
      <c r="C101" s="20" t="n">
        <v>336</v>
      </c>
      <c r="D101" s="20" t="n">
        <v>334</v>
      </c>
      <c r="E101" s="20" t="n">
        <v>334</v>
      </c>
      <c r="F101" s="20" t="n">
        <v>315</v>
      </c>
      <c r="G101" s="20" t="n">
        <v>313</v>
      </c>
      <c r="H101" s="20" t="n">
        <v>795</v>
      </c>
      <c r="I101" s="20" t="n">
        <v>747</v>
      </c>
      <c r="J101" s="20" t="n">
        <v>663</v>
      </c>
      <c r="K101" s="20" t="n">
        <v>334</v>
      </c>
      <c r="L101" s="20" t="n">
        <v>315</v>
      </c>
    </row>
    <row r="102">
      <c r="A102" s="18" t="inlineStr">
        <is>
          <t>비유동부채 합계</t>
        </is>
      </c>
      <c r="C102" s="20" t="n">
        <v>77297</v>
      </c>
      <c r="D102" s="20" t="n">
        <v>78673</v>
      </c>
      <c r="E102" s="20" t="n">
        <v>64307</v>
      </c>
      <c r="F102" s="20" t="n">
        <v>57902</v>
      </c>
      <c r="G102" s="20" t="n">
        <v>60021</v>
      </c>
      <c r="H102" s="20" t="n">
        <v>99910</v>
      </c>
      <c r="I102" s="20" t="n">
        <v>105921</v>
      </c>
      <c r="J102" s="20" t="n">
        <v>106877</v>
      </c>
      <c r="K102" s="20" t="n">
        <v>86923</v>
      </c>
      <c r="L102" s="20" t="n">
        <v>57902</v>
      </c>
    </row>
    <row r="103">
      <c r="A103" s="18" t="inlineStr">
        <is>
          <t>부채 합계</t>
        </is>
      </c>
      <c r="C103" s="20" t="n">
        <v>173325</v>
      </c>
      <c r="D103" s="20" t="n">
        <v>175248</v>
      </c>
      <c r="E103" s="20" t="n">
        <v>180488</v>
      </c>
      <c r="F103" s="20" t="n">
        <v>149916</v>
      </c>
      <c r="G103" s="20" t="n">
        <v>159085</v>
      </c>
      <c r="H103" s="20" t="n">
        <v>151925</v>
      </c>
      <c r="I103" s="20" t="n">
        <v>171126</v>
      </c>
      <c r="J103" s="20" t="n">
        <v>181097</v>
      </c>
      <c r="K103" s="20" t="n">
        <v>156664</v>
      </c>
      <c r="L103" s="20" t="n">
        <v>149916</v>
      </c>
    </row>
    <row r="104">
      <c r="A104" s="18" t="inlineStr">
        <is>
          <t>자본금</t>
        </is>
      </c>
      <c r="C104" s="20" t="n">
        <v>25016</v>
      </c>
      <c r="D104" s="20" t="n">
        <v>25016</v>
      </c>
      <c r="E104" s="20" t="n">
        <v>25016</v>
      </c>
      <c r="F104" s="20" t="n">
        <v>25016</v>
      </c>
      <c r="G104" s="20" t="n">
        <v>25016</v>
      </c>
      <c r="H104" s="20" t="n">
        <v>25016</v>
      </c>
      <c r="I104" s="20" t="n">
        <v>25016</v>
      </c>
      <c r="J104" s="20" t="n">
        <v>25016</v>
      </c>
      <c r="K104" s="20" t="n">
        <v>25016</v>
      </c>
      <c r="L104" s="20" t="n">
        <v>25016</v>
      </c>
    </row>
    <row r="105">
      <c r="A105" s="18" t="inlineStr">
        <is>
          <t>자본잉여금</t>
        </is>
      </c>
      <c r="C105" s="20" t="n">
        <v>28254</v>
      </c>
      <c r="D105" s="20" t="n">
        <v>28254</v>
      </c>
      <c r="E105" s="20" t="n">
        <v>28254</v>
      </c>
      <c r="F105" s="20" t="n">
        <v>28455</v>
      </c>
      <c r="G105" s="20" t="n">
        <v>29074</v>
      </c>
      <c r="H105" s="20" t="n">
        <v>28051</v>
      </c>
      <c r="I105" s="20" t="n">
        <v>28232</v>
      </c>
      <c r="J105" s="20" t="n">
        <v>28232</v>
      </c>
      <c r="K105" s="20" t="n">
        <v>28254</v>
      </c>
      <c r="L105" s="20" t="n">
        <v>28455</v>
      </c>
    </row>
    <row r="106">
      <c r="A106" s="18" t="inlineStr">
        <is>
          <t>이익잉여금</t>
        </is>
      </c>
      <c r="C106" s="20" t="n">
        <v>138106</v>
      </c>
      <c r="D106" s="20" t="n">
        <v>114943</v>
      </c>
      <c r="E106" s="20" t="n">
        <v>122249</v>
      </c>
      <c r="F106" s="20" t="n">
        <v>131178</v>
      </c>
      <c r="G106" s="20" t="n">
        <v>133317</v>
      </c>
      <c r="H106" s="20" t="n">
        <v>121744</v>
      </c>
      <c r="I106" s="20" t="n">
        <v>120167</v>
      </c>
      <c r="J106" s="20" t="n">
        <v>151302</v>
      </c>
      <c r="K106" s="20" t="n">
        <v>137624</v>
      </c>
      <c r="L106" s="20" t="n">
        <v>131178</v>
      </c>
    </row>
    <row r="107">
      <c r="A107" s="18" t="inlineStr">
        <is>
          <t>자기주식</t>
        </is>
      </c>
      <c r="C107" s="20" t="n">
        <v>-26310</v>
      </c>
      <c r="D107" s="20" t="n">
        <v>-1061</v>
      </c>
      <c r="E107" s="20" t="n">
        <v>-1044</v>
      </c>
      <c r="F107" s="20" t="n">
        <v>-1015</v>
      </c>
      <c r="G107" s="20" t="n">
        <v>-988</v>
      </c>
      <c r="H107" s="20" t="n">
        <v>-1049</v>
      </c>
      <c r="I107" s="20" t="n">
        <v>-955</v>
      </c>
      <c r="J107" s="20" t="n">
        <v>-867</v>
      </c>
      <c r="K107" s="20" t="n">
        <v>-53</v>
      </c>
      <c r="L107" s="20" t="n">
        <v>-1015</v>
      </c>
    </row>
    <row r="108">
      <c r="A108" s="18" t="inlineStr">
        <is>
          <t>기타자본구성요소</t>
        </is>
      </c>
      <c r="C108" s="20" t="n">
        <v>43016</v>
      </c>
      <c r="D108" s="20" t="n">
        <v>47888</v>
      </c>
      <c r="E108" s="20" t="n">
        <v>51991</v>
      </c>
      <c r="F108" s="20" t="n">
        <v>52631</v>
      </c>
      <c r="G108" s="20" t="n">
        <v>50246</v>
      </c>
      <c r="H108" s="20" t="n">
        <v>27784</v>
      </c>
      <c r="I108" s="20" t="n">
        <v>31298</v>
      </c>
      <c r="J108" s="20" t="n">
        <v>47286</v>
      </c>
      <c r="K108" s="20" t="n">
        <v>41093</v>
      </c>
      <c r="L108" s="20" t="n">
        <v>52631</v>
      </c>
    </row>
    <row r="109">
      <c r="A109" s="18" t="inlineStr">
        <is>
          <t>지배기업 소유주 귀속 지분 합계</t>
        </is>
      </c>
      <c r="C109" s="20" t="n">
        <v>208083</v>
      </c>
      <c r="D109" s="20" t="n">
        <v>215040</v>
      </c>
      <c r="E109" s="20" t="n">
        <v>226467</v>
      </c>
      <c r="F109" s="20" t="n">
        <v>236265</v>
      </c>
      <c r="G109" s="20" t="n">
        <v>236665</v>
      </c>
      <c r="H109" s="20" t="n">
        <v>201548</v>
      </c>
      <c r="I109" s="20" t="n">
        <v>203759</v>
      </c>
      <c r="J109" s="20" t="n">
        <v>250970</v>
      </c>
      <c r="K109" s="20" t="n">
        <v>231936</v>
      </c>
      <c r="L109" s="20" t="n">
        <v>236265</v>
      </c>
    </row>
    <row r="110">
      <c r="A110" s="18" t="inlineStr">
        <is>
          <t>비지배지분</t>
        </is>
      </c>
      <c r="C110" s="20" t="n">
        <v>10897</v>
      </c>
      <c r="D110" s="20" t="n">
        <v>11436</v>
      </c>
      <c r="E110" s="20" t="n">
        <v>12415</v>
      </c>
      <c r="F110" s="20" t="n">
        <v>12661</v>
      </c>
      <c r="G110" s="20" t="n">
        <v>10586</v>
      </c>
      <c r="H110" s="20" t="n">
        <v>10927</v>
      </c>
      <c r="I110" s="20" t="n">
        <v>10562</v>
      </c>
      <c r="J110" s="20" t="n">
        <v>11040</v>
      </c>
      <c r="K110" s="20" t="n">
        <v>11462</v>
      </c>
      <c r="L110" s="20" t="n">
        <v>12661</v>
      </c>
    </row>
    <row r="111">
      <c r="A111" s="18" t="inlineStr">
        <is>
          <t>자본 합계</t>
        </is>
      </c>
      <c r="C111" s="20" t="n">
        <v>218981</v>
      </c>
      <c r="D111" s="20" t="n">
        <v>226477</v>
      </c>
      <c r="E111" s="20" t="n">
        <v>238883</v>
      </c>
      <c r="F111" s="20" t="n">
        <v>248926</v>
      </c>
      <c r="G111" s="20" t="n">
        <v>247252</v>
      </c>
      <c r="H111" s="20" t="n">
        <v>212475</v>
      </c>
      <c r="I111" s="20" t="n">
        <v>214322</v>
      </c>
      <c r="J111" s="20" t="n">
        <v>262010</v>
      </c>
      <c r="K111" s="20" t="n">
        <v>243398</v>
      </c>
      <c r="L111" s="20" t="n">
        <v>248926</v>
      </c>
    </row>
    <row r="112">
      <c r="A112" s="18" t="inlineStr">
        <is>
          <t>부채및자본 합계</t>
        </is>
      </c>
      <c r="C112" s="20" t="n">
        <v>392306</v>
      </c>
      <c r="D112" s="20" t="n">
        <v>401725</v>
      </c>
      <c r="E112" s="20" t="n">
        <v>419371</v>
      </c>
      <c r="F112" s="20" t="n">
        <v>398843</v>
      </c>
      <c r="G112" s="20" t="n">
        <v>406337</v>
      </c>
      <c r="H112" s="20" t="n">
        <v>364400</v>
      </c>
      <c r="I112" s="20" t="n">
        <v>385449</v>
      </c>
      <c r="J112" s="20" t="n">
        <v>443108</v>
      </c>
      <c r="K112" s="20" t="n">
        <v>400063</v>
      </c>
      <c r="L112" s="20" t="n">
        <v>398843</v>
      </c>
    </row>
    <row r="113">
      <c r="A113" s="18" t="inlineStr">
        <is>
          <t>현금 및 예금</t>
        </is>
      </c>
      <c r="H113" s="20" t="n">
        <v>33578</v>
      </c>
    </row>
    <row r="114">
      <c r="A114" s="18" t="inlineStr">
        <is>
          <t>받을어음·매출채권</t>
        </is>
      </c>
      <c r="H114" s="20" t="n">
        <v>0</v>
      </c>
    </row>
    <row r="115">
      <c r="A115" s="18" t="inlineStr">
        <is>
          <t>받을어음</t>
        </is>
      </c>
      <c r="H115" s="20" t="n">
        <v>876</v>
      </c>
    </row>
    <row r="116">
      <c r="A116" s="18" t="inlineStr">
        <is>
          <t>매출채권</t>
        </is>
      </c>
      <c r="H116" s="20" t="n">
        <v>47326</v>
      </c>
    </row>
    <row r="117">
      <c r="A117" s="18" t="inlineStr">
        <is>
          <t>전자기록채권</t>
        </is>
      </c>
      <c r="H117" s="20" t="n">
        <v>12786</v>
      </c>
    </row>
    <row r="118">
      <c r="A118" s="18" t="inlineStr">
        <is>
          <t>상품·제품</t>
        </is>
      </c>
      <c r="H118" s="20" t="n">
        <v>10497</v>
      </c>
    </row>
    <row r="119">
      <c r="A119" s="18" t="inlineStr">
        <is>
          <t>재공품</t>
        </is>
      </c>
      <c r="H119" s="20" t="n">
        <v>27343</v>
      </c>
    </row>
    <row r="120">
      <c r="A120" s="18" t="inlineStr">
        <is>
          <t>원재료·저장품</t>
        </is>
      </c>
      <c r="H120" s="20" t="n">
        <v>12920</v>
      </c>
    </row>
    <row r="121">
      <c r="A121" s="18" t="inlineStr">
        <is>
          <t>기타</t>
        </is>
      </c>
      <c r="H121" s="20" t="n">
        <v>4067</v>
      </c>
    </row>
    <row r="122">
      <c r="A122" s="18" t="inlineStr">
        <is>
          <t>대손충당금</t>
        </is>
      </c>
      <c r="H122" s="20" t="n">
        <v>-91</v>
      </c>
    </row>
    <row r="123">
      <c r="A123" s="9" t="inlineStr">
        <is>
          <t>유동자산 합계</t>
        </is>
      </c>
      <c r="H123" s="12" t="n">
        <v>149304</v>
      </c>
    </row>
    <row r="124">
      <c r="A124" s="18" t="inlineStr">
        <is>
          <t>건물·구축물</t>
        </is>
      </c>
      <c r="H124" s="20" t="n">
        <v>88006</v>
      </c>
    </row>
    <row r="125">
      <c r="A125" s="18" t="inlineStr">
        <is>
          <t>감가상각누계액</t>
        </is>
      </c>
      <c r="H125" s="20" t="n">
        <v>-61458</v>
      </c>
    </row>
    <row r="126">
      <c r="A126" s="18" t="inlineStr">
        <is>
          <t>건물·구축물(순액)</t>
        </is>
      </c>
      <c r="H126" s="20" t="n">
        <v>26547</v>
      </c>
    </row>
    <row r="127">
      <c r="A127" s="18" t="inlineStr">
        <is>
          <t>기계장치·운반구</t>
        </is>
      </c>
      <c r="H127" s="20" t="n">
        <v>338515</v>
      </c>
    </row>
    <row r="128">
      <c r="A128" s="18" t="inlineStr">
        <is>
          <t>감가상각누계액</t>
        </is>
      </c>
      <c r="H128" s="20" t="n">
        <v>-285792</v>
      </c>
    </row>
    <row r="129">
      <c r="A129" s="18" t="inlineStr">
        <is>
          <t>기계장치·운반구(순액)</t>
        </is>
      </c>
      <c r="H129" s="20" t="n">
        <v>52723</v>
      </c>
    </row>
    <row r="130">
      <c r="A130" s="18" t="inlineStr">
        <is>
          <t>공구·기구·비품</t>
        </is>
      </c>
      <c r="H130" s="20" t="n">
        <v>17319</v>
      </c>
    </row>
    <row r="131">
      <c r="A131" s="18" t="inlineStr">
        <is>
          <t>감가상각누계액</t>
        </is>
      </c>
      <c r="H131" s="20" t="n">
        <v>-14809</v>
      </c>
    </row>
    <row r="132">
      <c r="A132" s="18" t="inlineStr">
        <is>
          <t>공구·기구·비품(순액)</t>
        </is>
      </c>
      <c r="H132" s="20" t="n">
        <v>2509</v>
      </c>
    </row>
    <row r="133">
      <c r="A133" s="18" t="inlineStr">
        <is>
          <t>토지</t>
        </is>
      </c>
      <c r="H133" s="20" t="n">
        <v>14204</v>
      </c>
    </row>
    <row r="134">
      <c r="A134" s="18" t="inlineStr">
        <is>
          <t>리스자산</t>
        </is>
      </c>
      <c r="H134" s="20" t="n">
        <v>494</v>
      </c>
    </row>
    <row r="135">
      <c r="A135" s="18" t="inlineStr">
        <is>
          <t>감가상각누계액</t>
        </is>
      </c>
      <c r="H135" s="20" t="n">
        <v>-233</v>
      </c>
    </row>
    <row r="136">
      <c r="A136" s="18" t="inlineStr">
        <is>
          <t>리스자산(순액)</t>
        </is>
      </c>
      <c r="H136" s="20" t="n">
        <v>261</v>
      </c>
    </row>
    <row r="137">
      <c r="A137" s="18" t="inlineStr">
        <is>
          <t>건설중인자산</t>
        </is>
      </c>
      <c r="H137" s="20" t="n">
        <v>7233</v>
      </c>
    </row>
    <row r="138">
      <c r="A138" s="18" t="inlineStr">
        <is>
          <t>유형자산 합계</t>
        </is>
      </c>
      <c r="H138" s="20" t="n">
        <v>103479</v>
      </c>
    </row>
    <row r="139">
      <c r="A139" s="18" t="inlineStr">
        <is>
          <t>전화가입권</t>
        </is>
      </c>
      <c r="H139" s="20" t="n">
        <v>16</v>
      </c>
    </row>
    <row r="140">
      <c r="A140" s="18" t="inlineStr">
        <is>
          <t>기타</t>
        </is>
      </c>
      <c r="H140" s="20" t="n">
        <v>3020</v>
      </c>
    </row>
    <row r="141">
      <c r="A141" s="18" t="inlineStr">
        <is>
          <t>무형자산 합계</t>
        </is>
      </c>
      <c r="H141" s="20" t="n">
        <v>3037</v>
      </c>
    </row>
    <row r="142">
      <c r="A142" s="18" t="inlineStr">
        <is>
          <t>투자유가증권</t>
        </is>
      </c>
      <c r="H142" s="20" t="n">
        <v>24255</v>
      </c>
    </row>
    <row r="143">
      <c r="A143" s="18" t="inlineStr">
        <is>
          <t>퇴직급여자산</t>
        </is>
      </c>
      <c r="H143" s="20" t="n">
        <v>41368</v>
      </c>
    </row>
    <row r="144">
      <c r="A144" s="18" t="inlineStr">
        <is>
          <t>이연법인세자산</t>
        </is>
      </c>
      <c r="H144" s="20" t="n">
        <v>904</v>
      </c>
    </row>
    <row r="145">
      <c r="A145" s="18" t="inlineStr">
        <is>
          <t>기타</t>
        </is>
      </c>
      <c r="H145" s="20" t="n">
        <v>1571</v>
      </c>
    </row>
    <row r="146">
      <c r="A146" s="18" t="inlineStr">
        <is>
          <t>대손충당금</t>
        </is>
      </c>
      <c r="H146" s="20" t="n">
        <v>-54</v>
      </c>
    </row>
    <row r="147">
      <c r="A147" s="18" t="inlineStr">
        <is>
          <t>투자 및 기타자산 합계</t>
        </is>
      </c>
      <c r="H147" s="20" t="n">
        <v>68045</v>
      </c>
    </row>
    <row r="148">
      <c r="A148" s="9" t="inlineStr">
        <is>
          <t>비유동자산 합계</t>
        </is>
      </c>
      <c r="H148" s="12" t="n">
        <v>174562</v>
      </c>
    </row>
    <row r="149">
      <c r="A149" s="9" t="inlineStr">
        <is>
          <t>자산 합계</t>
        </is>
      </c>
      <c r="H149" s="12" t="n">
        <v>323866</v>
      </c>
    </row>
    <row r="150">
      <c r="A150" s="18" t="inlineStr">
        <is>
          <t>지급어음·매입채무</t>
        </is>
      </c>
      <c r="H150" s="20" t="n">
        <v>33185</v>
      </c>
    </row>
    <row r="151">
      <c r="A151" s="18" t="inlineStr">
        <is>
          <t>1년 내 상환 예정 사채</t>
        </is>
      </c>
      <c r="H151" s="20" t="n">
        <v>0</v>
      </c>
    </row>
    <row r="152">
      <c r="A152" s="18" t="inlineStr">
        <is>
          <t>단기차입금</t>
        </is>
      </c>
      <c r="H152" s="20" t="n">
        <v>300</v>
      </c>
    </row>
    <row r="153">
      <c r="A153" s="18" t="inlineStr">
        <is>
          <t>1년 내 상환 장기차입금</t>
        </is>
      </c>
      <c r="H153" s="20" t="n">
        <v>309</v>
      </c>
    </row>
    <row r="154">
      <c r="A154" s="18" t="inlineStr">
        <is>
          <t>미지급법인세</t>
        </is>
      </c>
      <c r="H154" s="20" t="n">
        <v>514</v>
      </c>
    </row>
    <row r="155">
      <c r="A155" s="18" t="inlineStr">
        <is>
          <t>임원 상여충당금</t>
        </is>
      </c>
      <c r="H155" s="20" t="n">
        <v>164</v>
      </c>
    </row>
    <row r="156">
      <c r="A156" s="18" t="inlineStr">
        <is>
          <t>기타</t>
        </is>
      </c>
      <c r="H156" s="20" t="n">
        <v>14844</v>
      </c>
    </row>
    <row r="157">
      <c r="A157" s="9" t="inlineStr">
        <is>
          <t>유동부채 합계</t>
        </is>
      </c>
      <c r="H157" s="12" t="n">
        <v>49318</v>
      </c>
    </row>
    <row r="158">
      <c r="A158" s="18" t="inlineStr">
        <is>
          <t>장기차입금</t>
        </is>
      </c>
      <c r="H158" s="20" t="n">
        <v>66058</v>
      </c>
    </row>
    <row r="159">
      <c r="A159" s="18" t="inlineStr">
        <is>
          <t>임원 퇴직위로 충당금</t>
        </is>
      </c>
      <c r="H159" s="20" t="n">
        <v>377</v>
      </c>
    </row>
    <row r="160">
      <c r="A160" s="18" t="inlineStr">
        <is>
          <t>퇴직급여부채</t>
        </is>
      </c>
      <c r="H160" s="20" t="n">
        <v>16064</v>
      </c>
    </row>
    <row r="161">
      <c r="A161" s="18" t="inlineStr">
        <is>
          <t>자산복구부채</t>
        </is>
      </c>
      <c r="H161" s="20" t="n">
        <v>703</v>
      </c>
    </row>
    <row r="162">
      <c r="A162" s="18" t="inlineStr">
        <is>
          <t>이연법인세부채</t>
        </is>
      </c>
      <c r="H162" s="20" t="n">
        <v>3703</v>
      </c>
    </row>
    <row r="163">
      <c r="A163" s="18" t="inlineStr">
        <is>
          <t>기타</t>
        </is>
      </c>
      <c r="H163" s="20" t="n">
        <v>736</v>
      </c>
    </row>
    <row r="164">
      <c r="A164" s="9" t="inlineStr">
        <is>
          <t>비유동부채 합계</t>
        </is>
      </c>
      <c r="H164" s="12" t="n">
        <v>87643</v>
      </c>
    </row>
    <row r="165">
      <c r="A165" s="9" t="inlineStr">
        <is>
          <t>부채 합계</t>
        </is>
      </c>
      <c r="H165" s="12" t="n">
        <v>136962</v>
      </c>
    </row>
    <row r="166">
      <c r="A166" s="18" t="inlineStr">
        <is>
          <t>자본금</t>
        </is>
      </c>
      <c r="H166" s="20" t="n">
        <v>25016</v>
      </c>
    </row>
    <row r="167">
      <c r="A167" s="18" t="inlineStr">
        <is>
          <t>자본잉여금</t>
        </is>
      </c>
      <c r="H167" s="20" t="n">
        <v>28051</v>
      </c>
    </row>
    <row r="168">
      <c r="A168" s="18" t="inlineStr">
        <is>
          <t>이익잉여금</t>
        </is>
      </c>
      <c r="H168" s="20" t="n">
        <v>96748</v>
      </c>
    </row>
    <row r="169">
      <c r="A169" s="18" t="inlineStr">
        <is>
          <t>자기주식</t>
        </is>
      </c>
      <c r="H169" s="20" t="n">
        <v>-1049</v>
      </c>
    </row>
    <row r="170">
      <c r="A170" s="9" t="inlineStr">
        <is>
          <t>주주자본 합계</t>
        </is>
      </c>
      <c r="H170" s="12" t="n">
        <v>148767</v>
      </c>
    </row>
    <row r="171">
      <c r="A171" s="18" t="inlineStr">
        <is>
          <t>기타유가증권 평가차액</t>
        </is>
      </c>
      <c r="H171" s="20" t="n">
        <v>10132</v>
      </c>
    </row>
    <row r="172">
      <c r="A172" s="18" t="inlineStr">
        <is>
          <t>해외사업환산조정</t>
        </is>
      </c>
      <c r="H172" s="20" t="n">
        <v>3701</v>
      </c>
    </row>
    <row r="173">
      <c r="A173" s="18" t="inlineStr">
        <is>
          <t>퇴직급여 조정누계액</t>
        </is>
      </c>
      <c r="H173" s="20" t="n">
        <v>13390</v>
      </c>
    </row>
    <row r="174">
      <c r="A174" s="18" t="inlineStr">
        <is>
          <t>기타포괄손익누계액 합계</t>
        </is>
      </c>
      <c r="H174" s="20" t="n">
        <v>27223</v>
      </c>
    </row>
    <row r="175">
      <c r="A175" s="18" t="inlineStr">
        <is>
          <t>비지배지분</t>
        </is>
      </c>
      <c r="H175" s="20" t="n">
        <v>10913</v>
      </c>
    </row>
    <row r="176">
      <c r="A176" s="9" t="inlineStr">
        <is>
          <t>순자산 합계</t>
        </is>
      </c>
      <c r="H176" s="12" t="n">
        <v>186904</v>
      </c>
    </row>
    <row r="177">
      <c r="A177" s="9" t="inlineStr">
        <is>
          <t>부채·순자산 합계</t>
        </is>
      </c>
      <c r="H177" s="12" t="n">
        <v>323866</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2026-07-31</t>
        </is>
      </c>
      <c r="B4" t="inlineStr">
        <is>
          <t>2027년 3월 결산기 １분기 결산단신</t>
        </is>
      </c>
      <c r="C4" t="inlineStr">
        <is>
          <t>https://www2.jpx.co.jp/disc/54820/140120260727599743.pdf</t>
        </is>
      </c>
    </row>
    <row r="5">
      <c r="A5" t="inlineStr">
        <is>
          <t>2026-04-28</t>
        </is>
      </c>
      <c r="B5" t="inlineStr">
        <is>
          <t>2026년 3월 결산기 연간 결산단신</t>
        </is>
      </c>
      <c r="C5" t="inlineStr">
        <is>
          <t>https://www2.jpx.co.jp/disc/54820/140120260423509568.pdf</t>
        </is>
      </c>
    </row>
    <row r="6">
      <c r="A6" t="inlineStr">
        <is>
          <t>2026-02-03</t>
        </is>
      </c>
      <c r="B6" t="inlineStr">
        <is>
          <t>2026년 3월 결산기 ３분기 결산단신</t>
        </is>
      </c>
      <c r="C6" t="inlineStr">
        <is>
          <t>https://www2.jpx.co.jp/disc/54820/140120260128540260.pdf</t>
        </is>
      </c>
    </row>
    <row r="7">
      <c r="A7" t="inlineStr">
        <is>
          <t>2025-10-31</t>
        </is>
      </c>
      <c r="B7" t="inlineStr">
        <is>
          <t>2026년 3월 결산기 ２분기 결산단신</t>
        </is>
      </c>
      <c r="C7" t="inlineStr">
        <is>
          <t>https://www2.jpx.co.jp/disc/54820/140120251028580491.pdf</t>
        </is>
      </c>
    </row>
    <row r="8">
      <c r="A8" t="inlineStr">
        <is>
          <t>2025-07-31</t>
        </is>
      </c>
      <c r="B8" t="inlineStr">
        <is>
          <t>2026년 3월 결산기 １분기 결산단신</t>
        </is>
      </c>
      <c r="C8" t="inlineStr">
        <is>
          <t>https://www2.jpx.co.jp/disc/54820/140120250723519039.pdf</t>
        </is>
      </c>
    </row>
    <row r="9">
      <c r="A9" t="inlineStr">
        <is>
          <t>2025-04-25</t>
        </is>
      </c>
      <c r="B9" t="inlineStr">
        <is>
          <t>2025년 3월 결산기 연간 결산단신</t>
        </is>
      </c>
      <c r="C9" t="inlineStr">
        <is>
          <t>https://www2.jpx.co.jp/disc/54820/140120250423521016.pdf</t>
        </is>
      </c>
    </row>
    <row r="10">
      <c r="A10" t="inlineStr">
        <is>
          <t>2025-01-31</t>
        </is>
      </c>
      <c r="B10" t="inlineStr">
        <is>
          <t>2025년 3월 결산기 ３분기 결산단신</t>
        </is>
      </c>
      <c r="C10" t="inlineStr">
        <is>
          <t>https://www2.jpx.co.jp/disc/54820/140120250130558263.pdf</t>
        </is>
      </c>
    </row>
    <row r="11">
      <c r="A11" t="inlineStr">
        <is>
          <t>2024-10-31</t>
        </is>
      </c>
      <c r="B11" t="inlineStr">
        <is>
          <t>2025년 3월 결산기 ２분기 결산단신</t>
        </is>
      </c>
      <c r="C11" t="inlineStr">
        <is>
          <t>https://www2.jpx.co.jp/disc/54820/140120241028504340.pdf</t>
        </is>
      </c>
    </row>
    <row r="12">
      <c r="A12" t="inlineStr">
        <is>
          <t>2024-07-31</t>
        </is>
      </c>
      <c r="B12" t="inlineStr">
        <is>
          <t>2025년 3월 결산기 １분기 결산단신</t>
        </is>
      </c>
      <c r="C12" t="inlineStr">
        <is>
          <t>https://www2.jpx.co.jp/disc/54820/140120240729556582.pdf</t>
        </is>
      </c>
    </row>
    <row r="13">
      <c r="A13" t="inlineStr">
        <is>
          <t>2024-04-26</t>
        </is>
      </c>
      <c r="B13" t="inlineStr">
        <is>
          <t>2024년 3월 결산기 연간 결산단신</t>
        </is>
      </c>
      <c r="C13" t="inlineStr">
        <is>
          <t>https://www2.jpx.co.jp/disc/54820/140120240424575609.pdf</t>
        </is>
      </c>
    </row>
    <row r="14">
      <c r="A14" t="inlineStr">
        <is>
          <t>2023-10-31</t>
        </is>
      </c>
      <c r="B14" t="inlineStr">
        <is>
          <t>2024년 3월 결산기 ２분기 결산단신</t>
        </is>
      </c>
      <c r="C14" t="inlineStr">
        <is>
          <t>https://www2.jpx.co.jp/disc/54820/140120231026572645.pdf</t>
        </is>
      </c>
    </row>
    <row r="15">
      <c r="A15" t="inlineStr">
        <is>
          <t>2023-07-28</t>
        </is>
      </c>
      <c r="B15" t="inlineStr">
        <is>
          <t>2024년 3월 결산기 １분기 결산단신</t>
        </is>
      </c>
      <c r="C15" t="inlineStr">
        <is>
          <t>https://www2.jpx.co.jp/disc/54820/140120230725526625.pdf</t>
        </is>
      </c>
    </row>
    <row r="16">
      <c r="A16" t="inlineStr">
        <is>
          <t>2023-04-27</t>
        </is>
      </c>
      <c r="B16" t="inlineStr">
        <is>
          <t>2023년 3월 결산기 연간 결산단신</t>
        </is>
      </c>
      <c r="C16" t="inlineStr">
        <is>
          <t>https://www2.jpx.co.jp/disc/54820/140120230425552086.pdf</t>
        </is>
      </c>
    </row>
    <row r="17">
      <c r="A17" t="inlineStr">
        <is>
          <t>2023-02-03</t>
        </is>
      </c>
      <c r="B17" t="inlineStr">
        <is>
          <t>2023년 3월 결산기 ３분기 결산단신</t>
        </is>
      </c>
      <c r="C17" t="inlineStr">
        <is>
          <t>https://www2.jpx.co.jp/disc/54820/140120230201598060.pdf</t>
        </is>
      </c>
    </row>
    <row r="18">
      <c r="A18" t="inlineStr">
        <is>
          <t>2022-10-28</t>
        </is>
      </c>
      <c r="B18" t="inlineStr">
        <is>
          <t>2023년 3월 결산기 ２분기 결산단신</t>
        </is>
      </c>
      <c r="C18" t="inlineStr">
        <is>
          <t>https://www2.jpx.co.jp/disc/54820/140120221026549492.pdf</t>
        </is>
      </c>
    </row>
    <row r="19">
      <c r="A19" t="inlineStr">
        <is>
          <t>2022-07-29</t>
        </is>
      </c>
      <c r="B19" t="inlineStr">
        <is>
          <t>2023년 3월 결산기 １분기 결산단신</t>
        </is>
      </c>
      <c r="C19" t="inlineStr">
        <is>
          <t>https://www2.jpx.co.jp/disc/54820/140120220726504935.pdf</t>
        </is>
      </c>
    </row>
    <row r="20">
      <c r="A20" t="inlineStr">
        <is>
          <t>2022-06-22</t>
        </is>
      </c>
      <c r="B20" t="inlineStr">
        <is>
          <t>2022년 3월 결산기 연간 결산단신</t>
        </is>
      </c>
      <c r="C20" t="inlineStr">
        <is>
          <t>https://www2.jpx.co.jp/disc/54820/140120220620583089.pdf</t>
        </is>
      </c>
    </row>
    <row r="21">
      <c r="A21" t="inlineStr">
        <is>
          <t>2022-04-28</t>
        </is>
      </c>
      <c r="B21" t="inlineStr">
        <is>
          <t>2022년 3월 결산기 연간 결산단신</t>
        </is>
      </c>
      <c r="C21" t="inlineStr">
        <is>
          <t>https://www2.jpx.co.jp/disc/54820/140120220427530195.pdf</t>
        </is>
      </c>
    </row>
    <row r="22">
      <c r="A22" t="inlineStr">
        <is>
          <t>2021-04-28</t>
        </is>
      </c>
      <c r="B22" t="inlineStr">
        <is>
          <t>2021년 3월 결산기 연간 결산단신</t>
        </is>
      </c>
      <c r="C22" t="inlineStr">
        <is>
          <t>https://www2.jpx.co.jp/disc/54820/140120210427402015.pdf</t>
        </is>
      </c>
    </row>
    <row r="23">
      <c r="A23" t="inlineStr">
        <is>
          <t>2020-04-30</t>
        </is>
      </c>
      <c r="B23" t="inlineStr">
        <is>
          <t>2020년 3월 결산기 연간 결산단신</t>
        </is>
      </c>
      <c r="C23" t="inlineStr">
        <is>
          <t>https://www2.jpx.co.jp/disc/54820/140120200424498670.pdf</t>
        </is>
      </c>
    </row>
    <row r="24">
      <c r="A24" t="inlineStr">
        <is>
          <t>2019-04-26</t>
        </is>
      </c>
      <c r="B24" t="inlineStr">
        <is>
          <t>2019년 3월 결산기 연간 결산단신</t>
        </is>
      </c>
      <c r="C24" t="inlineStr">
        <is>
          <t>https://www2.jpx.co.jp/disc/54820/140120190423409001.pdf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2026-10-26T10:54:54Z</dcterms:created>
  <dcterms:modified xmlns:dcterms="http://purl.org/dc/terms/" xmlns:xsi="http://www.w3.org/2001/XMLSchema-instance" xsi:type="dcterms:W3CDTF">2026-10-26T10:54:55Z</dcterms:modified>
</cp:coreProperties>
</file>