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9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세이효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676.216</v>
      </c>
      <c r="D4" s="12" t="n">
        <v>764.921</v>
      </c>
      <c r="E4" s="12" t="n">
        <v>1120.672</v>
      </c>
      <c r="F4" s="12" t="n">
        <v>1699.592</v>
      </c>
      <c r="G4" s="12" t="n">
        <v>1055.716</v>
      </c>
      <c r="H4" s="12" t="n">
        <v>608.638</v>
      </c>
      <c r="I4" s="12" t="n">
        <v>1338.04</v>
      </c>
      <c r="J4" s="12" t="n">
        <v>1759.736</v>
      </c>
      <c r="K4" s="12" t="n">
        <v>790.938</v>
      </c>
      <c r="L4" s="12" t="n">
        <v>907.944</v>
      </c>
      <c r="M4" s="12" t="n">
        <v>1456.867</v>
      </c>
      <c r="N4" s="12" t="n">
        <v>2413.849</v>
      </c>
      <c r="O4" s="11" t="n">
        <v>3821.659</v>
      </c>
      <c r="P4" s="12" t="n">
        <v>3645.535</v>
      </c>
      <c r="Q4" s="12" t="n">
        <v>4047.969</v>
      </c>
      <c r="R4" s="12" t="n">
        <v>3733.556</v>
      </c>
      <c r="S4" s="12" t="n">
        <v>3502.405</v>
      </c>
      <c r="T4" s="12" t="n">
        <v>3957.81</v>
      </c>
      <c r="U4" s="12" t="n">
        <v>4192.988</v>
      </c>
      <c r="V4" s="12" t="n">
        <v>4256.002</v>
      </c>
      <c r="W4" s="12" t="n">
        <v>4484.618</v>
      </c>
      <c r="X4" s="12" t="n">
        <v>4796.658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610.782</v>
      </c>
      <c r="D11" s="22" t="n">
        <v>660.605</v>
      </c>
      <c r="E11" s="22" t="n">
        <v>894.663</v>
      </c>
      <c r="F11" s="22" t="n">
        <v>1288.682</v>
      </c>
      <c r="G11" s="22" t="n">
        <v>898.452</v>
      </c>
      <c r="H11" s="22" t="n">
        <v>535.0410000000001</v>
      </c>
      <c r="I11" s="22" t="n">
        <v>1078.304</v>
      </c>
      <c r="J11" s="22" t="n">
        <v>1325.745</v>
      </c>
      <c r="K11" s="22" t="n">
        <v>718.662</v>
      </c>
      <c r="L11" s="22" t="n">
        <v>829.2380000000001</v>
      </c>
      <c r="M11" s="22" t="n">
        <v>1186.354</v>
      </c>
      <c r="N11" s="22" t="n">
        <v>1889.129</v>
      </c>
      <c r="O11" s="21" t="n">
        <v>3344.185</v>
      </c>
      <c r="P11" s="22" t="n">
        <v>3213.191</v>
      </c>
      <c r="Q11" s="22" t="n">
        <v>3473.55</v>
      </c>
      <c r="R11" s="22" t="n">
        <v>3194.093</v>
      </c>
      <c r="S11" s="22" t="n">
        <v>2922.666</v>
      </c>
      <c r="T11" s="22" t="n">
        <v>3321.143</v>
      </c>
      <c r="U11" s="22" t="n">
        <v>3599.095</v>
      </c>
      <c r="V11" s="22" t="n">
        <v>3534.525</v>
      </c>
      <c r="W11" s="22" t="n">
        <v>3616.838</v>
      </c>
      <c r="X11" s="22" t="n">
        <v>3951.949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121.215</v>
      </c>
      <c r="D17" s="22" t="n">
        <v>123.398</v>
      </c>
      <c r="E17" s="22" t="n">
        <v>191.692</v>
      </c>
      <c r="F17" s="22" t="n">
        <v>261.907</v>
      </c>
      <c r="G17" s="22" t="n">
        <v>139.376</v>
      </c>
      <c r="H17" s="22" t="n">
        <v>178.504</v>
      </c>
      <c r="I17" s="22" t="n">
        <v>212.63</v>
      </c>
      <c r="J17" s="22" t="n">
        <v>292.865</v>
      </c>
      <c r="K17" s="22" t="n">
        <v>155.409</v>
      </c>
      <c r="L17" s="22" t="n">
        <v>148.431</v>
      </c>
      <c r="M17" s="22" t="n">
        <v>290.121</v>
      </c>
      <c r="N17" s="22" t="n">
        <v>365.358</v>
      </c>
      <c r="O17" s="21" t="n">
        <v>479.63</v>
      </c>
      <c r="P17" s="22" t="n">
        <v>511.821</v>
      </c>
      <c r="Q17" s="22" t="n">
        <v>527.88</v>
      </c>
      <c r="R17" s="22" t="n">
        <v>612.412</v>
      </c>
      <c r="S17" s="22" t="n">
        <v>562.4109999999999</v>
      </c>
      <c r="T17" s="22" t="n">
        <v>579.915</v>
      </c>
      <c r="U17" s="22" t="n">
        <v>582.404</v>
      </c>
      <c r="V17" s="22" t="n">
        <v>666.889</v>
      </c>
      <c r="W17" s="22" t="n">
        <v>771.479</v>
      </c>
      <c r="X17" s="22" t="n">
        <v>809.335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-55.782</v>
      </c>
      <c r="D19" s="12" t="n">
        <v>-19.082</v>
      </c>
      <c r="E19" s="12" t="n">
        <v>34.316</v>
      </c>
      <c r="F19" s="12" t="n">
        <v>149.003</v>
      </c>
      <c r="G19" s="12" t="n">
        <v>17.888</v>
      </c>
      <c r="H19" s="12" t="n">
        <v>-104.907</v>
      </c>
      <c r="I19" s="12" t="n">
        <v>47.105</v>
      </c>
      <c r="J19" s="12" t="n">
        <v>141.126</v>
      </c>
      <c r="K19" s="12" t="n">
        <v>-83.134</v>
      </c>
      <c r="L19" s="12" t="n">
        <v>-69.724</v>
      </c>
      <c r="M19" s="12" t="n">
        <v>-19.609</v>
      </c>
      <c r="N19" s="12" t="n">
        <v>159.362</v>
      </c>
      <c r="O19" s="11" t="n">
        <v>-2.156</v>
      </c>
      <c r="P19" s="12" t="n">
        <v>-79.477</v>
      </c>
      <c r="Q19" s="12" t="n">
        <v>46.538</v>
      </c>
      <c r="R19" s="12" t="n">
        <v>-72.949</v>
      </c>
      <c r="S19" s="12" t="n">
        <v>17.327</v>
      </c>
      <c r="T19" s="12" t="n">
        <v>56.751</v>
      </c>
      <c r="U19" s="12" t="n">
        <v>11.488</v>
      </c>
      <c r="V19" s="12" t="n">
        <v>54.586</v>
      </c>
      <c r="W19" s="12" t="n">
        <v>96.3</v>
      </c>
      <c r="X19" s="12" t="n">
        <v>35.373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>
        <v>119.726</v>
      </c>
      <c r="P24" s="22" t="n">
        <v>119.866</v>
      </c>
      <c r="Q24" s="22" t="n">
        <v>126.063</v>
      </c>
      <c r="R24" s="22" t="n">
        <v>131.066</v>
      </c>
      <c r="S24" s="22" t="n">
        <v>134.904</v>
      </c>
      <c r="T24" s="22" t="n">
        <v>130.147</v>
      </c>
      <c r="U24" s="22" t="n">
        <v>134.914</v>
      </c>
      <c r="V24" s="22" t="n">
        <v>143.802</v>
      </c>
      <c r="W24" s="22" t="n">
        <v>150.48</v>
      </c>
      <c r="X24" s="22" t="n">
        <v>150.812</v>
      </c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28.068</v>
      </c>
      <c r="P26" s="22" t="n">
        <v>28.511</v>
      </c>
      <c r="Q26" s="22" t="n">
        <v>25.849</v>
      </c>
      <c r="R26" s="22" t="n">
        <v>29.723</v>
      </c>
      <c r="S26" s="22" t="n">
        <v>32.325</v>
      </c>
      <c r="T26" s="22" t="n">
        <v>18.531</v>
      </c>
      <c r="U26" s="22" t="n">
        <v>15.777</v>
      </c>
      <c r="V26" s="22" t="n">
        <v>17.58</v>
      </c>
      <c r="W26" s="22" t="n">
        <v>19.174</v>
      </c>
      <c r="X26" s="22" t="n">
        <v>21.161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0</v>
      </c>
      <c r="E35" s="22" t="n"/>
      <c r="F35" s="22" t="n"/>
      <c r="G35" s="22" t="n">
        <v>0</v>
      </c>
      <c r="H35" s="22" t="n">
        <v>0</v>
      </c>
      <c r="I35" s="22" t="n"/>
      <c r="J35" s="22" t="n"/>
      <c r="K35" s="22" t="n">
        <v>0</v>
      </c>
      <c r="L35" s="22" t="n">
        <v>19.072</v>
      </c>
      <c r="M35" s="22" t="n"/>
      <c r="N35" s="22" t="n"/>
      <c r="O35" s="21" t="n">
        <v>0</v>
      </c>
      <c r="P35" s="22" t="n">
        <v>63.47</v>
      </c>
      <c r="Q35" s="22" t="n">
        <v>0</v>
      </c>
      <c r="R35" s="22" t="n">
        <v>3.463</v>
      </c>
      <c r="S35" s="22" t="n">
        <v>5.637</v>
      </c>
      <c r="T35" s="22" t="n">
        <v>1.7</v>
      </c>
      <c r="U35" s="22" t="n">
        <v>0</v>
      </c>
      <c r="V35" s="22" t="n">
        <v>0</v>
      </c>
      <c r="W35" s="22" t="n">
        <v>0.308</v>
      </c>
      <c r="X35" s="22" t="n">
        <v>19.075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-0.145</v>
      </c>
      <c r="E37" s="22" t="n">
        <v>0</v>
      </c>
      <c r="F37" s="22" t="n">
        <v>0</v>
      </c>
      <c r="G37" s="22" t="n">
        <v>0.743</v>
      </c>
      <c r="H37" s="22" t="n">
        <v>0</v>
      </c>
      <c r="I37" s="22" t="n">
        <v>0</v>
      </c>
      <c r="J37" s="22" t="n">
        <v>0.285</v>
      </c>
      <c r="K37" s="22" t="n">
        <v>0</v>
      </c>
      <c r="L37" s="22" t="n">
        <v>9.244999999999999</v>
      </c>
      <c r="M37" s="22" t="n">
        <v>30.939</v>
      </c>
      <c r="N37" s="22" t="n">
        <v>0</v>
      </c>
      <c r="O37" s="21" t="n">
        <v>6.485</v>
      </c>
      <c r="P37" s="22" t="n">
        <v>1.043</v>
      </c>
      <c r="Q37" s="22" t="n">
        <v>2.843</v>
      </c>
      <c r="R37" s="22" t="n">
        <v>1.787</v>
      </c>
      <c r="S37" s="22" t="n">
        <v>8.170999999999999</v>
      </c>
      <c r="T37" s="22" t="n">
        <v>4.839</v>
      </c>
      <c r="U37" s="22" t="n">
        <v>0.359</v>
      </c>
      <c r="V37" s="22" t="n">
        <v>0.396</v>
      </c>
      <c r="W37" s="22" t="n">
        <v>0.743</v>
      </c>
      <c r="X37" s="22" t="n">
        <v>9.529999999999999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5.476</v>
      </c>
      <c r="D39" s="22" t="n">
        <v>8.595000000000001</v>
      </c>
      <c r="E39" s="22" t="n">
        <v>7.17</v>
      </c>
      <c r="F39" s="22" t="n">
        <v>17.572</v>
      </c>
      <c r="G39" s="22" t="n">
        <v>6.119</v>
      </c>
      <c r="H39" s="22" t="n">
        <v>13.815</v>
      </c>
      <c r="I39" s="22" t="n">
        <v>16.12</v>
      </c>
      <c r="J39" s="22" t="n">
        <v>9.475</v>
      </c>
      <c r="K39" s="22" t="n">
        <v>6.191</v>
      </c>
      <c r="L39" s="22" t="n">
        <v>9.144</v>
      </c>
      <c r="M39" s="22" t="n">
        <v>4.763</v>
      </c>
      <c r="N39" s="22" t="n">
        <v>11.693</v>
      </c>
      <c r="O39" s="21" t="n">
        <v>30.531</v>
      </c>
      <c r="P39" s="22" t="n">
        <v>39.529</v>
      </c>
      <c r="Q39" s="22" t="n">
        <v>33.105</v>
      </c>
      <c r="R39" s="22" t="n">
        <v>27.195</v>
      </c>
      <c r="S39" s="22" t="n">
        <v>50.269</v>
      </c>
      <c r="T39" s="22" t="n">
        <v>21.89</v>
      </c>
      <c r="U39" s="22" t="n">
        <v>42.791</v>
      </c>
      <c r="V39" s="22" t="n">
        <v>26.529</v>
      </c>
      <c r="W39" s="22" t="n">
        <v>44.676</v>
      </c>
      <c r="X39" s="22" t="n">
        <v>40.93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4.322</v>
      </c>
      <c r="D41" s="22" t="n">
        <v>3.6</v>
      </c>
      <c r="E41" s="22" t="n">
        <v>3.601</v>
      </c>
      <c r="F41" s="22" t="n">
        <v>4.057</v>
      </c>
      <c r="G41" s="22" t="n">
        <v>4.461</v>
      </c>
      <c r="H41" s="22" t="n">
        <v>5.787</v>
      </c>
      <c r="I41" s="22" t="n">
        <v>5.26</v>
      </c>
      <c r="J41" s="22" t="n">
        <v>5.935</v>
      </c>
      <c r="K41" s="22" t="n">
        <v>4.47</v>
      </c>
      <c r="L41" s="22" t="n">
        <v>6.112</v>
      </c>
      <c r="M41" s="22" t="n">
        <v>5.917</v>
      </c>
      <c r="N41" s="22" t="n">
        <v>8.4</v>
      </c>
      <c r="O41" s="21" t="n">
        <v>4.856</v>
      </c>
      <c r="P41" s="22" t="n">
        <v>5.033</v>
      </c>
      <c r="Q41" s="22" t="n">
        <v>4.448</v>
      </c>
      <c r="R41" s="22" t="n">
        <v>13.554</v>
      </c>
      <c r="S41" s="22" t="n">
        <v>9.968999999999999</v>
      </c>
      <c r="T41" s="22" t="n">
        <v>8.9</v>
      </c>
      <c r="U41" s="22" t="n">
        <v>21.402</v>
      </c>
      <c r="V41" s="22" t="n">
        <v>14.944</v>
      </c>
      <c r="W41" s="22" t="n">
        <v>17.906</v>
      </c>
      <c r="X41" s="22" t="n">
        <v>21.777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-54.627</v>
      </c>
      <c r="D43" s="12" t="n">
        <v>-13.942</v>
      </c>
      <c r="E43" s="12" t="n">
        <v>37.885</v>
      </c>
      <c r="F43" s="12" t="n">
        <v>162.827</v>
      </c>
      <c r="G43" s="12" t="n">
        <v>18.802</v>
      </c>
      <c r="H43" s="12" t="n">
        <v>-96.879</v>
      </c>
      <c r="I43" s="12" t="n">
        <v>57.965</v>
      </c>
      <c r="J43" s="12" t="n">
        <v>144.384</v>
      </c>
      <c r="K43" s="12" t="n">
        <v>-81.413</v>
      </c>
      <c r="L43" s="12" t="n">
        <v>-56.866</v>
      </c>
      <c r="M43" s="12" t="n">
        <v>-51.702</v>
      </c>
      <c r="N43" s="12" t="n">
        <v>162.734</v>
      </c>
      <c r="O43" s="11" t="n">
        <v>17.032</v>
      </c>
      <c r="P43" s="12" t="n">
        <v>17.445</v>
      </c>
      <c r="Q43" s="12" t="n">
        <v>72.352</v>
      </c>
      <c r="R43" s="12" t="n">
        <v>-57.631</v>
      </c>
      <c r="S43" s="12" t="n">
        <v>55.094</v>
      </c>
      <c r="T43" s="12" t="n">
        <v>66.601</v>
      </c>
      <c r="U43" s="12" t="n">
        <v>32.517</v>
      </c>
      <c r="V43" s="12" t="n">
        <v>65.77500000000001</v>
      </c>
      <c r="W43" s="12" t="n">
        <v>122.635</v>
      </c>
      <c r="X43" s="12" t="n">
        <v>64.06999999999999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-7.494</v>
      </c>
      <c r="D45" s="22" t="n">
        <v>-13.759</v>
      </c>
      <c r="E45" s="22" t="n">
        <v>6.601</v>
      </c>
      <c r="F45" s="22" t="n">
        <v>36.796</v>
      </c>
      <c r="G45" s="22" t="n">
        <v>6.218</v>
      </c>
      <c r="H45" s="22" t="n">
        <v>-46.485</v>
      </c>
      <c r="I45" s="22" t="n">
        <v>19.478</v>
      </c>
      <c r="J45" s="22" t="n">
        <v>49.725</v>
      </c>
      <c r="K45" s="22" t="n">
        <v>-23.732</v>
      </c>
      <c r="L45" s="22" t="n">
        <v>7.122</v>
      </c>
      <c r="M45" s="22" t="n">
        <v>-12.81</v>
      </c>
      <c r="N45" s="22" t="n">
        <v>43.462</v>
      </c>
      <c r="O45" s="21" t="n">
        <v>5.924</v>
      </c>
      <c r="P45" s="22" t="n">
        <v>4.99</v>
      </c>
      <c r="Q45" s="22" t="n">
        <v>7.869</v>
      </c>
      <c r="R45" s="22" t="n">
        <v>9.597</v>
      </c>
      <c r="S45" s="22" t="n">
        <v>7.811</v>
      </c>
      <c r="T45" s="22" t="n">
        <v>3.125</v>
      </c>
      <c r="U45" s="22" t="n">
        <v>11.932</v>
      </c>
      <c r="V45" s="22" t="n">
        <v>4.362</v>
      </c>
      <c r="W45" s="22" t="n">
        <v>3.13</v>
      </c>
      <c r="X45" s="22" t="n">
        <v>52.593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-47.133</v>
      </c>
      <c r="D47" s="12" t="n">
        <v>-0.184</v>
      </c>
      <c r="E47" s="12" t="n">
        <v>31.284</v>
      </c>
      <c r="F47" s="12" t="n">
        <v>126.03</v>
      </c>
      <c r="G47" s="12" t="n">
        <v>12.584</v>
      </c>
      <c r="H47" s="12" t="n">
        <v>-50.394</v>
      </c>
      <c r="I47" s="12" t="n">
        <v>38.487</v>
      </c>
      <c r="J47" s="12" t="n">
        <v>94.65900000000001</v>
      </c>
      <c r="K47" s="12" t="n">
        <v>-57.682</v>
      </c>
      <c r="L47" s="12" t="n">
        <v>-63.988</v>
      </c>
      <c r="M47" s="12" t="n">
        <v>-38.892</v>
      </c>
      <c r="N47" s="12" t="n">
        <v>119.272</v>
      </c>
      <c r="O47" s="11" t="n">
        <v>11.108</v>
      </c>
      <c r="P47" s="12" t="n">
        <v>12.454</v>
      </c>
      <c r="Q47" s="12" t="n">
        <v>64.483</v>
      </c>
      <c r="R47" s="12" t="n">
        <v>-67.229</v>
      </c>
      <c r="S47" s="12" t="n">
        <v>47.283</v>
      </c>
      <c r="T47" s="12" t="n">
        <v>63.475</v>
      </c>
      <c r="U47" s="12" t="n">
        <v>20.585</v>
      </c>
      <c r="V47" s="12" t="n">
        <v>61.412</v>
      </c>
      <c r="W47" s="12" t="n">
        <v>119.504</v>
      </c>
      <c r="X47" s="12" t="n">
        <v>11.476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-47.133</v>
      </c>
      <c r="D49" s="12" t="n">
        <v>-0.184</v>
      </c>
      <c r="E49" s="12" t="n">
        <v>31.284</v>
      </c>
      <c r="F49" s="12" t="n">
        <v>126.03</v>
      </c>
      <c r="G49" s="12" t="n">
        <v>12.584</v>
      </c>
      <c r="H49" s="12" t="n">
        <v>-50.394</v>
      </c>
      <c r="I49" s="12" t="n">
        <v>38.487</v>
      </c>
      <c r="J49" s="12" t="n">
        <v>94.65900000000001</v>
      </c>
      <c r="K49" s="12" t="n">
        <v>-57.682</v>
      </c>
      <c r="L49" s="12" t="n">
        <v>-63.988</v>
      </c>
      <c r="M49" s="12" t="n">
        <v>-38.892</v>
      </c>
      <c r="N49" s="12" t="n">
        <v>119.272</v>
      </c>
      <c r="O49" s="11" t="n">
        <v>11.108</v>
      </c>
      <c r="P49" s="12" t="n">
        <v>12.454</v>
      </c>
      <c r="Q49" s="12" t="n">
        <v>64.483</v>
      </c>
      <c r="R49" s="12" t="n">
        <v>-67.229</v>
      </c>
      <c r="S49" s="12" t="n">
        <v>47.283</v>
      </c>
      <c r="T49" s="12" t="n">
        <v>63.475</v>
      </c>
      <c r="U49" s="12" t="n">
        <v>20.585</v>
      </c>
      <c r="V49" s="12" t="n">
        <v>61.412</v>
      </c>
      <c r="W49" s="12" t="n">
        <v>119.504</v>
      </c>
      <c r="X49" s="12" t="n">
        <v>11.476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676.216</v>
      </c>
      <c r="D84" s="12" t="n">
        <v>764.921</v>
      </c>
      <c r="E84" s="12" t="n">
        <v>1120.672</v>
      </c>
      <c r="F84" s="12" t="n">
        <v>1699.592</v>
      </c>
      <c r="G84" s="12" t="n">
        <v>1055.716</v>
      </c>
      <c r="H84" s="12" t="n">
        <v>608.638</v>
      </c>
      <c r="I84" s="12" t="n">
        <v>1338.04</v>
      </c>
      <c r="J84" s="12" t="n">
        <v>1759.736</v>
      </c>
      <c r="K84" s="12" t="n">
        <v>790.938</v>
      </c>
      <c r="L84" s="12" t="n">
        <v>907.944</v>
      </c>
      <c r="M84" s="12" t="n">
        <v>1456.867</v>
      </c>
      <c r="N84" s="12" t="n">
        <v>2413.849</v>
      </c>
      <c r="T84" s="12" t="n">
        <v>617.332</v>
      </c>
      <c r="U84" s="12" t="n">
        <v>914.903</v>
      </c>
      <c r="V84" s="12" t="n">
        <v>764.921</v>
      </c>
      <c r="W84" s="12" t="n">
        <v>608.638</v>
      </c>
      <c r="X84" s="12" t="n">
        <v>907.944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610.782</v>
      </c>
      <c r="D86" s="22" t="n">
        <v>660.605</v>
      </c>
      <c r="E86" s="22" t="n">
        <v>894.663</v>
      </c>
      <c r="F86" s="22" t="n">
        <v>1288.682</v>
      </c>
      <c r="G86" s="22" t="n">
        <v>898.452</v>
      </c>
      <c r="H86" s="22" t="n">
        <v>535.0410000000001</v>
      </c>
      <c r="I86" s="22" t="n">
        <v>1078.304</v>
      </c>
      <c r="J86" s="22" t="n">
        <v>1325.745</v>
      </c>
      <c r="K86" s="22" t="n">
        <v>718.662</v>
      </c>
      <c r="L86" s="22" t="n">
        <v>829.2380000000001</v>
      </c>
      <c r="M86" s="22" t="n">
        <v>1186.354</v>
      </c>
      <c r="N86" s="22" t="n">
        <v>1889.129</v>
      </c>
      <c r="T86" s="22" t="n">
        <v>565.876</v>
      </c>
      <c r="U86" s="22" t="n">
        <v>825.4160000000001</v>
      </c>
      <c r="V86" s="22" t="n">
        <v>660.605</v>
      </c>
      <c r="W86" s="22" t="n">
        <v>535.0410000000001</v>
      </c>
      <c r="X86" s="22" t="n">
        <v>829.2380000000001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65.43300000000001</v>
      </c>
      <c r="D88" s="12" t="n">
        <v>104.316</v>
      </c>
      <c r="E88" s="12" t="n">
        <v>226.008</v>
      </c>
      <c r="F88" s="12" t="n">
        <v>410.91</v>
      </c>
      <c r="G88" s="12" t="n">
        <v>157.265</v>
      </c>
      <c r="H88" s="12" t="n">
        <v>73.59699999999999</v>
      </c>
      <c r="I88" s="12" t="n">
        <v>259.735</v>
      </c>
      <c r="J88" s="12" t="n">
        <v>433.991</v>
      </c>
      <c r="K88" s="12" t="n">
        <v>72.276</v>
      </c>
      <c r="L88" s="12" t="n">
        <v>78.70699999999999</v>
      </c>
      <c r="M88" s="12" t="n">
        <v>270.512</v>
      </c>
      <c r="N88" s="12" t="n">
        <v>524.72</v>
      </c>
      <c r="T88" s="12" t="n">
        <v>51.455</v>
      </c>
      <c r="U88" s="12" t="n">
        <v>89.48699999999999</v>
      </c>
      <c r="V88" s="12" t="n">
        <v>104.316</v>
      </c>
      <c r="W88" s="12" t="n">
        <v>73.59699999999999</v>
      </c>
      <c r="X88" s="12" t="n">
        <v>78.70699999999999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121.215</v>
      </c>
      <c r="D90" s="22" t="n">
        <v>123.398</v>
      </c>
      <c r="E90" s="22" t="n">
        <v>191.692</v>
      </c>
      <c r="F90" s="22" t="n">
        <v>261.907</v>
      </c>
      <c r="G90" s="22" t="n">
        <v>139.376</v>
      </c>
      <c r="H90" s="22" t="n">
        <v>178.504</v>
      </c>
      <c r="I90" s="22" t="n">
        <v>212.63</v>
      </c>
      <c r="J90" s="22" t="n">
        <v>292.865</v>
      </c>
      <c r="K90" s="22" t="n">
        <v>155.409</v>
      </c>
      <c r="L90" s="22" t="n">
        <v>148.431</v>
      </c>
      <c r="M90" s="22" t="n">
        <v>290.121</v>
      </c>
      <c r="N90" s="22" t="n">
        <v>365.358</v>
      </c>
      <c r="T90" s="22" t="n">
        <v>107.091</v>
      </c>
      <c r="U90" s="22" t="n">
        <v>113.836</v>
      </c>
      <c r="V90" s="22" t="n">
        <v>123.398</v>
      </c>
      <c r="W90" s="22" t="n">
        <v>178.504</v>
      </c>
      <c r="X90" s="22" t="n">
        <v>148.431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-55.782</v>
      </c>
      <c r="D92" s="12" t="n">
        <v>-19.082</v>
      </c>
      <c r="E92" s="12" t="n">
        <v>34.316</v>
      </c>
      <c r="F92" s="12" t="n">
        <v>149.003</v>
      </c>
      <c r="G92" s="12" t="n">
        <v>17.888</v>
      </c>
      <c r="H92" s="12" t="n">
        <v>-104.907</v>
      </c>
      <c r="I92" s="12" t="n">
        <v>47.105</v>
      </c>
      <c r="J92" s="12" t="n">
        <v>141.126</v>
      </c>
      <c r="K92" s="12" t="n">
        <v>-83.134</v>
      </c>
      <c r="L92" s="12" t="n">
        <v>-69.724</v>
      </c>
      <c r="M92" s="12" t="n">
        <v>-19.609</v>
      </c>
      <c r="N92" s="12" t="n">
        <v>159.362</v>
      </c>
      <c r="T92" s="12" t="n">
        <v>-55.635</v>
      </c>
      <c r="U92" s="12" t="n">
        <v>-24.349</v>
      </c>
      <c r="V92" s="12" t="n">
        <v>-19.082</v>
      </c>
      <c r="W92" s="12" t="n">
        <v>-104.907</v>
      </c>
      <c r="X92" s="12" t="n">
        <v>-69.724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0.157</v>
      </c>
      <c r="D95" s="22" t="n">
        <v>0.003</v>
      </c>
      <c r="E95" s="22" t="n">
        <v>0.156</v>
      </c>
      <c r="F95" s="22" t="n">
        <v>0.004</v>
      </c>
      <c r="G95" s="22" t="n">
        <v>0.182</v>
      </c>
      <c r="H95" s="22" t="n">
        <v>0.01</v>
      </c>
      <c r="I95" s="22" t="n">
        <v>0.199</v>
      </c>
      <c r="J95" s="22" t="n">
        <v>0.023</v>
      </c>
      <c r="K95" s="22" t="n">
        <v>0.314</v>
      </c>
      <c r="L95" s="22" t="n">
        <v>0.029</v>
      </c>
      <c r="M95" s="22" t="n">
        <v>0.309</v>
      </c>
      <c r="N95" s="22" t="n">
        <v>0.055</v>
      </c>
      <c r="T95" s="22" t="n">
        <v>0.006</v>
      </c>
      <c r="U95" s="22" t="n">
        <v>0.005</v>
      </c>
      <c r="V95" s="22" t="n">
        <v>0.003</v>
      </c>
      <c r="W95" s="22" t="n">
        <v>0.01</v>
      </c>
      <c r="X95" s="22" t="n">
        <v>0.029</v>
      </c>
    </row>
    <row r="96">
      <c r="A96" s="20" t="inlineStr">
        <is>
          <t>배당금수익</t>
        </is>
      </c>
      <c r="C96" s="22" t="n">
        <v>0</v>
      </c>
      <c r="D96" s="22" t="n">
        <v>1.484</v>
      </c>
      <c r="G96" s="22" t="n">
        <v>0</v>
      </c>
      <c r="H96" s="22" t="n">
        <v>2.374</v>
      </c>
      <c r="K96" s="22" t="n">
        <v>0</v>
      </c>
      <c r="L96" s="22" t="n">
        <v>3.434</v>
      </c>
      <c r="T96" s="22" t="n">
        <v>1.272</v>
      </c>
      <c r="U96" s="22" t="n">
        <v>1.272</v>
      </c>
      <c r="V96" s="22" t="n">
        <v>1.484</v>
      </c>
      <c r="W96" s="22" t="n">
        <v>2.374</v>
      </c>
      <c r="X96" s="22" t="n">
        <v>3.434</v>
      </c>
    </row>
    <row r="97">
      <c r="A97" s="20" t="inlineStr">
        <is>
          <t>부동산 임대료</t>
        </is>
      </c>
      <c r="C97" s="22" t="n">
        <v>3.28</v>
      </c>
      <c r="D97" s="22" t="n">
        <v>3.249</v>
      </c>
      <c r="E97" s="22" t="n">
        <v>3.475</v>
      </c>
      <c r="F97" s="22" t="n">
        <v>3.679</v>
      </c>
      <c r="G97" s="22" t="n">
        <v>3.28</v>
      </c>
      <c r="H97" s="22" t="n">
        <v>3.199</v>
      </c>
      <c r="I97" s="22" t="n">
        <v>3.469</v>
      </c>
      <c r="J97" s="22" t="n">
        <v>3.689</v>
      </c>
      <c r="K97" s="22" t="n">
        <v>3.285</v>
      </c>
      <c r="L97" s="22" t="n">
        <v>3.249</v>
      </c>
      <c r="M97" s="22" t="n">
        <v>3.469</v>
      </c>
      <c r="N97" s="22" t="n">
        <v>3.689</v>
      </c>
      <c r="T97" s="22" t="n">
        <v>3.255</v>
      </c>
      <c r="U97" s="22" t="n">
        <v>3.255</v>
      </c>
      <c r="V97" s="22" t="n">
        <v>3.249</v>
      </c>
      <c r="W97" s="22" t="n">
        <v>3.199</v>
      </c>
      <c r="X97" s="22" t="n">
        <v>3.249</v>
      </c>
    </row>
    <row r="98">
      <c r="A98" s="20" t="inlineStr">
        <is>
          <t>수수료 수익</t>
        </is>
      </c>
      <c r="C98" s="22" t="n">
        <v>0.449</v>
      </c>
      <c r="D98" s="22" t="n">
        <v>0.29</v>
      </c>
      <c r="E98" s="22" t="n">
        <v>0.722</v>
      </c>
      <c r="F98" s="22" t="n">
        <v>1.559</v>
      </c>
      <c r="G98" s="22" t="n">
        <v>1.066</v>
      </c>
      <c r="H98" s="22" t="n">
        <v>0.968</v>
      </c>
      <c r="I98" s="22" t="n">
        <v>1.256</v>
      </c>
      <c r="J98" s="22" t="n">
        <v>0.924</v>
      </c>
      <c r="K98" s="22" t="n">
        <v>1.006</v>
      </c>
      <c r="L98" s="22" t="n">
        <v>1.329</v>
      </c>
      <c r="M98" s="22" t="n">
        <v>0.8149999999999999</v>
      </c>
      <c r="N98" s="22" t="n">
        <v>1.291</v>
      </c>
      <c r="T98" s="22" t="n">
        <v>0.33</v>
      </c>
      <c r="U98" s="22" t="n">
        <v>0.34</v>
      </c>
      <c r="V98" s="22" t="n">
        <v>0.29</v>
      </c>
      <c r="W98" s="22" t="n">
        <v>0.968</v>
      </c>
      <c r="X98" s="22" t="n">
        <v>1.329</v>
      </c>
    </row>
    <row r="99">
      <c r="A99" s="20" t="inlineStr">
        <is>
          <t>설비부담금 수입</t>
        </is>
      </c>
      <c r="E99" s="22" t="n">
        <v>2.346</v>
      </c>
      <c r="F99" s="22" t="n">
        <v>0</v>
      </c>
      <c r="G99" s="22" t="n">
        <v>-2.346</v>
      </c>
      <c r="H99" s="22" t="n">
        <v>0</v>
      </c>
      <c r="I99" s="22" t="n">
        <v>10.041</v>
      </c>
      <c r="J99" s="22" t="n">
        <v>0</v>
      </c>
      <c r="K99" s="22" t="n">
        <v>0</v>
      </c>
      <c r="L99" s="22" t="n">
        <v>0.79</v>
      </c>
      <c r="M99" s="22" t="n">
        <v>0</v>
      </c>
      <c r="N99" s="22" t="n">
        <v>0.6860000000000001</v>
      </c>
      <c r="W99" s="22" t="n">
        <v>0</v>
      </c>
      <c r="X99" s="22" t="n">
        <v>0.79</v>
      </c>
    </row>
    <row r="100">
      <c r="A100" s="20" t="inlineStr">
        <is>
          <t>대손충당금 환입</t>
        </is>
      </c>
      <c r="T100" s="22" t="n">
        <v>0</v>
      </c>
      <c r="U100" s="22" t="n">
        <v>0</v>
      </c>
    </row>
    <row r="101">
      <c r="A101" s="20" t="inlineStr">
        <is>
          <t>잡이익</t>
        </is>
      </c>
      <c r="C101" s="22" t="n">
        <v>1.589</v>
      </c>
      <c r="D101" s="22" t="n">
        <v>2.591</v>
      </c>
      <c r="E101" s="22" t="n">
        <v>0.469</v>
      </c>
      <c r="F101" s="22" t="n">
        <v>10.742</v>
      </c>
      <c r="G101" s="22" t="n">
        <v>3.937</v>
      </c>
      <c r="H101" s="22" t="n">
        <v>7.262</v>
      </c>
      <c r="I101" s="22" t="n">
        <v>1.154</v>
      </c>
      <c r="T101" s="22" t="n">
        <v>0.697</v>
      </c>
      <c r="U101" s="22" t="n">
        <v>5.32</v>
      </c>
      <c r="V101" s="22" t="n">
        <v>2.591</v>
      </c>
      <c r="W101" s="22" t="n">
        <v>7.262</v>
      </c>
    </row>
    <row r="102">
      <c r="A102" s="20" t="inlineStr">
        <is>
          <t>기타</t>
        </is>
      </c>
      <c r="G102" s="22" t="n">
        <v>3.937</v>
      </c>
      <c r="H102" s="22" t="n">
        <v>7.262</v>
      </c>
      <c r="I102" s="22" t="n">
        <v>1.154</v>
      </c>
      <c r="J102" s="22" t="n">
        <v>1.659</v>
      </c>
      <c r="K102" s="22" t="n">
        <v>1.586</v>
      </c>
      <c r="L102" s="22" t="n">
        <v>0.312</v>
      </c>
      <c r="M102" s="22" t="n">
        <v>0.169</v>
      </c>
      <c r="N102" s="22" t="n">
        <v>1.392</v>
      </c>
      <c r="W102" s="22" t="n">
        <v>7.262</v>
      </c>
      <c r="X102" s="22" t="n">
        <v>0.312</v>
      </c>
    </row>
    <row r="103">
      <c r="A103" s="20" t="inlineStr">
        <is>
          <t>영업외수익 합계</t>
        </is>
      </c>
      <c r="C103" s="22" t="n">
        <v>5.476</v>
      </c>
      <c r="D103" s="22" t="n">
        <v>8.595000000000001</v>
      </c>
      <c r="E103" s="22" t="n">
        <v>7.17</v>
      </c>
      <c r="F103" s="22" t="n">
        <v>17.572</v>
      </c>
      <c r="G103" s="22" t="n">
        <v>6.119</v>
      </c>
      <c r="H103" s="22" t="n">
        <v>13.815</v>
      </c>
      <c r="I103" s="22" t="n">
        <v>16.12</v>
      </c>
      <c r="J103" s="22" t="n">
        <v>9.475</v>
      </c>
      <c r="K103" s="22" t="n">
        <v>6.191</v>
      </c>
      <c r="L103" s="22" t="n">
        <v>9.144</v>
      </c>
      <c r="M103" s="22" t="n">
        <v>4.763</v>
      </c>
      <c r="N103" s="22" t="n">
        <v>11.693</v>
      </c>
      <c r="T103" s="22" t="n">
        <v>5.56</v>
      </c>
      <c r="U103" s="22" t="n">
        <v>27.439</v>
      </c>
      <c r="V103" s="22" t="n">
        <v>8.595000000000001</v>
      </c>
      <c r="W103" s="22" t="n">
        <v>13.815</v>
      </c>
      <c r="X103" s="22" t="n">
        <v>9.144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IF(OR(G103="",C103=""),"",IF(G103*C103&lt;=0,"",IFERROR(G103/C103-1,"")))</f>
        <v/>
      </c>
      <c r="H104" s="17">
        <f>IF(OR(H103="",D103=""),"",IF(H103*D103&lt;=0,"",IFERROR(H103/D103-1,"")))</f>
        <v/>
      </c>
      <c r="I104" s="17">
        <f>IF(OR(I103="",E103=""),"",IF(I103*E103&lt;=0,"",IFERROR(I103/E103-1,"")))</f>
        <v/>
      </c>
      <c r="J104" s="17">
        <f>IF(OR(J103="",F103=""),"",IF(J103*F103&lt;=0,"",IFERROR(J103/F103-1,"")))</f>
        <v/>
      </c>
      <c r="K104" s="17">
        <f>IF(OR(K103="",G103=""),"",IF(K103*G103&lt;=0,"",IFERROR(K103/G103-1,"")))</f>
        <v/>
      </c>
      <c r="L104" s="17">
        <f>IF(OR(L103="",H103=""),"",IF(L103*H103&lt;=0,"",IFERROR(L103/H103-1,"")))</f>
        <v/>
      </c>
      <c r="M104" s="17">
        <f>IF(OR(M103="",I103=""),"",IF(M103*I103&lt;=0,"",IFERROR(M103/I103-1,"")))</f>
        <v/>
      </c>
      <c r="N104" s="17">
        <f>IF(OR(N103="",J103=""),"",IF(N103*J103&lt;=0,"",IFERROR(N103/J103-1,"")))</f>
        <v/>
      </c>
      <c r="T104" s="17">
        <f>IF(OR(T103="",S103=""),"",IF(T103*S103&lt;=0,"",IFERROR(T103/S103-1,"")))</f>
        <v/>
      </c>
      <c r="U104" s="17">
        <f>IF(OR(U103="",T103=""),"",IF(U103*T103&lt;=0,"",IFERROR(U103/T103-1,"")))</f>
        <v/>
      </c>
      <c r="V104" s="17">
        <f>IF(OR(V103="",U103=""),"",IF(V103*U103&lt;=0,"",IFERROR(V103/U103-1,"")))</f>
        <v/>
      </c>
      <c r="W104" s="17">
        <f>IF(OR(W103="",V103=""),"",IF(W103*V103&lt;=0,"",IFERROR(W103/V103-1,"")))</f>
        <v/>
      </c>
      <c r="X104" s="17">
        <f>IF(OR(X103="",W103=""),"",IF(X103*W103&lt;=0,"",IFERROR(X103/W103-1,"")))</f>
        <v/>
      </c>
    </row>
    <row r="105">
      <c r="A105" s="20" t="inlineStr">
        <is>
          <t>이자비용</t>
        </is>
      </c>
      <c r="C105" s="22" t="n">
        <v>2.363</v>
      </c>
      <c r="D105" s="22" t="n">
        <v>2.442</v>
      </c>
      <c r="E105" s="22" t="n">
        <v>3.112</v>
      </c>
      <c r="F105" s="22" t="n">
        <v>3.566</v>
      </c>
      <c r="G105" s="22" t="n">
        <v>3.323</v>
      </c>
      <c r="H105" s="22" t="n">
        <v>3.513</v>
      </c>
      <c r="I105" s="22" t="n">
        <v>4.17</v>
      </c>
      <c r="J105" s="22" t="n">
        <v>4.513</v>
      </c>
      <c r="K105" s="22" t="n">
        <v>3.757</v>
      </c>
      <c r="L105" s="22" t="n">
        <v>5.046</v>
      </c>
      <c r="M105" s="22" t="n">
        <v>5.431</v>
      </c>
      <c r="N105" s="22" t="n">
        <v>7.179</v>
      </c>
      <c r="T105" s="22" t="n">
        <v>1.824</v>
      </c>
      <c r="U105" s="22" t="n">
        <v>2.584</v>
      </c>
      <c r="V105" s="22" t="n">
        <v>2.442</v>
      </c>
      <c r="W105" s="22" t="n">
        <v>3.513</v>
      </c>
      <c r="X105" s="22" t="n">
        <v>5.046</v>
      </c>
    </row>
    <row r="106">
      <c r="A106" s="20" t="inlineStr">
        <is>
          <t>부동산 임대비용</t>
        </is>
      </c>
      <c r="C106" s="22" t="n">
        <v>0.486</v>
      </c>
      <c r="D106" s="22" t="n">
        <v>0.486</v>
      </c>
      <c r="E106" s="22" t="n">
        <v>0.485</v>
      </c>
      <c r="F106" s="22" t="n">
        <v>0.486</v>
      </c>
      <c r="G106" s="22" t="n">
        <v>0.486</v>
      </c>
      <c r="H106" s="22" t="n">
        <v>0.486</v>
      </c>
      <c r="I106" s="22" t="n">
        <v>0.485</v>
      </c>
      <c r="J106" s="22" t="n">
        <v>0.486</v>
      </c>
      <c r="K106" s="22" t="n">
        <v>0.486</v>
      </c>
      <c r="L106" s="22" t="n">
        <v>0.486</v>
      </c>
      <c r="M106" s="22" t="n">
        <v>0.485</v>
      </c>
      <c r="N106" s="22" t="n">
        <v>0.486</v>
      </c>
      <c r="T106" s="22" t="n">
        <v>0.486</v>
      </c>
      <c r="U106" s="22" t="n">
        <v>0.486</v>
      </c>
      <c r="V106" s="22" t="n">
        <v>0.486</v>
      </c>
      <c r="W106" s="22" t="n">
        <v>0.486</v>
      </c>
      <c r="X106" s="22" t="n">
        <v>0.486</v>
      </c>
    </row>
    <row r="107">
      <c r="A107" s="20" t="inlineStr">
        <is>
          <t>주식교부비</t>
        </is>
      </c>
      <c r="C107" s="22" t="n">
        <v>0</v>
      </c>
      <c r="D107" s="22" t="n">
        <v>0</v>
      </c>
      <c r="G107" s="22" t="n">
        <v>0</v>
      </c>
      <c r="H107" s="22" t="n">
        <v>0</v>
      </c>
      <c r="T107" s="22" t="n">
        <v>0</v>
      </c>
      <c r="U107" s="22" t="n">
        <v>0</v>
      </c>
      <c r="V107" s="22" t="n">
        <v>0</v>
      </c>
      <c r="W107" s="22" t="n">
        <v>0</v>
      </c>
    </row>
    <row r="108">
      <c r="A108" s="20" t="inlineStr">
        <is>
          <t>잡손실</t>
        </is>
      </c>
      <c r="C108" s="22" t="n">
        <v>1.472</v>
      </c>
      <c r="D108" s="22" t="n">
        <v>-0.947</v>
      </c>
      <c r="E108" s="22" t="n">
        <v>0.002</v>
      </c>
      <c r="F108" s="22" t="n">
        <v>0.006</v>
      </c>
      <c r="G108" s="22" t="n">
        <v>0.652</v>
      </c>
      <c r="H108" s="22" t="n">
        <v>1.788</v>
      </c>
      <c r="I108" s="22" t="n">
        <v>0.604</v>
      </c>
      <c r="T108" s="22" t="n">
        <v>0.001</v>
      </c>
      <c r="U108" s="22" t="n">
        <v>0.398</v>
      </c>
      <c r="V108" s="22" t="n">
        <v>-0.947</v>
      </c>
      <c r="W108" s="22" t="n">
        <v>1.788</v>
      </c>
    </row>
    <row r="109">
      <c r="A109" s="20" t="inlineStr">
        <is>
          <t>기타</t>
        </is>
      </c>
      <c r="G109" s="22" t="n">
        <v>0.652</v>
      </c>
      <c r="H109" s="22" t="n">
        <v>1.788</v>
      </c>
      <c r="I109" s="22" t="n">
        <v>0.604</v>
      </c>
      <c r="J109" s="22" t="n">
        <v>0.9360000000000001</v>
      </c>
      <c r="K109" s="22" t="n">
        <v>0.228</v>
      </c>
      <c r="L109" s="22" t="n">
        <v>0.58</v>
      </c>
      <c r="M109" s="22" t="n">
        <v>0</v>
      </c>
      <c r="N109" s="22" t="n">
        <v>0.735</v>
      </c>
      <c r="W109" s="22" t="n">
        <v>1.788</v>
      </c>
      <c r="X109" s="22" t="n">
        <v>0.58</v>
      </c>
    </row>
    <row r="110">
      <c r="A110" s="20" t="inlineStr">
        <is>
          <t>영업외비용 합계</t>
        </is>
      </c>
      <c r="C110" s="22" t="n">
        <v>4.322</v>
      </c>
      <c r="D110" s="22" t="n">
        <v>3.6</v>
      </c>
      <c r="E110" s="22" t="n">
        <v>3.601</v>
      </c>
      <c r="F110" s="22" t="n">
        <v>4.057</v>
      </c>
      <c r="G110" s="22" t="n">
        <v>4.461</v>
      </c>
      <c r="H110" s="22" t="n">
        <v>5.787</v>
      </c>
      <c r="I110" s="22" t="n">
        <v>5.26</v>
      </c>
      <c r="J110" s="22" t="n">
        <v>5.935</v>
      </c>
      <c r="K110" s="22" t="n">
        <v>4.47</v>
      </c>
      <c r="L110" s="22" t="n">
        <v>6.112</v>
      </c>
      <c r="M110" s="22" t="n">
        <v>5.917</v>
      </c>
      <c r="N110" s="22" t="n">
        <v>8.4</v>
      </c>
      <c r="T110" s="22" t="n">
        <v>2.309</v>
      </c>
      <c r="U110" s="22" t="n">
        <v>3.468</v>
      </c>
      <c r="V110" s="22" t="n">
        <v>3.6</v>
      </c>
      <c r="W110" s="22" t="n">
        <v>5.787</v>
      </c>
      <c r="X110" s="22" t="n">
        <v>6.112</v>
      </c>
    </row>
    <row r="111">
      <c r="A111" s="45" t="inlineStr">
        <is>
          <t>YoY</t>
        </is>
      </c>
      <c r="B111" s="3" t="inlineStr">
        <is>
          <t>전년 같은 분기·전년 대비</t>
        </is>
      </c>
      <c r="G111" s="17">
        <f>IF(OR(G110="",C110=""),"",IF(G110*C110&lt;=0,"",IFERROR(G110/C110-1,"")))</f>
        <v/>
      </c>
      <c r="H111" s="17">
        <f>IF(OR(H110="",D110=""),"",IF(H110*D110&lt;=0,"",IFERROR(H110/D110-1,"")))</f>
        <v/>
      </c>
      <c r="I111" s="17">
        <f>IF(OR(I110="",E110=""),"",IF(I110*E110&lt;=0,"",IFERROR(I110/E110-1,"")))</f>
        <v/>
      </c>
      <c r="J111" s="17">
        <f>IF(OR(J110="",F110=""),"",IF(J110*F110&lt;=0,"",IFERROR(J110/F110-1,"")))</f>
        <v/>
      </c>
      <c r="K111" s="17">
        <f>IF(OR(K110="",G110=""),"",IF(K110*G110&lt;=0,"",IFERROR(K110/G110-1,"")))</f>
        <v/>
      </c>
      <c r="L111" s="17">
        <f>IF(OR(L110="",H110=""),"",IF(L110*H110&lt;=0,"",IFERROR(L110/H110-1,"")))</f>
        <v/>
      </c>
      <c r="M111" s="17">
        <f>IF(OR(M110="",I110=""),"",IF(M110*I110&lt;=0,"",IFERROR(M110/I110-1,"")))</f>
        <v/>
      </c>
      <c r="N111" s="17">
        <f>IF(OR(N110="",J110=""),"",IF(N110*J110&lt;=0,"",IFERROR(N110/J110-1,"")))</f>
        <v/>
      </c>
      <c r="T111" s="17">
        <f>IF(OR(T110="",S110=""),"",IF(T110*S110&lt;=0,"",IFERROR(T110/S110-1,"")))</f>
        <v/>
      </c>
      <c r="U111" s="17">
        <f>IF(OR(U110="",T110=""),"",IF(U110*T110&lt;=0,"",IFERROR(U110/T110-1,"")))</f>
        <v/>
      </c>
      <c r="V111" s="17">
        <f>IF(OR(V110="",U110=""),"",IF(V110*U110&lt;=0,"",IFERROR(V110/U110-1,"")))</f>
        <v/>
      </c>
      <c r="W111" s="17">
        <f>IF(OR(W110="",V110=""),"",IF(W110*V110&lt;=0,"",IFERROR(W110/V110-1,"")))</f>
        <v/>
      </c>
      <c r="X111" s="17">
        <f>IF(OR(X110="",W110=""),"",IF(X110*W110&lt;=0,"",IFERROR(X110/W110-1,"")))</f>
        <v/>
      </c>
    </row>
    <row r="112">
      <c r="A112" s="9" t="inlineStr">
        <is>
          <t>경상이익</t>
        </is>
      </c>
      <c r="C112" s="12" t="n">
        <v>-54.626</v>
      </c>
      <c r="D112" s="12" t="n">
        <v>-14.088</v>
      </c>
      <c r="E112" s="12" t="n">
        <v>37.885</v>
      </c>
      <c r="F112" s="12" t="n">
        <v>162.518</v>
      </c>
      <c r="G112" s="12" t="n">
        <v>19.547</v>
      </c>
      <c r="H112" s="12" t="n">
        <v>-96.88</v>
      </c>
      <c r="I112" s="12" t="n">
        <v>57.965</v>
      </c>
      <c r="J112" s="12" t="n">
        <v>144.667</v>
      </c>
      <c r="K112" s="12" t="n">
        <v>-81.414</v>
      </c>
      <c r="L112" s="12" t="n">
        <v>-66.69199999999999</v>
      </c>
      <c r="M112" s="12" t="n">
        <v>-20.763</v>
      </c>
      <c r="N112" s="12" t="n">
        <v>162.655</v>
      </c>
      <c r="T112" s="12" t="n">
        <v>-52.385</v>
      </c>
      <c r="U112" s="12" t="n">
        <v>-0.378</v>
      </c>
      <c r="V112" s="12" t="n">
        <v>-14.088</v>
      </c>
      <c r="W112" s="12" t="n">
        <v>-96.88</v>
      </c>
      <c r="X112" s="12" t="n">
        <v>-66.69199999999999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T113" s="17">
        <f>IF(OR(T112="",S112=""),"",IF(S112&lt;=0,"",IFERROR(T112/S112-1,"")))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4">
      <c r="A114" s="20" t="inlineStr">
        <is>
          <t>고정자산 매각이익</t>
        </is>
      </c>
      <c r="C114" s="22" t="n">
        <v>0</v>
      </c>
      <c r="D114" s="22" t="n">
        <v>0</v>
      </c>
      <c r="G114" s="22" t="n">
        <v>0</v>
      </c>
      <c r="H114" s="22" t="n">
        <v>0</v>
      </c>
      <c r="K114" s="22" t="n">
        <v>0</v>
      </c>
      <c r="L114" s="22" t="n">
        <v>19.072</v>
      </c>
      <c r="T114" s="22" t="n">
        <v>0</v>
      </c>
      <c r="U114" s="22" t="n">
        <v>0</v>
      </c>
      <c r="V114" s="22" t="n">
        <v>0</v>
      </c>
      <c r="W114" s="22" t="n">
        <v>0</v>
      </c>
      <c r="X114" s="22" t="n">
        <v>19.072</v>
      </c>
    </row>
    <row r="115">
      <c r="A115" s="20" t="inlineStr">
        <is>
          <t>특별이익 합계</t>
        </is>
      </c>
      <c r="C115" s="22" t="n">
        <v>0</v>
      </c>
      <c r="D115" s="22" t="n">
        <v>0</v>
      </c>
      <c r="G115" s="22" t="n">
        <v>0</v>
      </c>
      <c r="H115" s="22" t="n">
        <v>0</v>
      </c>
      <c r="K115" s="22" t="n">
        <v>0</v>
      </c>
      <c r="L115" s="22" t="n">
        <v>19.072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19.072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IF(OR(G115="",C115=""),"",IF(G115*C115&lt;=0,"",IFERROR(G115/C115-1,"")))</f>
        <v/>
      </c>
      <c r="H116" s="17">
        <f>IF(OR(H115="",D115=""),"",IF(H115*D115&lt;=0,"",IFERROR(H115/D115-1,"")))</f>
        <v/>
      </c>
      <c r="K116" s="17">
        <f>IF(OR(K115="",G115=""),"",IF(K115*G115&lt;=0,"",IFERROR(K115/G115-1,"")))</f>
        <v/>
      </c>
      <c r="L116" s="17">
        <f>IF(OR(L115="",H115=""),"",IF(L115*H115&lt;=0,"",IFERROR(L115/H115-1,"")))</f>
        <v/>
      </c>
      <c r="T116" s="17">
        <f>IF(OR(T115="",S115=""),"",IF(T115*S115&lt;=0,"",IFERROR(T115/S115-1,"")))</f>
        <v/>
      </c>
      <c r="U116" s="17">
        <f>IF(OR(U115="",T115=""),"",IF(U115*T115&lt;=0,"",IFERROR(U115/T115-1,"")))</f>
        <v/>
      </c>
      <c r="V116" s="17">
        <f>IF(OR(V115="",U115=""),"",IF(V115*U115&lt;=0,"",IFERROR(V115/U115-1,"")))</f>
        <v/>
      </c>
      <c r="W116" s="17">
        <f>IF(OR(W115="",V115=""),"",IF(W115*V115&lt;=0,"",IFERROR(W115/V115-1,"")))</f>
        <v/>
      </c>
      <c r="X116" s="17">
        <f>IF(OR(X115="",W115=""),"",IF(X115*W115&lt;=0,"",IFERROR(X115/W115-1,"")))</f>
        <v/>
      </c>
    </row>
    <row r="117">
      <c r="A117" s="20" t="inlineStr">
        <is>
          <t>손상차손</t>
        </is>
      </c>
      <c r="T117" s="22" t="n">
        <v>0</v>
      </c>
      <c r="U117" s="22" t="n">
        <v>0</v>
      </c>
    </row>
    <row r="118">
      <c r="A118" s="20" t="inlineStr">
        <is>
          <t>소송 관련 손실</t>
        </is>
      </c>
      <c r="T118" s="22" t="n">
        <v>0</v>
      </c>
      <c r="U118" s="22" t="n">
        <v>0</v>
      </c>
    </row>
    <row r="119">
      <c r="A119" s="20" t="inlineStr">
        <is>
          <t>고정자산 제각손실</t>
        </is>
      </c>
      <c r="C119" s="22" t="n">
        <v>0</v>
      </c>
      <c r="D119" s="22" t="n">
        <v>-0.145</v>
      </c>
      <c r="E119" s="22" t="n">
        <v>0</v>
      </c>
      <c r="F119" s="22" t="n">
        <v>0</v>
      </c>
      <c r="G119" s="22" t="n">
        <v>0.743</v>
      </c>
      <c r="H119" s="22" t="n">
        <v>0</v>
      </c>
      <c r="I119" s="22" t="n">
        <v>0</v>
      </c>
      <c r="J119" s="22" t="n">
        <v>0.285</v>
      </c>
      <c r="K119" s="22" t="n">
        <v>0</v>
      </c>
      <c r="L119" s="22" t="n">
        <v>2.505</v>
      </c>
      <c r="M119" s="22" t="n">
        <v>30.939</v>
      </c>
      <c r="N119" s="22" t="n">
        <v>0</v>
      </c>
      <c r="T119" s="22" t="n">
        <v>0.966</v>
      </c>
      <c r="U119" s="22" t="n">
        <v>0</v>
      </c>
      <c r="V119" s="22" t="n">
        <v>-0.145</v>
      </c>
      <c r="W119" s="22" t="n">
        <v>0</v>
      </c>
      <c r="X119" s="22" t="n">
        <v>2.505</v>
      </c>
    </row>
    <row r="120">
      <c r="A120" s="20" t="inlineStr">
        <is>
          <t>특별손실 합계</t>
        </is>
      </c>
      <c r="C120" s="22" t="n">
        <v>0</v>
      </c>
      <c r="D120" s="22" t="n">
        <v>-0.145</v>
      </c>
      <c r="E120" s="22" t="n">
        <v>0</v>
      </c>
      <c r="F120" s="22" t="n">
        <v>0</v>
      </c>
      <c r="G120" s="22" t="n">
        <v>0.743</v>
      </c>
      <c r="H120" s="22" t="n">
        <v>0</v>
      </c>
      <c r="I120" s="22" t="n">
        <v>0</v>
      </c>
      <c r="J120" s="22" t="n">
        <v>0.285</v>
      </c>
      <c r="K120" s="22" t="n">
        <v>0</v>
      </c>
      <c r="L120" s="22" t="n">
        <v>9.244999999999999</v>
      </c>
      <c r="M120" s="22" t="n">
        <v>30.939</v>
      </c>
      <c r="N120" s="22" t="n">
        <v>0</v>
      </c>
      <c r="T120" s="22" t="n">
        <v>0.966</v>
      </c>
      <c r="U120" s="22" t="n">
        <v>0</v>
      </c>
      <c r="V120" s="22" t="n">
        <v>-0.145</v>
      </c>
      <c r="W120" s="22" t="n">
        <v>0</v>
      </c>
      <c r="X120" s="22" t="n">
        <v>9.244999999999999</v>
      </c>
    </row>
    <row r="121">
      <c r="A121" s="45" t="inlineStr">
        <is>
          <t>YoY</t>
        </is>
      </c>
      <c r="B121" s="3" t="inlineStr">
        <is>
          <t>전년 같은 분기·전년 대비</t>
        </is>
      </c>
      <c r="G121" s="17">
        <f>IF(OR(G120="",C120=""),"",IF(G120*C120&lt;=0,"",IFERROR(G120/C120-1,"")))</f>
        <v/>
      </c>
      <c r="H121" s="17">
        <f>IF(OR(H120="",D120=""),"",IF(H120*D120&lt;=0,"",IFERROR(H120/D120-1,"")))</f>
        <v/>
      </c>
      <c r="I121" s="17">
        <f>IF(OR(I120="",E120=""),"",IF(I120*E120&lt;=0,"",IFERROR(I120/E120-1,"")))</f>
        <v/>
      </c>
      <c r="J121" s="17">
        <f>IF(OR(J120="",F120=""),"",IF(J120*F120&lt;=0,"",IFERROR(J120/F120-1,"")))</f>
        <v/>
      </c>
      <c r="K121" s="17">
        <f>IF(OR(K120="",G120=""),"",IF(K120*G120&lt;=0,"",IFERROR(K120/G120-1,"")))</f>
        <v/>
      </c>
      <c r="L121" s="17">
        <f>IF(OR(L120="",H120=""),"",IF(L120*H120&lt;=0,"",IFERROR(L120/H120-1,"")))</f>
        <v/>
      </c>
      <c r="M121" s="17">
        <f>IF(OR(M120="",I120=""),"",IF(M120*I120&lt;=0,"",IFERROR(M120/I120-1,"")))</f>
        <v/>
      </c>
      <c r="N121" s="17">
        <f>IF(OR(N120="",J120=""),"",IF(N120*J120&lt;=0,"",IFERROR(N120/J120-1,"")))</f>
        <v/>
      </c>
      <c r="T121" s="17">
        <f>IF(OR(T120="",S120=""),"",IF(T120*S120&lt;=0,"",IFERROR(T120/S120-1,"")))</f>
        <v/>
      </c>
      <c r="U121" s="17">
        <f>IF(OR(U120="",T120=""),"",IF(U120*T120&lt;=0,"",IFERROR(U120/T120-1,"")))</f>
        <v/>
      </c>
      <c r="V121" s="17">
        <f>IF(OR(V120="",U120=""),"",IF(V120*U120&lt;=0,"",IFERROR(V120/U120-1,"")))</f>
        <v/>
      </c>
      <c r="W121" s="17">
        <f>IF(OR(W120="",V120=""),"",IF(W120*V120&lt;=0,"",IFERROR(W120/V120-1,"")))</f>
        <v/>
      </c>
      <c r="X121" s="17">
        <f>IF(OR(X120="",W120=""),"",IF(X120*W120&lt;=0,"",IFERROR(X120/W120-1,"")))</f>
        <v/>
      </c>
    </row>
    <row r="122">
      <c r="A122" s="9" t="inlineStr">
        <is>
          <t>법인세차감전 순이익</t>
        </is>
      </c>
      <c r="C122" s="12" t="n">
        <v>-54.627</v>
      </c>
      <c r="D122" s="12" t="n">
        <v>-13.942</v>
      </c>
      <c r="E122" s="12" t="n">
        <v>37.885</v>
      </c>
      <c r="F122" s="12" t="n">
        <v>162.827</v>
      </c>
      <c r="G122" s="12" t="n">
        <v>18.802</v>
      </c>
      <c r="H122" s="12" t="n">
        <v>-96.879</v>
      </c>
      <c r="I122" s="12" t="n">
        <v>57.965</v>
      </c>
      <c r="J122" s="12" t="n">
        <v>144.384</v>
      </c>
      <c r="K122" s="12" t="n">
        <v>-81.413</v>
      </c>
      <c r="L122" s="12" t="n">
        <v>-56.866</v>
      </c>
      <c r="M122" s="12" t="n">
        <v>-51.702</v>
      </c>
      <c r="N122" s="12" t="n">
        <v>162.734</v>
      </c>
      <c r="T122" s="12" t="n">
        <v>-53.351</v>
      </c>
      <c r="U122" s="12" t="n">
        <v>-0.379</v>
      </c>
      <c r="V122" s="12" t="n">
        <v>-13.942</v>
      </c>
      <c r="W122" s="12" t="n">
        <v>-96.879</v>
      </c>
      <c r="X122" s="12" t="n">
        <v>-56.866</v>
      </c>
    </row>
    <row r="123">
      <c r="A123" s="45" t="inlineStr">
        <is>
          <t>YoY</t>
        </is>
      </c>
      <c r="B123" s="3" t="inlineStr">
        <is>
          <t>전년 같은 분기·전년 대비</t>
        </is>
      </c>
      <c r="G123" s="17">
        <f>IF(OR(G122="",C122=""),"",IF(C122&lt;=0,"",IFERROR(G122/C122-1,"")))</f>
        <v/>
      </c>
      <c r="H123" s="17">
        <f>IF(OR(H122="",D122=""),"",IF(D122&lt;=0,"",IFERROR(H122/D122-1,"")))</f>
        <v/>
      </c>
      <c r="I123" s="17">
        <f>IF(OR(I122="",E122=""),"",IF(E122&lt;=0,"",IFERROR(I122/E122-1,"")))</f>
        <v/>
      </c>
      <c r="J123" s="17">
        <f>IF(OR(J122="",F122=""),"",IF(F122&lt;=0,"",IFERROR(J122/F122-1,"")))</f>
        <v/>
      </c>
      <c r="K123" s="17">
        <f>IF(OR(K122="",G122=""),"",IF(G122&lt;=0,"",IFERROR(K122/G122-1,"")))</f>
        <v/>
      </c>
      <c r="L123" s="17">
        <f>IF(OR(L122="",H122=""),"",IF(H122&lt;=0,"",IFERROR(L122/H122-1,"")))</f>
        <v/>
      </c>
      <c r="M123" s="17">
        <f>IF(OR(M122="",I122=""),"",IF(I122&lt;=0,"",IFERROR(M122/I122-1,"")))</f>
        <v/>
      </c>
      <c r="N123" s="17">
        <f>IF(OR(N122="",J122=""),"",IF(J122&lt;=0,"",IFERROR(N122/J122-1,"")))</f>
        <v/>
      </c>
      <c r="T123" s="17">
        <f>IF(OR(T122="",S122=""),"",IF(S122&lt;=0,"",IFERROR(T122/S122-1,"")))</f>
        <v/>
      </c>
      <c r="U123" s="17">
        <f>IF(OR(U122="",T122=""),"",IF(T122&lt;=0,"",IFERROR(U122/T122-1,"")))</f>
        <v/>
      </c>
      <c r="V123" s="17">
        <f>IF(OR(V122="",U122=""),"",IF(U122&lt;=0,"",IFERROR(V122/U122-1,"")))</f>
        <v/>
      </c>
      <c r="W123" s="17">
        <f>IF(OR(W122="",V122=""),"",IF(V122&lt;=0,"",IFERROR(W122/V122-1,"")))</f>
        <v/>
      </c>
      <c r="X123" s="17">
        <f>IF(OR(X122="",W122=""),"",IF(W122&lt;=0,"",IFERROR(X122/W122-1,"")))</f>
        <v/>
      </c>
    </row>
    <row r="124">
      <c r="A124" s="20" t="inlineStr">
        <is>
          <t>법인세·주민세·사업세</t>
        </is>
      </c>
      <c r="C124" s="22" t="n">
        <v>-7.494</v>
      </c>
      <c r="D124" s="22" t="n">
        <v>-7.226</v>
      </c>
      <c r="E124" s="22" t="n">
        <v>6.601</v>
      </c>
      <c r="F124" s="22" t="n">
        <v>36.796</v>
      </c>
      <c r="G124" s="22" t="n">
        <v>6.218</v>
      </c>
      <c r="H124" s="22" t="n">
        <v>-35.957</v>
      </c>
      <c r="I124" s="22" t="n">
        <v>24.352</v>
      </c>
      <c r="J124" s="22" t="n">
        <v>47.516</v>
      </c>
      <c r="K124" s="22" t="n">
        <v>-20.427</v>
      </c>
      <c r="L124" s="22" t="n">
        <v>-23.766</v>
      </c>
      <c r="M124" s="22" t="n">
        <v>0.367</v>
      </c>
      <c r="N124" s="22" t="n">
        <v>42.071</v>
      </c>
      <c r="T124" s="22" t="n">
        <v>-12.5</v>
      </c>
      <c r="U124" s="22" t="n">
        <v>-2.273</v>
      </c>
      <c r="V124" s="22" t="n">
        <v>-7.226</v>
      </c>
      <c r="W124" s="22" t="n">
        <v>-35.957</v>
      </c>
      <c r="X124" s="22" t="n">
        <v>-23.766</v>
      </c>
    </row>
    <row r="125">
      <c r="A125" s="20" t="inlineStr">
        <is>
          <t>법인세 조정액</t>
        </is>
      </c>
      <c r="C125" s="22" t="n">
        <v>0</v>
      </c>
      <c r="D125" s="22" t="n">
        <v>-6.532</v>
      </c>
      <c r="E125" s="22" t="n">
        <v>0</v>
      </c>
      <c r="F125" s="22" t="n">
        <v>0</v>
      </c>
      <c r="G125" s="22" t="n">
        <v>0</v>
      </c>
      <c r="H125" s="22" t="n">
        <v>-10.528</v>
      </c>
      <c r="I125" s="22" t="n">
        <v>-4.873</v>
      </c>
      <c r="J125" s="22" t="n">
        <v>2.208</v>
      </c>
      <c r="K125" s="22" t="n">
        <v>-3.305</v>
      </c>
      <c r="L125" s="22" t="n">
        <v>30.887</v>
      </c>
      <c r="M125" s="22" t="n">
        <v>-13.177</v>
      </c>
      <c r="N125" s="22" t="n">
        <v>1.391</v>
      </c>
      <c r="T125" s="22" t="n">
        <v>-7.488</v>
      </c>
      <c r="U125" s="22" t="n">
        <v>2.651</v>
      </c>
      <c r="V125" s="22" t="n">
        <v>-6.532</v>
      </c>
      <c r="W125" s="22" t="n">
        <v>-10.528</v>
      </c>
      <c r="X125" s="22" t="n">
        <v>30.887</v>
      </c>
    </row>
    <row r="126">
      <c r="A126" s="20" t="inlineStr">
        <is>
          <t>법인세 등 합계</t>
        </is>
      </c>
      <c r="C126" s="22" t="n">
        <v>-7.494</v>
      </c>
      <c r="D126" s="22" t="n">
        <v>-13.759</v>
      </c>
      <c r="E126" s="22" t="n">
        <v>6.601</v>
      </c>
      <c r="F126" s="22" t="n">
        <v>36.796</v>
      </c>
      <c r="G126" s="22" t="n">
        <v>6.218</v>
      </c>
      <c r="H126" s="22" t="n">
        <v>-46.485</v>
      </c>
      <c r="I126" s="22" t="n">
        <v>19.478</v>
      </c>
      <c r="J126" s="22" t="n">
        <v>49.725</v>
      </c>
      <c r="K126" s="22" t="n">
        <v>-23.732</v>
      </c>
      <c r="L126" s="22" t="n">
        <v>7.122</v>
      </c>
      <c r="M126" s="22" t="n">
        <v>-12.81</v>
      </c>
      <c r="N126" s="22" t="n">
        <v>43.462</v>
      </c>
      <c r="T126" s="22" t="n">
        <v>-19.989</v>
      </c>
      <c r="U126" s="22" t="n">
        <v>0.378</v>
      </c>
      <c r="V126" s="22" t="n">
        <v>-13.759</v>
      </c>
      <c r="W126" s="22" t="n">
        <v>-46.485</v>
      </c>
      <c r="X126" s="22" t="n">
        <v>7.122</v>
      </c>
    </row>
    <row r="127">
      <c r="A127" s="45" t="inlineStr">
        <is>
          <t>YoY</t>
        </is>
      </c>
      <c r="B127" s="3" t="inlineStr">
        <is>
          <t>전년 같은 분기·전년 대비</t>
        </is>
      </c>
      <c r="G127" s="17">
        <f>IF(OR(G126="",C126=""),"",IF(G126*C126&lt;=0,"",IFERROR(G126/C126-1,"")))</f>
        <v/>
      </c>
      <c r="H127" s="17">
        <f>IF(OR(H126="",D126=""),"",IF(H126*D126&lt;=0,"",IFERROR(H126/D126-1,"")))</f>
        <v/>
      </c>
      <c r="I127" s="17">
        <f>IF(OR(I126="",E126=""),"",IF(I126*E126&lt;=0,"",IFERROR(I126/E126-1,"")))</f>
        <v/>
      </c>
      <c r="J127" s="17">
        <f>IF(OR(J126="",F126=""),"",IF(J126*F126&lt;=0,"",IFERROR(J126/F126-1,"")))</f>
        <v/>
      </c>
      <c r="K127" s="17">
        <f>IF(OR(K126="",G126=""),"",IF(K126*G126&lt;=0,"",IFERROR(K126/G126-1,"")))</f>
        <v/>
      </c>
      <c r="L127" s="17">
        <f>IF(OR(L126="",H126=""),"",IF(L126*H126&lt;=0,"",IFERROR(L126/H126-1,"")))</f>
        <v/>
      </c>
      <c r="M127" s="17">
        <f>IF(OR(M126="",I126=""),"",IF(M126*I126&lt;=0,"",IFERROR(M126/I126-1,"")))</f>
        <v/>
      </c>
      <c r="N127" s="17">
        <f>IF(OR(N126="",J126=""),"",IF(N126*J126&lt;=0,"",IFERROR(N126/J126-1,"")))</f>
        <v/>
      </c>
      <c r="T127" s="17">
        <f>IF(OR(T126="",S126=""),"",IF(T126*S126&lt;=0,"",IFERROR(T126/S126-1,"")))</f>
        <v/>
      </c>
      <c r="U127" s="17">
        <f>IF(OR(U126="",T126=""),"",IF(U126*T126&lt;=0,"",IFERROR(U126/T126-1,"")))</f>
        <v/>
      </c>
      <c r="V127" s="17">
        <f>IF(OR(V126="",U126=""),"",IF(V126*U126&lt;=0,"",IFERROR(V126/U126-1,"")))</f>
        <v/>
      </c>
      <c r="W127" s="17">
        <f>IF(OR(W126="",V126=""),"",IF(W126*V126&lt;=0,"",IFERROR(W126/V126-1,"")))</f>
        <v/>
      </c>
      <c r="X127" s="17">
        <f>IF(OR(X126="",W126=""),"",IF(X126*W126&lt;=0,"",IFERROR(X126/W126-1,"")))</f>
        <v/>
      </c>
    </row>
    <row r="128">
      <c r="A128" s="9" t="inlineStr">
        <is>
          <t>순이익</t>
        </is>
      </c>
      <c r="C128" s="12" t="n">
        <v>-47.133</v>
      </c>
      <c r="D128" s="12" t="n">
        <v>-0.184</v>
      </c>
      <c r="E128" s="12" t="n">
        <v>31.284</v>
      </c>
      <c r="F128" s="12" t="n">
        <v>126.03</v>
      </c>
      <c r="G128" s="12" t="n">
        <v>12.584</v>
      </c>
      <c r="H128" s="12" t="n">
        <v>-50.394</v>
      </c>
      <c r="I128" s="12" t="n">
        <v>38.487</v>
      </c>
      <c r="J128" s="12" t="n">
        <v>94.65900000000001</v>
      </c>
      <c r="K128" s="12" t="n">
        <v>-57.682</v>
      </c>
      <c r="L128" s="12" t="n">
        <v>-63.988</v>
      </c>
      <c r="M128" s="12" t="n">
        <v>-38.892</v>
      </c>
      <c r="N128" s="12" t="n">
        <v>119.272</v>
      </c>
      <c r="T128" s="12" t="n">
        <v>-33.362</v>
      </c>
      <c r="U128" s="12" t="n">
        <v>-0.756</v>
      </c>
      <c r="V128" s="12" t="n">
        <v>-0.184</v>
      </c>
      <c r="W128" s="12" t="n">
        <v>-50.394</v>
      </c>
      <c r="X128" s="12" t="n">
        <v>-63.988</v>
      </c>
    </row>
    <row r="129">
      <c r="A129" s="45" t="inlineStr">
        <is>
          <t>YoY</t>
        </is>
      </c>
      <c r="B129" s="3" t="inlineStr">
        <is>
          <t>전년 같은 분기·전년 대비</t>
        </is>
      </c>
      <c r="G129" s="17">
        <f>IF(OR(G128="",C128=""),"",IF(C128&lt;=0,"",IFERROR(G128/C128-1,"")))</f>
        <v/>
      </c>
      <c r="H129" s="17">
        <f>IF(OR(H128="",D128=""),"",IF(D128&lt;=0,"",IFERROR(H128/D128-1,"")))</f>
        <v/>
      </c>
      <c r="I129" s="17">
        <f>IF(OR(I128="",E128=""),"",IF(E128&lt;=0,"",IFERROR(I128/E128-1,"")))</f>
        <v/>
      </c>
      <c r="J129" s="17">
        <f>IF(OR(J128="",F128=""),"",IF(F128&lt;=0,"",IFERROR(J128/F128-1,"")))</f>
        <v/>
      </c>
      <c r="K129" s="17">
        <f>IF(OR(K128="",G128=""),"",IF(G128&lt;=0,"",IFERROR(K128/G128-1,"")))</f>
        <v/>
      </c>
      <c r="L129" s="17">
        <f>IF(OR(L128="",H128=""),"",IF(H128&lt;=0,"",IFERROR(L128/H128-1,"")))</f>
        <v/>
      </c>
      <c r="M129" s="17">
        <f>IF(OR(M128="",I128=""),"",IF(I128&lt;=0,"",IFERROR(M128/I128-1,"")))</f>
        <v/>
      </c>
      <c r="N129" s="17">
        <f>IF(OR(N128="",J128=""),"",IF(J128&lt;=0,"",IFERROR(N128/J128-1,"")))</f>
        <v/>
      </c>
      <c r="T129" s="17">
        <f>IF(OR(T128="",S128=""),"",IF(S128&lt;=0,"",IFERROR(T128/S128-1,"")))</f>
        <v/>
      </c>
      <c r="U129" s="17">
        <f>IF(OR(U128="",T128=""),"",IF(T128&lt;=0,"",IFERROR(U128/T128-1,"")))</f>
        <v/>
      </c>
      <c r="V129" s="17">
        <f>IF(OR(V128="",U128=""),"",IF(U128&lt;=0,"",IFERROR(V128/U128-1,"")))</f>
        <v/>
      </c>
      <c r="W129" s="17">
        <f>IF(OR(W128="",V128=""),"",IF(V128&lt;=0,"",IFERROR(W128/V128-1,"")))</f>
        <v/>
      </c>
      <c r="X129" s="17">
        <f>IF(OR(X128="",W128=""),"",IF(W128&lt;=0,"",IFERROR(X128/W128-1,"")))</f>
        <v/>
      </c>
    </row>
    <row r="131">
      <c r="A131" s="18" t="inlineStr">
        <is>
          <t>현금흐름표 · 전 항목</t>
        </is>
      </c>
      <c r="B131" s="44" t="inlineStr">
        <is>
          <t>분기 = 결산기 첫날부터 누계(공시 그대로)</t>
        </is>
      </c>
      <c r="C131" s="18" t="n"/>
      <c r="D131" s="18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2024.3Q</t>
        </is>
      </c>
      <c r="D132" s="5" t="inlineStr">
        <is>
          <t>2024.4Q</t>
        </is>
      </c>
      <c r="E132" s="5" t="inlineStr">
        <is>
          <t>2025.1Q</t>
        </is>
      </c>
      <c r="F132" s="5" t="inlineStr">
        <is>
          <t>2025.2Q</t>
        </is>
      </c>
      <c r="G132" s="5" t="inlineStr">
        <is>
          <t>2025.3Q</t>
        </is>
      </c>
      <c r="H132" s="5" t="inlineStr">
        <is>
          <t>2025.4Q</t>
        </is>
      </c>
      <c r="I132" s="5" t="inlineStr">
        <is>
          <t>2026.1Q</t>
        </is>
      </c>
      <c r="J132" s="5" t="inlineStr">
        <is>
          <t>2026.2Q</t>
        </is>
      </c>
      <c r="K132" s="5" t="inlineStr">
        <is>
          <t>2026.3Q</t>
        </is>
      </c>
      <c r="L132" s="5" t="inlineStr">
        <is>
          <t>2026.4Q</t>
        </is>
      </c>
      <c r="M132" s="5" t="inlineStr">
        <is>
          <t>2027.1Q</t>
        </is>
      </c>
      <c r="N132" s="5" t="inlineStr">
        <is>
          <t>2027.2Q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법인세차감전 순이익</t>
        </is>
      </c>
      <c r="D133" s="12" t="n">
        <v>65.77500000000001</v>
      </c>
      <c r="F133" s="12" t="n">
        <v>200.712</v>
      </c>
      <c r="H133" s="12" t="n">
        <v>122.635</v>
      </c>
      <c r="J133" s="12" t="n">
        <v>202.349</v>
      </c>
      <c r="L133" s="12" t="n">
        <v>64.06999999999999</v>
      </c>
      <c r="N133" s="12" t="n">
        <v>111.032</v>
      </c>
      <c r="O133" s="12" t="n">
        <v>17.032</v>
      </c>
      <c r="P133" s="12" t="n">
        <v>17.445</v>
      </c>
      <c r="Q133" s="12" t="n">
        <v>72.352</v>
      </c>
      <c r="R133" s="12" t="n">
        <v>-57.631</v>
      </c>
      <c r="S133" s="12" t="n">
        <v>55.094</v>
      </c>
      <c r="T133" s="12" t="n">
        <v>66.601</v>
      </c>
      <c r="U133" s="12" t="n">
        <v>32.517</v>
      </c>
      <c r="V133" s="12" t="n">
        <v>65.77500000000001</v>
      </c>
      <c r="W133" s="12" t="n">
        <v>122.635</v>
      </c>
      <c r="X133" s="12" t="n">
        <v>64.06999999999999</v>
      </c>
    </row>
    <row r="134">
      <c r="A134" s="20" t="inlineStr">
        <is>
          <t>감가상각비</t>
        </is>
      </c>
      <c r="D134" s="22" t="n">
        <v>166.582</v>
      </c>
      <c r="F134" s="22" t="n">
        <v>79.19199999999999</v>
      </c>
      <c r="H134" s="22" t="n">
        <v>163.715</v>
      </c>
      <c r="J134" s="22" t="n">
        <v>77.375</v>
      </c>
      <c r="L134" s="22" t="n">
        <v>169.048</v>
      </c>
      <c r="N134" s="22" t="n">
        <v>97.51900000000001</v>
      </c>
      <c r="O134" s="22" t="n">
        <v>138.762</v>
      </c>
      <c r="P134" s="22" t="n">
        <v>126.524</v>
      </c>
      <c r="Q134" s="22" t="n">
        <v>119.951</v>
      </c>
      <c r="R134" s="22" t="n">
        <v>127.082</v>
      </c>
      <c r="S134" s="22" t="n">
        <v>144.606</v>
      </c>
      <c r="T134" s="22" t="n">
        <v>132.073</v>
      </c>
      <c r="U134" s="22" t="n">
        <v>159.969</v>
      </c>
      <c r="V134" s="22" t="n">
        <v>166.582</v>
      </c>
      <c r="W134" s="22" t="n">
        <v>163.715</v>
      </c>
      <c r="X134" s="22" t="n">
        <v>169.048</v>
      </c>
    </row>
    <row r="135">
      <c r="A135" s="20" t="inlineStr">
        <is>
          <t>퇴직급여충당금 증감액</t>
        </is>
      </c>
      <c r="D135" s="22" t="n">
        <v>-10.7</v>
      </c>
      <c r="F135" s="22" t="n">
        <v>-9.77</v>
      </c>
      <c r="H135" s="22" t="n">
        <v>-10.797</v>
      </c>
      <c r="J135" s="22" t="n">
        <v>9.435</v>
      </c>
      <c r="L135" s="22" t="n">
        <v>7.745</v>
      </c>
      <c r="N135" s="22" t="n">
        <v>10.103</v>
      </c>
      <c r="O135" s="22" t="n">
        <v>-3.919</v>
      </c>
      <c r="P135" s="22" t="n">
        <v>1.731</v>
      </c>
      <c r="Q135" s="22" t="n">
        <v>7.4</v>
      </c>
      <c r="R135" s="22" t="n">
        <v>-6.464</v>
      </c>
      <c r="S135" s="22" t="n">
        <v>-5.431</v>
      </c>
      <c r="T135" s="22" t="n">
        <v>5.724</v>
      </c>
      <c r="U135" s="22" t="n">
        <v>7.516</v>
      </c>
      <c r="V135" s="22" t="n">
        <v>-10.7</v>
      </c>
      <c r="W135" s="22" t="n">
        <v>-10.797</v>
      </c>
      <c r="X135" s="22" t="n">
        <v>7.745</v>
      </c>
    </row>
    <row r="136">
      <c r="A136" s="20" t="inlineStr">
        <is>
          <t>임원 퇴직위로충당금 증감액(△는 감소)</t>
        </is>
      </c>
      <c r="D136" s="22" t="n">
        <v>0</v>
      </c>
      <c r="T136" s="22" t="n">
        <v>0</v>
      </c>
      <c r="U136" s="22" t="n">
        <v>-0.405</v>
      </c>
      <c r="V136" s="22" t="n">
        <v>0</v>
      </c>
    </row>
    <row r="137">
      <c r="A137" s="20" t="inlineStr">
        <is>
          <t>손상차손</t>
        </is>
      </c>
      <c r="H137" s="22" t="n">
        <v>0</v>
      </c>
      <c r="L137" s="22" t="n">
        <v>6.739</v>
      </c>
      <c r="O137" s="22" t="n">
        <v>6.044</v>
      </c>
      <c r="P137" s="22" t="n">
        <v>0</v>
      </c>
      <c r="S137" s="22" t="n">
        <v>0</v>
      </c>
      <c r="T137" s="22" t="n">
        <v>1.581</v>
      </c>
      <c r="U137" s="22" t="n">
        <v>0</v>
      </c>
      <c r="W137" s="22" t="n">
        <v>0</v>
      </c>
      <c r="X137" s="22" t="n">
        <v>6.739</v>
      </c>
    </row>
    <row r="138">
      <c r="A138" s="20" t="inlineStr">
        <is>
          <t>상여충당금 증감</t>
        </is>
      </c>
      <c r="D138" s="22" t="n">
        <v>12.378</v>
      </c>
      <c r="F138" s="22" t="n">
        <v>-0.798</v>
      </c>
      <c r="H138" s="22" t="n">
        <v>-2.13</v>
      </c>
      <c r="J138" s="22" t="n">
        <v>5.362</v>
      </c>
      <c r="L138" s="22" t="n">
        <v>11.64</v>
      </c>
      <c r="N138" s="22" t="n">
        <v>9.882</v>
      </c>
      <c r="O138" s="22" t="n">
        <v>-0.08699999999999999</v>
      </c>
      <c r="P138" s="22" t="n">
        <v>-0.547</v>
      </c>
      <c r="Q138" s="22" t="n">
        <v>11.388</v>
      </c>
      <c r="R138" s="22" t="n">
        <v>-0.928</v>
      </c>
      <c r="S138" s="22" t="n">
        <v>-5.289</v>
      </c>
      <c r="T138" s="22" t="n">
        <v>9.484</v>
      </c>
      <c r="U138" s="22" t="n">
        <v>1.094</v>
      </c>
      <c r="V138" s="22" t="n">
        <v>12.378</v>
      </c>
      <c r="W138" s="22" t="n">
        <v>-2.13</v>
      </c>
      <c r="X138" s="22" t="n">
        <v>11.64</v>
      </c>
    </row>
    <row r="139">
      <c r="A139" s="20" t="inlineStr">
        <is>
          <t>임원 상여충당금 증감</t>
        </is>
      </c>
      <c r="P139" s="22" t="n">
        <v>0</v>
      </c>
      <c r="Q139" s="22" t="n">
        <v>1.9</v>
      </c>
      <c r="R139" s="22" t="n">
        <v>-1.9</v>
      </c>
      <c r="S139" s="22" t="n">
        <v>0</v>
      </c>
    </row>
    <row r="140">
      <c r="A140" s="20" t="inlineStr">
        <is>
          <t>대손충당금 증감</t>
        </is>
      </c>
      <c r="D140" s="22" t="n">
        <v>-0.303</v>
      </c>
      <c r="F140" s="22" t="n">
        <v>7.877</v>
      </c>
      <c r="H140" s="22" t="n">
        <v>-7.169</v>
      </c>
      <c r="J140" s="22" t="n">
        <v>8.583</v>
      </c>
      <c r="L140" s="22" t="n">
        <v>2.13</v>
      </c>
      <c r="N140" s="22" t="n">
        <v>8.646000000000001</v>
      </c>
      <c r="O140" s="22" t="n">
        <v>-0.2</v>
      </c>
      <c r="P140" s="22" t="n">
        <v>-0.007</v>
      </c>
      <c r="Q140" s="22" t="n">
        <v>1.815</v>
      </c>
      <c r="R140" s="22" t="n">
        <v>10.418</v>
      </c>
      <c r="S140" s="22" t="n">
        <v>-3.354</v>
      </c>
      <c r="T140" s="22" t="n">
        <v>-1.545</v>
      </c>
      <c r="U140" s="22" t="n">
        <v>2.486</v>
      </c>
      <c r="V140" s="22" t="n">
        <v>-0.303</v>
      </c>
      <c r="W140" s="22" t="n">
        <v>-7.169</v>
      </c>
      <c r="X140" s="22" t="n">
        <v>2.13</v>
      </c>
    </row>
    <row r="141">
      <c r="A141" s="20" t="inlineStr">
        <is>
          <t>이자·배당금 수익</t>
        </is>
      </c>
      <c r="D141" s="22" t="n">
        <v>-3.044</v>
      </c>
      <c r="F141" s="22" t="n">
        <v>-1.75</v>
      </c>
      <c r="H141" s="22" t="n">
        <v>-4.317</v>
      </c>
      <c r="J141" s="22" t="n">
        <v>-3.402</v>
      </c>
      <c r="L141" s="22" t="n">
        <v>-7.179</v>
      </c>
      <c r="N141" s="22" t="n">
        <v>-4.944</v>
      </c>
      <c r="O141" s="22" t="n">
        <v>-3.354</v>
      </c>
      <c r="P141" s="22" t="n">
        <v>-3.453</v>
      </c>
      <c r="Q141" s="22" t="n">
        <v>-2.528</v>
      </c>
      <c r="R141" s="22" t="n">
        <v>-3.181</v>
      </c>
      <c r="S141" s="22" t="n">
        <v>-2.852</v>
      </c>
      <c r="T141" s="22" t="n">
        <v>-2.729</v>
      </c>
      <c r="U141" s="22" t="n">
        <v>-2.726</v>
      </c>
      <c r="V141" s="22" t="n">
        <v>-3.044</v>
      </c>
      <c r="W141" s="22" t="n">
        <v>-4.317</v>
      </c>
      <c r="X141" s="22" t="n">
        <v>-7.179</v>
      </c>
    </row>
    <row r="142">
      <c r="A142" s="20" t="inlineStr">
        <is>
          <t>고용조정 보조금</t>
        </is>
      </c>
      <c r="R142" s="22" t="n">
        <v>0</v>
      </c>
      <c r="S142" s="22" t="n">
        <v>-26.255</v>
      </c>
      <c r="T142" s="22" t="n">
        <v>0</v>
      </c>
    </row>
    <row r="143">
      <c r="A143" s="20" t="inlineStr">
        <is>
          <t>보조금 수입</t>
        </is>
      </c>
      <c r="D143" s="22" t="n">
        <v>-0.978</v>
      </c>
      <c r="H143" s="22" t="n">
        <v>0</v>
      </c>
      <c r="R143" s="22" t="n">
        <v>0</v>
      </c>
      <c r="S143" s="22" t="n">
        <v>-1.5</v>
      </c>
      <c r="T143" s="22" t="n">
        <v>0</v>
      </c>
      <c r="U143" s="22" t="n">
        <v>-8.390000000000001</v>
      </c>
      <c r="V143" s="22" t="n">
        <v>-0.978</v>
      </c>
      <c r="W143" s="22" t="n">
        <v>0</v>
      </c>
    </row>
    <row r="144">
      <c r="A144" s="20" t="inlineStr">
        <is>
          <t>설비부담금 수입</t>
        </is>
      </c>
      <c r="D144" s="22" t="n">
        <v>0</v>
      </c>
      <c r="F144" s="22" t="n">
        <v>-2.346</v>
      </c>
      <c r="H144" s="22" t="n">
        <v>-2.346</v>
      </c>
      <c r="J144" s="22" t="n">
        <v>-10.041</v>
      </c>
      <c r="L144" s="22" t="n">
        <v>-10.831</v>
      </c>
      <c r="N144" s="22" t="n">
        <v>-0.6860000000000001</v>
      </c>
      <c r="T144" s="22" t="n">
        <v>0</v>
      </c>
      <c r="U144" s="22" t="n">
        <v>-8.858000000000001</v>
      </c>
      <c r="V144" s="22" t="n">
        <v>0</v>
      </c>
      <c r="W144" s="22" t="n">
        <v>-2.346</v>
      </c>
      <c r="X144" s="22" t="n">
        <v>-10.831</v>
      </c>
    </row>
    <row r="145">
      <c r="A145" s="20" t="inlineStr">
        <is>
          <t>이자비용</t>
        </is>
      </c>
      <c r="D145" s="22" t="n">
        <v>10.143</v>
      </c>
      <c r="F145" s="22" t="n">
        <v>6.678</v>
      </c>
      <c r="H145" s="22" t="n">
        <v>13.514</v>
      </c>
      <c r="J145" s="22" t="n">
        <v>8.683</v>
      </c>
      <c r="L145" s="22" t="n">
        <v>17.486</v>
      </c>
      <c r="N145" s="22" t="n">
        <v>12.61</v>
      </c>
      <c r="O145" s="22" t="n">
        <v>2.683</v>
      </c>
      <c r="P145" s="22" t="n">
        <v>2.428</v>
      </c>
      <c r="Q145" s="22" t="n">
        <v>2.314</v>
      </c>
      <c r="R145" s="22" t="n">
        <v>2.938</v>
      </c>
      <c r="S145" s="22" t="n">
        <v>7.907</v>
      </c>
      <c r="T145" s="22" t="n">
        <v>6.954</v>
      </c>
      <c r="U145" s="22" t="n">
        <v>10.765</v>
      </c>
      <c r="V145" s="22" t="n">
        <v>10.143</v>
      </c>
      <c r="W145" s="22" t="n">
        <v>13.514</v>
      </c>
      <c r="X145" s="22" t="n">
        <v>17.486</v>
      </c>
    </row>
    <row r="146">
      <c r="A146" s="20" t="inlineStr">
        <is>
          <t>주식교부비</t>
        </is>
      </c>
      <c r="D146" s="22" t="n">
        <v>0.002</v>
      </c>
      <c r="F146" s="22" t="n">
        <v>0</v>
      </c>
      <c r="H146" s="22" t="n">
        <v>0</v>
      </c>
      <c r="T146" s="22" t="n">
        <v>0</v>
      </c>
      <c r="U146" s="22" t="n">
        <v>7.856</v>
      </c>
      <c r="V146" s="22" t="n">
        <v>0.002</v>
      </c>
      <c r="W146" s="22" t="n">
        <v>0</v>
      </c>
    </row>
    <row r="147">
      <c r="A147" s="20" t="inlineStr">
        <is>
          <t>유형자산 매각손익</t>
        </is>
      </c>
      <c r="D147" s="22" t="n">
        <v>0</v>
      </c>
      <c r="H147" s="22" t="n">
        <v>-0.308</v>
      </c>
      <c r="L147" s="22" t="n">
        <v>-19.075</v>
      </c>
      <c r="V147" s="22" t="n">
        <v>0</v>
      </c>
      <c r="W147" s="22" t="n">
        <v>-0.308</v>
      </c>
      <c r="X147" s="22" t="n">
        <v>-19.075</v>
      </c>
    </row>
    <row r="148">
      <c r="A148" s="20" t="inlineStr">
        <is>
          <t>고정자산 제각손실</t>
        </is>
      </c>
      <c r="D148" s="22" t="n">
        <v>0.396</v>
      </c>
      <c r="F148" s="22" t="n">
        <v>0</v>
      </c>
      <c r="H148" s="22" t="n">
        <v>0.743</v>
      </c>
      <c r="J148" s="22" t="n">
        <v>0.285</v>
      </c>
      <c r="L148" s="22" t="n">
        <v>2.79</v>
      </c>
      <c r="N148" s="22" t="n">
        <v>30.939</v>
      </c>
      <c r="O148" s="22" t="n">
        <v>0.44</v>
      </c>
      <c r="P148" s="22" t="n">
        <v>1.043</v>
      </c>
      <c r="Q148" s="22" t="n">
        <v>2.843</v>
      </c>
      <c r="R148" s="22" t="n">
        <v>1.787</v>
      </c>
      <c r="S148" s="22" t="n">
        <v>0.203</v>
      </c>
      <c r="T148" s="22" t="n">
        <v>1.668</v>
      </c>
      <c r="U148" s="22" t="n">
        <v>0.359</v>
      </c>
      <c r="V148" s="22" t="n">
        <v>0.396</v>
      </c>
      <c r="W148" s="22" t="n">
        <v>0.743</v>
      </c>
      <c r="X148" s="22" t="n">
        <v>2.79</v>
      </c>
    </row>
    <row r="149">
      <c r="A149" s="20" t="inlineStr">
        <is>
          <t>고정자산 매각손실</t>
        </is>
      </c>
      <c r="R149" s="22" t="n">
        <v>0</v>
      </c>
      <c r="S149" s="22" t="n">
        <v>0.156</v>
      </c>
      <c r="T149" s="22" t="n">
        <v>-1.7</v>
      </c>
    </row>
    <row r="150">
      <c r="A150" s="20" t="inlineStr">
        <is>
          <t>고정자산 매각이익</t>
        </is>
      </c>
      <c r="F150" s="22" t="n">
        <v>-0.308</v>
      </c>
    </row>
    <row r="151">
      <c r="A151" s="20" t="inlineStr">
        <is>
          <t>고정자산 매각손익</t>
        </is>
      </c>
      <c r="F151" s="22" t="n">
        <v>-0.308</v>
      </c>
      <c r="J151" s="22" t="n">
        <v>-0.003</v>
      </c>
      <c r="N151" s="22" t="n">
        <v>-0.079</v>
      </c>
      <c r="T151" s="22" t="n">
        <v>-1.7</v>
      </c>
      <c r="U151" s="22" t="n">
        <v>0</v>
      </c>
    </row>
    <row r="152">
      <c r="A152" s="20" t="inlineStr">
        <is>
          <t>소송 손실 충당금 증감액(△는 감소)</t>
        </is>
      </c>
      <c r="R152" s="22" t="n">
        <v>0</v>
      </c>
      <c r="S152" s="22" t="n">
        <v>7.81</v>
      </c>
      <c r="T152" s="22" t="n">
        <v>-7.81</v>
      </c>
      <c r="U152" s="22" t="n">
        <v>0</v>
      </c>
    </row>
    <row r="153">
      <c r="A153" s="20" t="inlineStr">
        <is>
          <t>투자유가증권 매각손익</t>
        </is>
      </c>
      <c r="O153" s="22" t="n">
        <v>0</v>
      </c>
      <c r="P153" s="22" t="n">
        <v>-63.47</v>
      </c>
      <c r="Q153" s="22" t="n">
        <v>0</v>
      </c>
      <c r="R153" s="22" t="n">
        <v>-3.463</v>
      </c>
      <c r="S153" s="22" t="n">
        <v>-5.637</v>
      </c>
      <c r="T153" s="22" t="n">
        <v>0</v>
      </c>
    </row>
    <row r="154">
      <c r="A154" s="20" t="inlineStr">
        <is>
          <t>매출채권 증감</t>
        </is>
      </c>
      <c r="D154" s="22" t="n">
        <v>-4.066</v>
      </c>
      <c r="F154" s="22" t="n">
        <v>-800.176</v>
      </c>
      <c r="H154" s="22" t="n">
        <v>71.02500000000001</v>
      </c>
      <c r="J154" s="22" t="n">
        <v>-874.818</v>
      </c>
      <c r="L154" s="22" t="n">
        <v>-203.478</v>
      </c>
      <c r="N154" s="22" t="n">
        <v>-911.88</v>
      </c>
      <c r="O154" s="22" t="n">
        <v>-24.185</v>
      </c>
      <c r="P154" s="22" t="n">
        <v>-18.069</v>
      </c>
      <c r="Q154" s="22" t="n">
        <v>-10.986</v>
      </c>
      <c r="R154" s="22" t="n">
        <v>29.304</v>
      </c>
      <c r="S154" s="22" t="n">
        <v>-33.724</v>
      </c>
      <c r="T154" s="22" t="n">
        <v>100.37</v>
      </c>
      <c r="U154" s="22" t="n">
        <v>-218.683</v>
      </c>
      <c r="V154" s="22" t="n">
        <v>-4.066</v>
      </c>
      <c r="W154" s="22" t="n">
        <v>71.02500000000001</v>
      </c>
      <c r="X154" s="22" t="n">
        <v>-203.478</v>
      </c>
    </row>
    <row r="155">
      <c r="A155" s="20" t="inlineStr">
        <is>
          <t>재고자산 증감</t>
        </is>
      </c>
      <c r="D155" s="22" t="n">
        <v>-35.02</v>
      </c>
      <c r="F155" s="22" t="n">
        <v>129.649</v>
      </c>
      <c r="H155" s="22" t="n">
        <v>-270.408</v>
      </c>
      <c r="J155" s="22" t="n">
        <v>335.271</v>
      </c>
      <c r="L155" s="22" t="n">
        <v>-112.268</v>
      </c>
      <c r="N155" s="22" t="n">
        <v>219.015</v>
      </c>
      <c r="O155" s="22" t="n">
        <v>45.915</v>
      </c>
      <c r="P155" s="22" t="n">
        <v>-150.654</v>
      </c>
      <c r="Q155" s="22" t="n">
        <v>-57.313</v>
      </c>
      <c r="R155" s="22" t="n">
        <v>-130.312</v>
      </c>
      <c r="S155" s="22" t="n">
        <v>245.582</v>
      </c>
      <c r="T155" s="22" t="n">
        <v>24.741</v>
      </c>
      <c r="U155" s="22" t="n">
        <v>-43.373</v>
      </c>
      <c r="V155" s="22" t="n">
        <v>-35.02</v>
      </c>
      <c r="W155" s="22" t="n">
        <v>-270.408</v>
      </c>
      <c r="X155" s="22" t="n">
        <v>-112.268</v>
      </c>
    </row>
    <row r="156">
      <c r="A156" s="20" t="inlineStr">
        <is>
          <t>미수 소비세 증감</t>
        </is>
      </c>
      <c r="D156" s="22" t="n">
        <v>12.291</v>
      </c>
      <c r="F156" s="22" t="n">
        <v>0</v>
      </c>
      <c r="H156" s="22" t="n">
        <v>-23.427</v>
      </c>
      <c r="J156" s="22" t="n">
        <v>23.427</v>
      </c>
      <c r="L156" s="22" t="n">
        <v>23.427</v>
      </c>
      <c r="N156" s="22" t="n">
        <v>0</v>
      </c>
      <c r="O156" s="22" t="n">
        <v>0</v>
      </c>
      <c r="P156" s="22" t="n">
        <v>-7.051</v>
      </c>
      <c r="Q156" s="22" t="n">
        <v>7.051</v>
      </c>
      <c r="R156" s="22" t="n">
        <v>-25.779</v>
      </c>
      <c r="S156" s="22" t="n">
        <v>25.779</v>
      </c>
      <c r="T156" s="22" t="n">
        <v>-8.989000000000001</v>
      </c>
      <c r="U156" s="22" t="n">
        <v>-3.302</v>
      </c>
      <c r="V156" s="22" t="n">
        <v>12.291</v>
      </c>
      <c r="W156" s="22" t="n">
        <v>-23.427</v>
      </c>
      <c r="X156" s="22" t="n">
        <v>23.427</v>
      </c>
    </row>
    <row r="157">
      <c r="A157" s="20" t="inlineStr">
        <is>
          <t>기타 유동자산 증감</t>
        </is>
      </c>
      <c r="D157" s="22" t="n">
        <v>-19.383</v>
      </c>
      <c r="F157" s="22" t="n">
        <v>1.152</v>
      </c>
      <c r="H157" s="22" t="n">
        <v>-0.651</v>
      </c>
      <c r="J157" s="22" t="n">
        <v>13.333</v>
      </c>
      <c r="L157" s="22" t="n">
        <v>-24.71</v>
      </c>
      <c r="N157" s="22" t="n">
        <v>7.079</v>
      </c>
      <c r="O157" s="22" t="n">
        <v>0.7</v>
      </c>
      <c r="P157" s="22" t="n">
        <v>-2.337</v>
      </c>
      <c r="Q157" s="22" t="n">
        <v>-5.47</v>
      </c>
      <c r="R157" s="22" t="n">
        <v>-5.141</v>
      </c>
      <c r="S157" s="22" t="n">
        <v>-9.423</v>
      </c>
      <c r="T157" s="22" t="n">
        <v>13.093</v>
      </c>
      <c r="U157" s="22" t="n">
        <v>-6.511</v>
      </c>
      <c r="V157" s="22" t="n">
        <v>-19.383</v>
      </c>
      <c r="W157" s="22" t="n">
        <v>-0.651</v>
      </c>
      <c r="X157" s="22" t="n">
        <v>-24.71</v>
      </c>
    </row>
    <row r="158">
      <c r="A158" s="20" t="inlineStr">
        <is>
          <t>매입채무 증감</t>
        </is>
      </c>
      <c r="D158" s="22" t="n">
        <v>-83.26000000000001</v>
      </c>
      <c r="F158" s="22" t="n">
        <v>56.521</v>
      </c>
      <c r="H158" s="22" t="n">
        <v>-4.63</v>
      </c>
      <c r="J158" s="22" t="n">
        <v>-1.14</v>
      </c>
      <c r="L158" s="22" t="n">
        <v>67.173</v>
      </c>
      <c r="N158" s="22" t="n">
        <v>66.50700000000001</v>
      </c>
      <c r="O158" s="22" t="n">
        <v>62.777</v>
      </c>
      <c r="P158" s="22" t="n">
        <v>-5.14</v>
      </c>
      <c r="Q158" s="22" t="n">
        <v>18.554</v>
      </c>
      <c r="R158" s="22" t="n">
        <v>-87.404</v>
      </c>
      <c r="S158" s="22" t="n">
        <v>57.893</v>
      </c>
      <c r="T158" s="22" t="n">
        <v>-40.541</v>
      </c>
      <c r="U158" s="22" t="n">
        <v>268.593</v>
      </c>
      <c r="V158" s="22" t="n">
        <v>-83.26000000000001</v>
      </c>
      <c r="W158" s="22" t="n">
        <v>-4.63</v>
      </c>
      <c r="X158" s="22" t="n">
        <v>67.173</v>
      </c>
    </row>
    <row r="159">
      <c r="A159" s="20" t="inlineStr">
        <is>
          <t>미지급금 증감</t>
        </is>
      </c>
      <c r="D159" s="22" t="n">
        <v>12.839</v>
      </c>
      <c r="F159" s="22" t="n">
        <v>79.77200000000001</v>
      </c>
      <c r="H159" s="22" t="n">
        <v>10.683</v>
      </c>
      <c r="J159" s="22" t="n">
        <v>61.02</v>
      </c>
      <c r="L159" s="22" t="n">
        <v>16.08</v>
      </c>
      <c r="N159" s="22" t="n">
        <v>105.361</v>
      </c>
      <c r="O159" s="22" t="n">
        <v>7.292</v>
      </c>
      <c r="P159" s="22" t="n">
        <v>0.183</v>
      </c>
      <c r="Q159" s="22" t="n">
        <v>4.517</v>
      </c>
      <c r="R159" s="22" t="n">
        <v>21.605</v>
      </c>
      <c r="S159" s="22" t="n">
        <v>-28.062</v>
      </c>
      <c r="T159" s="22" t="n">
        <v>-0.103</v>
      </c>
      <c r="U159" s="22" t="n">
        <v>9.089</v>
      </c>
      <c r="V159" s="22" t="n">
        <v>12.839</v>
      </c>
      <c r="W159" s="22" t="n">
        <v>10.683</v>
      </c>
      <c r="X159" s="22" t="n">
        <v>16.08</v>
      </c>
    </row>
    <row r="160">
      <c r="A160" s="20" t="inlineStr">
        <is>
          <t>미지급 소비세 증감</t>
        </is>
      </c>
      <c r="D160" s="22" t="n">
        <v>25.541</v>
      </c>
      <c r="F160" s="22" t="n">
        <v>0.864</v>
      </c>
      <c r="H160" s="22" t="n">
        <v>-25.541</v>
      </c>
      <c r="J160" s="22" t="n">
        <v>50.598</v>
      </c>
      <c r="L160" s="22" t="n">
        <v>1.513</v>
      </c>
      <c r="N160" s="22" t="n">
        <v>32.608</v>
      </c>
      <c r="O160" s="22" t="n">
        <v>-10.579</v>
      </c>
      <c r="P160" s="22" t="n">
        <v>-7.416</v>
      </c>
      <c r="Q160" s="22" t="n">
        <v>24.803</v>
      </c>
      <c r="R160" s="22" t="n">
        <v>-24.803</v>
      </c>
      <c r="S160" s="22" t="n">
        <v>37.62</v>
      </c>
      <c r="T160" s="22" t="n">
        <v>-37.62</v>
      </c>
      <c r="U160" s="22" t="n">
        <v>0</v>
      </c>
      <c r="V160" s="22" t="n">
        <v>25.541</v>
      </c>
      <c r="W160" s="22" t="n">
        <v>-25.541</v>
      </c>
      <c r="X160" s="22" t="n">
        <v>1.513</v>
      </c>
    </row>
    <row r="161">
      <c r="A161" s="20" t="inlineStr">
        <is>
          <t>미지급비용 증감</t>
        </is>
      </c>
      <c r="D161" s="22" t="n">
        <v>8.868</v>
      </c>
      <c r="F161" s="22" t="n">
        <v>25.651</v>
      </c>
      <c r="H161" s="22" t="n">
        <v>-1.995</v>
      </c>
      <c r="J161" s="22" t="n">
        <v>20.387</v>
      </c>
      <c r="L161" s="22" t="n">
        <v>21.077</v>
      </c>
      <c r="N161" s="22" t="n">
        <v>12.483</v>
      </c>
      <c r="O161" s="22" t="n">
        <v>0.75</v>
      </c>
      <c r="P161" s="22" t="n">
        <v>7.928</v>
      </c>
      <c r="Q161" s="22" t="n">
        <v>-0.98</v>
      </c>
      <c r="R161" s="22" t="n">
        <v>-0.757</v>
      </c>
      <c r="S161" s="22" t="n">
        <v>-1.38</v>
      </c>
      <c r="T161" s="22" t="n">
        <v>-1.482</v>
      </c>
      <c r="U161" s="22" t="n">
        <v>8.561</v>
      </c>
      <c r="V161" s="22" t="n">
        <v>8.868</v>
      </c>
      <c r="W161" s="22" t="n">
        <v>-1.995</v>
      </c>
      <c r="X161" s="22" t="n">
        <v>21.077</v>
      </c>
    </row>
    <row r="162">
      <c r="A162" s="20" t="inlineStr">
        <is>
          <t>기타 유동부채 증감</t>
        </is>
      </c>
      <c r="D162" s="22" t="n">
        <v>-2.157</v>
      </c>
      <c r="F162" s="22" t="n">
        <v>11.273</v>
      </c>
      <c r="H162" s="22" t="n">
        <v>-0.527</v>
      </c>
      <c r="J162" s="22" t="n">
        <v>12.669</v>
      </c>
      <c r="L162" s="22" t="n">
        <v>5.445</v>
      </c>
      <c r="N162" s="22" t="n">
        <v>-4.747</v>
      </c>
      <c r="O162" s="22" t="n">
        <v>1.999</v>
      </c>
      <c r="P162" s="22" t="n">
        <v>2.909</v>
      </c>
      <c r="Q162" s="22" t="n">
        <v>1.546</v>
      </c>
      <c r="R162" s="22" t="n">
        <v>0.904</v>
      </c>
      <c r="S162" s="22" t="n">
        <v>-5.17</v>
      </c>
      <c r="T162" s="22" t="n">
        <v>-1.159</v>
      </c>
      <c r="U162" s="22" t="n">
        <v>2.185</v>
      </c>
      <c r="V162" s="22" t="n">
        <v>-2.157</v>
      </c>
      <c r="W162" s="22" t="n">
        <v>-0.527</v>
      </c>
      <c r="X162" s="22" t="n">
        <v>5.445</v>
      </c>
    </row>
    <row r="163">
      <c r="A163" s="20" t="inlineStr">
        <is>
          <t>예수보증금 증감액</t>
        </is>
      </c>
      <c r="O163" s="22" t="n">
        <v>-0.75</v>
      </c>
      <c r="P163" s="22" t="n">
        <v>-0.75</v>
      </c>
      <c r="Q163" s="22" t="n">
        <v>-0.75</v>
      </c>
      <c r="R163" s="22" t="n">
        <v>-0.75</v>
      </c>
      <c r="S163" s="22" t="n">
        <v>0</v>
      </c>
    </row>
    <row r="164">
      <c r="A164" s="20" t="inlineStr">
        <is>
          <t>차입보증금 증감액(△는 증가)</t>
        </is>
      </c>
      <c r="D164" s="22" t="n">
        <v>1.655</v>
      </c>
      <c r="F164" s="22" t="n">
        <v>-0.154</v>
      </c>
      <c r="H164" s="22" t="n">
        <v>-0.333</v>
      </c>
      <c r="J164" s="22" t="n">
        <v>-0.185</v>
      </c>
      <c r="L164" s="22" t="n">
        <v>-0.491</v>
      </c>
      <c r="N164" s="22" t="n">
        <v>-0.288</v>
      </c>
      <c r="O164" s="22" t="n">
        <v>-0.163</v>
      </c>
      <c r="P164" s="22" t="n">
        <v>-0.14</v>
      </c>
      <c r="Q164" s="22" t="n">
        <v>-2.107</v>
      </c>
      <c r="R164" s="22" t="n">
        <v>-0.157</v>
      </c>
      <c r="S164" s="22" t="n">
        <v>-0.143</v>
      </c>
      <c r="T164" s="22" t="n">
        <v>-0.159</v>
      </c>
      <c r="U164" s="22" t="n">
        <v>-0.162</v>
      </c>
      <c r="V164" s="22" t="n">
        <v>1.655</v>
      </c>
      <c r="W164" s="22" t="n">
        <v>-0.333</v>
      </c>
      <c r="X164" s="22" t="n">
        <v>-0.491</v>
      </c>
    </row>
    <row r="165">
      <c r="A165" s="20" t="inlineStr">
        <is>
          <t>기타</t>
        </is>
      </c>
      <c r="D165" s="22" t="n">
        <v>11.839</v>
      </c>
      <c r="F165" s="22" t="n">
        <v>7.946</v>
      </c>
      <c r="H165" s="22" t="n">
        <v>24.244</v>
      </c>
      <c r="J165" s="22" t="n">
        <v>15.366</v>
      </c>
      <c r="L165" s="22" t="n">
        <v>28.164</v>
      </c>
      <c r="N165" s="22" t="n">
        <v>12.678</v>
      </c>
      <c r="O165" s="22" t="n">
        <v>5.206</v>
      </c>
      <c r="P165" s="22" t="n">
        <v>0.646</v>
      </c>
      <c r="Q165" s="22" t="n">
        <v>1.358</v>
      </c>
      <c r="R165" s="22" t="n">
        <v>5.802</v>
      </c>
      <c r="S165" s="22" t="n">
        <v>4.133</v>
      </c>
      <c r="T165" s="22" t="n">
        <v>9.081</v>
      </c>
      <c r="U165" s="22" t="n">
        <v>10.469</v>
      </c>
      <c r="V165" s="22" t="n">
        <v>11.839</v>
      </c>
      <c r="W165" s="22" t="n">
        <v>24.244</v>
      </c>
      <c r="X165" s="22" t="n">
        <v>28.164</v>
      </c>
    </row>
    <row r="166">
      <c r="A166" s="20" t="inlineStr">
        <is>
          <t>소계</t>
        </is>
      </c>
      <c r="D166" s="22" t="n">
        <v>169.399</v>
      </c>
      <c r="F166" s="22" t="n">
        <v>-208.012</v>
      </c>
      <c r="H166" s="22" t="n">
        <v>51.976</v>
      </c>
      <c r="J166" s="22" t="n">
        <v>-45.441</v>
      </c>
      <c r="L166" s="22" t="n">
        <v>66.498</v>
      </c>
      <c r="N166" s="22" t="n">
        <v>-186.158</v>
      </c>
      <c r="O166" s="22" t="n">
        <v>246.364</v>
      </c>
      <c r="P166" s="22" t="n">
        <v>-98.199</v>
      </c>
      <c r="Q166" s="22" t="n">
        <v>197.66</v>
      </c>
      <c r="R166" s="22" t="n">
        <v>-148.836</v>
      </c>
      <c r="S166" s="22" t="n">
        <v>460.063</v>
      </c>
      <c r="T166" s="22" t="n">
        <v>267.535</v>
      </c>
      <c r="U166" s="22" t="n">
        <v>229.052</v>
      </c>
      <c r="V166" s="22" t="n">
        <v>169.399</v>
      </c>
      <c r="W166" s="22" t="n">
        <v>51.976</v>
      </c>
      <c r="X166" s="22" t="n">
        <v>66.498</v>
      </c>
    </row>
    <row r="167">
      <c r="A167" s="20" t="inlineStr">
        <is>
          <t>이자·배당금 수취</t>
        </is>
      </c>
      <c r="D167" s="22" t="n">
        <v>3.044</v>
      </c>
      <c r="F167" s="22" t="n">
        <v>1.75</v>
      </c>
      <c r="H167" s="22" t="n">
        <v>4.317</v>
      </c>
      <c r="J167" s="22" t="n">
        <v>3.402</v>
      </c>
      <c r="L167" s="22" t="n">
        <v>7.179</v>
      </c>
      <c r="N167" s="22" t="n">
        <v>4.944</v>
      </c>
      <c r="O167" s="22" t="n">
        <v>3.354</v>
      </c>
      <c r="P167" s="22" t="n">
        <v>3.453</v>
      </c>
      <c r="Q167" s="22" t="n">
        <v>2.528</v>
      </c>
      <c r="R167" s="22" t="n">
        <v>3.181</v>
      </c>
      <c r="S167" s="22" t="n">
        <v>2.852</v>
      </c>
      <c r="T167" s="22" t="n">
        <v>2.729</v>
      </c>
      <c r="U167" s="22" t="n">
        <v>2.726</v>
      </c>
      <c r="V167" s="22" t="n">
        <v>3.044</v>
      </c>
      <c r="W167" s="22" t="n">
        <v>4.317</v>
      </c>
      <c r="X167" s="22" t="n">
        <v>7.179</v>
      </c>
    </row>
    <row r="168">
      <c r="A168" s="20" t="inlineStr">
        <is>
          <t>이자 지급</t>
        </is>
      </c>
      <c r="D168" s="22" t="n">
        <v>-10.517</v>
      </c>
      <c r="F168" s="22" t="n">
        <v>-7.039</v>
      </c>
      <c r="H168" s="22" t="n">
        <v>-13.562</v>
      </c>
      <c r="J168" s="22" t="n">
        <v>-9.036</v>
      </c>
      <c r="L168" s="22" t="n">
        <v>-18.226</v>
      </c>
      <c r="N168" s="22" t="n">
        <v>-13.605</v>
      </c>
      <c r="O168" s="22" t="n">
        <v>-2.627</v>
      </c>
      <c r="P168" s="22" t="n">
        <v>-2.467</v>
      </c>
      <c r="Q168" s="22" t="n">
        <v>-2.302</v>
      </c>
      <c r="R168" s="22" t="n">
        <v>-3.036</v>
      </c>
      <c r="S168" s="22" t="n">
        <v>-7.797</v>
      </c>
      <c r="T168" s="22" t="n">
        <v>-6.939</v>
      </c>
      <c r="U168" s="22" t="n">
        <v>-10.754</v>
      </c>
      <c r="V168" s="22" t="n">
        <v>-10.517</v>
      </c>
      <c r="W168" s="22" t="n">
        <v>-13.562</v>
      </c>
      <c r="X168" s="22" t="n">
        <v>-18.226</v>
      </c>
    </row>
    <row r="169">
      <c r="A169" s="20" t="inlineStr">
        <is>
          <t>고용조정 조성금 수령액</t>
        </is>
      </c>
      <c r="R169" s="22" t="n">
        <v>0</v>
      </c>
      <c r="S169" s="22" t="n">
        <v>26.255</v>
      </c>
      <c r="T169" s="22" t="n">
        <v>0</v>
      </c>
    </row>
    <row r="170">
      <c r="A170" s="20" t="inlineStr">
        <is>
          <t>보조금 수취</t>
        </is>
      </c>
      <c r="D170" s="22" t="n">
        <v>9.138</v>
      </c>
      <c r="F170" s="22" t="n">
        <v>0</v>
      </c>
      <c r="H170" s="22" t="n">
        <v>0</v>
      </c>
      <c r="R170" s="22" t="n">
        <v>0</v>
      </c>
      <c r="S170" s="22" t="n">
        <v>1.5</v>
      </c>
      <c r="U170" s="22" t="n">
        <v>0</v>
      </c>
      <c r="V170" s="22" t="n">
        <v>9.138</v>
      </c>
      <c r="W170" s="22" t="n">
        <v>0</v>
      </c>
    </row>
    <row r="171">
      <c r="A171" s="20" t="inlineStr">
        <is>
          <t>설비부담금 수령액</t>
        </is>
      </c>
      <c r="D171" s="22" t="n">
        <v>7.593</v>
      </c>
      <c r="F171" s="22" t="n">
        <v>3.042</v>
      </c>
      <c r="H171" s="22" t="n">
        <v>3.042</v>
      </c>
      <c r="J171" s="22" t="n">
        <v>2.489</v>
      </c>
      <c r="L171" s="22" t="n">
        <v>5.664</v>
      </c>
      <c r="N171" s="22" t="n">
        <v>2.511</v>
      </c>
      <c r="T171" s="22" t="n">
        <v>0</v>
      </c>
      <c r="U171" s="22" t="n">
        <v>0.632</v>
      </c>
      <c r="V171" s="22" t="n">
        <v>7.593</v>
      </c>
      <c r="W171" s="22" t="n">
        <v>3.042</v>
      </c>
      <c r="X171" s="22" t="n">
        <v>5.664</v>
      </c>
    </row>
    <row r="172">
      <c r="A172" s="20" t="inlineStr">
        <is>
          <t>법인세 납부</t>
        </is>
      </c>
      <c r="D172" s="22" t="n">
        <v>-9.196</v>
      </c>
      <c r="F172" s="22" t="n">
        <v>-5.849</v>
      </c>
      <c r="H172" s="22" t="n">
        <v>-11.086</v>
      </c>
      <c r="J172" s="22" t="n">
        <v>-8.422000000000001</v>
      </c>
      <c r="L172" s="22" t="n">
        <v>-16.272</v>
      </c>
      <c r="N172" s="22" t="n">
        <v>-19.826</v>
      </c>
      <c r="O172" s="22" t="n">
        <v>-2.528</v>
      </c>
      <c r="P172" s="22" t="n">
        <v>-3.563</v>
      </c>
      <c r="Q172" s="22" t="n">
        <v>-2.603</v>
      </c>
      <c r="R172" s="22" t="n">
        <v>-20.379</v>
      </c>
      <c r="S172" s="22" t="n">
        <v>-2.173</v>
      </c>
      <c r="T172" s="22" t="n">
        <v>-11.03</v>
      </c>
      <c r="U172" s="22" t="n">
        <v>-11.653</v>
      </c>
      <c r="V172" s="22" t="n">
        <v>-9.196</v>
      </c>
      <c r="W172" s="22" t="n">
        <v>-11.086</v>
      </c>
      <c r="X172" s="22" t="n">
        <v>-16.272</v>
      </c>
    </row>
    <row r="173">
      <c r="A173" s="20" t="inlineStr">
        <is>
          <t>법인세 환급</t>
        </is>
      </c>
      <c r="O173" s="22" t="n">
        <v>1.42</v>
      </c>
      <c r="P173" s="22" t="n">
        <v>0</v>
      </c>
      <c r="R173" s="22" t="n">
        <v>0</v>
      </c>
      <c r="S173" s="22" t="n">
        <v>6.91</v>
      </c>
      <c r="T173" s="22" t="n">
        <v>0.726</v>
      </c>
      <c r="U173" s="22" t="n">
        <v>0</v>
      </c>
    </row>
    <row r="174">
      <c r="A174" s="9" t="inlineStr">
        <is>
          <t>영업활동 현금흐름</t>
        </is>
      </c>
      <c r="D174" s="12" t="n">
        <v>169.462</v>
      </c>
      <c r="F174" s="12" t="n">
        <v>-216.109</v>
      </c>
      <c r="H174" s="12" t="n">
        <v>34.687</v>
      </c>
      <c r="J174" s="12" t="n">
        <v>-57.008</v>
      </c>
      <c r="L174" s="12" t="n">
        <v>44.843</v>
      </c>
      <c r="N174" s="12" t="n">
        <v>-212.133</v>
      </c>
      <c r="O174" s="12" t="n">
        <v>245.983</v>
      </c>
      <c r="P174" s="12" t="n">
        <v>-100.776</v>
      </c>
      <c r="Q174" s="12" t="n">
        <v>195.282</v>
      </c>
      <c r="R174" s="12" t="n">
        <v>-169.07</v>
      </c>
      <c r="S174" s="12" t="n">
        <v>486.111</v>
      </c>
      <c r="T174" s="12" t="n">
        <v>253.02</v>
      </c>
      <c r="U174" s="12" t="n">
        <v>210.002</v>
      </c>
      <c r="V174" s="12" t="n">
        <v>169.462</v>
      </c>
      <c r="W174" s="12" t="n">
        <v>34.687</v>
      </c>
      <c r="X174" s="12" t="n">
        <v>44.843</v>
      </c>
    </row>
    <row r="175">
      <c r="A175" s="20" t="inlineStr">
        <is>
          <t>유형자산 취득(설비투자)</t>
        </is>
      </c>
      <c r="D175" s="22" t="n">
        <v>-524.431</v>
      </c>
      <c r="F175" s="22" t="n">
        <v>-50.222</v>
      </c>
      <c r="H175" s="22" t="n">
        <v>-76.27500000000001</v>
      </c>
      <c r="J175" s="22" t="n">
        <v>-116.02</v>
      </c>
      <c r="L175" s="22" t="n">
        <v>-567.831</v>
      </c>
      <c r="N175" s="22" t="n">
        <v>-233.074</v>
      </c>
      <c r="O175" s="22" t="n">
        <v>-85.90000000000001</v>
      </c>
      <c r="P175" s="22" t="n">
        <v>-117.397</v>
      </c>
      <c r="Q175" s="22" t="n">
        <v>-66.524</v>
      </c>
      <c r="R175" s="22" t="n">
        <v>-129.455</v>
      </c>
      <c r="S175" s="22" t="n">
        <v>-82.59099999999999</v>
      </c>
      <c r="T175" s="22" t="n">
        <v>-89.31100000000001</v>
      </c>
      <c r="U175" s="22" t="n">
        <v>-164.62</v>
      </c>
      <c r="V175" s="22" t="n">
        <v>-524.431</v>
      </c>
      <c r="W175" s="22" t="n">
        <v>-76.27500000000001</v>
      </c>
      <c r="X175" s="22" t="n">
        <v>-567.831</v>
      </c>
    </row>
    <row r="176">
      <c r="A176" s="20" t="inlineStr">
        <is>
          <t>유형자산 매각</t>
        </is>
      </c>
      <c r="D176" s="22" t="n">
        <v>0</v>
      </c>
      <c r="F176" s="22" t="n">
        <v>0.308</v>
      </c>
      <c r="H176" s="22" t="n">
        <v>0.308</v>
      </c>
      <c r="J176" s="22" t="n">
        <v>0.05</v>
      </c>
      <c r="L176" s="22" t="n">
        <v>447.63</v>
      </c>
      <c r="N176" s="22" t="n">
        <v>0.08</v>
      </c>
      <c r="R176" s="22" t="n">
        <v>0</v>
      </c>
      <c r="S176" s="22" t="n">
        <v>0.1</v>
      </c>
      <c r="T176" s="22" t="n">
        <v>1.7</v>
      </c>
      <c r="U176" s="22" t="n">
        <v>0</v>
      </c>
      <c r="V176" s="22" t="n">
        <v>0</v>
      </c>
      <c r="W176" s="22" t="n">
        <v>0.308</v>
      </c>
      <c r="X176" s="22" t="n">
        <v>447.63</v>
      </c>
    </row>
    <row r="177">
      <c r="A177" s="20" t="inlineStr">
        <is>
          <t>유형자산 제각 지출</t>
        </is>
      </c>
      <c r="H177" s="22" t="n">
        <v>0</v>
      </c>
      <c r="J177" s="22" t="n">
        <v>0</v>
      </c>
      <c r="L177" s="22" t="n">
        <v>-2.284</v>
      </c>
      <c r="N177" s="22" t="n">
        <v>-30.7</v>
      </c>
      <c r="W177" s="22" t="n">
        <v>0</v>
      </c>
      <c r="X177" s="22" t="n">
        <v>-2.284</v>
      </c>
    </row>
    <row r="178">
      <c r="A178" s="20" t="inlineStr">
        <is>
          <t>무형자산 취득</t>
        </is>
      </c>
      <c r="D178" s="22" t="n">
        <v>-7.93</v>
      </c>
      <c r="F178" s="22" t="n">
        <v>-4.18</v>
      </c>
      <c r="H178" s="22" t="n">
        <v>-4.955</v>
      </c>
      <c r="J178" s="22" t="n">
        <v>-0.77</v>
      </c>
      <c r="L178" s="22" t="n">
        <v>-4.07</v>
      </c>
      <c r="N178" s="22" t="n">
        <v>-0.666</v>
      </c>
      <c r="O178" s="22" t="n">
        <v>-2.041</v>
      </c>
      <c r="P178" s="22" t="n">
        <v>-8.4</v>
      </c>
      <c r="Q178" s="22" t="n">
        <v>-0.217</v>
      </c>
      <c r="R178" s="22" t="n">
        <v>-6.866</v>
      </c>
      <c r="S178" s="22" t="n">
        <v>-0.54</v>
      </c>
      <c r="T178" s="22" t="n">
        <v>-2.93</v>
      </c>
      <c r="U178" s="22" t="n">
        <v>-7.875</v>
      </c>
      <c r="V178" s="22" t="n">
        <v>-7.93</v>
      </c>
      <c r="W178" s="22" t="n">
        <v>-4.955</v>
      </c>
      <c r="X178" s="22" t="n">
        <v>-4.07</v>
      </c>
    </row>
    <row r="179">
      <c r="A179" s="20" t="inlineStr">
        <is>
          <t>투자유가증권 취득</t>
        </is>
      </c>
      <c r="O179" s="22" t="n">
        <v>-0.99</v>
      </c>
      <c r="P179" s="22" t="n">
        <v>-1</v>
      </c>
      <c r="Q179" s="22" t="n">
        <v>-1.01</v>
      </c>
      <c r="R179" s="22" t="n">
        <v>-0.531</v>
      </c>
      <c r="S179" s="22" t="n">
        <v>0</v>
      </c>
    </row>
    <row r="180">
      <c r="A180" s="20" t="inlineStr">
        <is>
          <t>투자유가증권 매각</t>
        </is>
      </c>
      <c r="O180" s="22" t="n">
        <v>0</v>
      </c>
      <c r="P180" s="22" t="n">
        <v>78</v>
      </c>
      <c r="Q180" s="22" t="n">
        <v>0</v>
      </c>
      <c r="R180" s="22" t="n">
        <v>11.618</v>
      </c>
      <c r="S180" s="22" t="n">
        <v>18.921</v>
      </c>
      <c r="T180" s="22" t="n">
        <v>0</v>
      </c>
    </row>
    <row r="181">
      <c r="A181" s="20" t="inlineStr">
        <is>
          <t>기타</t>
        </is>
      </c>
      <c r="D181" s="22" t="n">
        <v>0.822</v>
      </c>
      <c r="F181" s="22" t="n">
        <v>0.266</v>
      </c>
      <c r="H181" s="22" t="n">
        <v>0.395</v>
      </c>
      <c r="J181" s="22" t="n">
        <v>0.102</v>
      </c>
      <c r="L181" s="22" t="n">
        <v>-1.258</v>
      </c>
      <c r="N181" s="22" t="n">
        <v>0.174</v>
      </c>
      <c r="O181" s="22" t="n">
        <v>-1.452</v>
      </c>
      <c r="P181" s="22" t="n">
        <v>0.599</v>
      </c>
      <c r="Q181" s="22" t="n">
        <v>-3.505</v>
      </c>
      <c r="R181" s="22" t="n">
        <v>-8.143000000000001</v>
      </c>
      <c r="S181" s="22" t="n">
        <v>0.962</v>
      </c>
      <c r="T181" s="22" t="n">
        <v>0.819</v>
      </c>
      <c r="U181" s="22" t="n">
        <v>-5.557</v>
      </c>
      <c r="V181" s="22" t="n">
        <v>0.822</v>
      </c>
      <c r="W181" s="22" t="n">
        <v>0.395</v>
      </c>
      <c r="X181" s="22" t="n">
        <v>-1.258</v>
      </c>
    </row>
    <row r="182">
      <c r="A182" s="9" t="inlineStr">
        <is>
          <t>투자활동 현금흐름</t>
        </is>
      </c>
      <c r="D182" s="12" t="n">
        <v>-531.539</v>
      </c>
      <c r="F182" s="12" t="n">
        <v>-53.827</v>
      </c>
      <c r="H182" s="12" t="n">
        <v>-80.527</v>
      </c>
      <c r="J182" s="12" t="n">
        <v>-116.638</v>
      </c>
      <c r="L182" s="12" t="n">
        <v>-127.814</v>
      </c>
      <c r="N182" s="12" t="n">
        <v>-264.185</v>
      </c>
      <c r="O182" s="12" t="n">
        <v>-90.384</v>
      </c>
      <c r="P182" s="12" t="n">
        <v>-48.198</v>
      </c>
      <c r="Q182" s="12" t="n">
        <v>-71.25700000000001</v>
      </c>
      <c r="R182" s="12" t="n">
        <v>-133.378</v>
      </c>
      <c r="S182" s="12" t="n">
        <v>-63.147</v>
      </c>
      <c r="T182" s="12" t="n">
        <v>-89.72199999999999</v>
      </c>
      <c r="U182" s="12" t="n">
        <v>-178.052</v>
      </c>
      <c r="V182" s="12" t="n">
        <v>-531.539</v>
      </c>
      <c r="W182" s="12" t="n">
        <v>-80.527</v>
      </c>
      <c r="X182" s="12" t="n">
        <v>-127.814</v>
      </c>
    </row>
    <row r="183">
      <c r="A183" s="20" t="inlineStr">
        <is>
          <t>장기차입</t>
        </is>
      </c>
      <c r="H183" s="22" t="n">
        <v>0</v>
      </c>
      <c r="L183" s="22" t="n">
        <v>500</v>
      </c>
      <c r="W183" s="22" t="n">
        <v>0</v>
      </c>
      <c r="X183" s="22" t="n">
        <v>500</v>
      </c>
    </row>
    <row r="184">
      <c r="A184" s="20" t="inlineStr">
        <is>
          <t>단기차입금 순증감</t>
        </is>
      </c>
      <c r="D184" s="22" t="n">
        <v>335</v>
      </c>
      <c r="F184" s="22" t="n">
        <v>360</v>
      </c>
      <c r="H184" s="22" t="n">
        <v>115</v>
      </c>
      <c r="J184" s="22" t="n">
        <v>200</v>
      </c>
      <c r="L184" s="22" t="n">
        <v>-400</v>
      </c>
      <c r="N184" s="22" t="n">
        <v>750</v>
      </c>
      <c r="O184" s="22" t="n">
        <v>-120</v>
      </c>
      <c r="P184" s="22" t="n">
        <v>150</v>
      </c>
      <c r="Q184" s="22" t="n">
        <v>-30</v>
      </c>
      <c r="R184" s="22" t="n">
        <v>290</v>
      </c>
      <c r="S184" s="22" t="n">
        <v>-410</v>
      </c>
      <c r="T184" s="22" t="n">
        <v>10</v>
      </c>
      <c r="U184" s="22" t="n">
        <v>60</v>
      </c>
      <c r="V184" s="22" t="n">
        <v>335</v>
      </c>
      <c r="W184" s="22" t="n">
        <v>115</v>
      </c>
      <c r="X184" s="22" t="n">
        <v>-400</v>
      </c>
    </row>
    <row r="185">
      <c r="A185" s="20" t="inlineStr">
        <is>
          <t>장기차입금 상환</t>
        </is>
      </c>
      <c r="H185" s="22" t="n">
        <v>0</v>
      </c>
      <c r="J185" s="22" t="n">
        <v>0</v>
      </c>
      <c r="L185" s="22" t="n">
        <v>-30.002</v>
      </c>
      <c r="N185" s="22" t="n">
        <v>-53.338</v>
      </c>
      <c r="W185" s="22" t="n">
        <v>0</v>
      </c>
      <c r="X185" s="22" t="n">
        <v>-30.002</v>
      </c>
    </row>
    <row r="186">
      <c r="A186" s="20" t="inlineStr">
        <is>
          <t>사채 발행</t>
        </is>
      </c>
      <c r="D186" s="22" t="n">
        <v>0</v>
      </c>
      <c r="H186" s="22" t="n">
        <v>100</v>
      </c>
      <c r="L186" s="22" t="n">
        <v>0</v>
      </c>
      <c r="V186" s="22" t="n">
        <v>0</v>
      </c>
      <c r="W186" s="22" t="n">
        <v>100</v>
      </c>
      <c r="X186" s="22" t="n">
        <v>0</v>
      </c>
    </row>
    <row r="187">
      <c r="A187" s="20" t="inlineStr">
        <is>
          <t>사채 상환</t>
        </is>
      </c>
      <c r="F187" s="22" t="n">
        <v>0</v>
      </c>
      <c r="H187" s="22" t="n">
        <v>0</v>
      </c>
      <c r="J187" s="22" t="n">
        <v>-10</v>
      </c>
      <c r="L187" s="22" t="n">
        <v>-20</v>
      </c>
      <c r="N187" s="22" t="n">
        <v>-10</v>
      </c>
      <c r="W187" s="22" t="n">
        <v>0</v>
      </c>
      <c r="X187" s="22" t="n">
        <v>-20</v>
      </c>
    </row>
    <row r="188">
      <c r="A188" s="20" t="inlineStr">
        <is>
          <t>리스부채 상환</t>
        </is>
      </c>
      <c r="D188" s="22" t="n">
        <v>-28.042</v>
      </c>
      <c r="F188" s="22" t="n">
        <v>-14.817</v>
      </c>
      <c r="H188" s="22" t="n">
        <v>-31.25</v>
      </c>
      <c r="J188" s="22" t="n">
        <v>-18.453</v>
      </c>
      <c r="L188" s="22" t="n">
        <v>-37.117</v>
      </c>
      <c r="N188" s="22" t="n">
        <v>-19.787</v>
      </c>
      <c r="O188" s="22" t="n">
        <v>-25.534</v>
      </c>
      <c r="P188" s="22" t="n">
        <v>-23.598</v>
      </c>
      <c r="Q188" s="22" t="n">
        <v>-18.118</v>
      </c>
      <c r="R188" s="22" t="n">
        <v>-22.368</v>
      </c>
      <c r="S188" s="22" t="n">
        <v>-33.932</v>
      </c>
      <c r="T188" s="22" t="n">
        <v>-41.602</v>
      </c>
      <c r="U188" s="22" t="n">
        <v>-25.298</v>
      </c>
      <c r="V188" s="22" t="n">
        <v>-28.042</v>
      </c>
      <c r="W188" s="22" t="n">
        <v>-31.25</v>
      </c>
      <c r="X188" s="22" t="n">
        <v>-37.117</v>
      </c>
    </row>
    <row r="189">
      <c r="A189" s="20" t="inlineStr">
        <is>
          <t>자기주식 매각</t>
        </is>
      </c>
      <c r="O189" s="22" t="n">
        <v>0.034</v>
      </c>
      <c r="P189" s="22" t="n">
        <v>0</v>
      </c>
    </row>
    <row r="190">
      <c r="A190" s="20" t="inlineStr">
        <is>
          <t>주식 발행 지출</t>
        </is>
      </c>
      <c r="D190" s="22" t="n">
        <v>-0.002</v>
      </c>
      <c r="F190" s="22" t="n">
        <v>0</v>
      </c>
      <c r="H190" s="22" t="n">
        <v>0</v>
      </c>
      <c r="T190" s="22" t="n">
        <v>0</v>
      </c>
      <c r="U190" s="22" t="n">
        <v>-0.334</v>
      </c>
      <c r="V190" s="22" t="n">
        <v>-0.002</v>
      </c>
      <c r="W190" s="22" t="n">
        <v>0</v>
      </c>
    </row>
    <row r="191">
      <c r="A191" s="20" t="inlineStr">
        <is>
          <t>주식 발행</t>
        </is>
      </c>
      <c r="D191" s="22" t="n">
        <v>0</v>
      </c>
      <c r="T191" s="22" t="n">
        <v>0</v>
      </c>
      <c r="U191" s="22" t="n">
        <v>315.713</v>
      </c>
      <c r="V191" s="22" t="n">
        <v>0</v>
      </c>
    </row>
    <row r="192">
      <c r="A192" s="20" t="inlineStr">
        <is>
          <t>자기주식 취득</t>
        </is>
      </c>
      <c r="D192" s="22" t="n">
        <v>-277.254</v>
      </c>
      <c r="F192" s="22" t="n">
        <v>-0.226</v>
      </c>
      <c r="H192" s="22" t="n">
        <v>-0.226</v>
      </c>
      <c r="J192" s="22" t="n">
        <v>-0.122</v>
      </c>
      <c r="L192" s="22" t="n">
        <v>-0.122</v>
      </c>
      <c r="N192" s="22" t="n">
        <v>-0.207</v>
      </c>
      <c r="O192" s="22" t="n">
        <v>-1.058</v>
      </c>
      <c r="P192" s="22" t="n">
        <v>-0.904</v>
      </c>
      <c r="Q192" s="22" t="n">
        <v>-0.487</v>
      </c>
      <c r="R192" s="22" t="n">
        <v>-0.631</v>
      </c>
      <c r="S192" s="22" t="n">
        <v>-0.432</v>
      </c>
      <c r="T192" s="22" t="n">
        <v>-0.537</v>
      </c>
      <c r="U192" s="22" t="n">
        <v>-2.057</v>
      </c>
      <c r="V192" s="22" t="n">
        <v>-277.254</v>
      </c>
      <c r="W192" s="22" t="n">
        <v>-0.226</v>
      </c>
      <c r="X192" s="22" t="n">
        <v>-0.122</v>
      </c>
    </row>
    <row r="193">
      <c r="A193" s="20" t="inlineStr">
        <is>
          <t>배당금 지급</t>
        </is>
      </c>
      <c r="D193" s="22" t="n">
        <v>-25.844</v>
      </c>
      <c r="F193" s="22" t="n">
        <v>-23.288</v>
      </c>
      <c r="H193" s="22" t="n">
        <v>-23.37</v>
      </c>
      <c r="J193" s="22" t="n">
        <v>-24.669</v>
      </c>
      <c r="L193" s="22" t="n">
        <v>-24.705</v>
      </c>
      <c r="N193" s="22" t="n">
        <v>-24.741</v>
      </c>
      <c r="O193" s="22" t="n">
        <v>-12.305</v>
      </c>
      <c r="P193" s="22" t="n">
        <v>-16.028</v>
      </c>
      <c r="Q193" s="22" t="n">
        <v>-11.964</v>
      </c>
      <c r="R193" s="22" t="n">
        <v>-16.279</v>
      </c>
      <c r="S193" s="22" t="n">
        <v>-12.578</v>
      </c>
      <c r="T193" s="22" t="n">
        <v>-16.467</v>
      </c>
      <c r="U193" s="22" t="n">
        <v>-20.392</v>
      </c>
      <c r="V193" s="22" t="n">
        <v>-25.844</v>
      </c>
      <c r="W193" s="22" t="n">
        <v>-23.37</v>
      </c>
      <c r="X193" s="22" t="n">
        <v>-24.705</v>
      </c>
    </row>
    <row r="194">
      <c r="A194" s="9" t="inlineStr">
        <is>
          <t>재무활동 현금흐름</t>
        </is>
      </c>
      <c r="D194" s="12" t="n">
        <v>3.855</v>
      </c>
      <c r="F194" s="12" t="n">
        <v>321.668</v>
      </c>
      <c r="H194" s="12" t="n">
        <v>160.152</v>
      </c>
      <c r="J194" s="12" t="n">
        <v>146.754</v>
      </c>
      <c r="L194" s="12" t="n">
        <v>-11.948</v>
      </c>
      <c r="N194" s="12" t="n">
        <v>641.926</v>
      </c>
      <c r="O194" s="12" t="n">
        <v>-158.864</v>
      </c>
      <c r="P194" s="12" t="n">
        <v>109.468</v>
      </c>
      <c r="Q194" s="12" t="n">
        <v>-60.571</v>
      </c>
      <c r="R194" s="12" t="n">
        <v>250.72</v>
      </c>
      <c r="S194" s="12" t="n">
        <v>-456.943</v>
      </c>
      <c r="T194" s="12" t="n">
        <v>-48.607</v>
      </c>
      <c r="U194" s="12" t="n">
        <v>327.63</v>
      </c>
      <c r="V194" s="12" t="n">
        <v>3.855</v>
      </c>
      <c r="W194" s="12" t="n">
        <v>160.152</v>
      </c>
      <c r="X194" s="12" t="n">
        <v>-11.948</v>
      </c>
    </row>
    <row r="195">
      <c r="A195" s="20" t="inlineStr">
        <is>
          <t>현금성자산 증감</t>
        </is>
      </c>
      <c r="D195" s="22" t="n">
        <v>-358.221</v>
      </c>
      <c r="F195" s="22" t="n">
        <v>51.73</v>
      </c>
      <c r="H195" s="22" t="n">
        <v>114.312</v>
      </c>
      <c r="J195" s="22" t="n">
        <v>-26.891</v>
      </c>
      <c r="L195" s="22" t="n">
        <v>-94.91800000000001</v>
      </c>
      <c r="N195" s="22" t="n">
        <v>165.606</v>
      </c>
      <c r="O195" s="22" t="n">
        <v>-3.265</v>
      </c>
      <c r="P195" s="22" t="n">
        <v>-39.507</v>
      </c>
      <c r="Q195" s="22" t="n">
        <v>63.454</v>
      </c>
      <c r="R195" s="22" t="n">
        <v>-51.728</v>
      </c>
      <c r="S195" s="22" t="n">
        <v>-33.979</v>
      </c>
      <c r="T195" s="22" t="n">
        <v>114.689</v>
      </c>
      <c r="U195" s="22" t="n">
        <v>359.58</v>
      </c>
      <c r="V195" s="22" t="n">
        <v>-358.221</v>
      </c>
      <c r="W195" s="22" t="n">
        <v>114.312</v>
      </c>
      <c r="X195" s="22" t="n">
        <v>-94.91800000000001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세이효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2075.883</v>
      </c>
      <c r="D5" s="12" t="n">
        <v>1570.925</v>
      </c>
      <c r="E5" s="12" t="n">
        <v>1816.291</v>
      </c>
      <c r="F5" s="12" t="n">
        <v>2623.11</v>
      </c>
      <c r="G5" s="12" t="n">
        <v>2653.481</v>
      </c>
      <c r="H5" s="11" t="n">
        <v>921.978</v>
      </c>
      <c r="I5" s="12" t="n">
        <v>1580.032</v>
      </c>
      <c r="J5" s="12" t="n">
        <v>1250.126</v>
      </c>
      <c r="K5" s="12" t="n">
        <v>1587.51</v>
      </c>
      <c r="L5" s="12" t="n">
        <v>1816.291</v>
      </c>
    </row>
    <row r="6">
      <c r="A6" s="20" t="inlineStr">
        <is>
          <t>현금및현금성자산</t>
        </is>
      </c>
      <c r="B6" s="10" t="n"/>
      <c r="C6" s="21" t="n">
        <v>302.54</v>
      </c>
      <c r="D6" s="22" t="n">
        <v>281.46</v>
      </c>
      <c r="E6" s="22" t="n">
        <v>234.513</v>
      </c>
      <c r="F6" s="22" t="n">
        <v>497.209</v>
      </c>
      <c r="G6" s="22" t="n">
        <v>400.12</v>
      </c>
      <c r="H6" s="21" t="n">
        <v>213.76</v>
      </c>
      <c r="I6" s="22" t="n">
        <v>573.341</v>
      </c>
      <c r="J6" s="22" t="n">
        <v>215.119</v>
      </c>
      <c r="K6" s="22" t="n">
        <v>329.432</v>
      </c>
      <c r="L6" s="22" t="n">
        <v>234.513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1232.149</v>
      </c>
      <c r="D8" s="22" t="n">
        <v>457.513</v>
      </c>
      <c r="E8" s="22" t="n">
        <v>560.809</v>
      </c>
      <c r="F8" s="22" t="n">
        <v>958.075</v>
      </c>
      <c r="G8" s="22" t="n">
        <v>1472.689</v>
      </c>
      <c r="H8" s="21" t="n">
        <v>205.605</v>
      </c>
      <c r="I8" s="22" t="n">
        <v>424.289</v>
      </c>
      <c r="J8" s="22" t="n">
        <v>428.356</v>
      </c>
      <c r="K8" s="22" t="n">
        <v>357.33</v>
      </c>
      <c r="L8" s="22" t="n">
        <v>560.809</v>
      </c>
    </row>
    <row r="9">
      <c r="A9" s="20" t="inlineStr">
        <is>
          <t>재고자산</t>
        </is>
      </c>
      <c r="B9" s="10" t="n"/>
      <c r="C9" s="21" t="n">
        <v>501.045</v>
      </c>
      <c r="D9" s="22" t="n">
        <v>786.1559999999999</v>
      </c>
      <c r="E9" s="22" t="n">
        <v>948.5839999999999</v>
      </c>
      <c r="F9" s="22" t="n">
        <v>1102.214</v>
      </c>
      <c r="G9" s="22" t="n">
        <v>729.5700000000001</v>
      </c>
      <c r="H9" s="21" t="n">
        <v>487.993</v>
      </c>
      <c r="I9" s="22" t="n">
        <v>530.888</v>
      </c>
      <c r="J9" s="22" t="n">
        <v>565.908</v>
      </c>
      <c r="K9" s="22" t="n">
        <v>836.317</v>
      </c>
      <c r="L9" s="22" t="n">
        <v>948.5839999999999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1782.431</v>
      </c>
      <c r="D11" s="12" t="n">
        <v>2229.232</v>
      </c>
      <c r="E11" s="12" t="n">
        <v>2172.99</v>
      </c>
      <c r="F11" s="12" t="n">
        <v>2214.134</v>
      </c>
      <c r="G11" s="12" t="n">
        <v>2312.957</v>
      </c>
      <c r="H11" s="11" t="n">
        <v>1169.442</v>
      </c>
      <c r="I11" s="12" t="n">
        <v>1299.079</v>
      </c>
      <c r="J11" s="12" t="n">
        <v>1670.065</v>
      </c>
      <c r="K11" s="12" t="n">
        <v>1701.556</v>
      </c>
      <c r="L11" s="12" t="n">
        <v>2172.99</v>
      </c>
    </row>
    <row r="12">
      <c r="A12" s="20" t="inlineStr">
        <is>
          <t>유형자산</t>
        </is>
      </c>
      <c r="B12" s="10" t="n"/>
      <c r="C12" s="21" t="n">
        <v>1524.405</v>
      </c>
      <c r="D12" s="22" t="n">
        <v>1927.145</v>
      </c>
      <c r="E12" s="22" t="n">
        <v>1821.29</v>
      </c>
      <c r="F12" s="22" t="n">
        <v>1868.897</v>
      </c>
      <c r="G12" s="22" t="n">
        <v>1893.082</v>
      </c>
      <c r="H12" s="21" t="n">
        <v>1058.847</v>
      </c>
      <c r="I12" s="22" t="n">
        <v>1117.091</v>
      </c>
      <c r="J12" s="22" t="n">
        <v>1476.256</v>
      </c>
      <c r="K12" s="22" t="n">
        <v>1493.734</v>
      </c>
      <c r="L12" s="22" t="n">
        <v>1821.29</v>
      </c>
    </row>
    <row r="13">
      <c r="A13" s="20" t="inlineStr">
        <is>
          <t>무형자산</t>
        </is>
      </c>
      <c r="B13" s="10" t="n"/>
      <c r="C13" s="21" t="n">
        <v>13.971</v>
      </c>
      <c r="D13" s="22" t="n">
        <v>15.787</v>
      </c>
      <c r="E13" s="22" t="n">
        <v>14.426</v>
      </c>
      <c r="F13" s="22" t="n">
        <v>13.083</v>
      </c>
      <c r="G13" s="22" t="n">
        <v>12.384</v>
      </c>
      <c r="H13" s="21" t="n">
        <v>12.657</v>
      </c>
      <c r="I13" s="22" t="n">
        <v>15.285</v>
      </c>
      <c r="J13" s="22" t="n">
        <v>16.913</v>
      </c>
      <c r="K13" s="22" t="n">
        <v>15.915</v>
      </c>
      <c r="L13" s="22" t="n">
        <v>14.426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3858.315</v>
      </c>
      <c r="D16" s="12" t="n">
        <v>3800.158</v>
      </c>
      <c r="E16" s="12" t="n">
        <v>3989.282</v>
      </c>
      <c r="F16" s="12" t="n">
        <v>4837.245</v>
      </c>
      <c r="G16" s="12" t="n">
        <v>4966.438</v>
      </c>
      <c r="H16" s="11" t="n">
        <v>2091.42</v>
      </c>
      <c r="I16" s="12" t="n">
        <v>2879.111</v>
      </c>
      <c r="J16" s="12" t="n">
        <v>2920.191</v>
      </c>
      <c r="K16" s="12" t="n">
        <v>3289.066</v>
      </c>
      <c r="L16" s="12" t="n">
        <v>3989.282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1884.031</v>
      </c>
      <c r="D18" s="12" t="n">
        <v>1469.449</v>
      </c>
      <c r="E18" s="12" t="n">
        <v>1401.224</v>
      </c>
      <c r="F18" s="12" t="n">
        <v>2363.037</v>
      </c>
      <c r="G18" s="12" t="n">
        <v>2324.577</v>
      </c>
      <c r="H18" s="11" t="n">
        <v>687.526</v>
      </c>
      <c r="I18" s="12" t="n">
        <v>1045.571</v>
      </c>
      <c r="J18" s="12" t="n">
        <v>1345.978</v>
      </c>
      <c r="K18" s="12" t="n">
        <v>1492.246</v>
      </c>
      <c r="L18" s="12" t="n">
        <v>1401.224</v>
      </c>
    </row>
    <row r="19">
      <c r="A19" s="20" t="inlineStr">
        <is>
          <t>매입채무</t>
        </is>
      </c>
      <c r="B19" s="10" t="n"/>
      <c r="C19" s="21" t="n">
        <v>375.465</v>
      </c>
      <c r="D19" s="22" t="n">
        <v>409.293</v>
      </c>
      <c r="E19" s="22" t="n">
        <v>443.779</v>
      </c>
      <c r="F19" s="22" t="n">
        <v>496.985</v>
      </c>
      <c r="G19" s="22" t="n">
        <v>510.286</v>
      </c>
      <c r="H19" s="21" t="n">
        <v>195.902</v>
      </c>
      <c r="I19" s="22" t="n">
        <v>464.496</v>
      </c>
      <c r="J19" s="22" t="n">
        <v>381.235</v>
      </c>
      <c r="K19" s="22" t="n">
        <v>376.605</v>
      </c>
      <c r="L19" s="22" t="n">
        <v>443.779</v>
      </c>
    </row>
    <row r="20">
      <c r="A20" s="20" t="inlineStr">
        <is>
          <t>단기차입금</t>
        </is>
      </c>
      <c r="B20" s="10" t="n"/>
      <c r="C20" s="21" t="n">
        <v>1050</v>
      </c>
      <c r="D20" s="22" t="n">
        <v>550</v>
      </c>
      <c r="E20" s="22" t="n">
        <v>450</v>
      </c>
      <c r="F20" s="22" t="n">
        <v>1250</v>
      </c>
      <c r="G20" s="22" t="n">
        <v>1200</v>
      </c>
      <c r="H20" s="21" t="n">
        <v>340</v>
      </c>
      <c r="I20" s="22" t="n">
        <v>400</v>
      </c>
      <c r="J20" s="22" t="n">
        <v>735</v>
      </c>
      <c r="K20" s="22" t="n">
        <v>850</v>
      </c>
      <c r="L20" s="22" t="n">
        <v>450</v>
      </c>
    </row>
    <row r="21">
      <c r="A21" s="20" t="inlineStr">
        <is>
          <t>유동성장기부채</t>
        </is>
      </c>
      <c r="B21" s="10" t="n"/>
      <c r="C21" s="21" t="n">
        <v>20</v>
      </c>
      <c r="D21" s="22" t="n">
        <v>123.342</v>
      </c>
      <c r="E21" s="22" t="n">
        <v>120.008</v>
      </c>
      <c r="F21" s="22" t="n">
        <v>120.008</v>
      </c>
      <c r="G21" s="22" t="n">
        <v>120.008</v>
      </c>
      <c r="H21" s="21" t="n"/>
      <c r="I21" s="22" t="n"/>
      <c r="J21" s="22" t="n">
        <v>0</v>
      </c>
      <c r="K21" s="22" t="n">
        <v>20</v>
      </c>
      <c r="L21" s="22" t="n">
        <v>120.008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414.351</v>
      </c>
      <c r="D23" s="12" t="n">
        <v>802.9349999999999</v>
      </c>
      <c r="E23" s="12" t="n">
        <v>1087.425</v>
      </c>
      <c r="F23" s="12" t="n">
        <v>1039.625</v>
      </c>
      <c r="G23" s="12" t="n">
        <v>1032.308</v>
      </c>
      <c r="H23" s="11" t="n">
        <v>305.423</v>
      </c>
      <c r="I23" s="12" t="n">
        <v>331.475</v>
      </c>
      <c r="J23" s="12" t="n">
        <v>295.04</v>
      </c>
      <c r="K23" s="12" t="n">
        <v>401.743</v>
      </c>
      <c r="L23" s="12" t="n">
        <v>1087.425</v>
      </c>
    </row>
    <row r="24">
      <c r="A24" s="20" t="inlineStr">
        <is>
          <t>장기차입금</t>
        </is>
      </c>
      <c r="B24" s="10" t="n"/>
      <c r="C24" s="21" t="n"/>
      <c r="D24" s="22" t="n">
        <v>391.658</v>
      </c>
      <c r="E24" s="22" t="n">
        <v>369.99</v>
      </c>
      <c r="F24" s="22" t="n">
        <v>344.988</v>
      </c>
      <c r="G24" s="22" t="n">
        <v>316.652</v>
      </c>
      <c r="H24" s="21" t="n"/>
      <c r="I24" s="22" t="n"/>
      <c r="J24" s="22" t="n"/>
      <c r="K24" s="22" t="n">
        <v>0</v>
      </c>
      <c r="L24" s="22" t="n">
        <v>369.99</v>
      </c>
    </row>
    <row r="25">
      <c r="A25" s="20" t="inlineStr">
        <is>
          <t>사채</t>
        </is>
      </c>
      <c r="B25" s="10" t="n"/>
      <c r="C25" s="21" t="n">
        <v>70</v>
      </c>
      <c r="D25" s="22" t="n">
        <v>70</v>
      </c>
      <c r="E25" s="22" t="n">
        <v>60</v>
      </c>
      <c r="F25" s="22" t="n">
        <v>60</v>
      </c>
      <c r="G25" s="22" t="n">
        <v>50</v>
      </c>
      <c r="H25" s="21" t="n"/>
      <c r="I25" s="22" t="n"/>
      <c r="J25" s="22" t="n">
        <v>0</v>
      </c>
      <c r="K25" s="22" t="n">
        <v>80</v>
      </c>
      <c r="L25" s="22" t="n">
        <v>60</v>
      </c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2298.383</v>
      </c>
      <c r="D27" s="12" t="n">
        <v>2272.384</v>
      </c>
      <c r="E27" s="12" t="n">
        <v>2488.65</v>
      </c>
      <c r="F27" s="12" t="n">
        <v>3402.662</v>
      </c>
      <c r="G27" s="12" t="n">
        <v>3356.886</v>
      </c>
      <c r="H27" s="11" t="n">
        <v>992.949</v>
      </c>
      <c r="I27" s="12" t="n">
        <v>1377.047</v>
      </c>
      <c r="J27" s="12" t="n">
        <v>1641.019</v>
      </c>
      <c r="K27" s="12" t="n">
        <v>1893.99</v>
      </c>
      <c r="L27" s="12" t="n">
        <v>2488.65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1559.932</v>
      </c>
      <c r="D31" s="12" t="n">
        <v>1527.773</v>
      </c>
      <c r="E31" s="12" t="n">
        <v>1500.631</v>
      </c>
      <c r="F31" s="12" t="n">
        <v>1434.582</v>
      </c>
      <c r="G31" s="12" t="n">
        <v>1609.552</v>
      </c>
      <c r="H31" s="11" t="n">
        <v>1098.47</v>
      </c>
      <c r="I31" s="12" t="n">
        <v>1502.063</v>
      </c>
      <c r="J31" s="12" t="n">
        <v>1279.171</v>
      </c>
      <c r="K31" s="12" t="n">
        <v>1395.075</v>
      </c>
      <c r="L31" s="12" t="n">
        <v>1500.631</v>
      </c>
    </row>
    <row r="32">
      <c r="A32" s="20" t="inlineStr">
        <is>
          <t>자본금</t>
        </is>
      </c>
      <c r="B32" s="10" t="n"/>
      <c r="C32" s="21" t="n">
        <v>417.297</v>
      </c>
      <c r="D32" s="22" t="n">
        <v>417.297</v>
      </c>
      <c r="E32" s="22" t="n">
        <v>417.297</v>
      </c>
      <c r="F32" s="22" t="n">
        <v>417.297</v>
      </c>
      <c r="G32" s="22" t="n">
        <v>417.297</v>
      </c>
      <c r="H32" s="21" t="n">
        <v>216.04</v>
      </c>
      <c r="I32" s="22" t="n">
        <v>415.728</v>
      </c>
      <c r="J32" s="22" t="n">
        <v>417.297</v>
      </c>
      <c r="K32" s="22" t="n">
        <v>417.297</v>
      </c>
      <c r="L32" s="22" t="n">
        <v>417.297</v>
      </c>
    </row>
    <row r="33">
      <c r="A33" s="20" t="inlineStr">
        <is>
          <t>이익잉여금</t>
        </is>
      </c>
      <c r="B33" s="10" t="n"/>
      <c r="C33" s="21" t="n">
        <v>1128.887</v>
      </c>
      <c r="D33" s="22" t="n">
        <v>1071.205</v>
      </c>
      <c r="E33" s="22" t="n">
        <v>1007.217</v>
      </c>
      <c r="F33" s="22" t="n">
        <v>943.064</v>
      </c>
      <c r="G33" s="22" t="n">
        <v>1062.337</v>
      </c>
      <c r="H33" s="21" t="n">
        <v>891.849</v>
      </c>
      <c r="I33" s="22" t="n">
        <v>889.442</v>
      </c>
      <c r="J33" s="22" t="n">
        <v>925.039</v>
      </c>
      <c r="K33" s="22" t="n">
        <v>1020.847</v>
      </c>
      <c r="L33" s="22" t="n">
        <v>1007.217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1559.932</v>
      </c>
      <c r="D35" s="12" t="n">
        <v>1527.773</v>
      </c>
      <c r="E35" s="12" t="n">
        <v>1500.631</v>
      </c>
      <c r="F35" s="12" t="n">
        <v>1434.582</v>
      </c>
      <c r="G35" s="12" t="n">
        <v>1609.552</v>
      </c>
      <c r="H35" s="11" t="n">
        <v>1098.47</v>
      </c>
      <c r="I35" s="12" t="n">
        <v>1502.063</v>
      </c>
      <c r="J35" s="12" t="n">
        <v>1279.171</v>
      </c>
      <c r="K35" s="12" t="n">
        <v>1395.075</v>
      </c>
      <c r="L35" s="12" t="n">
        <v>1500.631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193.788</v>
      </c>
      <c r="D37" s="12" t="n"/>
      <c r="E37" s="12" t="n">
        <v>44.843</v>
      </c>
      <c r="F37" s="12" t="n"/>
      <c r="G37" s="12" t="n">
        <v>-110.282</v>
      </c>
      <c r="H37" s="11" t="n">
        <v>253.02</v>
      </c>
      <c r="I37" s="12" t="n">
        <v>210.002</v>
      </c>
      <c r="J37" s="12" t="n">
        <v>169.462</v>
      </c>
      <c r="K37" s="12" t="n">
        <v>34.687</v>
      </c>
      <c r="L37" s="12" t="n">
        <v>44.843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143.618</v>
      </c>
      <c r="D38" s="22" t="n"/>
      <c r="E38" s="22" t="n">
        <v>571.901</v>
      </c>
      <c r="F38" s="22" t="n"/>
      <c r="G38" s="22" t="n">
        <v>688.851</v>
      </c>
      <c r="H38" s="21" t="n">
        <v>92.241</v>
      </c>
      <c r="I38" s="22" t="n">
        <v>172.495</v>
      </c>
      <c r="J38" s="22" t="n">
        <v>532.361</v>
      </c>
      <c r="K38" s="22" t="n">
        <v>81.23</v>
      </c>
      <c r="L38" s="22" t="n">
        <v>571.901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24.751</v>
      </c>
      <c r="D40" s="22" t="n"/>
      <c r="E40" s="22" t="n">
        <v>24.705</v>
      </c>
      <c r="F40" s="22" t="n"/>
      <c r="G40" s="22" t="n">
        <v>24.777</v>
      </c>
      <c r="H40" s="21" t="n">
        <v>16.467</v>
      </c>
      <c r="I40" s="22" t="n">
        <v>20.392</v>
      </c>
      <c r="J40" s="22" t="n">
        <v>25.844</v>
      </c>
      <c r="K40" s="22" t="n">
        <v>23.37</v>
      </c>
      <c r="L40" s="22" t="n">
        <v>24.705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302.54</v>
      </c>
      <c r="D71" s="22" t="n">
        <v>281.46</v>
      </c>
      <c r="E71" s="22" t="n">
        <v>234.513</v>
      </c>
      <c r="F71" s="22" t="n">
        <v>497.209</v>
      </c>
      <c r="G71" s="22" t="n">
        <v>400.12</v>
      </c>
      <c r="H71" s="22" t="n">
        <v>213.76</v>
      </c>
      <c r="I71" s="22" t="n">
        <v>573.341</v>
      </c>
      <c r="J71" s="22" t="n">
        <v>215.119</v>
      </c>
      <c r="K71" s="22" t="n">
        <v>329.432</v>
      </c>
      <c r="L71" s="22" t="n">
        <v>234.513</v>
      </c>
    </row>
    <row r="72">
      <c r="A72" s="20" t="inlineStr">
        <is>
          <t>매출채권</t>
        </is>
      </c>
      <c r="C72" s="22" t="n">
        <v>1232.149</v>
      </c>
      <c r="D72" s="22" t="n">
        <v>457.513</v>
      </c>
      <c r="E72" s="22" t="n">
        <v>560.809</v>
      </c>
      <c r="F72" s="22" t="n">
        <v>958.075</v>
      </c>
      <c r="G72" s="22" t="n">
        <v>1472.689</v>
      </c>
      <c r="H72" s="22" t="n">
        <v>205.605</v>
      </c>
      <c r="I72" s="22" t="n">
        <v>424.289</v>
      </c>
      <c r="J72" s="22" t="n">
        <v>428.356</v>
      </c>
      <c r="K72" s="22" t="n">
        <v>357.33</v>
      </c>
      <c r="L72" s="22" t="n">
        <v>560.809</v>
      </c>
    </row>
    <row r="73">
      <c r="A73" s="20" t="inlineStr">
        <is>
          <t>상품·제품</t>
        </is>
      </c>
      <c r="C73" s="22" t="n">
        <v>370.526</v>
      </c>
      <c r="D73" s="22" t="n">
        <v>643.346</v>
      </c>
      <c r="E73" s="22" t="n">
        <v>786.7140000000001</v>
      </c>
      <c r="F73" s="22" t="n">
        <v>917.3390000000001</v>
      </c>
      <c r="G73" s="22" t="n">
        <v>508.674</v>
      </c>
      <c r="H73" s="22" t="n">
        <v>394.799</v>
      </c>
      <c r="I73" s="22" t="n">
        <v>420.12</v>
      </c>
      <c r="J73" s="22" t="n">
        <v>455.484</v>
      </c>
      <c r="K73" s="22" t="n">
        <v>705.476</v>
      </c>
      <c r="L73" s="22" t="n">
        <v>786.7140000000001</v>
      </c>
    </row>
    <row r="74">
      <c r="A74" s="20" t="inlineStr">
        <is>
          <t>재공품</t>
        </is>
      </c>
      <c r="C74" s="22" t="n">
        <v>7.67</v>
      </c>
      <c r="D74" s="22" t="n">
        <v>3.36</v>
      </c>
      <c r="E74" s="22" t="n">
        <v>2.538</v>
      </c>
      <c r="F74" s="22" t="n">
        <v>1.37</v>
      </c>
      <c r="G74" s="22" t="n">
        <v>5.244</v>
      </c>
      <c r="H74" s="22" t="n">
        <v>0.853</v>
      </c>
      <c r="I74" s="22" t="n">
        <v>4.671</v>
      </c>
      <c r="J74" s="22" t="n">
        <v>2.203</v>
      </c>
      <c r="K74" s="22" t="n">
        <v>3.711</v>
      </c>
      <c r="L74" s="22" t="n">
        <v>2.538</v>
      </c>
    </row>
    <row r="75">
      <c r="A75" s="20" t="inlineStr">
        <is>
          <t>원재료·저장품</t>
        </is>
      </c>
      <c r="C75" s="22" t="n">
        <v>122.849</v>
      </c>
      <c r="D75" s="22" t="n">
        <v>139.45</v>
      </c>
      <c r="E75" s="22" t="n">
        <v>159.332</v>
      </c>
      <c r="F75" s="22" t="n">
        <v>183.505</v>
      </c>
      <c r="G75" s="22" t="n">
        <v>215.652</v>
      </c>
      <c r="H75" s="22" t="n">
        <v>92.34099999999999</v>
      </c>
      <c r="I75" s="22" t="n">
        <v>106.097</v>
      </c>
      <c r="J75" s="22" t="n">
        <v>108.221</v>
      </c>
      <c r="K75" s="22" t="n">
        <v>127.13</v>
      </c>
      <c r="L75" s="22" t="n">
        <v>159.332</v>
      </c>
    </row>
    <row r="76">
      <c r="A76" s="20" t="inlineStr">
        <is>
          <t>미수 소비세</t>
        </is>
      </c>
      <c r="C76" s="22" t="n">
        <v>0</v>
      </c>
      <c r="D76" s="22" t="n">
        <v>0</v>
      </c>
      <c r="E76" s="22" t="n">
        <v>0</v>
      </c>
      <c r="F76" s="22" t="n">
        <v>13.274</v>
      </c>
      <c r="H76" s="22" t="n">
        <v>8.989000000000001</v>
      </c>
      <c r="I76" s="22" t="n">
        <v>12.291</v>
      </c>
      <c r="J76" s="22" t="n">
        <v>0</v>
      </c>
      <c r="K76" s="22" t="n">
        <v>23.427</v>
      </c>
      <c r="L76" s="22" t="n">
        <v>0</v>
      </c>
    </row>
    <row r="77">
      <c r="A77" s="20" t="inlineStr">
        <is>
          <t>선급비용</t>
        </is>
      </c>
      <c r="E77" s="22" t="n">
        <v>21.662</v>
      </c>
      <c r="H77" s="22" t="n">
        <v>4.011</v>
      </c>
      <c r="I77" s="22" t="n">
        <v>16.631</v>
      </c>
      <c r="J77" s="22" t="n">
        <v>12.244</v>
      </c>
      <c r="K77" s="22" t="n">
        <v>13.798</v>
      </c>
      <c r="L77" s="22" t="n">
        <v>21.662</v>
      </c>
    </row>
    <row r="78">
      <c r="A78" s="20" t="inlineStr">
        <is>
          <t>기타</t>
        </is>
      </c>
      <c r="C78" s="22" t="n">
        <v>52.267</v>
      </c>
      <c r="D78" s="22" t="n">
        <v>50.302</v>
      </c>
      <c r="E78" s="22" t="n">
        <v>78.238</v>
      </c>
      <c r="F78" s="22" t="n">
        <v>61.751</v>
      </c>
      <c r="G78" s="22" t="n">
        <v>65.604</v>
      </c>
      <c r="H78" s="22" t="n">
        <v>3.639</v>
      </c>
      <c r="I78" s="22" t="n">
        <v>26.758</v>
      </c>
      <c r="J78" s="22" t="n">
        <v>32.71</v>
      </c>
      <c r="K78" s="22" t="n">
        <v>30.739</v>
      </c>
      <c r="L78" s="22" t="n">
        <v>78.238</v>
      </c>
    </row>
    <row r="79">
      <c r="A79" s="20" t="inlineStr">
        <is>
          <t>대손충당금</t>
        </is>
      </c>
      <c r="C79" s="22" t="n">
        <v>-12.12</v>
      </c>
      <c r="D79" s="22" t="n">
        <v>-4.509</v>
      </c>
      <c r="E79" s="22" t="n">
        <v>-5.856</v>
      </c>
      <c r="F79" s="22" t="n">
        <v>-9.416</v>
      </c>
      <c r="G79" s="22" t="n">
        <v>-14.504</v>
      </c>
      <c r="H79" s="22" t="n">
        <v>-2.022</v>
      </c>
      <c r="I79" s="22" t="n">
        <v>-4.169</v>
      </c>
      <c r="J79" s="22" t="n">
        <v>-4.215</v>
      </c>
      <c r="K79" s="22" t="n">
        <v>-3.536</v>
      </c>
      <c r="L79" s="22" t="n">
        <v>-5.856</v>
      </c>
    </row>
    <row r="80">
      <c r="A80" s="9" t="inlineStr">
        <is>
          <t>유동자산 합계</t>
        </is>
      </c>
      <c r="C80" s="12" t="n">
        <v>2075.883</v>
      </c>
      <c r="D80" s="12" t="n">
        <v>1570.925</v>
      </c>
      <c r="E80" s="12" t="n">
        <v>1816.291</v>
      </c>
      <c r="F80" s="12" t="n">
        <v>2623.11</v>
      </c>
      <c r="G80" s="12" t="n">
        <v>2653.481</v>
      </c>
      <c r="H80" s="12" t="n">
        <v>921.978</v>
      </c>
      <c r="I80" s="12" t="n">
        <v>1580.032</v>
      </c>
      <c r="J80" s="12" t="n">
        <v>1250.126</v>
      </c>
      <c r="K80" s="12" t="n">
        <v>1587.51</v>
      </c>
      <c r="L80" s="12" t="n">
        <v>1816.291</v>
      </c>
    </row>
    <row r="81">
      <c r="A81" s="20" t="inlineStr">
        <is>
          <t>건물</t>
        </is>
      </c>
      <c r="E81" s="22" t="n">
        <v>2344.882</v>
      </c>
      <c r="H81" s="22" t="n">
        <v>2056.397</v>
      </c>
      <c r="I81" s="22" t="n">
        <v>2070.604</v>
      </c>
      <c r="J81" s="22" t="n">
        <v>2075.999</v>
      </c>
      <c r="K81" s="22" t="n">
        <v>2083.763</v>
      </c>
      <c r="L81" s="22" t="n">
        <v>2344.882</v>
      </c>
    </row>
    <row r="82">
      <c r="A82" s="20" t="inlineStr">
        <is>
          <t>감가상각누계액</t>
        </is>
      </c>
      <c r="E82" s="22" t="n">
        <v>-1838.09</v>
      </c>
      <c r="H82" s="22" t="n">
        <v>-1685.972</v>
      </c>
      <c r="I82" s="22" t="n">
        <v>-1729.179</v>
      </c>
      <c r="J82" s="22" t="n">
        <v>-1771.411</v>
      </c>
      <c r="K82" s="22" t="n">
        <v>-1807.671</v>
      </c>
      <c r="L82" s="22" t="n">
        <v>-1838.09</v>
      </c>
    </row>
    <row r="83">
      <c r="A83" s="20" t="inlineStr">
        <is>
          <t>건물(순액)</t>
        </is>
      </c>
      <c r="C83" s="22" t="n">
        <v>277.699</v>
      </c>
      <c r="D83" s="22" t="n">
        <v>287.543</v>
      </c>
      <c r="E83" s="22" t="n">
        <v>506.791</v>
      </c>
      <c r="F83" s="22" t="n">
        <v>524.676</v>
      </c>
      <c r="G83" s="22" t="n">
        <v>534.2329999999999</v>
      </c>
      <c r="H83" s="22" t="n">
        <v>370.424</v>
      </c>
      <c r="I83" s="22" t="n">
        <v>341.424</v>
      </c>
      <c r="J83" s="22" t="n">
        <v>304.587</v>
      </c>
      <c r="K83" s="22" t="n">
        <v>276.092</v>
      </c>
      <c r="L83" s="22" t="n">
        <v>506.791</v>
      </c>
    </row>
    <row r="84">
      <c r="A84" s="20" t="inlineStr">
        <is>
          <t>구축물</t>
        </is>
      </c>
      <c r="E84" s="22" t="n">
        <v>208.077</v>
      </c>
      <c r="H84" s="22" t="n">
        <v>188.346</v>
      </c>
      <c r="I84" s="22" t="n">
        <v>191.15</v>
      </c>
      <c r="J84" s="22" t="n">
        <v>206.05</v>
      </c>
      <c r="K84" s="22" t="n">
        <v>206.351</v>
      </c>
      <c r="L84" s="22" t="n">
        <v>208.077</v>
      </c>
    </row>
    <row r="85">
      <c r="A85" s="20" t="inlineStr">
        <is>
          <t>감가상각누계액</t>
        </is>
      </c>
      <c r="E85" s="22" t="n">
        <v>-143.159</v>
      </c>
      <c r="H85" s="22" t="n">
        <v>-122.087</v>
      </c>
      <c r="I85" s="22" t="n">
        <v>-126.859</v>
      </c>
      <c r="J85" s="22" t="n">
        <v>-132.481</v>
      </c>
      <c r="K85" s="22" t="n">
        <v>-137.625</v>
      </c>
      <c r="L85" s="22" t="n">
        <v>-143.159</v>
      </c>
    </row>
    <row r="86">
      <c r="A86" s="20" t="inlineStr">
        <is>
          <t>구축물(순액)</t>
        </is>
      </c>
      <c r="E86" s="22" t="n">
        <v>64.917</v>
      </c>
      <c r="H86" s="22" t="n">
        <v>66.259</v>
      </c>
      <c r="I86" s="22" t="n">
        <v>64.29000000000001</v>
      </c>
      <c r="J86" s="22" t="n">
        <v>73.569</v>
      </c>
      <c r="K86" s="22" t="n">
        <v>68.72499999999999</v>
      </c>
      <c r="L86" s="22" t="n">
        <v>64.917</v>
      </c>
    </row>
    <row r="87">
      <c r="A87" s="20" t="inlineStr">
        <is>
          <t>기계장치</t>
        </is>
      </c>
      <c r="E87" s="22" t="n">
        <v>1557.967</v>
      </c>
      <c r="H87" s="22" t="n">
        <v>1238.933</v>
      </c>
      <c r="I87" s="22" t="n">
        <v>1343.781</v>
      </c>
      <c r="J87" s="22" t="n">
        <v>1398.977</v>
      </c>
      <c r="K87" s="22" t="n">
        <v>1430.913</v>
      </c>
      <c r="L87" s="22" t="n">
        <v>1557.967</v>
      </c>
    </row>
    <row r="88">
      <c r="A88" s="20" t="inlineStr">
        <is>
          <t>감가상각누계액</t>
        </is>
      </c>
      <c r="E88" s="22" t="n">
        <v>-1185.805</v>
      </c>
      <c r="H88" s="22" t="n">
        <v>-1074.368</v>
      </c>
      <c r="I88" s="22" t="n">
        <v>-1065.07</v>
      </c>
      <c r="J88" s="22" t="n">
        <v>-1131.248</v>
      </c>
      <c r="K88" s="22" t="n">
        <v>-1157.373</v>
      </c>
      <c r="L88" s="22" t="n">
        <v>-1185.805</v>
      </c>
    </row>
    <row r="89">
      <c r="A89" s="20" t="inlineStr">
        <is>
          <t>기계장치(순액)</t>
        </is>
      </c>
      <c r="C89" s="22" t="n">
        <v>301.694</v>
      </c>
      <c r="D89" s="22" t="n">
        <v>311.106</v>
      </c>
      <c r="E89" s="22" t="n">
        <v>372.161</v>
      </c>
      <c r="F89" s="22" t="n">
        <v>386.013</v>
      </c>
      <c r="G89" s="22" t="n">
        <v>404.965</v>
      </c>
      <c r="H89" s="22" t="n">
        <v>164.564</v>
      </c>
      <c r="I89" s="22" t="n">
        <v>278.71</v>
      </c>
      <c r="J89" s="22" t="n">
        <v>267.728</v>
      </c>
      <c r="K89" s="22" t="n">
        <v>273.539</v>
      </c>
      <c r="L89" s="22" t="n">
        <v>372.161</v>
      </c>
    </row>
    <row r="90">
      <c r="A90" s="20" t="inlineStr">
        <is>
          <t>차량운반구</t>
        </is>
      </c>
      <c r="E90" s="22" t="n">
        <v>11.371</v>
      </c>
      <c r="H90" s="22" t="n">
        <v>12.233</v>
      </c>
      <c r="I90" s="22" t="n">
        <v>9.698</v>
      </c>
      <c r="J90" s="22" t="n">
        <v>9.698</v>
      </c>
      <c r="K90" s="22" t="n">
        <v>10.473</v>
      </c>
      <c r="L90" s="22" t="n">
        <v>11.371</v>
      </c>
    </row>
    <row r="91">
      <c r="A91" s="20" t="inlineStr">
        <is>
          <t>감가상각누계액</t>
        </is>
      </c>
      <c r="E91" s="22" t="n">
        <v>-8.298999999999999</v>
      </c>
      <c r="H91" s="22" t="n">
        <v>-11.074</v>
      </c>
      <c r="I91" s="22" t="n">
        <v>-9.177</v>
      </c>
      <c r="J91" s="22" t="n">
        <v>-9.698</v>
      </c>
      <c r="K91" s="22" t="n">
        <v>-9.265000000000001</v>
      </c>
      <c r="L91" s="22" t="n">
        <v>-8.298999999999999</v>
      </c>
    </row>
    <row r="92">
      <c r="A92" s="20" t="inlineStr">
        <is>
          <t>차량운반구(순액)</t>
        </is>
      </c>
      <c r="E92" s="22" t="n">
        <v>3.071</v>
      </c>
      <c r="H92" s="22" t="n">
        <v>1.158</v>
      </c>
      <c r="I92" s="22" t="n">
        <v>0.521</v>
      </c>
      <c r="J92" s="22" t="n">
        <v>0</v>
      </c>
      <c r="K92" s="22" t="n">
        <v>1.208</v>
      </c>
      <c r="L92" s="22" t="n">
        <v>3.071</v>
      </c>
    </row>
    <row r="93">
      <c r="A93" s="20" t="inlineStr">
        <is>
          <t>공구·기구·비품</t>
        </is>
      </c>
      <c r="E93" s="22" t="n">
        <v>66.958</v>
      </c>
      <c r="H93" s="22" t="n">
        <v>72.729</v>
      </c>
      <c r="I93" s="22" t="n">
        <v>63.381</v>
      </c>
      <c r="J93" s="22" t="n">
        <v>64.68300000000001</v>
      </c>
      <c r="K93" s="22" t="n">
        <v>55.323</v>
      </c>
      <c r="L93" s="22" t="n">
        <v>66.958</v>
      </c>
    </row>
    <row r="94">
      <c r="A94" s="20" t="inlineStr">
        <is>
          <t>감가상각누계액</t>
        </is>
      </c>
      <c r="E94" s="22" t="n">
        <v>-45.478</v>
      </c>
      <c r="H94" s="22" t="n">
        <v>-64.33799999999999</v>
      </c>
      <c r="I94" s="22" t="n">
        <v>-56.501</v>
      </c>
      <c r="J94" s="22" t="n">
        <v>-58.098</v>
      </c>
      <c r="K94" s="22" t="n">
        <v>-48.3</v>
      </c>
      <c r="L94" s="22" t="n">
        <v>-45.478</v>
      </c>
    </row>
    <row r="95">
      <c r="A95" s="20" t="inlineStr">
        <is>
          <t>공구·기구·비품(순액)</t>
        </is>
      </c>
      <c r="E95" s="22" t="n">
        <v>21.48</v>
      </c>
      <c r="H95" s="22" t="n">
        <v>8.390000000000001</v>
      </c>
      <c r="I95" s="22" t="n">
        <v>6.88</v>
      </c>
      <c r="J95" s="22" t="n">
        <v>6.584</v>
      </c>
      <c r="K95" s="22" t="n">
        <v>7.022</v>
      </c>
      <c r="L95" s="22" t="n">
        <v>21.48</v>
      </c>
    </row>
    <row r="96">
      <c r="A96" s="20" t="inlineStr">
        <is>
          <t>토지</t>
        </is>
      </c>
      <c r="C96" s="22" t="n">
        <v>653.3</v>
      </c>
      <c r="D96" s="22" t="n">
        <v>998.211</v>
      </c>
      <c r="E96" s="22" t="n">
        <v>569.703</v>
      </c>
      <c r="F96" s="22" t="n">
        <v>573.833</v>
      </c>
      <c r="G96" s="22" t="n">
        <v>584.399</v>
      </c>
      <c r="H96" s="22" t="n">
        <v>224.792</v>
      </c>
      <c r="I96" s="22" t="n">
        <v>224.792</v>
      </c>
      <c r="J96" s="22" t="n">
        <v>652.066</v>
      </c>
      <c r="K96" s="22" t="n">
        <v>653.3</v>
      </c>
      <c r="L96" s="22" t="n">
        <v>569.703</v>
      </c>
    </row>
    <row r="97">
      <c r="A97" s="20" t="inlineStr">
        <is>
          <t>리스자산</t>
        </is>
      </c>
      <c r="E97" s="22" t="n">
        <v>393.742</v>
      </c>
      <c r="H97" s="22" t="n">
        <v>239.122</v>
      </c>
      <c r="I97" s="22" t="n">
        <v>275.18</v>
      </c>
      <c r="J97" s="22" t="n">
        <v>280.277</v>
      </c>
      <c r="K97" s="22" t="n">
        <v>351.195</v>
      </c>
      <c r="L97" s="22" t="n">
        <v>393.742</v>
      </c>
    </row>
    <row r="98">
      <c r="A98" s="20" t="inlineStr">
        <is>
          <t>감가상각누계액</t>
        </is>
      </c>
      <c r="E98" s="22" t="n">
        <v>-151.717</v>
      </c>
      <c r="H98" s="22" t="n">
        <v>-46.049</v>
      </c>
      <c r="I98" s="22" t="n">
        <v>-74.709</v>
      </c>
      <c r="J98" s="22" t="n">
        <v>-108.557</v>
      </c>
      <c r="K98" s="22" t="n">
        <v>-138.285</v>
      </c>
      <c r="L98" s="22" t="n">
        <v>-151.717</v>
      </c>
    </row>
    <row r="99">
      <c r="A99" s="20" t="inlineStr">
        <is>
          <t>리스자산(순액)</t>
        </is>
      </c>
      <c r="C99" s="22" t="n">
        <v>206.738</v>
      </c>
      <c r="D99" s="22" t="n">
        <v>197.198</v>
      </c>
      <c r="E99" s="22" t="n">
        <v>242.024</v>
      </c>
      <c r="F99" s="22" t="n">
        <v>232.254</v>
      </c>
      <c r="G99" s="22" t="n">
        <v>229.188</v>
      </c>
      <c r="H99" s="22" t="n">
        <v>193.072</v>
      </c>
      <c r="I99" s="22" t="n">
        <v>200.47</v>
      </c>
      <c r="J99" s="22" t="n">
        <v>171.719</v>
      </c>
      <c r="K99" s="22" t="n">
        <v>212.91</v>
      </c>
      <c r="L99" s="22" t="n">
        <v>242.024</v>
      </c>
    </row>
    <row r="100">
      <c r="A100" s="20" t="inlineStr">
        <is>
          <t>건설중인자산</t>
        </is>
      </c>
      <c r="C100" s="22" t="n">
        <v>0</v>
      </c>
      <c r="D100" s="22" t="n">
        <v>41.14</v>
      </c>
      <c r="E100" s="22" t="n">
        <v>41.14</v>
      </c>
      <c r="F100" s="22" t="n">
        <v>59.76</v>
      </c>
      <c r="G100" s="22" t="n">
        <v>41.14</v>
      </c>
      <c r="H100" s="22" t="n">
        <v>30.184</v>
      </c>
      <c r="I100" s="22" t="n">
        <v>0</v>
      </c>
      <c r="J100" s="22" t="n">
        <v>0</v>
      </c>
      <c r="K100" s="22" t="n">
        <v>0.9350000000000001</v>
      </c>
      <c r="L100" s="22" t="n">
        <v>41.14</v>
      </c>
    </row>
    <row r="101">
      <c r="A101" s="20" t="inlineStr">
        <is>
          <t>기타(순액)</t>
        </is>
      </c>
      <c r="C101" s="22" t="n">
        <v>84.973</v>
      </c>
      <c r="D101" s="22" t="n">
        <v>91.94499999999999</v>
      </c>
      <c r="E101" s="22" t="n">
        <v>89.46899999999999</v>
      </c>
      <c r="F101" s="22" t="n">
        <v>92.358</v>
      </c>
      <c r="G101" s="22" t="n">
        <v>99.15600000000001</v>
      </c>
      <c r="H101" s="22" t="n">
        <v>75.80800000000001</v>
      </c>
      <c r="I101" s="22" t="n">
        <v>71.69199999999999</v>
      </c>
      <c r="J101" s="22" t="n">
        <v>80.154</v>
      </c>
      <c r="K101" s="22" t="n">
        <v>76.956</v>
      </c>
      <c r="L101" s="22" t="n">
        <v>89.46899999999999</v>
      </c>
    </row>
    <row r="102">
      <c r="A102" s="20" t="inlineStr">
        <is>
          <t>유형자산 합계</t>
        </is>
      </c>
      <c r="C102" s="22" t="n">
        <v>1524.405</v>
      </c>
      <c r="D102" s="22" t="n">
        <v>1927.145</v>
      </c>
      <c r="E102" s="22" t="n">
        <v>1821.29</v>
      </c>
      <c r="F102" s="22" t="n">
        <v>1868.897</v>
      </c>
      <c r="G102" s="22" t="n">
        <v>1893.082</v>
      </c>
      <c r="H102" s="22" t="n">
        <v>1058.847</v>
      </c>
      <c r="I102" s="22" t="n">
        <v>1117.091</v>
      </c>
      <c r="J102" s="22" t="n">
        <v>1476.256</v>
      </c>
      <c r="K102" s="22" t="n">
        <v>1493.734</v>
      </c>
      <c r="L102" s="22" t="n">
        <v>1821.29</v>
      </c>
    </row>
    <row r="103">
      <c r="A103" s="20" t="inlineStr">
        <is>
          <t>소프트웨어</t>
        </is>
      </c>
      <c r="E103" s="22" t="n">
        <v>13.064</v>
      </c>
      <c r="H103" s="22" t="n">
        <v>6.74</v>
      </c>
      <c r="I103" s="22" t="n">
        <v>11.421</v>
      </c>
      <c r="J103" s="22" t="n">
        <v>14.507</v>
      </c>
      <c r="K103" s="22" t="n">
        <v>14.136</v>
      </c>
      <c r="L103" s="22" t="n">
        <v>13.064</v>
      </c>
    </row>
    <row r="104">
      <c r="A104" s="20" t="inlineStr">
        <is>
          <t>리스자산</t>
        </is>
      </c>
      <c r="C104" s="22" t="n">
        <v>0.104</v>
      </c>
      <c r="D104" s="22" t="n">
        <v>0</v>
      </c>
      <c r="E104" s="22" t="n">
        <v>0</v>
      </c>
      <c r="H104" s="22" t="n">
        <v>4.555</v>
      </c>
      <c r="I104" s="22" t="n">
        <v>2.502</v>
      </c>
      <c r="J104" s="22" t="n">
        <v>1.044</v>
      </c>
      <c r="K104" s="22" t="n">
        <v>0.417</v>
      </c>
      <c r="L104" s="22" t="n">
        <v>0</v>
      </c>
    </row>
    <row r="105">
      <c r="A105" s="20" t="inlineStr">
        <is>
          <t>전화가입권</t>
        </is>
      </c>
      <c r="E105" s="22" t="n">
        <v>1.361</v>
      </c>
      <c r="H105" s="22" t="n">
        <v>1.361</v>
      </c>
      <c r="I105" s="22" t="n">
        <v>1.361</v>
      </c>
      <c r="J105" s="22" t="n">
        <v>1.361</v>
      </c>
      <c r="K105" s="22" t="n">
        <v>1.361</v>
      </c>
      <c r="L105" s="22" t="n">
        <v>1.361</v>
      </c>
    </row>
    <row r="106">
      <c r="A106" s="20" t="inlineStr">
        <is>
          <t>기타</t>
        </is>
      </c>
      <c r="C106" s="22" t="n">
        <v>13.866</v>
      </c>
      <c r="D106" s="22" t="n">
        <v>15.787</v>
      </c>
      <c r="E106" s="22" t="n">
        <v>14.426</v>
      </c>
      <c r="F106" s="22" t="n">
        <v>13.083</v>
      </c>
      <c r="G106" s="22" t="n">
        <v>12.384</v>
      </c>
      <c r="H106" s="22" t="n">
        <v>8.101000000000001</v>
      </c>
      <c r="I106" s="22" t="n">
        <v>12.783</v>
      </c>
      <c r="J106" s="22" t="n">
        <v>15.869</v>
      </c>
      <c r="K106" s="22" t="n">
        <v>15.498</v>
      </c>
      <c r="L106" s="22" t="n">
        <v>14.426</v>
      </c>
    </row>
    <row r="107">
      <c r="A107" s="20" t="inlineStr">
        <is>
          <t>무형자산 합계</t>
        </is>
      </c>
      <c r="C107" s="22" t="n">
        <v>13.971</v>
      </c>
      <c r="D107" s="22" t="n">
        <v>15.787</v>
      </c>
      <c r="E107" s="22" t="n">
        <v>14.426</v>
      </c>
      <c r="F107" s="22" t="n">
        <v>13.083</v>
      </c>
      <c r="G107" s="22" t="n">
        <v>12.384</v>
      </c>
      <c r="H107" s="22" t="n">
        <v>12.657</v>
      </c>
      <c r="I107" s="22" t="n">
        <v>15.285</v>
      </c>
      <c r="J107" s="22" t="n">
        <v>16.913</v>
      </c>
      <c r="K107" s="22" t="n">
        <v>15.915</v>
      </c>
      <c r="L107" s="22" t="n">
        <v>14.426</v>
      </c>
    </row>
    <row r="108">
      <c r="A108" s="20" t="inlineStr">
        <is>
          <t>투자유가증권</t>
        </is>
      </c>
      <c r="C108" s="22" t="n">
        <v>168.752</v>
      </c>
      <c r="D108" s="22" t="n">
        <v>205.936</v>
      </c>
      <c r="E108" s="22" t="n">
        <v>259.615</v>
      </c>
      <c r="F108" s="22" t="n">
        <v>256.944</v>
      </c>
      <c r="G108" s="22" t="n">
        <v>330.974</v>
      </c>
      <c r="H108" s="22" t="n">
        <v>56.413</v>
      </c>
      <c r="I108" s="22" t="n">
        <v>68.90000000000001</v>
      </c>
      <c r="J108" s="22" t="n">
        <v>91.372</v>
      </c>
      <c r="K108" s="22" t="n">
        <v>115.667</v>
      </c>
      <c r="L108" s="22" t="n">
        <v>259.615</v>
      </c>
    </row>
    <row r="109">
      <c r="A109" s="20" t="inlineStr">
        <is>
          <t>출자금</t>
        </is>
      </c>
      <c r="E109" s="22" t="n">
        <v>1.068</v>
      </c>
      <c r="H109" s="22" t="n">
        <v>1.068</v>
      </c>
      <c r="I109" s="22" t="n">
        <v>1.068</v>
      </c>
      <c r="J109" s="22" t="n">
        <v>1.068</v>
      </c>
      <c r="K109" s="22" t="n">
        <v>1.068</v>
      </c>
      <c r="L109" s="22" t="n">
        <v>1.068</v>
      </c>
    </row>
    <row r="110">
      <c r="A110" s="20" t="inlineStr">
        <is>
          <t>파산갱생채권 등</t>
        </is>
      </c>
      <c r="E110" s="22" t="n">
        <v>0</v>
      </c>
      <c r="H110" s="22" t="n">
        <v>6.682</v>
      </c>
      <c r="I110" s="22" t="n">
        <v>7.029</v>
      </c>
      <c r="J110" s="22" t="n">
        <v>6.688</v>
      </c>
      <c r="K110" s="22" t="n">
        <v>0.201</v>
      </c>
      <c r="L110" s="22" t="n">
        <v>0</v>
      </c>
    </row>
    <row r="111">
      <c r="A111" s="20" t="inlineStr">
        <is>
          <t>장기선급비용</t>
        </is>
      </c>
      <c r="E111" s="22" t="n">
        <v>37.77</v>
      </c>
      <c r="H111" s="22" t="n">
        <v>1.686</v>
      </c>
      <c r="I111" s="22" t="n">
        <v>57.811</v>
      </c>
      <c r="J111" s="22" t="n">
        <v>48.32</v>
      </c>
      <c r="K111" s="22" t="n">
        <v>39.093</v>
      </c>
      <c r="L111" s="22" t="n">
        <v>37.77</v>
      </c>
    </row>
    <row r="112">
      <c r="A112" s="20" t="inlineStr">
        <is>
          <t>보증금</t>
        </is>
      </c>
      <c r="E112" s="22" t="n">
        <v>34.942</v>
      </c>
      <c r="H112" s="22" t="n">
        <v>35.61</v>
      </c>
      <c r="I112" s="22" t="n">
        <v>35.773</v>
      </c>
      <c r="J112" s="22" t="n">
        <v>34.117</v>
      </c>
      <c r="K112" s="22" t="n">
        <v>34.45</v>
      </c>
      <c r="L112" s="22" t="n">
        <v>34.942</v>
      </c>
    </row>
    <row r="113">
      <c r="A113" s="20" t="inlineStr">
        <is>
          <t>기타</t>
        </is>
      </c>
      <c r="C113" s="22" t="n">
        <v>75.514</v>
      </c>
      <c r="D113" s="22" t="n">
        <v>80.589</v>
      </c>
      <c r="E113" s="22" t="n">
        <v>77.682</v>
      </c>
      <c r="F113" s="22" t="n">
        <v>75.232</v>
      </c>
      <c r="G113" s="22" t="n">
        <v>76.53700000000001</v>
      </c>
      <c r="H113" s="22" t="n">
        <v>3.189</v>
      </c>
      <c r="I113" s="22" t="n">
        <v>3.172</v>
      </c>
      <c r="J113" s="22" t="n">
        <v>2.032</v>
      </c>
      <c r="K113" s="22" t="n">
        <v>1.637</v>
      </c>
      <c r="L113" s="22" t="n">
        <v>77.682</v>
      </c>
    </row>
    <row r="114">
      <c r="A114" s="20" t="inlineStr">
        <is>
          <t>대손충당금</t>
        </is>
      </c>
      <c r="C114" s="22" t="n">
        <v>-0.211</v>
      </c>
      <c r="D114" s="22" t="n">
        <v>-0.225</v>
      </c>
      <c r="E114" s="22" t="n">
        <v>-0.023</v>
      </c>
      <c r="F114" s="22" t="n">
        <v>-0.022</v>
      </c>
      <c r="G114" s="22" t="n">
        <v>-0.021</v>
      </c>
      <c r="H114" s="22" t="n">
        <v>-6.712</v>
      </c>
      <c r="I114" s="22" t="n">
        <v>-7.052</v>
      </c>
      <c r="J114" s="22" t="n">
        <v>-6.703</v>
      </c>
      <c r="K114" s="22" t="n">
        <v>-0.212</v>
      </c>
      <c r="L114" s="22" t="n">
        <v>-0.023</v>
      </c>
    </row>
    <row r="115">
      <c r="A115" s="20" t="inlineStr">
        <is>
          <t>투자 및 기타자산 합계</t>
        </is>
      </c>
      <c r="C115" s="22" t="n">
        <v>244.054</v>
      </c>
      <c r="D115" s="22" t="n">
        <v>286.299</v>
      </c>
      <c r="E115" s="22" t="n">
        <v>337.274</v>
      </c>
      <c r="F115" s="22" t="n">
        <v>332.153</v>
      </c>
      <c r="G115" s="22" t="n">
        <v>407.49</v>
      </c>
      <c r="H115" s="22" t="n">
        <v>97.937</v>
      </c>
      <c r="I115" s="22" t="n">
        <v>166.701</v>
      </c>
      <c r="J115" s="22" t="n">
        <v>176.895</v>
      </c>
      <c r="K115" s="22" t="n">
        <v>191.905</v>
      </c>
      <c r="L115" s="22" t="n">
        <v>337.274</v>
      </c>
    </row>
    <row r="116">
      <c r="A116" s="9" t="inlineStr">
        <is>
          <t>비유동자산 합계</t>
        </is>
      </c>
      <c r="C116" s="12" t="n">
        <v>1782.431</v>
      </c>
      <c r="D116" s="12" t="n">
        <v>2229.232</v>
      </c>
      <c r="E116" s="12" t="n">
        <v>2172.99</v>
      </c>
      <c r="F116" s="12" t="n">
        <v>2214.134</v>
      </c>
      <c r="G116" s="12" t="n">
        <v>2312.957</v>
      </c>
      <c r="H116" s="12" t="n">
        <v>1169.442</v>
      </c>
      <c r="I116" s="12" t="n">
        <v>1299.079</v>
      </c>
      <c r="J116" s="12" t="n">
        <v>1670.065</v>
      </c>
      <c r="K116" s="12" t="n">
        <v>1701.556</v>
      </c>
      <c r="L116" s="12" t="n">
        <v>2172.99</v>
      </c>
    </row>
    <row r="117">
      <c r="A117" s="9" t="inlineStr">
        <is>
          <t>자산 합계</t>
        </is>
      </c>
      <c r="C117" s="12" t="n">
        <v>3858.315</v>
      </c>
      <c r="D117" s="12" t="n">
        <v>3800.158</v>
      </c>
      <c r="E117" s="12" t="n">
        <v>3989.282</v>
      </c>
      <c r="F117" s="12" t="n">
        <v>4837.245</v>
      </c>
      <c r="G117" s="12" t="n">
        <v>4966.438</v>
      </c>
      <c r="H117" s="12" t="n">
        <v>2091.42</v>
      </c>
      <c r="I117" s="12" t="n">
        <v>2879.111</v>
      </c>
      <c r="J117" s="12" t="n">
        <v>2920.191</v>
      </c>
      <c r="K117" s="12" t="n">
        <v>3289.066</v>
      </c>
      <c r="L117" s="12" t="n">
        <v>3989.282</v>
      </c>
    </row>
    <row r="118">
      <c r="A118" s="20" t="inlineStr">
        <is>
          <t>매입채무</t>
        </is>
      </c>
      <c r="C118" s="22" t="n">
        <v>375.465</v>
      </c>
      <c r="D118" s="22" t="n">
        <v>409.293</v>
      </c>
      <c r="E118" s="22" t="n">
        <v>443.779</v>
      </c>
      <c r="F118" s="22" t="n">
        <v>496.985</v>
      </c>
      <c r="G118" s="22" t="n">
        <v>510.286</v>
      </c>
      <c r="H118" s="22" t="n">
        <v>195.902</v>
      </c>
      <c r="I118" s="22" t="n">
        <v>464.496</v>
      </c>
      <c r="J118" s="22" t="n">
        <v>381.235</v>
      </c>
      <c r="K118" s="22" t="n">
        <v>376.605</v>
      </c>
      <c r="L118" s="22" t="n">
        <v>443.779</v>
      </c>
    </row>
    <row r="119">
      <c r="A119" s="20" t="inlineStr">
        <is>
          <t>단기차입금</t>
        </is>
      </c>
      <c r="C119" s="22" t="n">
        <v>1050</v>
      </c>
      <c r="D119" s="22" t="n">
        <v>550</v>
      </c>
      <c r="E119" s="22" t="n">
        <v>450</v>
      </c>
      <c r="F119" s="22" t="n">
        <v>1250</v>
      </c>
      <c r="G119" s="22" t="n">
        <v>1200</v>
      </c>
      <c r="H119" s="22" t="n">
        <v>340</v>
      </c>
      <c r="I119" s="22" t="n">
        <v>400</v>
      </c>
      <c r="J119" s="22" t="n">
        <v>735</v>
      </c>
      <c r="K119" s="22" t="n">
        <v>850</v>
      </c>
      <c r="L119" s="22" t="n">
        <v>450</v>
      </c>
    </row>
    <row r="120">
      <c r="A120" s="20" t="inlineStr">
        <is>
          <t>1년 내 상환 사채</t>
        </is>
      </c>
      <c r="C120" s="22" t="n">
        <v>20</v>
      </c>
      <c r="D120" s="22" t="n">
        <v>20</v>
      </c>
      <c r="E120" s="22" t="n">
        <v>20</v>
      </c>
      <c r="F120" s="22" t="n">
        <v>20</v>
      </c>
      <c r="G120" s="22" t="n">
        <v>20</v>
      </c>
      <c r="J120" s="22" t="n">
        <v>0</v>
      </c>
      <c r="K120" s="22" t="n">
        <v>20</v>
      </c>
      <c r="L120" s="22" t="n">
        <v>20</v>
      </c>
    </row>
    <row r="121">
      <c r="A121" s="20" t="inlineStr">
        <is>
          <t>1년 내 상환 장기차입금</t>
        </is>
      </c>
      <c r="D121" s="22" t="n">
        <v>103.342</v>
      </c>
      <c r="E121" s="22" t="n">
        <v>100.008</v>
      </c>
      <c r="F121" s="22" t="n">
        <v>100.008</v>
      </c>
      <c r="G121" s="22" t="n">
        <v>100.008</v>
      </c>
      <c r="K121" s="22" t="n">
        <v>0</v>
      </c>
      <c r="L121" s="22" t="n">
        <v>100.008</v>
      </c>
    </row>
    <row r="122">
      <c r="A122" s="20" t="inlineStr">
        <is>
          <t>리스부채</t>
        </is>
      </c>
      <c r="C122" s="22" t="n">
        <v>35.21</v>
      </c>
      <c r="D122" s="22" t="n">
        <v>34.594</v>
      </c>
      <c r="E122" s="22" t="n">
        <v>39.491</v>
      </c>
      <c r="F122" s="22" t="n">
        <v>39.598</v>
      </c>
      <c r="G122" s="22" t="n">
        <v>40.476</v>
      </c>
      <c r="H122" s="22" t="n">
        <v>22.784</v>
      </c>
      <c r="I122" s="22" t="n">
        <v>27.563</v>
      </c>
      <c r="J122" s="22" t="n">
        <v>27.555</v>
      </c>
      <c r="K122" s="22" t="n">
        <v>35.09</v>
      </c>
      <c r="L122" s="22" t="n">
        <v>39.491</v>
      </c>
    </row>
    <row r="123">
      <c r="A123" s="20" t="inlineStr">
        <is>
          <t>미지급금</t>
        </is>
      </c>
      <c r="C123" s="22" t="n">
        <v>129.965</v>
      </c>
      <c r="D123" s="22" t="n">
        <v>117.215</v>
      </c>
      <c r="E123" s="22" t="n">
        <v>178.392</v>
      </c>
      <c r="F123" s="22" t="n">
        <v>255.648</v>
      </c>
      <c r="G123" s="22" t="n">
        <v>210.571</v>
      </c>
      <c r="H123" s="22" t="n">
        <v>35.046</v>
      </c>
      <c r="I123" s="22" t="n">
        <v>44.135</v>
      </c>
      <c r="J123" s="22" t="n">
        <v>56.974</v>
      </c>
      <c r="K123" s="22" t="n">
        <v>67.657</v>
      </c>
      <c r="L123" s="22" t="n">
        <v>178.392</v>
      </c>
    </row>
    <row r="124">
      <c r="A124" s="20" t="inlineStr">
        <is>
          <t>설비관련 미지급금</t>
        </is>
      </c>
      <c r="E124" s="22" t="n">
        <v>94.65300000000001</v>
      </c>
      <c r="H124" s="22" t="n">
        <v>6.6</v>
      </c>
      <c r="I124" s="22" t="n">
        <v>9.997</v>
      </c>
      <c r="J124" s="22" t="n">
        <v>0.31</v>
      </c>
      <c r="K124" s="22" t="n">
        <v>24.537</v>
      </c>
      <c r="L124" s="22" t="n">
        <v>94.65300000000001</v>
      </c>
    </row>
    <row r="125">
      <c r="A125" s="20" t="inlineStr">
        <is>
          <t>미지급비용</t>
        </is>
      </c>
      <c r="C125" s="22" t="n">
        <v>74.783</v>
      </c>
      <c r="D125" s="22" t="n">
        <v>76.10599999999999</v>
      </c>
      <c r="E125" s="22" t="n">
        <v>75.491</v>
      </c>
      <c r="F125" s="22" t="n">
        <v>93.054</v>
      </c>
      <c r="G125" s="22" t="n">
        <v>87.964</v>
      </c>
      <c r="H125" s="22" t="n">
        <v>38.961</v>
      </c>
      <c r="I125" s="22" t="n">
        <v>47.522</v>
      </c>
      <c r="J125" s="22" t="n">
        <v>56.391</v>
      </c>
      <c r="K125" s="22" t="n">
        <v>54.396</v>
      </c>
      <c r="L125" s="22" t="n">
        <v>75.491</v>
      </c>
    </row>
    <row r="126">
      <c r="A126" s="20" t="inlineStr">
        <is>
          <t>미지급법인세</t>
        </is>
      </c>
      <c r="C126" s="22" t="n">
        <v>80.364</v>
      </c>
      <c r="D126" s="22" t="n">
        <v>49.052</v>
      </c>
      <c r="E126" s="22" t="n">
        <v>25.888</v>
      </c>
      <c r="F126" s="22" t="n">
        <v>3.646</v>
      </c>
      <c r="G126" s="22" t="n">
        <v>49.197</v>
      </c>
      <c r="H126" s="22" t="n">
        <v>9.893000000000001</v>
      </c>
      <c r="I126" s="22" t="n">
        <v>10.193</v>
      </c>
      <c r="J126" s="22" t="n">
        <v>10.933</v>
      </c>
      <c r="K126" s="22" t="n">
        <v>14.479</v>
      </c>
      <c r="L126" s="22" t="n">
        <v>25.888</v>
      </c>
    </row>
    <row r="127">
      <c r="A127" s="20" t="inlineStr">
        <is>
          <t>미지급 소비세</t>
        </is>
      </c>
      <c r="C127" s="22" t="n">
        <v>50.598</v>
      </c>
      <c r="D127" s="22" t="n">
        <v>24.258</v>
      </c>
      <c r="E127" s="22" t="n">
        <v>1.513</v>
      </c>
      <c r="G127" s="22" t="n">
        <v>34.121</v>
      </c>
      <c r="H127" s="22" t="n">
        <v>0</v>
      </c>
      <c r="I127" s="22" t="n">
        <v>0</v>
      </c>
      <c r="J127" s="22" t="n">
        <v>25.541</v>
      </c>
      <c r="K127" s="22" t="n">
        <v>0</v>
      </c>
      <c r="L127" s="22" t="n">
        <v>1.513</v>
      </c>
    </row>
    <row r="128">
      <c r="A128" s="20" t="inlineStr">
        <is>
          <t>예수금</t>
        </is>
      </c>
      <c r="E128" s="22" t="n">
        <v>9.368</v>
      </c>
      <c r="H128" s="22" t="n">
        <v>5.788</v>
      </c>
      <c r="I128" s="22" t="n">
        <v>5.024</v>
      </c>
      <c r="J128" s="22" t="n">
        <v>2.861</v>
      </c>
      <c r="K128" s="22" t="n">
        <v>3.429</v>
      </c>
      <c r="L128" s="22" t="n">
        <v>9.368</v>
      </c>
    </row>
    <row r="129">
      <c r="A129" s="20" t="inlineStr">
        <is>
          <t>상여충당금</t>
        </is>
      </c>
      <c r="C129" s="22" t="n">
        <v>47.25</v>
      </c>
      <c r="D129" s="22" t="n">
        <v>70.53700000000001</v>
      </c>
      <c r="E129" s="22" t="n">
        <v>53.527</v>
      </c>
      <c r="F129" s="22" t="n">
        <v>84.80500000000001</v>
      </c>
      <c r="G129" s="22" t="n">
        <v>63.409</v>
      </c>
      <c r="H129" s="22" t="n">
        <v>30.545</v>
      </c>
      <c r="I129" s="22" t="n">
        <v>31.64</v>
      </c>
      <c r="J129" s="22" t="n">
        <v>44.018</v>
      </c>
      <c r="K129" s="22" t="n">
        <v>41.887</v>
      </c>
      <c r="L129" s="22" t="n">
        <v>53.527</v>
      </c>
    </row>
    <row r="130">
      <c r="A130" s="20" t="inlineStr">
        <is>
          <t>기타</t>
        </is>
      </c>
      <c r="C130" s="22" t="n">
        <v>20.393</v>
      </c>
      <c r="D130" s="22" t="n">
        <v>15.049</v>
      </c>
      <c r="E130" s="22" t="n">
        <v>13.133</v>
      </c>
      <c r="F130" s="22" t="n">
        <v>19.291</v>
      </c>
      <c r="G130" s="22" t="n">
        <v>8.541</v>
      </c>
      <c r="H130" s="22" t="n">
        <v>2.004</v>
      </c>
      <c r="I130" s="22" t="n">
        <v>4.998</v>
      </c>
      <c r="J130" s="22" t="n">
        <v>5.155</v>
      </c>
      <c r="K130" s="22" t="n">
        <v>4.162</v>
      </c>
      <c r="L130" s="22" t="n">
        <v>13.133</v>
      </c>
    </row>
    <row r="131">
      <c r="A131" s="9" t="inlineStr">
        <is>
          <t>유동부채 합계</t>
        </is>
      </c>
      <c r="C131" s="12" t="n">
        <v>1884.031</v>
      </c>
      <c r="D131" s="12" t="n">
        <v>1469.449</v>
      </c>
      <c r="E131" s="12" t="n">
        <v>1401.224</v>
      </c>
      <c r="F131" s="12" t="n">
        <v>2363.037</v>
      </c>
      <c r="G131" s="12" t="n">
        <v>2324.577</v>
      </c>
      <c r="H131" s="12" t="n">
        <v>687.526</v>
      </c>
      <c r="I131" s="12" t="n">
        <v>1045.571</v>
      </c>
      <c r="J131" s="12" t="n">
        <v>1345.978</v>
      </c>
      <c r="K131" s="12" t="n">
        <v>1492.246</v>
      </c>
      <c r="L131" s="12" t="n">
        <v>1401.224</v>
      </c>
    </row>
    <row r="132">
      <c r="A132" s="20" t="inlineStr">
        <is>
          <t>사채</t>
        </is>
      </c>
      <c r="C132" s="22" t="n">
        <v>70</v>
      </c>
      <c r="D132" s="22" t="n">
        <v>70</v>
      </c>
      <c r="E132" s="22" t="n">
        <v>60</v>
      </c>
      <c r="F132" s="22" t="n">
        <v>60</v>
      </c>
      <c r="G132" s="22" t="n">
        <v>50</v>
      </c>
      <c r="J132" s="22" t="n">
        <v>0</v>
      </c>
      <c r="K132" s="22" t="n">
        <v>80</v>
      </c>
      <c r="L132" s="22" t="n">
        <v>60</v>
      </c>
    </row>
    <row r="133">
      <c r="A133" s="20" t="inlineStr">
        <is>
          <t>장기차입금</t>
        </is>
      </c>
      <c r="D133" s="22" t="n">
        <v>391.658</v>
      </c>
      <c r="E133" s="22" t="n">
        <v>369.99</v>
      </c>
      <c r="F133" s="22" t="n">
        <v>344.988</v>
      </c>
      <c r="G133" s="22" t="n">
        <v>316.652</v>
      </c>
      <c r="K133" s="22" t="n">
        <v>0</v>
      </c>
      <c r="L133" s="22" t="n">
        <v>369.99</v>
      </c>
    </row>
    <row r="134">
      <c r="A134" s="20" t="inlineStr">
        <is>
          <t>리스부채</t>
        </is>
      </c>
      <c r="C134" s="22" t="n">
        <v>181.107</v>
      </c>
      <c r="D134" s="22" t="n">
        <v>172.431</v>
      </c>
      <c r="E134" s="22" t="n">
        <v>212.581</v>
      </c>
      <c r="F134" s="22" t="n">
        <v>202.751</v>
      </c>
      <c r="G134" s="22" t="n">
        <v>198.761</v>
      </c>
      <c r="H134" s="22" t="n">
        <v>161.215</v>
      </c>
      <c r="I134" s="22" t="n">
        <v>172.871</v>
      </c>
      <c r="J134" s="22" t="n">
        <v>149.933</v>
      </c>
      <c r="K134" s="22" t="n">
        <v>186.785</v>
      </c>
      <c r="L134" s="22" t="n">
        <v>212.581</v>
      </c>
    </row>
    <row r="135">
      <c r="A135" s="20" t="inlineStr">
        <is>
          <t>이연법인세부채</t>
        </is>
      </c>
      <c r="C135" s="22" t="n">
        <v>20.758</v>
      </c>
      <c r="D135" s="22" t="n">
        <v>29.115</v>
      </c>
      <c r="E135" s="22" t="n">
        <v>76.836</v>
      </c>
      <c r="F135" s="22" t="n">
        <v>62.821</v>
      </c>
      <c r="G135" s="22" t="n">
        <v>87.428</v>
      </c>
      <c r="H135" s="22" t="n">
        <v>2.322</v>
      </c>
      <c r="I135" s="22" t="n">
        <v>8.776999999999999</v>
      </c>
      <c r="J135" s="22" t="n">
        <v>9.089</v>
      </c>
      <c r="K135" s="22" t="n">
        <v>5.961</v>
      </c>
      <c r="L135" s="22" t="n">
        <v>76.836</v>
      </c>
    </row>
    <row r="136">
      <c r="A136" s="20" t="inlineStr">
        <is>
          <t>퇴직급여충당금</t>
        </is>
      </c>
      <c r="C136" s="22" t="n">
        <v>102.055</v>
      </c>
      <c r="D136" s="22" t="n">
        <v>100.365</v>
      </c>
      <c r="E136" s="22" t="n">
        <v>100.365</v>
      </c>
      <c r="F136" s="22" t="n">
        <v>101.064</v>
      </c>
      <c r="G136" s="22" t="n">
        <v>110.468</v>
      </c>
      <c r="H136" s="22" t="n">
        <v>106.601</v>
      </c>
      <c r="I136" s="22" t="n">
        <v>114.118</v>
      </c>
      <c r="J136" s="22" t="n">
        <v>103.417</v>
      </c>
      <c r="K136" s="22" t="n">
        <v>92.62</v>
      </c>
      <c r="L136" s="22" t="n">
        <v>100.365</v>
      </c>
    </row>
    <row r="137">
      <c r="A137" s="20" t="inlineStr">
        <is>
          <t>임원 퇴직위로 충당금</t>
        </is>
      </c>
      <c r="H137" s="22" t="n">
        <v>0.405</v>
      </c>
      <c r="I137" s="22" t="n">
        <v>0</v>
      </c>
    </row>
    <row r="138">
      <c r="A138" s="20" t="inlineStr">
        <is>
          <t>소송손실충당금</t>
        </is>
      </c>
      <c r="H138" s="22" t="n">
        <v>0</v>
      </c>
    </row>
    <row r="139">
      <c r="A139" s="20" t="inlineStr">
        <is>
          <t>자산복구부채</t>
        </is>
      </c>
      <c r="C139" s="22" t="n">
        <v>15.124</v>
      </c>
      <c r="D139" s="22" t="n">
        <v>15.125</v>
      </c>
      <c r="E139" s="22" t="n">
        <v>238.763</v>
      </c>
      <c r="F139" s="22" t="n">
        <v>240.318</v>
      </c>
      <c r="G139" s="22" t="n">
        <v>241.883</v>
      </c>
      <c r="H139" s="22" t="n">
        <v>15.361</v>
      </c>
      <c r="I139" s="22" t="n">
        <v>15.12</v>
      </c>
      <c r="J139" s="22" t="n">
        <v>15.124</v>
      </c>
      <c r="K139" s="22" t="n">
        <v>15.124</v>
      </c>
      <c r="L139" s="22" t="n">
        <v>238.763</v>
      </c>
    </row>
    <row r="140">
      <c r="A140" s="20" t="inlineStr">
        <is>
          <t>장기 예수보증금</t>
        </is>
      </c>
      <c r="E140" s="22" t="n">
        <v>5</v>
      </c>
      <c r="K140" s="22" t="n">
        <v>0</v>
      </c>
      <c r="L140" s="22" t="n">
        <v>5</v>
      </c>
    </row>
    <row r="141">
      <c r="A141" s="20" t="inlineStr">
        <is>
          <t>장기미지급금</t>
        </is>
      </c>
      <c r="E141" s="22" t="n">
        <v>23.889</v>
      </c>
      <c r="H141" s="22" t="n">
        <v>19.517</v>
      </c>
      <c r="I141" s="22" t="n">
        <v>20.588</v>
      </c>
      <c r="J141" s="22" t="n">
        <v>17.476</v>
      </c>
      <c r="K141" s="22" t="n">
        <v>21.251</v>
      </c>
      <c r="L141" s="22" t="n">
        <v>23.889</v>
      </c>
    </row>
    <row r="142">
      <c r="A142" s="20" t="inlineStr">
        <is>
          <t>기타</t>
        </is>
      </c>
      <c r="C142" s="22" t="n">
        <v>25.306</v>
      </c>
      <c r="D142" s="22" t="n">
        <v>24.24</v>
      </c>
      <c r="E142" s="22" t="n">
        <v>28.889</v>
      </c>
      <c r="F142" s="22" t="n">
        <v>27.682</v>
      </c>
      <c r="G142" s="22" t="n">
        <v>27.115</v>
      </c>
      <c r="H142" s="22" t="n">
        <v>19.517</v>
      </c>
      <c r="I142" s="22" t="n">
        <v>20.588</v>
      </c>
      <c r="J142" s="22" t="n">
        <v>17.476</v>
      </c>
      <c r="K142" s="22" t="n">
        <v>21.251</v>
      </c>
      <c r="L142" s="22" t="n">
        <v>28.889</v>
      </c>
    </row>
    <row r="143">
      <c r="A143" s="9" t="inlineStr">
        <is>
          <t>비유동부채 합계</t>
        </is>
      </c>
      <c r="C143" s="12" t="n">
        <v>414.351</v>
      </c>
      <c r="D143" s="12" t="n">
        <v>802.9349999999999</v>
      </c>
      <c r="E143" s="12" t="n">
        <v>1087.425</v>
      </c>
      <c r="F143" s="12" t="n">
        <v>1039.625</v>
      </c>
      <c r="G143" s="12" t="n">
        <v>1032.308</v>
      </c>
      <c r="H143" s="12" t="n">
        <v>305.423</v>
      </c>
      <c r="I143" s="12" t="n">
        <v>331.475</v>
      </c>
      <c r="J143" s="12" t="n">
        <v>295.04</v>
      </c>
      <c r="K143" s="12" t="n">
        <v>401.743</v>
      </c>
      <c r="L143" s="12" t="n">
        <v>1087.425</v>
      </c>
    </row>
    <row r="144">
      <c r="A144" s="9" t="inlineStr">
        <is>
          <t>부채 합계</t>
        </is>
      </c>
      <c r="C144" s="12" t="n">
        <v>2298.383</v>
      </c>
      <c r="D144" s="12" t="n">
        <v>2272.384</v>
      </c>
      <c r="E144" s="12" t="n">
        <v>2488.65</v>
      </c>
      <c r="F144" s="12" t="n">
        <v>3402.662</v>
      </c>
      <c r="G144" s="12" t="n">
        <v>3356.886</v>
      </c>
      <c r="H144" s="12" t="n">
        <v>992.949</v>
      </c>
      <c r="I144" s="12" t="n">
        <v>1377.047</v>
      </c>
      <c r="J144" s="12" t="n">
        <v>1641.019</v>
      </c>
      <c r="K144" s="12" t="n">
        <v>1893.99</v>
      </c>
      <c r="L144" s="12" t="n">
        <v>2488.65</v>
      </c>
    </row>
    <row r="145">
      <c r="A145" s="20" t="inlineStr">
        <is>
          <t>자본금</t>
        </is>
      </c>
      <c r="C145" s="22" t="n">
        <v>417.297</v>
      </c>
      <c r="D145" s="22" t="n">
        <v>417.297</v>
      </c>
      <c r="E145" s="22" t="n">
        <v>417.297</v>
      </c>
      <c r="F145" s="22" t="n">
        <v>417.297</v>
      </c>
      <c r="G145" s="22" t="n">
        <v>417.297</v>
      </c>
      <c r="H145" s="22" t="n">
        <v>216.04</v>
      </c>
      <c r="I145" s="22" t="n">
        <v>415.728</v>
      </c>
      <c r="J145" s="22" t="n">
        <v>417.297</v>
      </c>
      <c r="K145" s="22" t="n">
        <v>417.297</v>
      </c>
      <c r="L145" s="22" t="n">
        <v>417.297</v>
      </c>
    </row>
    <row r="146">
      <c r="A146" s="20" t="inlineStr">
        <is>
          <t>자본준비금</t>
        </is>
      </c>
      <c r="E146" s="22" t="n">
        <v>223.942</v>
      </c>
      <c r="H146" s="22" t="n">
        <v>22.686</v>
      </c>
      <c r="I146" s="22" t="n">
        <v>222.373</v>
      </c>
      <c r="J146" s="22" t="n">
        <v>223.942</v>
      </c>
      <c r="K146" s="22" t="n">
        <v>223.942</v>
      </c>
      <c r="L146" s="22" t="n">
        <v>223.942</v>
      </c>
    </row>
    <row r="147">
      <c r="A147" s="20" t="inlineStr">
        <is>
          <t>기타자본잉여금</t>
        </is>
      </c>
      <c r="E147" s="22" t="n">
        <v>8.957000000000001</v>
      </c>
      <c r="H147" s="22" t="n">
        <v>0.012</v>
      </c>
      <c r="I147" s="22" t="n">
        <v>0.012</v>
      </c>
      <c r="J147" s="22" t="n">
        <v>0.012</v>
      </c>
      <c r="K147" s="22" t="n">
        <v>1.091</v>
      </c>
      <c r="L147" s="22" t="n">
        <v>8.957000000000001</v>
      </c>
    </row>
    <row r="148">
      <c r="A148" s="20" t="inlineStr">
        <is>
          <t>자본잉여금</t>
        </is>
      </c>
      <c r="C148" s="22" t="n">
        <v>232.9</v>
      </c>
      <c r="D148" s="22" t="n">
        <v>232.9</v>
      </c>
      <c r="E148" s="22" t="n">
        <v>232.9</v>
      </c>
      <c r="F148" s="22" t="n">
        <v>232.9</v>
      </c>
      <c r="G148" s="22" t="n">
        <v>234.571</v>
      </c>
      <c r="H148" s="22" t="n">
        <v>22.698</v>
      </c>
      <c r="I148" s="22" t="n">
        <v>222.385</v>
      </c>
      <c r="J148" s="22" t="n">
        <v>223.955</v>
      </c>
      <c r="K148" s="22" t="n">
        <v>225.034</v>
      </c>
      <c r="L148" s="22" t="n">
        <v>232.9</v>
      </c>
    </row>
    <row r="149">
      <c r="A149" s="20" t="inlineStr">
        <is>
          <t>이익준비금</t>
        </is>
      </c>
      <c r="E149" s="22" t="n">
        <v>37.5</v>
      </c>
      <c r="H149" s="22" t="n">
        <v>37.5</v>
      </c>
      <c r="I149" s="22" t="n">
        <v>37.5</v>
      </c>
      <c r="J149" s="22" t="n">
        <v>37.5</v>
      </c>
      <c r="K149" s="22" t="n">
        <v>37.5</v>
      </c>
      <c r="L149" s="22" t="n">
        <v>37.5</v>
      </c>
    </row>
    <row r="150">
      <c r="A150" s="20" t="inlineStr">
        <is>
          <t>압축기장 적립금</t>
        </is>
      </c>
      <c r="H150" s="22" t="n">
        <v>0.931</v>
      </c>
      <c r="I150" s="22" t="n">
        <v>0.825</v>
      </c>
      <c r="J150" s="22" t="n">
        <v>0</v>
      </c>
    </row>
    <row r="151">
      <c r="A151" s="20" t="inlineStr">
        <is>
          <t>별도적립금</t>
        </is>
      </c>
      <c r="E151" s="22" t="n">
        <v>750</v>
      </c>
      <c r="H151" s="22" t="n">
        <v>750</v>
      </c>
      <c r="I151" s="22" t="n">
        <v>750</v>
      </c>
      <c r="J151" s="22" t="n">
        <v>750</v>
      </c>
      <c r="K151" s="22" t="n">
        <v>750</v>
      </c>
      <c r="L151" s="22" t="n">
        <v>750</v>
      </c>
    </row>
    <row r="152">
      <c r="A152" s="20" t="inlineStr">
        <is>
          <t>이월이익잉여금</t>
        </is>
      </c>
      <c r="E152" s="22" t="n">
        <v>219.717</v>
      </c>
      <c r="H152" s="22" t="n">
        <v>103.418</v>
      </c>
      <c r="I152" s="22" t="n">
        <v>101.117</v>
      </c>
      <c r="J152" s="22" t="n">
        <v>137.539</v>
      </c>
      <c r="K152" s="22" t="n">
        <v>233.347</v>
      </c>
      <c r="L152" s="22" t="n">
        <v>219.717</v>
      </c>
    </row>
    <row r="153">
      <c r="A153" s="20" t="inlineStr">
        <is>
          <t>이익잉여금</t>
        </is>
      </c>
      <c r="C153" s="22" t="n">
        <v>1128.887</v>
      </c>
      <c r="D153" s="22" t="n">
        <v>1071.205</v>
      </c>
      <c r="E153" s="22" t="n">
        <v>1007.217</v>
      </c>
      <c r="F153" s="22" t="n">
        <v>943.064</v>
      </c>
      <c r="G153" s="22" t="n">
        <v>1062.337</v>
      </c>
      <c r="H153" s="22" t="n">
        <v>891.849</v>
      </c>
      <c r="I153" s="22" t="n">
        <v>889.442</v>
      </c>
      <c r="J153" s="22" t="n">
        <v>925.039</v>
      </c>
      <c r="K153" s="22" t="n">
        <v>1020.847</v>
      </c>
      <c r="L153" s="22" t="n">
        <v>1007.217</v>
      </c>
    </row>
    <row r="154">
      <c r="A154" s="20" t="inlineStr">
        <is>
          <t>자기주식</t>
        </is>
      </c>
      <c r="C154" s="22" t="n">
        <v>-317.75</v>
      </c>
      <c r="D154" s="22" t="n">
        <v>-317.75</v>
      </c>
      <c r="E154" s="22" t="n">
        <v>-317.75</v>
      </c>
      <c r="F154" s="22" t="n">
        <v>-317.812</v>
      </c>
      <c r="G154" s="22" t="n">
        <v>-314.6</v>
      </c>
      <c r="H154" s="22" t="n">
        <v>-53.888</v>
      </c>
      <c r="I154" s="22" t="n">
        <v>-55.945</v>
      </c>
      <c r="J154" s="22" t="n">
        <v>-333.2</v>
      </c>
      <c r="K154" s="22" t="n">
        <v>-331.078</v>
      </c>
      <c r="L154" s="22" t="n">
        <v>-317.75</v>
      </c>
    </row>
    <row r="155">
      <c r="A155" s="9" t="inlineStr">
        <is>
          <t>주주자본 합계</t>
        </is>
      </c>
      <c r="C155" s="12" t="n">
        <v>1461.334</v>
      </c>
      <c r="D155" s="12" t="n">
        <v>1403.652</v>
      </c>
      <c r="E155" s="12" t="n">
        <v>1339.665</v>
      </c>
      <c r="F155" s="12" t="n">
        <v>1275.45</v>
      </c>
      <c r="G155" s="12" t="n">
        <v>1399.605</v>
      </c>
      <c r="H155" s="12" t="n">
        <v>1076.7</v>
      </c>
      <c r="I155" s="12" t="n">
        <v>1471.61</v>
      </c>
      <c r="J155" s="12" t="n">
        <v>1233.091</v>
      </c>
      <c r="K155" s="12" t="n">
        <v>1332.1</v>
      </c>
      <c r="L155" s="12" t="n">
        <v>1339.665</v>
      </c>
    </row>
    <row r="156">
      <c r="A156" s="20" t="inlineStr">
        <is>
          <t>기타유가증권 평가차액</t>
        </is>
      </c>
      <c r="C156" s="22" t="n">
        <v>98.59699999999999</v>
      </c>
      <c r="D156" s="22" t="n">
        <v>124.121</v>
      </c>
      <c r="E156" s="22" t="n">
        <v>160.966</v>
      </c>
      <c r="F156" s="22" t="n">
        <v>159.132</v>
      </c>
      <c r="G156" s="22" t="n">
        <v>209.947</v>
      </c>
      <c r="H156" s="22" t="n">
        <v>21.77</v>
      </c>
      <c r="I156" s="22" t="n">
        <v>30.453</v>
      </c>
      <c r="J156" s="22" t="n">
        <v>46.08</v>
      </c>
      <c r="K156" s="22" t="n">
        <v>62.975</v>
      </c>
      <c r="L156" s="22" t="n">
        <v>160.966</v>
      </c>
    </row>
    <row r="157">
      <c r="A157" s="20" t="inlineStr">
        <is>
          <t>평가·환산차액 합계</t>
        </is>
      </c>
      <c r="C157" s="22" t="n">
        <v>98.59699999999999</v>
      </c>
      <c r="D157" s="22" t="n">
        <v>124.121</v>
      </c>
      <c r="E157" s="22" t="n">
        <v>160.966</v>
      </c>
      <c r="F157" s="22" t="n">
        <v>159.132</v>
      </c>
      <c r="G157" s="22" t="n">
        <v>209.947</v>
      </c>
      <c r="H157" s="22" t="n">
        <v>21.77</v>
      </c>
      <c r="I157" s="22" t="n">
        <v>30.453</v>
      </c>
      <c r="J157" s="22" t="n">
        <v>46.08</v>
      </c>
      <c r="K157" s="22" t="n">
        <v>62.975</v>
      </c>
      <c r="L157" s="22" t="n">
        <v>160.966</v>
      </c>
    </row>
    <row r="158">
      <c r="A158" s="9" t="inlineStr">
        <is>
          <t>순자산 합계</t>
        </is>
      </c>
      <c r="C158" s="12" t="n">
        <v>1559.932</v>
      </c>
      <c r="D158" s="12" t="n">
        <v>1527.773</v>
      </c>
      <c r="E158" s="12" t="n">
        <v>1500.631</v>
      </c>
      <c r="F158" s="12" t="n">
        <v>1434.582</v>
      </c>
      <c r="G158" s="12" t="n">
        <v>1609.552</v>
      </c>
      <c r="H158" s="12" t="n">
        <v>1098.47</v>
      </c>
      <c r="I158" s="12" t="n">
        <v>1502.063</v>
      </c>
      <c r="J158" s="12" t="n">
        <v>1279.171</v>
      </c>
      <c r="K158" s="12" t="n">
        <v>1395.075</v>
      </c>
      <c r="L158" s="12" t="n">
        <v>1500.631</v>
      </c>
    </row>
    <row r="159">
      <c r="A159" s="9" t="inlineStr">
        <is>
          <t>부채·순자산 합계</t>
        </is>
      </c>
      <c r="C159" s="12" t="n">
        <v>3858.315</v>
      </c>
      <c r="D159" s="12" t="n">
        <v>3800.158</v>
      </c>
      <c r="E159" s="12" t="n">
        <v>3989.282</v>
      </c>
      <c r="F159" s="12" t="n">
        <v>4837.245</v>
      </c>
      <c r="G159" s="12" t="n">
        <v>4966.438</v>
      </c>
      <c r="H159" s="12" t="n">
        <v>2091.42</v>
      </c>
      <c r="I159" s="12" t="n">
        <v>2879.111</v>
      </c>
      <c r="J159" s="12" t="n">
        <v>2920.191</v>
      </c>
      <c r="K159" s="12" t="n">
        <v>3289.066</v>
      </c>
      <c r="L159" s="12" t="n">
        <v>3989.282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2" t="inlineStr">
        <is>
          <t>세이효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results · 상반기 cum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</row>
    <row r="5">
      <c r="A5" s="55" t="inlineStr">
        <is>
          <t>항목</t>
        </is>
      </c>
      <c r="B5" s="55" t="inlineStr">
        <is>
          <t>값</t>
        </is>
      </c>
      <c r="L5" s="55" t="inlineStr">
        <is>
          <t>출처</t>
        </is>
      </c>
    </row>
    <row r="6">
      <c r="A6" s="56" t="inlineStr">
        <is>
          <t>매출</t>
        </is>
      </c>
      <c r="B6" s="57" t="n">
        <v>38.7</v>
      </c>
      <c r="L6" s="58" t="inlineStr">
        <is>
          <t>2단계 보고서 자료(회사 설명회 자료·공시)</t>
        </is>
      </c>
    </row>
    <row r="7">
      <c r="A7" s="56" t="inlineStr">
        <is>
          <t>매출 YoY</t>
        </is>
      </c>
      <c r="B7" s="57" t="n">
        <v>24.9</v>
      </c>
    </row>
    <row r="8">
      <c r="A8" s="56" t="inlineStr">
        <is>
          <t>cogs</t>
        </is>
      </c>
      <c r="B8" s="57" t="n">
        <v>30.75</v>
      </c>
    </row>
    <row r="9">
      <c r="A9" s="56" t="inlineStr">
        <is>
          <t>gp</t>
        </is>
      </c>
      <c r="B9" s="57" t="n">
        <v>7.95</v>
      </c>
    </row>
    <row r="10">
      <c r="A10" s="56" t="inlineStr">
        <is>
          <t>매출총이익률</t>
        </is>
      </c>
      <c r="B10" s="57" t="n">
        <v>20.5</v>
      </c>
    </row>
    <row r="11">
      <c r="A11" s="56" t="inlineStr">
        <is>
          <t>매출총이익률 ly</t>
        </is>
      </c>
      <c r="B11" s="57" t="n">
        <v>22.3</v>
      </c>
    </row>
    <row r="12">
      <c r="A12" s="56" t="inlineStr">
        <is>
          <t>sga</t>
        </is>
      </c>
      <c r="B12" s="57" t="n">
        <v>6.55</v>
      </c>
    </row>
    <row r="13">
      <c r="A13" s="56" t="inlineStr">
        <is>
          <t>sga ratio</t>
        </is>
      </c>
      <c r="B13" s="57" t="n">
        <v>16.9</v>
      </c>
    </row>
    <row r="14">
      <c r="A14" s="56" t="inlineStr">
        <is>
          <t>sga ratio ly</t>
        </is>
      </c>
      <c r="B14" s="57" t="n">
        <v>16.3</v>
      </c>
    </row>
    <row r="15">
      <c r="A15" s="56" t="inlineStr">
        <is>
          <t>영업이익</t>
        </is>
      </c>
      <c r="B15" s="57" t="n">
        <v>1.4</v>
      </c>
    </row>
    <row r="16">
      <c r="A16" s="56" t="inlineStr">
        <is>
          <t>영업이익 YoY</t>
        </is>
      </c>
      <c r="B16" s="57" t="n">
        <v>-25.7</v>
      </c>
    </row>
    <row r="17">
      <c r="A17" s="56" t="inlineStr">
        <is>
          <t>ordinary</t>
        </is>
      </c>
      <c r="B17" s="57" t="n">
        <v>1.42</v>
      </c>
    </row>
    <row r="18">
      <c r="A18" s="56" t="inlineStr">
        <is>
          <t>ordinary YoY</t>
        </is>
      </c>
      <c r="B18" s="57" t="n">
        <v>-29.9</v>
      </c>
    </row>
    <row r="19">
      <c r="A19" s="56" t="inlineStr">
        <is>
          <t>순이익</t>
        </is>
      </c>
      <c r="B19" s="57" t="n">
        <v>0.8</v>
      </c>
    </row>
    <row r="20">
      <c r="A20" s="56" t="inlineStr">
        <is>
          <t>순이익 YoY</t>
        </is>
      </c>
      <c r="B20" s="57" t="n">
        <v>-39.6</v>
      </c>
    </row>
    <row r="21">
      <c r="A21" s="56" t="inlineStr">
        <is>
          <t>EPS</t>
        </is>
      </c>
      <c r="B21" s="57" t="n">
        <v>57.25</v>
      </c>
    </row>
    <row r="22">
      <c r="A22" s="56" t="inlineStr">
        <is>
          <t>nonop income</t>
        </is>
      </c>
      <c r="B22" s="57" t="n">
        <v>0.165</v>
      </c>
    </row>
    <row r="23">
      <c r="A23" s="56" t="inlineStr">
        <is>
          <t>nonop income ly</t>
        </is>
      </c>
      <c r="B23" s="57" t="n">
        <v>0.256</v>
      </c>
    </row>
    <row r="24">
      <c r="A24" s="56" t="inlineStr">
        <is>
          <t>equipment subsidy</t>
        </is>
      </c>
      <c r="B24" s="57" t="n">
        <v>0.007</v>
      </c>
    </row>
    <row r="25">
      <c r="A25" s="56" t="inlineStr">
        <is>
          <t>equipment subsidy ly</t>
        </is>
      </c>
      <c r="B25" s="57" t="n">
        <v>0.1</v>
      </c>
    </row>
    <row r="26">
      <c r="A26" s="56" t="inlineStr">
        <is>
          <t>interest exp</t>
        </is>
      </c>
      <c r="B26" s="57" t="n">
        <v>0.126</v>
      </c>
    </row>
    <row r="27">
      <c r="A27" s="56" t="inlineStr">
        <is>
          <t>interest exp ly</t>
        </is>
      </c>
      <c r="B27" s="57" t="n">
        <v>0.08699999999999999</v>
      </c>
    </row>
    <row r="28">
      <c r="A28" s="56" t="inlineStr">
        <is>
          <t>special loss fixed asset disposal</t>
        </is>
      </c>
      <c r="B28" s="57" t="n">
        <v>0.309</v>
      </c>
    </row>
    <row r="29">
      <c r="A29" s="56" t="inlineStr">
        <is>
          <t>tax</t>
        </is>
      </c>
      <c r="B29" s="57" t="n">
        <v>0.307</v>
      </c>
    </row>
    <row r="31">
      <c r="A31" s="54" t="inlineStr">
        <is>
          <t>this results · 2Q standalone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</row>
    <row r="32">
      <c r="A32" s="55" t="inlineStr">
        <is>
          <t>항목</t>
        </is>
      </c>
      <c r="B32" s="55" t="inlineStr">
        <is>
          <t>값</t>
        </is>
      </c>
      <c r="L32" s="55" t="inlineStr">
        <is>
          <t>출처</t>
        </is>
      </c>
    </row>
    <row r="33">
      <c r="A33" s="56" t="inlineStr">
        <is>
          <t>매출</t>
        </is>
      </c>
      <c r="B33" s="57" t="n">
        <v>24.1</v>
      </c>
      <c r="L33" s="58" t="inlineStr">
        <is>
          <t>2단계 보고서 자료(회사 설명회 자료·공시)</t>
        </is>
      </c>
    </row>
    <row r="34">
      <c r="A34" s="56" t="inlineStr">
        <is>
          <t>gp</t>
        </is>
      </c>
      <c r="B34" s="57" t="n">
        <v>5.2</v>
      </c>
    </row>
    <row r="35">
      <c r="A35" s="56" t="inlineStr">
        <is>
          <t>sga</t>
        </is>
      </c>
      <c r="B35" s="57" t="n">
        <v>3.7</v>
      </c>
    </row>
    <row r="36">
      <c r="A36" s="56" t="inlineStr">
        <is>
          <t>영업이익</t>
        </is>
      </c>
      <c r="B36" s="57" t="n">
        <v>1.6</v>
      </c>
    </row>
    <row r="37">
      <c r="A37" s="56" t="inlineStr">
        <is>
          <t>pbt</t>
        </is>
      </c>
      <c r="B37" s="57" t="n">
        <v>1.6</v>
      </c>
    </row>
    <row r="38">
      <c r="A38" s="56" t="inlineStr">
        <is>
          <t>순이익</t>
        </is>
      </c>
      <c r="B38" s="57" t="n">
        <v>1.2</v>
      </c>
    </row>
    <row r="39">
      <c r="A39" s="56" t="inlineStr">
        <is>
          <t>매출 ly</t>
        </is>
      </c>
      <c r="B39" s="57" t="n">
        <v>17.6</v>
      </c>
    </row>
    <row r="40">
      <c r="A40" s="56" t="inlineStr">
        <is>
          <t>영업이익 ly</t>
        </is>
      </c>
      <c r="B40" s="57" t="n">
        <v>1.4</v>
      </c>
    </row>
    <row r="42">
      <c r="A42" s="54" t="inlineStr">
        <is>
          <t>this_results · departments_h1_백만엔</t>
        </is>
      </c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</row>
    <row r="43">
      <c r="A43" s="55" t="inlineStr">
        <is>
          <t>항목</t>
        </is>
      </c>
      <c r="B43" s="55" t="inlineStr">
        <is>
          <t>값</t>
        </is>
      </c>
      <c r="L43" s="55" t="inlineStr">
        <is>
          <t>출처</t>
        </is>
      </c>
    </row>
    <row r="44">
      <c r="A44" s="56" t="inlineStr">
        <is>
          <t>OEM FY27 1H</t>
        </is>
      </c>
      <c r="B44" s="59" t="n">
        <v>1744</v>
      </c>
      <c r="L44" s="58" t="inlineStr">
        <is>
          <t>2단계 보고서 자료(회사 설명회 자료·공시)</t>
        </is>
      </c>
    </row>
    <row r="45">
      <c r="A45" s="56" t="inlineStr">
        <is>
          <t>OEM_yoy%</t>
        </is>
      </c>
      <c r="B45" s="57" t="n">
        <v>40.2</v>
      </c>
    </row>
    <row r="46">
      <c r="A46" s="56" t="inlineStr">
        <is>
          <t>자사_yoy%</t>
        </is>
      </c>
      <c r="B46" s="57" t="n">
        <v>22.4</v>
      </c>
    </row>
    <row r="47">
      <c r="A47" s="56" t="inlineStr">
        <is>
          <t>빙수컵_yoy%</t>
        </is>
      </c>
      <c r="B47" s="57" t="n">
        <v>46.3</v>
      </c>
    </row>
    <row r="49">
      <c r="A49" s="54" t="inlineStr">
        <is>
          <t>this results · bs</t>
        </is>
      </c>
      <c r="B49" s="54" t="n"/>
      <c r="C49" s="54" t="n"/>
      <c r="D49" s="54" t="n"/>
      <c r="E49" s="54" t="n"/>
      <c r="F49" s="54" t="n"/>
      <c r="G49" s="54" t="n"/>
      <c r="H49" s="54" t="n"/>
      <c r="I49" s="54" t="n"/>
      <c r="J49" s="54" t="n"/>
      <c r="K49" s="54" t="n"/>
      <c r="L49" s="54" t="n"/>
    </row>
    <row r="50">
      <c r="A50" s="55" t="inlineStr">
        <is>
          <t>항목</t>
        </is>
      </c>
      <c r="B50" s="55" t="inlineStr">
        <is>
          <t>값</t>
        </is>
      </c>
      <c r="L50" s="55" t="inlineStr">
        <is>
          <t>출처</t>
        </is>
      </c>
    </row>
    <row r="51">
      <c r="A51" s="56" t="inlineStr">
        <is>
          <t>합계 assets</t>
        </is>
      </c>
      <c r="B51" s="57" t="n">
        <v>49.66</v>
      </c>
      <c r="L51" s="58" t="inlineStr">
        <is>
          <t>2단계 보고서 자료(회사 설명회 자료·공시)</t>
        </is>
      </c>
    </row>
    <row r="52">
      <c r="A52" s="56" t="inlineStr">
        <is>
          <t>equity</t>
        </is>
      </c>
      <c r="B52" s="57" t="n">
        <v>16.1</v>
      </c>
    </row>
    <row r="53">
      <c r="A53" s="56" t="inlineStr">
        <is>
          <t>equity ratio</t>
        </is>
      </c>
      <c r="B53" s="57" t="n">
        <v>32.4</v>
      </c>
    </row>
    <row r="54">
      <c r="A54" s="56" t="inlineStr">
        <is>
          <t>cash</t>
        </is>
      </c>
      <c r="B54" s="57" t="n">
        <v>4</v>
      </c>
    </row>
    <row r="55">
      <c r="A55" s="56" t="inlineStr">
        <is>
          <t>receivables</t>
        </is>
      </c>
      <c r="B55" s="57" t="n">
        <v>14.73</v>
      </c>
    </row>
    <row r="56">
      <c r="A56" s="56" t="inlineStr">
        <is>
          <t>inventory products</t>
        </is>
      </c>
      <c r="B56" s="57" t="n">
        <v>5.09</v>
      </c>
    </row>
    <row r="57">
      <c r="A57" s="56" t="inlineStr">
        <is>
          <t>st debt</t>
        </is>
      </c>
      <c r="B57" s="57" t="n">
        <v>12</v>
      </c>
    </row>
    <row r="58">
      <c r="A58" s="56" t="inlineStr">
        <is>
          <t>lt debt</t>
        </is>
      </c>
      <c r="B58" s="57" t="n">
        <v>3.17</v>
      </c>
    </row>
    <row r="59">
      <c r="A59" s="56" t="inlineStr">
        <is>
          <t>ocf 상반기</t>
        </is>
      </c>
      <c r="B59" s="57" t="n">
        <v>-2.12</v>
      </c>
    </row>
    <row r="60">
      <c r="A60" s="56" t="inlineStr">
        <is>
          <t>설비투자 상반기</t>
        </is>
      </c>
      <c r="B60" s="57" t="n">
        <v>2.33</v>
      </c>
    </row>
    <row r="62">
      <c r="A62" s="54" t="inlineStr">
        <is>
          <t>shares</t>
        </is>
      </c>
      <c r="B62" s="54" t="n"/>
      <c r="C62" s="54" t="n"/>
      <c r="D62" s="54" t="n"/>
      <c r="E62" s="54" t="n"/>
      <c r="F62" s="54" t="n"/>
      <c r="G62" s="54" t="n"/>
      <c r="H62" s="54" t="n"/>
      <c r="I62" s="54" t="n"/>
      <c r="J62" s="54" t="n"/>
      <c r="K62" s="54" t="n"/>
      <c r="L62" s="54" t="n"/>
    </row>
    <row r="63">
      <c r="A63" s="55" t="inlineStr">
        <is>
          <t>항목</t>
        </is>
      </c>
      <c r="B63" s="55" t="inlineStr">
        <is>
          <t>값</t>
        </is>
      </c>
      <c r="L63" s="55" t="inlineStr">
        <is>
          <t>출처</t>
        </is>
      </c>
    </row>
    <row r="64">
      <c r="A64" s="56" t="inlineStr">
        <is>
          <t>issued</t>
        </is>
      </c>
      <c r="B64" s="59" t="n">
        <v>1620993</v>
      </c>
      <c r="L64" s="58" t="inlineStr">
        <is>
          <t>2단계 보고서 자료(회사 설명회 자료·공시)</t>
        </is>
      </c>
    </row>
    <row r="65">
      <c r="A65" s="56" t="inlineStr">
        <is>
          <t>treasury</t>
        </is>
      </c>
      <c r="B65" s="59" t="n">
        <v>215500</v>
      </c>
    </row>
    <row r="66">
      <c r="A66" s="56" t="inlineStr">
        <is>
          <t>outstanding</t>
        </is>
      </c>
      <c r="B66" s="59" t="n">
        <v>1405493</v>
      </c>
    </row>
    <row r="68">
      <c r="A68" s="54" t="inlineStr">
        <is>
          <t>bs annual</t>
        </is>
      </c>
      <c r="B68" s="54" t="n"/>
      <c r="C68" s="54" t="n"/>
      <c r="D68" s="54" t="n"/>
      <c r="E68" s="54" t="n"/>
      <c r="F68" s="54" t="n"/>
      <c r="G68" s="54" t="n"/>
      <c r="H68" s="54" t="n"/>
      <c r="I68" s="54" t="n"/>
      <c r="J68" s="54" t="n"/>
      <c r="K68" s="54" t="n"/>
      <c r="L68" s="54" t="n"/>
    </row>
    <row r="69">
      <c r="A69" s="55" t="inlineStr">
        <is>
          <t>항목</t>
        </is>
      </c>
      <c r="B69" s="55" t="inlineStr">
        <is>
          <t>2022</t>
        </is>
      </c>
      <c r="C69" s="55" t="inlineStr">
        <is>
          <t>2023</t>
        </is>
      </c>
      <c r="D69" s="55" t="inlineStr">
        <is>
          <t>2024</t>
        </is>
      </c>
      <c r="E69" s="55" t="inlineStr">
        <is>
          <t>2025</t>
        </is>
      </c>
      <c r="F69" s="55" t="inlineStr">
        <is>
          <t>2026</t>
        </is>
      </c>
      <c r="L69" s="55" t="inlineStr">
        <is>
          <t>출처</t>
        </is>
      </c>
    </row>
    <row r="70">
      <c r="A70" s="56" t="inlineStr">
        <is>
          <t>labels</t>
        </is>
      </c>
      <c r="B70" s="59" t="n">
        <v>2022</v>
      </c>
      <c r="C70" s="59" t="n">
        <v>2023</v>
      </c>
      <c r="D70" s="59" t="n">
        <v>2024</v>
      </c>
      <c r="E70" s="59" t="n">
        <v>2025</v>
      </c>
      <c r="F70" s="59" t="n">
        <v>2026</v>
      </c>
      <c r="L70" s="58" t="inlineStr">
        <is>
          <t>2단계 보고서 자료(회사 설명회 자료·공시)</t>
        </is>
      </c>
    </row>
    <row r="71">
      <c r="A71" s="56" t="inlineStr">
        <is>
          <t>current assets</t>
        </is>
      </c>
      <c r="B71" s="57" t="n">
        <v>9.199999999999999</v>
      </c>
      <c r="C71" s="57" t="n">
        <v>15.8</v>
      </c>
      <c r="D71" s="57" t="n">
        <v>12.5</v>
      </c>
      <c r="E71" s="57" t="n">
        <v>15.9</v>
      </c>
      <c r="F71" s="57" t="n">
        <v>18.2</v>
      </c>
    </row>
    <row r="72">
      <c r="A72" s="56" t="inlineStr">
        <is>
          <t>cash</t>
        </is>
      </c>
      <c r="B72" s="57" t="n">
        <v>2.1</v>
      </c>
      <c r="C72" s="57" t="n">
        <v>5.7</v>
      </c>
      <c r="D72" s="57" t="n">
        <v>2.2</v>
      </c>
      <c r="E72" s="57" t="n">
        <v>3.3</v>
      </c>
      <c r="F72" s="57" t="n">
        <v>2.3</v>
      </c>
    </row>
    <row r="73">
      <c r="A73" s="56" t="inlineStr">
        <is>
          <t>st fin</t>
        </is>
      </c>
      <c r="B73" s="60" t="n"/>
      <c r="C73" s="60" t="n"/>
      <c r="D73" s="60" t="n"/>
      <c r="E73" s="60" t="n"/>
      <c r="F73" s="60" t="n"/>
    </row>
    <row r="74">
      <c r="A74" s="56" t="inlineStr">
        <is>
          <t>receivables</t>
        </is>
      </c>
      <c r="B74" s="57" t="n">
        <v>2.1</v>
      </c>
      <c r="C74" s="57" t="n">
        <v>4.2</v>
      </c>
      <c r="D74" s="57" t="n">
        <v>4.3</v>
      </c>
      <c r="E74" s="57" t="n">
        <v>3.6</v>
      </c>
      <c r="F74" s="57" t="n">
        <v>5.6</v>
      </c>
    </row>
    <row r="75">
      <c r="A75" s="56" t="inlineStr">
        <is>
          <t>inventory</t>
        </is>
      </c>
      <c r="B75" s="57" t="n">
        <v>4.9</v>
      </c>
      <c r="C75" s="57" t="n">
        <v>5.3</v>
      </c>
      <c r="D75" s="57" t="n">
        <v>5.7</v>
      </c>
      <c r="E75" s="57" t="n">
        <v>8.4</v>
      </c>
      <c r="F75" s="57" t="n">
        <v>9.5</v>
      </c>
    </row>
    <row r="76">
      <c r="A76" s="56" t="inlineStr">
        <is>
          <t>noncurrent assets</t>
        </is>
      </c>
      <c r="B76" s="57" t="n">
        <v>11.7</v>
      </c>
      <c r="C76" s="57" t="n">
        <v>13</v>
      </c>
      <c r="D76" s="57" t="n">
        <v>16.7</v>
      </c>
      <c r="E76" s="57" t="n">
        <v>17</v>
      </c>
      <c r="F76" s="57" t="n">
        <v>21.7</v>
      </c>
    </row>
    <row r="77">
      <c r="A77" s="56" t="inlineStr">
        <is>
          <t>ppe</t>
        </is>
      </c>
      <c r="B77" s="57" t="n">
        <v>10.6</v>
      </c>
      <c r="C77" s="57" t="n">
        <v>11.2</v>
      </c>
      <c r="D77" s="57" t="n">
        <v>14.8</v>
      </c>
      <c r="E77" s="57" t="n">
        <v>14.9</v>
      </c>
      <c r="F77" s="57" t="n">
        <v>18.2</v>
      </c>
    </row>
    <row r="78">
      <c r="A78" s="56" t="inlineStr">
        <is>
          <t>intangibles</t>
        </is>
      </c>
      <c r="B78" s="57" t="n">
        <v>0.1</v>
      </c>
      <c r="C78" s="57" t="n">
        <v>0.2</v>
      </c>
      <c r="D78" s="57" t="n">
        <v>0.2</v>
      </c>
      <c r="E78" s="57" t="n">
        <v>0.2</v>
      </c>
      <c r="F78" s="57" t="n">
        <v>0.1</v>
      </c>
    </row>
    <row r="79">
      <c r="A79" s="56" t="inlineStr">
        <is>
          <t>inv property</t>
        </is>
      </c>
      <c r="B79" s="60" t="n"/>
      <c r="C79" s="60" t="n"/>
      <c r="D79" s="60" t="n"/>
      <c r="E79" s="60" t="n"/>
      <c r="F79" s="60" t="n"/>
    </row>
    <row r="80">
      <c r="A80" s="56" t="inlineStr">
        <is>
          <t>합계 assets</t>
        </is>
      </c>
      <c r="B80" s="57" t="n">
        <v>20.9</v>
      </c>
      <c r="C80" s="57" t="n">
        <v>28.8</v>
      </c>
      <c r="D80" s="57" t="n">
        <v>29.2</v>
      </c>
      <c r="E80" s="57" t="n">
        <v>32.9</v>
      </c>
      <c r="F80" s="57" t="n">
        <v>39.9</v>
      </c>
    </row>
    <row r="81">
      <c r="A81" s="56" t="inlineStr">
        <is>
          <t>current liab</t>
        </is>
      </c>
      <c r="B81" s="57" t="n">
        <v>6.9</v>
      </c>
      <c r="C81" s="57" t="n">
        <v>10.5</v>
      </c>
      <c r="D81" s="57" t="n">
        <v>13.5</v>
      </c>
      <c r="E81" s="57" t="n">
        <v>14.9</v>
      </c>
      <c r="F81" s="57" t="n">
        <v>14</v>
      </c>
    </row>
    <row r="82">
      <c r="A82" s="56" t="inlineStr">
        <is>
          <t>payables</t>
        </is>
      </c>
      <c r="B82" s="57" t="n">
        <v>2</v>
      </c>
      <c r="C82" s="57" t="n">
        <v>4.6</v>
      </c>
      <c r="D82" s="57" t="n">
        <v>3.8</v>
      </c>
      <c r="E82" s="57" t="n">
        <v>3.8</v>
      </c>
      <c r="F82" s="57" t="n">
        <v>4.4</v>
      </c>
    </row>
    <row r="83">
      <c r="A83" s="56" t="inlineStr">
        <is>
          <t>st debt</t>
        </is>
      </c>
      <c r="B83" s="57" t="n">
        <v>3.4</v>
      </c>
      <c r="C83" s="57" t="n">
        <v>4</v>
      </c>
      <c r="D83" s="57" t="n">
        <v>7.3</v>
      </c>
      <c r="E83" s="57" t="n">
        <v>8.5</v>
      </c>
      <c r="F83" s="57" t="n">
        <v>4.5</v>
      </c>
    </row>
    <row r="84">
      <c r="A84" s="56" t="inlineStr">
        <is>
          <t>noncurrent liab</t>
        </is>
      </c>
      <c r="B84" s="57" t="n">
        <v>3.1</v>
      </c>
      <c r="C84" s="57" t="n">
        <v>3.3</v>
      </c>
      <c r="D84" s="57" t="n">
        <v>3</v>
      </c>
      <c r="E84" s="57" t="n">
        <v>4</v>
      </c>
      <c r="F84" s="57" t="n">
        <v>10.9</v>
      </c>
    </row>
    <row r="85">
      <c r="A85" s="56" t="inlineStr">
        <is>
          <t>lt debt</t>
        </is>
      </c>
      <c r="B85" s="60" t="n"/>
      <c r="C85" s="60" t="n"/>
      <c r="D85" s="60" t="n"/>
      <c r="E85" s="57" t="n">
        <v>0</v>
      </c>
      <c r="F85" s="57" t="n">
        <v>3.7</v>
      </c>
    </row>
    <row r="86">
      <c r="A86" s="56" t="inlineStr">
        <is>
          <t>bonds</t>
        </is>
      </c>
      <c r="B86" s="60" t="n"/>
      <c r="C86" s="60" t="n"/>
      <c r="D86" s="57" t="n">
        <v>0</v>
      </c>
      <c r="E86" s="57" t="n">
        <v>0.8</v>
      </c>
      <c r="F86" s="57" t="n">
        <v>0.6</v>
      </c>
    </row>
    <row r="87">
      <c r="A87" s="56" t="inlineStr">
        <is>
          <t>합계 liab</t>
        </is>
      </c>
      <c r="B87" s="57" t="n">
        <v>9.9</v>
      </c>
      <c r="C87" s="57" t="n">
        <v>13.8</v>
      </c>
      <c r="D87" s="57" t="n">
        <v>16.4</v>
      </c>
      <c r="E87" s="57" t="n">
        <v>18.9</v>
      </c>
      <c r="F87" s="57" t="n">
        <v>24.9</v>
      </c>
    </row>
    <row r="88">
      <c r="A88" s="56" t="inlineStr">
        <is>
          <t>capital stock</t>
        </is>
      </c>
      <c r="B88" s="57" t="n">
        <v>2.2</v>
      </c>
      <c r="C88" s="57" t="n">
        <v>4.2</v>
      </c>
      <c r="D88" s="57" t="n">
        <v>4.2</v>
      </c>
      <c r="E88" s="57" t="n">
        <v>4.2</v>
      </c>
      <c r="F88" s="57" t="n">
        <v>4.2</v>
      </c>
    </row>
    <row r="89">
      <c r="A89" s="56" t="inlineStr">
        <is>
          <t>retained</t>
        </is>
      </c>
      <c r="B89" s="57" t="n">
        <v>8.9</v>
      </c>
      <c r="C89" s="57" t="n">
        <v>8.9</v>
      </c>
      <c r="D89" s="57" t="n">
        <v>9.300000000000001</v>
      </c>
      <c r="E89" s="57" t="n">
        <v>10.2</v>
      </c>
      <c r="F89" s="57" t="n">
        <v>10.1</v>
      </c>
    </row>
    <row r="90">
      <c r="A90" s="56" t="inlineStr">
        <is>
          <t>nci</t>
        </is>
      </c>
      <c r="B90" s="60" t="n"/>
      <c r="C90" s="60" t="n"/>
      <c r="D90" s="60" t="n"/>
      <c r="E90" s="60" t="n"/>
      <c r="F90" s="60" t="n"/>
    </row>
    <row r="91">
      <c r="A91" s="56" t="inlineStr">
        <is>
          <t>합계 equity</t>
        </is>
      </c>
      <c r="B91" s="57" t="n">
        <v>11</v>
      </c>
      <c r="C91" s="57" t="n">
        <v>15</v>
      </c>
      <c r="D91" s="57" t="n">
        <v>12.8</v>
      </c>
      <c r="E91" s="57" t="n">
        <v>14</v>
      </c>
      <c r="F91" s="57" t="n">
        <v>15</v>
      </c>
    </row>
    <row r="92">
      <c r="A92" s="56" t="inlineStr">
        <is>
          <t>current ltd</t>
        </is>
      </c>
      <c r="B92" s="60" t="n"/>
      <c r="C92" s="60" t="n"/>
      <c r="D92" s="57" t="n">
        <v>0</v>
      </c>
      <c r="E92" s="57" t="n">
        <v>0.2</v>
      </c>
      <c r="F92" s="57" t="n">
        <v>1.2</v>
      </c>
    </row>
    <row r="93">
      <c r="A93" s="56" t="inlineStr">
        <is>
          <t>equity owner</t>
        </is>
      </c>
      <c r="B93" s="57" t="n">
        <v>11</v>
      </c>
      <c r="C93" s="57" t="n">
        <v>15</v>
      </c>
      <c r="D93" s="57" t="n">
        <v>12.8</v>
      </c>
      <c r="E93" s="57" t="n">
        <v>14</v>
      </c>
      <c r="F93" s="57" t="n">
        <v>15</v>
      </c>
    </row>
    <row r="95">
      <c r="A95" s="54" t="inlineStr">
        <is>
          <t>cf annual</t>
        </is>
      </c>
      <c r="B95" s="54" t="n"/>
      <c r="C95" s="54" t="n"/>
      <c r="D95" s="54" t="n"/>
      <c r="E95" s="54" t="n"/>
      <c r="F95" s="54" t="n"/>
      <c r="G95" s="54" t="n"/>
      <c r="H95" s="54" t="n"/>
      <c r="I95" s="54" t="n"/>
      <c r="J95" s="54" t="n"/>
      <c r="K95" s="54" t="n"/>
      <c r="L95" s="54" t="n"/>
    </row>
    <row r="96">
      <c r="A96" s="55" t="inlineStr">
        <is>
          <t>항목</t>
        </is>
      </c>
      <c r="B96" s="55" t="inlineStr">
        <is>
          <t>2022</t>
        </is>
      </c>
      <c r="C96" s="55" t="inlineStr">
        <is>
          <t>2023</t>
        </is>
      </c>
      <c r="D96" s="55" t="inlineStr">
        <is>
          <t>2024</t>
        </is>
      </c>
      <c r="E96" s="55" t="inlineStr">
        <is>
          <t>2025</t>
        </is>
      </c>
      <c r="F96" s="55" t="inlineStr">
        <is>
          <t>2026</t>
        </is>
      </c>
      <c r="L96" s="55" t="inlineStr">
        <is>
          <t>출처</t>
        </is>
      </c>
    </row>
    <row r="97">
      <c r="A97" s="56" t="inlineStr">
        <is>
          <t>labels</t>
        </is>
      </c>
      <c r="B97" s="59" t="n">
        <v>2022</v>
      </c>
      <c r="C97" s="59" t="n">
        <v>2023</v>
      </c>
      <c r="D97" s="59" t="n">
        <v>2024</v>
      </c>
      <c r="E97" s="59" t="n">
        <v>2025</v>
      </c>
      <c r="F97" s="59" t="n">
        <v>2026</v>
      </c>
      <c r="L97" s="58" t="inlineStr">
        <is>
          <t>2단계 보고서 자료(회사 설명회 자료·공시)</t>
        </is>
      </c>
    </row>
    <row r="98">
      <c r="A98" s="56" t="inlineStr">
        <is>
          <t>ocf</t>
        </is>
      </c>
      <c r="B98" s="57" t="n">
        <v>2.5</v>
      </c>
      <c r="C98" s="57" t="n">
        <v>2.1</v>
      </c>
      <c r="D98" s="57" t="n">
        <v>1.7</v>
      </c>
      <c r="E98" s="57" t="n">
        <v>0.3</v>
      </c>
      <c r="F98" s="57" t="n">
        <v>0.4</v>
      </c>
    </row>
    <row r="99">
      <c r="A99" s="56" t="inlineStr">
        <is>
          <t>설비투자</t>
        </is>
      </c>
      <c r="B99" s="57" t="n">
        <v>0.9</v>
      </c>
      <c r="C99" s="57" t="n">
        <v>1.7</v>
      </c>
      <c r="D99" s="57" t="n">
        <v>5.3</v>
      </c>
      <c r="E99" s="57" t="n">
        <v>0.8</v>
      </c>
      <c r="F99" s="57" t="n">
        <v>5.7</v>
      </c>
    </row>
    <row r="100">
      <c r="A100" s="56" t="inlineStr">
        <is>
          <t>dividends</t>
        </is>
      </c>
      <c r="B100" s="57" t="n">
        <v>0.2</v>
      </c>
      <c r="C100" s="57" t="n">
        <v>0.2</v>
      </c>
      <c r="D100" s="57" t="n">
        <v>0.3</v>
      </c>
      <c r="E100" s="57" t="n">
        <v>0.2</v>
      </c>
      <c r="F100" s="57" t="n">
        <v>0.2</v>
      </c>
    </row>
    <row r="102">
      <c r="A102" s="54" t="inlineStr">
        <is>
          <t>annual extra</t>
        </is>
      </c>
      <c r="B102" s="54" t="n"/>
      <c r="C102" s="54" t="n"/>
      <c r="D102" s="54" t="n"/>
      <c r="E102" s="54" t="n"/>
      <c r="F102" s="54" t="n"/>
      <c r="G102" s="54" t="n"/>
      <c r="H102" s="54" t="n"/>
      <c r="I102" s="54" t="n"/>
      <c r="J102" s="54" t="n"/>
      <c r="K102" s="54" t="n"/>
      <c r="L102" s="54" t="n"/>
    </row>
    <row r="103">
      <c r="A103" s="55" t="inlineStr">
        <is>
          <t>항목</t>
        </is>
      </c>
      <c r="B103" s="55" t="inlineStr">
        <is>
          <t>FY2/17</t>
        </is>
      </c>
      <c r="C103" s="55" t="inlineStr">
        <is>
          <t>FY2/18</t>
        </is>
      </c>
      <c r="D103" s="55" t="inlineStr">
        <is>
          <t>FY2/19</t>
        </is>
      </c>
      <c r="E103" s="55" t="inlineStr">
        <is>
          <t>FY2/20</t>
        </is>
      </c>
      <c r="F103" s="55" t="inlineStr">
        <is>
          <t>FY2/21</t>
        </is>
      </c>
      <c r="G103" s="55" t="inlineStr">
        <is>
          <t>FY2/22</t>
        </is>
      </c>
      <c r="H103" s="55" t="inlineStr">
        <is>
          <t>FY2/23</t>
        </is>
      </c>
      <c r="I103" s="55" t="inlineStr">
        <is>
          <t>FY2/24</t>
        </is>
      </c>
      <c r="J103" s="55" t="inlineStr">
        <is>
          <t>FY2/25</t>
        </is>
      </c>
      <c r="K103" s="55" t="inlineStr">
        <is>
          <t>FY2/26</t>
        </is>
      </c>
      <c r="L103" s="55" t="inlineStr">
        <is>
          <t>출처</t>
        </is>
      </c>
    </row>
    <row r="104">
      <c r="A104" s="56" t="inlineStr">
        <is>
          <t>ordinary</t>
        </is>
      </c>
      <c r="B104" s="57" t="n">
        <v>0.23</v>
      </c>
      <c r="C104" s="57" t="n">
        <v>-0.44</v>
      </c>
      <c r="D104" s="57" t="n">
        <v>0.75</v>
      </c>
      <c r="E104" s="57" t="n">
        <v>-0.59</v>
      </c>
      <c r="F104" s="57" t="n">
        <v>0.57</v>
      </c>
      <c r="G104" s="57" t="n">
        <v>0.6899999999999999</v>
      </c>
      <c r="H104" s="57" t="n">
        <v>0.32</v>
      </c>
      <c r="I104" s="57" t="n">
        <v>0.66</v>
      </c>
      <c r="J104" s="57" t="n">
        <v>1.23</v>
      </c>
      <c r="K104" s="57" t="n">
        <v>0.55</v>
      </c>
      <c r="L104" s="58" t="inlineStr">
        <is>
          <t>FY2/23까지 dps는 분할 전 기준(3으로 나누면 조정). annual 라벨 2017=FY2/17</t>
        </is>
      </c>
    </row>
    <row r="105">
      <c r="A105" s="56" t="inlineStr">
        <is>
          <t>dps raw</t>
        </is>
      </c>
      <c r="B105" s="59" t="n">
        <v>4</v>
      </c>
      <c r="C105" s="59" t="n">
        <v>30</v>
      </c>
      <c r="D105" s="59" t="n">
        <v>40</v>
      </c>
      <c r="E105" s="59" t="n">
        <v>30</v>
      </c>
      <c r="F105" s="59" t="n">
        <v>40</v>
      </c>
      <c r="G105" s="59" t="n">
        <v>50</v>
      </c>
      <c r="H105" s="59" t="n">
        <v>50</v>
      </c>
      <c r="I105" s="59" t="n">
        <v>17</v>
      </c>
      <c r="J105" s="59" t="n">
        <v>18</v>
      </c>
      <c r="K105" s="59" t="n">
        <v>18</v>
      </c>
    </row>
    <row r="107">
      <c r="A107" s="54" t="inlineStr">
        <is>
          <t>peer prices last</t>
        </is>
      </c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</row>
    <row r="108">
      <c r="A108" s="55" t="inlineStr">
        <is>
          <t>항목</t>
        </is>
      </c>
      <c r="B108" s="55" t="inlineStr">
        <is>
          <t>값</t>
        </is>
      </c>
      <c r="L108" s="55" t="inlineStr">
        <is>
          <t>출처</t>
        </is>
      </c>
    </row>
    <row r="109">
      <c r="A109" s="56" t="inlineStr">
        <is>
          <t>2209</t>
        </is>
      </c>
      <c r="B109" s="59" t="n">
        <v>2187</v>
      </c>
      <c r="L109" s="58" t="inlineStr">
        <is>
          <t>2단계 보고서 자료(회사 설명회 자료·공시)</t>
        </is>
      </c>
    </row>
    <row r="110">
      <c r="A110" s="56" t="inlineStr">
        <is>
          <t>2206</t>
        </is>
      </c>
      <c r="B110" s="59" t="n">
        <v>4917</v>
      </c>
    </row>
    <row r="111">
      <c r="A111" s="56" t="inlineStr">
        <is>
          <t>2264</t>
        </is>
      </c>
      <c r="B111" s="59" t="n">
        <v>1077</v>
      </c>
    </row>
    <row r="112">
      <c r="A112" s="56" t="inlineStr">
        <is>
          <t>2269</t>
        </is>
      </c>
      <c r="B112" s="59" t="n">
        <v>4189</v>
      </c>
    </row>
    <row r="114">
      <c r="A114" s="54" t="inlineStr">
        <is>
          <t>peer_mcap_억엔</t>
        </is>
      </c>
      <c r="B114" s="54" t="n"/>
      <c r="C114" s="54" t="n"/>
      <c r="D114" s="54" t="n"/>
      <c r="E114" s="54" t="n"/>
      <c r="F114" s="54" t="n"/>
      <c r="G114" s="54" t="n"/>
      <c r="H114" s="54" t="n"/>
      <c r="I114" s="54" t="n"/>
      <c r="J114" s="54" t="n"/>
      <c r="K114" s="54" t="n"/>
      <c r="L114" s="54" t="n"/>
    </row>
    <row r="115">
      <c r="A115" s="55" t="inlineStr">
        <is>
          <t>항목</t>
        </is>
      </c>
      <c r="B115" s="55" t="inlineStr">
        <is>
          <t>값</t>
        </is>
      </c>
      <c r="L115" s="55" t="inlineStr">
        <is>
          <t>출처</t>
        </is>
      </c>
    </row>
    <row r="116">
      <c r="A116" s="56" t="inlineStr">
        <is>
          <t>2209</t>
        </is>
      </c>
      <c r="B116" s="57" t="n">
        <v>279.9</v>
      </c>
      <c r="L116" s="58" t="inlineStr">
        <is>
          <t>2단계 보고서 자료(회사 설명회 자료·공시)</t>
        </is>
      </c>
    </row>
    <row r="117">
      <c r="A117" s="56" t="inlineStr">
        <is>
          <t>2206</t>
        </is>
      </c>
      <c r="B117" s="59" t="n">
        <v>2923</v>
      </c>
    </row>
    <row r="118">
      <c r="A118" s="56" t="inlineStr">
        <is>
          <t>2264</t>
        </is>
      </c>
      <c r="B118" s="59" t="n">
        <v>3477</v>
      </c>
    </row>
    <row r="119">
      <c r="A119" s="56" t="inlineStr">
        <is>
          <t>2269</t>
        </is>
      </c>
      <c r="B119" s="59" t="n">
        <v>11359</v>
      </c>
    </row>
    <row r="121">
      <c r="A121" s="54" t="inlineStr">
        <is>
          <t>reactions</t>
        </is>
      </c>
      <c r="B121" s="54" t="n"/>
      <c r="C121" s="54" t="n"/>
      <c r="D121" s="54" t="n"/>
      <c r="E121" s="54" t="n"/>
      <c r="F121" s="54" t="n"/>
      <c r="G121" s="54" t="n"/>
      <c r="H121" s="54" t="n"/>
      <c r="I121" s="54" t="n"/>
      <c r="J121" s="54" t="n"/>
      <c r="K121" s="54" t="n"/>
      <c r="L121" s="54" t="n"/>
    </row>
    <row r="122">
      <c r="A122" s="55" t="inlineStr">
        <is>
          <t>항목</t>
        </is>
      </c>
      <c r="B122" s="55" t="inlineStr">
        <is>
          <t>기준일</t>
        </is>
      </c>
      <c r="C122" s="55" t="inlineStr">
        <is>
          <t>다음날</t>
        </is>
      </c>
      <c r="D122" s="55" t="inlineStr">
        <is>
          <t>등락%</t>
        </is>
      </c>
      <c r="L122" s="55" t="inlineStr">
        <is>
          <t>출처</t>
        </is>
      </c>
    </row>
    <row r="123">
      <c r="A123" s="56" t="inlineStr">
        <is>
          <t>2025-01-10</t>
        </is>
      </c>
      <c r="B123" s="60" t="inlineStr">
        <is>
          <t>2025-01-10</t>
        </is>
      </c>
      <c r="C123" s="60" t="inlineStr">
        <is>
          <t>2025-01-14</t>
        </is>
      </c>
      <c r="D123" s="57" t="n">
        <v>2.4</v>
      </c>
      <c r="L123" s="58" t="inlineStr">
        <is>
          <t>2단계 보고서 자료(회사 설명회 자료·공시)</t>
        </is>
      </c>
    </row>
    <row r="124">
      <c r="A124" s="56" t="inlineStr">
        <is>
          <t>2025-04-11</t>
        </is>
      </c>
      <c r="B124" s="60" t="inlineStr">
        <is>
          <t>2025-04-11</t>
        </is>
      </c>
      <c r="C124" s="60" t="inlineStr">
        <is>
          <t>2025-04-14</t>
        </is>
      </c>
      <c r="D124" s="57" t="n">
        <v>1</v>
      </c>
    </row>
    <row r="125">
      <c r="A125" s="56" t="inlineStr">
        <is>
          <t>2025-07-11</t>
        </is>
      </c>
      <c r="B125" s="60" t="inlineStr">
        <is>
          <t>2025-07-11</t>
        </is>
      </c>
      <c r="C125" s="60" t="inlineStr">
        <is>
          <t>2025-07-14</t>
        </is>
      </c>
      <c r="D125" s="57" t="n">
        <v>-0.8</v>
      </c>
    </row>
    <row r="126">
      <c r="A126" s="56" t="inlineStr">
        <is>
          <t>2025-10-14</t>
        </is>
      </c>
      <c r="B126" s="60" t="inlineStr">
        <is>
          <t>2025-10-14</t>
        </is>
      </c>
      <c r="C126" s="60" t="inlineStr">
        <is>
          <t>2025-10-15</t>
        </is>
      </c>
      <c r="D126" s="57" t="n">
        <v>-3.7</v>
      </c>
    </row>
    <row r="127">
      <c r="A127" s="56" t="inlineStr">
        <is>
          <t>2026-01-09</t>
        </is>
      </c>
      <c r="B127" s="60" t="inlineStr">
        <is>
          <t>2026-01-09</t>
        </is>
      </c>
      <c r="C127" s="60" t="inlineStr">
        <is>
          <t>2026-01-13</t>
        </is>
      </c>
      <c r="D127" s="57" t="n">
        <v>-2.4</v>
      </c>
    </row>
    <row r="128">
      <c r="A128" s="56" t="inlineStr">
        <is>
          <t>2026-04-10</t>
        </is>
      </c>
      <c r="B128" s="60" t="inlineStr">
        <is>
          <t>2026-04-10</t>
        </is>
      </c>
      <c r="C128" s="60" t="inlineStr">
        <is>
          <t>2026-04-13</t>
        </is>
      </c>
      <c r="D128" s="57" t="n">
        <v>1.1</v>
      </c>
    </row>
    <row r="129">
      <c r="A129" s="56" t="inlineStr">
        <is>
          <t>2026-07-14</t>
        </is>
      </c>
      <c r="B129" s="60" t="inlineStr">
        <is>
          <t>2026-07-14</t>
        </is>
      </c>
      <c r="C129" s="60" t="inlineStr">
        <is>
          <t>2026-07-15</t>
        </is>
      </c>
      <c r="D129" s="57" t="n">
        <v>-0.3</v>
      </c>
    </row>
    <row r="130">
      <c r="A130" s="56" t="inlineStr">
        <is>
          <t>2026-10-14</t>
        </is>
      </c>
      <c r="B130" s="60" t="inlineStr">
        <is>
          <t>2026-10-14</t>
        </is>
      </c>
      <c r="C130" s="60" t="inlineStr">
        <is>
          <t>2026-10-15</t>
        </is>
      </c>
      <c r="D130" s="57" t="n">
        <v>-0.3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2026-10-14</t>
        </is>
      </c>
      <c r="B4" t="inlineStr">
        <is>
          <t>2027년 2월 결산기 ２분기 결산단신</t>
        </is>
      </c>
      <c r="C4" t="inlineStr">
        <is>
          <t>https://www2.jpx.co.jp/disc/28720/140120261014550120.pdf</t>
        </is>
      </c>
    </row>
    <row r="5">
      <c r="A5" t="inlineStr">
        <is>
          <t>2026-07-14</t>
        </is>
      </c>
      <c r="B5" t="inlineStr">
        <is>
          <t>2027년 2월 결산기 １분기 결산단신</t>
        </is>
      </c>
      <c r="C5" t="inlineStr">
        <is>
          <t>https://www2.jpx.co.jp/disc/28720/140120260714592656.pdf</t>
        </is>
      </c>
    </row>
    <row r="6">
      <c r="A6" t="inlineStr">
        <is>
          <t>2026-04-10</t>
        </is>
      </c>
      <c r="B6" t="inlineStr">
        <is>
          <t>2026년 2월 결산기 연간 결산단신</t>
        </is>
      </c>
      <c r="C6" t="inlineStr">
        <is>
          <t>https://www2.jpx.co.jp/disc/28720/140120260410501869.pdf</t>
        </is>
      </c>
    </row>
    <row r="7">
      <c r="A7" t="inlineStr">
        <is>
          <t>2026-01-09</t>
        </is>
      </c>
      <c r="B7" t="inlineStr">
        <is>
          <t>2026년 2월 결산기 ３분기 결산단신</t>
        </is>
      </c>
      <c r="C7" t="inlineStr">
        <is>
          <t>https://www2.jpx.co.jp/disc/28720/140120260108531160.pdf</t>
        </is>
      </c>
    </row>
    <row r="8">
      <c r="A8" t="inlineStr">
        <is>
          <t>2025-10-14</t>
        </is>
      </c>
      <c r="B8" t="inlineStr">
        <is>
          <t>2026년 2월 결산기 ２분기 결산단신</t>
        </is>
      </c>
      <c r="C8" t="inlineStr">
        <is>
          <t>https://www2.jpx.co.jp/disc/28720/140120251014572351.pdf</t>
        </is>
      </c>
    </row>
    <row r="9">
      <c r="A9" t="inlineStr">
        <is>
          <t>2025-07-11</t>
        </is>
      </c>
      <c r="B9" t="inlineStr">
        <is>
          <t>2026년 2월 결산기 １분기 결산단신</t>
        </is>
      </c>
      <c r="C9" t="inlineStr">
        <is>
          <t>https://www2.jpx.co.jp/disc/28720/140120250711512468.pdf</t>
        </is>
      </c>
    </row>
    <row r="10">
      <c r="A10" t="inlineStr">
        <is>
          <t>2025-04-11</t>
        </is>
      </c>
      <c r="B10" t="inlineStr">
        <is>
          <t>2025년 2월 결산기 연간 결산단신</t>
        </is>
      </c>
      <c r="C10" t="inlineStr">
        <is>
          <t>https://www2.jpx.co.jp/disc/28720/140120250411513769.pdf</t>
        </is>
      </c>
    </row>
    <row r="11">
      <c r="A11" t="inlineStr">
        <is>
          <t>2025-01-10</t>
        </is>
      </c>
      <c r="B11" t="inlineStr">
        <is>
          <t>2025년 2월 결산기 ３분기 결산단신</t>
        </is>
      </c>
      <c r="C11" t="inlineStr">
        <is>
          <t>https://www2.jpx.co.jp/disc/28720/140120250109548769.pdf</t>
        </is>
      </c>
    </row>
    <row r="12">
      <c r="A12" t="inlineStr">
        <is>
          <t>2024-10-10</t>
        </is>
      </c>
      <c r="B12" t="inlineStr">
        <is>
          <t>2025년 2월 결산기 ２분기 결산단신</t>
        </is>
      </c>
      <c r="C12" t="inlineStr">
        <is>
          <t>https://www2.jpx.co.jp/disc/28720/140120241010595956.pdf</t>
        </is>
      </c>
    </row>
    <row r="13">
      <c r="A13" t="inlineStr">
        <is>
          <t>2024-07-12</t>
        </is>
      </c>
      <c r="B13" t="inlineStr">
        <is>
          <t>2025년 2월 결산기 １분기 결산단신</t>
        </is>
      </c>
      <c r="C13" t="inlineStr">
        <is>
          <t>https://www2.jpx.co.jp/disc/28720/140120240712548366.pdf</t>
        </is>
      </c>
    </row>
    <row r="14">
      <c r="A14" t="inlineStr">
        <is>
          <t>2024-04-12</t>
        </is>
      </c>
      <c r="B14" t="inlineStr">
        <is>
          <t>2024년 2월 결산기 연간 결산단신</t>
        </is>
      </c>
      <c r="C14" t="inlineStr">
        <is>
          <t>https://www2.jpx.co.jp/disc/28720/140120240412569795.pdf</t>
        </is>
      </c>
    </row>
    <row r="15">
      <c r="A15" t="inlineStr">
        <is>
          <t>2024-01-11</t>
        </is>
      </c>
      <c r="B15" t="inlineStr">
        <is>
          <t>2024년 2월 결산기 ３분기 결산단신</t>
        </is>
      </c>
      <c r="C15" t="inlineStr">
        <is>
          <t>https://www2.jpx.co.jp/disc/28720/140120240111513166.pdf</t>
        </is>
      </c>
    </row>
    <row r="16">
      <c r="A16" t="inlineStr">
        <is>
          <t>2023-10-12</t>
        </is>
      </c>
      <c r="B16" t="inlineStr">
        <is>
          <t>2024년 2월 결산기 ２분기 결산단신</t>
        </is>
      </c>
      <c r="C16" t="inlineStr">
        <is>
          <t>https://www2.jpx.co.jp/disc/28720/140120231011565146.pdf</t>
        </is>
      </c>
    </row>
    <row r="17">
      <c r="A17" t="inlineStr">
        <is>
          <t>2023-07-13</t>
        </is>
      </c>
      <c r="B17" t="inlineStr">
        <is>
          <t>2024년 2월 결산기 １분기 결산단신</t>
        </is>
      </c>
      <c r="C17" t="inlineStr">
        <is>
          <t>https://www2.jpx.co.jp/disc/28720/140120230713521370.pdf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https://www2.jpx.co.jp/disc/28720/140120230413546983.pdf</t>
        </is>
      </c>
    </row>
    <row r="19">
      <c r="A19" t="inlineStr">
        <is>
          <t>2023-01-12</t>
        </is>
      </c>
      <c r="B19" t="inlineStr">
        <is>
          <t>2023년 2월 결산기 ３분기 결산단신</t>
        </is>
      </c>
      <c r="C19" t="inlineStr">
        <is>
          <t>https://www2.jpx.co.jp/disc/28720/140120230112588205.pdf</t>
        </is>
      </c>
    </row>
    <row r="20">
      <c r="A20" t="inlineStr">
        <is>
          <t>2022-04-08</t>
        </is>
      </c>
      <c r="B20" t="inlineStr">
        <is>
          <t>2022년 2월 결산기 연간 결산단신</t>
        </is>
      </c>
      <c r="C20" t="inlineStr">
        <is>
          <t>https://www2.jpx.co.jp/disc/28720/140120220408518986.pdf</t>
        </is>
      </c>
    </row>
    <row r="21">
      <c r="A21" t="inlineStr">
        <is>
          <t>2021-04-09</t>
        </is>
      </c>
      <c r="B21" t="inlineStr">
        <is>
          <t>2021년 2월 결산기 연간 결산단신</t>
        </is>
      </c>
      <c r="C21" t="inlineStr">
        <is>
          <t>https://www2.jpx.co.jp/disc/28720/140120210408491453.pdf</t>
        </is>
      </c>
    </row>
    <row r="22">
      <c r="A22" t="inlineStr">
        <is>
          <t>2020-04-10</t>
        </is>
      </c>
      <c r="B22" t="inlineStr">
        <is>
          <t>2020년 2월 결산기 연간 결산단신</t>
        </is>
      </c>
      <c r="C22" t="inlineStr">
        <is>
          <t>https://www2.jpx.co.jp/disc/28720/140120200409491836.pdf</t>
        </is>
      </c>
    </row>
    <row r="23">
      <c r="A23" t="inlineStr">
        <is>
          <t>2019-04-12</t>
        </is>
      </c>
      <c r="B23" t="inlineStr">
        <is>
          <t>2019년 2월 결산기 연간 결산단신</t>
        </is>
      </c>
      <c r="C23" t="inlineStr">
        <is>
          <t>https://www2.jpx.co.jp/disc/28720/140120190411403633.pdf</t>
        </is>
      </c>
    </row>
    <row r="24">
      <c r="A24" t="inlineStr">
        <is>
          <t>2018-04-13</t>
        </is>
      </c>
      <c r="B24" t="inlineStr">
        <is>
          <t>2018년 2월 결산기 연간 결산단신</t>
        </is>
      </c>
      <c r="C24" t="inlineStr">
        <is>
          <t>https://www2.jpx.co.jp/disc/28720/140120180412410383.pdf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2026-10-28T07:47:35Z</dcterms:created>
  <dcterms:modified xmlns:dcterms="http://purl.org/dc/terms/" xmlns:xsi="http://www.w3.org/2001/XMLSchema-instance" xsi:type="dcterms:W3CDTF">2026-10-28T07:47:35Z</dcterms:modified>
</cp:coreProperties>
</file>