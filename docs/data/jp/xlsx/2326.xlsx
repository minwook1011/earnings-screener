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6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8" borderId="0" applyAlignment="1" pivotButton="0" quotePrefix="0" xfId="0">
      <alignment horizontal="center"/>
    </xf>
    <xf numFmtId="0" fontId="25" fillId="0" borderId="0" pivotButton="0" quotePrefix="0" xfId="0"/>
    <xf numFmtId="3" fontId="25" fillId="0" borderId="0" pivotButton="0" quotePrefix="0" xfId="0"/>
    <xf numFmtId="170" fontId="25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8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2326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2759</v>
      </c>
      <c r="D4" s="12" t="n">
        <v>3190</v>
      </c>
      <c r="E4" s="12" t="n">
        <v>2234</v>
      </c>
      <c r="F4" s="12" t="n">
        <v>2604</v>
      </c>
      <c r="G4" s="12" t="n">
        <v>2436</v>
      </c>
      <c r="H4" s="12" t="n">
        <v>2708</v>
      </c>
      <c r="I4" s="12" t="n">
        <v>2270</v>
      </c>
      <c r="J4" s="12" t="n">
        <v>2722</v>
      </c>
      <c r="K4" s="12" t="n">
        <v>2843</v>
      </c>
      <c r="L4" s="12" t="n">
        <v>3000</v>
      </c>
      <c r="M4" s="12" t="n">
        <v>2711</v>
      </c>
      <c r="N4" s="12" t="n">
        <v>3313</v>
      </c>
      <c r="O4" s="11" t="n">
        <v>5058.685</v>
      </c>
      <c r="P4" s="12" t="n">
        <v>5116.969</v>
      </c>
      <c r="Q4" s="12" t="n">
        <v>5841.287</v>
      </c>
      <c r="R4" s="12" t="n">
        <v>5641</v>
      </c>
      <c r="S4" s="12" t="n">
        <v>6825</v>
      </c>
      <c r="T4" s="12" t="n">
        <v>9051</v>
      </c>
      <c r="U4" s="12" t="n">
        <v>10436</v>
      </c>
      <c r="V4" s="12" t="n">
        <v>11512</v>
      </c>
      <c r="W4" s="12" t="n">
        <v>9982</v>
      </c>
      <c r="X4" s="12" t="n">
        <v>10835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1178</v>
      </c>
      <c r="D11" s="22" t="n">
        <v>1277</v>
      </c>
      <c r="E11" s="22" t="n">
        <v>726</v>
      </c>
      <c r="F11" s="22" t="n">
        <v>756</v>
      </c>
      <c r="G11" s="22" t="n">
        <v>746</v>
      </c>
      <c r="H11" s="22" t="n">
        <v>720</v>
      </c>
      <c r="I11" s="22" t="n">
        <v>739</v>
      </c>
      <c r="J11" s="22" t="n">
        <v>820</v>
      </c>
      <c r="K11" s="22" t="n">
        <v>879</v>
      </c>
      <c r="L11" s="22" t="n">
        <v>896</v>
      </c>
      <c r="M11" s="22" t="n">
        <v>949</v>
      </c>
      <c r="N11" s="22" t="n">
        <v>915</v>
      </c>
      <c r="O11" s="21" t="n">
        <v>1007.151</v>
      </c>
      <c r="P11" s="22" t="n">
        <v>1075.437</v>
      </c>
      <c r="Q11" s="22" t="n">
        <v>1059.444</v>
      </c>
      <c r="R11" s="22" t="n">
        <v>1361</v>
      </c>
      <c r="S11" s="22" t="n">
        <v>1946</v>
      </c>
      <c r="T11" s="22" t="n">
        <v>2676</v>
      </c>
      <c r="U11" s="22" t="n">
        <v>3666</v>
      </c>
      <c r="V11" s="22" t="n">
        <v>4583</v>
      </c>
      <c r="W11" s="22" t="n">
        <v>2948</v>
      </c>
      <c r="X11" s="22" t="n">
        <v>3334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646</v>
      </c>
      <c r="D17" s="22" t="n">
        <v>608</v>
      </c>
      <c r="E17" s="22" t="n">
        <v>669</v>
      </c>
      <c r="F17" s="22" t="n">
        <v>633</v>
      </c>
      <c r="G17" s="22" t="n">
        <v>598</v>
      </c>
      <c r="H17" s="22" t="n">
        <v>574</v>
      </c>
      <c r="I17" s="22" t="n">
        <v>735</v>
      </c>
      <c r="J17" s="22" t="n">
        <v>676</v>
      </c>
      <c r="K17" s="22" t="n">
        <v>643</v>
      </c>
      <c r="L17" s="22" t="n">
        <v>654</v>
      </c>
      <c r="M17" s="22" t="n">
        <v>725</v>
      </c>
      <c r="N17" s="22" t="n">
        <v>648</v>
      </c>
      <c r="O17" s="21" t="n">
        <v>2227.284</v>
      </c>
      <c r="P17" s="22" t="n">
        <v>2138.614</v>
      </c>
      <c r="Q17" s="22" t="n">
        <v>2152.75</v>
      </c>
      <c r="R17" s="22" t="n">
        <v>1952</v>
      </c>
      <c r="S17" s="22" t="n">
        <v>1900</v>
      </c>
      <c r="T17" s="22" t="n">
        <v>2248</v>
      </c>
      <c r="U17" s="22" t="n">
        <v>2356</v>
      </c>
      <c r="V17" s="22" t="n">
        <v>2500</v>
      </c>
      <c r="W17" s="22" t="n">
        <v>2474</v>
      </c>
      <c r="X17" s="22" t="n">
        <v>2708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934</v>
      </c>
      <c r="D19" s="12" t="n">
        <v>1305</v>
      </c>
      <c r="E19" s="12" t="n">
        <v>838</v>
      </c>
      <c r="F19" s="12" t="n">
        <v>1214</v>
      </c>
      <c r="G19" s="12" t="n">
        <v>1093</v>
      </c>
      <c r="H19" s="12" t="n">
        <v>1413</v>
      </c>
      <c r="I19" s="12" t="n">
        <v>795</v>
      </c>
      <c r="J19" s="12" t="n">
        <v>1226</v>
      </c>
      <c r="K19" s="12" t="n">
        <v>1321</v>
      </c>
      <c r="L19" s="12" t="n">
        <v>1449</v>
      </c>
      <c r="M19" s="12" t="n">
        <v>1035</v>
      </c>
      <c r="N19" s="12" t="n">
        <v>1750</v>
      </c>
      <c r="O19" s="11" t="n">
        <v>1824.248</v>
      </c>
      <c r="P19" s="12" t="n">
        <v>1902.917</v>
      </c>
      <c r="Q19" s="12" t="n">
        <v>2629.092</v>
      </c>
      <c r="R19" s="12" t="n">
        <v>2328</v>
      </c>
      <c r="S19" s="12" t="n">
        <v>2977</v>
      </c>
      <c r="T19" s="12" t="n">
        <v>4126</v>
      </c>
      <c r="U19" s="12" t="n">
        <v>4413</v>
      </c>
      <c r="V19" s="12" t="n">
        <v>4427</v>
      </c>
      <c r="W19" s="12" t="n">
        <v>4558</v>
      </c>
      <c r="X19" s="12" t="n">
        <v>4791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>
        <v>0</v>
      </c>
      <c r="D35" s="22" t="n">
        <v>1931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1" t="n">
        <v>0.318</v>
      </c>
      <c r="P35" s="22" t="n">
        <v>7.299</v>
      </c>
      <c r="Q35" s="22" t="n">
        <v>2.135</v>
      </c>
      <c r="R35" s="22" t="n">
        <v>0</v>
      </c>
      <c r="S35" s="22" t="n">
        <v>12</v>
      </c>
      <c r="T35" s="22" t="n">
        <v>1</v>
      </c>
      <c r="U35" s="22" t="n">
        <v>1</v>
      </c>
      <c r="V35" s="22" t="n">
        <v>1935</v>
      </c>
      <c r="W35" s="22" t="n">
        <v>0</v>
      </c>
      <c r="X35" s="22" t="n">
        <v>0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>
        <v>0</v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1" t="n">
        <v>8.602</v>
      </c>
      <c r="P37" s="22" t="n">
        <v>10.204</v>
      </c>
      <c r="Q37" s="22" t="n">
        <v>69.866</v>
      </c>
      <c r="R37" s="22" t="n">
        <v>1</v>
      </c>
      <c r="S37" s="22" t="n">
        <v>2</v>
      </c>
      <c r="T37" s="22" t="n">
        <v>0</v>
      </c>
      <c r="U37" s="22" t="n">
        <v>0</v>
      </c>
      <c r="V37" s="22" t="n">
        <v>0</v>
      </c>
      <c r="W37" s="22" t="n">
        <v>0</v>
      </c>
      <c r="X37" s="22" t="n">
        <v>0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-2</v>
      </c>
      <c r="D39" s="22" t="n">
        <v>6</v>
      </c>
      <c r="E39" s="22" t="n">
        <v>8</v>
      </c>
      <c r="F39" s="22" t="n">
        <v>-6</v>
      </c>
      <c r="G39" s="22" t="n">
        <v>3</v>
      </c>
      <c r="H39" s="22" t="n">
        <v>-1</v>
      </c>
      <c r="I39" s="22" t="n">
        <v>11</v>
      </c>
      <c r="J39" s="22" t="n">
        <v>8</v>
      </c>
      <c r="K39" s="22" t="n">
        <v>15</v>
      </c>
      <c r="L39" s="22" t="n">
        <v>16</v>
      </c>
      <c r="M39" s="22" t="n">
        <v>25</v>
      </c>
      <c r="N39" s="22" t="n">
        <v>30</v>
      </c>
      <c r="O39" s="21" t="n">
        <v>2.833</v>
      </c>
      <c r="P39" s="22" t="n">
        <v>6.736</v>
      </c>
      <c r="Q39" s="22" t="n">
        <v>4.204</v>
      </c>
      <c r="R39" s="22" t="n">
        <v>4</v>
      </c>
      <c r="S39" s="22" t="n">
        <v>14</v>
      </c>
      <c r="T39" s="22" t="n">
        <v>8</v>
      </c>
      <c r="U39" s="22" t="n">
        <v>15</v>
      </c>
      <c r="V39" s="22" t="n">
        <v>17</v>
      </c>
      <c r="W39" s="22" t="n">
        <v>4</v>
      </c>
      <c r="X39" s="22" t="n">
        <v>50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1</v>
      </c>
      <c r="D41" s="22" t="n">
        <v>0</v>
      </c>
      <c r="E41" s="22" t="n">
        <v>0</v>
      </c>
      <c r="F41" s="22" t="n">
        <v>1</v>
      </c>
      <c r="G41" s="22" t="n">
        <v>-1</v>
      </c>
      <c r="H41" s="22" t="n">
        <v>0</v>
      </c>
      <c r="I41" s="22" t="n">
        <v>0</v>
      </c>
      <c r="J41" s="22" t="n">
        <v>0</v>
      </c>
      <c r="K41" s="22" t="n">
        <v>0</v>
      </c>
      <c r="L41" s="22" t="n">
        <v>0</v>
      </c>
      <c r="M41" s="22" t="n">
        <v>0</v>
      </c>
      <c r="N41" s="22" t="n">
        <v>2</v>
      </c>
      <c r="O41" s="21" t="n">
        <v>15.803</v>
      </c>
      <c r="P41" s="22" t="n">
        <v>0.276</v>
      </c>
      <c r="Q41" s="22" t="n">
        <v>2.333</v>
      </c>
      <c r="R41" s="22" t="n">
        <v>5</v>
      </c>
      <c r="S41" s="22" t="n">
        <v>0</v>
      </c>
      <c r="T41" s="22" t="n">
        <v>0</v>
      </c>
      <c r="U41" s="22" t="n">
        <v>0</v>
      </c>
      <c r="V41" s="22" t="n">
        <v>1</v>
      </c>
      <c r="W41" s="22" t="n">
        <v>0</v>
      </c>
      <c r="X41" s="22" t="n">
        <v>0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932</v>
      </c>
      <c r="D43" s="12" t="n">
        <v>3241</v>
      </c>
      <c r="E43" s="12" t="n">
        <v>847</v>
      </c>
      <c r="F43" s="12" t="n">
        <v>1207</v>
      </c>
      <c r="G43" s="12" t="n">
        <v>1096</v>
      </c>
      <c r="H43" s="12" t="n">
        <v>1413</v>
      </c>
      <c r="I43" s="12" t="n">
        <v>806</v>
      </c>
      <c r="J43" s="12" t="n">
        <v>1235</v>
      </c>
      <c r="K43" s="12" t="n">
        <v>1335</v>
      </c>
      <c r="L43" s="12" t="n">
        <v>1464</v>
      </c>
      <c r="M43" s="12" t="n">
        <v>1060</v>
      </c>
      <c r="N43" s="12" t="n">
        <v>1778</v>
      </c>
      <c r="O43" s="11" t="n">
        <v>1802.995</v>
      </c>
      <c r="P43" s="12" t="n">
        <v>1906.472</v>
      </c>
      <c r="Q43" s="12" t="n">
        <v>2563.232</v>
      </c>
      <c r="R43" s="12" t="n">
        <v>2326</v>
      </c>
      <c r="S43" s="12" t="n">
        <v>3001</v>
      </c>
      <c r="T43" s="12" t="n">
        <v>4136</v>
      </c>
      <c r="U43" s="12" t="n">
        <v>4430</v>
      </c>
      <c r="V43" s="12" t="n">
        <v>6378</v>
      </c>
      <c r="W43" s="12" t="n">
        <v>4563</v>
      </c>
      <c r="X43" s="12" t="n">
        <v>4840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289</v>
      </c>
      <c r="D45" s="22" t="n">
        <v>1023</v>
      </c>
      <c r="E45" s="22" t="n">
        <v>262</v>
      </c>
      <c r="F45" s="22" t="n">
        <v>374</v>
      </c>
      <c r="G45" s="22" t="n">
        <v>339</v>
      </c>
      <c r="H45" s="22" t="n">
        <v>405</v>
      </c>
      <c r="I45" s="22" t="n">
        <v>250</v>
      </c>
      <c r="J45" s="22" t="n">
        <v>383</v>
      </c>
      <c r="K45" s="22" t="n">
        <v>415</v>
      </c>
      <c r="L45" s="22" t="n">
        <v>365</v>
      </c>
      <c r="M45" s="22" t="n">
        <v>342</v>
      </c>
      <c r="N45" s="22" t="n">
        <v>572</v>
      </c>
      <c r="O45" s="21" t="n">
        <v>677.875</v>
      </c>
      <c r="P45" s="22" t="n">
        <v>622.715</v>
      </c>
      <c r="Q45" s="22" t="n">
        <v>598.869</v>
      </c>
      <c r="R45" s="22" t="n">
        <v>735</v>
      </c>
      <c r="S45" s="22" t="n">
        <v>939</v>
      </c>
      <c r="T45" s="22" t="n">
        <v>1229</v>
      </c>
      <c r="U45" s="22" t="n">
        <v>1365</v>
      </c>
      <c r="V45" s="22" t="n">
        <v>1995</v>
      </c>
      <c r="W45" s="22" t="n">
        <v>1380</v>
      </c>
      <c r="X45" s="22" t="n">
        <v>1413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643</v>
      </c>
      <c r="D47" s="12" t="n">
        <v>2218</v>
      </c>
      <c r="E47" s="12" t="n">
        <v>584</v>
      </c>
      <c r="F47" s="12" t="n">
        <v>833</v>
      </c>
      <c r="G47" s="12" t="n">
        <v>757</v>
      </c>
      <c r="H47" s="12" t="n">
        <v>1009</v>
      </c>
      <c r="I47" s="12" t="n">
        <v>556</v>
      </c>
      <c r="J47" s="12" t="n">
        <v>852</v>
      </c>
      <c r="K47" s="12" t="n">
        <v>920</v>
      </c>
      <c r="L47" s="12" t="n">
        <v>1099</v>
      </c>
      <c r="M47" s="12" t="n">
        <v>718</v>
      </c>
      <c r="N47" s="12" t="n">
        <v>1206</v>
      </c>
      <c r="O47" s="11" t="n">
        <v>1125.119</v>
      </c>
      <c r="P47" s="12" t="n">
        <v>1283.756</v>
      </c>
      <c r="Q47" s="12" t="n">
        <v>1964.363</v>
      </c>
      <c r="R47" s="12" t="n">
        <v>1590</v>
      </c>
      <c r="S47" s="12" t="n">
        <v>2062</v>
      </c>
      <c r="T47" s="12" t="n">
        <v>2906</v>
      </c>
      <c r="U47" s="12" t="n">
        <v>3064</v>
      </c>
      <c r="V47" s="12" t="n">
        <v>4383</v>
      </c>
      <c r="W47" s="12" t="n">
        <v>3183</v>
      </c>
      <c r="X47" s="12" t="n">
        <v>3427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641</v>
      </c>
      <c r="D49" s="12" t="n">
        <v>2215</v>
      </c>
      <c r="E49" s="12" t="n">
        <v>584</v>
      </c>
      <c r="F49" s="12" t="n">
        <v>833</v>
      </c>
      <c r="G49" s="12" t="n">
        <v>757</v>
      </c>
      <c r="H49" s="12" t="n">
        <v>1009</v>
      </c>
      <c r="I49" s="12" t="n">
        <v>556</v>
      </c>
      <c r="J49" s="12" t="n">
        <v>852</v>
      </c>
      <c r="K49" s="12" t="n">
        <v>920</v>
      </c>
      <c r="L49" s="12" t="n">
        <v>1099</v>
      </c>
      <c r="M49" s="12" t="n">
        <v>718</v>
      </c>
      <c r="N49" s="12" t="n">
        <v>1206</v>
      </c>
      <c r="O49" s="11" t="n">
        <v>1125.043</v>
      </c>
      <c r="P49" s="12" t="n">
        <v>1281.924</v>
      </c>
      <c r="Q49" s="12" t="n">
        <v>1961.276</v>
      </c>
      <c r="R49" s="12" t="n">
        <v>1590</v>
      </c>
      <c r="S49" s="12" t="n">
        <v>2059</v>
      </c>
      <c r="T49" s="12" t="n">
        <v>2900</v>
      </c>
      <c r="U49" s="12" t="n">
        <v>3062</v>
      </c>
      <c r="V49" s="12" t="n">
        <v>4377</v>
      </c>
      <c r="W49" s="12" t="n">
        <v>3183</v>
      </c>
      <c r="X49" s="12" t="n">
        <v>3427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2759</v>
      </c>
      <c r="D84" s="12" t="n">
        <v>3190</v>
      </c>
      <c r="E84" s="12" t="n">
        <v>2234</v>
      </c>
      <c r="F84" s="12" t="n">
        <v>2604</v>
      </c>
      <c r="G84" s="12" t="n">
        <v>2436</v>
      </c>
      <c r="H84" s="12" t="n">
        <v>2708</v>
      </c>
      <c r="I84" s="12" t="n">
        <v>2270</v>
      </c>
      <c r="J84" s="12" t="n">
        <v>2722</v>
      </c>
      <c r="K84" s="12" t="n">
        <v>2843</v>
      </c>
      <c r="L84" s="12" t="n">
        <v>3000</v>
      </c>
      <c r="M84" s="12" t="n">
        <v>2711</v>
      </c>
      <c r="N84" s="12" t="n">
        <v>3313</v>
      </c>
      <c r="T84" s="12" t="n">
        <v>2365</v>
      </c>
      <c r="U84" s="12" t="n">
        <v>2778</v>
      </c>
      <c r="V84" s="12" t="n">
        <v>3190</v>
      </c>
      <c r="W84" s="12" t="n">
        <v>2708</v>
      </c>
      <c r="X84" s="12" t="n">
        <v>3000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1178</v>
      </c>
      <c r="D86" s="22" t="n">
        <v>1277</v>
      </c>
      <c r="E86" s="22" t="n">
        <v>726</v>
      </c>
      <c r="F86" s="22" t="n">
        <v>756</v>
      </c>
      <c r="G86" s="22" t="n">
        <v>746</v>
      </c>
      <c r="H86" s="22" t="n">
        <v>720</v>
      </c>
      <c r="I86" s="22" t="n">
        <v>739</v>
      </c>
      <c r="J86" s="22" t="n">
        <v>820</v>
      </c>
      <c r="K86" s="22" t="n">
        <v>879</v>
      </c>
      <c r="L86" s="22" t="n">
        <v>896</v>
      </c>
      <c r="M86" s="22" t="n">
        <v>949</v>
      </c>
      <c r="N86" s="22" t="n">
        <v>915</v>
      </c>
      <c r="T86" s="22" t="n">
        <v>736</v>
      </c>
      <c r="U86" s="22" t="n">
        <v>1015</v>
      </c>
      <c r="V86" s="22" t="n">
        <v>1277</v>
      </c>
      <c r="W86" s="22" t="n">
        <v>720</v>
      </c>
      <c r="X86" s="22" t="n">
        <v>896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1580</v>
      </c>
      <c r="D88" s="12" t="n">
        <v>1913</v>
      </c>
      <c r="E88" s="12" t="n">
        <v>1508</v>
      </c>
      <c r="F88" s="12" t="n">
        <v>1847</v>
      </c>
      <c r="G88" s="12" t="n">
        <v>1690</v>
      </c>
      <c r="H88" s="12" t="n">
        <v>1988</v>
      </c>
      <c r="I88" s="12" t="n">
        <v>1531</v>
      </c>
      <c r="J88" s="12" t="n">
        <v>1902</v>
      </c>
      <c r="K88" s="12" t="n">
        <v>1964</v>
      </c>
      <c r="L88" s="12" t="n">
        <v>2103</v>
      </c>
      <c r="M88" s="12" t="n">
        <v>1761</v>
      </c>
      <c r="N88" s="12" t="n">
        <v>2398</v>
      </c>
      <c r="T88" s="12" t="n">
        <v>1628</v>
      </c>
      <c r="U88" s="12" t="n">
        <v>1763</v>
      </c>
      <c r="V88" s="12" t="n">
        <v>1913</v>
      </c>
      <c r="W88" s="12" t="n">
        <v>1988</v>
      </c>
      <c r="X88" s="12" t="n">
        <v>2103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646</v>
      </c>
      <c r="D90" s="22" t="n">
        <v>608</v>
      </c>
      <c r="E90" s="22" t="n">
        <v>669</v>
      </c>
      <c r="F90" s="22" t="n">
        <v>633</v>
      </c>
      <c r="G90" s="22" t="n">
        <v>598</v>
      </c>
      <c r="H90" s="22" t="n">
        <v>574</v>
      </c>
      <c r="I90" s="22" t="n">
        <v>735</v>
      </c>
      <c r="J90" s="22" t="n">
        <v>676</v>
      </c>
      <c r="K90" s="22" t="n">
        <v>643</v>
      </c>
      <c r="L90" s="22" t="n">
        <v>654</v>
      </c>
      <c r="M90" s="22" t="n">
        <v>725</v>
      </c>
      <c r="N90" s="22" t="n">
        <v>648</v>
      </c>
      <c r="T90" s="22" t="n">
        <v>527</v>
      </c>
      <c r="U90" s="22" t="n">
        <v>578</v>
      </c>
      <c r="V90" s="22" t="n">
        <v>608</v>
      </c>
      <c r="W90" s="22" t="n">
        <v>574</v>
      </c>
      <c r="X90" s="22" t="n">
        <v>654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934</v>
      </c>
      <c r="D92" s="12" t="n">
        <v>1305</v>
      </c>
      <c r="E92" s="12" t="n">
        <v>838</v>
      </c>
      <c r="F92" s="12" t="n">
        <v>1214</v>
      </c>
      <c r="G92" s="12" t="n">
        <v>1093</v>
      </c>
      <c r="H92" s="12" t="n">
        <v>1413</v>
      </c>
      <c r="I92" s="12" t="n">
        <v>795</v>
      </c>
      <c r="J92" s="12" t="n">
        <v>1226</v>
      </c>
      <c r="K92" s="12" t="n">
        <v>1321</v>
      </c>
      <c r="L92" s="12" t="n">
        <v>1449</v>
      </c>
      <c r="M92" s="12" t="n">
        <v>1035</v>
      </c>
      <c r="N92" s="12" t="n">
        <v>1750</v>
      </c>
      <c r="T92" s="12" t="n">
        <v>1102</v>
      </c>
      <c r="U92" s="12" t="n">
        <v>1185</v>
      </c>
      <c r="V92" s="12" t="n">
        <v>1305</v>
      </c>
      <c r="W92" s="12" t="n">
        <v>1413</v>
      </c>
      <c r="X92" s="12" t="n">
        <v>1449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T93" s="17">
        <f>IF(OR(T92="",T84=""),"",IF(T84&lt;=0,"",IFERROR(T92/T84,"")))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T94" s="17">
        <f>IF(OR(T92="",S92=""),"",IF(S92&lt;=0,"",IFERROR(T92/S92-1,"")))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C95" s="22" t="n">
        <v>0</v>
      </c>
      <c r="D95" s="22" t="n">
        <v>0</v>
      </c>
      <c r="E95" s="22" t="n">
        <v>0</v>
      </c>
      <c r="F95" s="22" t="n">
        <v>0</v>
      </c>
      <c r="G95" s="22" t="n">
        <v>0</v>
      </c>
      <c r="H95" s="22" t="n">
        <v>1</v>
      </c>
      <c r="I95" s="22" t="n">
        <v>5</v>
      </c>
      <c r="J95" s="22" t="n">
        <v>7</v>
      </c>
      <c r="K95" s="22" t="n">
        <v>8</v>
      </c>
      <c r="L95" s="22" t="n">
        <v>16</v>
      </c>
      <c r="M95" s="22" t="n">
        <v>22</v>
      </c>
      <c r="N95" s="22" t="n">
        <v>31</v>
      </c>
      <c r="T95" s="22" t="n">
        <v>0</v>
      </c>
      <c r="U95" s="22" t="n">
        <v>0</v>
      </c>
      <c r="V95" s="22" t="n">
        <v>0</v>
      </c>
      <c r="W95" s="22" t="n">
        <v>1</v>
      </c>
      <c r="X95" s="22" t="n">
        <v>16</v>
      </c>
    </row>
    <row r="96">
      <c r="A96" s="20" t="inlineStr">
        <is>
          <t>미지급 배당금 시효소멸 이익</t>
        </is>
      </c>
      <c r="C96" s="22" t="n">
        <v>1</v>
      </c>
      <c r="D96" s="22" t="n">
        <v>0</v>
      </c>
      <c r="E96" s="22" t="n">
        <v>0</v>
      </c>
      <c r="F96" s="22" t="n">
        <v>0</v>
      </c>
      <c r="G96" s="22" t="n">
        <v>1</v>
      </c>
      <c r="H96" s="22" t="n">
        <v>0</v>
      </c>
      <c r="I96" s="22" t="n">
        <v>0</v>
      </c>
      <c r="J96" s="22" t="n">
        <v>0</v>
      </c>
      <c r="K96" s="22" t="n">
        <v>1</v>
      </c>
      <c r="L96" s="22" t="n">
        <v>0</v>
      </c>
      <c r="M96" s="22" t="n">
        <v>0</v>
      </c>
      <c r="N96" s="22" t="n">
        <v>0</v>
      </c>
      <c r="T96" s="22" t="n">
        <v>0</v>
      </c>
      <c r="U96" s="22" t="n">
        <v>0</v>
      </c>
      <c r="V96" s="22" t="n">
        <v>0</v>
      </c>
      <c r="W96" s="22" t="n">
        <v>0</v>
      </c>
      <c r="X96" s="22" t="n">
        <v>0</v>
      </c>
    </row>
    <row r="97">
      <c r="A97" s="20" t="inlineStr">
        <is>
          <t>외환차익</t>
        </is>
      </c>
      <c r="C97" s="22" t="n">
        <v>-3</v>
      </c>
      <c r="D97" s="22" t="n">
        <v>7</v>
      </c>
      <c r="E97" s="22" t="n">
        <v>5</v>
      </c>
      <c r="F97" s="22" t="n">
        <v>-5</v>
      </c>
      <c r="G97" s="22" t="n">
        <v>2</v>
      </c>
      <c r="H97" s="22" t="n">
        <v>-2</v>
      </c>
      <c r="I97" s="22" t="n">
        <v>3</v>
      </c>
      <c r="J97" s="22" t="n">
        <v>2</v>
      </c>
      <c r="K97" s="22" t="n">
        <v>6</v>
      </c>
      <c r="L97" s="22" t="n">
        <v>0</v>
      </c>
      <c r="M97" s="22" t="n">
        <v>1</v>
      </c>
      <c r="N97" s="22" t="n">
        <v>-1</v>
      </c>
      <c r="T97" s="22" t="n">
        <v>5</v>
      </c>
      <c r="U97" s="22" t="n">
        <v>3</v>
      </c>
      <c r="V97" s="22" t="n">
        <v>7</v>
      </c>
      <c r="W97" s="22" t="n">
        <v>-2</v>
      </c>
      <c r="X97" s="22" t="n">
        <v>0</v>
      </c>
    </row>
    <row r="98">
      <c r="A98" s="20" t="inlineStr">
        <is>
          <t>잡이익</t>
        </is>
      </c>
      <c r="C98" s="22" t="n">
        <v>0</v>
      </c>
      <c r="D98" s="22" t="n">
        <v>0</v>
      </c>
      <c r="E98" s="22" t="n">
        <v>1</v>
      </c>
      <c r="F98" s="22" t="n">
        <v>0</v>
      </c>
      <c r="G98" s="22" t="n">
        <v>0</v>
      </c>
      <c r="H98" s="22" t="n">
        <v>-1</v>
      </c>
      <c r="I98" s="22" t="n">
        <v>1</v>
      </c>
      <c r="J98" s="22" t="n">
        <v>0</v>
      </c>
      <c r="K98" s="22" t="n">
        <v>0</v>
      </c>
      <c r="L98" s="22" t="n">
        <v>0</v>
      </c>
      <c r="M98" s="22" t="n">
        <v>0</v>
      </c>
      <c r="N98" s="22" t="n">
        <v>1</v>
      </c>
      <c r="T98" s="22" t="n">
        <v>0</v>
      </c>
      <c r="U98" s="22" t="n">
        <v>0</v>
      </c>
      <c r="V98" s="22" t="n">
        <v>0</v>
      </c>
      <c r="W98" s="22" t="n">
        <v>-1</v>
      </c>
      <c r="X98" s="22" t="n">
        <v>0</v>
      </c>
    </row>
    <row r="99">
      <c r="A99" s="20" t="inlineStr">
        <is>
          <t>영업외수익 합계</t>
        </is>
      </c>
      <c r="C99" s="22" t="n">
        <v>-2</v>
      </c>
      <c r="D99" s="22" t="n">
        <v>6</v>
      </c>
      <c r="E99" s="22" t="n">
        <v>8</v>
      </c>
      <c r="F99" s="22" t="n">
        <v>-6</v>
      </c>
      <c r="G99" s="22" t="n">
        <v>3</v>
      </c>
      <c r="H99" s="22" t="n">
        <v>-1</v>
      </c>
      <c r="I99" s="22" t="n">
        <v>11</v>
      </c>
      <c r="J99" s="22" t="n">
        <v>8</v>
      </c>
      <c r="K99" s="22" t="n">
        <v>15</v>
      </c>
      <c r="L99" s="22" t="n">
        <v>16</v>
      </c>
      <c r="M99" s="22" t="n">
        <v>25</v>
      </c>
      <c r="N99" s="22" t="n">
        <v>30</v>
      </c>
      <c r="T99" s="22" t="n">
        <v>5</v>
      </c>
      <c r="U99" s="22" t="n">
        <v>3</v>
      </c>
      <c r="V99" s="22" t="n">
        <v>6</v>
      </c>
      <c r="W99" s="22" t="n">
        <v>-1</v>
      </c>
      <c r="X99" s="22" t="n">
        <v>16</v>
      </c>
    </row>
    <row r="100">
      <c r="A100" s="45" t="inlineStr">
        <is>
          <t>YoY</t>
        </is>
      </c>
      <c r="B100" s="3" t="inlineStr">
        <is>
          <t>전년 같은 분기·전년 대비</t>
        </is>
      </c>
      <c r="G100" s="17">
        <f>IF(OR(G99="",C99=""),"",IF(G99*C99&lt;=0,"",IFERROR(G99/C99-1,"")))</f>
        <v/>
      </c>
      <c r="H100" s="17">
        <f>IF(OR(H99="",D99=""),"",IF(H99*D99&lt;=0,"",IFERROR(H99/D99-1,"")))</f>
        <v/>
      </c>
      <c r="I100" s="17">
        <f>IF(OR(I99="",E99=""),"",IF(I99*E99&lt;=0,"",IFERROR(I99/E99-1,"")))</f>
        <v/>
      </c>
      <c r="J100" s="17">
        <f>IF(OR(J99="",F99=""),"",IF(J99*F99&lt;=0,"",IFERROR(J99/F99-1,"")))</f>
        <v/>
      </c>
      <c r="K100" s="17">
        <f>IF(OR(K99="",G99=""),"",IF(K99*G99&lt;=0,"",IFERROR(K99/G99-1,"")))</f>
        <v/>
      </c>
      <c r="L100" s="17">
        <f>IF(OR(L99="",H99=""),"",IF(L99*H99&lt;=0,"",IFERROR(L99/H99-1,"")))</f>
        <v/>
      </c>
      <c r="M100" s="17">
        <f>IF(OR(M99="",I99=""),"",IF(M99*I99&lt;=0,"",IFERROR(M99/I99-1,"")))</f>
        <v/>
      </c>
      <c r="N100" s="17">
        <f>IF(OR(N99="",J99=""),"",IF(N99*J99&lt;=0,"",IFERROR(N99/J99-1,"")))</f>
        <v/>
      </c>
      <c r="T100" s="17">
        <f>IF(OR(T99="",S99=""),"",IF(T99*S99&lt;=0,"",IFERROR(T99/S99-1,"")))</f>
        <v/>
      </c>
      <c r="U100" s="17">
        <f>IF(OR(U99="",T99=""),"",IF(U99*T99&lt;=0,"",IFERROR(U99/T99-1,"")))</f>
        <v/>
      </c>
      <c r="V100" s="17">
        <f>IF(OR(V99="",U99=""),"",IF(V99*U99&lt;=0,"",IFERROR(V99/U99-1,"")))</f>
        <v/>
      </c>
      <c r="W100" s="17">
        <f>IF(OR(W99="",V99=""),"",IF(W99*V99&lt;=0,"",IFERROR(W99/V99-1,"")))</f>
        <v/>
      </c>
      <c r="X100" s="17">
        <f>IF(OR(X99="",W99=""),"",IF(X99*W99&lt;=0,"",IFERROR(X99/W99-1,"")))</f>
        <v/>
      </c>
    </row>
    <row r="101">
      <c r="A101" s="20" t="inlineStr">
        <is>
          <t>잡손실</t>
        </is>
      </c>
      <c r="C101" s="22" t="n">
        <v>1</v>
      </c>
      <c r="D101" s="22" t="n">
        <v>0</v>
      </c>
      <c r="E101" s="22" t="n">
        <v>0</v>
      </c>
      <c r="F101" s="22" t="n">
        <v>0</v>
      </c>
      <c r="G101" s="22" t="n">
        <v>0</v>
      </c>
      <c r="H101" s="22" t="n">
        <v>0</v>
      </c>
      <c r="I101" s="22" t="n">
        <v>0</v>
      </c>
      <c r="J101" s="22" t="n">
        <v>0</v>
      </c>
      <c r="K101" s="22" t="n">
        <v>0</v>
      </c>
      <c r="L101" s="22" t="n">
        <v>0</v>
      </c>
      <c r="M101" s="22" t="n">
        <v>0</v>
      </c>
      <c r="N101" s="22" t="n">
        <v>0</v>
      </c>
      <c r="U101" s="22" t="n">
        <v>0</v>
      </c>
      <c r="V101" s="22" t="n">
        <v>0</v>
      </c>
      <c r="W101" s="22" t="n">
        <v>0</v>
      </c>
      <c r="X101" s="22" t="n">
        <v>0</v>
      </c>
    </row>
    <row r="102">
      <c r="A102" s="20" t="inlineStr">
        <is>
          <t>영업외비용 합계</t>
        </is>
      </c>
      <c r="C102" s="22" t="n">
        <v>1</v>
      </c>
      <c r="D102" s="22" t="n">
        <v>0</v>
      </c>
      <c r="E102" s="22" t="n">
        <v>0</v>
      </c>
      <c r="F102" s="22" t="n">
        <v>1</v>
      </c>
      <c r="G102" s="22" t="n">
        <v>-1</v>
      </c>
      <c r="H102" s="22" t="n">
        <v>0</v>
      </c>
      <c r="I102" s="22" t="n">
        <v>0</v>
      </c>
      <c r="J102" s="22" t="n">
        <v>0</v>
      </c>
      <c r="K102" s="22" t="n">
        <v>0</v>
      </c>
      <c r="L102" s="22" t="n">
        <v>0</v>
      </c>
      <c r="M102" s="22" t="n">
        <v>0</v>
      </c>
      <c r="N102" s="22" t="n">
        <v>2</v>
      </c>
      <c r="U102" s="22" t="n">
        <v>0</v>
      </c>
      <c r="V102" s="22" t="n">
        <v>0</v>
      </c>
      <c r="W102" s="22" t="n">
        <v>0</v>
      </c>
      <c r="X102" s="22" t="n">
        <v>0</v>
      </c>
    </row>
    <row r="103">
      <c r="A103" s="45" t="inlineStr">
        <is>
          <t>YoY</t>
        </is>
      </c>
      <c r="B103" s="3" t="inlineStr">
        <is>
          <t>전년 같은 분기·전년 대비</t>
        </is>
      </c>
      <c r="G103" s="17">
        <f>IF(OR(G102="",C102=""),"",IF(G102*C102&lt;=0,"",IFERROR(G102/C102-1,"")))</f>
        <v/>
      </c>
      <c r="H103" s="17">
        <f>IF(OR(H102="",D102=""),"",IF(H102*D102&lt;=0,"",IFERROR(H102/D102-1,"")))</f>
        <v/>
      </c>
      <c r="I103" s="17">
        <f>IF(OR(I102="",E102=""),"",IF(I102*E102&lt;=0,"",IFERROR(I102/E102-1,"")))</f>
        <v/>
      </c>
      <c r="J103" s="17">
        <f>IF(OR(J102="",F102=""),"",IF(J102*F102&lt;=0,"",IFERROR(J102/F102-1,"")))</f>
        <v/>
      </c>
      <c r="K103" s="17">
        <f>IF(OR(K102="",G102=""),"",IF(K102*G102&lt;=0,"",IFERROR(K102/G102-1,"")))</f>
        <v/>
      </c>
      <c r="L103" s="17">
        <f>IF(OR(L102="",H102=""),"",IF(L102*H102&lt;=0,"",IFERROR(L102/H102-1,"")))</f>
        <v/>
      </c>
      <c r="M103" s="17">
        <f>IF(OR(M102="",I102=""),"",IF(M102*I102&lt;=0,"",IFERROR(M102/I102-1,"")))</f>
        <v/>
      </c>
      <c r="N103" s="17">
        <f>IF(OR(N102="",J102=""),"",IF(N102*J102&lt;=0,"",IFERROR(N102/J102-1,"")))</f>
        <v/>
      </c>
      <c r="U103" s="17">
        <f>IF(OR(U102="",T102=""),"",IF(U102*T102&lt;=0,"",IFERROR(U102/T102-1,"")))</f>
        <v/>
      </c>
      <c r="V103" s="17">
        <f>IF(OR(V102="",U102=""),"",IF(V102*U102&lt;=0,"",IFERROR(V102/U102-1,"")))</f>
        <v/>
      </c>
      <c r="W103" s="17">
        <f>IF(OR(W102="",V102=""),"",IF(W102*V102&lt;=0,"",IFERROR(W102/V102-1,"")))</f>
        <v/>
      </c>
      <c r="X103" s="17">
        <f>IF(OR(X102="",W102=""),"",IF(X102*W102&lt;=0,"",IFERROR(X102/W102-1,"")))</f>
        <v/>
      </c>
    </row>
    <row r="104">
      <c r="A104" s="9" t="inlineStr">
        <is>
          <t>경상이익</t>
        </is>
      </c>
      <c r="C104" s="12" t="n">
        <v>931</v>
      </c>
      <c r="D104" s="12" t="n">
        <v>1311</v>
      </c>
      <c r="E104" s="12" t="n">
        <v>847</v>
      </c>
      <c r="F104" s="12" t="n">
        <v>1206</v>
      </c>
      <c r="G104" s="12" t="n">
        <v>1097</v>
      </c>
      <c r="H104" s="12" t="n">
        <v>1412</v>
      </c>
      <c r="I104" s="12" t="n">
        <v>806</v>
      </c>
      <c r="J104" s="12" t="n">
        <v>1235</v>
      </c>
      <c r="K104" s="12" t="n">
        <v>1335</v>
      </c>
      <c r="L104" s="12" t="n">
        <v>1464</v>
      </c>
      <c r="M104" s="12" t="n">
        <v>1060</v>
      </c>
      <c r="N104" s="12" t="n">
        <v>1778</v>
      </c>
      <c r="T104" s="12" t="n">
        <v>1108</v>
      </c>
      <c r="U104" s="12" t="n">
        <v>1188</v>
      </c>
      <c r="V104" s="12" t="n">
        <v>1311</v>
      </c>
      <c r="W104" s="12" t="n">
        <v>1412</v>
      </c>
      <c r="X104" s="12" t="n">
        <v>1464</v>
      </c>
    </row>
    <row r="105">
      <c r="A105" s="45" t="inlineStr">
        <is>
          <t>YoY</t>
        </is>
      </c>
      <c r="B105" s="3" t="inlineStr">
        <is>
          <t>전년 같은 분기·전년 대비</t>
        </is>
      </c>
      <c r="G105" s="17">
        <f>IF(OR(G104="",C104=""),"",IF(C104&lt;=0,"",IFERROR(G104/C104-1,"")))</f>
        <v/>
      </c>
      <c r="H105" s="17">
        <f>IF(OR(H104="",D104=""),"",IF(D104&lt;=0,"",IFERROR(H104/D104-1,"")))</f>
        <v/>
      </c>
      <c r="I105" s="17">
        <f>IF(OR(I104="",E104=""),"",IF(E104&lt;=0,"",IFERROR(I104/E104-1,"")))</f>
        <v/>
      </c>
      <c r="J105" s="17">
        <f>IF(OR(J104="",F104=""),"",IF(F104&lt;=0,"",IFERROR(J104/F104-1,"")))</f>
        <v/>
      </c>
      <c r="K105" s="17">
        <f>IF(OR(K104="",G104=""),"",IF(G104&lt;=0,"",IFERROR(K104/G104-1,"")))</f>
        <v/>
      </c>
      <c r="L105" s="17">
        <f>IF(OR(L104="",H104=""),"",IF(H104&lt;=0,"",IFERROR(L104/H104-1,"")))</f>
        <v/>
      </c>
      <c r="M105" s="17">
        <f>IF(OR(M104="",I104=""),"",IF(I104&lt;=0,"",IFERROR(M104/I104-1,"")))</f>
        <v/>
      </c>
      <c r="N105" s="17">
        <f>IF(OR(N104="",J104=""),"",IF(J104&lt;=0,"",IFERROR(N104/J104-1,"")))</f>
        <v/>
      </c>
      <c r="T105" s="17">
        <f>IF(OR(T104="",S104=""),"",IF(S104&lt;=0,"",IFERROR(T104/S104-1,"")))</f>
        <v/>
      </c>
      <c r="U105" s="17">
        <f>IF(OR(U104="",T104=""),"",IF(T104&lt;=0,"",IFERROR(U104/T104-1,"")))</f>
        <v/>
      </c>
      <c r="V105" s="17">
        <f>IF(OR(V104="",U104=""),"",IF(U104&lt;=0,"",IFERROR(V104/U104-1,"")))</f>
        <v/>
      </c>
      <c r="W105" s="17">
        <f>IF(OR(W104="",V104=""),"",IF(V104&lt;=0,"",IFERROR(W104/V104-1,"")))</f>
        <v/>
      </c>
      <c r="X105" s="17">
        <f>IF(OR(X104="",W104=""),"",IF(W104&lt;=0,"",IFERROR(X104/W104-1,"")))</f>
        <v/>
      </c>
    </row>
    <row r="106">
      <c r="A106" s="20" t="inlineStr">
        <is>
          <t>신주예약권 환입이익</t>
        </is>
      </c>
      <c r="C106" s="22" t="n">
        <v>0</v>
      </c>
      <c r="D106" s="22" t="n">
        <v>0</v>
      </c>
      <c r="E106" s="22" t="n">
        <v>0</v>
      </c>
      <c r="F106" s="22" t="n">
        <v>0</v>
      </c>
      <c r="G106" s="22" t="n">
        <v>0</v>
      </c>
      <c r="H106" s="22" t="n">
        <v>0</v>
      </c>
      <c r="I106" s="22" t="n">
        <v>0</v>
      </c>
      <c r="J106" s="22" t="n">
        <v>0</v>
      </c>
      <c r="K106" s="22" t="n">
        <v>0</v>
      </c>
      <c r="L106" s="22" t="n">
        <v>0</v>
      </c>
      <c r="M106" s="22" t="n">
        <v>0</v>
      </c>
      <c r="N106" s="22" t="n">
        <v>0</v>
      </c>
      <c r="T106" s="22" t="n">
        <v>0</v>
      </c>
      <c r="U106" s="22" t="n">
        <v>1</v>
      </c>
      <c r="V106" s="22" t="n">
        <v>0</v>
      </c>
      <c r="W106" s="22" t="n">
        <v>0</v>
      </c>
      <c r="X106" s="22" t="n">
        <v>0</v>
      </c>
    </row>
    <row r="107">
      <c r="A107" s="20" t="inlineStr">
        <is>
          <t>고정자산 매각이익</t>
        </is>
      </c>
      <c r="C107" s="22" t="n">
        <v>0</v>
      </c>
      <c r="D107" s="22" t="n">
        <v>0</v>
      </c>
      <c r="E107" s="22" t="n">
        <v>0</v>
      </c>
      <c r="F107" s="22" t="n">
        <v>0</v>
      </c>
      <c r="G107" s="22" t="n">
        <v>0</v>
      </c>
      <c r="H107" s="22" t="n">
        <v>0</v>
      </c>
      <c r="L107" s="22" t="n">
        <v>0</v>
      </c>
      <c r="U107" s="22" t="n">
        <v>0</v>
      </c>
      <c r="V107" s="22" t="n">
        <v>0</v>
      </c>
      <c r="W107" s="22" t="n">
        <v>0</v>
      </c>
      <c r="X107" s="22" t="n">
        <v>0</v>
      </c>
    </row>
    <row r="108">
      <c r="A108" s="20" t="inlineStr">
        <is>
          <t>특별이익 합계</t>
        </is>
      </c>
      <c r="C108" s="22" t="n">
        <v>0</v>
      </c>
      <c r="D108" s="22" t="n">
        <v>1931</v>
      </c>
      <c r="E108" s="22" t="n">
        <v>0</v>
      </c>
      <c r="F108" s="22" t="n">
        <v>0</v>
      </c>
      <c r="G108" s="22" t="n">
        <v>0</v>
      </c>
      <c r="H108" s="22" t="n">
        <v>0</v>
      </c>
      <c r="I108" s="22" t="n">
        <v>0</v>
      </c>
      <c r="J108" s="22" t="n">
        <v>0</v>
      </c>
      <c r="K108" s="22" t="n">
        <v>0</v>
      </c>
      <c r="L108" s="22" t="n">
        <v>0</v>
      </c>
      <c r="M108" s="22" t="n">
        <v>0</v>
      </c>
      <c r="N108" s="22" t="n">
        <v>0</v>
      </c>
      <c r="T108" s="22" t="n">
        <v>0</v>
      </c>
      <c r="U108" s="22" t="n">
        <v>1</v>
      </c>
      <c r="V108" s="22" t="n">
        <v>1931</v>
      </c>
      <c r="W108" s="22" t="n">
        <v>0</v>
      </c>
      <c r="X108" s="22" t="n">
        <v>0</v>
      </c>
    </row>
    <row r="109">
      <c r="A109" s="45" t="inlineStr">
        <is>
          <t>YoY</t>
        </is>
      </c>
      <c r="B109" s="3" t="inlineStr">
        <is>
          <t>전년 같은 분기·전년 대비</t>
        </is>
      </c>
      <c r="G109" s="17">
        <f>IF(OR(G108="",C108=""),"",IF(G108*C108&lt;=0,"",IFERROR(G108/C108-1,"")))</f>
        <v/>
      </c>
      <c r="H109" s="17">
        <f>IF(OR(H108="",D108=""),"",IF(H108*D108&lt;=0,"",IFERROR(H108/D108-1,"")))</f>
        <v/>
      </c>
      <c r="I109" s="17">
        <f>IF(OR(I108="",E108=""),"",IF(I108*E108&lt;=0,"",IFERROR(I108/E108-1,"")))</f>
        <v/>
      </c>
      <c r="J109" s="17">
        <f>IF(OR(J108="",F108=""),"",IF(J108*F108&lt;=0,"",IFERROR(J108/F108-1,"")))</f>
        <v/>
      </c>
      <c r="K109" s="17">
        <f>IF(OR(K108="",G108=""),"",IF(K108*G108&lt;=0,"",IFERROR(K108/G108-1,"")))</f>
        <v/>
      </c>
      <c r="L109" s="17">
        <f>IF(OR(L108="",H108=""),"",IF(L108*H108&lt;=0,"",IFERROR(L108/H108-1,"")))</f>
        <v/>
      </c>
      <c r="M109" s="17">
        <f>IF(OR(M108="",I108=""),"",IF(M108*I108&lt;=0,"",IFERROR(M108/I108-1,"")))</f>
        <v/>
      </c>
      <c r="N109" s="17">
        <f>IF(OR(N108="",J108=""),"",IF(N108*J108&lt;=0,"",IFERROR(N108/J108-1,"")))</f>
        <v/>
      </c>
      <c r="T109" s="17">
        <f>IF(OR(T108="",S108=""),"",IF(T108*S108&lt;=0,"",IFERROR(T108/S108-1,"")))</f>
        <v/>
      </c>
      <c r="U109" s="17">
        <f>IF(OR(U108="",T108=""),"",IF(U108*T108&lt;=0,"",IFERROR(U108/T108-1,"")))</f>
        <v/>
      </c>
      <c r="V109" s="17">
        <f>IF(OR(V108="",U108=""),"",IF(V108*U108&lt;=0,"",IFERROR(V108/U108-1,"")))</f>
        <v/>
      </c>
      <c r="W109" s="17">
        <f>IF(OR(W108="",V108=""),"",IF(W108*V108&lt;=0,"",IFERROR(W108/V108-1,"")))</f>
        <v/>
      </c>
      <c r="X109" s="17">
        <f>IF(OR(X108="",W108=""),"",IF(X108*W108&lt;=0,"",IFERROR(X108/W108-1,"")))</f>
        <v/>
      </c>
    </row>
    <row r="110">
      <c r="A110" s="20" t="inlineStr">
        <is>
          <t>고정자산 제각손실</t>
        </is>
      </c>
      <c r="C110" s="22" t="n">
        <v>0</v>
      </c>
      <c r="D110" s="22" t="n">
        <v>0</v>
      </c>
      <c r="E110" s="22" t="n">
        <v>0</v>
      </c>
      <c r="F110" s="22" t="n">
        <v>0</v>
      </c>
      <c r="G110" s="22" t="n">
        <v>0</v>
      </c>
      <c r="H110" s="22" t="n">
        <v>0</v>
      </c>
      <c r="I110" s="22" t="n">
        <v>0</v>
      </c>
      <c r="J110" s="22" t="n">
        <v>0</v>
      </c>
      <c r="K110" s="22" t="n">
        <v>0</v>
      </c>
      <c r="L110" s="22" t="n">
        <v>0</v>
      </c>
      <c r="M110" s="22" t="n">
        <v>0</v>
      </c>
      <c r="N110" s="22" t="n">
        <v>0</v>
      </c>
      <c r="T110" s="22" t="n">
        <v>0</v>
      </c>
      <c r="U110" s="22" t="n">
        <v>0</v>
      </c>
      <c r="V110" s="22" t="n">
        <v>0</v>
      </c>
      <c r="W110" s="22" t="n">
        <v>0</v>
      </c>
      <c r="X110" s="22" t="n">
        <v>0</v>
      </c>
    </row>
    <row r="111">
      <c r="A111" s="20" t="inlineStr">
        <is>
          <t>특별손실 합계</t>
        </is>
      </c>
      <c r="C111" s="22" t="n">
        <v>0</v>
      </c>
      <c r="D111" s="22" t="n">
        <v>0</v>
      </c>
      <c r="E111" s="22" t="n">
        <v>0</v>
      </c>
      <c r="F111" s="22" t="n">
        <v>0</v>
      </c>
      <c r="G111" s="22" t="n">
        <v>0</v>
      </c>
      <c r="H111" s="22" t="n">
        <v>0</v>
      </c>
      <c r="I111" s="22" t="n">
        <v>0</v>
      </c>
      <c r="J111" s="22" t="n">
        <v>0</v>
      </c>
      <c r="K111" s="22" t="n">
        <v>0</v>
      </c>
      <c r="L111" s="22" t="n">
        <v>0</v>
      </c>
      <c r="M111" s="22" t="n">
        <v>0</v>
      </c>
      <c r="N111" s="22" t="n">
        <v>0</v>
      </c>
      <c r="T111" s="22" t="n">
        <v>0</v>
      </c>
      <c r="U111" s="22" t="n">
        <v>0</v>
      </c>
      <c r="V111" s="22" t="n">
        <v>0</v>
      </c>
      <c r="W111" s="22" t="n">
        <v>0</v>
      </c>
      <c r="X111" s="22" t="n">
        <v>0</v>
      </c>
    </row>
    <row r="112">
      <c r="A112" s="45" t="inlineStr">
        <is>
          <t>YoY</t>
        </is>
      </c>
      <c r="B112" s="3" t="inlineStr">
        <is>
          <t>전년 같은 분기·전년 대비</t>
        </is>
      </c>
      <c r="G112" s="17">
        <f>IF(OR(G111="",C111=""),"",IF(G111*C111&lt;=0,"",IFERROR(G111/C111-1,"")))</f>
        <v/>
      </c>
      <c r="H112" s="17">
        <f>IF(OR(H111="",D111=""),"",IF(H111*D111&lt;=0,"",IFERROR(H111/D111-1,"")))</f>
        <v/>
      </c>
      <c r="I112" s="17">
        <f>IF(OR(I111="",E111=""),"",IF(I111*E111&lt;=0,"",IFERROR(I111/E111-1,"")))</f>
        <v/>
      </c>
      <c r="J112" s="17">
        <f>IF(OR(J111="",F111=""),"",IF(J111*F111&lt;=0,"",IFERROR(J111/F111-1,"")))</f>
        <v/>
      </c>
      <c r="K112" s="17">
        <f>IF(OR(K111="",G111=""),"",IF(K111*G111&lt;=0,"",IFERROR(K111/G111-1,"")))</f>
        <v/>
      </c>
      <c r="L112" s="17">
        <f>IF(OR(L111="",H111=""),"",IF(L111*H111&lt;=0,"",IFERROR(L111/H111-1,"")))</f>
        <v/>
      </c>
      <c r="M112" s="17">
        <f>IF(OR(M111="",I111=""),"",IF(M111*I111&lt;=0,"",IFERROR(M111/I111-1,"")))</f>
        <v/>
      </c>
      <c r="N112" s="17">
        <f>IF(OR(N111="",J111=""),"",IF(N111*J111&lt;=0,"",IFERROR(N111/J111-1,"")))</f>
        <v/>
      </c>
      <c r="T112" s="17">
        <f>IF(OR(T111="",S111=""),"",IF(T111*S111&lt;=0,"",IFERROR(T111/S111-1,"")))</f>
        <v/>
      </c>
      <c r="U112" s="17">
        <f>IF(OR(U111="",T111=""),"",IF(U111*T111&lt;=0,"",IFERROR(U111/T111-1,"")))</f>
        <v/>
      </c>
      <c r="V112" s="17">
        <f>IF(OR(V111="",U111=""),"",IF(V111*U111&lt;=0,"",IFERROR(V111/U111-1,"")))</f>
        <v/>
      </c>
      <c r="W112" s="17">
        <f>IF(OR(W111="",V111=""),"",IF(W111*V111&lt;=0,"",IFERROR(W111/V111-1,"")))</f>
        <v/>
      </c>
      <c r="X112" s="17">
        <f>IF(OR(X111="",W111=""),"",IF(X111*W111&lt;=0,"",IFERROR(X111/W111-1,"")))</f>
        <v/>
      </c>
    </row>
    <row r="113">
      <c r="A113" s="9" t="inlineStr">
        <is>
          <t>법인세차감전 순이익</t>
        </is>
      </c>
      <c r="C113" s="12" t="n">
        <v>932</v>
      </c>
      <c r="D113" s="12" t="n">
        <v>3241</v>
      </c>
      <c r="E113" s="12" t="n">
        <v>847</v>
      </c>
      <c r="F113" s="12" t="n">
        <v>1207</v>
      </c>
      <c r="G113" s="12" t="n">
        <v>1096</v>
      </c>
      <c r="H113" s="12" t="n">
        <v>1413</v>
      </c>
      <c r="I113" s="12" t="n">
        <v>806</v>
      </c>
      <c r="J113" s="12" t="n">
        <v>1235</v>
      </c>
      <c r="K113" s="12" t="n">
        <v>1335</v>
      </c>
      <c r="L113" s="12" t="n">
        <v>1464</v>
      </c>
      <c r="M113" s="12" t="n">
        <v>1060</v>
      </c>
      <c r="N113" s="12" t="n">
        <v>1778</v>
      </c>
      <c r="T113" s="12" t="n">
        <v>1107</v>
      </c>
      <c r="U113" s="12" t="n">
        <v>1188</v>
      </c>
      <c r="V113" s="12" t="n">
        <v>3241</v>
      </c>
      <c r="W113" s="12" t="n">
        <v>1413</v>
      </c>
      <c r="X113" s="12" t="n">
        <v>1464</v>
      </c>
    </row>
    <row r="114">
      <c r="A114" s="45" t="inlineStr">
        <is>
          <t>YoY</t>
        </is>
      </c>
      <c r="B114" s="3" t="inlineStr">
        <is>
          <t>전년 같은 분기·전년 대비</t>
        </is>
      </c>
      <c r="G114" s="17">
        <f>IF(OR(G113="",C113=""),"",IF(C113&lt;=0,"",IFERROR(G113/C113-1,"")))</f>
        <v/>
      </c>
      <c r="H114" s="17">
        <f>IF(OR(H113="",D113=""),"",IF(D113&lt;=0,"",IFERROR(H113/D113-1,"")))</f>
        <v/>
      </c>
      <c r="I114" s="17">
        <f>IF(OR(I113="",E113=""),"",IF(E113&lt;=0,"",IFERROR(I113/E113-1,"")))</f>
        <v/>
      </c>
      <c r="J114" s="17">
        <f>IF(OR(J113="",F113=""),"",IF(F113&lt;=0,"",IFERROR(J113/F113-1,"")))</f>
        <v/>
      </c>
      <c r="K114" s="17">
        <f>IF(OR(K113="",G113=""),"",IF(G113&lt;=0,"",IFERROR(K113/G113-1,"")))</f>
        <v/>
      </c>
      <c r="L114" s="17">
        <f>IF(OR(L113="",H113=""),"",IF(H113&lt;=0,"",IFERROR(L113/H113-1,"")))</f>
        <v/>
      </c>
      <c r="M114" s="17">
        <f>IF(OR(M113="",I113=""),"",IF(I113&lt;=0,"",IFERROR(M113/I113-1,"")))</f>
        <v/>
      </c>
      <c r="N114" s="17">
        <f>IF(OR(N113="",J113=""),"",IF(J113&lt;=0,"",IFERROR(N113/J113-1,"")))</f>
        <v/>
      </c>
      <c r="T114" s="17">
        <f>IF(OR(T113="",S113=""),"",IF(S113&lt;=0,"",IFERROR(T113/S113-1,"")))</f>
        <v/>
      </c>
      <c r="U114" s="17">
        <f>IF(OR(U113="",T113=""),"",IF(T113&lt;=0,"",IFERROR(U113/T113-1,"")))</f>
        <v/>
      </c>
      <c r="V114" s="17">
        <f>IF(OR(V113="",U113=""),"",IF(U113&lt;=0,"",IFERROR(V113/U113-1,"")))</f>
        <v/>
      </c>
      <c r="W114" s="17">
        <f>IF(OR(W113="",V113=""),"",IF(V113&lt;=0,"",IFERROR(W113/V113-1,"")))</f>
        <v/>
      </c>
      <c r="X114" s="17">
        <f>IF(OR(X113="",W113=""),"",IF(W113&lt;=0,"",IFERROR(X113/W113-1,"")))</f>
        <v/>
      </c>
    </row>
    <row r="115">
      <c r="A115" s="20" t="inlineStr">
        <is>
          <t>법인세 등</t>
        </is>
      </c>
      <c r="C115" s="22" t="n">
        <v>289</v>
      </c>
      <c r="D115" s="22" t="n">
        <v>1023</v>
      </c>
      <c r="E115" s="22" t="n">
        <v>262</v>
      </c>
      <c r="F115" s="22" t="n">
        <v>374</v>
      </c>
      <c r="G115" s="22" t="n">
        <v>339</v>
      </c>
      <c r="H115" s="22" t="n">
        <v>405</v>
      </c>
      <c r="I115" s="22" t="n">
        <v>250</v>
      </c>
      <c r="J115" s="22" t="n">
        <v>383</v>
      </c>
      <c r="K115" s="22" t="n">
        <v>415</v>
      </c>
      <c r="L115" s="22" t="n">
        <v>365</v>
      </c>
      <c r="M115" s="22" t="n">
        <v>342</v>
      </c>
      <c r="N115" s="22" t="n">
        <v>572</v>
      </c>
      <c r="T115" s="22" t="n">
        <v>285</v>
      </c>
      <c r="U115" s="22" t="n">
        <v>362</v>
      </c>
      <c r="V115" s="22" t="n">
        <v>1023</v>
      </c>
      <c r="W115" s="22" t="n">
        <v>405</v>
      </c>
      <c r="X115" s="22" t="n">
        <v>365</v>
      </c>
    </row>
    <row r="116">
      <c r="A116" s="45" t="inlineStr">
        <is>
          <t>YoY</t>
        </is>
      </c>
      <c r="B116" s="3" t="inlineStr">
        <is>
          <t>전년 같은 분기·전년 대비</t>
        </is>
      </c>
      <c r="G116" s="17">
        <f>IF(OR(G115="",C115=""),"",IF(G115*C115&lt;=0,"",IFERROR(G115/C115-1,"")))</f>
        <v/>
      </c>
      <c r="H116" s="17">
        <f>IF(OR(H115="",D115=""),"",IF(H115*D115&lt;=0,"",IFERROR(H115/D115-1,"")))</f>
        <v/>
      </c>
      <c r="I116" s="17">
        <f>IF(OR(I115="",E115=""),"",IF(I115*E115&lt;=0,"",IFERROR(I115/E115-1,"")))</f>
        <v/>
      </c>
      <c r="J116" s="17">
        <f>IF(OR(J115="",F115=""),"",IF(J115*F115&lt;=0,"",IFERROR(J115/F115-1,"")))</f>
        <v/>
      </c>
      <c r="K116" s="17">
        <f>IF(OR(K115="",G115=""),"",IF(K115*G115&lt;=0,"",IFERROR(K115/G115-1,"")))</f>
        <v/>
      </c>
      <c r="L116" s="17">
        <f>IF(OR(L115="",H115=""),"",IF(L115*H115&lt;=0,"",IFERROR(L115/H115-1,"")))</f>
        <v/>
      </c>
      <c r="M116" s="17">
        <f>IF(OR(M115="",I115=""),"",IF(M115*I115&lt;=0,"",IFERROR(M115/I115-1,"")))</f>
        <v/>
      </c>
      <c r="N116" s="17">
        <f>IF(OR(N115="",J115=""),"",IF(N115*J115&lt;=0,"",IFERROR(N115/J115-1,"")))</f>
        <v/>
      </c>
      <c r="T116" s="17">
        <f>IF(OR(T115="",S115=""),"",IF(T115*S115&lt;=0,"",IFERROR(T115/S115-1,"")))</f>
        <v/>
      </c>
      <c r="U116" s="17">
        <f>IF(OR(U115="",T115=""),"",IF(U115*T115&lt;=0,"",IFERROR(U115/T115-1,"")))</f>
        <v/>
      </c>
      <c r="V116" s="17">
        <f>IF(OR(V115="",U115=""),"",IF(V115*U115&lt;=0,"",IFERROR(V115/U115-1,"")))</f>
        <v/>
      </c>
      <c r="W116" s="17">
        <f>IF(OR(W115="",V115=""),"",IF(W115*V115&lt;=0,"",IFERROR(W115/V115-1,"")))</f>
        <v/>
      </c>
      <c r="X116" s="17">
        <f>IF(OR(X115="",W115=""),"",IF(X115*W115&lt;=0,"",IFERROR(X115/W115-1,"")))</f>
        <v/>
      </c>
    </row>
    <row r="117">
      <c r="A117" s="9" t="inlineStr">
        <is>
          <t>순이익</t>
        </is>
      </c>
      <c r="C117" s="12" t="n">
        <v>643</v>
      </c>
      <c r="D117" s="12" t="n">
        <v>2218</v>
      </c>
      <c r="E117" s="12" t="n">
        <v>584</v>
      </c>
      <c r="F117" s="12" t="n">
        <v>833</v>
      </c>
      <c r="G117" s="12" t="n">
        <v>757</v>
      </c>
      <c r="H117" s="12" t="n">
        <v>1009</v>
      </c>
      <c r="I117" s="12" t="n">
        <v>556</v>
      </c>
      <c r="J117" s="12" t="n">
        <v>852</v>
      </c>
      <c r="K117" s="12" t="n">
        <v>920</v>
      </c>
      <c r="L117" s="12" t="n">
        <v>1099</v>
      </c>
      <c r="M117" s="12" t="n">
        <v>718</v>
      </c>
      <c r="N117" s="12" t="n">
        <v>1206</v>
      </c>
      <c r="T117" s="12" t="n">
        <v>822</v>
      </c>
      <c r="U117" s="12" t="n">
        <v>826</v>
      </c>
      <c r="V117" s="12" t="n">
        <v>2218</v>
      </c>
      <c r="W117" s="12" t="n">
        <v>1009</v>
      </c>
      <c r="X117" s="12" t="n">
        <v>1099</v>
      </c>
    </row>
    <row r="118">
      <c r="A118" s="45" t="inlineStr">
        <is>
          <t>YoY</t>
        </is>
      </c>
      <c r="B118" s="3" t="inlineStr">
        <is>
          <t>전년 같은 분기·전년 대비</t>
        </is>
      </c>
      <c r="G118" s="17">
        <f>IF(OR(G117="",C117=""),"",IF(C117&lt;=0,"",IFERROR(G117/C117-1,"")))</f>
        <v/>
      </c>
      <c r="H118" s="17">
        <f>IF(OR(H117="",D117=""),"",IF(D117&lt;=0,"",IFERROR(H117/D117-1,"")))</f>
        <v/>
      </c>
      <c r="I118" s="17">
        <f>IF(OR(I117="",E117=""),"",IF(E117&lt;=0,"",IFERROR(I117/E117-1,"")))</f>
        <v/>
      </c>
      <c r="J118" s="17">
        <f>IF(OR(J117="",F117=""),"",IF(F117&lt;=0,"",IFERROR(J117/F117-1,"")))</f>
        <v/>
      </c>
      <c r="K118" s="17">
        <f>IF(OR(K117="",G117=""),"",IF(G117&lt;=0,"",IFERROR(K117/G117-1,"")))</f>
        <v/>
      </c>
      <c r="L118" s="17">
        <f>IF(OR(L117="",H117=""),"",IF(H117&lt;=0,"",IFERROR(L117/H117-1,"")))</f>
        <v/>
      </c>
      <c r="M118" s="17">
        <f>IF(OR(M117="",I117=""),"",IF(I117&lt;=0,"",IFERROR(M117/I117-1,"")))</f>
        <v/>
      </c>
      <c r="N118" s="17">
        <f>IF(OR(N117="",J117=""),"",IF(J117&lt;=0,"",IFERROR(N117/J117-1,"")))</f>
        <v/>
      </c>
      <c r="T118" s="17">
        <f>IF(OR(T117="",S117=""),"",IF(S117&lt;=0,"",IFERROR(T117/S117-1,"")))</f>
        <v/>
      </c>
      <c r="U118" s="17">
        <f>IF(OR(U117="",T117=""),"",IF(T117&lt;=0,"",IFERROR(U117/T117-1,"")))</f>
        <v/>
      </c>
      <c r="V118" s="17">
        <f>IF(OR(V117="",U117=""),"",IF(U117&lt;=0,"",IFERROR(V117/U117-1,"")))</f>
        <v/>
      </c>
      <c r="W118" s="17">
        <f>IF(OR(W117="",V117=""),"",IF(V117&lt;=0,"",IFERROR(W117/V117-1,"")))</f>
        <v/>
      </c>
      <c r="X118" s="17">
        <f>IF(OR(X117="",W117=""),"",IF(W117&lt;=0,"",IFERROR(X117/W117-1,"")))</f>
        <v/>
      </c>
    </row>
    <row r="119">
      <c r="A119" s="9" t="inlineStr">
        <is>
          <t>비지배주주 순이익</t>
        </is>
      </c>
      <c r="C119" s="12" t="n">
        <v>1</v>
      </c>
      <c r="D119" s="12" t="n">
        <v>3</v>
      </c>
      <c r="E119" s="12" t="n">
        <v>0</v>
      </c>
      <c r="F119" s="12" t="n">
        <v>0</v>
      </c>
      <c r="G119" s="12" t="n">
        <v>0</v>
      </c>
      <c r="H119" s="12" t="n">
        <v>0</v>
      </c>
      <c r="T119" s="12" t="n">
        <v>2</v>
      </c>
      <c r="U119" s="12" t="n">
        <v>0</v>
      </c>
      <c r="V119" s="12" t="n">
        <v>3</v>
      </c>
      <c r="W119" s="12" t="n">
        <v>0</v>
      </c>
    </row>
    <row r="120">
      <c r="A120" s="9" t="inlineStr">
        <is>
          <t>지배주주 순이익</t>
        </is>
      </c>
      <c r="C120" s="12" t="n">
        <v>641</v>
      </c>
      <c r="D120" s="12" t="n">
        <v>2215</v>
      </c>
      <c r="E120" s="12" t="n">
        <v>584</v>
      </c>
      <c r="F120" s="12" t="n">
        <v>833</v>
      </c>
      <c r="G120" s="12" t="n">
        <v>757</v>
      </c>
      <c r="H120" s="12" t="n">
        <v>1009</v>
      </c>
      <c r="I120" s="12" t="n">
        <v>556</v>
      </c>
      <c r="J120" s="12" t="n">
        <v>852</v>
      </c>
      <c r="K120" s="12" t="n">
        <v>920</v>
      </c>
      <c r="L120" s="12" t="n">
        <v>1099</v>
      </c>
      <c r="M120" s="12" t="n">
        <v>718</v>
      </c>
      <c r="N120" s="12" t="n">
        <v>1206</v>
      </c>
      <c r="T120" s="12" t="n">
        <v>819</v>
      </c>
      <c r="U120" s="12" t="n">
        <v>827</v>
      </c>
      <c r="V120" s="12" t="n">
        <v>2215</v>
      </c>
      <c r="W120" s="12" t="n">
        <v>1009</v>
      </c>
      <c r="X120" s="12" t="n">
        <v>1099</v>
      </c>
    </row>
    <row r="121">
      <c r="A121" s="45" t="inlineStr">
        <is>
          <t>YoY</t>
        </is>
      </c>
      <c r="B121" s="3" t="inlineStr">
        <is>
          <t>전년 같은 분기·전년 대비</t>
        </is>
      </c>
      <c r="G121" s="17">
        <f>IF(OR(G120="",C120=""),"",IF(C120&lt;=0,"",IFERROR(G120/C120-1,"")))</f>
        <v/>
      </c>
      <c r="H121" s="17">
        <f>IF(OR(H120="",D120=""),"",IF(D120&lt;=0,"",IFERROR(H120/D120-1,"")))</f>
        <v/>
      </c>
      <c r="I121" s="17">
        <f>IF(OR(I120="",E120=""),"",IF(E120&lt;=0,"",IFERROR(I120/E120-1,"")))</f>
        <v/>
      </c>
      <c r="J121" s="17">
        <f>IF(OR(J120="",F120=""),"",IF(F120&lt;=0,"",IFERROR(J120/F120-1,"")))</f>
        <v/>
      </c>
      <c r="K121" s="17">
        <f>IF(OR(K120="",G120=""),"",IF(G120&lt;=0,"",IFERROR(K120/G120-1,"")))</f>
        <v/>
      </c>
      <c r="L121" s="17">
        <f>IF(OR(L120="",H120=""),"",IF(H120&lt;=0,"",IFERROR(L120/H120-1,"")))</f>
        <v/>
      </c>
      <c r="M121" s="17">
        <f>IF(OR(M120="",I120=""),"",IF(I120&lt;=0,"",IFERROR(M120/I120-1,"")))</f>
        <v/>
      </c>
      <c r="N121" s="17">
        <f>IF(OR(N120="",J120=""),"",IF(J120&lt;=0,"",IFERROR(N120/J120-1,"")))</f>
        <v/>
      </c>
      <c r="T121" s="17">
        <f>IF(OR(T120="",S120=""),"",IF(S120&lt;=0,"",IFERROR(T120/S120-1,"")))</f>
        <v/>
      </c>
      <c r="U121" s="17">
        <f>IF(OR(U120="",T120=""),"",IF(T120&lt;=0,"",IFERROR(U120/T120-1,"")))</f>
        <v/>
      </c>
      <c r="V121" s="17">
        <f>IF(OR(V120="",U120=""),"",IF(U120&lt;=0,"",IFERROR(V120/U120-1,"")))</f>
        <v/>
      </c>
      <c r="W121" s="17">
        <f>IF(OR(W120="",V120=""),"",IF(V120&lt;=0,"",IFERROR(W120/V120-1,"")))</f>
        <v/>
      </c>
      <c r="X121" s="17">
        <f>IF(OR(X120="",W120=""),"",IF(W120&lt;=0,"",IFERROR(X120/W120-1,"")))</f>
        <v/>
      </c>
    </row>
    <row r="123">
      <c r="A123" s="18" t="inlineStr">
        <is>
          <t>포괄손익 · 전 항목</t>
        </is>
      </c>
      <c r="B123" s="44" t="inlineStr">
        <is>
          <t>분기 = 3개월 단독</t>
        </is>
      </c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</row>
    <row r="124">
      <c r="A124" s="5" t="inlineStr">
        <is>
          <t>항목</t>
        </is>
      </c>
      <c r="B124" s="5" t="inlineStr">
        <is>
          <t>참고</t>
        </is>
      </c>
      <c r="C124" s="5" t="inlineStr">
        <is>
          <t>2024.3Q</t>
        </is>
      </c>
      <c r="D124" s="5" t="inlineStr">
        <is>
          <t>2024.4Q</t>
        </is>
      </c>
      <c r="E124" s="5" t="inlineStr">
        <is>
          <t>2025.1Q</t>
        </is>
      </c>
      <c r="F124" s="5" t="inlineStr">
        <is>
          <t>2025.2Q</t>
        </is>
      </c>
      <c r="G124" s="5" t="inlineStr">
        <is>
          <t>2025.3Q</t>
        </is>
      </c>
      <c r="H124" s="5" t="inlineStr">
        <is>
          <t>2025.4Q</t>
        </is>
      </c>
      <c r="I124" s="5" t="inlineStr">
        <is>
          <t>2026.1Q</t>
        </is>
      </c>
      <c r="J124" s="5" t="inlineStr">
        <is>
          <t>2026.2Q</t>
        </is>
      </c>
      <c r="K124" s="5" t="inlineStr">
        <is>
          <t>2026.3Q</t>
        </is>
      </c>
      <c r="L124" s="5" t="inlineStr">
        <is>
          <t>2026.4Q</t>
        </is>
      </c>
      <c r="M124" s="5" t="inlineStr">
        <is>
          <t>2027.1Q</t>
        </is>
      </c>
      <c r="N124" s="5" t="inlineStr">
        <is>
          <t>2027.2Q</t>
        </is>
      </c>
      <c r="O124" s="5" t="inlineStr">
        <is>
          <t>2017</t>
        </is>
      </c>
      <c r="P124" s="5" t="inlineStr">
        <is>
          <t>2018</t>
        </is>
      </c>
      <c r="Q124" s="5" t="inlineStr">
        <is>
          <t>2019</t>
        </is>
      </c>
      <c r="R124" s="5" t="inlineStr">
        <is>
          <t>2020</t>
        </is>
      </c>
      <c r="S124" s="5" t="inlineStr">
        <is>
          <t>2021</t>
        </is>
      </c>
      <c r="T124" s="5" t="inlineStr">
        <is>
          <t>2022</t>
        </is>
      </c>
      <c r="U124" s="5" t="inlineStr">
        <is>
          <t>2023</t>
        </is>
      </c>
      <c r="V124" s="5" t="inlineStr">
        <is>
          <t>2024</t>
        </is>
      </c>
      <c r="W124" s="5" t="inlineStr">
        <is>
          <t>2025</t>
        </is>
      </c>
      <c r="X124" s="5" t="inlineStr">
        <is>
          <t>2026</t>
        </is>
      </c>
      <c r="Y124" s="5" t="inlineStr">
        <is>
          <t>2027(MW)</t>
        </is>
      </c>
      <c r="Z124" s="5" t="inlineStr">
        <is>
          <t>2028(MW)</t>
        </is>
      </c>
      <c r="AA124" s="5" t="inlineStr">
        <is>
          <t>2029(MW)</t>
        </is>
      </c>
      <c r="AB124" s="5" t="inlineStr">
        <is>
          <t>2030(MW)</t>
        </is>
      </c>
      <c r="AC124" s="5" t="inlineStr">
        <is>
          <t>2031(MW)</t>
        </is>
      </c>
    </row>
    <row r="125">
      <c r="A125" s="9" t="inlineStr">
        <is>
          <t>순이익</t>
        </is>
      </c>
      <c r="C125" s="12" t="n">
        <v>643</v>
      </c>
      <c r="D125" s="12" t="n">
        <v>2218</v>
      </c>
      <c r="E125" s="12" t="n">
        <v>584</v>
      </c>
      <c r="F125" s="12" t="n">
        <v>833</v>
      </c>
      <c r="G125" s="12" t="n">
        <v>757</v>
      </c>
      <c r="H125" s="12" t="n">
        <v>1009</v>
      </c>
      <c r="I125" s="12" t="n">
        <v>556</v>
      </c>
      <c r="J125" s="12" t="n">
        <v>852</v>
      </c>
      <c r="K125" s="12" t="n">
        <v>920</v>
      </c>
      <c r="L125" s="12" t="n">
        <v>1099</v>
      </c>
      <c r="M125" s="12" t="n">
        <v>718</v>
      </c>
      <c r="N125" s="12" t="n">
        <v>1206</v>
      </c>
      <c r="T125" s="12" t="n">
        <v>822</v>
      </c>
      <c r="U125" s="12" t="n">
        <v>826</v>
      </c>
      <c r="V125" s="12" t="n">
        <v>2218</v>
      </c>
      <c r="W125" s="12" t="n">
        <v>1009</v>
      </c>
      <c r="X125" s="12" t="n">
        <v>1099</v>
      </c>
    </row>
    <row r="126">
      <c r="A126" s="20" t="inlineStr">
        <is>
          <t>해외사업환산조정</t>
        </is>
      </c>
      <c r="C126" s="22" t="n">
        <v>-2</v>
      </c>
      <c r="D126" s="22" t="n">
        <v>3</v>
      </c>
      <c r="E126" s="22" t="n">
        <v>2</v>
      </c>
      <c r="F126" s="22" t="n">
        <v>-4</v>
      </c>
      <c r="G126" s="22" t="n">
        <v>3</v>
      </c>
      <c r="H126" s="22" t="n">
        <v>-1</v>
      </c>
      <c r="I126" s="22" t="n">
        <v>-1</v>
      </c>
      <c r="J126" s="22" t="n">
        <v>1</v>
      </c>
      <c r="K126" s="22" t="n">
        <v>1</v>
      </c>
      <c r="L126" s="22" t="n">
        <v>1</v>
      </c>
      <c r="M126" s="22" t="n">
        <v>0</v>
      </c>
      <c r="N126" s="22" t="n">
        <v>-0</v>
      </c>
      <c r="T126" s="22" t="n">
        <v>2</v>
      </c>
      <c r="U126" s="22" t="n">
        <v>0</v>
      </c>
      <c r="V126" s="22" t="n">
        <v>3</v>
      </c>
      <c r="W126" s="22" t="n">
        <v>-1</v>
      </c>
      <c r="X126" s="22" t="n">
        <v>1</v>
      </c>
    </row>
    <row r="127">
      <c r="A127" s="20" t="inlineStr">
        <is>
          <t>기타포괄손익 합계</t>
        </is>
      </c>
      <c r="C127" s="22" t="n">
        <v>-2</v>
      </c>
      <c r="D127" s="22" t="n">
        <v>3</v>
      </c>
      <c r="E127" s="22" t="n">
        <v>2</v>
      </c>
      <c r="F127" s="22" t="n">
        <v>-4</v>
      </c>
      <c r="G127" s="22" t="n">
        <v>3</v>
      </c>
      <c r="H127" s="22" t="n">
        <v>-1</v>
      </c>
      <c r="I127" s="22" t="n">
        <v>-1</v>
      </c>
      <c r="J127" s="22" t="n">
        <v>1</v>
      </c>
      <c r="K127" s="22" t="n">
        <v>1</v>
      </c>
      <c r="L127" s="22" t="n">
        <v>1</v>
      </c>
      <c r="M127" s="22" t="n">
        <v>0</v>
      </c>
      <c r="N127" s="22" t="n">
        <v>-0</v>
      </c>
      <c r="T127" s="22" t="n">
        <v>2</v>
      </c>
      <c r="U127" s="22" t="n">
        <v>0</v>
      </c>
      <c r="V127" s="22" t="n">
        <v>3</v>
      </c>
      <c r="W127" s="22" t="n">
        <v>-1</v>
      </c>
      <c r="X127" s="22" t="n">
        <v>1</v>
      </c>
    </row>
    <row r="128">
      <c r="A128" s="9" t="inlineStr">
        <is>
          <t>포괄이익</t>
        </is>
      </c>
      <c r="C128" s="12" t="n">
        <v>640</v>
      </c>
      <c r="D128" s="12" t="n">
        <v>2221</v>
      </c>
      <c r="E128" s="12" t="n">
        <v>587</v>
      </c>
      <c r="F128" s="12" t="n">
        <v>828</v>
      </c>
      <c r="G128" s="12" t="n">
        <v>761</v>
      </c>
      <c r="H128" s="12" t="n">
        <v>1006</v>
      </c>
      <c r="I128" s="12" t="n">
        <v>555</v>
      </c>
      <c r="J128" s="12" t="n">
        <v>853</v>
      </c>
      <c r="K128" s="12" t="n">
        <v>921</v>
      </c>
      <c r="L128" s="12" t="n">
        <v>1100</v>
      </c>
      <c r="M128" s="12" t="n">
        <v>718</v>
      </c>
      <c r="N128" s="12" t="n">
        <v>1206</v>
      </c>
      <c r="T128" s="12" t="n">
        <v>824</v>
      </c>
      <c r="U128" s="12" t="n">
        <v>827</v>
      </c>
      <c r="V128" s="12" t="n">
        <v>2221</v>
      </c>
      <c r="W128" s="12" t="n">
        <v>1006</v>
      </c>
      <c r="X128" s="12" t="n">
        <v>1100</v>
      </c>
    </row>
    <row r="129">
      <c r="A129" s="9" t="inlineStr">
        <is>
          <t>지배주주 포괄이익</t>
        </is>
      </c>
      <c r="C129" s="12" t="n">
        <v>639</v>
      </c>
      <c r="D129" s="12" t="n">
        <v>2218</v>
      </c>
      <c r="E129" s="12" t="n">
        <v>587</v>
      </c>
      <c r="F129" s="12" t="n">
        <v>828</v>
      </c>
      <c r="G129" s="12" t="n">
        <v>761</v>
      </c>
      <c r="H129" s="12" t="n">
        <v>1006</v>
      </c>
      <c r="I129" s="12" t="n">
        <v>555</v>
      </c>
      <c r="J129" s="12" t="n">
        <v>853</v>
      </c>
      <c r="K129" s="12" t="n">
        <v>921</v>
      </c>
      <c r="L129" s="12" t="n">
        <v>1100</v>
      </c>
      <c r="M129" s="12" t="n">
        <v>718</v>
      </c>
      <c r="N129" s="12" t="n">
        <v>1206</v>
      </c>
      <c r="T129" s="12" t="n">
        <v>821</v>
      </c>
      <c r="U129" s="12" t="n">
        <v>827</v>
      </c>
      <c r="V129" s="12" t="n">
        <v>2218</v>
      </c>
      <c r="W129" s="12" t="n">
        <v>1006</v>
      </c>
      <c r="X129" s="12" t="n">
        <v>1100</v>
      </c>
    </row>
    <row r="130">
      <c r="A130" s="9" t="inlineStr">
        <is>
          <t>비지배주주 포괄이익</t>
        </is>
      </c>
      <c r="C130" s="12" t="n">
        <v>1</v>
      </c>
      <c r="D130" s="12" t="n">
        <v>3</v>
      </c>
      <c r="E130" s="12" t="n">
        <v>0</v>
      </c>
      <c r="F130" s="12" t="n">
        <v>0</v>
      </c>
      <c r="G130" s="12" t="n">
        <v>0</v>
      </c>
      <c r="H130" s="12" t="n">
        <v>0</v>
      </c>
      <c r="T130" s="12" t="n">
        <v>2</v>
      </c>
      <c r="U130" s="12" t="n">
        <v>0</v>
      </c>
      <c r="V130" s="12" t="n">
        <v>3</v>
      </c>
      <c r="W130" s="12" t="n">
        <v>0</v>
      </c>
    </row>
    <row r="132">
      <c r="A132" s="18" t="inlineStr">
        <is>
          <t>현금흐름표 · 전 항목</t>
        </is>
      </c>
      <c r="B132" s="44" t="inlineStr">
        <is>
          <t>분기 = 결산기 첫날부터 누계(공시 그대로)</t>
        </is>
      </c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</row>
    <row r="133">
      <c r="A133" s="5" t="inlineStr">
        <is>
          <t>항목</t>
        </is>
      </c>
      <c r="B133" s="5" t="inlineStr">
        <is>
          <t>참고</t>
        </is>
      </c>
      <c r="C133" s="5" t="inlineStr">
        <is>
          <t>2024.3Q</t>
        </is>
      </c>
      <c r="D133" s="5" t="inlineStr">
        <is>
          <t>2024.4Q</t>
        </is>
      </c>
      <c r="E133" s="5" t="inlineStr">
        <is>
          <t>2025.1Q</t>
        </is>
      </c>
      <c r="F133" s="5" t="inlineStr">
        <is>
          <t>2025.2Q</t>
        </is>
      </c>
      <c r="G133" s="5" t="inlineStr">
        <is>
          <t>2025.3Q</t>
        </is>
      </c>
      <c r="H133" s="5" t="inlineStr">
        <is>
          <t>2025.4Q</t>
        </is>
      </c>
      <c r="I133" s="5" t="inlineStr">
        <is>
          <t>2026.1Q</t>
        </is>
      </c>
      <c r="J133" s="5" t="inlineStr">
        <is>
          <t>2026.2Q</t>
        </is>
      </c>
      <c r="K133" s="5" t="inlineStr">
        <is>
          <t>2026.3Q</t>
        </is>
      </c>
      <c r="L133" s="5" t="inlineStr">
        <is>
          <t>2026.4Q</t>
        </is>
      </c>
      <c r="M133" s="5" t="inlineStr">
        <is>
          <t>2027.1Q</t>
        </is>
      </c>
      <c r="N133" s="5" t="inlineStr">
        <is>
          <t>2027.2Q</t>
        </is>
      </c>
      <c r="O133" s="5" t="inlineStr">
        <is>
          <t>2017</t>
        </is>
      </c>
      <c r="P133" s="5" t="inlineStr">
        <is>
          <t>2018</t>
        </is>
      </c>
      <c r="Q133" s="5" t="inlineStr">
        <is>
          <t>2019</t>
        </is>
      </c>
      <c r="R133" s="5" t="inlineStr">
        <is>
          <t>2020</t>
        </is>
      </c>
      <c r="S133" s="5" t="inlineStr">
        <is>
          <t>2021</t>
        </is>
      </c>
      <c r="T133" s="5" t="inlineStr">
        <is>
          <t>2022</t>
        </is>
      </c>
      <c r="U133" s="5" t="inlineStr">
        <is>
          <t>2023</t>
        </is>
      </c>
      <c r="V133" s="5" t="inlineStr">
        <is>
          <t>2024</t>
        </is>
      </c>
      <c r="W133" s="5" t="inlineStr">
        <is>
          <t>2025</t>
        </is>
      </c>
      <c r="X133" s="5" t="inlineStr">
        <is>
          <t>2026</t>
        </is>
      </c>
      <c r="Y133" s="5" t="inlineStr">
        <is>
          <t>2027(MW)</t>
        </is>
      </c>
      <c r="Z133" s="5" t="inlineStr">
        <is>
          <t>2028(MW)</t>
        </is>
      </c>
      <c r="AA133" s="5" t="inlineStr">
        <is>
          <t>2029(MW)</t>
        </is>
      </c>
      <c r="AB133" s="5" t="inlineStr">
        <is>
          <t>2030(MW)</t>
        </is>
      </c>
      <c r="AC133" s="5" t="inlineStr">
        <is>
          <t>2031(MW)</t>
        </is>
      </c>
    </row>
    <row r="134">
      <c r="A134" s="9" t="inlineStr">
        <is>
          <t>법인세차감전 순이익</t>
        </is>
      </c>
      <c r="D134" s="12" t="n">
        <v>6378</v>
      </c>
      <c r="F134" s="12" t="n">
        <v>2054</v>
      </c>
      <c r="H134" s="12" t="n">
        <v>4563</v>
      </c>
      <c r="J134" s="12" t="n">
        <v>2041</v>
      </c>
      <c r="L134" s="12" t="n">
        <v>4840</v>
      </c>
      <c r="N134" s="12" t="n">
        <v>2838</v>
      </c>
      <c r="O134" s="12" t="n">
        <v>1802.995</v>
      </c>
      <c r="P134" s="12" t="n">
        <v>1906.472</v>
      </c>
      <c r="Q134" s="12" t="n">
        <v>2563.232</v>
      </c>
      <c r="R134" s="12" t="n">
        <v>2326</v>
      </c>
      <c r="S134" s="12" t="n">
        <v>3001</v>
      </c>
      <c r="T134" s="12" t="n">
        <v>4136</v>
      </c>
      <c r="U134" s="12" t="n">
        <v>4430</v>
      </c>
      <c r="V134" s="12" t="n">
        <v>6378</v>
      </c>
      <c r="W134" s="12" t="n">
        <v>4563</v>
      </c>
      <c r="X134" s="12" t="n">
        <v>4840</v>
      </c>
    </row>
    <row r="135">
      <c r="A135" s="20" t="inlineStr">
        <is>
          <t>감가상각비</t>
        </is>
      </c>
      <c r="D135" s="22" t="n">
        <v>886</v>
      </c>
      <c r="F135" s="22" t="n">
        <v>458</v>
      </c>
      <c r="H135" s="22" t="n">
        <v>916</v>
      </c>
      <c r="J135" s="22" t="n">
        <v>445</v>
      </c>
      <c r="L135" s="22" t="n">
        <v>974</v>
      </c>
      <c r="N135" s="22" t="n">
        <v>540</v>
      </c>
      <c r="O135" s="22" t="n">
        <v>523.239</v>
      </c>
      <c r="P135" s="22" t="n">
        <v>573.514</v>
      </c>
      <c r="Q135" s="22" t="n">
        <v>662.496</v>
      </c>
      <c r="R135" s="22" t="n">
        <v>805</v>
      </c>
      <c r="S135" s="22" t="n">
        <v>859</v>
      </c>
      <c r="T135" s="22" t="n">
        <v>890</v>
      </c>
      <c r="U135" s="22" t="n">
        <v>884</v>
      </c>
      <c r="V135" s="22" t="n">
        <v>886</v>
      </c>
      <c r="W135" s="22" t="n">
        <v>916</v>
      </c>
      <c r="X135" s="22" t="n">
        <v>974</v>
      </c>
    </row>
    <row r="136">
      <c r="A136" s="20" t="inlineStr">
        <is>
          <t>골프회원권 평가손실</t>
        </is>
      </c>
      <c r="O136" s="22" t="n">
        <v>6.7</v>
      </c>
      <c r="P136" s="22" t="n">
        <v>0</v>
      </c>
      <c r="Q136" s="22" t="n">
        <v>2.2</v>
      </c>
      <c r="R136" s="22" t="n">
        <v>1</v>
      </c>
      <c r="S136" s="22" t="n">
        <v>0</v>
      </c>
    </row>
    <row r="137">
      <c r="A137" s="20" t="inlineStr">
        <is>
          <t>상여충당금 증감</t>
        </is>
      </c>
      <c r="D137" s="22" t="n">
        <v>-19</v>
      </c>
      <c r="F137" s="22" t="n">
        <v>9</v>
      </c>
      <c r="H137" s="22" t="n">
        <v>11</v>
      </c>
      <c r="J137" s="22" t="n">
        <v>13</v>
      </c>
      <c r="L137" s="22" t="n">
        <v>4</v>
      </c>
      <c r="N137" s="22" t="n">
        <v>10</v>
      </c>
      <c r="O137" s="22" t="n">
        <v>55.633</v>
      </c>
      <c r="P137" s="22" t="n">
        <v>-53.466</v>
      </c>
      <c r="Q137" s="22" t="n">
        <v>15.911</v>
      </c>
      <c r="R137" s="22" t="n">
        <v>-8</v>
      </c>
      <c r="S137" s="22" t="n">
        <v>74</v>
      </c>
      <c r="T137" s="22" t="n">
        <v>-98</v>
      </c>
      <c r="U137" s="22" t="n">
        <v>60</v>
      </c>
      <c r="V137" s="22" t="n">
        <v>-19</v>
      </c>
      <c r="W137" s="22" t="n">
        <v>11</v>
      </c>
      <c r="X137" s="22" t="n">
        <v>4</v>
      </c>
    </row>
    <row r="138">
      <c r="A138" s="20" t="inlineStr">
        <is>
          <t>이자수익</t>
        </is>
      </c>
      <c r="D138" s="22" t="n">
        <v>-0</v>
      </c>
      <c r="F138" s="22" t="n">
        <v>-0</v>
      </c>
      <c r="H138" s="22" t="n">
        <v>-1</v>
      </c>
      <c r="J138" s="22" t="n">
        <v>-12</v>
      </c>
      <c r="L138" s="22" t="n">
        <v>-36</v>
      </c>
      <c r="N138" s="22" t="n">
        <v>-53</v>
      </c>
      <c r="O138" s="22" t="n">
        <v>-1.206</v>
      </c>
      <c r="P138" s="22" t="n">
        <v>-1.071</v>
      </c>
      <c r="Q138" s="22" t="n">
        <v>-1.079</v>
      </c>
      <c r="R138" s="22" t="n">
        <v>-0</v>
      </c>
      <c r="S138" s="22" t="n">
        <v>-0</v>
      </c>
      <c r="T138" s="22" t="n">
        <v>-0</v>
      </c>
      <c r="U138" s="22" t="n">
        <v>-0</v>
      </c>
      <c r="V138" s="22" t="n">
        <v>-0</v>
      </c>
      <c r="W138" s="22" t="n">
        <v>-1</v>
      </c>
      <c r="X138" s="22" t="n">
        <v>-36</v>
      </c>
    </row>
    <row r="139">
      <c r="A139" s="20" t="inlineStr">
        <is>
          <t>고정자산 제각손실</t>
        </is>
      </c>
      <c r="D139" s="22" t="n">
        <v>0</v>
      </c>
      <c r="F139" s="22" t="n">
        <v>0</v>
      </c>
      <c r="H139" s="22" t="n">
        <v>0</v>
      </c>
      <c r="J139" s="22" t="n">
        <v>0</v>
      </c>
      <c r="L139" s="22" t="n">
        <v>0</v>
      </c>
      <c r="N139" s="22" t="n">
        <v>0</v>
      </c>
      <c r="O139" s="22" t="n">
        <v>1.902</v>
      </c>
      <c r="P139" s="22" t="n">
        <v>10.204</v>
      </c>
      <c r="Q139" s="22" t="n">
        <v>4.374</v>
      </c>
      <c r="R139" s="22" t="n">
        <v>0</v>
      </c>
      <c r="S139" s="22" t="n">
        <v>0</v>
      </c>
      <c r="T139" s="22" t="n">
        <v>0</v>
      </c>
      <c r="U139" s="22" t="n">
        <v>0</v>
      </c>
      <c r="V139" s="22" t="n">
        <v>0</v>
      </c>
      <c r="W139" s="22" t="n">
        <v>0</v>
      </c>
      <c r="X139" s="22" t="n">
        <v>0</v>
      </c>
    </row>
    <row r="140">
      <c r="A140" s="20" t="inlineStr">
        <is>
          <t>고정자산 매각손익</t>
        </is>
      </c>
      <c r="D140" s="22" t="n">
        <v>-4</v>
      </c>
      <c r="F140" s="22" t="n">
        <v>0</v>
      </c>
      <c r="H140" s="22" t="n">
        <v>-0</v>
      </c>
      <c r="L140" s="22" t="n">
        <v>0</v>
      </c>
      <c r="O140" s="22" t="n">
        <v>0</v>
      </c>
      <c r="P140" s="22" t="n">
        <v>-1.498</v>
      </c>
      <c r="Q140" s="22" t="n">
        <v>0</v>
      </c>
      <c r="R140" s="22" t="n">
        <v>0</v>
      </c>
      <c r="S140" s="22" t="n">
        <v>-3</v>
      </c>
      <c r="T140" s="22" t="n">
        <v>-0</v>
      </c>
      <c r="U140" s="22" t="n">
        <v>0</v>
      </c>
      <c r="V140" s="22" t="n">
        <v>-4</v>
      </c>
      <c r="W140" s="22" t="n">
        <v>-0</v>
      </c>
      <c r="X140" s="22" t="n">
        <v>0</v>
      </c>
    </row>
    <row r="141">
      <c r="A141" s="20" t="inlineStr">
        <is>
          <t>자회사 청산손익</t>
        </is>
      </c>
      <c r="R141" s="22" t="n">
        <v>0</v>
      </c>
      <c r="S141" s="22" t="n">
        <v>2</v>
      </c>
      <c r="T141" s="22" t="n">
        <v>0</v>
      </c>
    </row>
    <row r="142">
      <c r="A142" s="20" t="inlineStr">
        <is>
          <t>자회사 주식 매각손익</t>
        </is>
      </c>
      <c r="D142" s="22" t="n">
        <v>-1930</v>
      </c>
      <c r="H142" s="22" t="n">
        <v>0</v>
      </c>
      <c r="U142" s="22" t="n">
        <v>0</v>
      </c>
      <c r="V142" s="22" t="n">
        <v>-1930</v>
      </c>
      <c r="W142" s="22" t="n">
        <v>0</v>
      </c>
    </row>
    <row r="143">
      <c r="A143" s="20" t="inlineStr">
        <is>
          <t>외환차손익</t>
        </is>
      </c>
      <c r="D143" s="22" t="n">
        <v>-16</v>
      </c>
      <c r="F143" s="22" t="n">
        <v>-4</v>
      </c>
      <c r="H143" s="22" t="n">
        <v>-0</v>
      </c>
      <c r="J143" s="22" t="n">
        <v>-5</v>
      </c>
      <c r="L143" s="22" t="n">
        <v>-5</v>
      </c>
      <c r="N143" s="22" t="n">
        <v>2</v>
      </c>
      <c r="O143" s="22" t="n">
        <v>14.652</v>
      </c>
      <c r="P143" s="22" t="n">
        <v>-5.387</v>
      </c>
      <c r="Q143" s="22" t="n">
        <v>2.878</v>
      </c>
      <c r="R143" s="22" t="n">
        <v>3</v>
      </c>
      <c r="S143" s="22" t="n">
        <v>-9</v>
      </c>
      <c r="T143" s="22" t="n">
        <v>-6</v>
      </c>
      <c r="U143" s="22" t="n">
        <v>-12</v>
      </c>
      <c r="V143" s="22" t="n">
        <v>-16</v>
      </c>
      <c r="W143" s="22" t="n">
        <v>-0</v>
      </c>
      <c r="X143" s="22" t="n">
        <v>-5</v>
      </c>
    </row>
    <row r="144">
      <c r="A144" s="20" t="inlineStr">
        <is>
          <t>이자비용</t>
        </is>
      </c>
      <c r="O144" s="22" t="n">
        <v>0</v>
      </c>
      <c r="P144" s="22" t="n">
        <v>0.077</v>
      </c>
      <c r="Q144" s="22" t="n">
        <v>0</v>
      </c>
    </row>
    <row r="145">
      <c r="A145" s="20" t="inlineStr">
        <is>
          <t>신주예약권 환입이익</t>
        </is>
      </c>
      <c r="D145" s="22" t="n">
        <v>-0</v>
      </c>
      <c r="F145" s="22" t="n">
        <v>-0</v>
      </c>
      <c r="H145" s="22" t="n">
        <v>-0</v>
      </c>
      <c r="J145" s="22" t="n">
        <v>-0</v>
      </c>
      <c r="L145" s="22" t="n">
        <v>-0</v>
      </c>
      <c r="N145" s="22" t="n">
        <v>-0</v>
      </c>
      <c r="O145" s="22" t="n">
        <v>-0.318</v>
      </c>
      <c r="P145" s="22" t="n">
        <v>-3.193</v>
      </c>
      <c r="Q145" s="22" t="n">
        <v>-2.135</v>
      </c>
      <c r="R145" s="22" t="n">
        <v>-0</v>
      </c>
      <c r="S145" s="22" t="n">
        <v>-9</v>
      </c>
      <c r="T145" s="22" t="n">
        <v>-1</v>
      </c>
      <c r="U145" s="22" t="n">
        <v>-1</v>
      </c>
      <c r="V145" s="22" t="n">
        <v>-0</v>
      </c>
      <c r="W145" s="22" t="n">
        <v>-0</v>
      </c>
      <c r="X145" s="22" t="n">
        <v>-0</v>
      </c>
    </row>
    <row r="146">
      <c r="A146" s="20" t="inlineStr">
        <is>
          <t>자회사 주식 평가손</t>
        </is>
      </c>
      <c r="P146" s="22" t="n">
        <v>0</v>
      </c>
      <c r="Q146" s="22" t="n">
        <v>7.156</v>
      </c>
      <c r="R146" s="22" t="n">
        <v>0</v>
      </c>
    </row>
    <row r="147">
      <c r="A147" s="20" t="inlineStr">
        <is>
          <t>주식보상비용</t>
        </is>
      </c>
      <c r="D147" s="22" t="n">
        <v>0</v>
      </c>
      <c r="F147" s="22" t="n">
        <v>0</v>
      </c>
      <c r="H147" s="22" t="n">
        <v>6</v>
      </c>
      <c r="J147" s="22" t="n">
        <v>9</v>
      </c>
      <c r="L147" s="22" t="n">
        <v>12</v>
      </c>
      <c r="N147" s="22" t="n">
        <v>0</v>
      </c>
      <c r="V147" s="22" t="n">
        <v>0</v>
      </c>
      <c r="W147" s="22" t="n">
        <v>6</v>
      </c>
      <c r="X147" s="22" t="n">
        <v>12</v>
      </c>
    </row>
    <row r="148">
      <c r="A148" s="20" t="inlineStr">
        <is>
          <t>매출채권 증감</t>
        </is>
      </c>
      <c r="D148" s="22" t="n">
        <v>-1073</v>
      </c>
      <c r="F148" s="22" t="n">
        <v>277</v>
      </c>
      <c r="H148" s="22" t="n">
        <v>-245</v>
      </c>
      <c r="J148" s="22" t="n">
        <v>1017</v>
      </c>
      <c r="L148" s="22" t="n">
        <v>3614</v>
      </c>
      <c r="N148" s="22" t="n">
        <v>3354</v>
      </c>
      <c r="O148" s="22" t="n">
        <v>79.157</v>
      </c>
      <c r="P148" s="22" t="n">
        <v>80.81999999999999</v>
      </c>
      <c r="Q148" s="22" t="n">
        <v>298.266</v>
      </c>
      <c r="R148" s="22" t="n">
        <v>181</v>
      </c>
      <c r="S148" s="22" t="n">
        <v>1867</v>
      </c>
      <c r="T148" s="22" t="n">
        <v>2364</v>
      </c>
      <c r="U148" s="22" t="n">
        <v>-856</v>
      </c>
      <c r="V148" s="22" t="n">
        <v>-1073</v>
      </c>
      <c r="W148" s="22" t="n">
        <v>-245</v>
      </c>
      <c r="X148" s="22" t="n">
        <v>3614</v>
      </c>
    </row>
    <row r="149">
      <c r="A149" s="20" t="inlineStr">
        <is>
          <t>재고자산 증감</t>
        </is>
      </c>
      <c r="D149" s="22" t="n">
        <v>19</v>
      </c>
      <c r="F149" s="22" t="n">
        <v>1</v>
      </c>
      <c r="H149" s="22" t="n">
        <v>-0</v>
      </c>
      <c r="J149" s="22" t="n">
        <v>1</v>
      </c>
      <c r="L149" s="22" t="n">
        <v>2</v>
      </c>
      <c r="N149" s="22" t="n">
        <v>0</v>
      </c>
      <c r="O149" s="22" t="n">
        <v>1.111</v>
      </c>
      <c r="P149" s="22" t="n">
        <v>-0.166</v>
      </c>
      <c r="Q149" s="22" t="n">
        <v>0.404</v>
      </c>
      <c r="R149" s="22" t="n">
        <v>-1</v>
      </c>
      <c r="S149" s="22" t="n">
        <v>-2</v>
      </c>
      <c r="T149" s="22" t="n">
        <v>0</v>
      </c>
      <c r="U149" s="22" t="n">
        <v>-18</v>
      </c>
      <c r="V149" s="22" t="n">
        <v>19</v>
      </c>
      <c r="W149" s="22" t="n">
        <v>-0</v>
      </c>
      <c r="X149" s="22" t="n">
        <v>2</v>
      </c>
    </row>
    <row r="150">
      <c r="A150" s="20" t="inlineStr">
        <is>
          <t>매입채무 증감</t>
        </is>
      </c>
      <c r="D150" s="22" t="n">
        <v>-100</v>
      </c>
      <c r="F150" s="22" t="n">
        <v>-22</v>
      </c>
      <c r="H150" s="22" t="n">
        <v>-24</v>
      </c>
      <c r="J150" s="22" t="n">
        <v>-0</v>
      </c>
      <c r="L150" s="22" t="n">
        <v>-5</v>
      </c>
      <c r="N150" s="22" t="n">
        <v>-4</v>
      </c>
      <c r="O150" s="22" t="n">
        <v>12.219</v>
      </c>
      <c r="P150" s="22" t="n">
        <v>4.117</v>
      </c>
      <c r="Q150" s="22" t="n">
        <v>0.45</v>
      </c>
      <c r="R150" s="22" t="n">
        <v>9</v>
      </c>
      <c r="S150" s="22" t="n">
        <v>0</v>
      </c>
      <c r="T150" s="22" t="n">
        <v>10</v>
      </c>
      <c r="U150" s="22" t="n">
        <v>194</v>
      </c>
      <c r="V150" s="22" t="n">
        <v>-100</v>
      </c>
      <c r="W150" s="22" t="n">
        <v>-24</v>
      </c>
      <c r="X150" s="22" t="n">
        <v>-5</v>
      </c>
    </row>
    <row r="151">
      <c r="A151" s="20" t="inlineStr">
        <is>
          <t>미지급금 증감</t>
        </is>
      </c>
      <c r="D151" s="22" t="n">
        <v>141</v>
      </c>
      <c r="F151" s="22" t="n">
        <v>-97</v>
      </c>
      <c r="H151" s="22" t="n">
        <v>-8</v>
      </c>
      <c r="J151" s="22" t="n">
        <v>-43</v>
      </c>
      <c r="L151" s="22" t="n">
        <v>-7</v>
      </c>
      <c r="N151" s="22" t="n">
        <v>-52</v>
      </c>
      <c r="O151" s="22" t="n">
        <v>-9.464</v>
      </c>
      <c r="P151" s="22" t="n">
        <v>-3.622</v>
      </c>
      <c r="Q151" s="22" t="n">
        <v>-34.743</v>
      </c>
      <c r="R151" s="22" t="n">
        <v>-7</v>
      </c>
      <c r="S151" s="22" t="n">
        <v>15</v>
      </c>
      <c r="T151" s="22" t="n">
        <v>43</v>
      </c>
      <c r="U151" s="22" t="n">
        <v>35</v>
      </c>
      <c r="V151" s="22" t="n">
        <v>141</v>
      </c>
      <c r="W151" s="22" t="n">
        <v>-8</v>
      </c>
      <c r="X151" s="22" t="n">
        <v>-7</v>
      </c>
    </row>
    <row r="152">
      <c r="A152" s="20" t="inlineStr">
        <is>
          <t>기타 유동자산 증감</t>
        </is>
      </c>
      <c r="D152" s="22" t="n">
        <v>-60</v>
      </c>
      <c r="F152" s="22" t="n">
        <v>122</v>
      </c>
      <c r="H152" s="22" t="n">
        <v>-38</v>
      </c>
      <c r="J152" s="22" t="n">
        <v>144</v>
      </c>
      <c r="L152" s="22" t="n">
        <v>-103</v>
      </c>
      <c r="N152" s="22" t="n">
        <v>206</v>
      </c>
      <c r="O152" s="22" t="n">
        <v>-50.105</v>
      </c>
      <c r="P152" s="22" t="n">
        <v>-13.078</v>
      </c>
      <c r="Q152" s="22" t="n">
        <v>85.102</v>
      </c>
      <c r="R152" s="22" t="n">
        <v>5</v>
      </c>
      <c r="S152" s="22" t="n">
        <v>9</v>
      </c>
      <c r="T152" s="22" t="n">
        <v>-40</v>
      </c>
      <c r="U152" s="22" t="n">
        <v>-186</v>
      </c>
      <c r="V152" s="22" t="n">
        <v>-60</v>
      </c>
      <c r="W152" s="22" t="n">
        <v>-38</v>
      </c>
      <c r="X152" s="22" t="n">
        <v>-103</v>
      </c>
    </row>
    <row r="153">
      <c r="A153" s="20" t="inlineStr">
        <is>
          <t>기타 유동부채 증감</t>
        </is>
      </c>
      <c r="D153" s="22" t="n">
        <v>58</v>
      </c>
      <c r="F153" s="22" t="n">
        <v>-20</v>
      </c>
      <c r="H153" s="22" t="n">
        <v>10</v>
      </c>
      <c r="J153" s="22" t="n">
        <v>-16</v>
      </c>
      <c r="L153" s="22" t="n">
        <v>50</v>
      </c>
      <c r="N153" s="22" t="n">
        <v>-3</v>
      </c>
      <c r="O153" s="22" t="n">
        <v>54.398</v>
      </c>
      <c r="P153" s="22" t="n">
        <v>-75.396</v>
      </c>
      <c r="Q153" s="22" t="n">
        <v>45.582</v>
      </c>
      <c r="R153" s="22" t="n">
        <v>-31</v>
      </c>
      <c r="S153" s="22" t="n">
        <v>165</v>
      </c>
      <c r="T153" s="22" t="n">
        <v>38</v>
      </c>
      <c r="U153" s="22" t="n">
        <v>-81</v>
      </c>
      <c r="V153" s="22" t="n">
        <v>58</v>
      </c>
      <c r="W153" s="22" t="n">
        <v>10</v>
      </c>
      <c r="X153" s="22" t="n">
        <v>50</v>
      </c>
    </row>
    <row r="154">
      <c r="A154" s="20" t="inlineStr">
        <is>
          <t>기타</t>
        </is>
      </c>
      <c r="D154" s="22" t="n">
        <v>28</v>
      </c>
      <c r="F154" s="22" t="n">
        <v>-27</v>
      </c>
      <c r="H154" s="22" t="n">
        <v>-94</v>
      </c>
      <c r="J154" s="22" t="n">
        <v>25</v>
      </c>
      <c r="L154" s="22" t="n">
        <v>45</v>
      </c>
      <c r="N154" s="22" t="n">
        <v>-8</v>
      </c>
      <c r="O154" s="22" t="n">
        <v>26.395</v>
      </c>
      <c r="P154" s="22" t="n">
        <v>-23.051</v>
      </c>
      <c r="Q154" s="22" t="n">
        <v>19.598</v>
      </c>
      <c r="R154" s="22" t="n">
        <v>11</v>
      </c>
      <c r="S154" s="22" t="n">
        <v>6</v>
      </c>
      <c r="T154" s="22" t="n">
        <v>-27</v>
      </c>
      <c r="U154" s="22" t="n">
        <v>16</v>
      </c>
      <c r="V154" s="22" t="n">
        <v>28</v>
      </c>
      <c r="W154" s="22" t="n">
        <v>-94</v>
      </c>
      <c r="X154" s="22" t="n">
        <v>45</v>
      </c>
    </row>
    <row r="155">
      <c r="A155" s="20" t="inlineStr">
        <is>
          <t>소계</t>
        </is>
      </c>
      <c r="D155" s="22" t="n">
        <v>4308</v>
      </c>
      <c r="F155" s="22" t="n">
        <v>2751</v>
      </c>
      <c r="H155" s="22" t="n">
        <v>5094</v>
      </c>
      <c r="J155" s="22" t="n">
        <v>3620</v>
      </c>
      <c r="L155" s="22" t="n">
        <v>9385</v>
      </c>
      <c r="N155" s="22" t="n">
        <v>6830</v>
      </c>
      <c r="O155" s="22" t="n">
        <v>2517.311</v>
      </c>
      <c r="P155" s="22" t="n">
        <v>2395.273</v>
      </c>
      <c r="Q155" s="22" t="n">
        <v>3669.697</v>
      </c>
      <c r="R155" s="22" t="n">
        <v>3297</v>
      </c>
      <c r="S155" s="22" t="n">
        <v>5977</v>
      </c>
      <c r="T155" s="22" t="n">
        <v>7309</v>
      </c>
      <c r="U155" s="22" t="n">
        <v>4464</v>
      </c>
      <c r="V155" s="22" t="n">
        <v>4308</v>
      </c>
      <c r="W155" s="22" t="n">
        <v>5094</v>
      </c>
      <c r="X155" s="22" t="n">
        <v>9385</v>
      </c>
    </row>
    <row r="156">
      <c r="A156" s="20" t="inlineStr">
        <is>
          <t>이자·배당금 수취</t>
        </is>
      </c>
      <c r="D156" s="22" t="n">
        <v>0</v>
      </c>
      <c r="F156" s="22" t="n">
        <v>0</v>
      </c>
      <c r="H156" s="22" t="n">
        <v>1</v>
      </c>
      <c r="J156" s="22" t="n">
        <v>13</v>
      </c>
      <c r="L156" s="22" t="n">
        <v>37</v>
      </c>
      <c r="N156" s="22" t="n">
        <v>53</v>
      </c>
      <c r="O156" s="22" t="n">
        <v>1.547</v>
      </c>
      <c r="P156" s="22" t="n">
        <v>1.389</v>
      </c>
      <c r="Q156" s="22" t="n">
        <v>1.39</v>
      </c>
      <c r="R156" s="22" t="n">
        <v>1</v>
      </c>
      <c r="S156" s="22" t="n">
        <v>0</v>
      </c>
      <c r="T156" s="22" t="n">
        <v>0</v>
      </c>
      <c r="U156" s="22" t="n">
        <v>0</v>
      </c>
      <c r="V156" s="22" t="n">
        <v>0</v>
      </c>
      <c r="W156" s="22" t="n">
        <v>1</v>
      </c>
      <c r="X156" s="22" t="n">
        <v>37</v>
      </c>
    </row>
    <row r="157">
      <c r="A157" s="20" t="inlineStr">
        <is>
          <t>이자 지급</t>
        </is>
      </c>
      <c r="O157" s="22" t="n">
        <v>0</v>
      </c>
      <c r="P157" s="22" t="n">
        <v>-0.077</v>
      </c>
      <c r="Q157" s="22" t="n">
        <v>0</v>
      </c>
    </row>
    <row r="158">
      <c r="A158" s="20" t="inlineStr">
        <is>
          <t>법인세 납부</t>
        </is>
      </c>
      <c r="D158" s="22" t="n">
        <v>-1478</v>
      </c>
      <c r="F158" s="22" t="n">
        <v>-1289</v>
      </c>
      <c r="H158" s="22" t="n">
        <v>-2279</v>
      </c>
      <c r="J158" s="22" t="n">
        <v>-362</v>
      </c>
      <c r="L158" s="22" t="n">
        <v>-1041</v>
      </c>
      <c r="N158" s="22" t="n">
        <v>-774</v>
      </c>
      <c r="O158" s="22" t="n">
        <v>-506.577</v>
      </c>
      <c r="P158" s="22" t="n">
        <v>-733.426</v>
      </c>
      <c r="Q158" s="22" t="n">
        <v>-579.225</v>
      </c>
      <c r="R158" s="22" t="n">
        <v>-612</v>
      </c>
      <c r="S158" s="22" t="n">
        <v>-757</v>
      </c>
      <c r="T158" s="22" t="n">
        <v>-1140</v>
      </c>
      <c r="U158" s="22" t="n">
        <v>-1318</v>
      </c>
      <c r="V158" s="22" t="n">
        <v>-1478</v>
      </c>
      <c r="W158" s="22" t="n">
        <v>-2279</v>
      </c>
      <c r="X158" s="22" t="n">
        <v>-1041</v>
      </c>
    </row>
    <row r="159">
      <c r="A159" s="9" t="inlineStr">
        <is>
          <t>영업활동 현금흐름</t>
        </is>
      </c>
      <c r="D159" s="12" t="n">
        <v>2830</v>
      </c>
      <c r="F159" s="12" t="n">
        <v>1462</v>
      </c>
      <c r="H159" s="12" t="n">
        <v>2817</v>
      </c>
      <c r="J159" s="12" t="n">
        <v>3271</v>
      </c>
      <c r="L159" s="12" t="n">
        <v>8381</v>
      </c>
      <c r="N159" s="12" t="n">
        <v>6109</v>
      </c>
      <c r="O159" s="12" t="n">
        <v>2012.282</v>
      </c>
      <c r="P159" s="12" t="n">
        <v>1663.158</v>
      </c>
      <c r="Q159" s="12" t="n">
        <v>3091.862</v>
      </c>
      <c r="R159" s="12" t="n">
        <v>2686</v>
      </c>
      <c r="S159" s="12" t="n">
        <v>5221</v>
      </c>
      <c r="T159" s="12" t="n">
        <v>6169</v>
      </c>
      <c r="U159" s="12" t="n">
        <v>3147</v>
      </c>
      <c r="V159" s="12" t="n">
        <v>2830</v>
      </c>
      <c r="W159" s="12" t="n">
        <v>2817</v>
      </c>
      <c r="X159" s="12" t="n">
        <v>8381</v>
      </c>
    </row>
    <row r="160">
      <c r="A160" s="20" t="inlineStr">
        <is>
          <t>정기예금 증감</t>
        </is>
      </c>
      <c r="Q160" s="22" t="n">
        <v>0</v>
      </c>
      <c r="R160" s="22" t="n">
        <v>600</v>
      </c>
      <c r="S160" s="22" t="n">
        <v>0</v>
      </c>
    </row>
    <row r="161">
      <c r="A161" s="20" t="inlineStr">
        <is>
          <t>유형자산 취득(설비투자)</t>
        </is>
      </c>
      <c r="D161" s="22" t="n">
        <v>-75</v>
      </c>
      <c r="F161" s="22" t="n">
        <v>-22</v>
      </c>
      <c r="H161" s="22" t="n">
        <v>-24</v>
      </c>
      <c r="J161" s="22" t="n">
        <v>-73</v>
      </c>
      <c r="L161" s="22" t="n">
        <v>-145</v>
      </c>
      <c r="N161" s="22" t="n">
        <v>-73</v>
      </c>
      <c r="O161" s="22" t="n">
        <v>-44.948</v>
      </c>
      <c r="P161" s="22" t="n">
        <v>-103.913</v>
      </c>
      <c r="Q161" s="22" t="n">
        <v>-167.827</v>
      </c>
      <c r="R161" s="22" t="n">
        <v>-45</v>
      </c>
      <c r="S161" s="22" t="n">
        <v>-48</v>
      </c>
      <c r="T161" s="22" t="n">
        <v>-17</v>
      </c>
      <c r="U161" s="22" t="n">
        <v>-56</v>
      </c>
      <c r="V161" s="22" t="n">
        <v>-75</v>
      </c>
      <c r="W161" s="22" t="n">
        <v>-24</v>
      </c>
      <c r="X161" s="22" t="n">
        <v>-145</v>
      </c>
    </row>
    <row r="162">
      <c r="A162" s="20" t="inlineStr">
        <is>
          <t>유형자산 매각</t>
        </is>
      </c>
      <c r="D162" s="22" t="n">
        <v>9</v>
      </c>
      <c r="F162" s="22" t="n">
        <v>0</v>
      </c>
      <c r="H162" s="22" t="n">
        <v>0</v>
      </c>
      <c r="L162" s="22" t="n">
        <v>0</v>
      </c>
      <c r="O162" s="22" t="n">
        <v>0</v>
      </c>
      <c r="P162" s="22" t="n">
        <v>7.66</v>
      </c>
      <c r="Q162" s="22" t="n">
        <v>0</v>
      </c>
      <c r="R162" s="22" t="n">
        <v>0</v>
      </c>
      <c r="S162" s="22" t="n">
        <v>6</v>
      </c>
      <c r="T162" s="22" t="n">
        <v>0</v>
      </c>
      <c r="U162" s="22" t="n">
        <v>0</v>
      </c>
      <c r="V162" s="22" t="n">
        <v>9</v>
      </c>
      <c r="W162" s="22" t="n">
        <v>0</v>
      </c>
      <c r="X162" s="22" t="n">
        <v>0</v>
      </c>
    </row>
    <row r="163">
      <c r="A163" s="20" t="inlineStr">
        <is>
          <t>무형자산 취득</t>
        </is>
      </c>
      <c r="D163" s="22" t="n">
        <v>-918</v>
      </c>
      <c r="F163" s="22" t="n">
        <v>-547</v>
      </c>
      <c r="H163" s="22" t="n">
        <v>-1046</v>
      </c>
      <c r="J163" s="22" t="n">
        <v>-505</v>
      </c>
      <c r="L163" s="22" t="n">
        <v>-1115</v>
      </c>
      <c r="N163" s="22" t="n">
        <v>-577</v>
      </c>
      <c r="O163" s="22" t="n">
        <v>-619.54</v>
      </c>
      <c r="P163" s="22" t="n">
        <v>-671.817</v>
      </c>
      <c r="Q163" s="22" t="n">
        <v>-741.907</v>
      </c>
      <c r="R163" s="22" t="n">
        <v>-740</v>
      </c>
      <c r="S163" s="22" t="n">
        <v>-787</v>
      </c>
      <c r="T163" s="22" t="n">
        <v>-961</v>
      </c>
      <c r="U163" s="22" t="n">
        <v>-811</v>
      </c>
      <c r="V163" s="22" t="n">
        <v>-918</v>
      </c>
      <c r="W163" s="22" t="n">
        <v>-1046</v>
      </c>
      <c r="X163" s="22" t="n">
        <v>-1115</v>
      </c>
    </row>
    <row r="164">
      <c r="A164" s="20" t="inlineStr">
        <is>
          <t>보험적립금 적립</t>
        </is>
      </c>
      <c r="O164" s="22" t="n">
        <v>-0.109</v>
      </c>
      <c r="P164" s="22" t="n">
        <v>0</v>
      </c>
    </row>
    <row r="165">
      <c r="A165" s="20" t="inlineStr">
        <is>
          <t>자회사 청산 지출</t>
        </is>
      </c>
      <c r="R165" s="22" t="n">
        <v>0</v>
      </c>
      <c r="S165" s="22" t="n">
        <v>-1</v>
      </c>
      <c r="T165" s="22" t="n">
        <v>0</v>
      </c>
    </row>
    <row r="166">
      <c r="A166" s="20" t="inlineStr">
        <is>
          <t>연결범위 변경 자회사 주식 매각</t>
        </is>
      </c>
      <c r="D166" s="22" t="n">
        <v>1992</v>
      </c>
      <c r="H166" s="22" t="n">
        <v>0</v>
      </c>
      <c r="U166" s="22" t="n">
        <v>0</v>
      </c>
      <c r="V166" s="22" t="n">
        <v>1992</v>
      </c>
      <c r="W166" s="22" t="n">
        <v>0</v>
      </c>
    </row>
    <row r="167">
      <c r="A167" s="20" t="inlineStr">
        <is>
          <t>유가증권 상환 수입</t>
        </is>
      </c>
      <c r="F167" s="22" t="n">
        <v>0</v>
      </c>
      <c r="H167" s="22" t="n">
        <v>0</v>
      </c>
      <c r="J167" s="22" t="n">
        <v>100</v>
      </c>
      <c r="L167" s="22" t="n">
        <v>100</v>
      </c>
      <c r="N167" s="22" t="n">
        <v>0</v>
      </c>
      <c r="Q167" s="22" t="n">
        <v>0</v>
      </c>
      <c r="R167" s="22" t="n">
        <v>300</v>
      </c>
      <c r="S167" s="22" t="n">
        <v>0</v>
      </c>
      <c r="W167" s="22" t="n">
        <v>0</v>
      </c>
      <c r="X167" s="22" t="n">
        <v>100</v>
      </c>
    </row>
    <row r="168">
      <c r="A168" s="20" t="inlineStr">
        <is>
          <t>기타</t>
        </is>
      </c>
      <c r="D168" s="22" t="n">
        <v>5</v>
      </c>
      <c r="F168" s="22" t="n">
        <v>0</v>
      </c>
      <c r="H168" s="22" t="n">
        <v>-37</v>
      </c>
      <c r="L168" s="22" t="n">
        <v>0</v>
      </c>
      <c r="O168" s="22" t="n">
        <v>-7.199</v>
      </c>
      <c r="P168" s="22" t="n">
        <v>-6.797</v>
      </c>
      <c r="Q168" s="22" t="n">
        <v>0.95</v>
      </c>
      <c r="R168" s="22" t="n">
        <v>-3</v>
      </c>
      <c r="S168" s="22" t="n">
        <v>0</v>
      </c>
      <c r="U168" s="22" t="n">
        <v>0</v>
      </c>
      <c r="V168" s="22" t="n">
        <v>5</v>
      </c>
      <c r="W168" s="22" t="n">
        <v>-37</v>
      </c>
      <c r="X168" s="22" t="n">
        <v>0</v>
      </c>
    </row>
    <row r="169">
      <c r="A169" s="9" t="inlineStr">
        <is>
          <t>투자활동 현금흐름</t>
        </is>
      </c>
      <c r="D169" s="12" t="n">
        <v>1012</v>
      </c>
      <c r="F169" s="12" t="n">
        <v>-570</v>
      </c>
      <c r="H169" s="12" t="n">
        <v>-1107</v>
      </c>
      <c r="J169" s="12" t="n">
        <v>-478</v>
      </c>
      <c r="L169" s="12" t="n">
        <v>-1161</v>
      </c>
      <c r="N169" s="12" t="n">
        <v>-651</v>
      </c>
      <c r="O169" s="12" t="n">
        <v>-671.798</v>
      </c>
      <c r="P169" s="12" t="n">
        <v>-774.8680000000001</v>
      </c>
      <c r="Q169" s="12" t="n">
        <v>-908.784</v>
      </c>
      <c r="R169" s="12" t="n">
        <v>111</v>
      </c>
      <c r="S169" s="12" t="n">
        <v>-830</v>
      </c>
      <c r="T169" s="12" t="n">
        <v>-978</v>
      </c>
      <c r="U169" s="12" t="n">
        <v>-867</v>
      </c>
      <c r="V169" s="12" t="n">
        <v>1012</v>
      </c>
      <c r="W169" s="12" t="n">
        <v>-1107</v>
      </c>
      <c r="X169" s="12" t="n">
        <v>-1161</v>
      </c>
    </row>
    <row r="170">
      <c r="A170" s="20" t="inlineStr">
        <is>
          <t>자기주식 처분</t>
        </is>
      </c>
      <c r="D170" s="22" t="n">
        <v>0</v>
      </c>
      <c r="F170" s="22" t="n">
        <v>0</v>
      </c>
      <c r="H170" s="22" t="n">
        <v>0</v>
      </c>
      <c r="J170" s="22" t="n">
        <v>0</v>
      </c>
      <c r="L170" s="22" t="n">
        <v>1</v>
      </c>
      <c r="N170" s="22" t="n">
        <v>286</v>
      </c>
      <c r="O170" s="22" t="n">
        <v>10.936</v>
      </c>
      <c r="P170" s="22" t="n">
        <v>98.291</v>
      </c>
      <c r="Q170" s="22" t="n">
        <v>14.822</v>
      </c>
      <c r="R170" s="22" t="n">
        <v>366</v>
      </c>
      <c r="S170" s="22" t="n">
        <v>28</v>
      </c>
      <c r="T170" s="22" t="n">
        <v>25</v>
      </c>
      <c r="U170" s="22" t="n">
        <v>0</v>
      </c>
      <c r="V170" s="22" t="n">
        <v>0</v>
      </c>
      <c r="W170" s="22" t="n">
        <v>0</v>
      </c>
      <c r="X170" s="22" t="n">
        <v>1</v>
      </c>
    </row>
    <row r="171">
      <c r="A171" s="20" t="inlineStr">
        <is>
          <t>자기주식 취득</t>
        </is>
      </c>
      <c r="D171" s="22" t="n">
        <v>-1430</v>
      </c>
      <c r="F171" s="22" t="n">
        <v>-500</v>
      </c>
      <c r="H171" s="22" t="n">
        <v>-745</v>
      </c>
      <c r="J171" s="22" t="n">
        <v>-540</v>
      </c>
      <c r="L171" s="22" t="n">
        <v>-1134</v>
      </c>
      <c r="N171" s="22" t="n">
        <v>-665</v>
      </c>
      <c r="O171" s="22" t="n">
        <v>-300.796</v>
      </c>
      <c r="P171" s="22" t="n">
        <v>-0.5580000000000001</v>
      </c>
      <c r="Q171" s="22" t="n">
        <v>-0.01</v>
      </c>
      <c r="R171" s="22" t="n">
        <v>-300</v>
      </c>
      <c r="S171" s="22" t="n">
        <v>-0</v>
      </c>
      <c r="T171" s="22" t="n">
        <v>-0</v>
      </c>
      <c r="U171" s="22" t="n">
        <v>-0</v>
      </c>
      <c r="V171" s="22" t="n">
        <v>-1430</v>
      </c>
      <c r="W171" s="22" t="n">
        <v>-745</v>
      </c>
      <c r="X171" s="22" t="n">
        <v>-1134</v>
      </c>
    </row>
    <row r="172">
      <c r="A172" s="20" t="inlineStr">
        <is>
          <t>비지배주주로부터 주식 취득 지출</t>
        </is>
      </c>
      <c r="Q172" s="22" t="n">
        <v>0</v>
      </c>
      <c r="R172" s="22" t="n">
        <v>-7</v>
      </c>
      <c r="S172" s="22" t="n">
        <v>0</v>
      </c>
    </row>
    <row r="173">
      <c r="A173" s="20" t="inlineStr">
        <is>
          <t>신주예약권 발행</t>
        </is>
      </c>
      <c r="O173" s="22" t="n">
        <v>31.35</v>
      </c>
      <c r="P173" s="22" t="n">
        <v>1.413</v>
      </c>
      <c r="Q173" s="22" t="n">
        <v>0</v>
      </c>
      <c r="S173" s="22" t="n">
        <v>0</v>
      </c>
      <c r="T173" s="22" t="n">
        <v>5</v>
      </c>
      <c r="U173" s="22" t="n">
        <v>0</v>
      </c>
    </row>
    <row r="174">
      <c r="A174" s="20" t="inlineStr">
        <is>
          <t>비지배주주 납입</t>
        </is>
      </c>
      <c r="D174" s="22" t="n">
        <v>0</v>
      </c>
      <c r="O174" s="22" t="n">
        <v>5</v>
      </c>
      <c r="P174" s="22" t="n">
        <v>0</v>
      </c>
      <c r="Q174" s="22" t="n">
        <v>0</v>
      </c>
      <c r="T174" s="22" t="n">
        <v>0</v>
      </c>
      <c r="U174" s="22" t="n">
        <v>1</v>
      </c>
      <c r="V174" s="22" t="n">
        <v>0</v>
      </c>
    </row>
    <row r="175">
      <c r="A175" s="20" t="inlineStr">
        <is>
          <t>자기주식 취득용 예탁금 증감액(△는 증가)</t>
        </is>
      </c>
      <c r="D175" s="22" t="n">
        <v>0</v>
      </c>
      <c r="F175" s="22" t="n">
        <v>0</v>
      </c>
      <c r="H175" s="22" t="n">
        <v>-256</v>
      </c>
      <c r="J175" s="22" t="n">
        <v>40</v>
      </c>
      <c r="L175" s="22" t="n">
        <v>256</v>
      </c>
      <c r="N175" s="22" t="n">
        <v>0</v>
      </c>
      <c r="V175" s="22" t="n">
        <v>0</v>
      </c>
      <c r="W175" s="22" t="n">
        <v>-256</v>
      </c>
      <c r="X175" s="22" t="n">
        <v>256</v>
      </c>
    </row>
    <row r="176">
      <c r="A176" s="20" t="inlineStr">
        <is>
          <t>배당금 지급</t>
        </is>
      </c>
      <c r="D176" s="22" t="n">
        <v>-1115</v>
      </c>
      <c r="F176" s="22" t="n">
        <v>-549</v>
      </c>
      <c r="H176" s="22" t="n">
        <v>-1094</v>
      </c>
      <c r="J176" s="22" t="n">
        <v>-611</v>
      </c>
      <c r="L176" s="22" t="n">
        <v>-1219</v>
      </c>
      <c r="N176" s="22" t="n">
        <v>-671</v>
      </c>
      <c r="O176" s="22" t="n">
        <v>-249.753</v>
      </c>
      <c r="P176" s="22" t="n">
        <v>-387.554</v>
      </c>
      <c r="Q176" s="22" t="n">
        <v>-444.524</v>
      </c>
      <c r="R176" s="22" t="n">
        <v>-767</v>
      </c>
      <c r="S176" s="22" t="n">
        <v>-699</v>
      </c>
      <c r="T176" s="22" t="n">
        <v>-840</v>
      </c>
      <c r="U176" s="22" t="n">
        <v>-1052</v>
      </c>
      <c r="V176" s="22" t="n">
        <v>-1115</v>
      </c>
      <c r="W176" s="22" t="n">
        <v>-1094</v>
      </c>
      <c r="X176" s="22" t="n">
        <v>-1219</v>
      </c>
    </row>
    <row r="177">
      <c r="A177" s="20" t="inlineStr">
        <is>
          <t>기타 지출</t>
        </is>
      </c>
      <c r="O177" s="22" t="n">
        <v>0</v>
      </c>
      <c r="P177" s="22" t="n">
        <v>-4.999</v>
      </c>
      <c r="Q177" s="22" t="n">
        <v>0</v>
      </c>
    </row>
    <row r="178">
      <c r="A178" s="9" t="inlineStr">
        <is>
          <t>재무활동 현금흐름</t>
        </is>
      </c>
      <c r="D178" s="12" t="n">
        <v>-2545</v>
      </c>
      <c r="F178" s="12" t="n">
        <v>-1050</v>
      </c>
      <c r="H178" s="12" t="n">
        <v>-2096</v>
      </c>
      <c r="J178" s="12" t="n">
        <v>-1111</v>
      </c>
      <c r="L178" s="12" t="n">
        <v>-2095</v>
      </c>
      <c r="N178" s="12" t="n">
        <v>-1050</v>
      </c>
      <c r="O178" s="12" t="n">
        <v>-503.262</v>
      </c>
      <c r="P178" s="12" t="n">
        <v>-293.407</v>
      </c>
      <c r="Q178" s="12" t="n">
        <v>-429.712</v>
      </c>
      <c r="R178" s="12" t="n">
        <v>-709</v>
      </c>
      <c r="S178" s="12" t="n">
        <v>-671</v>
      </c>
      <c r="T178" s="12" t="n">
        <v>-810</v>
      </c>
      <c r="U178" s="12" t="n">
        <v>-1051</v>
      </c>
      <c r="V178" s="12" t="n">
        <v>-2545</v>
      </c>
      <c r="W178" s="12" t="n">
        <v>-2096</v>
      </c>
      <c r="X178" s="12" t="n">
        <v>-2095</v>
      </c>
    </row>
    <row r="179">
      <c r="A179" s="20" t="inlineStr">
        <is>
          <t>현금성자산 환산차이</t>
        </is>
      </c>
      <c r="D179" s="22" t="n">
        <v>22</v>
      </c>
      <c r="F179" s="22" t="n">
        <v>1</v>
      </c>
      <c r="H179" s="22" t="n">
        <v>-0</v>
      </c>
      <c r="J179" s="22" t="n">
        <v>5</v>
      </c>
      <c r="L179" s="22" t="n">
        <v>7</v>
      </c>
      <c r="N179" s="22" t="n">
        <v>-2</v>
      </c>
      <c r="O179" s="22" t="n">
        <v>-9.742000000000001</v>
      </c>
      <c r="P179" s="22" t="n">
        <v>-1.465</v>
      </c>
      <c r="Q179" s="22" t="n">
        <v>-2.267</v>
      </c>
      <c r="R179" s="22" t="n">
        <v>-5</v>
      </c>
      <c r="S179" s="22" t="n">
        <v>10</v>
      </c>
      <c r="T179" s="22" t="n">
        <v>10</v>
      </c>
      <c r="U179" s="22" t="n">
        <v>17</v>
      </c>
      <c r="V179" s="22" t="n">
        <v>22</v>
      </c>
      <c r="W179" s="22" t="n">
        <v>-0</v>
      </c>
      <c r="X179" s="22" t="n">
        <v>7</v>
      </c>
    </row>
    <row r="180">
      <c r="A180" s="20" t="inlineStr">
        <is>
          <t>현금성자산 증감</t>
        </is>
      </c>
      <c r="D180" s="22" t="n">
        <v>1320</v>
      </c>
      <c r="F180" s="22" t="n">
        <v>-156</v>
      </c>
      <c r="H180" s="22" t="n">
        <v>-387</v>
      </c>
      <c r="J180" s="22" t="n">
        <v>1686</v>
      </c>
      <c r="L180" s="22" t="n">
        <v>5131</v>
      </c>
      <c r="N180" s="22" t="n">
        <v>4405</v>
      </c>
      <c r="O180" s="22" t="n">
        <v>827.478</v>
      </c>
      <c r="P180" s="22" t="n">
        <v>593.417</v>
      </c>
      <c r="Q180" s="22" t="n">
        <v>1751.098</v>
      </c>
      <c r="R180" s="22" t="n">
        <v>2082</v>
      </c>
      <c r="S180" s="22" t="n">
        <v>3730</v>
      </c>
      <c r="T180" s="22" t="n">
        <v>4391</v>
      </c>
      <c r="U180" s="22" t="n">
        <v>1245</v>
      </c>
      <c r="V180" s="22" t="n">
        <v>1320</v>
      </c>
      <c r="W180" s="22" t="n">
        <v>-387</v>
      </c>
      <c r="X180" s="22" t="n">
        <v>5131</v>
      </c>
    </row>
    <row r="181">
      <c r="A181" s="20" t="inlineStr">
        <is>
          <t>연결범위 변경에 따른 현금성자산 증감</t>
        </is>
      </c>
      <c r="O181" s="22" t="n">
        <v>27.482</v>
      </c>
      <c r="P181" s="22" t="n">
        <v>-65.81100000000001</v>
      </c>
      <c r="Q181" s="22" t="n">
        <v>-8.369</v>
      </c>
      <c r="R181" s="22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2326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21274</v>
      </c>
      <c r="D5" s="12" t="n">
        <v>21172</v>
      </c>
      <c r="E5" s="12" t="n">
        <v>25080</v>
      </c>
      <c r="F5" s="12" t="n">
        <v>26340</v>
      </c>
      <c r="G5" s="12" t="n">
        <v>29288</v>
      </c>
      <c r="H5" s="11" t="n">
        <v>17105</v>
      </c>
      <c r="I5" s="12" t="n">
        <v>18925</v>
      </c>
      <c r="J5" s="12" t="n">
        <v>20183</v>
      </c>
      <c r="K5" s="12" t="n">
        <v>20112</v>
      </c>
      <c r="L5" s="12" t="n">
        <v>25080</v>
      </c>
    </row>
    <row r="6">
      <c r="A6" s="20" t="inlineStr">
        <is>
          <t>현금및현금성자산</t>
        </is>
      </c>
      <c r="B6" s="10" t="n"/>
      <c r="C6" s="21" t="n">
        <v>19638</v>
      </c>
      <c r="D6" s="22" t="n">
        <v>19308</v>
      </c>
      <c r="E6" s="22" t="n">
        <v>23083</v>
      </c>
      <c r="F6" s="22" t="n">
        <v>23950</v>
      </c>
      <c r="G6" s="22" t="n">
        <v>27488</v>
      </c>
      <c r="H6" s="21" t="n">
        <v>15773</v>
      </c>
      <c r="I6" s="22" t="n">
        <v>17018</v>
      </c>
      <c r="J6" s="22" t="n">
        <v>18339</v>
      </c>
      <c r="K6" s="22" t="n">
        <v>17952</v>
      </c>
      <c r="L6" s="22" t="n">
        <v>23083</v>
      </c>
    </row>
    <row r="7">
      <c r="A7" s="20" t="inlineStr">
        <is>
          <t>단기금융상품</t>
        </is>
      </c>
      <c r="B7" s="10" t="n"/>
      <c r="C7" s="21" t="n">
        <v>0</v>
      </c>
      <c r="D7" s="22" t="n">
        <v>0</v>
      </c>
      <c r="E7" s="22" t="n">
        <v>0</v>
      </c>
      <c r="F7" s="22" t="n"/>
      <c r="G7" s="22" t="n"/>
      <c r="H7" s="21" t="n"/>
      <c r="I7" s="22" t="n"/>
      <c r="J7" s="22" t="n"/>
      <c r="K7" s="22" t="n">
        <v>100</v>
      </c>
      <c r="L7" s="22" t="n">
        <v>0</v>
      </c>
    </row>
    <row r="8">
      <c r="A8" s="20" t="inlineStr">
        <is>
          <t>매출채권</t>
        </is>
      </c>
      <c r="B8" s="10" t="n"/>
      <c r="C8" s="21" t="n">
        <v>1210</v>
      </c>
      <c r="D8" s="22" t="n">
        <v>1528</v>
      </c>
      <c r="E8" s="22" t="n">
        <v>1548</v>
      </c>
      <c r="F8" s="22" t="n">
        <v>1350</v>
      </c>
      <c r="G8" s="22" t="n">
        <v>1550</v>
      </c>
      <c r="H8" s="21" t="n">
        <v>1216</v>
      </c>
      <c r="I8" s="22" t="n">
        <v>1574</v>
      </c>
      <c r="J8" s="22" t="n">
        <v>1535</v>
      </c>
      <c r="K8" s="22" t="n">
        <v>1444</v>
      </c>
      <c r="L8" s="22" t="n">
        <v>1548</v>
      </c>
    </row>
    <row r="9">
      <c r="A9" s="20" t="inlineStr">
        <is>
          <t>재고자산</t>
        </is>
      </c>
      <c r="B9" s="10" t="n"/>
      <c r="C9" s="21" t="n">
        <v>1</v>
      </c>
      <c r="D9" s="22" t="n">
        <v>1</v>
      </c>
      <c r="E9" s="22" t="n">
        <v>0</v>
      </c>
      <c r="F9" s="22" t="n">
        <v>1</v>
      </c>
      <c r="G9" s="22" t="n">
        <v>0</v>
      </c>
      <c r="H9" s="21" t="n">
        <v>3</v>
      </c>
      <c r="I9" s="22" t="n">
        <v>22</v>
      </c>
      <c r="J9" s="22" t="n">
        <v>2</v>
      </c>
      <c r="K9" s="22" t="n">
        <v>3</v>
      </c>
      <c r="L9" s="22" t="n">
        <v>0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2587</v>
      </c>
      <c r="D11" s="12" t="n">
        <v>2704</v>
      </c>
      <c r="E11" s="12" t="n">
        <v>2784</v>
      </c>
      <c r="F11" s="12" t="n">
        <v>2834</v>
      </c>
      <c r="G11" s="12" t="n">
        <v>2884</v>
      </c>
      <c r="H11" s="11" t="n">
        <v>2236</v>
      </c>
      <c r="I11" s="12" t="n">
        <v>2223</v>
      </c>
      <c r="J11" s="12" t="n">
        <v>2334</v>
      </c>
      <c r="K11" s="12" t="n">
        <v>2515</v>
      </c>
      <c r="L11" s="12" t="n">
        <v>2784</v>
      </c>
    </row>
    <row r="12">
      <c r="A12" s="20" t="inlineStr">
        <is>
          <t>유형자산</t>
        </is>
      </c>
      <c r="B12" s="10" t="n"/>
      <c r="C12" s="21" t="n">
        <v>230</v>
      </c>
      <c r="D12" s="22" t="n">
        <v>230</v>
      </c>
      <c r="E12" s="22" t="n">
        <v>265</v>
      </c>
      <c r="F12" s="22" t="n">
        <v>298</v>
      </c>
      <c r="G12" s="22" t="n">
        <v>293</v>
      </c>
      <c r="H12" s="21" t="n">
        <v>206</v>
      </c>
      <c r="I12" s="22" t="n">
        <v>209</v>
      </c>
      <c r="J12" s="22" t="n">
        <v>211</v>
      </c>
      <c r="K12" s="22" t="n">
        <v>238</v>
      </c>
      <c r="L12" s="22" t="n">
        <v>265</v>
      </c>
    </row>
    <row r="13">
      <c r="A13" s="20" t="inlineStr">
        <is>
          <t>무형자산</t>
        </is>
      </c>
      <c r="B13" s="10" t="n"/>
      <c r="C13" s="21" t="n">
        <v>1873</v>
      </c>
      <c r="D13" s="22" t="n">
        <v>1996</v>
      </c>
      <c r="E13" s="22" t="n">
        <v>2008</v>
      </c>
      <c r="F13" s="22" t="n">
        <v>2020</v>
      </c>
      <c r="G13" s="22" t="n">
        <v>2068</v>
      </c>
      <c r="H13" s="21" t="n">
        <v>1526</v>
      </c>
      <c r="I13" s="22" t="n">
        <v>1508</v>
      </c>
      <c r="J13" s="22" t="n">
        <v>1602</v>
      </c>
      <c r="K13" s="22" t="n">
        <v>1783</v>
      </c>
      <c r="L13" s="22" t="n">
        <v>2008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23862</v>
      </c>
      <c r="D16" s="12" t="n">
        <v>23876</v>
      </c>
      <c r="E16" s="12" t="n">
        <v>27865</v>
      </c>
      <c r="F16" s="12" t="n">
        <v>29175</v>
      </c>
      <c r="G16" s="12" t="n">
        <v>32173</v>
      </c>
      <c r="H16" s="11" t="n">
        <v>19341</v>
      </c>
      <c r="I16" s="12" t="n">
        <v>21149</v>
      </c>
      <c r="J16" s="12" t="n">
        <v>22518</v>
      </c>
      <c r="K16" s="12" t="n">
        <v>22627</v>
      </c>
      <c r="L16" s="12" t="n">
        <v>27865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6177</v>
      </c>
      <c r="D18" s="12" t="n">
        <v>6359</v>
      </c>
      <c r="E18" s="12" t="n">
        <v>9358</v>
      </c>
      <c r="F18" s="12" t="n">
        <v>10923</v>
      </c>
      <c r="G18" s="12" t="n">
        <v>12778</v>
      </c>
      <c r="H18" s="11" t="n">
        <v>7130</v>
      </c>
      <c r="I18" s="12" t="n">
        <v>6924</v>
      </c>
      <c r="J18" s="12" t="n">
        <v>6467</v>
      </c>
      <c r="K18" s="12" t="n">
        <v>5209</v>
      </c>
      <c r="L18" s="12" t="n">
        <v>9358</v>
      </c>
    </row>
    <row r="19">
      <c r="A19" s="20" t="inlineStr">
        <is>
          <t>매입채무</t>
        </is>
      </c>
      <c r="B19" s="10" t="n"/>
      <c r="C19" s="21" t="n">
        <v>30</v>
      </c>
      <c r="D19" s="22" t="n">
        <v>50</v>
      </c>
      <c r="E19" s="22" t="n">
        <v>25</v>
      </c>
      <c r="F19" s="22" t="n">
        <v>18</v>
      </c>
      <c r="G19" s="22" t="n">
        <v>20</v>
      </c>
      <c r="H19" s="21" t="n">
        <v>44</v>
      </c>
      <c r="I19" s="22" t="n">
        <v>238</v>
      </c>
      <c r="J19" s="22" t="n">
        <v>54</v>
      </c>
      <c r="K19" s="22" t="n">
        <v>30</v>
      </c>
      <c r="L19" s="22" t="n">
        <v>25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52</v>
      </c>
      <c r="D23" s="12" t="n">
        <v>51</v>
      </c>
      <c r="E23" s="12" t="n">
        <v>52</v>
      </c>
      <c r="F23" s="12" t="n">
        <v>52</v>
      </c>
      <c r="G23" s="12" t="n">
        <v>52</v>
      </c>
      <c r="H23" s="11" t="n">
        <v>50</v>
      </c>
      <c r="I23" s="12" t="n">
        <v>50</v>
      </c>
      <c r="J23" s="12" t="n">
        <v>52</v>
      </c>
      <c r="K23" s="12" t="n">
        <v>52</v>
      </c>
      <c r="L23" s="12" t="n">
        <v>52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6229</v>
      </c>
      <c r="D27" s="12" t="n">
        <v>6411</v>
      </c>
      <c r="E27" s="12" t="n">
        <v>9410</v>
      </c>
      <c r="F27" s="12" t="n">
        <v>10975</v>
      </c>
      <c r="G27" s="12" t="n">
        <v>12830</v>
      </c>
      <c r="H27" s="11" t="n">
        <v>7181</v>
      </c>
      <c r="I27" s="12" t="n">
        <v>6975</v>
      </c>
      <c r="J27" s="12" t="n">
        <v>6519</v>
      </c>
      <c r="K27" s="12" t="n">
        <v>5262</v>
      </c>
      <c r="L27" s="12" t="n">
        <v>9410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17603</v>
      </c>
      <c r="D31" s="12" t="n">
        <v>17435</v>
      </c>
      <c r="E31" s="12" t="n">
        <v>18425</v>
      </c>
      <c r="F31" s="12" t="n">
        <v>18175</v>
      </c>
      <c r="G31" s="12" t="n">
        <v>19323</v>
      </c>
      <c r="H31" s="11" t="n">
        <v>12130</v>
      </c>
      <c r="I31" s="12" t="n">
        <v>14142</v>
      </c>
      <c r="J31" s="12" t="n">
        <v>15987</v>
      </c>
      <c r="K31" s="12" t="n">
        <v>17336</v>
      </c>
      <c r="L31" s="12" t="n">
        <v>18425</v>
      </c>
    </row>
    <row r="32">
      <c r="A32" s="20" t="inlineStr">
        <is>
          <t>자본금</t>
        </is>
      </c>
      <c r="B32" s="10" t="n"/>
      <c r="C32" s="21" t="n">
        <v>713</v>
      </c>
      <c r="D32" s="22" t="n">
        <v>713</v>
      </c>
      <c r="E32" s="22" t="n">
        <v>713</v>
      </c>
      <c r="F32" s="22" t="n">
        <v>713</v>
      </c>
      <c r="G32" s="22" t="n">
        <v>713</v>
      </c>
      <c r="H32" s="21" t="n">
        <v>713</v>
      </c>
      <c r="I32" s="22" t="n">
        <v>713</v>
      </c>
      <c r="J32" s="22" t="n">
        <v>713</v>
      </c>
      <c r="K32" s="22" t="n">
        <v>713</v>
      </c>
      <c r="L32" s="22" t="n">
        <v>713</v>
      </c>
    </row>
    <row r="33">
      <c r="A33" s="20" t="inlineStr">
        <is>
          <t>이익잉여금</t>
        </is>
      </c>
      <c r="B33" s="10" t="n"/>
      <c r="C33" s="21" t="n">
        <v>18913</v>
      </c>
      <c r="D33" s="22" t="n">
        <v>19223</v>
      </c>
      <c r="E33" s="22" t="n">
        <v>20323</v>
      </c>
      <c r="F33" s="22" t="n">
        <v>20369</v>
      </c>
      <c r="G33" s="22" t="n">
        <v>21413</v>
      </c>
      <c r="H33" s="21" t="n">
        <v>10758</v>
      </c>
      <c r="I33" s="22" t="n">
        <v>12768</v>
      </c>
      <c r="J33" s="22" t="n">
        <v>16029</v>
      </c>
      <c r="K33" s="22" t="n">
        <v>18116</v>
      </c>
      <c r="L33" s="22" t="n">
        <v>20323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>
        <v>17</v>
      </c>
      <c r="I34" s="22" t="n">
        <v>20</v>
      </c>
      <c r="J34" s="22" t="n">
        <v>0</v>
      </c>
      <c r="K34" s="22" t="n"/>
      <c r="L34" s="22" t="n"/>
    </row>
    <row r="35">
      <c r="A35" s="9" t="inlineStr">
        <is>
          <t>자본총계</t>
        </is>
      </c>
      <c r="B35" s="10" t="n"/>
      <c r="C35" s="11" t="n">
        <v>17632</v>
      </c>
      <c r="D35" s="12" t="n">
        <v>17464</v>
      </c>
      <c r="E35" s="12" t="n">
        <v>18454</v>
      </c>
      <c r="F35" s="12" t="n">
        <v>18199</v>
      </c>
      <c r="G35" s="12" t="n">
        <v>19342</v>
      </c>
      <c r="H35" s="11" t="n">
        <v>12159</v>
      </c>
      <c r="I35" s="12" t="n">
        <v>14173</v>
      </c>
      <c r="J35" s="12" t="n">
        <v>15998</v>
      </c>
      <c r="K35" s="12" t="n">
        <v>17365</v>
      </c>
      <c r="L35" s="12" t="n">
        <v>18454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4626</v>
      </c>
      <c r="D37" s="12" t="n"/>
      <c r="E37" s="12" t="n">
        <v>8381</v>
      </c>
      <c r="F37" s="12" t="n"/>
      <c r="G37" s="12" t="n">
        <v>11219</v>
      </c>
      <c r="H37" s="11" t="n">
        <v>6169</v>
      </c>
      <c r="I37" s="12" t="n">
        <v>3147</v>
      </c>
      <c r="J37" s="12" t="n">
        <v>2830</v>
      </c>
      <c r="K37" s="12" t="n">
        <v>2817</v>
      </c>
      <c r="L37" s="12" t="n">
        <v>8381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1079</v>
      </c>
      <c r="D38" s="22" t="n"/>
      <c r="E38" s="22" t="n">
        <v>1260</v>
      </c>
      <c r="F38" s="22" t="n"/>
      <c r="G38" s="22" t="n">
        <v>1332</v>
      </c>
      <c r="H38" s="21" t="n">
        <v>978</v>
      </c>
      <c r="I38" s="22" t="n">
        <v>867</v>
      </c>
      <c r="J38" s="22" t="n">
        <v>993</v>
      </c>
      <c r="K38" s="22" t="n">
        <v>1070</v>
      </c>
      <c r="L38" s="22" t="n">
        <v>1260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1156</v>
      </c>
      <c r="D40" s="22" t="n"/>
      <c r="E40" s="22" t="n">
        <v>1219</v>
      </c>
      <c r="F40" s="22" t="n"/>
      <c r="G40" s="22" t="n">
        <v>1279</v>
      </c>
      <c r="H40" s="21" t="n">
        <v>840</v>
      </c>
      <c r="I40" s="22" t="n">
        <v>1052</v>
      </c>
      <c r="J40" s="22" t="n">
        <v>1115</v>
      </c>
      <c r="K40" s="22" t="n">
        <v>1094</v>
      </c>
      <c r="L40" s="22" t="n">
        <v>1219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19638</v>
      </c>
      <c r="D71" s="22" t="n">
        <v>19308</v>
      </c>
      <c r="E71" s="22" t="n">
        <v>23083</v>
      </c>
      <c r="F71" s="22" t="n">
        <v>23950</v>
      </c>
      <c r="G71" s="22" t="n">
        <v>27488</v>
      </c>
      <c r="H71" s="22" t="n">
        <v>15773</v>
      </c>
      <c r="I71" s="22" t="n">
        <v>17018</v>
      </c>
      <c r="J71" s="22" t="n">
        <v>18339</v>
      </c>
      <c r="K71" s="22" t="n">
        <v>17952</v>
      </c>
      <c r="L71" s="22" t="n">
        <v>23083</v>
      </c>
    </row>
    <row r="72">
      <c r="A72" s="20" t="inlineStr">
        <is>
          <t>받을어음</t>
        </is>
      </c>
      <c r="E72" s="22" t="n">
        <v>380</v>
      </c>
      <c r="H72" s="22" t="n">
        <v>74</v>
      </c>
      <c r="I72" s="22" t="n">
        <v>148</v>
      </c>
      <c r="J72" s="22" t="n">
        <v>65</v>
      </c>
      <c r="K72" s="22" t="n">
        <v>120</v>
      </c>
      <c r="L72" s="22" t="n">
        <v>380</v>
      </c>
    </row>
    <row r="73">
      <c r="A73" s="20" t="inlineStr">
        <is>
          <t>매출채권</t>
        </is>
      </c>
      <c r="E73" s="22" t="n">
        <v>1168</v>
      </c>
      <c r="H73" s="22" t="n">
        <v>1142</v>
      </c>
      <c r="I73" s="22" t="n">
        <v>1426</v>
      </c>
      <c r="J73" s="22" t="n">
        <v>1469</v>
      </c>
      <c r="K73" s="22" t="n">
        <v>1323</v>
      </c>
      <c r="L73" s="22" t="n">
        <v>1168</v>
      </c>
    </row>
    <row r="74">
      <c r="A74" s="20" t="inlineStr">
        <is>
          <t>유가증권</t>
        </is>
      </c>
      <c r="C74" s="22" t="n">
        <v>0</v>
      </c>
      <c r="D74" s="22" t="n">
        <v>0</v>
      </c>
      <c r="E74" s="22" t="n">
        <v>0</v>
      </c>
      <c r="K74" s="22" t="n">
        <v>100</v>
      </c>
      <c r="L74" s="22" t="n">
        <v>0</v>
      </c>
    </row>
    <row r="75">
      <c r="A75" s="20" t="inlineStr">
        <is>
          <t>받을어음·매출채권</t>
        </is>
      </c>
      <c r="C75" s="22" t="n">
        <v>1210</v>
      </c>
      <c r="D75" s="22" t="n">
        <v>1528</v>
      </c>
      <c r="E75" s="22" t="n">
        <v>1548</v>
      </c>
      <c r="F75" s="22" t="n">
        <v>1350</v>
      </c>
      <c r="G75" s="22" t="n">
        <v>1550</v>
      </c>
      <c r="H75" s="22" t="n">
        <v>1216</v>
      </c>
      <c r="I75" s="22" t="n">
        <v>1574</v>
      </c>
      <c r="J75" s="22" t="n">
        <v>1535</v>
      </c>
      <c r="K75" s="22" t="n">
        <v>1444</v>
      </c>
      <c r="L75" s="22" t="n">
        <v>1548</v>
      </c>
    </row>
    <row r="76">
      <c r="A76" s="20" t="inlineStr">
        <is>
          <t>제품</t>
        </is>
      </c>
      <c r="C76" s="22" t="n">
        <v>1</v>
      </c>
      <c r="D76" s="22" t="n">
        <v>1</v>
      </c>
      <c r="E76" s="22" t="n">
        <v>0</v>
      </c>
      <c r="F76" s="22" t="n">
        <v>0</v>
      </c>
      <c r="G76" s="22" t="n">
        <v>0</v>
      </c>
      <c r="H76" s="22" t="n">
        <v>0</v>
      </c>
      <c r="I76" s="22" t="n">
        <v>19</v>
      </c>
      <c r="J76" s="22" t="n">
        <v>0</v>
      </c>
      <c r="K76" s="22" t="n">
        <v>2</v>
      </c>
      <c r="L76" s="22" t="n">
        <v>0</v>
      </c>
    </row>
    <row r="77">
      <c r="A77" s="20" t="inlineStr">
        <is>
          <t>저장품</t>
        </is>
      </c>
      <c r="C77" s="22" t="n">
        <v>0</v>
      </c>
      <c r="D77" s="22" t="n">
        <v>0</v>
      </c>
      <c r="E77" s="22" t="n">
        <v>0</v>
      </c>
      <c r="F77" s="22" t="n">
        <v>1</v>
      </c>
      <c r="G77" s="22" t="n">
        <v>0</v>
      </c>
      <c r="H77" s="22" t="n">
        <v>3</v>
      </c>
      <c r="I77" s="22" t="n">
        <v>3</v>
      </c>
      <c r="J77" s="22" t="n">
        <v>2</v>
      </c>
      <c r="K77" s="22" t="n">
        <v>1</v>
      </c>
      <c r="L77" s="22" t="n">
        <v>0</v>
      </c>
    </row>
    <row r="78">
      <c r="A78" s="20" t="inlineStr">
        <is>
          <t>기타</t>
        </is>
      </c>
      <c r="C78" s="22" t="n">
        <v>423</v>
      </c>
      <c r="D78" s="22" t="n">
        <v>333</v>
      </c>
      <c r="E78" s="22" t="n">
        <v>446</v>
      </c>
      <c r="F78" s="22" t="n">
        <v>1037</v>
      </c>
      <c r="G78" s="22" t="n">
        <v>247</v>
      </c>
      <c r="H78" s="22" t="n">
        <v>111</v>
      </c>
      <c r="I78" s="22" t="n">
        <v>309</v>
      </c>
      <c r="J78" s="22" t="n">
        <v>305</v>
      </c>
      <c r="K78" s="22" t="n">
        <v>611</v>
      </c>
      <c r="L78" s="22" t="n">
        <v>446</v>
      </c>
    </row>
    <row r="79">
      <c r="A79" s="9" t="inlineStr">
        <is>
          <t>유동자산 합계</t>
        </is>
      </c>
      <c r="C79" s="12" t="n">
        <v>21274</v>
      </c>
      <c r="D79" s="12" t="n">
        <v>21172</v>
      </c>
      <c r="E79" s="12" t="n">
        <v>25080</v>
      </c>
      <c r="F79" s="12" t="n">
        <v>26340</v>
      </c>
      <c r="G79" s="12" t="n">
        <v>29288</v>
      </c>
      <c r="H79" s="12" t="n">
        <v>17105</v>
      </c>
      <c r="I79" s="12" t="n">
        <v>18925</v>
      </c>
      <c r="J79" s="12" t="n">
        <v>20183</v>
      </c>
      <c r="K79" s="12" t="n">
        <v>20112</v>
      </c>
      <c r="L79" s="12" t="n">
        <v>25080</v>
      </c>
    </row>
    <row r="80">
      <c r="A80" s="20" t="inlineStr">
        <is>
          <t>건물</t>
        </is>
      </c>
      <c r="E80" s="22" t="n">
        <v>246</v>
      </c>
      <c r="H80" s="22" t="n">
        <v>220</v>
      </c>
      <c r="I80" s="22" t="n">
        <v>220</v>
      </c>
      <c r="J80" s="22" t="n">
        <v>223</v>
      </c>
      <c r="K80" s="22" t="n">
        <v>228</v>
      </c>
      <c r="L80" s="22" t="n">
        <v>246</v>
      </c>
    </row>
    <row r="81">
      <c r="A81" s="20" t="inlineStr">
        <is>
          <t>감가상각누계액</t>
        </is>
      </c>
      <c r="E81" s="22" t="n">
        <v>-146</v>
      </c>
      <c r="H81" s="22" t="n">
        <v>-132</v>
      </c>
      <c r="I81" s="22" t="n">
        <v>-136</v>
      </c>
      <c r="J81" s="22" t="n">
        <v>-139</v>
      </c>
      <c r="K81" s="22" t="n">
        <v>-142</v>
      </c>
      <c r="L81" s="22" t="n">
        <v>-146</v>
      </c>
    </row>
    <row r="82">
      <c r="A82" s="20" t="inlineStr">
        <is>
          <t>건물(순액)</t>
        </is>
      </c>
      <c r="E82" s="22" t="n">
        <v>100</v>
      </c>
      <c r="H82" s="22" t="n">
        <v>88</v>
      </c>
      <c r="I82" s="22" t="n">
        <v>83</v>
      </c>
      <c r="J82" s="22" t="n">
        <v>83</v>
      </c>
      <c r="K82" s="22" t="n">
        <v>86</v>
      </c>
      <c r="L82" s="22" t="n">
        <v>100</v>
      </c>
    </row>
    <row r="83">
      <c r="A83" s="20" t="inlineStr">
        <is>
          <t>차량운반구</t>
        </is>
      </c>
      <c r="E83" s="22" t="n">
        <v>25</v>
      </c>
      <c r="H83" s="22" t="n">
        <v>18</v>
      </c>
      <c r="I83" s="22" t="n">
        <v>18</v>
      </c>
      <c r="J83" s="22" t="n">
        <v>25</v>
      </c>
      <c r="K83" s="22" t="n">
        <v>25</v>
      </c>
      <c r="L83" s="22" t="n">
        <v>25</v>
      </c>
    </row>
    <row r="84">
      <c r="A84" s="20" t="inlineStr">
        <is>
          <t>감가상각누계액</t>
        </is>
      </c>
      <c r="E84" s="22" t="n">
        <v>-19</v>
      </c>
      <c r="H84" s="22" t="n">
        <v>-9</v>
      </c>
      <c r="I84" s="22" t="n">
        <v>-13</v>
      </c>
      <c r="J84" s="22" t="n">
        <v>-8</v>
      </c>
      <c r="K84" s="22" t="n">
        <v>-15</v>
      </c>
      <c r="L84" s="22" t="n">
        <v>-19</v>
      </c>
    </row>
    <row r="85">
      <c r="A85" s="20" t="inlineStr">
        <is>
          <t>차량운반구(순액)</t>
        </is>
      </c>
      <c r="E85" s="22" t="n">
        <v>6</v>
      </c>
      <c r="H85" s="22" t="n">
        <v>8</v>
      </c>
      <c r="I85" s="22" t="n">
        <v>5</v>
      </c>
      <c r="J85" s="22" t="n">
        <v>16</v>
      </c>
      <c r="K85" s="22" t="n">
        <v>10</v>
      </c>
      <c r="L85" s="22" t="n">
        <v>6</v>
      </c>
    </row>
    <row r="86">
      <c r="A86" s="20" t="inlineStr">
        <is>
          <t>공구·기구·비품</t>
        </is>
      </c>
      <c r="E86" s="22" t="n">
        <v>582</v>
      </c>
      <c r="H86" s="22" t="n">
        <v>493</v>
      </c>
      <c r="I86" s="22" t="n">
        <v>506</v>
      </c>
      <c r="J86" s="22" t="n">
        <v>506</v>
      </c>
      <c r="K86" s="22" t="n">
        <v>572</v>
      </c>
      <c r="L86" s="22" t="n">
        <v>582</v>
      </c>
    </row>
    <row r="87">
      <c r="A87" s="20" t="inlineStr">
        <is>
          <t>감가상각누계액</t>
        </is>
      </c>
      <c r="E87" s="22" t="n">
        <v>-450</v>
      </c>
      <c r="H87" s="22" t="n">
        <v>-409</v>
      </c>
      <c r="I87" s="22" t="n">
        <v>-412</v>
      </c>
      <c r="J87" s="22" t="n">
        <v>-421</v>
      </c>
      <c r="K87" s="22" t="n">
        <v>-456</v>
      </c>
      <c r="L87" s="22" t="n">
        <v>-450</v>
      </c>
    </row>
    <row r="88">
      <c r="A88" s="20" t="inlineStr">
        <is>
          <t>공구·기구·비품(순액)</t>
        </is>
      </c>
      <c r="E88" s="22" t="n">
        <v>132</v>
      </c>
      <c r="H88" s="22" t="n">
        <v>83</v>
      </c>
      <c r="I88" s="22" t="n">
        <v>93</v>
      </c>
      <c r="J88" s="22" t="n">
        <v>84</v>
      </c>
      <c r="K88" s="22" t="n">
        <v>116</v>
      </c>
      <c r="L88" s="22" t="n">
        <v>132</v>
      </c>
    </row>
    <row r="89">
      <c r="A89" s="20" t="inlineStr">
        <is>
          <t>토지</t>
        </is>
      </c>
      <c r="E89" s="22" t="n">
        <v>26</v>
      </c>
      <c r="H89" s="22" t="n">
        <v>26</v>
      </c>
      <c r="I89" s="22" t="n">
        <v>26</v>
      </c>
      <c r="J89" s="22" t="n">
        <v>26</v>
      </c>
      <c r="K89" s="22" t="n">
        <v>26</v>
      </c>
      <c r="L89" s="22" t="n">
        <v>26</v>
      </c>
    </row>
    <row r="90">
      <c r="A90" s="20" t="inlineStr">
        <is>
          <t>건설중인자산</t>
        </is>
      </c>
      <c r="E90" s="22" t="n">
        <v>0</v>
      </c>
      <c r="H90" s="22" t="n">
        <v>0</v>
      </c>
      <c r="K90" s="22" t="n">
        <v>0</v>
      </c>
      <c r="L90" s="22" t="n">
        <v>0</v>
      </c>
    </row>
    <row r="91">
      <c r="A91" s="20" t="inlineStr">
        <is>
          <t>유형자산</t>
        </is>
      </c>
      <c r="C91" s="22" t="n">
        <v>230</v>
      </c>
      <c r="D91" s="22" t="n">
        <v>230</v>
      </c>
      <c r="E91" s="22" t="n">
        <v>265</v>
      </c>
      <c r="F91" s="22" t="n">
        <v>298</v>
      </c>
      <c r="G91" s="22" t="n">
        <v>293</v>
      </c>
      <c r="H91" s="22" t="n">
        <v>206</v>
      </c>
      <c r="I91" s="22" t="n">
        <v>209</v>
      </c>
      <c r="J91" s="22" t="n">
        <v>211</v>
      </c>
      <c r="K91" s="22" t="n">
        <v>238</v>
      </c>
      <c r="L91" s="22" t="n">
        <v>265</v>
      </c>
    </row>
    <row r="92">
      <c r="A92" s="20" t="inlineStr">
        <is>
          <t>소프트웨어</t>
        </is>
      </c>
      <c r="C92" s="22" t="n">
        <v>1487</v>
      </c>
      <c r="D92" s="22" t="n">
        <v>1758</v>
      </c>
      <c r="E92" s="22" t="n">
        <v>1912</v>
      </c>
      <c r="F92" s="22" t="n">
        <v>1831</v>
      </c>
      <c r="G92" s="22" t="n">
        <v>1739</v>
      </c>
      <c r="H92" s="22" t="n">
        <v>1317</v>
      </c>
      <c r="I92" s="22" t="n">
        <v>1264</v>
      </c>
      <c r="J92" s="22" t="n">
        <v>1367</v>
      </c>
      <c r="K92" s="22" t="n">
        <v>1472</v>
      </c>
      <c r="L92" s="22" t="n">
        <v>1912</v>
      </c>
    </row>
    <row r="93">
      <c r="A93" s="20" t="inlineStr">
        <is>
          <t>기타</t>
        </is>
      </c>
      <c r="C93" s="22" t="n">
        <v>385</v>
      </c>
      <c r="D93" s="22" t="n">
        <v>238</v>
      </c>
      <c r="E93" s="22" t="n">
        <v>96</v>
      </c>
      <c r="F93" s="22" t="n">
        <v>188</v>
      </c>
      <c r="G93" s="22" t="n">
        <v>329</v>
      </c>
      <c r="H93" s="22" t="n">
        <v>209</v>
      </c>
      <c r="I93" s="22" t="n">
        <v>243</v>
      </c>
      <c r="J93" s="22" t="n">
        <v>234</v>
      </c>
      <c r="K93" s="22" t="n">
        <v>311</v>
      </c>
      <c r="L93" s="22" t="n">
        <v>96</v>
      </c>
    </row>
    <row r="94">
      <c r="A94" s="20" t="inlineStr">
        <is>
          <t>무형자산 합계</t>
        </is>
      </c>
      <c r="C94" s="22" t="n">
        <v>1873</v>
      </c>
      <c r="D94" s="22" t="n">
        <v>1996</v>
      </c>
      <c r="E94" s="22" t="n">
        <v>2008</v>
      </c>
      <c r="F94" s="22" t="n">
        <v>2020</v>
      </c>
      <c r="G94" s="22" t="n">
        <v>2068</v>
      </c>
      <c r="H94" s="22" t="n">
        <v>1526</v>
      </c>
      <c r="I94" s="22" t="n">
        <v>1508</v>
      </c>
      <c r="J94" s="22" t="n">
        <v>1602</v>
      </c>
      <c r="K94" s="22" t="n">
        <v>1783</v>
      </c>
      <c r="L94" s="22" t="n">
        <v>2008</v>
      </c>
    </row>
    <row r="95">
      <c r="A95" s="20" t="inlineStr">
        <is>
          <t>투자유가증권</t>
        </is>
      </c>
      <c r="H95" s="22" t="n">
        <v>101</v>
      </c>
      <c r="I95" s="22" t="n">
        <v>101</v>
      </c>
      <c r="J95" s="22" t="n">
        <v>100</v>
      </c>
      <c r="K95" s="22" t="n">
        <v>100</v>
      </c>
    </row>
    <row r="96">
      <c r="A96" s="20" t="inlineStr">
        <is>
          <t>이연법인세자산</t>
        </is>
      </c>
      <c r="E96" s="22" t="n">
        <v>141</v>
      </c>
      <c r="H96" s="22" t="n">
        <v>96</v>
      </c>
      <c r="I96" s="22" t="n">
        <v>116</v>
      </c>
      <c r="J96" s="22" t="n">
        <v>136</v>
      </c>
      <c r="K96" s="22" t="n">
        <v>107</v>
      </c>
      <c r="L96" s="22" t="n">
        <v>141</v>
      </c>
    </row>
    <row r="97">
      <c r="A97" s="20" t="inlineStr">
        <is>
          <t>기타</t>
        </is>
      </c>
      <c r="E97" s="22" t="n">
        <v>369</v>
      </c>
      <c r="H97" s="22" t="n">
        <v>304</v>
      </c>
      <c r="I97" s="22" t="n">
        <v>288</v>
      </c>
      <c r="J97" s="22" t="n">
        <v>284</v>
      </c>
      <c r="K97" s="22" t="n">
        <v>385</v>
      </c>
      <c r="L97" s="22" t="n">
        <v>369</v>
      </c>
    </row>
    <row r="98">
      <c r="A98" s="20" t="inlineStr">
        <is>
          <t>투자 및 기타자산</t>
        </is>
      </c>
      <c r="C98" s="22" t="n">
        <v>483</v>
      </c>
      <c r="D98" s="22" t="n">
        <v>476</v>
      </c>
      <c r="E98" s="22" t="n">
        <v>511</v>
      </c>
      <c r="F98" s="22" t="n">
        <v>515</v>
      </c>
      <c r="G98" s="22" t="n">
        <v>522</v>
      </c>
      <c r="H98" s="22" t="n">
        <v>503</v>
      </c>
      <c r="I98" s="22" t="n">
        <v>506</v>
      </c>
      <c r="J98" s="22" t="n">
        <v>521</v>
      </c>
      <c r="K98" s="22" t="n">
        <v>492</v>
      </c>
      <c r="L98" s="22" t="n">
        <v>511</v>
      </c>
    </row>
    <row r="99">
      <c r="A99" s="9" t="inlineStr">
        <is>
          <t>비유동자산 합계</t>
        </is>
      </c>
      <c r="C99" s="12" t="n">
        <v>2587</v>
      </c>
      <c r="D99" s="12" t="n">
        <v>2704</v>
      </c>
      <c r="E99" s="12" t="n">
        <v>2784</v>
      </c>
      <c r="F99" s="12" t="n">
        <v>2834</v>
      </c>
      <c r="G99" s="12" t="n">
        <v>2884</v>
      </c>
      <c r="H99" s="12" t="n">
        <v>2236</v>
      </c>
      <c r="I99" s="12" t="n">
        <v>2223</v>
      </c>
      <c r="J99" s="12" t="n">
        <v>2334</v>
      </c>
      <c r="K99" s="12" t="n">
        <v>2515</v>
      </c>
      <c r="L99" s="12" t="n">
        <v>2784</v>
      </c>
    </row>
    <row r="100">
      <c r="A100" s="9" t="inlineStr">
        <is>
          <t>자산 합계</t>
        </is>
      </c>
      <c r="C100" s="12" t="n">
        <v>23862</v>
      </c>
      <c r="D100" s="12" t="n">
        <v>23876</v>
      </c>
      <c r="E100" s="12" t="n">
        <v>27865</v>
      </c>
      <c r="F100" s="12" t="n">
        <v>29175</v>
      </c>
      <c r="G100" s="12" t="n">
        <v>32173</v>
      </c>
      <c r="H100" s="12" t="n">
        <v>19341</v>
      </c>
      <c r="I100" s="12" t="n">
        <v>21149</v>
      </c>
      <c r="J100" s="12" t="n">
        <v>22518</v>
      </c>
      <c r="K100" s="12" t="n">
        <v>22627</v>
      </c>
      <c r="L100" s="12" t="n">
        <v>27865</v>
      </c>
    </row>
    <row r="101">
      <c r="A101" s="20" t="inlineStr">
        <is>
          <t>매입채무</t>
        </is>
      </c>
      <c r="C101" s="22" t="n">
        <v>30</v>
      </c>
      <c r="D101" s="22" t="n">
        <v>50</v>
      </c>
      <c r="E101" s="22" t="n">
        <v>25</v>
      </c>
      <c r="F101" s="22" t="n">
        <v>18</v>
      </c>
      <c r="G101" s="22" t="n">
        <v>20</v>
      </c>
      <c r="H101" s="22" t="n">
        <v>44</v>
      </c>
      <c r="I101" s="22" t="n">
        <v>238</v>
      </c>
      <c r="J101" s="22" t="n">
        <v>54</v>
      </c>
      <c r="K101" s="22" t="n">
        <v>30</v>
      </c>
      <c r="L101" s="22" t="n">
        <v>25</v>
      </c>
    </row>
    <row r="102">
      <c r="A102" s="20" t="inlineStr">
        <is>
          <t>미지급법인세</t>
        </is>
      </c>
      <c r="C102" s="22" t="n">
        <v>671</v>
      </c>
      <c r="D102" s="22" t="n">
        <v>390</v>
      </c>
      <c r="E102" s="22" t="n">
        <v>814</v>
      </c>
      <c r="F102" s="22" t="n">
        <v>360</v>
      </c>
      <c r="G102" s="22" t="n">
        <v>949</v>
      </c>
      <c r="H102" s="22" t="n">
        <v>760</v>
      </c>
      <c r="I102" s="22" t="n">
        <v>839</v>
      </c>
      <c r="J102" s="22" t="n">
        <v>1354</v>
      </c>
      <c r="K102" s="22" t="n">
        <v>389</v>
      </c>
      <c r="L102" s="22" t="n">
        <v>814</v>
      </c>
    </row>
    <row r="103">
      <c r="A103" s="20" t="inlineStr">
        <is>
          <t>상여충당금</t>
        </is>
      </c>
      <c r="C103" s="22" t="n">
        <v>161</v>
      </c>
      <c r="D103" s="22" t="n">
        <v>80</v>
      </c>
      <c r="E103" s="22" t="n">
        <v>152</v>
      </c>
      <c r="F103" s="22" t="n">
        <v>85</v>
      </c>
      <c r="G103" s="22" t="n">
        <v>163</v>
      </c>
      <c r="H103" s="22" t="n">
        <v>95</v>
      </c>
      <c r="I103" s="22" t="n">
        <v>156</v>
      </c>
      <c r="J103" s="22" t="n">
        <v>137</v>
      </c>
      <c r="K103" s="22" t="n">
        <v>148</v>
      </c>
      <c r="L103" s="22" t="n">
        <v>152</v>
      </c>
    </row>
    <row r="104">
      <c r="A104" s="20" t="inlineStr">
        <is>
          <t>선수금</t>
        </is>
      </c>
      <c r="C104" s="22" t="n">
        <v>4865</v>
      </c>
      <c r="D104" s="22" t="n">
        <v>5281</v>
      </c>
      <c r="E104" s="22" t="n">
        <v>7800</v>
      </c>
      <c r="F104" s="22" t="n">
        <v>9718</v>
      </c>
      <c r="G104" s="22" t="n">
        <v>11157</v>
      </c>
      <c r="H104" s="22" t="n">
        <v>5684</v>
      </c>
      <c r="I104" s="22" t="n">
        <v>5187</v>
      </c>
      <c r="J104" s="22" t="n">
        <v>4418</v>
      </c>
      <c r="K104" s="22" t="n">
        <v>4082</v>
      </c>
      <c r="L104" s="22" t="n">
        <v>7800</v>
      </c>
    </row>
    <row r="105">
      <c r="A105" s="20" t="inlineStr">
        <is>
          <t>기타</t>
        </is>
      </c>
      <c r="C105" s="22" t="n">
        <v>447</v>
      </c>
      <c r="D105" s="22" t="n">
        <v>557</v>
      </c>
      <c r="E105" s="22" t="n">
        <v>566</v>
      </c>
      <c r="F105" s="22" t="n">
        <v>739</v>
      </c>
      <c r="G105" s="22" t="n">
        <v>487</v>
      </c>
      <c r="H105" s="22" t="n">
        <v>546</v>
      </c>
      <c r="I105" s="22" t="n">
        <v>502</v>
      </c>
      <c r="J105" s="22" t="n">
        <v>501</v>
      </c>
      <c r="K105" s="22" t="n">
        <v>558</v>
      </c>
      <c r="L105" s="22" t="n">
        <v>566</v>
      </c>
    </row>
    <row r="106">
      <c r="A106" s="9" t="inlineStr">
        <is>
          <t>유동부채 합계</t>
        </is>
      </c>
      <c r="C106" s="12" t="n">
        <v>6177</v>
      </c>
      <c r="D106" s="12" t="n">
        <v>6359</v>
      </c>
      <c r="E106" s="12" t="n">
        <v>9358</v>
      </c>
      <c r="F106" s="12" t="n">
        <v>10923</v>
      </c>
      <c r="G106" s="12" t="n">
        <v>12778</v>
      </c>
      <c r="H106" s="12" t="n">
        <v>7130</v>
      </c>
      <c r="I106" s="12" t="n">
        <v>6924</v>
      </c>
      <c r="J106" s="12" t="n">
        <v>6467</v>
      </c>
      <c r="K106" s="12" t="n">
        <v>5209</v>
      </c>
      <c r="L106" s="12" t="n">
        <v>9358</v>
      </c>
    </row>
    <row r="107">
      <c r="A107" s="20" t="inlineStr">
        <is>
          <t>자산복구부채</t>
        </is>
      </c>
      <c r="C107" s="22" t="n">
        <v>49</v>
      </c>
      <c r="D107" s="22" t="n">
        <v>49</v>
      </c>
      <c r="E107" s="22" t="n">
        <v>49</v>
      </c>
      <c r="F107" s="22" t="n">
        <v>49</v>
      </c>
      <c r="G107" s="22" t="n">
        <v>49</v>
      </c>
      <c r="H107" s="22" t="n">
        <v>48</v>
      </c>
      <c r="I107" s="22" t="n">
        <v>48</v>
      </c>
      <c r="J107" s="22" t="n">
        <v>49</v>
      </c>
      <c r="K107" s="22" t="n">
        <v>49</v>
      </c>
      <c r="L107" s="22" t="n">
        <v>49</v>
      </c>
    </row>
    <row r="108">
      <c r="A108" s="20" t="inlineStr">
        <is>
          <t>기타</t>
        </is>
      </c>
      <c r="C108" s="22" t="n">
        <v>2</v>
      </c>
      <c r="D108" s="22" t="n">
        <v>2</v>
      </c>
      <c r="E108" s="22" t="n">
        <v>3</v>
      </c>
      <c r="F108" s="22" t="n">
        <v>2</v>
      </c>
      <c r="G108" s="22" t="n">
        <v>2</v>
      </c>
      <c r="H108" s="22" t="n">
        <v>1</v>
      </c>
      <c r="I108" s="22" t="n">
        <v>1</v>
      </c>
      <c r="J108" s="22" t="n">
        <v>3</v>
      </c>
      <c r="K108" s="22" t="n">
        <v>3</v>
      </c>
      <c r="L108" s="22" t="n">
        <v>3</v>
      </c>
    </row>
    <row r="109">
      <c r="A109" s="9" t="inlineStr">
        <is>
          <t>비유동부채 합계</t>
        </is>
      </c>
      <c r="C109" s="12" t="n">
        <v>52</v>
      </c>
      <c r="D109" s="12" t="n">
        <v>51</v>
      </c>
      <c r="E109" s="12" t="n">
        <v>52</v>
      </c>
      <c r="F109" s="12" t="n">
        <v>52</v>
      </c>
      <c r="G109" s="12" t="n">
        <v>52</v>
      </c>
      <c r="H109" s="12" t="n">
        <v>50</v>
      </c>
      <c r="I109" s="12" t="n">
        <v>50</v>
      </c>
      <c r="J109" s="12" t="n">
        <v>52</v>
      </c>
      <c r="K109" s="12" t="n">
        <v>52</v>
      </c>
      <c r="L109" s="12" t="n">
        <v>52</v>
      </c>
    </row>
    <row r="110">
      <c r="A110" s="9" t="inlineStr">
        <is>
          <t>부채 합계</t>
        </is>
      </c>
      <c r="C110" s="12" t="n">
        <v>6229</v>
      </c>
      <c r="D110" s="12" t="n">
        <v>6411</v>
      </c>
      <c r="E110" s="12" t="n">
        <v>9410</v>
      </c>
      <c r="F110" s="12" t="n">
        <v>10975</v>
      </c>
      <c r="G110" s="12" t="n">
        <v>12830</v>
      </c>
      <c r="H110" s="12" t="n">
        <v>7181</v>
      </c>
      <c r="I110" s="12" t="n">
        <v>6975</v>
      </c>
      <c r="J110" s="12" t="n">
        <v>6519</v>
      </c>
      <c r="K110" s="12" t="n">
        <v>5262</v>
      </c>
      <c r="L110" s="12" t="n">
        <v>9410</v>
      </c>
    </row>
    <row r="111">
      <c r="A111" s="20" t="inlineStr">
        <is>
          <t>자본금</t>
        </is>
      </c>
      <c r="C111" s="22" t="n">
        <v>713</v>
      </c>
      <c r="D111" s="22" t="n">
        <v>713</v>
      </c>
      <c r="E111" s="22" t="n">
        <v>713</v>
      </c>
      <c r="F111" s="22" t="n">
        <v>713</v>
      </c>
      <c r="G111" s="22" t="n">
        <v>713</v>
      </c>
      <c r="H111" s="22" t="n">
        <v>713</v>
      </c>
      <c r="I111" s="22" t="n">
        <v>713</v>
      </c>
      <c r="J111" s="22" t="n">
        <v>713</v>
      </c>
      <c r="K111" s="22" t="n">
        <v>713</v>
      </c>
      <c r="L111" s="22" t="n">
        <v>713</v>
      </c>
    </row>
    <row r="112">
      <c r="A112" s="20" t="inlineStr">
        <is>
          <t>자본잉여금</t>
        </is>
      </c>
      <c r="C112" s="22" t="n">
        <v>958</v>
      </c>
      <c r="D112" s="22" t="n">
        <v>958</v>
      </c>
      <c r="E112" s="22" t="n">
        <v>957</v>
      </c>
      <c r="F112" s="22" t="n">
        <v>957</v>
      </c>
      <c r="G112" s="22" t="n">
        <v>698</v>
      </c>
      <c r="H112" s="22" t="n">
        <v>953</v>
      </c>
      <c r="I112" s="22" t="n">
        <v>953</v>
      </c>
      <c r="J112" s="22" t="n">
        <v>956</v>
      </c>
      <c r="K112" s="22" t="n">
        <v>955</v>
      </c>
      <c r="L112" s="22" t="n">
        <v>957</v>
      </c>
    </row>
    <row r="113">
      <c r="A113" s="20" t="inlineStr">
        <is>
          <t>이익잉여금</t>
        </is>
      </c>
      <c r="C113" s="22" t="n">
        <v>18913</v>
      </c>
      <c r="D113" s="22" t="n">
        <v>19223</v>
      </c>
      <c r="E113" s="22" t="n">
        <v>20323</v>
      </c>
      <c r="F113" s="22" t="n">
        <v>20369</v>
      </c>
      <c r="G113" s="22" t="n">
        <v>21413</v>
      </c>
      <c r="H113" s="22" t="n">
        <v>10758</v>
      </c>
      <c r="I113" s="22" t="n">
        <v>12768</v>
      </c>
      <c r="J113" s="22" t="n">
        <v>16029</v>
      </c>
      <c r="K113" s="22" t="n">
        <v>18116</v>
      </c>
      <c r="L113" s="22" t="n">
        <v>20323</v>
      </c>
    </row>
    <row r="114">
      <c r="A114" s="20" t="inlineStr">
        <is>
          <t>자기주식</t>
        </is>
      </c>
      <c r="C114" s="22" t="n">
        <v>-2999</v>
      </c>
      <c r="D114" s="22" t="n">
        <v>-3480</v>
      </c>
      <c r="E114" s="22" t="n">
        <v>-3589</v>
      </c>
      <c r="F114" s="22" t="n">
        <v>-3886</v>
      </c>
      <c r="G114" s="22" t="n">
        <v>-3521</v>
      </c>
      <c r="H114" s="22" t="n">
        <v>-307</v>
      </c>
      <c r="I114" s="22" t="n">
        <v>-308</v>
      </c>
      <c r="J114" s="22" t="n">
        <v>-1730</v>
      </c>
      <c r="K114" s="22" t="n">
        <v>-2467</v>
      </c>
      <c r="L114" s="22" t="n">
        <v>-3589</v>
      </c>
    </row>
    <row r="115">
      <c r="A115" s="9" t="inlineStr">
        <is>
          <t>주주자본 합계</t>
        </is>
      </c>
      <c r="C115" s="12" t="n">
        <v>17585</v>
      </c>
      <c r="D115" s="12" t="n">
        <v>17416</v>
      </c>
      <c r="E115" s="12" t="n">
        <v>18405</v>
      </c>
      <c r="F115" s="12" t="n">
        <v>18154</v>
      </c>
      <c r="G115" s="12" t="n">
        <v>19303</v>
      </c>
      <c r="H115" s="12" t="n">
        <v>12118</v>
      </c>
      <c r="I115" s="12" t="n">
        <v>14127</v>
      </c>
      <c r="J115" s="12" t="n">
        <v>15968</v>
      </c>
      <c r="K115" s="12" t="n">
        <v>17318</v>
      </c>
      <c r="L115" s="12" t="n">
        <v>18405</v>
      </c>
    </row>
    <row r="116">
      <c r="A116" s="20" t="inlineStr">
        <is>
          <t>해외사업환산조정</t>
        </is>
      </c>
      <c r="C116" s="22" t="n">
        <v>17</v>
      </c>
      <c r="D116" s="22" t="n">
        <v>19</v>
      </c>
      <c r="E116" s="22" t="n">
        <v>19</v>
      </c>
      <c r="F116" s="22" t="n">
        <v>20</v>
      </c>
      <c r="G116" s="22" t="n">
        <v>19</v>
      </c>
      <c r="H116" s="22" t="n">
        <v>11</v>
      </c>
      <c r="I116" s="22" t="n">
        <v>14</v>
      </c>
      <c r="J116" s="22" t="n">
        <v>18</v>
      </c>
      <c r="K116" s="22" t="n">
        <v>17</v>
      </c>
      <c r="L116" s="22" t="n">
        <v>19</v>
      </c>
    </row>
    <row r="117">
      <c r="A117" s="20" t="inlineStr">
        <is>
          <t>기타포괄손익누계액 합계</t>
        </is>
      </c>
      <c r="C117" s="22" t="n">
        <v>17</v>
      </c>
      <c r="D117" s="22" t="n">
        <v>19</v>
      </c>
      <c r="E117" s="22" t="n">
        <v>19</v>
      </c>
      <c r="F117" s="22" t="n">
        <v>20</v>
      </c>
      <c r="G117" s="22" t="n">
        <v>19</v>
      </c>
      <c r="H117" s="22" t="n">
        <v>11</v>
      </c>
      <c r="I117" s="22" t="n">
        <v>14</v>
      </c>
      <c r="J117" s="22" t="n">
        <v>18</v>
      </c>
      <c r="K117" s="22" t="n">
        <v>17</v>
      </c>
      <c r="L117" s="22" t="n">
        <v>19</v>
      </c>
    </row>
    <row r="118">
      <c r="A118" s="20" t="inlineStr">
        <is>
          <t>신주예약권</t>
        </is>
      </c>
      <c r="C118" s="22" t="n">
        <v>29</v>
      </c>
      <c r="D118" s="22" t="n">
        <v>29</v>
      </c>
      <c r="E118" s="22" t="n">
        <v>29</v>
      </c>
      <c r="F118" s="22" t="n">
        <v>24</v>
      </c>
      <c r="G118" s="22" t="n">
        <v>19</v>
      </c>
      <c r="H118" s="22" t="n">
        <v>12</v>
      </c>
      <c r="I118" s="22" t="n">
        <v>11</v>
      </c>
      <c r="J118" s="22" t="n">
        <v>11</v>
      </c>
      <c r="K118" s="22" t="n">
        <v>29</v>
      </c>
      <c r="L118" s="22" t="n">
        <v>29</v>
      </c>
    </row>
    <row r="119">
      <c r="A119" s="20" t="inlineStr">
        <is>
          <t>비지배지분</t>
        </is>
      </c>
      <c r="H119" s="22" t="n">
        <v>17</v>
      </c>
      <c r="I119" s="22" t="n">
        <v>20</v>
      </c>
      <c r="J119" s="22" t="n">
        <v>0</v>
      </c>
    </row>
    <row r="120">
      <c r="A120" s="9" t="inlineStr">
        <is>
          <t>순자산 합계</t>
        </is>
      </c>
      <c r="C120" s="12" t="n">
        <v>17632</v>
      </c>
      <c r="D120" s="12" t="n">
        <v>17464</v>
      </c>
      <c r="E120" s="12" t="n">
        <v>18454</v>
      </c>
      <c r="F120" s="12" t="n">
        <v>18199</v>
      </c>
      <c r="G120" s="12" t="n">
        <v>19342</v>
      </c>
      <c r="H120" s="12" t="n">
        <v>12159</v>
      </c>
      <c r="I120" s="12" t="n">
        <v>14173</v>
      </c>
      <c r="J120" s="12" t="n">
        <v>15998</v>
      </c>
      <c r="K120" s="12" t="n">
        <v>17365</v>
      </c>
      <c r="L120" s="12" t="n">
        <v>18454</v>
      </c>
    </row>
    <row r="121">
      <c r="A121" s="9" t="inlineStr">
        <is>
          <t>부채·순자산 합계</t>
        </is>
      </c>
      <c r="C121" s="12" t="n">
        <v>23862</v>
      </c>
      <c r="D121" s="12" t="n">
        <v>23876</v>
      </c>
      <c r="E121" s="12" t="n">
        <v>27865</v>
      </c>
      <c r="F121" s="12" t="n">
        <v>29175</v>
      </c>
      <c r="G121" s="12" t="n">
        <v>32173</v>
      </c>
      <c r="H121" s="12" t="n">
        <v>19341</v>
      </c>
      <c r="I121" s="12" t="n">
        <v>21149</v>
      </c>
      <c r="J121" s="12" t="n">
        <v>22518</v>
      </c>
      <c r="K121" s="12" t="n">
        <v>22627</v>
      </c>
      <c r="L121" s="12" t="n">
        <v>27865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44" customWidth="1" min="14" max="14"/>
  </cols>
  <sheetData>
    <row r="1">
      <c r="A1" s="52" t="inlineStr">
        <is>
          <t>2326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bs annual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</row>
    <row r="5">
      <c r="A5" s="55" t="inlineStr">
        <is>
          <t>항목</t>
        </is>
      </c>
      <c r="B5" s="55" t="inlineStr">
        <is>
          <t>2022</t>
        </is>
      </c>
      <c r="C5" s="55" t="inlineStr">
        <is>
          <t>2023</t>
        </is>
      </c>
      <c r="D5" s="55" t="inlineStr">
        <is>
          <t>2024</t>
        </is>
      </c>
      <c r="E5" s="55" t="inlineStr">
        <is>
          <t>2025</t>
        </is>
      </c>
      <c r="F5" s="55" t="inlineStr">
        <is>
          <t>2026</t>
        </is>
      </c>
      <c r="N5" s="55" t="inlineStr">
        <is>
          <t>출처</t>
        </is>
      </c>
    </row>
    <row r="6">
      <c r="A6" s="56" t="inlineStr">
        <is>
          <t>labels</t>
        </is>
      </c>
      <c r="B6" s="57" t="n">
        <v>2022</v>
      </c>
      <c r="C6" s="57" t="n">
        <v>2023</v>
      </c>
      <c r="D6" s="57" t="n">
        <v>2024</v>
      </c>
      <c r="E6" s="57" t="n">
        <v>2025</v>
      </c>
      <c r="F6" s="57" t="n">
        <v>2026</v>
      </c>
      <c r="N6" s="58" t="inlineStr">
        <is>
          <t>2단계 보고서 자료(회사 설명회 자료·공시)</t>
        </is>
      </c>
    </row>
    <row r="7">
      <c r="A7" s="56" t="inlineStr">
        <is>
          <t>current assets</t>
        </is>
      </c>
      <c r="B7" s="59" t="n">
        <v>171.1</v>
      </c>
      <c r="C7" s="59" t="n">
        <v>189.2</v>
      </c>
      <c r="D7" s="59" t="n">
        <v>201.8</v>
      </c>
      <c r="E7" s="59" t="n">
        <v>201.1</v>
      </c>
      <c r="F7" s="59" t="n">
        <v>250.8</v>
      </c>
    </row>
    <row r="8">
      <c r="A8" s="56" t="inlineStr">
        <is>
          <t>cash</t>
        </is>
      </c>
      <c r="B8" s="59" t="n">
        <v>157.7</v>
      </c>
      <c r="C8" s="59" t="n">
        <v>170.2</v>
      </c>
      <c r="D8" s="59" t="n">
        <v>183.4</v>
      </c>
      <c r="E8" s="59" t="n">
        <v>179.5</v>
      </c>
      <c r="F8" s="59" t="n">
        <v>230.8</v>
      </c>
    </row>
    <row r="9">
      <c r="A9" s="56" t="inlineStr">
        <is>
          <t>st fin</t>
        </is>
      </c>
      <c r="B9" s="60" t="n"/>
      <c r="C9" s="60" t="n"/>
      <c r="D9" s="60" t="n"/>
      <c r="E9" s="59" t="n">
        <v>1</v>
      </c>
      <c r="F9" s="59" t="n">
        <v>0</v>
      </c>
    </row>
    <row r="10">
      <c r="A10" s="56" t="inlineStr">
        <is>
          <t>receivables</t>
        </is>
      </c>
      <c r="B10" s="59" t="n">
        <v>12.2</v>
      </c>
      <c r="C10" s="59" t="n">
        <v>15.7</v>
      </c>
      <c r="D10" s="59" t="n">
        <v>15.3</v>
      </c>
      <c r="E10" s="59" t="n">
        <v>14.4</v>
      </c>
      <c r="F10" s="59" t="n">
        <v>15.5</v>
      </c>
    </row>
    <row r="11">
      <c r="A11" s="56" t="inlineStr">
        <is>
          <t>inventory</t>
        </is>
      </c>
      <c r="B11" s="59" t="n">
        <v>0</v>
      </c>
      <c r="C11" s="59" t="n">
        <v>0.2</v>
      </c>
      <c r="D11" s="59" t="n">
        <v>0</v>
      </c>
      <c r="E11" s="59" t="n">
        <v>0</v>
      </c>
      <c r="F11" s="59" t="n">
        <v>0</v>
      </c>
    </row>
    <row r="12">
      <c r="A12" s="56" t="inlineStr">
        <is>
          <t>noncurrent assets</t>
        </is>
      </c>
      <c r="B12" s="59" t="n">
        <v>22.4</v>
      </c>
      <c r="C12" s="59" t="n">
        <v>22.2</v>
      </c>
      <c r="D12" s="59" t="n">
        <v>23.3</v>
      </c>
      <c r="E12" s="59" t="n">
        <v>25.1</v>
      </c>
      <c r="F12" s="59" t="n">
        <v>27.8</v>
      </c>
    </row>
    <row r="13">
      <c r="A13" s="56" t="inlineStr">
        <is>
          <t>ppe</t>
        </is>
      </c>
      <c r="B13" s="59" t="n">
        <v>2.1</v>
      </c>
      <c r="C13" s="59" t="n">
        <v>2.1</v>
      </c>
      <c r="D13" s="59" t="n">
        <v>2.1</v>
      </c>
      <c r="E13" s="59" t="n">
        <v>2.4</v>
      </c>
      <c r="F13" s="59" t="n">
        <v>2.6</v>
      </c>
    </row>
    <row r="14">
      <c r="A14" s="56" t="inlineStr">
        <is>
          <t>intangibles</t>
        </is>
      </c>
      <c r="B14" s="59" t="n">
        <v>15.3</v>
      </c>
      <c r="C14" s="59" t="n">
        <v>15.1</v>
      </c>
      <c r="D14" s="59" t="n">
        <v>16</v>
      </c>
      <c r="E14" s="59" t="n">
        <v>17.8</v>
      </c>
      <c r="F14" s="59" t="n">
        <v>20.1</v>
      </c>
    </row>
    <row r="15">
      <c r="A15" s="56" t="inlineStr">
        <is>
          <t>inv property</t>
        </is>
      </c>
      <c r="B15" s="60" t="n"/>
      <c r="C15" s="60" t="n"/>
      <c r="D15" s="60" t="n"/>
      <c r="E15" s="60" t="n"/>
      <c r="F15" s="60" t="n"/>
    </row>
    <row r="16">
      <c r="A16" s="56" t="inlineStr">
        <is>
          <t>합계 assets</t>
        </is>
      </c>
      <c r="B16" s="59" t="n">
        <v>193.4</v>
      </c>
      <c r="C16" s="59" t="n">
        <v>211.5</v>
      </c>
      <c r="D16" s="59" t="n">
        <v>225.2</v>
      </c>
      <c r="E16" s="59" t="n">
        <v>226.3</v>
      </c>
      <c r="F16" s="59" t="n">
        <v>278.6</v>
      </c>
    </row>
    <row r="17">
      <c r="A17" s="56" t="inlineStr">
        <is>
          <t>current liab</t>
        </is>
      </c>
      <c r="B17" s="59" t="n">
        <v>71.3</v>
      </c>
      <c r="C17" s="59" t="n">
        <v>69.2</v>
      </c>
      <c r="D17" s="59" t="n">
        <v>64.7</v>
      </c>
      <c r="E17" s="59" t="n">
        <v>52.1</v>
      </c>
      <c r="F17" s="59" t="n">
        <v>93.59999999999999</v>
      </c>
    </row>
    <row r="18">
      <c r="A18" s="56" t="inlineStr">
        <is>
          <t>payables</t>
        </is>
      </c>
      <c r="B18" s="59" t="n">
        <v>0.4</v>
      </c>
      <c r="C18" s="59" t="n">
        <v>2.4</v>
      </c>
      <c r="D18" s="59" t="n">
        <v>0.5</v>
      </c>
      <c r="E18" s="59" t="n">
        <v>0.3</v>
      </c>
      <c r="F18" s="59" t="n">
        <v>0.2</v>
      </c>
    </row>
    <row r="19">
      <c r="A19" s="56" t="inlineStr">
        <is>
          <t>st debt</t>
        </is>
      </c>
      <c r="B19" s="60" t="n"/>
      <c r="C19" s="60" t="n"/>
      <c r="D19" s="60" t="n"/>
      <c r="E19" s="60" t="n"/>
      <c r="F19" s="60" t="n"/>
    </row>
    <row r="20">
      <c r="A20" s="56" t="inlineStr">
        <is>
          <t>noncurrent liab</t>
        </is>
      </c>
      <c r="B20" s="59" t="n">
        <v>0.5</v>
      </c>
      <c r="C20" s="59" t="n">
        <v>0.5</v>
      </c>
      <c r="D20" s="59" t="n">
        <v>0.5</v>
      </c>
      <c r="E20" s="59" t="n">
        <v>0.5</v>
      </c>
      <c r="F20" s="59" t="n">
        <v>0.5</v>
      </c>
    </row>
    <row r="21">
      <c r="A21" s="56" t="inlineStr">
        <is>
          <t>lt debt</t>
        </is>
      </c>
      <c r="B21" s="60" t="n"/>
      <c r="C21" s="60" t="n"/>
      <c r="D21" s="60" t="n"/>
      <c r="E21" s="60" t="n"/>
      <c r="F21" s="60" t="n"/>
    </row>
    <row r="22">
      <c r="A22" s="56" t="inlineStr">
        <is>
          <t>bonds</t>
        </is>
      </c>
      <c r="B22" s="60" t="n"/>
      <c r="C22" s="60" t="n"/>
      <c r="D22" s="60" t="n"/>
      <c r="E22" s="60" t="n"/>
      <c r="F22" s="60" t="n"/>
    </row>
    <row r="23">
      <c r="A23" s="56" t="inlineStr">
        <is>
          <t>합계 liab</t>
        </is>
      </c>
      <c r="B23" s="59" t="n">
        <v>71.8</v>
      </c>
      <c r="C23" s="59" t="n">
        <v>69.8</v>
      </c>
      <c r="D23" s="59" t="n">
        <v>65.2</v>
      </c>
      <c r="E23" s="59" t="n">
        <v>52.6</v>
      </c>
      <c r="F23" s="59" t="n">
        <v>94.09999999999999</v>
      </c>
    </row>
    <row r="24">
      <c r="A24" s="56" t="inlineStr">
        <is>
          <t>capital stock</t>
        </is>
      </c>
      <c r="B24" s="59" t="n">
        <v>7.1</v>
      </c>
      <c r="C24" s="59" t="n">
        <v>7.1</v>
      </c>
      <c r="D24" s="59" t="n">
        <v>7.1</v>
      </c>
      <c r="E24" s="59" t="n">
        <v>7.1</v>
      </c>
      <c r="F24" s="59" t="n">
        <v>7.1</v>
      </c>
    </row>
    <row r="25">
      <c r="A25" s="56" t="inlineStr">
        <is>
          <t>retained</t>
        </is>
      </c>
      <c r="B25" s="59" t="n">
        <v>107.6</v>
      </c>
      <c r="C25" s="59" t="n">
        <v>127.7</v>
      </c>
      <c r="D25" s="59" t="n">
        <v>160.3</v>
      </c>
      <c r="E25" s="59" t="n">
        <v>181.2</v>
      </c>
      <c r="F25" s="59" t="n">
        <v>203.2</v>
      </c>
    </row>
    <row r="26">
      <c r="A26" s="56" t="inlineStr">
        <is>
          <t>nci</t>
        </is>
      </c>
      <c r="B26" s="59" t="n">
        <v>0.2</v>
      </c>
      <c r="C26" s="59" t="n">
        <v>0.2</v>
      </c>
      <c r="D26" s="59" t="n">
        <v>0</v>
      </c>
      <c r="E26" s="60" t="n"/>
      <c r="F26" s="60" t="n"/>
    </row>
    <row r="27">
      <c r="A27" s="56" t="inlineStr">
        <is>
          <t>합계 equity</t>
        </is>
      </c>
      <c r="B27" s="59" t="n">
        <v>121.6</v>
      </c>
      <c r="C27" s="59" t="n">
        <v>141.7</v>
      </c>
      <c r="D27" s="59" t="n">
        <v>160</v>
      </c>
      <c r="E27" s="59" t="n">
        <v>173.7</v>
      </c>
      <c r="F27" s="59" t="n">
        <v>184.5</v>
      </c>
    </row>
    <row r="28">
      <c r="A28" s="56" t="inlineStr">
        <is>
          <t>current ltd</t>
        </is>
      </c>
      <c r="B28" s="60" t="n"/>
      <c r="C28" s="60" t="n"/>
      <c r="D28" s="60" t="n"/>
      <c r="E28" s="60" t="n"/>
      <c r="F28" s="60" t="n"/>
    </row>
    <row r="29">
      <c r="A29" s="56" t="inlineStr">
        <is>
          <t>equity owner</t>
        </is>
      </c>
      <c r="B29" s="59" t="n">
        <v>121.3</v>
      </c>
      <c r="C29" s="59" t="n">
        <v>141.4</v>
      </c>
      <c r="D29" s="59" t="n">
        <v>159.9</v>
      </c>
      <c r="E29" s="59" t="n">
        <v>173.4</v>
      </c>
      <c r="F29" s="59" t="n">
        <v>184.2</v>
      </c>
    </row>
    <row r="31">
      <c r="A31" s="54" t="inlineStr">
        <is>
          <t>cf annual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</row>
    <row r="32">
      <c r="A32" s="55" t="inlineStr">
        <is>
          <t>항목</t>
        </is>
      </c>
      <c r="B32" s="55" t="inlineStr">
        <is>
          <t>2022</t>
        </is>
      </c>
      <c r="C32" s="55" t="inlineStr">
        <is>
          <t>2023</t>
        </is>
      </c>
      <c r="D32" s="55" t="inlineStr">
        <is>
          <t>2024</t>
        </is>
      </c>
      <c r="E32" s="55" t="inlineStr">
        <is>
          <t>2025</t>
        </is>
      </c>
      <c r="F32" s="55" t="inlineStr">
        <is>
          <t>2026</t>
        </is>
      </c>
      <c r="N32" s="55" t="inlineStr">
        <is>
          <t>출처</t>
        </is>
      </c>
    </row>
    <row r="33">
      <c r="A33" s="56" t="inlineStr">
        <is>
          <t>labels</t>
        </is>
      </c>
      <c r="B33" s="57" t="n">
        <v>2022</v>
      </c>
      <c r="C33" s="57" t="n">
        <v>2023</v>
      </c>
      <c r="D33" s="57" t="n">
        <v>2024</v>
      </c>
      <c r="E33" s="57" t="n">
        <v>2025</v>
      </c>
      <c r="F33" s="57" t="n">
        <v>2026</v>
      </c>
      <c r="N33" s="58" t="inlineStr">
        <is>
          <t>2단계 보고서 자료(회사 설명회 자료·공시)</t>
        </is>
      </c>
    </row>
    <row r="34">
      <c r="A34" s="56" t="inlineStr">
        <is>
          <t>ocf</t>
        </is>
      </c>
      <c r="B34" s="59" t="n">
        <v>61.7</v>
      </c>
      <c r="C34" s="59" t="n">
        <v>31.5</v>
      </c>
      <c r="D34" s="59" t="n">
        <v>28.3</v>
      </c>
      <c r="E34" s="59" t="n">
        <v>28.2</v>
      </c>
      <c r="F34" s="59" t="n">
        <v>83.8</v>
      </c>
    </row>
    <row r="35">
      <c r="A35" s="56" t="inlineStr">
        <is>
          <t>설비투자</t>
        </is>
      </c>
      <c r="B35" s="59" t="n">
        <v>9.800000000000001</v>
      </c>
      <c r="C35" s="59" t="n">
        <v>8.699999999999999</v>
      </c>
      <c r="D35" s="59" t="n">
        <v>9.9</v>
      </c>
      <c r="E35" s="59" t="n">
        <v>10.7</v>
      </c>
      <c r="F35" s="59" t="n">
        <v>12.6</v>
      </c>
    </row>
    <row r="36">
      <c r="A36" s="56" t="inlineStr">
        <is>
          <t>dividends</t>
        </is>
      </c>
      <c r="B36" s="59" t="n">
        <v>8.4</v>
      </c>
      <c r="C36" s="59" t="n">
        <v>10.5</v>
      </c>
      <c r="D36" s="59" t="n">
        <v>11.2</v>
      </c>
      <c r="E36" s="59" t="n">
        <v>10.9</v>
      </c>
      <c r="F36" s="59" t="n">
        <v>12.2</v>
      </c>
    </row>
    <row r="38">
      <c r="A38" s="54" t="inlineStr">
        <is>
          <t>annual EPS dps</t>
        </is>
      </c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</row>
    <row r="39">
      <c r="A39" s="55" t="inlineStr">
        <is>
          <t>항목</t>
        </is>
      </c>
      <c r="B39" s="55" t="inlineStr">
        <is>
          <t>2017</t>
        </is>
      </c>
      <c r="C39" s="55" t="inlineStr">
        <is>
          <t>2018</t>
        </is>
      </c>
      <c r="D39" s="55" t="inlineStr">
        <is>
          <t>2019</t>
        </is>
      </c>
      <c r="E39" s="55" t="inlineStr">
        <is>
          <t>2020</t>
        </is>
      </c>
      <c r="F39" s="55" t="inlineStr">
        <is>
          <t>2021</t>
        </is>
      </c>
      <c r="G39" s="55" t="inlineStr">
        <is>
          <t>2022</t>
        </is>
      </c>
      <c r="H39" s="55" t="inlineStr">
        <is>
          <t>2023</t>
        </is>
      </c>
      <c r="I39" s="55" t="inlineStr">
        <is>
          <t>2024</t>
        </is>
      </c>
      <c r="J39" s="55" t="inlineStr">
        <is>
          <t>2025</t>
        </is>
      </c>
      <c r="K39" s="55" t="inlineStr">
        <is>
          <t>2026</t>
        </is>
      </c>
      <c r="N39" s="55" t="inlineStr">
        <is>
          <t>출처</t>
        </is>
      </c>
    </row>
    <row r="40">
      <c r="A40" s="56" t="inlineStr">
        <is>
          <t>labels</t>
        </is>
      </c>
      <c r="B40" s="57" t="n">
        <v>2017</v>
      </c>
      <c r="C40" s="57" t="n">
        <v>2018</v>
      </c>
      <c r="D40" s="57" t="n">
        <v>2019</v>
      </c>
      <c r="E40" s="57" t="n">
        <v>2020</v>
      </c>
      <c r="F40" s="57" t="n">
        <v>2021</v>
      </c>
      <c r="G40" s="57" t="n">
        <v>2022</v>
      </c>
      <c r="H40" s="57" t="n">
        <v>2023</v>
      </c>
      <c r="I40" s="57" t="n">
        <v>2024</v>
      </c>
      <c r="J40" s="57" t="n">
        <v>2025</v>
      </c>
      <c r="K40" s="57" t="n">
        <v>2026</v>
      </c>
      <c r="N40" s="58" t="inlineStr">
        <is>
          <t>2단계 보고서 자료(회사 설명회 자료·공시)</t>
        </is>
      </c>
    </row>
    <row r="41">
      <c r="A41" s="56" t="inlineStr">
        <is>
          <t>EPS</t>
        </is>
      </c>
      <c r="B41" s="59" t="n">
        <v>80.92</v>
      </c>
      <c r="C41" s="59" t="n">
        <v>92.45999999999999</v>
      </c>
      <c r="D41" s="59" t="n">
        <v>141.11</v>
      </c>
      <c r="E41" s="59" t="n">
        <v>113.69</v>
      </c>
      <c r="F41" s="59" t="n">
        <v>146.9</v>
      </c>
      <c r="G41" s="59" t="n">
        <v>206.71</v>
      </c>
      <c r="H41" s="59" t="n">
        <v>218.12</v>
      </c>
      <c r="I41" s="59" t="n">
        <v>315.46</v>
      </c>
      <c r="J41" s="59" t="n">
        <v>232.79</v>
      </c>
      <c r="K41" s="59" t="n">
        <v>253.57</v>
      </c>
    </row>
    <row r="42">
      <c r="A42" s="56" t="inlineStr">
        <is>
          <t>dps</t>
        </is>
      </c>
      <c r="B42" s="57" t="n">
        <v>24</v>
      </c>
      <c r="C42" s="57" t="n">
        <v>28</v>
      </c>
      <c r="D42" s="57" t="n">
        <v>48</v>
      </c>
      <c r="E42" s="57" t="n">
        <v>50</v>
      </c>
      <c r="F42" s="57" t="n">
        <v>55</v>
      </c>
      <c r="G42" s="57" t="n">
        <v>70</v>
      </c>
      <c r="H42" s="57" t="n">
        <v>75</v>
      </c>
      <c r="I42" s="57" t="n">
        <v>80</v>
      </c>
      <c r="J42" s="57" t="n">
        <v>85</v>
      </c>
      <c r="K42" s="57" t="n">
        <v>95</v>
      </c>
    </row>
    <row r="44">
      <c r="A44" s="54" t="inlineStr">
        <is>
          <t>quarterly EPS</t>
        </is>
      </c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</row>
    <row r="45">
      <c r="A45" s="55" t="inlineStr">
        <is>
          <t>항목</t>
        </is>
      </c>
      <c r="B45" s="55" t="inlineStr">
        <is>
          <t>2024.3Q</t>
        </is>
      </c>
      <c r="C45" s="55" t="inlineStr">
        <is>
          <t>2024.4Q</t>
        </is>
      </c>
      <c r="D45" s="55" t="inlineStr">
        <is>
          <t>2025.1Q</t>
        </is>
      </c>
      <c r="E45" s="55" t="inlineStr">
        <is>
          <t>2025.2Q</t>
        </is>
      </c>
      <c r="F45" s="55" t="inlineStr">
        <is>
          <t>2025.3Q</t>
        </is>
      </c>
      <c r="G45" s="55" t="inlineStr">
        <is>
          <t>2025.4Q</t>
        </is>
      </c>
      <c r="H45" s="55" t="inlineStr">
        <is>
          <t>2026.1Q</t>
        </is>
      </c>
      <c r="I45" s="55" t="inlineStr">
        <is>
          <t>2026.2Q</t>
        </is>
      </c>
      <c r="J45" s="55" t="inlineStr">
        <is>
          <t>2026.3Q</t>
        </is>
      </c>
      <c r="K45" s="55" t="inlineStr">
        <is>
          <t>2026.4Q</t>
        </is>
      </c>
      <c r="L45" s="55" t="inlineStr">
        <is>
          <t>2027.1Q</t>
        </is>
      </c>
      <c r="M45" s="55" t="inlineStr">
        <is>
          <t>2027.2Q</t>
        </is>
      </c>
      <c r="N45" s="55" t="inlineStr">
        <is>
          <t>출처</t>
        </is>
      </c>
    </row>
    <row r="46">
      <c r="A46" s="56" t="inlineStr">
        <is>
          <t>EPS</t>
        </is>
      </c>
      <c r="B46" s="59" t="n">
        <v>46.48</v>
      </c>
      <c r="C46" s="59" t="n">
        <v>160.08</v>
      </c>
      <c r="D46" s="59" t="n">
        <v>42.5</v>
      </c>
      <c r="E46" s="59" t="n">
        <v>60.91</v>
      </c>
      <c r="F46" s="59" t="n">
        <v>55.48</v>
      </c>
      <c r="G46" s="59" t="n">
        <v>73.90000000000001</v>
      </c>
      <c r="H46" s="59" t="n">
        <v>40.97</v>
      </c>
      <c r="I46" s="59" t="n">
        <v>62.86</v>
      </c>
      <c r="J46" s="59" t="n">
        <v>68.09999999999999</v>
      </c>
      <c r="K46" s="59" t="n">
        <v>81.64</v>
      </c>
      <c r="L46" s="59" t="n">
        <v>53.53</v>
      </c>
      <c r="M46" s="59" t="n">
        <v>89.97</v>
      </c>
      <c r="N46" s="58" t="inlineStr">
        <is>
          <t>2027.2Q EPS = 1H 143.50 − 1Q 53.53 (계산)</t>
        </is>
      </c>
    </row>
    <row r="48">
      <c r="A48" s="54" t="inlineStr">
        <is>
          <t>midterm 계획 revision 2026 05 07 · FY27 original</t>
        </is>
      </c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  <c r="K48" s="54" t="n"/>
      <c r="L48" s="54" t="n"/>
      <c r="M48" s="54" t="n"/>
      <c r="N48" s="54" t="n"/>
    </row>
    <row r="49">
      <c r="A49" s="55" t="inlineStr">
        <is>
          <t>항목</t>
        </is>
      </c>
      <c r="B49" s="55" t="inlineStr">
        <is>
          <t>값</t>
        </is>
      </c>
      <c r="N49" s="55" t="inlineStr">
        <is>
          <t>출처</t>
        </is>
      </c>
    </row>
    <row r="50">
      <c r="A50" s="56" t="inlineStr">
        <is>
          <t>매출</t>
        </is>
      </c>
      <c r="B50" s="59" t="n">
        <v>150</v>
      </c>
      <c r="N50" s="58" t="inlineStr">
        <is>
          <t>2단계 보고서 자료(회사 설명회 자료·공시)</t>
        </is>
      </c>
    </row>
    <row r="51">
      <c r="A51" s="56" t="inlineStr">
        <is>
          <t>영업이익</t>
        </is>
      </c>
      <c r="B51" s="59" t="n">
        <v>78</v>
      </c>
    </row>
    <row r="52">
      <c r="A52" s="56" t="inlineStr">
        <is>
          <t>employees</t>
        </is>
      </c>
      <c r="B52" s="57" t="n">
        <v>450</v>
      </c>
    </row>
    <row r="54">
      <c r="A54" s="54" t="inlineStr">
        <is>
          <t>midterm 계획 revision 2026 05 07 · FY27 revised</t>
        </is>
      </c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</row>
    <row r="55">
      <c r="A55" s="55" t="inlineStr">
        <is>
          <t>항목</t>
        </is>
      </c>
      <c r="B55" s="55" t="inlineStr">
        <is>
          <t>값</t>
        </is>
      </c>
      <c r="N55" s="55" t="inlineStr">
        <is>
          <t>출처</t>
        </is>
      </c>
    </row>
    <row r="56">
      <c r="A56" s="56" t="inlineStr">
        <is>
          <t>contract</t>
        </is>
      </c>
      <c r="B56" s="59" t="n">
        <v>135</v>
      </c>
      <c r="N56" s="58" t="inlineStr">
        <is>
          <t>2단계 보고서 자료(회사 설명회 자료·공시)</t>
        </is>
      </c>
    </row>
    <row r="57">
      <c r="A57" s="56" t="inlineStr">
        <is>
          <t>매출</t>
        </is>
      </c>
      <c r="B57" s="59" t="n">
        <v>120</v>
      </c>
    </row>
    <row r="58">
      <c r="A58" s="56" t="inlineStr">
        <is>
          <t>영업이익</t>
        </is>
      </c>
      <c r="B58" s="59" t="n">
        <v>54</v>
      </c>
    </row>
    <row r="59">
      <c r="A59" s="56" t="inlineStr">
        <is>
          <t>employees</t>
        </is>
      </c>
      <c r="B59" s="57" t="n">
        <v>360</v>
      </c>
    </row>
    <row r="61">
      <c r="A61" s="54" t="inlineStr">
        <is>
          <t>pl 1H detail · FY27 1H</t>
        </is>
      </c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  <c r="K61" s="54" t="n"/>
      <c r="L61" s="54" t="n"/>
      <c r="M61" s="54" t="n"/>
      <c r="N61" s="54" t="n"/>
    </row>
    <row r="62">
      <c r="A62" s="55" t="inlineStr">
        <is>
          <t>항목</t>
        </is>
      </c>
      <c r="B62" s="55" t="inlineStr">
        <is>
          <t>값</t>
        </is>
      </c>
      <c r="N62" s="55" t="inlineStr">
        <is>
          <t>출처</t>
        </is>
      </c>
    </row>
    <row r="63">
      <c r="A63" s="56" t="inlineStr">
        <is>
          <t>매출</t>
        </is>
      </c>
      <c r="B63" s="59" t="n">
        <v>60.24</v>
      </c>
      <c r="N63" s="58" t="inlineStr">
        <is>
          <t>2단계 보고서 자료(회사 설명회 자료·공시)</t>
        </is>
      </c>
    </row>
    <row r="64">
      <c r="A64" s="56" t="inlineStr">
        <is>
          <t>cogs</t>
        </is>
      </c>
      <c r="B64" s="59" t="n">
        <v>18.64</v>
      </c>
    </row>
    <row r="65">
      <c r="A65" s="56" t="inlineStr">
        <is>
          <t>gp</t>
        </is>
      </c>
      <c r="B65" s="59" t="n">
        <v>41.59</v>
      </c>
    </row>
    <row r="66">
      <c r="A66" s="56" t="inlineStr">
        <is>
          <t>sga</t>
        </is>
      </c>
      <c r="B66" s="59" t="n">
        <v>13.73</v>
      </c>
    </row>
    <row r="67">
      <c r="A67" s="56" t="inlineStr">
        <is>
          <t>영업이익</t>
        </is>
      </c>
      <c r="B67" s="59" t="n">
        <v>27.85</v>
      </c>
    </row>
    <row r="68">
      <c r="A68" s="56" t="inlineStr">
        <is>
          <t>nonop inc</t>
        </is>
      </c>
      <c r="B68" s="59" t="n">
        <v>0.55</v>
      </c>
    </row>
    <row r="69">
      <c r="A69" s="56" t="inlineStr">
        <is>
          <t>int inc</t>
        </is>
      </c>
      <c r="B69" s="59" t="n">
        <v>0.53</v>
      </c>
    </row>
    <row r="70">
      <c r="A70" s="56" t="inlineStr">
        <is>
          <t>nonop exp</t>
        </is>
      </c>
      <c r="B70" s="59" t="n">
        <v>0.02</v>
      </c>
    </row>
    <row r="71">
      <c r="A71" s="56" t="inlineStr">
        <is>
          <t>환율 loss</t>
        </is>
      </c>
      <c r="B71" s="59" t="n">
        <v>0.02</v>
      </c>
    </row>
    <row r="72">
      <c r="A72" s="56" t="inlineStr">
        <is>
          <t>ord</t>
        </is>
      </c>
      <c r="B72" s="59" t="n">
        <v>28.38</v>
      </c>
    </row>
    <row r="73">
      <c r="A73" s="56" t="inlineStr">
        <is>
          <t>pbt</t>
        </is>
      </c>
      <c r="B73" s="59" t="n">
        <v>28.38</v>
      </c>
    </row>
    <row r="74">
      <c r="A74" s="56" t="inlineStr">
        <is>
          <t>tax</t>
        </is>
      </c>
      <c r="B74" s="59" t="n">
        <v>9.140000000000001</v>
      </c>
    </row>
    <row r="75">
      <c r="A75" s="56" t="inlineStr">
        <is>
          <t>순이익</t>
        </is>
      </c>
      <c r="B75" s="59" t="n">
        <v>19.24</v>
      </c>
    </row>
    <row r="77">
      <c r="A77" s="54" t="inlineStr">
        <is>
          <t>pl 1H detail · FY26 1H</t>
        </is>
      </c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  <c r="L77" s="54" t="n"/>
      <c r="M77" s="54" t="n"/>
      <c r="N77" s="54" t="n"/>
    </row>
    <row r="78">
      <c r="A78" s="55" t="inlineStr">
        <is>
          <t>항목</t>
        </is>
      </c>
      <c r="B78" s="55" t="inlineStr">
        <is>
          <t>값</t>
        </is>
      </c>
      <c r="N78" s="55" t="inlineStr">
        <is>
          <t>출처</t>
        </is>
      </c>
    </row>
    <row r="79">
      <c r="A79" s="56" t="inlineStr">
        <is>
          <t>매출</t>
        </is>
      </c>
      <c r="B79" s="59" t="n">
        <v>49.92</v>
      </c>
      <c r="N79" s="58" t="inlineStr">
        <is>
          <t>2단계 보고서 자료(회사 설명회 자료·공시)</t>
        </is>
      </c>
    </row>
    <row r="80">
      <c r="A80" s="56" t="inlineStr">
        <is>
          <t>cogs</t>
        </is>
      </c>
      <c r="B80" s="59" t="n">
        <v>15.59</v>
      </c>
    </row>
    <row r="81">
      <c r="A81" s="56" t="inlineStr">
        <is>
          <t>gp</t>
        </is>
      </c>
      <c r="B81" s="59" t="n">
        <v>34.33</v>
      </c>
    </row>
    <row r="82">
      <c r="A82" s="56" t="inlineStr">
        <is>
          <t>sga</t>
        </is>
      </c>
      <c r="B82" s="59" t="n">
        <v>14.11</v>
      </c>
    </row>
    <row r="83">
      <c r="A83" s="56" t="inlineStr">
        <is>
          <t>영업이익</t>
        </is>
      </c>
      <c r="B83" s="59" t="n">
        <v>20.21</v>
      </c>
    </row>
    <row r="84">
      <c r="A84" s="56" t="inlineStr">
        <is>
          <t>nonop inc</t>
        </is>
      </c>
      <c r="B84" s="59" t="n">
        <v>0.19</v>
      </c>
    </row>
    <row r="85">
      <c r="A85" s="56" t="inlineStr">
        <is>
          <t>int inc</t>
        </is>
      </c>
      <c r="B85" s="59" t="n">
        <v>0.12</v>
      </c>
    </row>
    <row r="86">
      <c r="A86" s="56" t="inlineStr">
        <is>
          <t>환율 gain</t>
        </is>
      </c>
      <c r="B86" s="59" t="n">
        <v>0.05</v>
      </c>
    </row>
    <row r="87">
      <c r="A87" s="56" t="inlineStr">
        <is>
          <t>ord</t>
        </is>
      </c>
      <c r="B87" s="59" t="n">
        <v>20.41</v>
      </c>
    </row>
    <row r="88">
      <c r="A88" s="56" t="inlineStr">
        <is>
          <t>pbt</t>
        </is>
      </c>
      <c r="B88" s="59" t="n">
        <v>20.41</v>
      </c>
    </row>
    <row r="89">
      <c r="A89" s="56" t="inlineStr">
        <is>
          <t>tax</t>
        </is>
      </c>
      <c r="B89" s="59" t="n">
        <v>6.33</v>
      </c>
    </row>
    <row r="90">
      <c r="A90" s="56" t="inlineStr">
        <is>
          <t>순이익</t>
        </is>
      </c>
      <c r="B90" s="59" t="n">
        <v>14.08</v>
      </c>
    </row>
    <row r="92">
      <c r="A92" s="54" t="inlineStr">
        <is>
          <t>pl 1H detail · cf 1H</t>
        </is>
      </c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  <c r="K92" s="54" t="n"/>
      <c r="L92" s="54" t="n"/>
      <c r="M92" s="54" t="n"/>
      <c r="N92" s="54" t="n"/>
    </row>
    <row r="93">
      <c r="A93" s="55" t="inlineStr">
        <is>
          <t>항목</t>
        </is>
      </c>
      <c r="B93" s="55" t="inlineStr">
        <is>
          <t>값</t>
        </is>
      </c>
      <c r="N93" s="55" t="inlineStr">
        <is>
          <t>출처</t>
        </is>
      </c>
    </row>
    <row r="94">
      <c r="A94" s="56" t="inlineStr">
        <is>
          <t>ocf</t>
        </is>
      </c>
      <c r="B94" s="59" t="n">
        <v>61.09</v>
      </c>
      <c r="N94" s="58" t="inlineStr">
        <is>
          <t>2단계 보고서 자료(회사 설명회 자료·공시)</t>
        </is>
      </c>
    </row>
    <row r="95">
      <c r="A95" s="56" t="inlineStr">
        <is>
          <t>ocf prior</t>
        </is>
      </c>
      <c r="B95" s="59" t="n">
        <v>32.71</v>
      </c>
    </row>
    <row r="96">
      <c r="A96" s="56" t="inlineStr">
        <is>
          <t>설비투자 intangible</t>
        </is>
      </c>
      <c r="B96" s="59" t="n">
        <v>5.77</v>
      </c>
    </row>
    <row r="97">
      <c r="A97" s="56" t="inlineStr">
        <is>
          <t>설비투자 tangible</t>
        </is>
      </c>
      <c r="B97" s="59" t="n">
        <v>0.73</v>
      </c>
    </row>
    <row r="98">
      <c r="A98" s="56" t="inlineStr">
        <is>
          <t>buyback</t>
        </is>
      </c>
      <c r="B98" s="59" t="n">
        <v>6.65</v>
      </c>
    </row>
    <row r="99">
      <c r="A99" s="56" t="inlineStr">
        <is>
          <t>dividends</t>
        </is>
      </c>
      <c r="B99" s="59" t="n">
        <v>6.71</v>
      </c>
    </row>
    <row r="100">
      <c r="A100" s="56" t="inlineStr">
        <is>
          <t>dep</t>
        </is>
      </c>
      <c r="B100" s="59" t="n">
        <v>5.4</v>
      </c>
    </row>
    <row r="102">
      <c r="A102" s="54" t="inlineStr">
        <is>
          <t>bs 2Q FY27</t>
        </is>
      </c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  <c r="K102" s="54" t="n"/>
      <c r="L102" s="54" t="n"/>
      <c r="M102" s="54" t="n"/>
      <c r="N102" s="54" t="n"/>
    </row>
    <row r="103">
      <c r="A103" s="55" t="inlineStr">
        <is>
          <t>항목</t>
        </is>
      </c>
      <c r="B103" s="55" t="inlineStr">
        <is>
          <t>값</t>
        </is>
      </c>
      <c r="N103" s="55" t="inlineStr">
        <is>
          <t>출처</t>
        </is>
      </c>
    </row>
    <row r="104">
      <c r="A104" s="56" t="inlineStr">
        <is>
          <t>합계 assets</t>
        </is>
      </c>
      <c r="B104" s="59" t="n">
        <v>321.73</v>
      </c>
      <c r="N104" s="58" t="inlineStr">
        <is>
          <t>선수금(계약부채 성격) = 클라우드 계약 미인식분 — 향후 매출 선행지표. 1Q말 선수금 = 78.00 + 19.18(1Q 공시 증가액).</t>
        </is>
      </c>
    </row>
    <row r="105">
      <c r="A105" s="56" t="inlineStr">
        <is>
          <t>cash</t>
        </is>
      </c>
      <c r="B105" s="59" t="n">
        <v>274.88</v>
      </c>
    </row>
    <row r="106">
      <c r="A106" s="56" t="inlineStr">
        <is>
          <t>advances received</t>
        </is>
      </c>
      <c r="B106" s="59" t="n">
        <v>111.57</v>
      </c>
    </row>
    <row r="107">
      <c r="A107" s="56" t="inlineStr">
        <is>
          <t>advances FY26end</t>
        </is>
      </c>
      <c r="B107" s="59" t="n">
        <v>78</v>
      </c>
    </row>
    <row r="108">
      <c r="A108" s="56" t="inlineStr">
        <is>
          <t>advances 1Qend calc</t>
        </is>
      </c>
      <c r="B108" s="59" t="n">
        <v>97.18000000000001</v>
      </c>
    </row>
    <row r="109">
      <c r="A109" s="56" t="inlineStr">
        <is>
          <t>equity</t>
        </is>
      </c>
      <c r="B109" s="59" t="n">
        <v>193.42</v>
      </c>
    </row>
    <row r="110">
      <c r="A110" s="56" t="inlineStr">
        <is>
          <t>bps</t>
        </is>
      </c>
      <c r="B110" s="59" t="n">
        <v>1439.37</v>
      </c>
    </row>
    <row r="111">
      <c r="A111" s="56" t="inlineStr">
        <is>
          <t>shares issued</t>
        </is>
      </c>
      <c r="B111" s="57" t="n">
        <v>14133000</v>
      </c>
    </row>
    <row r="112">
      <c r="A112" s="56" t="inlineStr">
        <is>
          <t>treasury</t>
        </is>
      </c>
      <c r="B112" s="57" t="n">
        <v>708521</v>
      </c>
    </row>
    <row r="114">
      <c r="A114" s="54" t="inlineStr">
        <is>
          <t>dividend</t>
        </is>
      </c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</row>
    <row r="115">
      <c r="A115" s="55" t="inlineStr">
        <is>
          <t>항목</t>
        </is>
      </c>
      <c r="B115" s="55" t="inlineStr">
        <is>
          <t>값</t>
        </is>
      </c>
      <c r="N115" s="55" t="inlineStr">
        <is>
          <t>출처</t>
        </is>
      </c>
    </row>
    <row r="116">
      <c r="A116" s="56" t="inlineStr">
        <is>
          <t>FY26</t>
        </is>
      </c>
      <c r="B116" s="57" t="n">
        <v>95</v>
      </c>
      <c r="N116" s="58" t="inlineStr">
        <is>
          <t>2단계 보고서 자료(회사 설명회 자료·공시)</t>
        </is>
      </c>
    </row>
    <row r="117">
      <c r="A117" s="56" t="inlineStr">
        <is>
          <t>FY27 계획</t>
        </is>
      </c>
      <c r="B117" s="57" t="n">
        <v>100</v>
      </c>
    </row>
    <row r="118">
      <c r="A118" s="56" t="inlineStr">
        <is>
          <t>FY27 interim</t>
        </is>
      </c>
      <c r="B118" s="57" t="n">
        <v>50</v>
      </c>
    </row>
    <row r="120">
      <c r="A120" s="54" t="inlineStr">
        <is>
          <t>컨센서스 · FY27</t>
        </is>
      </c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4" t="n"/>
      <c r="K120" s="54" t="n"/>
      <c r="L120" s="54" t="n"/>
      <c r="M120" s="54" t="n"/>
      <c r="N120" s="54" t="n"/>
    </row>
    <row r="121">
      <c r="A121" s="55" t="inlineStr">
        <is>
          <t>항목</t>
        </is>
      </c>
      <c r="B121" s="55" t="inlineStr">
        <is>
          <t>값</t>
        </is>
      </c>
      <c r="N121" s="55" t="inlineStr">
        <is>
          <t>출처</t>
        </is>
      </c>
    </row>
    <row r="122">
      <c r="A122" s="56" t="inlineStr">
        <is>
          <t>EPS</t>
        </is>
      </c>
      <c r="B122" s="59" t="n">
        <v>286.15</v>
      </c>
      <c r="N122" s="58" t="inlineStr">
        <is>
          <t>야후 파이낸스(jp_consensus) 2026-10-30 조회 · 애널리스트 1~3명 — '컨센'이 아니라 'n명 추정'으로 표기. 2Q 매출 실제 33.1 vs 1명 추정 30.5 → +8.6%</t>
        </is>
      </c>
    </row>
    <row r="123">
      <c r="A123" s="56" t="inlineStr">
        <is>
          <t>매출</t>
        </is>
      </c>
      <c r="B123" s="59" t="n">
        <v>120.5</v>
      </c>
    </row>
    <row r="124">
      <c r="A124" s="56" t="inlineStr">
        <is>
          <t>애널리스트 수</t>
        </is>
      </c>
      <c r="B124" s="57" t="n">
        <v>2</v>
      </c>
    </row>
    <row r="126">
      <c r="A126" s="54" t="inlineStr">
        <is>
          <t>컨센서스 · FY28</t>
        </is>
      </c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4" t="n"/>
      <c r="K126" s="54" t="n"/>
      <c r="L126" s="54" t="n"/>
      <c r="M126" s="54" t="n"/>
      <c r="N126" s="54" t="n"/>
    </row>
    <row r="127">
      <c r="A127" s="55" t="inlineStr">
        <is>
          <t>항목</t>
        </is>
      </c>
      <c r="B127" s="55" t="inlineStr">
        <is>
          <t>값</t>
        </is>
      </c>
      <c r="N127" s="55" t="inlineStr">
        <is>
          <t>출처</t>
        </is>
      </c>
    </row>
    <row r="128">
      <c r="A128" s="56" t="inlineStr">
        <is>
          <t>EPS</t>
        </is>
      </c>
      <c r="B128" s="59" t="n">
        <v>362.97</v>
      </c>
      <c r="N128" s="58" t="inlineStr">
        <is>
          <t>야후 파이낸스(jp_consensus) 2026-10-30 조회 · 애널리스트 1~3명 — '컨센'이 아니라 'n명 추정'으로 표기. 2Q 매출 실제 33.1 vs 1명 추정 30.5 → +8.6%</t>
        </is>
      </c>
    </row>
    <row r="129">
      <c r="A129" s="56" t="inlineStr">
        <is>
          <t>매출</t>
        </is>
      </c>
      <c r="B129" s="59" t="n">
        <v>144.8</v>
      </c>
    </row>
    <row r="130">
      <c r="A130" s="56" t="inlineStr">
        <is>
          <t>애널리스트 수</t>
        </is>
      </c>
      <c r="B130" s="57" t="n">
        <v>3</v>
      </c>
    </row>
    <row r="132">
      <c r="A132" s="54" t="inlineStr">
        <is>
          <t>컨센서스 · 2Q FY27 매출 추정</t>
        </is>
      </c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4" t="n"/>
      <c r="K132" s="54" t="n"/>
      <c r="L132" s="54" t="n"/>
      <c r="M132" s="54" t="n"/>
      <c r="N132" s="54" t="n"/>
    </row>
    <row r="133">
      <c r="A133" s="55" t="inlineStr">
        <is>
          <t>항목</t>
        </is>
      </c>
      <c r="B133" s="55" t="inlineStr">
        <is>
          <t>값</t>
        </is>
      </c>
      <c r="N133" s="55" t="inlineStr">
        <is>
          <t>출처</t>
        </is>
      </c>
    </row>
    <row r="134">
      <c r="A134" s="56" t="inlineStr">
        <is>
          <t>매출</t>
        </is>
      </c>
      <c r="B134" s="59" t="n">
        <v>30.5</v>
      </c>
      <c r="N134" s="58" t="inlineStr">
        <is>
          <t>야후 파이낸스(jp_consensus) 2026-10-30 조회 · 애널리스트 1~3명 — '컨센'이 아니라 'n명 추정'으로 표기. 2Q 매출 실제 33.1 vs 1명 추정 30.5 → +8.6%</t>
        </is>
      </c>
    </row>
    <row r="135">
      <c r="A135" s="56" t="inlineStr">
        <is>
          <t>애널리스트 수</t>
        </is>
      </c>
      <c r="B135" s="57" t="n">
        <v>1</v>
      </c>
    </row>
    <row r="137">
      <c r="A137" s="54" t="inlineStr">
        <is>
          <t>컨센서스 · 3Q FY27 매출 추정</t>
        </is>
      </c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4" t="n"/>
      <c r="K137" s="54" t="n"/>
      <c r="L137" s="54" t="n"/>
      <c r="M137" s="54" t="n"/>
      <c r="N137" s="54" t="n"/>
    </row>
    <row r="138">
      <c r="A138" s="55" t="inlineStr">
        <is>
          <t>항목</t>
        </is>
      </c>
      <c r="B138" s="55" t="inlineStr">
        <is>
          <t>값</t>
        </is>
      </c>
      <c r="N138" s="55" t="inlineStr">
        <is>
          <t>출처</t>
        </is>
      </c>
    </row>
    <row r="139">
      <c r="A139" s="56" t="inlineStr">
        <is>
          <t>매출</t>
        </is>
      </c>
      <c r="B139" s="59" t="n">
        <v>31.39</v>
      </c>
      <c r="N139" s="58" t="inlineStr">
        <is>
          <t>야후 파이낸스(jp_consensus) 2026-10-30 조회 · 애널리스트 1~3명 — '컨센'이 아니라 'n명 추정'으로 표기. 2Q 매출 실제 33.1 vs 1명 추정 30.5 → +8.6%</t>
        </is>
      </c>
    </row>
    <row r="140">
      <c r="A140" s="56" t="inlineStr">
        <is>
          <t>애널리스트 수</t>
        </is>
      </c>
      <c r="B140" s="57" t="n">
        <v>1</v>
      </c>
    </row>
    <row r="142">
      <c r="A142" s="54" t="inlineStr">
        <is>
          <t>컨센서스 · 목표주가 가격</t>
        </is>
      </c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  <c r="K142" s="54" t="n"/>
      <c r="L142" s="54" t="n"/>
      <c r="M142" s="54" t="n"/>
      <c r="N142" s="54" t="n"/>
    </row>
    <row r="143">
      <c r="A143" s="55" t="inlineStr">
        <is>
          <t>항목</t>
        </is>
      </c>
      <c r="B143" s="55" t="inlineStr">
        <is>
          <t>값</t>
        </is>
      </c>
      <c r="N143" s="55" t="inlineStr">
        <is>
          <t>출처</t>
        </is>
      </c>
    </row>
    <row r="144">
      <c r="A144" s="56" t="inlineStr">
        <is>
          <t>평균</t>
        </is>
      </c>
      <c r="B144" s="57" t="n">
        <v>7600</v>
      </c>
      <c r="N144" s="58" t="inlineStr">
        <is>
          <t>야후 파이낸스(jp_consensus) 2026-10-30 조회 · 애널리스트 1~3명 — '컨센'이 아니라 'n명 추정'으로 표기. 2Q 매출 실제 33.1 vs 1명 추정 30.5 → +8.6%</t>
        </is>
      </c>
    </row>
    <row r="145">
      <c r="A145" s="56" t="inlineStr">
        <is>
          <t>애널리스트 수</t>
        </is>
      </c>
      <c r="B145" s="57" t="n">
        <v>1</v>
      </c>
    </row>
    <row r="147">
      <c r="A147" s="54" t="inlineStr">
        <is>
          <t>events</t>
        </is>
      </c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4" t="n"/>
      <c r="K147" s="54" t="n"/>
      <c r="L147" s="54" t="n"/>
      <c r="M147" s="54" t="n"/>
      <c r="N147" s="54" t="n"/>
    </row>
    <row r="148">
      <c r="A148" s="55" t="inlineStr">
        <is>
          <t>항목</t>
        </is>
      </c>
      <c r="B148" s="55" t="inlineStr">
        <is>
          <t>t</t>
        </is>
      </c>
      <c r="N148" s="55" t="inlineStr">
        <is>
          <t>출처</t>
        </is>
      </c>
    </row>
    <row r="149">
      <c r="A149" s="56" t="inlineStr">
        <is>
          <t>2026-10-21 16:00</t>
        </is>
      </c>
      <c r="B149" s="60" t="inlineStr">
        <is>
          <t>자사 클라우드 서비스 운영환경·사내환경 무단 접근 공시 — 운영용 인증정보 탈취, 흔적은 2025.7경까지 거슬러 올라감, 대상 i-FILTER@Cloud·m-FILTER@Cloud·FINAL CODE@Cloud·z-FILTER·Desk 등 일부 고객 정보 열람 가능성, 외부 반출 미확인, 실적 영향 정밀조사 중 (doc 140120261021554017)</t>
        </is>
      </c>
      <c r="N149" s="58" t="inlineStr">
        <is>
          <t>2단계 보고서 자료(회사 설명회 자료·공시)</t>
        </is>
      </c>
    </row>
    <row r="150">
      <c r="A150" s="56" t="inlineStr">
        <is>
          <t>2026-10-30</t>
        </is>
      </c>
      <c r="B150" s="60" t="inlineStr">
        <is>
          <t>2Q 결산단신에서 '화이트 운용' DB 변조 없음, 제품 보안 기능 취약점이 아님을 명시. 통기 예상 유지.</t>
        </is>
      </c>
    </row>
    <row r="151">
      <c r="A151" s="56" t="inlineStr">
        <is>
          <t>2026-05-07</t>
        </is>
      </c>
      <c r="B151" s="60" t="inlineStr">
        <is>
          <t>FY26 결산(예상 대비 미달) + 중기계획 FY27 하향(매출 150→120, 영업이익 78→54) → 다음 거래일 −16.8%</t>
        </is>
      </c>
    </row>
    <row r="152">
      <c r="A152" s="56" t="inlineStr">
        <is>
          <t>2026-05-11</t>
        </is>
      </c>
      <c r="B152" s="60" t="inlineStr">
        <is>
          <t>자사주 매입 결정(2026.8.18 종료)</t>
        </is>
      </c>
    </row>
    <row r="153">
      <c r="A153" s="56" t="inlineStr">
        <is>
          <t>2026-06-25</t>
        </is>
      </c>
      <c r="B153" s="60" t="inlineStr">
        <is>
          <t>투자단위 인하에 관한 방침 공시</t>
        </is>
      </c>
    </row>
    <row r="154">
      <c r="A154" s="56" t="inlineStr">
        <is>
          <t>2025-10-30</t>
        </is>
      </c>
      <c r="B154" s="60" t="inlineStr">
        <is>
          <t>FY26 2Q에서 통기 예상 하향(매출 125.5→118, 영업이익 61.5→56.07)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https://www2.jpx.co.jp/disc/23260/140120261029560133.pdf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https://www2.jpx.co.jp/disc/23260/140120260730504138.pdf</t>
        </is>
      </c>
    </row>
    <row r="6">
      <c r="A6" t="inlineStr">
        <is>
          <t>2026-05-07</t>
        </is>
      </c>
      <c r="B6" t="inlineStr">
        <is>
          <t>2026년 3월 결산기 연간 결산단신</t>
        </is>
      </c>
      <c r="C6" t="inlineStr">
        <is>
          <t>https://www2.jpx.co.jp/disc/23260/140120260506517341.pdf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https://www2.jpx.co.jp/disc/23260/140120260129542310.pdf</t>
        </is>
      </c>
    </row>
    <row r="8">
      <c r="A8" t="inlineStr">
        <is>
          <t>2025-10-30</t>
        </is>
      </c>
      <c r="B8" t="inlineStr">
        <is>
          <t>2026년 3월 결산기 ２분기 결산단신</t>
        </is>
      </c>
      <c r="C8" t="inlineStr">
        <is>
          <t>https://www2.jpx.co.jp/disc/23260/140120251029581340.pdf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https://www2.jpx.co.jp/disc/23260/140120250730523966.pdf</t>
        </is>
      </c>
    </row>
    <row r="10">
      <c r="A10" t="inlineStr">
        <is>
          <t>2025-05-08</t>
        </is>
      </c>
      <c r="B10" t="inlineStr">
        <is>
          <t>2025년 3월 결산기 연간 결산단신</t>
        </is>
      </c>
      <c r="C10" t="inlineStr">
        <is>
          <t>https://www2.jpx.co.jp/disc/23260/140120250507531807.pdf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https://www2.jpx.co.jp/disc/23260/140120250130558760.pdf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https://www2.jpx.co.jp/disc/23260/140120241030506912.pdf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https://www2.jpx.co.jp/disc/23260/140120240730557960.pdf</t>
        </is>
      </c>
    </row>
    <row r="14">
      <c r="A14" t="inlineStr">
        <is>
          <t>2024-05-08</t>
        </is>
      </c>
      <c r="B14" t="inlineStr">
        <is>
          <t>2024년 3월 결산기 연간 결산단신</t>
        </is>
      </c>
      <c r="C14" t="inlineStr">
        <is>
          <t>https://www2.jpx.co.jp/disc/23260/140120240507582995.pdf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https://www2.jpx.co.jp/disc/23260/140120240131522558.pdf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https://www2.jpx.co.jp/disc/23260/140120231030574386.pdf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https://www2.jpx.co.jp/disc/23260/140120230728529700.pdf</t>
        </is>
      </c>
    </row>
    <row r="18">
      <c r="A18" t="inlineStr">
        <is>
          <t>2023-05-09</t>
        </is>
      </c>
      <c r="B18" t="inlineStr">
        <is>
          <t>2023년 3월 결산기 연간 결산단신</t>
        </is>
      </c>
      <c r="C18" t="inlineStr">
        <is>
          <t>https://www2.jpx.co.jp/disc/23260/140120230509561060.pdf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https://www2.jpx.co.jp/disc/23260/140120230126594384.pdf</t>
        </is>
      </c>
    </row>
    <row r="20">
      <c r="A20" t="inlineStr">
        <is>
          <t>2022-05-10</t>
        </is>
      </c>
      <c r="B20" t="inlineStr">
        <is>
          <t>2022년 3월 결산기 연간 결산단신</t>
        </is>
      </c>
      <c r="C20" t="inlineStr">
        <is>
          <t>https://www2.jpx.co.jp/disc/23260/140120220506534419.pdf</t>
        </is>
      </c>
    </row>
    <row r="21">
      <c r="A21" t="inlineStr">
        <is>
          <t>2021-05-07</t>
        </is>
      </c>
      <c r="B21" t="inlineStr">
        <is>
          <t>2021년 3월 결산기 연간 결산단신</t>
        </is>
      </c>
      <c r="C21" t="inlineStr">
        <is>
          <t>https://www2.jpx.co.jp/disc/23260/140120210507407874.pdf</t>
        </is>
      </c>
    </row>
    <row r="22">
      <c r="A22" t="inlineStr">
        <is>
          <t>2020-05-08</t>
        </is>
      </c>
      <c r="B22" t="inlineStr">
        <is>
          <t>2020년 3월 결산기 연간 결산단신</t>
        </is>
      </c>
      <c r="C22" t="inlineStr">
        <is>
          <t>https://www2.jpx.co.jp/disc/23260/140120200508407092.pdf</t>
        </is>
      </c>
    </row>
    <row r="23">
      <c r="A23" t="inlineStr">
        <is>
          <t>2019-05-09</t>
        </is>
      </c>
      <c r="B23" t="inlineStr">
        <is>
          <t>2019년 3월 결산기 연간 결산단신</t>
        </is>
      </c>
      <c r="C23" t="inlineStr">
        <is>
          <t>https://www2.jpx.co.jp/disc/23260/140120190509419146.pdf</t>
        </is>
      </c>
    </row>
    <row r="24">
      <c r="A24" t="inlineStr">
        <is>
          <t>2018-05-08</t>
        </is>
      </c>
      <c r="B24" t="inlineStr">
        <is>
          <t>연간 결산단신</t>
        </is>
      </c>
      <c r="C24" t="inlineStr">
        <is>
          <t>https://www2.jpx.co.jp/disc/23260/140120180508429402.pdf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2" t="inlineStr">
        <is>
          <t>2326 재무제표 한눈에 보기 — 최근 40개 분기(달력 분기, 3Q26 = 26.7~9) · 단위 억 엔</t>
        </is>
      </c>
    </row>
    <row r="2">
      <c r="A2" s="63" t="inlineStr">
        <is>
          <t>출처: 매출·영업이익 결산단신 XBRL · 재무상태표 등 결산단신 XBRL 36건(2018-01-30~2026-10-30). 부문·지역·수주·수출은 있을 때만(출처는 줄 끝). 총 차입금 = 이자 붙는 부채 전부(단기·장기 차입금, CP, 사채·전환사채, 리스부채)</t>
        </is>
      </c>
    </row>
    <row r="4">
      <c r="A4" s="64" t="inlineStr">
        <is>
          <t>항목</t>
        </is>
      </c>
      <c r="B4" s="65" t="inlineStr">
        <is>
          <t>4Q16</t>
        </is>
      </c>
      <c r="C4" s="65" t="inlineStr">
        <is>
          <t>1Q17</t>
        </is>
      </c>
      <c r="D4" s="65" t="inlineStr">
        <is>
          <t>2Q17</t>
        </is>
      </c>
      <c r="E4" s="65" t="inlineStr">
        <is>
          <t>3Q17</t>
        </is>
      </c>
      <c r="F4" s="65" t="inlineStr">
        <is>
          <t>4Q17</t>
        </is>
      </c>
      <c r="G4" s="65" t="inlineStr">
        <is>
          <t>1Q18</t>
        </is>
      </c>
      <c r="H4" s="65" t="inlineStr">
        <is>
          <t>2Q18</t>
        </is>
      </c>
      <c r="I4" s="65" t="inlineStr">
        <is>
          <t>3Q18</t>
        </is>
      </c>
      <c r="J4" s="65" t="inlineStr">
        <is>
          <t>4Q18</t>
        </is>
      </c>
      <c r="K4" s="65" t="inlineStr">
        <is>
          <t>1Q19</t>
        </is>
      </c>
      <c r="L4" s="65" t="inlineStr">
        <is>
          <t>2Q19</t>
        </is>
      </c>
      <c r="M4" s="65" t="inlineStr">
        <is>
          <t>3Q19</t>
        </is>
      </c>
      <c r="N4" s="65" t="inlineStr">
        <is>
          <t>4Q19</t>
        </is>
      </c>
      <c r="O4" s="65" t="inlineStr">
        <is>
          <t>1Q20</t>
        </is>
      </c>
      <c r="P4" s="65" t="inlineStr">
        <is>
          <t>2Q20</t>
        </is>
      </c>
      <c r="Q4" s="65" t="inlineStr">
        <is>
          <t>3Q20</t>
        </is>
      </c>
      <c r="R4" s="65" t="inlineStr">
        <is>
          <t>4Q20</t>
        </is>
      </c>
      <c r="S4" s="65" t="inlineStr">
        <is>
          <t>1Q21</t>
        </is>
      </c>
      <c r="T4" s="65" t="inlineStr">
        <is>
          <t>2Q21</t>
        </is>
      </c>
      <c r="U4" s="65" t="inlineStr">
        <is>
          <t>3Q21</t>
        </is>
      </c>
      <c r="V4" s="65" t="inlineStr">
        <is>
          <t>4Q21</t>
        </is>
      </c>
      <c r="W4" s="65" t="inlineStr">
        <is>
          <t>1Q22</t>
        </is>
      </c>
      <c r="X4" s="65" t="inlineStr">
        <is>
          <t>2Q22</t>
        </is>
      </c>
      <c r="Y4" s="65" t="inlineStr">
        <is>
          <t>3Q22</t>
        </is>
      </c>
      <c r="Z4" s="65" t="inlineStr">
        <is>
          <t>4Q22</t>
        </is>
      </c>
      <c r="AA4" s="65" t="inlineStr">
        <is>
          <t>1Q23</t>
        </is>
      </c>
      <c r="AB4" s="65" t="inlineStr">
        <is>
          <t>2Q23</t>
        </is>
      </c>
      <c r="AC4" s="65" t="inlineStr">
        <is>
          <t>3Q23</t>
        </is>
      </c>
      <c r="AD4" s="65" t="inlineStr">
        <is>
          <t>4Q23</t>
        </is>
      </c>
      <c r="AE4" s="65" t="inlineStr">
        <is>
          <t>1Q24</t>
        </is>
      </c>
      <c r="AF4" s="65" t="inlineStr">
        <is>
          <t>2Q24</t>
        </is>
      </c>
      <c r="AG4" s="65" t="inlineStr">
        <is>
          <t>3Q24</t>
        </is>
      </c>
      <c r="AH4" s="65" t="inlineStr">
        <is>
          <t>4Q24</t>
        </is>
      </c>
      <c r="AI4" s="65" t="inlineStr">
        <is>
          <t>1Q25</t>
        </is>
      </c>
      <c r="AJ4" s="65" t="inlineStr">
        <is>
          <t>2Q25</t>
        </is>
      </c>
      <c r="AK4" s="65" t="inlineStr">
        <is>
          <t>3Q25</t>
        </is>
      </c>
      <c r="AL4" s="65" t="inlineStr">
        <is>
          <t>4Q25</t>
        </is>
      </c>
      <c r="AM4" s="65" t="inlineStr">
        <is>
          <t>1Q26</t>
        </is>
      </c>
      <c r="AN4" s="65" t="inlineStr">
        <is>
          <t>2Q26</t>
        </is>
      </c>
      <c r="AO4" s="65" t="inlineStr">
        <is>
          <t>3Q26</t>
        </is>
      </c>
      <c r="AP4" s="64" t="inlineStr">
        <is>
          <t>출처</t>
        </is>
      </c>
    </row>
    <row r="5">
      <c r="A5" s="66" t="inlineStr">
        <is>
          <t>매출액</t>
        </is>
      </c>
      <c r="B5" s="67" t="n"/>
      <c r="C5" s="67" t="n">
        <v>15.4</v>
      </c>
      <c r="D5" s="67" t="n">
        <v>11.6</v>
      </c>
      <c r="E5" s="67" t="n">
        <v>13.1</v>
      </c>
      <c r="F5" s="67" t="n">
        <v>10.8</v>
      </c>
      <c r="G5" s="67" t="n">
        <v>15.7</v>
      </c>
      <c r="H5" s="67" t="n">
        <v>12.2</v>
      </c>
      <c r="I5" s="67" t="n">
        <v>15.5</v>
      </c>
      <c r="J5" s="67" t="n">
        <v>14</v>
      </c>
      <c r="K5" s="67" t="n">
        <v>16.7</v>
      </c>
      <c r="L5" s="67" t="n">
        <v>12.5</v>
      </c>
      <c r="M5" s="67" t="n">
        <v>15.1</v>
      </c>
      <c r="N5" s="67" t="n">
        <v>13.8</v>
      </c>
      <c r="O5" s="67" t="n">
        <v>15</v>
      </c>
      <c r="P5" s="67" t="n">
        <v>14.1</v>
      </c>
      <c r="Q5" s="67" t="n">
        <v>16.9</v>
      </c>
      <c r="R5" s="67" t="n">
        <v>16.5</v>
      </c>
      <c r="S5" s="67" t="n">
        <v>20.8</v>
      </c>
      <c r="T5" s="67" t="n">
        <v>19.2</v>
      </c>
      <c r="U5" s="67" t="n">
        <v>26.3</v>
      </c>
      <c r="V5" s="67" t="n">
        <v>21.3</v>
      </c>
      <c r="W5" s="67" t="n">
        <v>23.6</v>
      </c>
      <c r="X5" s="67" t="n">
        <v>23.9</v>
      </c>
      <c r="Y5" s="67" t="n">
        <v>27</v>
      </c>
      <c r="Z5" s="67" t="n">
        <v>25.7</v>
      </c>
      <c r="AA5" s="67" t="n">
        <v>27.8</v>
      </c>
      <c r="AB5" s="67" t="n">
        <v>25.4</v>
      </c>
      <c r="AC5" s="67" t="n">
        <v>30.2</v>
      </c>
      <c r="AD5" s="67" t="n">
        <v>27.6</v>
      </c>
      <c r="AE5" s="67" t="n">
        <v>31.9</v>
      </c>
      <c r="AF5" s="67" t="n">
        <v>22.3</v>
      </c>
      <c r="AG5" s="67" t="n">
        <v>26</v>
      </c>
      <c r="AH5" s="67" t="n">
        <v>24.4</v>
      </c>
      <c r="AI5" s="67" t="n">
        <v>27.1</v>
      </c>
      <c r="AJ5" s="67" t="n">
        <v>22.7</v>
      </c>
      <c r="AK5" s="67" t="n">
        <v>27.2</v>
      </c>
      <c r="AL5" s="67" t="n">
        <v>28.4</v>
      </c>
      <c r="AM5" s="67" t="n">
        <v>30</v>
      </c>
      <c r="AN5" s="67" t="n">
        <v>27.1</v>
      </c>
      <c r="AO5" s="67" t="n">
        <v>33.1</v>
      </c>
    </row>
    <row r="6">
      <c r="A6" s="66" t="inlineStr">
        <is>
          <t>매출액 YoY</t>
        </is>
      </c>
      <c r="B6" s="68" t="n"/>
      <c r="C6" s="68" t="n"/>
      <c r="D6" s="68" t="n"/>
      <c r="E6" s="68" t="n"/>
      <c r="F6" s="68" t="n"/>
      <c r="G6" s="68" t="n">
        <v>1.9</v>
      </c>
      <c r="H6" s="68" t="n">
        <v>5.2</v>
      </c>
      <c r="I6" s="68" t="n">
        <v>18.3</v>
      </c>
      <c r="J6" s="68" t="n">
        <v>29.6</v>
      </c>
      <c r="K6" s="68" t="n">
        <v>6.4</v>
      </c>
      <c r="L6" s="68" t="n">
        <v>2.5</v>
      </c>
      <c r="M6" s="68" t="n">
        <v>-2.6</v>
      </c>
      <c r="N6" s="68" t="n">
        <v>-1.4</v>
      </c>
      <c r="O6" s="68" t="n">
        <v>-10.2</v>
      </c>
      <c r="P6" s="68" t="n">
        <v>12.8</v>
      </c>
      <c r="Q6" s="68" t="n">
        <v>11.9</v>
      </c>
      <c r="R6" s="68" t="n">
        <v>19.6</v>
      </c>
      <c r="S6" s="68" t="n">
        <v>38.7</v>
      </c>
      <c r="T6" s="68" t="n">
        <v>36.2</v>
      </c>
      <c r="U6" s="68" t="n">
        <v>55.6</v>
      </c>
      <c r="V6" s="68" t="n">
        <v>29.1</v>
      </c>
      <c r="W6" s="68" t="n">
        <v>13.5</v>
      </c>
      <c r="X6" s="68" t="n">
        <v>24.5</v>
      </c>
      <c r="Y6" s="68" t="n">
        <v>2.7</v>
      </c>
      <c r="Z6" s="68" t="n">
        <v>20.7</v>
      </c>
      <c r="AA6" s="68" t="n">
        <v>17.8</v>
      </c>
      <c r="AB6" s="68" t="n">
        <v>6.3</v>
      </c>
      <c r="AC6" s="68" t="n">
        <v>11.9</v>
      </c>
      <c r="AD6" s="68" t="n">
        <v>7.4</v>
      </c>
      <c r="AE6" s="68" t="n">
        <v>14.7</v>
      </c>
      <c r="AF6" s="68" t="n">
        <v>-12.2</v>
      </c>
      <c r="AG6" s="68" t="n">
        <v>-13.9</v>
      </c>
      <c r="AH6" s="68" t="n">
        <v>-11.6</v>
      </c>
      <c r="AI6" s="68" t="n">
        <v>-15</v>
      </c>
      <c r="AJ6" s="68" t="n">
        <v>1.8</v>
      </c>
      <c r="AK6" s="68" t="n">
        <v>4.6</v>
      </c>
      <c r="AL6" s="68" t="n">
        <v>16.4</v>
      </c>
      <c r="AM6" s="68" t="n">
        <v>10.7</v>
      </c>
      <c r="AN6" s="68" t="n">
        <v>19.4</v>
      </c>
      <c r="AO6" s="68" t="n">
        <v>21.7</v>
      </c>
    </row>
    <row r="7">
      <c r="A7" s="66" t="inlineStr">
        <is>
          <t>영업이익</t>
        </is>
      </c>
      <c r="B7" s="67" t="n"/>
      <c r="C7" s="67" t="n">
        <v>6.8</v>
      </c>
      <c r="D7" s="67" t="n">
        <v>3.6</v>
      </c>
      <c r="E7" s="67" t="n">
        <v>5.7</v>
      </c>
      <c r="F7" s="67" t="n">
        <v>2.4</v>
      </c>
      <c r="G7" s="67" t="n">
        <v>7.4</v>
      </c>
      <c r="H7" s="67" t="n">
        <v>3</v>
      </c>
      <c r="I7" s="67" t="n">
        <v>7.4</v>
      </c>
      <c r="J7" s="67" t="n">
        <v>6.4</v>
      </c>
      <c r="K7" s="67" t="n">
        <v>9.5</v>
      </c>
      <c r="L7" s="67" t="n">
        <v>4.1</v>
      </c>
      <c r="M7" s="67" t="n">
        <v>6.8</v>
      </c>
      <c r="N7" s="67" t="n">
        <v>5.5</v>
      </c>
      <c r="O7" s="67" t="n">
        <v>6.8</v>
      </c>
      <c r="P7" s="67" t="n">
        <v>4.8</v>
      </c>
      <c r="Q7" s="67" t="n">
        <v>8.199999999999999</v>
      </c>
      <c r="R7" s="67" t="n">
        <v>6.6</v>
      </c>
      <c r="S7" s="67" t="n">
        <v>10</v>
      </c>
      <c r="T7" s="67" t="n">
        <v>7.3</v>
      </c>
      <c r="U7" s="67" t="n">
        <v>13.5</v>
      </c>
      <c r="V7" s="67" t="n">
        <v>9.4</v>
      </c>
      <c r="W7" s="67" t="n">
        <v>11</v>
      </c>
      <c r="X7" s="67" t="n">
        <v>10.1</v>
      </c>
      <c r="Y7" s="67" t="n">
        <v>12.4</v>
      </c>
      <c r="Z7" s="67" t="n">
        <v>9.800000000000001</v>
      </c>
      <c r="AA7" s="67" t="n">
        <v>11.8</v>
      </c>
      <c r="AB7" s="67" t="n">
        <v>8.699999999999999</v>
      </c>
      <c r="AC7" s="67" t="n">
        <v>13.2</v>
      </c>
      <c r="AD7" s="67" t="n">
        <v>9.300000000000001</v>
      </c>
      <c r="AE7" s="67" t="n">
        <v>13.1</v>
      </c>
      <c r="AF7" s="67" t="n">
        <v>8.4</v>
      </c>
      <c r="AG7" s="67" t="n">
        <v>12.1</v>
      </c>
      <c r="AH7" s="67" t="n">
        <v>10.9</v>
      </c>
      <c r="AI7" s="67" t="n">
        <v>14.1</v>
      </c>
      <c r="AJ7" s="67" t="n">
        <v>8</v>
      </c>
      <c r="AK7" s="67" t="n">
        <v>12.3</v>
      </c>
      <c r="AL7" s="67" t="n">
        <v>13.2</v>
      </c>
      <c r="AM7" s="67" t="n">
        <v>14.5</v>
      </c>
      <c r="AN7" s="67" t="n">
        <v>10.3</v>
      </c>
      <c r="AO7" s="67" t="n">
        <v>17.5</v>
      </c>
    </row>
    <row r="8">
      <c r="A8" s="66" t="inlineStr">
        <is>
          <t>영업이익률</t>
        </is>
      </c>
      <c r="B8" s="68" t="n"/>
      <c r="C8" s="68" t="n">
        <v>44.2</v>
      </c>
      <c r="D8" s="68" t="n">
        <v>31</v>
      </c>
      <c r="E8" s="68" t="n">
        <v>43.5</v>
      </c>
      <c r="F8" s="68" t="n">
        <v>22.2</v>
      </c>
      <c r="G8" s="68" t="n">
        <v>47.1</v>
      </c>
      <c r="H8" s="68" t="n">
        <v>24.6</v>
      </c>
      <c r="I8" s="68" t="n">
        <v>47.7</v>
      </c>
      <c r="J8" s="68" t="n">
        <v>45.7</v>
      </c>
      <c r="K8" s="68" t="n">
        <v>56.9</v>
      </c>
      <c r="L8" s="68" t="n">
        <v>32.8</v>
      </c>
      <c r="M8" s="68" t="n">
        <v>45</v>
      </c>
      <c r="N8" s="68" t="n">
        <v>39.9</v>
      </c>
      <c r="O8" s="68" t="n">
        <v>45.3</v>
      </c>
      <c r="P8" s="68" t="n">
        <v>34</v>
      </c>
      <c r="Q8" s="68" t="n">
        <v>48.5</v>
      </c>
      <c r="R8" s="68" t="n">
        <v>40</v>
      </c>
      <c r="S8" s="68" t="n">
        <v>48.1</v>
      </c>
      <c r="T8" s="68" t="n">
        <v>38</v>
      </c>
      <c r="U8" s="68" t="n">
        <v>51.3</v>
      </c>
      <c r="V8" s="68" t="n">
        <v>44.1</v>
      </c>
      <c r="W8" s="68" t="n">
        <v>46.6</v>
      </c>
      <c r="X8" s="68" t="n">
        <v>42.3</v>
      </c>
      <c r="Y8" s="68" t="n">
        <v>45.9</v>
      </c>
      <c r="Z8" s="68" t="n">
        <v>38.1</v>
      </c>
      <c r="AA8" s="68" t="n">
        <v>42.4</v>
      </c>
      <c r="AB8" s="68" t="n">
        <v>34.3</v>
      </c>
      <c r="AC8" s="68" t="n">
        <v>43.7</v>
      </c>
      <c r="AD8" s="68" t="n">
        <v>33.7</v>
      </c>
      <c r="AE8" s="68" t="n">
        <v>41.1</v>
      </c>
      <c r="AF8" s="68" t="n">
        <v>37.7</v>
      </c>
      <c r="AG8" s="68" t="n">
        <v>46.5</v>
      </c>
      <c r="AH8" s="68" t="n">
        <v>44.7</v>
      </c>
      <c r="AI8" s="68" t="n">
        <v>52</v>
      </c>
      <c r="AJ8" s="68" t="n">
        <v>35.2</v>
      </c>
      <c r="AK8" s="68" t="n">
        <v>45.2</v>
      </c>
      <c r="AL8" s="68" t="n">
        <v>46.5</v>
      </c>
      <c r="AM8" s="68" t="n">
        <v>48.3</v>
      </c>
      <c r="AN8" s="68" t="n">
        <v>38</v>
      </c>
      <c r="AO8" s="68" t="n">
        <v>52.9</v>
      </c>
    </row>
    <row r="9">
      <c r="A9" s="66" t="inlineStr">
        <is>
          <t>영업이익 YoY</t>
        </is>
      </c>
      <c r="B9" s="68" t="n"/>
      <c r="C9" s="68" t="n"/>
      <c r="D9" s="68" t="n"/>
      <c r="E9" s="68" t="n"/>
      <c r="F9" s="68" t="n"/>
      <c r="G9" s="68" t="n">
        <v>8.800000000000001</v>
      </c>
      <c r="H9" s="68" t="n">
        <v>-16.7</v>
      </c>
      <c r="I9" s="68" t="n">
        <v>29.8</v>
      </c>
      <c r="J9" s="68" t="n">
        <v>166.7</v>
      </c>
      <c r="K9" s="68" t="n">
        <v>28.4</v>
      </c>
      <c r="L9" s="68" t="n">
        <v>36.7</v>
      </c>
      <c r="M9" s="68" t="n">
        <v>-8.1</v>
      </c>
      <c r="N9" s="68" t="n">
        <v>-14.1</v>
      </c>
      <c r="O9" s="68" t="n">
        <v>-28.4</v>
      </c>
      <c r="P9" s="68" t="n">
        <v>17.1</v>
      </c>
      <c r="Q9" s="68" t="n">
        <v>20.6</v>
      </c>
      <c r="R9" s="68" t="n">
        <v>20</v>
      </c>
      <c r="S9" s="68" t="n">
        <v>47.1</v>
      </c>
      <c r="T9" s="68" t="n">
        <v>52.1</v>
      </c>
      <c r="U9" s="68" t="n">
        <v>64.59999999999999</v>
      </c>
      <c r="V9" s="68" t="n">
        <v>42.4</v>
      </c>
      <c r="W9" s="68" t="n">
        <v>10</v>
      </c>
      <c r="X9" s="68" t="n">
        <v>38.4</v>
      </c>
      <c r="Y9" s="68" t="n">
        <v>-8.1</v>
      </c>
      <c r="Z9" s="68" t="n">
        <v>4.3</v>
      </c>
      <c r="AA9" s="68" t="n">
        <v>7.3</v>
      </c>
      <c r="AB9" s="68" t="n">
        <v>-13.9</v>
      </c>
      <c r="AC9" s="68" t="n">
        <v>6.5</v>
      </c>
      <c r="AD9" s="68" t="n">
        <v>-5.1</v>
      </c>
      <c r="AE9" s="68" t="n">
        <v>11</v>
      </c>
      <c r="AF9" s="68" t="n">
        <v>-3.4</v>
      </c>
      <c r="AG9" s="68" t="n">
        <v>-8.300000000000001</v>
      </c>
      <c r="AH9" s="68" t="n">
        <v>17.2</v>
      </c>
      <c r="AI9" s="68" t="n">
        <v>7.6</v>
      </c>
      <c r="AJ9" s="68" t="n">
        <v>-4.8</v>
      </c>
      <c r="AK9" s="68" t="n">
        <v>1.7</v>
      </c>
      <c r="AL9" s="68" t="n">
        <v>21.1</v>
      </c>
      <c r="AM9" s="68" t="n">
        <v>2.8</v>
      </c>
      <c r="AN9" s="68" t="n">
        <v>28.8</v>
      </c>
      <c r="AO9" s="68" t="n">
        <v>42.3</v>
      </c>
    </row>
    <row r="10">
      <c r="A10" s="66" t="inlineStr">
        <is>
          <t>유동자산</t>
        </is>
      </c>
      <c r="B10" s="67" t="n"/>
      <c r="C10" s="67" t="n">
        <v>50.6</v>
      </c>
      <c r="D10" s="67" t="n"/>
      <c r="E10" s="67" t="n"/>
      <c r="F10" s="67" t="n">
        <v>50.6</v>
      </c>
      <c r="G10" s="67" t="n">
        <v>57.1</v>
      </c>
      <c r="H10" s="67" t="n">
        <v>58.1</v>
      </c>
      <c r="I10" s="67" t="n">
        <v>65</v>
      </c>
      <c r="J10" s="67" t="n">
        <v>65.40000000000001</v>
      </c>
      <c r="K10" s="67" t="n">
        <v>75.09999999999999</v>
      </c>
      <c r="L10" s="67" t="n">
        <v>75.8</v>
      </c>
      <c r="M10" s="67" t="n">
        <v>84.09999999999999</v>
      </c>
      <c r="N10" s="67" t="n">
        <v>79.7</v>
      </c>
      <c r="O10" s="67" t="n">
        <v>87.3</v>
      </c>
      <c r="P10" s="67" t="n">
        <v>86.7</v>
      </c>
      <c r="Q10" s="67" t="n">
        <v>93.8</v>
      </c>
      <c r="R10" s="67" t="n">
        <v>98.09999999999999</v>
      </c>
      <c r="S10" s="67" t="n">
        <v>127.2</v>
      </c>
      <c r="T10" s="67" t="n">
        <v>143.4</v>
      </c>
      <c r="U10" s="67" t="n">
        <v>163.3</v>
      </c>
      <c r="V10" s="67" t="n">
        <v>159.6</v>
      </c>
      <c r="W10" s="67" t="n">
        <v>171.1</v>
      </c>
      <c r="X10" s="67" t="n">
        <v>169.9</v>
      </c>
      <c r="Y10" s="67" t="n">
        <v>180.9</v>
      </c>
      <c r="Z10" s="67" t="n">
        <v>176.3</v>
      </c>
      <c r="AA10" s="67" t="n">
        <v>189.2</v>
      </c>
      <c r="AB10" s="67" t="n">
        <v>181.9</v>
      </c>
      <c r="AC10" s="67" t="n">
        <v>186.4</v>
      </c>
      <c r="AD10" s="67" t="n">
        <v>174.2</v>
      </c>
      <c r="AE10" s="67" t="n">
        <v>201.8</v>
      </c>
      <c r="AF10" s="67" t="n">
        <v>191.1</v>
      </c>
      <c r="AG10" s="67" t="n">
        <v>195.7</v>
      </c>
      <c r="AH10" s="67" t="n">
        <v>185.4</v>
      </c>
      <c r="AI10" s="67" t="n">
        <v>201.1</v>
      </c>
      <c r="AJ10" s="67" t="n">
        <v>199.1</v>
      </c>
      <c r="AK10" s="67" t="n">
        <v>212.7</v>
      </c>
      <c r="AL10" s="67" t="n">
        <v>211.7</v>
      </c>
      <c r="AM10" s="67" t="n">
        <v>250.8</v>
      </c>
      <c r="AN10" s="67" t="n">
        <v>263.4</v>
      </c>
      <c r="AO10" s="67" t="n">
        <v>292.9</v>
      </c>
    </row>
    <row r="11">
      <c r="A11" s="66" t="inlineStr">
        <is>
          <t>유동부채</t>
        </is>
      </c>
      <c r="B11" s="67" t="n"/>
      <c r="C11" s="67" t="n">
        <v>20.2</v>
      </c>
      <c r="D11" s="67" t="n"/>
      <c r="E11" s="67" t="n"/>
      <c r="F11" s="67" t="n">
        <v>14.2</v>
      </c>
      <c r="G11" s="67" t="n">
        <v>16.4</v>
      </c>
      <c r="H11" s="67" t="n">
        <v>17.7</v>
      </c>
      <c r="I11" s="67" t="n">
        <v>20.4</v>
      </c>
      <c r="J11" s="67" t="n">
        <v>18.7</v>
      </c>
      <c r="K11" s="67" t="n">
        <v>20.2</v>
      </c>
      <c r="L11" s="67" t="n">
        <v>20.2</v>
      </c>
      <c r="M11" s="67" t="n">
        <v>20.2</v>
      </c>
      <c r="N11" s="67" t="n">
        <v>18.3</v>
      </c>
      <c r="O11" s="67" t="n">
        <v>21.2</v>
      </c>
      <c r="P11" s="67" t="n">
        <v>20.7</v>
      </c>
      <c r="Q11" s="67" t="n">
        <v>21.5</v>
      </c>
      <c r="R11" s="67" t="n">
        <v>25</v>
      </c>
      <c r="S11" s="67" t="n">
        <v>47.4</v>
      </c>
      <c r="T11" s="67" t="n">
        <v>62.7</v>
      </c>
      <c r="U11" s="67" t="n">
        <v>74.5</v>
      </c>
      <c r="V11" s="67" t="n">
        <v>68.59999999999999</v>
      </c>
      <c r="W11" s="67" t="n">
        <v>71.3</v>
      </c>
      <c r="X11" s="67" t="n">
        <v>68.5</v>
      </c>
      <c r="Y11" s="67" t="n">
        <v>70.90000000000001</v>
      </c>
      <c r="Z11" s="67" t="n">
        <v>64.40000000000001</v>
      </c>
      <c r="AA11" s="67" t="n">
        <v>69.2</v>
      </c>
      <c r="AB11" s="67" t="n">
        <v>64.90000000000001</v>
      </c>
      <c r="AC11" s="67" t="n">
        <v>65.8</v>
      </c>
      <c r="AD11" s="67" t="n">
        <v>58.6</v>
      </c>
      <c r="AE11" s="67" t="n">
        <v>64.7</v>
      </c>
      <c r="AF11" s="67" t="n">
        <v>54.5</v>
      </c>
      <c r="AG11" s="67" t="n">
        <v>55.9</v>
      </c>
      <c r="AH11" s="67" t="n">
        <v>44.2</v>
      </c>
      <c r="AI11" s="67" t="n">
        <v>52.1</v>
      </c>
      <c r="AJ11" s="67" t="n">
        <v>53.4</v>
      </c>
      <c r="AK11" s="67" t="n">
        <v>61.8</v>
      </c>
      <c r="AL11" s="67" t="n">
        <v>63.6</v>
      </c>
      <c r="AM11" s="67" t="n">
        <v>93.59999999999999</v>
      </c>
      <c r="AN11" s="67" t="n">
        <v>109.2</v>
      </c>
      <c r="AO11" s="67" t="n">
        <v>127.8</v>
      </c>
    </row>
    <row r="12">
      <c r="A12" s="66" t="inlineStr">
        <is>
          <t>부채총계</t>
        </is>
      </c>
      <c r="B12" s="67" t="n"/>
      <c r="C12" s="67" t="n">
        <v>20.7</v>
      </c>
      <c r="D12" s="67" t="n"/>
      <c r="E12" s="67" t="n"/>
      <c r="F12" s="67" t="n">
        <v>14.6</v>
      </c>
      <c r="G12" s="67" t="n">
        <v>16.8</v>
      </c>
      <c r="H12" s="67" t="n">
        <v>18.1</v>
      </c>
      <c r="I12" s="67" t="n">
        <v>20.9</v>
      </c>
      <c r="J12" s="67" t="n">
        <v>19.2</v>
      </c>
      <c r="K12" s="67" t="n">
        <v>20.7</v>
      </c>
      <c r="L12" s="67" t="n">
        <v>20.6</v>
      </c>
      <c r="M12" s="67" t="n">
        <v>20.7</v>
      </c>
      <c r="N12" s="67" t="n">
        <v>18.8</v>
      </c>
      <c r="O12" s="67" t="n">
        <v>21.7</v>
      </c>
      <c r="P12" s="67" t="n">
        <v>21.2</v>
      </c>
      <c r="Q12" s="67" t="n">
        <v>22</v>
      </c>
      <c r="R12" s="67" t="n">
        <v>25.5</v>
      </c>
      <c r="S12" s="67" t="n">
        <v>47.9</v>
      </c>
      <c r="T12" s="67" t="n">
        <v>63.2</v>
      </c>
      <c r="U12" s="67" t="n">
        <v>75</v>
      </c>
      <c r="V12" s="67" t="n">
        <v>69.09999999999999</v>
      </c>
      <c r="W12" s="67" t="n">
        <v>71.8</v>
      </c>
      <c r="X12" s="67" t="n">
        <v>69</v>
      </c>
      <c r="Y12" s="67" t="n">
        <v>71.40000000000001</v>
      </c>
      <c r="Z12" s="67" t="n">
        <v>64.90000000000001</v>
      </c>
      <c r="AA12" s="67" t="n">
        <v>69.8</v>
      </c>
      <c r="AB12" s="67" t="n">
        <v>65.40000000000001</v>
      </c>
      <c r="AC12" s="67" t="n">
        <v>66.3</v>
      </c>
      <c r="AD12" s="67" t="n">
        <v>59.1</v>
      </c>
      <c r="AE12" s="67" t="n">
        <v>65.2</v>
      </c>
      <c r="AF12" s="67" t="n">
        <v>55</v>
      </c>
      <c r="AG12" s="67" t="n">
        <v>56.5</v>
      </c>
      <c r="AH12" s="67" t="n">
        <v>44.8</v>
      </c>
      <c r="AI12" s="67" t="n">
        <v>52.6</v>
      </c>
      <c r="AJ12" s="67" t="n">
        <v>53.9</v>
      </c>
      <c r="AK12" s="67" t="n">
        <v>62.3</v>
      </c>
      <c r="AL12" s="67" t="n">
        <v>64.09999999999999</v>
      </c>
      <c r="AM12" s="67" t="n">
        <v>94.09999999999999</v>
      </c>
      <c r="AN12" s="67" t="n">
        <v>109.8</v>
      </c>
      <c r="AO12" s="67" t="n">
        <v>128.3</v>
      </c>
    </row>
    <row r="13">
      <c r="A13" s="66" t="inlineStr">
        <is>
          <t>자기자본</t>
        </is>
      </c>
      <c r="B13" s="68" t="n"/>
      <c r="C13" s="68" t="n">
        <v>58.8</v>
      </c>
      <c r="D13" s="68" t="n"/>
      <c r="E13" s="68" t="n"/>
      <c r="F13" s="68" t="n">
        <v>57.4</v>
      </c>
      <c r="G13" s="68" t="n">
        <v>62.5</v>
      </c>
      <c r="H13" s="68" t="n">
        <v>62.4</v>
      </c>
      <c r="I13" s="68" t="n">
        <v>70.59999999999999</v>
      </c>
      <c r="J13" s="68" t="n">
        <v>72.5</v>
      </c>
      <c r="K13" s="68" t="n">
        <v>78</v>
      </c>
      <c r="L13" s="68" t="n">
        <v>76.7</v>
      </c>
      <c r="M13" s="68" t="n">
        <v>84.59999999999999</v>
      </c>
      <c r="N13" s="68" t="n">
        <v>82.09999999999999</v>
      </c>
      <c r="O13" s="68" t="n">
        <v>86.8</v>
      </c>
      <c r="P13" s="68" t="n">
        <v>86.5</v>
      </c>
      <c r="Q13" s="68" t="n">
        <v>92.40000000000001</v>
      </c>
      <c r="R13" s="68" t="n">
        <v>93.59999999999999</v>
      </c>
      <c r="S13" s="68" t="n">
        <v>100.6</v>
      </c>
      <c r="T13" s="68" t="n">
        <v>101.6</v>
      </c>
      <c r="U13" s="68" t="n">
        <v>110.9</v>
      </c>
      <c r="V13" s="68" t="n">
        <v>113.2</v>
      </c>
      <c r="W13" s="68" t="n">
        <v>121.6</v>
      </c>
      <c r="X13" s="68" t="n">
        <v>123</v>
      </c>
      <c r="Y13" s="68" t="n">
        <v>131.6</v>
      </c>
      <c r="Z13" s="68" t="n">
        <v>133.5</v>
      </c>
      <c r="AA13" s="68" t="n">
        <v>141.7</v>
      </c>
      <c r="AB13" s="68" t="n">
        <v>139.1</v>
      </c>
      <c r="AC13" s="68" t="n">
        <v>142.6</v>
      </c>
      <c r="AD13" s="68" t="n">
        <v>138</v>
      </c>
      <c r="AE13" s="68" t="n">
        <v>160</v>
      </c>
      <c r="AF13" s="68" t="n">
        <v>159.7</v>
      </c>
      <c r="AG13" s="68" t="n">
        <v>163.7</v>
      </c>
      <c r="AH13" s="68" t="n">
        <v>166</v>
      </c>
      <c r="AI13" s="68" t="n">
        <v>173.7</v>
      </c>
      <c r="AJ13" s="68" t="n">
        <v>170.5</v>
      </c>
      <c r="AK13" s="68" t="n">
        <v>176.3</v>
      </c>
      <c r="AL13" s="68" t="n">
        <v>174.6</v>
      </c>
      <c r="AM13" s="68" t="n">
        <v>184.5</v>
      </c>
      <c r="AN13" s="68" t="n">
        <v>182</v>
      </c>
      <c r="AO13" s="68" t="n">
        <v>193.4</v>
      </c>
    </row>
    <row r="14">
      <c r="A14" s="66" t="inlineStr">
        <is>
          <t>유동비율</t>
        </is>
      </c>
      <c r="B14" s="68" t="n"/>
      <c r="C14" s="68" t="n">
        <v>250.5</v>
      </c>
      <c r="D14" s="68" t="n"/>
      <c r="E14" s="68" t="n"/>
      <c r="F14" s="68" t="n">
        <v>356.3</v>
      </c>
      <c r="G14" s="68" t="n">
        <v>348.2</v>
      </c>
      <c r="H14" s="68" t="n">
        <v>328.2</v>
      </c>
      <c r="I14" s="68" t="n">
        <v>318.6</v>
      </c>
      <c r="J14" s="68" t="n">
        <v>349.7</v>
      </c>
      <c r="K14" s="68" t="n">
        <v>371.8</v>
      </c>
      <c r="L14" s="68" t="n">
        <v>375.2</v>
      </c>
      <c r="M14" s="68" t="n">
        <v>416.3</v>
      </c>
      <c r="N14" s="68" t="n">
        <v>435.5</v>
      </c>
      <c r="O14" s="68" t="n">
        <v>411.8</v>
      </c>
      <c r="P14" s="68" t="n">
        <v>418.8</v>
      </c>
      <c r="Q14" s="68" t="n">
        <v>436.3</v>
      </c>
      <c r="R14" s="68" t="n">
        <v>392.4</v>
      </c>
      <c r="S14" s="68" t="n">
        <v>268.4</v>
      </c>
      <c r="T14" s="68" t="n">
        <v>228.7</v>
      </c>
      <c r="U14" s="68" t="n">
        <v>219.2</v>
      </c>
      <c r="V14" s="68" t="n">
        <v>232.7</v>
      </c>
      <c r="W14" s="68" t="n">
        <v>240</v>
      </c>
      <c r="X14" s="68" t="n">
        <v>248</v>
      </c>
      <c r="Y14" s="68" t="n">
        <v>255.1</v>
      </c>
      <c r="Z14" s="68" t="n">
        <v>273.8</v>
      </c>
      <c r="AA14" s="68" t="n">
        <v>273.4</v>
      </c>
      <c r="AB14" s="68" t="n">
        <v>280.3</v>
      </c>
      <c r="AC14" s="68" t="n">
        <v>283.3</v>
      </c>
      <c r="AD14" s="68" t="n">
        <v>297.3</v>
      </c>
      <c r="AE14" s="68" t="n">
        <v>311.9</v>
      </c>
      <c r="AF14" s="68" t="n">
        <v>350.6</v>
      </c>
      <c r="AG14" s="68" t="n">
        <v>350.1</v>
      </c>
      <c r="AH14" s="68" t="n">
        <v>419.5</v>
      </c>
      <c r="AI14" s="68" t="n">
        <v>386</v>
      </c>
      <c r="AJ14" s="68" t="n">
        <v>372.8</v>
      </c>
      <c r="AK14" s="68" t="n">
        <v>344.2</v>
      </c>
      <c r="AL14" s="68" t="n">
        <v>332.9</v>
      </c>
      <c r="AM14" s="68" t="n">
        <v>267.9</v>
      </c>
      <c r="AN14" s="68" t="n">
        <v>241.2</v>
      </c>
      <c r="AO14" s="68" t="n">
        <v>229.2</v>
      </c>
    </row>
    <row r="15">
      <c r="A15" s="66" t="inlineStr">
        <is>
          <t>부채비율</t>
        </is>
      </c>
      <c r="B15" s="68" t="n"/>
      <c r="C15" s="68" t="n">
        <v>35.2</v>
      </c>
      <c r="D15" s="68" t="n"/>
      <c r="E15" s="68" t="n"/>
      <c r="F15" s="68" t="n">
        <v>25.4</v>
      </c>
      <c r="G15" s="68" t="n">
        <v>26.9</v>
      </c>
      <c r="H15" s="68" t="n">
        <v>29</v>
      </c>
      <c r="I15" s="68" t="n">
        <v>29.6</v>
      </c>
      <c r="J15" s="68" t="n">
        <v>26.5</v>
      </c>
      <c r="K15" s="68" t="n">
        <v>26.5</v>
      </c>
      <c r="L15" s="68" t="n">
        <v>26.9</v>
      </c>
      <c r="M15" s="68" t="n">
        <v>24.5</v>
      </c>
      <c r="N15" s="68" t="n">
        <v>22.9</v>
      </c>
      <c r="O15" s="68" t="n">
        <v>25</v>
      </c>
      <c r="P15" s="68" t="n">
        <v>24.5</v>
      </c>
      <c r="Q15" s="68" t="n">
        <v>23.8</v>
      </c>
      <c r="R15" s="68" t="n">
        <v>27.2</v>
      </c>
      <c r="S15" s="68" t="n">
        <v>47.6</v>
      </c>
      <c r="T15" s="68" t="n">
        <v>62.2</v>
      </c>
      <c r="U15" s="68" t="n">
        <v>67.59999999999999</v>
      </c>
      <c r="V15" s="68" t="n">
        <v>61</v>
      </c>
      <c r="W15" s="68" t="n">
        <v>59</v>
      </c>
      <c r="X15" s="68" t="n">
        <v>56.1</v>
      </c>
      <c r="Y15" s="68" t="n">
        <v>54.3</v>
      </c>
      <c r="Z15" s="68" t="n">
        <v>48.6</v>
      </c>
      <c r="AA15" s="68" t="n">
        <v>49.3</v>
      </c>
      <c r="AB15" s="68" t="n">
        <v>47</v>
      </c>
      <c r="AC15" s="68" t="n">
        <v>46.5</v>
      </c>
      <c r="AD15" s="68" t="n">
        <v>42.8</v>
      </c>
      <c r="AE15" s="68" t="n">
        <v>40.8</v>
      </c>
      <c r="AF15" s="68" t="n">
        <v>34.4</v>
      </c>
      <c r="AG15" s="68" t="n">
        <v>34.5</v>
      </c>
      <c r="AH15" s="68" t="n">
        <v>27</v>
      </c>
      <c r="AI15" s="68" t="n">
        <v>30.3</v>
      </c>
      <c r="AJ15" s="68" t="n">
        <v>31.6</v>
      </c>
      <c r="AK15" s="68" t="n">
        <v>35.3</v>
      </c>
      <c r="AL15" s="68" t="n">
        <v>36.7</v>
      </c>
      <c r="AM15" s="68" t="n">
        <v>51</v>
      </c>
      <c r="AN15" s="68" t="n">
        <v>60.3</v>
      </c>
      <c r="AO15" s="68" t="n">
        <v>66.3</v>
      </c>
    </row>
    <row r="16">
      <c r="A16" s="66" t="inlineStr">
        <is>
          <t>순차입금/자기자본</t>
        </is>
      </c>
      <c r="B16" s="68" t="n"/>
      <c r="C16" s="68" t="n">
        <v>-59.4</v>
      </c>
      <c r="D16" s="68" t="n"/>
      <c r="E16" s="68" t="n"/>
      <c r="F16" s="68" t="n">
        <v>-71.09999999999999</v>
      </c>
      <c r="G16" s="68" t="n">
        <v>-70.90000000000001</v>
      </c>
      <c r="H16" s="68" t="n">
        <v>-74</v>
      </c>
      <c r="I16" s="68" t="n">
        <v>-73.90000000000001</v>
      </c>
      <c r="J16" s="68" t="n">
        <v>-73.90000000000001</v>
      </c>
      <c r="K16" s="68" t="n">
        <v>-76.7</v>
      </c>
      <c r="L16" s="68" t="n">
        <v>-83.8</v>
      </c>
      <c r="M16" s="68" t="n">
        <v>-87</v>
      </c>
      <c r="N16" s="68" t="n">
        <v>-83.7</v>
      </c>
      <c r="O16" s="68" t="n">
        <v>-88.09999999999999</v>
      </c>
      <c r="P16" s="68" t="n">
        <v>-88</v>
      </c>
      <c r="Q16" s="68" t="n">
        <v>-89.40000000000001</v>
      </c>
      <c r="R16" s="68" t="n">
        <v>-91.90000000000001</v>
      </c>
      <c r="S16" s="68" t="n">
        <v>-113.1</v>
      </c>
      <c r="T16" s="68" t="n">
        <v>-129.2</v>
      </c>
      <c r="U16" s="68" t="n">
        <v>-132.4</v>
      </c>
      <c r="V16" s="68" t="n">
        <v>-126</v>
      </c>
      <c r="W16" s="68" t="n">
        <v>-129.7</v>
      </c>
      <c r="X16" s="68" t="n">
        <v>-126.7</v>
      </c>
      <c r="Y16" s="68" t="n">
        <v>-126.5</v>
      </c>
      <c r="Z16" s="68" t="n">
        <v>-120.4</v>
      </c>
      <c r="AA16" s="68" t="n">
        <v>-120.1</v>
      </c>
      <c r="AB16" s="68" t="n">
        <v>-117.8</v>
      </c>
      <c r="AC16" s="68" t="n">
        <v>-114</v>
      </c>
      <c r="AD16" s="68" t="n">
        <v>-115.7</v>
      </c>
      <c r="AE16" s="68" t="n">
        <v>-114.6</v>
      </c>
      <c r="AF16" s="68" t="n">
        <v>-106.8</v>
      </c>
      <c r="AG16" s="68" t="n">
        <v>-111.1</v>
      </c>
      <c r="AH16" s="68" t="n">
        <v>-103.8</v>
      </c>
      <c r="AI16" s="68" t="n">
        <v>-103.3</v>
      </c>
      <c r="AJ16" s="68" t="n">
        <v>-108.1</v>
      </c>
      <c r="AK16" s="68" t="n">
        <v>-111.4</v>
      </c>
      <c r="AL16" s="68" t="n">
        <v>-110.6</v>
      </c>
      <c r="AM16" s="68" t="n">
        <v>-125.1</v>
      </c>
      <c r="AN16" s="68" t="n">
        <v>-131.6</v>
      </c>
      <c r="AO16" s="68" t="n">
        <v>-142.1</v>
      </c>
    </row>
    <row r="17">
      <c r="A17" s="66" t="inlineStr">
        <is>
          <t>재고자산</t>
        </is>
      </c>
      <c r="B17" s="67" t="n"/>
      <c r="C17" s="67" t="n">
        <v>0</v>
      </c>
      <c r="D17" s="67" t="n"/>
      <c r="E17" s="67" t="n"/>
      <c r="F17" s="67" t="n">
        <v>0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0</v>
      </c>
      <c r="L17" s="67" t="n">
        <v>0</v>
      </c>
      <c r="M17" s="67" t="n">
        <v>0</v>
      </c>
      <c r="N17" s="67" t="n">
        <v>0</v>
      </c>
      <c r="O17" s="67" t="n">
        <v>0</v>
      </c>
      <c r="P17" s="67" t="n">
        <v>0</v>
      </c>
      <c r="Q17" s="67" t="n">
        <v>0</v>
      </c>
      <c r="R17" s="67" t="n">
        <v>0</v>
      </c>
      <c r="S17" s="67" t="n">
        <v>0</v>
      </c>
      <c r="T17" s="67" t="n">
        <v>0</v>
      </c>
      <c r="U17" s="67" t="n">
        <v>0</v>
      </c>
      <c r="V17" s="67" t="n">
        <v>0</v>
      </c>
      <c r="W17" s="67" t="n">
        <v>0</v>
      </c>
      <c r="X17" s="67" t="n">
        <v>0</v>
      </c>
      <c r="Y17" s="67" t="n">
        <v>0</v>
      </c>
      <c r="Z17" s="67" t="n">
        <v>0.1</v>
      </c>
      <c r="AA17" s="67" t="n">
        <v>0.2</v>
      </c>
      <c r="AB17" s="67" t="n">
        <v>0.1</v>
      </c>
      <c r="AC17" s="67" t="n">
        <v>0</v>
      </c>
      <c r="AD17" s="67" t="n">
        <v>0</v>
      </c>
      <c r="AE17" s="67" t="n">
        <v>0</v>
      </c>
      <c r="AF17" s="67" t="n">
        <v>0</v>
      </c>
      <c r="AG17" s="67" t="n">
        <v>0</v>
      </c>
      <c r="AH17" s="67" t="n">
        <v>0</v>
      </c>
      <c r="AI17" s="67" t="n">
        <v>0</v>
      </c>
      <c r="AJ17" s="67" t="n">
        <v>0</v>
      </c>
      <c r="AK17" s="67" t="n">
        <v>0</v>
      </c>
      <c r="AL17" s="67" t="n">
        <v>0</v>
      </c>
      <c r="AM17" s="67" t="n">
        <v>0</v>
      </c>
      <c r="AN17" s="67" t="n">
        <v>0</v>
      </c>
      <c r="AO17" s="67" t="n">
        <v>0</v>
      </c>
    </row>
    <row r="18">
      <c r="A18" s="66" t="inlineStr">
        <is>
          <t>재고자산 회전일수</t>
        </is>
      </c>
      <c r="B18" s="67" t="n"/>
      <c r="C18" s="67" t="n">
        <v>0</v>
      </c>
      <c r="D18" s="67" t="n"/>
      <c r="E18" s="67" t="n"/>
      <c r="F18" s="67" t="n">
        <v>0</v>
      </c>
      <c r="G18" s="67" t="n">
        <v>0</v>
      </c>
      <c r="H18" s="67" t="n">
        <v>0</v>
      </c>
      <c r="I18" s="67" t="n">
        <v>0</v>
      </c>
      <c r="J18" s="67" t="n">
        <v>0</v>
      </c>
      <c r="K18" s="67" t="n">
        <v>0</v>
      </c>
      <c r="L18" s="67" t="n">
        <v>0</v>
      </c>
      <c r="M18" s="67" t="n">
        <v>0</v>
      </c>
      <c r="N18" s="67" t="n">
        <v>0</v>
      </c>
      <c r="O18" s="67" t="n">
        <v>0</v>
      </c>
      <c r="P18" s="67" t="n">
        <v>0</v>
      </c>
      <c r="Q18" s="67" t="n">
        <v>0</v>
      </c>
      <c r="R18" s="67" t="n">
        <v>0</v>
      </c>
      <c r="S18" s="67" t="n">
        <v>0</v>
      </c>
      <c r="T18" s="67" t="n">
        <v>0</v>
      </c>
      <c r="U18" s="67" t="n">
        <v>0</v>
      </c>
      <c r="V18" s="67" t="n">
        <v>0</v>
      </c>
      <c r="W18" s="67" t="n">
        <v>0</v>
      </c>
      <c r="X18" s="67" t="n">
        <v>0</v>
      </c>
      <c r="Y18" s="67" t="n">
        <v>0</v>
      </c>
      <c r="Z18" s="67" t="n">
        <v>1</v>
      </c>
      <c r="AA18" s="67" t="n">
        <v>2</v>
      </c>
      <c r="AB18" s="67" t="n">
        <v>1</v>
      </c>
      <c r="AC18" s="67" t="n">
        <v>0</v>
      </c>
      <c r="AD18" s="67" t="n">
        <v>0</v>
      </c>
      <c r="AE18" s="67" t="n">
        <v>0</v>
      </c>
      <c r="AF18" s="67" t="n">
        <v>0</v>
      </c>
      <c r="AG18" s="67" t="n">
        <v>0</v>
      </c>
      <c r="AH18" s="67" t="n">
        <v>0</v>
      </c>
      <c r="AI18" s="67" t="n">
        <v>0</v>
      </c>
      <c r="AJ18" s="67" t="n">
        <v>0</v>
      </c>
      <c r="AK18" s="67" t="n">
        <v>0</v>
      </c>
      <c r="AL18" s="67" t="n">
        <v>0</v>
      </c>
      <c r="AM18" s="67" t="n">
        <v>0</v>
      </c>
      <c r="AN18" s="67" t="n">
        <v>0</v>
      </c>
      <c r="AO18" s="67" t="n">
        <v>0</v>
      </c>
    </row>
    <row r="19">
      <c r="A19" s="66" t="inlineStr">
        <is>
          <t>매출채권 회전일수</t>
        </is>
      </c>
      <c r="B19" s="67" t="n"/>
      <c r="C19" s="67" t="n">
        <v>77</v>
      </c>
      <c r="D19" s="67" t="n"/>
      <c r="E19" s="67" t="n"/>
      <c r="F19" s="67" t="n">
        <v>64</v>
      </c>
      <c r="G19" s="67" t="n">
        <v>65</v>
      </c>
      <c r="H19" s="67" t="n">
        <v>78</v>
      </c>
      <c r="I19" s="67" t="n">
        <v>67</v>
      </c>
      <c r="J19" s="67" t="n">
        <v>72</v>
      </c>
      <c r="K19" s="67" t="n">
        <v>62</v>
      </c>
      <c r="L19" s="67" t="n">
        <v>73</v>
      </c>
      <c r="M19" s="67" t="n">
        <v>58</v>
      </c>
      <c r="N19" s="67" t="n">
        <v>67</v>
      </c>
      <c r="O19" s="67" t="n">
        <v>60</v>
      </c>
      <c r="P19" s="67" t="n">
        <v>61</v>
      </c>
      <c r="Q19" s="67" t="n">
        <v>55</v>
      </c>
      <c r="R19" s="67" t="n">
        <v>63</v>
      </c>
      <c r="S19" s="67" t="n">
        <v>56</v>
      </c>
      <c r="T19" s="67" t="n">
        <v>53</v>
      </c>
      <c r="U19" s="67" t="n">
        <v>53</v>
      </c>
      <c r="V19" s="67" t="n">
        <v>68</v>
      </c>
      <c r="W19" s="67" t="n">
        <v>47</v>
      </c>
      <c r="X19" s="67" t="n">
        <v>49</v>
      </c>
      <c r="Y19" s="67" t="n">
        <v>44</v>
      </c>
      <c r="Z19" s="67" t="n">
        <v>51</v>
      </c>
      <c r="AA19" s="67" t="n">
        <v>51</v>
      </c>
      <c r="AB19" s="67" t="n">
        <v>48</v>
      </c>
      <c r="AC19" s="67" t="n">
        <v>46</v>
      </c>
      <c r="AD19" s="67" t="n">
        <v>43</v>
      </c>
      <c r="AE19" s="67" t="n">
        <v>44</v>
      </c>
      <c r="AF19" s="67" t="n">
        <v>56</v>
      </c>
      <c r="AG19" s="67" t="n">
        <v>42</v>
      </c>
      <c r="AH19" s="67" t="n">
        <v>44</v>
      </c>
      <c r="AI19" s="67" t="n">
        <v>48</v>
      </c>
      <c r="AJ19" s="67" t="n">
        <v>46</v>
      </c>
      <c r="AK19" s="67" t="n">
        <v>40</v>
      </c>
      <c r="AL19" s="67" t="n">
        <v>49</v>
      </c>
      <c r="AM19" s="67" t="n">
        <v>47</v>
      </c>
      <c r="AN19" s="67" t="n">
        <v>45</v>
      </c>
      <c r="AO19" s="67" t="n">
        <v>43</v>
      </c>
    </row>
    <row r="20">
      <c r="A20" s="66" t="inlineStr">
        <is>
          <t>매입채무 회전일수</t>
        </is>
      </c>
      <c r="B20" s="67" t="n"/>
      <c r="C20" s="67" t="n">
        <v>10</v>
      </c>
      <c r="D20" s="67" t="n"/>
      <c r="E20" s="67" t="n"/>
      <c r="F20" s="67" t="n">
        <v>9</v>
      </c>
      <c r="G20" s="67" t="n">
        <v>6</v>
      </c>
      <c r="H20" s="67" t="n">
        <v>3</v>
      </c>
      <c r="I20" s="67" t="n">
        <v>8</v>
      </c>
      <c r="J20" s="67" t="n">
        <v>7</v>
      </c>
      <c r="K20" s="67" t="n">
        <v>7</v>
      </c>
      <c r="L20" s="67" t="n">
        <v>3</v>
      </c>
      <c r="M20" s="67" t="n">
        <v>5</v>
      </c>
      <c r="N20" s="67" t="n">
        <v>8</v>
      </c>
      <c r="O20" s="67" t="n">
        <v>7</v>
      </c>
      <c r="P20" s="67" t="n">
        <v>4</v>
      </c>
      <c r="Q20" s="67" t="n">
        <v>8</v>
      </c>
      <c r="R20" s="67" t="n">
        <v>9</v>
      </c>
      <c r="S20" s="67" t="n">
        <v>5</v>
      </c>
      <c r="T20" s="67" t="n">
        <v>12</v>
      </c>
      <c r="U20" s="67" t="n">
        <v>3</v>
      </c>
      <c r="V20" s="67" t="n">
        <v>5</v>
      </c>
      <c r="W20" s="67" t="n">
        <v>5</v>
      </c>
      <c r="X20" s="67" t="n">
        <v>7</v>
      </c>
      <c r="Y20" s="67" t="n">
        <v>5</v>
      </c>
      <c r="Z20" s="67" t="n">
        <v>6</v>
      </c>
      <c r="AA20" s="67" t="n">
        <v>21</v>
      </c>
      <c r="AB20" s="67" t="n">
        <v>11</v>
      </c>
      <c r="AC20" s="67" t="n">
        <v>7</v>
      </c>
      <c r="AD20" s="67" t="n">
        <v>8</v>
      </c>
      <c r="AE20" s="67" t="n">
        <v>4</v>
      </c>
      <c r="AF20" s="67" t="n">
        <v>2</v>
      </c>
      <c r="AG20" s="67" t="n">
        <v>4</v>
      </c>
      <c r="AH20" s="67" t="n">
        <v>2</v>
      </c>
      <c r="AI20" s="67" t="n">
        <v>4</v>
      </c>
      <c r="AJ20" s="67" t="n">
        <v>1</v>
      </c>
      <c r="AK20" s="67" t="n">
        <v>3</v>
      </c>
      <c r="AL20" s="67" t="n">
        <v>5</v>
      </c>
      <c r="AM20" s="67" t="n">
        <v>2</v>
      </c>
      <c r="AN20" s="67" t="n">
        <v>2</v>
      </c>
      <c r="AO20" s="67" t="n">
        <v>2</v>
      </c>
    </row>
    <row r="21">
      <c r="A21" s="66" t="inlineStr">
        <is>
          <t>현금전환주기(CCC)</t>
        </is>
      </c>
      <c r="B21" s="67" t="n"/>
      <c r="C21" s="67" t="n">
        <v>67</v>
      </c>
      <c r="D21" s="67" t="n"/>
      <c r="E21" s="67" t="n"/>
      <c r="F21" s="67" t="n">
        <v>55</v>
      </c>
      <c r="G21" s="67" t="n">
        <v>59</v>
      </c>
      <c r="H21" s="67" t="n">
        <v>75</v>
      </c>
      <c r="I21" s="67" t="n">
        <v>59</v>
      </c>
      <c r="J21" s="67" t="n">
        <v>65</v>
      </c>
      <c r="K21" s="67" t="n">
        <v>55</v>
      </c>
      <c r="L21" s="67" t="n">
        <v>70</v>
      </c>
      <c r="M21" s="67" t="n">
        <v>53</v>
      </c>
      <c r="N21" s="67" t="n">
        <v>59</v>
      </c>
      <c r="O21" s="67" t="n">
        <v>53</v>
      </c>
      <c r="P21" s="67" t="n">
        <v>57</v>
      </c>
      <c r="Q21" s="67" t="n">
        <v>47</v>
      </c>
      <c r="R21" s="67" t="n">
        <v>54</v>
      </c>
      <c r="S21" s="67" t="n">
        <v>51</v>
      </c>
      <c r="T21" s="67" t="n">
        <v>41</v>
      </c>
      <c r="U21" s="67" t="n">
        <v>50</v>
      </c>
      <c r="V21" s="67" t="n">
        <v>63</v>
      </c>
      <c r="W21" s="67" t="n">
        <v>42</v>
      </c>
      <c r="X21" s="67" t="n">
        <v>42</v>
      </c>
      <c r="Y21" s="67" t="n">
        <v>39</v>
      </c>
      <c r="Z21" s="67" t="n">
        <v>46</v>
      </c>
      <c r="AA21" s="67" t="n">
        <v>32</v>
      </c>
      <c r="AB21" s="67" t="n">
        <v>38</v>
      </c>
      <c r="AC21" s="67" t="n">
        <v>39</v>
      </c>
      <c r="AD21" s="67" t="n">
        <v>35</v>
      </c>
      <c r="AE21" s="67" t="n">
        <v>40</v>
      </c>
      <c r="AF21" s="67" t="n">
        <v>54</v>
      </c>
      <c r="AG21" s="67" t="n">
        <v>38</v>
      </c>
      <c r="AH21" s="67" t="n">
        <v>42</v>
      </c>
      <c r="AI21" s="67" t="n">
        <v>44</v>
      </c>
      <c r="AJ21" s="67" t="n">
        <v>45</v>
      </c>
      <c r="AK21" s="67" t="n">
        <v>37</v>
      </c>
      <c r="AL21" s="67" t="n">
        <v>44</v>
      </c>
      <c r="AM21" s="67" t="n">
        <v>45</v>
      </c>
      <c r="AN21" s="67" t="n">
        <v>43</v>
      </c>
      <c r="AO21" s="67" t="n">
        <v>41</v>
      </c>
    </row>
    <row r="22">
      <c r="A22" s="66" t="inlineStr">
        <is>
          <t>총 차입금</t>
        </is>
      </c>
      <c r="B22" s="67" t="n"/>
      <c r="C22" s="67" t="n">
        <v>0</v>
      </c>
      <c r="D22" s="67" t="n"/>
      <c r="E22" s="67" t="n"/>
      <c r="F22" s="67" t="n">
        <v>0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0</v>
      </c>
      <c r="L22" s="67" t="n">
        <v>0</v>
      </c>
      <c r="M22" s="67" t="n">
        <v>0</v>
      </c>
      <c r="N22" s="67" t="n">
        <v>0</v>
      </c>
      <c r="O22" s="67" t="n">
        <v>0</v>
      </c>
      <c r="P22" s="67" t="n">
        <v>0</v>
      </c>
      <c r="Q22" s="67" t="n">
        <v>0</v>
      </c>
      <c r="R22" s="67" t="n">
        <v>0</v>
      </c>
      <c r="S22" s="67" t="n">
        <v>0</v>
      </c>
      <c r="T22" s="67" t="n">
        <v>0</v>
      </c>
      <c r="U22" s="67" t="n">
        <v>0</v>
      </c>
      <c r="V22" s="67" t="n">
        <v>0</v>
      </c>
      <c r="W22" s="67" t="n">
        <v>0</v>
      </c>
      <c r="X22" s="67" t="n">
        <v>0</v>
      </c>
      <c r="Y22" s="67" t="n">
        <v>0</v>
      </c>
      <c r="Z22" s="67" t="n">
        <v>0</v>
      </c>
      <c r="AA22" s="67" t="n">
        <v>0</v>
      </c>
      <c r="AB22" s="67" t="n">
        <v>0</v>
      </c>
      <c r="AC22" s="67" t="n">
        <v>0</v>
      </c>
      <c r="AD22" s="67" t="n">
        <v>0</v>
      </c>
      <c r="AE22" s="67" t="n">
        <v>0</v>
      </c>
      <c r="AF22" s="67" t="n">
        <v>0</v>
      </c>
      <c r="AG22" s="67" t="n">
        <v>0</v>
      </c>
      <c r="AH22" s="67" t="n">
        <v>0</v>
      </c>
      <c r="AI22" s="67" t="n">
        <v>0</v>
      </c>
      <c r="AJ22" s="67" t="n">
        <v>0</v>
      </c>
      <c r="AK22" s="67" t="n">
        <v>0</v>
      </c>
      <c r="AL22" s="67" t="n">
        <v>0</v>
      </c>
      <c r="AM22" s="67" t="n">
        <v>0</v>
      </c>
      <c r="AN22" s="67" t="n">
        <v>0</v>
      </c>
      <c r="AO22" s="67" t="n">
        <v>0</v>
      </c>
    </row>
    <row r="23">
      <c r="A23" s="66" t="inlineStr">
        <is>
          <t>현금</t>
        </is>
      </c>
      <c r="B23" s="67" t="n"/>
      <c r="C23" s="67" t="n">
        <v>34.9</v>
      </c>
      <c r="D23" s="67" t="n"/>
      <c r="E23" s="67" t="n"/>
      <c r="F23" s="67" t="n">
        <v>40.8</v>
      </c>
      <c r="G23" s="67" t="n">
        <v>44.3</v>
      </c>
      <c r="H23" s="67" t="n">
        <v>46.2</v>
      </c>
      <c r="I23" s="67" t="n">
        <v>52.2</v>
      </c>
      <c r="J23" s="67" t="n">
        <v>53.6</v>
      </c>
      <c r="K23" s="67" t="n">
        <v>59.8</v>
      </c>
      <c r="L23" s="67" t="n">
        <v>64.3</v>
      </c>
      <c r="M23" s="67" t="n">
        <v>73.59999999999999</v>
      </c>
      <c r="N23" s="67" t="n">
        <v>68.7</v>
      </c>
      <c r="O23" s="67" t="n">
        <v>76.5</v>
      </c>
      <c r="P23" s="67" t="n">
        <v>76.09999999999999</v>
      </c>
      <c r="Q23" s="67" t="n">
        <v>82.59999999999999</v>
      </c>
      <c r="R23" s="67" t="n">
        <v>86</v>
      </c>
      <c r="S23" s="67" t="n">
        <v>113.8</v>
      </c>
      <c r="T23" s="67" t="n">
        <v>131.3</v>
      </c>
      <c r="U23" s="67" t="n">
        <v>146.8</v>
      </c>
      <c r="V23" s="67" t="n">
        <v>142.6</v>
      </c>
      <c r="W23" s="67" t="n">
        <v>157.7</v>
      </c>
      <c r="X23" s="67" t="n">
        <v>155.8</v>
      </c>
      <c r="Y23" s="67" t="n">
        <v>166.5</v>
      </c>
      <c r="Z23" s="67" t="n">
        <v>160.7</v>
      </c>
      <c r="AA23" s="67" t="n">
        <v>170.2</v>
      </c>
      <c r="AB23" s="67" t="n">
        <v>163.9</v>
      </c>
      <c r="AC23" s="67" t="n">
        <v>162.6</v>
      </c>
      <c r="AD23" s="67" t="n">
        <v>159.6</v>
      </c>
      <c r="AE23" s="67" t="n">
        <v>183.4</v>
      </c>
      <c r="AF23" s="67" t="n">
        <v>170.5</v>
      </c>
      <c r="AG23" s="67" t="n">
        <v>181.8</v>
      </c>
      <c r="AH23" s="67" t="n">
        <v>172.3</v>
      </c>
      <c r="AI23" s="67" t="n">
        <v>179.5</v>
      </c>
      <c r="AJ23" s="67" t="n">
        <v>184.3</v>
      </c>
      <c r="AK23" s="67" t="n">
        <v>196.4</v>
      </c>
      <c r="AL23" s="67" t="n">
        <v>193.1</v>
      </c>
      <c r="AM23" s="67" t="n">
        <v>230.8</v>
      </c>
      <c r="AN23" s="67" t="n">
        <v>239.5</v>
      </c>
      <c r="AO23" s="67" t="n">
        <v>274.9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2026-10-30T11:48:37Z</dcterms:created>
  <dcterms:modified xmlns:dcterms="http://purl.org/dc/terms/" xmlns:xsi="http://www.w3.org/2001/XMLSchema-instance" xsi:type="dcterms:W3CDTF">2026-10-30T11:48:57Z</dcterms:modified>
</cp:coreProperties>
</file>