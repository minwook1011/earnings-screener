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4771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4062.384</v>
      </c>
      <c r="D4" s="12" t="n">
        <v>3829.87</v>
      </c>
      <c r="E4" s="12" t="n">
        <v>3637.575</v>
      </c>
      <c r="F4" s="12" t="n">
        <v>3496.379</v>
      </c>
      <c r="G4" s="12" t="n">
        <v>5192.821</v>
      </c>
      <c r="H4" s="12" t="n">
        <v>4739.598</v>
      </c>
      <c r="I4" s="12" t="n">
        <v>4224.532</v>
      </c>
      <c r="J4" s="12" t="n">
        <v>4731.85</v>
      </c>
      <c r="K4" s="12" t="n">
        <v>6063.982</v>
      </c>
      <c r="L4" s="12" t="n">
        <v>5787.308</v>
      </c>
      <c r="M4" s="12" t="n">
        <v>5264.834</v>
      </c>
      <c r="N4" s="12" t="n">
        <v>6193.775</v>
      </c>
      <c r="O4" s="11" t="n">
        <v>6216.699</v>
      </c>
      <c r="P4" s="12" t="n">
        <v>6394.783</v>
      </c>
      <c r="Q4" s="12" t="n">
        <v>7029.254</v>
      </c>
      <c r="R4" s="12" t="n">
        <v>7563.063</v>
      </c>
      <c r="S4" s="12" t="n">
        <v>8164.721</v>
      </c>
      <c r="T4" s="12" t="n">
        <v>10717.054</v>
      </c>
      <c r="U4" s="12" t="n">
        <v>12531.172</v>
      </c>
      <c r="V4" s="12" t="n">
        <v>14648.215</v>
      </c>
      <c r="W4" s="12" t="n">
        <v>17066.373</v>
      </c>
      <c r="X4" s="12" t="n">
        <v>20807.672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Accounting Service Income Reportable Segments</t>
        </is>
      </c>
      <c r="B7" s="10" t="n"/>
      <c r="C7" s="19" t="n">
        <v>1224.677</v>
      </c>
      <c r="D7" s="20" t="n">
        <v>1375.232</v>
      </c>
      <c r="E7" s="20" t="n">
        <v>965.138</v>
      </c>
      <c r="F7" s="20" t="n">
        <v>1021.763</v>
      </c>
      <c r="G7" s="20" t="n">
        <v>1360.204</v>
      </c>
      <c r="H7" s="20" t="n">
        <v>1574.641</v>
      </c>
      <c r="I7" s="20" t="n">
        <v>1051.236</v>
      </c>
      <c r="J7" s="20" t="n">
        <v>1110.417</v>
      </c>
      <c r="K7" s="20" t="n">
        <v>1568.011</v>
      </c>
      <c r="L7" s="20" t="n">
        <v>1775.263</v>
      </c>
      <c r="M7" s="20" t="n">
        <v>1177.259</v>
      </c>
      <c r="N7" s="20" t="n">
        <v>1210.601</v>
      </c>
      <c r="O7" s="19" t="n"/>
      <c r="P7" s="20" t="n"/>
      <c r="Q7" s="20" t="n"/>
      <c r="R7" s="20" t="n"/>
      <c r="S7" s="20" t="n"/>
      <c r="T7" s="20" t="n"/>
      <c r="U7" s="20" t="n"/>
      <c r="V7" s="20" t="n">
        <v>4392.99</v>
      </c>
      <c r="W7" s="20" t="n">
        <v>4921.746</v>
      </c>
      <c r="X7" s="20" t="n">
        <v>5504.927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Consulting Income Reportable Segments</t>
        </is>
      </c>
      <c r="B10" s="10" t="n"/>
      <c r="C10" s="19" t="n">
        <v>1238.506</v>
      </c>
      <c r="D10" s="20" t="n">
        <v>1489.119</v>
      </c>
      <c r="E10" s="20" t="n">
        <v>1675.213</v>
      </c>
      <c r="F10" s="20" t="n">
        <v>1374.009</v>
      </c>
      <c r="G10" s="20" t="n">
        <v>1897.917</v>
      </c>
      <c r="H10" s="20" t="n">
        <v>1671.703</v>
      </c>
      <c r="I10" s="20" t="n">
        <v>1814.004</v>
      </c>
      <c r="J10" s="20" t="n">
        <v>2179.159</v>
      </c>
      <c r="K10" s="20" t="n">
        <v>2175.863</v>
      </c>
      <c r="L10" s="20" t="n">
        <v>2023.075</v>
      </c>
      <c r="M10" s="20" t="n">
        <v>2342.802</v>
      </c>
      <c r="N10" s="20" t="n">
        <v>3130.675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5934.866</v>
      </c>
      <c r="W10" s="20" t="n">
        <v>6618.842</v>
      </c>
      <c r="X10" s="20" t="n">
        <v>8192.101000000001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Business Solution Income Reportable Segments</t>
        </is>
      </c>
      <c r="B13" s="10" t="n"/>
      <c r="C13" s="19" t="n">
        <v>1505.816</v>
      </c>
      <c r="D13" s="20" t="n">
        <v>1062.641</v>
      </c>
      <c r="E13" s="20" t="n">
        <v>883.274</v>
      </c>
      <c r="F13" s="20" t="n">
        <v>982.187</v>
      </c>
      <c r="G13" s="20" t="n">
        <v>1834.776</v>
      </c>
      <c r="H13" s="20" t="n">
        <v>1370.867</v>
      </c>
      <c r="I13" s="20" t="n">
        <v>1233.467</v>
      </c>
      <c r="J13" s="20" t="n">
        <v>1341.602</v>
      </c>
      <c r="K13" s="20" t="n">
        <v>2212.537</v>
      </c>
      <c r="L13" s="20" t="n">
        <v>1736.917</v>
      </c>
      <c r="M13" s="20" t="n">
        <v>1648.255</v>
      </c>
      <c r="N13" s="20" t="n">
        <v>1717.154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4131.654</v>
      </c>
      <c r="W13" s="20" t="n">
        <v>5071.104</v>
      </c>
      <c r="X13" s="20" t="n">
        <v>6524.523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부동산 임대 사업</t>
        </is>
      </c>
      <c r="B16" s="10" t="n"/>
      <c r="C16" s="19" t="n">
        <v>27.449</v>
      </c>
      <c r="D16" s="20" t="n">
        <v>26.208</v>
      </c>
      <c r="E16" s="20" t="n">
        <v>26.953</v>
      </c>
      <c r="F16" s="20" t="n">
        <v>26.937</v>
      </c>
      <c r="G16" s="20" t="n">
        <v>27.719</v>
      </c>
      <c r="H16" s="20" t="n">
        <v>27.34</v>
      </c>
      <c r="I16" s="20" t="n">
        <v>26.124</v>
      </c>
      <c r="J16" s="20" t="n">
        <v>27.155</v>
      </c>
      <c r="K16" s="20" t="n">
        <v>28.511</v>
      </c>
      <c r="L16" s="20" t="n">
        <v>26.904</v>
      </c>
      <c r="M16" s="20" t="n">
        <v>27.094</v>
      </c>
      <c r="N16" s="20" t="n">
        <v>27.014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106.688</v>
      </c>
      <c r="W16" s="20" t="n">
        <v>108.949</v>
      </c>
      <c r="X16" s="20" t="n">
        <v>108.694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System Development Income Reportable Segments</t>
        </is>
      </c>
      <c r="B19" s="10" t="n"/>
      <c r="C19" s="19" t="n">
        <v>51.313</v>
      </c>
      <c r="D19" s="20" t="n">
        <v>76.351</v>
      </c>
      <c r="E19" s="20" t="n">
        <v>72.223</v>
      </c>
      <c r="F19" s="20" t="n">
        <v>76.401</v>
      </c>
      <c r="G19" s="20" t="n">
        <v>58.154</v>
      </c>
      <c r="H19" s="20" t="n">
        <v>80.48399999999999</v>
      </c>
      <c r="I19" s="20" t="n">
        <v>84.46599999999999</v>
      </c>
      <c r="J19" s="20" t="n">
        <v>58.134</v>
      </c>
      <c r="K19" s="20" t="n">
        <v>64.074</v>
      </c>
      <c r="L19" s="20" t="n">
        <v>212.094</v>
      </c>
      <c r="M19" s="20" t="n">
        <v>56.748</v>
      </c>
      <c r="N19" s="20" t="n">
        <v>100.354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235.159</v>
      </c>
      <c r="W19" s="20" t="n">
        <v>287.262</v>
      </c>
      <c r="X19" s="20" t="n">
        <v>418.768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>
        <v>14.623</v>
      </c>
      <c r="D22" s="20" t="n">
        <v>13.873</v>
      </c>
      <c r="E22" s="20" t="n">
        <v>14.772</v>
      </c>
      <c r="F22" s="20" t="n">
        <v>15.081</v>
      </c>
      <c r="G22" s="20" t="n">
        <v>14.052</v>
      </c>
      <c r="H22" s="20" t="n">
        <v>14.562</v>
      </c>
      <c r="I22" s="20" t="n">
        <v>15.232</v>
      </c>
      <c r="J22" s="20" t="n">
        <v>15.383</v>
      </c>
      <c r="K22" s="20" t="n">
        <v>14.986</v>
      </c>
      <c r="L22" s="20" t="n">
        <v>13.056</v>
      </c>
      <c r="M22" s="20" t="n">
        <v>12.673</v>
      </c>
      <c r="N22" s="20" t="n">
        <v>7.978</v>
      </c>
      <c r="O22" s="19" t="n"/>
      <c r="P22" s="20" t="n"/>
      <c r="Q22" s="20" t="n"/>
      <c r="R22" s="20" t="n"/>
      <c r="S22" s="20" t="n"/>
      <c r="T22" s="20" t="n"/>
      <c r="U22" s="20" t="n"/>
      <c r="V22" s="20" t="n">
        <v>60.41</v>
      </c>
      <c r="W22" s="20" t="n">
        <v>58.467</v>
      </c>
      <c r="X22" s="20" t="n">
        <v>58.657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1355.387</v>
      </c>
      <c r="D26" s="20" t="n">
        <v>737.7089999999999</v>
      </c>
      <c r="E26" s="20" t="n">
        <v>1231.877</v>
      </c>
      <c r="F26" s="20" t="n">
        <v>1186.515</v>
      </c>
      <c r="G26" s="20" t="n">
        <v>1523.303</v>
      </c>
      <c r="H26" s="20" t="n">
        <v>1532.509</v>
      </c>
      <c r="I26" s="20" t="n">
        <v>1440.548</v>
      </c>
      <c r="J26" s="20" t="n">
        <v>1581.44</v>
      </c>
      <c r="K26" s="20" t="n">
        <v>1799.328</v>
      </c>
      <c r="L26" s="20" t="n">
        <v>1912.071</v>
      </c>
      <c r="M26" s="20" t="n">
        <v>1840.556</v>
      </c>
      <c r="N26" s="20" t="n">
        <v>2110.792</v>
      </c>
      <c r="O26" s="19" t="n">
        <v>1774.268</v>
      </c>
      <c r="P26" s="20" t="n">
        <v>1931.924</v>
      </c>
      <c r="Q26" s="20" t="n">
        <v>2005.334</v>
      </c>
      <c r="R26" s="20" t="n">
        <v>2230.486</v>
      </c>
      <c r="S26" s="20" t="n">
        <v>2561.634</v>
      </c>
      <c r="T26" s="20" t="n">
        <v>3109.503</v>
      </c>
      <c r="U26" s="20" t="n">
        <v>3491.755</v>
      </c>
      <c r="V26" s="20" t="n">
        <v>4354.72</v>
      </c>
      <c r="W26" s="20" t="n">
        <v>5474.204</v>
      </c>
      <c r="X26" s="20" t="n">
        <v>6733.387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2002.985</v>
      </c>
      <c r="D32" s="20" t="n">
        <v>2586.48</v>
      </c>
      <c r="E32" s="20" t="n">
        <v>1997.211</v>
      </c>
      <c r="F32" s="20" t="n">
        <v>2093.222</v>
      </c>
      <c r="G32" s="20" t="n">
        <v>2430.958</v>
      </c>
      <c r="H32" s="20" t="n">
        <v>2353.883</v>
      </c>
      <c r="I32" s="20" t="n">
        <v>2346.786</v>
      </c>
      <c r="J32" s="20" t="n">
        <v>2650.518</v>
      </c>
      <c r="K32" s="20" t="n">
        <v>2599.927</v>
      </c>
      <c r="L32" s="20" t="n">
        <v>2618.459</v>
      </c>
      <c r="M32" s="20" t="n">
        <v>2626.875</v>
      </c>
      <c r="N32" s="20" t="n">
        <v>2883.111</v>
      </c>
      <c r="O32" s="19" t="n">
        <v>3219.245</v>
      </c>
      <c r="P32" s="20" t="n">
        <v>3314.798</v>
      </c>
      <c r="Q32" s="20" t="n">
        <v>3593.317</v>
      </c>
      <c r="R32" s="20" t="n">
        <v>4380.645</v>
      </c>
      <c r="S32" s="20" t="n">
        <v>4383.926</v>
      </c>
      <c r="T32" s="20" t="n">
        <v>5224.755</v>
      </c>
      <c r="U32" s="20" t="n">
        <v>6320.331</v>
      </c>
      <c r="V32" s="20" t="n">
        <v>8145.245</v>
      </c>
      <c r="W32" s="20" t="n">
        <v>8875.273999999999</v>
      </c>
      <c r="X32" s="20" t="n">
        <v>10215.69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704.011</v>
      </c>
      <c r="D34" s="12" t="n">
        <v>505.683</v>
      </c>
      <c r="E34" s="12" t="n">
        <v>408.486</v>
      </c>
      <c r="F34" s="12" t="n">
        <v>216.643</v>
      </c>
      <c r="G34" s="12" t="n">
        <v>1238.56</v>
      </c>
      <c r="H34" s="12" t="n">
        <v>853.204</v>
      </c>
      <c r="I34" s="12" t="n">
        <v>437.197</v>
      </c>
      <c r="J34" s="12" t="n">
        <v>499.892</v>
      </c>
      <c r="K34" s="12" t="n">
        <v>1664.727</v>
      </c>
      <c r="L34" s="12" t="n">
        <v>1256.778</v>
      </c>
      <c r="M34" s="12" t="n">
        <v>797.402</v>
      </c>
      <c r="N34" s="12" t="n">
        <v>1199.872</v>
      </c>
      <c r="O34" s="11" t="n">
        <v>1223.185</v>
      </c>
      <c r="P34" s="12" t="n">
        <v>1148.06</v>
      </c>
      <c r="Q34" s="12" t="n">
        <v>1430.602</v>
      </c>
      <c r="R34" s="12" t="n">
        <v>951.931</v>
      </c>
      <c r="S34" s="12" t="n">
        <v>1219.161</v>
      </c>
      <c r="T34" s="12" t="n">
        <v>2382.795</v>
      </c>
      <c r="U34" s="12" t="n">
        <v>2719.085</v>
      </c>
      <c r="V34" s="12" t="n">
        <v>2148.25</v>
      </c>
      <c r="W34" s="12" t="n">
        <v>2716.893</v>
      </c>
      <c r="X34" s="12" t="n">
        <v>3858.594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89.364</v>
      </c>
      <c r="D50" s="20" t="n">
        <v>-0.1</v>
      </c>
      <c r="E50" s="20" t="n">
        <v>0.312</v>
      </c>
      <c r="F50" s="20" t="n">
        <v>0.862</v>
      </c>
      <c r="G50" s="20" t="n">
        <v>0.357</v>
      </c>
      <c r="H50" s="20" t="n">
        <v>0</v>
      </c>
      <c r="I50" s="20" t="n">
        <v>0</v>
      </c>
      <c r="J50" s="20" t="n">
        <v>0.028</v>
      </c>
      <c r="K50" s="20" t="n">
        <v>0</v>
      </c>
      <c r="L50" s="20" t="n">
        <v>2.207</v>
      </c>
      <c r="M50" s="20" t="n"/>
      <c r="N50" s="20" t="n"/>
      <c r="O50" s="19" t="n">
        <v>0.84</v>
      </c>
      <c r="P50" s="20" t="n">
        <v>0</v>
      </c>
      <c r="Q50" s="20" t="n">
        <v>0</v>
      </c>
      <c r="R50" s="20" t="n">
        <v>0</v>
      </c>
      <c r="S50" s="20" t="n">
        <v>0.168</v>
      </c>
      <c r="T50" s="20" t="n">
        <v>4.781</v>
      </c>
      <c r="U50" s="20" t="n">
        <v>0</v>
      </c>
      <c r="V50" s="20" t="n">
        <v>89.264</v>
      </c>
      <c r="W50" s="20" t="n">
        <v>1.531</v>
      </c>
      <c r="X50" s="20" t="n">
        <v>2.235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0</v>
      </c>
      <c r="D52" s="20" t="n">
        <v>0</v>
      </c>
      <c r="E52" s="20" t="n">
        <v>0</v>
      </c>
      <c r="F52" s="20" t="n">
        <v>0.995</v>
      </c>
      <c r="G52" s="20" t="n">
        <v>0</v>
      </c>
      <c r="H52" s="20" t="n">
        <v>0</v>
      </c>
      <c r="I52" s="20" t="n">
        <v>0</v>
      </c>
      <c r="J52" s="20" t="n">
        <v>0</v>
      </c>
      <c r="K52" s="20" t="n">
        <v>0</v>
      </c>
      <c r="L52" s="20" t="n">
        <v>1</v>
      </c>
      <c r="M52" s="20" t="n">
        <v>0</v>
      </c>
      <c r="N52" s="20" t="n">
        <v>1.24</v>
      </c>
      <c r="O52" s="19" t="n">
        <v>0.145</v>
      </c>
      <c r="P52" s="20" t="n">
        <v>0.006</v>
      </c>
      <c r="Q52" s="20" t="n">
        <v>0.644</v>
      </c>
      <c r="R52" s="20" t="n">
        <v>4.787</v>
      </c>
      <c r="S52" s="20" t="n">
        <v>3.701</v>
      </c>
      <c r="T52" s="20" t="n">
        <v>0.016</v>
      </c>
      <c r="U52" s="20" t="n">
        <v>0.436</v>
      </c>
      <c r="V52" s="20" t="n">
        <v>0</v>
      </c>
      <c r="W52" s="20" t="n">
        <v>0.995</v>
      </c>
      <c r="X52" s="20" t="n">
        <v>1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3.024</v>
      </c>
      <c r="D54" s="20" t="n">
        <v>1.565</v>
      </c>
      <c r="E54" s="20" t="n">
        <v>7.375</v>
      </c>
      <c r="F54" s="20" t="n">
        <v>6.245</v>
      </c>
      <c r="G54" s="20" t="n">
        <v>5.066</v>
      </c>
      <c r="H54" s="20" t="n">
        <v>6.263</v>
      </c>
      <c r="I54" s="20" t="n">
        <v>9.960000000000001</v>
      </c>
      <c r="J54" s="20" t="n">
        <v>11.429</v>
      </c>
      <c r="K54" s="20" t="n">
        <v>7.54</v>
      </c>
      <c r="L54" s="20" t="n">
        <v>12.861</v>
      </c>
      <c r="M54" s="20" t="n">
        <v>15.679</v>
      </c>
      <c r="N54" s="20" t="n">
        <v>16.397</v>
      </c>
      <c r="O54" s="19" t="n">
        <v>15.64</v>
      </c>
      <c r="P54" s="20" t="n">
        <v>16.367</v>
      </c>
      <c r="Q54" s="20" t="n">
        <v>15.434</v>
      </c>
      <c r="R54" s="20" t="n">
        <v>16.571</v>
      </c>
      <c r="S54" s="20" t="n">
        <v>18.612</v>
      </c>
      <c r="T54" s="20" t="n">
        <v>13.626</v>
      </c>
      <c r="U54" s="20" t="n">
        <v>15.759</v>
      </c>
      <c r="V54" s="20" t="n">
        <v>13.508</v>
      </c>
      <c r="W54" s="20" t="n">
        <v>24.949</v>
      </c>
      <c r="X54" s="20" t="n">
        <v>41.79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0</v>
      </c>
      <c r="D56" s="20" t="n">
        <v>0</v>
      </c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 t="n">
        <v>2.506</v>
      </c>
      <c r="P56" s="20" t="n">
        <v>1.257</v>
      </c>
      <c r="Q56" s="20" t="n">
        <v>0.706</v>
      </c>
      <c r="R56" s="20" t="n">
        <v>1.56</v>
      </c>
      <c r="S56" s="20" t="n">
        <v>0.481</v>
      </c>
      <c r="T56" s="20" t="n">
        <v>1.273</v>
      </c>
      <c r="U56" s="20" t="n">
        <v>0.65</v>
      </c>
      <c r="V56" s="20" t="n">
        <v>0</v>
      </c>
      <c r="W56" s="20" t="n"/>
      <c r="X56" s="20" t="n"/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796.4</v>
      </c>
      <c r="D58" s="12" t="n">
        <v>507.147</v>
      </c>
      <c r="E58" s="12" t="n">
        <v>416.175</v>
      </c>
      <c r="F58" s="12" t="n">
        <v>222.754</v>
      </c>
      <c r="G58" s="12" t="n">
        <v>1243.982</v>
      </c>
      <c r="H58" s="12" t="n">
        <v>859.468</v>
      </c>
      <c r="I58" s="12" t="n">
        <v>447.157</v>
      </c>
      <c r="J58" s="12" t="n">
        <v>511.35</v>
      </c>
      <c r="K58" s="12" t="n">
        <v>1672.267</v>
      </c>
      <c r="L58" s="12" t="n">
        <v>1270.847</v>
      </c>
      <c r="M58" s="12" t="n">
        <v>813.081</v>
      </c>
      <c r="N58" s="12" t="n">
        <v>1218.564</v>
      </c>
      <c r="O58" s="11" t="n">
        <v>1237.015</v>
      </c>
      <c r="P58" s="12" t="n">
        <v>1163.164</v>
      </c>
      <c r="Q58" s="12" t="n">
        <v>1444.686</v>
      </c>
      <c r="R58" s="12" t="n">
        <v>962.155</v>
      </c>
      <c r="S58" s="12" t="n">
        <v>1233.758</v>
      </c>
      <c r="T58" s="12" t="n">
        <v>2399.914</v>
      </c>
      <c r="U58" s="12" t="n">
        <v>2733.758</v>
      </c>
      <c r="V58" s="12" t="n">
        <v>2251.022</v>
      </c>
      <c r="W58" s="12" t="n">
        <v>2742.379</v>
      </c>
      <c r="X58" s="12" t="n">
        <v>3901.621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270.039</v>
      </c>
      <c r="D60" s="20" t="n">
        <v>3.368</v>
      </c>
      <c r="E60" s="20" t="n">
        <v>171.562</v>
      </c>
      <c r="F60" s="20" t="n">
        <v>62.445</v>
      </c>
      <c r="G60" s="20" t="n">
        <v>410.918</v>
      </c>
      <c r="H60" s="20" t="n">
        <v>283.116</v>
      </c>
      <c r="I60" s="20" t="n">
        <v>168.749</v>
      </c>
      <c r="J60" s="20" t="n">
        <v>142.19</v>
      </c>
      <c r="K60" s="20" t="n">
        <v>551.876</v>
      </c>
      <c r="L60" s="20" t="n">
        <v>213.095</v>
      </c>
      <c r="M60" s="20" t="n">
        <v>298.681</v>
      </c>
      <c r="N60" s="20" t="n">
        <v>351.611</v>
      </c>
      <c r="O60" s="19" t="n">
        <v>374.62</v>
      </c>
      <c r="P60" s="20" t="n">
        <v>340.475</v>
      </c>
      <c r="Q60" s="20" t="n">
        <v>424.919</v>
      </c>
      <c r="R60" s="20" t="n">
        <v>297.975</v>
      </c>
      <c r="S60" s="20" t="n">
        <v>390.331</v>
      </c>
      <c r="T60" s="20" t="n">
        <v>692.792</v>
      </c>
      <c r="U60" s="20" t="n">
        <v>710.258</v>
      </c>
      <c r="V60" s="20" t="n">
        <v>586.754</v>
      </c>
      <c r="W60" s="20" t="n">
        <v>928.0410000000001</v>
      </c>
      <c r="X60" s="20" t="n">
        <v>1075.91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526.361</v>
      </c>
      <c r="D62" s="12" t="n">
        <v>503.779</v>
      </c>
      <c r="E62" s="12" t="n">
        <v>244.613</v>
      </c>
      <c r="F62" s="12" t="n">
        <v>160.308</v>
      </c>
      <c r="G62" s="12" t="n">
        <v>833.0650000000001</v>
      </c>
      <c r="H62" s="12" t="n">
        <v>576.351</v>
      </c>
      <c r="I62" s="12" t="n">
        <v>278.408</v>
      </c>
      <c r="J62" s="12" t="n">
        <v>369.159</v>
      </c>
      <c r="K62" s="12" t="n">
        <v>1120.391</v>
      </c>
      <c r="L62" s="12" t="n">
        <v>1057.753</v>
      </c>
      <c r="M62" s="12" t="n">
        <v>514.4</v>
      </c>
      <c r="N62" s="12" t="n">
        <v>866.953</v>
      </c>
      <c r="O62" s="11" t="n">
        <v>862.394</v>
      </c>
      <c r="P62" s="12" t="n">
        <v>822.689</v>
      </c>
      <c r="Q62" s="12" t="n">
        <v>1019.766</v>
      </c>
      <c r="R62" s="12" t="n">
        <v>664.179</v>
      </c>
      <c r="S62" s="12" t="n">
        <v>843.426</v>
      </c>
      <c r="T62" s="12" t="n">
        <v>1707.121</v>
      </c>
      <c r="U62" s="12" t="n">
        <v>2023.499</v>
      </c>
      <c r="V62" s="12" t="n">
        <v>1664.268</v>
      </c>
      <c r="W62" s="12" t="n">
        <v>1814.337</v>
      </c>
      <c r="X62" s="12" t="n">
        <v>2825.711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526.361</v>
      </c>
      <c r="D64" s="12" t="n">
        <v>448.729</v>
      </c>
      <c r="E64" s="12" t="n">
        <v>244.613</v>
      </c>
      <c r="F64" s="12" t="n">
        <v>160.308</v>
      </c>
      <c r="G64" s="12" t="n">
        <v>833.0650000000001</v>
      </c>
      <c r="H64" s="12" t="n">
        <v>576.351</v>
      </c>
      <c r="I64" s="12" t="n">
        <v>278.408</v>
      </c>
      <c r="J64" s="12" t="n">
        <v>369.159</v>
      </c>
      <c r="K64" s="12" t="n">
        <v>1120.391</v>
      </c>
      <c r="L64" s="12" t="n">
        <v>1057.753</v>
      </c>
      <c r="M64" s="12" t="n">
        <v>514.4</v>
      </c>
      <c r="N64" s="12" t="n">
        <v>866.953</v>
      </c>
      <c r="O64" s="11" t="n">
        <v>862.394</v>
      </c>
      <c r="P64" s="12" t="n">
        <v>822.689</v>
      </c>
      <c r="Q64" s="12" t="n">
        <v>1010.913</v>
      </c>
      <c r="R64" s="12" t="n">
        <v>664.179</v>
      </c>
      <c r="S64" s="12" t="n">
        <v>843.426</v>
      </c>
      <c r="T64" s="12" t="n">
        <v>1548.227</v>
      </c>
      <c r="U64" s="12" t="n">
        <v>1881.341</v>
      </c>
      <c r="V64" s="12" t="n">
        <v>1609.218</v>
      </c>
      <c r="W64" s="12" t="n">
        <v>1814.337</v>
      </c>
      <c r="X64" s="12" t="n">
        <v>2825.711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2024.3Q</t>
        </is>
      </c>
      <c r="D98" s="5" t="inlineStr">
        <is>
          <t>2024.4Q</t>
        </is>
      </c>
      <c r="E98" s="5" t="inlineStr">
        <is>
          <t>2025.1Q</t>
        </is>
      </c>
      <c r="F98" s="5" t="inlineStr">
        <is>
          <t>2025.2Q</t>
        </is>
      </c>
      <c r="G98" s="5" t="inlineStr">
        <is>
          <t>2025.3Q</t>
        </is>
      </c>
      <c r="H98" s="5" t="inlineStr">
        <is>
          <t>2025.4Q</t>
        </is>
      </c>
      <c r="I98" s="5" t="inlineStr">
        <is>
          <t>2026.1Q</t>
        </is>
      </c>
      <c r="J98" s="5" t="inlineStr">
        <is>
          <t>2026.2Q</t>
        </is>
      </c>
      <c r="K98" s="5" t="inlineStr">
        <is>
          <t>2026.3Q</t>
        </is>
      </c>
      <c r="L98" s="5" t="inlineStr">
        <is>
          <t>2026.4Q</t>
        </is>
      </c>
      <c r="M98" s="5" t="inlineStr">
        <is>
          <t>2027.1Q</t>
        </is>
      </c>
      <c r="N98" s="5" t="inlineStr">
        <is>
          <t>2027.2Q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4062.384</v>
      </c>
      <c r="D99" s="12" t="n">
        <v>3829.87</v>
      </c>
      <c r="E99" s="12" t="n">
        <v>3637.575</v>
      </c>
      <c r="F99" s="12" t="n">
        <v>3496.379</v>
      </c>
      <c r="G99" s="12" t="n">
        <v>5192.821</v>
      </c>
      <c r="H99" s="12" t="n">
        <v>4739.598</v>
      </c>
      <c r="I99" s="12" t="n">
        <v>4224.532</v>
      </c>
      <c r="J99" s="12" t="n">
        <v>4731.85</v>
      </c>
      <c r="K99" s="12" t="n">
        <v>6063.982</v>
      </c>
      <c r="L99" s="12" t="n">
        <v>5787.308</v>
      </c>
      <c r="M99" s="12" t="n">
        <v>5264.834</v>
      </c>
      <c r="N99" s="12" t="n">
        <v>6193.775</v>
      </c>
      <c r="T99" s="12" t="n">
        <v>3022.984</v>
      </c>
      <c r="U99" s="12" t="n">
        <v>3114.163</v>
      </c>
      <c r="V99" s="12" t="n">
        <v>3829.87</v>
      </c>
      <c r="W99" s="12" t="n">
        <v>4739.598</v>
      </c>
      <c r="X99" s="12" t="n">
        <v>5787.308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1355.387</v>
      </c>
      <c r="D101" s="20" t="n">
        <v>737.7089999999999</v>
      </c>
      <c r="E101" s="20" t="n">
        <v>1231.877</v>
      </c>
      <c r="F101" s="20" t="n">
        <v>1186.515</v>
      </c>
      <c r="G101" s="20" t="n">
        <v>1523.303</v>
      </c>
      <c r="H101" s="20" t="n">
        <v>1532.509</v>
      </c>
      <c r="I101" s="20" t="n">
        <v>1440.548</v>
      </c>
      <c r="J101" s="20" t="n">
        <v>1581.44</v>
      </c>
      <c r="K101" s="20" t="n">
        <v>1799.328</v>
      </c>
      <c r="L101" s="20" t="n">
        <v>1912.071</v>
      </c>
      <c r="M101" s="20" t="n">
        <v>1840.556</v>
      </c>
      <c r="N101" s="20" t="n">
        <v>2110.792</v>
      </c>
      <c r="T101" s="20" t="n">
        <v>659.276</v>
      </c>
      <c r="U101" s="20" t="n">
        <v>558.598</v>
      </c>
      <c r="V101" s="20" t="n">
        <v>737.7089999999999</v>
      </c>
      <c r="W101" s="20" t="n">
        <v>1532.509</v>
      </c>
      <c r="X101" s="20" t="n">
        <v>1912.071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2706.997</v>
      </c>
      <c r="D103" s="12" t="n">
        <v>3092.162</v>
      </c>
      <c r="E103" s="12" t="n">
        <v>2405.698</v>
      </c>
      <c r="F103" s="12" t="n">
        <v>2309.864</v>
      </c>
      <c r="G103" s="12" t="n">
        <v>3669.518</v>
      </c>
      <c r="H103" s="12" t="n">
        <v>3207.088</v>
      </c>
      <c r="I103" s="12" t="n">
        <v>2783.984</v>
      </c>
      <c r="J103" s="12" t="n">
        <v>3150.41</v>
      </c>
      <c r="K103" s="12" t="n">
        <v>4264.654</v>
      </c>
      <c r="L103" s="12" t="n">
        <v>3875.237</v>
      </c>
      <c r="M103" s="12" t="n">
        <v>3424.277</v>
      </c>
      <c r="N103" s="12" t="n">
        <v>4082.984</v>
      </c>
      <c r="T103" s="12" t="n">
        <v>2363.708</v>
      </c>
      <c r="U103" s="12" t="n">
        <v>2555.566</v>
      </c>
      <c r="V103" s="12" t="n">
        <v>3092.162</v>
      </c>
      <c r="W103" s="12" t="n">
        <v>3207.088</v>
      </c>
      <c r="X103" s="12" t="n">
        <v>3875.237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2002.985</v>
      </c>
      <c r="D105" s="20" t="n">
        <v>2586.48</v>
      </c>
      <c r="E105" s="20" t="n">
        <v>1997.211</v>
      </c>
      <c r="F105" s="20" t="n">
        <v>2093.222</v>
      </c>
      <c r="G105" s="20" t="n">
        <v>2430.958</v>
      </c>
      <c r="H105" s="20" t="n">
        <v>2353.883</v>
      </c>
      <c r="I105" s="20" t="n">
        <v>2346.786</v>
      </c>
      <c r="J105" s="20" t="n">
        <v>2650.518</v>
      </c>
      <c r="K105" s="20" t="n">
        <v>2599.927</v>
      </c>
      <c r="L105" s="20" t="n">
        <v>2618.459</v>
      </c>
      <c r="M105" s="20" t="n">
        <v>2626.875</v>
      </c>
      <c r="N105" s="20" t="n">
        <v>2883.111</v>
      </c>
      <c r="T105" s="20" t="n">
        <v>1536.415</v>
      </c>
      <c r="U105" s="20" t="n">
        <v>1734.647</v>
      </c>
      <c r="V105" s="20" t="n">
        <v>2586.48</v>
      </c>
      <c r="W105" s="20" t="n">
        <v>2353.883</v>
      </c>
      <c r="X105" s="20" t="n">
        <v>2618.459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704.011</v>
      </c>
      <c r="D107" s="12" t="n">
        <v>505.683</v>
      </c>
      <c r="E107" s="12" t="n">
        <v>408.486</v>
      </c>
      <c r="F107" s="12" t="n">
        <v>216.643</v>
      </c>
      <c r="G107" s="12" t="n">
        <v>1238.56</v>
      </c>
      <c r="H107" s="12" t="n">
        <v>853.204</v>
      </c>
      <c r="I107" s="12" t="n">
        <v>437.197</v>
      </c>
      <c r="J107" s="12" t="n">
        <v>499.892</v>
      </c>
      <c r="K107" s="12" t="n">
        <v>1664.727</v>
      </c>
      <c r="L107" s="12" t="n">
        <v>1256.778</v>
      </c>
      <c r="M107" s="12" t="n">
        <v>797.402</v>
      </c>
      <c r="N107" s="12" t="n">
        <v>1199.872</v>
      </c>
      <c r="T107" s="12" t="n">
        <v>827.293</v>
      </c>
      <c r="U107" s="12" t="n">
        <v>820.918</v>
      </c>
      <c r="V107" s="12" t="n">
        <v>505.683</v>
      </c>
      <c r="W107" s="12" t="n">
        <v>853.204</v>
      </c>
      <c r="X107" s="12" t="n">
        <v>1256.778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T108" s="15">
        <f>IF(OR(T107="",T99=""),"",IF(T99&lt;=0,"",IFERROR(T107/T99,"")))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T109" s="15">
        <f>IF(OR(T107="",S107=""),"",IF(S107&lt;=0,"",IFERROR(T107/S107-1,"")))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C110" s="20" t="n">
        <v>0.283</v>
      </c>
      <c r="D110" s="20" t="n">
        <v>0.546</v>
      </c>
      <c r="E110" s="20" t="n">
        <v>0.256</v>
      </c>
      <c r="F110" s="20" t="n">
        <v>1.254</v>
      </c>
      <c r="G110" s="20" t="n">
        <v>0.904</v>
      </c>
      <c r="H110" s="20" t="n">
        <v>2.207</v>
      </c>
      <c r="I110" s="20" t="n">
        <v>2.13</v>
      </c>
      <c r="J110" s="20" t="n">
        <v>5.676</v>
      </c>
      <c r="K110" s="20" t="n">
        <v>3.728</v>
      </c>
      <c r="L110" s="20" t="n">
        <v>7.833</v>
      </c>
      <c r="M110" s="20" t="n">
        <v>6.474</v>
      </c>
      <c r="N110" s="20" t="n">
        <v>12.23</v>
      </c>
      <c r="T110" s="20" t="n">
        <v>0.255</v>
      </c>
      <c r="U110" s="20" t="n">
        <v>0.121</v>
      </c>
      <c r="V110" s="20" t="n">
        <v>0.546</v>
      </c>
      <c r="W110" s="20" t="n">
        <v>2.207</v>
      </c>
      <c r="X110" s="20" t="n">
        <v>7.833</v>
      </c>
    </row>
    <row r="111">
      <c r="A111" s="18" t="inlineStr">
        <is>
          <t>유가증권 이자</t>
        </is>
      </c>
      <c r="C111" s="20" t="n">
        <v>1.734</v>
      </c>
      <c r="D111" s="20" t="n">
        <v>2.37</v>
      </c>
      <c r="E111" s="20" t="n">
        <v>3.301</v>
      </c>
      <c r="F111" s="20" t="n">
        <v>3.414</v>
      </c>
      <c r="G111" s="20" t="n">
        <v>3.422</v>
      </c>
      <c r="H111" s="20" t="n">
        <v>2.355</v>
      </c>
      <c r="I111" s="20" t="n">
        <v>3.83</v>
      </c>
      <c r="J111" s="20" t="n">
        <v>2.963</v>
      </c>
      <c r="K111" s="20" t="n">
        <v>3.348</v>
      </c>
      <c r="L111" s="20" t="n">
        <v>3.489</v>
      </c>
      <c r="M111" s="20" t="n">
        <v>3.625</v>
      </c>
      <c r="N111" s="20" t="n">
        <v>3.272</v>
      </c>
      <c r="T111" s="20" t="n">
        <v>1.231</v>
      </c>
      <c r="U111" s="20" t="n">
        <v>1.183</v>
      </c>
      <c r="V111" s="20" t="n">
        <v>2.37</v>
      </c>
      <c r="W111" s="20" t="n">
        <v>2.355</v>
      </c>
      <c r="X111" s="20" t="n">
        <v>3.489</v>
      </c>
    </row>
    <row r="112">
      <c r="A112" s="18" t="inlineStr">
        <is>
          <t>배당금수익</t>
        </is>
      </c>
      <c r="C112" s="20" t="n">
        <v>0</v>
      </c>
      <c r="D112" s="20" t="n">
        <v>0</v>
      </c>
      <c r="E112" s="20" t="n">
        <v>1.164</v>
      </c>
      <c r="F112" s="20" t="n">
        <v>0</v>
      </c>
      <c r="G112" s="20" t="n">
        <v>0</v>
      </c>
      <c r="H112" s="20" t="n">
        <v>0</v>
      </c>
      <c r="I112" s="20" t="n">
        <v>1.248</v>
      </c>
      <c r="J112" s="20" t="n">
        <v>0</v>
      </c>
      <c r="K112" s="20" t="n">
        <v>0</v>
      </c>
      <c r="L112" s="20" t="n">
        <v>0</v>
      </c>
      <c r="M112" s="20" t="n">
        <v>1.285</v>
      </c>
      <c r="N112" s="20" t="n">
        <v>0</v>
      </c>
      <c r="T112" s="20" t="n">
        <v>0.54</v>
      </c>
      <c r="U112" s="20" t="n">
        <v>0.72</v>
      </c>
      <c r="V112" s="20" t="n">
        <v>0</v>
      </c>
      <c r="W112" s="20" t="n">
        <v>0</v>
      </c>
      <c r="X112" s="20" t="n">
        <v>0</v>
      </c>
    </row>
    <row r="113">
      <c r="A113" s="18" t="inlineStr">
        <is>
          <t>수수료 수익</t>
        </is>
      </c>
      <c r="C113" s="20" t="n">
        <v>0</v>
      </c>
      <c r="D113" s="20" t="n">
        <v>0</v>
      </c>
      <c r="E113" s="20" t="n">
        <v>1.971</v>
      </c>
      <c r="F113" s="20" t="n">
        <v>0</v>
      </c>
      <c r="G113" s="20" t="n">
        <v>0</v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3.831</v>
      </c>
      <c r="N113" s="20" t="n">
        <v>0</v>
      </c>
      <c r="U113" s="20" t="n">
        <v>0</v>
      </c>
      <c r="V113" s="20" t="n">
        <v>0</v>
      </c>
      <c r="W113" s="20" t="n">
        <v>0</v>
      </c>
      <c r="X113" s="20" t="n">
        <v>0</v>
      </c>
    </row>
    <row r="114">
      <c r="A114" s="18" t="inlineStr">
        <is>
          <t>보조금 수입</t>
        </is>
      </c>
      <c r="C114" s="20" t="n">
        <v>0.214</v>
      </c>
      <c r="D114" s="20" t="n">
        <v>-0.137</v>
      </c>
      <c r="E114" s="20" t="n">
        <v>0.03</v>
      </c>
      <c r="F114" s="20" t="n">
        <v>0.624</v>
      </c>
      <c r="G114" s="20" t="n">
        <v>0.151</v>
      </c>
      <c r="H114" s="20" t="n">
        <v>0.056</v>
      </c>
      <c r="I114" s="20" t="n">
        <v>0.054</v>
      </c>
      <c r="J114" s="20" t="n">
        <v>2.017</v>
      </c>
      <c r="K114" s="20" t="n">
        <v>0.094</v>
      </c>
      <c r="L114" s="20" t="n">
        <v>0.114</v>
      </c>
      <c r="M114" s="20" t="n">
        <v>0.095</v>
      </c>
      <c r="N114" s="20" t="n">
        <v>0.019</v>
      </c>
      <c r="T114" s="20" t="n">
        <v>0</v>
      </c>
      <c r="U114" s="20" t="n">
        <v>-1.444</v>
      </c>
      <c r="V114" s="20" t="n">
        <v>-0.137</v>
      </c>
      <c r="W114" s="20" t="n">
        <v>0.056</v>
      </c>
      <c r="X114" s="20" t="n">
        <v>0.114</v>
      </c>
    </row>
    <row r="115">
      <c r="A115" s="18" t="inlineStr">
        <is>
          <t>보험환급금</t>
        </is>
      </c>
      <c r="C115" s="20" t="n">
        <v>0</v>
      </c>
      <c r="D115" s="20" t="n">
        <v>0</v>
      </c>
      <c r="T115" s="20" t="n">
        <v>0</v>
      </c>
      <c r="U115" s="20" t="n">
        <v>0</v>
      </c>
      <c r="V115" s="20" t="n">
        <v>0</v>
      </c>
    </row>
    <row r="116">
      <c r="A116" s="18" t="inlineStr">
        <is>
          <t>Amortization Of Negative Goodwill NOI</t>
        </is>
      </c>
      <c r="T116" s="20" t="n">
        <v>0.046</v>
      </c>
      <c r="U116" s="20" t="n">
        <v>0.046</v>
      </c>
    </row>
    <row r="117">
      <c r="A117" s="18" t="inlineStr">
        <is>
          <t>Gain On Forfeiture Of Unclaimed Dividends</t>
        </is>
      </c>
      <c r="C117" s="20" t="n">
        <v>0.39</v>
      </c>
      <c r="G117" s="20" t="n">
        <v>0</v>
      </c>
      <c r="K117" s="20" t="n">
        <v>0</v>
      </c>
    </row>
    <row r="118">
      <c r="A118" s="18" t="inlineStr">
        <is>
          <t>기타</t>
        </is>
      </c>
      <c r="C118" s="20" t="n">
        <v>0.402</v>
      </c>
      <c r="D118" s="20" t="n">
        <v>1.003</v>
      </c>
      <c r="E118" s="20" t="n">
        <v>0.651</v>
      </c>
      <c r="F118" s="20" t="n">
        <v>0.535</v>
      </c>
      <c r="G118" s="20" t="n">
        <v>0.589</v>
      </c>
      <c r="H118" s="20" t="n">
        <v>0.9389999999999999</v>
      </c>
      <c r="I118" s="20" t="n">
        <v>2.696</v>
      </c>
      <c r="J118" s="20" t="n">
        <v>0.401</v>
      </c>
      <c r="K118" s="20" t="n">
        <v>0.369</v>
      </c>
      <c r="L118" s="20" t="n">
        <v>1.046</v>
      </c>
      <c r="M118" s="20" t="n">
        <v>0.366</v>
      </c>
      <c r="N118" s="20" t="n">
        <v>0.425</v>
      </c>
      <c r="T118" s="20" t="n">
        <v>0.445</v>
      </c>
      <c r="U118" s="20" t="n">
        <v>0.832</v>
      </c>
      <c r="V118" s="20" t="n">
        <v>1.003</v>
      </c>
      <c r="W118" s="20" t="n">
        <v>0.9389999999999999</v>
      </c>
      <c r="X118" s="20" t="n">
        <v>1.046</v>
      </c>
    </row>
    <row r="119">
      <c r="A119" s="18" t="inlineStr">
        <is>
          <t>영업외수익 합계</t>
        </is>
      </c>
      <c r="C119" s="20" t="n">
        <v>3.024</v>
      </c>
      <c r="D119" s="20" t="n">
        <v>1.565</v>
      </c>
      <c r="E119" s="20" t="n">
        <v>7.375</v>
      </c>
      <c r="F119" s="20" t="n">
        <v>6.245</v>
      </c>
      <c r="G119" s="20" t="n">
        <v>5.066</v>
      </c>
      <c r="H119" s="20" t="n">
        <v>6.263</v>
      </c>
      <c r="I119" s="20" t="n">
        <v>9.960000000000001</v>
      </c>
      <c r="J119" s="20" t="n">
        <v>11.429</v>
      </c>
      <c r="K119" s="20" t="n">
        <v>7.54</v>
      </c>
      <c r="L119" s="20" t="n">
        <v>12.861</v>
      </c>
      <c r="M119" s="20" t="n">
        <v>15.679</v>
      </c>
      <c r="N119" s="20" t="n">
        <v>16.397</v>
      </c>
      <c r="T119" s="20" t="n">
        <v>2.206</v>
      </c>
      <c r="U119" s="20" t="n">
        <v>0.335</v>
      </c>
      <c r="V119" s="20" t="n">
        <v>1.565</v>
      </c>
      <c r="W119" s="20" t="n">
        <v>6.263</v>
      </c>
      <c r="X119" s="20" t="n">
        <v>12.861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18" t="inlineStr">
        <is>
          <t>이자비용</t>
        </is>
      </c>
      <c r="T121" s="20" t="n">
        <v>0</v>
      </c>
      <c r="U121" s="20" t="n">
        <v>0</v>
      </c>
    </row>
    <row r="122">
      <c r="A122" s="18" t="inlineStr">
        <is>
          <t>기타</t>
        </is>
      </c>
      <c r="C122" s="20" t="n">
        <v>0</v>
      </c>
      <c r="D122" s="20" t="n">
        <v>0</v>
      </c>
      <c r="T122" s="20" t="n">
        <v>0.097</v>
      </c>
      <c r="U122" s="20" t="n">
        <v>0</v>
      </c>
      <c r="V122" s="20" t="n">
        <v>0</v>
      </c>
    </row>
    <row r="123">
      <c r="A123" s="18" t="inlineStr">
        <is>
          <t>영업외비용 합계</t>
        </is>
      </c>
      <c r="C123" s="20" t="n">
        <v>0</v>
      </c>
      <c r="D123" s="20" t="n">
        <v>0</v>
      </c>
      <c r="T123" s="20" t="n">
        <v>0.098</v>
      </c>
      <c r="U123" s="20" t="n">
        <v>0</v>
      </c>
      <c r="V123" s="20" t="n">
        <v>0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</row>
    <row r="125">
      <c r="A125" s="9" t="inlineStr">
        <is>
          <t>경상이익</t>
        </is>
      </c>
      <c r="C125" s="12" t="n">
        <v>707.0359999999999</v>
      </c>
      <c r="D125" s="12" t="n">
        <v>507.247</v>
      </c>
      <c r="E125" s="12" t="n">
        <v>415.862</v>
      </c>
      <c r="F125" s="12" t="n">
        <v>222.887</v>
      </c>
      <c r="G125" s="12" t="n">
        <v>1243.626</v>
      </c>
      <c r="H125" s="12" t="n">
        <v>859.468</v>
      </c>
      <c r="I125" s="12" t="n">
        <v>447.157</v>
      </c>
      <c r="J125" s="12" t="n">
        <v>511.322</v>
      </c>
      <c r="K125" s="12" t="n">
        <v>1672.267</v>
      </c>
      <c r="L125" s="12" t="n">
        <v>1269.639</v>
      </c>
      <c r="M125" s="12" t="n">
        <v>813.081</v>
      </c>
      <c r="N125" s="12" t="n">
        <v>1216.27</v>
      </c>
      <c r="T125" s="12" t="n">
        <v>829.402</v>
      </c>
      <c r="U125" s="12" t="n">
        <v>821.252</v>
      </c>
      <c r="V125" s="12" t="n">
        <v>507.247</v>
      </c>
      <c r="W125" s="12" t="n">
        <v>859.468</v>
      </c>
      <c r="X125" s="12" t="n">
        <v>1269.639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18" t="inlineStr">
        <is>
          <t>고정자산 매각이익</t>
        </is>
      </c>
      <c r="C127" s="20" t="n">
        <v>0.099</v>
      </c>
      <c r="D127" s="20" t="n">
        <v>0</v>
      </c>
      <c r="E127" s="20" t="n">
        <v>0.312</v>
      </c>
      <c r="F127" s="20" t="n">
        <v>0</v>
      </c>
      <c r="G127" s="20" t="n">
        <v>0.357</v>
      </c>
      <c r="H127" s="20" t="n">
        <v>0</v>
      </c>
      <c r="I127" s="20" t="n">
        <v>0</v>
      </c>
      <c r="J127" s="20" t="n">
        <v>0.028</v>
      </c>
      <c r="K127" s="20" t="n">
        <v>0</v>
      </c>
      <c r="L127" s="20" t="n">
        <v>0.054</v>
      </c>
      <c r="T127" s="20" t="n">
        <v>0</v>
      </c>
      <c r="U127" s="20" t="n">
        <v>0</v>
      </c>
      <c r="V127" s="20" t="n">
        <v>0</v>
      </c>
      <c r="W127" s="20" t="n">
        <v>0</v>
      </c>
      <c r="X127" s="20" t="n">
        <v>0.054</v>
      </c>
    </row>
    <row r="128">
      <c r="A128" s="18" t="inlineStr">
        <is>
          <t>신주예약권 환입이익</t>
        </is>
      </c>
      <c r="T128" s="20" t="n">
        <v>0</v>
      </c>
      <c r="U128" s="20" t="n">
        <v>0</v>
      </c>
    </row>
    <row r="129">
      <c r="A129" s="18" t="inlineStr">
        <is>
          <t>보험 해약환급금</t>
        </is>
      </c>
      <c r="C129" s="20" t="n">
        <v>0</v>
      </c>
      <c r="D129" s="20" t="n">
        <v>0</v>
      </c>
      <c r="G129" s="20" t="n">
        <v>0</v>
      </c>
      <c r="H129" s="20" t="n">
        <v>0</v>
      </c>
      <c r="K129" s="20" t="n">
        <v>0</v>
      </c>
      <c r="L129" s="20" t="n">
        <v>2.152</v>
      </c>
      <c r="V129" s="20" t="n">
        <v>0</v>
      </c>
      <c r="W129" s="20" t="n">
        <v>0</v>
      </c>
      <c r="X129" s="20" t="n">
        <v>2.152</v>
      </c>
    </row>
    <row r="130">
      <c r="A130" s="18" t="inlineStr">
        <is>
          <t>투자유가증권 매각이익</t>
        </is>
      </c>
      <c r="D130" s="20" t="n">
        <v>0</v>
      </c>
      <c r="H130" s="20" t="n">
        <v>0</v>
      </c>
      <c r="U130" s="20" t="n">
        <v>0</v>
      </c>
      <c r="V130" s="20" t="n">
        <v>0</v>
      </c>
      <c r="W130" s="20" t="n">
        <v>0</v>
      </c>
    </row>
    <row r="131">
      <c r="A131" s="18" t="inlineStr">
        <is>
          <t>특별이익 합계</t>
        </is>
      </c>
      <c r="C131" s="20" t="n">
        <v>89.364</v>
      </c>
      <c r="D131" s="20" t="n">
        <v>-0.1</v>
      </c>
      <c r="E131" s="20" t="n">
        <v>0.312</v>
      </c>
      <c r="F131" s="20" t="n">
        <v>0.862</v>
      </c>
      <c r="G131" s="20" t="n">
        <v>0.357</v>
      </c>
      <c r="H131" s="20" t="n">
        <v>0</v>
      </c>
      <c r="I131" s="20" t="n">
        <v>0</v>
      </c>
      <c r="J131" s="20" t="n">
        <v>0.028</v>
      </c>
      <c r="K131" s="20" t="n">
        <v>0</v>
      </c>
      <c r="L131" s="20" t="n">
        <v>2.207</v>
      </c>
      <c r="T131" s="20" t="n">
        <v>2.915</v>
      </c>
      <c r="U131" s="20" t="n">
        <v>0</v>
      </c>
      <c r="V131" s="20" t="n">
        <v>-0.1</v>
      </c>
      <c r="W131" s="20" t="n">
        <v>0</v>
      </c>
      <c r="X131" s="20" t="n">
        <v>2.207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18" t="inlineStr">
        <is>
          <t>고정자산 제각손실</t>
        </is>
      </c>
      <c r="C133" s="20" t="n">
        <v>0</v>
      </c>
      <c r="D133" s="20" t="n">
        <v>0</v>
      </c>
      <c r="E133" s="20" t="n">
        <v>0</v>
      </c>
      <c r="F133" s="20" t="n">
        <v>0.995</v>
      </c>
      <c r="G133" s="20" t="n">
        <v>0</v>
      </c>
      <c r="H133" s="20" t="n">
        <v>0</v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0.008</v>
      </c>
      <c r="T133" s="20" t="n">
        <v>0.016</v>
      </c>
      <c r="U133" s="20" t="n">
        <v>0.203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특별손실 합계</t>
        </is>
      </c>
      <c r="C134" s="20" t="n">
        <v>0</v>
      </c>
      <c r="D134" s="20" t="n">
        <v>0</v>
      </c>
      <c r="E134" s="20" t="n">
        <v>0</v>
      </c>
      <c r="F134" s="20" t="n">
        <v>0.995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1</v>
      </c>
      <c r="M134" s="20" t="n">
        <v>0</v>
      </c>
      <c r="N134" s="20" t="n">
        <v>1.24</v>
      </c>
      <c r="T134" s="20" t="n">
        <v>0.016</v>
      </c>
      <c r="U134" s="20" t="n">
        <v>0.203</v>
      </c>
      <c r="V134" s="20" t="n">
        <v>0</v>
      </c>
      <c r="W134" s="20" t="n">
        <v>0</v>
      </c>
      <c r="X134" s="20" t="n">
        <v>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T135" s="15">
        <f>IF(OR(T134="",S134=""),"",IF(T134*S134&lt;=0,"",IFERROR(T134/S134-1,"")))</f>
        <v/>
      </c>
      <c r="U135" s="15">
        <f>IF(OR(U134="",T134=""),"",IF(U134*T134&lt;=0,"",IFERROR(U134/T134-1,"")))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9" t="inlineStr">
        <is>
          <t>법인세차감전 순이익</t>
        </is>
      </c>
      <c r="C136" s="12" t="n">
        <v>796.4</v>
      </c>
      <c r="D136" s="12" t="n">
        <v>507.147</v>
      </c>
      <c r="E136" s="12" t="n">
        <v>416.175</v>
      </c>
      <c r="F136" s="12" t="n">
        <v>222.754</v>
      </c>
      <c r="G136" s="12" t="n">
        <v>1243.982</v>
      </c>
      <c r="H136" s="12" t="n">
        <v>859.468</v>
      </c>
      <c r="I136" s="12" t="n">
        <v>447.157</v>
      </c>
      <c r="J136" s="12" t="n">
        <v>511.35</v>
      </c>
      <c r="K136" s="12" t="n">
        <v>1672.267</v>
      </c>
      <c r="L136" s="12" t="n">
        <v>1270.847</v>
      </c>
      <c r="M136" s="12" t="n">
        <v>813.081</v>
      </c>
      <c r="N136" s="12" t="n">
        <v>1218.564</v>
      </c>
      <c r="T136" s="12" t="n">
        <v>832.301</v>
      </c>
      <c r="U136" s="12" t="n">
        <v>821.049</v>
      </c>
      <c r="V136" s="12" t="n">
        <v>507.147</v>
      </c>
      <c r="W136" s="12" t="n">
        <v>859.468</v>
      </c>
      <c r="X136" s="12" t="n">
        <v>1270.847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T137" s="15">
        <f>IF(OR(T136="",S136=""),"",IF(S136&lt;=0,"",IFERROR(T136/S136-1,"")))</f>
        <v/>
      </c>
      <c r="U137" s="15">
        <f>IF(OR(U136="",T136=""),"",IF(T136&lt;=0,"",IFERROR(U136/T136-1,"")))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8">
      <c r="A138" s="18" t="inlineStr">
        <is>
          <t>법인세·주민세·사업세</t>
        </is>
      </c>
      <c r="C138" s="20" t="n">
        <v>177.151</v>
      </c>
      <c r="D138" s="20" t="n">
        <v>73.248</v>
      </c>
      <c r="E138" s="20" t="n">
        <v>20.18</v>
      </c>
      <c r="F138" s="20" t="n">
        <v>191.993</v>
      </c>
      <c r="G138" s="20" t="n">
        <v>398.859</v>
      </c>
      <c r="H138" s="20" t="n">
        <v>323.542</v>
      </c>
      <c r="I138" s="20" t="n">
        <v>35.822</v>
      </c>
      <c r="J138" s="20" t="n">
        <v>429.688</v>
      </c>
      <c r="K138" s="20" t="n">
        <v>485.2</v>
      </c>
      <c r="L138" s="20" t="n">
        <v>345.04</v>
      </c>
      <c r="M138" s="20" t="n">
        <v>97.163</v>
      </c>
      <c r="N138" s="20" t="n">
        <v>695.451</v>
      </c>
      <c r="T138" s="20" t="n">
        <v>222.22</v>
      </c>
      <c r="U138" s="20" t="n">
        <v>61.566</v>
      </c>
      <c r="V138" s="20" t="n">
        <v>73.248</v>
      </c>
      <c r="W138" s="20" t="n">
        <v>323.542</v>
      </c>
      <c r="X138" s="20" t="n">
        <v>345.04</v>
      </c>
    </row>
    <row r="139">
      <c r="A139" s="18" t="inlineStr">
        <is>
          <t>법인세 조정액</t>
        </is>
      </c>
      <c r="C139" s="20" t="n">
        <v>92.88800000000001</v>
      </c>
      <c r="D139" s="20" t="n">
        <v>-69.879</v>
      </c>
      <c r="E139" s="20" t="n">
        <v>151.381</v>
      </c>
      <c r="F139" s="20" t="n">
        <v>-129.547</v>
      </c>
      <c r="G139" s="20" t="n">
        <v>12.058</v>
      </c>
      <c r="H139" s="20" t="n">
        <v>-40.424</v>
      </c>
      <c r="I139" s="20" t="n">
        <v>132.926</v>
      </c>
      <c r="J139" s="20" t="n">
        <v>-287.496</v>
      </c>
      <c r="K139" s="20" t="n">
        <v>66.676</v>
      </c>
      <c r="L139" s="20" t="n">
        <v>-131.946</v>
      </c>
      <c r="M139" s="20" t="n">
        <v>201.517</v>
      </c>
      <c r="N139" s="20" t="n">
        <v>-343.839</v>
      </c>
      <c r="T139" s="20" t="n">
        <v>-67.108</v>
      </c>
      <c r="U139" s="20" t="n">
        <v>2.439</v>
      </c>
      <c r="V139" s="20" t="n">
        <v>-69.879</v>
      </c>
      <c r="W139" s="20" t="n">
        <v>-40.424</v>
      </c>
      <c r="X139" s="20" t="n">
        <v>-131.946</v>
      </c>
    </row>
    <row r="140">
      <c r="A140" s="18" t="inlineStr">
        <is>
          <t>법인세 등 합계</t>
        </is>
      </c>
      <c r="C140" s="20" t="n">
        <v>270.039</v>
      </c>
      <c r="D140" s="20" t="n">
        <v>3.368</v>
      </c>
      <c r="E140" s="20" t="n">
        <v>171.562</v>
      </c>
      <c r="F140" s="20" t="n">
        <v>62.445</v>
      </c>
      <c r="G140" s="20" t="n">
        <v>410.918</v>
      </c>
      <c r="H140" s="20" t="n">
        <v>283.116</v>
      </c>
      <c r="I140" s="20" t="n">
        <v>168.749</v>
      </c>
      <c r="J140" s="20" t="n">
        <v>142.19</v>
      </c>
      <c r="K140" s="20" t="n">
        <v>551.876</v>
      </c>
      <c r="L140" s="20" t="n">
        <v>213.095</v>
      </c>
      <c r="M140" s="20" t="n">
        <v>298.681</v>
      </c>
      <c r="N140" s="20" t="n">
        <v>351.611</v>
      </c>
      <c r="T140" s="20" t="n">
        <v>155.113</v>
      </c>
      <c r="U140" s="20" t="n">
        <v>64.006</v>
      </c>
      <c r="V140" s="20" t="n">
        <v>3.368</v>
      </c>
      <c r="W140" s="20" t="n">
        <v>283.116</v>
      </c>
      <c r="X140" s="20" t="n">
        <v>213.095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T141" s="15">
        <f>IF(OR(T140="",S140=""),"",IF(T140*S140&lt;=0,"",IFERROR(T140/S140-1,"")))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순이익</t>
        </is>
      </c>
      <c r="C142" s="12" t="n">
        <v>526.361</v>
      </c>
      <c r="D142" s="12" t="n">
        <v>503.779</v>
      </c>
      <c r="E142" s="12" t="n">
        <v>244.613</v>
      </c>
      <c r="F142" s="12" t="n">
        <v>160.308</v>
      </c>
      <c r="G142" s="12" t="n">
        <v>833.0650000000001</v>
      </c>
      <c r="H142" s="12" t="n">
        <v>576.351</v>
      </c>
      <c r="I142" s="12" t="n">
        <v>278.408</v>
      </c>
      <c r="J142" s="12" t="n">
        <v>369.159</v>
      </c>
      <c r="K142" s="12" t="n">
        <v>1120.391</v>
      </c>
      <c r="L142" s="12" t="n">
        <v>1057.753</v>
      </c>
      <c r="M142" s="12" t="n">
        <v>514.4</v>
      </c>
      <c r="N142" s="12" t="n">
        <v>866.953</v>
      </c>
      <c r="T142" s="12" t="n">
        <v>677.187</v>
      </c>
      <c r="U142" s="12" t="n">
        <v>757.043</v>
      </c>
      <c r="V142" s="12" t="n">
        <v>503.779</v>
      </c>
      <c r="W142" s="12" t="n">
        <v>576.351</v>
      </c>
      <c r="X142" s="12" t="n">
        <v>1057.753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9" t="inlineStr">
        <is>
          <t>지배주주 순이익</t>
        </is>
      </c>
      <c r="C144" s="12" t="n">
        <v>526.361</v>
      </c>
      <c r="D144" s="12" t="n">
        <v>448.729</v>
      </c>
      <c r="E144" s="12" t="n">
        <v>244.613</v>
      </c>
      <c r="F144" s="12" t="n">
        <v>160.308</v>
      </c>
      <c r="G144" s="12" t="n">
        <v>833.0650000000001</v>
      </c>
      <c r="H144" s="12" t="n">
        <v>576.351</v>
      </c>
      <c r="I144" s="12" t="n">
        <v>278.408</v>
      </c>
      <c r="J144" s="12" t="n">
        <v>369.159</v>
      </c>
      <c r="K144" s="12" t="n">
        <v>1120.391</v>
      </c>
      <c r="L144" s="12" t="n">
        <v>1057.753</v>
      </c>
      <c r="M144" s="12" t="n">
        <v>514.4</v>
      </c>
      <c r="N144" s="12" t="n">
        <v>866.953</v>
      </c>
      <c r="T144" s="12" t="n">
        <v>518.293</v>
      </c>
      <c r="U144" s="12" t="n">
        <v>614.885</v>
      </c>
      <c r="V144" s="12" t="n">
        <v>448.729</v>
      </c>
      <c r="W144" s="12" t="n">
        <v>576.351</v>
      </c>
      <c r="X144" s="12" t="n">
        <v>1057.753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2024.3Q</t>
        </is>
      </c>
      <c r="D148" s="5" t="inlineStr">
        <is>
          <t>2024.4Q</t>
        </is>
      </c>
      <c r="E148" s="5" t="inlineStr">
        <is>
          <t>2025.1Q</t>
        </is>
      </c>
      <c r="F148" s="5" t="inlineStr">
        <is>
          <t>2025.2Q</t>
        </is>
      </c>
      <c r="G148" s="5" t="inlineStr">
        <is>
          <t>2025.3Q</t>
        </is>
      </c>
      <c r="H148" s="5" t="inlineStr">
        <is>
          <t>2025.4Q</t>
        </is>
      </c>
      <c r="I148" s="5" t="inlineStr">
        <is>
          <t>2026.1Q</t>
        </is>
      </c>
      <c r="J148" s="5" t="inlineStr">
        <is>
          <t>2026.2Q</t>
        </is>
      </c>
      <c r="K148" s="5" t="inlineStr">
        <is>
          <t>2026.3Q</t>
        </is>
      </c>
      <c r="L148" s="5" t="inlineStr">
        <is>
          <t>2026.4Q</t>
        </is>
      </c>
      <c r="M148" s="5" t="inlineStr">
        <is>
          <t>2027.1Q</t>
        </is>
      </c>
      <c r="N148" s="5" t="inlineStr">
        <is>
          <t>2027.2Q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9" t="inlineStr">
        <is>
          <t>순이익</t>
        </is>
      </c>
      <c r="C149" s="12" t="n">
        <v>526.361</v>
      </c>
      <c r="D149" s="12" t="n">
        <v>448.729</v>
      </c>
      <c r="E149" s="12" t="n">
        <v>244.613</v>
      </c>
      <c r="F149" s="12" t="n">
        <v>160.308</v>
      </c>
      <c r="G149" s="12" t="n">
        <v>833.0650000000001</v>
      </c>
      <c r="H149" s="12" t="n">
        <v>576.351</v>
      </c>
      <c r="I149" s="12" t="n">
        <v>278.408</v>
      </c>
      <c r="J149" s="12" t="n">
        <v>369.159</v>
      </c>
      <c r="K149" s="12" t="n">
        <v>1120.391</v>
      </c>
      <c r="L149" s="12" t="n">
        <v>1057.753</v>
      </c>
      <c r="M149" s="12" t="n">
        <v>514.4</v>
      </c>
      <c r="N149" s="12" t="n">
        <v>866.953</v>
      </c>
      <c r="T149" s="12" t="n">
        <v>518.293</v>
      </c>
      <c r="U149" s="12" t="n">
        <v>614.885</v>
      </c>
      <c r="V149" s="12" t="n">
        <v>448.729</v>
      </c>
      <c r="W149" s="12" t="n">
        <v>576.351</v>
      </c>
      <c r="X149" s="12" t="n">
        <v>1057.753</v>
      </c>
    </row>
    <row r="150">
      <c r="A150" s="18" t="inlineStr">
        <is>
          <t>기타유가증권 평가차액</t>
        </is>
      </c>
      <c r="C150" s="20" t="n">
        <v>-30.186</v>
      </c>
      <c r="D150" s="20" t="n">
        <v>-3.69</v>
      </c>
      <c r="E150" s="20" t="n">
        <v>6.063</v>
      </c>
      <c r="F150" s="20" t="n">
        <v>10.014</v>
      </c>
      <c r="G150" s="20" t="n">
        <v>4.98</v>
      </c>
      <c r="H150" s="20" t="n">
        <v>-14.766</v>
      </c>
      <c r="I150" s="20" t="n">
        <v>-0.177</v>
      </c>
      <c r="J150" s="20" t="n">
        <v>0.654</v>
      </c>
      <c r="K150" s="20" t="n">
        <v>-7.305</v>
      </c>
      <c r="L150" s="20" t="n">
        <v>-2.311</v>
      </c>
      <c r="M150" s="20" t="n">
        <v>-0.357</v>
      </c>
      <c r="N150" s="20" t="n">
        <v>-0.499</v>
      </c>
      <c r="T150" s="20" t="n">
        <v>-0.417</v>
      </c>
      <c r="U150" s="20" t="n">
        <v>-1.066</v>
      </c>
      <c r="V150" s="20" t="n">
        <v>-3.69</v>
      </c>
      <c r="W150" s="20" t="n">
        <v>-14.766</v>
      </c>
      <c r="X150" s="20" t="n">
        <v>-2.311</v>
      </c>
    </row>
    <row r="151">
      <c r="A151" s="18" t="inlineStr">
        <is>
          <t>기타포괄손익 합계</t>
        </is>
      </c>
      <c r="C151" s="20" t="n">
        <v>-30.186</v>
      </c>
      <c r="D151" s="20" t="n">
        <v>-3.69</v>
      </c>
      <c r="E151" s="20" t="n">
        <v>6.063</v>
      </c>
      <c r="F151" s="20" t="n">
        <v>10.014</v>
      </c>
      <c r="G151" s="20" t="n">
        <v>4.98</v>
      </c>
      <c r="H151" s="20" t="n">
        <v>-14.766</v>
      </c>
      <c r="I151" s="20" t="n">
        <v>-0.177</v>
      </c>
      <c r="J151" s="20" t="n">
        <v>0.654</v>
      </c>
      <c r="K151" s="20" t="n">
        <v>-7.305</v>
      </c>
      <c r="L151" s="20" t="n">
        <v>-2.311</v>
      </c>
      <c r="M151" s="20" t="n">
        <v>-0.357</v>
      </c>
      <c r="N151" s="20" t="n">
        <v>-0.499</v>
      </c>
      <c r="T151" s="20" t="n">
        <v>-0.417</v>
      </c>
      <c r="U151" s="20" t="n">
        <v>-1.066</v>
      </c>
      <c r="V151" s="20" t="n">
        <v>-3.69</v>
      </c>
      <c r="W151" s="20" t="n">
        <v>-14.766</v>
      </c>
      <c r="X151" s="20" t="n">
        <v>-2.311</v>
      </c>
    </row>
    <row r="152">
      <c r="A152" s="9" t="inlineStr">
        <is>
          <t>포괄이익</t>
        </is>
      </c>
      <c r="C152" s="12" t="n">
        <v>496.173</v>
      </c>
      <c r="D152" s="12" t="n">
        <v>445.039</v>
      </c>
      <c r="E152" s="12" t="n">
        <v>250.676</v>
      </c>
      <c r="F152" s="12" t="n">
        <v>170.323</v>
      </c>
      <c r="G152" s="12" t="n">
        <v>838.044</v>
      </c>
      <c r="H152" s="12" t="n">
        <v>561.586</v>
      </c>
      <c r="I152" s="12" t="n">
        <v>278.231</v>
      </c>
      <c r="J152" s="12" t="n">
        <v>369.814</v>
      </c>
      <c r="K152" s="12" t="n">
        <v>1113.085</v>
      </c>
      <c r="L152" s="12" t="n">
        <v>1055.441</v>
      </c>
      <c r="M152" s="12" t="n">
        <v>514.043</v>
      </c>
      <c r="N152" s="12" t="n">
        <v>866.454</v>
      </c>
      <c r="T152" s="12" t="n">
        <v>517.877</v>
      </c>
      <c r="U152" s="12" t="n">
        <v>613.819</v>
      </c>
      <c r="V152" s="12" t="n">
        <v>445.039</v>
      </c>
      <c r="W152" s="12" t="n">
        <v>561.586</v>
      </c>
      <c r="X152" s="12" t="n">
        <v>1055.441</v>
      </c>
    </row>
    <row r="153">
      <c r="A153" s="9" t="inlineStr">
        <is>
          <t>지배주주 포괄이익</t>
        </is>
      </c>
      <c r="C153" s="12" t="n">
        <v>496.173</v>
      </c>
      <c r="D153" s="12" t="n">
        <v>445.039</v>
      </c>
      <c r="E153" s="12" t="n">
        <v>250.676</v>
      </c>
      <c r="F153" s="12" t="n">
        <v>170.323</v>
      </c>
      <c r="G153" s="12" t="n">
        <v>838.044</v>
      </c>
      <c r="H153" s="12" t="n">
        <v>561.586</v>
      </c>
      <c r="I153" s="12" t="n">
        <v>278.231</v>
      </c>
      <c r="J153" s="12" t="n">
        <v>369.814</v>
      </c>
      <c r="K153" s="12" t="n">
        <v>1113.085</v>
      </c>
      <c r="L153" s="12" t="n">
        <v>1055.441</v>
      </c>
      <c r="M153" s="12" t="n">
        <v>514.043</v>
      </c>
      <c r="N153" s="12" t="n">
        <v>866.454</v>
      </c>
      <c r="T153" s="12" t="n">
        <v>517.877</v>
      </c>
      <c r="U153" s="12" t="n">
        <v>613.819</v>
      </c>
      <c r="V153" s="12" t="n">
        <v>445.039</v>
      </c>
      <c r="W153" s="12" t="n">
        <v>561.586</v>
      </c>
      <c r="X153" s="12" t="n">
        <v>1055.441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2024.3Q</t>
        </is>
      </c>
      <c r="D156" s="5" t="inlineStr">
        <is>
          <t>2024.4Q</t>
        </is>
      </c>
      <c r="E156" s="5" t="inlineStr">
        <is>
          <t>2025.1Q</t>
        </is>
      </c>
      <c r="F156" s="5" t="inlineStr">
        <is>
          <t>2025.2Q</t>
        </is>
      </c>
      <c r="G156" s="5" t="inlineStr">
        <is>
          <t>2025.3Q</t>
        </is>
      </c>
      <c r="H156" s="5" t="inlineStr">
        <is>
          <t>2025.4Q</t>
        </is>
      </c>
      <c r="I156" s="5" t="inlineStr">
        <is>
          <t>2026.1Q</t>
        </is>
      </c>
      <c r="J156" s="5" t="inlineStr">
        <is>
          <t>2026.2Q</t>
        </is>
      </c>
      <c r="K156" s="5" t="inlineStr">
        <is>
          <t>2026.3Q</t>
        </is>
      </c>
      <c r="L156" s="5" t="inlineStr">
        <is>
          <t>2026.4Q</t>
        </is>
      </c>
      <c r="M156" s="5" t="inlineStr">
        <is>
          <t>2027.1Q</t>
        </is>
      </c>
      <c r="N156" s="5" t="inlineStr">
        <is>
          <t>2027.2Q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부문 · 외부 고객 매출</t>
        </is>
      </c>
      <c r="C157" s="20" t="n">
        <v>1224.677</v>
      </c>
      <c r="D157" s="20" t="n">
        <v>1375.232</v>
      </c>
      <c r="E157" s="20" t="n">
        <v>965.138</v>
      </c>
      <c r="F157" s="20" t="n">
        <v>1021.763</v>
      </c>
      <c r="G157" s="20" t="n">
        <v>1360.204</v>
      </c>
      <c r="H157" s="20" t="n">
        <v>1574.641</v>
      </c>
      <c r="I157" s="20" t="n">
        <v>1051.236</v>
      </c>
      <c r="J157" s="20" t="n">
        <v>1110.417</v>
      </c>
      <c r="K157" s="20" t="n">
        <v>1568.011</v>
      </c>
      <c r="L157" s="20" t="n">
        <v>1775.263</v>
      </c>
      <c r="M157" s="20" t="n">
        <v>1177.259</v>
      </c>
      <c r="N157" s="20" t="n">
        <v>1210.601</v>
      </c>
      <c r="V157" s="20" t="n">
        <v>1375.232</v>
      </c>
      <c r="W157" s="20" t="n">
        <v>1574.641</v>
      </c>
      <c r="X157" s="20" t="n">
        <v>1775.263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부문 · 외부 고객 매출</t>
        </is>
      </c>
      <c r="C159" s="20" t="n">
        <v>1238.506</v>
      </c>
      <c r="D159" s="20" t="n">
        <v>1489.119</v>
      </c>
      <c r="E159" s="20" t="n">
        <v>1675.213</v>
      </c>
      <c r="F159" s="20" t="n">
        <v>1374.009</v>
      </c>
      <c r="G159" s="20" t="n">
        <v>1897.917</v>
      </c>
      <c r="H159" s="20" t="n">
        <v>1671.703</v>
      </c>
      <c r="I159" s="20" t="n">
        <v>1814.004</v>
      </c>
      <c r="J159" s="20" t="n">
        <v>2179.159</v>
      </c>
      <c r="K159" s="20" t="n">
        <v>2175.863</v>
      </c>
      <c r="L159" s="20" t="n">
        <v>2023.075</v>
      </c>
      <c r="M159" s="20" t="n">
        <v>2342.802</v>
      </c>
      <c r="N159" s="20" t="n">
        <v>3130.675</v>
      </c>
      <c r="V159" s="20" t="n">
        <v>1489.119</v>
      </c>
      <c r="W159" s="20" t="n">
        <v>1671.703</v>
      </c>
      <c r="X159" s="20" t="n">
        <v>2023.075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부문 · 외부 고객 매출</t>
        </is>
      </c>
      <c r="C161" s="20" t="n">
        <v>1505.816</v>
      </c>
      <c r="D161" s="20" t="n">
        <v>1062.641</v>
      </c>
      <c r="E161" s="20" t="n">
        <v>883.274</v>
      </c>
      <c r="F161" s="20" t="n">
        <v>982.187</v>
      </c>
      <c r="G161" s="20" t="n">
        <v>1834.776</v>
      </c>
      <c r="H161" s="20" t="n">
        <v>1370.867</v>
      </c>
      <c r="I161" s="20" t="n">
        <v>1233.467</v>
      </c>
      <c r="J161" s="20" t="n">
        <v>1341.602</v>
      </c>
      <c r="K161" s="20" t="n">
        <v>2212.537</v>
      </c>
      <c r="L161" s="20" t="n">
        <v>1736.917</v>
      </c>
      <c r="M161" s="20" t="n">
        <v>1648.255</v>
      </c>
      <c r="N161" s="20" t="n">
        <v>1717.154</v>
      </c>
      <c r="V161" s="20" t="n">
        <v>1062.641</v>
      </c>
      <c r="W161" s="20" t="n">
        <v>1370.867</v>
      </c>
      <c r="X161" s="20" t="n">
        <v>1736.917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부동산 임대 사업 · 외부 고객 매출</t>
        </is>
      </c>
      <c r="C163" s="20" t="n">
        <v>27.449</v>
      </c>
      <c r="D163" s="20" t="n">
        <v>26.208</v>
      </c>
      <c r="E163" s="20" t="n">
        <v>26.953</v>
      </c>
      <c r="F163" s="20" t="n">
        <v>26.937</v>
      </c>
      <c r="G163" s="20" t="n">
        <v>27.719</v>
      </c>
      <c r="H163" s="20" t="n">
        <v>27.34</v>
      </c>
      <c r="I163" s="20" t="n">
        <v>26.124</v>
      </c>
      <c r="J163" s="20" t="n">
        <v>27.155</v>
      </c>
      <c r="K163" s="20" t="n">
        <v>28.511</v>
      </c>
      <c r="L163" s="20" t="n">
        <v>26.904</v>
      </c>
      <c r="M163" s="20" t="n">
        <v>27.094</v>
      </c>
      <c r="N163" s="20" t="n">
        <v>27.014</v>
      </c>
      <c r="V163" s="20" t="n">
        <v>26.208</v>
      </c>
      <c r="W163" s="20" t="n">
        <v>27.34</v>
      </c>
      <c r="X163" s="20" t="n">
        <v>26.904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부문 · 외부 고객 매출</t>
        </is>
      </c>
      <c r="C165" s="20" t="n">
        <v>51.313</v>
      </c>
      <c r="D165" s="20" t="n">
        <v>76.351</v>
      </c>
      <c r="E165" s="20" t="n">
        <v>72.223</v>
      </c>
      <c r="F165" s="20" t="n">
        <v>76.401</v>
      </c>
      <c r="G165" s="20" t="n">
        <v>58.154</v>
      </c>
      <c r="H165" s="20" t="n">
        <v>80.48399999999999</v>
      </c>
      <c r="I165" s="20" t="n">
        <v>84.46599999999999</v>
      </c>
      <c r="J165" s="20" t="n">
        <v>58.134</v>
      </c>
      <c r="K165" s="20" t="n">
        <v>64.074</v>
      </c>
      <c r="L165" s="20" t="n">
        <v>212.094</v>
      </c>
      <c r="M165" s="20" t="n">
        <v>56.748</v>
      </c>
      <c r="N165" s="20" t="n">
        <v>100.354</v>
      </c>
      <c r="V165" s="20" t="n">
        <v>76.351</v>
      </c>
      <c r="W165" s="20" t="n">
        <v>80.48399999999999</v>
      </c>
      <c r="X165" s="20" t="n">
        <v>212.094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보고부문 합계 · 외부 고객 매출</t>
        </is>
      </c>
      <c r="C167" s="20" t="n">
        <v>4047.762</v>
      </c>
      <c r="D167" s="20" t="n">
        <v>4029.55</v>
      </c>
      <c r="E167" s="20" t="n">
        <v>3622.802</v>
      </c>
      <c r="F167" s="20" t="n">
        <v>3481.299</v>
      </c>
      <c r="G167" s="20" t="n">
        <v>5178.769</v>
      </c>
      <c r="H167" s="20" t="n">
        <v>4725.035</v>
      </c>
      <c r="I167" s="20" t="n">
        <v>4209.299</v>
      </c>
      <c r="J167" s="20" t="n">
        <v>4716.467</v>
      </c>
      <c r="K167" s="20" t="n">
        <v>6048.997</v>
      </c>
      <c r="L167" s="20" t="n">
        <v>5774.252</v>
      </c>
      <c r="M167" s="20" t="n">
        <v>5252.16</v>
      </c>
      <c r="N167" s="20" t="n">
        <v>6185.798</v>
      </c>
      <c r="V167" s="20" t="n">
        <v>4029.55</v>
      </c>
      <c r="W167" s="20" t="n">
        <v>4725.035</v>
      </c>
      <c r="X167" s="20" t="n">
        <v>5774.252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기타 · 외부 고객 매출</t>
        </is>
      </c>
      <c r="C169" s="20" t="n">
        <v>14.623</v>
      </c>
      <c r="D169" s="20" t="n">
        <v>13.873</v>
      </c>
      <c r="E169" s="20" t="n">
        <v>14.772</v>
      </c>
      <c r="F169" s="20" t="n">
        <v>15.081</v>
      </c>
      <c r="G169" s="20" t="n">
        <v>14.052</v>
      </c>
      <c r="H169" s="20" t="n">
        <v>14.562</v>
      </c>
      <c r="I169" s="20" t="n">
        <v>15.232</v>
      </c>
      <c r="J169" s="20" t="n">
        <v>15.383</v>
      </c>
      <c r="K169" s="20" t="n">
        <v>14.986</v>
      </c>
      <c r="L169" s="20" t="n">
        <v>13.056</v>
      </c>
      <c r="M169" s="20" t="n">
        <v>12.673</v>
      </c>
      <c r="N169" s="20" t="n">
        <v>7.978</v>
      </c>
      <c r="V169" s="20" t="n">
        <v>13.873</v>
      </c>
      <c r="W169" s="20" t="n">
        <v>14.562</v>
      </c>
      <c r="X169" s="20" t="n">
        <v>13.056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합계 · 외부 고객 매출</t>
        </is>
      </c>
      <c r="C171" s="20" t="n">
        <v>4062.384</v>
      </c>
      <c r="D171" s="20" t="n">
        <v>4043.424</v>
      </c>
      <c r="E171" s="20" t="n">
        <v>3637.575</v>
      </c>
      <c r="F171" s="20" t="n">
        <v>3496.379</v>
      </c>
      <c r="G171" s="20" t="n">
        <v>5192.821</v>
      </c>
      <c r="H171" s="20" t="n">
        <v>4739.598</v>
      </c>
      <c r="I171" s="20" t="n">
        <v>4224.532</v>
      </c>
      <c r="J171" s="20" t="n">
        <v>4731.85</v>
      </c>
      <c r="K171" s="20" t="n">
        <v>6063.982</v>
      </c>
      <c r="L171" s="20" t="n">
        <v>5787.308</v>
      </c>
      <c r="M171" s="20" t="n">
        <v>5264.834</v>
      </c>
      <c r="N171" s="20" t="n">
        <v>6193.775</v>
      </c>
      <c r="V171" s="20" t="n">
        <v>4043.424</v>
      </c>
      <c r="W171" s="20" t="n">
        <v>4739.598</v>
      </c>
      <c r="X171" s="20" t="n">
        <v>5787.308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부문 · 부문 간 내부매출·대체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V173" s="20" t="n">
        <v>0</v>
      </c>
      <c r="W173" s="20" t="n">
        <v>0</v>
      </c>
      <c r="X173" s="20" t="n">
        <v>0</v>
      </c>
    </row>
    <row r="174">
      <c r="A174" s="18" t="inlineStr">
        <is>
          <t>부문 · 부문 간 내부매출·대체</t>
        </is>
      </c>
      <c r="C174" s="20" t="n">
        <v>1.253</v>
      </c>
      <c r="D174" s="20" t="n">
        <v>2.318</v>
      </c>
      <c r="E174" s="20" t="n">
        <v>1.016</v>
      </c>
      <c r="F174" s="20" t="n">
        <v>1.612</v>
      </c>
      <c r="G174" s="20" t="n">
        <v>1.451</v>
      </c>
      <c r="H174" s="20" t="n">
        <v>1.067</v>
      </c>
      <c r="I174" s="20" t="n">
        <v>0.748</v>
      </c>
      <c r="J174" s="20" t="n">
        <v>0.872</v>
      </c>
      <c r="K174" s="20" t="n">
        <v>1.945</v>
      </c>
      <c r="L174" s="20" t="n">
        <v>1.308</v>
      </c>
      <c r="M174" s="20" t="n">
        <v>0.642</v>
      </c>
      <c r="N174" s="20" t="n">
        <v>0.723</v>
      </c>
      <c r="V174" s="20" t="n">
        <v>2.318</v>
      </c>
      <c r="W174" s="20" t="n">
        <v>1.067</v>
      </c>
      <c r="X174" s="20" t="n">
        <v>1.308</v>
      </c>
    </row>
    <row r="175">
      <c r="A175" s="18" t="inlineStr">
        <is>
          <t>부문 · 부문 간 내부매출·대체</t>
        </is>
      </c>
      <c r="C175" s="20" t="n">
        <v>0.549</v>
      </c>
      <c r="D175" s="20" t="n">
        <v>0.551</v>
      </c>
      <c r="E175" s="20" t="n">
        <v>0.5639999999999999</v>
      </c>
      <c r="F175" s="20" t="n">
        <v>0.595</v>
      </c>
      <c r="G175" s="20" t="n">
        <v>0.594</v>
      </c>
      <c r="H175" s="20" t="n">
        <v>0.623</v>
      </c>
      <c r="I175" s="20" t="n">
        <v>0.635</v>
      </c>
      <c r="J175" s="20" t="n">
        <v>0.641</v>
      </c>
      <c r="K175" s="20" t="n">
        <v>0.643</v>
      </c>
      <c r="L175" s="20" t="n">
        <v>0.643</v>
      </c>
      <c r="M175" s="20" t="n">
        <v>0.644</v>
      </c>
      <c r="N175" s="20" t="n">
        <v>0.634</v>
      </c>
      <c r="V175" s="20" t="n">
        <v>0.551</v>
      </c>
      <c r="W175" s="20" t="n">
        <v>0.623</v>
      </c>
      <c r="X175" s="20" t="n">
        <v>0.643</v>
      </c>
    </row>
    <row r="176">
      <c r="A176" s="18" t="inlineStr">
        <is>
          <t>부동산 임대 사업 · 부문 간 내부매출·대체</t>
        </is>
      </c>
      <c r="C176" s="20" t="n">
        <v>2.175</v>
      </c>
      <c r="D176" s="20" t="n">
        <v>2.175</v>
      </c>
      <c r="E176" s="20" t="n">
        <v>1.454</v>
      </c>
      <c r="F176" s="20" t="n">
        <v>2.175</v>
      </c>
      <c r="G176" s="20" t="n">
        <v>2.175</v>
      </c>
      <c r="H176" s="20" t="n">
        <v>2.175</v>
      </c>
      <c r="I176" s="20" t="n">
        <v>2.175</v>
      </c>
      <c r="J176" s="20" t="n">
        <v>2.175</v>
      </c>
      <c r="K176" s="20" t="n">
        <v>2.175</v>
      </c>
      <c r="L176" s="20" t="n">
        <v>2.175</v>
      </c>
      <c r="M176" s="20" t="n">
        <v>2.175</v>
      </c>
      <c r="N176" s="20" t="n">
        <v>2.175</v>
      </c>
      <c r="V176" s="20" t="n">
        <v>2.175</v>
      </c>
      <c r="W176" s="20" t="n">
        <v>2.175</v>
      </c>
      <c r="X176" s="20" t="n">
        <v>2.175</v>
      </c>
    </row>
    <row r="177">
      <c r="A177" s="18" t="inlineStr">
        <is>
          <t>부문 · 부문 간 내부매출·대체</t>
        </is>
      </c>
      <c r="C177" s="20" t="n">
        <v>732.718</v>
      </c>
      <c r="D177" s="20" t="n">
        <v>1061.678</v>
      </c>
      <c r="E177" s="20" t="n">
        <v>655.495</v>
      </c>
      <c r="F177" s="20" t="n">
        <v>630.367</v>
      </c>
      <c r="G177" s="20" t="n">
        <v>878.449</v>
      </c>
      <c r="H177" s="20" t="n">
        <v>1500.751</v>
      </c>
      <c r="I177" s="20" t="n">
        <v>587.5309999999999</v>
      </c>
      <c r="J177" s="20" t="n">
        <v>528.5700000000001</v>
      </c>
      <c r="K177" s="20" t="n">
        <v>1168.8</v>
      </c>
      <c r="L177" s="20" t="n">
        <v>2224.639</v>
      </c>
      <c r="M177" s="20" t="n">
        <v>763.205</v>
      </c>
      <c r="N177" s="20" t="n">
        <v>1021.776</v>
      </c>
      <c r="V177" s="20" t="n">
        <v>1061.678</v>
      </c>
      <c r="W177" s="20" t="n">
        <v>1500.751</v>
      </c>
      <c r="X177" s="20" t="n">
        <v>2224.639</v>
      </c>
    </row>
    <row r="178">
      <c r="A178" s="18" t="inlineStr">
        <is>
          <t>보고부문 합계 · 부문 간 내부매출·대체</t>
        </is>
      </c>
      <c r="C178" s="20" t="n">
        <v>736.694</v>
      </c>
      <c r="D178" s="20" t="n">
        <v>1066.723</v>
      </c>
      <c r="E178" s="20" t="n">
        <v>658.529</v>
      </c>
      <c r="F178" s="20" t="n">
        <v>634.75</v>
      </c>
      <c r="G178" s="20" t="n">
        <v>882.669</v>
      </c>
      <c r="H178" s="20" t="n">
        <v>1504.615</v>
      </c>
      <c r="I178" s="20" t="n">
        <v>591.09</v>
      </c>
      <c r="J178" s="20" t="n">
        <v>532.258</v>
      </c>
      <c r="K178" s="20" t="n">
        <v>1173.563</v>
      </c>
      <c r="L178" s="20" t="n">
        <v>2228.765</v>
      </c>
      <c r="M178" s="20" t="n">
        <v>766.667</v>
      </c>
      <c r="N178" s="20" t="n">
        <v>1025.308</v>
      </c>
      <c r="V178" s="20" t="n">
        <v>1066.723</v>
      </c>
      <c r="W178" s="20" t="n">
        <v>1504.615</v>
      </c>
      <c r="X178" s="20" t="n">
        <v>2228.765</v>
      </c>
    </row>
    <row r="179">
      <c r="A179" s="18" t="inlineStr">
        <is>
          <t>기타 · 부문 간 내부매출·대체</t>
        </is>
      </c>
      <c r="C179" s="20" t="n">
        <v>1.533</v>
      </c>
      <c r="D179" s="20" t="n">
        <v>1.534</v>
      </c>
      <c r="E179" s="20" t="n">
        <v>1.533</v>
      </c>
      <c r="F179" s="20" t="n">
        <v>1.534</v>
      </c>
      <c r="G179" s="20" t="n">
        <v>1.533</v>
      </c>
      <c r="H179" s="20" t="n">
        <v>1.534</v>
      </c>
      <c r="I179" s="20" t="n">
        <v>1.533</v>
      </c>
      <c r="J179" s="20" t="n">
        <v>1.534</v>
      </c>
      <c r="K179" s="20" t="n">
        <v>1.533</v>
      </c>
      <c r="L179" s="20" t="n">
        <v>1.534</v>
      </c>
      <c r="M179" s="20" t="n">
        <v>1.533</v>
      </c>
      <c r="N179" s="20" t="n">
        <v>1.534</v>
      </c>
      <c r="V179" s="20" t="n">
        <v>1.534</v>
      </c>
      <c r="W179" s="20" t="n">
        <v>1.534</v>
      </c>
      <c r="X179" s="20" t="n">
        <v>1.534</v>
      </c>
    </row>
    <row r="180">
      <c r="A180" s="18" t="inlineStr">
        <is>
          <t>합계 · 부문 간 내부매출·대체</t>
        </is>
      </c>
      <c r="C180" s="20" t="n">
        <v>738.228</v>
      </c>
      <c r="D180" s="20" t="n">
        <v>1068.256</v>
      </c>
      <c r="E180" s="20" t="n">
        <v>660.063</v>
      </c>
      <c r="F180" s="20" t="n">
        <v>636.283</v>
      </c>
      <c r="G180" s="20" t="n">
        <v>884.203</v>
      </c>
      <c r="H180" s="20" t="n">
        <v>1506.148</v>
      </c>
      <c r="I180" s="20" t="n">
        <v>592.624</v>
      </c>
      <c r="J180" s="20" t="n">
        <v>533.7910000000001</v>
      </c>
      <c r="K180" s="20" t="n">
        <v>1175.097</v>
      </c>
      <c r="L180" s="20" t="n">
        <v>2230.298</v>
      </c>
      <c r="M180" s="20" t="n">
        <v>768.201</v>
      </c>
      <c r="N180" s="20" t="n">
        <v>1026.841</v>
      </c>
      <c r="V180" s="20" t="n">
        <v>1068.256</v>
      </c>
      <c r="W180" s="20" t="n">
        <v>1506.148</v>
      </c>
      <c r="X180" s="20" t="n">
        <v>2230.298</v>
      </c>
    </row>
    <row r="181">
      <c r="A181" s="18" t="inlineStr">
        <is>
          <t>부문 · 계</t>
        </is>
      </c>
      <c r="C181" s="20" t="n">
        <v>1224.677</v>
      </c>
      <c r="D181" s="20" t="n">
        <v>1375.232</v>
      </c>
      <c r="E181" s="20" t="n">
        <v>965.138</v>
      </c>
      <c r="F181" s="20" t="n">
        <v>1021.763</v>
      </c>
      <c r="G181" s="20" t="n">
        <v>1360.204</v>
      </c>
      <c r="H181" s="20" t="n">
        <v>1574.641</v>
      </c>
      <c r="I181" s="20" t="n">
        <v>1051.236</v>
      </c>
      <c r="J181" s="20" t="n">
        <v>1110.417</v>
      </c>
      <c r="K181" s="20" t="n">
        <v>1568.011</v>
      </c>
      <c r="L181" s="20" t="n">
        <v>1775.263</v>
      </c>
      <c r="M181" s="20" t="n">
        <v>1177.259</v>
      </c>
      <c r="N181" s="20" t="n">
        <v>1210.601</v>
      </c>
      <c r="V181" s="20" t="n">
        <v>1375.232</v>
      </c>
      <c r="W181" s="20" t="n">
        <v>1574.641</v>
      </c>
      <c r="X181" s="20" t="n">
        <v>1775.263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부문 · 계</t>
        </is>
      </c>
      <c r="C183" s="20" t="n">
        <v>1239.759</v>
      </c>
      <c r="D183" s="20" t="n">
        <v>1491.437</v>
      </c>
      <c r="E183" s="20" t="n">
        <v>1676.229</v>
      </c>
      <c r="F183" s="20" t="n">
        <v>1375.622</v>
      </c>
      <c r="G183" s="20" t="n">
        <v>1899.367</v>
      </c>
      <c r="H183" s="20" t="n">
        <v>1672.77</v>
      </c>
      <c r="I183" s="20" t="n">
        <v>1814.753</v>
      </c>
      <c r="J183" s="20" t="n">
        <v>2180.03</v>
      </c>
      <c r="K183" s="20" t="n">
        <v>2177.809</v>
      </c>
      <c r="L183" s="20" t="n">
        <v>2024.382</v>
      </c>
      <c r="M183" s="20" t="n">
        <v>2343.445</v>
      </c>
      <c r="N183" s="20" t="n">
        <v>3131.398</v>
      </c>
      <c r="V183" s="20" t="n">
        <v>1491.437</v>
      </c>
      <c r="W183" s="20" t="n">
        <v>1672.77</v>
      </c>
      <c r="X183" s="20" t="n">
        <v>2024.382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부문 · 계</t>
        </is>
      </c>
      <c r="C185" s="20" t="n">
        <v>1506.364</v>
      </c>
      <c r="D185" s="20" t="n">
        <v>1063.193</v>
      </c>
      <c r="E185" s="20" t="n">
        <v>883.838</v>
      </c>
      <c r="F185" s="20" t="n">
        <v>982.782</v>
      </c>
      <c r="G185" s="20" t="n">
        <v>1835.37</v>
      </c>
      <c r="H185" s="20" t="n">
        <v>1371.491</v>
      </c>
      <c r="I185" s="20" t="n">
        <v>1234.102</v>
      </c>
      <c r="J185" s="20" t="n">
        <v>1342.244</v>
      </c>
      <c r="K185" s="20" t="n">
        <v>2213.179</v>
      </c>
      <c r="L185" s="20" t="n">
        <v>1737.561</v>
      </c>
      <c r="M185" s="20" t="n">
        <v>1648.899</v>
      </c>
      <c r="N185" s="20" t="n">
        <v>1717.789</v>
      </c>
      <c r="V185" s="20" t="n">
        <v>1063.193</v>
      </c>
      <c r="W185" s="20" t="n">
        <v>1371.491</v>
      </c>
      <c r="X185" s="20" t="n">
        <v>1737.561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부동산 임대 사업 · 계</t>
        </is>
      </c>
      <c r="C187" s="20" t="n">
        <v>29.625</v>
      </c>
      <c r="D187" s="20" t="n">
        <v>28.383</v>
      </c>
      <c r="E187" s="20" t="n">
        <v>28.407</v>
      </c>
      <c r="F187" s="20" t="n">
        <v>29.112</v>
      </c>
      <c r="G187" s="20" t="n">
        <v>29.894</v>
      </c>
      <c r="H187" s="20" t="n">
        <v>29.515</v>
      </c>
      <c r="I187" s="20" t="n">
        <v>28.299</v>
      </c>
      <c r="J187" s="20" t="n">
        <v>29.33</v>
      </c>
      <c r="K187" s="20" t="n">
        <v>30.686</v>
      </c>
      <c r="L187" s="20" t="n">
        <v>29.079</v>
      </c>
      <c r="M187" s="20" t="n">
        <v>29.269</v>
      </c>
      <c r="N187" s="20" t="n">
        <v>29.189</v>
      </c>
      <c r="V187" s="20" t="n">
        <v>28.383</v>
      </c>
      <c r="W187" s="20" t="n">
        <v>29.515</v>
      </c>
      <c r="X187" s="20" t="n">
        <v>29.079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부문 · 계</t>
        </is>
      </c>
      <c r="C189" s="20" t="n">
        <v>784.0309999999999</v>
      </c>
      <c r="D189" s="20" t="n">
        <v>1138.029</v>
      </c>
      <c r="E189" s="20" t="n">
        <v>727.718</v>
      </c>
      <c r="F189" s="20" t="n">
        <v>706.768</v>
      </c>
      <c r="G189" s="20" t="n">
        <v>936.604</v>
      </c>
      <c r="H189" s="20" t="n">
        <v>1581.234</v>
      </c>
      <c r="I189" s="20" t="n">
        <v>671.997</v>
      </c>
      <c r="J189" s="20" t="n">
        <v>586.704</v>
      </c>
      <c r="K189" s="20" t="n">
        <v>1232.874</v>
      </c>
      <c r="L189" s="20" t="n">
        <v>2436.733</v>
      </c>
      <c r="M189" s="20" t="n">
        <v>819.953</v>
      </c>
      <c r="N189" s="20" t="n">
        <v>1122.13</v>
      </c>
      <c r="V189" s="20" t="n">
        <v>1138.029</v>
      </c>
      <c r="W189" s="20" t="n">
        <v>1581.234</v>
      </c>
      <c r="X189" s="20" t="n">
        <v>2436.733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보고부문 합계 · 계</t>
        </is>
      </c>
      <c r="C191" s="20" t="n">
        <v>4784.456</v>
      </c>
      <c r="D191" s="20" t="n">
        <v>5096.272</v>
      </c>
      <c r="E191" s="20" t="n">
        <v>4281.332</v>
      </c>
      <c r="F191" s="20" t="n">
        <v>4116.048</v>
      </c>
      <c r="G191" s="20" t="n">
        <v>6061.438</v>
      </c>
      <c r="H191" s="20" t="n">
        <v>6229.651</v>
      </c>
      <c r="I191" s="20" t="n">
        <v>4800.39</v>
      </c>
      <c r="J191" s="20" t="n">
        <v>5248.725</v>
      </c>
      <c r="K191" s="20" t="n">
        <v>7222.56</v>
      </c>
      <c r="L191" s="20" t="n">
        <v>8003.017</v>
      </c>
      <c r="M191" s="20" t="n">
        <v>6018.827</v>
      </c>
      <c r="N191" s="20" t="n">
        <v>7211.106</v>
      </c>
      <c r="V191" s="20" t="n">
        <v>5096.272</v>
      </c>
      <c r="W191" s="20" t="n">
        <v>6229.651</v>
      </c>
      <c r="X191" s="20" t="n">
        <v>8003.017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기타 · 계</t>
        </is>
      </c>
      <c r="C193" s="20" t="n">
        <v>16.156</v>
      </c>
      <c r="D193" s="20" t="n">
        <v>15.408</v>
      </c>
      <c r="E193" s="20" t="n">
        <v>16.306</v>
      </c>
      <c r="F193" s="20" t="n">
        <v>16.614</v>
      </c>
      <c r="G193" s="20" t="n">
        <v>15.586</v>
      </c>
      <c r="H193" s="20" t="n">
        <v>16.095</v>
      </c>
      <c r="I193" s="20" t="n">
        <v>16.766</v>
      </c>
      <c r="J193" s="20" t="n">
        <v>16.916</v>
      </c>
      <c r="K193" s="20" t="n">
        <v>16.52</v>
      </c>
      <c r="L193" s="20" t="n">
        <v>14.589</v>
      </c>
      <c r="M193" s="20" t="n">
        <v>14.207</v>
      </c>
      <c r="N193" s="20" t="n">
        <v>9.510999999999999</v>
      </c>
      <c r="V193" s="20" t="n">
        <v>15.408</v>
      </c>
      <c r="W193" s="20" t="n">
        <v>16.095</v>
      </c>
      <c r="X193" s="20" t="n">
        <v>14.589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합계 · 계</t>
        </is>
      </c>
      <c r="C195" s="20" t="n">
        <v>4800.613</v>
      </c>
      <c r="D195" s="20" t="n">
        <v>5111.68</v>
      </c>
      <c r="E195" s="20" t="n">
        <v>4297.638</v>
      </c>
      <c r="F195" s="20" t="n">
        <v>4132.663</v>
      </c>
      <c r="G195" s="20" t="n">
        <v>6077.024</v>
      </c>
      <c r="H195" s="20" t="n">
        <v>6245.745</v>
      </c>
      <c r="I195" s="20" t="n">
        <v>4817.157</v>
      </c>
      <c r="J195" s="20" t="n">
        <v>5265.641</v>
      </c>
      <c r="K195" s="20" t="n">
        <v>7239.079</v>
      </c>
      <c r="L195" s="20" t="n">
        <v>8017.606</v>
      </c>
      <c r="M195" s="20" t="n">
        <v>6033.035</v>
      </c>
      <c r="N195" s="20" t="n">
        <v>7220.617</v>
      </c>
      <c r="V195" s="20" t="n">
        <v>5111.68</v>
      </c>
      <c r="W195" s="20" t="n">
        <v>6245.745</v>
      </c>
      <c r="X195" s="20" t="n">
        <v>8017.606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부문 · 부문 이익(손실)</t>
        </is>
      </c>
      <c r="C197" s="20" t="n">
        <v>415.765</v>
      </c>
      <c r="D197" s="20" t="n">
        <v>437.558</v>
      </c>
      <c r="E197" s="20" t="n">
        <v>247.09</v>
      </c>
      <c r="F197" s="20" t="n">
        <v>294.313</v>
      </c>
      <c r="G197" s="20" t="n">
        <v>443.359</v>
      </c>
      <c r="H197" s="20" t="n">
        <v>625.62</v>
      </c>
      <c r="I197" s="20" t="n">
        <v>294.239</v>
      </c>
      <c r="J197" s="20" t="n">
        <v>284.897</v>
      </c>
      <c r="K197" s="20" t="n">
        <v>558.718</v>
      </c>
      <c r="L197" s="20" t="n">
        <v>735.6319999999999</v>
      </c>
      <c r="M197" s="20" t="n">
        <v>349.104</v>
      </c>
      <c r="N197" s="20" t="n">
        <v>345.938</v>
      </c>
      <c r="V197" s="20" t="n">
        <v>437.558</v>
      </c>
      <c r="W197" s="20" t="n">
        <v>625.62</v>
      </c>
      <c r="X197" s="20" t="n">
        <v>735.6319999999999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IF(OR(C197="",C181=""),"",IF(C181&lt;=0,"",IFERROR(C197/C181,"")))</f>
        <v/>
      </c>
      <c r="D198" s="15">
        <f>IF(OR(D197="",D181=""),"",IF(D181&lt;=0,"",IFERROR(D197/D181,"")))</f>
        <v/>
      </c>
      <c r="E198" s="15">
        <f>IF(OR(E197="",E181=""),"",IF(E181&lt;=0,"",IFERROR(E197/E181,"")))</f>
        <v/>
      </c>
      <c r="F198" s="15">
        <f>IF(OR(F197="",F181=""),"",IF(F181&lt;=0,"",IFERROR(F197/F181,"")))</f>
        <v/>
      </c>
      <c r="G198" s="15">
        <f>IF(OR(G197="",G181=""),"",IF(G181&lt;=0,"",IFERROR(G197/G181,"")))</f>
        <v/>
      </c>
      <c r="H198" s="15">
        <f>IF(OR(H197="",H181=""),"",IF(H181&lt;=0,"",IFERROR(H197/H181,"")))</f>
        <v/>
      </c>
      <c r="I198" s="15">
        <f>IF(OR(I197="",I181=""),"",IF(I181&lt;=0,"",IFERROR(I197/I181,"")))</f>
        <v/>
      </c>
      <c r="J198" s="15">
        <f>IF(OR(J197="",J181=""),"",IF(J181&lt;=0,"",IFERROR(J197/J181,"")))</f>
        <v/>
      </c>
      <c r="K198" s="15">
        <f>IF(OR(K197="",K181=""),"",IF(K181&lt;=0,"",IFERROR(K197/K181,"")))</f>
        <v/>
      </c>
      <c r="L198" s="15">
        <f>IF(OR(L197="",L181=""),"",IF(L181&lt;=0,"",IFERROR(L197/L181,"")))</f>
        <v/>
      </c>
      <c r="M198" s="15">
        <f>IF(OR(M197="",M181=""),"",IF(M181&lt;=0,"",IFERROR(M197/M181,"")))</f>
        <v/>
      </c>
      <c r="N198" s="15">
        <f>IF(OR(N197="",N181=""),"",IF(N181&lt;=0,"",IFERROR(N197/N181,"")))</f>
        <v/>
      </c>
      <c r="V198" s="15">
        <f>IF(OR(V197="",V181=""),"",IF(V181&lt;=0,"",IFERROR(V197/V181,"")))</f>
        <v/>
      </c>
      <c r="W198" s="15">
        <f>IF(OR(W197="",W181=""),"",IF(W181&lt;=0,"",IFERROR(W197/W181,"")))</f>
        <v/>
      </c>
      <c r="X198" s="15">
        <f>IF(OR(X197="",X181=""),"",IF(X181&lt;=0,"",IFERROR(X197/X181,"")))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부문 · 부문 이익(손실)</t>
        </is>
      </c>
      <c r="C200" s="20" t="n">
        <v>35.537</v>
      </c>
      <c r="D200" s="20" t="n">
        <v>197.569</v>
      </c>
      <c r="E200" s="20" t="n">
        <v>518.499</v>
      </c>
      <c r="F200" s="20" t="n">
        <v>222.682</v>
      </c>
      <c r="G200" s="20" t="n">
        <v>557.562</v>
      </c>
      <c r="H200" s="20" t="n">
        <v>364.429</v>
      </c>
      <c r="I200" s="20" t="n">
        <v>493.643</v>
      </c>
      <c r="J200" s="20" t="n">
        <v>721.004</v>
      </c>
      <c r="K200" s="20" t="n">
        <v>778.92</v>
      </c>
      <c r="L200" s="20" t="n">
        <v>598.644</v>
      </c>
      <c r="M200" s="20" t="n">
        <v>781.078</v>
      </c>
      <c r="N200" s="20" t="n">
        <v>1342.874</v>
      </c>
      <c r="V200" s="20" t="n">
        <v>197.569</v>
      </c>
      <c r="W200" s="20" t="n">
        <v>364.429</v>
      </c>
      <c r="X200" s="20" t="n">
        <v>598.644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IF(OR(C200="",C183=""),"",IF(C183&lt;=0,"",IFERROR(C200/C183,"")))</f>
        <v/>
      </c>
      <c r="D201" s="15">
        <f>IF(OR(D200="",D183=""),"",IF(D183&lt;=0,"",IFERROR(D200/D183,"")))</f>
        <v/>
      </c>
      <c r="E201" s="15">
        <f>IF(OR(E200="",E183=""),"",IF(E183&lt;=0,"",IFERROR(E200/E183,"")))</f>
        <v/>
      </c>
      <c r="F201" s="15">
        <f>IF(OR(F200="",F183=""),"",IF(F183&lt;=0,"",IFERROR(F200/F183,"")))</f>
        <v/>
      </c>
      <c r="G201" s="15">
        <f>IF(OR(G200="",G183=""),"",IF(G183&lt;=0,"",IFERROR(G200/G183,"")))</f>
        <v/>
      </c>
      <c r="H201" s="15">
        <f>IF(OR(H200="",H183=""),"",IF(H183&lt;=0,"",IFERROR(H200/H183,"")))</f>
        <v/>
      </c>
      <c r="I201" s="15">
        <f>IF(OR(I200="",I183=""),"",IF(I183&lt;=0,"",IFERROR(I200/I183,"")))</f>
        <v/>
      </c>
      <c r="J201" s="15">
        <f>IF(OR(J200="",J183=""),"",IF(J183&lt;=0,"",IFERROR(J200/J183,"")))</f>
        <v/>
      </c>
      <c r="K201" s="15">
        <f>IF(OR(K200="",K183=""),"",IF(K183&lt;=0,"",IFERROR(K200/K183,"")))</f>
        <v/>
      </c>
      <c r="L201" s="15">
        <f>IF(OR(L200="",L183=""),"",IF(L183&lt;=0,"",IFERROR(L200/L183,"")))</f>
        <v/>
      </c>
      <c r="M201" s="15">
        <f>IF(OR(M200="",M183=""),"",IF(M183&lt;=0,"",IFERROR(M200/M183,"")))</f>
        <v/>
      </c>
      <c r="N201" s="15">
        <f>IF(OR(N200="",N183=""),"",IF(N183&lt;=0,"",IFERROR(N200/N183,"")))</f>
        <v/>
      </c>
      <c r="V201" s="15">
        <f>IF(OR(V200="",V183=""),"",IF(V183&lt;=0,"",IFERROR(V200/V183,"")))</f>
        <v/>
      </c>
      <c r="W201" s="15">
        <f>IF(OR(W200="",W183=""),"",IF(W183&lt;=0,"",IFERROR(W200/W183,"")))</f>
        <v/>
      </c>
      <c r="X201" s="15">
        <f>IF(OR(X200="",X183=""),"",IF(X183&lt;=0,"",IFERROR(X200/X183,"")))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부문 · 부문 이익(손실)</t>
        </is>
      </c>
      <c r="C203" s="20" t="n">
        <v>500.214</v>
      </c>
      <c r="D203" s="20" t="n">
        <v>120.126</v>
      </c>
      <c r="E203" s="20" t="n">
        <v>-90.89400000000001</v>
      </c>
      <c r="F203" s="20" t="n">
        <v>-27.915</v>
      </c>
      <c r="G203" s="20" t="n">
        <v>604.795</v>
      </c>
      <c r="H203" s="20" t="n">
        <v>185.396</v>
      </c>
      <c r="I203" s="20" t="n">
        <v>-40.434</v>
      </c>
      <c r="J203" s="20" t="n">
        <v>-120.377</v>
      </c>
      <c r="K203" s="20" t="n">
        <v>746.706</v>
      </c>
      <c r="L203" s="20" t="n">
        <v>262.617</v>
      </c>
      <c r="M203" s="20" t="n">
        <v>-23.943</v>
      </c>
      <c r="N203" s="20" t="n">
        <v>-74.602</v>
      </c>
      <c r="V203" s="20" t="n">
        <v>120.126</v>
      </c>
      <c r="W203" s="20" t="n">
        <v>185.396</v>
      </c>
      <c r="X203" s="20" t="n">
        <v>262.617</v>
      </c>
    </row>
    <row r="204">
      <c r="A204" s="43" t="inlineStr">
        <is>
          <t>OPM</t>
        </is>
      </c>
      <c r="B204" s="3" t="inlineStr">
        <is>
          <t>영업이익 ÷ 매출</t>
        </is>
      </c>
      <c r="C204" s="15">
        <f>IF(OR(C203="",C185=""),"",IF(C185&lt;=0,"",IFERROR(C203/C185,"")))</f>
        <v/>
      </c>
      <c r="D204" s="15">
        <f>IF(OR(D203="",D185=""),"",IF(D185&lt;=0,"",IFERROR(D203/D185,"")))</f>
        <v/>
      </c>
      <c r="E204" s="15">
        <f>IF(OR(E203="",E185=""),"",IF(E185&lt;=0,"",IFERROR(E203/E185,"")))</f>
        <v/>
      </c>
      <c r="F204" s="15">
        <f>IF(OR(F203="",F185=""),"",IF(F185&lt;=0,"",IFERROR(F203/F185,"")))</f>
        <v/>
      </c>
      <c r="G204" s="15">
        <f>IF(OR(G203="",G185=""),"",IF(G185&lt;=0,"",IFERROR(G203/G185,"")))</f>
        <v/>
      </c>
      <c r="H204" s="15">
        <f>IF(OR(H203="",H185=""),"",IF(H185&lt;=0,"",IFERROR(H203/H185,"")))</f>
        <v/>
      </c>
      <c r="I204" s="15">
        <f>IF(OR(I203="",I185=""),"",IF(I185&lt;=0,"",IFERROR(I203/I185,"")))</f>
        <v/>
      </c>
      <c r="J204" s="15">
        <f>IF(OR(J203="",J185=""),"",IF(J185&lt;=0,"",IFERROR(J203/J185,"")))</f>
        <v/>
      </c>
      <c r="K204" s="15">
        <f>IF(OR(K203="",K185=""),"",IF(K185&lt;=0,"",IFERROR(K203/K185,"")))</f>
        <v/>
      </c>
      <c r="L204" s="15">
        <f>IF(OR(L203="",L185=""),"",IF(L185&lt;=0,"",IFERROR(L203/L185,"")))</f>
        <v/>
      </c>
      <c r="M204" s="15">
        <f>IF(OR(M203="",M185=""),"",IF(M185&lt;=0,"",IFERROR(M203/M185,"")))</f>
        <v/>
      </c>
      <c r="N204" s="15">
        <f>IF(OR(N203="",N185=""),"",IF(N185&lt;=0,"",IFERROR(N203/N185,"")))</f>
        <v/>
      </c>
      <c r="V204" s="15">
        <f>IF(OR(V203="",V185=""),"",IF(V185&lt;=0,"",IFERROR(V203/V185,"")))</f>
        <v/>
      </c>
      <c r="W204" s="15">
        <f>IF(OR(W203="",W185=""),"",IF(W185&lt;=0,"",IFERROR(W203/W185,"")))</f>
        <v/>
      </c>
      <c r="X204" s="15">
        <f>IF(OR(X203="",X185=""),"",IF(X185&lt;=0,"",IFERROR(X203/X185,"")))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IF(OR(G203="",C203=""),"",IF(C203&lt;=0,"",IFERROR(G203/C203-1,"")))</f>
        <v/>
      </c>
      <c r="H205" s="15">
        <f>IF(OR(H203="",D203=""),"",IF(D203&lt;=0,"",IFERROR(H203/D203-1,"")))</f>
        <v/>
      </c>
      <c r="I205" s="15">
        <f>IF(OR(I203="",E203=""),"",IF(E203&lt;=0,"",IFERROR(I203/E203-1,"")))</f>
        <v/>
      </c>
      <c r="J205" s="15">
        <f>IF(OR(J203="",F203=""),"",IF(F203&lt;=0,"",IFERROR(J203/F203-1,"")))</f>
        <v/>
      </c>
      <c r="K205" s="15">
        <f>IF(OR(K203="",G203=""),"",IF(G203&lt;=0,"",IFERROR(K203/G203-1,"")))</f>
        <v/>
      </c>
      <c r="L205" s="15">
        <f>IF(OR(L203="",H203=""),"",IF(H203&lt;=0,"",IFERROR(L203/H203-1,"")))</f>
        <v/>
      </c>
      <c r="M205" s="15">
        <f>IF(OR(M203="",I203=""),"",IF(I203&lt;=0,"",IFERROR(M203/I203-1,"")))</f>
        <v/>
      </c>
      <c r="N205" s="15">
        <f>IF(OR(N203="",J203=""),"",IF(J203&lt;=0,"",IFERROR(N203/J203-1,"")))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  <c r="X205" s="15">
        <f>IF(OR(X203="",W203=""),"",IF(W203&lt;=0,"",IFERROR(X203/W203-1,"")))</f>
        <v/>
      </c>
    </row>
    <row r="206">
      <c r="A206" s="18" t="inlineStr">
        <is>
          <t>부동산 임대 사업 · 부문 이익(손실)</t>
        </is>
      </c>
      <c r="C206" s="20" t="n">
        <v>8.432</v>
      </c>
      <c r="D206" s="20" t="n">
        <v>7.595</v>
      </c>
      <c r="E206" s="20" t="n">
        <v>7.447</v>
      </c>
      <c r="F206" s="20" t="n">
        <v>6.694</v>
      </c>
      <c r="G206" s="20" t="n">
        <v>7.658</v>
      </c>
      <c r="H206" s="20" t="n">
        <v>7.506</v>
      </c>
      <c r="I206" s="20" t="n">
        <v>6.106</v>
      </c>
      <c r="J206" s="20" t="n">
        <v>6.264</v>
      </c>
      <c r="K206" s="20" t="n">
        <v>8.481</v>
      </c>
      <c r="L206" s="20" t="n">
        <v>6.89</v>
      </c>
      <c r="M206" s="20" t="n">
        <v>7.146</v>
      </c>
      <c r="N206" s="20" t="n">
        <v>5.866</v>
      </c>
      <c r="V206" s="20" t="n">
        <v>7.595</v>
      </c>
      <c r="W206" s="20" t="n">
        <v>7.506</v>
      </c>
      <c r="X206" s="20" t="n">
        <v>6.89</v>
      </c>
    </row>
    <row r="207">
      <c r="A207" s="43" t="inlineStr">
        <is>
          <t>OPM</t>
        </is>
      </c>
      <c r="B207" s="3" t="inlineStr">
        <is>
          <t>영업이익 ÷ 매출</t>
        </is>
      </c>
      <c r="C207" s="15">
        <f>IF(OR(C206="",C187=""),"",IF(C187&lt;=0,"",IFERROR(C206/C187,"")))</f>
        <v/>
      </c>
      <c r="D207" s="15">
        <f>IF(OR(D206="",D187=""),"",IF(D187&lt;=0,"",IFERROR(D206/D187,"")))</f>
        <v/>
      </c>
      <c r="E207" s="15">
        <f>IF(OR(E206="",E187=""),"",IF(E187&lt;=0,"",IFERROR(E206/E187,"")))</f>
        <v/>
      </c>
      <c r="F207" s="15">
        <f>IF(OR(F206="",F187=""),"",IF(F187&lt;=0,"",IFERROR(F206/F187,"")))</f>
        <v/>
      </c>
      <c r="G207" s="15">
        <f>IF(OR(G206="",G187=""),"",IF(G187&lt;=0,"",IFERROR(G206/G187,"")))</f>
        <v/>
      </c>
      <c r="H207" s="15">
        <f>IF(OR(H206="",H187=""),"",IF(H187&lt;=0,"",IFERROR(H206/H187,"")))</f>
        <v/>
      </c>
      <c r="I207" s="15">
        <f>IF(OR(I206="",I187=""),"",IF(I187&lt;=0,"",IFERROR(I206/I187,"")))</f>
        <v/>
      </c>
      <c r="J207" s="15">
        <f>IF(OR(J206="",J187=""),"",IF(J187&lt;=0,"",IFERROR(J206/J187,"")))</f>
        <v/>
      </c>
      <c r="K207" s="15">
        <f>IF(OR(K206="",K187=""),"",IF(K187&lt;=0,"",IFERROR(K206/K187,"")))</f>
        <v/>
      </c>
      <c r="L207" s="15">
        <f>IF(OR(L206="",L187=""),"",IF(L187&lt;=0,"",IFERROR(L206/L187,"")))</f>
        <v/>
      </c>
      <c r="M207" s="15">
        <f>IF(OR(M206="",M187=""),"",IF(M187&lt;=0,"",IFERROR(M206/M187,"")))</f>
        <v/>
      </c>
      <c r="N207" s="15">
        <f>IF(OR(N206="",N187=""),"",IF(N187&lt;=0,"",IFERROR(N206/N187,"")))</f>
        <v/>
      </c>
      <c r="V207" s="15">
        <f>IF(OR(V206="",V187=""),"",IF(V187&lt;=0,"",IFERROR(V206/V187,"")))</f>
        <v/>
      </c>
      <c r="W207" s="15">
        <f>IF(OR(W206="",W187=""),"",IF(W187&lt;=0,"",IFERROR(W206/W187,"")))</f>
        <v/>
      </c>
      <c r="X207" s="15">
        <f>IF(OR(X206="",X187=""),"",IF(X187&lt;=0,"",IFERROR(X206/X187,"")))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IF(OR(G206="",C206=""),"",IF(C206&lt;=0,"",IFERROR(G206/C206-1,"")))</f>
        <v/>
      </c>
      <c r="H208" s="15">
        <f>IF(OR(H206="",D206=""),"",IF(D206&lt;=0,"",IFERROR(H206/D206-1,"")))</f>
        <v/>
      </c>
      <c r="I208" s="15">
        <f>IF(OR(I206="",E206=""),"",IF(E206&lt;=0,"",IFERROR(I206/E206-1,"")))</f>
        <v/>
      </c>
      <c r="J208" s="15">
        <f>IF(OR(J206="",F206=""),"",IF(F206&lt;=0,"",IFERROR(J206/F206-1,"")))</f>
        <v/>
      </c>
      <c r="K208" s="15">
        <f>IF(OR(K206="",G206=""),"",IF(G206&lt;=0,"",IFERROR(K206/G206-1,"")))</f>
        <v/>
      </c>
      <c r="L208" s="15">
        <f>IF(OR(L206="",H206=""),"",IF(H206&lt;=0,"",IFERROR(L206/H206-1,"")))</f>
        <v/>
      </c>
      <c r="M208" s="15">
        <f>IF(OR(M206="",I206=""),"",IF(I206&lt;=0,"",IFERROR(M206/I206-1,"")))</f>
        <v/>
      </c>
      <c r="N208" s="15">
        <f>IF(OR(N206="",J206=""),"",IF(J206&lt;=0,"",IFERROR(N206/J206-1,"")))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부문 · 부문 이익(손실)</t>
        </is>
      </c>
      <c r="C209" s="20" t="n">
        <v>23.604</v>
      </c>
      <c r="D209" s="20" t="n">
        <v>43.695</v>
      </c>
      <c r="E209" s="20" t="n">
        <v>9.542999999999999</v>
      </c>
      <c r="F209" s="20" t="n">
        <v>-28.086</v>
      </c>
      <c r="G209" s="20" t="n">
        <v>-30.009</v>
      </c>
      <c r="H209" s="20" t="n">
        <v>88.09399999999999</v>
      </c>
      <c r="I209" s="20" t="n">
        <v>-42.698</v>
      </c>
      <c r="J209" s="20" t="n">
        <v>-128.853</v>
      </c>
      <c r="K209" s="20" t="n">
        <v>7.479</v>
      </c>
      <c r="L209" s="20" t="n">
        <v>163.719</v>
      </c>
      <c r="M209" s="20" t="n">
        <v>-7.818</v>
      </c>
      <c r="N209" s="20" t="n">
        <v>-55.508</v>
      </c>
      <c r="V209" s="20" t="n">
        <v>43.695</v>
      </c>
      <c r="W209" s="20" t="n">
        <v>88.09399999999999</v>
      </c>
      <c r="X209" s="20" t="n">
        <v>163.719</v>
      </c>
    </row>
    <row r="210">
      <c r="A210" s="43" t="inlineStr">
        <is>
          <t>OPM</t>
        </is>
      </c>
      <c r="B210" s="3" t="inlineStr">
        <is>
          <t>영업이익 ÷ 매출</t>
        </is>
      </c>
      <c r="C210" s="15">
        <f>IF(OR(C209="",C189=""),"",IF(C189&lt;=0,"",IFERROR(C209/C189,"")))</f>
        <v/>
      </c>
      <c r="D210" s="15">
        <f>IF(OR(D209="",D189=""),"",IF(D189&lt;=0,"",IFERROR(D209/D189,"")))</f>
        <v/>
      </c>
      <c r="E210" s="15">
        <f>IF(OR(E209="",E189=""),"",IF(E189&lt;=0,"",IFERROR(E209/E189,"")))</f>
        <v/>
      </c>
      <c r="F210" s="15">
        <f>IF(OR(F209="",F189=""),"",IF(F189&lt;=0,"",IFERROR(F209/F189,"")))</f>
        <v/>
      </c>
      <c r="G210" s="15">
        <f>IF(OR(G209="",G189=""),"",IF(G189&lt;=0,"",IFERROR(G209/G189,"")))</f>
        <v/>
      </c>
      <c r="H210" s="15">
        <f>IF(OR(H209="",H189=""),"",IF(H189&lt;=0,"",IFERROR(H209/H189,"")))</f>
        <v/>
      </c>
      <c r="I210" s="15">
        <f>IF(OR(I209="",I189=""),"",IF(I189&lt;=0,"",IFERROR(I209/I189,"")))</f>
        <v/>
      </c>
      <c r="J210" s="15">
        <f>IF(OR(J209="",J189=""),"",IF(J189&lt;=0,"",IFERROR(J209/J189,"")))</f>
        <v/>
      </c>
      <c r="K210" s="15">
        <f>IF(OR(K209="",K189=""),"",IF(K189&lt;=0,"",IFERROR(K209/K189,"")))</f>
        <v/>
      </c>
      <c r="L210" s="15">
        <f>IF(OR(L209="",L189=""),"",IF(L189&lt;=0,"",IFERROR(L209/L189,"")))</f>
        <v/>
      </c>
      <c r="M210" s="15">
        <f>IF(OR(M209="",M189=""),"",IF(M189&lt;=0,"",IFERROR(M209/M189,"")))</f>
        <v/>
      </c>
      <c r="N210" s="15">
        <f>IF(OR(N209="",N189=""),"",IF(N189&lt;=0,"",IFERROR(N209/N189,"")))</f>
        <v/>
      </c>
      <c r="V210" s="15">
        <f>IF(OR(V209="",V189=""),"",IF(V189&lt;=0,"",IFERROR(V209/V189,"")))</f>
        <v/>
      </c>
      <c r="W210" s="15">
        <f>IF(OR(W209="",W189=""),"",IF(W189&lt;=0,"",IFERROR(W209/W189,"")))</f>
        <v/>
      </c>
      <c r="X210" s="15">
        <f>IF(OR(X209="",X189=""),"",IF(X189&lt;=0,"",IFERROR(X209/X189,"")))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IF(OR(G209="",C209=""),"",IF(C209&lt;=0,"",IFERROR(G209/C209-1,"")))</f>
        <v/>
      </c>
      <c r="H211" s="15">
        <f>IF(OR(H209="",D209=""),"",IF(D209&lt;=0,"",IFERROR(H209/D209-1,"")))</f>
        <v/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K211" s="15">
        <f>IF(OR(K209="",G209=""),"",IF(G209&lt;=0,"",IFERROR(K209/G209-1,"")))</f>
        <v/>
      </c>
      <c r="L211" s="15">
        <f>IF(OR(L209="",H209=""),"",IF(H209&lt;=0,"",IFERROR(L209/H209-1,"")))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V211" s="15">
        <f>IF(OR(V209="",U209=""),"",IF(U209&lt;=0,"",IFERROR(V209/U209-1,"")))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보고부문 합계 · 부문 이익(손실)</t>
        </is>
      </c>
      <c r="C212" s="20" t="n">
        <v>983.552</v>
      </c>
      <c r="D212" s="20" t="n">
        <v>806.545</v>
      </c>
      <c r="E212" s="20" t="n">
        <v>691.686</v>
      </c>
      <c r="F212" s="20" t="n">
        <v>467.687</v>
      </c>
      <c r="G212" s="20" t="n">
        <v>1583.366</v>
      </c>
      <c r="H212" s="20" t="n">
        <v>1271.046</v>
      </c>
      <c r="I212" s="20" t="n">
        <v>710.857</v>
      </c>
      <c r="J212" s="20" t="n">
        <v>762.9349999999999</v>
      </c>
      <c r="K212" s="20" t="n">
        <v>2100.303</v>
      </c>
      <c r="L212" s="20" t="n">
        <v>1767.503</v>
      </c>
      <c r="M212" s="20" t="n">
        <v>1105.567</v>
      </c>
      <c r="N212" s="20" t="n">
        <v>1564.566</v>
      </c>
      <c r="V212" s="20" t="n">
        <v>806.545</v>
      </c>
      <c r="W212" s="20" t="n">
        <v>1271.046</v>
      </c>
      <c r="X212" s="20" t="n">
        <v>1767.503</v>
      </c>
    </row>
    <row r="213">
      <c r="A213" s="43" t="inlineStr">
        <is>
          <t>OPM</t>
        </is>
      </c>
      <c r="B213" s="3" t="inlineStr">
        <is>
          <t>영업이익 ÷ 매출</t>
        </is>
      </c>
      <c r="C213" s="15">
        <f>IF(OR(C212="",C191=""),"",IF(C191&lt;=0,"",IFERROR(C212/C191,"")))</f>
        <v/>
      </c>
      <c r="D213" s="15">
        <f>IF(OR(D212="",D191=""),"",IF(D191&lt;=0,"",IFERROR(D212/D191,"")))</f>
        <v/>
      </c>
      <c r="E213" s="15">
        <f>IF(OR(E212="",E191=""),"",IF(E191&lt;=0,"",IFERROR(E212/E191,"")))</f>
        <v/>
      </c>
      <c r="F213" s="15">
        <f>IF(OR(F212="",F191=""),"",IF(F191&lt;=0,"",IFERROR(F212/F191,"")))</f>
        <v/>
      </c>
      <c r="G213" s="15">
        <f>IF(OR(G212="",G191=""),"",IF(G191&lt;=0,"",IFERROR(G212/G191,"")))</f>
        <v/>
      </c>
      <c r="H213" s="15">
        <f>IF(OR(H212="",H191=""),"",IF(H191&lt;=0,"",IFERROR(H212/H191,"")))</f>
        <v/>
      </c>
      <c r="I213" s="15">
        <f>IF(OR(I212="",I191=""),"",IF(I191&lt;=0,"",IFERROR(I212/I191,"")))</f>
        <v/>
      </c>
      <c r="J213" s="15">
        <f>IF(OR(J212="",J191=""),"",IF(J191&lt;=0,"",IFERROR(J212/J191,"")))</f>
        <v/>
      </c>
      <c r="K213" s="15">
        <f>IF(OR(K212="",K191=""),"",IF(K191&lt;=0,"",IFERROR(K212/K191,"")))</f>
        <v/>
      </c>
      <c r="L213" s="15">
        <f>IF(OR(L212="",L191=""),"",IF(L191&lt;=0,"",IFERROR(L212/L191,"")))</f>
        <v/>
      </c>
      <c r="M213" s="15">
        <f>IF(OR(M212="",M191=""),"",IF(M191&lt;=0,"",IFERROR(M212/M191,"")))</f>
        <v/>
      </c>
      <c r="N213" s="15">
        <f>IF(OR(N212="",N191=""),"",IF(N191&lt;=0,"",IFERROR(N212/N191,"")))</f>
        <v/>
      </c>
      <c r="V213" s="15">
        <f>IF(OR(V212="",V191=""),"",IF(V191&lt;=0,"",IFERROR(V212/V191,"")))</f>
        <v/>
      </c>
      <c r="W213" s="15">
        <f>IF(OR(W212="",W191=""),"",IF(W191&lt;=0,"",IFERROR(W212/W191,"")))</f>
        <v/>
      </c>
      <c r="X213" s="15">
        <f>IF(OR(X212="",X191=""),"",IF(X191&lt;=0,"",IFERROR(X212/X191,"")))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IF(OR(G212="",C212=""),"",IF(C212&lt;=0,"",IFERROR(G212/C212-1,"")))</f>
        <v/>
      </c>
      <c r="H214" s="15">
        <f>IF(OR(H212="",D212=""),"",IF(D212&lt;=0,"",IFERROR(H212/D212-1,"")))</f>
        <v/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K214" s="15">
        <f>IF(OR(K212="",G212=""),"",IF(G212&lt;=0,"",IFERROR(K212/G212-1,"")))</f>
        <v/>
      </c>
      <c r="L214" s="15">
        <f>IF(OR(L212="",H212=""),"",IF(H212&lt;=0,"",IFERROR(L212/H212-1,"")))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  <c r="V214" s="15">
        <f>IF(OR(V212="",U212=""),"",IF(U212&lt;=0,"",IFERROR(V212/U212-1,"")))</f>
        <v/>
      </c>
      <c r="W214" s="15">
        <f>IF(OR(W212="",V212=""),"",IF(V212&lt;=0,"",IFERROR(W212/V212-1,"")))</f>
        <v/>
      </c>
      <c r="X214" s="15">
        <f>IF(OR(X212="",W212=""),"",IF(W212&lt;=0,"",IFERROR(X212/W212-1,"")))</f>
        <v/>
      </c>
    </row>
    <row r="215">
      <c r="A215" s="18" t="inlineStr">
        <is>
          <t>기타 · 부문 이익(손실)</t>
        </is>
      </c>
      <c r="C215" s="20" t="n">
        <v>0.8139999999999999</v>
      </c>
      <c r="D215" s="20" t="n">
        <v>0.621</v>
      </c>
      <c r="E215" s="20" t="n">
        <v>1.267</v>
      </c>
      <c r="F215" s="20" t="n">
        <v>1.432</v>
      </c>
      <c r="G215" s="20" t="n">
        <v>0.387</v>
      </c>
      <c r="H215" s="20" t="n">
        <v>1.676</v>
      </c>
      <c r="I215" s="20" t="n">
        <v>1.863</v>
      </c>
      <c r="J215" s="20" t="n">
        <v>1.056</v>
      </c>
      <c r="K215" s="20" t="n">
        <v>1.315</v>
      </c>
      <c r="L215" s="20" t="n">
        <v>1.841</v>
      </c>
      <c r="M215" s="20" t="n">
        <v>-0.177</v>
      </c>
      <c r="N215" s="20" t="n">
        <v>-4.223</v>
      </c>
      <c r="V215" s="20" t="n">
        <v>0.621</v>
      </c>
      <c r="W215" s="20" t="n">
        <v>1.676</v>
      </c>
      <c r="X215" s="20" t="n">
        <v>1.841</v>
      </c>
    </row>
    <row r="216">
      <c r="A216" s="43" t="inlineStr">
        <is>
          <t>OPM</t>
        </is>
      </c>
      <c r="B216" s="3" t="inlineStr">
        <is>
          <t>영업이익 ÷ 매출</t>
        </is>
      </c>
      <c r="C216" s="15">
        <f>IF(OR(C215="",C193=""),"",IF(C193&lt;=0,"",IFERROR(C215/C193,"")))</f>
        <v/>
      </c>
      <c r="D216" s="15">
        <f>IF(OR(D215="",D193=""),"",IF(D193&lt;=0,"",IFERROR(D215/D193,"")))</f>
        <v/>
      </c>
      <c r="E216" s="15">
        <f>IF(OR(E215="",E193=""),"",IF(E193&lt;=0,"",IFERROR(E215/E193,"")))</f>
        <v/>
      </c>
      <c r="F216" s="15">
        <f>IF(OR(F215="",F193=""),"",IF(F193&lt;=0,"",IFERROR(F215/F193,"")))</f>
        <v/>
      </c>
      <c r="G216" s="15">
        <f>IF(OR(G215="",G193=""),"",IF(G193&lt;=0,"",IFERROR(G215/G193,"")))</f>
        <v/>
      </c>
      <c r="H216" s="15">
        <f>IF(OR(H215="",H193=""),"",IF(H193&lt;=0,"",IFERROR(H215/H193,"")))</f>
        <v/>
      </c>
      <c r="I216" s="15">
        <f>IF(OR(I215="",I193=""),"",IF(I193&lt;=0,"",IFERROR(I215/I193,"")))</f>
        <v/>
      </c>
      <c r="J216" s="15">
        <f>IF(OR(J215="",J193=""),"",IF(J193&lt;=0,"",IFERROR(J215/J193,"")))</f>
        <v/>
      </c>
      <c r="K216" s="15">
        <f>IF(OR(K215="",K193=""),"",IF(K193&lt;=0,"",IFERROR(K215/K193,"")))</f>
        <v/>
      </c>
      <c r="L216" s="15">
        <f>IF(OR(L215="",L193=""),"",IF(L193&lt;=0,"",IFERROR(L215/L193,"")))</f>
        <v/>
      </c>
      <c r="M216" s="15">
        <f>IF(OR(M215="",M193=""),"",IF(M193&lt;=0,"",IFERROR(M215/M193,"")))</f>
        <v/>
      </c>
      <c r="N216" s="15">
        <f>IF(OR(N215="",N193=""),"",IF(N193&lt;=0,"",IFERROR(N215/N193,"")))</f>
        <v/>
      </c>
      <c r="V216" s="15">
        <f>IF(OR(V215="",V193=""),"",IF(V193&lt;=0,"",IFERROR(V215/V193,"")))</f>
        <v/>
      </c>
      <c r="W216" s="15">
        <f>IF(OR(W215="",W193=""),"",IF(W193&lt;=0,"",IFERROR(W215/W193,"")))</f>
        <v/>
      </c>
      <c r="X216" s="15">
        <f>IF(OR(X215="",X193=""),"",IF(X193&lt;=0,"",IFERROR(X215/X193,"")))</f>
        <v/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IF(OR(G215="",C215=""),"",IF(C215&lt;=0,"",IFERROR(G215/C215-1,"")))</f>
        <v/>
      </c>
      <c r="H217" s="15">
        <f>IF(OR(H215="",D215=""),"",IF(D215&lt;=0,"",IFERROR(H215/D215-1,"")))</f>
        <v/>
      </c>
      <c r="I217" s="15">
        <f>IF(OR(I215="",E215=""),"",IF(E215&lt;=0,"",IFERROR(I215/E215-1,"")))</f>
        <v/>
      </c>
      <c r="J217" s="15">
        <f>IF(OR(J215="",F215=""),"",IF(F215&lt;=0,"",IFERROR(J215/F215-1,"")))</f>
        <v/>
      </c>
      <c r="K217" s="15">
        <f>IF(OR(K215="",G215=""),"",IF(G215&lt;=0,"",IFERROR(K215/G215-1,"")))</f>
        <v/>
      </c>
      <c r="L217" s="15">
        <f>IF(OR(L215="",H215=""),"",IF(H215&lt;=0,"",IFERROR(L215/H215-1,"")))</f>
        <v/>
      </c>
      <c r="M217" s="15">
        <f>IF(OR(M215="",I215=""),"",IF(I215&lt;=0,"",IFERROR(M215/I215-1,"")))</f>
        <v/>
      </c>
      <c r="N217" s="15">
        <f>IF(OR(N215="",J215=""),"",IF(J215&lt;=0,"",IFERROR(N215/J215-1,"")))</f>
        <v/>
      </c>
      <c r="V217" s="15">
        <f>IF(OR(V215="",U215=""),"",IF(U215&lt;=0,"",IFERROR(V215/U215-1,"")))</f>
        <v/>
      </c>
      <c r="W217" s="15">
        <f>IF(OR(W215="",V215=""),"",IF(V215&lt;=0,"",IFERROR(W215/V215-1,"")))</f>
        <v/>
      </c>
      <c r="X217" s="15">
        <f>IF(OR(X215="",W215=""),"",IF(W215&lt;=0,"",IFERROR(X215/W215-1,"")))</f>
        <v/>
      </c>
    </row>
    <row r="218">
      <c r="A218" s="18" t="inlineStr">
        <is>
          <t>합계 · 부문 이익(손실)</t>
        </is>
      </c>
      <c r="C218" s="20" t="n">
        <v>984.366</v>
      </c>
      <c r="D218" s="20" t="n">
        <v>807.167</v>
      </c>
      <c r="E218" s="20" t="n">
        <v>692.953</v>
      </c>
      <c r="F218" s="20" t="n">
        <v>469.119</v>
      </c>
      <c r="G218" s="20" t="n">
        <v>1583.753</v>
      </c>
      <c r="H218" s="20" t="n">
        <v>1272.723</v>
      </c>
      <c r="I218" s="20" t="n">
        <v>712.72</v>
      </c>
      <c r="J218" s="20" t="n">
        <v>763.991</v>
      </c>
      <c r="K218" s="20" t="n">
        <v>2101.619</v>
      </c>
      <c r="L218" s="20" t="n">
        <v>1769.344</v>
      </c>
      <c r="M218" s="20" t="n">
        <v>1105.389</v>
      </c>
      <c r="N218" s="20" t="n">
        <v>1560.344</v>
      </c>
      <c r="V218" s="20" t="n">
        <v>807.167</v>
      </c>
      <c r="W218" s="20" t="n">
        <v>1272.723</v>
      </c>
      <c r="X218" s="20" t="n">
        <v>1769.344</v>
      </c>
    </row>
    <row r="219">
      <c r="A219" s="43" t="inlineStr">
        <is>
          <t>OPM</t>
        </is>
      </c>
      <c r="B219" s="3" t="inlineStr">
        <is>
          <t>영업이익 ÷ 매출</t>
        </is>
      </c>
      <c r="C219" s="15">
        <f>IF(OR(C218="",C195=""),"",IF(C195&lt;=0,"",IFERROR(C218/C195,"")))</f>
        <v/>
      </c>
      <c r="D219" s="15">
        <f>IF(OR(D218="",D195=""),"",IF(D195&lt;=0,"",IFERROR(D218/D195,"")))</f>
        <v/>
      </c>
      <c r="E219" s="15">
        <f>IF(OR(E218="",E195=""),"",IF(E195&lt;=0,"",IFERROR(E218/E195,"")))</f>
        <v/>
      </c>
      <c r="F219" s="15">
        <f>IF(OR(F218="",F195=""),"",IF(F195&lt;=0,"",IFERROR(F218/F195,"")))</f>
        <v/>
      </c>
      <c r="G219" s="15">
        <f>IF(OR(G218="",G195=""),"",IF(G195&lt;=0,"",IFERROR(G218/G195,"")))</f>
        <v/>
      </c>
      <c r="H219" s="15">
        <f>IF(OR(H218="",H195=""),"",IF(H195&lt;=0,"",IFERROR(H218/H195,"")))</f>
        <v/>
      </c>
      <c r="I219" s="15">
        <f>IF(OR(I218="",I195=""),"",IF(I195&lt;=0,"",IFERROR(I218/I195,"")))</f>
        <v/>
      </c>
      <c r="J219" s="15">
        <f>IF(OR(J218="",J195=""),"",IF(J195&lt;=0,"",IFERROR(J218/J195,"")))</f>
        <v/>
      </c>
      <c r="K219" s="15">
        <f>IF(OR(K218="",K195=""),"",IF(K195&lt;=0,"",IFERROR(K218/K195,"")))</f>
        <v/>
      </c>
      <c r="L219" s="15">
        <f>IF(OR(L218="",L195=""),"",IF(L195&lt;=0,"",IFERROR(L218/L195,"")))</f>
        <v/>
      </c>
      <c r="M219" s="15">
        <f>IF(OR(M218="",M195=""),"",IF(M195&lt;=0,"",IFERROR(M218/M195,"")))</f>
        <v/>
      </c>
      <c r="N219" s="15">
        <f>IF(OR(N218="",N195=""),"",IF(N195&lt;=0,"",IFERROR(N218/N195,"")))</f>
        <v/>
      </c>
      <c r="V219" s="15">
        <f>IF(OR(V218="",V195=""),"",IF(V195&lt;=0,"",IFERROR(V218/V195,"")))</f>
        <v/>
      </c>
      <c r="W219" s="15">
        <f>IF(OR(W218="",W195=""),"",IF(W195&lt;=0,"",IFERROR(W218/W195,"")))</f>
        <v/>
      </c>
      <c r="X219" s="15">
        <f>IF(OR(X218="",X195=""),"",IF(X195&lt;=0,"",IFERROR(X218/X195,"")))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IF(OR(G218="",C218=""),"",IF(C218&lt;=0,"",IFERROR(G218/C218-1,"")))</f>
        <v/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V220" s="15">
        <f>IF(OR(V218="",U218=""),"",IF(U218&lt;=0,"",IFERROR(V218/U218-1,"")))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2">
      <c r="A222" s="16" t="inlineStr">
        <is>
          <t>현금흐름표 · 전 항목</t>
        </is>
      </c>
      <c r="B222" s="42" t="inlineStr">
        <is>
          <t>분기 = 결산기 첫날부터 누계(공시 그대로)</t>
        </is>
      </c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</row>
    <row r="223">
      <c r="A223" s="5" t="inlineStr">
        <is>
          <t>항목</t>
        </is>
      </c>
      <c r="B223" s="5" t="inlineStr">
        <is>
          <t>참고</t>
        </is>
      </c>
      <c r="C223" s="5" t="inlineStr">
        <is>
          <t>2024.3Q</t>
        </is>
      </c>
      <c r="D223" s="5" t="inlineStr">
        <is>
          <t>2024.4Q</t>
        </is>
      </c>
      <c r="E223" s="5" t="inlineStr">
        <is>
          <t>2025.1Q</t>
        </is>
      </c>
      <c r="F223" s="5" t="inlineStr">
        <is>
          <t>2025.2Q</t>
        </is>
      </c>
      <c r="G223" s="5" t="inlineStr">
        <is>
          <t>2025.3Q</t>
        </is>
      </c>
      <c r="H223" s="5" t="inlineStr">
        <is>
          <t>2025.4Q</t>
        </is>
      </c>
      <c r="I223" s="5" t="inlineStr">
        <is>
          <t>2026.1Q</t>
        </is>
      </c>
      <c r="J223" s="5" t="inlineStr">
        <is>
          <t>2026.2Q</t>
        </is>
      </c>
      <c r="K223" s="5" t="inlineStr">
        <is>
          <t>2026.3Q</t>
        </is>
      </c>
      <c r="L223" s="5" t="inlineStr">
        <is>
          <t>2026.4Q</t>
        </is>
      </c>
      <c r="M223" s="5" t="inlineStr">
        <is>
          <t>2027.1Q</t>
        </is>
      </c>
      <c r="N223" s="5" t="inlineStr">
        <is>
          <t>2027.2Q</t>
        </is>
      </c>
      <c r="O223" s="5" t="inlineStr">
        <is>
          <t>2017</t>
        </is>
      </c>
      <c r="P223" s="5" t="inlineStr">
        <is>
          <t>2018</t>
        </is>
      </c>
      <c r="Q223" s="5" t="inlineStr">
        <is>
          <t>2019</t>
        </is>
      </c>
      <c r="R223" s="5" t="inlineStr">
        <is>
          <t>2020</t>
        </is>
      </c>
      <c r="S223" s="5" t="inlineStr">
        <is>
          <t>2021</t>
        </is>
      </c>
      <c r="T223" s="5" t="inlineStr">
        <is>
          <t>2022</t>
        </is>
      </c>
      <c r="U223" s="5" t="inlineStr">
        <is>
          <t>2023</t>
        </is>
      </c>
      <c r="V223" s="5" t="inlineStr">
        <is>
          <t>2024</t>
        </is>
      </c>
      <c r="W223" s="5" t="inlineStr">
        <is>
          <t>2025</t>
        </is>
      </c>
      <c r="X223" s="5" t="inlineStr">
        <is>
          <t>2026</t>
        </is>
      </c>
      <c r="Y223" s="5" t="inlineStr">
        <is>
          <t>2027(MW)</t>
        </is>
      </c>
      <c r="Z223" s="5" t="inlineStr">
        <is>
          <t>2028(MW)</t>
        </is>
      </c>
      <c r="AA223" s="5" t="inlineStr">
        <is>
          <t>2029(MW)</t>
        </is>
      </c>
      <c r="AB223" s="5" t="inlineStr">
        <is>
          <t>2030(MW)</t>
        </is>
      </c>
      <c r="AC223" s="5" t="inlineStr">
        <is>
          <t>2031(MW)</t>
        </is>
      </c>
    </row>
    <row r="224">
      <c r="A224" s="9" t="inlineStr">
        <is>
          <t>법인세차감전 순이익</t>
        </is>
      </c>
      <c r="D224" s="12" t="n">
        <v>2233.271</v>
      </c>
      <c r="H224" s="12" t="n">
        <v>2742.379</v>
      </c>
      <c r="L224" s="12" t="n">
        <v>3901.621</v>
      </c>
      <c r="O224" s="12" t="n">
        <v>1237.015</v>
      </c>
      <c r="P224" s="12" t="n">
        <v>1163.164</v>
      </c>
      <c r="Q224" s="12" t="n">
        <v>1419.333</v>
      </c>
      <c r="R224" s="12" t="n">
        <v>962.155</v>
      </c>
      <c r="S224" s="12" t="n">
        <v>1233.758</v>
      </c>
      <c r="T224" s="12" t="n">
        <v>2258.604</v>
      </c>
      <c r="U224" s="12" t="n">
        <v>2620.841</v>
      </c>
      <c r="V224" s="12" t="n">
        <v>2233.271</v>
      </c>
      <c r="W224" s="12" t="n">
        <v>2742.379</v>
      </c>
      <c r="X224" s="12" t="n">
        <v>3901.621</v>
      </c>
    </row>
    <row r="225">
      <c r="A225" s="18" t="inlineStr">
        <is>
          <t>감가상각비</t>
        </is>
      </c>
      <c r="D225" s="20" t="n">
        <v>1296.162</v>
      </c>
      <c r="H225" s="20" t="n">
        <v>1631.252</v>
      </c>
      <c r="L225" s="20" t="n">
        <v>2044.455</v>
      </c>
      <c r="O225" s="20" t="n">
        <v>207.536</v>
      </c>
      <c r="P225" s="20" t="n">
        <v>244.688</v>
      </c>
      <c r="Q225" s="20" t="n">
        <v>288.673</v>
      </c>
      <c r="R225" s="20" t="n">
        <v>391.545</v>
      </c>
      <c r="S225" s="20" t="n">
        <v>526.046</v>
      </c>
      <c r="T225" s="20" t="n">
        <v>753.485</v>
      </c>
      <c r="U225" s="20" t="n">
        <v>964.23</v>
      </c>
      <c r="V225" s="20" t="n">
        <v>1296.162</v>
      </c>
      <c r="W225" s="20" t="n">
        <v>1631.252</v>
      </c>
      <c r="X225" s="20" t="n">
        <v>2044.455</v>
      </c>
    </row>
    <row r="226">
      <c r="A226" s="18" t="inlineStr">
        <is>
          <t>장기선급비용 상각액</t>
        </is>
      </c>
      <c r="D226" s="20" t="n">
        <v>0.06</v>
      </c>
      <c r="H226" s="20" t="n">
        <v>0.002</v>
      </c>
      <c r="L226" s="20" t="n">
        <v>0</v>
      </c>
      <c r="O226" s="20" t="n">
        <v>0.574</v>
      </c>
      <c r="P226" s="20" t="n">
        <v>0.396</v>
      </c>
      <c r="Q226" s="20" t="n">
        <v>0.339</v>
      </c>
      <c r="R226" s="20" t="n">
        <v>0.489</v>
      </c>
      <c r="S226" s="20" t="n">
        <v>0.591</v>
      </c>
      <c r="T226" s="20" t="n">
        <v>0.447</v>
      </c>
      <c r="U226" s="20" t="n">
        <v>0.267</v>
      </c>
      <c r="V226" s="20" t="n">
        <v>0.06</v>
      </c>
      <c r="W226" s="20" t="n">
        <v>0.002</v>
      </c>
      <c r="X226" s="20" t="n">
        <v>0</v>
      </c>
    </row>
    <row r="227">
      <c r="A227" s="18" t="inlineStr">
        <is>
          <t>대손충당금 증감</t>
        </is>
      </c>
      <c r="D227" s="20" t="n">
        <v>41.33</v>
      </c>
      <c r="H227" s="20" t="n">
        <v>12.151</v>
      </c>
      <c r="L227" s="20" t="n">
        <v>40.62</v>
      </c>
      <c r="O227" s="20" t="n">
        <v>0.895</v>
      </c>
      <c r="P227" s="20" t="n">
        <v>-2.048</v>
      </c>
      <c r="Q227" s="20" t="n">
        <v>-7.811</v>
      </c>
      <c r="R227" s="20" t="n">
        <v>8.247</v>
      </c>
      <c r="S227" s="20" t="n">
        <v>-6.991</v>
      </c>
      <c r="T227" s="20" t="n">
        <v>3.59</v>
      </c>
      <c r="U227" s="20" t="n">
        <v>-11.036</v>
      </c>
      <c r="V227" s="20" t="n">
        <v>41.33</v>
      </c>
      <c r="W227" s="20" t="n">
        <v>12.151</v>
      </c>
      <c r="X227" s="20" t="n">
        <v>40.62</v>
      </c>
    </row>
    <row r="228">
      <c r="A228" s="18" t="inlineStr">
        <is>
          <t>상여충당금 증감</t>
        </is>
      </c>
      <c r="D228" s="20" t="n">
        <v>97.426</v>
      </c>
      <c r="H228" s="20" t="n">
        <v>6.59</v>
      </c>
      <c r="L228" s="20" t="n">
        <v>351.608</v>
      </c>
      <c r="O228" s="20" t="n">
        <v>12.82</v>
      </c>
      <c r="P228" s="20" t="n">
        <v>24.695</v>
      </c>
      <c r="Q228" s="20" t="n">
        <v>57.845</v>
      </c>
      <c r="R228" s="20" t="n">
        <v>19.999</v>
      </c>
      <c r="S228" s="20" t="n">
        <v>-2.558</v>
      </c>
      <c r="T228" s="20" t="n">
        <v>264.606</v>
      </c>
      <c r="U228" s="20" t="n">
        <v>31.342</v>
      </c>
      <c r="V228" s="20" t="n">
        <v>97.426</v>
      </c>
      <c r="W228" s="20" t="n">
        <v>6.59</v>
      </c>
      <c r="X228" s="20" t="n">
        <v>351.608</v>
      </c>
    </row>
    <row r="229">
      <c r="A229" s="18" t="inlineStr">
        <is>
          <t>퇴직급여부채 증감</t>
        </is>
      </c>
      <c r="D229" s="20" t="n">
        <v>8.401</v>
      </c>
      <c r="H229" s="20" t="n">
        <v>15.817</v>
      </c>
      <c r="L229" s="20" t="n">
        <v>21.529</v>
      </c>
      <c r="O229" s="20" t="n">
        <v>0</v>
      </c>
      <c r="P229" s="20" t="n">
        <v>5.989</v>
      </c>
      <c r="Q229" s="20" t="n">
        <v>12.144</v>
      </c>
      <c r="R229" s="20" t="n">
        <v>11.737</v>
      </c>
      <c r="S229" s="20" t="n">
        <v>11.274</v>
      </c>
      <c r="T229" s="20" t="n">
        <v>15.199</v>
      </c>
      <c r="U229" s="20" t="n">
        <v>13.807</v>
      </c>
      <c r="V229" s="20" t="n">
        <v>8.401</v>
      </c>
      <c r="W229" s="20" t="n">
        <v>15.817</v>
      </c>
      <c r="X229" s="20" t="n">
        <v>21.529</v>
      </c>
    </row>
    <row r="230">
      <c r="A230" s="18" t="inlineStr">
        <is>
          <t>이자·배당금 수익</t>
        </is>
      </c>
      <c r="D230" s="20" t="n">
        <v>-9.826000000000001</v>
      </c>
      <c r="H230" s="20" t="n">
        <v>-18.277</v>
      </c>
      <c r="L230" s="20" t="n">
        <v>-34.245</v>
      </c>
      <c r="O230" s="20" t="n">
        <v>-7.942</v>
      </c>
      <c r="P230" s="20" t="n">
        <v>-10.685</v>
      </c>
      <c r="Q230" s="20" t="n">
        <v>-12.076</v>
      </c>
      <c r="R230" s="20" t="n">
        <v>-11.81</v>
      </c>
      <c r="S230" s="20" t="n">
        <v>-9.343</v>
      </c>
      <c r="T230" s="20" t="n">
        <v>-8.298</v>
      </c>
      <c r="U230" s="20" t="n">
        <v>-7.736</v>
      </c>
      <c r="V230" s="20" t="n">
        <v>-9.826000000000001</v>
      </c>
      <c r="W230" s="20" t="n">
        <v>-18.277</v>
      </c>
      <c r="X230" s="20" t="n">
        <v>-34.245</v>
      </c>
    </row>
    <row r="231">
      <c r="A231" s="18" t="inlineStr">
        <is>
          <t>이자비용</t>
        </is>
      </c>
      <c r="O231" s="20" t="n">
        <v>2.47</v>
      </c>
      <c r="P231" s="20" t="n">
        <v>1.253</v>
      </c>
      <c r="Q231" s="20" t="n">
        <v>0.531</v>
      </c>
      <c r="R231" s="20" t="n">
        <v>0.36</v>
      </c>
      <c r="S231" s="20" t="n">
        <v>0.181</v>
      </c>
      <c r="T231" s="20" t="n">
        <v>0.025</v>
      </c>
      <c r="U231" s="20" t="n">
        <v>0</v>
      </c>
    </row>
    <row r="232">
      <c r="A232" s="18" t="inlineStr">
        <is>
          <t>세금과공과</t>
        </is>
      </c>
      <c r="O232" s="20" t="n">
        <v>17.523</v>
      </c>
      <c r="P232" s="20" t="n">
        <v>-12.96</v>
      </c>
    </row>
    <row r="233">
      <c r="A233" s="18" t="inlineStr">
        <is>
          <t>Loss Gain On Sales Of Property Plant And Equipment And Intangible Assets Ope CF</t>
        </is>
      </c>
      <c r="D233" s="20" t="n">
        <v>-0.099</v>
      </c>
      <c r="H233" s="20" t="n">
        <v>-0.669</v>
      </c>
      <c r="L233" s="20" t="n">
        <v>-0.082</v>
      </c>
      <c r="U233" s="20" t="n">
        <v>0</v>
      </c>
      <c r="V233" s="20" t="n">
        <v>-0.099</v>
      </c>
      <c r="W233" s="20" t="n">
        <v>-0.669</v>
      </c>
      <c r="X233" s="20" t="n">
        <v>-0.082</v>
      </c>
    </row>
    <row r="234">
      <c r="A234" s="18" t="inlineStr">
        <is>
          <t>Loss On Retirement Of Property Plant And Equipment And Intangible Assets Ope CF</t>
        </is>
      </c>
      <c r="D234" s="20" t="n">
        <v>0</v>
      </c>
      <c r="H234" s="20" t="n">
        <v>0.995</v>
      </c>
      <c r="L234" s="20" t="n">
        <v>0</v>
      </c>
      <c r="O234" s="20" t="n">
        <v>0.145</v>
      </c>
      <c r="P234" s="20" t="n">
        <v>0.006</v>
      </c>
      <c r="Q234" s="20" t="n">
        <v>0.644</v>
      </c>
      <c r="R234" s="20" t="n">
        <v>4.787</v>
      </c>
      <c r="S234" s="20" t="n">
        <v>0.921</v>
      </c>
      <c r="T234" s="20" t="n">
        <v>0.016</v>
      </c>
      <c r="U234" s="20" t="n">
        <v>0.436</v>
      </c>
      <c r="V234" s="20" t="n">
        <v>0</v>
      </c>
      <c r="W234" s="20" t="n">
        <v>0.995</v>
      </c>
      <c r="X234" s="20" t="n">
        <v>0</v>
      </c>
    </row>
    <row r="235">
      <c r="A235" s="18" t="inlineStr">
        <is>
          <t>보험환급금</t>
        </is>
      </c>
      <c r="D235" s="20" t="n">
        <v>0</v>
      </c>
      <c r="T235" s="20" t="n">
        <v>0</v>
      </c>
      <c r="U235" s="20" t="n">
        <v>-1.164</v>
      </c>
      <c r="V235" s="20" t="n">
        <v>0</v>
      </c>
    </row>
    <row r="236">
      <c r="A236" s="18" t="inlineStr">
        <is>
          <t>매출채권 증감</t>
        </is>
      </c>
      <c r="D236" s="20" t="n">
        <v>-226.234</v>
      </c>
      <c r="H236" s="20" t="n">
        <v>-127.212</v>
      </c>
      <c r="L236" s="20" t="n">
        <v>-573.025</v>
      </c>
      <c r="O236" s="20" t="n">
        <v>-51.449</v>
      </c>
      <c r="P236" s="20" t="n">
        <v>68.85599999999999</v>
      </c>
      <c r="Q236" s="20" t="n">
        <v>-44.785</v>
      </c>
      <c r="R236" s="20" t="n">
        <v>-122.962</v>
      </c>
      <c r="S236" s="20" t="n">
        <v>-65.89100000000001</v>
      </c>
      <c r="T236" s="20" t="n">
        <v>-441.434</v>
      </c>
      <c r="U236" s="20" t="n">
        <v>170.685</v>
      </c>
      <c r="V236" s="20" t="n">
        <v>-226.234</v>
      </c>
      <c r="W236" s="20" t="n">
        <v>-127.212</v>
      </c>
      <c r="X236" s="20" t="n">
        <v>-573.025</v>
      </c>
    </row>
    <row r="237">
      <c r="A237" s="18" t="inlineStr">
        <is>
          <t>재고자산 증감</t>
        </is>
      </c>
      <c r="D237" s="20" t="n">
        <v>2.251</v>
      </c>
      <c r="H237" s="20" t="n">
        <v>-1.438</v>
      </c>
      <c r="L237" s="20" t="n">
        <v>2.136</v>
      </c>
      <c r="O237" s="20" t="n">
        <v>-3.957</v>
      </c>
      <c r="P237" s="20" t="n">
        <v>6.424</v>
      </c>
      <c r="Q237" s="20" t="n">
        <v>-3.868</v>
      </c>
      <c r="R237" s="20" t="n">
        <v>2.455</v>
      </c>
      <c r="S237" s="20" t="n">
        <v>-4.376</v>
      </c>
      <c r="T237" s="20" t="n">
        <v>5.837</v>
      </c>
      <c r="U237" s="20" t="n">
        <v>-2.023</v>
      </c>
      <c r="V237" s="20" t="n">
        <v>2.251</v>
      </c>
      <c r="W237" s="20" t="n">
        <v>-1.438</v>
      </c>
      <c r="X237" s="20" t="n">
        <v>2.136</v>
      </c>
    </row>
    <row r="238">
      <c r="A238" s="18" t="inlineStr">
        <is>
          <t>매입채무 증감</t>
        </is>
      </c>
      <c r="D238" s="20" t="n">
        <v>0.124</v>
      </c>
      <c r="H238" s="20" t="n">
        <v>0.741</v>
      </c>
      <c r="L238" s="20" t="n">
        <v>-0.6899999999999999</v>
      </c>
      <c r="O238" s="20" t="n">
        <v>-0.892</v>
      </c>
      <c r="P238" s="20" t="n">
        <v>-0.569</v>
      </c>
      <c r="Q238" s="20" t="n">
        <v>-0.715</v>
      </c>
      <c r="R238" s="20" t="n">
        <v>-0.713</v>
      </c>
      <c r="S238" s="20" t="n">
        <v>5.05</v>
      </c>
      <c r="T238" s="20" t="n">
        <v>-4.763</v>
      </c>
      <c r="U238" s="20" t="n">
        <v>1.063</v>
      </c>
      <c r="V238" s="20" t="n">
        <v>0.124</v>
      </c>
      <c r="W238" s="20" t="n">
        <v>0.741</v>
      </c>
      <c r="X238" s="20" t="n">
        <v>-0.6899999999999999</v>
      </c>
    </row>
    <row r="239">
      <c r="A239" s="18" t="inlineStr">
        <is>
          <t>Amount Of ADecrease Of Other Trade Assets Ope CF</t>
        </is>
      </c>
      <c r="O239" s="20" t="n">
        <v>-8.004</v>
      </c>
      <c r="P239" s="20" t="n">
        <v>-6.565</v>
      </c>
      <c r="Q239" s="20" t="n">
        <v>-12.523</v>
      </c>
    </row>
    <row r="240">
      <c r="A240" s="18" t="inlineStr">
        <is>
          <t>Amount Of AIncrease Decrease Of Other Business Debt Ope CF</t>
        </is>
      </c>
      <c r="O240" s="20" t="n">
        <v>107.634</v>
      </c>
      <c r="P240" s="20" t="n">
        <v>20.088</v>
      </c>
      <c r="Q240" s="20" t="n">
        <v>76.072</v>
      </c>
    </row>
    <row r="241">
      <c r="A241" s="18" t="inlineStr">
        <is>
          <t>투자유가증권 매각손익</t>
        </is>
      </c>
      <c r="D241" s="20" t="n">
        <v>-89.264</v>
      </c>
      <c r="H241" s="20" t="n">
        <v>0</v>
      </c>
      <c r="U241" s="20" t="n">
        <v>0</v>
      </c>
      <c r="V241" s="20" t="n">
        <v>-89.264</v>
      </c>
      <c r="W241" s="20" t="n">
        <v>0</v>
      </c>
    </row>
    <row r="242">
      <c r="A242" s="18" t="inlineStr">
        <is>
          <t>투자유가증권 평가손익</t>
        </is>
      </c>
      <c r="H242" s="20" t="n">
        <v>0</v>
      </c>
      <c r="L242" s="20" t="n">
        <v>1</v>
      </c>
      <c r="W242" s="20" t="n">
        <v>0</v>
      </c>
      <c r="X242" s="20" t="n">
        <v>1</v>
      </c>
    </row>
    <row r="243">
      <c r="A243" s="18" t="inlineStr">
        <is>
          <t>기타 유동자산 증감</t>
        </is>
      </c>
      <c r="D243" s="20" t="n">
        <v>-48.58</v>
      </c>
      <c r="H243" s="20" t="n">
        <v>-60.733</v>
      </c>
      <c r="L243" s="20" t="n">
        <v>-57.34</v>
      </c>
      <c r="Q243" s="20" t="n">
        <v>-12.523</v>
      </c>
      <c r="R243" s="20" t="n">
        <v>-82.128</v>
      </c>
      <c r="S243" s="20" t="n">
        <v>59.36</v>
      </c>
      <c r="T243" s="20" t="n">
        <v>-40.78</v>
      </c>
      <c r="U243" s="20" t="n">
        <v>-20.72</v>
      </c>
      <c r="V243" s="20" t="n">
        <v>-48.58</v>
      </c>
      <c r="W243" s="20" t="n">
        <v>-60.733</v>
      </c>
      <c r="X243" s="20" t="n">
        <v>-57.34</v>
      </c>
    </row>
    <row r="244">
      <c r="A244" s="18" t="inlineStr">
        <is>
          <t>기타 유동부채 증감</t>
        </is>
      </c>
      <c r="D244" s="20" t="n">
        <v>634.171</v>
      </c>
      <c r="H244" s="20" t="n">
        <v>101.926</v>
      </c>
      <c r="L244" s="20" t="n">
        <v>444.111</v>
      </c>
      <c r="Q244" s="20" t="n">
        <v>76.072</v>
      </c>
      <c r="R244" s="20" t="n">
        <v>-21.662</v>
      </c>
      <c r="S244" s="20" t="n">
        <v>154.845</v>
      </c>
      <c r="T244" s="20" t="n">
        <v>375.823</v>
      </c>
      <c r="U244" s="20" t="n">
        <v>303.039</v>
      </c>
      <c r="V244" s="20" t="n">
        <v>634.171</v>
      </c>
      <c r="W244" s="20" t="n">
        <v>101.926</v>
      </c>
      <c r="X244" s="20" t="n">
        <v>444.111</v>
      </c>
    </row>
    <row r="245">
      <c r="A245" s="18" t="inlineStr">
        <is>
          <t>미지급 소비세 증감</t>
        </is>
      </c>
      <c r="D245" s="20" t="n">
        <v>-25.74</v>
      </c>
      <c r="H245" s="20" t="n">
        <v>54.165</v>
      </c>
      <c r="L245" s="20" t="n">
        <v>98.139</v>
      </c>
      <c r="O245" s="20" t="n">
        <v>0.5580000000000001</v>
      </c>
      <c r="P245" s="20" t="n">
        <v>-43.497</v>
      </c>
      <c r="Q245" s="20" t="n">
        <v>58.251</v>
      </c>
      <c r="R245" s="20" t="n">
        <v>-55.193</v>
      </c>
      <c r="S245" s="20" t="n">
        <v>62.55</v>
      </c>
      <c r="T245" s="20" t="n">
        <v>159.077</v>
      </c>
      <c r="U245" s="20" t="n">
        <v>-71.48699999999999</v>
      </c>
      <c r="V245" s="20" t="n">
        <v>-25.74</v>
      </c>
      <c r="W245" s="20" t="n">
        <v>54.165</v>
      </c>
      <c r="X245" s="20" t="n">
        <v>98.139</v>
      </c>
    </row>
    <row r="246">
      <c r="A246" s="18" t="inlineStr">
        <is>
          <t>기타 비유동부채 증감액</t>
        </is>
      </c>
      <c r="D246" s="20" t="n">
        <v>-7.338</v>
      </c>
      <c r="H246" s="20" t="n">
        <v>-1.392</v>
      </c>
      <c r="L246" s="20" t="n">
        <v>-0.12</v>
      </c>
      <c r="O246" s="20" t="n">
        <v>-2.928</v>
      </c>
      <c r="P246" s="20" t="n">
        <v>-2.385</v>
      </c>
      <c r="Q246" s="20" t="n">
        <v>0</v>
      </c>
      <c r="R246" s="20" t="n">
        <v>1.796</v>
      </c>
      <c r="S246" s="20" t="n">
        <v>-2.449</v>
      </c>
      <c r="T246" s="20" t="n">
        <v>0.06900000000000001</v>
      </c>
      <c r="U246" s="20" t="n">
        <v>0</v>
      </c>
      <c r="V246" s="20" t="n">
        <v>-7.338</v>
      </c>
      <c r="W246" s="20" t="n">
        <v>-1.392</v>
      </c>
      <c r="X246" s="20" t="n">
        <v>-0.12</v>
      </c>
    </row>
    <row r="247">
      <c r="A247" s="18" t="inlineStr">
        <is>
          <t>기타</t>
        </is>
      </c>
      <c r="D247" s="20" t="n">
        <v>2.438</v>
      </c>
      <c r="H247" s="20" t="n">
        <v>2.666</v>
      </c>
      <c r="L247" s="20" t="n">
        <v>3.036</v>
      </c>
      <c r="O247" s="20" t="n">
        <v>11.653</v>
      </c>
      <c r="P247" s="20" t="n">
        <v>-5.599</v>
      </c>
      <c r="Q247" s="20" t="n">
        <v>0.331</v>
      </c>
      <c r="R247" s="20" t="n">
        <v>0</v>
      </c>
      <c r="S247" s="20" t="n">
        <v>-0.168</v>
      </c>
      <c r="T247" s="20" t="n">
        <v>-0.091</v>
      </c>
      <c r="U247" s="20" t="n">
        <v>2.451</v>
      </c>
      <c r="V247" s="20" t="n">
        <v>2.438</v>
      </c>
      <c r="W247" s="20" t="n">
        <v>2.666</v>
      </c>
      <c r="X247" s="20" t="n">
        <v>3.036</v>
      </c>
    </row>
    <row r="248">
      <c r="A248" s="18" t="inlineStr">
        <is>
          <t>소계</t>
        </is>
      </c>
      <c r="D248" s="20" t="n">
        <v>3908.553</v>
      </c>
      <c r="H248" s="20" t="n">
        <v>4358.965</v>
      </c>
      <c r="L248" s="20" t="n">
        <v>6242.754</v>
      </c>
      <c r="O248" s="20" t="n">
        <v>1523.654</v>
      </c>
      <c r="P248" s="20" t="n">
        <v>1464.212</v>
      </c>
      <c r="Q248" s="20" t="n">
        <v>1832.385</v>
      </c>
      <c r="R248" s="20" t="n">
        <v>1109.104</v>
      </c>
      <c r="S248" s="20" t="n">
        <v>1962.799</v>
      </c>
      <c r="T248" s="20" t="n">
        <v>3341.415</v>
      </c>
      <c r="U248" s="20" t="n">
        <v>3993.997</v>
      </c>
      <c r="V248" s="20" t="n">
        <v>3908.553</v>
      </c>
      <c r="W248" s="20" t="n">
        <v>4358.965</v>
      </c>
      <c r="X248" s="20" t="n">
        <v>6242.754</v>
      </c>
    </row>
    <row r="249">
      <c r="A249" s="18" t="inlineStr">
        <is>
          <t>이자·배당금 수취</t>
        </is>
      </c>
      <c r="D249" s="20" t="n">
        <v>9.856999999999999</v>
      </c>
      <c r="H249" s="20" t="n">
        <v>19.757</v>
      </c>
      <c r="L249" s="20" t="n">
        <v>31.048</v>
      </c>
      <c r="O249" s="20" t="n">
        <v>6.326</v>
      </c>
      <c r="P249" s="20" t="n">
        <v>11.89</v>
      </c>
      <c r="Q249" s="20" t="n">
        <v>12.399</v>
      </c>
      <c r="R249" s="20" t="n">
        <v>12.701</v>
      </c>
      <c r="S249" s="20" t="n">
        <v>9.552</v>
      </c>
      <c r="T249" s="20" t="n">
        <v>9.236000000000001</v>
      </c>
      <c r="U249" s="20" t="n">
        <v>9.226000000000001</v>
      </c>
      <c r="V249" s="20" t="n">
        <v>9.856999999999999</v>
      </c>
      <c r="W249" s="20" t="n">
        <v>19.757</v>
      </c>
      <c r="X249" s="20" t="n">
        <v>31.048</v>
      </c>
    </row>
    <row r="250">
      <c r="A250" s="18" t="inlineStr">
        <is>
          <t>이자 지급</t>
        </is>
      </c>
      <c r="O250" s="20" t="n">
        <v>-2.47</v>
      </c>
      <c r="P250" s="20" t="n">
        <v>-1.3</v>
      </c>
      <c r="Q250" s="20" t="n">
        <v>-0.517</v>
      </c>
      <c r="R250" s="20" t="n">
        <v>-0.348</v>
      </c>
      <c r="S250" s="20" t="n">
        <v>-0.167</v>
      </c>
      <c r="T250" s="20" t="n">
        <v>-0.018</v>
      </c>
      <c r="U250" s="20" t="n">
        <v>0</v>
      </c>
    </row>
    <row r="251">
      <c r="A251" s="18" t="inlineStr">
        <is>
          <t>법인세 납부·환급</t>
        </is>
      </c>
      <c r="D251" s="20" t="n">
        <v>-657.978</v>
      </c>
      <c r="H251" s="20" t="n">
        <v>-635.064</v>
      </c>
      <c r="L251" s="20" t="n">
        <v>-1076.06</v>
      </c>
      <c r="O251" s="20" t="n">
        <v>-435.117</v>
      </c>
      <c r="P251" s="20" t="n">
        <v>-380.576</v>
      </c>
      <c r="Q251" s="20" t="n">
        <v>-354.982</v>
      </c>
      <c r="R251" s="20" t="n">
        <v>-528.396</v>
      </c>
      <c r="S251" s="20" t="n">
        <v>-263.187</v>
      </c>
      <c r="T251" s="20" t="n">
        <v>-469.221</v>
      </c>
      <c r="U251" s="20" t="n">
        <v>-1017.255</v>
      </c>
      <c r="V251" s="20" t="n">
        <v>-657.978</v>
      </c>
      <c r="W251" s="20" t="n">
        <v>-635.064</v>
      </c>
      <c r="X251" s="20" t="n">
        <v>-1076.06</v>
      </c>
    </row>
    <row r="252">
      <c r="A252" s="9" t="inlineStr">
        <is>
          <t>영업활동 현금흐름</t>
        </is>
      </c>
      <c r="D252" s="12" t="n">
        <v>3260.433</v>
      </c>
      <c r="H252" s="12" t="n">
        <v>3743.658</v>
      </c>
      <c r="L252" s="12" t="n">
        <v>5197.742</v>
      </c>
      <c r="O252" s="12" t="n">
        <v>1092.393</v>
      </c>
      <c r="P252" s="12" t="n">
        <v>1094.225</v>
      </c>
      <c r="Q252" s="12" t="n">
        <v>1489.284</v>
      </c>
      <c r="R252" s="12" t="n">
        <v>593.061</v>
      </c>
      <c r="S252" s="12" t="n">
        <v>1708.996</v>
      </c>
      <c r="T252" s="12" t="n">
        <v>2881.411</v>
      </c>
      <c r="U252" s="12" t="n">
        <v>2985.968</v>
      </c>
      <c r="V252" s="12" t="n">
        <v>3260.433</v>
      </c>
      <c r="W252" s="12" t="n">
        <v>3743.658</v>
      </c>
      <c r="X252" s="12" t="n">
        <v>5197.742</v>
      </c>
    </row>
    <row r="253">
      <c r="A253" s="18" t="inlineStr">
        <is>
          <t>유형자산 취득(설비투자)</t>
        </is>
      </c>
      <c r="D253" s="20" t="n">
        <v>-362.064</v>
      </c>
      <c r="H253" s="20" t="n">
        <v>-197.434</v>
      </c>
      <c r="L253" s="20" t="n">
        <v>-224.458</v>
      </c>
      <c r="O253" s="20" t="n">
        <v>-47.974</v>
      </c>
      <c r="P253" s="20" t="n">
        <v>-399.823</v>
      </c>
      <c r="Q253" s="20" t="n">
        <v>-101.391</v>
      </c>
      <c r="R253" s="20" t="n">
        <v>-144.377</v>
      </c>
      <c r="S253" s="20" t="n">
        <v>-136.84</v>
      </c>
      <c r="T253" s="20" t="n">
        <v>-178.632</v>
      </c>
      <c r="U253" s="20" t="n">
        <v>-178.599</v>
      </c>
      <c r="V253" s="20" t="n">
        <v>-362.064</v>
      </c>
      <c r="W253" s="20" t="n">
        <v>-197.434</v>
      </c>
      <c r="X253" s="20" t="n">
        <v>-224.458</v>
      </c>
    </row>
    <row r="254">
      <c r="A254" s="18" t="inlineStr">
        <is>
          <t>유형자산 매각</t>
        </is>
      </c>
      <c r="D254" s="20" t="n">
        <v>0.1</v>
      </c>
      <c r="H254" s="20" t="n">
        <v>0.669</v>
      </c>
      <c r="L254" s="20" t="n">
        <v>0.082</v>
      </c>
      <c r="U254" s="20" t="n">
        <v>0</v>
      </c>
      <c r="V254" s="20" t="n">
        <v>0.1</v>
      </c>
      <c r="W254" s="20" t="n">
        <v>0.669</v>
      </c>
      <c r="X254" s="20" t="n">
        <v>0.082</v>
      </c>
    </row>
    <row r="255">
      <c r="A255" s="18" t="inlineStr">
        <is>
          <t>무형자산 취득</t>
        </is>
      </c>
      <c r="D255" s="20" t="n">
        <v>-1850.412</v>
      </c>
      <c r="H255" s="20" t="n">
        <v>-2571.698</v>
      </c>
      <c r="L255" s="20" t="n">
        <v>-3417.144</v>
      </c>
      <c r="O255" s="20" t="n">
        <v>-281.661</v>
      </c>
      <c r="P255" s="20" t="n">
        <v>-200.097</v>
      </c>
      <c r="Q255" s="20" t="n">
        <v>-274.018</v>
      </c>
      <c r="R255" s="20" t="n">
        <v>-662.36</v>
      </c>
      <c r="S255" s="20" t="n">
        <v>-1066.112</v>
      </c>
      <c r="T255" s="20" t="n">
        <v>-1406.288</v>
      </c>
      <c r="U255" s="20" t="n">
        <v>-1615.867</v>
      </c>
      <c r="V255" s="20" t="n">
        <v>-1850.412</v>
      </c>
      <c r="W255" s="20" t="n">
        <v>-2571.698</v>
      </c>
      <c r="X255" s="20" t="n">
        <v>-3417.144</v>
      </c>
    </row>
    <row r="256">
      <c r="A256" s="18" t="inlineStr">
        <is>
          <t>보증금 회수</t>
        </is>
      </c>
      <c r="D256" s="20" t="n">
        <v>0.55</v>
      </c>
      <c r="H256" s="20" t="n">
        <v>0</v>
      </c>
      <c r="L256" s="20" t="n">
        <v>0.067</v>
      </c>
      <c r="O256" s="20" t="n">
        <v>0.09</v>
      </c>
      <c r="P256" s="20" t="n">
        <v>28.042</v>
      </c>
      <c r="Q256" s="20" t="n">
        <v>0.3</v>
      </c>
      <c r="R256" s="20" t="n">
        <v>2.152</v>
      </c>
      <c r="S256" s="20" t="n">
        <v>0.218</v>
      </c>
      <c r="T256" s="20" t="n">
        <v>1.526</v>
      </c>
      <c r="U256" s="20" t="n">
        <v>0</v>
      </c>
      <c r="V256" s="20" t="n">
        <v>0.55</v>
      </c>
      <c r="W256" s="20" t="n">
        <v>0</v>
      </c>
      <c r="X256" s="20" t="n">
        <v>0.067</v>
      </c>
    </row>
    <row r="257">
      <c r="A257" s="18" t="inlineStr">
        <is>
          <t>투자유가증권 취득</t>
        </is>
      </c>
      <c r="D257" s="20" t="n">
        <v>-290.337</v>
      </c>
      <c r="H257" s="20" t="n">
        <v>-183.21</v>
      </c>
      <c r="L257" s="20" t="n">
        <v>-100</v>
      </c>
      <c r="O257" s="20" t="n">
        <v>-12.364</v>
      </c>
      <c r="P257" s="20" t="n">
        <v>0</v>
      </c>
      <c r="Q257" s="20" t="n">
        <v>0</v>
      </c>
      <c r="R257" s="20" t="n">
        <v>-100</v>
      </c>
      <c r="S257" s="20" t="n">
        <v>-101.771</v>
      </c>
      <c r="T257" s="20" t="n">
        <v>-213.617</v>
      </c>
      <c r="U257" s="20" t="n">
        <v>-179.986</v>
      </c>
      <c r="V257" s="20" t="n">
        <v>-290.337</v>
      </c>
      <c r="W257" s="20" t="n">
        <v>-183.21</v>
      </c>
      <c r="X257" s="20" t="n">
        <v>-100</v>
      </c>
    </row>
    <row r="258">
      <c r="A258" s="18" t="inlineStr">
        <is>
          <t>대여금 회수</t>
        </is>
      </c>
      <c r="O258" s="20" t="n">
        <v>0.012</v>
      </c>
      <c r="P258" s="20" t="n">
        <v>0</v>
      </c>
    </row>
    <row r="259">
      <c r="A259" s="18" t="inlineStr">
        <is>
          <t>투자유가증권 매각</t>
        </is>
      </c>
      <c r="D259" s="20" t="n">
        <v>110.7</v>
      </c>
      <c r="H259" s="20" t="n">
        <v>0</v>
      </c>
      <c r="U259" s="20" t="n">
        <v>0</v>
      </c>
      <c r="V259" s="20" t="n">
        <v>110.7</v>
      </c>
      <c r="W259" s="20" t="n">
        <v>0</v>
      </c>
    </row>
    <row r="260">
      <c r="A260" s="18" t="inlineStr">
        <is>
          <t>유가증권 상환 수입</t>
        </is>
      </c>
      <c r="D260" s="20" t="n">
        <v>0</v>
      </c>
      <c r="H260" s="20" t="n">
        <v>100</v>
      </c>
      <c r="L260" s="20" t="n">
        <v>100</v>
      </c>
      <c r="P260" s="20" t="n">
        <v>0</v>
      </c>
      <c r="Q260" s="20" t="n">
        <v>100</v>
      </c>
      <c r="R260" s="20" t="n">
        <v>0</v>
      </c>
      <c r="T260" s="20" t="n">
        <v>0</v>
      </c>
      <c r="U260" s="20" t="n">
        <v>100</v>
      </c>
      <c r="V260" s="20" t="n">
        <v>0</v>
      </c>
      <c r="W260" s="20" t="n">
        <v>100</v>
      </c>
      <c r="X260" s="20" t="n">
        <v>100</v>
      </c>
    </row>
    <row r="261">
      <c r="A261" s="18" t="inlineStr">
        <is>
          <t>유가증권 취득</t>
        </is>
      </c>
      <c r="O261" s="20" t="n">
        <v>0</v>
      </c>
      <c r="P261" s="20" t="n">
        <v>-99.75</v>
      </c>
      <c r="Q261" s="20" t="n">
        <v>0</v>
      </c>
    </row>
    <row r="262">
      <c r="A262" s="18" t="inlineStr">
        <is>
          <t>Expense Of Insurance Savings Inv CF</t>
        </is>
      </c>
      <c r="D262" s="20" t="n">
        <v>-25.127</v>
      </c>
      <c r="O262" s="20" t="n">
        <v>-51.425</v>
      </c>
      <c r="P262" s="20" t="n">
        <v>-32.535</v>
      </c>
      <c r="Q262" s="20" t="n">
        <v>-8.621</v>
      </c>
      <c r="R262" s="20" t="n">
        <v>-1.865</v>
      </c>
      <c r="S262" s="20" t="n">
        <v>-1.865</v>
      </c>
      <c r="T262" s="20" t="n">
        <v>-11.702</v>
      </c>
      <c r="U262" s="20" t="n">
        <v>-25.127</v>
      </c>
      <c r="V262" s="20" t="n">
        <v>-25.127</v>
      </c>
    </row>
    <row r="263">
      <c r="A263" s="18" t="inlineStr">
        <is>
          <t>보험적립금 적립</t>
        </is>
      </c>
      <c r="D263" s="20" t="n">
        <v>-25.127</v>
      </c>
      <c r="H263" s="20" t="n">
        <v>-57.738</v>
      </c>
      <c r="L263" s="20" t="n">
        <v>-50.707</v>
      </c>
      <c r="V263" s="20" t="n">
        <v>-25.127</v>
      </c>
      <c r="W263" s="20" t="n">
        <v>-57.738</v>
      </c>
      <c r="X263" s="20" t="n">
        <v>-50.707</v>
      </c>
    </row>
    <row r="264">
      <c r="A264" s="18" t="inlineStr">
        <is>
          <t>보험적립금 환급</t>
        </is>
      </c>
      <c r="D264" s="20" t="n">
        <v>0</v>
      </c>
      <c r="H264" s="20" t="n">
        <v>3.302</v>
      </c>
      <c r="L264" s="20" t="n">
        <v>17.05</v>
      </c>
      <c r="T264" s="20" t="n">
        <v>0</v>
      </c>
      <c r="U264" s="20" t="n">
        <v>4.668</v>
      </c>
      <c r="V264" s="20" t="n">
        <v>0</v>
      </c>
      <c r="W264" s="20" t="n">
        <v>3.302</v>
      </c>
      <c r="X264" s="20" t="n">
        <v>17.05</v>
      </c>
    </row>
    <row r="265">
      <c r="A265" s="18" t="inlineStr">
        <is>
          <t>자회사 청산 수입</t>
        </is>
      </c>
      <c r="S265" s="20" t="n">
        <v>0</v>
      </c>
      <c r="T265" s="20" t="n">
        <v>111.826</v>
      </c>
      <c r="U265" s="20" t="n">
        <v>0</v>
      </c>
    </row>
    <row r="266">
      <c r="A266" s="18" t="inlineStr">
        <is>
          <t>기타</t>
        </is>
      </c>
      <c r="D266" s="20" t="n">
        <v>-5.114</v>
      </c>
      <c r="H266" s="20" t="n">
        <v>-0.329</v>
      </c>
      <c r="L266" s="20" t="n">
        <v>-10.422</v>
      </c>
      <c r="O266" s="20" t="n">
        <v>-0.099</v>
      </c>
      <c r="P266" s="20" t="n">
        <v>-1.991</v>
      </c>
      <c r="Q266" s="20" t="n">
        <v>-5.665</v>
      </c>
      <c r="R266" s="20" t="n">
        <v>-6.296</v>
      </c>
      <c r="S266" s="20" t="n">
        <v>-6.808</v>
      </c>
      <c r="T266" s="20" t="n">
        <v>-3.804</v>
      </c>
      <c r="U266" s="20" t="n">
        <v>-3.509</v>
      </c>
      <c r="V266" s="20" t="n">
        <v>-5.114</v>
      </c>
      <c r="W266" s="20" t="n">
        <v>-0.329</v>
      </c>
      <c r="X266" s="20" t="n">
        <v>-10.422</v>
      </c>
    </row>
    <row r="267">
      <c r="A267" s="9" t="inlineStr">
        <is>
          <t>투자활동 현금흐름</t>
        </is>
      </c>
      <c r="D267" s="12" t="n">
        <v>-2421.706</v>
      </c>
      <c r="H267" s="12" t="n">
        <v>-2906.439</v>
      </c>
      <c r="L267" s="12" t="n">
        <v>-3685.531</v>
      </c>
      <c r="O267" s="12" t="n">
        <v>-393.423</v>
      </c>
      <c r="P267" s="12" t="n">
        <v>-706.155</v>
      </c>
      <c r="Q267" s="12" t="n">
        <v>-289.397</v>
      </c>
      <c r="R267" s="12" t="n">
        <v>-912.746</v>
      </c>
      <c r="S267" s="12" t="n">
        <v>-1313.18</v>
      </c>
      <c r="T267" s="12" t="n">
        <v>-1700.692</v>
      </c>
      <c r="U267" s="12" t="n">
        <v>-1898.421</v>
      </c>
      <c r="V267" s="12" t="n">
        <v>-2421.706</v>
      </c>
      <c r="W267" s="12" t="n">
        <v>-2906.439</v>
      </c>
      <c r="X267" s="12" t="n">
        <v>-3685.531</v>
      </c>
    </row>
    <row r="268">
      <c r="A268" s="18" t="inlineStr">
        <is>
          <t>장기차입</t>
        </is>
      </c>
      <c r="O268" s="20" t="n">
        <v>0</v>
      </c>
      <c r="P268" s="20" t="n">
        <v>200</v>
      </c>
      <c r="Q268" s="20" t="n">
        <v>0</v>
      </c>
    </row>
    <row r="269">
      <c r="A269" s="18" t="inlineStr">
        <is>
          <t>장기차입금 상환</t>
        </is>
      </c>
      <c r="O269" s="20" t="n">
        <v>-80</v>
      </c>
      <c r="P269" s="20" t="n">
        <v>-105.02</v>
      </c>
      <c r="Q269" s="20" t="n">
        <v>-50.04</v>
      </c>
      <c r="R269" s="20" t="n">
        <v>-50.04</v>
      </c>
      <c r="S269" s="20" t="n">
        <v>-50.04</v>
      </c>
      <c r="T269" s="20" t="n">
        <v>-24.86</v>
      </c>
      <c r="U269" s="20" t="n">
        <v>0</v>
      </c>
    </row>
    <row r="270">
      <c r="A270" s="18" t="inlineStr">
        <is>
          <t>배당금 지급</t>
        </is>
      </c>
      <c r="D270" s="20" t="n">
        <v>-524.878</v>
      </c>
      <c r="H270" s="20" t="n">
        <v>-572.926</v>
      </c>
      <c r="L270" s="20" t="n">
        <v>-606.172</v>
      </c>
      <c r="O270" s="20" t="n">
        <v>-286.396</v>
      </c>
      <c r="P270" s="20" t="n">
        <v>-301.733</v>
      </c>
      <c r="Q270" s="20" t="n">
        <v>-331.077</v>
      </c>
      <c r="R270" s="20" t="n">
        <v>-360.9</v>
      </c>
      <c r="S270" s="20" t="n">
        <v>-405.65</v>
      </c>
      <c r="T270" s="20" t="n">
        <v>-421.492</v>
      </c>
      <c r="U270" s="20" t="n">
        <v>-467.866</v>
      </c>
      <c r="V270" s="20" t="n">
        <v>-524.878</v>
      </c>
      <c r="W270" s="20" t="n">
        <v>-572.926</v>
      </c>
      <c r="X270" s="20" t="n">
        <v>-606.172</v>
      </c>
    </row>
    <row r="271">
      <c r="A271" s="18" t="inlineStr">
        <is>
          <t>신주예약권 행사에 따른 주식 발행</t>
        </is>
      </c>
      <c r="O271" s="20" t="n">
        <v>5.756</v>
      </c>
      <c r="P271" s="20" t="n">
        <v>15.602</v>
      </c>
      <c r="Q271" s="20" t="n">
        <v>13.988</v>
      </c>
      <c r="R271" s="20" t="n">
        <v>6.617</v>
      </c>
      <c r="S271" s="20" t="n">
        <v>34.27</v>
      </c>
      <c r="T271" s="20" t="n">
        <v>49.119</v>
      </c>
      <c r="U271" s="20" t="n">
        <v>0</v>
      </c>
    </row>
    <row r="272">
      <c r="A272" s="18" t="inlineStr">
        <is>
          <t>자기주식 취득</t>
        </is>
      </c>
      <c r="D272" s="20" t="n">
        <v>-0.1</v>
      </c>
      <c r="H272" s="20" t="n">
        <v>0</v>
      </c>
      <c r="L272" s="20" t="n">
        <v>-0.169</v>
      </c>
      <c r="O272" s="20" t="n">
        <v>-0.048</v>
      </c>
      <c r="P272" s="20" t="n">
        <v>0</v>
      </c>
      <c r="Q272" s="20" t="n">
        <v>0</v>
      </c>
      <c r="R272" s="20" t="n">
        <v>-0.067</v>
      </c>
      <c r="S272" s="20" t="n">
        <v>-0.181</v>
      </c>
      <c r="T272" s="20" t="n">
        <v>-0.169</v>
      </c>
      <c r="U272" s="20" t="n">
        <v>-0.097</v>
      </c>
      <c r="V272" s="20" t="n">
        <v>-0.1</v>
      </c>
      <c r="W272" s="20" t="n">
        <v>0</v>
      </c>
      <c r="X272" s="20" t="n">
        <v>-0.169</v>
      </c>
    </row>
    <row r="273">
      <c r="A273" s="18" t="inlineStr">
        <is>
          <t>자기주식 처분</t>
        </is>
      </c>
      <c r="D273" s="20" t="n">
        <v>0</v>
      </c>
      <c r="H273" s="20" t="n">
        <v>347.8</v>
      </c>
      <c r="L273" s="20" t="n">
        <v>0</v>
      </c>
      <c r="V273" s="20" t="n">
        <v>0</v>
      </c>
      <c r="W273" s="20" t="n">
        <v>347.8</v>
      </c>
      <c r="X273" s="20" t="n">
        <v>0</v>
      </c>
    </row>
    <row r="274">
      <c r="A274" s="9" t="inlineStr">
        <is>
          <t>재무활동 현금흐름</t>
        </is>
      </c>
      <c r="D274" s="12" t="n">
        <v>-524.978</v>
      </c>
      <c r="H274" s="12" t="n">
        <v>-225.126</v>
      </c>
      <c r="L274" s="12" t="n">
        <v>-606.341</v>
      </c>
      <c r="O274" s="12" t="n">
        <v>-360.688</v>
      </c>
      <c r="P274" s="12" t="n">
        <v>-191.151</v>
      </c>
      <c r="Q274" s="12" t="n">
        <v>-367.129</v>
      </c>
      <c r="R274" s="12" t="n">
        <v>-404.39</v>
      </c>
      <c r="S274" s="12" t="n">
        <v>-421.601</v>
      </c>
      <c r="T274" s="12" t="n">
        <v>-397.402</v>
      </c>
      <c r="U274" s="12" t="n">
        <v>-467.963</v>
      </c>
      <c r="V274" s="12" t="n">
        <v>-524.978</v>
      </c>
      <c r="W274" s="12" t="n">
        <v>-225.126</v>
      </c>
      <c r="X274" s="12" t="n">
        <v>-606.341</v>
      </c>
    </row>
    <row r="275">
      <c r="A275" s="18" t="inlineStr">
        <is>
          <t>현금성자산 증감</t>
        </is>
      </c>
      <c r="D275" s="20" t="n">
        <v>313.749</v>
      </c>
      <c r="H275" s="20" t="n">
        <v>612.091</v>
      </c>
      <c r="L275" s="20" t="n">
        <v>905.8680000000001</v>
      </c>
      <c r="O275" s="20" t="n">
        <v>338.282</v>
      </c>
      <c r="P275" s="20" t="n">
        <v>196.919</v>
      </c>
      <c r="Q275" s="20" t="n">
        <v>832.7569999999999</v>
      </c>
      <c r="R275" s="20" t="n">
        <v>-724.075</v>
      </c>
      <c r="S275" s="20" t="n">
        <v>-25.784</v>
      </c>
      <c r="T275" s="20" t="n">
        <v>783.316</v>
      </c>
      <c r="U275" s="20" t="n">
        <v>619.5839999999999</v>
      </c>
      <c r="V275" s="20" t="n">
        <v>313.749</v>
      </c>
      <c r="W275" s="20" t="n">
        <v>612.091</v>
      </c>
      <c r="X275" s="20" t="n">
        <v>905.8680000000001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4771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7147.54</v>
      </c>
      <c r="D5" s="12" t="n">
        <v>8313.395</v>
      </c>
      <c r="E5" s="12" t="n">
        <v>8736.003000000001</v>
      </c>
      <c r="F5" s="12" t="n">
        <v>7575.676</v>
      </c>
      <c r="G5" s="12" t="n">
        <v>8888.277</v>
      </c>
      <c r="H5" s="11" t="n">
        <v>5374.622</v>
      </c>
      <c r="I5" s="12" t="n">
        <v>5857.594</v>
      </c>
      <c r="J5" s="12" t="n">
        <v>6388.084</v>
      </c>
      <c r="K5" s="12" t="n">
        <v>7269.183</v>
      </c>
      <c r="L5" s="12" t="n">
        <v>8736.003000000001</v>
      </c>
    </row>
    <row r="6">
      <c r="A6" s="18" t="inlineStr">
        <is>
          <t>현금및현금성자산</t>
        </is>
      </c>
      <c r="B6" s="10" t="n"/>
      <c r="C6" s="19" t="n">
        <v>5058.652</v>
      </c>
      <c r="D6" s="20" t="n">
        <v>5718.298</v>
      </c>
      <c r="E6" s="20" t="n">
        <v>6740.85</v>
      </c>
      <c r="F6" s="20" t="n">
        <v>5395.788</v>
      </c>
      <c r="G6" s="20" t="n">
        <v>6274.826</v>
      </c>
      <c r="H6" s="19" t="n">
        <v>4242.144</v>
      </c>
      <c r="I6" s="20" t="n">
        <v>4909.14</v>
      </c>
      <c r="J6" s="20" t="n">
        <v>5163.559</v>
      </c>
      <c r="K6" s="20" t="n">
        <v>5834.981</v>
      </c>
      <c r="L6" s="20" t="n">
        <v>6740.85</v>
      </c>
    </row>
    <row r="7">
      <c r="A7" s="18" t="inlineStr">
        <is>
          <t>단기금융상품</t>
        </is>
      </c>
      <c r="B7" s="10" t="n"/>
      <c r="C7" s="19" t="n">
        <v>100</v>
      </c>
      <c r="D7" s="20" t="n">
        <v>100</v>
      </c>
      <c r="E7" s="20" t="n">
        <v>100</v>
      </c>
      <c r="F7" s="20" t="n">
        <v>100</v>
      </c>
      <c r="G7" s="20" t="n">
        <v>0</v>
      </c>
      <c r="H7" s="19" t="n">
        <v>100</v>
      </c>
      <c r="I7" s="20" t="n">
        <v>0</v>
      </c>
      <c r="J7" s="20" t="n">
        <v>100.29</v>
      </c>
      <c r="K7" s="20" t="n">
        <v>99.955</v>
      </c>
      <c r="L7" s="20" t="n">
        <v>100</v>
      </c>
    </row>
    <row r="8">
      <c r="A8" s="18" t="inlineStr">
        <is>
          <t>매출채권</t>
        </is>
      </c>
      <c r="B8" s="10" t="n"/>
      <c r="C8" s="19" t="n">
        <v>1563.861</v>
      </c>
      <c r="D8" s="20" t="n">
        <v>2052.148</v>
      </c>
      <c r="E8" s="20" t="n">
        <v>1644.323</v>
      </c>
      <c r="F8" s="20" t="n">
        <v>1780.714</v>
      </c>
      <c r="G8" s="20" t="n">
        <v>2185.464</v>
      </c>
      <c r="H8" s="19" t="n">
        <v>929.5839999999999</v>
      </c>
      <c r="I8" s="20" t="n">
        <v>812.412</v>
      </c>
      <c r="J8" s="20" t="n">
        <v>955.985</v>
      </c>
      <c r="K8" s="20" t="n">
        <v>1123.744</v>
      </c>
      <c r="L8" s="20" t="n">
        <v>1644.323</v>
      </c>
    </row>
    <row r="9">
      <c r="A9" s="18" t="inlineStr">
        <is>
          <t>재고자산</t>
        </is>
      </c>
      <c r="B9" s="10" t="n"/>
      <c r="C9" s="19" t="n">
        <v>58.134</v>
      </c>
      <c r="D9" s="20" t="n">
        <v>91.95099999999999</v>
      </c>
      <c r="E9" s="20" t="n">
        <v>7.89</v>
      </c>
      <c r="F9" s="20" t="n">
        <v>37.961</v>
      </c>
      <c r="G9" s="20" t="n">
        <v>28.222</v>
      </c>
      <c r="H9" s="19" t="n">
        <v>8.808</v>
      </c>
      <c r="I9" s="20" t="n">
        <v>10.839</v>
      </c>
      <c r="J9" s="20" t="n">
        <v>9.298999999999999</v>
      </c>
      <c r="K9" s="20" t="n">
        <v>10.026</v>
      </c>
      <c r="L9" s="20" t="n">
        <v>7.89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10917.987</v>
      </c>
      <c r="D11" s="12" t="n">
        <v>11323.972</v>
      </c>
      <c r="E11" s="12" t="n">
        <v>11906.11</v>
      </c>
      <c r="F11" s="12" t="n">
        <v>12129.956</v>
      </c>
      <c r="G11" s="12" t="n">
        <v>13053.638</v>
      </c>
      <c r="H11" s="11" t="n">
        <v>6879.405</v>
      </c>
      <c r="I11" s="12" t="n">
        <v>7675.914</v>
      </c>
      <c r="J11" s="12" t="n">
        <v>9234.205</v>
      </c>
      <c r="K11" s="12" t="n">
        <v>10036.53</v>
      </c>
      <c r="L11" s="12" t="n">
        <v>11906.11</v>
      </c>
    </row>
    <row r="12">
      <c r="A12" s="18" t="inlineStr">
        <is>
          <t>유형자산</t>
        </is>
      </c>
      <c r="B12" s="10" t="n"/>
      <c r="C12" s="19" t="n">
        <v>2873.295</v>
      </c>
      <c r="D12" s="20" t="n">
        <v>2821.758</v>
      </c>
      <c r="E12" s="20" t="n">
        <v>2788.037</v>
      </c>
      <c r="F12" s="20" t="n">
        <v>2778.699</v>
      </c>
      <c r="G12" s="20" t="n">
        <v>2829.291</v>
      </c>
      <c r="H12" s="19" t="n">
        <v>2592.268</v>
      </c>
      <c r="I12" s="20" t="n">
        <v>2734.36</v>
      </c>
      <c r="J12" s="20" t="n">
        <v>2749.528</v>
      </c>
      <c r="K12" s="20" t="n">
        <v>2804.758</v>
      </c>
      <c r="L12" s="20" t="n">
        <v>2788.037</v>
      </c>
    </row>
    <row r="13">
      <c r="A13" s="18" t="inlineStr">
        <is>
          <t>무형자산</t>
        </is>
      </c>
      <c r="B13" s="10" t="n"/>
      <c r="C13" s="19" t="n">
        <v>6017.361</v>
      </c>
      <c r="D13" s="20" t="n">
        <v>6449.203</v>
      </c>
      <c r="E13" s="20" t="n">
        <v>6876.853</v>
      </c>
      <c r="F13" s="20" t="n">
        <v>7326.173</v>
      </c>
      <c r="G13" s="20" t="n">
        <v>7886.667</v>
      </c>
      <c r="H13" s="19" t="n">
        <v>2915.248</v>
      </c>
      <c r="I13" s="20" t="n">
        <v>3345.899</v>
      </c>
      <c r="J13" s="20" t="n">
        <v>4703.716</v>
      </c>
      <c r="K13" s="20" t="n">
        <v>5271.082</v>
      </c>
      <c r="L13" s="20" t="n">
        <v>6876.853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18065.528</v>
      </c>
      <c r="D16" s="12" t="n">
        <v>19637.368</v>
      </c>
      <c r="E16" s="12" t="n">
        <v>20642.114</v>
      </c>
      <c r="F16" s="12" t="n">
        <v>19705.632</v>
      </c>
      <c r="G16" s="12" t="n">
        <v>21941.916</v>
      </c>
      <c r="H16" s="11" t="n">
        <v>12254.028</v>
      </c>
      <c r="I16" s="12" t="n">
        <v>13533.509</v>
      </c>
      <c r="J16" s="12" t="n">
        <v>15622.29</v>
      </c>
      <c r="K16" s="12" t="n">
        <v>17305.714</v>
      </c>
      <c r="L16" s="12" t="n">
        <v>20642.114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4329.835</v>
      </c>
      <c r="D18" s="12" t="n">
        <v>5093.272</v>
      </c>
      <c r="E18" s="12" t="n">
        <v>5037.767</v>
      </c>
      <c r="F18" s="12" t="n">
        <v>4029.888</v>
      </c>
      <c r="G18" s="12" t="n">
        <v>5393.838</v>
      </c>
      <c r="H18" s="11" t="n">
        <v>2768.14</v>
      </c>
      <c r="I18" s="12" t="n">
        <v>2820.764</v>
      </c>
      <c r="J18" s="12" t="n">
        <v>3450.278</v>
      </c>
      <c r="K18" s="12" t="n">
        <v>3932.506</v>
      </c>
      <c r="L18" s="12" t="n">
        <v>5037.767</v>
      </c>
    </row>
    <row r="19">
      <c r="A19" s="18" t="inlineStr">
        <is>
          <t>매입채무</t>
        </is>
      </c>
      <c r="B19" s="10" t="n"/>
      <c r="C19" s="19" t="n">
        <v>11.042</v>
      </c>
      <c r="D19" s="20" t="n">
        <v>11.538</v>
      </c>
      <c r="E19" s="20" t="n">
        <v>9.521000000000001</v>
      </c>
      <c r="F19" s="20" t="n">
        <v>10.747</v>
      </c>
      <c r="G19" s="20" t="n">
        <v>8.805</v>
      </c>
      <c r="H19" s="19" t="n">
        <v>8.220000000000001</v>
      </c>
      <c r="I19" s="20" t="n">
        <v>9.095000000000001</v>
      </c>
      <c r="J19" s="20" t="n">
        <v>9.314</v>
      </c>
      <c r="K19" s="20" t="n">
        <v>10.212</v>
      </c>
      <c r="L19" s="20" t="n">
        <v>9.521000000000001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0</v>
      </c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0</v>
      </c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170.133</v>
      </c>
      <c r="D23" s="12" t="n">
        <v>176.094</v>
      </c>
      <c r="E23" s="12" t="n">
        <v>180.903</v>
      </c>
      <c r="F23" s="12" t="n">
        <v>182.158</v>
      </c>
      <c r="G23" s="12" t="n">
        <v>188.122</v>
      </c>
      <c r="H23" s="11" t="n">
        <v>130.685</v>
      </c>
      <c r="I23" s="12" t="n">
        <v>144.546</v>
      </c>
      <c r="J23" s="12" t="n">
        <v>141.402</v>
      </c>
      <c r="K23" s="12" t="n">
        <v>159.673</v>
      </c>
      <c r="L23" s="12" t="n">
        <v>180.903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4499.969</v>
      </c>
      <c r="D27" s="12" t="n">
        <v>5269.366</v>
      </c>
      <c r="E27" s="12" t="n">
        <v>5218.67</v>
      </c>
      <c r="F27" s="12" t="n">
        <v>4212.047</v>
      </c>
      <c r="G27" s="12" t="n">
        <v>5581.96</v>
      </c>
      <c r="H27" s="11" t="n">
        <v>2898.825</v>
      </c>
      <c r="I27" s="12" t="n">
        <v>2965.31</v>
      </c>
      <c r="J27" s="12" t="n">
        <v>3591.681</v>
      </c>
      <c r="K27" s="12" t="n">
        <v>4092.179</v>
      </c>
      <c r="L27" s="12" t="n">
        <v>5218.67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13565.559</v>
      </c>
      <c r="D31" s="12" t="n">
        <v>14368.001</v>
      </c>
      <c r="E31" s="12" t="n">
        <v>15423.443</v>
      </c>
      <c r="F31" s="12" t="n">
        <v>15493.585</v>
      </c>
      <c r="G31" s="12" t="n">
        <v>16359.955</v>
      </c>
      <c r="H31" s="11" t="n">
        <v>9355.201999999999</v>
      </c>
      <c r="I31" s="12" t="n">
        <v>10568.198</v>
      </c>
      <c r="J31" s="12" t="n">
        <v>12030.609</v>
      </c>
      <c r="K31" s="12" t="n">
        <v>13213.534</v>
      </c>
      <c r="L31" s="12" t="n">
        <v>15423.443</v>
      </c>
    </row>
    <row r="32">
      <c r="A32" s="18" t="inlineStr">
        <is>
          <t>자본금</t>
        </is>
      </c>
      <c r="B32" s="10" t="n"/>
      <c r="C32" s="19" t="n">
        <v>989.65</v>
      </c>
      <c r="D32" s="20" t="n">
        <v>989.65</v>
      </c>
      <c r="E32" s="20" t="n">
        <v>989.65</v>
      </c>
      <c r="F32" s="20" t="n">
        <v>989.65</v>
      </c>
      <c r="G32" s="20" t="n">
        <v>989.65</v>
      </c>
      <c r="H32" s="19" t="n">
        <v>989.65</v>
      </c>
      <c r="I32" s="20" t="n">
        <v>989.65</v>
      </c>
      <c r="J32" s="20" t="n">
        <v>989.65</v>
      </c>
      <c r="K32" s="20" t="n">
        <v>989.65</v>
      </c>
      <c r="L32" s="20" t="n">
        <v>989.65</v>
      </c>
    </row>
    <row r="33">
      <c r="A33" s="18" t="inlineStr">
        <is>
          <t>이익잉여금</t>
        </is>
      </c>
      <c r="B33" s="10" t="n"/>
      <c r="C33" s="19" t="n">
        <v>10290.218</v>
      </c>
      <c r="D33" s="20" t="n">
        <v>11099.967</v>
      </c>
      <c r="E33" s="20" t="n">
        <v>12157.719</v>
      </c>
      <c r="F33" s="20" t="n">
        <v>12228.345</v>
      </c>
      <c r="G33" s="20" t="n">
        <v>13095.298</v>
      </c>
      <c r="H33" s="19" t="n">
        <v>6414.198</v>
      </c>
      <c r="I33" s="20" t="n">
        <v>7613.389</v>
      </c>
      <c r="J33" s="20" t="n">
        <v>9109.669</v>
      </c>
      <c r="K33" s="20" t="n">
        <v>9938.502</v>
      </c>
      <c r="L33" s="20" t="n">
        <v>12157.719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13565.559</v>
      </c>
      <c r="D35" s="12" t="n">
        <v>14368.001</v>
      </c>
      <c r="E35" s="12" t="n">
        <v>15423.443</v>
      </c>
      <c r="F35" s="12" t="n">
        <v>15493.585</v>
      </c>
      <c r="G35" s="12" t="n">
        <v>16359.955</v>
      </c>
      <c r="H35" s="11" t="n">
        <v>9355.201999999999</v>
      </c>
      <c r="I35" s="12" t="n">
        <v>10568.198</v>
      </c>
      <c r="J35" s="12" t="n">
        <v>12030.609</v>
      </c>
      <c r="K35" s="12" t="n">
        <v>13213.534</v>
      </c>
      <c r="L35" s="12" t="n">
        <v>15423.443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5197.742</v>
      </c>
      <c r="F37" s="12" t="n"/>
      <c r="G37" s="12" t="n"/>
      <c r="H37" s="11" t="n">
        <v>2881.411</v>
      </c>
      <c r="I37" s="12" t="n">
        <v>2985.968</v>
      </c>
      <c r="J37" s="12" t="n">
        <v>3260.433</v>
      </c>
      <c r="K37" s="12" t="n">
        <v>3743.658</v>
      </c>
      <c r="L37" s="12" t="n">
        <v>5197.742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3641.602</v>
      </c>
      <c r="F38" s="20" t="n"/>
      <c r="G38" s="20" t="n"/>
      <c r="H38" s="19" t="n">
        <v>1584.92</v>
      </c>
      <c r="I38" s="20" t="n">
        <v>1794.466</v>
      </c>
      <c r="J38" s="20" t="n">
        <v>2212.476</v>
      </c>
      <c r="K38" s="20" t="n">
        <v>2769.132</v>
      </c>
      <c r="L38" s="20" t="n">
        <v>3641.602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606.172</v>
      </c>
      <c r="F40" s="20" t="n"/>
      <c r="G40" s="20" t="n"/>
      <c r="H40" s="19" t="n">
        <v>421.492</v>
      </c>
      <c r="I40" s="20" t="n">
        <v>467.866</v>
      </c>
      <c r="J40" s="20" t="n">
        <v>524.878</v>
      </c>
      <c r="K40" s="20" t="n">
        <v>572.926</v>
      </c>
      <c r="L40" s="20" t="n">
        <v>606.172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5058.652</v>
      </c>
      <c r="D71" s="20" t="n">
        <v>5718.298</v>
      </c>
      <c r="E71" s="20" t="n">
        <v>6740.85</v>
      </c>
      <c r="F71" s="20" t="n">
        <v>5395.788</v>
      </c>
      <c r="G71" s="20" t="n">
        <v>6274.826</v>
      </c>
      <c r="H71" s="20" t="n">
        <v>4242.144</v>
      </c>
      <c r="I71" s="20" t="n">
        <v>4909.14</v>
      </c>
      <c r="J71" s="20" t="n">
        <v>5163.559</v>
      </c>
      <c r="K71" s="20" t="n">
        <v>5834.981</v>
      </c>
      <c r="L71" s="20" t="n">
        <v>6740.85</v>
      </c>
    </row>
    <row r="72">
      <c r="A72" s="18" t="inlineStr">
        <is>
          <t>매출채권</t>
        </is>
      </c>
      <c r="H72" s="20" t="n">
        <v>0</v>
      </c>
    </row>
    <row r="73">
      <c r="A73" s="18" t="inlineStr">
        <is>
          <t>받을어음·매출채권</t>
        </is>
      </c>
      <c r="H73" s="20" t="n">
        <v>0</v>
      </c>
    </row>
    <row r="74">
      <c r="A74" s="18" t="inlineStr">
        <is>
          <t>받을어음·매출채권·계약자산</t>
        </is>
      </c>
      <c r="C74" s="20" t="n">
        <v>1563.861</v>
      </c>
      <c r="H74" s="20" t="n">
        <v>929.5839999999999</v>
      </c>
      <c r="I74" s="20" t="n">
        <v>812.412</v>
      </c>
      <c r="J74" s="20" t="n">
        <v>1002.722</v>
      </c>
      <c r="K74" s="20" t="n">
        <v>1123.744</v>
      </c>
    </row>
    <row r="75">
      <c r="A75" s="18" t="inlineStr">
        <is>
          <t>매출채권·계약자산</t>
        </is>
      </c>
      <c r="D75" s="20" t="n">
        <v>2052.148</v>
      </c>
      <c r="E75" s="20" t="n">
        <v>1644.323</v>
      </c>
      <c r="F75" s="20" t="n">
        <v>1780.714</v>
      </c>
      <c r="G75" s="20" t="n">
        <v>2185.464</v>
      </c>
      <c r="J75" s="20" t="n">
        <v>955.985</v>
      </c>
      <c r="K75" s="20" t="n">
        <v>1123.744</v>
      </c>
      <c r="L75" s="20" t="n">
        <v>1644.323</v>
      </c>
    </row>
    <row r="76">
      <c r="A76" s="18" t="inlineStr">
        <is>
          <t>유가증권</t>
        </is>
      </c>
      <c r="C76" s="20" t="n">
        <v>100</v>
      </c>
      <c r="D76" s="20" t="n">
        <v>100</v>
      </c>
      <c r="E76" s="20" t="n">
        <v>100</v>
      </c>
      <c r="F76" s="20" t="n">
        <v>100</v>
      </c>
      <c r="G76" s="20" t="n">
        <v>0</v>
      </c>
      <c r="H76" s="20" t="n">
        <v>100</v>
      </c>
      <c r="I76" s="20" t="n">
        <v>0</v>
      </c>
      <c r="J76" s="20" t="n">
        <v>100.29</v>
      </c>
      <c r="K76" s="20" t="n">
        <v>99.955</v>
      </c>
      <c r="L76" s="20" t="n">
        <v>100</v>
      </c>
    </row>
    <row r="77">
      <c r="A77" s="18" t="inlineStr">
        <is>
          <t>상품·제품</t>
        </is>
      </c>
      <c r="C77" s="20" t="n">
        <v>2.196</v>
      </c>
      <c r="D77" s="20" t="n">
        <v>2.164</v>
      </c>
      <c r="E77" s="20" t="n">
        <v>2.104</v>
      </c>
      <c r="F77" s="20" t="n">
        <v>2.594</v>
      </c>
      <c r="G77" s="20" t="n">
        <v>2.403</v>
      </c>
      <c r="H77" s="20" t="n">
        <v>2.601</v>
      </c>
      <c r="I77" s="20" t="n">
        <v>2.512</v>
      </c>
      <c r="J77" s="20" t="n">
        <v>2.673</v>
      </c>
      <c r="K77" s="20" t="n">
        <v>2.385</v>
      </c>
      <c r="L77" s="20" t="n">
        <v>2.104</v>
      </c>
    </row>
    <row r="78">
      <c r="A78" s="18" t="inlineStr">
        <is>
          <t>재공품</t>
        </is>
      </c>
      <c r="C78" s="20" t="n">
        <v>49.5</v>
      </c>
      <c r="D78" s="20" t="n">
        <v>86.718</v>
      </c>
      <c r="E78" s="20" t="n">
        <v>0.053</v>
      </c>
      <c r="F78" s="20" t="n">
        <v>31.954</v>
      </c>
      <c r="G78" s="20" t="n">
        <v>20.465</v>
      </c>
      <c r="H78" s="20" t="n">
        <v>1.405</v>
      </c>
      <c r="I78" s="20" t="n">
        <v>5.176</v>
      </c>
      <c r="J78" s="20" t="n">
        <v>0.5</v>
      </c>
      <c r="K78" s="20" t="n">
        <v>0.405</v>
      </c>
      <c r="L78" s="20" t="n">
        <v>0.053</v>
      </c>
    </row>
    <row r="79">
      <c r="A79" s="18" t="inlineStr">
        <is>
          <t>원재료·저장품</t>
        </is>
      </c>
      <c r="C79" s="20" t="n">
        <v>6.438</v>
      </c>
      <c r="D79" s="20" t="n">
        <v>3.069</v>
      </c>
      <c r="E79" s="20" t="n">
        <v>5.733</v>
      </c>
      <c r="F79" s="20" t="n">
        <v>3.413</v>
      </c>
      <c r="G79" s="20" t="n">
        <v>5.354</v>
      </c>
      <c r="H79" s="20" t="n">
        <v>4.802</v>
      </c>
      <c r="I79" s="20" t="n">
        <v>3.151</v>
      </c>
      <c r="J79" s="20" t="n">
        <v>6.126</v>
      </c>
      <c r="K79" s="20" t="n">
        <v>7.236</v>
      </c>
      <c r="L79" s="20" t="n">
        <v>5.733</v>
      </c>
    </row>
    <row r="80">
      <c r="A80" s="18" t="inlineStr">
        <is>
          <t>선급비용</t>
        </is>
      </c>
      <c r="E80" s="20" t="n">
        <v>196.975</v>
      </c>
      <c r="H80" s="20" t="n">
        <v>73.30800000000001</v>
      </c>
      <c r="I80" s="20" t="n">
        <v>99.11499999999999</v>
      </c>
      <c r="J80" s="20" t="n">
        <v>113.924</v>
      </c>
      <c r="K80" s="20" t="n">
        <v>157.321</v>
      </c>
      <c r="L80" s="20" t="n">
        <v>196.975</v>
      </c>
    </row>
    <row r="81">
      <c r="A81" s="18" t="inlineStr">
        <is>
          <t>미수금</t>
        </is>
      </c>
      <c r="E81" s="20" t="n">
        <v>16.446</v>
      </c>
      <c r="H81" s="20" t="n">
        <v>10.518</v>
      </c>
      <c r="I81" s="20" t="n">
        <v>8.365</v>
      </c>
      <c r="J81" s="20" t="n">
        <v>17.703</v>
      </c>
      <c r="K81" s="20" t="n">
        <v>15.134</v>
      </c>
      <c r="L81" s="20" t="n">
        <v>16.446</v>
      </c>
    </row>
    <row r="82">
      <c r="A82" s="18" t="inlineStr">
        <is>
          <t>기타</t>
        </is>
      </c>
      <c r="C82" s="20" t="n">
        <v>395.12</v>
      </c>
      <c r="D82" s="20" t="n">
        <v>389.756</v>
      </c>
      <c r="E82" s="20" t="n">
        <v>281.363</v>
      </c>
      <c r="F82" s="20" t="n">
        <v>306.137</v>
      </c>
      <c r="G82" s="20" t="n">
        <v>454.589</v>
      </c>
      <c r="H82" s="20" t="n">
        <v>25.365</v>
      </c>
      <c r="I82" s="20" t="n">
        <v>130.476</v>
      </c>
      <c r="J82" s="20" t="n">
        <v>49.505</v>
      </c>
      <c r="K82" s="20" t="n">
        <v>222.326</v>
      </c>
      <c r="L82" s="20" t="n">
        <v>281.363</v>
      </c>
    </row>
    <row r="83">
      <c r="A83" s="18" t="inlineStr">
        <is>
          <t>대손충당금</t>
        </is>
      </c>
      <c r="C83" s="20" t="n">
        <v>-28.229</v>
      </c>
      <c r="D83" s="20" t="n">
        <v>-38.759</v>
      </c>
      <c r="E83" s="20" t="n">
        <v>-38.425</v>
      </c>
      <c r="F83" s="20" t="n">
        <v>-44.926</v>
      </c>
      <c r="G83" s="20" t="n">
        <v>-54.825</v>
      </c>
      <c r="H83" s="20" t="n">
        <v>-13.703</v>
      </c>
      <c r="I83" s="20" t="n">
        <v>-5.276</v>
      </c>
      <c r="J83" s="20" t="n">
        <v>-21.684</v>
      </c>
      <c r="K83" s="20" t="n">
        <v>-21.851</v>
      </c>
      <c r="L83" s="20" t="n">
        <v>-38.425</v>
      </c>
    </row>
    <row r="84">
      <c r="A84" s="9" t="inlineStr">
        <is>
          <t>유동자산 합계</t>
        </is>
      </c>
      <c r="C84" s="12" t="n">
        <v>7147.54</v>
      </c>
      <c r="D84" s="12" t="n">
        <v>8313.395</v>
      </c>
      <c r="E84" s="12" t="n">
        <v>8736.003000000001</v>
      </c>
      <c r="F84" s="12" t="n">
        <v>7575.676</v>
      </c>
      <c r="G84" s="12" t="n">
        <v>8888.277</v>
      </c>
      <c r="H84" s="12" t="n">
        <v>5374.622</v>
      </c>
      <c r="I84" s="12" t="n">
        <v>5857.594</v>
      </c>
      <c r="J84" s="12" t="n">
        <v>6388.084</v>
      </c>
      <c r="K84" s="12" t="n">
        <v>7269.183</v>
      </c>
      <c r="L84" s="12" t="n">
        <v>8736.003000000001</v>
      </c>
    </row>
    <row r="85">
      <c r="A85" s="18" t="inlineStr">
        <is>
          <t>건물</t>
        </is>
      </c>
      <c r="E85" s="20" t="n">
        <v>1278.037</v>
      </c>
      <c r="H85" s="20" t="n">
        <v>1160.617</v>
      </c>
      <c r="I85" s="20" t="n">
        <v>1175.739</v>
      </c>
      <c r="J85" s="20" t="n">
        <v>1283.543</v>
      </c>
      <c r="K85" s="20" t="n">
        <v>1267.186</v>
      </c>
      <c r="L85" s="20" t="n">
        <v>1278.037</v>
      </c>
    </row>
    <row r="86">
      <c r="A86" s="18" t="inlineStr">
        <is>
          <t>건물·구축물(순액)</t>
        </is>
      </c>
      <c r="C86" s="20" t="n">
        <v>1337.644</v>
      </c>
      <c r="D86" s="20" t="n">
        <v>1312.085</v>
      </c>
      <c r="E86" s="20" t="n">
        <v>1285.577</v>
      </c>
      <c r="F86" s="20" t="n">
        <v>1259.608</v>
      </c>
      <c r="G86" s="20" t="n">
        <v>1260.141</v>
      </c>
      <c r="H86" s="20" t="n">
        <v>1177.912</v>
      </c>
      <c r="I86" s="20" t="n">
        <v>1189.576</v>
      </c>
      <c r="J86" s="20" t="n">
        <v>1294.613</v>
      </c>
      <c r="K86" s="20" t="n">
        <v>1277.163</v>
      </c>
      <c r="L86" s="20" t="n">
        <v>1285.577</v>
      </c>
    </row>
    <row r="87">
      <c r="A87" s="18" t="inlineStr">
        <is>
          <t>차량운반구(순액)</t>
        </is>
      </c>
      <c r="H87" s="20" t="n">
        <v>0</v>
      </c>
    </row>
    <row r="88">
      <c r="A88" s="18" t="inlineStr">
        <is>
          <t>공구·기구·비품(순액)</t>
        </is>
      </c>
      <c r="C88" s="20" t="n">
        <v>254.023</v>
      </c>
      <c r="D88" s="20" t="n">
        <v>228.045</v>
      </c>
      <c r="E88" s="20" t="n">
        <v>220.833</v>
      </c>
      <c r="F88" s="20" t="n">
        <v>237.463</v>
      </c>
      <c r="G88" s="20" t="n">
        <v>287.523</v>
      </c>
      <c r="H88" s="20" t="n">
        <v>150.023</v>
      </c>
      <c r="I88" s="20" t="n">
        <v>140.988</v>
      </c>
      <c r="J88" s="20" t="n">
        <v>167.637</v>
      </c>
      <c r="K88" s="20" t="n">
        <v>201.885</v>
      </c>
      <c r="L88" s="20" t="n">
        <v>220.833</v>
      </c>
    </row>
    <row r="89">
      <c r="A89" s="18" t="inlineStr">
        <is>
          <t>토지</t>
        </is>
      </c>
      <c r="C89" s="20" t="n">
        <v>1281.627</v>
      </c>
      <c r="D89" s="20" t="n">
        <v>1281.627</v>
      </c>
      <c r="E89" s="20" t="n">
        <v>1281.627</v>
      </c>
      <c r="F89" s="20" t="n">
        <v>1281.627</v>
      </c>
      <c r="G89" s="20" t="n">
        <v>1281.627</v>
      </c>
      <c r="H89" s="20" t="n">
        <v>1281.627</v>
      </c>
      <c r="I89" s="20" t="n">
        <v>1281.627</v>
      </c>
      <c r="J89" s="20" t="n">
        <v>1281.627</v>
      </c>
      <c r="K89" s="20" t="n">
        <v>1281.627</v>
      </c>
      <c r="L89" s="20" t="n">
        <v>1281.627</v>
      </c>
    </row>
    <row r="90">
      <c r="A90" s="18" t="inlineStr">
        <is>
          <t>건설중인자산</t>
        </is>
      </c>
      <c r="C90" s="20" t="n">
        <v>0</v>
      </c>
      <c r="D90" s="20" t="n">
        <v>0</v>
      </c>
      <c r="E90" s="20" t="n">
        <v>0</v>
      </c>
      <c r="H90" s="20" t="n">
        <v>0</v>
      </c>
      <c r="I90" s="20" t="n">
        <v>122.168</v>
      </c>
      <c r="J90" s="20" t="n">
        <v>16.72</v>
      </c>
      <c r="K90" s="20" t="n">
        <v>44.082</v>
      </c>
      <c r="L90" s="20" t="n">
        <v>0</v>
      </c>
    </row>
    <row r="91">
      <c r="A91" s="18" t="inlineStr">
        <is>
          <t>유형자산 합계</t>
        </is>
      </c>
      <c r="C91" s="20" t="n">
        <v>2873.295</v>
      </c>
      <c r="D91" s="20" t="n">
        <v>2821.758</v>
      </c>
      <c r="E91" s="20" t="n">
        <v>2788.037</v>
      </c>
      <c r="F91" s="20" t="n">
        <v>2778.699</v>
      </c>
      <c r="G91" s="20" t="n">
        <v>2829.291</v>
      </c>
      <c r="H91" s="20" t="n">
        <v>2592.268</v>
      </c>
      <c r="I91" s="20" t="n">
        <v>2734.36</v>
      </c>
      <c r="J91" s="20" t="n">
        <v>2749.528</v>
      </c>
      <c r="K91" s="20" t="n">
        <v>2804.758</v>
      </c>
      <c r="L91" s="20" t="n">
        <v>2788.037</v>
      </c>
    </row>
    <row r="92">
      <c r="A92" s="18" t="inlineStr">
        <is>
          <t>영업권</t>
        </is>
      </c>
      <c r="C92" s="20" t="n">
        <v>0.01</v>
      </c>
      <c r="D92" s="20" t="n">
        <v>0.008999999999999999</v>
      </c>
      <c r="E92" s="20" t="n">
        <v>0.008</v>
      </c>
      <c r="F92" s="20" t="n">
        <v>0.008</v>
      </c>
      <c r="G92" s="20" t="n">
        <v>0.008</v>
      </c>
      <c r="H92" s="20" t="n">
        <v>0.051</v>
      </c>
      <c r="I92" s="20" t="n">
        <v>0.034</v>
      </c>
      <c r="J92" s="20" t="n">
        <v>0.016</v>
      </c>
      <c r="K92" s="20" t="n">
        <v>0.012</v>
      </c>
      <c r="L92" s="20" t="n">
        <v>0.008</v>
      </c>
    </row>
    <row r="93">
      <c r="A93" s="18" t="inlineStr">
        <is>
          <t>소프트웨어</t>
        </is>
      </c>
      <c r="C93" s="20" t="n">
        <v>4774.514</v>
      </c>
      <c r="D93" s="20" t="n">
        <v>5163.742</v>
      </c>
      <c r="E93" s="20" t="n">
        <v>6387.715</v>
      </c>
      <c r="F93" s="20" t="n">
        <v>6309.971</v>
      </c>
      <c r="G93" s="20" t="n">
        <v>6447.452</v>
      </c>
      <c r="H93" s="20" t="n">
        <v>2906.796</v>
      </c>
      <c r="I93" s="20" t="n">
        <v>3218.456</v>
      </c>
      <c r="J93" s="20" t="n">
        <v>4636.572</v>
      </c>
      <c r="K93" s="20" t="n">
        <v>4926.698</v>
      </c>
      <c r="L93" s="20" t="n">
        <v>6387.715</v>
      </c>
    </row>
    <row r="94">
      <c r="A94" s="18" t="inlineStr">
        <is>
          <t>기타</t>
        </is>
      </c>
      <c r="C94" s="20" t="n">
        <v>1242.836</v>
      </c>
      <c r="D94" s="20" t="n">
        <v>1285.451</v>
      </c>
      <c r="E94" s="20" t="n">
        <v>489.128</v>
      </c>
      <c r="F94" s="20" t="n">
        <v>1016.193</v>
      </c>
      <c r="G94" s="20" t="n">
        <v>1439.206</v>
      </c>
      <c r="H94" s="20" t="n">
        <v>8.451000000000001</v>
      </c>
      <c r="I94" s="20" t="n">
        <v>127.409</v>
      </c>
      <c r="J94" s="20" t="n">
        <v>67.14400000000001</v>
      </c>
      <c r="K94" s="20" t="n">
        <v>344.371</v>
      </c>
      <c r="L94" s="20" t="n">
        <v>489.128</v>
      </c>
    </row>
    <row r="95">
      <c r="A95" s="18" t="inlineStr">
        <is>
          <t>무형자산 합계</t>
        </is>
      </c>
      <c r="C95" s="20" t="n">
        <v>6017.361</v>
      </c>
      <c r="D95" s="20" t="n">
        <v>6449.203</v>
      </c>
      <c r="E95" s="20" t="n">
        <v>6876.853</v>
      </c>
      <c r="F95" s="20" t="n">
        <v>7326.173</v>
      </c>
      <c r="G95" s="20" t="n">
        <v>7886.667</v>
      </c>
      <c r="H95" s="20" t="n">
        <v>2915.248</v>
      </c>
      <c r="I95" s="20" t="n">
        <v>3345.899</v>
      </c>
      <c r="J95" s="20" t="n">
        <v>4703.716</v>
      </c>
      <c r="K95" s="20" t="n">
        <v>5271.082</v>
      </c>
      <c r="L95" s="20" t="n">
        <v>6876.853</v>
      </c>
    </row>
    <row r="96">
      <c r="A96" s="18" t="inlineStr">
        <is>
          <t>투자유가증권</t>
        </is>
      </c>
      <c r="C96" s="20" t="n">
        <v>812.244</v>
      </c>
      <c r="D96" s="20" t="n">
        <v>902.04</v>
      </c>
      <c r="E96" s="20" t="n">
        <v>898.837</v>
      </c>
      <c r="F96" s="20" t="n">
        <v>898.775</v>
      </c>
      <c r="G96" s="20" t="n">
        <v>898.38</v>
      </c>
      <c r="H96" s="20" t="n">
        <v>503.309</v>
      </c>
      <c r="I96" s="20" t="n">
        <v>702.141</v>
      </c>
      <c r="J96" s="20" t="n">
        <v>820.394</v>
      </c>
      <c r="K96" s="20" t="n">
        <v>910.444</v>
      </c>
      <c r="L96" s="20" t="n">
        <v>898.837</v>
      </c>
    </row>
    <row r="97">
      <c r="A97" s="18" t="inlineStr">
        <is>
          <t>관계회사 주식</t>
        </is>
      </c>
      <c r="E97" s="20" t="n">
        <v>89.617</v>
      </c>
      <c r="H97" s="20" t="n">
        <v>89.617</v>
      </c>
      <c r="I97" s="20" t="n">
        <v>89.617</v>
      </c>
      <c r="J97" s="20" t="n">
        <v>89.617</v>
      </c>
      <c r="K97" s="20" t="n">
        <v>89.617</v>
      </c>
      <c r="L97" s="20" t="n">
        <v>89.617</v>
      </c>
    </row>
    <row r="98">
      <c r="A98" s="18" t="inlineStr">
        <is>
          <t>출자금</t>
        </is>
      </c>
      <c r="E98" s="20" t="n">
        <v>0.71</v>
      </c>
      <c r="H98" s="20" t="n">
        <v>1.71</v>
      </c>
      <c r="I98" s="20" t="n">
        <v>1.71</v>
      </c>
      <c r="J98" s="20" t="n">
        <v>1.71</v>
      </c>
      <c r="K98" s="20" t="n">
        <v>1.71</v>
      </c>
      <c r="L98" s="20" t="n">
        <v>0.71</v>
      </c>
    </row>
    <row r="99">
      <c r="A99" s="18" t="inlineStr">
        <is>
          <t>장기선급비용</t>
        </is>
      </c>
      <c r="H99" s="20" t="n">
        <v>0.1</v>
      </c>
      <c r="I99" s="20" t="n">
        <v>0</v>
      </c>
    </row>
    <row r="100">
      <c r="A100" s="18" t="inlineStr">
        <is>
          <t>이연법인세자산</t>
        </is>
      </c>
      <c r="C100" s="20" t="n">
        <v>546.072</v>
      </c>
      <c r="D100" s="20" t="n">
        <v>482.758</v>
      </c>
      <c r="E100" s="20" t="n">
        <v>615.7670000000001</v>
      </c>
      <c r="F100" s="20" t="n">
        <v>414.414</v>
      </c>
      <c r="G100" s="20" t="n">
        <v>758.615</v>
      </c>
      <c r="H100" s="20" t="n">
        <v>246.73</v>
      </c>
      <c r="I100" s="20" t="n">
        <v>338.73</v>
      </c>
      <c r="J100" s="20" t="n">
        <v>279.87</v>
      </c>
      <c r="K100" s="20" t="n">
        <v>391.721</v>
      </c>
      <c r="L100" s="20" t="n">
        <v>615.7670000000001</v>
      </c>
    </row>
    <row r="101">
      <c r="A101" s="18" t="inlineStr">
        <is>
          <t>Long Term Account Receivable IOA</t>
        </is>
      </c>
      <c r="E101" s="20" t="n">
        <v>122.857</v>
      </c>
      <c r="H101" s="20" t="n">
        <v>30.778</v>
      </c>
      <c r="I101" s="20" t="n">
        <v>28.296</v>
      </c>
      <c r="J101" s="20" t="n">
        <v>64.22</v>
      </c>
      <c r="K101" s="20" t="n">
        <v>70.411</v>
      </c>
      <c r="L101" s="20" t="n">
        <v>122.857</v>
      </c>
    </row>
    <row r="102">
      <c r="A102" s="18" t="inlineStr">
        <is>
          <t>Long Term Account Receivable Fixed Assets</t>
        </is>
      </c>
      <c r="C102" s="20" t="n">
        <v>105.467</v>
      </c>
      <c r="D102" s="20" t="n">
        <v>101.182</v>
      </c>
      <c r="E102" s="20" t="n">
        <v>122.857</v>
      </c>
      <c r="F102" s="20" t="n">
        <v>99.649</v>
      </c>
      <c r="G102" s="20" t="n">
        <v>103.174</v>
      </c>
      <c r="H102" s="20" t="n">
        <v>30.778</v>
      </c>
      <c r="I102" s="20" t="n">
        <v>28.296</v>
      </c>
      <c r="J102" s="20" t="n">
        <v>64.22</v>
      </c>
      <c r="K102" s="20" t="n">
        <v>70.411</v>
      </c>
      <c r="L102" s="20" t="n">
        <v>122.857</v>
      </c>
    </row>
    <row r="103">
      <c r="A103" s="18" t="inlineStr">
        <is>
          <t>보증금</t>
        </is>
      </c>
      <c r="C103" s="20" t="n">
        <v>150.224</v>
      </c>
      <c r="D103" s="20" t="n">
        <v>152.073</v>
      </c>
      <c r="E103" s="20" t="n">
        <v>153.432</v>
      </c>
      <c r="F103" s="20" t="n">
        <v>156.945</v>
      </c>
      <c r="G103" s="20" t="n">
        <v>139.535</v>
      </c>
      <c r="H103" s="20" t="n">
        <v>135.951</v>
      </c>
      <c r="I103" s="20" t="n">
        <v>137.762</v>
      </c>
      <c r="J103" s="20" t="n">
        <v>140.642</v>
      </c>
      <c r="K103" s="20" t="n">
        <v>145.076</v>
      </c>
      <c r="L103" s="20" t="n">
        <v>153.432</v>
      </c>
    </row>
    <row r="104">
      <c r="A104" s="18" t="inlineStr">
        <is>
          <t>보험적립금</t>
        </is>
      </c>
      <c r="C104" s="20" t="n">
        <v>486.413</v>
      </c>
      <c r="D104" s="20" t="n">
        <v>485.961</v>
      </c>
      <c r="E104" s="20" t="n">
        <v>514.6420000000001</v>
      </c>
      <c r="F104" s="20" t="n">
        <v>514.943</v>
      </c>
      <c r="G104" s="20" t="n">
        <v>506.276</v>
      </c>
      <c r="H104" s="20" t="n">
        <v>382.812</v>
      </c>
      <c r="I104" s="20" t="n">
        <v>403.682</v>
      </c>
      <c r="J104" s="20" t="n">
        <v>428.056</v>
      </c>
      <c r="K104" s="20" t="n">
        <v>481.739</v>
      </c>
      <c r="L104" s="20" t="n">
        <v>514.6420000000001</v>
      </c>
    </row>
    <row r="105">
      <c r="A105" s="18" t="inlineStr">
        <is>
          <t>기타</t>
        </is>
      </c>
      <c r="C105" s="20" t="n">
        <v>21.784</v>
      </c>
      <c r="D105" s="20" t="n">
        <v>21.643</v>
      </c>
      <c r="E105" s="20" t="n">
        <v>20.501</v>
      </c>
      <c r="F105" s="20" t="n">
        <v>20.359</v>
      </c>
      <c r="G105" s="20" t="n">
        <v>20.218</v>
      </c>
      <c r="H105" s="20" t="n">
        <v>6.955</v>
      </c>
      <c r="I105" s="20" t="n">
        <v>8.904999999999999</v>
      </c>
      <c r="J105" s="20" t="n">
        <v>6.934</v>
      </c>
      <c r="K105" s="20" t="n">
        <v>22.067</v>
      </c>
      <c r="L105" s="20" t="n">
        <v>20.501</v>
      </c>
    </row>
    <row r="106">
      <c r="A106" s="18" t="inlineStr">
        <is>
          <t>대손충당금</t>
        </is>
      </c>
      <c r="C106" s="20" t="n">
        <v>-94.877</v>
      </c>
      <c r="D106" s="20" t="n">
        <v>-92.649</v>
      </c>
      <c r="E106" s="20" t="n">
        <v>-84.818</v>
      </c>
      <c r="F106" s="20" t="n">
        <v>-80.005</v>
      </c>
      <c r="G106" s="20" t="n">
        <v>-88.521</v>
      </c>
      <c r="H106" s="20" t="n">
        <v>-26.077</v>
      </c>
      <c r="I106" s="20" t="n">
        <v>-23.865</v>
      </c>
      <c r="J106" s="20" t="n">
        <v>-50.487</v>
      </c>
      <c r="K106" s="20" t="n">
        <v>-60.772</v>
      </c>
      <c r="L106" s="20" t="n">
        <v>-84.818</v>
      </c>
    </row>
    <row r="107">
      <c r="A107" s="18" t="inlineStr">
        <is>
          <t>투자 및 기타자산 합계</t>
        </is>
      </c>
      <c r="C107" s="20" t="n">
        <v>2027.33</v>
      </c>
      <c r="D107" s="20" t="n">
        <v>2053.01</v>
      </c>
      <c r="E107" s="20" t="n">
        <v>2241.22</v>
      </c>
      <c r="F107" s="20" t="n">
        <v>2025.082</v>
      </c>
      <c r="G107" s="20" t="n">
        <v>2337.679</v>
      </c>
      <c r="H107" s="20" t="n">
        <v>1371.888</v>
      </c>
      <c r="I107" s="20" t="n">
        <v>1595.654</v>
      </c>
      <c r="J107" s="20" t="n">
        <v>1780.96</v>
      </c>
      <c r="K107" s="20" t="n">
        <v>1960.688</v>
      </c>
      <c r="L107" s="20" t="n">
        <v>2241.22</v>
      </c>
    </row>
    <row r="108">
      <c r="A108" s="9" t="inlineStr">
        <is>
          <t>비유동자산 합계</t>
        </is>
      </c>
      <c r="C108" s="12" t="n">
        <v>10917.987</v>
      </c>
      <c r="D108" s="12" t="n">
        <v>11323.972</v>
      </c>
      <c r="E108" s="12" t="n">
        <v>11906.11</v>
      </c>
      <c r="F108" s="12" t="n">
        <v>12129.956</v>
      </c>
      <c r="G108" s="12" t="n">
        <v>13053.638</v>
      </c>
      <c r="H108" s="12" t="n">
        <v>6879.405</v>
      </c>
      <c r="I108" s="12" t="n">
        <v>7675.914</v>
      </c>
      <c r="J108" s="12" t="n">
        <v>9234.205</v>
      </c>
      <c r="K108" s="12" t="n">
        <v>10036.53</v>
      </c>
      <c r="L108" s="12" t="n">
        <v>11906.11</v>
      </c>
    </row>
    <row r="109">
      <c r="A109" s="9" t="inlineStr">
        <is>
          <t>자산 합계</t>
        </is>
      </c>
      <c r="C109" s="12" t="n">
        <v>18065.528</v>
      </c>
      <c r="D109" s="12" t="n">
        <v>19637.368</v>
      </c>
      <c r="E109" s="12" t="n">
        <v>20642.114</v>
      </c>
      <c r="F109" s="12" t="n">
        <v>19705.632</v>
      </c>
      <c r="G109" s="12" t="n">
        <v>21941.916</v>
      </c>
      <c r="H109" s="12" t="n">
        <v>12254.028</v>
      </c>
      <c r="I109" s="12" t="n">
        <v>13533.509</v>
      </c>
      <c r="J109" s="12" t="n">
        <v>15622.29</v>
      </c>
      <c r="K109" s="12" t="n">
        <v>17305.714</v>
      </c>
      <c r="L109" s="12" t="n">
        <v>20642.114</v>
      </c>
    </row>
    <row r="110">
      <c r="A110" s="18" t="inlineStr">
        <is>
          <t>지급어음·매입채무</t>
        </is>
      </c>
      <c r="C110" s="20" t="n">
        <v>11.042</v>
      </c>
      <c r="H110" s="20" t="n">
        <v>8.282</v>
      </c>
      <c r="I110" s="20" t="n">
        <v>9.346</v>
      </c>
      <c r="J110" s="20" t="n">
        <v>9.470000000000001</v>
      </c>
      <c r="K110" s="20" t="n">
        <v>10.212</v>
      </c>
    </row>
    <row r="111">
      <c r="A111" s="18" t="inlineStr">
        <is>
          <t>단기차입금</t>
        </is>
      </c>
      <c r="H111" s="20" t="n">
        <v>0</v>
      </c>
    </row>
    <row r="112">
      <c r="A112" s="18" t="inlineStr">
        <is>
          <t>매입채무</t>
        </is>
      </c>
      <c r="D112" s="20" t="n">
        <v>11.538</v>
      </c>
      <c r="E112" s="20" t="n">
        <v>9.521000000000001</v>
      </c>
      <c r="F112" s="20" t="n">
        <v>10.747</v>
      </c>
      <c r="G112" s="20" t="n">
        <v>8.805</v>
      </c>
      <c r="H112" s="20" t="n">
        <v>8.220000000000001</v>
      </c>
      <c r="I112" s="20" t="n">
        <v>9.095000000000001</v>
      </c>
      <c r="J112" s="20" t="n">
        <v>9.314</v>
      </c>
      <c r="K112" s="20" t="n">
        <v>10.212</v>
      </c>
      <c r="L112" s="20" t="n">
        <v>9.521000000000001</v>
      </c>
    </row>
    <row r="113">
      <c r="A113" s="18" t="inlineStr">
        <is>
          <t>1년 내 상환 장기차입금</t>
        </is>
      </c>
      <c r="H113" s="20" t="n">
        <v>0</v>
      </c>
    </row>
    <row r="114">
      <c r="A114" s="18" t="inlineStr">
        <is>
          <t>미지급금</t>
        </is>
      </c>
      <c r="E114" s="20" t="n">
        <v>1005.408</v>
      </c>
      <c r="H114" s="20" t="n">
        <v>594.789</v>
      </c>
      <c r="I114" s="20" t="n">
        <v>766.925</v>
      </c>
      <c r="J114" s="20" t="n">
        <v>930.971</v>
      </c>
      <c r="K114" s="20" t="n">
        <v>1063.511</v>
      </c>
      <c r="L114" s="20" t="n">
        <v>1005.408</v>
      </c>
    </row>
    <row r="115">
      <c r="A115" s="18" t="inlineStr">
        <is>
          <t>미지급비용</t>
        </is>
      </c>
      <c r="E115" s="20" t="n">
        <v>462.813</v>
      </c>
      <c r="H115" s="20" t="n">
        <v>330.877</v>
      </c>
      <c r="I115" s="20" t="n">
        <v>292.706</v>
      </c>
      <c r="J115" s="20" t="n">
        <v>376.15</v>
      </c>
      <c r="K115" s="20" t="n">
        <v>393.677</v>
      </c>
      <c r="L115" s="20" t="n">
        <v>462.813</v>
      </c>
    </row>
    <row r="116">
      <c r="A116" s="18" t="inlineStr">
        <is>
          <t>계약부채</t>
        </is>
      </c>
      <c r="C116" s="20" t="n">
        <v>1421.192</v>
      </c>
      <c r="D116" s="20" t="n">
        <v>1012.936</v>
      </c>
      <c r="E116" s="20" t="n">
        <v>1059.953</v>
      </c>
      <c r="F116" s="20" t="n">
        <v>1138.664</v>
      </c>
      <c r="G116" s="20" t="n">
        <v>1182.552</v>
      </c>
      <c r="H116" s="20" t="n">
        <v>335.08</v>
      </c>
      <c r="I116" s="20" t="n">
        <v>625.375</v>
      </c>
      <c r="J116" s="20" t="n">
        <v>841.136</v>
      </c>
      <c r="K116" s="20" t="n">
        <v>835.004</v>
      </c>
      <c r="L116" s="20" t="n">
        <v>1059.953</v>
      </c>
    </row>
    <row r="117">
      <c r="A117" s="18" t="inlineStr">
        <is>
          <t>선수금</t>
        </is>
      </c>
      <c r="H117" s="20" t="n">
        <v>0</v>
      </c>
    </row>
    <row r="118">
      <c r="A118" s="18" t="inlineStr">
        <is>
          <t>예수금</t>
        </is>
      </c>
      <c r="E118" s="20" t="n">
        <v>160.244</v>
      </c>
      <c r="H118" s="20" t="n">
        <v>97.00700000000001</v>
      </c>
      <c r="I118" s="20" t="n">
        <v>114.967</v>
      </c>
      <c r="J118" s="20" t="n">
        <v>162.754</v>
      </c>
      <c r="K118" s="20" t="n">
        <v>151.311</v>
      </c>
      <c r="L118" s="20" t="n">
        <v>160.244</v>
      </c>
    </row>
    <row r="119">
      <c r="A119" s="18" t="inlineStr">
        <is>
          <t>미지급법인세</t>
        </is>
      </c>
      <c r="C119" s="20" t="n">
        <v>513.9640000000001</v>
      </c>
      <c r="D119" s="20" t="n">
        <v>528.912</v>
      </c>
      <c r="E119" s="20" t="n">
        <v>893.023</v>
      </c>
      <c r="F119" s="20" t="n">
        <v>121.199</v>
      </c>
      <c r="G119" s="20" t="n">
        <v>855.583</v>
      </c>
      <c r="H119" s="20" t="n">
        <v>656.947</v>
      </c>
      <c r="I119" s="20" t="n">
        <v>341.992</v>
      </c>
      <c r="J119" s="20" t="n">
        <v>336.293</v>
      </c>
      <c r="K119" s="20" t="n">
        <v>662.567</v>
      </c>
      <c r="L119" s="20" t="n">
        <v>893.023</v>
      </c>
    </row>
    <row r="120">
      <c r="A120" s="18" t="inlineStr">
        <is>
          <t>미지급 소비세</t>
        </is>
      </c>
      <c r="E120" s="20" t="n">
        <v>308.599</v>
      </c>
      <c r="H120" s="20" t="n">
        <v>248.331</v>
      </c>
      <c r="I120" s="20" t="n">
        <v>156.595</v>
      </c>
      <c r="J120" s="20" t="n">
        <v>170.298</v>
      </c>
      <c r="K120" s="20" t="n">
        <v>199.775</v>
      </c>
      <c r="L120" s="20" t="n">
        <v>308.599</v>
      </c>
    </row>
    <row r="121">
      <c r="A121" s="18" t="inlineStr">
        <is>
          <t>상여충당금</t>
        </is>
      </c>
      <c r="C121" s="20" t="n">
        <v>1106.788</v>
      </c>
      <c r="D121" s="20" t="n">
        <v>977.5940000000001</v>
      </c>
      <c r="E121" s="20" t="n">
        <v>1060.54</v>
      </c>
      <c r="F121" s="20" t="n">
        <v>625.183</v>
      </c>
      <c r="G121" s="20" t="n">
        <v>1454.233</v>
      </c>
      <c r="H121" s="20" t="n">
        <v>483.235</v>
      </c>
      <c r="I121" s="20" t="n">
        <v>604.914</v>
      </c>
      <c r="J121" s="20" t="n">
        <v>606.206</v>
      </c>
      <c r="K121" s="20" t="n">
        <v>708.931</v>
      </c>
      <c r="L121" s="20" t="n">
        <v>1060.54</v>
      </c>
    </row>
    <row r="122">
      <c r="A122" s="18" t="inlineStr">
        <is>
          <t>기타</t>
        </is>
      </c>
      <c r="C122" s="20" t="n">
        <v>1276.847</v>
      </c>
      <c r="D122" s="20" t="n">
        <v>2562.289</v>
      </c>
      <c r="E122" s="20" t="n">
        <v>2014.727</v>
      </c>
      <c r="F122" s="20" t="n">
        <v>2134.093</v>
      </c>
      <c r="G122" s="20" t="n">
        <v>1892.663</v>
      </c>
      <c r="H122" s="20" t="n">
        <v>13.651</v>
      </c>
      <c r="I122" s="20" t="n">
        <v>1239.134</v>
      </c>
      <c r="J122" s="20" t="n">
        <v>17.153</v>
      </c>
      <c r="K122" s="20" t="n">
        <v>1715.79</v>
      </c>
      <c r="L122" s="20" t="n">
        <v>2014.727</v>
      </c>
    </row>
    <row r="123">
      <c r="A123" s="9" t="inlineStr">
        <is>
          <t>유동부채 합계</t>
        </is>
      </c>
      <c r="C123" s="12" t="n">
        <v>4329.835</v>
      </c>
      <c r="D123" s="12" t="n">
        <v>5093.272</v>
      </c>
      <c r="E123" s="12" t="n">
        <v>5037.767</v>
      </c>
      <c r="F123" s="12" t="n">
        <v>4029.888</v>
      </c>
      <c r="G123" s="12" t="n">
        <v>5393.838</v>
      </c>
      <c r="H123" s="12" t="n">
        <v>2768.14</v>
      </c>
      <c r="I123" s="12" t="n">
        <v>2820.764</v>
      </c>
      <c r="J123" s="12" t="n">
        <v>3450.278</v>
      </c>
      <c r="K123" s="12" t="n">
        <v>3932.506</v>
      </c>
      <c r="L123" s="12" t="n">
        <v>5037.767</v>
      </c>
    </row>
    <row r="124">
      <c r="A124" s="18" t="inlineStr">
        <is>
          <t>퇴직급여충당금</t>
        </is>
      </c>
      <c r="E124" s="20" t="n">
        <v>105.25</v>
      </c>
      <c r="H124" s="20" t="n">
        <v>55.13</v>
      </c>
      <c r="I124" s="20" t="n">
        <v>67.2</v>
      </c>
      <c r="J124" s="20" t="n">
        <v>73.18600000000001</v>
      </c>
      <c r="K124" s="20" t="n">
        <v>86.38</v>
      </c>
      <c r="L124" s="20" t="n">
        <v>105.25</v>
      </c>
    </row>
    <row r="125">
      <c r="A125" s="18" t="inlineStr">
        <is>
          <t>예수보증금</t>
        </is>
      </c>
      <c r="E125" s="20" t="n">
        <v>66.70399999999999</v>
      </c>
      <c r="H125" s="20" t="n">
        <v>75.554</v>
      </c>
      <c r="I125" s="20" t="n">
        <v>75.554</v>
      </c>
      <c r="J125" s="20" t="n">
        <v>68.21599999999999</v>
      </c>
      <c r="K125" s="20" t="n">
        <v>66.824</v>
      </c>
      <c r="L125" s="20" t="n">
        <v>66.70399999999999</v>
      </c>
    </row>
    <row r="126">
      <c r="A126" s="18" t="inlineStr">
        <is>
          <t>퇴직급여부채</t>
        </is>
      </c>
      <c r="C126" s="20" t="n">
        <v>105.041</v>
      </c>
      <c r="D126" s="20" t="n">
        <v>111.047</v>
      </c>
      <c r="E126" s="20" t="n">
        <v>115.901</v>
      </c>
      <c r="F126" s="20" t="n">
        <v>117.201</v>
      </c>
      <c r="G126" s="20" t="n">
        <v>123.209</v>
      </c>
      <c r="H126" s="20" t="n">
        <v>56.344</v>
      </c>
      <c r="I126" s="20" t="n">
        <v>70.152</v>
      </c>
      <c r="J126" s="20" t="n">
        <v>78.553</v>
      </c>
      <c r="K126" s="20" t="n">
        <v>94.371</v>
      </c>
      <c r="L126" s="20" t="n">
        <v>115.901</v>
      </c>
    </row>
    <row r="127">
      <c r="A127" s="18" t="inlineStr">
        <is>
          <t>Negative Goodwill</t>
        </is>
      </c>
      <c r="C127" s="20" t="n">
        <v>0.279</v>
      </c>
      <c r="D127" s="20" t="n">
        <v>0.234</v>
      </c>
      <c r="E127" s="20" t="n">
        <v>0.189</v>
      </c>
      <c r="F127" s="20" t="n">
        <v>0.144</v>
      </c>
      <c r="G127" s="20" t="n">
        <v>0.099</v>
      </c>
      <c r="H127" s="20" t="n">
        <v>0.911</v>
      </c>
      <c r="I127" s="20" t="n">
        <v>0.73</v>
      </c>
      <c r="J127" s="20" t="n">
        <v>0.549</v>
      </c>
      <c r="K127" s="20" t="n">
        <v>0.369</v>
      </c>
      <c r="L127" s="20" t="n">
        <v>0.189</v>
      </c>
    </row>
    <row r="128">
      <c r="A128" s="18" t="inlineStr">
        <is>
          <t>기타</t>
        </is>
      </c>
      <c r="C128" s="20" t="n">
        <v>64.812</v>
      </c>
      <c r="D128" s="20" t="n">
        <v>64.812</v>
      </c>
      <c r="E128" s="20" t="n">
        <v>64.812</v>
      </c>
      <c r="F128" s="20" t="n">
        <v>64.812</v>
      </c>
      <c r="G128" s="20" t="n">
        <v>64.812</v>
      </c>
      <c r="H128" s="20" t="n">
        <v>73.66200000000001</v>
      </c>
      <c r="I128" s="20" t="n">
        <v>73.66200000000001</v>
      </c>
      <c r="J128" s="20" t="n">
        <v>66.324</v>
      </c>
      <c r="K128" s="20" t="n">
        <v>64.932</v>
      </c>
      <c r="L128" s="20" t="n">
        <v>64.812</v>
      </c>
    </row>
    <row r="129">
      <c r="A129" s="9" t="inlineStr">
        <is>
          <t>비유동부채 합계</t>
        </is>
      </c>
      <c r="C129" s="12" t="n">
        <v>170.133</v>
      </c>
      <c r="D129" s="12" t="n">
        <v>176.094</v>
      </c>
      <c r="E129" s="12" t="n">
        <v>180.903</v>
      </c>
      <c r="F129" s="12" t="n">
        <v>182.158</v>
      </c>
      <c r="G129" s="12" t="n">
        <v>188.122</v>
      </c>
      <c r="H129" s="12" t="n">
        <v>130.685</v>
      </c>
      <c r="I129" s="12" t="n">
        <v>144.546</v>
      </c>
      <c r="J129" s="12" t="n">
        <v>141.402</v>
      </c>
      <c r="K129" s="12" t="n">
        <v>159.673</v>
      </c>
      <c r="L129" s="12" t="n">
        <v>180.903</v>
      </c>
    </row>
    <row r="130">
      <c r="A130" s="9" t="inlineStr">
        <is>
          <t>부채 합계</t>
        </is>
      </c>
      <c r="C130" s="12" t="n">
        <v>4499.969</v>
      </c>
      <c r="D130" s="12" t="n">
        <v>5269.366</v>
      </c>
      <c r="E130" s="12" t="n">
        <v>5218.67</v>
      </c>
      <c r="F130" s="12" t="n">
        <v>4212.047</v>
      </c>
      <c r="G130" s="12" t="n">
        <v>5581.96</v>
      </c>
      <c r="H130" s="12" t="n">
        <v>2898.825</v>
      </c>
      <c r="I130" s="12" t="n">
        <v>2965.31</v>
      </c>
      <c r="J130" s="12" t="n">
        <v>3591.681</v>
      </c>
      <c r="K130" s="12" t="n">
        <v>4092.179</v>
      </c>
      <c r="L130" s="12" t="n">
        <v>5218.67</v>
      </c>
    </row>
    <row r="131">
      <c r="A131" s="18" t="inlineStr">
        <is>
          <t>자본금</t>
        </is>
      </c>
      <c r="C131" s="20" t="n">
        <v>989.65</v>
      </c>
      <c r="D131" s="20" t="n">
        <v>989.65</v>
      </c>
      <c r="E131" s="20" t="n">
        <v>989.65</v>
      </c>
      <c r="F131" s="20" t="n">
        <v>989.65</v>
      </c>
      <c r="G131" s="20" t="n">
        <v>989.65</v>
      </c>
      <c r="H131" s="20" t="n">
        <v>989.65</v>
      </c>
      <c r="I131" s="20" t="n">
        <v>989.65</v>
      </c>
      <c r="J131" s="20" t="n">
        <v>989.65</v>
      </c>
      <c r="K131" s="20" t="n">
        <v>989.65</v>
      </c>
      <c r="L131" s="20" t="n">
        <v>989.65</v>
      </c>
    </row>
    <row r="132">
      <c r="A132" s="18" t="inlineStr">
        <is>
          <t>자본준비금</t>
        </is>
      </c>
      <c r="E132" s="20" t="n">
        <v>370.149</v>
      </c>
      <c r="H132" s="20" t="n">
        <v>370.149</v>
      </c>
      <c r="I132" s="20" t="n">
        <v>370.149</v>
      </c>
      <c r="J132" s="20" t="n">
        <v>370.149</v>
      </c>
      <c r="K132" s="20" t="n">
        <v>370.149</v>
      </c>
      <c r="L132" s="20" t="n">
        <v>370.149</v>
      </c>
    </row>
    <row r="133">
      <c r="A133" s="18" t="inlineStr">
        <is>
          <t>기타자본잉여금</t>
        </is>
      </c>
      <c r="E133" s="20" t="n">
        <v>2097.309</v>
      </c>
      <c r="H133" s="20" t="n">
        <v>1797.909</v>
      </c>
      <c r="I133" s="20" t="n">
        <v>1797.909</v>
      </c>
      <c r="J133" s="20" t="n">
        <v>1797.909</v>
      </c>
      <c r="K133" s="20" t="n">
        <v>2097.309</v>
      </c>
      <c r="L133" s="20" t="n">
        <v>2097.309</v>
      </c>
    </row>
    <row r="134">
      <c r="A134" s="18" t="inlineStr">
        <is>
          <t>자본잉여금</t>
        </is>
      </c>
      <c r="C134" s="20" t="n">
        <v>2467.459</v>
      </c>
      <c r="D134" s="20" t="n">
        <v>2467.459</v>
      </c>
      <c r="E134" s="20" t="n">
        <v>2467.459</v>
      </c>
      <c r="F134" s="20" t="n">
        <v>2467.459</v>
      </c>
      <c r="G134" s="20" t="n">
        <v>2467.459</v>
      </c>
      <c r="H134" s="20" t="n">
        <v>2168.059</v>
      </c>
      <c r="I134" s="20" t="n">
        <v>2168.059</v>
      </c>
      <c r="J134" s="20" t="n">
        <v>2168.059</v>
      </c>
      <c r="K134" s="20" t="n">
        <v>2467.459</v>
      </c>
      <c r="L134" s="20" t="n">
        <v>2467.459</v>
      </c>
    </row>
    <row r="135">
      <c r="A135" s="18" t="inlineStr">
        <is>
          <t>이월이익잉여금</t>
        </is>
      </c>
      <c r="E135" s="20" t="n">
        <v>12963.799</v>
      </c>
      <c r="H135" s="20" t="n">
        <v>6414.198</v>
      </c>
      <c r="I135" s="20" t="n">
        <v>7970.734</v>
      </c>
      <c r="J135" s="20" t="n">
        <v>9109.669</v>
      </c>
      <c r="K135" s="20" t="n">
        <v>10536.41</v>
      </c>
      <c r="L135" s="20" t="n">
        <v>12963.799</v>
      </c>
    </row>
    <row r="136">
      <c r="A136" s="18" t="inlineStr">
        <is>
          <t>이익잉여금</t>
        </is>
      </c>
      <c r="C136" s="20" t="n">
        <v>10290.218</v>
      </c>
      <c r="D136" s="20" t="n">
        <v>11099.967</v>
      </c>
      <c r="E136" s="20" t="n">
        <v>12157.719</v>
      </c>
      <c r="F136" s="20" t="n">
        <v>12228.345</v>
      </c>
      <c r="G136" s="20" t="n">
        <v>13095.298</v>
      </c>
      <c r="H136" s="20" t="n">
        <v>6414.198</v>
      </c>
      <c r="I136" s="20" t="n">
        <v>7613.389</v>
      </c>
      <c r="J136" s="20" t="n">
        <v>9109.669</v>
      </c>
      <c r="K136" s="20" t="n">
        <v>9938.502</v>
      </c>
      <c r="L136" s="20" t="n">
        <v>12157.719</v>
      </c>
    </row>
    <row r="137">
      <c r="A137" s="18" t="inlineStr">
        <is>
          <t>자기주식</t>
        </is>
      </c>
      <c r="C137" s="20" t="n">
        <v>-223.828</v>
      </c>
      <c r="D137" s="20" t="n">
        <v>-223.828</v>
      </c>
      <c r="E137" s="20" t="n">
        <v>-223.828</v>
      </c>
      <c r="F137" s="20" t="n">
        <v>-223.955</v>
      </c>
      <c r="G137" s="20" t="n">
        <v>-224.038</v>
      </c>
      <c r="H137" s="20" t="n">
        <v>-271.861</v>
      </c>
      <c r="I137" s="20" t="n">
        <v>-271.959</v>
      </c>
      <c r="J137" s="20" t="n">
        <v>-272.059</v>
      </c>
      <c r="K137" s="20" t="n">
        <v>-223.659</v>
      </c>
      <c r="L137" s="20" t="n">
        <v>-223.828</v>
      </c>
    </row>
    <row r="138">
      <c r="A138" s="9" t="inlineStr">
        <is>
          <t>주주자본 합계</t>
        </is>
      </c>
      <c r="C138" s="12" t="n">
        <v>13523.5</v>
      </c>
      <c r="D138" s="12" t="n">
        <v>14333.248</v>
      </c>
      <c r="E138" s="12" t="n">
        <v>15391</v>
      </c>
      <c r="F138" s="12" t="n">
        <v>15461.499</v>
      </c>
      <c r="G138" s="12" t="n">
        <v>16328.369</v>
      </c>
      <c r="H138" s="12" t="n">
        <v>9300.046</v>
      </c>
      <c r="I138" s="12" t="n">
        <v>10499.14</v>
      </c>
      <c r="J138" s="12" t="n">
        <v>11995.319</v>
      </c>
      <c r="K138" s="12" t="n">
        <v>13171.952</v>
      </c>
      <c r="L138" s="12" t="n">
        <v>15391</v>
      </c>
    </row>
    <row r="139">
      <c r="A139" s="18" t="inlineStr">
        <is>
          <t>기타유가증권 평가차액</t>
        </is>
      </c>
      <c r="C139" s="20" t="n">
        <v>42.059</v>
      </c>
      <c r="D139" s="20" t="n">
        <v>34.753</v>
      </c>
      <c r="E139" s="20" t="n">
        <v>32.442</v>
      </c>
      <c r="F139" s="20" t="n">
        <v>32.085</v>
      </c>
      <c r="G139" s="20" t="n">
        <v>31.586</v>
      </c>
      <c r="H139" s="20" t="n">
        <v>55.156</v>
      </c>
      <c r="I139" s="20" t="n">
        <v>69.057</v>
      </c>
      <c r="J139" s="20" t="n">
        <v>35.29</v>
      </c>
      <c r="K139" s="20" t="n">
        <v>41.581</v>
      </c>
      <c r="L139" s="20" t="n">
        <v>32.442</v>
      </c>
    </row>
    <row r="140">
      <c r="A140" s="18" t="inlineStr">
        <is>
          <t>기타포괄손익누계액 합계</t>
        </is>
      </c>
      <c r="C140" s="20" t="n">
        <v>42.059</v>
      </c>
      <c r="D140" s="20" t="n">
        <v>34.753</v>
      </c>
      <c r="E140" s="20" t="n">
        <v>32.442</v>
      </c>
      <c r="F140" s="20" t="n">
        <v>32.085</v>
      </c>
      <c r="G140" s="20" t="n">
        <v>31.586</v>
      </c>
      <c r="H140" s="20" t="n">
        <v>55.156</v>
      </c>
      <c r="I140" s="20" t="n">
        <v>69.057</v>
      </c>
      <c r="J140" s="20" t="n">
        <v>35.29</v>
      </c>
      <c r="K140" s="20" t="n">
        <v>41.581</v>
      </c>
      <c r="L140" s="20" t="n">
        <v>32.442</v>
      </c>
    </row>
    <row r="141">
      <c r="A141" s="18" t="inlineStr">
        <is>
          <t>신주예약권</t>
        </is>
      </c>
      <c r="H141" s="20" t="n">
        <v>0</v>
      </c>
    </row>
    <row r="142">
      <c r="A142" s="9" t="inlineStr">
        <is>
          <t>순자산 합계</t>
        </is>
      </c>
      <c r="C142" s="12" t="n">
        <v>13565.559</v>
      </c>
      <c r="D142" s="12" t="n">
        <v>14368.001</v>
      </c>
      <c r="E142" s="12" t="n">
        <v>15423.443</v>
      </c>
      <c r="F142" s="12" t="n">
        <v>15493.585</v>
      </c>
      <c r="G142" s="12" t="n">
        <v>16359.955</v>
      </c>
      <c r="H142" s="12" t="n">
        <v>9355.201999999999</v>
      </c>
      <c r="I142" s="12" t="n">
        <v>10568.198</v>
      </c>
      <c r="J142" s="12" t="n">
        <v>12030.609</v>
      </c>
      <c r="K142" s="12" t="n">
        <v>13213.534</v>
      </c>
      <c r="L142" s="12" t="n">
        <v>15423.443</v>
      </c>
    </row>
    <row r="143">
      <c r="A143" s="9" t="inlineStr">
        <is>
          <t>부채·순자산 합계</t>
        </is>
      </c>
      <c r="C143" s="12" t="n">
        <v>18065.528</v>
      </c>
      <c r="D143" s="12" t="n">
        <v>19637.368</v>
      </c>
      <c r="E143" s="12" t="n">
        <v>20642.114</v>
      </c>
      <c r="F143" s="12" t="n">
        <v>19705.632</v>
      </c>
      <c r="G143" s="12" t="n">
        <v>21941.916</v>
      </c>
      <c r="H143" s="12" t="n">
        <v>12254.028</v>
      </c>
      <c r="I143" s="12" t="n">
        <v>13533.509</v>
      </c>
      <c r="J143" s="12" t="n">
        <v>15622.29</v>
      </c>
      <c r="K143" s="12" t="n">
        <v>17305.714</v>
      </c>
      <c r="L143" s="12" t="n">
        <v>20642.114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4771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1H cum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114.58</v>
      </c>
      <c r="C6" s="56" t="inlineStr">
        <is>
          <t>2단계 보고서 자료(회사 설명회 자료·공시)</t>
        </is>
      </c>
    </row>
    <row r="7">
      <c r="A7" s="54" t="inlineStr">
        <is>
          <t>매출 YoY</t>
        </is>
      </c>
      <c r="B7" s="55" t="n">
        <v>27.9</v>
      </c>
    </row>
    <row r="8">
      <c r="A8" s="54" t="inlineStr">
        <is>
          <t>gp</t>
        </is>
      </c>
      <c r="B8" s="55" t="n">
        <v>75.06999999999999</v>
      </c>
    </row>
    <row r="9">
      <c r="A9" s="54" t="inlineStr">
        <is>
          <t>매출총이익률</t>
        </is>
      </c>
      <c r="B9" s="55" t="n">
        <v>65.5</v>
      </c>
    </row>
    <row r="10">
      <c r="A10" s="54" t="inlineStr">
        <is>
          <t>sga</t>
        </is>
      </c>
      <c r="B10" s="55" t="n">
        <v>55.1</v>
      </c>
    </row>
    <row r="11">
      <c r="A11" s="54" t="inlineStr">
        <is>
          <t>영업이익</t>
        </is>
      </c>
      <c r="B11" s="55" t="n">
        <v>19.97</v>
      </c>
    </row>
    <row r="12">
      <c r="A12" s="54" t="inlineStr">
        <is>
          <t>영업이익 YoY</t>
        </is>
      </c>
      <c r="B12" s="55" t="n">
        <v>113.1</v>
      </c>
    </row>
    <row r="13">
      <c r="A13" s="54" t="inlineStr">
        <is>
          <t>영업이익률</t>
        </is>
      </c>
      <c r="B13" s="55" t="n">
        <v>17.4</v>
      </c>
    </row>
    <row r="14">
      <c r="A14" s="54" t="inlineStr">
        <is>
          <t>ordinary</t>
        </is>
      </c>
      <c r="B14" s="55" t="n">
        <v>20.29</v>
      </c>
    </row>
    <row r="15">
      <c r="A15" s="54" t="inlineStr">
        <is>
          <t>순이익</t>
        </is>
      </c>
      <c r="B15" s="55" t="n">
        <v>13.81</v>
      </c>
    </row>
    <row r="16">
      <c r="A16" s="54" t="inlineStr">
        <is>
          <t>순이익 YoY</t>
        </is>
      </c>
      <c r="B16" s="55" t="n">
        <v>113.3</v>
      </c>
    </row>
    <row r="17">
      <c r="A17" s="54" t="inlineStr">
        <is>
          <t>EPS</t>
        </is>
      </c>
      <c r="B17" s="55" t="n">
        <v>93.38</v>
      </c>
    </row>
    <row r="18">
      <c r="A18" s="54" t="inlineStr">
        <is>
          <t>ebitda</t>
        </is>
      </c>
      <c r="B18" s="55" t="n">
        <v>31.89</v>
      </c>
    </row>
    <row r="20">
      <c r="A20" s="52" t="inlineStr">
        <is>
          <t>this quarter · 2Q standalone</t>
        </is>
      </c>
      <c r="B20" s="52" t="n"/>
      <c r="C20" s="52" t="n"/>
    </row>
    <row r="21">
      <c r="A21" s="53" t="inlineStr">
        <is>
          <t>항목</t>
        </is>
      </c>
      <c r="B21" s="53" t="inlineStr">
        <is>
          <t>값</t>
        </is>
      </c>
      <c r="C21" s="53" t="inlineStr">
        <is>
          <t>출처</t>
        </is>
      </c>
    </row>
    <row r="22">
      <c r="A22" s="54" t="inlineStr">
        <is>
          <t>매출</t>
        </is>
      </c>
      <c r="B22" s="55" t="n">
        <v>61.9</v>
      </c>
      <c r="C22" s="56" t="inlineStr">
        <is>
          <t>2단계 보고서 자료(회사 설명회 자료·공시)</t>
        </is>
      </c>
    </row>
    <row r="23">
      <c r="A23" s="54" t="inlineStr">
        <is>
          <t>매출 YoY</t>
        </is>
      </c>
      <c r="B23" s="55" t="n">
        <v>30.9</v>
      </c>
    </row>
    <row r="24">
      <c r="A24" s="54" t="inlineStr">
        <is>
          <t>영업이익</t>
        </is>
      </c>
      <c r="B24" s="55" t="n">
        <v>12</v>
      </c>
    </row>
    <row r="25">
      <c r="A25" s="54" t="inlineStr">
        <is>
          <t>영업이익 YoY</t>
        </is>
      </c>
      <c r="B25" s="57" t="n">
        <v>140</v>
      </c>
    </row>
    <row r="26">
      <c r="A26" s="54" t="inlineStr">
        <is>
          <t>순이익</t>
        </is>
      </c>
      <c r="B26" s="55" t="n">
        <v>8.699999999999999</v>
      </c>
    </row>
    <row r="28">
      <c r="A28" s="52" t="inlineStr">
        <is>
          <t>this quarter · 1H vs budget</t>
        </is>
      </c>
      <c r="B28" s="52" t="n"/>
      <c r="C28" s="52" t="n"/>
    </row>
    <row r="29">
      <c r="A29" s="53" t="inlineStr">
        <is>
          <t>항목</t>
        </is>
      </c>
      <c r="B29" s="53" t="inlineStr">
        <is>
          <t>값</t>
        </is>
      </c>
      <c r="C29" s="53" t="inlineStr">
        <is>
          <t>출처</t>
        </is>
      </c>
    </row>
    <row r="30">
      <c r="A30" s="54" t="inlineStr">
        <is>
          <t>budget 매출</t>
        </is>
      </c>
      <c r="B30" s="55" t="n">
        <v>104.77</v>
      </c>
      <c r="C30" s="56" t="inlineStr">
        <is>
          <t>2단계 보고서 자료(회사 설명회 자료·공시)</t>
        </is>
      </c>
    </row>
    <row r="31">
      <c r="A31" s="54" t="inlineStr">
        <is>
          <t>실적 매출</t>
        </is>
      </c>
      <c r="B31" s="55" t="n">
        <v>114.58</v>
      </c>
    </row>
    <row r="32">
      <c r="A32" s="54" t="inlineStr">
        <is>
          <t>diff %</t>
        </is>
      </c>
      <c r="B32" s="55" t="n">
        <v>9.4</v>
      </c>
    </row>
    <row r="33">
      <c r="A33" s="54" t="inlineStr">
        <is>
          <t>budget 영업이익</t>
        </is>
      </c>
      <c r="B33" s="55" t="n">
        <v>11.59</v>
      </c>
    </row>
    <row r="34">
      <c r="A34" s="54" t="inlineStr">
        <is>
          <t>실적 영업이익</t>
        </is>
      </c>
      <c r="B34" s="55" t="n">
        <v>19.97</v>
      </c>
    </row>
    <row r="35">
      <c r="A35" s="54" t="inlineStr">
        <is>
          <t>diff 영업이익 %</t>
        </is>
      </c>
      <c r="B35" s="55" t="n">
        <v>72.3</v>
      </c>
    </row>
    <row r="36">
      <c r="A36" s="54" t="inlineStr">
        <is>
          <t>budget 순이익</t>
        </is>
      </c>
      <c r="B36" s="55" t="n">
        <v>8.08</v>
      </c>
    </row>
    <row r="37">
      <c r="A37" s="54" t="inlineStr">
        <is>
          <t>실적 순이익</t>
        </is>
      </c>
      <c r="B37" s="55" t="n">
        <v>13.81</v>
      </c>
    </row>
    <row r="39">
      <c r="A39" s="52" t="inlineStr">
        <is>
          <t>this quarter · bs 1H</t>
        </is>
      </c>
      <c r="B39" s="52" t="n"/>
      <c r="C39" s="52" t="n"/>
    </row>
    <row r="40">
      <c r="A40" s="53" t="inlineStr">
        <is>
          <t>항목</t>
        </is>
      </c>
      <c r="B40" s="53" t="inlineStr">
        <is>
          <t>값</t>
        </is>
      </c>
      <c r="C40" s="53" t="inlineStr">
        <is>
          <t>출처</t>
        </is>
      </c>
    </row>
    <row r="41">
      <c r="A41" s="54" t="inlineStr">
        <is>
          <t>합계 assets</t>
        </is>
      </c>
      <c r="B41" s="55" t="n">
        <v>219.4</v>
      </c>
      <c r="C41" s="56" t="inlineStr">
        <is>
          <t>2단계 보고서 자료(회사 설명회 자료·공시)</t>
        </is>
      </c>
    </row>
    <row r="42">
      <c r="A42" s="54" t="inlineStr">
        <is>
          <t>equity</t>
        </is>
      </c>
      <c r="B42" s="55" t="n">
        <v>163.6</v>
      </c>
    </row>
    <row r="43">
      <c r="A43" s="54" t="inlineStr">
        <is>
          <t>equity ratio</t>
        </is>
      </c>
      <c r="B43" s="55" t="n">
        <v>74.59999999999999</v>
      </c>
    </row>
    <row r="44">
      <c r="A44" s="54" t="inlineStr">
        <is>
          <t>cash</t>
        </is>
      </c>
      <c r="B44" s="55" t="n">
        <v>62.7</v>
      </c>
    </row>
    <row r="45">
      <c r="A45" s="54" t="inlineStr">
        <is>
          <t>software</t>
        </is>
      </c>
      <c r="B45" s="55" t="n">
        <v>64.5</v>
      </c>
    </row>
    <row r="46">
      <c r="A46" s="54" t="inlineStr">
        <is>
          <t>other intangible</t>
        </is>
      </c>
      <c r="B46" s="55" t="n">
        <v>14.4</v>
      </c>
    </row>
    <row r="47">
      <c r="A47" s="54" t="inlineStr">
        <is>
          <t>contract liab</t>
        </is>
      </c>
      <c r="B47" s="55" t="n">
        <v>11.8</v>
      </c>
    </row>
    <row r="48">
      <c r="A48" s="54" t="inlineStr">
        <is>
          <t>bonus reserve</t>
        </is>
      </c>
      <c r="B48" s="55" t="n">
        <v>14.5</v>
      </c>
    </row>
    <row r="50">
      <c r="A50" s="52" t="inlineStr">
        <is>
          <t>this quarter · nonop 1H</t>
        </is>
      </c>
      <c r="B50" s="52" t="n"/>
      <c r="C50" s="52" t="n"/>
    </row>
    <row r="51">
      <c r="A51" s="53" t="inlineStr">
        <is>
          <t>항목</t>
        </is>
      </c>
      <c r="B51" s="53" t="inlineStr">
        <is>
          <t>값</t>
        </is>
      </c>
      <c r="C51" s="53" t="inlineStr">
        <is>
          <t>출처</t>
        </is>
      </c>
    </row>
    <row r="52">
      <c r="A52" s="54" t="inlineStr">
        <is>
          <t>영업외수익</t>
        </is>
      </c>
      <c r="B52" s="55" t="n">
        <v>0.32</v>
      </c>
      <c r="C52" s="56" t="inlineStr">
        <is>
          <t>2단계 보고서 자료(회사 설명회 자료·공시)</t>
        </is>
      </c>
    </row>
    <row r="53">
      <c r="A53" s="54" t="inlineStr">
        <is>
          <t>이자수익</t>
        </is>
      </c>
      <c r="B53" s="55" t="n">
        <v>0.19</v>
      </c>
    </row>
    <row r="54">
      <c r="A54" s="54" t="inlineStr">
        <is>
          <t>유가증권 이자</t>
        </is>
      </c>
      <c r="B54" s="55" t="n">
        <v>0.07000000000000001</v>
      </c>
    </row>
    <row r="55">
      <c r="A55" s="54" t="inlineStr">
        <is>
          <t>영업외비용</t>
        </is>
      </c>
      <c r="B55" s="55" t="n">
        <v>0</v>
      </c>
    </row>
    <row r="56">
      <c r="A56" s="54" t="inlineStr">
        <is>
          <t>경상이익</t>
        </is>
      </c>
      <c r="B56" s="55" t="n">
        <v>20.29</v>
      </c>
    </row>
    <row r="57">
      <c r="A57" s="54" t="inlineStr">
        <is>
          <t>특별이익</t>
        </is>
      </c>
      <c r="B57" s="55" t="n">
        <v>0.035</v>
      </c>
    </row>
    <row r="58">
      <c r="A58" s="54" t="inlineStr">
        <is>
          <t>특별손실</t>
        </is>
      </c>
      <c r="B58" s="55" t="n">
        <v>0.012</v>
      </c>
    </row>
    <row r="59">
      <c r="A59" s="54" t="inlineStr">
        <is>
          <t>세전이익</t>
        </is>
      </c>
      <c r="B59" s="55" t="n">
        <v>20.32</v>
      </c>
    </row>
    <row r="60">
      <c r="A60" s="54" t="inlineStr">
        <is>
          <t>법인세 등</t>
        </is>
      </c>
      <c r="B60" s="55" t="n">
        <v>6.5</v>
      </c>
    </row>
    <row r="62">
      <c r="A62" s="52" t="inlineStr">
        <is>
          <t>this quarter · sga 1H</t>
        </is>
      </c>
      <c r="B62" s="52" t="n"/>
      <c r="C62" s="52" t="n"/>
    </row>
    <row r="63">
      <c r="A63" s="53" t="inlineStr">
        <is>
          <t>항목</t>
        </is>
      </c>
      <c r="B63" s="53" t="inlineStr">
        <is>
          <t>값</t>
        </is>
      </c>
      <c r="C63" s="53" t="inlineStr">
        <is>
          <t>출처</t>
        </is>
      </c>
    </row>
    <row r="64">
      <c r="A64" s="54" t="inlineStr">
        <is>
          <t>판관비 합계</t>
        </is>
      </c>
      <c r="B64" s="55" t="n">
        <v>55.1</v>
      </c>
      <c r="C64" s="56" t="inlineStr">
        <is>
          <t>2단계 보고서 자료(회사 설명회 자료·공시)</t>
        </is>
      </c>
    </row>
    <row r="65">
      <c r="A65" s="54" t="inlineStr">
        <is>
          <t>prior</t>
        </is>
      </c>
      <c r="B65" s="55" t="n">
        <v>49.97</v>
      </c>
    </row>
    <row r="67">
      <c r="A67" s="52" t="inlineStr">
        <is>
          <t>가이던스 · FY27 initial 2026-05-14</t>
        </is>
      </c>
      <c r="B67" s="52" t="n"/>
      <c r="C67" s="52" t="n"/>
    </row>
    <row r="68">
      <c r="A68" s="53" t="inlineStr">
        <is>
          <t>항목</t>
        </is>
      </c>
      <c r="B68" s="53" t="inlineStr">
        <is>
          <t>값</t>
        </is>
      </c>
      <c r="C68" s="53" t="inlineStr">
        <is>
          <t>출처</t>
        </is>
      </c>
    </row>
    <row r="69">
      <c r="A69" s="54" t="inlineStr">
        <is>
          <t>매출</t>
        </is>
      </c>
      <c r="B69" s="55" t="n">
        <v>246.94</v>
      </c>
      <c r="C69" s="56" t="inlineStr">
        <is>
          <t>2단계 보고서 자료(회사 설명회 자료·공시)</t>
        </is>
      </c>
    </row>
    <row r="70">
      <c r="A70" s="54" t="inlineStr">
        <is>
          <t>영업이익</t>
        </is>
      </c>
      <c r="B70" s="55" t="n">
        <v>41.56</v>
      </c>
    </row>
    <row r="71">
      <c r="A71" s="54" t="inlineStr">
        <is>
          <t>ordinary</t>
        </is>
      </c>
      <c r="B71" s="55" t="n">
        <v>41.97</v>
      </c>
    </row>
    <row r="72">
      <c r="A72" s="54" t="inlineStr">
        <is>
          <t>순이익</t>
        </is>
      </c>
      <c r="B72" s="55" t="n">
        <v>28.75</v>
      </c>
    </row>
    <row r="73">
      <c r="A73" s="54" t="inlineStr">
        <is>
          <t>EPS</t>
        </is>
      </c>
      <c r="B73" s="55" t="n">
        <v>194.39</v>
      </c>
    </row>
    <row r="74">
      <c r="A74" s="54" t="inlineStr">
        <is>
          <t>dps</t>
        </is>
      </c>
      <c r="B74" s="57" t="n">
        <v>60</v>
      </c>
    </row>
    <row r="76">
      <c r="A76" s="52" t="inlineStr">
        <is>
          <t>가이던스 · FY27 revised 2026-10-29</t>
        </is>
      </c>
      <c r="B76" s="52" t="n"/>
      <c r="C76" s="52" t="n"/>
    </row>
    <row r="77">
      <c r="A77" s="53" t="inlineStr">
        <is>
          <t>항목</t>
        </is>
      </c>
      <c r="B77" s="53" t="inlineStr">
        <is>
          <t>값</t>
        </is>
      </c>
      <c r="C77" s="53" t="inlineStr">
        <is>
          <t>출처</t>
        </is>
      </c>
    </row>
    <row r="78">
      <c r="A78" s="54" t="inlineStr">
        <is>
          <t>매출</t>
        </is>
      </c>
      <c r="B78" s="55" t="n">
        <v>256.75</v>
      </c>
      <c r="C78" s="56" t="inlineStr">
        <is>
          <t>2단계 보고서 자료(회사 설명회 자료·공시)</t>
        </is>
      </c>
    </row>
    <row r="79">
      <c r="A79" s="54" t="inlineStr">
        <is>
          <t>영업이익</t>
        </is>
      </c>
      <c r="B79" s="55" t="n">
        <v>49.94</v>
      </c>
    </row>
    <row r="80">
      <c r="A80" s="54" t="inlineStr">
        <is>
          <t>ordinary</t>
        </is>
      </c>
      <c r="B80" s="55" t="n">
        <v>50.46</v>
      </c>
    </row>
    <row r="81">
      <c r="A81" s="54" t="inlineStr">
        <is>
          <t>순이익</t>
        </is>
      </c>
      <c r="B81" s="55" t="n">
        <v>34.48</v>
      </c>
    </row>
    <row r="82">
      <c r="A82" s="54" t="inlineStr">
        <is>
          <t>EPS</t>
        </is>
      </c>
      <c r="B82" s="55" t="n">
        <v>233.12</v>
      </c>
    </row>
    <row r="83">
      <c r="A83" s="54" t="inlineStr">
        <is>
          <t>dps</t>
        </is>
      </c>
      <c r="B83" s="57" t="n">
        <v>60</v>
      </c>
    </row>
    <row r="85">
      <c r="A85" s="52" t="inlineStr">
        <is>
          <t>가이던스 · implied 2H</t>
        </is>
      </c>
      <c r="B85" s="52" t="n"/>
      <c r="C85" s="52" t="n"/>
    </row>
    <row r="86">
      <c r="A86" s="53" t="inlineStr">
        <is>
          <t>항목</t>
        </is>
      </c>
      <c r="B86" s="53" t="inlineStr">
        <is>
          <t>값</t>
        </is>
      </c>
      <c r="C86" s="53" t="inlineStr">
        <is>
          <t>출처</t>
        </is>
      </c>
    </row>
    <row r="87">
      <c r="A87" s="54" t="inlineStr">
        <is>
          <t>매출</t>
        </is>
      </c>
      <c r="B87" s="55" t="n">
        <v>142.17</v>
      </c>
      <c r="C87" s="56" t="inlineStr">
        <is>
          <t>2단계 보고서 자료(회사 설명회 자료·공시)</t>
        </is>
      </c>
    </row>
    <row r="88">
      <c r="A88" s="54" t="inlineStr">
        <is>
          <t>영업이익</t>
        </is>
      </c>
      <c r="B88" s="55" t="n">
        <v>29.97</v>
      </c>
    </row>
    <row r="89">
      <c r="A89" s="54" t="inlineStr">
        <is>
          <t>순이익</t>
        </is>
      </c>
      <c r="B89" s="55" t="n">
        <v>20.67</v>
      </c>
    </row>
    <row r="91">
      <c r="A91" s="52" t="inlineStr">
        <is>
          <t>가이던스 · mid term 계획 FY28</t>
        </is>
      </c>
      <c r="B91" s="52" t="n"/>
      <c r="C91" s="52" t="n"/>
    </row>
    <row r="92">
      <c r="A92" s="53" t="inlineStr">
        <is>
          <t>항목</t>
        </is>
      </c>
      <c r="B92" s="53" t="inlineStr">
        <is>
          <t>값</t>
        </is>
      </c>
      <c r="C92" s="53" t="inlineStr">
        <is>
          <t>출처</t>
        </is>
      </c>
    </row>
    <row r="93">
      <c r="A93" s="54" t="inlineStr">
        <is>
          <t>매출</t>
        </is>
      </c>
      <c r="B93" s="57" t="n">
        <v>300</v>
      </c>
      <c r="C93" s="56" t="inlineStr">
        <is>
          <t>2단계 보고서 자료(회사 설명회 자료·공시)</t>
        </is>
      </c>
    </row>
    <row r="94">
      <c r="A94" s="54" t="inlineStr">
        <is>
          <t>영업이익</t>
        </is>
      </c>
      <c r="B94" s="57" t="n">
        <v>60</v>
      </c>
    </row>
    <row r="96">
      <c r="A96" s="52" t="inlineStr">
        <is>
          <t>가이던스 · annual 실적 EPS</t>
        </is>
      </c>
      <c r="B96" s="52" t="n"/>
      <c r="C96" s="52" t="n"/>
    </row>
    <row r="97">
      <c r="A97" s="53" t="inlineStr">
        <is>
          <t>항목</t>
        </is>
      </c>
      <c r="B97" s="53" t="inlineStr">
        <is>
          <t>값</t>
        </is>
      </c>
      <c r="C97" s="53" t="inlineStr">
        <is>
          <t>출처</t>
        </is>
      </c>
    </row>
    <row r="98">
      <c r="A98" s="54" t="inlineStr">
        <is>
          <t>FY24</t>
        </is>
      </c>
      <c r="B98" s="55" t="n">
        <v>110.28</v>
      </c>
      <c r="C98" s="56" t="inlineStr">
        <is>
          <t>2단계 보고서 자료(회사 설명회 자료·공시)</t>
        </is>
      </c>
    </row>
    <row r="99">
      <c r="A99" s="54" t="inlineStr">
        <is>
          <t>FY25</t>
        </is>
      </c>
      <c r="B99" s="55" t="n">
        <v>123.4</v>
      </c>
    </row>
    <row r="100">
      <c r="A100" s="54" t="inlineStr">
        <is>
          <t>FY26</t>
        </is>
      </c>
      <c r="B100" s="55" t="n">
        <v>191.02</v>
      </c>
    </row>
    <row r="102">
      <c r="A102" s="52" t="inlineStr">
        <is>
          <t>가이던스 · dps</t>
        </is>
      </c>
      <c r="B102" s="52" t="n"/>
      <c r="C102" s="52" t="n"/>
    </row>
    <row r="103">
      <c r="A103" s="53" t="inlineStr">
        <is>
          <t>항목</t>
        </is>
      </c>
      <c r="B103" s="53" t="inlineStr">
        <is>
          <t>값</t>
        </is>
      </c>
      <c r="C103" s="53" t="inlineStr">
        <is>
          <t>출처</t>
        </is>
      </c>
    </row>
    <row r="104">
      <c r="A104" s="54" t="inlineStr">
        <is>
          <t>FY24</t>
        </is>
      </c>
      <c r="B104" s="57" t="n">
        <v>38</v>
      </c>
      <c r="C104" s="56" t="inlineStr">
        <is>
          <t>2단계 보고서 자료(회사 설명회 자료·공시)</t>
        </is>
      </c>
    </row>
    <row r="105">
      <c r="A105" s="54" t="inlineStr">
        <is>
          <t>FY25</t>
        </is>
      </c>
      <c r="B105" s="57" t="n">
        <v>40</v>
      </c>
    </row>
    <row r="106">
      <c r="A106" s="54" t="inlineStr">
        <is>
          <t>FY26</t>
        </is>
      </c>
      <c r="B106" s="57" t="n">
        <v>51</v>
      </c>
    </row>
    <row r="107">
      <c r="A107" s="54" t="inlineStr">
        <is>
          <t>FY27E</t>
        </is>
      </c>
      <c r="B107" s="57" t="n">
        <v>60</v>
      </c>
    </row>
    <row r="109">
      <c r="A109" s="52" t="inlineStr">
        <is>
          <t>컨센서스</t>
        </is>
      </c>
      <c r="B109" s="52" t="n"/>
      <c r="C109" s="52" t="n"/>
    </row>
    <row r="110">
      <c r="A110" s="53" t="inlineStr">
        <is>
          <t>항목</t>
        </is>
      </c>
      <c r="B110" s="53" t="inlineStr">
        <is>
          <t>값</t>
        </is>
      </c>
      <c r="C110" s="53" t="inlineStr">
        <is>
          <t>출처</t>
        </is>
      </c>
    </row>
    <row r="111">
      <c r="A111" s="54" t="inlineStr">
        <is>
          <t>2Q 매출</t>
        </is>
      </c>
      <c r="B111" s="55" t="n">
        <v>56.78</v>
      </c>
      <c r="C111" s="56" t="inlineStr">
        <is>
          <t>야후(jp_consensus 2026-10-30) — 애널리스트 1명, '컨센서스'라 부르지 말 것, 목표주가 없음</t>
        </is>
      </c>
    </row>
    <row r="112">
      <c r="A112" s="54" t="inlineStr">
        <is>
          <t>3Q 매출</t>
        </is>
      </c>
      <c r="B112" s="55" t="n">
        <v>70.59999999999999</v>
      </c>
    </row>
    <row r="114">
      <c r="A114" s="52" t="inlineStr">
        <is>
          <t>컨센서스 · FY27</t>
        </is>
      </c>
      <c r="B114" s="52" t="n"/>
      <c r="C114" s="52" t="n"/>
    </row>
    <row r="115">
      <c r="A115" s="53" t="inlineStr">
        <is>
          <t>항목</t>
        </is>
      </c>
      <c r="B115" s="53" t="inlineStr">
        <is>
          <t>값</t>
        </is>
      </c>
      <c r="C115" s="53" t="inlineStr">
        <is>
          <t>출처</t>
        </is>
      </c>
    </row>
    <row r="116">
      <c r="A116" s="54" t="inlineStr">
        <is>
          <t>매출</t>
        </is>
      </c>
      <c r="B116" s="55" t="n">
        <v>249.1</v>
      </c>
      <c r="C116" s="56" t="inlineStr">
        <is>
          <t>야후(jp_consensus 2026-10-30) — 애널리스트 1명, '컨센서스'라 부르지 말 것, 목표주가 없음</t>
        </is>
      </c>
    </row>
    <row r="117">
      <c r="A117" s="54" t="inlineStr">
        <is>
          <t>EPS</t>
        </is>
      </c>
      <c r="B117" s="55" t="n">
        <v>214.3</v>
      </c>
    </row>
    <row r="119">
      <c r="A119" s="52" t="inlineStr">
        <is>
          <t>컨센서스 · FY28</t>
        </is>
      </c>
      <c r="B119" s="52" t="n"/>
      <c r="C119" s="52" t="n"/>
    </row>
    <row r="120">
      <c r="A120" s="53" t="inlineStr">
        <is>
          <t>항목</t>
        </is>
      </c>
      <c r="B120" s="53" t="inlineStr">
        <is>
          <t>값</t>
        </is>
      </c>
      <c r="C120" s="53" t="inlineStr">
        <is>
          <t>출처</t>
        </is>
      </c>
    </row>
    <row r="121">
      <c r="A121" s="54" t="inlineStr">
        <is>
          <t>매출</t>
        </is>
      </c>
      <c r="B121" s="55" t="n">
        <v>294</v>
      </c>
      <c r="C121" s="56" t="inlineStr">
        <is>
          <t>야후(jp_consensus 2026-10-30) — 애널리스트 1명, '컨센서스'라 부르지 말 것, 목표주가 없음</t>
        </is>
      </c>
    </row>
    <row r="122">
      <c r="A122" s="54" t="inlineStr">
        <is>
          <t>EPS</t>
        </is>
      </c>
      <c r="B122" s="55" t="n">
        <v>256.9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https://www2.jpx.co.jp/disc/47710/140120261030560346.pdf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https://www2.jpx.co.jp/disc/47710/140120260731505001.pdf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https://www2.jpx.co.jp/disc/47710/140120260514532777.pdf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https://www2.jpx.co.jp/disc/47710/140120260130543261.pdf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https://www2.jpx.co.jp/disc/47710/140120251031584147.pdf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https://www2.jpx.co.jp/disc/47710/140120250731525399.pdf</t>
        </is>
      </c>
    </row>
    <row r="10">
      <c r="A10" t="inlineStr">
        <is>
          <t>2025-05-14</t>
        </is>
      </c>
      <c r="B10" t="inlineStr">
        <is>
          <t>2025년 3월 결산기 연간 결산단신</t>
        </is>
      </c>
      <c r="C10" t="inlineStr">
        <is>
          <t>https://www2.jpx.co.jp/disc/47710/140120250514549424.pdf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https://www2.jpx.co.jp/disc/47710/140120250131559291.pdf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https://www2.jpx.co.jp/disc/47710/140120241031507234.pdf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https://www2.jpx.co.jp/disc/47710/140120240731558912.pdf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https://www2.jpx.co.jp/disc/47710/140120240514595909.pdf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https://www2.jpx.co.jp/disc/47710/140120240131522758.pdf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https://www2.jpx.co.jp/disc/47710/140120231031575738.pdf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https://www2.jpx.co.jp/disc/47710/140120230731530222.pdf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https://www2.jpx.co.jp/disc/47710/140120230512568359.pdf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https://www2.jpx.co.jp/disc/47710/140120230131596731.pdf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https://www2.jpx.co.jp/disc/47710/140120220513546122.pdf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https://www2.jpx.co.jp/disc/47710/140120210514418792.pdf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https://www2.jpx.co.jp/disc/47710/140120200514413351.pdf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https://www2.jpx.co.jp/disc/47710/140120190513424619.pdf</t>
        </is>
      </c>
    </row>
    <row r="24">
      <c r="A24" t="inlineStr">
        <is>
          <t>2018-05-14</t>
        </is>
      </c>
      <c r="B24" t="inlineStr">
        <is>
          <t>연간 결산단신</t>
        </is>
      </c>
      <c r="C24" t="inlineStr">
        <is>
          <t>https://www2.jpx.co.jp/disc/47710/140120180330401477.pdf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4771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18</v>
      </c>
      <c r="D5" s="64" t="n">
        <v>14</v>
      </c>
      <c r="E5" s="64" t="n">
        <v>14.6</v>
      </c>
      <c r="F5" s="64" t="n">
        <v>17.5</v>
      </c>
      <c r="G5" s="64" t="n">
        <v>17.9</v>
      </c>
      <c r="H5" s="64" t="n">
        <v>15.2</v>
      </c>
      <c r="I5" s="64" t="n">
        <v>16.1</v>
      </c>
      <c r="J5" s="64" t="n">
        <v>19.2</v>
      </c>
      <c r="K5" s="64" t="n">
        <v>19.9</v>
      </c>
      <c r="L5" s="64" t="n">
        <v>15.9</v>
      </c>
      <c r="M5" s="64" t="n">
        <v>17.1</v>
      </c>
      <c r="N5" s="64" t="n">
        <v>20.6</v>
      </c>
      <c r="O5" s="64" t="n">
        <v>22</v>
      </c>
      <c r="P5" s="64" t="n">
        <v>16.5</v>
      </c>
      <c r="Q5" s="64" t="n">
        <v>18.1</v>
      </c>
      <c r="R5" s="64" t="n">
        <v>23.6</v>
      </c>
      <c r="S5" s="64" t="n">
        <v>23.5</v>
      </c>
      <c r="T5" s="64" t="n">
        <v>21</v>
      </c>
      <c r="U5" s="64" t="n">
        <v>24.6</v>
      </c>
      <c r="V5" s="64" t="n">
        <v>31.4</v>
      </c>
      <c r="W5" s="64" t="n">
        <v>30.2</v>
      </c>
      <c r="X5" s="64" t="n">
        <v>27.5</v>
      </c>
      <c r="Y5" s="64" t="n">
        <v>27.9</v>
      </c>
      <c r="Z5" s="64" t="n">
        <v>38.7</v>
      </c>
      <c r="AA5" s="64" t="n">
        <v>31.1</v>
      </c>
      <c r="AB5" s="64" t="n">
        <v>34.4</v>
      </c>
      <c r="AC5" s="64" t="n">
        <v>33.2</v>
      </c>
      <c r="AD5" s="64" t="n">
        <v>40.6</v>
      </c>
      <c r="AE5" s="64" t="n">
        <v>38.3</v>
      </c>
      <c r="AF5" s="64" t="n">
        <v>36.4</v>
      </c>
      <c r="AG5" s="64" t="n">
        <v>35</v>
      </c>
      <c r="AH5" s="64" t="n">
        <v>51.9</v>
      </c>
      <c r="AI5" s="64" t="n">
        <v>47.4</v>
      </c>
      <c r="AJ5" s="64" t="n">
        <v>42.2</v>
      </c>
      <c r="AK5" s="64" t="n">
        <v>47.3</v>
      </c>
      <c r="AL5" s="64" t="n">
        <v>60.6</v>
      </c>
      <c r="AM5" s="64" t="n">
        <v>57.9</v>
      </c>
      <c r="AN5" s="64" t="n">
        <v>52.6</v>
      </c>
      <c r="AO5" s="64" t="n">
        <v>61.9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-0.6</v>
      </c>
      <c r="H6" s="65" t="n">
        <v>8.6</v>
      </c>
      <c r="I6" s="65" t="n">
        <v>10.3</v>
      </c>
      <c r="J6" s="65" t="n">
        <v>9.699999999999999</v>
      </c>
      <c r="K6" s="65" t="n">
        <v>11.2</v>
      </c>
      <c r="L6" s="65" t="n">
        <v>4.6</v>
      </c>
      <c r="M6" s="65" t="n">
        <v>6.2</v>
      </c>
      <c r="N6" s="65" t="n">
        <v>7.3</v>
      </c>
      <c r="O6" s="65" t="n">
        <v>10.6</v>
      </c>
      <c r="P6" s="65" t="n">
        <v>3.8</v>
      </c>
      <c r="Q6" s="65" t="n">
        <v>5.8</v>
      </c>
      <c r="R6" s="65" t="n">
        <v>14.6</v>
      </c>
      <c r="S6" s="65" t="n">
        <v>6.8</v>
      </c>
      <c r="T6" s="65" t="n">
        <v>27.3</v>
      </c>
      <c r="U6" s="65" t="n">
        <v>35.9</v>
      </c>
      <c r="V6" s="65" t="n">
        <v>33.1</v>
      </c>
      <c r="W6" s="65" t="n">
        <v>28.5</v>
      </c>
      <c r="X6" s="65" t="n">
        <v>31</v>
      </c>
      <c r="Y6" s="65" t="n">
        <v>13.4</v>
      </c>
      <c r="Z6" s="65" t="n">
        <v>23.2</v>
      </c>
      <c r="AA6" s="65" t="n">
        <v>3</v>
      </c>
      <c r="AB6" s="65" t="n">
        <v>25.1</v>
      </c>
      <c r="AC6" s="65" t="n">
        <v>19</v>
      </c>
      <c r="AD6" s="65" t="n">
        <v>4.9</v>
      </c>
      <c r="AE6" s="65" t="n">
        <v>23.2</v>
      </c>
      <c r="AF6" s="65" t="n">
        <v>5.8</v>
      </c>
      <c r="AG6" s="65" t="n">
        <v>5.4</v>
      </c>
      <c r="AH6" s="65" t="n">
        <v>27.8</v>
      </c>
      <c r="AI6" s="65" t="n">
        <v>23.8</v>
      </c>
      <c r="AJ6" s="65" t="n">
        <v>15.9</v>
      </c>
      <c r="AK6" s="65" t="n">
        <v>35.1</v>
      </c>
      <c r="AL6" s="65" t="n">
        <v>16.8</v>
      </c>
      <c r="AM6" s="65" t="n">
        <v>22.2</v>
      </c>
      <c r="AN6" s="65" t="n">
        <v>24.6</v>
      </c>
      <c r="AO6" s="65" t="n">
        <v>30.9</v>
      </c>
    </row>
    <row r="7">
      <c r="A7" s="63" t="inlineStr">
        <is>
          <t>영업이익</t>
        </is>
      </c>
      <c r="B7" s="64" t="n"/>
      <c r="C7" s="64" t="n">
        <v>2.6</v>
      </c>
      <c r="D7" s="64" t="n">
        <v>1.6</v>
      </c>
      <c r="E7" s="64" t="n">
        <v>2.5</v>
      </c>
      <c r="F7" s="64" t="n">
        <v>4.7</v>
      </c>
      <c r="G7" s="64" t="n">
        <v>2.7</v>
      </c>
      <c r="H7" s="64" t="n">
        <v>2.3</v>
      </c>
      <c r="I7" s="64" t="n">
        <v>3.6</v>
      </c>
      <c r="J7" s="64" t="n">
        <v>5.1</v>
      </c>
      <c r="K7" s="64" t="n">
        <v>3.3</v>
      </c>
      <c r="L7" s="64" t="n">
        <v>1.9</v>
      </c>
      <c r="M7" s="64" t="n">
        <v>0</v>
      </c>
      <c r="N7" s="64" t="n">
        <v>3.7</v>
      </c>
      <c r="O7" s="64" t="n">
        <v>3.9</v>
      </c>
      <c r="P7" s="64" t="n">
        <v>2.3</v>
      </c>
      <c r="Q7" s="64" t="n">
        <v>2.2</v>
      </c>
      <c r="R7" s="64" t="n">
        <v>4.5</v>
      </c>
      <c r="S7" s="64" t="n">
        <v>3.2</v>
      </c>
      <c r="T7" s="64" t="n">
        <v>2.6</v>
      </c>
      <c r="U7" s="64" t="n">
        <v>4.8</v>
      </c>
      <c r="V7" s="64" t="n">
        <v>8.1</v>
      </c>
      <c r="W7" s="64" t="n">
        <v>8.300000000000001</v>
      </c>
      <c r="X7" s="64" t="n">
        <v>4.8</v>
      </c>
      <c r="Y7" s="64" t="n">
        <v>4.2</v>
      </c>
      <c r="Z7" s="64" t="n">
        <v>10</v>
      </c>
      <c r="AA7" s="64" t="n">
        <v>8.199999999999999</v>
      </c>
      <c r="AB7" s="64" t="n">
        <v>5.8</v>
      </c>
      <c r="AC7" s="64" t="n">
        <v>3.6</v>
      </c>
      <c r="AD7" s="64" t="n">
        <v>7</v>
      </c>
      <c r="AE7" s="64" t="n">
        <v>5.1</v>
      </c>
      <c r="AF7" s="64" t="n">
        <v>4.1</v>
      </c>
      <c r="AG7" s="64" t="n">
        <v>2.2</v>
      </c>
      <c r="AH7" s="64" t="n">
        <v>12.4</v>
      </c>
      <c r="AI7" s="64" t="n">
        <v>8.5</v>
      </c>
      <c r="AJ7" s="64" t="n">
        <v>4.4</v>
      </c>
      <c r="AK7" s="64" t="n">
        <v>5</v>
      </c>
      <c r="AL7" s="64" t="n">
        <v>16.6</v>
      </c>
      <c r="AM7" s="64" t="n">
        <v>12.6</v>
      </c>
      <c r="AN7" s="64" t="n">
        <v>8</v>
      </c>
      <c r="AO7" s="64" t="n">
        <v>12</v>
      </c>
    </row>
    <row r="8">
      <c r="A8" s="63" t="inlineStr">
        <is>
          <t>영업이익률</t>
        </is>
      </c>
      <c r="B8" s="65" t="n"/>
      <c r="C8" s="65" t="n">
        <v>14.4</v>
      </c>
      <c r="D8" s="65" t="n">
        <v>11.4</v>
      </c>
      <c r="E8" s="65" t="n">
        <v>17.1</v>
      </c>
      <c r="F8" s="65" t="n">
        <v>26.9</v>
      </c>
      <c r="G8" s="65" t="n">
        <v>15.1</v>
      </c>
      <c r="H8" s="65" t="n">
        <v>15.1</v>
      </c>
      <c r="I8" s="65" t="n">
        <v>22.4</v>
      </c>
      <c r="J8" s="65" t="n">
        <v>26.6</v>
      </c>
      <c r="K8" s="65" t="n">
        <v>16.6</v>
      </c>
      <c r="L8" s="65" t="n">
        <v>11.9</v>
      </c>
      <c r="M8" s="65" t="n">
        <v>0</v>
      </c>
      <c r="N8" s="65" t="n">
        <v>18</v>
      </c>
      <c r="O8" s="65" t="n">
        <v>17.7</v>
      </c>
      <c r="P8" s="65" t="n">
        <v>13.9</v>
      </c>
      <c r="Q8" s="65" t="n">
        <v>12.2</v>
      </c>
      <c r="R8" s="65" t="n">
        <v>19.1</v>
      </c>
      <c r="S8" s="65" t="n">
        <v>13.6</v>
      </c>
      <c r="T8" s="65" t="n">
        <v>12.4</v>
      </c>
      <c r="U8" s="65" t="n">
        <v>19.5</v>
      </c>
      <c r="V8" s="65" t="n">
        <v>25.8</v>
      </c>
      <c r="W8" s="65" t="n">
        <v>27.5</v>
      </c>
      <c r="X8" s="65" t="n">
        <v>17.5</v>
      </c>
      <c r="Y8" s="65" t="n">
        <v>15.1</v>
      </c>
      <c r="Z8" s="65" t="n">
        <v>25.8</v>
      </c>
      <c r="AA8" s="65" t="n">
        <v>26.4</v>
      </c>
      <c r="AB8" s="65" t="n">
        <v>16.9</v>
      </c>
      <c r="AC8" s="65" t="n">
        <v>10.8</v>
      </c>
      <c r="AD8" s="65" t="n">
        <v>17.2</v>
      </c>
      <c r="AE8" s="65" t="n">
        <v>13.3</v>
      </c>
      <c r="AF8" s="65" t="n">
        <v>11.3</v>
      </c>
      <c r="AG8" s="65" t="n">
        <v>6.3</v>
      </c>
      <c r="AH8" s="65" t="n">
        <v>23.9</v>
      </c>
      <c r="AI8" s="65" t="n">
        <v>17.9</v>
      </c>
      <c r="AJ8" s="65" t="n">
        <v>10.4</v>
      </c>
      <c r="AK8" s="65" t="n">
        <v>10.6</v>
      </c>
      <c r="AL8" s="65" t="n">
        <v>27.4</v>
      </c>
      <c r="AM8" s="65" t="n">
        <v>21.8</v>
      </c>
      <c r="AN8" s="65" t="n">
        <v>15.2</v>
      </c>
      <c r="AO8" s="65" t="n">
        <v>19.4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3.8</v>
      </c>
      <c r="H9" s="65" t="n">
        <v>43.7</v>
      </c>
      <c r="I9" s="65" t="n">
        <v>44</v>
      </c>
      <c r="J9" s="65" t="n">
        <v>8.5</v>
      </c>
      <c r="K9" s="65" t="n">
        <v>22.2</v>
      </c>
      <c r="L9" s="65" t="n">
        <v>-17.4</v>
      </c>
      <c r="M9" s="65" t="n">
        <v>-100</v>
      </c>
      <c r="N9" s="65" t="n">
        <v>-27.5</v>
      </c>
      <c r="O9" s="65" t="n">
        <v>18.2</v>
      </c>
      <c r="P9" s="65" t="n">
        <v>21.1</v>
      </c>
      <c r="Q9" s="65" t="n"/>
      <c r="R9" s="65" t="n">
        <v>21.6</v>
      </c>
      <c r="S9" s="65" t="n">
        <v>-17.9</v>
      </c>
      <c r="T9" s="65" t="n">
        <v>13</v>
      </c>
      <c r="U9" s="65" t="n">
        <v>118.2</v>
      </c>
      <c r="V9" s="65" t="n">
        <v>80</v>
      </c>
      <c r="W9" s="65" t="n">
        <v>159.4</v>
      </c>
      <c r="X9" s="65" t="n">
        <v>84.59999999999999</v>
      </c>
      <c r="Y9" s="65" t="n">
        <v>-12.5</v>
      </c>
      <c r="Z9" s="65" t="n">
        <v>23.5</v>
      </c>
      <c r="AA9" s="65" t="n">
        <v>-1.2</v>
      </c>
      <c r="AB9" s="65" t="n">
        <v>20.8</v>
      </c>
      <c r="AC9" s="65" t="n">
        <v>-14.3</v>
      </c>
      <c r="AD9" s="65" t="n">
        <v>-30</v>
      </c>
      <c r="AE9" s="65" t="n">
        <v>-37.8</v>
      </c>
      <c r="AF9" s="65" t="n">
        <v>-29.3</v>
      </c>
      <c r="AG9" s="65" t="n">
        <v>-38.9</v>
      </c>
      <c r="AH9" s="65" t="n">
        <v>77.09999999999999</v>
      </c>
      <c r="AI9" s="65" t="n">
        <v>66.7</v>
      </c>
      <c r="AJ9" s="65" t="n">
        <v>7.3</v>
      </c>
      <c r="AK9" s="65" t="n">
        <v>127.3</v>
      </c>
      <c r="AL9" s="65" t="n">
        <v>33.9</v>
      </c>
      <c r="AM9" s="65" t="n">
        <v>48.2</v>
      </c>
      <c r="AN9" s="65" t="n">
        <v>81.8</v>
      </c>
      <c r="AO9" s="65" t="n">
        <v>140</v>
      </c>
    </row>
    <row r="10">
      <c r="A10" s="63" t="inlineStr">
        <is>
          <t>유동자산</t>
        </is>
      </c>
      <c r="B10" s="64" t="n"/>
      <c r="C10" s="64" t="n">
        <v>37.4</v>
      </c>
      <c r="D10" s="64" t="n"/>
      <c r="E10" s="64" t="n"/>
      <c r="F10" s="64" t="n">
        <v>34.7</v>
      </c>
      <c r="G10" s="64" t="n">
        <v>38.7</v>
      </c>
      <c r="H10" s="64" t="n">
        <v>36.6</v>
      </c>
      <c r="I10" s="64" t="n">
        <v>39.5</v>
      </c>
      <c r="J10" s="64" t="n">
        <v>41.7</v>
      </c>
      <c r="K10" s="64" t="n">
        <v>46.7</v>
      </c>
      <c r="L10" s="64" t="n">
        <v>41.4</v>
      </c>
      <c r="M10" s="64" t="n">
        <v>41.5</v>
      </c>
      <c r="N10" s="64" t="n">
        <v>39.4</v>
      </c>
      <c r="O10" s="64" t="n">
        <v>40.9</v>
      </c>
      <c r="P10" s="64" t="n">
        <v>38.2</v>
      </c>
      <c r="Q10" s="64" t="n">
        <v>38.4</v>
      </c>
      <c r="R10" s="64" t="n">
        <v>41.6</v>
      </c>
      <c r="S10" s="64" t="n">
        <v>41.3</v>
      </c>
      <c r="T10" s="64" t="n">
        <v>37.5</v>
      </c>
      <c r="U10" s="64" t="n">
        <v>42.1</v>
      </c>
      <c r="V10" s="64" t="n">
        <v>49.8</v>
      </c>
      <c r="W10" s="64" t="n">
        <v>53.7</v>
      </c>
      <c r="X10" s="64" t="n">
        <v>47.3</v>
      </c>
      <c r="Y10" s="64" t="n">
        <v>51.2</v>
      </c>
      <c r="Z10" s="64" t="n">
        <v>59</v>
      </c>
      <c r="AA10" s="64" t="n">
        <v>58.6</v>
      </c>
      <c r="AB10" s="64" t="n">
        <v>57.2</v>
      </c>
      <c r="AC10" s="64" t="n">
        <v>61.2</v>
      </c>
      <c r="AD10" s="64" t="n">
        <v>66.2</v>
      </c>
      <c r="AE10" s="64" t="n">
        <v>63.9</v>
      </c>
      <c r="AF10" s="64" t="n">
        <v>56.5</v>
      </c>
      <c r="AG10" s="64" t="n">
        <v>61</v>
      </c>
      <c r="AH10" s="64" t="n">
        <v>71.90000000000001</v>
      </c>
      <c r="AI10" s="64" t="n">
        <v>72.7</v>
      </c>
      <c r="AJ10" s="64" t="n">
        <v>63.3</v>
      </c>
      <c r="AK10" s="64" t="n">
        <v>71.5</v>
      </c>
      <c r="AL10" s="64" t="n">
        <v>83.09999999999999</v>
      </c>
      <c r="AM10" s="64" t="n">
        <v>87.40000000000001</v>
      </c>
      <c r="AN10" s="64" t="n">
        <v>75.8</v>
      </c>
      <c r="AO10" s="64" t="n">
        <v>88.90000000000001</v>
      </c>
    </row>
    <row r="11">
      <c r="A11" s="63" t="inlineStr">
        <is>
          <t>유동부채</t>
        </is>
      </c>
      <c r="B11" s="64" t="n"/>
      <c r="C11" s="64" t="n">
        <v>12.9</v>
      </c>
      <c r="D11" s="64" t="n"/>
      <c r="E11" s="64" t="n"/>
      <c r="F11" s="64" t="n">
        <v>10.7</v>
      </c>
      <c r="G11" s="64" t="n">
        <v>12.6</v>
      </c>
      <c r="H11" s="64" t="n">
        <v>10.2</v>
      </c>
      <c r="I11" s="64" t="n">
        <v>11.8</v>
      </c>
      <c r="J11" s="64" t="n">
        <v>12.2</v>
      </c>
      <c r="K11" s="64" t="n">
        <v>15.5</v>
      </c>
      <c r="L11" s="64" t="n">
        <v>10.7</v>
      </c>
      <c r="M11" s="64" t="n">
        <v>14.2</v>
      </c>
      <c r="N11" s="64" t="n">
        <v>12.2</v>
      </c>
      <c r="O11" s="64" t="n">
        <v>14.3</v>
      </c>
      <c r="P11" s="64" t="n">
        <v>11.3</v>
      </c>
      <c r="Q11" s="64" t="n">
        <v>13.8</v>
      </c>
      <c r="R11" s="64" t="n">
        <v>17.2</v>
      </c>
      <c r="S11" s="64" t="n">
        <v>16.5</v>
      </c>
      <c r="T11" s="64" t="n">
        <v>14</v>
      </c>
      <c r="U11" s="64" t="n">
        <v>19.4</v>
      </c>
      <c r="V11" s="64" t="n">
        <v>25.9</v>
      </c>
      <c r="W11" s="64" t="n">
        <v>27.7</v>
      </c>
      <c r="X11" s="64" t="n">
        <v>19.8</v>
      </c>
      <c r="Y11" s="64" t="n">
        <v>24.2</v>
      </c>
      <c r="Z11" s="64" t="n">
        <v>31</v>
      </c>
      <c r="AA11" s="64" t="n">
        <v>28.2</v>
      </c>
      <c r="AB11" s="64" t="n">
        <v>26.7</v>
      </c>
      <c r="AC11" s="64" t="n">
        <v>33.1</v>
      </c>
      <c r="AD11" s="64" t="n">
        <v>35.8</v>
      </c>
      <c r="AE11" s="64" t="n">
        <v>34.5</v>
      </c>
      <c r="AF11" s="64" t="n">
        <v>27.4</v>
      </c>
      <c r="AG11" s="64" t="n">
        <v>30.9</v>
      </c>
      <c r="AH11" s="64" t="n">
        <v>39.2</v>
      </c>
      <c r="AI11" s="64" t="n">
        <v>39.3</v>
      </c>
      <c r="AJ11" s="64" t="n">
        <v>33</v>
      </c>
      <c r="AK11" s="64" t="n">
        <v>43.3</v>
      </c>
      <c r="AL11" s="64" t="n">
        <v>50.9</v>
      </c>
      <c r="AM11" s="64" t="n">
        <v>50.4</v>
      </c>
      <c r="AN11" s="64" t="n">
        <v>40.3</v>
      </c>
      <c r="AO11" s="64" t="n">
        <v>53.9</v>
      </c>
    </row>
    <row r="12">
      <c r="A12" s="63" t="inlineStr">
        <is>
          <t>부채총계</t>
        </is>
      </c>
      <c r="B12" s="64" t="n"/>
      <c r="C12" s="64" t="n">
        <v>13.7</v>
      </c>
      <c r="D12" s="64" t="n"/>
      <c r="E12" s="64" t="n"/>
      <c r="F12" s="64" t="n">
        <v>12.8</v>
      </c>
      <c r="G12" s="64" t="n">
        <v>14.7</v>
      </c>
      <c r="H12" s="64" t="n">
        <v>12.2</v>
      </c>
      <c r="I12" s="64" t="n">
        <v>13.7</v>
      </c>
      <c r="J12" s="64" t="n">
        <v>14</v>
      </c>
      <c r="K12" s="64" t="n">
        <v>17.2</v>
      </c>
      <c r="L12" s="64" t="n">
        <v>12.3</v>
      </c>
      <c r="M12" s="64" t="n">
        <v>15.7</v>
      </c>
      <c r="N12" s="64" t="n">
        <v>13.6</v>
      </c>
      <c r="O12" s="64" t="n">
        <v>15.6</v>
      </c>
      <c r="P12" s="64" t="n">
        <v>12.5</v>
      </c>
      <c r="Q12" s="64" t="n">
        <v>14.9</v>
      </c>
      <c r="R12" s="64" t="n">
        <v>18.3</v>
      </c>
      <c r="S12" s="64" t="n">
        <v>17.6</v>
      </c>
      <c r="T12" s="64" t="n">
        <v>15.2</v>
      </c>
      <c r="U12" s="64" t="n">
        <v>20.6</v>
      </c>
      <c r="V12" s="64" t="n">
        <v>27.2</v>
      </c>
      <c r="W12" s="64" t="n">
        <v>29</v>
      </c>
      <c r="X12" s="64" t="n">
        <v>21.1</v>
      </c>
      <c r="Y12" s="64" t="n">
        <v>25.6</v>
      </c>
      <c r="Z12" s="64" t="n">
        <v>32.4</v>
      </c>
      <c r="AA12" s="64" t="n">
        <v>29.7</v>
      </c>
      <c r="AB12" s="64" t="n">
        <v>28</v>
      </c>
      <c r="AC12" s="64" t="n">
        <v>34.5</v>
      </c>
      <c r="AD12" s="64" t="n">
        <v>37.2</v>
      </c>
      <c r="AE12" s="64" t="n">
        <v>35.9</v>
      </c>
      <c r="AF12" s="64" t="n">
        <v>28.9</v>
      </c>
      <c r="AG12" s="64" t="n">
        <v>32.4</v>
      </c>
      <c r="AH12" s="64" t="n">
        <v>40.7</v>
      </c>
      <c r="AI12" s="64" t="n">
        <v>40.9</v>
      </c>
      <c r="AJ12" s="64" t="n">
        <v>34.7</v>
      </c>
      <c r="AK12" s="64" t="n">
        <v>45</v>
      </c>
      <c r="AL12" s="64" t="n">
        <v>52.7</v>
      </c>
      <c r="AM12" s="64" t="n">
        <v>52.2</v>
      </c>
      <c r="AN12" s="64" t="n">
        <v>42.1</v>
      </c>
      <c r="AO12" s="64" t="n">
        <v>55.8</v>
      </c>
    </row>
    <row r="13">
      <c r="A13" s="63" t="inlineStr">
        <is>
          <t>자기자본</t>
        </is>
      </c>
      <c r="B13" s="65" t="n"/>
      <c r="C13" s="65" t="n">
        <v>59.3</v>
      </c>
      <c r="D13" s="65" t="n"/>
      <c r="E13" s="65" t="n"/>
      <c r="F13" s="65" t="n">
        <v>62.7</v>
      </c>
      <c r="G13" s="65" t="n">
        <v>65</v>
      </c>
      <c r="H13" s="65" t="n">
        <v>65</v>
      </c>
      <c r="I13" s="65" t="n">
        <v>67.7</v>
      </c>
      <c r="J13" s="65" t="n">
        <v>69.5</v>
      </c>
      <c r="K13" s="65" t="n">
        <v>72</v>
      </c>
      <c r="L13" s="65" t="n">
        <v>71.40000000000001</v>
      </c>
      <c r="M13" s="65" t="n">
        <v>71.59999999999999</v>
      </c>
      <c r="N13" s="65" t="n">
        <v>72.5</v>
      </c>
      <c r="O13" s="65" t="n">
        <v>75</v>
      </c>
      <c r="P13" s="65" t="n">
        <v>74.59999999999999</v>
      </c>
      <c r="Q13" s="65" t="n">
        <v>76.40000000000001</v>
      </c>
      <c r="R13" s="65" t="n">
        <v>77.3</v>
      </c>
      <c r="S13" s="65" t="n">
        <v>79.8</v>
      </c>
      <c r="T13" s="65" t="n">
        <v>79.90000000000001</v>
      </c>
      <c r="U13" s="65" t="n">
        <v>83.2</v>
      </c>
      <c r="V13" s="65" t="n">
        <v>86.2</v>
      </c>
      <c r="W13" s="65" t="n">
        <v>93.59999999999999</v>
      </c>
      <c r="X13" s="65" t="n">
        <v>92.40000000000001</v>
      </c>
      <c r="Y13" s="65" t="n">
        <v>95.3</v>
      </c>
      <c r="Z13" s="65" t="n">
        <v>99.5</v>
      </c>
      <c r="AA13" s="65" t="n">
        <v>105.7</v>
      </c>
      <c r="AB13" s="65" t="n">
        <v>107</v>
      </c>
      <c r="AC13" s="65" t="n">
        <v>109.5</v>
      </c>
      <c r="AD13" s="65" t="n">
        <v>111.7</v>
      </c>
      <c r="AE13" s="65" t="n">
        <v>120.3</v>
      </c>
      <c r="AF13" s="65" t="n">
        <v>115.9</v>
      </c>
      <c r="AG13" s="65" t="n">
        <v>121.1</v>
      </c>
      <c r="AH13" s="65" t="n">
        <v>126.5</v>
      </c>
      <c r="AI13" s="65" t="n">
        <v>132.1</v>
      </c>
      <c r="AJ13" s="65" t="n">
        <v>132</v>
      </c>
      <c r="AK13" s="65" t="n">
        <v>135.7</v>
      </c>
      <c r="AL13" s="65" t="n">
        <v>143.7</v>
      </c>
      <c r="AM13" s="65" t="n">
        <v>154.2</v>
      </c>
      <c r="AN13" s="65" t="n">
        <v>154.9</v>
      </c>
      <c r="AO13" s="65" t="n">
        <v>163.6</v>
      </c>
    </row>
    <row r="14">
      <c r="A14" s="63" t="inlineStr">
        <is>
          <t>유동비율</t>
        </is>
      </c>
      <c r="B14" s="65" t="n"/>
      <c r="C14" s="65" t="n">
        <v>289.9</v>
      </c>
      <c r="D14" s="65" t="n"/>
      <c r="E14" s="65" t="n"/>
      <c r="F14" s="65" t="n">
        <v>324.3</v>
      </c>
      <c r="G14" s="65" t="n">
        <v>307.1</v>
      </c>
      <c r="H14" s="65" t="n">
        <v>358.8</v>
      </c>
      <c r="I14" s="65" t="n">
        <v>334.7</v>
      </c>
      <c r="J14" s="65" t="n">
        <v>341.8</v>
      </c>
      <c r="K14" s="65" t="n">
        <v>301.3</v>
      </c>
      <c r="L14" s="65" t="n">
        <v>386.9</v>
      </c>
      <c r="M14" s="65" t="n">
        <v>292.3</v>
      </c>
      <c r="N14" s="65" t="n">
        <v>323</v>
      </c>
      <c r="O14" s="65" t="n">
        <v>286</v>
      </c>
      <c r="P14" s="65" t="n">
        <v>338.1</v>
      </c>
      <c r="Q14" s="65" t="n">
        <v>278.3</v>
      </c>
      <c r="R14" s="65" t="n">
        <v>241.9</v>
      </c>
      <c r="S14" s="65" t="n">
        <v>250.3</v>
      </c>
      <c r="T14" s="65" t="n">
        <v>267.9</v>
      </c>
      <c r="U14" s="65" t="n">
        <v>217</v>
      </c>
      <c r="V14" s="65" t="n">
        <v>192.3</v>
      </c>
      <c r="W14" s="65" t="n">
        <v>193.9</v>
      </c>
      <c r="X14" s="65" t="n">
        <v>238.9</v>
      </c>
      <c r="Y14" s="65" t="n">
        <v>211.6</v>
      </c>
      <c r="Z14" s="65" t="n">
        <v>190.3</v>
      </c>
      <c r="AA14" s="65" t="n">
        <v>207.8</v>
      </c>
      <c r="AB14" s="65" t="n">
        <v>214.2</v>
      </c>
      <c r="AC14" s="65" t="n">
        <v>184.9</v>
      </c>
      <c r="AD14" s="65" t="n">
        <v>184.9</v>
      </c>
      <c r="AE14" s="65" t="n">
        <v>185.2</v>
      </c>
      <c r="AF14" s="65" t="n">
        <v>206.2</v>
      </c>
      <c r="AG14" s="65" t="n">
        <v>197.4</v>
      </c>
      <c r="AH14" s="65" t="n">
        <v>183.4</v>
      </c>
      <c r="AI14" s="65" t="n">
        <v>185</v>
      </c>
      <c r="AJ14" s="65" t="n">
        <v>191.8</v>
      </c>
      <c r="AK14" s="65" t="n">
        <v>165.1</v>
      </c>
      <c r="AL14" s="65" t="n">
        <v>163.3</v>
      </c>
      <c r="AM14" s="65" t="n">
        <v>173.4</v>
      </c>
      <c r="AN14" s="65" t="n">
        <v>188.1</v>
      </c>
      <c r="AO14" s="65" t="n">
        <v>164.9</v>
      </c>
    </row>
    <row r="15">
      <c r="A15" s="63" t="inlineStr">
        <is>
          <t>부채비율</t>
        </is>
      </c>
      <c r="B15" s="65" t="n"/>
      <c r="C15" s="65" t="n">
        <v>23.1</v>
      </c>
      <c r="D15" s="65" t="n"/>
      <c r="E15" s="65" t="n"/>
      <c r="F15" s="65" t="n">
        <v>20.4</v>
      </c>
      <c r="G15" s="65" t="n">
        <v>22.6</v>
      </c>
      <c r="H15" s="65" t="n">
        <v>18.8</v>
      </c>
      <c r="I15" s="65" t="n">
        <v>20.2</v>
      </c>
      <c r="J15" s="65" t="n">
        <v>20.1</v>
      </c>
      <c r="K15" s="65" t="n">
        <v>23.9</v>
      </c>
      <c r="L15" s="65" t="n">
        <v>17.2</v>
      </c>
      <c r="M15" s="65" t="n">
        <v>21.9</v>
      </c>
      <c r="N15" s="65" t="n">
        <v>18.8</v>
      </c>
      <c r="O15" s="65" t="n">
        <v>20.8</v>
      </c>
      <c r="P15" s="65" t="n">
        <v>16.8</v>
      </c>
      <c r="Q15" s="65" t="n">
        <v>19.5</v>
      </c>
      <c r="R15" s="65" t="n">
        <v>23.7</v>
      </c>
      <c r="S15" s="65" t="n">
        <v>22.1</v>
      </c>
      <c r="T15" s="65" t="n">
        <v>19</v>
      </c>
      <c r="U15" s="65" t="n">
        <v>24.8</v>
      </c>
      <c r="V15" s="65" t="n">
        <v>31.6</v>
      </c>
      <c r="W15" s="65" t="n">
        <v>31</v>
      </c>
      <c r="X15" s="65" t="n">
        <v>22.8</v>
      </c>
      <c r="Y15" s="65" t="n">
        <v>26.9</v>
      </c>
      <c r="Z15" s="65" t="n">
        <v>32.6</v>
      </c>
      <c r="AA15" s="65" t="n">
        <v>28.1</v>
      </c>
      <c r="AB15" s="65" t="n">
        <v>26.2</v>
      </c>
      <c r="AC15" s="65" t="n">
        <v>31.5</v>
      </c>
      <c r="AD15" s="65" t="n">
        <v>33.3</v>
      </c>
      <c r="AE15" s="65" t="n">
        <v>29.8</v>
      </c>
      <c r="AF15" s="65" t="n">
        <v>24.9</v>
      </c>
      <c r="AG15" s="65" t="n">
        <v>26.8</v>
      </c>
      <c r="AH15" s="65" t="n">
        <v>32.2</v>
      </c>
      <c r="AI15" s="65" t="n">
        <v>31</v>
      </c>
      <c r="AJ15" s="65" t="n">
        <v>26.3</v>
      </c>
      <c r="AK15" s="65" t="n">
        <v>33.2</v>
      </c>
      <c r="AL15" s="65" t="n">
        <v>36.7</v>
      </c>
      <c r="AM15" s="65" t="n">
        <v>33.9</v>
      </c>
      <c r="AN15" s="65" t="n">
        <v>27.2</v>
      </c>
      <c r="AO15" s="65" t="n">
        <v>34.1</v>
      </c>
    </row>
    <row r="16">
      <c r="A16" s="63" t="inlineStr">
        <is>
          <t>순차입금/자기자본</t>
        </is>
      </c>
      <c r="B16" s="65" t="n"/>
      <c r="C16" s="65" t="n">
        <v>-51.8</v>
      </c>
      <c r="D16" s="65" t="n"/>
      <c r="E16" s="65" t="n"/>
      <c r="F16" s="65" t="n">
        <v>-41.5</v>
      </c>
      <c r="G16" s="65" t="n">
        <v>-49.2</v>
      </c>
      <c r="H16" s="65" t="n">
        <v>-45.8</v>
      </c>
      <c r="I16" s="65" t="n">
        <v>-50.2</v>
      </c>
      <c r="J16" s="65" t="n">
        <v>-48.5</v>
      </c>
      <c r="K16" s="65" t="n">
        <v>-56.8</v>
      </c>
      <c r="L16" s="65" t="n">
        <v>-50.6</v>
      </c>
      <c r="M16" s="65" t="n">
        <v>-50</v>
      </c>
      <c r="N16" s="65" t="n">
        <v>-40.3</v>
      </c>
      <c r="O16" s="65" t="n">
        <v>-45.2</v>
      </c>
      <c r="P16" s="65" t="n">
        <v>-44.4</v>
      </c>
      <c r="Q16" s="65" t="n">
        <v>-43.2</v>
      </c>
      <c r="R16" s="65" t="n">
        <v>-42.7</v>
      </c>
      <c r="S16" s="65" t="n">
        <v>-43.5</v>
      </c>
      <c r="T16" s="65" t="n">
        <v>-38</v>
      </c>
      <c r="U16" s="65" t="n">
        <v>-37.5</v>
      </c>
      <c r="V16" s="65" t="n">
        <v>-42.6</v>
      </c>
      <c r="W16" s="65" t="n">
        <v>-45.3</v>
      </c>
      <c r="X16" s="65" t="n">
        <v>-38.2</v>
      </c>
      <c r="Y16" s="65" t="n">
        <v>-42.5</v>
      </c>
      <c r="Z16" s="65" t="n">
        <v>-42.9</v>
      </c>
      <c r="AA16" s="65" t="n">
        <v>-46.5</v>
      </c>
      <c r="AB16" s="65" t="n">
        <v>-40.7</v>
      </c>
      <c r="AC16" s="65" t="n">
        <v>-43.6</v>
      </c>
      <c r="AD16" s="65" t="n">
        <v>-45.2</v>
      </c>
      <c r="AE16" s="65" t="n">
        <v>-42.9</v>
      </c>
      <c r="AF16" s="65" t="n">
        <v>-36.3</v>
      </c>
      <c r="AG16" s="65" t="n">
        <v>-39.1</v>
      </c>
      <c r="AH16" s="65" t="n">
        <v>-41.5</v>
      </c>
      <c r="AI16" s="65" t="n">
        <v>-44.1</v>
      </c>
      <c r="AJ16" s="65" t="n">
        <v>-36.9</v>
      </c>
      <c r="AK16" s="65" t="n">
        <v>-37.3</v>
      </c>
      <c r="AL16" s="65" t="n">
        <v>-39.8</v>
      </c>
      <c r="AM16" s="65" t="n">
        <v>-43.7</v>
      </c>
      <c r="AN16" s="65" t="n">
        <v>-34.9</v>
      </c>
      <c r="AO16" s="65" t="n">
        <v>-38.3</v>
      </c>
    </row>
    <row r="17">
      <c r="A17" s="63" t="inlineStr">
        <is>
          <t>재고자산</t>
        </is>
      </c>
      <c r="B17" s="64" t="n"/>
      <c r="C17" s="64" t="n">
        <v>0.1</v>
      </c>
      <c r="D17" s="64" t="n"/>
      <c r="E17" s="64" t="n"/>
      <c r="F17" s="64" t="n">
        <v>0.1</v>
      </c>
      <c r="G17" s="64" t="n">
        <v>0.1</v>
      </c>
      <c r="H17" s="64" t="n">
        <v>0</v>
      </c>
      <c r="I17" s="64" t="n">
        <v>0</v>
      </c>
      <c r="J17" s="64" t="n">
        <v>0.1</v>
      </c>
      <c r="K17" s="64" t="n">
        <v>0.1</v>
      </c>
      <c r="L17" s="64" t="n">
        <v>0.2</v>
      </c>
      <c r="M17" s="64" t="n">
        <v>0.2</v>
      </c>
      <c r="N17" s="64" t="n">
        <v>0.1</v>
      </c>
      <c r="O17" s="64" t="n">
        <v>0.1</v>
      </c>
      <c r="P17" s="64" t="n">
        <v>0.1</v>
      </c>
      <c r="Q17" s="64" t="n">
        <v>0.1</v>
      </c>
      <c r="R17" s="64" t="n">
        <v>0.2</v>
      </c>
      <c r="S17" s="64" t="n">
        <v>0.2</v>
      </c>
      <c r="T17" s="64" t="n">
        <v>0</v>
      </c>
      <c r="U17" s="64" t="n">
        <v>0.1</v>
      </c>
      <c r="V17" s="64" t="n">
        <v>0.2</v>
      </c>
      <c r="W17" s="64" t="n">
        <v>0</v>
      </c>
      <c r="X17" s="64" t="n">
        <v>0.1</v>
      </c>
      <c r="Y17" s="64" t="n">
        <v>0.2</v>
      </c>
      <c r="Z17" s="64" t="n">
        <v>0.2</v>
      </c>
      <c r="AA17" s="64" t="n">
        <v>0.1</v>
      </c>
      <c r="AB17" s="64" t="n">
        <v>0.2</v>
      </c>
      <c r="AC17" s="64" t="n">
        <v>0.1</v>
      </c>
      <c r="AD17" s="64" t="n">
        <v>0.1</v>
      </c>
      <c r="AE17" s="64" t="n">
        <v>0.1</v>
      </c>
      <c r="AF17" s="64" t="n">
        <v>0.1</v>
      </c>
      <c r="AG17" s="64" t="n">
        <v>0.1</v>
      </c>
      <c r="AH17" s="64" t="n">
        <v>0.1</v>
      </c>
      <c r="AI17" s="64" t="n">
        <v>0.1</v>
      </c>
      <c r="AJ17" s="64" t="n">
        <v>0.2</v>
      </c>
      <c r="AK17" s="64" t="n">
        <v>0.6</v>
      </c>
      <c r="AL17" s="64" t="n">
        <v>0.9</v>
      </c>
      <c r="AM17" s="64" t="n">
        <v>0.1</v>
      </c>
      <c r="AN17" s="64" t="n">
        <v>0.3</v>
      </c>
      <c r="AO17" s="64" t="n">
        <v>0.3</v>
      </c>
    </row>
    <row r="18">
      <c r="A18" s="63" t="inlineStr">
        <is>
          <t>재고자산 회전일수</t>
        </is>
      </c>
      <c r="B18" s="64" t="n"/>
      <c r="C18" s="64" t="n">
        <v>2</v>
      </c>
      <c r="D18" s="64" t="n"/>
      <c r="E18" s="64" t="n"/>
      <c r="F18" s="64" t="n">
        <v>2</v>
      </c>
      <c r="G18" s="64" t="n">
        <v>2</v>
      </c>
      <c r="H18" s="64" t="n">
        <v>0</v>
      </c>
      <c r="I18" s="64" t="n">
        <v>0</v>
      </c>
      <c r="J18" s="64" t="n">
        <v>2</v>
      </c>
      <c r="K18" s="64" t="n">
        <v>2</v>
      </c>
      <c r="L18" s="64" t="n">
        <v>4</v>
      </c>
      <c r="M18" s="64" t="n">
        <v>4</v>
      </c>
      <c r="N18" s="64" t="n">
        <v>2</v>
      </c>
      <c r="O18" s="64" t="n">
        <v>1</v>
      </c>
      <c r="P18" s="64" t="n">
        <v>2</v>
      </c>
      <c r="Q18" s="64" t="n">
        <v>2</v>
      </c>
      <c r="R18" s="64" t="n">
        <v>2</v>
      </c>
      <c r="S18" s="64" t="n">
        <v>2</v>
      </c>
      <c r="T18" s="64" t="n">
        <v>0</v>
      </c>
      <c r="U18" s="64" t="n">
        <v>1</v>
      </c>
      <c r="V18" s="64" t="n">
        <v>2</v>
      </c>
      <c r="W18" s="64" t="n">
        <v>0</v>
      </c>
      <c r="X18" s="64" t="n">
        <v>1</v>
      </c>
      <c r="Y18" s="64" t="n">
        <v>2</v>
      </c>
      <c r="Z18" s="64" t="n">
        <v>2</v>
      </c>
      <c r="AA18" s="64" t="n">
        <v>2</v>
      </c>
      <c r="AB18" s="64" t="n">
        <v>2</v>
      </c>
      <c r="AC18" s="64" t="n">
        <v>1</v>
      </c>
      <c r="AD18" s="64" t="n">
        <v>1</v>
      </c>
      <c r="AE18" s="64" t="n">
        <v>1</v>
      </c>
      <c r="AF18" s="64" t="n">
        <v>1</v>
      </c>
      <c r="AG18" s="64" t="n">
        <v>1</v>
      </c>
      <c r="AH18" s="64" t="n">
        <v>1</v>
      </c>
      <c r="AI18" s="64" t="n">
        <v>1</v>
      </c>
      <c r="AJ18" s="64" t="n">
        <v>1</v>
      </c>
      <c r="AK18" s="64" t="n">
        <v>3</v>
      </c>
      <c r="AL18" s="64" t="n">
        <v>5</v>
      </c>
      <c r="AM18" s="64" t="n">
        <v>0</v>
      </c>
      <c r="AN18" s="64" t="n">
        <v>1</v>
      </c>
      <c r="AO18" s="64" t="n">
        <v>1</v>
      </c>
    </row>
    <row r="19">
      <c r="A19" s="63" t="inlineStr">
        <is>
          <t>매출채권 회전일수</t>
        </is>
      </c>
      <c r="B19" s="64" t="n"/>
      <c r="C19" s="64" t="n">
        <v>19</v>
      </c>
      <c r="D19" s="64" t="n"/>
      <c r="E19" s="64" t="n"/>
      <c r="F19" s="64" t="n">
        <v>29</v>
      </c>
      <c r="G19" s="64" t="n">
        <v>15</v>
      </c>
      <c r="H19" s="64" t="n">
        <v>22</v>
      </c>
      <c r="I19" s="64" t="n">
        <v>20</v>
      </c>
      <c r="J19" s="64" t="n">
        <v>29</v>
      </c>
      <c r="K19" s="64" t="n">
        <v>16</v>
      </c>
      <c r="L19" s="64" t="n">
        <v>19</v>
      </c>
      <c r="M19" s="64" t="n">
        <v>21</v>
      </c>
      <c r="N19" s="64" t="n">
        <v>30</v>
      </c>
      <c r="O19" s="64" t="n">
        <v>19</v>
      </c>
      <c r="P19" s="64" t="n">
        <v>19</v>
      </c>
      <c r="Q19" s="64" t="n">
        <v>21</v>
      </c>
      <c r="R19" s="64" t="n">
        <v>29</v>
      </c>
      <c r="S19" s="64" t="n">
        <v>0</v>
      </c>
      <c r="T19" s="64" t="n">
        <v>27</v>
      </c>
      <c r="U19" s="64" t="n">
        <v>33</v>
      </c>
      <c r="V19" s="64" t="n">
        <v>32</v>
      </c>
      <c r="W19" s="64" t="n">
        <v>28</v>
      </c>
      <c r="X19" s="64" t="n">
        <v>32</v>
      </c>
      <c r="Y19" s="64" t="n">
        <v>27</v>
      </c>
      <c r="Z19" s="64" t="n">
        <v>35</v>
      </c>
      <c r="AA19" s="64" t="n">
        <v>24</v>
      </c>
      <c r="AB19" s="64" t="n">
        <v>31</v>
      </c>
      <c r="AC19" s="64" t="n">
        <v>32</v>
      </c>
      <c r="AD19" s="64" t="n">
        <v>29</v>
      </c>
      <c r="AE19" s="64" t="n">
        <v>23</v>
      </c>
      <c r="AF19" s="64" t="n">
        <v>27</v>
      </c>
      <c r="AG19" s="64" t="n">
        <v>23</v>
      </c>
      <c r="AH19" s="64" t="n">
        <v>28</v>
      </c>
      <c r="AI19" s="64" t="n">
        <v>22</v>
      </c>
      <c r="AJ19" s="64" t="n">
        <v>27</v>
      </c>
      <c r="AK19" s="64" t="n">
        <v>30</v>
      </c>
      <c r="AL19" s="64" t="n">
        <v>31</v>
      </c>
      <c r="AM19" s="64" t="n">
        <v>26</v>
      </c>
      <c r="AN19" s="64" t="n">
        <v>31</v>
      </c>
      <c r="AO19" s="64" t="n">
        <v>32</v>
      </c>
    </row>
    <row r="20">
      <c r="A20" s="63" t="inlineStr">
        <is>
          <t>매입채무 회전일수</t>
        </is>
      </c>
      <c r="B20" s="64" t="n"/>
      <c r="C20" s="64" t="n">
        <v>2</v>
      </c>
      <c r="D20" s="64" t="n"/>
      <c r="E20" s="64" t="n"/>
      <c r="F20" s="64" t="n">
        <v>2</v>
      </c>
      <c r="G20" s="64" t="n">
        <v>2</v>
      </c>
      <c r="H20" s="64" t="n">
        <v>2</v>
      </c>
      <c r="I20" s="64" t="n">
        <v>2</v>
      </c>
      <c r="J20" s="64" t="n">
        <v>2</v>
      </c>
      <c r="K20" s="64" t="n">
        <v>2</v>
      </c>
      <c r="L20" s="64" t="n">
        <v>2</v>
      </c>
      <c r="M20" s="64" t="n">
        <v>2</v>
      </c>
      <c r="N20" s="64" t="n">
        <v>2</v>
      </c>
      <c r="O20" s="64" t="n">
        <v>1</v>
      </c>
      <c r="P20" s="64" t="n">
        <v>2</v>
      </c>
      <c r="Q20" s="64" t="n">
        <v>2</v>
      </c>
      <c r="R20" s="64" t="n">
        <v>1</v>
      </c>
      <c r="S20" s="64" t="n">
        <v>1</v>
      </c>
      <c r="T20" s="64" t="n">
        <v>1</v>
      </c>
      <c r="U20" s="64" t="n">
        <v>1</v>
      </c>
      <c r="V20" s="64" t="n">
        <v>1</v>
      </c>
      <c r="W20" s="64" t="n">
        <v>1</v>
      </c>
      <c r="X20" s="64" t="n">
        <v>1</v>
      </c>
      <c r="Y20" s="64" t="n">
        <v>1</v>
      </c>
      <c r="Z20" s="64" t="n">
        <v>1</v>
      </c>
      <c r="AA20" s="64" t="n">
        <v>2</v>
      </c>
      <c r="AB20" s="64" t="n">
        <v>1</v>
      </c>
      <c r="AC20" s="64" t="n">
        <v>1</v>
      </c>
      <c r="AD20" s="64" t="n">
        <v>1</v>
      </c>
      <c r="AE20" s="64" t="n">
        <v>1</v>
      </c>
      <c r="AF20" s="64" t="n">
        <v>1</v>
      </c>
      <c r="AG20" s="64" t="n">
        <v>1</v>
      </c>
      <c r="AH20" s="64" t="n">
        <v>1</v>
      </c>
      <c r="AI20" s="64" t="n">
        <v>1</v>
      </c>
      <c r="AJ20" s="64" t="n">
        <v>1</v>
      </c>
      <c r="AK20" s="64" t="n">
        <v>1</v>
      </c>
      <c r="AL20" s="64" t="n">
        <v>1</v>
      </c>
      <c r="AM20" s="64" t="n">
        <v>0</v>
      </c>
      <c r="AN20" s="64" t="n">
        <v>0</v>
      </c>
      <c r="AO20" s="64" t="n">
        <v>0</v>
      </c>
    </row>
    <row r="21">
      <c r="A21" s="63" t="inlineStr">
        <is>
          <t>현금전환주기(CCC)</t>
        </is>
      </c>
      <c r="B21" s="64" t="n"/>
      <c r="C21" s="64" t="n">
        <v>19</v>
      </c>
      <c r="D21" s="64" t="n"/>
      <c r="E21" s="64" t="n"/>
      <c r="F21" s="64" t="n">
        <v>29</v>
      </c>
      <c r="G21" s="64" t="n">
        <v>15</v>
      </c>
      <c r="H21" s="64" t="n">
        <v>20</v>
      </c>
      <c r="I21" s="64" t="n">
        <v>18</v>
      </c>
      <c r="J21" s="64" t="n">
        <v>29</v>
      </c>
      <c r="K21" s="64" t="n">
        <v>16</v>
      </c>
      <c r="L21" s="64" t="n">
        <v>21</v>
      </c>
      <c r="M21" s="64" t="n">
        <v>23</v>
      </c>
      <c r="N21" s="64" t="n">
        <v>30</v>
      </c>
      <c r="O21" s="64" t="n">
        <v>19</v>
      </c>
      <c r="P21" s="64" t="n">
        <v>19</v>
      </c>
      <c r="Q21" s="64" t="n">
        <v>21</v>
      </c>
      <c r="R21" s="64" t="n">
        <v>30</v>
      </c>
      <c r="S21" s="64" t="n">
        <v>1</v>
      </c>
      <c r="T21" s="64" t="n">
        <v>26</v>
      </c>
      <c r="U21" s="64" t="n">
        <v>33</v>
      </c>
      <c r="V21" s="64" t="n">
        <v>33</v>
      </c>
      <c r="W21" s="64" t="n">
        <v>27</v>
      </c>
      <c r="X21" s="64" t="n">
        <v>32</v>
      </c>
      <c r="Y21" s="64" t="n">
        <v>28</v>
      </c>
      <c r="Z21" s="64" t="n">
        <v>36</v>
      </c>
      <c r="AA21" s="64" t="n">
        <v>24</v>
      </c>
      <c r="AB21" s="64" t="n">
        <v>32</v>
      </c>
      <c r="AC21" s="64" t="n">
        <v>32</v>
      </c>
      <c r="AD21" s="64" t="n">
        <v>29</v>
      </c>
      <c r="AE21" s="64" t="n">
        <v>23</v>
      </c>
      <c r="AF21" s="64" t="n">
        <v>27</v>
      </c>
      <c r="AG21" s="64" t="n">
        <v>23</v>
      </c>
      <c r="AH21" s="64" t="n">
        <v>28</v>
      </c>
      <c r="AI21" s="64" t="n">
        <v>22</v>
      </c>
      <c r="AJ21" s="64" t="n">
        <v>27</v>
      </c>
      <c r="AK21" s="64" t="n">
        <v>32</v>
      </c>
      <c r="AL21" s="64" t="n">
        <v>35</v>
      </c>
      <c r="AM21" s="64" t="n">
        <v>26</v>
      </c>
      <c r="AN21" s="64" t="n">
        <v>32</v>
      </c>
      <c r="AO21" s="64" t="n">
        <v>33</v>
      </c>
    </row>
    <row r="22">
      <c r="A22" s="63" t="inlineStr">
        <is>
          <t>총 차입금</t>
        </is>
      </c>
      <c r="B22" s="64" t="n"/>
      <c r="C22" s="64" t="n">
        <v>1.6</v>
      </c>
      <c r="D22" s="64" t="n"/>
      <c r="E22" s="64" t="n"/>
      <c r="F22" s="64" t="n">
        <v>2.1</v>
      </c>
      <c r="G22" s="64" t="n">
        <v>2.2</v>
      </c>
      <c r="H22" s="64" t="n">
        <v>1.6</v>
      </c>
      <c r="I22" s="64" t="n">
        <v>1.5</v>
      </c>
      <c r="J22" s="64" t="n">
        <v>1.4</v>
      </c>
      <c r="K22" s="64" t="n">
        <v>1.7</v>
      </c>
      <c r="L22" s="64" t="n">
        <v>1.1</v>
      </c>
      <c r="M22" s="64" t="n">
        <v>1</v>
      </c>
      <c r="N22" s="64" t="n">
        <v>0.9</v>
      </c>
      <c r="O22" s="64" t="n">
        <v>1.2</v>
      </c>
      <c r="P22" s="64" t="n">
        <v>0.6</v>
      </c>
      <c r="Q22" s="64" t="n">
        <v>0.5</v>
      </c>
      <c r="R22" s="64" t="n">
        <v>0.4</v>
      </c>
      <c r="S22" s="64" t="n">
        <v>0.4</v>
      </c>
      <c r="T22" s="64" t="n">
        <v>0.1</v>
      </c>
      <c r="U22" s="64" t="n">
        <v>0</v>
      </c>
      <c r="V22" s="64" t="n">
        <v>0</v>
      </c>
      <c r="W22" s="64" t="n">
        <v>0</v>
      </c>
      <c r="X22" s="64" t="n">
        <v>0</v>
      </c>
      <c r="Y22" s="64" t="n">
        <v>0</v>
      </c>
      <c r="Z22" s="64" t="n">
        <v>0</v>
      </c>
      <c r="AA22" s="64" t="n">
        <v>0</v>
      </c>
      <c r="AB22" s="64" t="n">
        <v>0</v>
      </c>
      <c r="AC22" s="64" t="n">
        <v>0</v>
      </c>
      <c r="AD22" s="64" t="n">
        <v>0</v>
      </c>
      <c r="AE22" s="64" t="n">
        <v>0</v>
      </c>
      <c r="AF22" s="64" t="n">
        <v>0</v>
      </c>
      <c r="AG22" s="64" t="n">
        <v>0</v>
      </c>
      <c r="AH22" s="64" t="n">
        <v>0</v>
      </c>
      <c r="AI22" s="64" t="n">
        <v>0</v>
      </c>
      <c r="AJ22" s="64" t="n">
        <v>0</v>
      </c>
      <c r="AK22" s="64" t="n">
        <v>0</v>
      </c>
      <c r="AL22" s="64" t="n">
        <v>0</v>
      </c>
      <c r="AM22" s="64" t="n">
        <v>0</v>
      </c>
      <c r="AN22" s="64" t="n">
        <v>0</v>
      </c>
      <c r="AO22" s="64" t="n">
        <v>0</v>
      </c>
    </row>
    <row r="23">
      <c r="A23" s="63" t="inlineStr">
        <is>
          <t>현금</t>
        </is>
      </c>
      <c r="B23" s="64" t="n"/>
      <c r="C23" s="64" t="n">
        <v>32.3</v>
      </c>
      <c r="D23" s="64" t="n"/>
      <c r="E23" s="64" t="n"/>
      <c r="F23" s="64" t="n">
        <v>28.1</v>
      </c>
      <c r="G23" s="64" t="n">
        <v>34.2</v>
      </c>
      <c r="H23" s="64" t="n">
        <v>31.4</v>
      </c>
      <c r="I23" s="64" t="n">
        <v>35.5</v>
      </c>
      <c r="J23" s="64" t="n">
        <v>35.1</v>
      </c>
      <c r="K23" s="64" t="n">
        <v>42.6</v>
      </c>
      <c r="L23" s="64" t="n">
        <v>37.2</v>
      </c>
      <c r="M23" s="64" t="n">
        <v>36.8</v>
      </c>
      <c r="N23" s="64" t="n">
        <v>30.1</v>
      </c>
      <c r="O23" s="64" t="n">
        <v>35.1</v>
      </c>
      <c r="P23" s="64" t="n">
        <v>33.7</v>
      </c>
      <c r="Q23" s="64" t="n">
        <v>33.5</v>
      </c>
      <c r="R23" s="64" t="n">
        <v>33.4</v>
      </c>
      <c r="S23" s="64" t="n">
        <v>35.1</v>
      </c>
      <c r="T23" s="64" t="n">
        <v>30.5</v>
      </c>
      <c r="U23" s="64" t="n">
        <v>31.2</v>
      </c>
      <c r="V23" s="64" t="n">
        <v>36.7</v>
      </c>
      <c r="W23" s="64" t="n">
        <v>42.4</v>
      </c>
      <c r="X23" s="64" t="n">
        <v>35.3</v>
      </c>
      <c r="Y23" s="64" t="n">
        <v>40.5</v>
      </c>
      <c r="Z23" s="64" t="n">
        <v>42.7</v>
      </c>
      <c r="AA23" s="64" t="n">
        <v>49.1</v>
      </c>
      <c r="AB23" s="64" t="n">
        <v>43.6</v>
      </c>
      <c r="AC23" s="64" t="n">
        <v>47.7</v>
      </c>
      <c r="AD23" s="64" t="n">
        <v>50.5</v>
      </c>
      <c r="AE23" s="64" t="n">
        <v>51.6</v>
      </c>
      <c r="AF23" s="64" t="n">
        <v>42.1</v>
      </c>
      <c r="AG23" s="64" t="n">
        <v>47.3</v>
      </c>
      <c r="AH23" s="64" t="n">
        <v>52.5</v>
      </c>
      <c r="AI23" s="64" t="n">
        <v>58.3</v>
      </c>
      <c r="AJ23" s="64" t="n">
        <v>48.7</v>
      </c>
      <c r="AK23" s="64" t="n">
        <v>50.6</v>
      </c>
      <c r="AL23" s="64" t="n">
        <v>57.2</v>
      </c>
      <c r="AM23" s="64" t="n">
        <v>67.40000000000001</v>
      </c>
      <c r="AN23" s="64" t="n">
        <v>54</v>
      </c>
      <c r="AO23" s="64" t="n">
        <v>62.7</v>
      </c>
    </row>
    <row r="24">
      <c r="A24" s="63" t="inlineStr">
        <is>
          <t>부문별 매출 · アカウンティングサービス事業、報告セグメント [メンバー]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8.6</v>
      </c>
      <c r="AC24" s="64" t="n">
        <v>9.300000000000001</v>
      </c>
      <c r="AD24" s="64" t="n">
        <v>12.2</v>
      </c>
      <c r="AE24" s="64" t="n">
        <v>13.8</v>
      </c>
      <c r="AF24" s="64" t="n">
        <v>9.699999999999999</v>
      </c>
      <c r="AG24" s="64" t="n">
        <v>10.2</v>
      </c>
      <c r="AH24" s="64" t="n">
        <v>13.6</v>
      </c>
      <c r="AI24" s="64" t="n">
        <v>15.7</v>
      </c>
      <c r="AJ24" s="64" t="n">
        <v>10.5</v>
      </c>
      <c r="AK24" s="64" t="n">
        <v>11.1</v>
      </c>
      <c r="AL24" s="64" t="n">
        <v>15.7</v>
      </c>
      <c r="AM24" s="64" t="n">
        <v>17.8</v>
      </c>
      <c r="AN24" s="64" t="n">
        <v>11.8</v>
      </c>
      <c r="AO24" s="64" t="n">
        <v>12.1</v>
      </c>
      <c r="AP24" s="60" t="inlineStr">
        <is>
          <t>결산단신 부문 정보(외부 고객 매출)</t>
        </is>
      </c>
    </row>
    <row r="25">
      <c r="A25" s="63" t="inlineStr">
        <is>
          <t>부문별 매출 · コンサルティング事業、報告セグメント [メンバー]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17.2</v>
      </c>
      <c r="AC25" s="64" t="n">
        <v>14.8</v>
      </c>
      <c r="AD25" s="64" t="n">
        <v>12.4</v>
      </c>
      <c r="AE25" s="64" t="n">
        <v>14.9</v>
      </c>
      <c r="AF25" s="64" t="n">
        <v>16.8</v>
      </c>
      <c r="AG25" s="64" t="n">
        <v>13.7</v>
      </c>
      <c r="AH25" s="64" t="n">
        <v>19</v>
      </c>
      <c r="AI25" s="64" t="n">
        <v>16.7</v>
      </c>
      <c r="AJ25" s="64" t="n">
        <v>18.1</v>
      </c>
      <c r="AK25" s="64" t="n">
        <v>21.8</v>
      </c>
      <c r="AL25" s="64" t="n">
        <v>21.8</v>
      </c>
      <c r="AM25" s="64" t="n">
        <v>20.2</v>
      </c>
      <c r="AN25" s="64" t="n">
        <v>23.4</v>
      </c>
      <c r="AO25" s="64" t="n">
        <v>31.3</v>
      </c>
      <c r="AP25" s="60" t="inlineStr">
        <is>
          <t>결산단신 부문 정보(외부 고객 매출)</t>
        </is>
      </c>
    </row>
    <row r="26">
      <c r="A26" s="63" t="inlineStr">
        <is>
          <t>부문별 매출 · ビジネスソリューション事業、報告セグメント [メンバー]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>
        <v>7.6</v>
      </c>
      <c r="AC26" s="64" t="n">
        <v>8</v>
      </c>
      <c r="AD26" s="64" t="n">
        <v>15.1</v>
      </c>
      <c r="AE26" s="64" t="n">
        <v>10.6</v>
      </c>
      <c r="AF26" s="64" t="n">
        <v>8.800000000000001</v>
      </c>
      <c r="AG26" s="64" t="n">
        <v>9.800000000000001</v>
      </c>
      <c r="AH26" s="64" t="n">
        <v>18.3</v>
      </c>
      <c r="AI26" s="64" t="n">
        <v>13.7</v>
      </c>
      <c r="AJ26" s="64" t="n">
        <v>12.3</v>
      </c>
      <c r="AK26" s="64" t="n">
        <v>13.4</v>
      </c>
      <c r="AL26" s="64" t="n">
        <v>22.1</v>
      </c>
      <c r="AM26" s="64" t="n">
        <v>17.4</v>
      </c>
      <c r="AN26" s="64" t="n">
        <v>16.5</v>
      </c>
      <c r="AO26" s="64" t="n">
        <v>17.2</v>
      </c>
      <c r="AP26" s="60" t="inlineStr">
        <is>
          <t>결산단신 부문 정보(외부 고객 매출)</t>
        </is>
      </c>
    </row>
    <row r="27">
      <c r="A27" s="63" t="inlineStr">
        <is>
          <t>부문별 매출 · 不動産賃貸事業、報告セグメント [メンバー]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>
        <v>0.3</v>
      </c>
      <c r="AC27" s="64" t="n">
        <v>0.3</v>
      </c>
      <c r="AD27" s="64" t="n">
        <v>0.3</v>
      </c>
      <c r="AE27" s="64" t="n">
        <v>0.3</v>
      </c>
      <c r="AF27" s="64" t="n">
        <v>0.3</v>
      </c>
      <c r="AG27" s="64" t="n">
        <v>0.3</v>
      </c>
      <c r="AH27" s="64" t="n">
        <v>0.3</v>
      </c>
      <c r="AI27" s="64" t="n">
        <v>0.3</v>
      </c>
      <c r="AJ27" s="64" t="n">
        <v>0.3</v>
      </c>
      <c r="AK27" s="64" t="n">
        <v>0.3</v>
      </c>
      <c r="AL27" s="64" t="n">
        <v>0.3</v>
      </c>
      <c r="AM27" s="64" t="n">
        <v>0.3</v>
      </c>
      <c r="AN27" s="64" t="n">
        <v>0.3</v>
      </c>
      <c r="AO27" s="64" t="n">
        <v>0.3</v>
      </c>
      <c r="AP27" s="60" t="inlineStr">
        <is>
          <t>결산단신 부문 정보(외부 고객 매출)</t>
        </is>
      </c>
    </row>
    <row r="28">
      <c r="A28" s="63" t="inlineStr">
        <is>
          <t>부문별 매출 · システム開発事業、報告セグメント [メンバー]</t>
        </is>
      </c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>
        <v>0.5</v>
      </c>
      <c r="AC28" s="64" t="n">
        <v>0.6</v>
      </c>
      <c r="AD28" s="64" t="n">
        <v>0.5</v>
      </c>
      <c r="AE28" s="64" t="n">
        <v>0.8</v>
      </c>
      <c r="AF28" s="64" t="n">
        <v>0.7</v>
      </c>
      <c r="AG28" s="64" t="n">
        <v>0.8</v>
      </c>
      <c r="AH28" s="64" t="n">
        <v>0.6</v>
      </c>
      <c r="AI28" s="64" t="n">
        <v>0.8</v>
      </c>
      <c r="AJ28" s="64" t="n">
        <v>0.8</v>
      </c>
      <c r="AK28" s="64" t="n">
        <v>0.6</v>
      </c>
      <c r="AL28" s="64" t="n">
        <v>0.6</v>
      </c>
      <c r="AM28" s="64" t="n">
        <v>2.1</v>
      </c>
      <c r="AN28" s="64" t="n">
        <v>0.6</v>
      </c>
      <c r="AO28" s="64" t="n">
        <v>1</v>
      </c>
      <c r="AP28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2026-10-30T06:44:30Z</dcterms:created>
  <dcterms:modified xmlns:dcterms="http://purl.org/dc/terms/" xmlns:xsi="http://www.w3.org/2001/XMLSchema-instance" xsi:type="dcterms:W3CDTF">2026-10-30T06:45:39Z</dcterms:modified>
</cp:coreProperties>
</file>