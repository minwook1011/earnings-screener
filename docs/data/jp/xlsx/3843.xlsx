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프리빗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4월 결산 · 일본 기준 · 2026.4Q = 2026년 4월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14040.063</v>
      </c>
      <c r="D4" s="12" t="n">
        <v>13032.958</v>
      </c>
      <c r="E4" s="12" t="n">
        <v>12919.13</v>
      </c>
      <c r="F4" s="12" t="n">
        <v>13045.441</v>
      </c>
      <c r="G4" s="12" t="n">
        <v>13291.005</v>
      </c>
      <c r="H4" s="12" t="n">
        <v>13331.914</v>
      </c>
      <c r="I4" s="12" t="n">
        <v>13928.038</v>
      </c>
      <c r="J4" s="12" t="n">
        <v>14522.249</v>
      </c>
      <c r="K4" s="12" t="n">
        <v>15177.682</v>
      </c>
      <c r="L4" s="12" t="n">
        <v>15621.674</v>
      </c>
      <c r="M4" s="12" t="n">
        <v>15388.804</v>
      </c>
      <c r="N4" s="12" t="n">
        <v>16553.87</v>
      </c>
      <c r="O4" s="11" t="n">
        <v>35222.475</v>
      </c>
      <c r="P4" s="12" t="n">
        <v>38653.832</v>
      </c>
      <c r="Q4" s="12" t="n">
        <v>50365.834</v>
      </c>
      <c r="R4" s="12" t="n">
        <v>55295.01</v>
      </c>
      <c r="S4" s="12" t="n">
        <v>52009.682</v>
      </c>
      <c r="T4" s="12" t="n">
        <v>43075.732</v>
      </c>
      <c r="U4" s="12" t="n">
        <v>46771.516</v>
      </c>
      <c r="V4" s="12" t="n">
        <v>53037.592</v>
      </c>
      <c r="W4" s="12" t="n">
        <v>55073.206</v>
      </c>
      <c r="X4" s="12" t="n">
        <v>62742.03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5G 인프라 지원사업</t>
        </is>
      </c>
      <c r="B7" s="10" t="n"/>
      <c r="C7" s="19" t="n">
        <v>1868.099</v>
      </c>
      <c r="D7" s="20" t="n">
        <v>1946.389</v>
      </c>
      <c r="E7" s="20" t="n">
        <v>1951.285</v>
      </c>
      <c r="F7" s="20" t="n">
        <v>1966.562</v>
      </c>
      <c r="G7" s="20" t="n">
        <v>2019.861</v>
      </c>
      <c r="H7" s="20" t="n">
        <v>2112.374</v>
      </c>
      <c r="I7" s="20" t="n">
        <v>2178.533</v>
      </c>
      <c r="J7" s="20" t="n">
        <v>2240.722</v>
      </c>
      <c r="K7" s="20" t="n">
        <v>2400.263</v>
      </c>
      <c r="L7" s="20" t="n">
        <v>2512.497</v>
      </c>
      <c r="M7" s="20" t="n">
        <v>2537.235</v>
      </c>
      <c r="N7" s="20" t="n">
        <v>2583.278</v>
      </c>
      <c r="O7" s="19" t="n"/>
      <c r="P7" s="20" t="n"/>
      <c r="Q7" s="20" t="n"/>
      <c r="R7" s="20" t="n"/>
      <c r="S7" s="20" t="n"/>
      <c r="T7" s="20" t="n"/>
      <c r="U7" s="20" t="n"/>
      <c r="V7" s="20" t="n">
        <v>7732.335</v>
      </c>
      <c r="W7" s="20" t="n">
        <v>8551.49</v>
      </c>
      <c r="X7" s="20" t="n">
        <v>10033.273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5G 생활양식 지원사업</t>
        </is>
      </c>
      <c r="B10" s="10" t="n"/>
      <c r="C10" s="19" t="n">
        <v>7572.473</v>
      </c>
      <c r="D10" s="20" t="n">
        <v>6026.073</v>
      </c>
      <c r="E10" s="20" t="n">
        <v>6220.898</v>
      </c>
      <c r="F10" s="20" t="n">
        <v>6670.094</v>
      </c>
      <c r="G10" s="20" t="n">
        <v>6184.531</v>
      </c>
      <c r="H10" s="20" t="n">
        <v>6373.083</v>
      </c>
      <c r="I10" s="20" t="n">
        <v>6514.174</v>
      </c>
      <c r="J10" s="20" t="n">
        <v>7081.979</v>
      </c>
      <c r="K10" s="20" t="n">
        <v>6879.232</v>
      </c>
      <c r="L10" s="20" t="n">
        <v>7020.592</v>
      </c>
      <c r="M10" s="20" t="n">
        <v>6993.363</v>
      </c>
      <c r="N10" s="20" t="n">
        <v>7733.451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26489.538</v>
      </c>
      <c r="W10" s="20" t="n">
        <v>26153.767</v>
      </c>
      <c r="X10" s="20" t="n">
        <v>28626.638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기업·크리에이터 5G DX 지원사업</t>
        </is>
      </c>
      <c r="B13" s="10" t="n"/>
      <c r="C13" s="19" t="n">
        <v>4599.489</v>
      </c>
      <c r="D13" s="20" t="n">
        <v>5060.496</v>
      </c>
      <c r="E13" s="20" t="n">
        <v>4746.948</v>
      </c>
      <c r="F13" s="20" t="n">
        <v>4408.784</v>
      </c>
      <c r="G13" s="20" t="n">
        <v>5086.612</v>
      </c>
      <c r="H13" s="20" t="n">
        <v>4846.457</v>
      </c>
      <c r="I13" s="20" t="n">
        <v>5235.331</v>
      </c>
      <c r="J13" s="20" t="n">
        <v>5199.548</v>
      </c>
      <c r="K13" s="20" t="n">
        <v>5898.186</v>
      </c>
      <c r="L13" s="20" t="n">
        <v>6088.585</v>
      </c>
      <c r="M13" s="20" t="n">
        <v>5858.206</v>
      </c>
      <c r="N13" s="20" t="n">
        <v>6237.141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18815.717</v>
      </c>
      <c r="W13" s="20" t="n">
        <v>20367.948</v>
      </c>
      <c r="X13" s="20" t="n">
        <v>24082.118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0</v>
      </c>
      <c r="W16" s="20" t="n">
        <v>0</v>
      </c>
      <c r="X16" s="20" t="n">
        <v>0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9915.733</v>
      </c>
      <c r="D20" s="20" t="n">
        <v>9365.005999999999</v>
      </c>
      <c r="E20" s="20" t="n">
        <v>9056.654</v>
      </c>
      <c r="F20" s="20" t="n">
        <v>9313.837</v>
      </c>
      <c r="G20" s="20" t="n">
        <v>9341.751</v>
      </c>
      <c r="H20" s="20" t="n">
        <v>9476.323</v>
      </c>
      <c r="I20" s="20" t="n">
        <v>9908.199000000001</v>
      </c>
      <c r="J20" s="20" t="n">
        <v>10633.586</v>
      </c>
      <c r="K20" s="20" t="n">
        <v>10985.892</v>
      </c>
      <c r="L20" s="20" t="n">
        <v>11467.788</v>
      </c>
      <c r="M20" s="20" t="n">
        <v>11372.955</v>
      </c>
      <c r="N20" s="20" t="n">
        <v>12324.812</v>
      </c>
      <c r="O20" s="19" t="n">
        <v>27007.541</v>
      </c>
      <c r="P20" s="20" t="n">
        <v>27986.821</v>
      </c>
      <c r="Q20" s="20" t="n">
        <v>35212.432</v>
      </c>
      <c r="R20" s="20" t="n">
        <v>38477.591</v>
      </c>
      <c r="S20" s="20" t="n">
        <v>36560.451</v>
      </c>
      <c r="T20" s="20" t="n">
        <v>30666.193</v>
      </c>
      <c r="U20" s="20" t="n">
        <v>33444.223</v>
      </c>
      <c r="V20" s="20" t="n">
        <v>37651.23</v>
      </c>
      <c r="W20" s="20" t="n">
        <v>39359.859</v>
      </c>
      <c r="X20" s="20" t="n">
        <v>46151.447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2459.641</v>
      </c>
      <c r="D26" s="20" t="n">
        <v>2260.975</v>
      </c>
      <c r="E26" s="20" t="n">
        <v>2263.928</v>
      </c>
      <c r="F26" s="20" t="n">
        <v>2514.114</v>
      </c>
      <c r="G26" s="20" t="n">
        <v>2486.381</v>
      </c>
      <c r="H26" s="20" t="n">
        <v>2293.567</v>
      </c>
      <c r="I26" s="20" t="n">
        <v>2354.443</v>
      </c>
      <c r="J26" s="20" t="n">
        <v>2695.173</v>
      </c>
      <c r="K26" s="20" t="n">
        <v>2504.561</v>
      </c>
      <c r="L26" s="20" t="n">
        <v>2377.421</v>
      </c>
      <c r="M26" s="20" t="n">
        <v>2368.618</v>
      </c>
      <c r="N26" s="20" t="n">
        <v>2451.048</v>
      </c>
      <c r="O26" s="19" t="n">
        <v>6893.599</v>
      </c>
      <c r="P26" s="20" t="n">
        <v>8815.635</v>
      </c>
      <c r="Q26" s="20" t="n">
        <v>12171.756</v>
      </c>
      <c r="R26" s="20" t="n">
        <v>14229.616</v>
      </c>
      <c r="S26" s="20" t="n">
        <v>12045.898</v>
      </c>
      <c r="T26" s="20" t="n">
        <v>9244.323</v>
      </c>
      <c r="U26" s="20" t="n">
        <v>9319.736000000001</v>
      </c>
      <c r="V26" s="20" t="n">
        <v>9498.657999999999</v>
      </c>
      <c r="W26" s="20" t="n">
        <v>9829.564</v>
      </c>
      <c r="X26" s="20" t="n">
        <v>9701.647999999999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1664.687</v>
      </c>
      <c r="D28" s="12" t="n">
        <v>1406.977</v>
      </c>
      <c r="E28" s="12" t="n">
        <v>1598.549</v>
      </c>
      <c r="F28" s="12" t="n">
        <v>1217.489</v>
      </c>
      <c r="G28" s="12" t="n">
        <v>1462.871</v>
      </c>
      <c r="H28" s="12" t="n">
        <v>1562.025</v>
      </c>
      <c r="I28" s="12" t="n">
        <v>1665.396</v>
      </c>
      <c r="J28" s="12" t="n">
        <v>1193.491</v>
      </c>
      <c r="K28" s="12" t="n">
        <v>1687.229</v>
      </c>
      <c r="L28" s="12" t="n">
        <v>1776.465</v>
      </c>
      <c r="M28" s="12" t="n">
        <v>1647.231</v>
      </c>
      <c r="N28" s="12" t="n">
        <v>1778.009</v>
      </c>
      <c r="O28" s="11" t="n">
        <v>1321.334</v>
      </c>
      <c r="P28" s="12" t="n">
        <v>1851.375</v>
      </c>
      <c r="Q28" s="12" t="n">
        <v>2981.645</v>
      </c>
      <c r="R28" s="12" t="n">
        <v>2587.802</v>
      </c>
      <c r="S28" s="12" t="n">
        <v>3403.332</v>
      </c>
      <c r="T28" s="12" t="n">
        <v>3165.215</v>
      </c>
      <c r="U28" s="12" t="n">
        <v>4007.556</v>
      </c>
      <c r="V28" s="12" t="n">
        <v>5887.702</v>
      </c>
      <c r="W28" s="12" t="n">
        <v>5883.783</v>
      </c>
      <c r="X28" s="12" t="n">
        <v>6888.934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0</v>
      </c>
      <c r="D44" s="20" t="n">
        <v>259.262</v>
      </c>
      <c r="E44" s="20" t="n">
        <v>6.44</v>
      </c>
      <c r="F44" s="20" t="n">
        <v>4</v>
      </c>
      <c r="G44" s="20" t="n"/>
      <c r="H44" s="20" t="n"/>
      <c r="I44" s="20" t="n">
        <v>0.203</v>
      </c>
      <c r="J44" s="20" t="n">
        <v>0.78</v>
      </c>
      <c r="K44" s="20" t="n"/>
      <c r="L44" s="20" t="n"/>
      <c r="M44" s="20" t="n">
        <v>43.546</v>
      </c>
      <c r="N44" s="20" t="n">
        <v>0</v>
      </c>
      <c r="O44" s="19" t="n">
        <v>158.413</v>
      </c>
      <c r="P44" s="20" t="n">
        <v>4.507</v>
      </c>
      <c r="Q44" s="20" t="n">
        <v>1.038</v>
      </c>
      <c r="R44" s="20" t="n">
        <v>511.958</v>
      </c>
      <c r="S44" s="20" t="n">
        <v>2461.748</v>
      </c>
      <c r="T44" s="20" t="n">
        <v>20.89</v>
      </c>
      <c r="U44" s="20" t="n">
        <v>21.315</v>
      </c>
      <c r="V44" s="20" t="n">
        <v>269.702</v>
      </c>
      <c r="W44" s="20" t="n">
        <v>0.983</v>
      </c>
      <c r="X44" s="20" t="n">
        <v>510.773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2.023</v>
      </c>
      <c r="D46" s="20" t="n">
        <v>0</v>
      </c>
      <c r="E46" s="20" t="n">
        <v>24.928</v>
      </c>
      <c r="F46" s="20" t="n">
        <v>121.515</v>
      </c>
      <c r="G46" s="20" t="n">
        <v>0</v>
      </c>
      <c r="H46" s="20" t="n">
        <v>6.242</v>
      </c>
      <c r="I46" s="20" t="n">
        <v>0.1</v>
      </c>
      <c r="J46" s="20" t="n">
        <v>151.212</v>
      </c>
      <c r="K46" s="20" t="n"/>
      <c r="L46" s="20" t="n"/>
      <c r="M46" s="20" t="n">
        <v>11.797</v>
      </c>
      <c r="N46" s="20" t="n">
        <v>337.57</v>
      </c>
      <c r="O46" s="19" t="n">
        <v>306.039</v>
      </c>
      <c r="P46" s="20" t="n">
        <v>646.835</v>
      </c>
      <c r="Q46" s="20" t="n">
        <v>411.129</v>
      </c>
      <c r="R46" s="20" t="n">
        <v>1739.754</v>
      </c>
      <c r="S46" s="20" t="n">
        <v>2441.306</v>
      </c>
      <c r="T46" s="20" t="n">
        <v>228.494</v>
      </c>
      <c r="U46" s="20" t="n">
        <v>286.038</v>
      </c>
      <c r="V46" s="20" t="n">
        <v>148.466</v>
      </c>
      <c r="W46" s="20" t="n">
        <v>157.554</v>
      </c>
      <c r="X46" s="20" t="n">
        <v>652.178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20.731</v>
      </c>
      <c r="D48" s="20" t="n">
        <v>21.804</v>
      </c>
      <c r="E48" s="20" t="n">
        <v>22.489</v>
      </c>
      <c r="F48" s="20" t="n">
        <v>20.167</v>
      </c>
      <c r="G48" s="20" t="n">
        <v>20.791</v>
      </c>
      <c r="H48" s="20" t="n">
        <v>116.633</v>
      </c>
      <c r="I48" s="20" t="n">
        <v>15.169</v>
      </c>
      <c r="J48" s="20" t="n">
        <v>1.223</v>
      </c>
      <c r="K48" s="20" t="n">
        <v>33.024</v>
      </c>
      <c r="L48" s="20" t="n">
        <v>46.954</v>
      </c>
      <c r="M48" s="20" t="n">
        <v>8.869999999999999</v>
      </c>
      <c r="N48" s="20" t="n">
        <v>1.664</v>
      </c>
      <c r="O48" s="19" t="n">
        <v>50.523</v>
      </c>
      <c r="P48" s="20" t="n">
        <v>55.698</v>
      </c>
      <c r="Q48" s="20" t="n">
        <v>40.496</v>
      </c>
      <c r="R48" s="20" t="n">
        <v>120.337</v>
      </c>
      <c r="S48" s="20" t="n">
        <v>497.958</v>
      </c>
      <c r="T48" s="20" t="n">
        <v>35.046</v>
      </c>
      <c r="U48" s="20" t="n">
        <v>31.959</v>
      </c>
      <c r="V48" s="20" t="n">
        <v>85.191</v>
      </c>
      <c r="W48" s="20" t="n">
        <v>153.816</v>
      </c>
      <c r="X48" s="20" t="n">
        <v>90.512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61.674</v>
      </c>
      <c r="D50" s="20" t="n">
        <v>38.337</v>
      </c>
      <c r="E50" s="20" t="n">
        <v>42.903</v>
      </c>
      <c r="F50" s="20" t="n">
        <v>73.628</v>
      </c>
      <c r="G50" s="20" t="n">
        <v>32.337</v>
      </c>
      <c r="H50" s="20" t="n">
        <v>53.402</v>
      </c>
      <c r="I50" s="20" t="n">
        <v>118.117</v>
      </c>
      <c r="J50" s="20" t="n">
        <v>603.164</v>
      </c>
      <c r="K50" s="20" t="n">
        <v>70.154</v>
      </c>
      <c r="L50" s="20" t="n">
        <v>165.026</v>
      </c>
      <c r="M50" s="20" t="n">
        <v>71.265</v>
      </c>
      <c r="N50" s="20" t="n">
        <v>53.877</v>
      </c>
      <c r="O50" s="19" t="n">
        <v>564.292</v>
      </c>
      <c r="P50" s="20" t="n">
        <v>480.753</v>
      </c>
      <c r="Q50" s="20" t="n">
        <v>452.748</v>
      </c>
      <c r="R50" s="20" t="n">
        <v>227.086</v>
      </c>
      <c r="S50" s="20" t="n">
        <v>239.606</v>
      </c>
      <c r="T50" s="20" t="n">
        <v>321.339</v>
      </c>
      <c r="U50" s="20" t="n">
        <v>332.186</v>
      </c>
      <c r="V50" s="20" t="n">
        <v>216.542</v>
      </c>
      <c r="W50" s="20" t="n">
        <v>807.02</v>
      </c>
      <c r="X50" s="20" t="n">
        <v>360.322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1621.72</v>
      </c>
      <c r="D52" s="12" t="n">
        <v>1649.707</v>
      </c>
      <c r="E52" s="12" t="n">
        <v>1559.648</v>
      </c>
      <c r="F52" s="12" t="n">
        <v>1046.512</v>
      </c>
      <c r="G52" s="12" t="n">
        <v>1451.325</v>
      </c>
      <c r="H52" s="12" t="n">
        <v>1619.013</v>
      </c>
      <c r="I52" s="12" t="n">
        <v>1562.552</v>
      </c>
      <c r="J52" s="12" t="n">
        <v>441.117</v>
      </c>
      <c r="K52" s="12" t="n">
        <v>1650.098</v>
      </c>
      <c r="L52" s="12" t="n">
        <v>1822.81</v>
      </c>
      <c r="M52" s="12" t="n">
        <v>1616.584</v>
      </c>
      <c r="N52" s="12" t="n">
        <v>1388.227</v>
      </c>
      <c r="O52" s="11" t="n">
        <v>659.939</v>
      </c>
      <c r="P52" s="12" t="n">
        <v>783.991</v>
      </c>
      <c r="Q52" s="12" t="n">
        <v>2159.303</v>
      </c>
      <c r="R52" s="12" t="n">
        <v>1253.257</v>
      </c>
      <c r="S52" s="12" t="n">
        <v>3682.125</v>
      </c>
      <c r="T52" s="12" t="n">
        <v>2671.319</v>
      </c>
      <c r="U52" s="12" t="n">
        <v>3442.606</v>
      </c>
      <c r="V52" s="12" t="n">
        <v>5877.587</v>
      </c>
      <c r="W52" s="12" t="n">
        <v>5074.007</v>
      </c>
      <c r="X52" s="12" t="n">
        <v>6477.719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441.269</v>
      </c>
      <c r="D54" s="20" t="n">
        <v>321.13</v>
      </c>
      <c r="E54" s="20" t="n">
        <v>417.998</v>
      </c>
      <c r="F54" s="20" t="n">
        <v>104.464</v>
      </c>
      <c r="G54" s="20" t="n">
        <v>403.84</v>
      </c>
      <c r="H54" s="20" t="n">
        <v>420.892</v>
      </c>
      <c r="I54" s="20" t="n">
        <v>497.151</v>
      </c>
      <c r="J54" s="20" t="n">
        <v>-162.214</v>
      </c>
      <c r="K54" s="20" t="n">
        <v>538.122</v>
      </c>
      <c r="L54" s="20" t="n">
        <v>567.754</v>
      </c>
      <c r="M54" s="20" t="n">
        <v>539.845</v>
      </c>
      <c r="N54" s="20" t="n">
        <v>497.148</v>
      </c>
      <c r="O54" s="19" t="n">
        <v>651.817</v>
      </c>
      <c r="P54" s="20" t="n">
        <v>1106.293</v>
      </c>
      <c r="Q54" s="20" t="n">
        <v>1391.069</v>
      </c>
      <c r="R54" s="20" t="n">
        <v>1345.616</v>
      </c>
      <c r="S54" s="20" t="n">
        <v>1226.338</v>
      </c>
      <c r="T54" s="20" t="n">
        <v>999.8579999999999</v>
      </c>
      <c r="U54" s="20" t="n">
        <v>861.856</v>
      </c>
      <c r="V54" s="20" t="n">
        <v>1284.861</v>
      </c>
      <c r="W54" s="20" t="n">
        <v>1159.669</v>
      </c>
      <c r="X54" s="20" t="n">
        <v>2142.869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1180.451</v>
      </c>
      <c r="D56" s="12" t="n">
        <v>1328.576</v>
      </c>
      <c r="E56" s="12" t="n">
        <v>1141.651</v>
      </c>
      <c r="F56" s="12" t="n">
        <v>942.048</v>
      </c>
      <c r="G56" s="12" t="n">
        <v>1047.484</v>
      </c>
      <c r="H56" s="12" t="n">
        <v>1198.121</v>
      </c>
      <c r="I56" s="12" t="n">
        <v>1065.402</v>
      </c>
      <c r="J56" s="12" t="n">
        <v>603.331</v>
      </c>
      <c r="K56" s="12" t="n">
        <v>1111.976</v>
      </c>
      <c r="L56" s="12" t="n">
        <v>1255.055</v>
      </c>
      <c r="M56" s="12" t="n">
        <v>1076.74</v>
      </c>
      <c r="N56" s="12" t="n">
        <v>891.079</v>
      </c>
      <c r="O56" s="11" t="n">
        <v>8.122</v>
      </c>
      <c r="P56" s="12" t="n">
        <v>-322.301</v>
      </c>
      <c r="Q56" s="12" t="n">
        <v>768.2329999999999</v>
      </c>
      <c r="R56" s="12" t="n">
        <v>-92.35899999999999</v>
      </c>
      <c r="S56" s="12" t="n">
        <v>2455.787</v>
      </c>
      <c r="T56" s="12" t="n">
        <v>1671.461</v>
      </c>
      <c r="U56" s="12" t="n">
        <v>2580.749</v>
      </c>
      <c r="V56" s="12" t="n">
        <v>4592.726</v>
      </c>
      <c r="W56" s="12" t="n">
        <v>3914.338</v>
      </c>
      <c r="X56" s="12" t="n">
        <v>4334.85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863.491</v>
      </c>
      <c r="D58" s="12" t="n">
        <v>1117.408</v>
      </c>
      <c r="E58" s="12" t="n">
        <v>887.904</v>
      </c>
      <c r="F58" s="12" t="n">
        <v>697.206</v>
      </c>
      <c r="G58" s="12" t="n">
        <v>813.933</v>
      </c>
      <c r="H58" s="12" t="n">
        <v>954.242</v>
      </c>
      <c r="I58" s="12" t="n">
        <v>759.394</v>
      </c>
      <c r="J58" s="12" t="n">
        <v>220.968</v>
      </c>
      <c r="K58" s="12" t="n">
        <v>1062.639</v>
      </c>
      <c r="L58" s="12" t="n">
        <v>1207.301</v>
      </c>
      <c r="M58" s="12" t="n">
        <v>1033.784</v>
      </c>
      <c r="N58" s="12" t="n">
        <v>851.251</v>
      </c>
      <c r="O58" s="11" t="n">
        <v>-150.359</v>
      </c>
      <c r="P58" s="12" t="n">
        <v>-567.313</v>
      </c>
      <c r="Q58" s="12" t="n">
        <v>279.337</v>
      </c>
      <c r="R58" s="12" t="n">
        <v>-619.352</v>
      </c>
      <c r="S58" s="12" t="n">
        <v>1586.72</v>
      </c>
      <c r="T58" s="12" t="n">
        <v>827.851</v>
      </c>
      <c r="U58" s="12" t="n">
        <v>1792.049</v>
      </c>
      <c r="V58" s="12" t="n">
        <v>3566.009</v>
      </c>
      <c r="W58" s="12" t="n">
        <v>2748.537</v>
      </c>
      <c r="X58" s="12" t="n">
        <v>4154.975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()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2024.1Q</t>
        </is>
      </c>
      <c r="D92" s="5" t="inlineStr">
        <is>
          <t>2024.2Q</t>
        </is>
      </c>
      <c r="E92" s="5" t="inlineStr">
        <is>
          <t>2024.3Q</t>
        </is>
      </c>
      <c r="F92" s="5" t="inlineStr">
        <is>
          <t>2024.4Q</t>
        </is>
      </c>
      <c r="G92" s="5" t="inlineStr">
        <is>
          <t>2025.1Q</t>
        </is>
      </c>
      <c r="H92" s="5" t="inlineStr">
        <is>
          <t>2025.2Q</t>
        </is>
      </c>
      <c r="I92" s="5" t="inlineStr">
        <is>
          <t>2025.3Q</t>
        </is>
      </c>
      <c r="J92" s="5" t="inlineStr">
        <is>
          <t>2025.4Q</t>
        </is>
      </c>
      <c r="K92" s="5" t="inlineStr">
        <is>
          <t>2026.1Q</t>
        </is>
      </c>
      <c r="L92" s="5" t="inlineStr">
        <is>
          <t>2026.2Q</t>
        </is>
      </c>
      <c r="M92" s="5" t="inlineStr">
        <is>
          <t>2026.3Q</t>
        </is>
      </c>
      <c r="N92" s="5" t="inlineStr">
        <is>
          <t>2026.4Q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14040.063</v>
      </c>
      <c r="D93" s="12" t="n">
        <v>13032.958</v>
      </c>
      <c r="E93" s="12" t="n">
        <v>12919.13</v>
      </c>
      <c r="F93" s="12" t="n">
        <v>13045.441</v>
      </c>
      <c r="G93" s="12" t="n">
        <v>13291.005</v>
      </c>
      <c r="H93" s="12" t="n">
        <v>13331.914</v>
      </c>
      <c r="I93" s="12" t="n">
        <v>13928.038</v>
      </c>
      <c r="J93" s="12" t="n">
        <v>14522.249</v>
      </c>
      <c r="K93" s="12" t="n">
        <v>15177.682</v>
      </c>
      <c r="L93" s="12" t="n">
        <v>15621.674</v>
      </c>
      <c r="M93" s="12" t="n">
        <v>15388.804</v>
      </c>
      <c r="N93" s="12" t="n">
        <v>16553.87</v>
      </c>
      <c r="T93" s="12" t="n">
        <v>11099.895</v>
      </c>
      <c r="U93" s="12" t="n">
        <v>12555.058</v>
      </c>
      <c r="V93" s="12" t="n">
        <v>13045.441</v>
      </c>
      <c r="W93" s="12" t="n">
        <v>14522.249</v>
      </c>
      <c r="X93" s="12" t="n">
        <v>16553.87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9915.733</v>
      </c>
      <c r="D95" s="20" t="n">
        <v>9365.005999999999</v>
      </c>
      <c r="E95" s="20" t="n">
        <v>9056.654</v>
      </c>
      <c r="F95" s="20" t="n">
        <v>9313.837</v>
      </c>
      <c r="G95" s="20" t="n">
        <v>9341.751</v>
      </c>
      <c r="H95" s="20" t="n">
        <v>9476.323</v>
      </c>
      <c r="I95" s="20" t="n">
        <v>9908.199000000001</v>
      </c>
      <c r="J95" s="20" t="n">
        <v>10633.586</v>
      </c>
      <c r="K95" s="20" t="n">
        <v>10985.892</v>
      </c>
      <c r="L95" s="20" t="n">
        <v>11467.788</v>
      </c>
      <c r="M95" s="20" t="n">
        <v>11372.955</v>
      </c>
      <c r="N95" s="20" t="n">
        <v>12324.812</v>
      </c>
      <c r="T95" s="20" t="n">
        <v>8297.67</v>
      </c>
      <c r="U95" s="20" t="n">
        <v>9229.819</v>
      </c>
      <c r="V95" s="20" t="n">
        <v>9313.837</v>
      </c>
      <c r="W95" s="20" t="n">
        <v>10633.586</v>
      </c>
      <c r="X95" s="20" t="n">
        <v>12324.812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T96" s="15">
        <f>IF(OR(T95="",S95=""),"",IF(T95*S95&lt;=0,"",IFERROR(T95/S95-1,"")))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9" t="inlineStr">
        <is>
          <t>매출총이익</t>
        </is>
      </c>
      <c r="C97" s="12" t="n">
        <v>4124.329</v>
      </c>
      <c r="D97" s="12" t="n">
        <v>3667.952</v>
      </c>
      <c r="E97" s="12" t="n">
        <v>3862.477</v>
      </c>
      <c r="F97" s="12" t="n">
        <v>3731.603</v>
      </c>
      <c r="G97" s="12" t="n">
        <v>3949.253</v>
      </c>
      <c r="H97" s="12" t="n">
        <v>3855.592</v>
      </c>
      <c r="I97" s="12" t="n">
        <v>4019.838</v>
      </c>
      <c r="J97" s="12" t="n">
        <v>3888.664</v>
      </c>
      <c r="K97" s="12" t="n">
        <v>4191.79</v>
      </c>
      <c r="L97" s="12" t="n">
        <v>4153.886</v>
      </c>
      <c r="M97" s="12" t="n">
        <v>4015.849</v>
      </c>
      <c r="N97" s="12" t="n">
        <v>4229.058</v>
      </c>
      <c r="T97" s="12" t="n">
        <v>2802.225</v>
      </c>
      <c r="U97" s="12" t="n">
        <v>3325.238</v>
      </c>
      <c r="V97" s="12" t="n">
        <v>3731.603</v>
      </c>
      <c r="W97" s="12" t="n">
        <v>3888.664</v>
      </c>
      <c r="X97" s="12" t="n">
        <v>4229.058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T98" s="15">
        <f>IF(OR(T97="",S97=""),"",IF(S97&lt;=0,"",IFERROR(T97/S97-1,"")))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판매비와 관리비</t>
        </is>
      </c>
      <c r="C99" s="20" t="n">
        <v>2459.641</v>
      </c>
      <c r="D99" s="20" t="n">
        <v>2260.975</v>
      </c>
      <c r="E99" s="20" t="n">
        <v>2263.928</v>
      </c>
      <c r="F99" s="20" t="n">
        <v>2514.114</v>
      </c>
      <c r="G99" s="20" t="n">
        <v>2486.381</v>
      </c>
      <c r="H99" s="20" t="n">
        <v>2293.567</v>
      </c>
      <c r="I99" s="20" t="n">
        <v>2354.443</v>
      </c>
      <c r="J99" s="20" t="n">
        <v>2695.173</v>
      </c>
      <c r="K99" s="20" t="n">
        <v>2504.561</v>
      </c>
      <c r="L99" s="20" t="n">
        <v>2377.421</v>
      </c>
      <c r="M99" s="20" t="n">
        <v>2368.618</v>
      </c>
      <c r="N99" s="20" t="n">
        <v>2451.048</v>
      </c>
      <c r="T99" s="20" t="n">
        <v>2737.689</v>
      </c>
      <c r="U99" s="20" t="n">
        <v>2485.505</v>
      </c>
      <c r="V99" s="20" t="n">
        <v>2514.114</v>
      </c>
      <c r="W99" s="20" t="n">
        <v>2695.173</v>
      </c>
      <c r="X99" s="20" t="n">
        <v>2451.048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T100" s="15">
        <f>IF(OR(T99="",S99=""),"",IF(T99*S99&lt;=0,"",IFERROR(T99/S99-1,"")))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영업이익</t>
        </is>
      </c>
      <c r="C101" s="12" t="n">
        <v>1664.687</v>
      </c>
      <c r="D101" s="12" t="n">
        <v>1406.977</v>
      </c>
      <c r="E101" s="12" t="n">
        <v>1598.549</v>
      </c>
      <c r="F101" s="12" t="n">
        <v>1217.489</v>
      </c>
      <c r="G101" s="12" t="n">
        <v>1462.871</v>
      </c>
      <c r="H101" s="12" t="n">
        <v>1562.025</v>
      </c>
      <c r="I101" s="12" t="n">
        <v>1665.396</v>
      </c>
      <c r="J101" s="12" t="n">
        <v>1193.491</v>
      </c>
      <c r="K101" s="12" t="n">
        <v>1687.229</v>
      </c>
      <c r="L101" s="12" t="n">
        <v>1776.465</v>
      </c>
      <c r="M101" s="12" t="n">
        <v>1647.231</v>
      </c>
      <c r="N101" s="12" t="n">
        <v>1778.009</v>
      </c>
      <c r="T101" s="12" t="n">
        <v>64.536</v>
      </c>
      <c r="U101" s="12" t="n">
        <v>839.7329999999999</v>
      </c>
      <c r="V101" s="12" t="n">
        <v>1217.489</v>
      </c>
      <c r="W101" s="12" t="n">
        <v>1193.491</v>
      </c>
      <c r="X101" s="12" t="n">
        <v>1778.009</v>
      </c>
    </row>
    <row r="102">
      <c r="A102" s="43" t="inlineStr">
        <is>
          <t>OPM</t>
        </is>
      </c>
      <c r="B102" s="3" t="inlineStr">
        <is>
          <t>영업이익 ÷ 매출</t>
        </is>
      </c>
      <c r="C102" s="15">
        <f>IF(OR(C101="",C93=""),"",IF(C93&lt;=0,"",IFERROR(C101/C93,"")))</f>
        <v/>
      </c>
      <c r="D102" s="15">
        <f>IF(OR(D101="",D93=""),"",IF(D93&lt;=0,"",IFERROR(D101/D93,"")))</f>
        <v/>
      </c>
      <c r="E102" s="15">
        <f>IF(OR(E101="",E93=""),"",IF(E93&lt;=0,"",IFERROR(E101/E93,"")))</f>
        <v/>
      </c>
      <c r="F102" s="15">
        <f>IF(OR(F101="",F93=""),"",IF(F93&lt;=0,"",IFERROR(F101/F93,"")))</f>
        <v/>
      </c>
      <c r="G102" s="15">
        <f>IF(OR(G101="",G93=""),"",IF(G93&lt;=0,"",IFERROR(G101/G93,"")))</f>
        <v/>
      </c>
      <c r="H102" s="15">
        <f>IF(OR(H101="",H93=""),"",IF(H93&lt;=0,"",IFERROR(H101/H93,"")))</f>
        <v/>
      </c>
      <c r="I102" s="15">
        <f>IF(OR(I101="",I93=""),"",IF(I93&lt;=0,"",IFERROR(I101/I93,"")))</f>
        <v/>
      </c>
      <c r="J102" s="15">
        <f>IF(OR(J101="",J93=""),"",IF(J93&lt;=0,"",IFERROR(J101/J93,"")))</f>
        <v/>
      </c>
      <c r="K102" s="15">
        <f>IF(OR(K101="",K93=""),"",IF(K93&lt;=0,"",IFERROR(K101/K93,"")))</f>
        <v/>
      </c>
      <c r="L102" s="15">
        <f>IF(OR(L101="",L93=""),"",IF(L93&lt;=0,"",IFERROR(L101/L93,"")))</f>
        <v/>
      </c>
      <c r="M102" s="15">
        <f>IF(OR(M101="",M93=""),"",IF(M93&lt;=0,"",IFERROR(M101/M93,"")))</f>
        <v/>
      </c>
      <c r="N102" s="15">
        <f>IF(OR(N101="",N93=""),"",IF(N93&lt;=0,"",IFERROR(N101/N93,"")))</f>
        <v/>
      </c>
      <c r="T102" s="15">
        <f>IF(OR(T101="",T93=""),"",IF(T93&lt;=0,"",IFERROR(T101/T93,"")))</f>
        <v/>
      </c>
      <c r="U102" s="15">
        <f>IF(OR(U101="",U93=""),"",IF(U93&lt;=0,"",IFERROR(U101/U93,"")))</f>
        <v/>
      </c>
      <c r="V102" s="15">
        <f>IF(OR(V101="",V93=""),"",IF(V93&lt;=0,"",IFERROR(V101/V93,"")))</f>
        <v/>
      </c>
      <c r="W102" s="15">
        <f>IF(OR(W101="",W93=""),"",IF(W93&lt;=0,"",IFERROR(W101/W93,"")))</f>
        <v/>
      </c>
      <c r="X102" s="15">
        <f>IF(OR(X101="",X93=""),"",IF(X93&lt;=0,"",IFERROR(X101/X93,"")))</f>
        <v/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IF(OR(G101="",C101=""),"",IF(C101&lt;=0,"",IFERROR(G101/C101-1,"")))</f>
        <v/>
      </c>
      <c r="H103" s="15">
        <f>IF(OR(H101="",D101=""),"",IF(D101&lt;=0,"",IFERROR(H101/D101-1,"")))</f>
        <v/>
      </c>
      <c r="I103" s="15">
        <f>IF(OR(I101="",E101=""),"",IF(E101&lt;=0,"",IFERROR(I101/E101-1,"")))</f>
        <v/>
      </c>
      <c r="J103" s="15">
        <f>IF(OR(J101="",F101=""),"",IF(F101&lt;=0,"",IFERROR(J101/F101-1,"")))</f>
        <v/>
      </c>
      <c r="K103" s="15">
        <f>IF(OR(K101="",G101=""),"",IF(G101&lt;=0,"",IFERROR(K101/G101-1,"")))</f>
        <v/>
      </c>
      <c r="L103" s="15">
        <f>IF(OR(L101="",H101=""),"",IF(H101&lt;=0,"",IFERROR(L101/H101-1,"")))</f>
        <v/>
      </c>
      <c r="M103" s="15">
        <f>IF(OR(M101="",I101=""),"",IF(I101&lt;=0,"",IFERROR(M101/I101-1,"")))</f>
        <v/>
      </c>
      <c r="N103" s="15">
        <f>IF(OR(N101="",J101=""),"",IF(J101&lt;=0,"",IFERROR(N101/J101-1,"")))</f>
        <v/>
      </c>
      <c r="T103" s="15">
        <f>IF(OR(T101="",S101=""),"",IF(S101&lt;=0,"",IFERROR(T101/S101-1,"")))</f>
        <v/>
      </c>
      <c r="U103" s="15">
        <f>IF(OR(U101="",T101=""),"",IF(T101&lt;=0,"",IFERROR(U101/T101-1,"")))</f>
        <v/>
      </c>
      <c r="V103" s="15">
        <f>IF(OR(V101="",U101=""),"",IF(U101&lt;=0,"",IFERROR(V101/U101-1,"")))</f>
        <v/>
      </c>
      <c r="W103" s="15">
        <f>IF(OR(W101="",V101=""),"",IF(V101&lt;=0,"",IFERROR(W101/V101-1,"")))</f>
        <v/>
      </c>
      <c r="X103" s="15">
        <f>IF(OR(X101="",W101=""),"",IF(W101&lt;=0,"",IFERROR(X101/W101-1,"")))</f>
        <v/>
      </c>
    </row>
    <row r="104">
      <c r="A104" s="18" t="inlineStr">
        <is>
          <t>이자·배당금 수익</t>
        </is>
      </c>
      <c r="C104" s="20" t="n">
        <v>0.472</v>
      </c>
      <c r="D104" s="20" t="n">
        <v>0.341</v>
      </c>
      <c r="E104" s="20" t="n">
        <v>0.301</v>
      </c>
      <c r="F104" s="20" t="n">
        <v>0.345</v>
      </c>
      <c r="G104" s="20" t="n">
        <v>0.418</v>
      </c>
      <c r="H104" s="20" t="n">
        <v>1.889</v>
      </c>
      <c r="I104" s="20" t="n">
        <v>0.347</v>
      </c>
      <c r="J104" s="20" t="n">
        <v>8.269</v>
      </c>
      <c r="K104" s="20" t="n">
        <v>0.105</v>
      </c>
      <c r="L104" s="20" t="n">
        <v>17.729</v>
      </c>
      <c r="M104" s="20" t="n">
        <v>0.201</v>
      </c>
      <c r="N104" s="20" t="n">
        <v>18.394</v>
      </c>
      <c r="T104" s="20" t="n">
        <v>0.103</v>
      </c>
      <c r="U104" s="20" t="n">
        <v>0.281</v>
      </c>
      <c r="V104" s="20" t="n">
        <v>0.345</v>
      </c>
      <c r="W104" s="20" t="n">
        <v>8.269</v>
      </c>
      <c r="X104" s="20" t="n">
        <v>18.394</v>
      </c>
    </row>
    <row r="105">
      <c r="A105" s="18" t="inlineStr">
        <is>
          <t>지분법이익</t>
        </is>
      </c>
      <c r="C105" s="20" t="n">
        <v>2.078</v>
      </c>
      <c r="D105" s="20" t="n">
        <v>0.012</v>
      </c>
      <c r="E105" s="20" t="n">
        <v>0.051</v>
      </c>
      <c r="F105" s="20" t="n">
        <v>0.082</v>
      </c>
      <c r="G105" s="20" t="n">
        <v>0.08</v>
      </c>
      <c r="H105" s="20" t="n">
        <v>0.042</v>
      </c>
      <c r="I105" s="20" t="n">
        <v>0.053</v>
      </c>
      <c r="J105" s="20" t="n">
        <v>0.07000000000000001</v>
      </c>
      <c r="K105" s="20" t="n">
        <v>0.07199999999999999</v>
      </c>
      <c r="L105" s="20" t="n">
        <v>0.045</v>
      </c>
      <c r="M105" s="20" t="n">
        <v>0.052</v>
      </c>
      <c r="N105" s="20" t="n">
        <v>0.074</v>
      </c>
      <c r="U105" s="20" t="n">
        <v>0</v>
      </c>
      <c r="V105" s="20" t="n">
        <v>0.082</v>
      </c>
      <c r="W105" s="20" t="n">
        <v>0.07000000000000001</v>
      </c>
      <c r="X105" s="20" t="n">
        <v>0.074</v>
      </c>
    </row>
    <row r="106">
      <c r="A106" s="18" t="inlineStr">
        <is>
          <t>외환차익</t>
        </is>
      </c>
      <c r="C106" s="20" t="n">
        <v>7.55</v>
      </c>
      <c r="D106" s="20" t="n">
        <v>9.115</v>
      </c>
      <c r="E106" s="20" t="n">
        <v>-3.933</v>
      </c>
      <c r="F106" s="20" t="n">
        <v>9.067</v>
      </c>
      <c r="G106" s="20" t="n">
        <v>0</v>
      </c>
      <c r="H106" s="20" t="n">
        <v>9.246</v>
      </c>
      <c r="I106" s="20" t="n">
        <v>6.851</v>
      </c>
      <c r="J106" s="20" t="n">
        <v>-16.097</v>
      </c>
      <c r="K106" s="20" t="n">
        <v>24.809</v>
      </c>
      <c r="L106" s="20" t="n">
        <v>9.818</v>
      </c>
      <c r="M106" s="20" t="n">
        <v>1.559</v>
      </c>
      <c r="N106" s="20" t="n">
        <v>-22.696</v>
      </c>
      <c r="U106" s="20" t="n">
        <v>2.535</v>
      </c>
      <c r="V106" s="20" t="n">
        <v>9.067</v>
      </c>
      <c r="W106" s="20" t="n">
        <v>-16.097</v>
      </c>
      <c r="X106" s="20" t="n">
        <v>-22.696</v>
      </c>
    </row>
    <row r="107">
      <c r="A107" s="18" t="inlineStr">
        <is>
          <t>투자유가증권 매각이익</t>
        </is>
      </c>
      <c r="C107" s="20" t="n">
        <v>0</v>
      </c>
      <c r="D107" s="20" t="n">
        <v>0</v>
      </c>
      <c r="E107" s="20" t="n">
        <v>13.634</v>
      </c>
      <c r="F107" s="20" t="n">
        <v>0</v>
      </c>
      <c r="G107" s="20" t="n">
        <v>10.552</v>
      </c>
      <c r="H107" s="20" t="n">
        <v>98.30800000000001</v>
      </c>
      <c r="I107" s="20" t="n">
        <v>0</v>
      </c>
      <c r="J107" s="20" t="n">
        <v>0</v>
      </c>
      <c r="K107" s="20" t="n">
        <v>0</v>
      </c>
      <c r="L107" s="20" t="n">
        <v>0</v>
      </c>
      <c r="M107" s="20" t="n">
        <v>0</v>
      </c>
      <c r="N107" s="20" t="n">
        <v>0</v>
      </c>
      <c r="U107" s="20" t="n">
        <v>0</v>
      </c>
      <c r="V107" s="20" t="n">
        <v>0</v>
      </c>
      <c r="W107" s="20" t="n">
        <v>0</v>
      </c>
      <c r="X107" s="20" t="n">
        <v>0</v>
      </c>
    </row>
    <row r="108">
      <c r="A108" s="18" t="inlineStr">
        <is>
          <t>투자유가증권 평가이익</t>
        </is>
      </c>
      <c r="C108" s="20" t="n">
        <v>0</v>
      </c>
      <c r="D108" s="20" t="n">
        <v>0</v>
      </c>
      <c r="E108" s="20" t="n">
        <v>0</v>
      </c>
      <c r="T108" s="20" t="n">
        <v>-3.082</v>
      </c>
    </row>
    <row r="109">
      <c r="A109" s="18" t="inlineStr">
        <is>
          <t>위약금 수입</t>
        </is>
      </c>
      <c r="C109" s="20" t="n">
        <v>7.562</v>
      </c>
      <c r="D109" s="20" t="n">
        <v>6.833</v>
      </c>
      <c r="E109" s="20" t="n">
        <v>4.405</v>
      </c>
      <c r="F109" s="20" t="n">
        <v>3.231</v>
      </c>
      <c r="G109" s="20" t="n">
        <v>6.492</v>
      </c>
      <c r="H109" s="20" t="n">
        <v>4.856</v>
      </c>
      <c r="I109" s="20" t="n">
        <v>2.971</v>
      </c>
      <c r="J109" s="20" t="n">
        <v>4.972</v>
      </c>
      <c r="K109" s="20" t="n">
        <v>3.354</v>
      </c>
      <c r="T109" s="20" t="n">
        <v>1.231</v>
      </c>
      <c r="U109" s="20" t="n">
        <v>-2.932</v>
      </c>
      <c r="V109" s="20" t="n">
        <v>3.231</v>
      </c>
      <c r="W109" s="20" t="n">
        <v>4.972</v>
      </c>
    </row>
    <row r="110">
      <c r="A110" s="18" t="inlineStr">
        <is>
          <t>기타</t>
        </is>
      </c>
      <c r="C110" s="20" t="n">
        <v>3.067</v>
      </c>
      <c r="D110" s="20" t="n">
        <v>5.502</v>
      </c>
      <c r="E110" s="20" t="n">
        <v>8.032</v>
      </c>
      <c r="F110" s="20" t="n">
        <v>7.442</v>
      </c>
      <c r="G110" s="20" t="n">
        <v>3.247</v>
      </c>
      <c r="H110" s="20" t="n">
        <v>13.639</v>
      </c>
      <c r="I110" s="20" t="n">
        <v>7.918</v>
      </c>
      <c r="J110" s="20" t="n">
        <v>-10.31</v>
      </c>
      <c r="K110" s="20" t="n">
        <v>4.681</v>
      </c>
      <c r="L110" s="20" t="n">
        <v>22.717</v>
      </c>
      <c r="M110" s="20" t="n">
        <v>7.057</v>
      </c>
      <c r="N110" s="20" t="n">
        <v>-10.422</v>
      </c>
      <c r="T110" s="20" t="n">
        <v>2.916</v>
      </c>
      <c r="U110" s="20" t="n">
        <v>2.468</v>
      </c>
      <c r="V110" s="20" t="n">
        <v>7.442</v>
      </c>
      <c r="W110" s="20" t="n">
        <v>-10.31</v>
      </c>
      <c r="X110" s="20" t="n">
        <v>-10.422</v>
      </c>
    </row>
    <row r="111">
      <c r="A111" s="18" t="inlineStr">
        <is>
          <t>영업외수익 합계</t>
        </is>
      </c>
      <c r="C111" s="20" t="n">
        <v>20.731</v>
      </c>
      <c r="D111" s="20" t="n">
        <v>21.804</v>
      </c>
      <c r="E111" s="20" t="n">
        <v>22.489</v>
      </c>
      <c r="F111" s="20" t="n">
        <v>20.167</v>
      </c>
      <c r="G111" s="20" t="n">
        <v>20.791</v>
      </c>
      <c r="H111" s="20" t="n">
        <v>116.633</v>
      </c>
      <c r="I111" s="20" t="n">
        <v>15.169</v>
      </c>
      <c r="J111" s="20" t="n">
        <v>1.223</v>
      </c>
      <c r="K111" s="20" t="n">
        <v>33.024</v>
      </c>
      <c r="L111" s="20" t="n">
        <v>46.954</v>
      </c>
      <c r="M111" s="20" t="n">
        <v>8.869999999999999</v>
      </c>
      <c r="N111" s="20" t="n">
        <v>1.664</v>
      </c>
      <c r="T111" s="20" t="n">
        <v>6.654</v>
      </c>
      <c r="U111" s="20" t="n">
        <v>-7.674</v>
      </c>
      <c r="V111" s="20" t="n">
        <v>20.167</v>
      </c>
      <c r="W111" s="20" t="n">
        <v>1.223</v>
      </c>
      <c r="X111" s="20" t="n">
        <v>1.664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18" t="inlineStr">
        <is>
          <t>이자비용</t>
        </is>
      </c>
      <c r="C113" s="20" t="n">
        <v>29.741</v>
      </c>
      <c r="D113" s="20" t="n">
        <v>24.382</v>
      </c>
      <c r="E113" s="20" t="n">
        <v>22.672</v>
      </c>
      <c r="F113" s="20" t="n">
        <v>22.602</v>
      </c>
      <c r="G113" s="20" t="n">
        <v>23.589</v>
      </c>
      <c r="H113" s="20" t="n">
        <v>21.73</v>
      </c>
      <c r="I113" s="20" t="n">
        <v>23.903</v>
      </c>
      <c r="J113" s="20" t="n">
        <v>42.328</v>
      </c>
      <c r="K113" s="20" t="n">
        <v>57.573</v>
      </c>
      <c r="L113" s="20" t="n">
        <v>55.268</v>
      </c>
      <c r="M113" s="20" t="n">
        <v>56.807</v>
      </c>
      <c r="N113" s="20" t="n">
        <v>48.307</v>
      </c>
      <c r="T113" s="20" t="n">
        <v>25.56</v>
      </c>
      <c r="U113" s="20" t="n">
        <v>25.59</v>
      </c>
      <c r="V113" s="20" t="n">
        <v>22.602</v>
      </c>
      <c r="W113" s="20" t="n">
        <v>42.328</v>
      </c>
      <c r="X113" s="20" t="n">
        <v>48.307</v>
      </c>
    </row>
    <row r="114">
      <c r="A114" s="18" t="inlineStr">
        <is>
          <t>지분법손실</t>
        </is>
      </c>
      <c r="E114" s="20" t="n">
        <v>0</v>
      </c>
      <c r="F114" s="20" t="n">
        <v>0</v>
      </c>
      <c r="T114" s="20" t="n">
        <v>-1.117</v>
      </c>
      <c r="U114" s="20" t="n">
        <v>-1.809</v>
      </c>
      <c r="V114" s="20" t="n">
        <v>0</v>
      </c>
    </row>
    <row r="115">
      <c r="A115" s="18" t="inlineStr">
        <is>
          <t>소송 관련 비용</t>
        </is>
      </c>
      <c r="F115" s="20" t="n">
        <v>2.734</v>
      </c>
      <c r="T115" s="20" t="n">
        <v>0</v>
      </c>
      <c r="U115" s="20" t="n">
        <v>5.705</v>
      </c>
      <c r="V115" s="20" t="n">
        <v>2.734</v>
      </c>
    </row>
    <row r="116">
      <c r="A116" s="18" t="inlineStr">
        <is>
          <t>지급수수료</t>
        </is>
      </c>
      <c r="C116" s="20" t="n">
        <v>15.895</v>
      </c>
      <c r="D116" s="20" t="n">
        <v>0.452</v>
      </c>
      <c r="E116" s="20" t="n">
        <v>1.542</v>
      </c>
      <c r="F116" s="20" t="n">
        <v>0.132</v>
      </c>
      <c r="I116" s="20" t="n">
        <v>88.90900000000001</v>
      </c>
      <c r="J116" s="20" t="n">
        <v>506.995</v>
      </c>
      <c r="M116" s="20" t="n">
        <v>3.641</v>
      </c>
      <c r="N116" s="20" t="n">
        <v>-25.259</v>
      </c>
      <c r="T116" s="20" t="n">
        <v>181.866</v>
      </c>
      <c r="U116" s="20" t="n">
        <v>34.65</v>
      </c>
      <c r="V116" s="20" t="n">
        <v>0.132</v>
      </c>
      <c r="W116" s="20" t="n">
        <v>506.995</v>
      </c>
      <c r="X116" s="20" t="n">
        <v>-25.259</v>
      </c>
    </row>
    <row r="117">
      <c r="A117" s="18" t="inlineStr">
        <is>
          <t>기타</t>
        </is>
      </c>
      <c r="C117" s="20" t="n">
        <v>31.933</v>
      </c>
      <c r="D117" s="20" t="n">
        <v>-9.592000000000001</v>
      </c>
      <c r="E117" s="20" t="n">
        <v>25.888</v>
      </c>
      <c r="F117" s="20" t="n">
        <v>50.894</v>
      </c>
      <c r="G117" s="20" t="n">
        <v>8.747</v>
      </c>
      <c r="H117" s="20" t="n">
        <v>4.523</v>
      </c>
      <c r="I117" s="20" t="n">
        <v>18.749</v>
      </c>
      <c r="J117" s="20" t="n">
        <v>53.842</v>
      </c>
      <c r="K117" s="20" t="n">
        <v>12.581</v>
      </c>
      <c r="L117" s="20" t="n">
        <v>24.898</v>
      </c>
      <c r="M117" s="20" t="n">
        <v>10.817</v>
      </c>
      <c r="N117" s="20" t="n">
        <v>30.829</v>
      </c>
      <c r="T117" s="20" t="n">
        <v>10.071</v>
      </c>
      <c r="U117" s="20" t="n">
        <v>3.138</v>
      </c>
      <c r="V117" s="20" t="n">
        <v>50.894</v>
      </c>
      <c r="W117" s="20" t="n">
        <v>53.842</v>
      </c>
      <c r="X117" s="20" t="n">
        <v>30.829</v>
      </c>
    </row>
    <row r="118">
      <c r="A118" s="18" t="inlineStr">
        <is>
          <t>영업외비용 합계</t>
        </is>
      </c>
      <c r="C118" s="20" t="n">
        <v>61.674</v>
      </c>
      <c r="D118" s="20" t="n">
        <v>38.337</v>
      </c>
      <c r="E118" s="20" t="n">
        <v>42.903</v>
      </c>
      <c r="F118" s="20" t="n">
        <v>73.628</v>
      </c>
      <c r="G118" s="20" t="n">
        <v>32.337</v>
      </c>
      <c r="H118" s="20" t="n">
        <v>53.402</v>
      </c>
      <c r="I118" s="20" t="n">
        <v>118.117</v>
      </c>
      <c r="J118" s="20" t="n">
        <v>603.164</v>
      </c>
      <c r="K118" s="20" t="n">
        <v>70.154</v>
      </c>
      <c r="L118" s="20" t="n">
        <v>165.026</v>
      </c>
      <c r="M118" s="20" t="n">
        <v>71.265</v>
      </c>
      <c r="N118" s="20" t="n">
        <v>53.877</v>
      </c>
      <c r="T118" s="20" t="n">
        <v>216.38</v>
      </c>
      <c r="U118" s="20" t="n">
        <v>88.92400000000001</v>
      </c>
      <c r="V118" s="20" t="n">
        <v>73.628</v>
      </c>
      <c r="W118" s="20" t="n">
        <v>603.164</v>
      </c>
      <c r="X118" s="20" t="n">
        <v>53.877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IF(OR(G118="",C118=""),"",IF(G118*C118&lt;=0,"",IFERROR(G118/C118-1,"")))</f>
        <v/>
      </c>
      <c r="H119" s="15">
        <f>IF(OR(H118="",D118=""),"",IF(H118*D118&lt;=0,"",IFERROR(H118/D118-1,"")))</f>
        <v/>
      </c>
      <c r="I119" s="15">
        <f>IF(OR(I118="",E118=""),"",IF(I118*E118&lt;=0,"",IFERROR(I118/E118-1,"")))</f>
        <v/>
      </c>
      <c r="J119" s="15">
        <f>IF(OR(J118="",F118=""),"",IF(J118*F118&lt;=0,"",IFERROR(J118/F118-1,"")))</f>
        <v/>
      </c>
      <c r="K119" s="15">
        <f>IF(OR(K118="",G118=""),"",IF(K118*G118&lt;=0,"",IFERROR(K118/G118-1,"")))</f>
        <v/>
      </c>
      <c r="L119" s="15">
        <f>IF(OR(L118="",H118=""),"",IF(L118*H118&lt;=0,"",IFERROR(L118/H118-1,"")))</f>
        <v/>
      </c>
      <c r="M119" s="15">
        <f>IF(OR(M118="",I118=""),"",IF(M118*I118&lt;=0,"",IFERROR(M118/I118-1,"")))</f>
        <v/>
      </c>
      <c r="N119" s="15">
        <f>IF(OR(N118="",J118=""),"",IF(N118*J118&lt;=0,"",IFERROR(N118/J118-1,"")))</f>
        <v/>
      </c>
      <c r="T119" s="15">
        <f>IF(OR(T118="",S118=""),"",IF(T118*S118&lt;=0,"",IFERROR(T118/S118-1,"")))</f>
        <v/>
      </c>
      <c r="U119" s="15">
        <f>IF(OR(U118="",T118=""),"",IF(U118*T118&lt;=0,"",IFERROR(U118/T118-1,"")))</f>
        <v/>
      </c>
      <c r="V119" s="15">
        <f>IF(OR(V118="",U118=""),"",IF(V118*U118&lt;=0,"",IFERROR(V118/U118-1,"")))</f>
        <v/>
      </c>
      <c r="W119" s="15">
        <f>IF(OR(W118="",V118=""),"",IF(W118*V118&lt;=0,"",IFERROR(W118/V118-1,"")))</f>
        <v/>
      </c>
      <c r="X119" s="15">
        <f>IF(OR(X118="",W118=""),"",IF(X118*W118&lt;=0,"",IFERROR(X118/W118-1,"")))</f>
        <v/>
      </c>
    </row>
    <row r="120">
      <c r="A120" s="9" t="inlineStr">
        <is>
          <t>경상이익</t>
        </is>
      </c>
      <c r="C120" s="12" t="n">
        <v>1623.744</v>
      </c>
      <c r="D120" s="12" t="n">
        <v>1390.444</v>
      </c>
      <c r="E120" s="12" t="n">
        <v>1578.136</v>
      </c>
      <c r="F120" s="12" t="n">
        <v>1164.027</v>
      </c>
      <c r="G120" s="12" t="n">
        <v>1451.325</v>
      </c>
      <c r="H120" s="12" t="n">
        <v>1625.256</v>
      </c>
      <c r="I120" s="12" t="n">
        <v>1562.448</v>
      </c>
      <c r="J120" s="12" t="n">
        <v>591.549</v>
      </c>
      <c r="K120" s="12" t="n">
        <v>1650.098</v>
      </c>
      <c r="L120" s="12" t="n">
        <v>1658.394</v>
      </c>
      <c r="M120" s="12" t="n">
        <v>1584.835</v>
      </c>
      <c r="N120" s="12" t="n">
        <v>1725.797</v>
      </c>
      <c r="T120" s="12" t="n">
        <v>-145.19</v>
      </c>
      <c r="U120" s="12" t="n">
        <v>743.136</v>
      </c>
      <c r="V120" s="12" t="n">
        <v>1164.027</v>
      </c>
      <c r="W120" s="12" t="n">
        <v>591.549</v>
      </c>
      <c r="X120" s="12" t="n">
        <v>1725.797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IF(OR(G120="",C120=""),"",IF(C120&lt;=0,"",IFERROR(G120/C120-1,"")))</f>
        <v/>
      </c>
      <c r="H121" s="15">
        <f>IF(OR(H120="",D120=""),"",IF(D120&lt;=0,"",IFERROR(H120/D120-1,"")))</f>
        <v/>
      </c>
      <c r="I121" s="15">
        <f>IF(OR(I120="",E120=""),"",IF(E120&lt;=0,"",IFERROR(I120/E120-1,"")))</f>
        <v/>
      </c>
      <c r="J121" s="15">
        <f>IF(OR(J120="",F120=""),"",IF(F120&lt;=0,"",IFERROR(J120/F120-1,"")))</f>
        <v/>
      </c>
      <c r="K121" s="15">
        <f>IF(OR(K120="",G120=""),"",IF(G120&lt;=0,"",IFERROR(K120/G120-1,"")))</f>
        <v/>
      </c>
      <c r="L121" s="15">
        <f>IF(OR(L120="",H120=""),"",IF(H120&lt;=0,"",IFERROR(L120/H120-1,"")))</f>
        <v/>
      </c>
      <c r="M121" s="15">
        <f>IF(OR(M120="",I120=""),"",IF(I120&lt;=0,"",IFERROR(M120/I120-1,"")))</f>
        <v/>
      </c>
      <c r="N121" s="15">
        <f>IF(OR(N120="",J120=""),"",IF(J120&lt;=0,"",IFERROR(N120/J120-1,"")))</f>
        <v/>
      </c>
      <c r="T121" s="15">
        <f>IF(OR(T120="",S120=""),"",IF(S120&lt;=0,"",IFERROR(T120/S120-1,"")))</f>
        <v/>
      </c>
      <c r="U121" s="15">
        <f>IF(OR(U120="",T120=""),"",IF(T120&lt;=0,"",IFERROR(U120/T120-1,"")))</f>
        <v/>
      </c>
      <c r="V121" s="15">
        <f>IF(OR(V120="",U120=""),"",IF(U120&lt;=0,"",IFERROR(V120/U120-1,"")))</f>
        <v/>
      </c>
      <c r="W121" s="15">
        <f>IF(OR(W120="",V120=""),"",IF(V120&lt;=0,"",IFERROR(W120/V120-1,"")))</f>
        <v/>
      </c>
      <c r="X121" s="15">
        <f>IF(OR(X120="",W120=""),"",IF(W120&lt;=0,"",IFERROR(X120/W120-1,"")))</f>
        <v/>
      </c>
    </row>
    <row r="122">
      <c r="A122" s="18" t="inlineStr">
        <is>
          <t>고정자산 매각이익</t>
        </is>
      </c>
      <c r="F122" s="20" t="n">
        <v>0</v>
      </c>
      <c r="J122" s="20" t="n">
        <v>0</v>
      </c>
      <c r="U122" s="20" t="n">
        <v>0</v>
      </c>
      <c r="V122" s="20" t="n">
        <v>0</v>
      </c>
      <c r="W122" s="20" t="n">
        <v>0</v>
      </c>
    </row>
    <row r="123">
      <c r="A123" s="18" t="inlineStr">
        <is>
          <t>투자유가증권 매각이익</t>
        </is>
      </c>
      <c r="E123" s="20" t="n">
        <v>0</v>
      </c>
      <c r="F123" s="20" t="n">
        <v>0</v>
      </c>
      <c r="I123" s="20" t="n">
        <v>0.203</v>
      </c>
      <c r="J123" s="20" t="n">
        <v>0</v>
      </c>
      <c r="N123" s="20" t="n">
        <v>0</v>
      </c>
      <c r="T123" s="20" t="n">
        <v>0</v>
      </c>
      <c r="U123" s="20" t="n">
        <v>0</v>
      </c>
      <c r="V123" s="20" t="n">
        <v>0</v>
      </c>
      <c r="W123" s="20" t="n">
        <v>0</v>
      </c>
      <c r="X123" s="20" t="n">
        <v>0</v>
      </c>
    </row>
    <row r="124">
      <c r="A124" s="18" t="inlineStr">
        <is>
          <t>관계회사 주식 매각이익</t>
        </is>
      </c>
      <c r="E124" s="20" t="n">
        <v>0</v>
      </c>
      <c r="F124" s="20" t="n">
        <v>0</v>
      </c>
      <c r="I124" s="20" t="n">
        <v>0</v>
      </c>
      <c r="J124" s="20" t="n">
        <v>0</v>
      </c>
      <c r="N124" s="20" t="n">
        <v>0</v>
      </c>
      <c r="U124" s="20" t="n">
        <v>0</v>
      </c>
      <c r="V124" s="20" t="n">
        <v>0</v>
      </c>
      <c r="W124" s="20" t="n">
        <v>0</v>
      </c>
      <c r="X124" s="20" t="n">
        <v>0</v>
      </c>
    </row>
    <row r="125">
      <c r="A125" s="18" t="inlineStr">
        <is>
          <t>손해보상손실 충당금 환입액</t>
        </is>
      </c>
      <c r="C125" s="20" t="n">
        <v>0</v>
      </c>
      <c r="D125" s="20" t="n">
        <v>0</v>
      </c>
      <c r="E125" s="20" t="n">
        <v>0</v>
      </c>
      <c r="F125" s="20" t="n">
        <v>0</v>
      </c>
      <c r="T125" s="20" t="n">
        <v>0</v>
      </c>
      <c r="U125" s="20" t="n">
        <v>0</v>
      </c>
      <c r="V125" s="20" t="n">
        <v>0</v>
      </c>
    </row>
    <row r="126">
      <c r="A126" s="18" t="inlineStr">
        <is>
          <t>투자사업조합 청산이익</t>
        </is>
      </c>
      <c r="I126" s="20" t="n">
        <v>0</v>
      </c>
      <c r="J126" s="20" t="n">
        <v>0</v>
      </c>
      <c r="M126" s="20" t="n">
        <v>0</v>
      </c>
      <c r="N126" s="20" t="n">
        <v>0</v>
      </c>
      <c r="W126" s="20" t="n">
        <v>0</v>
      </c>
      <c r="X126" s="20" t="n">
        <v>0</v>
      </c>
    </row>
    <row r="127">
      <c r="A127" s="18" t="inlineStr">
        <is>
          <t>특별이익 합계</t>
        </is>
      </c>
      <c r="C127" s="20" t="n">
        <v>0</v>
      </c>
      <c r="D127" s="20" t="n">
        <v>259.262</v>
      </c>
      <c r="E127" s="20" t="n">
        <v>6.44</v>
      </c>
      <c r="F127" s="20" t="n">
        <v>4</v>
      </c>
      <c r="I127" s="20" t="n">
        <v>0.203</v>
      </c>
      <c r="J127" s="20" t="n">
        <v>0.78</v>
      </c>
      <c r="M127" s="20" t="n">
        <v>43.546</v>
      </c>
      <c r="N127" s="20" t="n">
        <v>0</v>
      </c>
      <c r="T127" s="20" t="n">
        <v>2.491</v>
      </c>
      <c r="U127" s="20" t="n">
        <v>0</v>
      </c>
      <c r="V127" s="20" t="n">
        <v>4</v>
      </c>
      <c r="W127" s="20" t="n">
        <v>0.78</v>
      </c>
      <c r="X127" s="20" t="n">
        <v>0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I128" s="15">
        <f>IF(OR(I127="",E127=""),"",IF(I127*E127&lt;=0,"",IFERROR(I127/E127-1,"")))</f>
        <v/>
      </c>
      <c r="J128" s="15">
        <f>IF(OR(J127="",F127=""),"",IF(J127*F127&lt;=0,"",IFERROR(J127/F127-1,"")))</f>
        <v/>
      </c>
      <c r="M128" s="15">
        <f>IF(OR(M127="",I127=""),"",IF(M127*I127&lt;=0,"",IFERROR(M127/I127-1,"")))</f>
        <v/>
      </c>
      <c r="N128" s="15">
        <f>IF(OR(N127="",J127=""),"",IF(N127*J127&lt;=0,"",IFERROR(N127/J127-1,"")))</f>
        <v/>
      </c>
      <c r="T128" s="15">
        <f>IF(OR(T127="",S127=""),"",IF(T127*S127&lt;=0,"",IFERROR(T127/S127-1,"")))</f>
        <v/>
      </c>
      <c r="U128" s="15">
        <f>IF(OR(U127="",T127=""),"",IF(U127*T127&lt;=0,"",IFERROR(U127/T127-1,"")))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18" t="inlineStr">
        <is>
          <t>손상차손</t>
        </is>
      </c>
      <c r="F129" s="20" t="n">
        <v>120.123</v>
      </c>
      <c r="I129" s="20" t="n">
        <v>0</v>
      </c>
      <c r="J129" s="20" t="n">
        <v>142.869</v>
      </c>
      <c r="M129" s="20" t="n">
        <v>0</v>
      </c>
      <c r="N129" s="20" t="n">
        <v>145.703</v>
      </c>
      <c r="U129" s="20" t="n">
        <v>36.898</v>
      </c>
      <c r="V129" s="20" t="n">
        <v>120.123</v>
      </c>
      <c r="W129" s="20" t="n">
        <v>142.869</v>
      </c>
      <c r="X129" s="20" t="n">
        <v>145.703</v>
      </c>
    </row>
    <row r="130">
      <c r="A130" s="18" t="inlineStr">
        <is>
          <t>고정자산 제각·매각손실</t>
        </is>
      </c>
      <c r="C130" s="20" t="n">
        <v>2.023</v>
      </c>
      <c r="D130" s="20" t="n">
        <v>0</v>
      </c>
      <c r="E130" s="20" t="n">
        <v>0</v>
      </c>
      <c r="F130" s="20" t="n">
        <v>1.104</v>
      </c>
      <c r="G130" s="20" t="n">
        <v>0</v>
      </c>
      <c r="H130" s="20" t="n">
        <v>3.388</v>
      </c>
      <c r="I130" s="20" t="n">
        <v>0.099</v>
      </c>
      <c r="J130" s="20" t="n">
        <v>1.589</v>
      </c>
      <c r="M130" s="20" t="n">
        <v>11.377</v>
      </c>
      <c r="N130" s="20" t="n">
        <v>1.391</v>
      </c>
      <c r="T130" s="20" t="n">
        <v>8.395</v>
      </c>
      <c r="U130" s="20" t="n">
        <v>0.576</v>
      </c>
      <c r="V130" s="20" t="n">
        <v>1.104</v>
      </c>
      <c r="W130" s="20" t="n">
        <v>1.589</v>
      </c>
      <c r="X130" s="20" t="n">
        <v>1.391</v>
      </c>
    </row>
    <row r="131">
      <c r="A131" s="18" t="inlineStr">
        <is>
          <t>투자유가증권 평가손실</t>
        </is>
      </c>
      <c r="C131" s="20" t="n">
        <v>0</v>
      </c>
      <c r="D131" s="20" t="n">
        <v>0</v>
      </c>
      <c r="E131" s="20" t="n">
        <v>0</v>
      </c>
      <c r="F131" s="20" t="n">
        <v>0</v>
      </c>
      <c r="T131" s="20" t="n">
        <v>97.77500000000001</v>
      </c>
      <c r="U131" s="20" t="n">
        <v>153.977</v>
      </c>
      <c r="V131" s="20" t="n">
        <v>0</v>
      </c>
    </row>
    <row r="132">
      <c r="A132" s="18" t="inlineStr">
        <is>
          <t>사업양도손실</t>
        </is>
      </c>
      <c r="T132" s="20" t="n">
        <v>0</v>
      </c>
      <c r="U132" s="20" t="n">
        <v>0</v>
      </c>
    </row>
    <row r="133">
      <c r="A133" s="18" t="inlineStr">
        <is>
          <t>사무소 이전비용</t>
        </is>
      </c>
      <c r="T133" s="20" t="n">
        <v>0</v>
      </c>
      <c r="U133" s="20" t="n">
        <v>0</v>
      </c>
    </row>
    <row r="134">
      <c r="A134" s="18" t="inlineStr">
        <is>
          <t>관계회사 주식 평가손실</t>
        </is>
      </c>
      <c r="F134" s="20" t="n">
        <v>0.289</v>
      </c>
      <c r="J134" s="20" t="n">
        <v>0</v>
      </c>
      <c r="U134" s="20" t="n">
        <v>0</v>
      </c>
      <c r="V134" s="20" t="n">
        <v>0.289</v>
      </c>
      <c r="W134" s="20" t="n">
        <v>0</v>
      </c>
    </row>
    <row r="135">
      <c r="A135" s="18" t="inlineStr">
        <is>
          <t>투자유가증권 매각손실</t>
        </is>
      </c>
      <c r="J135" s="20" t="n">
        <v>0</v>
      </c>
      <c r="N135" s="20" t="n">
        <v>0</v>
      </c>
      <c r="W135" s="20" t="n">
        <v>0</v>
      </c>
      <c r="X135" s="20" t="n">
        <v>0</v>
      </c>
    </row>
    <row r="136">
      <c r="A136" s="18" t="inlineStr">
        <is>
          <t>관계회사 청산손실</t>
        </is>
      </c>
      <c r="E136" s="20" t="n">
        <v>0</v>
      </c>
      <c r="F136" s="20" t="n">
        <v>0</v>
      </c>
      <c r="I136" s="20" t="n">
        <v>0</v>
      </c>
      <c r="J136" s="20" t="n">
        <v>0</v>
      </c>
      <c r="M136" s="20" t="n">
        <v>0</v>
      </c>
      <c r="N136" s="20" t="n">
        <v>0</v>
      </c>
      <c r="V136" s="20" t="n">
        <v>0</v>
      </c>
      <c r="W136" s="20" t="n">
        <v>0</v>
      </c>
      <c r="X136" s="20" t="n">
        <v>0</v>
      </c>
    </row>
    <row r="137">
      <c r="A137" s="18" t="inlineStr">
        <is>
          <t>특별손실 합계</t>
        </is>
      </c>
      <c r="C137" s="20" t="n">
        <v>2.023</v>
      </c>
      <c r="D137" s="20" t="n">
        <v>0</v>
      </c>
      <c r="E137" s="20" t="n">
        <v>24.928</v>
      </c>
      <c r="F137" s="20" t="n">
        <v>121.515</v>
      </c>
      <c r="G137" s="20" t="n">
        <v>0</v>
      </c>
      <c r="H137" s="20" t="n">
        <v>6.242</v>
      </c>
      <c r="I137" s="20" t="n">
        <v>0.1</v>
      </c>
      <c r="J137" s="20" t="n">
        <v>151.212</v>
      </c>
      <c r="M137" s="20" t="n">
        <v>11.797</v>
      </c>
      <c r="N137" s="20" t="n">
        <v>337.57</v>
      </c>
      <c r="T137" s="20" t="n">
        <v>203.223</v>
      </c>
      <c r="U137" s="20" t="n">
        <v>226.781</v>
      </c>
      <c r="V137" s="20" t="n">
        <v>121.515</v>
      </c>
      <c r="W137" s="20" t="n">
        <v>151.212</v>
      </c>
      <c r="X137" s="20" t="n">
        <v>337.57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M138" s="15">
        <f>IF(OR(M137="",I137=""),"",IF(M137*I137&lt;=0,"",IFERROR(M137/I137-1,"")))</f>
        <v/>
      </c>
      <c r="N138" s="15">
        <f>IF(OR(N137="",J137=""),"",IF(N137*J137&lt;=0,"",IFERROR(N137/J137-1,"")))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9" t="inlineStr">
        <is>
          <t>법인세차감전 순이익</t>
        </is>
      </c>
      <c r="C139" s="12" t="n">
        <v>1621.72</v>
      </c>
      <c r="D139" s="12" t="n">
        <v>1649.707</v>
      </c>
      <c r="E139" s="12" t="n">
        <v>1559.648</v>
      </c>
      <c r="F139" s="12" t="n">
        <v>1046.512</v>
      </c>
      <c r="G139" s="12" t="n">
        <v>1451.325</v>
      </c>
      <c r="H139" s="12" t="n">
        <v>1619.013</v>
      </c>
      <c r="I139" s="12" t="n">
        <v>1562.552</v>
      </c>
      <c r="J139" s="12" t="n">
        <v>441.117</v>
      </c>
      <c r="K139" s="12" t="n">
        <v>1650.098</v>
      </c>
      <c r="L139" s="12" t="n">
        <v>1822.81</v>
      </c>
      <c r="M139" s="12" t="n">
        <v>1616.584</v>
      </c>
      <c r="N139" s="12" t="n">
        <v>1388.227</v>
      </c>
      <c r="T139" s="12" t="n">
        <v>-345.92</v>
      </c>
      <c r="U139" s="12" t="n">
        <v>516.355</v>
      </c>
      <c r="V139" s="12" t="n">
        <v>1046.512</v>
      </c>
      <c r="W139" s="12" t="n">
        <v>441.117</v>
      </c>
      <c r="X139" s="12" t="n">
        <v>1388.227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법인세·주민세·사업세</t>
        </is>
      </c>
      <c r="C141" s="20" t="n">
        <v>385.981</v>
      </c>
      <c r="D141" s="20" t="n">
        <v>341.852</v>
      </c>
      <c r="E141" s="20" t="n">
        <v>385.538</v>
      </c>
      <c r="F141" s="20" t="n">
        <v>456.814</v>
      </c>
      <c r="G141" s="20" t="n">
        <v>288.284</v>
      </c>
      <c r="H141" s="20" t="n">
        <v>478.984</v>
      </c>
      <c r="I141" s="20" t="n">
        <v>406.487</v>
      </c>
      <c r="J141" s="20" t="n">
        <v>0.614</v>
      </c>
      <c r="K141" s="20" t="n">
        <v>422.703</v>
      </c>
      <c r="L141" s="20" t="n">
        <v>542.552</v>
      </c>
      <c r="M141" s="20" t="n">
        <v>387.288</v>
      </c>
      <c r="N141" s="20" t="n">
        <v>507.759</v>
      </c>
      <c r="T141" s="20" t="n">
        <v>254.711</v>
      </c>
      <c r="U141" s="20" t="n">
        <v>407.025</v>
      </c>
      <c r="V141" s="20" t="n">
        <v>456.814</v>
      </c>
      <c r="W141" s="20" t="n">
        <v>0.614</v>
      </c>
      <c r="X141" s="20" t="n">
        <v>507.759</v>
      </c>
    </row>
    <row r="142">
      <c r="A142" s="18" t="inlineStr">
        <is>
          <t>법인세 조정액</t>
        </is>
      </c>
      <c r="C142" s="20" t="n">
        <v>55.287</v>
      </c>
      <c r="D142" s="20" t="n">
        <v>-20.721</v>
      </c>
      <c r="E142" s="20" t="n">
        <v>32.459</v>
      </c>
      <c r="F142" s="20" t="n">
        <v>-352.348</v>
      </c>
      <c r="G142" s="20" t="n">
        <v>115.556</v>
      </c>
      <c r="H142" s="20" t="n">
        <v>-58.092</v>
      </c>
      <c r="I142" s="20" t="n">
        <v>90.663</v>
      </c>
      <c r="J142" s="20" t="n">
        <v>-162.826</v>
      </c>
      <c r="K142" s="20" t="n">
        <v>115.418</v>
      </c>
      <c r="L142" s="20" t="n">
        <v>25.203</v>
      </c>
      <c r="M142" s="20" t="n">
        <v>152.557</v>
      </c>
      <c r="N142" s="20" t="n">
        <v>-10.612</v>
      </c>
      <c r="T142" s="20" t="n">
        <v>-44.55</v>
      </c>
      <c r="U142" s="20" t="n">
        <v>-236.092</v>
      </c>
      <c r="V142" s="20" t="n">
        <v>-352.348</v>
      </c>
      <c r="W142" s="20" t="n">
        <v>-162.826</v>
      </c>
      <c r="X142" s="20" t="n">
        <v>-10.612</v>
      </c>
    </row>
    <row r="143">
      <c r="A143" s="18" t="inlineStr">
        <is>
          <t>법인세 등 합계</t>
        </is>
      </c>
      <c r="C143" s="20" t="n">
        <v>441.269</v>
      </c>
      <c r="D143" s="20" t="n">
        <v>321.13</v>
      </c>
      <c r="E143" s="20" t="n">
        <v>417.998</v>
      </c>
      <c r="F143" s="20" t="n">
        <v>104.464</v>
      </c>
      <c r="G143" s="20" t="n">
        <v>403.84</v>
      </c>
      <c r="H143" s="20" t="n">
        <v>420.892</v>
      </c>
      <c r="I143" s="20" t="n">
        <v>497.151</v>
      </c>
      <c r="J143" s="20" t="n">
        <v>-162.214</v>
      </c>
      <c r="K143" s="20" t="n">
        <v>538.122</v>
      </c>
      <c r="L143" s="20" t="n">
        <v>567.754</v>
      </c>
      <c r="M143" s="20" t="n">
        <v>539.845</v>
      </c>
      <c r="N143" s="20" t="n">
        <v>497.148</v>
      </c>
      <c r="T143" s="20" t="n">
        <v>210.162</v>
      </c>
      <c r="U143" s="20" t="n">
        <v>170.932</v>
      </c>
      <c r="V143" s="20" t="n">
        <v>104.464</v>
      </c>
      <c r="W143" s="20" t="n">
        <v>-162.214</v>
      </c>
      <c r="X143" s="20" t="n">
        <v>497.148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IF(OR(G143="",C143=""),"",IF(G143*C143&lt;=0,"",IFERROR(G143/C143-1,"")))</f>
        <v/>
      </c>
      <c r="H144" s="15">
        <f>IF(OR(H143="",D143=""),"",IF(H143*D143&lt;=0,"",IFERROR(H143/D143-1,"")))</f>
        <v/>
      </c>
      <c r="I144" s="15">
        <f>IF(OR(I143="",E143=""),"",IF(I143*E143&lt;=0,"",IFERROR(I143/E143-1,"")))</f>
        <v/>
      </c>
      <c r="J144" s="15">
        <f>IF(OR(J143="",F143=""),"",IF(J143*F143&lt;=0,"",IFERROR(J143/F143-1,"")))</f>
        <v/>
      </c>
      <c r="K144" s="15">
        <f>IF(OR(K143="",G143=""),"",IF(K143*G143&lt;=0,"",IFERROR(K143/G143-1,"")))</f>
        <v/>
      </c>
      <c r="L144" s="15">
        <f>IF(OR(L143="",H143=""),"",IF(L143*H143&lt;=0,"",IFERROR(L143/H143-1,"")))</f>
        <v/>
      </c>
      <c r="M144" s="15">
        <f>IF(OR(M143="",I143=""),"",IF(M143*I143&lt;=0,"",IFERROR(M143/I143-1,"")))</f>
        <v/>
      </c>
      <c r="N144" s="15">
        <f>IF(OR(N143="",J143=""),"",IF(N143*J143&lt;=0,"",IFERROR(N143/J143-1,"")))</f>
        <v/>
      </c>
      <c r="T144" s="15">
        <f>IF(OR(T143="",S143=""),"",IF(T143*S143&lt;=0,"",IFERROR(T143/S143-1,"")))</f>
        <v/>
      </c>
      <c r="U144" s="15">
        <f>IF(OR(U143="",T143=""),"",IF(U143*T143&lt;=0,"",IFERROR(U143/T143-1,"")))</f>
        <v/>
      </c>
      <c r="V144" s="15">
        <f>IF(OR(V143="",U143=""),"",IF(V143*U143&lt;=0,"",IFERROR(V143/U143-1,"")))</f>
        <v/>
      </c>
      <c r="W144" s="15">
        <f>IF(OR(W143="",V143=""),"",IF(W143*V143&lt;=0,"",IFERROR(W143/V143-1,"")))</f>
        <v/>
      </c>
      <c r="X144" s="15">
        <f>IF(OR(X143="",W143=""),"",IF(X143*W143&lt;=0,"",IFERROR(X143/W143-1,"")))</f>
        <v/>
      </c>
    </row>
    <row r="145">
      <c r="A145" s="9" t="inlineStr">
        <is>
          <t>순이익</t>
        </is>
      </c>
      <c r="C145" s="12" t="n">
        <v>1180.451</v>
      </c>
      <c r="D145" s="12" t="n">
        <v>1328.576</v>
      </c>
      <c r="E145" s="12" t="n">
        <v>1141.651</v>
      </c>
      <c r="F145" s="12" t="n">
        <v>942.048</v>
      </c>
      <c r="G145" s="12" t="n">
        <v>1047.484</v>
      </c>
      <c r="H145" s="12" t="n">
        <v>1198.121</v>
      </c>
      <c r="I145" s="12" t="n">
        <v>1065.402</v>
      </c>
      <c r="J145" s="12" t="n">
        <v>603.331</v>
      </c>
      <c r="K145" s="12" t="n">
        <v>1111.976</v>
      </c>
      <c r="L145" s="12" t="n">
        <v>1255.055</v>
      </c>
      <c r="M145" s="12" t="n">
        <v>1076.74</v>
      </c>
      <c r="N145" s="12" t="n">
        <v>891.079</v>
      </c>
      <c r="T145" s="12" t="n">
        <v>-556.082</v>
      </c>
      <c r="U145" s="12" t="n">
        <v>345.422</v>
      </c>
      <c r="V145" s="12" t="n">
        <v>942.048</v>
      </c>
      <c r="W145" s="12" t="n">
        <v>603.331</v>
      </c>
      <c r="X145" s="12" t="n">
        <v>891.079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9" t="inlineStr">
        <is>
          <t>비지배주주 순이익</t>
        </is>
      </c>
      <c r="C147" s="12" t="n">
        <v>316.959</v>
      </c>
      <c r="D147" s="12" t="n">
        <v>211.169</v>
      </c>
      <c r="E147" s="12" t="n">
        <v>253.747</v>
      </c>
      <c r="F147" s="12" t="n">
        <v>244.841</v>
      </c>
      <c r="G147" s="12" t="n">
        <v>233.551</v>
      </c>
      <c r="H147" s="12" t="n">
        <v>243.879</v>
      </c>
      <c r="I147" s="12" t="n">
        <v>306.007</v>
      </c>
      <c r="J147" s="12" t="n">
        <v>382.364</v>
      </c>
      <c r="K147" s="12" t="n">
        <v>49.336</v>
      </c>
      <c r="L147" s="12" t="n">
        <v>47.754</v>
      </c>
      <c r="M147" s="12" t="n">
        <v>42.956</v>
      </c>
      <c r="N147" s="12" t="n">
        <v>39.828</v>
      </c>
      <c r="T147" s="12" t="n">
        <v>238.465</v>
      </c>
      <c r="U147" s="12" t="n">
        <v>210.05</v>
      </c>
      <c r="V147" s="12" t="n">
        <v>244.841</v>
      </c>
      <c r="W147" s="12" t="n">
        <v>382.364</v>
      </c>
      <c r="X147" s="12" t="n">
        <v>39.828</v>
      </c>
    </row>
    <row r="148">
      <c r="A148" s="9" t="inlineStr">
        <is>
          <t>지배주주 순이익</t>
        </is>
      </c>
      <c r="C148" s="12" t="n">
        <v>863.491</v>
      </c>
      <c r="D148" s="12" t="n">
        <v>1117.408</v>
      </c>
      <c r="E148" s="12" t="n">
        <v>887.904</v>
      </c>
      <c r="F148" s="12" t="n">
        <v>697.206</v>
      </c>
      <c r="G148" s="12" t="n">
        <v>813.933</v>
      </c>
      <c r="H148" s="12" t="n">
        <v>954.242</v>
      </c>
      <c r="I148" s="12" t="n">
        <v>759.394</v>
      </c>
      <c r="J148" s="12" t="n">
        <v>220.968</v>
      </c>
      <c r="K148" s="12" t="n">
        <v>1062.639</v>
      </c>
      <c r="L148" s="12" t="n">
        <v>1207.301</v>
      </c>
      <c r="M148" s="12" t="n">
        <v>1033.784</v>
      </c>
      <c r="N148" s="12" t="n">
        <v>851.251</v>
      </c>
      <c r="T148" s="12" t="n">
        <v>-794.548</v>
      </c>
      <c r="U148" s="12" t="n">
        <v>135.372</v>
      </c>
      <c r="V148" s="12" t="n">
        <v>697.206</v>
      </c>
      <c r="W148" s="12" t="n">
        <v>220.968</v>
      </c>
      <c r="X148" s="12" t="n">
        <v>851.251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1">
      <c r="A151" s="16" t="inlineStr">
        <is>
          <t>포괄손익 · 전 항목</t>
        </is>
      </c>
      <c r="B151" s="42" t="inlineStr">
        <is>
          <t>분기 = 3개월 단독</t>
        </is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</row>
    <row r="152">
      <c r="A152" s="5" t="inlineStr">
        <is>
          <t>항목</t>
        </is>
      </c>
      <c r="B152" s="5" t="inlineStr">
        <is>
          <t>참고</t>
        </is>
      </c>
      <c r="C152" s="5" t="inlineStr">
        <is>
          <t>2024.1Q</t>
        </is>
      </c>
      <c r="D152" s="5" t="inlineStr">
        <is>
          <t>2024.2Q</t>
        </is>
      </c>
      <c r="E152" s="5" t="inlineStr">
        <is>
          <t>2024.3Q</t>
        </is>
      </c>
      <c r="F152" s="5" t="inlineStr">
        <is>
          <t>2024.4Q</t>
        </is>
      </c>
      <c r="G152" s="5" t="inlineStr">
        <is>
          <t>2025.1Q</t>
        </is>
      </c>
      <c r="H152" s="5" t="inlineStr">
        <is>
          <t>2025.2Q</t>
        </is>
      </c>
      <c r="I152" s="5" t="inlineStr">
        <is>
          <t>2025.3Q</t>
        </is>
      </c>
      <c r="J152" s="5" t="inlineStr">
        <is>
          <t>2025.4Q</t>
        </is>
      </c>
      <c r="K152" s="5" t="inlineStr">
        <is>
          <t>2026.1Q</t>
        </is>
      </c>
      <c r="L152" s="5" t="inlineStr">
        <is>
          <t>2026.2Q</t>
        </is>
      </c>
      <c r="M152" s="5" t="inlineStr">
        <is>
          <t>2026.3Q</t>
        </is>
      </c>
      <c r="N152" s="5" t="inlineStr">
        <is>
          <t>2026.4Q</t>
        </is>
      </c>
      <c r="O152" s="5" t="inlineStr">
        <is>
          <t>2017</t>
        </is>
      </c>
      <c r="P152" s="5" t="inlineStr">
        <is>
          <t>2018</t>
        </is>
      </c>
      <c r="Q152" s="5" t="inlineStr">
        <is>
          <t>2019</t>
        </is>
      </c>
      <c r="R152" s="5" t="inlineStr">
        <is>
          <t>2020</t>
        </is>
      </c>
      <c r="S152" s="5" t="inlineStr">
        <is>
          <t>2021</t>
        </is>
      </c>
      <c r="T152" s="5" t="inlineStr">
        <is>
          <t>2022</t>
        </is>
      </c>
      <c r="U152" s="5" t="inlineStr">
        <is>
          <t>2023</t>
        </is>
      </c>
      <c r="V152" s="5" t="inlineStr">
        <is>
          <t>2024</t>
        </is>
      </c>
      <c r="W152" s="5" t="inlineStr">
        <is>
          <t>2025</t>
        </is>
      </c>
      <c r="X152" s="5" t="inlineStr">
        <is>
          <t>2026</t>
        </is>
      </c>
      <c r="Y152" s="5" t="inlineStr">
        <is>
          <t>2027(MW)</t>
        </is>
      </c>
      <c r="Z152" s="5" t="inlineStr">
        <is>
          <t>2028(MW)</t>
        </is>
      </c>
      <c r="AA152" s="5" t="inlineStr">
        <is>
          <t>2029(MW)</t>
        </is>
      </c>
      <c r="AB152" s="5" t="inlineStr">
        <is>
          <t>2030(MW)</t>
        </is>
      </c>
      <c r="AC152" s="5" t="inlineStr">
        <is>
          <t>2031(MW)</t>
        </is>
      </c>
    </row>
    <row r="153">
      <c r="A153" s="9" t="inlineStr">
        <is>
          <t>순이익</t>
        </is>
      </c>
      <c r="C153" s="12" t="n">
        <v>1180.451</v>
      </c>
      <c r="D153" s="12" t="n">
        <v>1328.576</v>
      </c>
      <c r="E153" s="12" t="n">
        <v>1141.651</v>
      </c>
      <c r="F153" s="12" t="n">
        <v>942.048</v>
      </c>
      <c r="G153" s="12" t="n">
        <v>1047.484</v>
      </c>
      <c r="H153" s="12" t="n">
        <v>1198.121</v>
      </c>
      <c r="I153" s="12" t="n">
        <v>1065.402</v>
      </c>
      <c r="J153" s="12" t="n">
        <v>603.331</v>
      </c>
      <c r="K153" s="12" t="n">
        <v>1111.976</v>
      </c>
      <c r="L153" s="12" t="n">
        <v>1255.055</v>
      </c>
      <c r="M153" s="12" t="n">
        <v>1076.74</v>
      </c>
      <c r="N153" s="12" t="n">
        <v>891.079</v>
      </c>
      <c r="T153" s="12" t="n">
        <v>-556.082</v>
      </c>
      <c r="U153" s="12" t="n">
        <v>345.422</v>
      </c>
      <c r="V153" s="12" t="n">
        <v>942.048</v>
      </c>
      <c r="W153" s="12" t="n">
        <v>603.331</v>
      </c>
      <c r="X153" s="12" t="n">
        <v>891.079</v>
      </c>
    </row>
    <row r="154">
      <c r="A154" s="18" t="inlineStr">
        <is>
          <t>기타유가증권 평가차액</t>
        </is>
      </c>
      <c r="C154" s="20" t="n">
        <v>5.95</v>
      </c>
      <c r="D154" s="20" t="n">
        <v>-21.654</v>
      </c>
      <c r="E154" s="20" t="n">
        <v>7.074</v>
      </c>
      <c r="F154" s="20" t="n">
        <v>129.326</v>
      </c>
      <c r="G154" s="20" t="n">
        <v>-5.483</v>
      </c>
      <c r="H154" s="20" t="n">
        <v>-28.452</v>
      </c>
      <c r="I154" s="20" t="n">
        <v>5.342</v>
      </c>
      <c r="J154" s="20" t="n">
        <v>9.509</v>
      </c>
      <c r="K154" s="20" t="n">
        <v>18.708</v>
      </c>
      <c r="L154" s="20" t="n">
        <v>-229.466</v>
      </c>
      <c r="M154" s="20" t="n">
        <v>-107.708</v>
      </c>
      <c r="N154" s="20" t="n">
        <v>80.828</v>
      </c>
      <c r="T154" s="20" t="n">
        <v>-20.791</v>
      </c>
      <c r="U154" s="20" t="n">
        <v>-3.422</v>
      </c>
      <c r="V154" s="20" t="n">
        <v>129.326</v>
      </c>
      <c r="W154" s="20" t="n">
        <v>9.509</v>
      </c>
      <c r="X154" s="20" t="n">
        <v>80.828</v>
      </c>
    </row>
    <row r="155">
      <c r="A155" s="18" t="inlineStr">
        <is>
          <t>해외사업환산조정</t>
        </is>
      </c>
      <c r="C155" s="20" t="n">
        <v>-4.804</v>
      </c>
      <c r="D155" s="20" t="n">
        <v>-3.489</v>
      </c>
      <c r="E155" s="20" t="n">
        <v>5.162</v>
      </c>
      <c r="F155" s="20" t="n">
        <v>-0.383</v>
      </c>
      <c r="G155" s="20" t="n">
        <v>-1.128</v>
      </c>
      <c r="H155" s="20" t="n">
        <v>-0.14</v>
      </c>
      <c r="I155" s="20" t="n">
        <v>8.117000000000001</v>
      </c>
      <c r="J155" s="20" t="n">
        <v>-12.606</v>
      </c>
      <c r="K155" s="20" t="n">
        <v>0.777</v>
      </c>
      <c r="L155" s="20" t="n">
        <v>5.107</v>
      </c>
      <c r="M155" s="20" t="n">
        <v>-14.459</v>
      </c>
      <c r="N155" s="20" t="n">
        <v>31.583</v>
      </c>
      <c r="T155" s="20" t="n">
        <v>-8.631</v>
      </c>
      <c r="U155" s="20" t="n">
        <v>-6.239</v>
      </c>
      <c r="V155" s="20" t="n">
        <v>-0.383</v>
      </c>
      <c r="W155" s="20" t="n">
        <v>-12.606</v>
      </c>
      <c r="X155" s="20" t="n">
        <v>31.583</v>
      </c>
    </row>
    <row r="156">
      <c r="A156" s="18" t="inlineStr">
        <is>
          <t>기타포괄손익 합계</t>
        </is>
      </c>
      <c r="C156" s="20" t="n">
        <v>1.145</v>
      </c>
      <c r="D156" s="20" t="n">
        <v>-25.142</v>
      </c>
      <c r="E156" s="20" t="n">
        <v>12.235</v>
      </c>
      <c r="F156" s="20" t="n">
        <v>128.944</v>
      </c>
      <c r="G156" s="20" t="n">
        <v>-6.612</v>
      </c>
      <c r="H156" s="20" t="n">
        <v>-28.591</v>
      </c>
      <c r="I156" s="20" t="n">
        <v>13.46</v>
      </c>
      <c r="J156" s="20" t="n">
        <v>-3.098</v>
      </c>
      <c r="K156" s="20" t="n">
        <v>19.486</v>
      </c>
      <c r="L156" s="20" t="n">
        <v>-224.36</v>
      </c>
      <c r="M156" s="20" t="n">
        <v>-122.168</v>
      </c>
      <c r="N156" s="20" t="n">
        <v>112.413</v>
      </c>
      <c r="T156" s="20" t="n">
        <v>-29.422</v>
      </c>
      <c r="U156" s="20" t="n">
        <v>-9.662000000000001</v>
      </c>
      <c r="V156" s="20" t="n">
        <v>128.944</v>
      </c>
      <c r="W156" s="20" t="n">
        <v>-3.098</v>
      </c>
      <c r="X156" s="20" t="n">
        <v>112.413</v>
      </c>
    </row>
    <row r="157">
      <c r="A157" s="9" t="inlineStr">
        <is>
          <t>포괄이익</t>
        </is>
      </c>
      <c r="C157" s="12" t="n">
        <v>1181.596</v>
      </c>
      <c r="D157" s="12" t="n">
        <v>1303.433</v>
      </c>
      <c r="E157" s="12" t="n">
        <v>1153.887</v>
      </c>
      <c r="F157" s="12" t="n">
        <v>1070.993</v>
      </c>
      <c r="G157" s="12" t="n">
        <v>1040.872</v>
      </c>
      <c r="H157" s="12" t="n">
        <v>1169.53</v>
      </c>
      <c r="I157" s="12" t="n">
        <v>1078.861</v>
      </c>
      <c r="J157" s="12" t="n">
        <v>600.2329999999999</v>
      </c>
      <c r="K157" s="12" t="n">
        <v>1131.462</v>
      </c>
      <c r="L157" s="12" t="n">
        <v>1030.695</v>
      </c>
      <c r="M157" s="12" t="n">
        <v>954.572</v>
      </c>
      <c r="N157" s="12" t="n">
        <v>1003.491</v>
      </c>
      <c r="T157" s="12" t="n">
        <v>-585.504</v>
      </c>
      <c r="U157" s="12" t="n">
        <v>335.761</v>
      </c>
      <c r="V157" s="12" t="n">
        <v>1070.993</v>
      </c>
      <c r="W157" s="12" t="n">
        <v>600.2329999999999</v>
      </c>
      <c r="X157" s="12" t="n">
        <v>1003.491</v>
      </c>
    </row>
    <row r="158">
      <c r="A158" s="9" t="inlineStr">
        <is>
          <t>지배주주 포괄이익</t>
        </is>
      </c>
      <c r="C158" s="12" t="n">
        <v>864.6369999999999</v>
      </c>
      <c r="D158" s="12" t="n">
        <v>1092.264</v>
      </c>
      <c r="E158" s="12" t="n">
        <v>900.139</v>
      </c>
      <c r="F158" s="12" t="n">
        <v>826.152</v>
      </c>
      <c r="G158" s="12" t="n">
        <v>807.3200000000001</v>
      </c>
      <c r="H158" s="12" t="n">
        <v>925.651</v>
      </c>
      <c r="I158" s="12" t="n">
        <v>772.854</v>
      </c>
      <c r="J158" s="12" t="n">
        <v>217.87</v>
      </c>
      <c r="K158" s="12" t="n">
        <v>1082.126</v>
      </c>
      <c r="L158" s="12" t="n">
        <v>982.9400000000001</v>
      </c>
      <c r="M158" s="12" t="n">
        <v>911.616</v>
      </c>
      <c r="N158" s="12" t="n">
        <v>963.663</v>
      </c>
      <c r="T158" s="12" t="n">
        <v>-820.297</v>
      </c>
      <c r="U158" s="12" t="n">
        <v>125.71</v>
      </c>
      <c r="V158" s="12" t="n">
        <v>826.152</v>
      </c>
      <c r="W158" s="12" t="n">
        <v>217.87</v>
      </c>
      <c r="X158" s="12" t="n">
        <v>963.663</v>
      </c>
    </row>
    <row r="159">
      <c r="A159" s="9" t="inlineStr">
        <is>
          <t>비지배주주 포괄이익</t>
        </is>
      </c>
      <c r="C159" s="12" t="n">
        <v>316.959</v>
      </c>
      <c r="D159" s="12" t="n">
        <v>211.169</v>
      </c>
      <c r="E159" s="12" t="n">
        <v>253.747</v>
      </c>
      <c r="F159" s="12" t="n">
        <v>244.841</v>
      </c>
      <c r="G159" s="12" t="n">
        <v>233.551</v>
      </c>
      <c r="H159" s="12" t="n">
        <v>243.879</v>
      </c>
      <c r="I159" s="12" t="n">
        <v>306.007</v>
      </c>
      <c r="J159" s="12" t="n">
        <v>382.364</v>
      </c>
      <c r="K159" s="12" t="n">
        <v>49.336</v>
      </c>
      <c r="L159" s="12" t="n">
        <v>47.754</v>
      </c>
      <c r="M159" s="12" t="n">
        <v>42.956</v>
      </c>
      <c r="N159" s="12" t="n">
        <v>39.828</v>
      </c>
      <c r="T159" s="12" t="n">
        <v>234.793</v>
      </c>
      <c r="U159" s="12" t="n">
        <v>210.051</v>
      </c>
      <c r="V159" s="12" t="n">
        <v>244.841</v>
      </c>
      <c r="W159" s="12" t="n">
        <v>382.364</v>
      </c>
      <c r="X159" s="12" t="n">
        <v>39.828</v>
      </c>
    </row>
    <row r="161">
      <c r="A161" s="16" t="inlineStr">
        <is>
          <t>부문 · 전 항목</t>
        </is>
      </c>
      <c r="B161" s="42" t="inlineStr">
        <is>
          <t>부문 · 항목</t>
        </is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</row>
    <row r="162">
      <c r="A162" s="5" t="inlineStr">
        <is>
          <t>항목</t>
        </is>
      </c>
      <c r="B162" s="5" t="inlineStr">
        <is>
          <t>참고</t>
        </is>
      </c>
      <c r="C162" s="5" t="inlineStr">
        <is>
          <t>2024.1Q</t>
        </is>
      </c>
      <c r="D162" s="5" t="inlineStr">
        <is>
          <t>2024.2Q</t>
        </is>
      </c>
      <c r="E162" s="5" t="inlineStr">
        <is>
          <t>2024.3Q</t>
        </is>
      </c>
      <c r="F162" s="5" t="inlineStr">
        <is>
          <t>2024.4Q</t>
        </is>
      </c>
      <c r="G162" s="5" t="inlineStr">
        <is>
          <t>2025.1Q</t>
        </is>
      </c>
      <c r="H162" s="5" t="inlineStr">
        <is>
          <t>2025.2Q</t>
        </is>
      </c>
      <c r="I162" s="5" t="inlineStr">
        <is>
          <t>2025.3Q</t>
        </is>
      </c>
      <c r="J162" s="5" t="inlineStr">
        <is>
          <t>2025.4Q</t>
        </is>
      </c>
      <c r="K162" s="5" t="inlineStr">
        <is>
          <t>2026.1Q</t>
        </is>
      </c>
      <c r="L162" s="5" t="inlineStr">
        <is>
          <t>2026.2Q</t>
        </is>
      </c>
      <c r="M162" s="5" t="inlineStr">
        <is>
          <t>2026.3Q</t>
        </is>
      </c>
      <c r="N162" s="5" t="inlineStr">
        <is>
          <t>2026.4Q</t>
        </is>
      </c>
      <c r="O162" s="5" t="inlineStr">
        <is>
          <t>2017</t>
        </is>
      </c>
      <c r="P162" s="5" t="inlineStr">
        <is>
          <t>2018</t>
        </is>
      </c>
      <c r="Q162" s="5" t="inlineStr">
        <is>
          <t>2019</t>
        </is>
      </c>
      <c r="R162" s="5" t="inlineStr">
        <is>
          <t>2020</t>
        </is>
      </c>
      <c r="S162" s="5" t="inlineStr">
        <is>
          <t>2021</t>
        </is>
      </c>
      <c r="T162" s="5" t="inlineStr">
        <is>
          <t>2022</t>
        </is>
      </c>
      <c r="U162" s="5" t="inlineStr">
        <is>
          <t>2023</t>
        </is>
      </c>
      <c r="V162" s="5" t="inlineStr">
        <is>
          <t>2024</t>
        </is>
      </c>
      <c r="W162" s="5" t="inlineStr">
        <is>
          <t>2025</t>
        </is>
      </c>
      <c r="X162" s="5" t="inlineStr">
        <is>
          <t>2026</t>
        </is>
      </c>
      <c r="Y162" s="5" t="inlineStr">
        <is>
          <t>2027(MW)</t>
        </is>
      </c>
      <c r="Z162" s="5" t="inlineStr">
        <is>
          <t>2028(MW)</t>
        </is>
      </c>
      <c r="AA162" s="5" t="inlineStr">
        <is>
          <t>2029(MW)</t>
        </is>
      </c>
      <c r="AB162" s="5" t="inlineStr">
        <is>
          <t>2030(MW)</t>
        </is>
      </c>
      <c r="AC162" s="5" t="inlineStr">
        <is>
          <t>2031(MW)</t>
        </is>
      </c>
    </row>
    <row r="163">
      <c r="A163" s="18" t="inlineStr">
        <is>
          <t>5G 인프라 지원사업 · 외부 고객 매출</t>
        </is>
      </c>
      <c r="C163" s="20" t="n">
        <v>1868.099</v>
      </c>
      <c r="D163" s="20" t="n">
        <v>1946.389</v>
      </c>
      <c r="E163" s="20" t="n">
        <v>1951.285</v>
      </c>
      <c r="F163" s="20" t="n">
        <v>1966.562</v>
      </c>
      <c r="G163" s="20" t="n">
        <v>2019.861</v>
      </c>
      <c r="H163" s="20" t="n">
        <v>2112.374</v>
      </c>
      <c r="I163" s="20" t="n">
        <v>2178.533</v>
      </c>
      <c r="J163" s="20" t="n">
        <v>2240.722</v>
      </c>
      <c r="K163" s="20" t="n">
        <v>2400.263</v>
      </c>
      <c r="L163" s="20" t="n">
        <v>2512.497</v>
      </c>
      <c r="M163" s="20" t="n">
        <v>2537.235</v>
      </c>
      <c r="N163" s="20" t="n">
        <v>2583.278</v>
      </c>
      <c r="V163" s="20" t="n">
        <v>1966.562</v>
      </c>
      <c r="W163" s="20" t="n">
        <v>2240.722</v>
      </c>
      <c r="X163" s="20" t="n">
        <v>2583.278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5G 생활양식 지원사업 · 외부 고객 매출</t>
        </is>
      </c>
      <c r="C165" s="20" t="n">
        <v>7572.473</v>
      </c>
      <c r="D165" s="20" t="n">
        <v>6026.073</v>
      </c>
      <c r="E165" s="20" t="n">
        <v>6220.898</v>
      </c>
      <c r="F165" s="20" t="n">
        <v>6670.094</v>
      </c>
      <c r="G165" s="20" t="n">
        <v>6184.531</v>
      </c>
      <c r="H165" s="20" t="n">
        <v>6373.083</v>
      </c>
      <c r="I165" s="20" t="n">
        <v>6514.174</v>
      </c>
      <c r="J165" s="20" t="n">
        <v>7081.979</v>
      </c>
      <c r="K165" s="20" t="n">
        <v>6879.232</v>
      </c>
      <c r="L165" s="20" t="n">
        <v>7020.592</v>
      </c>
      <c r="M165" s="20" t="n">
        <v>6993.363</v>
      </c>
      <c r="N165" s="20" t="n">
        <v>7733.451</v>
      </c>
      <c r="V165" s="20" t="n">
        <v>6670.094</v>
      </c>
      <c r="W165" s="20" t="n">
        <v>7081.979</v>
      </c>
      <c r="X165" s="20" t="n">
        <v>7733.451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기업·크리에이터 5G DX 지원사업 · 외부 고객 매출</t>
        </is>
      </c>
      <c r="C167" s="20" t="n">
        <v>4599.489</v>
      </c>
      <c r="D167" s="20" t="n">
        <v>5060.496</v>
      </c>
      <c r="E167" s="20" t="n">
        <v>4746.948</v>
      </c>
      <c r="F167" s="20" t="n">
        <v>4408.784</v>
      </c>
      <c r="G167" s="20" t="n">
        <v>5086.612</v>
      </c>
      <c r="H167" s="20" t="n">
        <v>4846.457</v>
      </c>
      <c r="I167" s="20" t="n">
        <v>5235.331</v>
      </c>
      <c r="J167" s="20" t="n">
        <v>5199.548</v>
      </c>
      <c r="K167" s="20" t="n">
        <v>5898.186</v>
      </c>
      <c r="L167" s="20" t="n">
        <v>6088.585</v>
      </c>
      <c r="M167" s="20" t="n">
        <v>5858.206</v>
      </c>
      <c r="N167" s="20" t="n">
        <v>6237.141</v>
      </c>
      <c r="V167" s="20" t="n">
        <v>4408.784</v>
      </c>
      <c r="W167" s="20" t="n">
        <v>5199.548</v>
      </c>
      <c r="X167" s="20" t="n">
        <v>6237.141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기타 · 외부 고객 매출</t>
        </is>
      </c>
      <c r="C169" s="20" t="n">
        <v>0</v>
      </c>
      <c r="D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V169" s="20" t="n">
        <v>0</v>
      </c>
      <c r="W169" s="20" t="n">
        <v>0</v>
      </c>
      <c r="X169" s="20" t="n">
        <v>0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합계 · 외부 고객 매출</t>
        </is>
      </c>
      <c r="C171" s="20" t="n">
        <v>14040.063</v>
      </c>
      <c r="D171" s="20" t="n">
        <v>13032.958</v>
      </c>
      <c r="E171" s="20" t="n">
        <v>12919.13</v>
      </c>
      <c r="F171" s="20" t="n">
        <v>13045.441</v>
      </c>
      <c r="G171" s="20" t="n">
        <v>13291.005</v>
      </c>
      <c r="H171" s="20" t="n">
        <v>13331.914</v>
      </c>
      <c r="I171" s="20" t="n">
        <v>13928.038</v>
      </c>
      <c r="J171" s="20" t="n">
        <v>14522.249</v>
      </c>
      <c r="K171" s="20" t="n">
        <v>15177.682</v>
      </c>
      <c r="L171" s="20" t="n">
        <v>15621.674</v>
      </c>
      <c r="M171" s="20" t="n">
        <v>15388.804</v>
      </c>
      <c r="N171" s="20" t="n">
        <v>16553.87</v>
      </c>
      <c r="V171" s="20" t="n">
        <v>13045.441</v>
      </c>
      <c r="W171" s="20" t="n">
        <v>14522.249</v>
      </c>
      <c r="X171" s="20" t="n">
        <v>16553.87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5G 인프라 지원사업 · 부문 간 내부매출·대체</t>
        </is>
      </c>
      <c r="C173" s="20" t="n">
        <v>559.433</v>
      </c>
      <c r="D173" s="20" t="n">
        <v>550.413</v>
      </c>
      <c r="E173" s="20" t="n">
        <v>548.974</v>
      </c>
      <c r="F173" s="20" t="n">
        <v>541.038</v>
      </c>
      <c r="G173" s="20" t="n">
        <v>527.263</v>
      </c>
      <c r="H173" s="20" t="n">
        <v>506.855</v>
      </c>
      <c r="I173" s="20" t="n">
        <v>494.027</v>
      </c>
      <c r="J173" s="20" t="n">
        <v>488.241</v>
      </c>
      <c r="K173" s="20" t="n">
        <v>469.234</v>
      </c>
      <c r="L173" s="20" t="n">
        <v>468.257</v>
      </c>
      <c r="M173" s="20" t="n">
        <v>445.081</v>
      </c>
      <c r="N173" s="20" t="n">
        <v>441.478</v>
      </c>
      <c r="V173" s="20" t="n">
        <v>541.038</v>
      </c>
      <c r="W173" s="20" t="n">
        <v>488.241</v>
      </c>
      <c r="X173" s="20" t="n">
        <v>441.478</v>
      </c>
    </row>
    <row r="174">
      <c r="A174" s="18" t="inlineStr">
        <is>
          <t>5G 생활양식 지원사업 · 부문 간 내부매출·대체</t>
        </is>
      </c>
      <c r="C174" s="20" t="n">
        <v>27.852</v>
      </c>
      <c r="D174" s="20" t="n">
        <v>28.266</v>
      </c>
      <c r="E174" s="20" t="n">
        <v>28.256</v>
      </c>
      <c r="F174" s="20" t="n">
        <v>38.509</v>
      </c>
      <c r="G174" s="20" t="n">
        <v>29.433</v>
      </c>
      <c r="H174" s="20" t="n">
        <v>32.241</v>
      </c>
      <c r="I174" s="20" t="n">
        <v>43.292</v>
      </c>
      <c r="J174" s="20" t="n">
        <v>48.889</v>
      </c>
      <c r="K174" s="20" t="n">
        <v>39.611</v>
      </c>
      <c r="L174" s="20" t="n">
        <v>37.792</v>
      </c>
      <c r="M174" s="20" t="n">
        <v>43.779</v>
      </c>
      <c r="N174" s="20" t="n">
        <v>48.337</v>
      </c>
      <c r="V174" s="20" t="n">
        <v>38.509</v>
      </c>
      <c r="W174" s="20" t="n">
        <v>48.889</v>
      </c>
      <c r="X174" s="20" t="n">
        <v>48.337</v>
      </c>
    </row>
    <row r="175">
      <c r="A175" s="18" t="inlineStr">
        <is>
          <t>기업·크리에이터 5G DX 지원사업 · 부문 간 내부매출·대체</t>
        </is>
      </c>
      <c r="C175" s="20" t="n">
        <v>68.73699999999999</v>
      </c>
      <c r="D175" s="20" t="n">
        <v>70.29600000000001</v>
      </c>
      <c r="E175" s="20" t="n">
        <v>108.541</v>
      </c>
      <c r="F175" s="20" t="n">
        <v>214.953</v>
      </c>
      <c r="G175" s="20" t="n">
        <v>75.246</v>
      </c>
      <c r="H175" s="20" t="n">
        <v>67.262</v>
      </c>
      <c r="I175" s="20" t="n">
        <v>63.739</v>
      </c>
      <c r="J175" s="20" t="n">
        <v>125.227</v>
      </c>
      <c r="K175" s="20" t="n">
        <v>75.754</v>
      </c>
      <c r="L175" s="20" t="n">
        <v>74.872</v>
      </c>
      <c r="M175" s="20" t="n">
        <v>58.789</v>
      </c>
      <c r="N175" s="20" t="n">
        <v>83.142</v>
      </c>
      <c r="V175" s="20" t="n">
        <v>214.953</v>
      </c>
      <c r="W175" s="20" t="n">
        <v>125.227</v>
      </c>
      <c r="X175" s="20" t="n">
        <v>83.142</v>
      </c>
    </row>
    <row r="176">
      <c r="A176" s="18" t="inlineStr">
        <is>
          <t>기타 · 부문 간 내부매출·대체</t>
        </is>
      </c>
      <c r="C176" s="20" t="n">
        <v>0</v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0</v>
      </c>
      <c r="N176" s="20" t="n">
        <v>0</v>
      </c>
      <c r="V176" s="20" t="n">
        <v>0</v>
      </c>
      <c r="W176" s="20" t="n">
        <v>0</v>
      </c>
      <c r="X176" s="20" t="n">
        <v>0</v>
      </c>
    </row>
    <row r="177">
      <c r="A177" s="18" t="inlineStr">
        <is>
          <t>합계 · 부문 간 내부매출·대체</t>
        </is>
      </c>
      <c r="C177" s="20" t="n">
        <v>656.024</v>
      </c>
      <c r="D177" s="20" t="n">
        <v>648.974</v>
      </c>
      <c r="E177" s="20" t="n">
        <v>685.771</v>
      </c>
      <c r="F177" s="20" t="n">
        <v>794.499</v>
      </c>
      <c r="G177" s="20" t="n">
        <v>631.943</v>
      </c>
      <c r="H177" s="20" t="n">
        <v>606.3579999999999</v>
      </c>
      <c r="I177" s="20" t="n">
        <v>601.058</v>
      </c>
      <c r="J177" s="20" t="n">
        <v>662.357</v>
      </c>
      <c r="K177" s="20" t="n">
        <v>584.601</v>
      </c>
      <c r="L177" s="20" t="n">
        <v>580.92</v>
      </c>
      <c r="M177" s="20" t="n">
        <v>547.65</v>
      </c>
      <c r="N177" s="20" t="n">
        <v>572.956</v>
      </c>
      <c r="V177" s="20" t="n">
        <v>794.499</v>
      </c>
      <c r="W177" s="20" t="n">
        <v>662.357</v>
      </c>
      <c r="X177" s="20" t="n">
        <v>572.956</v>
      </c>
    </row>
    <row r="178">
      <c r="A178" s="18" t="inlineStr">
        <is>
          <t>5G 인프라 지원사업 · 계</t>
        </is>
      </c>
      <c r="C178" s="20" t="n">
        <v>2427.533</v>
      </c>
      <c r="D178" s="20" t="n">
        <v>2496.801</v>
      </c>
      <c r="E178" s="20" t="n">
        <v>2500.26</v>
      </c>
      <c r="F178" s="20" t="n">
        <v>2507.599</v>
      </c>
      <c r="G178" s="20" t="n">
        <v>2547.124</v>
      </c>
      <c r="H178" s="20" t="n">
        <v>2619.229</v>
      </c>
      <c r="I178" s="20" t="n">
        <v>2672.56</v>
      </c>
      <c r="J178" s="20" t="n">
        <v>2728.964</v>
      </c>
      <c r="K178" s="20" t="n">
        <v>2869.498</v>
      </c>
      <c r="L178" s="20" t="n">
        <v>2980.753</v>
      </c>
      <c r="M178" s="20" t="n">
        <v>2982.317</v>
      </c>
      <c r="N178" s="20" t="n">
        <v>3024.756</v>
      </c>
      <c r="V178" s="20" t="n">
        <v>2507.599</v>
      </c>
      <c r="W178" s="20" t="n">
        <v>2728.964</v>
      </c>
      <c r="X178" s="20" t="n">
        <v>3024.756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5G 생활양식 지원사업 · 계</t>
        </is>
      </c>
      <c r="C180" s="20" t="n">
        <v>7600.326</v>
      </c>
      <c r="D180" s="20" t="n">
        <v>6054.339</v>
      </c>
      <c r="E180" s="20" t="n">
        <v>6249.153</v>
      </c>
      <c r="F180" s="20" t="n">
        <v>6708.604</v>
      </c>
      <c r="G180" s="20" t="n">
        <v>6213.965</v>
      </c>
      <c r="H180" s="20" t="n">
        <v>6405.324</v>
      </c>
      <c r="I180" s="20" t="n">
        <v>6557.466</v>
      </c>
      <c r="J180" s="20" t="n">
        <v>7130.867</v>
      </c>
      <c r="K180" s="20" t="n">
        <v>6918.844</v>
      </c>
      <c r="L180" s="20" t="n">
        <v>7058.384</v>
      </c>
      <c r="M180" s="20" t="n">
        <v>7037.142</v>
      </c>
      <c r="N180" s="20" t="n">
        <v>7781.788</v>
      </c>
      <c r="V180" s="20" t="n">
        <v>6708.604</v>
      </c>
      <c r="W180" s="20" t="n">
        <v>7130.867</v>
      </c>
      <c r="X180" s="20" t="n">
        <v>7781.788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기업·크리에이터 5G DX 지원사업 · 계</t>
        </is>
      </c>
      <c r="C182" s="20" t="n">
        <v>4668.227</v>
      </c>
      <c r="D182" s="20" t="n">
        <v>5130.792</v>
      </c>
      <c r="E182" s="20" t="n">
        <v>4855.488</v>
      </c>
      <c r="F182" s="20" t="n">
        <v>4623.738</v>
      </c>
      <c r="G182" s="20" t="n">
        <v>5161.859</v>
      </c>
      <c r="H182" s="20" t="n">
        <v>4913.719</v>
      </c>
      <c r="I182" s="20" t="n">
        <v>5299.07</v>
      </c>
      <c r="J182" s="20" t="n">
        <v>5324.775</v>
      </c>
      <c r="K182" s="20" t="n">
        <v>5973.94</v>
      </c>
      <c r="L182" s="20" t="n">
        <v>6163.458</v>
      </c>
      <c r="M182" s="20" t="n">
        <v>5916.995</v>
      </c>
      <c r="N182" s="20" t="n">
        <v>6320.282</v>
      </c>
      <c r="V182" s="20" t="n">
        <v>4623.738</v>
      </c>
      <c r="W182" s="20" t="n">
        <v>5324.775</v>
      </c>
      <c r="X182" s="20" t="n">
        <v>6320.282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기타 · 계</t>
        </is>
      </c>
      <c r="C184" s="20" t="n">
        <v>0</v>
      </c>
      <c r="D184" s="20" t="n">
        <v>0</v>
      </c>
      <c r="E184" s="20" t="n">
        <v>0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0</v>
      </c>
      <c r="K184" s="20" t="n">
        <v>0</v>
      </c>
      <c r="L184" s="20" t="n">
        <v>0</v>
      </c>
      <c r="M184" s="20" t="n">
        <v>0</v>
      </c>
      <c r="N184" s="20" t="n">
        <v>0</v>
      </c>
      <c r="V184" s="20" t="n">
        <v>0</v>
      </c>
      <c r="W184" s="20" t="n">
        <v>0</v>
      </c>
      <c r="X184" s="20" t="n">
        <v>0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합계 · 계</t>
        </is>
      </c>
      <c r="C186" s="20" t="n">
        <v>14696.087</v>
      </c>
      <c r="D186" s="20" t="n">
        <v>13681.932</v>
      </c>
      <c r="E186" s="20" t="n">
        <v>13604.901</v>
      </c>
      <c r="F186" s="20" t="n">
        <v>13839.94</v>
      </c>
      <c r="G186" s="20" t="n">
        <v>13922.948</v>
      </c>
      <c r="H186" s="20" t="n">
        <v>13938.273</v>
      </c>
      <c r="I186" s="20" t="n">
        <v>14529.096</v>
      </c>
      <c r="J186" s="20" t="n">
        <v>15184.605</v>
      </c>
      <c r="K186" s="20" t="n">
        <v>15762.283</v>
      </c>
      <c r="L186" s="20" t="n">
        <v>16202.595</v>
      </c>
      <c r="M186" s="20" t="n">
        <v>15936.454</v>
      </c>
      <c r="N186" s="20" t="n">
        <v>17126.825</v>
      </c>
      <c r="V186" s="20" t="n">
        <v>13839.94</v>
      </c>
      <c r="W186" s="20" t="n">
        <v>15184.605</v>
      </c>
      <c r="X186" s="20" t="n">
        <v>17126.825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5G 인프라 지원사업 · 부문 이익(손실)</t>
        </is>
      </c>
      <c r="C188" s="20" t="n">
        <v>462.705</v>
      </c>
      <c r="D188" s="20" t="n">
        <v>486.194</v>
      </c>
      <c r="E188" s="20" t="n">
        <v>471.958</v>
      </c>
      <c r="F188" s="20" t="n">
        <v>195.067</v>
      </c>
      <c r="G188" s="20" t="n">
        <v>325.094</v>
      </c>
      <c r="H188" s="20" t="n">
        <v>363.972</v>
      </c>
      <c r="I188" s="20" t="n">
        <v>367.298</v>
      </c>
      <c r="J188" s="20" t="n">
        <v>349.074</v>
      </c>
      <c r="K188" s="20" t="n">
        <v>498.299</v>
      </c>
      <c r="L188" s="20" t="n">
        <v>503.233</v>
      </c>
      <c r="M188" s="20" t="n">
        <v>466.368</v>
      </c>
      <c r="N188" s="20" t="n">
        <v>413.838</v>
      </c>
      <c r="V188" s="20" t="n">
        <v>195.067</v>
      </c>
      <c r="W188" s="20" t="n">
        <v>349.074</v>
      </c>
      <c r="X188" s="20" t="n">
        <v>413.838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IF(OR(C188="",C178=""),"",IF(C178&lt;=0,"",IFERROR(C188/C178,"")))</f>
        <v/>
      </c>
      <c r="D189" s="15">
        <f>IF(OR(D188="",D178=""),"",IF(D178&lt;=0,"",IFERROR(D188/D178,"")))</f>
        <v/>
      </c>
      <c r="E189" s="15">
        <f>IF(OR(E188="",E178=""),"",IF(E178&lt;=0,"",IFERROR(E188/E178,"")))</f>
        <v/>
      </c>
      <c r="F189" s="15">
        <f>IF(OR(F188="",F178=""),"",IF(F178&lt;=0,"",IFERROR(F188/F178,"")))</f>
        <v/>
      </c>
      <c r="G189" s="15">
        <f>IF(OR(G188="",G178=""),"",IF(G178&lt;=0,"",IFERROR(G188/G178,"")))</f>
        <v/>
      </c>
      <c r="H189" s="15">
        <f>IF(OR(H188="",H178=""),"",IF(H178&lt;=0,"",IFERROR(H188/H178,"")))</f>
        <v/>
      </c>
      <c r="I189" s="15">
        <f>IF(OR(I188="",I178=""),"",IF(I178&lt;=0,"",IFERROR(I188/I178,"")))</f>
        <v/>
      </c>
      <c r="J189" s="15">
        <f>IF(OR(J188="",J178=""),"",IF(J178&lt;=0,"",IFERROR(J188/J178,"")))</f>
        <v/>
      </c>
      <c r="K189" s="15">
        <f>IF(OR(K188="",K178=""),"",IF(K178&lt;=0,"",IFERROR(K188/K178,"")))</f>
        <v/>
      </c>
      <c r="L189" s="15">
        <f>IF(OR(L188="",L178=""),"",IF(L178&lt;=0,"",IFERROR(L188/L178,"")))</f>
        <v/>
      </c>
      <c r="M189" s="15">
        <f>IF(OR(M188="",M178=""),"",IF(M178&lt;=0,"",IFERROR(M188/M178,"")))</f>
        <v/>
      </c>
      <c r="N189" s="15">
        <f>IF(OR(N188="",N178=""),"",IF(N178&lt;=0,"",IFERROR(N188/N178,"")))</f>
        <v/>
      </c>
      <c r="V189" s="15">
        <f>IF(OR(V188="",V178=""),"",IF(V178&lt;=0,"",IFERROR(V188/V178,"")))</f>
        <v/>
      </c>
      <c r="W189" s="15">
        <f>IF(OR(W188="",W178=""),"",IF(W178&lt;=0,"",IFERROR(W188/W178,"")))</f>
        <v/>
      </c>
      <c r="X189" s="15">
        <f>IF(OR(X188="",X178=""),"",IF(X178&lt;=0,"",IFERROR(X188/X178,"")))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5G 생활양식 지원사업 · 부문 이익(손실)</t>
        </is>
      </c>
      <c r="C191" s="20" t="n">
        <v>1008.644</v>
      </c>
      <c r="D191" s="20" t="n">
        <v>692.992</v>
      </c>
      <c r="E191" s="20" t="n">
        <v>794.552</v>
      </c>
      <c r="F191" s="20" t="n">
        <v>708.601</v>
      </c>
      <c r="G191" s="20" t="n">
        <v>769.109</v>
      </c>
      <c r="H191" s="20" t="n">
        <v>868.813</v>
      </c>
      <c r="I191" s="20" t="n">
        <v>1032.981</v>
      </c>
      <c r="J191" s="20" t="n">
        <v>874.676</v>
      </c>
      <c r="K191" s="20" t="n">
        <v>917.7809999999999</v>
      </c>
      <c r="L191" s="20" t="n">
        <v>1078.212</v>
      </c>
      <c r="M191" s="20" t="n">
        <v>1030.985</v>
      </c>
      <c r="N191" s="20" t="n">
        <v>1191.93</v>
      </c>
      <c r="V191" s="20" t="n">
        <v>708.601</v>
      </c>
      <c r="W191" s="20" t="n">
        <v>874.676</v>
      </c>
      <c r="X191" s="20" t="n">
        <v>1191.93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IF(OR(C191="",C180=""),"",IF(C180&lt;=0,"",IFERROR(C191/C180,"")))</f>
        <v/>
      </c>
      <c r="D192" s="15">
        <f>IF(OR(D191="",D180=""),"",IF(D180&lt;=0,"",IFERROR(D191/D180,"")))</f>
        <v/>
      </c>
      <c r="E192" s="15">
        <f>IF(OR(E191="",E180=""),"",IF(E180&lt;=0,"",IFERROR(E191/E180,"")))</f>
        <v/>
      </c>
      <c r="F192" s="15">
        <f>IF(OR(F191="",F180=""),"",IF(F180&lt;=0,"",IFERROR(F191/F180,"")))</f>
        <v/>
      </c>
      <c r="G192" s="15">
        <f>IF(OR(G191="",G180=""),"",IF(G180&lt;=0,"",IFERROR(G191/G180,"")))</f>
        <v/>
      </c>
      <c r="H192" s="15">
        <f>IF(OR(H191="",H180=""),"",IF(H180&lt;=0,"",IFERROR(H191/H180,"")))</f>
        <v/>
      </c>
      <c r="I192" s="15">
        <f>IF(OR(I191="",I180=""),"",IF(I180&lt;=0,"",IFERROR(I191/I180,"")))</f>
        <v/>
      </c>
      <c r="J192" s="15">
        <f>IF(OR(J191="",J180=""),"",IF(J180&lt;=0,"",IFERROR(J191/J180,"")))</f>
        <v/>
      </c>
      <c r="K192" s="15">
        <f>IF(OR(K191="",K180=""),"",IF(K180&lt;=0,"",IFERROR(K191/K180,"")))</f>
        <v/>
      </c>
      <c r="L192" s="15">
        <f>IF(OR(L191="",L180=""),"",IF(L180&lt;=0,"",IFERROR(L191/L180,"")))</f>
        <v/>
      </c>
      <c r="M192" s="15">
        <f>IF(OR(M191="",M180=""),"",IF(M180&lt;=0,"",IFERROR(M191/M180,"")))</f>
        <v/>
      </c>
      <c r="N192" s="15">
        <f>IF(OR(N191="",N180=""),"",IF(N180&lt;=0,"",IFERROR(N191/N180,"")))</f>
        <v/>
      </c>
      <c r="V192" s="15">
        <f>IF(OR(V191="",V180=""),"",IF(V180&lt;=0,"",IFERROR(V191/V180,"")))</f>
        <v/>
      </c>
      <c r="W192" s="15">
        <f>IF(OR(W191="",W180=""),"",IF(W180&lt;=0,"",IFERROR(W191/W180,"")))</f>
        <v/>
      </c>
      <c r="X192" s="15">
        <f>IF(OR(X191="",X180=""),"",IF(X180&lt;=0,"",IFERROR(X191/X180,"")))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M193" s="15">
        <f>IF(OR(M191="",I191=""),"",IF(I191&lt;=0,"",IFERROR(M191/I191-1,"")))</f>
        <v/>
      </c>
      <c r="N193" s="15">
        <f>IF(OR(N191="",J191=""),"",IF(J191&lt;=0,"",IFERROR(N191/J191-1,"")))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  <c r="X193" s="15">
        <f>IF(OR(X191="",W191=""),"",IF(W191&lt;=0,"",IFERROR(X191/W191-1,"")))</f>
        <v/>
      </c>
    </row>
    <row r="194">
      <c r="A194" s="18" t="inlineStr">
        <is>
          <t>기업·크리에이터 5G DX 지원사업 · 부문 이익(손실)</t>
        </is>
      </c>
      <c r="C194" s="20" t="n">
        <v>198.947</v>
      </c>
      <c r="D194" s="20" t="n">
        <v>232.215</v>
      </c>
      <c r="E194" s="20" t="n">
        <v>339.849</v>
      </c>
      <c r="F194" s="20" t="n">
        <v>338.186</v>
      </c>
      <c r="G194" s="20" t="n">
        <v>373.414</v>
      </c>
      <c r="H194" s="20" t="n">
        <v>335.829</v>
      </c>
      <c r="I194" s="20" t="n">
        <v>267.236</v>
      </c>
      <c r="J194" s="20" t="n">
        <v>-22.031</v>
      </c>
      <c r="K194" s="20" t="n">
        <v>271.956</v>
      </c>
      <c r="L194" s="20" t="n">
        <v>197.455</v>
      </c>
      <c r="M194" s="20" t="n">
        <v>150.344</v>
      </c>
      <c r="N194" s="20" t="n">
        <v>181.171</v>
      </c>
      <c r="V194" s="20" t="n">
        <v>338.186</v>
      </c>
      <c r="W194" s="20" t="n">
        <v>-22.031</v>
      </c>
      <c r="X194" s="20" t="n">
        <v>181.171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IF(OR(C194="",C182=""),"",IF(C182&lt;=0,"",IFERROR(C194/C182,"")))</f>
        <v/>
      </c>
      <c r="D195" s="15">
        <f>IF(OR(D194="",D182=""),"",IF(D182&lt;=0,"",IFERROR(D194/D182,"")))</f>
        <v/>
      </c>
      <c r="E195" s="15">
        <f>IF(OR(E194="",E182=""),"",IF(E182&lt;=0,"",IFERROR(E194/E182,"")))</f>
        <v/>
      </c>
      <c r="F195" s="15">
        <f>IF(OR(F194="",F182=""),"",IF(F182&lt;=0,"",IFERROR(F194/F182,"")))</f>
        <v/>
      </c>
      <c r="G195" s="15">
        <f>IF(OR(G194="",G182=""),"",IF(G182&lt;=0,"",IFERROR(G194/G182,"")))</f>
        <v/>
      </c>
      <c r="H195" s="15">
        <f>IF(OR(H194="",H182=""),"",IF(H182&lt;=0,"",IFERROR(H194/H182,"")))</f>
        <v/>
      </c>
      <c r="I195" s="15">
        <f>IF(OR(I194="",I182=""),"",IF(I182&lt;=0,"",IFERROR(I194/I182,"")))</f>
        <v/>
      </c>
      <c r="J195" s="15">
        <f>IF(OR(J194="",J182=""),"",IF(J182&lt;=0,"",IFERROR(J194/J182,"")))</f>
        <v/>
      </c>
      <c r="K195" s="15">
        <f>IF(OR(K194="",K182=""),"",IF(K182&lt;=0,"",IFERROR(K194/K182,"")))</f>
        <v/>
      </c>
      <c r="L195" s="15">
        <f>IF(OR(L194="",L182=""),"",IF(L182&lt;=0,"",IFERROR(L194/L182,"")))</f>
        <v/>
      </c>
      <c r="M195" s="15">
        <f>IF(OR(M194="",M182=""),"",IF(M182&lt;=0,"",IFERROR(M194/M182,"")))</f>
        <v/>
      </c>
      <c r="N195" s="15">
        <f>IF(OR(N194="",N182=""),"",IF(N182&lt;=0,"",IFERROR(N194/N182,"")))</f>
        <v/>
      </c>
      <c r="V195" s="15">
        <f>IF(OR(V194="",V182=""),"",IF(V182&lt;=0,"",IFERROR(V194/V182,"")))</f>
        <v/>
      </c>
      <c r="W195" s="15">
        <f>IF(OR(W194="",W182=""),"",IF(W182&lt;=0,"",IFERROR(W194/W182,"")))</f>
        <v/>
      </c>
      <c r="X195" s="15">
        <f>IF(OR(X194="",X182=""),"",IF(X182&lt;=0,"",IFERROR(X194/X182,"")))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기타 · 부문 이익(손실)</t>
        </is>
      </c>
      <c r="C197" s="20" t="n">
        <v>-5.381</v>
      </c>
      <c r="D197" s="20" t="n">
        <v>-5.172</v>
      </c>
      <c r="E197" s="20" t="n">
        <v>-5.084</v>
      </c>
      <c r="F197" s="20" t="n">
        <v>-5.116</v>
      </c>
      <c r="G197" s="20" t="n">
        <v>-5.438</v>
      </c>
      <c r="H197" s="20" t="n">
        <v>-5.283</v>
      </c>
      <c r="I197" s="20" t="n">
        <v>-5.3</v>
      </c>
      <c r="J197" s="20" t="n">
        <v>-5.08</v>
      </c>
      <c r="K197" s="20" t="n">
        <v>-5.467</v>
      </c>
      <c r="L197" s="20" t="n">
        <v>-5.311</v>
      </c>
      <c r="M197" s="20" t="n">
        <v>-5.217</v>
      </c>
      <c r="N197" s="20" t="n">
        <v>-5.118</v>
      </c>
      <c r="V197" s="20" t="n">
        <v>-5.116</v>
      </c>
      <c r="W197" s="20" t="n">
        <v>-5.08</v>
      </c>
      <c r="X197" s="20" t="n">
        <v>-5.118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IF(OR(C197="",C184=""),"",IF(C184&lt;=0,"",IFERROR(C197/C184,"")))</f>
        <v/>
      </c>
      <c r="D198" s="15">
        <f>IF(OR(D197="",D184=""),"",IF(D184&lt;=0,"",IFERROR(D197/D184,"")))</f>
        <v/>
      </c>
      <c r="E198" s="15">
        <f>IF(OR(E197="",E184=""),"",IF(E184&lt;=0,"",IFERROR(E197/E184,"")))</f>
        <v/>
      </c>
      <c r="F198" s="15">
        <f>IF(OR(F197="",F184=""),"",IF(F184&lt;=0,"",IFERROR(F197/F184,"")))</f>
        <v/>
      </c>
      <c r="G198" s="15">
        <f>IF(OR(G197="",G184=""),"",IF(G184&lt;=0,"",IFERROR(G197/G184,"")))</f>
        <v/>
      </c>
      <c r="H198" s="15">
        <f>IF(OR(H197="",H184=""),"",IF(H184&lt;=0,"",IFERROR(H197/H184,"")))</f>
        <v/>
      </c>
      <c r="I198" s="15">
        <f>IF(OR(I197="",I184=""),"",IF(I184&lt;=0,"",IFERROR(I197/I184,"")))</f>
        <v/>
      </c>
      <c r="J198" s="15">
        <f>IF(OR(J197="",J184=""),"",IF(J184&lt;=0,"",IFERROR(J197/J184,"")))</f>
        <v/>
      </c>
      <c r="K198" s="15">
        <f>IF(OR(K197="",K184=""),"",IF(K184&lt;=0,"",IFERROR(K197/K184,"")))</f>
        <v/>
      </c>
      <c r="L198" s="15">
        <f>IF(OR(L197="",L184=""),"",IF(L184&lt;=0,"",IFERROR(L197/L184,"")))</f>
        <v/>
      </c>
      <c r="M198" s="15">
        <f>IF(OR(M197="",M184=""),"",IF(M184&lt;=0,"",IFERROR(M197/M184,"")))</f>
        <v/>
      </c>
      <c r="N198" s="15">
        <f>IF(OR(N197="",N184=""),"",IF(N184&lt;=0,"",IFERROR(N197/N184,"")))</f>
        <v/>
      </c>
      <c r="V198" s="15">
        <f>IF(OR(V197="",V184=""),"",IF(V184&lt;=0,"",IFERROR(V197/V184,"")))</f>
        <v/>
      </c>
      <c r="W198" s="15">
        <f>IF(OR(W197="",W184=""),"",IF(W184&lt;=0,"",IFERROR(W197/W184,"")))</f>
        <v/>
      </c>
      <c r="X198" s="15">
        <f>IF(OR(X197="",X184=""),"",IF(X184&lt;=0,"",IFERROR(X197/X184,"")))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합계 · 부문 이익(손실)</t>
        </is>
      </c>
      <c r="C200" s="20" t="n">
        <v>1664.916</v>
      </c>
      <c r="D200" s="20" t="n">
        <v>1406.228</v>
      </c>
      <c r="E200" s="20" t="n">
        <v>1601.275</v>
      </c>
      <c r="F200" s="20" t="n">
        <v>1236.739</v>
      </c>
      <c r="G200" s="20" t="n">
        <v>1462.181</v>
      </c>
      <c r="H200" s="20" t="n">
        <v>1563.329</v>
      </c>
      <c r="I200" s="20" t="n">
        <v>1662.216</v>
      </c>
      <c r="J200" s="20" t="n">
        <v>1196.639</v>
      </c>
      <c r="K200" s="20" t="n">
        <v>1682.57</v>
      </c>
      <c r="L200" s="20" t="n">
        <v>1773.588</v>
      </c>
      <c r="M200" s="20" t="n">
        <v>1642.481</v>
      </c>
      <c r="N200" s="20" t="n">
        <v>1781.82</v>
      </c>
      <c r="V200" s="20" t="n">
        <v>1236.739</v>
      </c>
      <c r="W200" s="20" t="n">
        <v>1196.639</v>
      </c>
      <c r="X200" s="20" t="n">
        <v>1781.82</v>
      </c>
    </row>
    <row r="201">
      <c r="A201" s="43" t="inlineStr">
        <is>
          <t>OPM</t>
        </is>
      </c>
      <c r="B201" s="3" t="inlineStr">
        <is>
          <t>영업이익 ÷ 매출</t>
        </is>
      </c>
      <c r="C201" s="15">
        <f>IF(OR(C200="",C186=""),"",IF(C186&lt;=0,"",IFERROR(C200/C186,"")))</f>
        <v/>
      </c>
      <c r="D201" s="15">
        <f>IF(OR(D200="",D186=""),"",IF(D186&lt;=0,"",IFERROR(D200/D186,"")))</f>
        <v/>
      </c>
      <c r="E201" s="15">
        <f>IF(OR(E200="",E186=""),"",IF(E186&lt;=0,"",IFERROR(E200/E186,"")))</f>
        <v/>
      </c>
      <c r="F201" s="15">
        <f>IF(OR(F200="",F186=""),"",IF(F186&lt;=0,"",IFERROR(F200/F186,"")))</f>
        <v/>
      </c>
      <c r="G201" s="15">
        <f>IF(OR(G200="",G186=""),"",IF(G186&lt;=0,"",IFERROR(G200/G186,"")))</f>
        <v/>
      </c>
      <c r="H201" s="15">
        <f>IF(OR(H200="",H186=""),"",IF(H186&lt;=0,"",IFERROR(H200/H186,"")))</f>
        <v/>
      </c>
      <c r="I201" s="15">
        <f>IF(OR(I200="",I186=""),"",IF(I186&lt;=0,"",IFERROR(I200/I186,"")))</f>
        <v/>
      </c>
      <c r="J201" s="15">
        <f>IF(OR(J200="",J186=""),"",IF(J186&lt;=0,"",IFERROR(J200/J186,"")))</f>
        <v/>
      </c>
      <c r="K201" s="15">
        <f>IF(OR(K200="",K186=""),"",IF(K186&lt;=0,"",IFERROR(K200/K186,"")))</f>
        <v/>
      </c>
      <c r="L201" s="15">
        <f>IF(OR(L200="",L186=""),"",IF(L186&lt;=0,"",IFERROR(L200/L186,"")))</f>
        <v/>
      </c>
      <c r="M201" s="15">
        <f>IF(OR(M200="",M186=""),"",IF(M186&lt;=0,"",IFERROR(M200/M186,"")))</f>
        <v/>
      </c>
      <c r="N201" s="15">
        <f>IF(OR(N200="",N186=""),"",IF(N186&lt;=0,"",IFERROR(N200/N186,"")))</f>
        <v/>
      </c>
      <c r="V201" s="15">
        <f>IF(OR(V200="",V186=""),"",IF(V186&lt;=0,"",IFERROR(V200/V186,"")))</f>
        <v/>
      </c>
      <c r="W201" s="15">
        <f>IF(OR(W200="",W186=""),"",IF(W186&lt;=0,"",IFERROR(W200/W186,"")))</f>
        <v/>
      </c>
      <c r="X201" s="15">
        <f>IF(OR(X200="",X186=""),"",IF(X186&lt;=0,"",IFERROR(X200/X186,"")))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IF(OR(G200="",C200=""),"",IF(C200&lt;=0,"",IFERROR(G200/C200-1,"")))</f>
        <v/>
      </c>
      <c r="H202" s="15">
        <f>IF(OR(H200="",D200=""),"",IF(D200&lt;=0,"",IFERROR(H200/D200-1,"")))</f>
        <v/>
      </c>
      <c r="I202" s="15">
        <f>IF(OR(I200="",E200=""),"",IF(E200&lt;=0,"",IFERROR(I200/E200-1,"")))</f>
        <v/>
      </c>
      <c r="J202" s="15">
        <f>IF(OR(J200="",F200=""),"",IF(F200&lt;=0,"",IFERROR(J200/F200-1,"")))</f>
        <v/>
      </c>
      <c r="K202" s="15">
        <f>IF(OR(K200="",G200=""),"",IF(G200&lt;=0,"",IFERROR(K200/G200-1,"")))</f>
        <v/>
      </c>
      <c r="L202" s="15">
        <f>IF(OR(L200="",H200=""),"",IF(H200&lt;=0,"",IFERROR(L200/H200-1,"")))</f>
        <v/>
      </c>
      <c r="M202" s="15">
        <f>IF(OR(M200="",I200=""),"",IF(I200&lt;=0,"",IFERROR(M200/I200-1,"")))</f>
        <v/>
      </c>
      <c r="N202" s="15">
        <f>IF(OR(N200="",J200=""),"",IF(J200&lt;=0,"",IFERROR(N200/J200-1,"")))</f>
        <v/>
      </c>
      <c r="V202" s="15">
        <f>IF(OR(V200="",U200=""),"",IF(U200&lt;=0,"",IFERROR(V200/U200-1,"")))</f>
        <v/>
      </c>
      <c r="W202" s="15">
        <f>IF(OR(W200="",V200=""),"",IF(V200&lt;=0,"",IFERROR(W200/V200-1,"")))</f>
        <v/>
      </c>
      <c r="X202" s="15">
        <f>IF(OR(X200="",W200=""),"",IF(W200&lt;=0,"",IFERROR(X200/W200-1,"")))</f>
        <v/>
      </c>
    </row>
    <row r="203">
      <c r="A203" s="18" t="inlineStr">
        <is>
          <t>조정액 · 외부 고객 매출</t>
        </is>
      </c>
      <c r="C203" s="20" t="n">
        <v>0</v>
      </c>
      <c r="D203" s="20" t="n">
        <v>0</v>
      </c>
      <c r="E203" s="20" t="n">
        <v>0</v>
      </c>
      <c r="F203" s="20" t="n">
        <v>0</v>
      </c>
      <c r="G203" s="20" t="n">
        <v>0</v>
      </c>
      <c r="H203" s="20" t="n">
        <v>0</v>
      </c>
      <c r="I203" s="20" t="n">
        <v>0</v>
      </c>
      <c r="J203" s="20" t="n">
        <v>0</v>
      </c>
      <c r="K203" s="20" t="n">
        <v>0</v>
      </c>
      <c r="L203" s="20" t="n">
        <v>0</v>
      </c>
      <c r="M203" s="20" t="n">
        <v>0</v>
      </c>
      <c r="N203" s="20" t="n">
        <v>0</v>
      </c>
      <c r="V203" s="20" t="n">
        <v>0</v>
      </c>
      <c r="W203" s="20" t="n">
        <v>0</v>
      </c>
      <c r="X203" s="20" t="n">
        <v>0</v>
      </c>
    </row>
    <row r="204">
      <c r="A204" s="9" t="inlineStr">
        <is>
          <t>외부 고객 매출</t>
        </is>
      </c>
      <c r="C204" s="12" t="n">
        <v>14040.063</v>
      </c>
      <c r="D204" s="12" t="n">
        <v>13032.958</v>
      </c>
      <c r="E204" s="12" t="n">
        <v>12919.13</v>
      </c>
      <c r="F204" s="12" t="n">
        <v>13045.441</v>
      </c>
      <c r="G204" s="12" t="n">
        <v>13291.005</v>
      </c>
      <c r="H204" s="12" t="n">
        <v>13331.914</v>
      </c>
      <c r="I204" s="12" t="n">
        <v>13928.038</v>
      </c>
      <c r="J204" s="12" t="n">
        <v>14522.249</v>
      </c>
      <c r="K204" s="12" t="n">
        <v>15177.682</v>
      </c>
      <c r="L204" s="12" t="n">
        <v>15621.674</v>
      </c>
      <c r="M204" s="12" t="n">
        <v>15388.804</v>
      </c>
      <c r="N204" s="12" t="n">
        <v>16553.87</v>
      </c>
      <c r="V204" s="12" t="n">
        <v>13045.441</v>
      </c>
      <c r="W204" s="12" t="n">
        <v>14522.249</v>
      </c>
      <c r="X204" s="12" t="n">
        <v>16553.87</v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IF(OR(G204="",C204=""),"",IF(C204&lt;=0,"",IFERROR(G204/C204-1,"")))</f>
        <v/>
      </c>
      <c r="H205" s="15">
        <f>IF(OR(H204="",D204=""),"",IF(D204&lt;=0,"",IFERROR(H204/D204-1,"")))</f>
        <v/>
      </c>
      <c r="I205" s="15">
        <f>IF(OR(I204="",E204=""),"",IF(E204&lt;=0,"",IFERROR(I204/E204-1,"")))</f>
        <v/>
      </c>
      <c r="J205" s="15">
        <f>IF(OR(J204="",F204=""),"",IF(F204&lt;=0,"",IFERROR(J204/F204-1,"")))</f>
        <v/>
      </c>
      <c r="K205" s="15">
        <f>IF(OR(K204="",G204=""),"",IF(G204&lt;=0,"",IFERROR(K204/G204-1,"")))</f>
        <v/>
      </c>
      <c r="L205" s="15">
        <f>IF(OR(L204="",H204=""),"",IF(H204&lt;=0,"",IFERROR(L204/H204-1,"")))</f>
        <v/>
      </c>
      <c r="M205" s="15">
        <f>IF(OR(M204="",I204=""),"",IF(I204&lt;=0,"",IFERROR(M204/I204-1,"")))</f>
        <v/>
      </c>
      <c r="N205" s="15">
        <f>IF(OR(N204="",J204=""),"",IF(J204&lt;=0,"",IFERROR(N204/J204-1,"")))</f>
        <v/>
      </c>
      <c r="V205" s="15">
        <f>IF(OR(V204="",U204=""),"",IF(U204&lt;=0,"",IFERROR(V204/U204-1,"")))</f>
        <v/>
      </c>
      <c r="W205" s="15">
        <f>IF(OR(W204="",V204=""),"",IF(V204&lt;=0,"",IFERROR(W204/V204-1,"")))</f>
        <v/>
      </c>
      <c r="X205" s="15">
        <f>IF(OR(X204="",W204=""),"",IF(W204&lt;=0,"",IFERROR(X204/W204-1,"")))</f>
        <v/>
      </c>
    </row>
    <row r="206">
      <c r="A206" s="18" t="inlineStr">
        <is>
          <t>조정액 · 부문 간 내부매출·대체</t>
        </is>
      </c>
      <c r="C206" s="20" t="n">
        <v>-656.024</v>
      </c>
      <c r="D206" s="20" t="n">
        <v>-648.974</v>
      </c>
      <c r="E206" s="20" t="n">
        <v>-685.771</v>
      </c>
      <c r="F206" s="20" t="n">
        <v>-794.499</v>
      </c>
      <c r="G206" s="20" t="n">
        <v>-631.943</v>
      </c>
      <c r="H206" s="20" t="n">
        <v>-606.3579999999999</v>
      </c>
      <c r="I206" s="20" t="n">
        <v>-601.058</v>
      </c>
      <c r="J206" s="20" t="n">
        <v>-662.357</v>
      </c>
      <c r="K206" s="20" t="n">
        <v>-584.601</v>
      </c>
      <c r="L206" s="20" t="n">
        <v>-580.92</v>
      </c>
      <c r="M206" s="20" t="n">
        <v>-547.65</v>
      </c>
      <c r="N206" s="20" t="n">
        <v>-572.956</v>
      </c>
      <c r="V206" s="20" t="n">
        <v>-794.499</v>
      </c>
      <c r="W206" s="20" t="n">
        <v>-662.357</v>
      </c>
      <c r="X206" s="20" t="n">
        <v>-572.956</v>
      </c>
    </row>
    <row r="207">
      <c r="A207" s="18" t="inlineStr">
        <is>
          <t>부문 간 내부매출·대체</t>
        </is>
      </c>
      <c r="C207" s="20" t="n">
        <v>0</v>
      </c>
      <c r="D207" s="20" t="n">
        <v>0</v>
      </c>
      <c r="E207" s="20" t="n">
        <v>0</v>
      </c>
      <c r="F207" s="20" t="n">
        <v>0</v>
      </c>
      <c r="G207" s="20" t="n">
        <v>0</v>
      </c>
      <c r="H207" s="20" t="n">
        <v>0</v>
      </c>
      <c r="I207" s="20" t="n">
        <v>0</v>
      </c>
      <c r="J207" s="20" t="n">
        <v>0</v>
      </c>
      <c r="K207" s="20" t="n">
        <v>0</v>
      </c>
      <c r="L207" s="20" t="n">
        <v>0</v>
      </c>
      <c r="M207" s="20" t="n">
        <v>0</v>
      </c>
      <c r="N207" s="20" t="n">
        <v>0</v>
      </c>
      <c r="V207" s="20" t="n">
        <v>0</v>
      </c>
      <c r="W207" s="20" t="n">
        <v>0</v>
      </c>
      <c r="X207" s="20" t="n">
        <v>0</v>
      </c>
    </row>
    <row r="208">
      <c r="A208" s="18" t="inlineStr">
        <is>
          <t>조정액 · 계</t>
        </is>
      </c>
      <c r="C208" s="20" t="n">
        <v>-656.024</v>
      </c>
      <c r="D208" s="20" t="n">
        <v>-648.974</v>
      </c>
      <c r="E208" s="20" t="n">
        <v>-685.771</v>
      </c>
      <c r="F208" s="20" t="n">
        <v>-794.499</v>
      </c>
      <c r="G208" s="20" t="n">
        <v>-631.943</v>
      </c>
      <c r="H208" s="20" t="n">
        <v>-606.3579999999999</v>
      </c>
      <c r="I208" s="20" t="n">
        <v>-601.058</v>
      </c>
      <c r="J208" s="20" t="n">
        <v>-662.357</v>
      </c>
      <c r="K208" s="20" t="n">
        <v>-584.601</v>
      </c>
      <c r="L208" s="20" t="n">
        <v>-580.92</v>
      </c>
      <c r="M208" s="20" t="n">
        <v>-547.65</v>
      </c>
      <c r="N208" s="20" t="n">
        <v>-572.956</v>
      </c>
      <c r="V208" s="20" t="n">
        <v>-794.499</v>
      </c>
      <c r="W208" s="20" t="n">
        <v>-662.357</v>
      </c>
      <c r="X208" s="20" t="n">
        <v>-572.956</v>
      </c>
    </row>
    <row r="209">
      <c r="A209" s="9" t="inlineStr">
        <is>
          <t>계</t>
        </is>
      </c>
      <c r="C209" s="12" t="n">
        <v>14040.063</v>
      </c>
      <c r="D209" s="12" t="n">
        <v>13032.958</v>
      </c>
      <c r="E209" s="12" t="n">
        <v>12919.13</v>
      </c>
      <c r="F209" s="12" t="n">
        <v>13045.441</v>
      </c>
      <c r="G209" s="12" t="n">
        <v>13291.005</v>
      </c>
      <c r="H209" s="12" t="n">
        <v>13331.914</v>
      </c>
      <c r="I209" s="12" t="n">
        <v>13928.038</v>
      </c>
      <c r="J209" s="12" t="n">
        <v>14522.249</v>
      </c>
      <c r="K209" s="12" t="n">
        <v>15177.682</v>
      </c>
      <c r="L209" s="12" t="n">
        <v>15621.674</v>
      </c>
      <c r="M209" s="12" t="n">
        <v>15388.804</v>
      </c>
      <c r="N209" s="12" t="n">
        <v>16553.87</v>
      </c>
      <c r="V209" s="12" t="n">
        <v>13045.441</v>
      </c>
      <c r="W209" s="12" t="n">
        <v>14522.249</v>
      </c>
      <c r="X209" s="12" t="n">
        <v>16553.87</v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G210" s="15">
        <f>IF(OR(G209="",C209=""),"",IF(C209&lt;=0,"",IFERROR(G209/C209-1,"")))</f>
        <v/>
      </c>
      <c r="H210" s="15">
        <f>IF(OR(H209="",D209=""),"",IF(D209&lt;=0,"",IFERROR(H209/D209-1,"")))</f>
        <v/>
      </c>
      <c r="I210" s="15">
        <f>IF(OR(I209="",E209=""),"",IF(E209&lt;=0,"",IFERROR(I209/E209-1,"")))</f>
        <v/>
      </c>
      <c r="J210" s="15">
        <f>IF(OR(J209="",F209=""),"",IF(F209&lt;=0,"",IFERROR(J209/F209-1,"")))</f>
        <v/>
      </c>
      <c r="K210" s="15">
        <f>IF(OR(K209="",G209=""),"",IF(G209&lt;=0,"",IFERROR(K209/G209-1,"")))</f>
        <v/>
      </c>
      <c r="L210" s="15">
        <f>IF(OR(L209="",H209=""),"",IF(H209&lt;=0,"",IFERROR(L209/H209-1,"")))</f>
        <v/>
      </c>
      <c r="M210" s="15">
        <f>IF(OR(M209="",I209=""),"",IF(I209&lt;=0,"",IFERROR(M209/I209-1,"")))</f>
        <v/>
      </c>
      <c r="N210" s="15">
        <f>IF(OR(N209="",J209=""),"",IF(J209&lt;=0,"",IFERROR(N209/J209-1,"")))</f>
        <v/>
      </c>
      <c r="V210" s="15">
        <f>IF(OR(V209="",U209=""),"",IF(U209&lt;=0,"",IFERROR(V209/U209-1,"")))</f>
        <v/>
      </c>
      <c r="W210" s="15">
        <f>IF(OR(W209="",V209=""),"",IF(V209&lt;=0,"",IFERROR(W209/V209-1,"")))</f>
        <v/>
      </c>
      <c r="X210" s="15">
        <f>IF(OR(X209="",W209=""),"",IF(W209&lt;=0,"",IFERROR(X209/W209-1,"")))</f>
        <v/>
      </c>
    </row>
    <row r="211">
      <c r="A211" s="18" t="inlineStr">
        <is>
          <t>조정액 · 부문 이익(손실)</t>
        </is>
      </c>
      <c r="C211" s="20" t="n">
        <v>-0.228</v>
      </c>
      <c r="D211" s="20" t="n">
        <v>0.747</v>
      </c>
      <c r="E211" s="20" t="n">
        <v>-2.724</v>
      </c>
      <c r="F211" s="20" t="n">
        <v>-19.25</v>
      </c>
      <c r="G211" s="20" t="n">
        <v>0.6899999999999999</v>
      </c>
      <c r="H211" s="20" t="n">
        <v>-1.304</v>
      </c>
      <c r="I211" s="20" t="n">
        <v>3.179</v>
      </c>
      <c r="J211" s="20" t="n">
        <v>-3.146</v>
      </c>
      <c r="K211" s="20" t="n">
        <v>4.658</v>
      </c>
      <c r="L211" s="20" t="n">
        <v>2.877</v>
      </c>
      <c r="M211" s="20" t="n">
        <v>4.75</v>
      </c>
      <c r="N211" s="20" t="n">
        <v>-3.81</v>
      </c>
      <c r="V211" s="20" t="n">
        <v>-19.25</v>
      </c>
      <c r="W211" s="20" t="n">
        <v>-3.146</v>
      </c>
      <c r="X211" s="20" t="n">
        <v>-3.81</v>
      </c>
    </row>
    <row r="212">
      <c r="A212" s="9" t="inlineStr">
        <is>
          <t>부문 이익(손실)</t>
        </is>
      </c>
      <c r="C212" s="12" t="n">
        <v>1664.687</v>
      </c>
      <c r="D212" s="12" t="n">
        <v>1406.977</v>
      </c>
      <c r="E212" s="12" t="n">
        <v>1598.549</v>
      </c>
      <c r="F212" s="12" t="n">
        <v>1217.489</v>
      </c>
      <c r="G212" s="12" t="n">
        <v>1462.871</v>
      </c>
      <c r="H212" s="12" t="n">
        <v>1562.025</v>
      </c>
      <c r="I212" s="12" t="n">
        <v>1665.396</v>
      </c>
      <c r="J212" s="12" t="n">
        <v>1193.491</v>
      </c>
      <c r="K212" s="12" t="n">
        <v>1687.229</v>
      </c>
      <c r="L212" s="12" t="n">
        <v>1776.465</v>
      </c>
      <c r="M212" s="12" t="n">
        <v>1647.231</v>
      </c>
      <c r="N212" s="12" t="n">
        <v>1778.009</v>
      </c>
      <c r="V212" s="12" t="n">
        <v>1217.489</v>
      </c>
      <c r="W212" s="12" t="n">
        <v>1193.491</v>
      </c>
      <c r="X212" s="12" t="n">
        <v>1778.009</v>
      </c>
    </row>
    <row r="213">
      <c r="A213" s="43" t="inlineStr">
        <is>
          <t>OPM</t>
        </is>
      </c>
      <c r="B213" s="3" t="inlineStr">
        <is>
          <t>영업이익 ÷ 매출</t>
        </is>
      </c>
      <c r="C213" s="15">
        <f>IF(OR(C212="",C204=""),"",IF(C204&lt;=0,"",IFERROR(C212/C204,"")))</f>
        <v/>
      </c>
      <c r="D213" s="15">
        <f>IF(OR(D212="",D204=""),"",IF(D204&lt;=0,"",IFERROR(D212/D204,"")))</f>
        <v/>
      </c>
      <c r="E213" s="15">
        <f>IF(OR(E212="",E204=""),"",IF(E204&lt;=0,"",IFERROR(E212/E204,"")))</f>
        <v/>
      </c>
      <c r="F213" s="15">
        <f>IF(OR(F212="",F204=""),"",IF(F204&lt;=0,"",IFERROR(F212/F204,"")))</f>
        <v/>
      </c>
      <c r="G213" s="15">
        <f>IF(OR(G212="",G204=""),"",IF(G204&lt;=0,"",IFERROR(G212/G204,"")))</f>
        <v/>
      </c>
      <c r="H213" s="15">
        <f>IF(OR(H212="",H204=""),"",IF(H204&lt;=0,"",IFERROR(H212/H204,"")))</f>
        <v/>
      </c>
      <c r="I213" s="15">
        <f>IF(OR(I212="",I204=""),"",IF(I204&lt;=0,"",IFERROR(I212/I204,"")))</f>
        <v/>
      </c>
      <c r="J213" s="15">
        <f>IF(OR(J212="",J204=""),"",IF(J204&lt;=0,"",IFERROR(J212/J204,"")))</f>
        <v/>
      </c>
      <c r="K213" s="15">
        <f>IF(OR(K212="",K204=""),"",IF(K204&lt;=0,"",IFERROR(K212/K204,"")))</f>
        <v/>
      </c>
      <c r="L213" s="15">
        <f>IF(OR(L212="",L204=""),"",IF(L204&lt;=0,"",IFERROR(L212/L204,"")))</f>
        <v/>
      </c>
      <c r="M213" s="15">
        <f>IF(OR(M212="",M204=""),"",IF(M204&lt;=0,"",IFERROR(M212/M204,"")))</f>
        <v/>
      </c>
      <c r="N213" s="15">
        <f>IF(OR(N212="",N204=""),"",IF(N204&lt;=0,"",IFERROR(N212/N204,"")))</f>
        <v/>
      </c>
      <c r="V213" s="15">
        <f>IF(OR(V212="",V204=""),"",IF(V204&lt;=0,"",IFERROR(V212/V204,"")))</f>
        <v/>
      </c>
      <c r="W213" s="15">
        <f>IF(OR(W212="",W204=""),"",IF(W204&lt;=0,"",IFERROR(W212/W204,"")))</f>
        <v/>
      </c>
      <c r="X213" s="15">
        <f>IF(OR(X212="",X204=""),"",IF(X204&lt;=0,"",IFERROR(X212/X204,"")))</f>
        <v/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G214" s="15">
        <f>IF(OR(G212="",C212=""),"",IF(C212&lt;=0,"",IFERROR(G212/C212-1,"")))</f>
        <v/>
      </c>
      <c r="H214" s="15">
        <f>IF(OR(H212="",D212=""),"",IF(D212&lt;=0,"",IFERROR(H212/D212-1,"")))</f>
        <v/>
      </c>
      <c r="I214" s="15">
        <f>IF(OR(I212="",E212=""),"",IF(E212&lt;=0,"",IFERROR(I212/E212-1,"")))</f>
        <v/>
      </c>
      <c r="J214" s="15">
        <f>IF(OR(J212="",F212=""),"",IF(F212&lt;=0,"",IFERROR(J212/F212-1,"")))</f>
        <v/>
      </c>
      <c r="K214" s="15">
        <f>IF(OR(K212="",G212=""),"",IF(G212&lt;=0,"",IFERROR(K212/G212-1,"")))</f>
        <v/>
      </c>
      <c r="L214" s="15">
        <f>IF(OR(L212="",H212=""),"",IF(H212&lt;=0,"",IFERROR(L212/H212-1,"")))</f>
        <v/>
      </c>
      <c r="M214" s="15">
        <f>IF(OR(M212="",I212=""),"",IF(I212&lt;=0,"",IFERROR(M212/I212-1,"")))</f>
        <v/>
      </c>
      <c r="N214" s="15">
        <f>IF(OR(N212="",J212=""),"",IF(J212&lt;=0,"",IFERROR(N212/J212-1,"")))</f>
        <v/>
      </c>
      <c r="V214" s="15">
        <f>IF(OR(V212="",U212=""),"",IF(U212&lt;=0,"",IFERROR(V212/U212-1,"")))</f>
        <v/>
      </c>
      <c r="W214" s="15">
        <f>IF(OR(W212="",V212=""),"",IF(V212&lt;=0,"",IFERROR(W212/V212-1,"")))</f>
        <v/>
      </c>
      <c r="X214" s="15">
        <f>IF(OR(X212="",W212=""),"",IF(W212&lt;=0,"",IFERROR(X212/W212-1,"")))</f>
        <v/>
      </c>
    </row>
    <row r="216">
      <c r="A216" s="16" t="inlineStr">
        <is>
          <t>현금흐름표 · 전 항목</t>
        </is>
      </c>
      <c r="B216" s="42" t="inlineStr">
        <is>
          <t>분기 = 결산기 첫날부터 누계(공시 그대로)</t>
        </is>
      </c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</row>
    <row r="217">
      <c r="A217" s="5" t="inlineStr">
        <is>
          <t>항목</t>
        </is>
      </c>
      <c r="B217" s="5" t="inlineStr">
        <is>
          <t>참고</t>
        </is>
      </c>
      <c r="C217" s="5" t="inlineStr">
        <is>
          <t>2024.1Q</t>
        </is>
      </c>
      <c r="D217" s="5" t="inlineStr">
        <is>
          <t>2024.2Q</t>
        </is>
      </c>
      <c r="E217" s="5" t="inlineStr">
        <is>
          <t>2024.3Q</t>
        </is>
      </c>
      <c r="F217" s="5" t="inlineStr">
        <is>
          <t>2024.4Q</t>
        </is>
      </c>
      <c r="G217" s="5" t="inlineStr">
        <is>
          <t>2025.1Q</t>
        </is>
      </c>
      <c r="H217" s="5" t="inlineStr">
        <is>
          <t>2025.2Q</t>
        </is>
      </c>
      <c r="I217" s="5" t="inlineStr">
        <is>
          <t>2025.3Q</t>
        </is>
      </c>
      <c r="J217" s="5" t="inlineStr">
        <is>
          <t>2025.4Q</t>
        </is>
      </c>
      <c r="K217" s="5" t="inlineStr">
        <is>
          <t>2026.1Q</t>
        </is>
      </c>
      <c r="L217" s="5" t="inlineStr">
        <is>
          <t>2026.2Q</t>
        </is>
      </c>
      <c r="M217" s="5" t="inlineStr">
        <is>
          <t>2026.3Q</t>
        </is>
      </c>
      <c r="N217" s="5" t="inlineStr">
        <is>
          <t>2026.4Q</t>
        </is>
      </c>
      <c r="O217" s="5" t="inlineStr">
        <is>
          <t>2017</t>
        </is>
      </c>
      <c r="P217" s="5" t="inlineStr">
        <is>
          <t>2018</t>
        </is>
      </c>
      <c r="Q217" s="5" t="inlineStr">
        <is>
          <t>2019</t>
        </is>
      </c>
      <c r="R217" s="5" t="inlineStr">
        <is>
          <t>2020</t>
        </is>
      </c>
      <c r="S217" s="5" t="inlineStr">
        <is>
          <t>2021</t>
        </is>
      </c>
      <c r="T217" s="5" t="inlineStr">
        <is>
          <t>2022</t>
        </is>
      </c>
      <c r="U217" s="5" t="inlineStr">
        <is>
          <t>2023</t>
        </is>
      </c>
      <c r="V217" s="5" t="inlineStr">
        <is>
          <t>2024</t>
        </is>
      </c>
      <c r="W217" s="5" t="inlineStr">
        <is>
          <t>2025</t>
        </is>
      </c>
      <c r="X217" s="5" t="inlineStr">
        <is>
          <t>2026</t>
        </is>
      </c>
      <c r="Y217" s="5" t="inlineStr">
        <is>
          <t>2027(MW)</t>
        </is>
      </c>
      <c r="Z217" s="5" t="inlineStr">
        <is>
          <t>2028(MW)</t>
        </is>
      </c>
      <c r="AA217" s="5" t="inlineStr">
        <is>
          <t>2029(MW)</t>
        </is>
      </c>
      <c r="AB217" s="5" t="inlineStr">
        <is>
          <t>2030(MW)</t>
        </is>
      </c>
      <c r="AC217" s="5" t="inlineStr">
        <is>
          <t>2031(MW)</t>
        </is>
      </c>
    </row>
    <row r="218">
      <c r="A218" s="9" t="inlineStr">
        <is>
          <t>법인세차감전 순이익</t>
        </is>
      </c>
      <c r="D218" s="12" t="n">
        <v>3271.427</v>
      </c>
      <c r="F218" s="12" t="n">
        <v>5877.587</v>
      </c>
      <c r="H218" s="12" t="n">
        <v>3070.338</v>
      </c>
      <c r="J218" s="12" t="n">
        <v>5074.007</v>
      </c>
      <c r="L218" s="12" t="n">
        <v>3472.908</v>
      </c>
      <c r="N218" s="12" t="n">
        <v>6477.719</v>
      </c>
      <c r="O218" s="12" t="n">
        <v>659.939</v>
      </c>
      <c r="P218" s="12" t="n">
        <v>783.991</v>
      </c>
      <c r="Q218" s="12" t="n">
        <v>2159.303</v>
      </c>
      <c r="R218" s="12" t="n">
        <v>1253.257</v>
      </c>
      <c r="S218" s="12" t="n">
        <v>3682.125</v>
      </c>
      <c r="T218" s="12" t="n">
        <v>2671.319</v>
      </c>
      <c r="U218" s="12" t="n">
        <v>3442.606</v>
      </c>
      <c r="V218" s="12" t="n">
        <v>5877.587</v>
      </c>
      <c r="W218" s="12" t="n">
        <v>5074.007</v>
      </c>
      <c r="X218" s="12" t="n">
        <v>6477.719</v>
      </c>
    </row>
    <row r="219">
      <c r="A219" s="18" t="inlineStr">
        <is>
          <t>감가상각비</t>
        </is>
      </c>
      <c r="D219" s="20" t="n">
        <v>367.791</v>
      </c>
      <c r="F219" s="20" t="n">
        <v>753.606</v>
      </c>
      <c r="H219" s="20" t="n">
        <v>331.751</v>
      </c>
      <c r="J219" s="20" t="n">
        <v>692.553</v>
      </c>
      <c r="L219" s="20" t="n">
        <v>328.007</v>
      </c>
      <c r="N219" s="20" t="n">
        <v>610.954</v>
      </c>
      <c r="O219" s="20" t="n">
        <v>743.36</v>
      </c>
      <c r="P219" s="20" t="n">
        <v>1069.213</v>
      </c>
      <c r="Q219" s="20" t="n">
        <v>1625.325</v>
      </c>
      <c r="R219" s="20" t="n">
        <v>2060.401</v>
      </c>
      <c r="S219" s="20" t="n">
        <v>1470.077</v>
      </c>
      <c r="T219" s="20" t="n">
        <v>1022.136</v>
      </c>
      <c r="U219" s="20" t="n">
        <v>890.5170000000001</v>
      </c>
      <c r="V219" s="20" t="n">
        <v>753.606</v>
      </c>
      <c r="W219" s="20" t="n">
        <v>692.553</v>
      </c>
      <c r="X219" s="20" t="n">
        <v>610.954</v>
      </c>
    </row>
    <row r="220">
      <c r="A220" s="18" t="inlineStr">
        <is>
          <t>손상차손</t>
        </is>
      </c>
      <c r="F220" s="20" t="n">
        <v>141.123</v>
      </c>
      <c r="H220" s="20" t="n">
        <v>0</v>
      </c>
      <c r="J220" s="20" t="n">
        <v>142.869</v>
      </c>
      <c r="L220" s="20" t="n">
        <v>298.73</v>
      </c>
      <c r="N220" s="20" t="n">
        <v>444.433</v>
      </c>
      <c r="O220" s="20" t="n">
        <v>81.599</v>
      </c>
      <c r="P220" s="20" t="n">
        <v>395.016</v>
      </c>
      <c r="Q220" s="20" t="n">
        <v>205.236</v>
      </c>
      <c r="R220" s="20" t="n">
        <v>1461.952</v>
      </c>
      <c r="S220" s="20" t="n">
        <v>766.707</v>
      </c>
      <c r="T220" s="20" t="n">
        <v>97.05200000000001</v>
      </c>
      <c r="U220" s="20" t="n">
        <v>36.898</v>
      </c>
      <c r="V220" s="20" t="n">
        <v>141.123</v>
      </c>
      <c r="W220" s="20" t="n">
        <v>142.869</v>
      </c>
      <c r="X220" s="20" t="n">
        <v>444.433</v>
      </c>
    </row>
    <row r="221">
      <c r="A221" s="18" t="inlineStr">
        <is>
          <t>관계회사 청산이익</t>
        </is>
      </c>
      <c r="O221" s="20" t="n">
        <v>-84.04300000000001</v>
      </c>
      <c r="P221" s="20" t="n">
        <v>0</v>
      </c>
    </row>
    <row r="222">
      <c r="A222" s="18" t="inlineStr">
        <is>
          <t>사업 철수 충당금 전입액</t>
        </is>
      </c>
      <c r="O222" s="20" t="n">
        <v>0</v>
      </c>
      <c r="P222" s="20" t="n">
        <v>103.619</v>
      </c>
      <c r="Q222" s="20" t="n">
        <v>0</v>
      </c>
    </row>
    <row r="223">
      <c r="A223" s="18" t="inlineStr">
        <is>
          <t>통신설비 제거비용 부담금</t>
        </is>
      </c>
      <c r="O223" s="20" t="n">
        <v>97.197</v>
      </c>
      <c r="P223" s="20" t="n">
        <v>92.566</v>
      </c>
      <c r="Q223" s="20" t="n">
        <v>0</v>
      </c>
    </row>
    <row r="224">
      <c r="A224" s="18" t="inlineStr">
        <is>
          <t>영업권 상각</t>
        </is>
      </c>
      <c r="D224" s="20" t="n">
        <v>9.371</v>
      </c>
      <c r="F224" s="20" t="n">
        <v>13.743</v>
      </c>
      <c r="H224" s="20" t="n">
        <v>0.854</v>
      </c>
      <c r="J224" s="20" t="n">
        <v>11.65</v>
      </c>
      <c r="L224" s="20" t="n">
        <v>10.604</v>
      </c>
      <c r="N224" s="20" t="n">
        <v>22.58</v>
      </c>
      <c r="O224" s="20" t="n">
        <v>747.948</v>
      </c>
      <c r="P224" s="20" t="n">
        <v>713.0650000000001</v>
      </c>
      <c r="Q224" s="20" t="n">
        <v>754.535</v>
      </c>
      <c r="R224" s="20" t="n">
        <v>988.359</v>
      </c>
      <c r="S224" s="20" t="n">
        <v>252.254</v>
      </c>
      <c r="T224" s="20" t="n">
        <v>40.183</v>
      </c>
      <c r="U224" s="20" t="n">
        <v>37.437</v>
      </c>
      <c r="V224" s="20" t="n">
        <v>13.743</v>
      </c>
      <c r="W224" s="20" t="n">
        <v>11.65</v>
      </c>
      <c r="X224" s="20" t="n">
        <v>22.58</v>
      </c>
    </row>
    <row r="225">
      <c r="A225" s="18" t="inlineStr">
        <is>
          <t>대손충당금 증감</t>
        </is>
      </c>
      <c r="D225" s="20" t="n">
        <v>-3.898</v>
      </c>
      <c r="F225" s="20" t="n">
        <v>-16.898</v>
      </c>
      <c r="H225" s="20" t="n">
        <v>2.077</v>
      </c>
      <c r="J225" s="20" t="n">
        <v>38.422</v>
      </c>
      <c r="L225" s="20" t="n">
        <v>24.426</v>
      </c>
      <c r="N225" s="20" t="n">
        <v>31.074</v>
      </c>
      <c r="O225" s="20" t="n">
        <v>-7.392</v>
      </c>
      <c r="P225" s="20" t="n">
        <v>-19.562</v>
      </c>
      <c r="Q225" s="20" t="n">
        <v>-10.822</v>
      </c>
      <c r="R225" s="20" t="n">
        <v>10.94</v>
      </c>
      <c r="S225" s="20" t="n">
        <v>1524.167</v>
      </c>
      <c r="T225" s="20" t="n">
        <v>-60.882</v>
      </c>
      <c r="U225" s="20" t="n">
        <v>-16.843</v>
      </c>
      <c r="V225" s="20" t="n">
        <v>-16.898</v>
      </c>
      <c r="W225" s="20" t="n">
        <v>38.422</v>
      </c>
      <c r="X225" s="20" t="n">
        <v>31.074</v>
      </c>
    </row>
    <row r="226">
      <c r="A226" s="18" t="inlineStr">
        <is>
          <t>이자·배당금 수익</t>
        </is>
      </c>
      <c r="D226" s="20" t="n">
        <v>-0.8129999999999999</v>
      </c>
      <c r="F226" s="20" t="n">
        <v>-1.459</v>
      </c>
      <c r="H226" s="20" t="n">
        <v>-2.307</v>
      </c>
      <c r="J226" s="20" t="n">
        <v>-10.923</v>
      </c>
      <c r="L226" s="20" t="n">
        <v>-17.834</v>
      </c>
      <c r="N226" s="20" t="n">
        <v>-36.429</v>
      </c>
      <c r="O226" s="20" t="n">
        <v>-4.954</v>
      </c>
      <c r="P226" s="20" t="n">
        <v>-2.285</v>
      </c>
      <c r="Q226" s="20" t="n">
        <v>-1.022</v>
      </c>
      <c r="R226" s="20" t="n">
        <v>-0.664</v>
      </c>
      <c r="S226" s="20" t="n">
        <v>-0.757</v>
      </c>
      <c r="T226" s="20" t="n">
        <v>-0.293</v>
      </c>
      <c r="U226" s="20" t="n">
        <v>-0.742</v>
      </c>
      <c r="V226" s="20" t="n">
        <v>-1.459</v>
      </c>
      <c r="W226" s="20" t="n">
        <v>-10.923</v>
      </c>
      <c r="X226" s="20" t="n">
        <v>-36.429</v>
      </c>
    </row>
    <row r="227">
      <c r="A227" s="18" t="inlineStr">
        <is>
          <t>이자비용·사채이자</t>
        </is>
      </c>
      <c r="D227" s="20" t="n">
        <v>54.123</v>
      </c>
      <c r="F227" s="20" t="n">
        <v>99.39700000000001</v>
      </c>
      <c r="H227" s="20" t="n">
        <v>45.319</v>
      </c>
      <c r="J227" s="20" t="n">
        <v>111.55</v>
      </c>
      <c r="O227" s="20" t="n">
        <v>48.952</v>
      </c>
      <c r="P227" s="20" t="n">
        <v>77.678</v>
      </c>
      <c r="Q227" s="20" t="n">
        <v>131.455</v>
      </c>
      <c r="R227" s="20" t="n">
        <v>165.472</v>
      </c>
      <c r="S227" s="20" t="n">
        <v>140.771</v>
      </c>
      <c r="T227" s="20" t="n">
        <v>103.669</v>
      </c>
      <c r="U227" s="20" t="n">
        <v>113.717</v>
      </c>
      <c r="V227" s="20" t="n">
        <v>99.39700000000001</v>
      </c>
      <c r="W227" s="20" t="n">
        <v>111.55</v>
      </c>
    </row>
    <row r="228">
      <c r="A228" s="18" t="inlineStr">
        <is>
          <t>이자비용</t>
        </is>
      </c>
      <c r="H228" s="20" t="n">
        <v>45.319</v>
      </c>
      <c r="J228" s="20" t="n">
        <v>111.55</v>
      </c>
      <c r="L228" s="20" t="n">
        <v>112.841</v>
      </c>
      <c r="N228" s="20" t="n">
        <v>217.955</v>
      </c>
      <c r="W228" s="20" t="n">
        <v>111.55</v>
      </c>
      <c r="X228" s="20" t="n">
        <v>217.955</v>
      </c>
    </row>
    <row r="229">
      <c r="A229" s="18" t="inlineStr">
        <is>
          <t>외환차손익</t>
        </is>
      </c>
      <c r="D229" s="20" t="n">
        <v>-0.217</v>
      </c>
      <c r="F229" s="20" t="n">
        <v>-0.217</v>
      </c>
      <c r="H229" s="20" t="n">
        <v>-0.043</v>
      </c>
      <c r="J229" s="20" t="n">
        <v>0.306</v>
      </c>
      <c r="L229" s="20" t="n">
        <v>-0.06</v>
      </c>
      <c r="N229" s="20" t="n">
        <v>-0.296</v>
      </c>
      <c r="O229" s="20" t="n">
        <v>3.647</v>
      </c>
      <c r="P229" s="20" t="n">
        <v>0.006</v>
      </c>
      <c r="Q229" s="20" t="n">
        <v>-0.012</v>
      </c>
      <c r="R229" s="20" t="n">
        <v>4.102</v>
      </c>
      <c r="S229" s="20" t="n">
        <v>-16.103</v>
      </c>
      <c r="T229" s="20" t="n">
        <v>-18.276</v>
      </c>
      <c r="U229" s="20" t="n">
        <v>0.083</v>
      </c>
      <c r="V229" s="20" t="n">
        <v>-0.217</v>
      </c>
      <c r="W229" s="20" t="n">
        <v>0.306</v>
      </c>
      <c r="X229" s="20" t="n">
        <v>-0.296</v>
      </c>
    </row>
    <row r="230">
      <c r="A230" s="18" t="inlineStr">
        <is>
          <t>지분법손익</t>
        </is>
      </c>
      <c r="D230" s="20" t="n">
        <v>-2.09</v>
      </c>
      <c r="F230" s="20" t="n">
        <v>-2.223</v>
      </c>
      <c r="H230" s="20" t="n">
        <v>-0.122</v>
      </c>
      <c r="J230" s="20" t="n">
        <v>-0.245</v>
      </c>
      <c r="L230" s="20" t="n">
        <v>-0.117</v>
      </c>
      <c r="N230" s="20" t="n">
        <v>-0.243</v>
      </c>
      <c r="O230" s="20" t="n">
        <v>428.267</v>
      </c>
      <c r="P230" s="20" t="n">
        <v>315.088</v>
      </c>
      <c r="Q230" s="20" t="n">
        <v>244.648</v>
      </c>
      <c r="R230" s="20" t="n">
        <v>8.531000000000001</v>
      </c>
      <c r="S230" s="20" t="n">
        <v>-7.98</v>
      </c>
      <c r="T230" s="20" t="n">
        <v>0.118</v>
      </c>
      <c r="U230" s="20" t="n">
        <v>1.922</v>
      </c>
      <c r="V230" s="20" t="n">
        <v>-2.223</v>
      </c>
      <c r="W230" s="20" t="n">
        <v>-0.245</v>
      </c>
      <c r="X230" s="20" t="n">
        <v>-0.243</v>
      </c>
    </row>
    <row r="231">
      <c r="A231" s="18" t="inlineStr">
        <is>
          <t>투자유가증권 평가손익</t>
        </is>
      </c>
      <c r="F231" s="20" t="n">
        <v>53.044</v>
      </c>
      <c r="J231" s="20" t="n">
        <v>29.225</v>
      </c>
      <c r="S231" s="20" t="n">
        <v>-16.463</v>
      </c>
      <c r="T231" s="20" t="n">
        <v>119.883</v>
      </c>
      <c r="U231" s="20" t="n">
        <v>234.101</v>
      </c>
      <c r="V231" s="20" t="n">
        <v>53.044</v>
      </c>
      <c r="W231" s="20" t="n">
        <v>29.225</v>
      </c>
    </row>
    <row r="232">
      <c r="A232" s="18" t="inlineStr">
        <is>
          <t>투자유가증권 매각손익</t>
        </is>
      </c>
      <c r="D232" s="20" t="n">
        <v>-171.027</v>
      </c>
      <c r="F232" s="20" t="n">
        <v>-186.434</v>
      </c>
      <c r="H232" s="20" t="n">
        <v>-108.86</v>
      </c>
      <c r="J232" s="20" t="n">
        <v>-109.063</v>
      </c>
      <c r="L232" s="20" t="n">
        <v>0</v>
      </c>
      <c r="U232" s="20" t="n">
        <v>0</v>
      </c>
      <c r="V232" s="20" t="n">
        <v>-186.434</v>
      </c>
      <c r="W232" s="20" t="n">
        <v>-109.063</v>
      </c>
    </row>
    <row r="233">
      <c r="A233" s="18" t="inlineStr">
        <is>
          <t>관계회사 주식 매각손익</t>
        </is>
      </c>
      <c r="D233" s="20" t="n">
        <v>-86.462</v>
      </c>
      <c r="F233" s="20" t="n">
        <v>-86.462</v>
      </c>
      <c r="H233" s="20" t="n">
        <v>0</v>
      </c>
      <c r="J233" s="20" t="n">
        <v>0</v>
      </c>
      <c r="N233" s="20" t="n">
        <v>-43.144</v>
      </c>
      <c r="Q233" s="20" t="n">
        <v>0</v>
      </c>
      <c r="R233" s="20" t="n">
        <v>-113.002</v>
      </c>
      <c r="S233" s="20" t="n">
        <v>-2460.071</v>
      </c>
      <c r="T233" s="20" t="n">
        <v>0</v>
      </c>
      <c r="U233" s="20" t="n">
        <v>0</v>
      </c>
      <c r="V233" s="20" t="n">
        <v>-86.462</v>
      </c>
      <c r="W233" s="20" t="n">
        <v>0</v>
      </c>
      <c r="X233" s="20" t="n">
        <v>-43.144</v>
      </c>
    </row>
    <row r="234">
      <c r="A234" s="18" t="inlineStr">
        <is>
          <t>고정자산 제각·매각손익</t>
        </is>
      </c>
      <c r="R234" s="20" t="n">
        <v>1.167</v>
      </c>
      <c r="S234" s="20" t="n">
        <v>124.236</v>
      </c>
    </row>
    <row r="235">
      <c r="A235" s="18" t="inlineStr">
        <is>
          <t>계약 이전 부담비용</t>
        </is>
      </c>
      <c r="Q235" s="20" t="n">
        <v>0</v>
      </c>
      <c r="R235" s="20" t="n">
        <v>50</v>
      </c>
      <c r="S235" s="20" t="n">
        <v>0</v>
      </c>
    </row>
    <row r="236">
      <c r="A236" s="18" t="inlineStr">
        <is>
          <t>제품보증 관련비용</t>
        </is>
      </c>
      <c r="O236" s="20" t="n">
        <v>61.182</v>
      </c>
      <c r="P236" s="20" t="n">
        <v>0</v>
      </c>
      <c r="Q236" s="20" t="n">
        <v>200.016</v>
      </c>
      <c r="R236" s="20" t="n">
        <v>46.163</v>
      </c>
    </row>
    <row r="237">
      <c r="A237" s="18" t="inlineStr">
        <is>
          <t>사업분리 이전이익</t>
        </is>
      </c>
      <c r="Q237" s="20" t="n">
        <v>0</v>
      </c>
      <c r="R237" s="20" t="n">
        <v>-349.701</v>
      </c>
      <c r="S237" s="20" t="n">
        <v>0</v>
      </c>
    </row>
    <row r="238">
      <c r="A238" s="18" t="inlineStr">
        <is>
          <t>투자사업조합 청산손익(△는 이익)</t>
        </is>
      </c>
      <c r="H238" s="20" t="n">
        <v>0</v>
      </c>
      <c r="J238" s="20" t="n">
        <v>0</v>
      </c>
      <c r="L238" s="20" t="n">
        <v>-467.227</v>
      </c>
      <c r="N238" s="20" t="n">
        <v>-467.227</v>
      </c>
      <c r="W238" s="20" t="n">
        <v>0</v>
      </c>
      <c r="X238" s="20" t="n">
        <v>-467.227</v>
      </c>
    </row>
    <row r="239">
      <c r="A239" s="18" t="inlineStr">
        <is>
          <t>특별조사 비용 충당금 전입</t>
        </is>
      </c>
      <c r="J239" s="20" t="n">
        <v>0</v>
      </c>
      <c r="N239" s="20" t="n">
        <v>190.07</v>
      </c>
      <c r="W239" s="20" t="n">
        <v>0</v>
      </c>
      <c r="X239" s="20" t="n">
        <v>190.07</v>
      </c>
    </row>
    <row r="240">
      <c r="A240" s="18" t="inlineStr">
        <is>
          <t>매출채권 증감</t>
        </is>
      </c>
      <c r="D240" s="20" t="n">
        <v>-284.401</v>
      </c>
      <c r="F240" s="20" t="n">
        <v>-116.732</v>
      </c>
      <c r="H240" s="20" t="n">
        <v>65.95999999999999</v>
      </c>
      <c r="J240" s="20" t="n">
        <v>-147.459</v>
      </c>
      <c r="L240" s="20" t="n">
        <v>-465.413</v>
      </c>
      <c r="N240" s="20" t="n">
        <v>-892.639</v>
      </c>
      <c r="O240" s="20" t="n">
        <v>303.707</v>
      </c>
      <c r="P240" s="20" t="n">
        <v>-850.545</v>
      </c>
      <c r="Q240" s="20" t="n">
        <v>-2250.008</v>
      </c>
      <c r="R240" s="20" t="n">
        <v>-462.519</v>
      </c>
      <c r="S240" s="20" t="n">
        <v>168.565</v>
      </c>
      <c r="T240" s="20" t="n">
        <v>-1225.141</v>
      </c>
      <c r="U240" s="20" t="n">
        <v>-364.427</v>
      </c>
      <c r="V240" s="20" t="n">
        <v>-116.732</v>
      </c>
      <c r="W240" s="20" t="n">
        <v>-147.459</v>
      </c>
      <c r="X240" s="20" t="n">
        <v>-892.639</v>
      </c>
    </row>
    <row r="241">
      <c r="A241" s="18" t="inlineStr">
        <is>
          <t>재고자산 증감</t>
        </is>
      </c>
      <c r="D241" s="20" t="n">
        <v>-220.48</v>
      </c>
      <c r="F241" s="20" t="n">
        <v>-423.088</v>
      </c>
      <c r="H241" s="20" t="n">
        <v>-236.774</v>
      </c>
      <c r="J241" s="20" t="n">
        <v>32.741</v>
      </c>
      <c r="L241" s="20" t="n">
        <v>77.48699999999999</v>
      </c>
      <c r="N241" s="20" t="n">
        <v>653.001</v>
      </c>
      <c r="O241" s="20" t="n">
        <v>490.014</v>
      </c>
      <c r="P241" s="20" t="n">
        <v>-151.759</v>
      </c>
      <c r="Q241" s="20" t="n">
        <v>-192.335</v>
      </c>
      <c r="R241" s="20" t="n">
        <v>-206.29</v>
      </c>
      <c r="S241" s="20" t="n">
        <v>-566.117</v>
      </c>
      <c r="T241" s="20" t="n">
        <v>-111.543</v>
      </c>
      <c r="U241" s="20" t="n">
        <v>-208.045</v>
      </c>
      <c r="V241" s="20" t="n">
        <v>-423.088</v>
      </c>
      <c r="W241" s="20" t="n">
        <v>32.741</v>
      </c>
      <c r="X241" s="20" t="n">
        <v>653.001</v>
      </c>
    </row>
    <row r="242">
      <c r="A242" s="18" t="inlineStr">
        <is>
          <t>기타 유동자산 증감</t>
        </is>
      </c>
      <c r="D242" s="20" t="n">
        <v>111.366</v>
      </c>
      <c r="F242" s="20" t="n">
        <v>-315.885</v>
      </c>
      <c r="H242" s="20" t="n">
        <v>38.185</v>
      </c>
      <c r="O242" s="20" t="n">
        <v>145.596</v>
      </c>
      <c r="P242" s="20" t="n">
        <v>-585.593</v>
      </c>
      <c r="Q242" s="20" t="n">
        <v>-373.382</v>
      </c>
      <c r="R242" s="20" t="n">
        <v>-550.825</v>
      </c>
      <c r="S242" s="20" t="n">
        <v>466.234</v>
      </c>
      <c r="T242" s="20" t="n">
        <v>-950.1180000000001</v>
      </c>
      <c r="U242" s="20" t="n">
        <v>430.911</v>
      </c>
      <c r="V242" s="20" t="n">
        <v>-315.885</v>
      </c>
    </row>
    <row r="243">
      <c r="A243" s="18" t="inlineStr">
        <is>
          <t>기타 비유동자산 증감액</t>
        </is>
      </c>
      <c r="P243" s="20" t="n">
        <v>-48.887</v>
      </c>
      <c r="Q243" s="20" t="n">
        <v>-140.932</v>
      </c>
      <c r="R243" s="20" t="n">
        <v>30.24</v>
      </c>
    </row>
    <row r="244">
      <c r="A244" s="18" t="inlineStr">
        <is>
          <t>매입채무 증감</t>
        </is>
      </c>
      <c r="D244" s="20" t="n">
        <v>-40.325</v>
      </c>
      <c r="H244" s="20" t="n">
        <v>-178.024</v>
      </c>
      <c r="L244" s="20" t="n">
        <v>205.696</v>
      </c>
      <c r="O244" s="20" t="n">
        <v>196.212</v>
      </c>
      <c r="P244" s="20" t="n">
        <v>-206.031</v>
      </c>
      <c r="Q244" s="20" t="n">
        <v>208.668</v>
      </c>
      <c r="R244" s="20" t="n">
        <v>205.009</v>
      </c>
    </row>
    <row r="245">
      <c r="A245" s="18" t="inlineStr">
        <is>
          <t>미수금 증감</t>
        </is>
      </c>
      <c r="F245" s="20" t="n">
        <v>72.646</v>
      </c>
      <c r="J245" s="20" t="n">
        <v>-45.699</v>
      </c>
      <c r="N245" s="20" t="n">
        <v>-300.739</v>
      </c>
      <c r="Q245" s="20" t="n">
        <v>622.813</v>
      </c>
      <c r="R245" s="20" t="n">
        <v>-2870.376</v>
      </c>
      <c r="S245" s="20" t="n">
        <v>-8638.694</v>
      </c>
      <c r="T245" s="20" t="n">
        <v>1257.696</v>
      </c>
      <c r="U245" s="20" t="n">
        <v>-42.911</v>
      </c>
      <c r="V245" s="20" t="n">
        <v>72.646</v>
      </c>
      <c r="W245" s="20" t="n">
        <v>-45.699</v>
      </c>
      <c r="X245" s="20" t="n">
        <v>-300.739</v>
      </c>
    </row>
    <row r="246">
      <c r="A246" s="18" t="inlineStr">
        <is>
          <t>미지급금 증감</t>
        </is>
      </c>
      <c r="D246" s="20" t="n">
        <v>-392.271</v>
      </c>
      <c r="F246" s="20" t="n">
        <v>-653.947</v>
      </c>
      <c r="H246" s="20" t="n">
        <v>185.236</v>
      </c>
      <c r="J246" s="20" t="n">
        <v>796.505</v>
      </c>
      <c r="N246" s="20" t="n">
        <v>299.564</v>
      </c>
      <c r="O246" s="20" t="n">
        <v>-55.475</v>
      </c>
      <c r="P246" s="20" t="n">
        <v>-161.903</v>
      </c>
      <c r="Q246" s="20" t="n">
        <v>809.9640000000001</v>
      </c>
      <c r="R246" s="20" t="n">
        <v>1701.604</v>
      </c>
      <c r="S246" s="20" t="n">
        <v>10896.772</v>
      </c>
      <c r="T246" s="20" t="n">
        <v>112.827</v>
      </c>
      <c r="U246" s="20" t="n">
        <v>98.889</v>
      </c>
      <c r="V246" s="20" t="n">
        <v>-653.947</v>
      </c>
      <c r="W246" s="20" t="n">
        <v>796.505</v>
      </c>
      <c r="X246" s="20" t="n">
        <v>299.564</v>
      </c>
    </row>
    <row r="247">
      <c r="A247" s="18" t="inlineStr">
        <is>
          <t>기타 유동부채 증감</t>
        </is>
      </c>
      <c r="D247" s="20" t="n">
        <v>-97.621</v>
      </c>
      <c r="F247" s="20" t="n">
        <v>59.486</v>
      </c>
      <c r="H247" s="20" t="n">
        <v>-165.722</v>
      </c>
      <c r="J247" s="20" t="n">
        <v>-142.575</v>
      </c>
      <c r="N247" s="20" t="n">
        <v>288.416</v>
      </c>
      <c r="O247" s="20" t="n">
        <v>344.176</v>
      </c>
      <c r="P247" s="20" t="n">
        <v>200.547</v>
      </c>
      <c r="S247" s="20" t="n">
        <v>133.497</v>
      </c>
      <c r="T247" s="20" t="n">
        <v>183.347</v>
      </c>
      <c r="U247" s="20" t="n">
        <v>-84.869</v>
      </c>
      <c r="V247" s="20" t="n">
        <v>59.486</v>
      </c>
      <c r="W247" s="20" t="n">
        <v>-142.575</v>
      </c>
      <c r="X247" s="20" t="n">
        <v>288.416</v>
      </c>
    </row>
    <row r="248">
      <c r="A248" s="18" t="inlineStr">
        <is>
          <t>기타 비유동부채 증감액</t>
        </is>
      </c>
      <c r="F248" s="20" t="n">
        <v>124.889</v>
      </c>
      <c r="J248" s="20" t="n">
        <v>59.165</v>
      </c>
      <c r="N248" s="20" t="n">
        <v>386.49</v>
      </c>
      <c r="O248" s="20" t="n">
        <v>377.3</v>
      </c>
      <c r="P248" s="20" t="n">
        <v>19.043</v>
      </c>
      <c r="Q248" s="20" t="n">
        <v>182.788</v>
      </c>
      <c r="R248" s="20" t="n">
        <v>182.301</v>
      </c>
      <c r="S248" s="20" t="n">
        <v>24.375</v>
      </c>
      <c r="T248" s="20" t="n">
        <v>177.943</v>
      </c>
      <c r="U248" s="20" t="n">
        <v>31.727</v>
      </c>
      <c r="V248" s="20" t="n">
        <v>124.889</v>
      </c>
      <c r="W248" s="20" t="n">
        <v>59.165</v>
      </c>
      <c r="X248" s="20" t="n">
        <v>386.49</v>
      </c>
    </row>
    <row r="249">
      <c r="A249" s="18" t="inlineStr">
        <is>
          <t>기타</t>
        </is>
      </c>
      <c r="D249" s="20" t="n">
        <v>115.26</v>
      </c>
      <c r="F249" s="20" t="n">
        <v>-180.352</v>
      </c>
      <c r="H249" s="20" t="n">
        <v>149.018</v>
      </c>
      <c r="J249" s="20" t="n">
        <v>-24.861</v>
      </c>
      <c r="L249" s="20" t="n">
        <v>96.149</v>
      </c>
      <c r="N249" s="20" t="n">
        <v>-202.52</v>
      </c>
      <c r="O249" s="20" t="n">
        <v>-77.047</v>
      </c>
      <c r="P249" s="20" t="n">
        <v>254.336</v>
      </c>
      <c r="Q249" s="20" t="n">
        <v>34.9</v>
      </c>
      <c r="R249" s="20" t="n">
        <v>531.845</v>
      </c>
      <c r="S249" s="20" t="n">
        <v>38.069</v>
      </c>
      <c r="T249" s="20" t="n">
        <v>396.358</v>
      </c>
      <c r="U249" s="20" t="n">
        <v>32.481</v>
      </c>
      <c r="V249" s="20" t="n">
        <v>-180.352</v>
      </c>
      <c r="W249" s="20" t="n">
        <v>-24.861</v>
      </c>
      <c r="X249" s="20" t="n">
        <v>-202.52</v>
      </c>
    </row>
    <row r="250">
      <c r="A250" s="18" t="inlineStr">
        <is>
          <t>소계</t>
        </is>
      </c>
      <c r="D250" s="20" t="n">
        <v>2629.73</v>
      </c>
      <c r="F250" s="20" t="n">
        <v>5455.061</v>
      </c>
      <c r="H250" s="20" t="n">
        <v>3139.185</v>
      </c>
      <c r="J250" s="20" t="n">
        <v>6588.005</v>
      </c>
      <c r="L250" s="20" t="n">
        <v>3676.198</v>
      </c>
      <c r="N250" s="20" t="n">
        <v>7679.022</v>
      </c>
      <c r="O250" s="20" t="n">
        <v>4500.187</v>
      </c>
      <c r="P250" s="20" t="n">
        <v>1797.056</v>
      </c>
      <c r="Q250" s="20" t="n">
        <v>4211.14</v>
      </c>
      <c r="R250" s="20" t="n">
        <v>3684.254</v>
      </c>
      <c r="S250" s="20" t="n">
        <v>7857.432</v>
      </c>
      <c r="T250" s="20" t="n">
        <v>3638.337</v>
      </c>
      <c r="U250" s="20" t="n">
        <v>4633.458</v>
      </c>
      <c r="V250" s="20" t="n">
        <v>5455.061</v>
      </c>
      <c r="W250" s="20" t="n">
        <v>6588.005</v>
      </c>
      <c r="X250" s="20" t="n">
        <v>7679.022</v>
      </c>
    </row>
    <row r="251">
      <c r="A251" s="18" t="inlineStr">
        <is>
          <t>이자·배당금 수취</t>
        </is>
      </c>
      <c r="D251" s="20" t="n">
        <v>0.602</v>
      </c>
      <c r="F251" s="20" t="n">
        <v>2.5</v>
      </c>
      <c r="H251" s="20" t="n">
        <v>2.296</v>
      </c>
      <c r="J251" s="20" t="n">
        <v>10.925</v>
      </c>
      <c r="L251" s="20" t="n">
        <v>18.02</v>
      </c>
      <c r="N251" s="20" t="n">
        <v>15.207</v>
      </c>
      <c r="O251" s="20" t="n">
        <v>2.361</v>
      </c>
      <c r="P251" s="20" t="n">
        <v>10.169</v>
      </c>
      <c r="Q251" s="20" t="n">
        <v>3.459</v>
      </c>
      <c r="R251" s="20" t="n">
        <v>1.383</v>
      </c>
      <c r="S251" s="20" t="n">
        <v>3.628</v>
      </c>
      <c r="T251" s="20" t="n">
        <v>0.289</v>
      </c>
      <c r="U251" s="20" t="n">
        <v>0.744</v>
      </c>
      <c r="V251" s="20" t="n">
        <v>2.5</v>
      </c>
      <c r="W251" s="20" t="n">
        <v>10.925</v>
      </c>
      <c r="X251" s="20" t="n">
        <v>15.207</v>
      </c>
    </row>
    <row r="252">
      <c r="A252" s="18" t="inlineStr">
        <is>
          <t>이자 지급</t>
        </is>
      </c>
      <c r="D252" s="20" t="n">
        <v>-54.376</v>
      </c>
      <c r="F252" s="20" t="n">
        <v>-100.118</v>
      </c>
      <c r="H252" s="20" t="n">
        <v>-45.256</v>
      </c>
      <c r="J252" s="20" t="n">
        <v>-103.235</v>
      </c>
      <c r="L252" s="20" t="n">
        <v>-111.438</v>
      </c>
      <c r="N252" s="20" t="n">
        <v>-200.268</v>
      </c>
      <c r="O252" s="20" t="n">
        <v>-46.759</v>
      </c>
      <c r="P252" s="20" t="n">
        <v>-90.277</v>
      </c>
      <c r="Q252" s="20" t="n">
        <v>-133.205</v>
      </c>
      <c r="R252" s="20" t="n">
        <v>-162.649</v>
      </c>
      <c r="S252" s="20" t="n">
        <v>-114.88</v>
      </c>
      <c r="T252" s="20" t="n">
        <v>-102.202</v>
      </c>
      <c r="U252" s="20" t="n">
        <v>-114.072</v>
      </c>
      <c r="V252" s="20" t="n">
        <v>-100.118</v>
      </c>
      <c r="W252" s="20" t="n">
        <v>-103.235</v>
      </c>
      <c r="X252" s="20" t="n">
        <v>-200.268</v>
      </c>
    </row>
    <row r="253">
      <c r="A253" s="18" t="inlineStr">
        <is>
          <t>법인세 납부</t>
        </is>
      </c>
      <c r="D253" s="20" t="n">
        <v>-745.37</v>
      </c>
      <c r="F253" s="20" t="n">
        <v>-1223.299</v>
      </c>
      <c r="H253" s="20" t="n">
        <v>-1087.177</v>
      </c>
      <c r="J253" s="20" t="n">
        <v>-1929.818</v>
      </c>
      <c r="L253" s="20" t="n">
        <v>-478.75</v>
      </c>
      <c r="N253" s="20" t="n">
        <v>-1090.154</v>
      </c>
      <c r="O253" s="20" t="n">
        <v>-684.194</v>
      </c>
      <c r="P253" s="20" t="n">
        <v>-971.744</v>
      </c>
      <c r="Q253" s="20" t="n">
        <v>-1197.499</v>
      </c>
      <c r="R253" s="20" t="n">
        <v>-2253.432</v>
      </c>
      <c r="S253" s="20" t="n">
        <v>-1226.7</v>
      </c>
      <c r="T253" s="20" t="n">
        <v>-1461.646</v>
      </c>
      <c r="U253" s="20" t="n">
        <v>-1304.354</v>
      </c>
      <c r="V253" s="20" t="n">
        <v>-1223.299</v>
      </c>
      <c r="W253" s="20" t="n">
        <v>-1929.818</v>
      </c>
      <c r="X253" s="20" t="n">
        <v>-1090.154</v>
      </c>
    </row>
    <row r="254">
      <c r="A254" s="18" t="inlineStr">
        <is>
          <t>법인세 환급</t>
        </is>
      </c>
      <c r="D254" s="20" t="n">
        <v>91.82899999999999</v>
      </c>
      <c r="F254" s="20" t="n">
        <v>91.83</v>
      </c>
      <c r="H254" s="20" t="n">
        <v>7.449</v>
      </c>
      <c r="J254" s="20" t="n">
        <v>7.504</v>
      </c>
      <c r="L254" s="20" t="n">
        <v>102.397</v>
      </c>
      <c r="N254" s="20" t="n">
        <v>102.47</v>
      </c>
      <c r="O254" s="20" t="n">
        <v>40.398</v>
      </c>
      <c r="P254" s="20" t="n">
        <v>285.212</v>
      </c>
      <c r="Q254" s="20" t="n">
        <v>298.444</v>
      </c>
      <c r="R254" s="20" t="n">
        <v>210.773</v>
      </c>
      <c r="S254" s="20" t="n">
        <v>603.501</v>
      </c>
      <c r="T254" s="20" t="n">
        <v>259.065</v>
      </c>
      <c r="U254" s="20" t="n">
        <v>106.425</v>
      </c>
      <c r="V254" s="20" t="n">
        <v>91.83</v>
      </c>
      <c r="W254" s="20" t="n">
        <v>7.504</v>
      </c>
      <c r="X254" s="20" t="n">
        <v>102.47</v>
      </c>
    </row>
    <row r="255">
      <c r="A255" s="9" t="inlineStr">
        <is>
          <t>영업활동 현금흐름</t>
        </is>
      </c>
      <c r="D255" s="12" t="n">
        <v>1922.415</v>
      </c>
      <c r="F255" s="12" t="n">
        <v>4225.973</v>
      </c>
      <c r="H255" s="12" t="n">
        <v>2016.498</v>
      </c>
      <c r="J255" s="12" t="n">
        <v>4573.382</v>
      </c>
      <c r="L255" s="12" t="n">
        <v>3206.427</v>
      </c>
      <c r="N255" s="12" t="n">
        <v>6506.277</v>
      </c>
      <c r="O255" s="12" t="n">
        <v>3811.993</v>
      </c>
      <c r="P255" s="12" t="n">
        <v>1030.416</v>
      </c>
      <c r="Q255" s="12" t="n">
        <v>3182.339</v>
      </c>
      <c r="R255" s="12" t="n">
        <v>1480.33</v>
      </c>
      <c r="S255" s="12" t="n">
        <v>7122.982</v>
      </c>
      <c r="T255" s="12" t="n">
        <v>2333.843</v>
      </c>
      <c r="U255" s="12" t="n">
        <v>3322.201</v>
      </c>
      <c r="V255" s="12" t="n">
        <v>4225.973</v>
      </c>
      <c r="W255" s="12" t="n">
        <v>4573.382</v>
      </c>
      <c r="X255" s="12" t="n">
        <v>6506.277</v>
      </c>
    </row>
    <row r="256">
      <c r="A256" s="18" t="inlineStr">
        <is>
          <t>유형자산 취득(설비투자)</t>
        </is>
      </c>
      <c r="D256" s="20" t="n">
        <v>-841.301</v>
      </c>
      <c r="F256" s="20" t="n">
        <v>-1116.678</v>
      </c>
      <c r="H256" s="20" t="n">
        <v>-156.128</v>
      </c>
      <c r="J256" s="20" t="n">
        <v>-194.22</v>
      </c>
      <c r="L256" s="20" t="n">
        <v>-11.241</v>
      </c>
      <c r="N256" s="20" t="n">
        <v>-34.412</v>
      </c>
      <c r="O256" s="20" t="n">
        <v>-330.188</v>
      </c>
      <c r="P256" s="20" t="n">
        <v>-222.95</v>
      </c>
      <c r="Q256" s="20" t="n">
        <v>-164.835</v>
      </c>
      <c r="R256" s="20" t="n">
        <v>-102.643</v>
      </c>
      <c r="S256" s="20" t="n">
        <v>-393.907</v>
      </c>
      <c r="T256" s="20" t="n">
        <v>-125.646</v>
      </c>
      <c r="U256" s="20" t="n">
        <v>-558.484</v>
      </c>
      <c r="V256" s="20" t="n">
        <v>-1116.678</v>
      </c>
      <c r="W256" s="20" t="n">
        <v>-194.22</v>
      </c>
      <c r="X256" s="20" t="n">
        <v>-34.412</v>
      </c>
    </row>
    <row r="257">
      <c r="A257" s="18" t="inlineStr">
        <is>
          <t>무형자산 취득</t>
        </is>
      </c>
      <c r="D257" s="20" t="n">
        <v>-138.595</v>
      </c>
      <c r="F257" s="20" t="n">
        <v>-303.417</v>
      </c>
      <c r="H257" s="20" t="n">
        <v>-285.484</v>
      </c>
      <c r="J257" s="20" t="n">
        <v>-372.542</v>
      </c>
      <c r="L257" s="20" t="n">
        <v>-40.11</v>
      </c>
      <c r="N257" s="20" t="n">
        <v>-84.03700000000001</v>
      </c>
      <c r="O257" s="20" t="n">
        <v>-551.582</v>
      </c>
      <c r="P257" s="20" t="n">
        <v>-1000.29</v>
      </c>
      <c r="Q257" s="20" t="n">
        <v>-1097.479</v>
      </c>
      <c r="R257" s="20" t="n">
        <v>-944.1369999999999</v>
      </c>
      <c r="S257" s="20" t="n">
        <v>-546.037</v>
      </c>
      <c r="T257" s="20" t="n">
        <v>-135.773</v>
      </c>
      <c r="U257" s="20" t="n">
        <v>-110.614</v>
      </c>
      <c r="V257" s="20" t="n">
        <v>-303.417</v>
      </c>
      <c r="W257" s="20" t="n">
        <v>-372.542</v>
      </c>
      <c r="X257" s="20" t="n">
        <v>-84.03700000000001</v>
      </c>
    </row>
    <row r="258">
      <c r="A258" s="18" t="inlineStr">
        <is>
          <t>보증금 회수</t>
        </is>
      </c>
      <c r="T258" s="20" t="n">
        <v>45.751</v>
      </c>
      <c r="U258" s="20" t="n">
        <v>59.615</v>
      </c>
    </row>
    <row r="259">
      <c r="A259" s="18" t="inlineStr">
        <is>
          <t>투자유가증권 취득</t>
        </is>
      </c>
      <c r="D259" s="20" t="n">
        <v>0</v>
      </c>
      <c r="F259" s="20" t="n">
        <v>0</v>
      </c>
      <c r="H259" s="20" t="n">
        <v>-199.92</v>
      </c>
      <c r="J259" s="20" t="n">
        <v>-199.92</v>
      </c>
      <c r="L259" s="20" t="n">
        <v>0</v>
      </c>
      <c r="N259" s="20" t="n">
        <v>-119.84</v>
      </c>
      <c r="O259" s="20" t="n">
        <v>-271.566</v>
      </c>
      <c r="P259" s="20" t="n">
        <v>-379.162</v>
      </c>
      <c r="Q259" s="20" t="n">
        <v>-231.462</v>
      </c>
      <c r="R259" s="20" t="n">
        <v>-196.657</v>
      </c>
      <c r="S259" s="20" t="n">
        <v>-349.729</v>
      </c>
      <c r="T259" s="20" t="n">
        <v>-54.943</v>
      </c>
      <c r="V259" s="20" t="n">
        <v>0</v>
      </c>
      <c r="W259" s="20" t="n">
        <v>-199.92</v>
      </c>
      <c r="X259" s="20" t="n">
        <v>-119.84</v>
      </c>
    </row>
    <row r="260">
      <c r="A260" s="18" t="inlineStr">
        <is>
          <t>대여금 회수</t>
        </is>
      </c>
      <c r="P260" s="20" t="n">
        <v>9.435</v>
      </c>
      <c r="Q260" s="20" t="n">
        <v>341.894</v>
      </c>
    </row>
    <row r="261">
      <c r="A261" s="18" t="inlineStr">
        <is>
          <t>투자유가증권 매각</t>
        </is>
      </c>
      <c r="D261" s="20" t="n">
        <v>182.027</v>
      </c>
      <c r="F261" s="20" t="n">
        <v>240.143</v>
      </c>
      <c r="J261" s="20" t="n">
        <v>171.202</v>
      </c>
      <c r="N261" s="20" t="n">
        <v>38.381</v>
      </c>
      <c r="Q261" s="20" t="n">
        <v>62.933</v>
      </c>
      <c r="R261" s="20" t="n">
        <v>72.494</v>
      </c>
      <c r="S261" s="20" t="n">
        <v>4.829</v>
      </c>
      <c r="T261" s="20" t="n">
        <v>824.407</v>
      </c>
      <c r="U261" s="20" t="n">
        <v>17.788</v>
      </c>
      <c r="V261" s="20" t="n">
        <v>240.143</v>
      </c>
      <c r="W261" s="20" t="n">
        <v>171.202</v>
      </c>
      <c r="X261" s="20" t="n">
        <v>38.381</v>
      </c>
    </row>
    <row r="262">
      <c r="A262" s="18" t="inlineStr">
        <is>
          <t>관계회사 주식 취득</t>
        </is>
      </c>
      <c r="P262" s="20" t="n">
        <v>-20</v>
      </c>
      <c r="Q262" s="20" t="n">
        <v>-692.078</v>
      </c>
      <c r="R262" s="20" t="n">
        <v>0</v>
      </c>
    </row>
    <row r="263">
      <c r="A263" s="18" t="inlineStr">
        <is>
          <t>사업양수 지출</t>
        </is>
      </c>
      <c r="O263" s="20" t="n">
        <v>0</v>
      </c>
      <c r="P263" s="20" t="n">
        <v>-52.713</v>
      </c>
      <c r="Q263" s="20" t="n">
        <v>-490.229</v>
      </c>
    </row>
    <row r="264">
      <c r="A264" s="18" t="inlineStr">
        <is>
          <t>흡수분할에 따른 지출</t>
        </is>
      </c>
      <c r="O264" s="20" t="n">
        <v>0</v>
      </c>
      <c r="P264" s="20" t="n">
        <v>-100</v>
      </c>
    </row>
    <row r="265">
      <c r="A265" s="18" t="inlineStr">
        <is>
          <t>관계회사 주식 매각</t>
        </is>
      </c>
      <c r="D265" s="20" t="n">
        <v>112.5</v>
      </c>
      <c r="F265" s="20" t="n">
        <v>112.5</v>
      </c>
      <c r="H265" s="20" t="n">
        <v>0</v>
      </c>
      <c r="J265" s="20" t="n">
        <v>0</v>
      </c>
      <c r="U265" s="20" t="n">
        <v>0</v>
      </c>
      <c r="V265" s="20" t="n">
        <v>112.5</v>
      </c>
      <c r="W265" s="20" t="n">
        <v>0</v>
      </c>
    </row>
    <row r="266">
      <c r="A266" s="18" t="inlineStr">
        <is>
          <t>보증금 납입</t>
        </is>
      </c>
      <c r="F266" s="20" t="n">
        <v>-1.988</v>
      </c>
      <c r="J266" s="20" t="n">
        <v>-57.114</v>
      </c>
      <c r="N266" s="20" t="n">
        <v>-92.79300000000001</v>
      </c>
      <c r="O266" s="20" t="n">
        <v>-142.955</v>
      </c>
      <c r="P266" s="20" t="n">
        <v>-90.346</v>
      </c>
      <c r="V266" s="20" t="n">
        <v>-1.988</v>
      </c>
      <c r="W266" s="20" t="n">
        <v>-57.114</v>
      </c>
      <c r="X266" s="20" t="n">
        <v>-92.79300000000001</v>
      </c>
    </row>
    <row r="267">
      <c r="A267" s="18" t="inlineStr">
        <is>
          <t>연결범위 변경 자회사 주식 취득</t>
        </is>
      </c>
      <c r="D267" s="20" t="n">
        <v>0</v>
      </c>
      <c r="F267" s="20" t="n">
        <v>0</v>
      </c>
      <c r="H267" s="20" t="n">
        <v>-38.834</v>
      </c>
      <c r="J267" s="20" t="n">
        <v>-38.834</v>
      </c>
      <c r="L267" s="20" t="n">
        <v>-484.726</v>
      </c>
      <c r="N267" s="20" t="n">
        <v>0</v>
      </c>
      <c r="O267" s="20" t="n">
        <v>-911.15</v>
      </c>
      <c r="P267" s="20" t="n">
        <v>-7.455</v>
      </c>
      <c r="Q267" s="20" t="n">
        <v>-1253.735</v>
      </c>
      <c r="R267" s="20" t="n">
        <v>-104.895</v>
      </c>
      <c r="S267" s="20" t="n">
        <v>0</v>
      </c>
      <c r="V267" s="20" t="n">
        <v>0</v>
      </c>
      <c r="W267" s="20" t="n">
        <v>-38.834</v>
      </c>
      <c r="X267" s="20" t="n">
        <v>0</v>
      </c>
    </row>
    <row r="268">
      <c r="A268" s="18" t="inlineStr">
        <is>
          <t>관계회사 청산 수입</t>
        </is>
      </c>
      <c r="O268" s="20" t="n">
        <v>52.441</v>
      </c>
      <c r="P268" s="20" t="n">
        <v>0</v>
      </c>
    </row>
    <row r="269">
      <c r="A269" s="18" t="inlineStr">
        <is>
          <t>연결범위 변경 자회사 주식 취득(수입)</t>
        </is>
      </c>
      <c r="J269" s="20" t="n">
        <v>0</v>
      </c>
      <c r="N269" s="20" t="n">
        <v>8.273</v>
      </c>
      <c r="R269" s="20" t="n">
        <v>0</v>
      </c>
      <c r="S269" s="20" t="n">
        <v>602.798</v>
      </c>
      <c r="T269" s="20" t="n">
        <v>0</v>
      </c>
      <c r="W269" s="20" t="n">
        <v>0</v>
      </c>
      <c r="X269" s="20" t="n">
        <v>8.273</v>
      </c>
    </row>
    <row r="270">
      <c r="A270" s="18" t="inlineStr">
        <is>
          <t>연결범위 변경 자회사 주식 매각(지출)</t>
        </is>
      </c>
      <c r="R270" s="20" t="n">
        <v>-0.649</v>
      </c>
      <c r="S270" s="20" t="n">
        <v>-1980.831</v>
      </c>
      <c r="T270" s="20" t="n">
        <v>0</v>
      </c>
    </row>
    <row r="271">
      <c r="A271" s="18" t="inlineStr">
        <is>
          <t>흡수분할에 따른 지출</t>
        </is>
      </c>
      <c r="P271" s="20" t="n">
        <v>-100</v>
      </c>
      <c r="Q271" s="20" t="n">
        <v>-100</v>
      </c>
      <c r="R271" s="20" t="n">
        <v>-977.313</v>
      </c>
      <c r="S271" s="20" t="n">
        <v>0</v>
      </c>
    </row>
    <row r="272">
      <c r="A272" s="18" t="inlineStr">
        <is>
          <t>흡수분할에 따른 수입</t>
        </is>
      </c>
      <c r="Q272" s="20" t="n">
        <v>0</v>
      </c>
      <c r="R272" s="20" t="n">
        <v>404.072</v>
      </c>
      <c r="S272" s="20" t="n">
        <v>0</v>
      </c>
    </row>
    <row r="273">
      <c r="A273" s="18" t="inlineStr">
        <is>
          <t>연결범위 변경 자회사 주식 매각</t>
        </is>
      </c>
      <c r="J273" s="20" t="n">
        <v>0</v>
      </c>
      <c r="N273" s="20" t="n">
        <v>50.384</v>
      </c>
      <c r="W273" s="20" t="n">
        <v>0</v>
      </c>
      <c r="X273" s="20" t="n">
        <v>50.384</v>
      </c>
    </row>
    <row r="274">
      <c r="A274" s="18" t="inlineStr">
        <is>
          <t>자산복구부채 이행 지출</t>
        </is>
      </c>
      <c r="D274" s="20" t="n">
        <v>0</v>
      </c>
      <c r="H274" s="20" t="n">
        <v>0</v>
      </c>
      <c r="J274" s="20" t="n">
        <v>0</v>
      </c>
      <c r="L274" s="20" t="n">
        <v>-134.73</v>
      </c>
      <c r="N274" s="20" t="n">
        <v>-270.219</v>
      </c>
      <c r="W274" s="20" t="n">
        <v>0</v>
      </c>
      <c r="X274" s="20" t="n">
        <v>-270.219</v>
      </c>
    </row>
    <row r="275">
      <c r="A275" s="18" t="inlineStr">
        <is>
          <t>기타</t>
        </is>
      </c>
      <c r="D275" s="20" t="n">
        <v>182.76</v>
      </c>
      <c r="F275" s="20" t="n">
        <v>-15.929</v>
      </c>
      <c r="H275" s="20" t="n">
        <v>5.534</v>
      </c>
      <c r="J275" s="20" t="n">
        <v>3.944</v>
      </c>
      <c r="L275" s="20" t="n">
        <v>-8.175000000000001</v>
      </c>
      <c r="N275" s="20" t="n">
        <v>8.381</v>
      </c>
      <c r="O275" s="20" t="n">
        <v>-136.436</v>
      </c>
      <c r="P275" s="20" t="n">
        <v>-367.375</v>
      </c>
      <c r="Q275" s="20" t="n">
        <v>-211.809</v>
      </c>
      <c r="R275" s="20" t="n">
        <v>51.991</v>
      </c>
      <c r="S275" s="20" t="n">
        <v>7.239</v>
      </c>
      <c r="T275" s="20" t="n">
        <v>726.359</v>
      </c>
      <c r="U275" s="20" t="n">
        <v>6.687</v>
      </c>
      <c r="V275" s="20" t="n">
        <v>-15.929</v>
      </c>
      <c r="W275" s="20" t="n">
        <v>3.944</v>
      </c>
      <c r="X275" s="20" t="n">
        <v>8.381</v>
      </c>
    </row>
    <row r="276">
      <c r="A276" s="9" t="inlineStr">
        <is>
          <t>투자활동 현금흐름</t>
        </is>
      </c>
      <c r="D276" s="12" t="n">
        <v>-684.635</v>
      </c>
      <c r="F276" s="12" t="n">
        <v>-1085.37</v>
      </c>
      <c r="H276" s="12" t="n">
        <v>-674.833</v>
      </c>
      <c r="J276" s="12" t="n">
        <v>-687.485</v>
      </c>
      <c r="L276" s="12" t="n">
        <v>-678.984</v>
      </c>
      <c r="N276" s="12" t="n">
        <v>-495.881</v>
      </c>
      <c r="O276" s="12" t="n">
        <v>-2291.437</v>
      </c>
      <c r="P276" s="12" t="n">
        <v>-2140.511</v>
      </c>
      <c r="Q276" s="12" t="n">
        <v>-3688.469</v>
      </c>
      <c r="R276" s="12" t="n">
        <v>-1870.231</v>
      </c>
      <c r="S276" s="12" t="n">
        <v>-2655.639</v>
      </c>
      <c r="T276" s="12" t="n">
        <v>510.69</v>
      </c>
      <c r="U276" s="12" t="n">
        <v>-644.624</v>
      </c>
      <c r="V276" s="12" t="n">
        <v>-1085.37</v>
      </c>
      <c r="W276" s="12" t="n">
        <v>-687.485</v>
      </c>
      <c r="X276" s="12" t="n">
        <v>-495.881</v>
      </c>
    </row>
    <row r="277">
      <c r="A277" s="18" t="inlineStr">
        <is>
          <t>단기차입금 순증감</t>
        </is>
      </c>
      <c r="D277" s="20" t="n">
        <v>0</v>
      </c>
      <c r="O277" s="20" t="n">
        <v>-572</v>
      </c>
      <c r="P277" s="20" t="n">
        <v>-614.313</v>
      </c>
      <c r="Q277" s="20" t="n">
        <v>-14.676</v>
      </c>
      <c r="R277" s="20" t="n">
        <v>391</v>
      </c>
      <c r="S277" s="20" t="n">
        <v>-200</v>
      </c>
      <c r="T277" s="20" t="n">
        <v>-100</v>
      </c>
      <c r="U277" s="20" t="n">
        <v>0</v>
      </c>
    </row>
    <row r="278">
      <c r="A278" s="18" t="inlineStr">
        <is>
          <t>장기차입</t>
        </is>
      </c>
      <c r="D278" s="20" t="n">
        <v>800</v>
      </c>
      <c r="F278" s="20" t="n">
        <v>3800</v>
      </c>
      <c r="H278" s="20" t="n">
        <v>0</v>
      </c>
      <c r="J278" s="20" t="n">
        <v>13250</v>
      </c>
      <c r="N278" s="20" t="n">
        <v>2000</v>
      </c>
      <c r="O278" s="20" t="n">
        <v>1050</v>
      </c>
      <c r="P278" s="20" t="n">
        <v>5890</v>
      </c>
      <c r="Q278" s="20" t="n">
        <v>4000</v>
      </c>
      <c r="R278" s="20" t="n">
        <v>3600</v>
      </c>
      <c r="S278" s="20" t="n">
        <v>4830</v>
      </c>
      <c r="T278" s="20" t="n">
        <v>6000</v>
      </c>
      <c r="U278" s="20" t="n">
        <v>5800</v>
      </c>
      <c r="V278" s="20" t="n">
        <v>3800</v>
      </c>
      <c r="W278" s="20" t="n">
        <v>13250</v>
      </c>
      <c r="X278" s="20" t="n">
        <v>2000</v>
      </c>
    </row>
    <row r="279">
      <c r="A279" s="18" t="inlineStr">
        <is>
          <t>장기차입금 상환</t>
        </is>
      </c>
      <c r="D279" s="20" t="n">
        <v>-2164.113</v>
      </c>
      <c r="F279" s="20" t="n">
        <v>-4799.077</v>
      </c>
      <c r="H279" s="20" t="n">
        <v>-2393.378</v>
      </c>
      <c r="J279" s="20" t="n">
        <v>-5204.484</v>
      </c>
      <c r="L279" s="20" t="n">
        <v>-2376.202</v>
      </c>
      <c r="N279" s="20" t="n">
        <v>-5521.032</v>
      </c>
      <c r="O279" s="20" t="n">
        <v>-1349.9</v>
      </c>
      <c r="P279" s="20" t="n">
        <v>-1162.394</v>
      </c>
      <c r="Q279" s="20" t="n">
        <v>-2118.658</v>
      </c>
      <c r="R279" s="20" t="n">
        <v>-2343.834</v>
      </c>
      <c r="S279" s="20" t="n">
        <v>-4892.132</v>
      </c>
      <c r="T279" s="20" t="n">
        <v>-3421.117</v>
      </c>
      <c r="U279" s="20" t="n">
        <v>-4185.96</v>
      </c>
      <c r="V279" s="20" t="n">
        <v>-4799.077</v>
      </c>
      <c r="W279" s="20" t="n">
        <v>-5204.484</v>
      </c>
      <c r="X279" s="20" t="n">
        <v>-5521.032</v>
      </c>
    </row>
    <row r="280">
      <c r="A280" s="18" t="inlineStr">
        <is>
          <t>사채 발행</t>
        </is>
      </c>
      <c r="O280" s="20" t="n">
        <v>2220</v>
      </c>
      <c r="P280" s="20" t="n">
        <v>1000</v>
      </c>
      <c r="Q280" s="20" t="n">
        <v>300</v>
      </c>
      <c r="R280" s="20" t="n">
        <v>0</v>
      </c>
    </row>
    <row r="281">
      <c r="A281" s="18" t="inlineStr">
        <is>
          <t>사채 상환</t>
        </is>
      </c>
      <c r="D281" s="20" t="n">
        <v>0</v>
      </c>
      <c r="F281" s="20" t="n">
        <v>-300</v>
      </c>
      <c r="J281" s="20" t="n">
        <v>0</v>
      </c>
      <c r="P281" s="20" t="n">
        <v>0</v>
      </c>
      <c r="Q281" s="20" t="n">
        <v>-200</v>
      </c>
      <c r="R281" s="20" t="n">
        <v>-200</v>
      </c>
      <c r="S281" s="20" t="n">
        <v>-200</v>
      </c>
      <c r="T281" s="20" t="n">
        <v>-1400</v>
      </c>
      <c r="U281" s="20" t="n">
        <v>-200</v>
      </c>
      <c r="V281" s="20" t="n">
        <v>-300</v>
      </c>
      <c r="W281" s="20" t="n">
        <v>0</v>
      </c>
    </row>
    <row r="282">
      <c r="A282" s="18" t="inlineStr">
        <is>
          <t>배당금 지급</t>
        </is>
      </c>
      <c r="D282" s="20" t="n">
        <v>-158.828</v>
      </c>
      <c r="F282" s="20" t="n">
        <v>-159.156</v>
      </c>
      <c r="H282" s="20" t="n">
        <v>-537.003</v>
      </c>
      <c r="J282" s="20" t="n">
        <v>-537.496</v>
      </c>
      <c r="L282" s="20" t="n">
        <v>-651.651</v>
      </c>
      <c r="N282" s="20" t="n">
        <v>-651.872</v>
      </c>
      <c r="O282" s="20" t="n">
        <v>-155.67</v>
      </c>
      <c r="P282" s="20" t="n">
        <v>-157.217</v>
      </c>
      <c r="Q282" s="20" t="n">
        <v>-155.844</v>
      </c>
      <c r="R282" s="20" t="n">
        <v>-155.751</v>
      </c>
      <c r="S282" s="20" t="n">
        <v>-152.907</v>
      </c>
      <c r="T282" s="20" t="n">
        <v>-146.36</v>
      </c>
      <c r="U282" s="20" t="n">
        <v>-140.878</v>
      </c>
      <c r="V282" s="20" t="n">
        <v>-159.156</v>
      </c>
      <c r="W282" s="20" t="n">
        <v>-537.496</v>
      </c>
      <c r="X282" s="20" t="n">
        <v>-651.872</v>
      </c>
    </row>
    <row r="283">
      <c r="A283" s="18" t="inlineStr">
        <is>
          <t>비지배주주 배당금 지급</t>
        </is>
      </c>
      <c r="D283" s="20" t="n">
        <v>-72.616</v>
      </c>
      <c r="F283" s="20" t="n">
        <v>-72.64100000000001</v>
      </c>
      <c r="H283" s="20" t="n">
        <v>-167.005</v>
      </c>
      <c r="J283" s="20" t="n">
        <v>-167.153</v>
      </c>
      <c r="V283" s="20" t="n">
        <v>-72.64100000000001</v>
      </c>
      <c r="W283" s="20" t="n">
        <v>-167.153</v>
      </c>
    </row>
    <row r="284">
      <c r="A284" s="18" t="inlineStr">
        <is>
          <t>연결범위 변경 없는 자회사 주식 취득</t>
        </is>
      </c>
      <c r="D284" s="20" t="n">
        <v>-217.201</v>
      </c>
      <c r="F284" s="20" t="n">
        <v>-390.804</v>
      </c>
      <c r="H284" s="20" t="n">
        <v>-0.082</v>
      </c>
      <c r="J284" s="20" t="n">
        <v>-12740.094</v>
      </c>
      <c r="L284" s="20" t="n">
        <v>-1287.117</v>
      </c>
      <c r="N284" s="20" t="n">
        <v>-1295.69</v>
      </c>
      <c r="S284" s="20" t="n">
        <v>0</v>
      </c>
      <c r="T284" s="20" t="n">
        <v>-148.689</v>
      </c>
      <c r="U284" s="20" t="n">
        <v>-3932.017</v>
      </c>
      <c r="V284" s="20" t="n">
        <v>-390.804</v>
      </c>
      <c r="W284" s="20" t="n">
        <v>-12740.094</v>
      </c>
      <c r="X284" s="20" t="n">
        <v>-1295.69</v>
      </c>
    </row>
    <row r="285">
      <c r="A285" s="18" t="inlineStr">
        <is>
          <t>비지배주주 납입</t>
        </is>
      </c>
      <c r="F285" s="20" t="n">
        <v>0</v>
      </c>
      <c r="J285" s="20" t="n">
        <v>2000</v>
      </c>
      <c r="N285" s="20" t="n">
        <v>0</v>
      </c>
      <c r="V285" s="20" t="n">
        <v>0</v>
      </c>
      <c r="W285" s="20" t="n">
        <v>2000</v>
      </c>
      <c r="X285" s="20" t="n">
        <v>0</v>
      </c>
    </row>
    <row r="286">
      <c r="A286" s="18" t="inlineStr">
        <is>
          <t>리스부채 상환</t>
        </is>
      </c>
      <c r="D286" s="20" t="n">
        <v>-446.637</v>
      </c>
      <c r="F286" s="20" t="n">
        <v>-802.942</v>
      </c>
      <c r="H286" s="20" t="n">
        <v>-301.079</v>
      </c>
      <c r="J286" s="20" t="n">
        <v>-568.121</v>
      </c>
      <c r="L286" s="20" t="n">
        <v>-217.349</v>
      </c>
      <c r="N286" s="20" t="n">
        <v>-378.672</v>
      </c>
      <c r="O286" s="20" t="n">
        <v>-299.084</v>
      </c>
      <c r="P286" s="20" t="n">
        <v>-412.471</v>
      </c>
      <c r="Q286" s="20" t="n">
        <v>-670.441</v>
      </c>
      <c r="R286" s="20" t="n">
        <v>-901.563</v>
      </c>
      <c r="S286" s="20" t="n">
        <v>-931.514</v>
      </c>
      <c r="T286" s="20" t="n">
        <v>-937.278</v>
      </c>
      <c r="U286" s="20" t="n">
        <v>-870.005</v>
      </c>
      <c r="V286" s="20" t="n">
        <v>-802.942</v>
      </c>
      <c r="W286" s="20" t="n">
        <v>-568.121</v>
      </c>
      <c r="X286" s="20" t="n">
        <v>-378.672</v>
      </c>
    </row>
    <row r="287">
      <c r="A287" s="18" t="inlineStr">
        <is>
          <t>세일앤리스백 수입</t>
        </is>
      </c>
      <c r="P287" s="20" t="n">
        <v>0</v>
      </c>
      <c r="Q287" s="20" t="n">
        <v>1215.884</v>
      </c>
      <c r="R287" s="20" t="n">
        <v>591.229</v>
      </c>
      <c r="S287" s="20" t="n">
        <v>0</v>
      </c>
    </row>
    <row r="288">
      <c r="A288" s="18" t="inlineStr">
        <is>
          <t>자기주식 매각</t>
        </is>
      </c>
      <c r="F288" s="20" t="n">
        <v>5.644</v>
      </c>
      <c r="J288" s="20" t="n">
        <v>2042.373</v>
      </c>
      <c r="N288" s="20" t="n">
        <v>0</v>
      </c>
      <c r="T288" s="20" t="n">
        <v>0</v>
      </c>
      <c r="U288" s="20" t="n">
        <v>1470.6</v>
      </c>
      <c r="V288" s="20" t="n">
        <v>5.644</v>
      </c>
      <c r="W288" s="20" t="n">
        <v>2042.373</v>
      </c>
      <c r="X288" s="20" t="n">
        <v>0</v>
      </c>
    </row>
    <row r="289">
      <c r="A289" s="18" t="inlineStr">
        <is>
          <t>자기주식 취득</t>
        </is>
      </c>
      <c r="F289" s="20" t="n">
        <v>0</v>
      </c>
      <c r="Q289" s="20" t="n">
        <v>-0.123</v>
      </c>
      <c r="R289" s="20" t="n">
        <v>-226.33</v>
      </c>
      <c r="S289" s="20" t="n">
        <v>-979.375</v>
      </c>
      <c r="T289" s="20" t="n">
        <v>-2497.445</v>
      </c>
      <c r="U289" s="20" t="n">
        <v>-0.074</v>
      </c>
      <c r="V289" s="20" t="n">
        <v>0</v>
      </c>
    </row>
    <row r="290">
      <c r="A290" s="18" t="inlineStr">
        <is>
          <t>기타</t>
        </is>
      </c>
      <c r="D290" s="20" t="n">
        <v>4.821</v>
      </c>
      <c r="F290" s="20" t="n">
        <v>-1.507</v>
      </c>
      <c r="H290" s="20" t="n">
        <v>-167.005</v>
      </c>
      <c r="J290" s="20" t="n">
        <v>-167.153</v>
      </c>
      <c r="L290" s="20" t="n">
        <v>-2.323</v>
      </c>
      <c r="N290" s="20" t="n">
        <v>-2.36</v>
      </c>
      <c r="O290" s="20" t="n">
        <v>-49.208</v>
      </c>
      <c r="P290" s="20" t="n">
        <v>-38.98</v>
      </c>
      <c r="Q290" s="20" t="n">
        <v>-35.399</v>
      </c>
      <c r="R290" s="20" t="n">
        <v>-128.85</v>
      </c>
      <c r="S290" s="20" t="n">
        <v>-45.996</v>
      </c>
      <c r="T290" s="20" t="n">
        <v>-80.309</v>
      </c>
      <c r="U290" s="20" t="n">
        <v>-52.378</v>
      </c>
      <c r="V290" s="20" t="n">
        <v>-1.507</v>
      </c>
      <c r="W290" s="20" t="n">
        <v>-167.153</v>
      </c>
      <c r="X290" s="20" t="n">
        <v>-2.36</v>
      </c>
    </row>
    <row r="291">
      <c r="A291" s="9" t="inlineStr">
        <is>
          <t>재무활동 현금흐름</t>
        </is>
      </c>
      <c r="D291" s="12" t="n">
        <v>-2254.575</v>
      </c>
      <c r="F291" s="12" t="n">
        <v>-2720.485</v>
      </c>
      <c r="H291" s="12" t="n">
        <v>-3398.548</v>
      </c>
      <c r="J291" s="12" t="n">
        <v>-1924.976</v>
      </c>
      <c r="L291" s="12" t="n">
        <v>-4534.643</v>
      </c>
      <c r="N291" s="12" t="n">
        <v>-5849.627</v>
      </c>
      <c r="O291" s="12" t="n">
        <v>844.135</v>
      </c>
      <c r="P291" s="12" t="n">
        <v>4504.622</v>
      </c>
      <c r="Q291" s="12" t="n">
        <v>2320.739</v>
      </c>
      <c r="R291" s="12" t="n">
        <v>625.898</v>
      </c>
      <c r="S291" s="12" t="n">
        <v>-2571.925</v>
      </c>
      <c r="T291" s="12" t="n">
        <v>-2731.2</v>
      </c>
      <c r="U291" s="12" t="n">
        <v>-2110.714</v>
      </c>
      <c r="V291" s="12" t="n">
        <v>-2720.485</v>
      </c>
      <c r="W291" s="12" t="n">
        <v>-1924.976</v>
      </c>
      <c r="X291" s="12" t="n">
        <v>-5849.627</v>
      </c>
    </row>
    <row r="292">
      <c r="A292" s="18" t="inlineStr">
        <is>
          <t>현금성자산 환산차이</t>
        </is>
      </c>
      <c r="D292" s="20" t="n">
        <v>-8.292</v>
      </c>
      <c r="F292" s="20" t="n">
        <v>-3.513</v>
      </c>
      <c r="H292" s="20" t="n">
        <v>-1.268</v>
      </c>
      <c r="J292" s="20" t="n">
        <v>-5.757</v>
      </c>
      <c r="L292" s="20" t="n">
        <v>5.884</v>
      </c>
      <c r="N292" s="20" t="n">
        <v>23.009</v>
      </c>
      <c r="O292" s="20" t="n">
        <v>-26.546</v>
      </c>
      <c r="P292" s="20" t="n">
        <v>1.035</v>
      </c>
      <c r="Q292" s="20" t="n">
        <v>0.297</v>
      </c>
      <c r="R292" s="20" t="n">
        <v>-0.761</v>
      </c>
      <c r="S292" s="20" t="n">
        <v>5.34</v>
      </c>
      <c r="T292" s="20" t="n">
        <v>8.359999999999999</v>
      </c>
      <c r="U292" s="20" t="n">
        <v>-2.35</v>
      </c>
      <c r="V292" s="20" t="n">
        <v>-3.513</v>
      </c>
      <c r="W292" s="20" t="n">
        <v>-5.757</v>
      </c>
      <c r="X292" s="20" t="n">
        <v>23.009</v>
      </c>
    </row>
    <row r="293">
      <c r="A293" s="18" t="inlineStr">
        <is>
          <t>현금성자산 증감</t>
        </is>
      </c>
      <c r="D293" s="20" t="n">
        <v>-1025.088</v>
      </c>
      <c r="F293" s="20" t="n">
        <v>416.603</v>
      </c>
      <c r="H293" s="20" t="n">
        <v>-2058.152</v>
      </c>
      <c r="J293" s="20" t="n">
        <v>1955.163</v>
      </c>
      <c r="L293" s="20" t="n">
        <v>-2001.315</v>
      </c>
      <c r="N293" s="20" t="n">
        <v>183.777</v>
      </c>
      <c r="O293" s="20" t="n">
        <v>2338.145</v>
      </c>
      <c r="P293" s="20" t="n">
        <v>3395.562</v>
      </c>
      <c r="Q293" s="20" t="n">
        <v>1814.907</v>
      </c>
      <c r="R293" s="20" t="n">
        <v>235.236</v>
      </c>
      <c r="S293" s="20" t="n">
        <v>1900.757</v>
      </c>
      <c r="T293" s="20" t="n">
        <v>121.694</v>
      </c>
      <c r="U293" s="20" t="n">
        <v>564.513</v>
      </c>
      <c r="V293" s="20" t="n">
        <v>416.603</v>
      </c>
      <c r="W293" s="20" t="n">
        <v>1955.163</v>
      </c>
      <c r="X293" s="20" t="n">
        <v>183.777</v>
      </c>
    </row>
    <row r="294">
      <c r="A294" s="18" t="inlineStr">
        <is>
          <t>신규 연결 현금성자산 증가</t>
        </is>
      </c>
      <c r="O294" s="20" t="n">
        <v>0</v>
      </c>
      <c r="P294" s="20" t="n">
        <v>11.427</v>
      </c>
    </row>
    <row r="295">
      <c r="A295" s="18" t="inlineStr">
        <is>
          <t>연결범위 변경에 따른 현금성자산 증감</t>
        </is>
      </c>
      <c r="P295" s="20" t="n">
        <v>11.427</v>
      </c>
      <c r="Q295" s="20" t="n">
        <v>-12.347</v>
      </c>
      <c r="R295" s="20" t="n">
        <v>24.865</v>
      </c>
      <c r="S295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프리빗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34104.399</v>
      </c>
      <c r="D5" s="12" t="n">
        <v>32065.119</v>
      </c>
      <c r="E5" s="12" t="n">
        <v>32469.979</v>
      </c>
      <c r="F5" s="12" t="n">
        <v>32438.618</v>
      </c>
      <c r="G5" s="12" t="n">
        <v>35316.556</v>
      </c>
      <c r="H5" s="11" t="n">
        <v>29819.998</v>
      </c>
      <c r="I5" s="12" t="n">
        <v>30640.431</v>
      </c>
      <c r="J5" s="12" t="n">
        <v>31817.576</v>
      </c>
      <c r="K5" s="12" t="n">
        <v>34104.399</v>
      </c>
      <c r="L5" s="12" t="n">
        <v>35316.556</v>
      </c>
    </row>
    <row r="6">
      <c r="A6" s="18" t="inlineStr">
        <is>
          <t>현금및현금성자산</t>
        </is>
      </c>
      <c r="B6" s="10" t="n"/>
      <c r="C6" s="19" t="n">
        <v>20677.536</v>
      </c>
      <c r="D6" s="20" t="n">
        <v>18839.029</v>
      </c>
      <c r="E6" s="20" t="n">
        <v>18676.221</v>
      </c>
      <c r="F6" s="20" t="n">
        <v>18684.515</v>
      </c>
      <c r="G6" s="20" t="n">
        <v>20861.314</v>
      </c>
      <c r="H6" s="19" t="n">
        <v>17741.256</v>
      </c>
      <c r="I6" s="20" t="n">
        <v>18305.769</v>
      </c>
      <c r="J6" s="20" t="n">
        <v>18722.373</v>
      </c>
      <c r="K6" s="20" t="n">
        <v>20677.536</v>
      </c>
      <c r="L6" s="20" t="n">
        <v>20861.314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8704.019</v>
      </c>
      <c r="D8" s="20" t="n">
        <v>8792.602000000001</v>
      </c>
      <c r="E8" s="20" t="n">
        <v>9183.594999999999</v>
      </c>
      <c r="F8" s="20" t="n">
        <v>9269.552</v>
      </c>
      <c r="G8" s="20" t="n">
        <v>9540.927</v>
      </c>
      <c r="H8" s="19" t="n">
        <v>7861.788</v>
      </c>
      <c r="I8" s="20" t="n">
        <v>8192.709000000001</v>
      </c>
      <c r="J8" s="20" t="n">
        <v>8349.737999999999</v>
      </c>
      <c r="K8" s="20" t="n">
        <v>8704.019</v>
      </c>
      <c r="L8" s="20" t="n">
        <v>9540.927</v>
      </c>
    </row>
    <row r="9">
      <c r="A9" s="18" t="inlineStr">
        <is>
          <t>재고자산</t>
        </is>
      </c>
      <c r="B9" s="10" t="n"/>
      <c r="C9" s="19" t="n">
        <v>2365.919</v>
      </c>
      <c r="D9" s="20" t="n">
        <v>2094.679</v>
      </c>
      <c r="E9" s="20" t="n">
        <v>2151.252</v>
      </c>
      <c r="F9" s="20" t="n">
        <v>2030.185</v>
      </c>
      <c r="G9" s="20" t="n">
        <v>1575.639</v>
      </c>
      <c r="H9" s="19" t="n">
        <v>1630.347</v>
      </c>
      <c r="I9" s="20" t="n">
        <v>1838.393</v>
      </c>
      <c r="J9" s="20" t="n">
        <v>2261.481</v>
      </c>
      <c r="K9" s="20" t="n">
        <v>2365.919</v>
      </c>
      <c r="L9" s="20" t="n">
        <v>1575.639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6454.496</v>
      </c>
      <c r="D11" s="12" t="n">
        <v>6219.004</v>
      </c>
      <c r="E11" s="12" t="n">
        <v>6626.52</v>
      </c>
      <c r="F11" s="12" t="n">
        <v>6197.534</v>
      </c>
      <c r="G11" s="12" t="n">
        <v>5754.614</v>
      </c>
      <c r="H11" s="11" t="n">
        <v>5230.154</v>
      </c>
      <c r="I11" s="12" t="n">
        <v>5286.055</v>
      </c>
      <c r="J11" s="12" t="n">
        <v>6366.013</v>
      </c>
      <c r="K11" s="12" t="n">
        <v>6454.496</v>
      </c>
      <c r="L11" s="12" t="n">
        <v>5754.614</v>
      </c>
    </row>
    <row r="12">
      <c r="A12" s="18" t="inlineStr">
        <is>
          <t>유형자산</t>
        </is>
      </c>
      <c r="B12" s="10" t="n"/>
      <c r="C12" s="19" t="n">
        <v>2776.01</v>
      </c>
      <c r="D12" s="20" t="n">
        <v>2684.822</v>
      </c>
      <c r="E12" s="20" t="n">
        <v>2452.888</v>
      </c>
      <c r="F12" s="20" t="n">
        <v>2377.19</v>
      </c>
      <c r="G12" s="20" t="n">
        <v>2186.697</v>
      </c>
      <c r="H12" s="19" t="n">
        <v>2482.678</v>
      </c>
      <c r="I12" s="20" t="n">
        <v>2475.825</v>
      </c>
      <c r="J12" s="20" t="n">
        <v>3037.524</v>
      </c>
      <c r="K12" s="20" t="n">
        <v>2776.01</v>
      </c>
      <c r="L12" s="20" t="n">
        <v>2186.697</v>
      </c>
    </row>
    <row r="13">
      <c r="A13" s="18" t="inlineStr">
        <is>
          <t>무형자산</t>
        </is>
      </c>
      <c r="B13" s="10" t="n"/>
      <c r="C13" s="19" t="n">
        <v>804.079</v>
      </c>
      <c r="D13" s="20" t="n">
        <v>765.888</v>
      </c>
      <c r="E13" s="20" t="n">
        <v>1214.113</v>
      </c>
      <c r="F13" s="20" t="n">
        <v>1139.9</v>
      </c>
      <c r="G13" s="20" t="n">
        <v>651.513</v>
      </c>
      <c r="H13" s="19" t="n">
        <v>462.62</v>
      </c>
      <c r="I13" s="20" t="n">
        <v>389.271</v>
      </c>
      <c r="J13" s="20" t="n">
        <v>585.1319999999999</v>
      </c>
      <c r="K13" s="20" t="n">
        <v>804.079</v>
      </c>
      <c r="L13" s="20" t="n">
        <v>651.513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40558.896</v>
      </c>
      <c r="D16" s="12" t="n">
        <v>38284.123</v>
      </c>
      <c r="E16" s="12" t="n">
        <v>39096.499</v>
      </c>
      <c r="F16" s="12" t="n">
        <v>38636.152</v>
      </c>
      <c r="G16" s="12" t="n">
        <v>41071.171</v>
      </c>
      <c r="H16" s="11" t="n">
        <v>35050.152</v>
      </c>
      <c r="I16" s="12" t="n">
        <v>35926.487</v>
      </c>
      <c r="J16" s="12" t="n">
        <v>38183.589</v>
      </c>
      <c r="K16" s="12" t="n">
        <v>40558.896</v>
      </c>
      <c r="L16" s="12" t="n">
        <v>41071.171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15846.408</v>
      </c>
      <c r="D18" s="12" t="n">
        <v>14385.017</v>
      </c>
      <c r="E18" s="12" t="n">
        <v>15376.749</v>
      </c>
      <c r="F18" s="12" t="n">
        <v>15153.66</v>
      </c>
      <c r="G18" s="12" t="n">
        <v>17678.071</v>
      </c>
      <c r="H18" s="11" t="n">
        <v>13802.366</v>
      </c>
      <c r="I18" s="12" t="n">
        <v>14363.947</v>
      </c>
      <c r="J18" s="12" t="n">
        <v>14149.868</v>
      </c>
      <c r="K18" s="12" t="n">
        <v>15846.408</v>
      </c>
      <c r="L18" s="12" t="n">
        <v>17678.071</v>
      </c>
    </row>
    <row r="19">
      <c r="A19" s="18" t="inlineStr">
        <is>
          <t>매입채무</t>
        </is>
      </c>
      <c r="B19" s="10" t="n"/>
      <c r="C19" s="19" t="n">
        <v>104.665</v>
      </c>
      <c r="D19" s="20" t="n">
        <v>233.528</v>
      </c>
      <c r="E19" s="20" t="n">
        <v>310.361</v>
      </c>
      <c r="F19" s="20" t="n">
        <v>252.707</v>
      </c>
      <c r="G19" s="20" t="n">
        <v>170.455</v>
      </c>
      <c r="H19" s="19" t="n">
        <v>342.066</v>
      </c>
      <c r="I19" s="20" t="n">
        <v>256.361</v>
      </c>
      <c r="J19" s="20" t="n">
        <v>352.019</v>
      </c>
      <c r="K19" s="20" t="n">
        <v>104.665</v>
      </c>
      <c r="L19" s="20" t="n">
        <v>170.455</v>
      </c>
    </row>
    <row r="20">
      <c r="A20" s="18" t="inlineStr">
        <is>
          <t>단기차입금</t>
        </is>
      </c>
      <c r="B20" s="10" t="n"/>
      <c r="C20" s="19" t="n">
        <v>300</v>
      </c>
      <c r="D20" s="20" t="n">
        <v>300</v>
      </c>
      <c r="E20" s="20" t="n">
        <v>300</v>
      </c>
      <c r="F20" s="20" t="n">
        <v>300</v>
      </c>
      <c r="G20" s="20" t="n">
        <v>300</v>
      </c>
      <c r="H20" s="19" t="n">
        <v>300</v>
      </c>
      <c r="I20" s="20" t="n">
        <v>300</v>
      </c>
      <c r="J20" s="20" t="n">
        <v>300</v>
      </c>
      <c r="K20" s="20" t="n">
        <v>300</v>
      </c>
      <c r="L20" s="20" t="n">
        <v>300</v>
      </c>
    </row>
    <row r="21">
      <c r="A21" s="18" t="inlineStr">
        <is>
          <t>유동성장기부채</t>
        </is>
      </c>
      <c r="B21" s="10" t="n"/>
      <c r="C21" s="19" t="n">
        <v>5465.475</v>
      </c>
      <c r="D21" s="20" t="n">
        <v>5578.833</v>
      </c>
      <c r="E21" s="20" t="n">
        <v>5605.425</v>
      </c>
      <c r="F21" s="20" t="n">
        <v>5233.784</v>
      </c>
      <c r="G21" s="20" t="n">
        <v>7009.735</v>
      </c>
      <c r="H21" s="19" t="n">
        <v>4150.944</v>
      </c>
      <c r="I21" s="20" t="n">
        <v>4792.962</v>
      </c>
      <c r="J21" s="20" t="n">
        <v>4948.783</v>
      </c>
      <c r="K21" s="20" t="n">
        <v>5465.475</v>
      </c>
      <c r="L21" s="20" t="n">
        <v>7009.735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16175.95</v>
      </c>
      <c r="D23" s="12" t="n">
        <v>14881.213</v>
      </c>
      <c r="E23" s="12" t="n">
        <v>13618.891</v>
      </c>
      <c r="F23" s="12" t="n">
        <v>12403.242</v>
      </c>
      <c r="G23" s="12" t="n">
        <v>11328.156</v>
      </c>
      <c r="H23" s="11" t="n">
        <v>10208.578</v>
      </c>
      <c r="I23" s="12" t="n">
        <v>10530.186</v>
      </c>
      <c r="J23" s="12" t="n">
        <v>8836.893</v>
      </c>
      <c r="K23" s="12" t="n">
        <v>16175.95</v>
      </c>
      <c r="L23" s="12" t="n">
        <v>11328.156</v>
      </c>
    </row>
    <row r="24">
      <c r="A24" s="18" t="inlineStr">
        <is>
          <t>장기차입금</t>
        </is>
      </c>
      <c r="B24" s="10" t="n"/>
      <c r="C24" s="19" t="n">
        <v>15158.208</v>
      </c>
      <c r="D24" s="20" t="n">
        <v>13896.741</v>
      </c>
      <c r="E24" s="20" t="n">
        <v>12642.056</v>
      </c>
      <c r="F24" s="20" t="n">
        <v>11450.6</v>
      </c>
      <c r="G24" s="20" t="n">
        <v>10092.916</v>
      </c>
      <c r="H24" s="19" t="n">
        <v>8012.26</v>
      </c>
      <c r="I24" s="20" t="n">
        <v>9084.281999999999</v>
      </c>
      <c r="J24" s="20" t="n">
        <v>7629.384</v>
      </c>
      <c r="K24" s="20" t="n">
        <v>15158.208</v>
      </c>
      <c r="L24" s="20" t="n">
        <v>10092.916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300</v>
      </c>
      <c r="I25" s="20" t="n">
        <v>0</v>
      </c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32022.359</v>
      </c>
      <c r="D27" s="12" t="n">
        <v>29266.23</v>
      </c>
      <c r="E27" s="12" t="n">
        <v>28995.641</v>
      </c>
      <c r="F27" s="12" t="n">
        <v>27556.902</v>
      </c>
      <c r="G27" s="12" t="n">
        <v>29006.227</v>
      </c>
      <c r="H27" s="11" t="n">
        <v>24010.945</v>
      </c>
      <c r="I27" s="12" t="n">
        <v>24894.134</v>
      </c>
      <c r="J27" s="12" t="n">
        <v>22986.762</v>
      </c>
      <c r="K27" s="12" t="n">
        <v>32022.359</v>
      </c>
      <c r="L27" s="12" t="n">
        <v>29006.227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6500.794</v>
      </c>
      <c r="D31" s="12" t="n">
        <v>6943.09</v>
      </c>
      <c r="E31" s="12" t="n">
        <v>7978.3</v>
      </c>
      <c r="F31" s="12" t="n">
        <v>8913.736000000001</v>
      </c>
      <c r="G31" s="12" t="n">
        <v>9859.601000000001</v>
      </c>
      <c r="H31" s="11" t="n">
        <v>6931.756</v>
      </c>
      <c r="I31" s="12" t="n">
        <v>8317.634</v>
      </c>
      <c r="J31" s="12" t="n">
        <v>11762.245</v>
      </c>
      <c r="K31" s="12" t="n">
        <v>6500.794</v>
      </c>
      <c r="L31" s="12" t="n">
        <v>9859.601000000001</v>
      </c>
    </row>
    <row r="32">
      <c r="A32" s="18" t="inlineStr">
        <is>
          <t>자본금</t>
        </is>
      </c>
      <c r="B32" s="10" t="n"/>
      <c r="C32" s="19" t="n">
        <v>4514.185</v>
      </c>
      <c r="D32" s="20" t="n">
        <v>4514.185</v>
      </c>
      <c r="E32" s="20" t="n">
        <v>4514.185</v>
      </c>
      <c r="F32" s="20" t="n">
        <v>4514.185</v>
      </c>
      <c r="G32" s="20" t="n">
        <v>4514.185</v>
      </c>
      <c r="H32" s="19" t="n">
        <v>4514.185</v>
      </c>
      <c r="I32" s="20" t="n">
        <v>4514.185</v>
      </c>
      <c r="J32" s="20" t="n">
        <v>4514.185</v>
      </c>
      <c r="K32" s="20" t="n">
        <v>4514.185</v>
      </c>
      <c r="L32" s="20" t="n">
        <v>4514.185</v>
      </c>
    </row>
    <row r="33">
      <c r="A33" s="18" t="inlineStr">
        <is>
          <t>이익잉여금</t>
        </is>
      </c>
      <c r="B33" s="10" t="n"/>
      <c r="C33" s="19" t="n">
        <v>3361.628</v>
      </c>
      <c r="D33" s="20" t="n">
        <v>3770.824</v>
      </c>
      <c r="E33" s="20" t="n">
        <v>4978.125</v>
      </c>
      <c r="F33" s="20" t="n">
        <v>6011.909</v>
      </c>
      <c r="G33" s="20" t="n">
        <v>6863.159</v>
      </c>
      <c r="H33" s="19" t="n">
        <v>3635.697</v>
      </c>
      <c r="I33" s="20" t="n">
        <v>5286.747</v>
      </c>
      <c r="J33" s="20" t="n">
        <v>8693.075000000001</v>
      </c>
      <c r="K33" s="20" t="n">
        <v>3361.628</v>
      </c>
      <c r="L33" s="20" t="n">
        <v>6863.159</v>
      </c>
    </row>
    <row r="34">
      <c r="A34" s="18" t="inlineStr">
        <is>
          <t>비지배지분</t>
        </is>
      </c>
      <c r="B34" s="10" t="n"/>
      <c r="C34" s="19" t="n">
        <v>2035.742</v>
      </c>
      <c r="D34" s="20" t="n">
        <v>2074.803</v>
      </c>
      <c r="E34" s="20" t="n">
        <v>2122.558</v>
      </c>
      <c r="F34" s="20" t="n">
        <v>2165.514</v>
      </c>
      <c r="G34" s="20" t="n">
        <v>2205.342</v>
      </c>
      <c r="H34" s="19" t="n">
        <v>4106.671</v>
      </c>
      <c r="I34" s="20" t="n">
        <v>2713.938</v>
      </c>
      <c r="J34" s="20" t="n">
        <v>3433.802</v>
      </c>
      <c r="K34" s="20" t="n">
        <v>2035.742</v>
      </c>
      <c r="L34" s="20" t="n">
        <v>2205.342</v>
      </c>
    </row>
    <row r="35">
      <c r="A35" s="9" t="inlineStr">
        <is>
          <t>자본총계</t>
        </is>
      </c>
      <c r="B35" s="10" t="n"/>
      <c r="C35" s="11" t="n">
        <v>8536.536</v>
      </c>
      <c r="D35" s="12" t="n">
        <v>9017.893</v>
      </c>
      <c r="E35" s="12" t="n">
        <v>10100.858</v>
      </c>
      <c r="F35" s="12" t="n">
        <v>11079.25</v>
      </c>
      <c r="G35" s="12" t="n">
        <v>12064.943</v>
      </c>
      <c r="H35" s="11" t="n">
        <v>11039.207</v>
      </c>
      <c r="I35" s="12" t="n">
        <v>11032.352</v>
      </c>
      <c r="J35" s="12" t="n">
        <v>15196.827</v>
      </c>
      <c r="K35" s="12" t="n">
        <v>8536.536</v>
      </c>
      <c r="L35" s="12" t="n">
        <v>12064.943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4573.382</v>
      </c>
      <c r="D37" s="12" t="n"/>
      <c r="E37" s="12" t="n">
        <v>5763.311</v>
      </c>
      <c r="F37" s="12" t="n"/>
      <c r="G37" s="12" t="n">
        <v>6506.277</v>
      </c>
      <c r="H37" s="11" t="n">
        <v>2333.843</v>
      </c>
      <c r="I37" s="12" t="n">
        <v>3322.201</v>
      </c>
      <c r="J37" s="12" t="n">
        <v>4225.973</v>
      </c>
      <c r="K37" s="12" t="n">
        <v>4573.382</v>
      </c>
      <c r="L37" s="12" t="n">
        <v>6506.277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566.7619999999999</v>
      </c>
      <c r="D38" s="20" t="n"/>
      <c r="E38" s="20" t="n">
        <v>176.501</v>
      </c>
      <c r="F38" s="20" t="n"/>
      <c r="G38" s="20" t="n">
        <v>118.449</v>
      </c>
      <c r="H38" s="19" t="n">
        <v>261.419</v>
      </c>
      <c r="I38" s="20" t="n">
        <v>669.098</v>
      </c>
      <c r="J38" s="20" t="n">
        <v>1420.095</v>
      </c>
      <c r="K38" s="20" t="n">
        <v>566.7619999999999</v>
      </c>
      <c r="L38" s="20" t="n">
        <v>118.449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537.496</v>
      </c>
      <c r="D40" s="20" t="n"/>
      <c r="E40" s="20" t="n">
        <v>652.144</v>
      </c>
      <c r="F40" s="20" t="n"/>
      <c r="G40" s="20" t="n">
        <v>651.872</v>
      </c>
      <c r="H40" s="19" t="n">
        <v>146.36</v>
      </c>
      <c r="I40" s="20" t="n">
        <v>140.878</v>
      </c>
      <c r="J40" s="20" t="n">
        <v>159.156</v>
      </c>
      <c r="K40" s="20" t="n">
        <v>537.496</v>
      </c>
      <c r="L40" s="20" t="n">
        <v>651.872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20677.536</v>
      </c>
      <c r="D71" s="20" t="n">
        <v>18839.029</v>
      </c>
      <c r="E71" s="20" t="n">
        <v>18676.221</v>
      </c>
      <c r="F71" s="20" t="n">
        <v>18684.515</v>
      </c>
      <c r="G71" s="20" t="n">
        <v>20861.314</v>
      </c>
      <c r="H71" s="20" t="n">
        <v>17741.256</v>
      </c>
      <c r="I71" s="20" t="n">
        <v>18305.769</v>
      </c>
      <c r="J71" s="20" t="n">
        <v>18722.373</v>
      </c>
      <c r="K71" s="20" t="n">
        <v>20677.536</v>
      </c>
      <c r="L71" s="20" t="n">
        <v>20861.314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H73" s="20" t="n">
        <v>7931.804</v>
      </c>
      <c r="I73" s="20" t="n">
        <v>8395.261</v>
      </c>
      <c r="J73" s="20" t="n">
        <v>8506.073</v>
      </c>
    </row>
    <row r="74">
      <c r="A74" s="18" t="inlineStr">
        <is>
          <t>받을어음</t>
        </is>
      </c>
      <c r="C74" s="20" t="n">
        <v>0</v>
      </c>
      <c r="H74" s="20" t="n">
        <v>32.405</v>
      </c>
      <c r="I74" s="20" t="n">
        <v>173.106</v>
      </c>
      <c r="J74" s="20" t="n">
        <v>132.81</v>
      </c>
      <c r="K74" s="20" t="n">
        <v>0</v>
      </c>
    </row>
    <row r="75">
      <c r="A75" s="18" t="inlineStr">
        <is>
          <t>매출채권·계약자산</t>
        </is>
      </c>
      <c r="C75" s="20" t="n">
        <v>8714.737999999999</v>
      </c>
      <c r="D75" s="20" t="n">
        <v>8792.602000000001</v>
      </c>
      <c r="E75" s="20" t="n">
        <v>9183.594999999999</v>
      </c>
      <c r="F75" s="20" t="n">
        <v>9269.552</v>
      </c>
      <c r="K75" s="20" t="n">
        <v>8714.737999999999</v>
      </c>
    </row>
    <row r="76">
      <c r="A76" s="18" t="inlineStr">
        <is>
          <t>매출채권</t>
        </is>
      </c>
      <c r="C76" s="20" t="n">
        <v>8704.019</v>
      </c>
      <c r="G76" s="20" t="n">
        <v>9540.927</v>
      </c>
      <c r="H76" s="20" t="n">
        <v>7861.788</v>
      </c>
      <c r="I76" s="20" t="n">
        <v>8192.709000000001</v>
      </c>
      <c r="J76" s="20" t="n">
        <v>8349.737999999999</v>
      </c>
      <c r="K76" s="20" t="n">
        <v>8704.019</v>
      </c>
      <c r="L76" s="20" t="n">
        <v>9540.927</v>
      </c>
    </row>
    <row r="77">
      <c r="A77" s="18" t="inlineStr">
        <is>
          <t>계약자산</t>
        </is>
      </c>
      <c r="C77" s="20" t="n">
        <v>10.718</v>
      </c>
      <c r="G77" s="20" t="n">
        <v>24.962</v>
      </c>
      <c r="H77" s="20" t="n">
        <v>37.61</v>
      </c>
      <c r="I77" s="20" t="n">
        <v>29.446</v>
      </c>
      <c r="J77" s="20" t="n">
        <v>23.525</v>
      </c>
      <c r="K77" s="20" t="n">
        <v>10.718</v>
      </c>
      <c r="L77" s="20" t="n">
        <v>24.962</v>
      </c>
    </row>
    <row r="78">
      <c r="A78" s="18" t="inlineStr">
        <is>
          <t>리스채권·리스투자자산</t>
        </is>
      </c>
      <c r="C78" s="20" t="n">
        <v>1088.001</v>
      </c>
      <c r="G78" s="20" t="n">
        <v>1297.901</v>
      </c>
      <c r="H78" s="20" t="n">
        <v>135.452</v>
      </c>
      <c r="I78" s="20" t="n">
        <v>394.925</v>
      </c>
      <c r="J78" s="20" t="n">
        <v>926.302</v>
      </c>
      <c r="K78" s="20" t="n">
        <v>1088.001</v>
      </c>
      <c r="L78" s="20" t="n">
        <v>1297.901</v>
      </c>
    </row>
    <row r="79">
      <c r="A79" s="18" t="inlineStr">
        <is>
          <t>상품·제품</t>
        </is>
      </c>
      <c r="C79" s="20" t="n">
        <v>137.18</v>
      </c>
      <c r="H79" s="20" t="n">
        <v>122.591</v>
      </c>
      <c r="I79" s="20" t="n">
        <v>338.698</v>
      </c>
      <c r="J79" s="20" t="n">
        <v>83.453</v>
      </c>
      <c r="K79" s="20" t="n">
        <v>137.18</v>
      </c>
    </row>
    <row r="80">
      <c r="A80" s="18" t="inlineStr">
        <is>
          <t>상품</t>
        </is>
      </c>
      <c r="C80" s="20" t="n">
        <v>137.18</v>
      </c>
      <c r="D80" s="20" t="n">
        <v>126.509</v>
      </c>
      <c r="E80" s="20" t="n">
        <v>216.781</v>
      </c>
      <c r="F80" s="20" t="n">
        <v>237.173</v>
      </c>
      <c r="G80" s="20" t="n">
        <v>220.714</v>
      </c>
      <c r="K80" s="20" t="n">
        <v>137.18</v>
      </c>
      <c r="L80" s="20" t="n">
        <v>220.714</v>
      </c>
    </row>
    <row r="81">
      <c r="A81" s="18" t="inlineStr">
        <is>
          <t>재공품</t>
        </is>
      </c>
      <c r="C81" s="20" t="n">
        <v>290.854</v>
      </c>
      <c r="D81" s="20" t="n">
        <v>233.086</v>
      </c>
      <c r="E81" s="20" t="n">
        <v>272.796</v>
      </c>
      <c r="F81" s="20" t="n">
        <v>332.326</v>
      </c>
      <c r="G81" s="20" t="n">
        <v>173.337</v>
      </c>
      <c r="H81" s="20" t="n">
        <v>165.24</v>
      </c>
      <c r="I81" s="20" t="n">
        <v>251.623</v>
      </c>
      <c r="J81" s="20" t="n">
        <v>195.266</v>
      </c>
      <c r="K81" s="20" t="n">
        <v>290.854</v>
      </c>
      <c r="L81" s="20" t="n">
        <v>173.337</v>
      </c>
    </row>
    <row r="82">
      <c r="A82" s="18" t="inlineStr">
        <is>
          <t>원재료·저장품</t>
        </is>
      </c>
      <c r="C82" s="20" t="n">
        <v>1800.705</v>
      </c>
      <c r="D82" s="20" t="n">
        <v>1735.084</v>
      </c>
      <c r="E82" s="20" t="n">
        <v>1661.675</v>
      </c>
      <c r="F82" s="20" t="n">
        <v>1460.686</v>
      </c>
      <c r="G82" s="20" t="n">
        <v>1181.588</v>
      </c>
      <c r="H82" s="20" t="n">
        <v>1342.516</v>
      </c>
      <c r="I82" s="20" t="n">
        <v>1248.072</v>
      </c>
      <c r="J82" s="20" t="n">
        <v>1982.762</v>
      </c>
      <c r="K82" s="20" t="n">
        <v>1800.705</v>
      </c>
      <c r="L82" s="20" t="n">
        <v>1181.588</v>
      </c>
    </row>
    <row r="83">
      <c r="A83" s="18" t="inlineStr">
        <is>
          <t>선급비용</t>
        </is>
      </c>
      <c r="C83" s="20" t="n">
        <v>648.3819999999999</v>
      </c>
      <c r="G83" s="20" t="n">
        <v>740.153</v>
      </c>
      <c r="H83" s="20" t="n">
        <v>461.29</v>
      </c>
      <c r="I83" s="20" t="n">
        <v>468.303</v>
      </c>
      <c r="J83" s="20" t="n">
        <v>573.202</v>
      </c>
      <c r="K83" s="20" t="n">
        <v>648.3819999999999</v>
      </c>
      <c r="L83" s="20" t="n">
        <v>740.153</v>
      </c>
    </row>
    <row r="84">
      <c r="A84" s="18" t="inlineStr">
        <is>
          <t>미수금</t>
        </is>
      </c>
      <c r="C84" s="20" t="n">
        <v>435.245</v>
      </c>
      <c r="G84" s="20" t="n">
        <v>965.481</v>
      </c>
      <c r="H84" s="20" t="n">
        <v>587.189</v>
      </c>
      <c r="I84" s="20" t="n">
        <v>572.895</v>
      </c>
      <c r="J84" s="20" t="n">
        <v>471.028</v>
      </c>
      <c r="K84" s="20" t="n">
        <v>435.245</v>
      </c>
      <c r="L84" s="20" t="n">
        <v>965.481</v>
      </c>
    </row>
    <row r="85">
      <c r="A85" s="18" t="inlineStr">
        <is>
          <t>기타</t>
        </is>
      </c>
      <c r="C85" s="20" t="n">
        <v>400.817</v>
      </c>
      <c r="D85" s="20" t="n">
        <v>2440.212</v>
      </c>
      <c r="E85" s="20" t="n">
        <v>2571.073</v>
      </c>
      <c r="F85" s="20" t="n">
        <v>2588.531</v>
      </c>
      <c r="G85" s="20" t="n">
        <v>439.189</v>
      </c>
      <c r="H85" s="20" t="n">
        <v>1416.616</v>
      </c>
      <c r="I85" s="20" t="n">
        <v>731.764</v>
      </c>
      <c r="J85" s="20" t="n">
        <v>410.84</v>
      </c>
      <c r="K85" s="20" t="n">
        <v>400.817</v>
      </c>
      <c r="L85" s="20" t="n">
        <v>439.189</v>
      </c>
    </row>
    <row r="86">
      <c r="A86" s="18" t="inlineStr">
        <is>
          <t>대손충당금</t>
        </is>
      </c>
      <c r="C86" s="20" t="n">
        <v>-89.06100000000001</v>
      </c>
      <c r="D86" s="20" t="n">
        <v>-101.404</v>
      </c>
      <c r="E86" s="20" t="n">
        <v>-112.164</v>
      </c>
      <c r="F86" s="20" t="n">
        <v>-134.166</v>
      </c>
      <c r="G86" s="20" t="n">
        <v>-129.013</v>
      </c>
      <c r="H86" s="20" t="n">
        <v>-83.961</v>
      </c>
      <c r="I86" s="20" t="n">
        <v>-66.88200000000001</v>
      </c>
      <c r="J86" s="20" t="n">
        <v>-53.727</v>
      </c>
      <c r="K86" s="20" t="n">
        <v>-89.06100000000001</v>
      </c>
      <c r="L86" s="20" t="n">
        <v>-129.013</v>
      </c>
    </row>
    <row r="87">
      <c r="A87" s="9" t="inlineStr">
        <is>
          <t>유동자산 합계</t>
        </is>
      </c>
      <c r="C87" s="12" t="n">
        <v>34104.399</v>
      </c>
      <c r="D87" s="12" t="n">
        <v>32065.119</v>
      </c>
      <c r="E87" s="12" t="n">
        <v>32469.979</v>
      </c>
      <c r="F87" s="12" t="n">
        <v>32438.618</v>
      </c>
      <c r="G87" s="12" t="n">
        <v>35316.556</v>
      </c>
      <c r="H87" s="12" t="n">
        <v>29819.998</v>
      </c>
      <c r="I87" s="12" t="n">
        <v>30640.431</v>
      </c>
      <c r="J87" s="12" t="n">
        <v>31817.576</v>
      </c>
      <c r="K87" s="12" t="n">
        <v>34104.399</v>
      </c>
      <c r="L87" s="12" t="n">
        <v>35316.556</v>
      </c>
    </row>
    <row r="88">
      <c r="A88" s="18" t="inlineStr">
        <is>
          <t>건물·구축물(순액)</t>
        </is>
      </c>
      <c r="C88" s="20" t="n">
        <v>308.964</v>
      </c>
      <c r="G88" s="20" t="n">
        <v>261.824</v>
      </c>
      <c r="H88" s="20" t="n">
        <v>626.9589999999999</v>
      </c>
      <c r="I88" s="20" t="n">
        <v>435.582</v>
      </c>
      <c r="J88" s="20" t="n">
        <v>341.196</v>
      </c>
      <c r="K88" s="20" t="n">
        <v>308.964</v>
      </c>
      <c r="L88" s="20" t="n">
        <v>261.824</v>
      </c>
    </row>
    <row r="89">
      <c r="A89" s="18" t="inlineStr">
        <is>
          <t>토지</t>
        </is>
      </c>
      <c r="C89" s="20" t="n">
        <v>162.135</v>
      </c>
      <c r="G89" s="20" t="n">
        <v>162.135</v>
      </c>
      <c r="H89" s="20" t="n">
        <v>296.105</v>
      </c>
      <c r="I89" s="20" t="n">
        <v>177.67</v>
      </c>
      <c r="J89" s="20" t="n">
        <v>162.135</v>
      </c>
      <c r="K89" s="20" t="n">
        <v>162.135</v>
      </c>
      <c r="L89" s="20" t="n">
        <v>162.135</v>
      </c>
    </row>
    <row r="90">
      <c r="A90" s="18" t="inlineStr">
        <is>
          <t>임대자산(순액)</t>
        </is>
      </c>
      <c r="C90" s="20" t="n">
        <v>1527.069</v>
      </c>
      <c r="G90" s="20" t="n">
        <v>1426.916</v>
      </c>
      <c r="I90" s="20" t="n">
        <v>265.78</v>
      </c>
      <c r="J90" s="20" t="n">
        <v>1178.585</v>
      </c>
      <c r="K90" s="20" t="n">
        <v>1527.069</v>
      </c>
      <c r="L90" s="20" t="n">
        <v>1426.916</v>
      </c>
    </row>
    <row r="91">
      <c r="A91" s="18" t="inlineStr">
        <is>
          <t>리스자산(순액)</t>
        </is>
      </c>
      <c r="C91" s="20" t="n">
        <v>592.248</v>
      </c>
      <c r="G91" s="20" t="n">
        <v>184.005</v>
      </c>
      <c r="H91" s="20" t="n">
        <v>1416.469</v>
      </c>
      <c r="I91" s="20" t="n">
        <v>1101.285</v>
      </c>
      <c r="J91" s="20" t="n">
        <v>815.38</v>
      </c>
      <c r="K91" s="20" t="n">
        <v>592.248</v>
      </c>
      <c r="L91" s="20" t="n">
        <v>184.005</v>
      </c>
    </row>
    <row r="92">
      <c r="A92" s="18" t="inlineStr">
        <is>
          <t>건설중인자산</t>
        </is>
      </c>
      <c r="C92" s="20" t="n">
        <v>0</v>
      </c>
      <c r="I92" s="20" t="n">
        <v>333.535</v>
      </c>
      <c r="J92" s="20" t="n">
        <v>402.144</v>
      </c>
      <c r="K92" s="20" t="n">
        <v>0</v>
      </c>
    </row>
    <row r="93">
      <c r="A93" s="18" t="inlineStr">
        <is>
          <t>기타(순액)</t>
        </is>
      </c>
      <c r="C93" s="20" t="n">
        <v>185.592</v>
      </c>
      <c r="G93" s="20" t="n">
        <v>151.814</v>
      </c>
      <c r="H93" s="20" t="n">
        <v>143.144</v>
      </c>
      <c r="I93" s="20" t="n">
        <v>161.971</v>
      </c>
      <c r="J93" s="20" t="n">
        <v>138.081</v>
      </c>
      <c r="K93" s="20" t="n">
        <v>185.592</v>
      </c>
      <c r="L93" s="20" t="n">
        <v>151.814</v>
      </c>
    </row>
    <row r="94">
      <c r="A94" s="18" t="inlineStr">
        <is>
          <t>유형자산 합계</t>
        </is>
      </c>
      <c r="C94" s="20" t="n">
        <v>2776.01</v>
      </c>
      <c r="D94" s="20" t="n">
        <v>2684.822</v>
      </c>
      <c r="E94" s="20" t="n">
        <v>2452.888</v>
      </c>
      <c r="F94" s="20" t="n">
        <v>2377.19</v>
      </c>
      <c r="G94" s="20" t="n">
        <v>2186.697</v>
      </c>
      <c r="H94" s="20" t="n">
        <v>2482.678</v>
      </c>
      <c r="I94" s="20" t="n">
        <v>2475.825</v>
      </c>
      <c r="J94" s="20" t="n">
        <v>3037.524</v>
      </c>
      <c r="K94" s="20" t="n">
        <v>2776.01</v>
      </c>
      <c r="L94" s="20" t="n">
        <v>2186.697</v>
      </c>
    </row>
    <row r="95">
      <c r="A95" s="18" t="inlineStr">
        <is>
          <t>영업권</t>
        </is>
      </c>
      <c r="C95" s="20" t="n">
        <v>90.91200000000001</v>
      </c>
      <c r="D95" s="20" t="n">
        <v>85.599</v>
      </c>
      <c r="E95" s="20" t="n">
        <v>569.256</v>
      </c>
      <c r="F95" s="20" t="n">
        <v>539.699</v>
      </c>
      <c r="G95" s="20" t="n">
        <v>70.10899999999999</v>
      </c>
      <c r="H95" s="20" t="n">
        <v>74.587</v>
      </c>
      <c r="I95" s="20" t="n">
        <v>37.149</v>
      </c>
      <c r="J95" s="20" t="n">
        <v>2.406</v>
      </c>
      <c r="K95" s="20" t="n">
        <v>90.91200000000001</v>
      </c>
      <c r="L95" s="20" t="n">
        <v>70.10899999999999</v>
      </c>
    </row>
    <row r="96">
      <c r="A96" s="18" t="inlineStr">
        <is>
          <t>소프트웨어</t>
        </is>
      </c>
      <c r="C96" s="20" t="n">
        <v>668.759</v>
      </c>
      <c r="D96" s="20" t="n">
        <v>645.472</v>
      </c>
      <c r="E96" s="20" t="n">
        <v>602.984</v>
      </c>
      <c r="F96" s="20" t="n">
        <v>555.5359999999999</v>
      </c>
      <c r="G96" s="20" t="n">
        <v>531.704</v>
      </c>
      <c r="H96" s="20" t="n">
        <v>277.59</v>
      </c>
      <c r="I96" s="20" t="n">
        <v>171.899</v>
      </c>
      <c r="J96" s="20" t="n">
        <v>248.223</v>
      </c>
      <c r="K96" s="20" t="n">
        <v>668.759</v>
      </c>
      <c r="L96" s="20" t="n">
        <v>531.704</v>
      </c>
    </row>
    <row r="97">
      <c r="A97" s="18" t="inlineStr">
        <is>
          <t>개발 중 소프트웨어</t>
        </is>
      </c>
      <c r="C97" s="20" t="n">
        <v>23.078</v>
      </c>
      <c r="G97" s="20" t="n">
        <v>28.613</v>
      </c>
      <c r="H97" s="20" t="n">
        <v>93.289</v>
      </c>
      <c r="I97" s="20" t="n">
        <v>162.227</v>
      </c>
      <c r="J97" s="20" t="n">
        <v>312.661</v>
      </c>
      <c r="K97" s="20" t="n">
        <v>23.078</v>
      </c>
      <c r="L97" s="20" t="n">
        <v>28.613</v>
      </c>
    </row>
    <row r="98">
      <c r="A98" s="18" t="inlineStr">
        <is>
          <t>기타</t>
        </is>
      </c>
      <c r="C98" s="20" t="n">
        <v>21.33</v>
      </c>
      <c r="D98" s="20" t="n">
        <v>34.816</v>
      </c>
      <c r="E98" s="20" t="n">
        <v>41.872</v>
      </c>
      <c r="F98" s="20" t="n">
        <v>44.665</v>
      </c>
      <c r="G98" s="20" t="n">
        <v>21.086</v>
      </c>
      <c r="H98" s="20" t="n">
        <v>17.152</v>
      </c>
      <c r="I98" s="20" t="n">
        <v>17.994</v>
      </c>
      <c r="J98" s="20" t="n">
        <v>21.841</v>
      </c>
      <c r="K98" s="20" t="n">
        <v>21.33</v>
      </c>
      <c r="L98" s="20" t="n">
        <v>21.086</v>
      </c>
    </row>
    <row r="99">
      <c r="A99" s="18" t="inlineStr">
        <is>
          <t>무형자산 합계</t>
        </is>
      </c>
      <c r="C99" s="20" t="n">
        <v>804.079</v>
      </c>
      <c r="D99" s="20" t="n">
        <v>765.888</v>
      </c>
      <c r="E99" s="20" t="n">
        <v>1214.113</v>
      </c>
      <c r="F99" s="20" t="n">
        <v>1139.9</v>
      </c>
      <c r="G99" s="20" t="n">
        <v>651.513</v>
      </c>
      <c r="H99" s="20" t="n">
        <v>462.62</v>
      </c>
      <c r="I99" s="20" t="n">
        <v>389.271</v>
      </c>
      <c r="J99" s="20" t="n">
        <v>585.1319999999999</v>
      </c>
      <c r="K99" s="20" t="n">
        <v>804.079</v>
      </c>
      <c r="L99" s="20" t="n">
        <v>651.513</v>
      </c>
    </row>
    <row r="100">
      <c r="A100" s="18" t="inlineStr">
        <is>
          <t>투자유가증권</t>
        </is>
      </c>
      <c r="C100" s="20" t="n">
        <v>1076.831</v>
      </c>
      <c r="D100" s="20" t="n">
        <v>1093.749</v>
      </c>
      <c r="E100" s="20" t="n">
        <v>1257.517</v>
      </c>
      <c r="F100" s="20" t="n">
        <v>1131.137</v>
      </c>
      <c r="G100" s="20" t="n">
        <v>1254.288</v>
      </c>
      <c r="H100" s="20" t="n">
        <v>1143.316</v>
      </c>
      <c r="I100" s="20" t="n">
        <v>949.05</v>
      </c>
      <c r="J100" s="20" t="n">
        <v>989.025</v>
      </c>
      <c r="K100" s="20" t="n">
        <v>1076.831</v>
      </c>
      <c r="L100" s="20" t="n">
        <v>1254.288</v>
      </c>
    </row>
    <row r="101">
      <c r="A101" s="18" t="inlineStr">
        <is>
          <t>장기대여금</t>
        </is>
      </c>
      <c r="C101" s="20" t="n">
        <v>1496.914</v>
      </c>
      <c r="D101" s="20" t="n">
        <v>1496.914</v>
      </c>
      <c r="E101" s="20" t="n">
        <v>1496.914</v>
      </c>
      <c r="F101" s="20" t="n">
        <v>0</v>
      </c>
      <c r="G101" s="20" t="n">
        <v>0</v>
      </c>
      <c r="H101" s="20" t="n">
        <v>1501.384</v>
      </c>
      <c r="I101" s="20" t="n">
        <v>1496.914</v>
      </c>
      <c r="J101" s="20" t="n">
        <v>1496.914</v>
      </c>
      <c r="K101" s="20" t="n">
        <v>1496.914</v>
      </c>
      <c r="L101" s="20" t="n">
        <v>0</v>
      </c>
    </row>
    <row r="102">
      <c r="A102" s="18" t="inlineStr">
        <is>
          <t>이연법인세자산</t>
        </is>
      </c>
      <c r="C102" s="20" t="n">
        <v>1127.025</v>
      </c>
      <c r="G102" s="20" t="n">
        <v>956.404</v>
      </c>
      <c r="H102" s="20" t="n">
        <v>544.072</v>
      </c>
      <c r="I102" s="20" t="n">
        <v>864.239</v>
      </c>
      <c r="J102" s="20" t="n">
        <v>1099.115</v>
      </c>
      <c r="K102" s="20" t="n">
        <v>1127.025</v>
      </c>
      <c r="L102" s="20" t="n">
        <v>956.404</v>
      </c>
    </row>
    <row r="103">
      <c r="A103" s="18" t="inlineStr">
        <is>
          <t>보증금</t>
        </is>
      </c>
      <c r="C103" s="20" t="n">
        <v>515.3</v>
      </c>
      <c r="D103" s="20" t="n">
        <v>531.869</v>
      </c>
      <c r="E103" s="20" t="n">
        <v>543.535</v>
      </c>
      <c r="F103" s="20" t="n">
        <v>554.449</v>
      </c>
      <c r="G103" s="20" t="n">
        <v>593.173</v>
      </c>
      <c r="H103" s="20" t="n">
        <v>529.375</v>
      </c>
      <c r="I103" s="20" t="n">
        <v>480.969</v>
      </c>
      <c r="J103" s="20" t="n">
        <v>482.037</v>
      </c>
      <c r="K103" s="20" t="n">
        <v>515.3</v>
      </c>
      <c r="L103" s="20" t="n">
        <v>593.173</v>
      </c>
    </row>
    <row r="104">
      <c r="A104" s="18" t="inlineStr">
        <is>
          <t>기타</t>
        </is>
      </c>
      <c r="C104" s="20" t="n">
        <v>393.027</v>
      </c>
      <c r="D104" s="20" t="n">
        <v>1381.157</v>
      </c>
      <c r="E104" s="20" t="n">
        <v>1397.567</v>
      </c>
      <c r="F104" s="20" t="n">
        <v>1234.762</v>
      </c>
      <c r="G104" s="20" t="n">
        <v>342.438</v>
      </c>
      <c r="H104" s="20" t="n">
        <v>301.819</v>
      </c>
      <c r="I104" s="20" t="n">
        <v>365.133</v>
      </c>
      <c r="J104" s="20" t="n">
        <v>407.869</v>
      </c>
      <c r="K104" s="20" t="n">
        <v>393.027</v>
      </c>
      <c r="L104" s="20" t="n">
        <v>342.438</v>
      </c>
    </row>
    <row r="105">
      <c r="A105" s="18" t="inlineStr">
        <is>
          <t>대손충당금</t>
        </is>
      </c>
      <c r="C105" s="20" t="n">
        <v>-1734.693</v>
      </c>
      <c r="D105" s="20" t="n">
        <v>-1735.397</v>
      </c>
      <c r="E105" s="20" t="n">
        <v>-1736.016</v>
      </c>
      <c r="F105" s="20" t="n">
        <v>-239.906</v>
      </c>
      <c r="G105" s="20" t="n">
        <v>-229.901</v>
      </c>
      <c r="H105" s="20" t="n">
        <v>-1735.113</v>
      </c>
      <c r="I105" s="20" t="n">
        <v>-1735.348</v>
      </c>
      <c r="J105" s="20" t="n">
        <v>-1731.604</v>
      </c>
      <c r="K105" s="20" t="n">
        <v>-1734.693</v>
      </c>
      <c r="L105" s="20" t="n">
        <v>-229.901</v>
      </c>
    </row>
    <row r="106">
      <c r="A106" s="18" t="inlineStr">
        <is>
          <t>투자 및 기타자산 합계</t>
        </is>
      </c>
      <c r="C106" s="20" t="n">
        <v>2874.405</v>
      </c>
      <c r="D106" s="20" t="n">
        <v>2768.293</v>
      </c>
      <c r="E106" s="20" t="n">
        <v>2959.518</v>
      </c>
      <c r="F106" s="20" t="n">
        <v>2680.442</v>
      </c>
      <c r="G106" s="20" t="n">
        <v>2916.403</v>
      </c>
      <c r="H106" s="20" t="n">
        <v>2284.855</v>
      </c>
      <c r="I106" s="20" t="n">
        <v>2420.958</v>
      </c>
      <c r="J106" s="20" t="n">
        <v>2743.356</v>
      </c>
      <c r="K106" s="20" t="n">
        <v>2874.405</v>
      </c>
      <c r="L106" s="20" t="n">
        <v>2916.403</v>
      </c>
    </row>
    <row r="107">
      <c r="A107" s="9" t="inlineStr">
        <is>
          <t>비유동자산 합계</t>
        </is>
      </c>
      <c r="C107" s="12" t="n">
        <v>6454.496</v>
      </c>
      <c r="D107" s="12" t="n">
        <v>6219.004</v>
      </c>
      <c r="E107" s="12" t="n">
        <v>6626.52</v>
      </c>
      <c r="F107" s="12" t="n">
        <v>6197.534</v>
      </c>
      <c r="G107" s="12" t="n">
        <v>5754.614</v>
      </c>
      <c r="H107" s="12" t="n">
        <v>5230.154</v>
      </c>
      <c r="I107" s="12" t="n">
        <v>5286.055</v>
      </c>
      <c r="J107" s="12" t="n">
        <v>6366.013</v>
      </c>
      <c r="K107" s="12" t="n">
        <v>6454.496</v>
      </c>
      <c r="L107" s="12" t="n">
        <v>5754.614</v>
      </c>
    </row>
    <row r="108">
      <c r="A108" s="9" t="inlineStr">
        <is>
          <t>자산 합계</t>
        </is>
      </c>
      <c r="C108" s="12" t="n">
        <v>40558.896</v>
      </c>
      <c r="D108" s="12" t="n">
        <v>38284.123</v>
      </c>
      <c r="E108" s="12" t="n">
        <v>39096.499</v>
      </c>
      <c r="F108" s="12" t="n">
        <v>38636.152</v>
      </c>
      <c r="G108" s="12" t="n">
        <v>41071.171</v>
      </c>
      <c r="H108" s="12" t="n">
        <v>35050.152</v>
      </c>
      <c r="I108" s="12" t="n">
        <v>35926.487</v>
      </c>
      <c r="J108" s="12" t="n">
        <v>38183.589</v>
      </c>
      <c r="K108" s="12" t="n">
        <v>40558.896</v>
      </c>
      <c r="L108" s="12" t="n">
        <v>41071.171</v>
      </c>
    </row>
    <row r="109">
      <c r="A109" s="18" t="inlineStr">
        <is>
          <t>지급어음·매입채무</t>
        </is>
      </c>
      <c r="C109" s="20" t="n">
        <v>104.665</v>
      </c>
      <c r="H109" s="20" t="n">
        <v>342.066</v>
      </c>
      <c r="I109" s="20" t="n">
        <v>256.361</v>
      </c>
      <c r="J109" s="20" t="n">
        <v>352.019</v>
      </c>
      <c r="K109" s="20" t="n">
        <v>104.665</v>
      </c>
    </row>
    <row r="110">
      <c r="A110" s="18" t="inlineStr">
        <is>
          <t>매입채무</t>
        </is>
      </c>
      <c r="C110" s="20" t="n">
        <v>104.665</v>
      </c>
      <c r="D110" s="20" t="n">
        <v>233.528</v>
      </c>
      <c r="E110" s="20" t="n">
        <v>310.361</v>
      </c>
      <c r="F110" s="20" t="n">
        <v>252.707</v>
      </c>
      <c r="G110" s="20" t="n">
        <v>170.455</v>
      </c>
      <c r="K110" s="20" t="n">
        <v>104.665</v>
      </c>
      <c r="L110" s="20" t="n">
        <v>170.455</v>
      </c>
    </row>
    <row r="111">
      <c r="A111" s="18" t="inlineStr">
        <is>
          <t>단기차입금</t>
        </is>
      </c>
      <c r="C111" s="20" t="n">
        <v>300</v>
      </c>
      <c r="D111" s="20" t="n">
        <v>300</v>
      </c>
      <c r="E111" s="20" t="n">
        <v>300</v>
      </c>
      <c r="F111" s="20" t="n">
        <v>300</v>
      </c>
      <c r="G111" s="20" t="n">
        <v>300</v>
      </c>
      <c r="H111" s="20" t="n">
        <v>300</v>
      </c>
      <c r="I111" s="20" t="n">
        <v>300</v>
      </c>
      <c r="J111" s="20" t="n">
        <v>300</v>
      </c>
      <c r="K111" s="20" t="n">
        <v>300</v>
      </c>
      <c r="L111" s="20" t="n">
        <v>300</v>
      </c>
    </row>
    <row r="112">
      <c r="A112" s="18" t="inlineStr">
        <is>
          <t>1년 내 상환 사채</t>
        </is>
      </c>
      <c r="H112" s="20" t="n">
        <v>200</v>
      </c>
      <c r="I112" s="20" t="n">
        <v>300</v>
      </c>
      <c r="J112" s="20" t="n">
        <v>0</v>
      </c>
    </row>
    <row r="113">
      <c r="A113" s="18" t="inlineStr">
        <is>
          <t>1년 내 상환 장기차입금</t>
        </is>
      </c>
      <c r="C113" s="20" t="n">
        <v>5465.475</v>
      </c>
      <c r="D113" s="20" t="n">
        <v>5578.833</v>
      </c>
      <c r="E113" s="20" t="n">
        <v>5605.425</v>
      </c>
      <c r="F113" s="20" t="n">
        <v>5233.784</v>
      </c>
      <c r="G113" s="20" t="n">
        <v>7009.735</v>
      </c>
      <c r="H113" s="20" t="n">
        <v>3950.944</v>
      </c>
      <c r="I113" s="20" t="n">
        <v>4492.962</v>
      </c>
      <c r="J113" s="20" t="n">
        <v>4948.783</v>
      </c>
      <c r="K113" s="20" t="n">
        <v>5465.475</v>
      </c>
      <c r="L113" s="20" t="n">
        <v>7009.735</v>
      </c>
    </row>
    <row r="114">
      <c r="A114" s="18" t="inlineStr">
        <is>
          <t>리스부채</t>
        </is>
      </c>
      <c r="C114" s="20" t="n">
        <v>369.989</v>
      </c>
      <c r="G114" s="20" t="n">
        <v>236.132</v>
      </c>
      <c r="H114" s="20" t="n">
        <v>820.3200000000001</v>
      </c>
      <c r="I114" s="20" t="n">
        <v>741.035</v>
      </c>
      <c r="J114" s="20" t="n">
        <v>557.414</v>
      </c>
      <c r="K114" s="20" t="n">
        <v>369.989</v>
      </c>
      <c r="L114" s="20" t="n">
        <v>236.132</v>
      </c>
    </row>
    <row r="115">
      <c r="A115" s="18" t="inlineStr">
        <is>
          <t>미지급금</t>
        </is>
      </c>
      <c r="C115" s="20" t="n">
        <v>7324.16</v>
      </c>
      <c r="D115" s="20" t="n">
        <v>5676.092</v>
      </c>
      <c r="E115" s="20" t="n">
        <v>6093.61</v>
      </c>
      <c r="F115" s="20" t="n">
        <v>6531.924</v>
      </c>
      <c r="G115" s="20" t="n">
        <v>6405.417</v>
      </c>
      <c r="H115" s="20" t="n">
        <v>5846.296</v>
      </c>
      <c r="I115" s="20" t="n">
        <v>5936.2</v>
      </c>
      <c r="J115" s="20" t="n">
        <v>5272.919</v>
      </c>
      <c r="K115" s="20" t="n">
        <v>7324.16</v>
      </c>
      <c r="L115" s="20" t="n">
        <v>6405.417</v>
      </c>
    </row>
    <row r="116">
      <c r="A116" s="18" t="inlineStr">
        <is>
          <t>미지급법인세</t>
        </is>
      </c>
      <c r="C116" s="20" t="n">
        <v>511.559</v>
      </c>
      <c r="D116" s="20" t="n">
        <v>457.583</v>
      </c>
      <c r="E116" s="20" t="n">
        <v>1059.724</v>
      </c>
      <c r="F116" s="20" t="n">
        <v>846.8150000000001</v>
      </c>
      <c r="G116" s="20" t="n">
        <v>1381.324</v>
      </c>
      <c r="H116" s="20" t="n">
        <v>725.668</v>
      </c>
      <c r="I116" s="20" t="n">
        <v>708.3579999999999</v>
      </c>
      <c r="J116" s="20" t="n">
        <v>1131.94</v>
      </c>
      <c r="K116" s="20" t="n">
        <v>511.559</v>
      </c>
      <c r="L116" s="20" t="n">
        <v>1381.324</v>
      </c>
    </row>
    <row r="117">
      <c r="A117" s="18" t="inlineStr">
        <is>
          <t>충당금</t>
        </is>
      </c>
      <c r="C117" s="20" t="n">
        <v>246.115</v>
      </c>
      <c r="D117" s="20" t="n">
        <v>200.323</v>
      </c>
      <c r="E117" s="20" t="n">
        <v>244.953</v>
      </c>
      <c r="F117" s="20" t="n">
        <v>207.34</v>
      </c>
      <c r="H117" s="20" t="n">
        <v>268.976</v>
      </c>
      <c r="I117" s="20" t="n">
        <v>198.548</v>
      </c>
      <c r="J117" s="20" t="n">
        <v>361.624</v>
      </c>
      <c r="K117" s="20" t="n">
        <v>246.115</v>
      </c>
    </row>
    <row r="118">
      <c r="A118" s="18" t="inlineStr">
        <is>
          <t>계약부채</t>
        </is>
      </c>
      <c r="C118" s="20" t="n">
        <v>454.395</v>
      </c>
      <c r="G118" s="20" t="n">
        <v>443.303</v>
      </c>
      <c r="H118" s="20" t="n">
        <v>327.104</v>
      </c>
      <c r="I118" s="20" t="n">
        <v>579.468</v>
      </c>
      <c r="J118" s="20" t="n">
        <v>461.862</v>
      </c>
      <c r="K118" s="20" t="n">
        <v>454.395</v>
      </c>
      <c r="L118" s="20" t="n">
        <v>443.303</v>
      </c>
    </row>
    <row r="119">
      <c r="A119" s="18" t="inlineStr">
        <is>
          <t>상여충당금</t>
        </is>
      </c>
      <c r="C119" s="20" t="n">
        <v>208.465</v>
      </c>
      <c r="G119" s="20" t="n">
        <v>194.87</v>
      </c>
      <c r="H119" s="20" t="n">
        <v>191.756</v>
      </c>
      <c r="I119" s="20" t="n">
        <v>150.092</v>
      </c>
      <c r="J119" s="20" t="n">
        <v>259.526</v>
      </c>
      <c r="K119" s="20" t="n">
        <v>208.465</v>
      </c>
      <c r="L119" s="20" t="n">
        <v>194.87</v>
      </c>
    </row>
    <row r="120">
      <c r="A120" s="18" t="inlineStr">
        <is>
          <t>특별조사 비용 충당금</t>
        </is>
      </c>
      <c r="C120" s="20" t="n">
        <v>0</v>
      </c>
      <c r="G120" s="20" t="n">
        <v>190.07</v>
      </c>
      <c r="K120" s="20" t="n">
        <v>0</v>
      </c>
      <c r="L120" s="20" t="n">
        <v>190.07</v>
      </c>
    </row>
    <row r="121">
      <c r="A121" s="18" t="inlineStr">
        <is>
          <t>기타 충당금</t>
        </is>
      </c>
      <c r="C121" s="20" t="n">
        <v>37.649</v>
      </c>
      <c r="G121" s="20" t="n">
        <v>34.066</v>
      </c>
      <c r="H121" s="20" t="n">
        <v>77.22</v>
      </c>
      <c r="I121" s="20" t="n">
        <v>48.455</v>
      </c>
      <c r="J121" s="20" t="n">
        <v>102.098</v>
      </c>
      <c r="K121" s="20" t="n">
        <v>37.649</v>
      </c>
      <c r="L121" s="20" t="n">
        <v>34.066</v>
      </c>
    </row>
    <row r="122">
      <c r="A122" s="18" t="inlineStr">
        <is>
          <t>기타</t>
        </is>
      </c>
      <c r="C122" s="20" t="n">
        <v>1070.046</v>
      </c>
      <c r="D122" s="20" t="n">
        <v>1938.655</v>
      </c>
      <c r="E122" s="20" t="n">
        <v>1762.674</v>
      </c>
      <c r="F122" s="20" t="n">
        <v>1781.089</v>
      </c>
      <c r="G122" s="20" t="n">
        <v>1312.695</v>
      </c>
      <c r="H122" s="20" t="n">
        <v>1020.988</v>
      </c>
      <c r="I122" s="20" t="n">
        <v>851.0119999999999</v>
      </c>
      <c r="J122" s="20" t="n">
        <v>763.303</v>
      </c>
      <c r="K122" s="20" t="n">
        <v>1070.046</v>
      </c>
      <c r="L122" s="20" t="n">
        <v>1312.695</v>
      </c>
    </row>
    <row r="123">
      <c r="A123" s="9" t="inlineStr">
        <is>
          <t>유동부채 합계</t>
        </is>
      </c>
      <c r="C123" s="12" t="n">
        <v>15846.408</v>
      </c>
      <c r="D123" s="12" t="n">
        <v>14385.017</v>
      </c>
      <c r="E123" s="12" t="n">
        <v>15376.749</v>
      </c>
      <c r="F123" s="12" t="n">
        <v>15153.66</v>
      </c>
      <c r="G123" s="12" t="n">
        <v>17678.071</v>
      </c>
      <c r="H123" s="12" t="n">
        <v>13802.366</v>
      </c>
      <c r="I123" s="12" t="n">
        <v>14363.947</v>
      </c>
      <c r="J123" s="12" t="n">
        <v>14149.868</v>
      </c>
      <c r="K123" s="12" t="n">
        <v>15846.408</v>
      </c>
      <c r="L123" s="12" t="n">
        <v>17678.071</v>
      </c>
    </row>
    <row r="124">
      <c r="A124" s="18" t="inlineStr">
        <is>
          <t>사채</t>
        </is>
      </c>
      <c r="H124" s="20" t="n">
        <v>300</v>
      </c>
      <c r="I124" s="20" t="n">
        <v>0</v>
      </c>
    </row>
    <row r="125">
      <c r="A125" s="18" t="inlineStr">
        <is>
          <t>장기차입금</t>
        </is>
      </c>
      <c r="C125" s="20" t="n">
        <v>15158.208</v>
      </c>
      <c r="D125" s="20" t="n">
        <v>13896.741</v>
      </c>
      <c r="E125" s="20" t="n">
        <v>12642.056</v>
      </c>
      <c r="F125" s="20" t="n">
        <v>11450.6</v>
      </c>
      <c r="G125" s="20" t="n">
        <v>10092.916</v>
      </c>
      <c r="H125" s="20" t="n">
        <v>8012.26</v>
      </c>
      <c r="I125" s="20" t="n">
        <v>9084.281999999999</v>
      </c>
      <c r="J125" s="20" t="n">
        <v>7629.384</v>
      </c>
      <c r="K125" s="20" t="n">
        <v>15158.208</v>
      </c>
      <c r="L125" s="20" t="n">
        <v>10092.916</v>
      </c>
    </row>
    <row r="126">
      <c r="A126" s="18" t="inlineStr">
        <is>
          <t>리스부채</t>
        </is>
      </c>
      <c r="C126" s="20" t="n">
        <v>456.369</v>
      </c>
      <c r="D126" s="20" t="n">
        <v>400.549</v>
      </c>
      <c r="E126" s="20" t="n">
        <v>351.954</v>
      </c>
      <c r="F126" s="20" t="n">
        <v>310.803</v>
      </c>
      <c r="G126" s="20" t="n">
        <v>283.383</v>
      </c>
      <c r="H126" s="20" t="n">
        <v>1560.982</v>
      </c>
      <c r="I126" s="20" t="n">
        <v>1073.433</v>
      </c>
      <c r="J126" s="20" t="n">
        <v>708.75</v>
      </c>
      <c r="K126" s="20" t="n">
        <v>456.369</v>
      </c>
      <c r="L126" s="20" t="n">
        <v>283.383</v>
      </c>
    </row>
    <row r="127">
      <c r="A127" s="18" t="inlineStr">
        <is>
          <t>임원 퇴직위로 충당금</t>
        </is>
      </c>
      <c r="C127" s="20" t="n">
        <v>60.527</v>
      </c>
      <c r="D127" s="20" t="n">
        <v>60.527</v>
      </c>
      <c r="E127" s="20" t="n">
        <v>60.527</v>
      </c>
      <c r="F127" s="20" t="n">
        <v>60.527</v>
      </c>
      <c r="G127" s="20" t="n">
        <v>60.527</v>
      </c>
      <c r="H127" s="20" t="n">
        <v>57.487</v>
      </c>
      <c r="I127" s="20" t="n">
        <v>60.527</v>
      </c>
      <c r="J127" s="20" t="n">
        <v>60.527</v>
      </c>
      <c r="K127" s="20" t="n">
        <v>60.527</v>
      </c>
      <c r="L127" s="20" t="n">
        <v>60.527</v>
      </c>
    </row>
    <row r="128">
      <c r="A128" s="18" t="inlineStr">
        <is>
          <t>기타 충당금</t>
        </is>
      </c>
      <c r="C128" s="20" t="n">
        <v>36.382</v>
      </c>
      <c r="D128" s="20" t="n">
        <v>48.113</v>
      </c>
      <c r="E128" s="20" t="n">
        <v>67.363</v>
      </c>
      <c r="F128" s="20" t="n">
        <v>78.95399999999999</v>
      </c>
      <c r="G128" s="20" t="n">
        <v>83.876</v>
      </c>
      <c r="J128" s="20" t="n">
        <v>0</v>
      </c>
      <c r="K128" s="20" t="n">
        <v>36.382</v>
      </c>
      <c r="L128" s="20" t="n">
        <v>83.876</v>
      </c>
    </row>
    <row r="129">
      <c r="A129" s="18" t="inlineStr">
        <is>
          <t>퇴직급여부채</t>
        </is>
      </c>
      <c r="C129" s="20" t="n">
        <v>73.29000000000001</v>
      </c>
      <c r="D129" s="20" t="n">
        <v>74.592</v>
      </c>
      <c r="E129" s="20" t="n">
        <v>75.5</v>
      </c>
      <c r="F129" s="20" t="n">
        <v>81.596</v>
      </c>
      <c r="G129" s="20" t="n">
        <v>84.879</v>
      </c>
      <c r="H129" s="20" t="n">
        <v>48.413</v>
      </c>
      <c r="I129" s="20" t="n">
        <v>57.3</v>
      </c>
      <c r="J129" s="20" t="n">
        <v>66.206</v>
      </c>
      <c r="K129" s="20" t="n">
        <v>73.29000000000001</v>
      </c>
      <c r="L129" s="20" t="n">
        <v>84.879</v>
      </c>
    </row>
    <row r="130">
      <c r="A130" s="18" t="inlineStr">
        <is>
          <t>기타</t>
        </is>
      </c>
      <c r="C130" s="20" t="n">
        <v>391.173</v>
      </c>
      <c r="D130" s="20" t="n">
        <v>400.689</v>
      </c>
      <c r="E130" s="20" t="n">
        <v>421.49</v>
      </c>
      <c r="F130" s="20" t="n">
        <v>420.761</v>
      </c>
      <c r="G130" s="20" t="n">
        <v>722.573</v>
      </c>
      <c r="H130" s="20" t="n">
        <v>229.435</v>
      </c>
      <c r="I130" s="20" t="n">
        <v>254.643</v>
      </c>
      <c r="J130" s="20" t="n">
        <v>372.025</v>
      </c>
      <c r="K130" s="20" t="n">
        <v>391.173</v>
      </c>
      <c r="L130" s="20" t="n">
        <v>722.573</v>
      </c>
    </row>
    <row r="131">
      <c r="A131" s="9" t="inlineStr">
        <is>
          <t>비유동부채 합계</t>
        </is>
      </c>
      <c r="C131" s="12" t="n">
        <v>16175.95</v>
      </c>
      <c r="D131" s="12" t="n">
        <v>14881.213</v>
      </c>
      <c r="E131" s="12" t="n">
        <v>13618.891</v>
      </c>
      <c r="F131" s="12" t="n">
        <v>12403.242</v>
      </c>
      <c r="G131" s="12" t="n">
        <v>11328.156</v>
      </c>
      <c r="H131" s="12" t="n">
        <v>10208.578</v>
      </c>
      <c r="I131" s="12" t="n">
        <v>10530.186</v>
      </c>
      <c r="J131" s="12" t="n">
        <v>8836.893</v>
      </c>
      <c r="K131" s="12" t="n">
        <v>16175.95</v>
      </c>
      <c r="L131" s="12" t="n">
        <v>11328.156</v>
      </c>
    </row>
    <row r="132">
      <c r="A132" s="9" t="inlineStr">
        <is>
          <t>부채 합계</t>
        </is>
      </c>
      <c r="C132" s="12" t="n">
        <v>32022.359</v>
      </c>
      <c r="D132" s="12" t="n">
        <v>29266.23</v>
      </c>
      <c r="E132" s="12" t="n">
        <v>28995.641</v>
      </c>
      <c r="F132" s="12" t="n">
        <v>27556.902</v>
      </c>
      <c r="G132" s="12" t="n">
        <v>29006.227</v>
      </c>
      <c r="H132" s="12" t="n">
        <v>24010.945</v>
      </c>
      <c r="I132" s="12" t="n">
        <v>24894.134</v>
      </c>
      <c r="J132" s="12" t="n">
        <v>22986.762</v>
      </c>
      <c r="K132" s="12" t="n">
        <v>32022.359</v>
      </c>
      <c r="L132" s="12" t="n">
        <v>29006.227</v>
      </c>
    </row>
    <row r="133">
      <c r="A133" s="18" t="inlineStr">
        <is>
          <t>자본금</t>
        </is>
      </c>
      <c r="C133" s="20" t="n">
        <v>4514.185</v>
      </c>
      <c r="D133" s="20" t="n">
        <v>4514.185</v>
      </c>
      <c r="E133" s="20" t="n">
        <v>4514.185</v>
      </c>
      <c r="F133" s="20" t="n">
        <v>4514.185</v>
      </c>
      <c r="G133" s="20" t="n">
        <v>4514.185</v>
      </c>
      <c r="H133" s="20" t="n">
        <v>4514.185</v>
      </c>
      <c r="I133" s="20" t="n">
        <v>4514.185</v>
      </c>
      <c r="J133" s="20" t="n">
        <v>4514.185</v>
      </c>
      <c r="K133" s="20" t="n">
        <v>4514.185</v>
      </c>
      <c r="L133" s="20" t="n">
        <v>4514.185</v>
      </c>
    </row>
    <row r="134">
      <c r="A134" s="18" t="inlineStr">
        <is>
          <t>자본잉여금</t>
        </is>
      </c>
      <c r="C134" s="20" t="n">
        <v>0</v>
      </c>
      <c r="D134" s="20" t="n">
        <v>3.749</v>
      </c>
      <c r="E134" s="20" t="n">
        <v>18.324</v>
      </c>
      <c r="F134" s="20" t="n">
        <v>23.705</v>
      </c>
      <c r="G134" s="20" t="n">
        <v>26.855</v>
      </c>
      <c r="H134" s="20" t="n">
        <v>3050.292</v>
      </c>
      <c r="I134" s="20" t="n">
        <v>1645.027</v>
      </c>
      <c r="J134" s="20" t="n">
        <v>1496.844</v>
      </c>
      <c r="K134" s="20" t="n">
        <v>0</v>
      </c>
      <c r="L134" s="20" t="n">
        <v>26.855</v>
      </c>
    </row>
    <row r="135">
      <c r="A135" s="18" t="inlineStr">
        <is>
          <t>이익잉여금</t>
        </is>
      </c>
      <c r="C135" s="20" t="n">
        <v>3361.628</v>
      </c>
      <c r="D135" s="20" t="n">
        <v>3770.824</v>
      </c>
      <c r="E135" s="20" t="n">
        <v>4978.125</v>
      </c>
      <c r="F135" s="20" t="n">
        <v>6011.909</v>
      </c>
      <c r="G135" s="20" t="n">
        <v>6863.159</v>
      </c>
      <c r="H135" s="20" t="n">
        <v>3635.697</v>
      </c>
      <c r="I135" s="20" t="n">
        <v>5286.747</v>
      </c>
      <c r="J135" s="20" t="n">
        <v>8693.075000000001</v>
      </c>
      <c r="K135" s="20" t="n">
        <v>3361.628</v>
      </c>
      <c r="L135" s="20" t="n">
        <v>6863.159</v>
      </c>
    </row>
    <row r="136">
      <c r="A136" s="18" t="inlineStr">
        <is>
          <t>자기주식</t>
        </is>
      </c>
      <c r="C136" s="20" t="n">
        <v>-1536.82</v>
      </c>
      <c r="D136" s="20" t="n">
        <v>-1534.202</v>
      </c>
      <c r="E136" s="20" t="n">
        <v>-1501.108</v>
      </c>
      <c r="F136" s="20" t="n">
        <v>-1498.378</v>
      </c>
      <c r="G136" s="20" t="n">
        <v>-1498.378</v>
      </c>
      <c r="H136" s="20" t="n">
        <v>-4343.431</v>
      </c>
      <c r="I136" s="20" t="n">
        <v>-3251.237</v>
      </c>
      <c r="J136" s="20" t="n">
        <v>-3240.129</v>
      </c>
      <c r="K136" s="20" t="n">
        <v>-1536.82</v>
      </c>
      <c r="L136" s="20" t="n">
        <v>-1498.378</v>
      </c>
    </row>
    <row r="137">
      <c r="A137" s="9" t="inlineStr">
        <is>
          <t>주주자본 합계</t>
        </is>
      </c>
      <c r="C137" s="12" t="n">
        <v>6338.993</v>
      </c>
      <c r="D137" s="12" t="n">
        <v>6754.557</v>
      </c>
      <c r="E137" s="12" t="n">
        <v>8009.526</v>
      </c>
      <c r="F137" s="12" t="n">
        <v>9051.421</v>
      </c>
      <c r="G137" s="12" t="n">
        <v>9905.822</v>
      </c>
      <c r="H137" s="12" t="n">
        <v>6856.743</v>
      </c>
      <c r="I137" s="12" t="n">
        <v>8194.722</v>
      </c>
      <c r="J137" s="12" t="n">
        <v>11463.975</v>
      </c>
      <c r="K137" s="12" t="n">
        <v>6338.993</v>
      </c>
      <c r="L137" s="12" t="n">
        <v>9905.822</v>
      </c>
    </row>
    <row r="138">
      <c r="A138" s="18" t="inlineStr">
        <is>
          <t>기타유가증권 평가차액</t>
        </is>
      </c>
      <c r="C138" s="20" t="n">
        <v>155.839</v>
      </c>
      <c r="D138" s="20" t="n">
        <v>174.548</v>
      </c>
      <c r="E138" s="20" t="n">
        <v>-54.919</v>
      </c>
      <c r="F138" s="20" t="n">
        <v>-162.627</v>
      </c>
      <c r="G138" s="20" t="n">
        <v>-81.798</v>
      </c>
      <c r="H138" s="20" t="n">
        <v>27.985</v>
      </c>
      <c r="I138" s="20" t="n">
        <v>54.227</v>
      </c>
      <c r="J138" s="20" t="n">
        <v>174.924</v>
      </c>
      <c r="K138" s="20" t="n">
        <v>155.839</v>
      </c>
      <c r="L138" s="20" t="n">
        <v>-81.798</v>
      </c>
    </row>
    <row r="139">
      <c r="A139" s="18" t="inlineStr">
        <is>
          <t>해외사업환산조정</t>
        </is>
      </c>
      <c r="C139" s="20" t="n">
        <v>-15.772</v>
      </c>
      <c r="D139" s="20" t="n">
        <v>-14.994</v>
      </c>
      <c r="E139" s="20" t="n">
        <v>-9.888</v>
      </c>
      <c r="F139" s="20" t="n">
        <v>-24.347</v>
      </c>
      <c r="G139" s="20" t="n">
        <v>7.236</v>
      </c>
      <c r="H139" s="20" t="n">
        <v>-3.728</v>
      </c>
      <c r="I139" s="20" t="n">
        <v>-6.5</v>
      </c>
      <c r="J139" s="20" t="n">
        <v>-10.015</v>
      </c>
      <c r="K139" s="20" t="n">
        <v>-15.772</v>
      </c>
      <c r="L139" s="20" t="n">
        <v>7.236</v>
      </c>
    </row>
    <row r="140">
      <c r="A140" s="18" t="inlineStr">
        <is>
          <t>기타포괄손익누계액 합계</t>
        </is>
      </c>
      <c r="C140" s="20" t="n">
        <v>140.067</v>
      </c>
      <c r="D140" s="20" t="n">
        <v>159.553</v>
      </c>
      <c r="E140" s="20" t="n">
        <v>-64.807</v>
      </c>
      <c r="F140" s="20" t="n">
        <v>-186.975</v>
      </c>
      <c r="G140" s="20" t="n">
        <v>-74.562</v>
      </c>
      <c r="H140" s="20" t="n">
        <v>24.256</v>
      </c>
      <c r="I140" s="20" t="n">
        <v>47.726</v>
      </c>
      <c r="J140" s="20" t="n">
        <v>164.909</v>
      </c>
      <c r="K140" s="20" t="n">
        <v>140.067</v>
      </c>
      <c r="L140" s="20" t="n">
        <v>-74.562</v>
      </c>
    </row>
    <row r="141">
      <c r="A141" s="18" t="inlineStr">
        <is>
          <t>주식인수권</t>
        </is>
      </c>
      <c r="C141" s="20" t="n">
        <v>21.733</v>
      </c>
      <c r="D141" s="20" t="n">
        <v>28.978</v>
      </c>
      <c r="E141" s="20" t="n">
        <v>33.58</v>
      </c>
      <c r="F141" s="20" t="n">
        <v>49.289</v>
      </c>
      <c r="G141" s="20" t="n">
        <v>28.341</v>
      </c>
      <c r="H141" s="20" t="n">
        <v>50.755</v>
      </c>
      <c r="I141" s="20" t="n">
        <v>75.185</v>
      </c>
      <c r="J141" s="20" t="n">
        <v>133.359</v>
      </c>
      <c r="K141" s="20" t="n">
        <v>21.733</v>
      </c>
      <c r="L141" s="20" t="n">
        <v>28.341</v>
      </c>
    </row>
    <row r="142">
      <c r="A142" s="18" t="inlineStr">
        <is>
          <t>신주예약권</t>
        </is>
      </c>
      <c r="C142" s="20" t="n">
        <v>0</v>
      </c>
      <c r="H142" s="20" t="n">
        <v>0.78</v>
      </c>
      <c r="I142" s="20" t="n">
        <v>0.78</v>
      </c>
      <c r="J142" s="20" t="n">
        <v>0.78</v>
      </c>
      <c r="K142" s="20" t="n">
        <v>0</v>
      </c>
    </row>
    <row r="143">
      <c r="A143" s="18" t="inlineStr">
        <is>
          <t>비지배지분</t>
        </is>
      </c>
      <c r="C143" s="20" t="n">
        <v>2035.742</v>
      </c>
      <c r="D143" s="20" t="n">
        <v>2074.803</v>
      </c>
      <c r="E143" s="20" t="n">
        <v>2122.558</v>
      </c>
      <c r="F143" s="20" t="n">
        <v>2165.514</v>
      </c>
      <c r="G143" s="20" t="n">
        <v>2205.342</v>
      </c>
      <c r="H143" s="20" t="n">
        <v>4106.671</v>
      </c>
      <c r="I143" s="20" t="n">
        <v>2713.938</v>
      </c>
      <c r="J143" s="20" t="n">
        <v>3433.802</v>
      </c>
      <c r="K143" s="20" t="n">
        <v>2035.742</v>
      </c>
      <c r="L143" s="20" t="n">
        <v>2205.342</v>
      </c>
    </row>
    <row r="144">
      <c r="A144" s="9" t="inlineStr">
        <is>
          <t>순자산 합계</t>
        </is>
      </c>
      <c r="C144" s="12" t="n">
        <v>8536.536</v>
      </c>
      <c r="D144" s="12" t="n">
        <v>9017.893</v>
      </c>
      <c r="E144" s="12" t="n">
        <v>10100.858</v>
      </c>
      <c r="F144" s="12" t="n">
        <v>11079.25</v>
      </c>
      <c r="G144" s="12" t="n">
        <v>12064.943</v>
      </c>
      <c r="H144" s="12" t="n">
        <v>11039.207</v>
      </c>
      <c r="I144" s="12" t="n">
        <v>11032.352</v>
      </c>
      <c r="J144" s="12" t="n">
        <v>15196.827</v>
      </c>
      <c r="K144" s="12" t="n">
        <v>8536.536</v>
      </c>
      <c r="L144" s="12" t="n">
        <v>12064.943</v>
      </c>
    </row>
    <row r="145">
      <c r="A145" s="9" t="inlineStr">
        <is>
          <t>부채·순자산 합계</t>
        </is>
      </c>
      <c r="C145" s="12" t="n">
        <v>40558.896</v>
      </c>
      <c r="D145" s="12" t="n">
        <v>38284.123</v>
      </c>
      <c r="E145" s="12" t="n">
        <v>39096.499</v>
      </c>
      <c r="F145" s="12" t="n">
        <v>38636.152</v>
      </c>
      <c r="G145" s="12" t="n">
        <v>41071.171</v>
      </c>
      <c r="H145" s="12" t="n">
        <v>35050.152</v>
      </c>
      <c r="I145" s="12" t="n">
        <v>35926.487</v>
      </c>
      <c r="J145" s="12" t="n">
        <v>38183.589</v>
      </c>
      <c r="K145" s="12" t="n">
        <v>40558.896</v>
      </c>
      <c r="L145" s="12" t="n">
        <v>41071.171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2026-10-28</t>
        </is>
      </c>
      <c r="B4" t="inlineStr">
        <is>
          <t>2026년 4월 결산기 연간 결산단신</t>
        </is>
      </c>
      <c r="C4" t="inlineStr">
        <is>
          <t>https://www2.jpx.co.jp/disc/38430/140120261028557635.pdf</t>
        </is>
      </c>
    </row>
    <row r="5">
      <c r="A5" t="inlineStr">
        <is>
          <t>2026-03-13</t>
        </is>
      </c>
      <c r="B5" t="inlineStr">
        <is>
          <t>2026년 4월 결산기 ３분기 결산단신</t>
        </is>
      </c>
      <c r="C5" t="inlineStr">
        <is>
          <t>https://www2.jpx.co.jp/disc/38430/140120260312580819.pdf</t>
        </is>
      </c>
    </row>
    <row r="6">
      <c r="A6" t="inlineStr">
        <is>
          <t>2025-12-12</t>
        </is>
      </c>
      <c r="B6" t="inlineStr">
        <is>
          <t>2026년 4월 결산기 ２분기 결산단신</t>
        </is>
      </c>
      <c r="C6" t="inlineStr">
        <is>
          <t>https://www2.jpx.co.jp/disc/38430/140120251212519054.pdf</t>
        </is>
      </c>
    </row>
    <row r="7">
      <c r="A7" t="inlineStr">
        <is>
          <t>2025-09-12</t>
        </is>
      </c>
      <c r="B7" t="inlineStr">
        <is>
          <t>2026년 4월 결산기 １분기 결산단신</t>
        </is>
      </c>
      <c r="C7" t="inlineStr">
        <is>
          <t>https://www2.jpx.co.jp/disc/38430/140120250912557462.pdf</t>
        </is>
      </c>
    </row>
    <row r="8">
      <c r="A8" t="inlineStr">
        <is>
          <t>2025-06-13</t>
        </is>
      </c>
      <c r="B8" t="inlineStr">
        <is>
          <t>2025년 4월 결산기 연간 결산단신</t>
        </is>
      </c>
      <c r="C8" t="inlineStr">
        <is>
          <t>https://www2.jpx.co.jp/disc/38430/140120250613589736.pdf</t>
        </is>
      </c>
    </row>
    <row r="9">
      <c r="A9" t="inlineStr">
        <is>
          <t>2025-03-14</t>
        </is>
      </c>
      <c r="B9" t="inlineStr">
        <is>
          <t>2025년 4월 결산기 ３분기 결산단신</t>
        </is>
      </c>
      <c r="C9" t="inlineStr">
        <is>
          <t>https://www2.jpx.co.jp/disc/38430/140120250314593957.pdf</t>
        </is>
      </c>
    </row>
    <row r="10">
      <c r="A10" t="inlineStr">
        <is>
          <t>2024-12-13</t>
        </is>
      </c>
      <c r="B10" t="inlineStr">
        <is>
          <t>2025년 4월 결산기 ２분기 결산단신</t>
        </is>
      </c>
      <c r="C10" t="inlineStr">
        <is>
          <t>https://www2.jpx.co.jp/disc/38430/140120241212537585.pdf</t>
        </is>
      </c>
    </row>
    <row r="11">
      <c r="A11" t="inlineStr">
        <is>
          <t>2024-09-13</t>
        </is>
      </c>
      <c r="B11" t="inlineStr">
        <is>
          <t>2025년 4월 결산기 １분기 결산단신</t>
        </is>
      </c>
      <c r="C11" t="inlineStr">
        <is>
          <t>https://www2.jpx.co.jp/disc/38430/140120240911583264.pdf</t>
        </is>
      </c>
    </row>
    <row r="12">
      <c r="A12" t="inlineStr">
        <is>
          <t>2024-06-14</t>
        </is>
      </c>
      <c r="B12" t="inlineStr">
        <is>
          <t>2024년 4월 결산기 연간 결산단신</t>
        </is>
      </c>
      <c r="C12" t="inlineStr">
        <is>
          <t>https://www2.jpx.co.jp/disc/38430/140120240607524202.pdf</t>
        </is>
      </c>
    </row>
    <row r="13">
      <c r="A13" t="inlineStr">
        <is>
          <t>2024-03-08</t>
        </is>
      </c>
      <c r="B13" t="inlineStr">
        <is>
          <t>2024년 4월 결산기 ３분기 결산단신</t>
        </is>
      </c>
      <c r="C13" t="inlineStr">
        <is>
          <t>https://www2.jpx.co.jp/disc/38430/140120240308550694.pdf</t>
        </is>
      </c>
    </row>
    <row r="14">
      <c r="A14" t="inlineStr">
        <is>
          <t>2023-12-08</t>
        </is>
      </c>
      <c r="B14" t="inlineStr">
        <is>
          <t>2024년 4월 결산기 ２분기 결산단신</t>
        </is>
      </c>
      <c r="C14" t="inlineStr">
        <is>
          <t>https://www2.jpx.co.jp/disc/38430/140120231207500450.pdf</t>
        </is>
      </c>
    </row>
    <row r="15">
      <c r="A15" t="inlineStr">
        <is>
          <t>2023-09-08</t>
        </is>
      </c>
      <c r="B15" t="inlineStr">
        <is>
          <t>2024년 4월 결산기 １분기 결산단신</t>
        </is>
      </c>
      <c r="C15" t="inlineStr">
        <is>
          <t>https://www2.jpx.co.jp/disc/38430/140120230907551811.pdf</t>
        </is>
      </c>
    </row>
    <row r="16">
      <c r="A16" t="inlineStr">
        <is>
          <t>2023-06-09</t>
        </is>
      </c>
      <c r="B16" t="inlineStr">
        <is>
          <t>2023년 4월 결산기 연간 결산단신</t>
        </is>
      </c>
      <c r="C16" t="inlineStr">
        <is>
          <t>https://www2.jpx.co.jp/disc/38430/140120230609500170.pdf</t>
        </is>
      </c>
    </row>
    <row r="17">
      <c r="A17" t="inlineStr">
        <is>
          <t>2023-03-10</t>
        </is>
      </c>
      <c r="B17" t="inlineStr">
        <is>
          <t>2023년 4월 결산기 ３분기 결산단신</t>
        </is>
      </c>
      <c r="C17" t="inlineStr">
        <is>
          <t>https://www2.jpx.co.jp/disc/38430/140120230310528506.pdf</t>
        </is>
      </c>
    </row>
    <row r="18">
      <c r="A18" t="inlineStr">
        <is>
          <t>2022-12-09</t>
        </is>
      </c>
      <c r="B18" t="inlineStr">
        <is>
          <t>2023년 4월 결산기 ２분기 결산단신</t>
        </is>
      </c>
      <c r="C18" t="inlineStr">
        <is>
          <t>https://www2.jpx.co.jp/disc/38430/140120221208576529.pdf</t>
        </is>
      </c>
    </row>
    <row r="19">
      <c r="A19" t="inlineStr">
        <is>
          <t>2022-09-09</t>
        </is>
      </c>
      <c r="B19" t="inlineStr">
        <is>
          <t>2023년 4월 결산기 １분기 결산단신</t>
        </is>
      </c>
      <c r="C19" t="inlineStr">
        <is>
          <t>https://www2.jpx.co.jp/disc/38430/140120220909530696.pdf</t>
        </is>
      </c>
    </row>
    <row r="20">
      <c r="A20" t="inlineStr">
        <is>
          <t>2022-06-10</t>
        </is>
      </c>
      <c r="B20" t="inlineStr">
        <is>
          <t>2022년 4월 결산기 연간 결산단신</t>
        </is>
      </c>
      <c r="C20" t="inlineStr">
        <is>
          <t>https://www2.jpx.co.jp/disc/38430/140120220609575944.pdf</t>
        </is>
      </c>
    </row>
    <row r="21">
      <c r="A21" t="inlineStr">
        <is>
          <t>2021-06-11</t>
        </is>
      </c>
      <c r="B21" t="inlineStr">
        <is>
          <t>2021년 4월 결산기 연간 결산단신</t>
        </is>
      </c>
      <c r="C21" t="inlineStr">
        <is>
          <t>https://www2.jpx.co.jp/disc/38430/140120210610446554.pdf</t>
        </is>
      </c>
    </row>
    <row r="22">
      <c r="A22" t="inlineStr">
        <is>
          <t>2020-06-19</t>
        </is>
      </c>
      <c r="B22" t="inlineStr">
        <is>
          <t>2020년 4월 결산기 연간 결산단신</t>
        </is>
      </c>
      <c r="C22" t="inlineStr">
        <is>
          <t>https://www2.jpx.co.jp/disc/38430/140120200619447826.pdf</t>
        </is>
      </c>
    </row>
    <row r="23">
      <c r="A23" t="inlineStr">
        <is>
          <t>2019-06-14</t>
        </is>
      </c>
      <c r="B23" t="inlineStr">
        <is>
          <t>2019년 4월 결산기 연간 결산단신</t>
        </is>
      </c>
      <c r="C23" t="inlineStr">
        <is>
          <t>https://www2.jpx.co.jp/disc/38430/140120190614454529.pdf</t>
        </is>
      </c>
    </row>
    <row r="24">
      <c r="A24" t="inlineStr">
        <is>
          <t>2018-06-08</t>
        </is>
      </c>
      <c r="B24" t="inlineStr">
        <is>
          <t>연간 결산단신</t>
        </is>
      </c>
      <c r="C24" t="inlineStr">
        <is>
          <t>https://www2.jpx.co.jp/disc/38430/140120180608460426.pdf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2026-10-28T08:29:28Z</dcterms:created>
  <dcterms:modified xmlns:dcterms="http://purl.org/dc/terms/" xmlns:xsi="http://www.w3.org/2001/XMLSchema-instance" xsi:type="dcterms:W3CDTF">2026-10-28T08:29:28Z</dcterms:modified>
</cp:coreProperties>
</file>