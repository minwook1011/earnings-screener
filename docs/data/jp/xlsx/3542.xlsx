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3542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3906.159</v>
      </c>
      <c r="D4" s="12" t="n">
        <v>4251.385</v>
      </c>
      <c r="E4" s="12" t="n">
        <v>3598.678</v>
      </c>
      <c r="F4" s="12" t="n">
        <v>3525.265</v>
      </c>
      <c r="G4" s="12" t="n">
        <v>4113.561</v>
      </c>
      <c r="H4" s="12" t="n">
        <v>4697.711</v>
      </c>
      <c r="I4" s="12" t="n">
        <v>4351.801</v>
      </c>
      <c r="J4" s="12" t="n">
        <v>3937.857</v>
      </c>
      <c r="K4" s="12" t="n">
        <v>4456.194</v>
      </c>
      <c r="L4" s="12" t="n">
        <v>5383.845</v>
      </c>
      <c r="M4" s="12" t="n">
        <v>4991.682</v>
      </c>
      <c r="N4" s="12" t="n">
        <v>4994.638</v>
      </c>
      <c r="O4" s="11" t="n">
        <v>10960.214</v>
      </c>
      <c r="P4" s="12" t="n">
        <v>12977.26</v>
      </c>
      <c r="Q4" s="12" t="n">
        <v>13322.787</v>
      </c>
      <c r="R4" s="12" t="n">
        <v>13570</v>
      </c>
      <c r="S4" s="12" t="n">
        <v>19313.277</v>
      </c>
      <c r="T4" s="12" t="n">
        <v>16832.715</v>
      </c>
      <c r="U4" s="12" t="n">
        <v>16973.424</v>
      </c>
      <c r="V4" s="12" t="n">
        <v>16063.441</v>
      </c>
      <c r="W4" s="12" t="n">
        <v>15935.215</v>
      </c>
      <c r="X4" s="12" t="n">
        <v>18129.697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1946.283</v>
      </c>
      <c r="D11" s="22" t="n"/>
      <c r="E11" s="22" t="n">
        <v>1718.637</v>
      </c>
      <c r="F11" s="22" t="n">
        <v>1730.929</v>
      </c>
      <c r="G11" s="22" t="n">
        <v>2037.737</v>
      </c>
      <c r="H11" s="22" t="n"/>
      <c r="I11" s="22" t="n">
        <v>2102.86</v>
      </c>
      <c r="J11" s="22" t="n">
        <v>1878.048</v>
      </c>
      <c r="K11" s="22" t="n">
        <v>2080.108</v>
      </c>
      <c r="L11" s="22" t="n"/>
      <c r="M11" s="22" t="n">
        <v>2324.897</v>
      </c>
      <c r="N11" s="22" t="n">
        <v>2318.123</v>
      </c>
      <c r="O11" s="21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1685.361</v>
      </c>
      <c r="D17" s="22" t="n">
        <v>1739.055</v>
      </c>
      <c r="E17" s="22" t="n">
        <v>1677.478</v>
      </c>
      <c r="F17" s="22" t="n">
        <v>1701.962</v>
      </c>
      <c r="G17" s="22" t="n">
        <v>1863.417</v>
      </c>
      <c r="H17" s="22" t="n">
        <v>1993.567</v>
      </c>
      <c r="I17" s="22" t="n">
        <v>1984.612</v>
      </c>
      <c r="J17" s="22" t="n">
        <v>1881.034</v>
      </c>
      <c r="K17" s="22" t="n">
        <v>2042.753</v>
      </c>
      <c r="L17" s="22" t="n">
        <v>2324.991</v>
      </c>
      <c r="M17" s="22" t="n">
        <v>2313.826</v>
      </c>
      <c r="N17" s="22" t="n">
        <v>2369.38</v>
      </c>
      <c r="O17" s="21" t="n">
        <v>4914.354</v>
      </c>
      <c r="P17" s="22" t="n">
        <v>6270.145</v>
      </c>
      <c r="Q17" s="22" t="n">
        <v>7478.106</v>
      </c>
      <c r="R17" s="22" t="n">
        <v>7571.132</v>
      </c>
      <c r="S17" s="22" t="n">
        <v>9772.365</v>
      </c>
      <c r="T17" s="22" t="n">
        <v>8775.5</v>
      </c>
      <c r="U17" s="22" t="n">
        <v>8133.239</v>
      </c>
      <c r="V17" s="22" t="n">
        <v>7223.815</v>
      </c>
      <c r="W17" s="22" t="n">
        <v>7236.424</v>
      </c>
      <c r="X17" s="22" t="n">
        <v>8233.389999999999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274.513</v>
      </c>
      <c r="D19" s="12" t="n">
        <v>469.418</v>
      </c>
      <c r="E19" s="12" t="n">
        <v>202.562</v>
      </c>
      <c r="F19" s="12" t="n">
        <v>92.375</v>
      </c>
      <c r="G19" s="12" t="n">
        <v>212.406</v>
      </c>
      <c r="H19" s="12" t="n">
        <v>419.252</v>
      </c>
      <c r="I19" s="12" t="n">
        <v>264.328</v>
      </c>
      <c r="J19" s="12" t="n">
        <v>178.775</v>
      </c>
      <c r="K19" s="12" t="n">
        <v>333.333</v>
      </c>
      <c r="L19" s="12" t="n">
        <v>576.766</v>
      </c>
      <c r="M19" s="12" t="n">
        <v>352.958</v>
      </c>
      <c r="N19" s="12" t="n">
        <v>307.135</v>
      </c>
      <c r="O19" s="11" t="n">
        <v>828.497</v>
      </c>
      <c r="P19" s="12" t="n">
        <v>561.83</v>
      </c>
      <c r="Q19" s="12" t="n">
        <v>-296.296</v>
      </c>
      <c r="R19" s="12" t="n">
        <v>116.448</v>
      </c>
      <c r="S19" s="12" t="n">
        <v>1824.747</v>
      </c>
      <c r="T19" s="12" t="n">
        <v>596.061</v>
      </c>
      <c r="U19" s="12" t="n">
        <v>338.303</v>
      </c>
      <c r="V19" s="12" t="n">
        <v>771.789</v>
      </c>
      <c r="W19" s="12" t="n">
        <v>926.595</v>
      </c>
      <c r="X19" s="12" t="n">
        <v>1353.202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>
        <v>15.501</v>
      </c>
      <c r="P35" s="22" t="n">
        <v>0</v>
      </c>
      <c r="Q35" s="22" t="n">
        <v>0</v>
      </c>
      <c r="R35" s="22" t="n">
        <v>14.517</v>
      </c>
      <c r="S35" s="22" t="n">
        <v>0</v>
      </c>
      <c r="T35" s="22" t="n"/>
      <c r="U35" s="22" t="n">
        <v>0</v>
      </c>
      <c r="V35" s="22" t="n">
        <v>0.076</v>
      </c>
      <c r="W35" s="22" t="n">
        <v>0</v>
      </c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100.003</v>
      </c>
      <c r="D37" s="22" t="n">
        <v>10</v>
      </c>
      <c r="E37" s="22" t="n"/>
      <c r="F37" s="22" t="n"/>
      <c r="G37" s="22" t="n"/>
      <c r="H37" s="22" t="n">
        <v>0</v>
      </c>
      <c r="I37" s="22" t="n"/>
      <c r="J37" s="22" t="n"/>
      <c r="K37" s="22" t="n"/>
      <c r="L37" s="22" t="n"/>
      <c r="M37" s="22" t="n"/>
      <c r="N37" s="22" t="n"/>
      <c r="O37" s="21" t="n">
        <v>0</v>
      </c>
      <c r="P37" s="22" t="n">
        <v>20.095</v>
      </c>
      <c r="Q37" s="22" t="n">
        <v>60.907</v>
      </c>
      <c r="R37" s="22" t="n">
        <v>57.252</v>
      </c>
      <c r="S37" s="22" t="n">
        <v>0.913</v>
      </c>
      <c r="T37" s="22" t="n">
        <v>0</v>
      </c>
      <c r="U37" s="22" t="n">
        <v>120</v>
      </c>
      <c r="V37" s="22" t="n">
        <v>110.003</v>
      </c>
      <c r="W37" s="22" t="n">
        <v>0</v>
      </c>
      <c r="X37" s="22" t="n">
        <v>51.92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7.608</v>
      </c>
      <c r="D39" s="22" t="n">
        <v>2.033</v>
      </c>
      <c r="E39" s="22" t="n">
        <v>4.208</v>
      </c>
      <c r="F39" s="22" t="n">
        <v>3.878</v>
      </c>
      <c r="G39" s="22" t="n">
        <v>1.164</v>
      </c>
      <c r="H39" s="22" t="n">
        <v>6.958</v>
      </c>
      <c r="I39" s="22" t="n">
        <v>4.307</v>
      </c>
      <c r="J39" s="22" t="n">
        <v>5.695</v>
      </c>
      <c r="K39" s="22" t="n">
        <v>2.615</v>
      </c>
      <c r="L39" s="22" t="n">
        <v>7.263</v>
      </c>
      <c r="M39" s="22" t="n">
        <v>4.562</v>
      </c>
      <c r="N39" s="22" t="n">
        <v>6.426</v>
      </c>
      <c r="O39" s="21" t="n">
        <v>19.027</v>
      </c>
      <c r="P39" s="22" t="n">
        <v>31.519</v>
      </c>
      <c r="Q39" s="22" t="n">
        <v>41.999</v>
      </c>
      <c r="R39" s="22" t="n">
        <v>34.583</v>
      </c>
      <c r="S39" s="22" t="n">
        <v>29.62</v>
      </c>
      <c r="T39" s="22" t="n">
        <v>28.06</v>
      </c>
      <c r="U39" s="22" t="n">
        <v>27.879</v>
      </c>
      <c r="V39" s="22" t="n">
        <v>19.628</v>
      </c>
      <c r="W39" s="22" t="n">
        <v>16.208</v>
      </c>
      <c r="X39" s="22" t="n">
        <v>19.88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-0.239</v>
      </c>
      <c r="D41" s="22" t="n">
        <v>0.473</v>
      </c>
      <c r="E41" s="22" t="n">
        <v>3.284</v>
      </c>
      <c r="F41" s="22" t="n">
        <v>0.827</v>
      </c>
      <c r="G41" s="22" t="n">
        <v>0.005</v>
      </c>
      <c r="H41" s="22" t="n">
        <v>0.599</v>
      </c>
      <c r="I41" s="22" t="n">
        <v>1.053</v>
      </c>
      <c r="J41" s="22" t="n">
        <v>1.026</v>
      </c>
      <c r="K41" s="22" t="n">
        <v>0.489</v>
      </c>
      <c r="L41" s="22" t="n">
        <v>4.313</v>
      </c>
      <c r="M41" s="22" t="n">
        <v>4.041</v>
      </c>
      <c r="N41" s="22" t="n">
        <v>2.546</v>
      </c>
      <c r="O41" s="21" t="n">
        <v>38.763</v>
      </c>
      <c r="P41" s="22" t="n">
        <v>3.744</v>
      </c>
      <c r="Q41" s="22" t="n">
        <v>2.268</v>
      </c>
      <c r="R41" s="22" t="n">
        <v>4.413</v>
      </c>
      <c r="S41" s="22" t="n">
        <v>2.667</v>
      </c>
      <c r="T41" s="22" t="n">
        <v>2.879</v>
      </c>
      <c r="U41" s="22" t="n">
        <v>1.548</v>
      </c>
      <c r="V41" s="22" t="n">
        <v>1.165</v>
      </c>
      <c r="W41" s="22" t="n">
        <v>4.715</v>
      </c>
      <c r="X41" s="22" t="n">
        <v>6.881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182.357</v>
      </c>
      <c r="D43" s="12" t="n">
        <v>461.055</v>
      </c>
      <c r="E43" s="12" t="n">
        <v>203.487</v>
      </c>
      <c r="F43" s="12" t="n">
        <v>95.425</v>
      </c>
      <c r="G43" s="12" t="n">
        <v>213.565</v>
      </c>
      <c r="H43" s="12" t="n">
        <v>425.611</v>
      </c>
      <c r="I43" s="12" t="n">
        <v>267.582</v>
      </c>
      <c r="J43" s="12" t="n">
        <v>183.444</v>
      </c>
      <c r="K43" s="12" t="n">
        <v>335.459</v>
      </c>
      <c r="L43" s="12" t="n">
        <v>527.795</v>
      </c>
      <c r="M43" s="12" t="n">
        <v>353.479</v>
      </c>
      <c r="N43" s="12" t="n">
        <v>311.014</v>
      </c>
      <c r="O43" s="11" t="n">
        <v>824.2619999999999</v>
      </c>
      <c r="P43" s="12" t="n">
        <v>569.51</v>
      </c>
      <c r="Q43" s="12" t="n">
        <v>-317.473</v>
      </c>
      <c r="R43" s="12" t="n">
        <v>103.883</v>
      </c>
      <c r="S43" s="12" t="n">
        <v>1850.787</v>
      </c>
      <c r="T43" s="12" t="n">
        <v>621.242</v>
      </c>
      <c r="U43" s="12" t="n">
        <v>244.634</v>
      </c>
      <c r="V43" s="12" t="n">
        <v>680.326</v>
      </c>
      <c r="W43" s="12" t="n">
        <v>938.088</v>
      </c>
      <c r="X43" s="12" t="n">
        <v>1314.28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95.80500000000001</v>
      </c>
      <c r="D45" s="22" t="n">
        <v>177.638</v>
      </c>
      <c r="E45" s="22" t="n">
        <v>73.248</v>
      </c>
      <c r="F45" s="22" t="n">
        <v>34.515</v>
      </c>
      <c r="G45" s="22" t="n">
        <v>77.175</v>
      </c>
      <c r="H45" s="22" t="n">
        <v>161.48</v>
      </c>
      <c r="I45" s="22" t="n">
        <v>89.268</v>
      </c>
      <c r="J45" s="22" t="n">
        <v>65.96299999999999</v>
      </c>
      <c r="K45" s="22" t="n">
        <v>121</v>
      </c>
      <c r="L45" s="22" t="n">
        <v>153.738</v>
      </c>
      <c r="M45" s="22" t="n">
        <v>133.261</v>
      </c>
      <c r="N45" s="22" t="n">
        <v>114.694</v>
      </c>
      <c r="O45" s="21" t="n">
        <v>38.111</v>
      </c>
      <c r="P45" s="22" t="n">
        <v>230.664</v>
      </c>
      <c r="Q45" s="22" t="n">
        <v>-76.795</v>
      </c>
      <c r="R45" s="22" t="n">
        <v>63.367</v>
      </c>
      <c r="S45" s="22" t="n">
        <v>691.735</v>
      </c>
      <c r="T45" s="22" t="n">
        <v>238.618</v>
      </c>
      <c r="U45" s="22" t="n">
        <v>124.191</v>
      </c>
      <c r="V45" s="22" t="n">
        <v>285.968</v>
      </c>
      <c r="W45" s="22" t="n">
        <v>346.418</v>
      </c>
      <c r="X45" s="22" t="n">
        <v>429.969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86.55200000000001</v>
      </c>
      <c r="D47" s="12" t="n">
        <v>283.417</v>
      </c>
      <c r="E47" s="12" t="n">
        <v>130.238</v>
      </c>
      <c r="F47" s="12" t="n">
        <v>60.91</v>
      </c>
      <c r="G47" s="12" t="n">
        <v>136.39</v>
      </c>
      <c r="H47" s="12" t="n">
        <v>264.131</v>
      </c>
      <c r="I47" s="12" t="n">
        <v>178.313</v>
      </c>
      <c r="J47" s="12" t="n">
        <v>117.481</v>
      </c>
      <c r="K47" s="12" t="n">
        <v>214.459</v>
      </c>
      <c r="L47" s="12" t="n">
        <v>374.057</v>
      </c>
      <c r="M47" s="12" t="n">
        <v>220.217</v>
      </c>
      <c r="N47" s="12" t="n">
        <v>196.32</v>
      </c>
      <c r="O47" s="11" t="n">
        <v>786.151</v>
      </c>
      <c r="P47" s="12" t="n">
        <v>338.845</v>
      </c>
      <c r="Q47" s="12" t="n">
        <v>-240.677</v>
      </c>
      <c r="R47" s="12" t="n">
        <v>40.515</v>
      </c>
      <c r="S47" s="12" t="n">
        <v>1159.052</v>
      </c>
      <c r="T47" s="12" t="n">
        <v>382.623</v>
      </c>
      <c r="U47" s="12" t="n">
        <v>120.443</v>
      </c>
      <c r="V47" s="12" t="n">
        <v>394.358</v>
      </c>
      <c r="W47" s="12" t="n">
        <v>591.669</v>
      </c>
      <c r="X47" s="12" t="n">
        <v>884.3099999999999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86.55200000000001</v>
      </c>
      <c r="D49" s="12" t="n">
        <v>283.417</v>
      </c>
      <c r="E49" s="12" t="n">
        <v>130.238</v>
      </c>
      <c r="F49" s="12" t="n">
        <v>60.91</v>
      </c>
      <c r="G49" s="12" t="n">
        <v>136.39</v>
      </c>
      <c r="H49" s="12" t="n">
        <v>264.131</v>
      </c>
      <c r="I49" s="12" t="n">
        <v>178.313</v>
      </c>
      <c r="J49" s="12" t="n">
        <v>117.481</v>
      </c>
      <c r="K49" s="12" t="n">
        <v>214.459</v>
      </c>
      <c r="L49" s="12" t="n">
        <v>374.057</v>
      </c>
      <c r="M49" s="12" t="n">
        <v>220.217</v>
      </c>
      <c r="N49" s="12" t="n">
        <v>196.32</v>
      </c>
      <c r="O49" s="11" t="n">
        <v>786.151</v>
      </c>
      <c r="P49" s="12" t="n">
        <v>338.845</v>
      </c>
      <c r="Q49" s="12" t="n">
        <v>-240.677</v>
      </c>
      <c r="R49" s="12" t="n">
        <v>40.515</v>
      </c>
      <c r="S49" s="12" t="n">
        <v>1159.052</v>
      </c>
      <c r="T49" s="12" t="n">
        <v>382.623</v>
      </c>
      <c r="U49" s="12" t="n">
        <v>120.443</v>
      </c>
      <c r="V49" s="12" t="n">
        <v>394.358</v>
      </c>
      <c r="W49" s="12" t="n">
        <v>591.669</v>
      </c>
      <c r="X49" s="12" t="n">
        <v>884.3099999999999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3906.159</v>
      </c>
      <c r="D84" s="12" t="n">
        <v>4251.385</v>
      </c>
      <c r="E84" s="12" t="n">
        <v>3598.678</v>
      </c>
      <c r="F84" s="12" t="n">
        <v>3525.265</v>
      </c>
      <c r="G84" s="12" t="n">
        <v>4113.561</v>
      </c>
      <c r="H84" s="12" t="n">
        <v>4697.711</v>
      </c>
      <c r="I84" s="12" t="n">
        <v>4351.801</v>
      </c>
      <c r="J84" s="12" t="n">
        <v>3937.857</v>
      </c>
      <c r="K84" s="12" t="n">
        <v>4456.194</v>
      </c>
      <c r="L84" s="12" t="n">
        <v>5383.845</v>
      </c>
      <c r="M84" s="12" t="n">
        <v>4991.682</v>
      </c>
      <c r="N84" s="12" t="n">
        <v>4994.638</v>
      </c>
      <c r="T84" s="12" t="n">
        <v>4376.877</v>
      </c>
      <c r="U84" s="12" t="n">
        <v>4505.473</v>
      </c>
      <c r="V84" s="12" t="n">
        <v>4251.385</v>
      </c>
      <c r="W84" s="12" t="n">
        <v>4697.711</v>
      </c>
      <c r="X84" s="12" t="n">
        <v>5383.845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1946.283</v>
      </c>
      <c r="E86" s="22" t="n">
        <v>1718.637</v>
      </c>
      <c r="F86" s="22" t="n">
        <v>1730.929</v>
      </c>
      <c r="G86" s="22" t="n">
        <v>2037.737</v>
      </c>
      <c r="I86" s="22" t="n">
        <v>2102.86</v>
      </c>
      <c r="J86" s="22" t="n">
        <v>1878.048</v>
      </c>
      <c r="K86" s="22" t="n">
        <v>2080.108</v>
      </c>
      <c r="M86" s="22" t="n">
        <v>2324.897</v>
      </c>
      <c r="N86" s="22" t="n">
        <v>2318.123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</row>
    <row r="88">
      <c r="A88" s="9" t="inlineStr">
        <is>
          <t>매출총이익</t>
        </is>
      </c>
      <c r="C88" s="12" t="n">
        <v>1959.875</v>
      </c>
      <c r="D88" s="12" t="n">
        <v>2208.473</v>
      </c>
      <c r="E88" s="12" t="n">
        <v>1880.04</v>
      </c>
      <c r="F88" s="12" t="n">
        <v>1794.337</v>
      </c>
      <c r="G88" s="12" t="n">
        <v>2075.823</v>
      </c>
      <c r="H88" s="12" t="n">
        <v>2412.819</v>
      </c>
      <c r="I88" s="12" t="n">
        <v>2248.941</v>
      </c>
      <c r="J88" s="12" t="n">
        <v>2059.808</v>
      </c>
      <c r="K88" s="12" t="n">
        <v>2376.086</v>
      </c>
      <c r="L88" s="12" t="n">
        <v>2901.758</v>
      </c>
      <c r="M88" s="12" t="n">
        <v>2666.784</v>
      </c>
      <c r="N88" s="12" t="n">
        <v>2676.515</v>
      </c>
      <c r="T88" s="12" t="n">
        <v>2420.251</v>
      </c>
      <c r="U88" s="12" t="n">
        <v>2134.08</v>
      </c>
      <c r="V88" s="12" t="n">
        <v>2208.473</v>
      </c>
      <c r="W88" s="12" t="n">
        <v>2412.819</v>
      </c>
      <c r="X88" s="12" t="n">
        <v>2901.758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1685.361</v>
      </c>
      <c r="D90" s="22" t="n">
        <v>1739.055</v>
      </c>
      <c r="E90" s="22" t="n">
        <v>1677.478</v>
      </c>
      <c r="F90" s="22" t="n">
        <v>1701.962</v>
      </c>
      <c r="G90" s="22" t="n">
        <v>1863.417</v>
      </c>
      <c r="H90" s="22" t="n">
        <v>1993.567</v>
      </c>
      <c r="I90" s="22" t="n">
        <v>1984.612</v>
      </c>
      <c r="J90" s="22" t="n">
        <v>1881.034</v>
      </c>
      <c r="K90" s="22" t="n">
        <v>2042.753</v>
      </c>
      <c r="L90" s="22" t="n">
        <v>2324.991</v>
      </c>
      <c r="M90" s="22" t="n">
        <v>2313.826</v>
      </c>
      <c r="N90" s="22" t="n">
        <v>2369.38</v>
      </c>
      <c r="T90" s="22" t="n">
        <v>2273.94</v>
      </c>
      <c r="U90" s="22" t="n">
        <v>2010.867</v>
      </c>
      <c r="V90" s="22" t="n">
        <v>1739.055</v>
      </c>
      <c r="W90" s="22" t="n">
        <v>1993.567</v>
      </c>
      <c r="X90" s="22" t="n">
        <v>2324.991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274.513</v>
      </c>
      <c r="D92" s="12" t="n">
        <v>469.418</v>
      </c>
      <c r="E92" s="12" t="n">
        <v>202.562</v>
      </c>
      <c r="F92" s="12" t="n">
        <v>92.375</v>
      </c>
      <c r="G92" s="12" t="n">
        <v>212.406</v>
      </c>
      <c r="H92" s="12" t="n">
        <v>419.252</v>
      </c>
      <c r="I92" s="12" t="n">
        <v>264.328</v>
      </c>
      <c r="J92" s="12" t="n">
        <v>178.775</v>
      </c>
      <c r="K92" s="12" t="n">
        <v>333.333</v>
      </c>
      <c r="L92" s="12" t="n">
        <v>576.766</v>
      </c>
      <c r="M92" s="12" t="n">
        <v>352.958</v>
      </c>
      <c r="N92" s="12" t="n">
        <v>307.135</v>
      </c>
      <c r="T92" s="12" t="n">
        <v>146.312</v>
      </c>
      <c r="U92" s="12" t="n">
        <v>123.214</v>
      </c>
      <c r="V92" s="12" t="n">
        <v>469.418</v>
      </c>
      <c r="W92" s="12" t="n">
        <v>419.252</v>
      </c>
      <c r="X92" s="12" t="n">
        <v>576.766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투자사업조합 운용 이익</t>
        </is>
      </c>
      <c r="C95" s="22" t="n">
        <v>0</v>
      </c>
      <c r="D95" s="22" t="n">
        <v>0</v>
      </c>
      <c r="T95" s="22" t="n">
        <v>-0.755</v>
      </c>
      <c r="U95" s="22" t="n">
        <v>1.362</v>
      </c>
      <c r="V95" s="22" t="n">
        <v>0</v>
      </c>
    </row>
    <row r="96">
      <c r="A96" s="20" t="inlineStr">
        <is>
          <t>물품 매각이익</t>
        </is>
      </c>
      <c r="C96" s="22" t="n">
        <v>4.908</v>
      </c>
      <c r="D96" s="22" t="n">
        <v>0.335</v>
      </c>
      <c r="T96" s="22" t="n">
        <v>0</v>
      </c>
      <c r="U96" s="22" t="n">
        <v>1.007</v>
      </c>
      <c r="V96" s="22" t="n">
        <v>0.335</v>
      </c>
    </row>
    <row r="97">
      <c r="A97" s="20" t="inlineStr">
        <is>
          <t>수수료 수익</t>
        </is>
      </c>
      <c r="C97" s="22" t="n">
        <v>0</v>
      </c>
      <c r="D97" s="22" t="n">
        <v>0</v>
      </c>
      <c r="E97" s="22" t="n">
        <v>1.244</v>
      </c>
      <c r="I97" s="22" t="n">
        <v>1.095</v>
      </c>
      <c r="M97" s="22" t="n">
        <v>1.071</v>
      </c>
      <c r="U97" s="22" t="n">
        <v>0</v>
      </c>
      <c r="V97" s="22" t="n">
        <v>0</v>
      </c>
    </row>
    <row r="98">
      <c r="A98" s="20" t="inlineStr">
        <is>
          <t>외환차익</t>
        </is>
      </c>
      <c r="C98" s="22" t="n">
        <v>0.8139999999999999</v>
      </c>
      <c r="D98" s="22" t="n">
        <v>-0.6860000000000001</v>
      </c>
      <c r="E98" s="22" t="n">
        <v>0.359</v>
      </c>
      <c r="F98" s="22" t="n">
        <v>1.229</v>
      </c>
      <c r="G98" s="22" t="n">
        <v>-1.452</v>
      </c>
      <c r="H98" s="22" t="n">
        <v>1.614</v>
      </c>
      <c r="I98" s="22" t="n">
        <v>0</v>
      </c>
      <c r="J98" s="22" t="n">
        <v>0</v>
      </c>
      <c r="K98" s="22" t="n">
        <v>0</v>
      </c>
      <c r="L98" s="22" t="n">
        <v>1.05</v>
      </c>
      <c r="T98" s="22" t="n">
        <v>0.305</v>
      </c>
      <c r="U98" s="22" t="n">
        <v>-0.3</v>
      </c>
      <c r="V98" s="22" t="n">
        <v>-0.6860000000000001</v>
      </c>
      <c r="W98" s="22" t="n">
        <v>1.614</v>
      </c>
      <c r="X98" s="22" t="n">
        <v>1.05</v>
      </c>
    </row>
    <row r="99">
      <c r="A99" s="20" t="inlineStr">
        <is>
          <t>보상금 수취</t>
        </is>
      </c>
      <c r="C99" s="22" t="n">
        <v>1.046</v>
      </c>
      <c r="D99" s="22" t="n">
        <v>1.45</v>
      </c>
      <c r="E99" s="22" t="n">
        <v>1.625</v>
      </c>
      <c r="F99" s="22" t="n">
        <v>1.585</v>
      </c>
      <c r="G99" s="22" t="n">
        <v>2.189</v>
      </c>
      <c r="H99" s="22" t="n">
        <v>1.931</v>
      </c>
      <c r="I99" s="22" t="n">
        <v>2.672</v>
      </c>
      <c r="J99" s="22" t="n">
        <v>1.668</v>
      </c>
      <c r="K99" s="22" t="n">
        <v>1.754</v>
      </c>
      <c r="L99" s="22" t="n">
        <v>2.586</v>
      </c>
      <c r="M99" s="22" t="n">
        <v>2.104</v>
      </c>
      <c r="N99" s="22" t="n">
        <v>1.886</v>
      </c>
      <c r="T99" s="22" t="n">
        <v>2.627</v>
      </c>
      <c r="U99" s="22" t="n">
        <v>2.875</v>
      </c>
      <c r="V99" s="22" t="n">
        <v>1.45</v>
      </c>
      <c r="W99" s="22" t="n">
        <v>1.931</v>
      </c>
      <c r="X99" s="22" t="n">
        <v>2.586</v>
      </c>
    </row>
    <row r="100">
      <c r="A100" s="20" t="inlineStr">
        <is>
          <t>기타</t>
        </is>
      </c>
      <c r="C100" s="22" t="n">
        <v>5.747</v>
      </c>
      <c r="D100" s="22" t="n">
        <v>1.269</v>
      </c>
      <c r="E100" s="22" t="n">
        <v>0.979</v>
      </c>
      <c r="F100" s="22" t="n">
        <v>2.307</v>
      </c>
      <c r="G100" s="22" t="n">
        <v>0.428</v>
      </c>
      <c r="H100" s="22" t="n">
        <v>0.376</v>
      </c>
      <c r="I100" s="22" t="n">
        <v>0.539</v>
      </c>
      <c r="J100" s="22" t="n">
        <v>3.157</v>
      </c>
      <c r="K100" s="22" t="n">
        <v>2.827</v>
      </c>
      <c r="L100" s="22" t="n">
        <v>-3.056</v>
      </c>
      <c r="M100" s="22" t="n">
        <v>1.386</v>
      </c>
      <c r="N100" s="22" t="n">
        <v>2.44</v>
      </c>
      <c r="T100" s="22" t="n">
        <v>0.547</v>
      </c>
      <c r="U100" s="22" t="n">
        <v>1.131</v>
      </c>
      <c r="V100" s="22" t="n">
        <v>1.269</v>
      </c>
      <c r="W100" s="22" t="n">
        <v>0.376</v>
      </c>
      <c r="X100" s="22" t="n">
        <v>-3.056</v>
      </c>
    </row>
    <row r="101">
      <c r="A101" s="20" t="inlineStr">
        <is>
          <t>영업외수익 합계</t>
        </is>
      </c>
      <c r="C101" s="22" t="n">
        <v>7.608</v>
      </c>
      <c r="D101" s="22" t="n">
        <v>2.033</v>
      </c>
      <c r="E101" s="22" t="n">
        <v>4.208</v>
      </c>
      <c r="F101" s="22" t="n">
        <v>3.878</v>
      </c>
      <c r="G101" s="22" t="n">
        <v>1.164</v>
      </c>
      <c r="H101" s="22" t="n">
        <v>6.958</v>
      </c>
      <c r="I101" s="22" t="n">
        <v>4.307</v>
      </c>
      <c r="J101" s="22" t="n">
        <v>5.695</v>
      </c>
      <c r="K101" s="22" t="n">
        <v>2.615</v>
      </c>
      <c r="L101" s="22" t="n">
        <v>7.263</v>
      </c>
      <c r="M101" s="22" t="n">
        <v>4.562</v>
      </c>
      <c r="N101" s="22" t="n">
        <v>6.426</v>
      </c>
      <c r="T101" s="22" t="n">
        <v>2.723</v>
      </c>
      <c r="U101" s="22" t="n">
        <v>6.076</v>
      </c>
      <c r="V101" s="22" t="n">
        <v>2.033</v>
      </c>
      <c r="W101" s="22" t="n">
        <v>6.958</v>
      </c>
      <c r="X101" s="22" t="n">
        <v>7.263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T102" s="17">
        <f>IF(OR(T101="",S101=""),"",IF(T101*S101&lt;=0,"",IFERROR(T101/S101-1,"")))</f>
        <v/>
      </c>
      <c r="U102" s="17">
        <f>IF(OR(U101="",T101=""),"",IF(U101*T101&lt;=0,"",IFERROR(U101/T101-1,"")))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20" t="inlineStr">
        <is>
          <t>이자비용</t>
        </is>
      </c>
      <c r="C103" s="22" t="n">
        <v>0</v>
      </c>
      <c r="D103" s="22" t="n">
        <v>0</v>
      </c>
      <c r="T103" s="22" t="n">
        <v>0.638</v>
      </c>
      <c r="U103" s="22" t="n">
        <v>0.157</v>
      </c>
      <c r="V103" s="22" t="n">
        <v>0</v>
      </c>
    </row>
    <row r="104">
      <c r="A104" s="20" t="inlineStr">
        <is>
          <t>투자조합 운용손실</t>
        </is>
      </c>
      <c r="C104" s="22" t="n">
        <v>0.189</v>
      </c>
      <c r="D104" s="22" t="n">
        <v>0.298</v>
      </c>
      <c r="E104" s="22" t="n">
        <v>0.257</v>
      </c>
      <c r="F104" s="22" t="n">
        <v>0.827</v>
      </c>
      <c r="G104" s="22" t="n">
        <v>-0.052</v>
      </c>
      <c r="H104" s="22" t="n">
        <v>0.602</v>
      </c>
      <c r="I104" s="22" t="n">
        <v>0</v>
      </c>
      <c r="J104" s="22" t="n">
        <v>0.281</v>
      </c>
      <c r="K104" s="22" t="n">
        <v>0</v>
      </c>
      <c r="L104" s="22" t="n">
        <v>5.869</v>
      </c>
      <c r="U104" s="22" t="n">
        <v>0</v>
      </c>
      <c r="V104" s="22" t="n">
        <v>0.298</v>
      </c>
      <c r="W104" s="22" t="n">
        <v>0.602</v>
      </c>
      <c r="X104" s="22" t="n">
        <v>5.869</v>
      </c>
    </row>
    <row r="105">
      <c r="A105" s="20" t="inlineStr">
        <is>
          <t>Loss On Sales Of Goods NOE</t>
        </is>
      </c>
      <c r="C105" s="22" t="n">
        <v>0</v>
      </c>
      <c r="D105" s="22" t="n">
        <v>0</v>
      </c>
      <c r="E105" s="22" t="n">
        <v>3.026</v>
      </c>
      <c r="F105" s="22" t="n">
        <v>0</v>
      </c>
      <c r="G105" s="22" t="n">
        <v>0</v>
      </c>
      <c r="H105" s="22" t="n">
        <v>0</v>
      </c>
      <c r="I105" s="22" t="n">
        <v>0</v>
      </c>
      <c r="J105" s="22" t="n">
        <v>0</v>
      </c>
      <c r="K105" s="22" t="n">
        <v>0</v>
      </c>
      <c r="L105" s="22" t="n">
        <v>0</v>
      </c>
      <c r="V105" s="22" t="n">
        <v>0</v>
      </c>
      <c r="W105" s="22" t="n">
        <v>0</v>
      </c>
      <c r="X105" s="22" t="n">
        <v>0</v>
      </c>
    </row>
    <row r="106">
      <c r="A106" s="20" t="inlineStr">
        <is>
          <t>외환차손</t>
        </is>
      </c>
      <c r="E106" s="22" t="n">
        <v>0</v>
      </c>
      <c r="F106" s="22" t="n">
        <v>0</v>
      </c>
      <c r="G106" s="22" t="n">
        <v>0</v>
      </c>
      <c r="I106" s="22" t="n">
        <v>1.04</v>
      </c>
      <c r="J106" s="22" t="n">
        <v>0.723</v>
      </c>
      <c r="K106" s="22" t="n">
        <v>0.393</v>
      </c>
      <c r="M106" s="22" t="n">
        <v>3.848</v>
      </c>
      <c r="N106" s="22" t="n">
        <v>-0.781</v>
      </c>
    </row>
    <row r="107">
      <c r="A107" s="20" t="inlineStr">
        <is>
          <t>고정자산 제각손실</t>
        </is>
      </c>
      <c r="T107" s="22" t="n">
        <v>0</v>
      </c>
      <c r="U107" s="22" t="n">
        <v>0</v>
      </c>
    </row>
    <row r="108">
      <c r="A108" s="20" t="inlineStr">
        <is>
          <t>기타</t>
        </is>
      </c>
      <c r="C108" s="22" t="n">
        <v>0</v>
      </c>
      <c r="D108" s="22" t="n">
        <v>0.175</v>
      </c>
      <c r="E108" s="22" t="n">
        <v>0</v>
      </c>
      <c r="F108" s="22" t="n">
        <v>0</v>
      </c>
      <c r="G108" s="22" t="n">
        <v>0.057</v>
      </c>
      <c r="H108" s="22" t="n">
        <v>-0.003</v>
      </c>
      <c r="I108" s="22" t="n">
        <v>0.013</v>
      </c>
      <c r="J108" s="22" t="n">
        <v>0.303</v>
      </c>
      <c r="K108" s="22" t="n">
        <v>-0.186</v>
      </c>
      <c r="L108" s="22" t="n">
        <v>0.601</v>
      </c>
      <c r="M108" s="22" t="n">
        <v>0.192</v>
      </c>
      <c r="N108" s="22" t="n">
        <v>1.06</v>
      </c>
      <c r="T108" s="22" t="n">
        <v>0.05</v>
      </c>
      <c r="U108" s="22" t="n">
        <v>-0.15</v>
      </c>
      <c r="V108" s="22" t="n">
        <v>0.175</v>
      </c>
      <c r="W108" s="22" t="n">
        <v>-0.003</v>
      </c>
      <c r="X108" s="22" t="n">
        <v>0.601</v>
      </c>
    </row>
    <row r="109">
      <c r="A109" s="20" t="inlineStr">
        <is>
          <t>영업외비용 합계</t>
        </is>
      </c>
      <c r="C109" s="22" t="n">
        <v>-0.239</v>
      </c>
      <c r="D109" s="22" t="n">
        <v>0.473</v>
      </c>
      <c r="E109" s="22" t="n">
        <v>3.284</v>
      </c>
      <c r="F109" s="22" t="n">
        <v>0.827</v>
      </c>
      <c r="G109" s="22" t="n">
        <v>0.005</v>
      </c>
      <c r="H109" s="22" t="n">
        <v>0.599</v>
      </c>
      <c r="I109" s="22" t="n">
        <v>1.053</v>
      </c>
      <c r="J109" s="22" t="n">
        <v>1.026</v>
      </c>
      <c r="K109" s="22" t="n">
        <v>0.489</v>
      </c>
      <c r="L109" s="22" t="n">
        <v>4.313</v>
      </c>
      <c r="M109" s="22" t="n">
        <v>4.041</v>
      </c>
      <c r="N109" s="22" t="n">
        <v>2.546</v>
      </c>
      <c r="T109" s="22" t="n">
        <v>0.6870000000000001</v>
      </c>
      <c r="U109" s="22" t="n">
        <v>0.273</v>
      </c>
      <c r="V109" s="22" t="n">
        <v>0.473</v>
      </c>
      <c r="W109" s="22" t="n">
        <v>0.599</v>
      </c>
      <c r="X109" s="22" t="n">
        <v>4.313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IF(OR(G109="",C109=""),"",IF(G109*C109&lt;=0,"",IFERROR(G109/C109-1,"")))</f>
        <v/>
      </c>
      <c r="H110" s="17">
        <f>IF(OR(H109="",D109=""),"",IF(H109*D109&lt;=0,"",IFERROR(H109/D109-1,"")))</f>
        <v/>
      </c>
      <c r="I110" s="17">
        <f>IF(OR(I109="",E109=""),"",IF(I109*E109&lt;=0,"",IFERROR(I109/E109-1,"")))</f>
        <v/>
      </c>
      <c r="J110" s="17">
        <f>IF(OR(J109="",F109=""),"",IF(J109*F109&lt;=0,"",IFERROR(J109/F109-1,"")))</f>
        <v/>
      </c>
      <c r="K110" s="17">
        <f>IF(OR(K109="",G109=""),"",IF(K109*G109&lt;=0,"",IFERROR(K109/G109-1,"")))</f>
        <v/>
      </c>
      <c r="L110" s="17">
        <f>IF(OR(L109="",H109=""),"",IF(L109*H109&lt;=0,"",IFERROR(L109/H109-1,"")))</f>
        <v/>
      </c>
      <c r="M110" s="17">
        <f>IF(OR(M109="",I109=""),"",IF(M109*I109&lt;=0,"",IFERROR(M109/I109-1,"")))</f>
        <v/>
      </c>
      <c r="N110" s="17">
        <f>IF(OR(N109="",J109=""),"",IF(N109*J109&lt;=0,"",IFERROR(N109/J109-1,"")))</f>
        <v/>
      </c>
      <c r="T110" s="17">
        <f>IF(OR(T109="",S109=""),"",IF(T109*S109&lt;=0,"",IFERROR(T109/S109-1,"")))</f>
        <v/>
      </c>
      <c r="U110" s="17">
        <f>IF(OR(U109="",T109=""),"",IF(U109*T109&lt;=0,"",IFERROR(U109/T109-1,"")))</f>
        <v/>
      </c>
      <c r="V110" s="17">
        <f>IF(OR(V109="",U109=""),"",IF(V109*U109&lt;=0,"",IFERROR(V109/U109-1,"")))</f>
        <v/>
      </c>
      <c r="W110" s="17">
        <f>IF(OR(W109="",V109=""),"",IF(W109*V109&lt;=0,"",IFERROR(W109/V109-1,"")))</f>
        <v/>
      </c>
      <c r="X110" s="17">
        <f>IF(OR(X109="",W109=""),"",IF(X109*W109&lt;=0,"",IFERROR(X109/W109-1,"")))</f>
        <v/>
      </c>
    </row>
    <row r="111">
      <c r="A111" s="9" t="inlineStr">
        <is>
          <t>경상이익</t>
        </is>
      </c>
      <c r="C111" s="12" t="n">
        <v>282.361</v>
      </c>
      <c r="D111" s="12" t="n">
        <v>470.978</v>
      </c>
      <c r="E111" s="12" t="n">
        <v>203.487</v>
      </c>
      <c r="F111" s="12" t="n">
        <v>95.425</v>
      </c>
      <c r="G111" s="12" t="n">
        <v>213.565</v>
      </c>
      <c r="H111" s="12" t="n">
        <v>425.611</v>
      </c>
      <c r="I111" s="12" t="n">
        <v>267.582</v>
      </c>
      <c r="J111" s="12" t="n">
        <v>183.444</v>
      </c>
      <c r="K111" s="12" t="n">
        <v>335.459</v>
      </c>
      <c r="L111" s="12" t="n">
        <v>579.715</v>
      </c>
      <c r="M111" s="12" t="n">
        <v>353.479</v>
      </c>
      <c r="N111" s="12" t="n">
        <v>311.014</v>
      </c>
      <c r="T111" s="12" t="n">
        <v>148.348</v>
      </c>
      <c r="U111" s="12" t="n">
        <v>129.018</v>
      </c>
      <c r="V111" s="12" t="n">
        <v>470.978</v>
      </c>
      <c r="W111" s="12" t="n">
        <v>425.611</v>
      </c>
      <c r="X111" s="12" t="n">
        <v>579.715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IF(OR(G111="",C111=""),"",IF(C111&lt;=0,"",IFERROR(G111/C111-1,"")))</f>
        <v/>
      </c>
      <c r="H112" s="17">
        <f>IF(OR(H111="",D111=""),"",IF(D111&lt;=0,"",IFERROR(H111/D111-1,"")))</f>
        <v/>
      </c>
      <c r="I112" s="17">
        <f>IF(OR(I111="",E111=""),"",IF(E111&lt;=0,"",IFERROR(I111/E111-1,"")))</f>
        <v/>
      </c>
      <c r="J112" s="17">
        <f>IF(OR(J111="",F111=""),"",IF(F111&lt;=0,"",IFERROR(J111/F111-1,"")))</f>
        <v/>
      </c>
      <c r="K112" s="17">
        <f>IF(OR(K111="",G111=""),"",IF(G111&lt;=0,"",IFERROR(K111/G111-1,"")))</f>
        <v/>
      </c>
      <c r="L112" s="17">
        <f>IF(OR(L111="",H111=""),"",IF(H111&lt;=0,"",IFERROR(L111/H111-1,"")))</f>
        <v/>
      </c>
      <c r="M112" s="17">
        <f>IF(OR(M111="",I111=""),"",IF(I111&lt;=0,"",IFERROR(M111/I111-1,"")))</f>
        <v/>
      </c>
      <c r="N112" s="17">
        <f>IF(OR(N111="",J111=""),"",IF(J111&lt;=0,"",IFERROR(N111/J111-1,"")))</f>
        <v/>
      </c>
      <c r="T112" s="17">
        <f>IF(OR(T111="",S111=""),"",IF(S111&lt;=0,"",IFERROR(T111/S111-1,"")))</f>
        <v/>
      </c>
      <c r="U112" s="17">
        <f>IF(OR(U111="",T111=""),"",IF(T111&lt;=0,"",IFERROR(U111/T111-1,"")))</f>
        <v/>
      </c>
      <c r="V112" s="17">
        <f>IF(OR(V111="",U111=""),"",IF(U111&lt;=0,"",IFERROR(V111/U111-1,"")))</f>
        <v/>
      </c>
      <c r="W112" s="17">
        <f>IF(OR(W111="",V111=""),"",IF(V111&lt;=0,"",IFERROR(W111/V111-1,"")))</f>
        <v/>
      </c>
      <c r="X112" s="17">
        <f>IF(OR(X111="",W111=""),"",IF(W111&lt;=0,"",IFERROR(X111/W111-1,"")))</f>
        <v/>
      </c>
    </row>
    <row r="113">
      <c r="A113" s="20" t="inlineStr">
        <is>
          <t>투자유가증권 평가손실</t>
        </is>
      </c>
      <c r="C113" s="22" t="n">
        <v>100.003</v>
      </c>
      <c r="D113" s="22" t="n">
        <v>10</v>
      </c>
      <c r="H113" s="22" t="n">
        <v>0</v>
      </c>
      <c r="T113" s="22" t="n">
        <v>0</v>
      </c>
      <c r="U113" s="22" t="n">
        <v>0</v>
      </c>
      <c r="V113" s="22" t="n">
        <v>10</v>
      </c>
      <c r="W113" s="22" t="n">
        <v>0</v>
      </c>
    </row>
    <row r="114">
      <c r="A114" s="20" t="inlineStr">
        <is>
          <t>특별손실 합계</t>
        </is>
      </c>
      <c r="C114" s="22" t="n">
        <v>100.003</v>
      </c>
      <c r="D114" s="22" t="n">
        <v>10</v>
      </c>
      <c r="H114" s="22" t="n">
        <v>0</v>
      </c>
      <c r="T114" s="22" t="n">
        <v>0</v>
      </c>
      <c r="U114" s="22" t="n">
        <v>0</v>
      </c>
      <c r="V114" s="22" t="n">
        <v>10</v>
      </c>
      <c r="W114" s="22" t="n">
        <v>0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H115" s="17">
        <f>IF(OR(H114="",D114=""),"",IF(H114*D114&lt;=0,"",IFERROR(H114/D114-1,"")))</f>
        <v/>
      </c>
      <c r="T115" s="17">
        <f>IF(OR(T114="",S114=""),"",IF(T114*S114&lt;=0,"",IFERROR(T114/S114-1,"")))</f>
        <v/>
      </c>
      <c r="U115" s="17">
        <f>IF(OR(U114="",T114=""),"",IF(U114*T114&lt;=0,"",IFERROR(U114/T114-1,"")))</f>
        <v/>
      </c>
      <c r="V115" s="17">
        <f>IF(OR(V114="",U114=""),"",IF(V114*U114&lt;=0,"",IFERROR(V114/U114-1,"")))</f>
        <v/>
      </c>
      <c r="W115" s="17">
        <f>IF(OR(W114="",V114=""),"",IF(W114*V114&lt;=0,"",IFERROR(W114/V114-1,"")))</f>
        <v/>
      </c>
    </row>
    <row r="116">
      <c r="A116" s="9" t="inlineStr">
        <is>
          <t>법인세차감전 순이익</t>
        </is>
      </c>
      <c r="C116" s="12" t="n">
        <v>182.357</v>
      </c>
      <c r="D116" s="12" t="n">
        <v>461.055</v>
      </c>
      <c r="E116" s="12" t="n">
        <v>203.487</v>
      </c>
      <c r="F116" s="12" t="n">
        <v>95.425</v>
      </c>
      <c r="G116" s="12" t="n">
        <v>213.565</v>
      </c>
      <c r="H116" s="12" t="n">
        <v>425.611</v>
      </c>
      <c r="I116" s="12" t="n">
        <v>267.582</v>
      </c>
      <c r="J116" s="12" t="n">
        <v>183.444</v>
      </c>
      <c r="K116" s="12" t="n">
        <v>335.459</v>
      </c>
      <c r="L116" s="12" t="n">
        <v>527.795</v>
      </c>
      <c r="M116" s="12" t="n">
        <v>353.479</v>
      </c>
      <c r="N116" s="12" t="n">
        <v>311.014</v>
      </c>
      <c r="T116" s="12" t="n">
        <v>148.348</v>
      </c>
      <c r="U116" s="12" t="n">
        <v>129.018</v>
      </c>
      <c r="V116" s="12" t="n">
        <v>461.055</v>
      </c>
      <c r="W116" s="12" t="n">
        <v>425.611</v>
      </c>
      <c r="X116" s="12" t="n">
        <v>527.795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G117" s="17">
        <f>IF(OR(G116="",C116=""),"",IF(C116&lt;=0,"",IFERROR(G116/C116-1,"")))</f>
        <v/>
      </c>
      <c r="H117" s="17">
        <f>IF(OR(H116="",D116=""),"",IF(D116&lt;=0,"",IFERROR(H116/D116-1,"")))</f>
        <v/>
      </c>
      <c r="I117" s="17">
        <f>IF(OR(I116="",E116=""),"",IF(E116&lt;=0,"",IFERROR(I116/E116-1,"")))</f>
        <v/>
      </c>
      <c r="J117" s="17">
        <f>IF(OR(J116="",F116=""),"",IF(F116&lt;=0,"",IFERROR(J116/F116-1,"")))</f>
        <v/>
      </c>
      <c r="K117" s="17">
        <f>IF(OR(K116="",G116=""),"",IF(G116&lt;=0,"",IFERROR(K116/G116-1,"")))</f>
        <v/>
      </c>
      <c r="L117" s="17">
        <f>IF(OR(L116="",H116=""),"",IF(H116&lt;=0,"",IFERROR(L116/H116-1,"")))</f>
        <v/>
      </c>
      <c r="M117" s="17">
        <f>IF(OR(M116="",I116=""),"",IF(I116&lt;=0,"",IFERROR(M116/I116-1,"")))</f>
        <v/>
      </c>
      <c r="N117" s="17">
        <f>IF(OR(N116="",J116=""),"",IF(J116&lt;=0,"",IFERROR(N116/J116-1,"")))</f>
        <v/>
      </c>
      <c r="T117" s="17">
        <f>IF(OR(T116="",S116=""),"",IF(S116&lt;=0,"",IFERROR(T116/S116-1,"")))</f>
        <v/>
      </c>
      <c r="U117" s="17">
        <f>IF(OR(U116="",T116=""),"",IF(T116&lt;=0,"",IFERROR(U116/T116-1,"")))</f>
        <v/>
      </c>
      <c r="V117" s="17">
        <f>IF(OR(V116="",U116=""),"",IF(U116&lt;=0,"",IFERROR(V116/U116-1,"")))</f>
        <v/>
      </c>
      <c r="W117" s="17">
        <f>IF(OR(W116="",V116=""),"",IF(V116&lt;=0,"",IFERROR(W116/V116-1,"")))</f>
        <v/>
      </c>
      <c r="X117" s="17">
        <f>IF(OR(X116="",W116=""),"",IF(W116&lt;=0,"",IFERROR(X116/W116-1,"")))</f>
        <v/>
      </c>
    </row>
    <row r="118">
      <c r="A118" s="20" t="inlineStr">
        <is>
          <t>법인세·주민세·사업세</t>
        </is>
      </c>
      <c r="C118" s="22" t="n">
        <v>95.80500000000001</v>
      </c>
      <c r="D118" s="22" t="n">
        <v>197.063</v>
      </c>
      <c r="E118" s="22" t="n">
        <v>73.248</v>
      </c>
      <c r="F118" s="22" t="n">
        <v>34.515</v>
      </c>
      <c r="G118" s="22" t="n">
        <v>77.247</v>
      </c>
      <c r="H118" s="22" t="n">
        <v>220.929</v>
      </c>
      <c r="I118" s="22" t="n">
        <v>89.268</v>
      </c>
      <c r="J118" s="22" t="n">
        <v>65.96299999999999</v>
      </c>
      <c r="K118" s="22" t="n">
        <v>121</v>
      </c>
      <c r="L118" s="22" t="n">
        <v>152.952</v>
      </c>
      <c r="M118" s="22" t="n">
        <v>133.261</v>
      </c>
      <c r="N118" s="22" t="n">
        <v>114.694</v>
      </c>
      <c r="T118" s="22" t="n">
        <v>86.151</v>
      </c>
      <c r="U118" s="22" t="n">
        <v>31.855</v>
      </c>
      <c r="V118" s="22" t="n">
        <v>197.063</v>
      </c>
      <c r="W118" s="22" t="n">
        <v>220.929</v>
      </c>
      <c r="X118" s="22" t="n">
        <v>152.952</v>
      </c>
    </row>
    <row r="119">
      <c r="A119" s="20" t="inlineStr">
        <is>
          <t>법인세 조정액</t>
        </is>
      </c>
      <c r="D119" s="22" t="n">
        <v>-19.425</v>
      </c>
      <c r="H119" s="22" t="n">
        <v>-59.449</v>
      </c>
      <c r="L119" s="22" t="n">
        <v>0.786</v>
      </c>
      <c r="V119" s="22" t="n">
        <v>-19.425</v>
      </c>
      <c r="W119" s="22" t="n">
        <v>-59.449</v>
      </c>
      <c r="X119" s="22" t="n">
        <v>0.786</v>
      </c>
    </row>
    <row r="120">
      <c r="A120" s="20" t="inlineStr">
        <is>
          <t>법인세 등 합계</t>
        </is>
      </c>
      <c r="C120" s="22" t="n">
        <v>95.80500000000001</v>
      </c>
      <c r="D120" s="22" t="n">
        <v>177.638</v>
      </c>
      <c r="E120" s="22" t="n">
        <v>73.248</v>
      </c>
      <c r="F120" s="22" t="n">
        <v>34.515</v>
      </c>
      <c r="G120" s="22" t="n">
        <v>77.175</v>
      </c>
      <c r="H120" s="22" t="n">
        <v>161.48</v>
      </c>
      <c r="I120" s="22" t="n">
        <v>89.268</v>
      </c>
      <c r="J120" s="22" t="n">
        <v>65.96299999999999</v>
      </c>
      <c r="K120" s="22" t="n">
        <v>121</v>
      </c>
      <c r="L120" s="22" t="n">
        <v>153.738</v>
      </c>
      <c r="M120" s="22" t="n">
        <v>133.261</v>
      </c>
      <c r="N120" s="22" t="n">
        <v>114.694</v>
      </c>
      <c r="T120" s="22" t="n">
        <v>74.65900000000001</v>
      </c>
      <c r="U120" s="22" t="n">
        <v>33.765</v>
      </c>
      <c r="V120" s="22" t="n">
        <v>177.638</v>
      </c>
      <c r="W120" s="22" t="n">
        <v>161.48</v>
      </c>
      <c r="X120" s="22" t="n">
        <v>153.738</v>
      </c>
    </row>
    <row r="121">
      <c r="A121" s="45" t="inlineStr">
        <is>
          <t>YoY</t>
        </is>
      </c>
      <c r="B121" s="3" t="inlineStr">
        <is>
          <t>전년 같은 분기·전년 대비</t>
        </is>
      </c>
      <c r="G121" s="17">
        <f>IF(OR(G120="",C120=""),"",IF(G120*C120&lt;=0,"",IFERROR(G120/C120-1,"")))</f>
        <v/>
      </c>
      <c r="H121" s="17">
        <f>IF(OR(H120="",D120=""),"",IF(H120*D120&lt;=0,"",IFERROR(H120/D120-1,"")))</f>
        <v/>
      </c>
      <c r="I121" s="17">
        <f>IF(OR(I120="",E120=""),"",IF(I120*E120&lt;=0,"",IFERROR(I120/E120-1,"")))</f>
        <v/>
      </c>
      <c r="J121" s="17">
        <f>IF(OR(J120="",F120=""),"",IF(J120*F120&lt;=0,"",IFERROR(J120/F120-1,"")))</f>
        <v/>
      </c>
      <c r="K121" s="17">
        <f>IF(OR(K120="",G120=""),"",IF(K120*G120&lt;=0,"",IFERROR(K120/G120-1,"")))</f>
        <v/>
      </c>
      <c r="L121" s="17">
        <f>IF(OR(L120="",H120=""),"",IF(L120*H120&lt;=0,"",IFERROR(L120/H120-1,"")))</f>
        <v/>
      </c>
      <c r="M121" s="17">
        <f>IF(OR(M120="",I120=""),"",IF(M120*I120&lt;=0,"",IFERROR(M120/I120-1,"")))</f>
        <v/>
      </c>
      <c r="N121" s="17">
        <f>IF(OR(N120="",J120=""),"",IF(N120*J120&lt;=0,"",IFERROR(N120/J120-1,"")))</f>
        <v/>
      </c>
      <c r="T121" s="17">
        <f>IF(OR(T120="",S120=""),"",IF(T120*S120&lt;=0,"",IFERROR(T120/S120-1,"")))</f>
        <v/>
      </c>
      <c r="U121" s="17">
        <f>IF(OR(U120="",T120=""),"",IF(U120*T120&lt;=0,"",IFERROR(U120/T120-1,"")))</f>
        <v/>
      </c>
      <c r="V121" s="17">
        <f>IF(OR(V120="",U120=""),"",IF(V120*U120&lt;=0,"",IFERROR(V120/U120-1,"")))</f>
        <v/>
      </c>
      <c r="W121" s="17">
        <f>IF(OR(W120="",V120=""),"",IF(W120*V120&lt;=0,"",IFERROR(W120/V120-1,"")))</f>
        <v/>
      </c>
      <c r="X121" s="17">
        <f>IF(OR(X120="",W120=""),"",IF(X120*W120&lt;=0,"",IFERROR(X120/W120-1,"")))</f>
        <v/>
      </c>
    </row>
    <row r="122">
      <c r="A122" s="9" t="inlineStr">
        <is>
          <t>순이익</t>
        </is>
      </c>
      <c r="C122" s="12" t="n">
        <v>86.55200000000001</v>
      </c>
      <c r="D122" s="12" t="n">
        <v>283.417</v>
      </c>
      <c r="E122" s="12" t="n">
        <v>130.238</v>
      </c>
      <c r="F122" s="12" t="n">
        <v>60.91</v>
      </c>
      <c r="G122" s="12" t="n">
        <v>136.39</v>
      </c>
      <c r="H122" s="12" t="n">
        <v>264.131</v>
      </c>
      <c r="I122" s="12" t="n">
        <v>178.313</v>
      </c>
      <c r="J122" s="12" t="n">
        <v>117.481</v>
      </c>
      <c r="K122" s="12" t="n">
        <v>214.459</v>
      </c>
      <c r="L122" s="12" t="n">
        <v>374.057</v>
      </c>
      <c r="M122" s="12" t="n">
        <v>220.217</v>
      </c>
      <c r="N122" s="12" t="n">
        <v>196.32</v>
      </c>
      <c r="T122" s="12" t="n">
        <v>73.68899999999999</v>
      </c>
      <c r="U122" s="12" t="n">
        <v>95.253</v>
      </c>
      <c r="V122" s="12" t="n">
        <v>283.417</v>
      </c>
      <c r="W122" s="12" t="n">
        <v>264.131</v>
      </c>
      <c r="X122" s="12" t="n">
        <v>374.057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IF(OR(G122="",C122=""),"",IF(C122&lt;=0,"",IFERROR(G122/C122-1,"")))</f>
        <v/>
      </c>
      <c r="H123" s="17">
        <f>IF(OR(H122="",D122=""),"",IF(D122&lt;=0,"",IFERROR(H122/D122-1,"")))</f>
        <v/>
      </c>
      <c r="I123" s="17">
        <f>IF(OR(I122="",E122=""),"",IF(E122&lt;=0,"",IFERROR(I122/E122-1,"")))</f>
        <v/>
      </c>
      <c r="J123" s="17">
        <f>IF(OR(J122="",F122=""),"",IF(F122&lt;=0,"",IFERROR(J122/F122-1,"")))</f>
        <v/>
      </c>
      <c r="K123" s="17">
        <f>IF(OR(K122="",G122=""),"",IF(G122&lt;=0,"",IFERROR(K122/G122-1,"")))</f>
        <v/>
      </c>
      <c r="L123" s="17">
        <f>IF(OR(L122="",H122=""),"",IF(H122&lt;=0,"",IFERROR(L122/H122-1,"")))</f>
        <v/>
      </c>
      <c r="M123" s="17">
        <f>IF(OR(M122="",I122=""),"",IF(I122&lt;=0,"",IFERROR(M122/I122-1,"")))</f>
        <v/>
      </c>
      <c r="N123" s="17">
        <f>IF(OR(N122="",J122=""),"",IF(J122&lt;=0,"",IFERROR(N122/J122-1,"")))</f>
        <v/>
      </c>
      <c r="T123" s="17">
        <f>IF(OR(T122="",S122=""),"",IF(S122&lt;=0,"",IFERROR(T122/S122-1,"")))</f>
        <v/>
      </c>
      <c r="U123" s="17">
        <f>IF(OR(U122="",T122=""),"",IF(T122&lt;=0,"",IFERROR(U122/T122-1,"")))</f>
        <v/>
      </c>
      <c r="V123" s="17">
        <f>IF(OR(V122="",U122=""),"",IF(U122&lt;=0,"",IFERROR(V122/U122-1,"")))</f>
        <v/>
      </c>
      <c r="W123" s="17">
        <f>IF(OR(W122="",V122=""),"",IF(V122&lt;=0,"",IFERROR(W122/V122-1,"")))</f>
        <v/>
      </c>
      <c r="X123" s="17">
        <f>IF(OR(X122="",W122=""),"",IF(W122&lt;=0,"",IFERROR(X122/W122-1,"")))</f>
        <v/>
      </c>
    </row>
    <row r="125">
      <c r="A125" s="18" t="inlineStr">
        <is>
          <t>현금흐름표 · 전 항목</t>
        </is>
      </c>
      <c r="B125" s="44" t="inlineStr">
        <is>
          <t>분기 = 결산기 첫날부터 누계(공시 그대로)</t>
        </is>
      </c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</row>
    <row r="126">
      <c r="A126" s="5" t="inlineStr">
        <is>
          <t>항목</t>
        </is>
      </c>
      <c r="B126" s="5" t="inlineStr">
        <is>
          <t>참고</t>
        </is>
      </c>
      <c r="C126" s="5" t="inlineStr">
        <is>
          <t>2024.3Q</t>
        </is>
      </c>
      <c r="D126" s="5" t="inlineStr">
        <is>
          <t>2024.4Q</t>
        </is>
      </c>
      <c r="E126" s="5" t="inlineStr">
        <is>
          <t>2025.1Q</t>
        </is>
      </c>
      <c r="F126" s="5" t="inlineStr">
        <is>
          <t>2025.2Q</t>
        </is>
      </c>
      <c r="G126" s="5" t="inlineStr">
        <is>
          <t>2025.3Q</t>
        </is>
      </c>
      <c r="H126" s="5" t="inlineStr">
        <is>
          <t>2025.4Q</t>
        </is>
      </c>
      <c r="I126" s="5" t="inlineStr">
        <is>
          <t>2026.1Q</t>
        </is>
      </c>
      <c r="J126" s="5" t="inlineStr">
        <is>
          <t>2026.2Q</t>
        </is>
      </c>
      <c r="K126" s="5" t="inlineStr">
        <is>
          <t>2026.3Q</t>
        </is>
      </c>
      <c r="L126" s="5" t="inlineStr">
        <is>
          <t>2026.4Q</t>
        </is>
      </c>
      <c r="M126" s="5" t="inlineStr">
        <is>
          <t>2027.1Q</t>
        </is>
      </c>
      <c r="N126" s="5" t="inlineStr">
        <is>
          <t>2027.2Q</t>
        </is>
      </c>
      <c r="O126" s="5" t="inlineStr">
        <is>
          <t>2017</t>
        </is>
      </c>
      <c r="P126" s="5" t="inlineStr">
        <is>
          <t>2018</t>
        </is>
      </c>
      <c r="Q126" s="5" t="inlineStr">
        <is>
          <t>2019</t>
        </is>
      </c>
      <c r="R126" s="5" t="inlineStr">
        <is>
          <t>2020</t>
        </is>
      </c>
      <c r="S126" s="5" t="inlineStr">
        <is>
          <t>2021</t>
        </is>
      </c>
      <c r="T126" s="5" t="inlineStr">
        <is>
          <t>2022</t>
        </is>
      </c>
      <c r="U126" s="5" t="inlineStr">
        <is>
          <t>2023</t>
        </is>
      </c>
      <c r="V126" s="5" t="inlineStr">
        <is>
          <t>2024</t>
        </is>
      </c>
      <c r="W126" s="5" t="inlineStr">
        <is>
          <t>2025</t>
        </is>
      </c>
      <c r="X126" s="5" t="inlineStr">
        <is>
          <t>2026</t>
        </is>
      </c>
      <c r="Y126" s="5" t="inlineStr">
        <is>
          <t>2027(MW)</t>
        </is>
      </c>
      <c r="Z126" s="5" t="inlineStr">
        <is>
          <t>2028(MW)</t>
        </is>
      </c>
      <c r="AA126" s="5" t="inlineStr">
        <is>
          <t>2029(MW)</t>
        </is>
      </c>
      <c r="AB126" s="5" t="inlineStr">
        <is>
          <t>2030(MW)</t>
        </is>
      </c>
      <c r="AC126" s="5" t="inlineStr">
        <is>
          <t>2031(MW)</t>
        </is>
      </c>
    </row>
    <row r="127">
      <c r="A127" s="9" t="inlineStr">
        <is>
          <t>법인세차감전 순이익</t>
        </is>
      </c>
      <c r="D127" s="12" t="n">
        <v>680.326</v>
      </c>
      <c r="H127" s="12" t="n">
        <v>938.088</v>
      </c>
      <c r="L127" s="12" t="n">
        <v>1314.28</v>
      </c>
      <c r="O127" s="12" t="n">
        <v>824.2619999999999</v>
      </c>
      <c r="P127" s="12" t="n">
        <v>569.51</v>
      </c>
      <c r="Q127" s="12" t="n">
        <v>-317.473</v>
      </c>
      <c r="R127" s="12" t="n">
        <v>103.883</v>
      </c>
      <c r="S127" s="12" t="n">
        <v>1850.787</v>
      </c>
      <c r="T127" s="12" t="n">
        <v>621.242</v>
      </c>
      <c r="U127" s="12" t="n">
        <v>244.634</v>
      </c>
      <c r="V127" s="12" t="n">
        <v>680.326</v>
      </c>
      <c r="W127" s="12" t="n">
        <v>938.088</v>
      </c>
      <c r="X127" s="12" t="n">
        <v>1314.28</v>
      </c>
    </row>
    <row r="128">
      <c r="A128" s="20" t="inlineStr">
        <is>
          <t>감가상각비</t>
        </is>
      </c>
      <c r="D128" s="22" t="n">
        <v>153.357</v>
      </c>
      <c r="H128" s="22" t="n">
        <v>206.005</v>
      </c>
      <c r="L128" s="22" t="n">
        <v>251.663</v>
      </c>
      <c r="O128" s="22" t="n">
        <v>92.47199999999999</v>
      </c>
      <c r="P128" s="22" t="n">
        <v>124.683</v>
      </c>
      <c r="Q128" s="22" t="n">
        <v>152.351</v>
      </c>
      <c r="R128" s="22" t="n">
        <v>117.083</v>
      </c>
      <c r="S128" s="22" t="n">
        <v>137.766</v>
      </c>
      <c r="T128" s="22" t="n">
        <v>158.93</v>
      </c>
      <c r="U128" s="22" t="n">
        <v>174.124</v>
      </c>
      <c r="V128" s="22" t="n">
        <v>153.357</v>
      </c>
      <c r="W128" s="22" t="n">
        <v>206.005</v>
      </c>
      <c r="X128" s="22" t="n">
        <v>251.663</v>
      </c>
    </row>
    <row r="129">
      <c r="A129" s="20" t="inlineStr">
        <is>
          <t>대손충당금 증감</t>
        </is>
      </c>
      <c r="D129" s="22" t="n">
        <v>0</v>
      </c>
      <c r="O129" s="22" t="n">
        <v>0.2</v>
      </c>
      <c r="P129" s="22" t="n">
        <v>0.2</v>
      </c>
      <c r="Q129" s="22" t="n">
        <v>0.2</v>
      </c>
      <c r="R129" s="22" t="n">
        <v>0.2</v>
      </c>
      <c r="S129" s="22" t="n">
        <v>0.2</v>
      </c>
      <c r="T129" s="22" t="n">
        <v>0.2</v>
      </c>
      <c r="U129" s="22" t="n">
        <v>0.2</v>
      </c>
      <c r="V129" s="22" t="n">
        <v>0</v>
      </c>
    </row>
    <row r="130">
      <c r="A130" s="20" t="inlineStr">
        <is>
          <t>손상차손</t>
        </is>
      </c>
      <c r="H130" s="22" t="n">
        <v>0</v>
      </c>
      <c r="L130" s="22" t="n">
        <v>51.92</v>
      </c>
      <c r="W130" s="22" t="n">
        <v>0</v>
      </c>
      <c r="X130" s="22" t="n">
        <v>51.92</v>
      </c>
    </row>
    <row r="131">
      <c r="A131" s="20" t="inlineStr">
        <is>
          <t>상여충당금 증감</t>
        </is>
      </c>
      <c r="D131" s="22" t="n">
        <v>20.002</v>
      </c>
      <c r="H131" s="22" t="n">
        <v>40</v>
      </c>
      <c r="L131" s="22" t="n">
        <v>-40.088</v>
      </c>
      <c r="O131" s="22" t="n">
        <v>21.671</v>
      </c>
      <c r="P131" s="22" t="n">
        <v>15.849</v>
      </c>
      <c r="Q131" s="22" t="n">
        <v>3.019</v>
      </c>
      <c r="R131" s="22" t="n">
        <v>-6.814</v>
      </c>
      <c r="S131" s="22" t="n">
        <v>44.641</v>
      </c>
      <c r="T131" s="22" t="n">
        <v>-39.13</v>
      </c>
      <c r="U131" s="22" t="n">
        <v>21.11</v>
      </c>
      <c r="V131" s="22" t="n">
        <v>20.002</v>
      </c>
      <c r="W131" s="22" t="n">
        <v>40</v>
      </c>
      <c r="X131" s="22" t="n">
        <v>-40.088</v>
      </c>
    </row>
    <row r="132">
      <c r="A132" s="20" t="inlineStr">
        <is>
          <t>포인트 충당금 증감</t>
        </is>
      </c>
      <c r="O132" s="22" t="n">
        <v>1.544</v>
      </c>
      <c r="P132" s="22" t="n">
        <v>-1.767</v>
      </c>
      <c r="Q132" s="22" t="n">
        <v>2.291</v>
      </c>
      <c r="R132" s="22" t="n">
        <v>11.85</v>
      </c>
      <c r="S132" s="22" t="n">
        <v>-0.276</v>
      </c>
      <c r="T132" s="22" t="n">
        <v>0</v>
      </c>
    </row>
    <row r="133">
      <c r="A133" s="20" t="inlineStr">
        <is>
          <t>반품조정 충당금 증감</t>
        </is>
      </c>
      <c r="O133" s="22" t="n">
        <v>1.308</v>
      </c>
      <c r="P133" s="22" t="n">
        <v>-2.221</v>
      </c>
      <c r="Q133" s="22" t="n">
        <v>1.757</v>
      </c>
      <c r="R133" s="22" t="n">
        <v>1.104</v>
      </c>
      <c r="S133" s="22" t="n">
        <v>-0.791</v>
      </c>
      <c r="T133" s="22" t="n">
        <v>0</v>
      </c>
    </row>
    <row r="134">
      <c r="A134" s="20" t="inlineStr">
        <is>
          <t>제품보증 충당금 증감</t>
        </is>
      </c>
      <c r="D134" s="22" t="n">
        <v>-0.406</v>
      </c>
      <c r="H134" s="22" t="n">
        <v>0</v>
      </c>
      <c r="L134" s="22" t="n">
        <v>-1.552</v>
      </c>
      <c r="P134" s="22" t="n">
        <v>0</v>
      </c>
      <c r="Q134" s="22" t="n">
        <v>11.479</v>
      </c>
      <c r="R134" s="22" t="n">
        <v>1.168</v>
      </c>
      <c r="S134" s="22" t="n">
        <v>-2.37</v>
      </c>
      <c r="T134" s="22" t="n">
        <v>-3.519</v>
      </c>
      <c r="U134" s="22" t="n">
        <v>-1.606</v>
      </c>
      <c r="V134" s="22" t="n">
        <v>-0.406</v>
      </c>
      <c r="W134" s="22" t="n">
        <v>0</v>
      </c>
      <c r="X134" s="22" t="n">
        <v>-1.552</v>
      </c>
    </row>
    <row r="135">
      <c r="A135" s="20" t="inlineStr">
        <is>
          <t>주식급여 충당금 증감</t>
        </is>
      </c>
      <c r="O135" s="22" t="n">
        <v>0</v>
      </c>
      <c r="P135" s="22" t="n">
        <v>27.3</v>
      </c>
      <c r="Q135" s="22" t="n">
        <v>25.387</v>
      </c>
    </row>
    <row r="136">
      <c r="A136" s="20" t="inlineStr">
        <is>
          <t>주식급여 충당금 증감</t>
        </is>
      </c>
      <c r="D136" s="22" t="n">
        <v>24</v>
      </c>
      <c r="H136" s="22" t="n">
        <v>24</v>
      </c>
      <c r="L136" s="22" t="n">
        <v>24</v>
      </c>
      <c r="Q136" s="22" t="n">
        <v>25.387</v>
      </c>
      <c r="R136" s="22" t="n">
        <v>27.028</v>
      </c>
      <c r="S136" s="22" t="n">
        <v>20.972</v>
      </c>
      <c r="T136" s="22" t="n">
        <v>24</v>
      </c>
      <c r="U136" s="22" t="n">
        <v>24</v>
      </c>
      <c r="V136" s="22" t="n">
        <v>24</v>
      </c>
      <c r="W136" s="22" t="n">
        <v>24</v>
      </c>
      <c r="X136" s="22" t="n">
        <v>24</v>
      </c>
    </row>
    <row r="137">
      <c r="A137" s="20" t="inlineStr">
        <is>
          <t>이자·배당금 수익</t>
        </is>
      </c>
      <c r="D137" s="22" t="n">
        <v>-0.028</v>
      </c>
      <c r="H137" s="22" t="n">
        <v>-1.175</v>
      </c>
      <c r="L137" s="22" t="n">
        <v>-4.286</v>
      </c>
      <c r="O137" s="22" t="n">
        <v>-1.511</v>
      </c>
      <c r="P137" s="22" t="n">
        <v>-0.03</v>
      </c>
      <c r="Q137" s="22" t="n">
        <v>-0.093</v>
      </c>
      <c r="R137" s="22" t="n">
        <v>-0.057</v>
      </c>
      <c r="S137" s="22" t="n">
        <v>-0.054</v>
      </c>
      <c r="T137" s="22" t="n">
        <v>-0.056</v>
      </c>
      <c r="U137" s="22" t="n">
        <v>-0.049</v>
      </c>
      <c r="V137" s="22" t="n">
        <v>-0.028</v>
      </c>
      <c r="W137" s="22" t="n">
        <v>-1.175</v>
      </c>
      <c r="X137" s="22" t="n">
        <v>-4.286</v>
      </c>
    </row>
    <row r="138">
      <c r="A138" s="20" t="inlineStr">
        <is>
          <t>투자사업조합 운용 손익(△는 이익)</t>
        </is>
      </c>
      <c r="D138" s="22" t="n">
        <v>0.989</v>
      </c>
      <c r="H138" s="22" t="n">
        <v>1.634</v>
      </c>
      <c r="L138" s="22" t="n">
        <v>6.15</v>
      </c>
      <c r="P138" s="22" t="n">
        <v>0.598</v>
      </c>
      <c r="Q138" s="22" t="n">
        <v>-9.352</v>
      </c>
      <c r="R138" s="22" t="n">
        <v>1.929</v>
      </c>
      <c r="S138" s="22" t="n">
        <v>-0.99</v>
      </c>
      <c r="T138" s="22" t="n">
        <v>-10.022</v>
      </c>
      <c r="U138" s="22" t="n">
        <v>-4.539</v>
      </c>
      <c r="V138" s="22" t="n">
        <v>0.989</v>
      </c>
      <c r="W138" s="22" t="n">
        <v>1.634</v>
      </c>
      <c r="X138" s="22" t="n">
        <v>6.15</v>
      </c>
    </row>
    <row r="139">
      <c r="A139" s="20" t="inlineStr">
        <is>
          <t>보상금 수취</t>
        </is>
      </c>
      <c r="D139" s="22" t="n">
        <v>-7.074</v>
      </c>
      <c r="H139" s="22" t="n">
        <v>-7.33</v>
      </c>
      <c r="L139" s="22" t="n">
        <v>-8.68</v>
      </c>
      <c r="O139" s="22" t="n">
        <v>-12.527</v>
      </c>
      <c r="P139" s="22" t="n">
        <v>-13.338</v>
      </c>
      <c r="Q139" s="22" t="n">
        <v>-16.124</v>
      </c>
      <c r="R139" s="22" t="n">
        <v>-39.386</v>
      </c>
      <c r="S139" s="22" t="n">
        <v>-22.256</v>
      </c>
      <c r="T139" s="22" t="n">
        <v>-11.81</v>
      </c>
      <c r="U139" s="22" t="n">
        <v>-10.28</v>
      </c>
      <c r="V139" s="22" t="n">
        <v>-7.074</v>
      </c>
      <c r="W139" s="22" t="n">
        <v>-7.33</v>
      </c>
      <c r="X139" s="22" t="n">
        <v>-8.68</v>
      </c>
    </row>
    <row r="140">
      <c r="A140" s="20" t="inlineStr">
        <is>
          <t>보험 해약환급금</t>
        </is>
      </c>
      <c r="O140" s="22" t="n">
        <v>0</v>
      </c>
      <c r="P140" s="22" t="n">
        <v>-9.813000000000001</v>
      </c>
      <c r="Q140" s="22" t="n">
        <v>-3.624</v>
      </c>
      <c r="R140" s="22" t="n">
        <v>0</v>
      </c>
    </row>
    <row r="141">
      <c r="A141" s="20" t="inlineStr">
        <is>
          <t>이자비용</t>
        </is>
      </c>
      <c r="D141" s="22" t="n">
        <v>0</v>
      </c>
      <c r="O141" s="22" t="n">
        <v>2.668</v>
      </c>
      <c r="P141" s="22" t="n">
        <v>1.647</v>
      </c>
      <c r="Q141" s="22" t="n">
        <v>2.033</v>
      </c>
      <c r="R141" s="22" t="n">
        <v>2.159</v>
      </c>
      <c r="S141" s="22" t="n">
        <v>1.397</v>
      </c>
      <c r="T141" s="22" t="n">
        <v>1.844</v>
      </c>
      <c r="U141" s="22" t="n">
        <v>1.282</v>
      </c>
      <c r="V141" s="22" t="n">
        <v>0</v>
      </c>
    </row>
    <row r="142">
      <c r="A142" s="20" t="inlineStr">
        <is>
          <t>상장비용</t>
        </is>
      </c>
      <c r="O142" s="22" t="n">
        <v>9.586</v>
      </c>
      <c r="P142" s="22" t="n">
        <v>0</v>
      </c>
    </row>
    <row r="143">
      <c r="A143" s="20" t="inlineStr">
        <is>
          <t>외환차손익</t>
        </is>
      </c>
      <c r="D143" s="22" t="n">
        <v>-0.001</v>
      </c>
      <c r="H143" s="22" t="n">
        <v>-0</v>
      </c>
      <c r="O143" s="22" t="n">
        <v>32.272</v>
      </c>
      <c r="P143" s="22" t="n">
        <v>2.759</v>
      </c>
      <c r="Q143" s="22" t="n">
        <v>0.382</v>
      </c>
      <c r="R143" s="22" t="n">
        <v>0.402</v>
      </c>
      <c r="S143" s="22" t="n">
        <v>0.983</v>
      </c>
      <c r="T143" s="22" t="n">
        <v>-1.018</v>
      </c>
      <c r="U143" s="22" t="n">
        <v>-0.365</v>
      </c>
      <c r="V143" s="22" t="n">
        <v>-0.001</v>
      </c>
      <c r="W143" s="22" t="n">
        <v>-0</v>
      </c>
    </row>
    <row r="144">
      <c r="A144" s="20" t="inlineStr">
        <is>
          <t>자회사 청산이익</t>
        </is>
      </c>
      <c r="O144" s="22" t="n">
        <v>-15.501</v>
      </c>
      <c r="P144" s="22" t="n">
        <v>0</v>
      </c>
    </row>
    <row r="145">
      <c r="A145" s="20" t="inlineStr">
        <is>
          <t>고정자산 제각손실</t>
        </is>
      </c>
      <c r="P145" s="22" t="n">
        <v>0</v>
      </c>
      <c r="Q145" s="22" t="n">
        <v>0</v>
      </c>
      <c r="R145" s="22" t="n">
        <v>2.441</v>
      </c>
      <c r="S145" s="22" t="n">
        <v>0.913</v>
      </c>
      <c r="T145" s="22" t="n">
        <v>0.835</v>
      </c>
      <c r="U145" s="22" t="n">
        <v>0.6899999999999999</v>
      </c>
    </row>
    <row r="146">
      <c r="A146" s="20" t="inlineStr">
        <is>
          <t>투자유가증권 평가손실</t>
        </is>
      </c>
      <c r="D146" s="22" t="n">
        <v>110.003</v>
      </c>
      <c r="H146" s="22" t="n">
        <v>0</v>
      </c>
      <c r="O146" s="22" t="n">
        <v>0</v>
      </c>
      <c r="P146" s="22" t="n">
        <v>20.095</v>
      </c>
      <c r="Q146" s="22" t="n">
        <v>0</v>
      </c>
      <c r="R146" s="22" t="n">
        <v>32.927</v>
      </c>
      <c r="S146" s="22" t="n">
        <v>0</v>
      </c>
      <c r="T146" s="22" t="n">
        <v>0</v>
      </c>
      <c r="U146" s="22" t="n">
        <v>120</v>
      </c>
      <c r="V146" s="22" t="n">
        <v>110.003</v>
      </c>
      <c r="W146" s="22" t="n">
        <v>0</v>
      </c>
    </row>
    <row r="147">
      <c r="A147" s="20" t="inlineStr">
        <is>
          <t>매출채권 증감</t>
        </is>
      </c>
      <c r="D147" s="22" t="n">
        <v>75.759</v>
      </c>
      <c r="H147" s="22" t="n">
        <v>-277.092</v>
      </c>
      <c r="L147" s="22" t="n">
        <v>-180.562</v>
      </c>
      <c r="O147" s="22" t="n">
        <v>-303.047</v>
      </c>
      <c r="P147" s="22" t="n">
        <v>-106.691</v>
      </c>
      <c r="Q147" s="22" t="n">
        <v>614.128</v>
      </c>
      <c r="R147" s="22" t="n">
        <v>-444.572</v>
      </c>
      <c r="S147" s="22" t="n">
        <v>-266.312</v>
      </c>
      <c r="T147" s="22" t="n">
        <v>27.116</v>
      </c>
      <c r="U147" s="22" t="n">
        <v>56.662</v>
      </c>
      <c r="V147" s="22" t="n">
        <v>75.759</v>
      </c>
      <c r="W147" s="22" t="n">
        <v>-277.092</v>
      </c>
      <c r="X147" s="22" t="n">
        <v>-180.562</v>
      </c>
    </row>
    <row r="148">
      <c r="A148" s="20" t="inlineStr">
        <is>
          <t>재고자산 증감</t>
        </is>
      </c>
      <c r="D148" s="22" t="n">
        <v>-290.914</v>
      </c>
      <c r="H148" s="22" t="n">
        <v>-202.051</v>
      </c>
      <c r="L148" s="22" t="n">
        <v>-209.591</v>
      </c>
      <c r="O148" s="22" t="n">
        <v>-494.677</v>
      </c>
      <c r="P148" s="22" t="n">
        <v>-218.068</v>
      </c>
      <c r="Q148" s="22" t="n">
        <v>-654.739</v>
      </c>
      <c r="R148" s="22" t="n">
        <v>627.783</v>
      </c>
      <c r="S148" s="22" t="n">
        <v>256.4</v>
      </c>
      <c r="T148" s="22" t="n">
        <v>-1469.923</v>
      </c>
      <c r="U148" s="22" t="n">
        <v>1171.404</v>
      </c>
      <c r="V148" s="22" t="n">
        <v>-290.914</v>
      </c>
      <c r="W148" s="22" t="n">
        <v>-202.051</v>
      </c>
      <c r="X148" s="22" t="n">
        <v>-209.591</v>
      </c>
    </row>
    <row r="149">
      <c r="A149" s="20" t="inlineStr">
        <is>
          <t>매입채무 증감</t>
        </is>
      </c>
      <c r="D149" s="22" t="n">
        <v>-26.033</v>
      </c>
      <c r="H149" s="22" t="n">
        <v>131.287</v>
      </c>
      <c r="L149" s="22" t="n">
        <v>9.468999999999999</v>
      </c>
      <c r="O149" s="22" t="n">
        <v>147.318</v>
      </c>
      <c r="P149" s="22" t="n">
        <v>-27.628</v>
      </c>
      <c r="Q149" s="22" t="n">
        <v>-62.447</v>
      </c>
      <c r="R149" s="22" t="n">
        <v>12.606</v>
      </c>
      <c r="S149" s="22" t="n">
        <v>103.348</v>
      </c>
      <c r="T149" s="22" t="n">
        <v>0.711</v>
      </c>
      <c r="U149" s="22" t="n">
        <v>-17.496</v>
      </c>
      <c r="V149" s="22" t="n">
        <v>-26.033</v>
      </c>
      <c r="W149" s="22" t="n">
        <v>131.287</v>
      </c>
      <c r="X149" s="22" t="n">
        <v>9.468999999999999</v>
      </c>
    </row>
    <row r="150">
      <c r="A150" s="20" t="inlineStr">
        <is>
          <t>고정자산 매각손익</t>
        </is>
      </c>
      <c r="D150" s="22" t="n">
        <v>-0.076</v>
      </c>
      <c r="H150" s="22" t="n">
        <v>0</v>
      </c>
      <c r="L150" s="22" t="n">
        <v>2.396</v>
      </c>
      <c r="U150" s="22" t="n">
        <v>0</v>
      </c>
      <c r="V150" s="22" t="n">
        <v>-0.076</v>
      </c>
      <c r="W150" s="22" t="n">
        <v>0</v>
      </c>
      <c r="X150" s="22" t="n">
        <v>2.396</v>
      </c>
    </row>
    <row r="151">
      <c r="A151" s="20" t="inlineStr">
        <is>
          <t>미지급금 증감</t>
        </is>
      </c>
      <c r="D151" s="22" t="n">
        <v>-163.957</v>
      </c>
      <c r="H151" s="22" t="n">
        <v>29.31</v>
      </c>
      <c r="L151" s="22" t="n">
        <v>135.694</v>
      </c>
      <c r="O151" s="22" t="n">
        <v>130.839</v>
      </c>
      <c r="P151" s="22" t="n">
        <v>118.905</v>
      </c>
      <c r="Q151" s="22" t="n">
        <v>48.789</v>
      </c>
      <c r="R151" s="22" t="n">
        <v>77.361</v>
      </c>
      <c r="S151" s="22" t="n">
        <v>215.274</v>
      </c>
      <c r="T151" s="22" t="n">
        <v>-36.572</v>
      </c>
      <c r="U151" s="22" t="n">
        <v>50.269</v>
      </c>
      <c r="V151" s="22" t="n">
        <v>-163.957</v>
      </c>
      <c r="W151" s="22" t="n">
        <v>29.31</v>
      </c>
      <c r="X151" s="22" t="n">
        <v>135.694</v>
      </c>
    </row>
    <row r="152">
      <c r="A152" s="20" t="inlineStr">
        <is>
          <t>기타</t>
        </is>
      </c>
      <c r="D152" s="22" t="n">
        <v>-239.371</v>
      </c>
      <c r="H152" s="22" t="n">
        <v>210.049</v>
      </c>
      <c r="L152" s="22" t="n">
        <v>11.199</v>
      </c>
      <c r="O152" s="22" t="n">
        <v>18.865</v>
      </c>
      <c r="P152" s="22" t="n">
        <v>13.233</v>
      </c>
      <c r="Q152" s="22" t="n">
        <v>-32.105</v>
      </c>
      <c r="R152" s="22" t="n">
        <v>262.649</v>
      </c>
      <c r="S152" s="22" t="n">
        <v>89.479</v>
      </c>
      <c r="T152" s="22" t="n">
        <v>-219.128</v>
      </c>
      <c r="U152" s="22" t="n">
        <v>222.49</v>
      </c>
      <c r="V152" s="22" t="n">
        <v>-239.371</v>
      </c>
      <c r="W152" s="22" t="n">
        <v>210.049</v>
      </c>
      <c r="X152" s="22" t="n">
        <v>11.199</v>
      </c>
    </row>
    <row r="153">
      <c r="A153" s="20" t="inlineStr">
        <is>
          <t>소계</t>
        </is>
      </c>
      <c r="D153" s="22" t="n">
        <v>336.574</v>
      </c>
      <c r="H153" s="22" t="n">
        <v>1092.724</v>
      </c>
      <c r="L153" s="22" t="n">
        <v>1362.013</v>
      </c>
      <c r="O153" s="22" t="n">
        <v>455.745</v>
      </c>
      <c r="P153" s="22" t="n">
        <v>515.225</v>
      </c>
      <c r="Q153" s="22" t="n">
        <v>-234.14</v>
      </c>
      <c r="R153" s="22" t="n">
        <v>791.751</v>
      </c>
      <c r="S153" s="22" t="n">
        <v>2429.113</v>
      </c>
      <c r="T153" s="22" t="n">
        <v>-956.3</v>
      </c>
      <c r="U153" s="22" t="n">
        <v>2051.84</v>
      </c>
      <c r="V153" s="22" t="n">
        <v>336.574</v>
      </c>
      <c r="W153" s="22" t="n">
        <v>1092.724</v>
      </c>
      <c r="X153" s="22" t="n">
        <v>1362.013</v>
      </c>
    </row>
    <row r="154">
      <c r="A154" s="20" t="inlineStr">
        <is>
          <t>이자·배당금 수취</t>
        </is>
      </c>
      <c r="D154" s="22" t="n">
        <v>4.534</v>
      </c>
      <c r="H154" s="22" t="n">
        <v>4.15</v>
      </c>
      <c r="L154" s="22" t="n">
        <v>8.18</v>
      </c>
      <c r="O154" s="22" t="n">
        <v>1.511</v>
      </c>
      <c r="P154" s="22" t="n">
        <v>0.03</v>
      </c>
      <c r="Q154" s="22" t="n">
        <v>0.093</v>
      </c>
      <c r="R154" s="22" t="n">
        <v>0.057</v>
      </c>
      <c r="S154" s="22" t="n">
        <v>3.963</v>
      </c>
      <c r="T154" s="22" t="n">
        <v>12.061</v>
      </c>
      <c r="U154" s="22" t="n">
        <v>4.998</v>
      </c>
      <c r="V154" s="22" t="n">
        <v>4.534</v>
      </c>
      <c r="W154" s="22" t="n">
        <v>4.15</v>
      </c>
      <c r="X154" s="22" t="n">
        <v>8.18</v>
      </c>
    </row>
    <row r="155">
      <c r="A155" s="20" t="inlineStr">
        <is>
          <t>보상금 수취</t>
        </is>
      </c>
      <c r="D155" s="22" t="n">
        <v>7.878</v>
      </c>
      <c r="H155" s="22" t="n">
        <v>7.808</v>
      </c>
      <c r="L155" s="22" t="n">
        <v>7.734</v>
      </c>
      <c r="O155" s="22" t="n">
        <v>10.645</v>
      </c>
      <c r="P155" s="22" t="n">
        <v>11.921</v>
      </c>
      <c r="Q155" s="22" t="n">
        <v>16.536</v>
      </c>
      <c r="R155" s="22" t="n">
        <v>33.865</v>
      </c>
      <c r="S155" s="22" t="n">
        <v>21.72</v>
      </c>
      <c r="T155" s="22" t="n">
        <v>16.414</v>
      </c>
      <c r="U155" s="22" t="n">
        <v>9.542</v>
      </c>
      <c r="V155" s="22" t="n">
        <v>7.878</v>
      </c>
      <c r="W155" s="22" t="n">
        <v>7.808</v>
      </c>
      <c r="X155" s="22" t="n">
        <v>7.734</v>
      </c>
    </row>
    <row r="156">
      <c r="A156" s="20" t="inlineStr">
        <is>
          <t>이자 지급</t>
        </is>
      </c>
      <c r="D156" s="22" t="n">
        <v>0</v>
      </c>
      <c r="O156" s="22" t="n">
        <v>-2.668</v>
      </c>
      <c r="P156" s="22" t="n">
        <v>-1.602</v>
      </c>
      <c r="Q156" s="22" t="n">
        <v>-2.102</v>
      </c>
      <c r="R156" s="22" t="n">
        <v>-2.138</v>
      </c>
      <c r="S156" s="22" t="n">
        <v>-1.344</v>
      </c>
      <c r="T156" s="22" t="n">
        <v>-1.844</v>
      </c>
      <c r="U156" s="22" t="n">
        <v>-1.282</v>
      </c>
      <c r="V156" s="22" t="n">
        <v>0</v>
      </c>
    </row>
    <row r="157">
      <c r="A157" s="20" t="inlineStr">
        <is>
          <t>법인세 납부</t>
        </is>
      </c>
      <c r="D157" s="22" t="n">
        <v>-92.991</v>
      </c>
      <c r="H157" s="22" t="n">
        <v>-389.109</v>
      </c>
      <c r="L157" s="22" t="n">
        <v>-469.156</v>
      </c>
      <c r="O157" s="22" t="n">
        <v>-275.422</v>
      </c>
      <c r="P157" s="22" t="n">
        <v>-41.832</v>
      </c>
      <c r="Q157" s="22" t="n">
        <v>-355.235</v>
      </c>
      <c r="R157" s="22" t="n">
        <v>-10.069</v>
      </c>
      <c r="S157" s="22" t="n">
        <v>-83.703</v>
      </c>
      <c r="T157" s="22" t="n">
        <v>-986.294</v>
      </c>
      <c r="U157" s="22" t="n">
        <v>-123.371</v>
      </c>
      <c r="V157" s="22" t="n">
        <v>-92.991</v>
      </c>
      <c r="W157" s="22" t="n">
        <v>-389.109</v>
      </c>
      <c r="X157" s="22" t="n">
        <v>-469.156</v>
      </c>
    </row>
    <row r="158">
      <c r="A158" s="20" t="inlineStr">
        <is>
          <t>법인세 환급</t>
        </is>
      </c>
      <c r="D158" s="22" t="n">
        <v>8.007999999999999</v>
      </c>
      <c r="H158" s="22" t="n">
        <v>0</v>
      </c>
      <c r="O158" s="22" t="n">
        <v>0</v>
      </c>
      <c r="P158" s="22" t="n">
        <v>53.457</v>
      </c>
      <c r="Q158" s="22" t="n">
        <v>0</v>
      </c>
      <c r="R158" s="22" t="n">
        <v>118.738</v>
      </c>
      <c r="S158" s="22" t="n">
        <v>0</v>
      </c>
      <c r="T158" s="22" t="n">
        <v>0</v>
      </c>
      <c r="U158" s="22" t="n">
        <v>101.507</v>
      </c>
      <c r="V158" s="22" t="n">
        <v>8.007999999999999</v>
      </c>
      <c r="W158" s="22" t="n">
        <v>0</v>
      </c>
    </row>
    <row r="159">
      <c r="A159" s="9" t="inlineStr">
        <is>
          <t>영업활동 현금흐름</t>
        </is>
      </c>
      <c r="D159" s="12" t="n">
        <v>264.004</v>
      </c>
      <c r="H159" s="12" t="n">
        <v>715.573</v>
      </c>
      <c r="L159" s="12" t="n">
        <v>908.772</v>
      </c>
      <c r="O159" s="12" t="n">
        <v>189.81</v>
      </c>
      <c r="P159" s="12" t="n">
        <v>537.2</v>
      </c>
      <c r="Q159" s="12" t="n">
        <v>-574.848</v>
      </c>
      <c r="R159" s="12" t="n">
        <v>932.204</v>
      </c>
      <c r="S159" s="12" t="n">
        <v>2369.748</v>
      </c>
      <c r="T159" s="12" t="n">
        <v>-1915.963</v>
      </c>
      <c r="U159" s="12" t="n">
        <v>2043.234</v>
      </c>
      <c r="V159" s="12" t="n">
        <v>264.004</v>
      </c>
      <c r="W159" s="12" t="n">
        <v>715.573</v>
      </c>
      <c r="X159" s="12" t="n">
        <v>908.772</v>
      </c>
    </row>
    <row r="160">
      <c r="A160" s="20" t="inlineStr">
        <is>
          <t>유형자산 취득(설비투자)</t>
        </is>
      </c>
      <c r="D160" s="22" t="n">
        <v>-74.62</v>
      </c>
      <c r="H160" s="22" t="n">
        <v>-298.863</v>
      </c>
      <c r="L160" s="22" t="n">
        <v>-365.673</v>
      </c>
      <c r="O160" s="22" t="n">
        <v>-65.303</v>
      </c>
      <c r="P160" s="22" t="n">
        <v>-66.714</v>
      </c>
      <c r="Q160" s="22" t="n">
        <v>-251.347</v>
      </c>
      <c r="R160" s="22" t="n">
        <v>-32.79</v>
      </c>
      <c r="S160" s="22" t="n">
        <v>-38.25</v>
      </c>
      <c r="T160" s="22" t="n">
        <v>-78.962</v>
      </c>
      <c r="U160" s="22" t="n">
        <v>-75.70999999999999</v>
      </c>
      <c r="V160" s="22" t="n">
        <v>-74.62</v>
      </c>
      <c r="W160" s="22" t="n">
        <v>-298.863</v>
      </c>
      <c r="X160" s="22" t="n">
        <v>-365.673</v>
      </c>
    </row>
    <row r="161">
      <c r="A161" s="20" t="inlineStr">
        <is>
          <t>유형자산 매각</t>
        </is>
      </c>
      <c r="D161" s="22" t="n">
        <v>0</v>
      </c>
      <c r="H161" s="22" t="n">
        <v>3.643</v>
      </c>
      <c r="L161" s="22" t="n">
        <v>0</v>
      </c>
      <c r="V161" s="22" t="n">
        <v>0</v>
      </c>
      <c r="W161" s="22" t="n">
        <v>3.643</v>
      </c>
      <c r="X161" s="22" t="n">
        <v>0</v>
      </c>
    </row>
    <row r="162">
      <c r="A162" s="20" t="inlineStr">
        <is>
          <t>무형자산 취득</t>
        </is>
      </c>
      <c r="D162" s="22" t="n">
        <v>-83.297</v>
      </c>
      <c r="H162" s="22" t="n">
        <v>-14.958</v>
      </c>
      <c r="L162" s="22" t="n">
        <v>-224.855</v>
      </c>
      <c r="O162" s="22" t="n">
        <v>-58.138</v>
      </c>
      <c r="P162" s="22" t="n">
        <v>-51.379</v>
      </c>
      <c r="Q162" s="22" t="n">
        <v>-79.039</v>
      </c>
      <c r="R162" s="22" t="n">
        <v>-141.502</v>
      </c>
      <c r="S162" s="22" t="n">
        <v>-137.425</v>
      </c>
      <c r="T162" s="22" t="n">
        <v>-47.235</v>
      </c>
      <c r="U162" s="22" t="n">
        <v>-129.751</v>
      </c>
      <c r="V162" s="22" t="n">
        <v>-83.297</v>
      </c>
      <c r="W162" s="22" t="n">
        <v>-14.958</v>
      </c>
      <c r="X162" s="22" t="n">
        <v>-224.855</v>
      </c>
    </row>
    <row r="163">
      <c r="A163" s="20" t="inlineStr">
        <is>
          <t>투자유가증권 취득</t>
        </is>
      </c>
      <c r="D163" s="22" t="n">
        <v>-13.5</v>
      </c>
      <c r="H163" s="22" t="n">
        <v>-6</v>
      </c>
      <c r="L163" s="22" t="n">
        <v>-27</v>
      </c>
      <c r="O163" s="22" t="n">
        <v>-20.096</v>
      </c>
      <c r="P163" s="22" t="n">
        <v>-58.928</v>
      </c>
      <c r="Q163" s="22" t="n">
        <v>-3</v>
      </c>
      <c r="R163" s="22" t="n">
        <v>-7</v>
      </c>
      <c r="S163" s="22" t="n">
        <v>-121.5</v>
      </c>
      <c r="T163" s="22" t="n">
        <v>-133.643</v>
      </c>
      <c r="U163" s="22" t="n">
        <v>-11.5</v>
      </c>
      <c r="V163" s="22" t="n">
        <v>-13.5</v>
      </c>
      <c r="W163" s="22" t="n">
        <v>-6</v>
      </c>
      <c r="X163" s="22" t="n">
        <v>-27</v>
      </c>
    </row>
    <row r="164">
      <c r="A164" s="20" t="inlineStr">
        <is>
          <t>자회사 청산 수입</t>
        </is>
      </c>
      <c r="O164" s="22" t="n">
        <v>96.29300000000001</v>
      </c>
      <c r="P164" s="22" t="n">
        <v>0</v>
      </c>
    </row>
    <row r="165">
      <c r="A165" s="20" t="inlineStr">
        <is>
          <t>임차보증금·보증금 납입</t>
        </is>
      </c>
      <c r="D165" s="22" t="n">
        <v>-18.536</v>
      </c>
      <c r="H165" s="22" t="n">
        <v>-154.806</v>
      </c>
      <c r="L165" s="22" t="n">
        <v>-142.726</v>
      </c>
      <c r="O165" s="22" t="n">
        <v>-35.126</v>
      </c>
      <c r="P165" s="22" t="n">
        <v>-16.721</v>
      </c>
      <c r="Q165" s="22" t="n">
        <v>-262.191</v>
      </c>
      <c r="R165" s="22" t="n">
        <v>-2.288</v>
      </c>
      <c r="S165" s="22" t="n">
        <v>-10.424</v>
      </c>
      <c r="T165" s="22" t="n">
        <v>-7.273</v>
      </c>
      <c r="U165" s="22" t="n">
        <v>-18.234</v>
      </c>
      <c r="V165" s="22" t="n">
        <v>-18.536</v>
      </c>
      <c r="W165" s="22" t="n">
        <v>-154.806</v>
      </c>
      <c r="X165" s="22" t="n">
        <v>-142.726</v>
      </c>
    </row>
    <row r="166">
      <c r="A166" s="20" t="inlineStr">
        <is>
          <t>임차보증금 및 보증금 반환에 따른 수입</t>
        </is>
      </c>
      <c r="D166" s="22" t="n">
        <v>0.54</v>
      </c>
      <c r="H166" s="22" t="n">
        <v>3.977</v>
      </c>
      <c r="L166" s="22" t="n">
        <v>0.532</v>
      </c>
      <c r="P166" s="22" t="n">
        <v>0</v>
      </c>
      <c r="Q166" s="22" t="n">
        <v>21.169</v>
      </c>
      <c r="R166" s="22" t="n">
        <v>35.792</v>
      </c>
      <c r="S166" s="22" t="n">
        <v>7.008</v>
      </c>
      <c r="T166" s="22" t="n">
        <v>37.794</v>
      </c>
      <c r="U166" s="22" t="n">
        <v>55.342</v>
      </c>
      <c r="V166" s="22" t="n">
        <v>0.54</v>
      </c>
      <c r="W166" s="22" t="n">
        <v>3.977</v>
      </c>
      <c r="X166" s="22" t="n">
        <v>0.532</v>
      </c>
    </row>
    <row r="167">
      <c r="A167" s="20" t="inlineStr">
        <is>
          <t>종업원 대여</t>
        </is>
      </c>
      <c r="D167" s="22" t="n">
        <v>-0.668</v>
      </c>
      <c r="H167" s="22" t="n">
        <v>-0.36</v>
      </c>
      <c r="O167" s="22" t="n">
        <v>0</v>
      </c>
      <c r="P167" s="22" t="n">
        <v>-2.494</v>
      </c>
      <c r="Q167" s="22" t="n">
        <v>-0.393</v>
      </c>
      <c r="R167" s="22" t="n">
        <v>-0.67</v>
      </c>
      <c r="S167" s="22" t="n">
        <v>-0.67</v>
      </c>
      <c r="T167" s="22" t="n">
        <v>-2.5</v>
      </c>
      <c r="U167" s="22" t="n">
        <v>-2.5</v>
      </c>
      <c r="V167" s="22" t="n">
        <v>-0.668</v>
      </c>
      <c r="W167" s="22" t="n">
        <v>-0.36</v>
      </c>
    </row>
    <row r="168">
      <c r="A168" s="20" t="inlineStr">
        <is>
          <t>종업원 대여금 회수</t>
        </is>
      </c>
      <c r="D168" s="22" t="n">
        <v>0.467</v>
      </c>
      <c r="H168" s="22" t="n">
        <v>0.759</v>
      </c>
      <c r="O168" s="22" t="n">
        <v>0</v>
      </c>
      <c r="P168" s="22" t="n">
        <v>0.246</v>
      </c>
      <c r="Q168" s="22" t="n">
        <v>0.246</v>
      </c>
      <c r="R168" s="22" t="n">
        <v>2.117</v>
      </c>
      <c r="S168" s="22" t="n">
        <v>0.369</v>
      </c>
      <c r="T168" s="22" t="n">
        <v>2.492</v>
      </c>
      <c r="U168" s="22" t="n">
        <v>3.349</v>
      </c>
      <c r="V168" s="22" t="n">
        <v>0.467</v>
      </c>
      <c r="W168" s="22" t="n">
        <v>0.759</v>
      </c>
    </row>
    <row r="169">
      <c r="A169" s="20" t="inlineStr">
        <is>
          <t>보험적립금 해약</t>
        </is>
      </c>
      <c r="O169" s="22" t="n">
        <v>0</v>
      </c>
      <c r="P169" s="22" t="n">
        <v>22.467</v>
      </c>
      <c r="Q169" s="22" t="n">
        <v>8.555</v>
      </c>
      <c r="R169" s="22" t="n">
        <v>0</v>
      </c>
    </row>
    <row r="170">
      <c r="A170" s="20" t="inlineStr">
        <is>
          <t>기타</t>
        </is>
      </c>
      <c r="H170" s="22" t="n">
        <v>0.399</v>
      </c>
      <c r="L170" s="22" t="n">
        <v>0.065</v>
      </c>
      <c r="W170" s="22" t="n">
        <v>0.399</v>
      </c>
      <c r="X170" s="22" t="n">
        <v>0.065</v>
      </c>
    </row>
    <row r="171">
      <c r="A171" s="9" t="inlineStr">
        <is>
          <t>투자활동 현금흐름</t>
        </is>
      </c>
      <c r="D171" s="12" t="n">
        <v>-189.615</v>
      </c>
      <c r="H171" s="12" t="n">
        <v>-466.607</v>
      </c>
      <c r="L171" s="12" t="n">
        <v>-759.657</v>
      </c>
      <c r="O171" s="12" t="n">
        <v>-82.371</v>
      </c>
      <c r="P171" s="12" t="n">
        <v>-173.523</v>
      </c>
      <c r="Q171" s="12" t="n">
        <v>-565.999</v>
      </c>
      <c r="R171" s="12" t="n">
        <v>-146.342</v>
      </c>
      <c r="S171" s="12" t="n">
        <v>-300.893</v>
      </c>
      <c r="T171" s="12" t="n">
        <v>-229.327</v>
      </c>
      <c r="U171" s="12" t="n">
        <v>-179.004</v>
      </c>
      <c r="V171" s="12" t="n">
        <v>-189.615</v>
      </c>
      <c r="W171" s="12" t="n">
        <v>-466.607</v>
      </c>
      <c r="X171" s="12" t="n">
        <v>-759.657</v>
      </c>
    </row>
    <row r="172">
      <c r="A172" s="20" t="inlineStr">
        <is>
          <t>장기차입금 상환</t>
        </is>
      </c>
      <c r="O172" s="22" t="n">
        <v>-93.72</v>
      </c>
      <c r="P172" s="22" t="n">
        <v>0</v>
      </c>
    </row>
    <row r="173">
      <c r="A173" s="20" t="inlineStr">
        <is>
          <t>주식 발행</t>
        </is>
      </c>
      <c r="O173" s="22" t="n">
        <v>597.158</v>
      </c>
      <c r="P173" s="22" t="n">
        <v>0</v>
      </c>
    </row>
    <row r="174">
      <c r="A174" s="20" t="inlineStr">
        <is>
          <t>단기차입금 증감</t>
        </is>
      </c>
      <c r="D174" s="22" t="n">
        <v>0</v>
      </c>
      <c r="P174" s="22" t="n">
        <v>0</v>
      </c>
      <c r="Q174" s="22" t="n">
        <v>500</v>
      </c>
      <c r="R174" s="22" t="n">
        <v>-500</v>
      </c>
      <c r="S174" s="22" t="n">
        <v>-320</v>
      </c>
      <c r="T174" s="22" t="n">
        <v>500</v>
      </c>
      <c r="U174" s="22" t="n">
        <v>-1000</v>
      </c>
      <c r="V174" s="22" t="n">
        <v>0</v>
      </c>
    </row>
    <row r="175">
      <c r="A175" s="20" t="inlineStr">
        <is>
          <t>자기주식 취득</t>
        </is>
      </c>
      <c r="D175" s="22" t="n">
        <v>-141.704</v>
      </c>
      <c r="H175" s="22" t="n">
        <v>-73.801</v>
      </c>
      <c r="L175" s="22" t="n">
        <v>-0.008</v>
      </c>
      <c r="O175" s="22" t="n">
        <v>0</v>
      </c>
      <c r="P175" s="22" t="n">
        <v>-129.675</v>
      </c>
      <c r="Q175" s="22" t="n">
        <v>-0.08400000000000001</v>
      </c>
      <c r="R175" s="22" t="n">
        <v>0</v>
      </c>
      <c r="S175" s="22" t="n">
        <v>0</v>
      </c>
      <c r="T175" s="22" t="n">
        <v>-149.697</v>
      </c>
      <c r="U175" s="22" t="n">
        <v>0</v>
      </c>
      <c r="V175" s="22" t="n">
        <v>-141.704</v>
      </c>
      <c r="W175" s="22" t="n">
        <v>-73.801</v>
      </c>
      <c r="X175" s="22" t="n">
        <v>-0.008</v>
      </c>
    </row>
    <row r="176">
      <c r="A176" s="20" t="inlineStr">
        <is>
          <t>배당금 지급</t>
        </is>
      </c>
      <c r="D176" s="22" t="n">
        <v>-106.308</v>
      </c>
      <c r="H176" s="22" t="n">
        <v>-104.894</v>
      </c>
      <c r="L176" s="22" t="n">
        <v>-114.435</v>
      </c>
      <c r="S176" s="22" t="n">
        <v>0</v>
      </c>
      <c r="T176" s="22" t="n">
        <v>-92.58199999999999</v>
      </c>
      <c r="U176" s="22" t="n">
        <v>-104.779</v>
      </c>
      <c r="V176" s="22" t="n">
        <v>-106.308</v>
      </c>
      <c r="W176" s="22" t="n">
        <v>-104.894</v>
      </c>
      <c r="X176" s="22" t="n">
        <v>-114.435</v>
      </c>
    </row>
    <row r="177">
      <c r="A177" s="20" t="inlineStr">
        <is>
          <t>신주예약권 행사에 따른 주식 발행</t>
        </is>
      </c>
      <c r="D177" s="22" t="n">
        <v>13.152</v>
      </c>
      <c r="H177" s="22" t="n">
        <v>12.843</v>
      </c>
      <c r="L177" s="22" t="n">
        <v>40.296</v>
      </c>
      <c r="O177" s="22" t="n">
        <v>20.14</v>
      </c>
      <c r="P177" s="22" t="n">
        <v>1.728</v>
      </c>
      <c r="Q177" s="22" t="n">
        <v>11.066</v>
      </c>
      <c r="R177" s="22" t="n">
        <v>3.703</v>
      </c>
      <c r="S177" s="22" t="n">
        <v>50.75</v>
      </c>
      <c r="T177" s="22" t="n">
        <v>0.317</v>
      </c>
      <c r="U177" s="22" t="n">
        <v>5.315</v>
      </c>
      <c r="V177" s="22" t="n">
        <v>13.152</v>
      </c>
      <c r="W177" s="22" t="n">
        <v>12.843</v>
      </c>
      <c r="X177" s="22" t="n">
        <v>40.296</v>
      </c>
    </row>
    <row r="178">
      <c r="A178" s="20" t="inlineStr">
        <is>
          <t>상장비용 지출</t>
        </is>
      </c>
      <c r="O178" s="22" t="n">
        <v>-9.586</v>
      </c>
      <c r="P178" s="22" t="n">
        <v>0</v>
      </c>
    </row>
    <row r="179">
      <c r="A179" s="20" t="inlineStr">
        <is>
          <t>기타</t>
        </is>
      </c>
      <c r="O179" s="22" t="n">
        <v>-0.21</v>
      </c>
      <c r="P179" s="22" t="n">
        <v>0</v>
      </c>
    </row>
    <row r="180">
      <c r="A180" s="9" t="inlineStr">
        <is>
          <t>재무활동 현금흐름</t>
        </is>
      </c>
      <c r="D180" s="12" t="n">
        <v>-234.86</v>
      </c>
      <c r="H180" s="12" t="n">
        <v>-165.852</v>
      </c>
      <c r="L180" s="12" t="n">
        <v>-74.14700000000001</v>
      </c>
      <c r="O180" s="12" t="n">
        <v>513.782</v>
      </c>
      <c r="P180" s="12" t="n">
        <v>-127.946</v>
      </c>
      <c r="Q180" s="12" t="n">
        <v>510.981</v>
      </c>
      <c r="R180" s="12" t="n">
        <v>-496.296</v>
      </c>
      <c r="S180" s="12" t="n">
        <v>-269.249</v>
      </c>
      <c r="T180" s="12" t="n">
        <v>258.036</v>
      </c>
      <c r="U180" s="12" t="n">
        <v>-1099.464</v>
      </c>
      <c r="V180" s="12" t="n">
        <v>-234.86</v>
      </c>
      <c r="W180" s="12" t="n">
        <v>-165.852</v>
      </c>
      <c r="X180" s="12" t="n">
        <v>-74.14700000000001</v>
      </c>
    </row>
    <row r="181">
      <c r="A181" s="20" t="inlineStr">
        <is>
          <t>현금성자산 환산차이</t>
        </is>
      </c>
      <c r="D181" s="22" t="n">
        <v>0.001</v>
      </c>
      <c r="H181" s="22" t="n">
        <v>0</v>
      </c>
      <c r="L181" s="22" t="n">
        <v>0</v>
      </c>
      <c r="O181" s="22" t="n">
        <v>-33.991</v>
      </c>
      <c r="P181" s="22" t="n">
        <v>-2.759</v>
      </c>
      <c r="Q181" s="22" t="n">
        <v>-0.382</v>
      </c>
      <c r="R181" s="22" t="n">
        <v>-0.402</v>
      </c>
      <c r="S181" s="22" t="n">
        <v>-0.983</v>
      </c>
      <c r="T181" s="22" t="n">
        <v>1.018</v>
      </c>
      <c r="U181" s="22" t="n">
        <v>0.365</v>
      </c>
      <c r="V181" s="22" t="n">
        <v>0.001</v>
      </c>
      <c r="W181" s="22" t="n">
        <v>0</v>
      </c>
      <c r="X181" s="22" t="n">
        <v>0</v>
      </c>
    </row>
    <row r="182">
      <c r="A182" s="20" t="inlineStr">
        <is>
          <t>현금성자산 증감</t>
        </is>
      </c>
      <c r="D182" s="22" t="n">
        <v>-160.47</v>
      </c>
      <c r="H182" s="22" t="n">
        <v>83.114</v>
      </c>
      <c r="L182" s="22" t="n">
        <v>74.96599999999999</v>
      </c>
      <c r="O182" s="22" t="n">
        <v>587.23</v>
      </c>
      <c r="P182" s="22" t="n">
        <v>232.97</v>
      </c>
      <c r="Q182" s="22" t="n">
        <v>-630.248</v>
      </c>
      <c r="R182" s="22" t="n">
        <v>289.162</v>
      </c>
      <c r="S182" s="22" t="n">
        <v>1798.622</v>
      </c>
      <c r="T182" s="22" t="n">
        <v>-1886.236</v>
      </c>
      <c r="U182" s="22" t="n">
        <v>765.131</v>
      </c>
      <c r="V182" s="22" t="n">
        <v>-160.47</v>
      </c>
      <c r="W182" s="22" t="n">
        <v>83.114</v>
      </c>
      <c r="X182" s="22" t="n">
        <v>74.96599999999999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3542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6394.292</v>
      </c>
      <c r="D5" s="12" t="n">
        <v>6765.207</v>
      </c>
      <c r="E5" s="12" t="n">
        <v>7180.678</v>
      </c>
      <c r="F5" s="12" t="n">
        <v>7120.206</v>
      </c>
      <c r="G5" s="12" t="n">
        <v>6697.369</v>
      </c>
      <c r="H5" s="11" t="n">
        <v>6676.464</v>
      </c>
      <c r="I5" s="12" t="n">
        <v>5956.365</v>
      </c>
      <c r="J5" s="12" t="n">
        <v>6153.093</v>
      </c>
      <c r="K5" s="12" t="n">
        <v>6611.361</v>
      </c>
      <c r="L5" s="12" t="n">
        <v>7180.678</v>
      </c>
    </row>
    <row r="6">
      <c r="A6" s="20" t="inlineStr">
        <is>
          <t>현금및현금성자산</t>
        </is>
      </c>
      <c r="B6" s="10" t="n"/>
      <c r="C6" s="21" t="n">
        <v>1698.105</v>
      </c>
      <c r="D6" s="22" t="n">
        <v>1453.925</v>
      </c>
      <c r="E6" s="22" t="n">
        <v>1901.61</v>
      </c>
      <c r="F6" s="22" t="n">
        <v>2423.282</v>
      </c>
      <c r="G6" s="22" t="n">
        <v>2192.674</v>
      </c>
      <c r="H6" s="21" t="n">
        <v>1070.295</v>
      </c>
      <c r="I6" s="22" t="n">
        <v>1892.217</v>
      </c>
      <c r="J6" s="22" t="n">
        <v>1750.184</v>
      </c>
      <c r="K6" s="22" t="n">
        <v>1835.809</v>
      </c>
      <c r="L6" s="22" t="n">
        <v>1901.61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1279.207</v>
      </c>
      <c r="D8" s="22" t="n">
        <v>1717.278</v>
      </c>
      <c r="E8" s="22" t="n">
        <v>2197.504</v>
      </c>
      <c r="F8" s="22" t="n">
        <v>1574.893</v>
      </c>
      <c r="G8" s="22" t="n">
        <v>1646.838</v>
      </c>
      <c r="H8" s="21" t="n">
        <v>1870.679</v>
      </c>
      <c r="I8" s="22" t="n">
        <v>1814.017</v>
      </c>
      <c r="J8" s="22" t="n">
        <v>1739.849</v>
      </c>
      <c r="K8" s="22" t="n">
        <v>2016.942</v>
      </c>
      <c r="L8" s="22" t="n">
        <v>2197.504</v>
      </c>
    </row>
    <row r="9">
      <c r="A9" s="20" t="inlineStr">
        <is>
          <t>재고자산</t>
        </is>
      </c>
      <c r="B9" s="10" t="n"/>
      <c r="C9" s="21" t="n">
        <v>2944.646</v>
      </c>
      <c r="D9" s="22" t="n">
        <v>3016.736</v>
      </c>
      <c r="E9" s="22" t="n">
        <v>2522.151</v>
      </c>
      <c r="F9" s="22" t="n">
        <v>2562.36</v>
      </c>
      <c r="G9" s="22" t="n">
        <v>2424.974</v>
      </c>
      <c r="H9" s="21" t="n">
        <v>2990.999</v>
      </c>
      <c r="I9" s="22" t="n">
        <v>1819.594</v>
      </c>
      <c r="J9" s="22" t="n">
        <v>2110.508</v>
      </c>
      <c r="K9" s="22" t="n">
        <v>2312.56</v>
      </c>
      <c r="L9" s="22" t="n">
        <v>2522.151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1930.373</v>
      </c>
      <c r="D11" s="12" t="n">
        <v>2046.396</v>
      </c>
      <c r="E11" s="12" t="n">
        <v>2212.08</v>
      </c>
      <c r="F11" s="12" t="n">
        <v>2634.405</v>
      </c>
      <c r="G11" s="12" t="n">
        <v>3281.742</v>
      </c>
      <c r="H11" s="11" t="n">
        <v>1344.467</v>
      </c>
      <c r="I11" s="12" t="n">
        <v>1195.084</v>
      </c>
      <c r="J11" s="12" t="n">
        <v>1056.637</v>
      </c>
      <c r="K11" s="12" t="n">
        <v>1462.183</v>
      </c>
      <c r="L11" s="12" t="n">
        <v>2212.08</v>
      </c>
    </row>
    <row r="12">
      <c r="A12" s="20" t="inlineStr">
        <is>
          <t>유형자산</t>
        </is>
      </c>
      <c r="B12" s="10" t="n"/>
      <c r="C12" s="21" t="n">
        <v>563.4880000000001</v>
      </c>
      <c r="D12" s="22" t="n">
        <v>716.105</v>
      </c>
      <c r="E12" s="22" t="n">
        <v>714.826</v>
      </c>
      <c r="F12" s="22" t="n">
        <v>975.909</v>
      </c>
      <c r="G12" s="22" t="n">
        <v>1585.266</v>
      </c>
      <c r="H12" s="21" t="n">
        <v>213.932</v>
      </c>
      <c r="I12" s="22" t="n">
        <v>211.359</v>
      </c>
      <c r="J12" s="22" t="n">
        <v>234.199</v>
      </c>
      <c r="K12" s="22" t="n">
        <v>494.401</v>
      </c>
      <c r="L12" s="22" t="n">
        <v>714.826</v>
      </c>
    </row>
    <row r="13">
      <c r="A13" s="20" t="inlineStr">
        <is>
          <t>무형자산</t>
        </is>
      </c>
      <c r="B13" s="10" t="n"/>
      <c r="C13" s="21" t="n">
        <v>230.011</v>
      </c>
      <c r="D13" s="22" t="n">
        <v>217.779</v>
      </c>
      <c r="E13" s="22" t="n">
        <v>333.805</v>
      </c>
      <c r="F13" s="22" t="n">
        <v>331.297</v>
      </c>
      <c r="G13" s="22" t="n">
        <v>321.865</v>
      </c>
      <c r="H13" s="21" t="n">
        <v>286.465</v>
      </c>
      <c r="I13" s="22" t="n">
        <v>314.781</v>
      </c>
      <c r="J13" s="22" t="n">
        <v>284.507</v>
      </c>
      <c r="K13" s="22" t="n">
        <v>199.654</v>
      </c>
      <c r="L13" s="22" t="n">
        <v>333.805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8324.665999999999</v>
      </c>
      <c r="D16" s="12" t="n">
        <v>8811.603999999999</v>
      </c>
      <c r="E16" s="12" t="n">
        <v>9392.758</v>
      </c>
      <c r="F16" s="12" t="n">
        <v>9754.611000000001</v>
      </c>
      <c r="G16" s="12" t="n">
        <v>9979.111999999999</v>
      </c>
      <c r="H16" s="11" t="n">
        <v>8020.931</v>
      </c>
      <c r="I16" s="12" t="n">
        <v>7151.45</v>
      </c>
      <c r="J16" s="12" t="n">
        <v>7209.731</v>
      </c>
      <c r="K16" s="12" t="n">
        <v>8073.545</v>
      </c>
      <c r="L16" s="12" t="n">
        <v>9392.758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1582.705</v>
      </c>
      <c r="D18" s="12" t="n">
        <v>1764.507</v>
      </c>
      <c r="E18" s="12" t="n">
        <v>1986.789</v>
      </c>
      <c r="F18" s="12" t="n">
        <v>2223.008</v>
      </c>
      <c r="G18" s="12" t="n">
        <v>2230.736</v>
      </c>
      <c r="H18" s="11" t="n">
        <v>2701.087</v>
      </c>
      <c r="I18" s="12" t="n">
        <v>1796.006</v>
      </c>
      <c r="J18" s="12" t="n">
        <v>1586.752</v>
      </c>
      <c r="K18" s="12" t="n">
        <v>2000.299</v>
      </c>
      <c r="L18" s="12" t="n">
        <v>1986.789</v>
      </c>
    </row>
    <row r="19">
      <c r="A19" s="20" t="inlineStr">
        <is>
          <t>매입채무</t>
        </is>
      </c>
      <c r="B19" s="10" t="n"/>
      <c r="C19" s="21" t="n">
        <v>342.331</v>
      </c>
      <c r="D19" s="22" t="n">
        <v>377.354</v>
      </c>
      <c r="E19" s="22" t="n">
        <v>383.189</v>
      </c>
      <c r="F19" s="22" t="n">
        <v>651.2619999999999</v>
      </c>
      <c r="G19" s="22" t="n">
        <v>627.603</v>
      </c>
      <c r="H19" s="21" t="n">
        <v>285.964</v>
      </c>
      <c r="I19" s="22" t="n">
        <v>268.467</v>
      </c>
      <c r="J19" s="22" t="n">
        <v>242.433</v>
      </c>
      <c r="K19" s="22" t="n">
        <v>373.72</v>
      </c>
      <c r="L19" s="22" t="n">
        <v>383.189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>
        <v>1000</v>
      </c>
      <c r="I20" s="22" t="n">
        <v>0</v>
      </c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125.446</v>
      </c>
      <c r="D23" s="12" t="n">
        <v>160.288</v>
      </c>
      <c r="E23" s="12" t="n">
        <v>166.557</v>
      </c>
      <c r="F23" s="12" t="n">
        <v>255.523</v>
      </c>
      <c r="G23" s="12" t="n">
        <v>313.983</v>
      </c>
      <c r="H23" s="11" t="n">
        <v>50.255</v>
      </c>
      <c r="I23" s="12" t="n">
        <v>51.05</v>
      </c>
      <c r="J23" s="12" t="n">
        <v>56.349</v>
      </c>
      <c r="K23" s="12" t="n">
        <v>114.403</v>
      </c>
      <c r="L23" s="12" t="n">
        <v>166.557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1708.151</v>
      </c>
      <c r="D27" s="12" t="n">
        <v>1924.795</v>
      </c>
      <c r="E27" s="12" t="n">
        <v>2153.347</v>
      </c>
      <c r="F27" s="12" t="n">
        <v>2478.531</v>
      </c>
      <c r="G27" s="12" t="n">
        <v>2544.72</v>
      </c>
      <c r="H27" s="11" t="n">
        <v>2751.342</v>
      </c>
      <c r="I27" s="12" t="n">
        <v>1847.057</v>
      </c>
      <c r="J27" s="12" t="n">
        <v>1643.101</v>
      </c>
      <c r="K27" s="12" t="n">
        <v>2114.702</v>
      </c>
      <c r="L27" s="12" t="n">
        <v>2153.347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6616.515</v>
      </c>
      <c r="D31" s="12" t="n">
        <v>6886.808</v>
      </c>
      <c r="E31" s="12" t="n">
        <v>7239.411</v>
      </c>
      <c r="F31" s="12" t="n">
        <v>7276.079</v>
      </c>
      <c r="G31" s="12" t="n">
        <v>7434.392</v>
      </c>
      <c r="H31" s="11" t="n">
        <v>5269.569</v>
      </c>
      <c r="I31" s="12" t="n">
        <v>5304.375</v>
      </c>
      <c r="J31" s="12" t="n">
        <v>5566.611</v>
      </c>
      <c r="K31" s="12" t="n">
        <v>5958.842</v>
      </c>
      <c r="L31" s="12" t="n">
        <v>7239.411</v>
      </c>
    </row>
    <row r="32">
      <c r="A32" s="20" t="inlineStr">
        <is>
          <t>자본금</t>
        </is>
      </c>
      <c r="B32" s="10" t="n"/>
      <c r="C32" s="21" t="n">
        <v>1058.187</v>
      </c>
      <c r="D32" s="22" t="n">
        <v>1058.187</v>
      </c>
      <c r="E32" s="22" t="n">
        <v>1063.707</v>
      </c>
      <c r="F32" s="22" t="n">
        <v>1063.707</v>
      </c>
      <c r="G32" s="22" t="n">
        <v>1063.707</v>
      </c>
      <c r="H32" s="21" t="n">
        <v>1027.894</v>
      </c>
      <c r="I32" s="22" t="n">
        <v>1030.551</v>
      </c>
      <c r="J32" s="22" t="n">
        <v>1037.128</v>
      </c>
      <c r="K32" s="22" t="n">
        <v>1043.559</v>
      </c>
      <c r="L32" s="22" t="n">
        <v>1063.707</v>
      </c>
    </row>
    <row r="33">
      <c r="A33" s="20" t="inlineStr">
        <is>
          <t>이익잉여금</t>
        </is>
      </c>
      <c r="B33" s="10" t="n"/>
      <c r="C33" s="21" t="n">
        <v>4415.976</v>
      </c>
      <c r="D33" s="22" t="n">
        <v>4630.435</v>
      </c>
      <c r="E33" s="22" t="n">
        <v>5004.492</v>
      </c>
      <c r="F33" s="22" t="n">
        <v>5042.311</v>
      </c>
      <c r="G33" s="22" t="n">
        <v>5238.631</v>
      </c>
      <c r="H33" s="21" t="n">
        <v>3444.129</v>
      </c>
      <c r="I33" s="22" t="n">
        <v>3459.597</v>
      </c>
      <c r="J33" s="22" t="n">
        <v>3747.515</v>
      </c>
      <c r="K33" s="22" t="n">
        <v>4234.497</v>
      </c>
      <c r="L33" s="22" t="n">
        <v>5004.492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6616.515</v>
      </c>
      <c r="D35" s="12" t="n">
        <v>6886.808</v>
      </c>
      <c r="E35" s="12" t="n">
        <v>7239.411</v>
      </c>
      <c r="F35" s="12" t="n">
        <v>7276.079</v>
      </c>
      <c r="G35" s="12" t="n">
        <v>7434.392</v>
      </c>
      <c r="H35" s="11" t="n">
        <v>5269.589</v>
      </c>
      <c r="I35" s="12" t="n">
        <v>5304.393</v>
      </c>
      <c r="J35" s="12" t="n">
        <v>5566.629</v>
      </c>
      <c r="K35" s="12" t="n">
        <v>5958.842</v>
      </c>
      <c r="L35" s="12" t="n">
        <v>7239.411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908.772</v>
      </c>
      <c r="F37" s="12" t="n"/>
      <c r="G37" s="12" t="n"/>
      <c r="H37" s="11" t="n">
        <v>-1915.963</v>
      </c>
      <c r="I37" s="12" t="n">
        <v>2043.234</v>
      </c>
      <c r="J37" s="12" t="n">
        <v>264.004</v>
      </c>
      <c r="K37" s="12" t="n">
        <v>715.573</v>
      </c>
      <c r="L37" s="12" t="n">
        <v>908.772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>
        <v>590.528</v>
      </c>
      <c r="F38" s="22" t="n"/>
      <c r="G38" s="22" t="n"/>
      <c r="H38" s="21" t="n">
        <v>126.197</v>
      </c>
      <c r="I38" s="22" t="n">
        <v>205.461</v>
      </c>
      <c r="J38" s="22" t="n">
        <v>157.917</v>
      </c>
      <c r="K38" s="22" t="n">
        <v>313.821</v>
      </c>
      <c r="L38" s="22" t="n">
        <v>590.528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>
        <v>114.435</v>
      </c>
      <c r="F40" s="22" t="n"/>
      <c r="G40" s="22" t="n"/>
      <c r="H40" s="21" t="n">
        <v>92.58199999999999</v>
      </c>
      <c r="I40" s="22" t="n">
        <v>104.779</v>
      </c>
      <c r="J40" s="22" t="n">
        <v>106.308</v>
      </c>
      <c r="K40" s="22" t="n">
        <v>104.894</v>
      </c>
      <c r="L40" s="22" t="n">
        <v>114.435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1698.105</v>
      </c>
      <c r="D71" s="22" t="n">
        <v>1453.925</v>
      </c>
      <c r="E71" s="22" t="n">
        <v>1901.61</v>
      </c>
      <c r="F71" s="22" t="n">
        <v>2423.282</v>
      </c>
      <c r="G71" s="22" t="n">
        <v>2192.674</v>
      </c>
      <c r="H71" s="22" t="n">
        <v>1070.295</v>
      </c>
      <c r="I71" s="22" t="n">
        <v>1892.217</v>
      </c>
      <c r="J71" s="22" t="n">
        <v>1750.184</v>
      </c>
      <c r="K71" s="22" t="n">
        <v>1835.809</v>
      </c>
      <c r="L71" s="22" t="n">
        <v>1901.61</v>
      </c>
    </row>
    <row r="72">
      <c r="A72" s="20" t="inlineStr">
        <is>
          <t>매출채권</t>
        </is>
      </c>
      <c r="C72" s="22" t="n">
        <v>1279.207</v>
      </c>
      <c r="D72" s="22" t="n">
        <v>1717.278</v>
      </c>
      <c r="E72" s="22" t="n">
        <v>2197.504</v>
      </c>
      <c r="F72" s="22" t="n">
        <v>1574.893</v>
      </c>
      <c r="G72" s="22" t="n">
        <v>1646.838</v>
      </c>
      <c r="H72" s="22" t="n">
        <v>1870.679</v>
      </c>
      <c r="I72" s="22" t="n">
        <v>1814.017</v>
      </c>
      <c r="J72" s="22" t="n">
        <v>1739.849</v>
      </c>
      <c r="K72" s="22" t="n">
        <v>2016.942</v>
      </c>
      <c r="L72" s="22" t="n">
        <v>2197.504</v>
      </c>
    </row>
    <row r="73">
      <c r="A73" s="20" t="inlineStr">
        <is>
          <t>상품</t>
        </is>
      </c>
      <c r="C73" s="22" t="n">
        <v>2944.646</v>
      </c>
      <c r="D73" s="22" t="n">
        <v>3016.736</v>
      </c>
      <c r="E73" s="22" t="n">
        <v>2522.151</v>
      </c>
      <c r="F73" s="22" t="n">
        <v>2562.36</v>
      </c>
      <c r="G73" s="22" t="n">
        <v>2424.974</v>
      </c>
      <c r="H73" s="22" t="n">
        <v>2990.999</v>
      </c>
      <c r="I73" s="22" t="n">
        <v>1819.594</v>
      </c>
      <c r="J73" s="22" t="n">
        <v>2110.508</v>
      </c>
      <c r="K73" s="22" t="n">
        <v>2312.56</v>
      </c>
      <c r="L73" s="22" t="n">
        <v>2522.151</v>
      </c>
    </row>
    <row r="74">
      <c r="A74" s="20" t="inlineStr">
        <is>
          <t>미수 환급법인세</t>
        </is>
      </c>
      <c r="H74" s="22" t="n">
        <v>80.452</v>
      </c>
      <c r="I74" s="22" t="n">
        <v>0</v>
      </c>
    </row>
    <row r="75">
      <c r="A75" s="20" t="inlineStr">
        <is>
          <t>선급금</t>
        </is>
      </c>
      <c r="E75" s="22" t="n">
        <v>105.413</v>
      </c>
      <c r="H75" s="22" t="n">
        <v>158.72</v>
      </c>
      <c r="I75" s="22" t="n">
        <v>117.341</v>
      </c>
      <c r="J75" s="22" t="n">
        <v>124.944</v>
      </c>
      <c r="K75" s="22" t="n">
        <v>139.515</v>
      </c>
      <c r="L75" s="22" t="n">
        <v>105.413</v>
      </c>
    </row>
    <row r="76">
      <c r="A76" s="20" t="inlineStr">
        <is>
          <t>선급비용</t>
        </is>
      </c>
      <c r="E76" s="22" t="n">
        <v>212.939</v>
      </c>
      <c r="H76" s="22" t="n">
        <v>168.109</v>
      </c>
      <c r="I76" s="22" t="n">
        <v>164.508</v>
      </c>
      <c r="J76" s="22" t="n">
        <v>143.768</v>
      </c>
      <c r="K76" s="22" t="n">
        <v>143.958</v>
      </c>
      <c r="L76" s="22" t="n">
        <v>212.939</v>
      </c>
    </row>
    <row r="77">
      <c r="A77" s="20" t="inlineStr">
        <is>
          <t>미수 소비세</t>
        </is>
      </c>
      <c r="H77" s="22" t="n">
        <v>168.506</v>
      </c>
      <c r="I77" s="22" t="n">
        <v>0</v>
      </c>
      <c r="J77" s="22" t="n">
        <v>69.149</v>
      </c>
      <c r="K77" s="22" t="n">
        <v>0</v>
      </c>
    </row>
    <row r="78">
      <c r="A78" s="20" t="inlineStr">
        <is>
          <t>Forward Exchange Contracts CA</t>
        </is>
      </c>
      <c r="C78" s="22" t="n">
        <v>68.59699999999999</v>
      </c>
      <c r="D78" s="22" t="n">
        <v>147.263</v>
      </c>
      <c r="E78" s="22" t="n">
        <v>100.241</v>
      </c>
      <c r="F78" s="22" t="n">
        <v>98.226</v>
      </c>
      <c r="G78" s="22" t="n">
        <v>0.207</v>
      </c>
      <c r="H78" s="22" t="n">
        <v>0</v>
      </c>
      <c r="I78" s="22" t="n">
        <v>0</v>
      </c>
      <c r="J78" s="22" t="n">
        <v>94.614</v>
      </c>
      <c r="K78" s="22" t="n">
        <v>0</v>
      </c>
      <c r="L78" s="22" t="n">
        <v>100.241</v>
      </c>
    </row>
    <row r="79">
      <c r="A79" s="20" t="inlineStr">
        <is>
          <t>기타</t>
        </is>
      </c>
      <c r="C79" s="22" t="n">
        <v>403.735</v>
      </c>
      <c r="D79" s="22" t="n">
        <v>430.004</v>
      </c>
      <c r="E79" s="22" t="n">
        <v>459.169</v>
      </c>
      <c r="F79" s="22" t="n">
        <v>461.442</v>
      </c>
      <c r="G79" s="22" t="n">
        <v>432.675</v>
      </c>
      <c r="H79" s="22" t="n">
        <v>168.701</v>
      </c>
      <c r="I79" s="22" t="n">
        <v>148.685</v>
      </c>
      <c r="J79" s="22" t="n">
        <v>120.073</v>
      </c>
      <c r="K79" s="22" t="n">
        <v>162.575</v>
      </c>
      <c r="L79" s="22" t="n">
        <v>459.169</v>
      </c>
    </row>
    <row r="80">
      <c r="A80" s="9" t="inlineStr">
        <is>
          <t>유동자산 합계</t>
        </is>
      </c>
      <c r="C80" s="12" t="n">
        <v>6394.292</v>
      </c>
      <c r="D80" s="12" t="n">
        <v>6765.207</v>
      </c>
      <c r="E80" s="12" t="n">
        <v>7180.678</v>
      </c>
      <c r="F80" s="12" t="n">
        <v>7120.206</v>
      </c>
      <c r="G80" s="12" t="n">
        <v>6697.369</v>
      </c>
      <c r="H80" s="12" t="n">
        <v>6676.464</v>
      </c>
      <c r="I80" s="12" t="n">
        <v>5956.365</v>
      </c>
      <c r="J80" s="12" t="n">
        <v>6153.093</v>
      </c>
      <c r="K80" s="12" t="n">
        <v>6611.361</v>
      </c>
      <c r="L80" s="12" t="n">
        <v>7180.678</v>
      </c>
    </row>
    <row r="81">
      <c r="A81" s="20" t="inlineStr">
        <is>
          <t>건물(순액)</t>
        </is>
      </c>
      <c r="E81" s="22" t="n">
        <v>491.489</v>
      </c>
      <c r="H81" s="22" t="n">
        <v>35.048</v>
      </c>
      <c r="I81" s="22" t="n">
        <v>66.331</v>
      </c>
      <c r="J81" s="22" t="n">
        <v>113.368</v>
      </c>
      <c r="K81" s="22" t="n">
        <v>353.141</v>
      </c>
      <c r="L81" s="22" t="n">
        <v>491.489</v>
      </c>
    </row>
    <row r="82">
      <c r="A82" s="20" t="inlineStr">
        <is>
          <t>차량운반구(순액)</t>
        </is>
      </c>
      <c r="E82" s="22" t="n">
        <v>18.946</v>
      </c>
      <c r="H82" s="22" t="n">
        <v>5.78</v>
      </c>
      <c r="I82" s="22" t="n">
        <v>7.089</v>
      </c>
      <c r="J82" s="22" t="n">
        <v>5.466</v>
      </c>
      <c r="K82" s="22" t="n">
        <v>4.784</v>
      </c>
      <c r="L82" s="22" t="n">
        <v>18.946</v>
      </c>
    </row>
    <row r="83">
      <c r="A83" s="20" t="inlineStr">
        <is>
          <t>공구·기구·비품(순액)</t>
        </is>
      </c>
      <c r="E83" s="22" t="n">
        <v>122.905</v>
      </c>
      <c r="H83" s="22" t="n">
        <v>172.815</v>
      </c>
      <c r="I83" s="22" t="n">
        <v>137.649</v>
      </c>
      <c r="J83" s="22" t="n">
        <v>115.075</v>
      </c>
      <c r="K83" s="22" t="n">
        <v>101.116</v>
      </c>
      <c r="L83" s="22" t="n">
        <v>122.905</v>
      </c>
    </row>
    <row r="84">
      <c r="A84" s="20" t="inlineStr">
        <is>
          <t>건설중인자산</t>
        </is>
      </c>
      <c r="E84" s="22" t="n">
        <v>81.48399999999999</v>
      </c>
      <c r="H84" s="22" t="n">
        <v>0.288</v>
      </c>
      <c r="I84" s="22" t="n">
        <v>0.288</v>
      </c>
      <c r="J84" s="22" t="n">
        <v>0.288</v>
      </c>
      <c r="K84" s="22" t="n">
        <v>35.358</v>
      </c>
      <c r="L84" s="22" t="n">
        <v>81.48399999999999</v>
      </c>
    </row>
    <row r="85">
      <c r="A85" s="20" t="inlineStr">
        <is>
          <t>유형자산</t>
        </is>
      </c>
      <c r="C85" s="22" t="n">
        <v>563.4880000000001</v>
      </c>
      <c r="D85" s="22" t="n">
        <v>716.105</v>
      </c>
      <c r="E85" s="22" t="n">
        <v>714.826</v>
      </c>
      <c r="F85" s="22" t="n">
        <v>975.909</v>
      </c>
      <c r="G85" s="22" t="n">
        <v>1585.266</v>
      </c>
      <c r="H85" s="22" t="n">
        <v>213.932</v>
      </c>
      <c r="I85" s="22" t="n">
        <v>211.359</v>
      </c>
      <c r="J85" s="22" t="n">
        <v>234.199</v>
      </c>
      <c r="K85" s="22" t="n">
        <v>494.401</v>
      </c>
      <c r="L85" s="22" t="n">
        <v>714.826</v>
      </c>
    </row>
    <row r="86">
      <c r="A86" s="20" t="inlineStr">
        <is>
          <t>소프트웨어</t>
        </is>
      </c>
      <c r="E86" s="22" t="n">
        <v>116.273</v>
      </c>
      <c r="H86" s="22" t="n">
        <v>244.512</v>
      </c>
      <c r="I86" s="22" t="n">
        <v>186.395</v>
      </c>
      <c r="J86" s="22" t="n">
        <v>261.438</v>
      </c>
      <c r="K86" s="22" t="n">
        <v>181.376</v>
      </c>
      <c r="L86" s="22" t="n">
        <v>116.273</v>
      </c>
    </row>
    <row r="87">
      <c r="A87" s="20" t="inlineStr">
        <is>
          <t>개발 중 소프트웨어</t>
        </is>
      </c>
      <c r="E87" s="22" t="n">
        <v>204.086</v>
      </c>
      <c r="H87" s="22" t="n">
        <v>9.26</v>
      </c>
      <c r="I87" s="22" t="n">
        <v>100.505</v>
      </c>
      <c r="J87" s="22" t="n">
        <v>0</v>
      </c>
      <c r="K87" s="22" t="n">
        <v>0.02</v>
      </c>
      <c r="L87" s="22" t="n">
        <v>204.086</v>
      </c>
    </row>
    <row r="88">
      <c r="A88" s="20" t="inlineStr">
        <is>
          <t>상표권</t>
        </is>
      </c>
      <c r="E88" s="22" t="n">
        <v>13.369</v>
      </c>
      <c r="H88" s="22" t="n">
        <v>32.616</v>
      </c>
      <c r="I88" s="22" t="n">
        <v>27.804</v>
      </c>
      <c r="J88" s="22" t="n">
        <v>22.993</v>
      </c>
      <c r="K88" s="22" t="n">
        <v>18.181</v>
      </c>
      <c r="L88" s="22" t="n">
        <v>13.369</v>
      </c>
    </row>
    <row r="89">
      <c r="A89" s="20" t="inlineStr">
        <is>
          <t>기타</t>
        </is>
      </c>
      <c r="E89" s="22" t="n">
        <v>0.075</v>
      </c>
      <c r="H89" s="22" t="n">
        <v>0.075</v>
      </c>
      <c r="I89" s="22" t="n">
        <v>0.075</v>
      </c>
      <c r="J89" s="22" t="n">
        <v>0.075</v>
      </c>
      <c r="K89" s="22" t="n">
        <v>0.075</v>
      </c>
      <c r="L89" s="22" t="n">
        <v>0.075</v>
      </c>
    </row>
    <row r="90">
      <c r="A90" s="20" t="inlineStr">
        <is>
          <t>무형자산</t>
        </is>
      </c>
      <c r="C90" s="22" t="n">
        <v>230.011</v>
      </c>
      <c r="D90" s="22" t="n">
        <v>217.779</v>
      </c>
      <c r="E90" s="22" t="n">
        <v>333.805</v>
      </c>
      <c r="F90" s="22" t="n">
        <v>331.297</v>
      </c>
      <c r="G90" s="22" t="n">
        <v>321.865</v>
      </c>
      <c r="H90" s="22" t="n">
        <v>286.465</v>
      </c>
      <c r="I90" s="22" t="n">
        <v>314.781</v>
      </c>
      <c r="J90" s="22" t="n">
        <v>284.507</v>
      </c>
      <c r="K90" s="22" t="n">
        <v>199.654</v>
      </c>
      <c r="L90" s="22" t="n">
        <v>333.805</v>
      </c>
    </row>
    <row r="91">
      <c r="A91" s="20" t="inlineStr">
        <is>
          <t>투자유가증권</t>
        </is>
      </c>
      <c r="E91" s="22" t="n">
        <v>111.706</v>
      </c>
      <c r="H91" s="22" t="n">
        <v>304.678</v>
      </c>
      <c r="I91" s="22" t="n">
        <v>190.938</v>
      </c>
      <c r="J91" s="22" t="n">
        <v>91.703</v>
      </c>
      <c r="K91" s="22" t="n">
        <v>93.663</v>
      </c>
      <c r="L91" s="22" t="n">
        <v>111.706</v>
      </c>
    </row>
    <row r="92">
      <c r="A92" s="20" t="inlineStr">
        <is>
          <t>종업원 장기대여금</t>
        </is>
      </c>
      <c r="H92" s="22" t="n">
        <v>0.294</v>
      </c>
      <c r="I92" s="22" t="n">
        <v>0.047</v>
      </c>
      <c r="J92" s="22" t="n">
        <v>0.08500000000000001</v>
      </c>
      <c r="K92" s="22" t="n">
        <v>0</v>
      </c>
    </row>
    <row r="93">
      <c r="A93" s="20" t="inlineStr">
        <is>
          <t>장기선급비용</t>
        </is>
      </c>
      <c r="E93" s="22" t="n">
        <v>294.365</v>
      </c>
      <c r="H93" s="22" t="n">
        <v>58.884</v>
      </c>
      <c r="I93" s="22" t="n">
        <v>36.648</v>
      </c>
      <c r="J93" s="22" t="n">
        <v>8.696</v>
      </c>
      <c r="K93" s="22" t="n">
        <v>10.737</v>
      </c>
      <c r="L93" s="22" t="n">
        <v>294.365</v>
      </c>
    </row>
    <row r="94">
      <c r="A94" s="20" t="inlineStr">
        <is>
          <t>이연법인세자산</t>
        </is>
      </c>
      <c r="C94" s="22" t="n">
        <v>254.372</v>
      </c>
      <c r="D94" s="22" t="n">
        <v>229.793</v>
      </c>
      <c r="E94" s="22" t="n">
        <v>243.264</v>
      </c>
      <c r="F94" s="22" t="n">
        <v>242.475</v>
      </c>
      <c r="G94" s="22" t="n">
        <v>272.102</v>
      </c>
      <c r="H94" s="22" t="n">
        <v>198.166</v>
      </c>
      <c r="I94" s="22" t="n">
        <v>204.432</v>
      </c>
      <c r="J94" s="22" t="n">
        <v>186.921</v>
      </c>
      <c r="K94" s="22" t="n">
        <v>275.903</v>
      </c>
      <c r="L94" s="22" t="n">
        <v>243.264</v>
      </c>
    </row>
    <row r="95">
      <c r="A95" s="20" t="inlineStr">
        <is>
          <t>임차보증금·보증금</t>
        </is>
      </c>
      <c r="C95" s="22" t="n">
        <v>454.75</v>
      </c>
      <c r="D95" s="22" t="n">
        <v>465.503</v>
      </c>
      <c r="E95" s="22" t="n">
        <v>514.0839999999999</v>
      </c>
      <c r="F95" s="22" t="n">
        <v>680.543</v>
      </c>
      <c r="G95" s="22" t="n">
        <v>684.275</v>
      </c>
      <c r="H95" s="22" t="n">
        <v>281.821</v>
      </c>
      <c r="I95" s="22" t="n">
        <v>236.84</v>
      </c>
      <c r="J95" s="22" t="n">
        <v>250.498</v>
      </c>
      <c r="K95" s="22" t="n">
        <v>387.796</v>
      </c>
      <c r="L95" s="22" t="n">
        <v>514.0839999999999</v>
      </c>
    </row>
    <row r="96">
      <c r="A96" s="20" t="inlineStr">
        <is>
          <t>기타</t>
        </is>
      </c>
      <c r="C96" s="22" t="n">
        <v>430.951</v>
      </c>
      <c r="D96" s="22" t="n">
        <v>420.413</v>
      </c>
      <c r="E96" s="22" t="n">
        <v>409.299</v>
      </c>
      <c r="F96" s="22" t="n">
        <v>407.378</v>
      </c>
      <c r="G96" s="22" t="n">
        <v>421.432</v>
      </c>
      <c r="H96" s="22" t="n">
        <v>3.224</v>
      </c>
      <c r="I96" s="22" t="n">
        <v>3.235</v>
      </c>
      <c r="J96" s="22" t="n">
        <v>3.226</v>
      </c>
      <c r="K96" s="22" t="n">
        <v>3.226</v>
      </c>
      <c r="L96" s="22" t="n">
        <v>409.299</v>
      </c>
    </row>
    <row r="97">
      <c r="A97" s="20" t="inlineStr">
        <is>
          <t>대손충당금</t>
        </is>
      </c>
      <c r="C97" s="22" t="n">
        <v>-3.2</v>
      </c>
      <c r="D97" s="22" t="n">
        <v>-3.2</v>
      </c>
      <c r="E97" s="22" t="n">
        <v>-3.2</v>
      </c>
      <c r="F97" s="22" t="n">
        <v>-3.2</v>
      </c>
      <c r="G97" s="22" t="n">
        <v>-3.2</v>
      </c>
      <c r="H97" s="22" t="n">
        <v>-3</v>
      </c>
      <c r="I97" s="22" t="n">
        <v>-3.2</v>
      </c>
      <c r="J97" s="22" t="n">
        <v>-3.2</v>
      </c>
      <c r="K97" s="22" t="n">
        <v>-3.2</v>
      </c>
      <c r="L97" s="22" t="n">
        <v>-3.2</v>
      </c>
    </row>
    <row r="98">
      <c r="A98" s="20" t="inlineStr">
        <is>
          <t>투자 및 기타자산 합계</t>
        </is>
      </c>
      <c r="C98" s="22" t="n">
        <v>1136.873</v>
      </c>
      <c r="D98" s="22" t="n">
        <v>1112.511</v>
      </c>
      <c r="E98" s="22" t="n">
        <v>1163.448</v>
      </c>
      <c r="F98" s="22" t="n">
        <v>1327.198</v>
      </c>
      <c r="G98" s="22" t="n">
        <v>1374.61</v>
      </c>
      <c r="H98" s="22" t="n">
        <v>844.069</v>
      </c>
      <c r="I98" s="22" t="n">
        <v>668.943</v>
      </c>
      <c r="J98" s="22" t="n">
        <v>537.9299999999999</v>
      </c>
      <c r="K98" s="22" t="n">
        <v>768.128</v>
      </c>
      <c r="L98" s="22" t="n">
        <v>1163.448</v>
      </c>
    </row>
    <row r="99">
      <c r="A99" s="9" t="inlineStr">
        <is>
          <t>비유동자산 합계</t>
        </is>
      </c>
      <c r="C99" s="12" t="n">
        <v>1930.373</v>
      </c>
      <c r="D99" s="12" t="n">
        <v>2046.396</v>
      </c>
      <c r="E99" s="12" t="n">
        <v>2212.08</v>
      </c>
      <c r="F99" s="12" t="n">
        <v>2634.405</v>
      </c>
      <c r="G99" s="12" t="n">
        <v>3281.742</v>
      </c>
      <c r="H99" s="12" t="n">
        <v>1344.467</v>
      </c>
      <c r="I99" s="12" t="n">
        <v>1195.084</v>
      </c>
      <c r="J99" s="12" t="n">
        <v>1056.637</v>
      </c>
      <c r="K99" s="12" t="n">
        <v>1462.183</v>
      </c>
      <c r="L99" s="12" t="n">
        <v>2212.08</v>
      </c>
    </row>
    <row r="100">
      <c r="A100" s="9" t="inlineStr">
        <is>
          <t>자산 합계</t>
        </is>
      </c>
      <c r="C100" s="12" t="n">
        <v>8324.665999999999</v>
      </c>
      <c r="D100" s="12" t="n">
        <v>8811.603999999999</v>
      </c>
      <c r="E100" s="12" t="n">
        <v>9392.758</v>
      </c>
      <c r="F100" s="12" t="n">
        <v>9754.611000000001</v>
      </c>
      <c r="G100" s="12" t="n">
        <v>9979.111999999999</v>
      </c>
      <c r="H100" s="12" t="n">
        <v>8020.931</v>
      </c>
      <c r="I100" s="12" t="n">
        <v>7151.45</v>
      </c>
      <c r="J100" s="12" t="n">
        <v>7209.731</v>
      </c>
      <c r="K100" s="12" t="n">
        <v>8073.545</v>
      </c>
      <c r="L100" s="12" t="n">
        <v>9392.758</v>
      </c>
    </row>
    <row r="101">
      <c r="A101" s="20" t="inlineStr">
        <is>
          <t>매입채무</t>
        </is>
      </c>
      <c r="C101" s="22" t="n">
        <v>342.331</v>
      </c>
      <c r="D101" s="22" t="n">
        <v>377.354</v>
      </c>
      <c r="E101" s="22" t="n">
        <v>383.189</v>
      </c>
      <c r="F101" s="22" t="n">
        <v>651.2619999999999</v>
      </c>
      <c r="G101" s="22" t="n">
        <v>627.603</v>
      </c>
      <c r="H101" s="22" t="n">
        <v>285.964</v>
      </c>
      <c r="I101" s="22" t="n">
        <v>268.467</v>
      </c>
      <c r="J101" s="22" t="n">
        <v>242.433</v>
      </c>
      <c r="K101" s="22" t="n">
        <v>373.72</v>
      </c>
      <c r="L101" s="22" t="n">
        <v>383.189</v>
      </c>
    </row>
    <row r="102">
      <c r="A102" s="20" t="inlineStr">
        <is>
          <t>단기차입금</t>
        </is>
      </c>
      <c r="H102" s="22" t="n">
        <v>1000</v>
      </c>
      <c r="I102" s="22" t="n">
        <v>0</v>
      </c>
    </row>
    <row r="103">
      <c r="A103" s="20" t="inlineStr">
        <is>
          <t>미지급금</t>
        </is>
      </c>
      <c r="C103" s="22" t="n">
        <v>686.237</v>
      </c>
      <c r="D103" s="22" t="n">
        <v>931.667</v>
      </c>
      <c r="E103" s="22" t="n">
        <v>970.566</v>
      </c>
      <c r="F103" s="22" t="n">
        <v>909.252</v>
      </c>
      <c r="G103" s="22" t="n">
        <v>869.22</v>
      </c>
      <c r="H103" s="22" t="n">
        <v>940.61</v>
      </c>
      <c r="I103" s="22" t="n">
        <v>990.3200000000001</v>
      </c>
      <c r="J103" s="22" t="n">
        <v>787.139</v>
      </c>
      <c r="K103" s="22" t="n">
        <v>823.125</v>
      </c>
      <c r="L103" s="22" t="n">
        <v>970.566</v>
      </c>
    </row>
    <row r="104">
      <c r="A104" s="20" t="inlineStr">
        <is>
          <t>미지급비용</t>
        </is>
      </c>
      <c r="E104" s="22" t="n">
        <v>119.791</v>
      </c>
      <c r="H104" s="22" t="n">
        <v>110.914</v>
      </c>
      <c r="I104" s="22" t="n">
        <v>78.595</v>
      </c>
      <c r="J104" s="22" t="n">
        <v>58.763</v>
      </c>
      <c r="K104" s="22" t="n">
        <v>178.355</v>
      </c>
      <c r="L104" s="22" t="n">
        <v>119.791</v>
      </c>
    </row>
    <row r="105">
      <c r="A105" s="20" t="inlineStr">
        <is>
          <t>미지급법인세</t>
        </is>
      </c>
      <c r="C105" s="22" t="n">
        <v>184.135</v>
      </c>
      <c r="D105" s="22" t="n">
        <v>88.032</v>
      </c>
      <c r="E105" s="22" t="n">
        <v>255.651</v>
      </c>
      <c r="F105" s="22" t="n">
        <v>152.34</v>
      </c>
      <c r="G105" s="22" t="n">
        <v>288.701</v>
      </c>
      <c r="H105" s="22" t="n">
        <v>0</v>
      </c>
      <c r="I105" s="22" t="n">
        <v>16.157</v>
      </c>
      <c r="J105" s="22" t="n">
        <v>264.602</v>
      </c>
      <c r="K105" s="22" t="n">
        <v>285.483</v>
      </c>
      <c r="L105" s="22" t="n">
        <v>255.651</v>
      </c>
    </row>
    <row r="106">
      <c r="A106" s="20" t="inlineStr">
        <is>
          <t>미지급 소비세</t>
        </is>
      </c>
      <c r="E106" s="22" t="n">
        <v>57.082</v>
      </c>
      <c r="H106" s="22" t="n">
        <v>0</v>
      </c>
      <c r="I106" s="22" t="n">
        <v>233.232</v>
      </c>
      <c r="J106" s="22" t="n">
        <v>0</v>
      </c>
      <c r="K106" s="22" t="n">
        <v>97.248</v>
      </c>
      <c r="L106" s="22" t="n">
        <v>57.082</v>
      </c>
    </row>
    <row r="107">
      <c r="A107" s="20" t="inlineStr">
        <is>
          <t>계약부채</t>
        </is>
      </c>
      <c r="E107" s="22" t="n">
        <v>57.589</v>
      </c>
      <c r="H107" s="22" t="n">
        <v>28.079</v>
      </c>
      <c r="I107" s="22" t="n">
        <v>73.85899999999999</v>
      </c>
      <c r="J107" s="22" t="n">
        <v>80.23999999999999</v>
      </c>
      <c r="K107" s="22" t="n">
        <v>56.013</v>
      </c>
      <c r="L107" s="22" t="n">
        <v>57.589</v>
      </c>
    </row>
    <row r="108">
      <c r="A108" s="20" t="inlineStr">
        <is>
          <t>Refund Liabilities</t>
        </is>
      </c>
      <c r="H108" s="22" t="n">
        <v>12.359</v>
      </c>
    </row>
    <row r="109">
      <c r="A109" s="20" t="inlineStr">
        <is>
          <t>Refund Liabilities CL</t>
        </is>
      </c>
      <c r="E109" s="22" t="n">
        <v>13.933</v>
      </c>
      <c r="H109" s="22" t="n">
        <v>12.359</v>
      </c>
      <c r="I109" s="22" t="n">
        <v>10.832</v>
      </c>
      <c r="J109" s="22" t="n">
        <v>9.526999999999999</v>
      </c>
      <c r="K109" s="22" t="n">
        <v>11.235</v>
      </c>
      <c r="L109" s="22" t="n">
        <v>13.933</v>
      </c>
    </row>
    <row r="110">
      <c r="A110" s="20" t="inlineStr">
        <is>
          <t>Forward Exchange Contracts CL</t>
        </is>
      </c>
      <c r="C110" s="22" t="n">
        <v>0</v>
      </c>
      <c r="D110" s="22" t="n">
        <v>0</v>
      </c>
      <c r="E110" s="22" t="n">
        <v>0</v>
      </c>
      <c r="H110" s="22" t="n">
        <v>0.177</v>
      </c>
      <c r="I110" s="22" t="n">
        <v>25.783</v>
      </c>
      <c r="J110" s="22" t="n">
        <v>0</v>
      </c>
      <c r="K110" s="22" t="n">
        <v>1.172</v>
      </c>
      <c r="L110" s="22" t="n">
        <v>0</v>
      </c>
    </row>
    <row r="111">
      <c r="A111" s="20" t="inlineStr">
        <is>
          <t>선수금</t>
        </is>
      </c>
      <c r="H111" s="22" t="n">
        <v>4.807</v>
      </c>
    </row>
    <row r="112">
      <c r="A112" s="20" t="inlineStr">
        <is>
          <t>예수금</t>
        </is>
      </c>
      <c r="E112" s="22" t="n">
        <v>11.252</v>
      </c>
      <c r="H112" s="22" t="n">
        <v>250.915</v>
      </c>
      <c r="I112" s="22" t="n">
        <v>8.936999999999999</v>
      </c>
      <c r="J112" s="22" t="n">
        <v>33.956</v>
      </c>
      <c r="K112" s="22" t="n">
        <v>20.359</v>
      </c>
      <c r="L112" s="22" t="n">
        <v>11.252</v>
      </c>
    </row>
    <row r="113">
      <c r="A113" s="20" t="inlineStr">
        <is>
          <t>상여충당금</t>
        </is>
      </c>
      <c r="C113" s="22" t="n">
        <v>121.114</v>
      </c>
      <c r="D113" s="22" t="n">
        <v>45.556</v>
      </c>
      <c r="E113" s="22" t="n">
        <v>101.024</v>
      </c>
      <c r="F113" s="22" t="n">
        <v>157.17</v>
      </c>
      <c r="G113" s="22" t="n">
        <v>126.741</v>
      </c>
      <c r="H113" s="22" t="n">
        <v>60</v>
      </c>
      <c r="I113" s="22" t="n">
        <v>81.11</v>
      </c>
      <c r="J113" s="22" t="n">
        <v>101.112</v>
      </c>
      <c r="K113" s="22" t="n">
        <v>141.112</v>
      </c>
      <c r="L113" s="22" t="n">
        <v>101.024</v>
      </c>
    </row>
    <row r="114">
      <c r="A114" s="20" t="inlineStr">
        <is>
          <t>포인트 충당금</t>
        </is>
      </c>
      <c r="H114" s="22" t="n">
        <v>0</v>
      </c>
    </row>
    <row r="115">
      <c r="A115" s="20" t="inlineStr">
        <is>
          <t>반품조정 충당금</t>
        </is>
      </c>
      <c r="H115" s="22" t="n">
        <v>0</v>
      </c>
    </row>
    <row r="116">
      <c r="A116" s="20" t="inlineStr">
        <is>
          <t>제품보증 충당금</t>
        </is>
      </c>
      <c r="C116" s="22" t="n">
        <v>5.5</v>
      </c>
      <c r="D116" s="22" t="n">
        <v>4.795</v>
      </c>
      <c r="E116" s="22" t="n">
        <v>4.785</v>
      </c>
      <c r="F116" s="22" t="n">
        <v>4.785</v>
      </c>
      <c r="G116" s="22" t="n">
        <v>4.785</v>
      </c>
      <c r="H116" s="22" t="n">
        <v>6.758</v>
      </c>
      <c r="I116" s="22" t="n">
        <v>5.152</v>
      </c>
      <c r="J116" s="22" t="n">
        <v>6.337</v>
      </c>
      <c r="K116" s="22" t="n">
        <v>6.337</v>
      </c>
      <c r="L116" s="22" t="n">
        <v>4.785</v>
      </c>
    </row>
    <row r="117">
      <c r="A117" s="20" t="inlineStr">
        <is>
          <t>기타</t>
        </is>
      </c>
      <c r="C117" s="22" t="n">
        <v>243.385</v>
      </c>
      <c r="D117" s="22" t="n">
        <v>317.1</v>
      </c>
      <c r="E117" s="22" t="n">
        <v>271.572</v>
      </c>
      <c r="F117" s="22" t="n">
        <v>348.197</v>
      </c>
      <c r="G117" s="22" t="n">
        <v>313.684</v>
      </c>
      <c r="H117" s="22" t="n">
        <v>5.307</v>
      </c>
      <c r="I117" s="22" t="n">
        <v>3.557</v>
      </c>
      <c r="J117" s="22" t="n">
        <v>2.638</v>
      </c>
      <c r="K117" s="22" t="n">
        <v>6.134</v>
      </c>
      <c r="L117" s="22" t="n">
        <v>271.572</v>
      </c>
    </row>
    <row r="118">
      <c r="A118" s="9" t="inlineStr">
        <is>
          <t>유동부채 합계</t>
        </is>
      </c>
      <c r="C118" s="12" t="n">
        <v>1582.705</v>
      </c>
      <c r="D118" s="12" t="n">
        <v>1764.507</v>
      </c>
      <c r="E118" s="12" t="n">
        <v>1986.789</v>
      </c>
      <c r="F118" s="12" t="n">
        <v>2223.008</v>
      </c>
      <c r="G118" s="12" t="n">
        <v>2230.736</v>
      </c>
      <c r="H118" s="12" t="n">
        <v>2701.087</v>
      </c>
      <c r="I118" s="12" t="n">
        <v>1796.006</v>
      </c>
      <c r="J118" s="12" t="n">
        <v>1586.752</v>
      </c>
      <c r="K118" s="12" t="n">
        <v>2000.299</v>
      </c>
      <c r="L118" s="12" t="n">
        <v>1986.789</v>
      </c>
    </row>
    <row r="119">
      <c r="A119" s="20" t="inlineStr">
        <is>
          <t>주식급여 충당금</t>
        </is>
      </c>
      <c r="C119" s="22" t="n">
        <v>39.377</v>
      </c>
      <c r="D119" s="22" t="n">
        <v>45.494</v>
      </c>
      <c r="E119" s="22" t="n">
        <v>51.494</v>
      </c>
      <c r="F119" s="22" t="n">
        <v>51.494</v>
      </c>
      <c r="G119" s="22" t="n">
        <v>24.775</v>
      </c>
      <c r="H119" s="22" t="n">
        <v>50.255</v>
      </c>
      <c r="I119" s="22" t="n">
        <v>51.05</v>
      </c>
      <c r="J119" s="22" t="n">
        <v>56.349</v>
      </c>
      <c r="K119" s="22" t="n">
        <v>47.025</v>
      </c>
      <c r="L119" s="22" t="n">
        <v>51.494</v>
      </c>
    </row>
    <row r="120">
      <c r="A120" s="20" t="inlineStr">
        <is>
          <t>자산복구부채</t>
        </is>
      </c>
      <c r="C120" s="22" t="n">
        <v>86.068</v>
      </c>
      <c r="D120" s="22" t="n">
        <v>114.794</v>
      </c>
      <c r="E120" s="22" t="n">
        <v>115.063</v>
      </c>
      <c r="F120" s="22" t="n">
        <v>204.028</v>
      </c>
      <c r="G120" s="22" t="n">
        <v>289.207</v>
      </c>
      <c r="J120" s="22" t="n">
        <v>0</v>
      </c>
      <c r="K120" s="22" t="n">
        <v>67.377</v>
      </c>
      <c r="L120" s="22" t="n">
        <v>115.063</v>
      </c>
    </row>
    <row r="121">
      <c r="A121" s="9" t="inlineStr">
        <is>
          <t>비유동부채 합계</t>
        </is>
      </c>
      <c r="C121" s="12" t="n">
        <v>125.446</v>
      </c>
      <c r="D121" s="12" t="n">
        <v>160.288</v>
      </c>
      <c r="E121" s="12" t="n">
        <v>166.557</v>
      </c>
      <c r="F121" s="12" t="n">
        <v>255.523</v>
      </c>
      <c r="G121" s="12" t="n">
        <v>313.983</v>
      </c>
      <c r="H121" s="12" t="n">
        <v>50.255</v>
      </c>
      <c r="I121" s="12" t="n">
        <v>51.05</v>
      </c>
      <c r="J121" s="12" t="n">
        <v>56.349</v>
      </c>
      <c r="K121" s="12" t="n">
        <v>114.403</v>
      </c>
      <c r="L121" s="12" t="n">
        <v>166.557</v>
      </c>
    </row>
    <row r="122">
      <c r="A122" s="9" t="inlineStr">
        <is>
          <t>부채 합계</t>
        </is>
      </c>
      <c r="C122" s="12" t="n">
        <v>1708.151</v>
      </c>
      <c r="D122" s="12" t="n">
        <v>1924.795</v>
      </c>
      <c r="E122" s="12" t="n">
        <v>2153.347</v>
      </c>
      <c r="F122" s="12" t="n">
        <v>2478.531</v>
      </c>
      <c r="G122" s="12" t="n">
        <v>2544.72</v>
      </c>
      <c r="H122" s="12" t="n">
        <v>2751.342</v>
      </c>
      <c r="I122" s="12" t="n">
        <v>1847.057</v>
      </c>
      <c r="J122" s="12" t="n">
        <v>1643.101</v>
      </c>
      <c r="K122" s="12" t="n">
        <v>2114.702</v>
      </c>
      <c r="L122" s="12" t="n">
        <v>2153.347</v>
      </c>
    </row>
    <row r="123">
      <c r="A123" s="20" t="inlineStr">
        <is>
          <t>자본금</t>
        </is>
      </c>
      <c r="C123" s="22" t="n">
        <v>1058.187</v>
      </c>
      <c r="D123" s="22" t="n">
        <v>1058.187</v>
      </c>
      <c r="E123" s="22" t="n">
        <v>1063.707</v>
      </c>
      <c r="F123" s="22" t="n">
        <v>1063.707</v>
      </c>
      <c r="G123" s="22" t="n">
        <v>1063.707</v>
      </c>
      <c r="H123" s="22" t="n">
        <v>1027.894</v>
      </c>
      <c r="I123" s="22" t="n">
        <v>1030.551</v>
      </c>
      <c r="J123" s="22" t="n">
        <v>1037.128</v>
      </c>
      <c r="K123" s="22" t="n">
        <v>1043.559</v>
      </c>
      <c r="L123" s="22" t="n">
        <v>1063.707</v>
      </c>
    </row>
    <row r="124">
      <c r="A124" s="20" t="inlineStr">
        <is>
          <t>자본준비금</t>
        </is>
      </c>
      <c r="E124" s="22" t="n">
        <v>1023.707</v>
      </c>
      <c r="H124" s="22" t="n">
        <v>987.894</v>
      </c>
      <c r="I124" s="22" t="n">
        <v>990.551</v>
      </c>
      <c r="J124" s="22" t="n">
        <v>997.128</v>
      </c>
      <c r="K124" s="22" t="n">
        <v>1003.559</v>
      </c>
      <c r="L124" s="22" t="n">
        <v>1023.707</v>
      </c>
    </row>
    <row r="125">
      <c r="A125" s="20" t="inlineStr">
        <is>
          <t>기타자본잉여금</t>
        </is>
      </c>
      <c r="E125" s="22" t="n">
        <v>201.704</v>
      </c>
      <c r="I125" s="22" t="n">
        <v>23.625</v>
      </c>
      <c r="J125" s="22" t="n">
        <v>23.625</v>
      </c>
      <c r="K125" s="22" t="n">
        <v>23.625</v>
      </c>
      <c r="L125" s="22" t="n">
        <v>201.704</v>
      </c>
    </row>
    <row r="126">
      <c r="A126" s="20" t="inlineStr">
        <is>
          <t>자본잉여금</t>
        </is>
      </c>
      <c r="C126" s="22" t="n">
        <v>1219.891</v>
      </c>
      <c r="D126" s="22" t="n">
        <v>1219.891</v>
      </c>
      <c r="E126" s="22" t="n">
        <v>1225.411</v>
      </c>
      <c r="F126" s="22" t="n">
        <v>1225.411</v>
      </c>
      <c r="G126" s="22" t="n">
        <v>1225.411</v>
      </c>
      <c r="H126" s="22" t="n">
        <v>987.894</v>
      </c>
      <c r="I126" s="22" t="n">
        <v>1014.176</v>
      </c>
      <c r="J126" s="22" t="n">
        <v>1020.753</v>
      </c>
      <c r="K126" s="22" t="n">
        <v>1027.184</v>
      </c>
      <c r="L126" s="22" t="n">
        <v>1225.411</v>
      </c>
    </row>
    <row r="127">
      <c r="A127" s="20" t="inlineStr">
        <is>
          <t>이월이익잉여금</t>
        </is>
      </c>
      <c r="E127" s="22" t="n">
        <v>5004.492</v>
      </c>
      <c r="H127" s="22" t="n">
        <v>3444.129</v>
      </c>
      <c r="I127" s="22" t="n">
        <v>3459.597</v>
      </c>
      <c r="J127" s="22" t="n">
        <v>3747.515</v>
      </c>
      <c r="K127" s="22" t="n">
        <v>4234.497</v>
      </c>
      <c r="L127" s="22" t="n">
        <v>5004.492</v>
      </c>
    </row>
    <row r="128">
      <c r="A128" s="20" t="inlineStr">
        <is>
          <t>이익잉여금</t>
        </is>
      </c>
      <c r="C128" s="22" t="n">
        <v>4415.976</v>
      </c>
      <c r="D128" s="22" t="n">
        <v>4630.435</v>
      </c>
      <c r="E128" s="22" t="n">
        <v>5004.492</v>
      </c>
      <c r="F128" s="22" t="n">
        <v>5042.311</v>
      </c>
      <c r="G128" s="22" t="n">
        <v>5238.631</v>
      </c>
      <c r="H128" s="22" t="n">
        <v>3444.129</v>
      </c>
      <c r="I128" s="22" t="n">
        <v>3459.597</v>
      </c>
      <c r="J128" s="22" t="n">
        <v>3747.515</v>
      </c>
      <c r="K128" s="22" t="n">
        <v>4234.497</v>
      </c>
      <c r="L128" s="22" t="n">
        <v>5004.492</v>
      </c>
    </row>
    <row r="129">
      <c r="A129" s="20" t="inlineStr">
        <is>
          <t>자기주식</t>
        </is>
      </c>
      <c r="C129" s="22" t="n">
        <v>-139.315</v>
      </c>
      <c r="D129" s="22" t="n">
        <v>-139.431</v>
      </c>
      <c r="E129" s="22" t="n">
        <v>-139.431</v>
      </c>
      <c r="F129" s="22" t="n">
        <v>-139.431</v>
      </c>
      <c r="G129" s="22" t="n">
        <v>-112.713</v>
      </c>
      <c r="H129" s="22" t="n">
        <v>-205.263</v>
      </c>
      <c r="I129" s="22" t="n">
        <v>-196.233</v>
      </c>
      <c r="J129" s="22" t="n">
        <v>-319.237</v>
      </c>
      <c r="K129" s="22" t="n">
        <v>-359.715</v>
      </c>
      <c r="L129" s="22" t="n">
        <v>-139.431</v>
      </c>
    </row>
    <row r="130">
      <c r="A130" s="9" t="inlineStr">
        <is>
          <t>주주자본 합계</t>
        </is>
      </c>
      <c r="C130" s="12" t="n">
        <v>6554.739</v>
      </c>
      <c r="D130" s="12" t="n">
        <v>6769.082</v>
      </c>
      <c r="E130" s="12" t="n">
        <v>7154.179</v>
      </c>
      <c r="F130" s="12" t="n">
        <v>7191.998</v>
      </c>
      <c r="G130" s="12" t="n">
        <v>7415.037</v>
      </c>
      <c r="H130" s="12" t="n">
        <v>5254.654</v>
      </c>
      <c r="I130" s="12" t="n">
        <v>5308.091</v>
      </c>
      <c r="J130" s="12" t="n">
        <v>5486.159</v>
      </c>
      <c r="K130" s="12" t="n">
        <v>5945.525</v>
      </c>
      <c r="L130" s="12" t="n">
        <v>7154.179</v>
      </c>
    </row>
    <row r="131">
      <c r="A131" s="20" t="inlineStr">
        <is>
          <t>기타유가증권 평가차액</t>
        </is>
      </c>
      <c r="C131" s="22" t="n">
        <v>14.1</v>
      </c>
      <c r="D131" s="22" t="n">
        <v>15.377</v>
      </c>
      <c r="E131" s="22" t="n">
        <v>15.563</v>
      </c>
      <c r="F131" s="22" t="n">
        <v>16.697</v>
      </c>
      <c r="G131" s="22" t="n">
        <v>19.212</v>
      </c>
      <c r="H131" s="22" t="n">
        <v>15.038</v>
      </c>
      <c r="I131" s="22" t="n">
        <v>14.202</v>
      </c>
      <c r="J131" s="22" t="n">
        <v>14.694</v>
      </c>
      <c r="K131" s="22" t="n">
        <v>14.131</v>
      </c>
      <c r="L131" s="22" t="n">
        <v>15.563</v>
      </c>
    </row>
    <row r="132">
      <c r="A132" s="20" t="inlineStr">
        <is>
          <t>이연헤지손익</t>
        </is>
      </c>
      <c r="C132" s="22" t="n">
        <v>47.675</v>
      </c>
      <c r="D132" s="22" t="n">
        <v>102.348</v>
      </c>
      <c r="E132" s="22" t="n">
        <v>69.667</v>
      </c>
      <c r="F132" s="22" t="n">
        <v>67.383</v>
      </c>
      <c r="G132" s="22" t="n">
        <v>0.142</v>
      </c>
      <c r="H132" s="22" t="n">
        <v>-0.123</v>
      </c>
      <c r="I132" s="22" t="n">
        <v>-17.919</v>
      </c>
      <c r="J132" s="22" t="n">
        <v>65.75700000000001</v>
      </c>
      <c r="K132" s="22" t="n">
        <v>-0.8139999999999999</v>
      </c>
      <c r="L132" s="22" t="n">
        <v>69.667</v>
      </c>
    </row>
    <row r="133">
      <c r="A133" s="20" t="inlineStr">
        <is>
          <t>평가·환산차액 합계</t>
        </is>
      </c>
      <c r="C133" s="22" t="n">
        <v>61.775</v>
      </c>
      <c r="D133" s="22" t="n">
        <v>117.726</v>
      </c>
      <c r="E133" s="22" t="n">
        <v>85.23099999999999</v>
      </c>
      <c r="F133" s="22" t="n">
        <v>84.081</v>
      </c>
      <c r="G133" s="22" t="n">
        <v>19.354</v>
      </c>
      <c r="H133" s="22" t="n">
        <v>14.915</v>
      </c>
      <c r="I133" s="22" t="n">
        <v>-3.716</v>
      </c>
      <c r="J133" s="22" t="n">
        <v>80.45099999999999</v>
      </c>
      <c r="K133" s="22" t="n">
        <v>13.317</v>
      </c>
      <c r="L133" s="22" t="n">
        <v>85.23099999999999</v>
      </c>
    </row>
    <row r="134">
      <c r="A134" s="20" t="inlineStr">
        <is>
          <t>신주예약권</t>
        </is>
      </c>
      <c r="H134" s="22" t="n">
        <v>0.02</v>
      </c>
      <c r="I134" s="22" t="n">
        <v>0.018</v>
      </c>
      <c r="J134" s="22" t="n">
        <v>0.018</v>
      </c>
      <c r="K134" s="22" t="n">
        <v>0</v>
      </c>
    </row>
    <row r="135">
      <c r="A135" s="9" t="inlineStr">
        <is>
          <t>순자산 합계</t>
        </is>
      </c>
      <c r="C135" s="12" t="n">
        <v>6616.515</v>
      </c>
      <c r="D135" s="12" t="n">
        <v>6886.808</v>
      </c>
      <c r="E135" s="12" t="n">
        <v>7239.411</v>
      </c>
      <c r="F135" s="12" t="n">
        <v>7276.079</v>
      </c>
      <c r="G135" s="12" t="n">
        <v>7434.392</v>
      </c>
      <c r="H135" s="12" t="n">
        <v>5269.589</v>
      </c>
      <c r="I135" s="12" t="n">
        <v>5304.393</v>
      </c>
      <c r="J135" s="12" t="n">
        <v>5566.629</v>
      </c>
      <c r="K135" s="12" t="n">
        <v>5958.842</v>
      </c>
      <c r="L135" s="12" t="n">
        <v>7239.411</v>
      </c>
    </row>
    <row r="136">
      <c r="A136" s="9" t="inlineStr">
        <is>
          <t>부채·순자산 합계</t>
        </is>
      </c>
      <c r="C136" s="12" t="n">
        <v>8324.665999999999</v>
      </c>
      <c r="D136" s="12" t="n">
        <v>8811.603999999999</v>
      </c>
      <c r="E136" s="12" t="n">
        <v>9392.758</v>
      </c>
      <c r="F136" s="12" t="n">
        <v>9754.611000000001</v>
      </c>
      <c r="G136" s="12" t="n">
        <v>9979.111999999999</v>
      </c>
      <c r="H136" s="12" t="n">
        <v>8020.931</v>
      </c>
      <c r="I136" s="12" t="n">
        <v>7151.45</v>
      </c>
      <c r="J136" s="12" t="n">
        <v>7209.731</v>
      </c>
      <c r="K136" s="12" t="n">
        <v>8073.545</v>
      </c>
      <c r="L136" s="12" t="n">
        <v>9392.758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2" t="inlineStr">
        <is>
          <t>3542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시장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5" t="inlineStr">
        <is>
          <t>항목</t>
        </is>
      </c>
      <c r="B5" s="55" t="inlineStr">
        <is>
          <t>값</t>
        </is>
      </c>
      <c r="N5" s="55" t="inlineStr">
        <is>
          <t>출처</t>
        </is>
      </c>
    </row>
    <row r="6">
      <c r="A6" s="56" t="inlineStr">
        <is>
          <t>주가</t>
        </is>
      </c>
      <c r="B6" s="57" t="n">
        <v>1535</v>
      </c>
      <c r="N6" s="58" t="inlineStr">
        <is>
          <t>2단계 보고서 자료(회사 설명회 자료·공시)</t>
        </is>
      </c>
    </row>
    <row r="7">
      <c r="A7" s="56" t="inlineStr">
        <is>
          <t>자사주제외주식수</t>
        </is>
      </c>
      <c r="B7" s="57" t="n">
        <v>10649173</v>
      </c>
    </row>
    <row r="8">
      <c r="A8" s="56" t="inlineStr">
        <is>
          <t>시총억엔</t>
        </is>
      </c>
      <c r="B8" s="59" t="n">
        <v>163.5</v>
      </c>
    </row>
    <row r="9">
      <c r="A9" s="56" t="inlineStr">
        <is>
          <t>PER_가이던스</t>
        </is>
      </c>
      <c r="B9" s="59" t="n">
        <v>16.6</v>
      </c>
    </row>
    <row r="10">
      <c r="A10" s="56" t="inlineStr">
        <is>
          <t>가이던스EPS</t>
        </is>
      </c>
      <c r="B10" s="59" t="n">
        <v>92.65000000000001</v>
      </c>
    </row>
    <row r="11">
      <c r="A11" s="56" t="inlineStr">
        <is>
          <t>DPS예상</t>
        </is>
      </c>
      <c r="B11" s="57" t="n">
        <v>20</v>
      </c>
    </row>
    <row r="12">
      <c r="A12" s="56" t="inlineStr">
        <is>
          <t>배당수익률</t>
        </is>
      </c>
      <c r="B12" s="59" t="n">
        <v>1.3</v>
      </c>
    </row>
    <row r="14">
      <c r="A14" s="54" t="inlineStr">
        <is>
          <t>가이던스 · FY27기초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5" t="inlineStr">
        <is>
          <t>항목</t>
        </is>
      </c>
      <c r="B15" s="55" t="inlineStr">
        <is>
          <t>값</t>
        </is>
      </c>
      <c r="N15" s="55" t="inlineStr">
        <is>
          <t>출처</t>
        </is>
      </c>
    </row>
    <row r="16">
      <c r="A16" s="56" t="inlineStr">
        <is>
          <t>매출</t>
        </is>
      </c>
      <c r="B16" s="57" t="n">
        <v>208</v>
      </c>
      <c r="N16" s="58" t="inlineStr">
        <is>
          <t>2단계 보고서 자료(회사 설명회 자료·공시)</t>
        </is>
      </c>
    </row>
    <row r="17">
      <c r="A17" s="56" t="inlineStr">
        <is>
          <t>영업이익</t>
        </is>
      </c>
      <c r="B17" s="57" t="n">
        <v>15</v>
      </c>
    </row>
    <row r="18">
      <c r="A18" s="56" t="inlineStr">
        <is>
          <t>경상</t>
        </is>
      </c>
      <c r="B18" s="59" t="n">
        <v>15.1</v>
      </c>
    </row>
    <row r="19">
      <c r="A19" s="56" t="inlineStr">
        <is>
          <t>순이익</t>
        </is>
      </c>
      <c r="B19" s="59" t="n">
        <v>9.210000000000001</v>
      </c>
    </row>
    <row r="20">
      <c r="A20" s="56" t="inlineStr">
        <is>
          <t>EPS</t>
        </is>
      </c>
      <c r="B20" s="59" t="n">
        <v>85.84999999999999</v>
      </c>
    </row>
    <row r="21">
      <c r="A21" s="56" t="inlineStr">
        <is>
          <t>DPS</t>
        </is>
      </c>
      <c r="B21" s="57" t="n">
        <v>18</v>
      </c>
    </row>
    <row r="23">
      <c r="A23" s="54" t="inlineStr">
        <is>
          <t>가이던스 · FY27수정</t>
        </is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</row>
    <row r="24">
      <c r="A24" s="55" t="inlineStr">
        <is>
          <t>항목</t>
        </is>
      </c>
      <c r="B24" s="55" t="inlineStr">
        <is>
          <t>값</t>
        </is>
      </c>
      <c r="N24" s="55" t="inlineStr">
        <is>
          <t>출처</t>
        </is>
      </c>
    </row>
    <row r="25">
      <c r="A25" s="56" t="inlineStr">
        <is>
          <t>매출</t>
        </is>
      </c>
      <c r="B25" s="57" t="n">
        <v>216</v>
      </c>
      <c r="N25" s="58" t="inlineStr">
        <is>
          <t>2단계 보고서 자료(회사 설명회 자료·공시)</t>
        </is>
      </c>
    </row>
    <row r="26">
      <c r="A26" s="56" t="inlineStr">
        <is>
          <t>영업이익</t>
        </is>
      </c>
      <c r="B26" s="57" t="n">
        <v>17</v>
      </c>
    </row>
    <row r="27">
      <c r="A27" s="56" t="inlineStr">
        <is>
          <t>경상</t>
        </is>
      </c>
      <c r="B27" s="59" t="n">
        <v>17.1</v>
      </c>
    </row>
    <row r="28">
      <c r="A28" s="56" t="inlineStr">
        <is>
          <t>순이익</t>
        </is>
      </c>
      <c r="B28" s="59" t="n">
        <v>9.859999999999999</v>
      </c>
    </row>
    <row r="29">
      <c r="A29" s="56" t="inlineStr">
        <is>
          <t>EPS</t>
        </is>
      </c>
      <c r="B29" s="59" t="n">
        <v>92.65000000000001</v>
      </c>
    </row>
    <row r="30">
      <c r="A30" s="56" t="inlineStr">
        <is>
          <t>DPS</t>
        </is>
      </c>
      <c r="B30" s="57" t="n">
        <v>20</v>
      </c>
    </row>
    <row r="32">
      <c r="A32" s="54" t="inlineStr">
        <is>
          <t>가이던스 · 상반기계획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>
      <c r="A33" s="55" t="inlineStr">
        <is>
          <t>항목</t>
        </is>
      </c>
      <c r="B33" s="55" t="inlineStr">
        <is>
          <t>값</t>
        </is>
      </c>
      <c r="N33" s="55" t="inlineStr">
        <is>
          <t>출처</t>
        </is>
      </c>
    </row>
    <row r="34">
      <c r="A34" s="56" t="inlineStr">
        <is>
          <t>매출</t>
        </is>
      </c>
      <c r="B34" s="57" t="n">
        <v>92</v>
      </c>
      <c r="N34" s="58" t="inlineStr">
        <is>
          <t>2단계 보고서 자료(회사 설명회 자료·공시)</t>
        </is>
      </c>
    </row>
    <row r="35">
      <c r="A35" s="56" t="inlineStr">
        <is>
          <t>영업이익</t>
        </is>
      </c>
      <c r="B35" s="59" t="n">
        <v>5.5</v>
      </c>
    </row>
    <row r="36">
      <c r="A36" s="56" t="inlineStr">
        <is>
          <t>경상</t>
        </is>
      </c>
      <c r="B36" s="59" t="n">
        <v>5.55</v>
      </c>
    </row>
    <row r="37">
      <c r="A37" s="56" t="inlineStr">
        <is>
          <t>순이익</t>
        </is>
      </c>
      <c r="B37" s="59" t="n">
        <v>3.38</v>
      </c>
    </row>
    <row r="39">
      <c r="A39" s="54" t="inlineStr">
        <is>
          <t>가이던스 · 상반기실적</t>
        </is>
      </c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</row>
    <row r="40">
      <c r="A40" s="55" t="inlineStr">
        <is>
          <t>항목</t>
        </is>
      </c>
      <c r="B40" s="55" t="inlineStr">
        <is>
          <t>값</t>
        </is>
      </c>
      <c r="N40" s="55" t="inlineStr">
        <is>
          <t>출처</t>
        </is>
      </c>
    </row>
    <row r="41">
      <c r="A41" s="56" t="inlineStr">
        <is>
          <t>매출</t>
        </is>
      </c>
      <c r="B41" s="59" t="n">
        <v>99.86</v>
      </c>
      <c r="N41" s="58" t="inlineStr">
        <is>
          <t>2단계 보고서 자료(회사 설명회 자료·공시)</t>
        </is>
      </c>
    </row>
    <row r="42">
      <c r="A42" s="56" t="inlineStr">
        <is>
          <t>영업이익</t>
        </is>
      </c>
      <c r="B42" s="59" t="n">
        <v>6.6</v>
      </c>
    </row>
    <row r="43">
      <c r="A43" s="56" t="inlineStr">
        <is>
          <t>경상</t>
        </is>
      </c>
      <c r="B43" s="59" t="n">
        <v>6.64</v>
      </c>
    </row>
    <row r="44">
      <c r="A44" s="56" t="inlineStr">
        <is>
          <t>순이익</t>
        </is>
      </c>
      <c r="B44" s="59" t="n">
        <v>4.16</v>
      </c>
    </row>
    <row r="46">
      <c r="A46" s="54" t="inlineStr">
        <is>
          <t>가이던스 · 하반기함의</t>
        </is>
      </c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</row>
    <row r="47">
      <c r="A47" s="55" t="inlineStr">
        <is>
          <t>항목</t>
        </is>
      </c>
      <c r="B47" s="55" t="inlineStr">
        <is>
          <t>값</t>
        </is>
      </c>
      <c r="N47" s="55" t="inlineStr">
        <is>
          <t>출처</t>
        </is>
      </c>
    </row>
    <row r="48">
      <c r="A48" s="56" t="inlineStr">
        <is>
          <t>매출</t>
        </is>
      </c>
      <c r="B48" s="59" t="n">
        <v>116.1</v>
      </c>
      <c r="N48" s="58" t="inlineStr">
        <is>
          <t>2단계 보고서 자료(회사 설명회 자료·공시)</t>
        </is>
      </c>
    </row>
    <row r="49">
      <c r="A49" s="56" t="inlineStr">
        <is>
          <t>영업이익</t>
        </is>
      </c>
      <c r="B49" s="59" t="n">
        <v>10.4</v>
      </c>
    </row>
    <row r="51">
      <c r="A51" s="54" t="inlineStr">
        <is>
          <t>가이던스 · FY26하반기실적</t>
        </is>
      </c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</row>
    <row r="52">
      <c r="A52" s="55" t="inlineStr">
        <is>
          <t>항목</t>
        </is>
      </c>
      <c r="B52" s="55" t="inlineStr">
        <is>
          <t>값</t>
        </is>
      </c>
      <c r="N52" s="55" t="inlineStr">
        <is>
          <t>출처</t>
        </is>
      </c>
    </row>
    <row r="53">
      <c r="A53" s="56" t="inlineStr">
        <is>
          <t>매출</t>
        </is>
      </c>
      <c r="B53" s="59" t="n">
        <v>98.40000000000001</v>
      </c>
      <c r="N53" s="58" t="inlineStr">
        <is>
          <t>2단계 보고서 자료(회사 설명회 자료·공시)</t>
        </is>
      </c>
    </row>
    <row r="54">
      <c r="A54" s="56" t="inlineStr">
        <is>
          <t>영업이익</t>
        </is>
      </c>
      <c r="B54" s="59" t="n">
        <v>9.1</v>
      </c>
    </row>
    <row r="56">
      <c r="A56" s="54" t="inlineStr">
        <is>
          <t>연간_prep</t>
        </is>
      </c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</row>
    <row r="57">
      <c r="A57" s="55" t="inlineStr">
        <is>
          <t>항목</t>
        </is>
      </c>
      <c r="B57" s="55" t="inlineStr">
        <is>
          <t>2017</t>
        </is>
      </c>
      <c r="C57" s="55" t="inlineStr">
        <is>
          <t>2018</t>
        </is>
      </c>
      <c r="D57" s="55" t="inlineStr">
        <is>
          <t>2019</t>
        </is>
      </c>
      <c r="E57" s="55" t="inlineStr">
        <is>
          <t>2020</t>
        </is>
      </c>
      <c r="F57" s="55" t="inlineStr">
        <is>
          <t>2021</t>
        </is>
      </c>
      <c r="G57" s="55" t="inlineStr">
        <is>
          <t>2022</t>
        </is>
      </c>
      <c r="H57" s="55" t="inlineStr">
        <is>
          <t>2023</t>
        </is>
      </c>
      <c r="I57" s="55" t="inlineStr">
        <is>
          <t>2024</t>
        </is>
      </c>
      <c r="J57" s="55" t="inlineStr">
        <is>
          <t>2025</t>
        </is>
      </c>
      <c r="K57" s="55" t="inlineStr">
        <is>
          <t>2026</t>
        </is>
      </c>
      <c r="N57" s="55" t="inlineStr">
        <is>
          <t>출처</t>
        </is>
      </c>
    </row>
    <row r="58">
      <c r="A58" s="56" t="inlineStr">
        <is>
          <t>labels</t>
        </is>
      </c>
      <c r="B58" s="57" t="n">
        <v>2017</v>
      </c>
      <c r="C58" s="57" t="n">
        <v>2018</v>
      </c>
      <c r="D58" s="57" t="n">
        <v>2019</v>
      </c>
      <c r="E58" s="57" t="n">
        <v>2020</v>
      </c>
      <c r="F58" s="57" t="n">
        <v>2021</v>
      </c>
      <c r="G58" s="57" t="n">
        <v>2022</v>
      </c>
      <c r="H58" s="57" t="n">
        <v>2023</v>
      </c>
      <c r="I58" s="57" t="n">
        <v>2024</v>
      </c>
      <c r="J58" s="57" t="n">
        <v>2025</v>
      </c>
      <c r="K58" s="57" t="n">
        <v>2026</v>
      </c>
      <c r="N58" s="58" t="inlineStr">
        <is>
          <t>2단계 보고서 자료(회사 설명회 자료·공시)</t>
        </is>
      </c>
    </row>
    <row r="59">
      <c r="A59" s="56" t="inlineStr">
        <is>
          <t>매출</t>
        </is>
      </c>
      <c r="B59" s="59" t="n">
        <v>109.6</v>
      </c>
      <c r="C59" s="59" t="n">
        <v>129.8</v>
      </c>
      <c r="D59" s="59" t="n">
        <v>133.2</v>
      </c>
      <c r="E59" s="59" t="n">
        <v>135.7</v>
      </c>
      <c r="F59" s="59" t="n">
        <v>193.1</v>
      </c>
      <c r="G59" s="59" t="n">
        <v>168.3</v>
      </c>
      <c r="H59" s="59" t="n">
        <v>169.7</v>
      </c>
      <c r="I59" s="59" t="n">
        <v>160.6</v>
      </c>
      <c r="J59" s="59" t="n">
        <v>159.4</v>
      </c>
      <c r="K59" s="59" t="n">
        <v>181.3</v>
      </c>
    </row>
    <row r="60">
      <c r="A60" s="56" t="inlineStr">
        <is>
          <t>gp</t>
        </is>
      </c>
      <c r="B60" s="59" t="n">
        <v>57.4</v>
      </c>
      <c r="C60" s="59" t="n">
        <v>68.3</v>
      </c>
      <c r="D60" s="59" t="n">
        <v>71.8</v>
      </c>
      <c r="E60" s="59" t="n">
        <v>76.90000000000001</v>
      </c>
      <c r="F60" s="59" t="n">
        <v>116</v>
      </c>
      <c r="G60" s="59" t="n">
        <v>93.7</v>
      </c>
      <c r="H60" s="59" t="n">
        <v>84.7</v>
      </c>
      <c r="I60" s="59" t="n">
        <v>80</v>
      </c>
      <c r="J60" s="59" t="n">
        <v>81.59999999999999</v>
      </c>
      <c r="K60" s="59" t="n">
        <v>95.90000000000001</v>
      </c>
    </row>
    <row r="61">
      <c r="A61" s="56" t="inlineStr">
        <is>
          <t>sga</t>
        </is>
      </c>
      <c r="B61" s="59" t="n">
        <v>49.1</v>
      </c>
      <c r="C61" s="59" t="n">
        <v>62.7</v>
      </c>
      <c r="D61" s="59" t="n">
        <v>74.8</v>
      </c>
      <c r="E61" s="59" t="n">
        <v>75.7</v>
      </c>
      <c r="F61" s="59" t="n">
        <v>97.7</v>
      </c>
      <c r="G61" s="59" t="n">
        <v>87.8</v>
      </c>
      <c r="H61" s="59" t="n">
        <v>81.3</v>
      </c>
      <c r="I61" s="59" t="n">
        <v>72.2</v>
      </c>
      <c r="J61" s="59" t="n">
        <v>72.40000000000001</v>
      </c>
      <c r="K61" s="59" t="n">
        <v>82.3</v>
      </c>
    </row>
    <row r="62">
      <c r="A62" s="56" t="inlineStr">
        <is>
          <t>영업이익</t>
        </is>
      </c>
      <c r="B62" s="59" t="n">
        <v>8.300000000000001</v>
      </c>
      <c r="C62" s="59" t="n">
        <v>5.6</v>
      </c>
      <c r="D62" s="59" t="n">
        <v>-3</v>
      </c>
      <c r="E62" s="59" t="n">
        <v>1.2</v>
      </c>
      <c r="F62" s="59" t="n">
        <v>18.2</v>
      </c>
      <c r="G62" s="59" t="n">
        <v>6</v>
      </c>
      <c r="H62" s="59" t="n">
        <v>3.4</v>
      </c>
      <c r="I62" s="59" t="n">
        <v>7.7</v>
      </c>
      <c r="J62" s="59" t="n">
        <v>9.300000000000001</v>
      </c>
      <c r="K62" s="59" t="n">
        <v>13.5</v>
      </c>
    </row>
    <row r="63">
      <c r="A63" s="56" t="inlineStr">
        <is>
          <t>pbt</t>
        </is>
      </c>
      <c r="B63" s="59" t="n">
        <v>8.199999999999999</v>
      </c>
      <c r="C63" s="59" t="n">
        <v>5.7</v>
      </c>
      <c r="D63" s="59" t="n">
        <v>-3.2</v>
      </c>
      <c r="E63" s="59" t="n">
        <v>1</v>
      </c>
      <c r="F63" s="59" t="n">
        <v>18.5</v>
      </c>
      <c r="G63" s="59" t="n">
        <v>6.2</v>
      </c>
      <c r="H63" s="59" t="n">
        <v>2.4</v>
      </c>
      <c r="I63" s="59" t="n">
        <v>6.8</v>
      </c>
      <c r="J63" s="59" t="n">
        <v>9.4</v>
      </c>
      <c r="K63" s="59" t="n">
        <v>13.1</v>
      </c>
    </row>
    <row r="64">
      <c r="A64" s="56" t="inlineStr">
        <is>
          <t>순이익 owner</t>
        </is>
      </c>
      <c r="B64" s="59" t="n">
        <v>7.9</v>
      </c>
      <c r="C64" s="59" t="n">
        <v>3.4</v>
      </c>
      <c r="D64" s="59" t="n">
        <v>-2.4</v>
      </c>
      <c r="E64" s="59" t="n">
        <v>0.4</v>
      </c>
      <c r="F64" s="59" t="n">
        <v>11.6</v>
      </c>
      <c r="G64" s="59" t="n">
        <v>3.8</v>
      </c>
      <c r="H64" s="59" t="n">
        <v>1.2</v>
      </c>
      <c r="I64" s="59" t="n">
        <v>3.9</v>
      </c>
      <c r="J64" s="59" t="n">
        <v>5.9</v>
      </c>
      <c r="K64" s="59" t="n">
        <v>8.800000000000001</v>
      </c>
    </row>
    <row r="66">
      <c r="A66" s="54" t="inlineStr">
        <is>
          <t>분기_prep</t>
        </is>
      </c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</row>
    <row r="67">
      <c r="A67" s="55" t="inlineStr">
        <is>
          <t>항목</t>
        </is>
      </c>
      <c r="B67" s="55" t="inlineStr">
        <is>
          <t>2024.3Q</t>
        </is>
      </c>
      <c r="C67" s="55" t="inlineStr">
        <is>
          <t>2024.4Q</t>
        </is>
      </c>
      <c r="D67" s="55" t="inlineStr">
        <is>
          <t>2025.1Q</t>
        </is>
      </c>
      <c r="E67" s="55" t="inlineStr">
        <is>
          <t>2025.2Q</t>
        </is>
      </c>
      <c r="F67" s="55" t="inlineStr">
        <is>
          <t>2025.3Q</t>
        </is>
      </c>
      <c r="G67" s="55" t="inlineStr">
        <is>
          <t>2025.4Q</t>
        </is>
      </c>
      <c r="H67" s="55" t="inlineStr">
        <is>
          <t>2026.1Q</t>
        </is>
      </c>
      <c r="I67" s="55" t="inlineStr">
        <is>
          <t>2026.2Q</t>
        </is>
      </c>
      <c r="J67" s="55" t="inlineStr">
        <is>
          <t>2026.3Q</t>
        </is>
      </c>
      <c r="K67" s="55" t="inlineStr">
        <is>
          <t>2026.4Q</t>
        </is>
      </c>
      <c r="L67" s="55" t="inlineStr">
        <is>
          <t>2027.1Q</t>
        </is>
      </c>
      <c r="M67" s="55" t="inlineStr">
        <is>
          <t>2027.2Q</t>
        </is>
      </c>
      <c r="N67" s="55" t="inlineStr">
        <is>
          <t>출처</t>
        </is>
      </c>
    </row>
    <row r="68">
      <c r="A68" s="56" t="inlineStr">
        <is>
          <t>매출</t>
        </is>
      </c>
      <c r="B68" s="59" t="n">
        <v>39.1</v>
      </c>
      <c r="C68" s="59" t="n">
        <v>42.5</v>
      </c>
      <c r="D68" s="59" t="n">
        <v>36</v>
      </c>
      <c r="E68" s="59" t="n">
        <v>35.3</v>
      </c>
      <c r="F68" s="59" t="n">
        <v>41.1</v>
      </c>
      <c r="G68" s="59" t="n">
        <v>47</v>
      </c>
      <c r="H68" s="59" t="n">
        <v>43.5</v>
      </c>
      <c r="I68" s="59" t="n">
        <v>39.4</v>
      </c>
      <c r="J68" s="59" t="n">
        <v>44.6</v>
      </c>
      <c r="K68" s="59" t="n">
        <v>53.8</v>
      </c>
      <c r="L68" s="59" t="n">
        <v>49.9</v>
      </c>
      <c r="M68" s="59" t="n">
        <v>49.9</v>
      </c>
      <c r="N68" s="58" t="inlineStr">
        <is>
          <t>2단계 보고서 자료(회사 설명회 자료·공시)</t>
        </is>
      </c>
    </row>
    <row r="69">
      <c r="A69" s="56" t="inlineStr">
        <is>
          <t>gp</t>
        </is>
      </c>
      <c r="B69" s="59" t="n">
        <v>19.6</v>
      </c>
      <c r="C69" s="59" t="n">
        <v>22.1</v>
      </c>
      <c r="D69" s="59" t="n">
        <v>18.8</v>
      </c>
      <c r="E69" s="59" t="n">
        <v>17.9</v>
      </c>
      <c r="F69" s="59" t="n">
        <v>20.8</v>
      </c>
      <c r="G69" s="59" t="n">
        <v>24.1</v>
      </c>
      <c r="H69" s="59" t="n">
        <v>22.5</v>
      </c>
      <c r="I69" s="59" t="n">
        <v>20.6</v>
      </c>
      <c r="J69" s="59" t="n">
        <v>23.8</v>
      </c>
      <c r="K69" s="59" t="n">
        <v>29</v>
      </c>
      <c r="L69" s="59" t="n">
        <v>26.7</v>
      </c>
      <c r="M69" s="59" t="n">
        <v>26.8</v>
      </c>
    </row>
    <row r="70">
      <c r="A70" s="56" t="inlineStr">
        <is>
          <t>sga</t>
        </is>
      </c>
      <c r="B70" s="59" t="n">
        <v>16.9</v>
      </c>
      <c r="C70" s="59" t="n">
        <v>17.4</v>
      </c>
      <c r="D70" s="59" t="n">
        <v>16.8</v>
      </c>
      <c r="E70" s="59" t="n">
        <v>17</v>
      </c>
      <c r="F70" s="59" t="n">
        <v>18.6</v>
      </c>
      <c r="G70" s="59" t="n">
        <v>19.9</v>
      </c>
      <c r="H70" s="59" t="n">
        <v>19.8</v>
      </c>
      <c r="I70" s="59" t="n">
        <v>18.8</v>
      </c>
      <c r="J70" s="59" t="n">
        <v>20.4</v>
      </c>
      <c r="K70" s="59" t="n">
        <v>23.2</v>
      </c>
      <c r="L70" s="59" t="n">
        <v>23.1</v>
      </c>
      <c r="M70" s="59" t="n">
        <v>23.7</v>
      </c>
    </row>
    <row r="71">
      <c r="A71" s="56" t="inlineStr">
        <is>
          <t>영업이익</t>
        </is>
      </c>
      <c r="B71" s="59" t="n">
        <v>2.7</v>
      </c>
      <c r="C71" s="59" t="n">
        <v>4.7</v>
      </c>
      <c r="D71" s="59" t="n">
        <v>2</v>
      </c>
      <c r="E71" s="59" t="n">
        <v>0.9</v>
      </c>
      <c r="F71" s="59" t="n">
        <v>2.1</v>
      </c>
      <c r="G71" s="59" t="n">
        <v>4.2</v>
      </c>
      <c r="H71" s="59" t="n">
        <v>2.6</v>
      </c>
      <c r="I71" s="59" t="n">
        <v>1.8</v>
      </c>
      <c r="J71" s="59" t="n">
        <v>3.3</v>
      </c>
      <c r="K71" s="59" t="n">
        <v>5.8</v>
      </c>
      <c r="L71" s="59" t="n">
        <v>3.5</v>
      </c>
      <c r="M71" s="59" t="n">
        <v>3.1</v>
      </c>
    </row>
    <row r="72">
      <c r="A72" s="56" t="inlineStr">
        <is>
          <t>pbt</t>
        </is>
      </c>
      <c r="B72" s="59" t="n">
        <v>1.8</v>
      </c>
      <c r="C72" s="59" t="n">
        <v>4.6</v>
      </c>
      <c r="D72" s="59" t="n">
        <v>2</v>
      </c>
      <c r="E72" s="59" t="n">
        <v>1</v>
      </c>
      <c r="F72" s="59" t="n">
        <v>2.1</v>
      </c>
      <c r="G72" s="59" t="n">
        <v>4.3</v>
      </c>
      <c r="H72" s="59" t="n">
        <v>2.7</v>
      </c>
      <c r="I72" s="59" t="n">
        <v>1.8</v>
      </c>
      <c r="J72" s="59" t="n">
        <v>3.4</v>
      </c>
      <c r="K72" s="59" t="n">
        <v>5.3</v>
      </c>
      <c r="L72" s="59" t="n">
        <v>3.5</v>
      </c>
      <c r="M72" s="59" t="n">
        <v>3.1</v>
      </c>
    </row>
    <row r="73">
      <c r="A73" s="56" t="inlineStr">
        <is>
          <t>순이익 owner</t>
        </is>
      </c>
      <c r="B73" s="59" t="n">
        <v>0.9</v>
      </c>
      <c r="C73" s="59" t="n">
        <v>2.8</v>
      </c>
      <c r="D73" s="59" t="n">
        <v>1.3</v>
      </c>
      <c r="E73" s="59" t="n">
        <v>0.6</v>
      </c>
      <c r="F73" s="59" t="n">
        <v>1.4</v>
      </c>
      <c r="G73" s="59" t="n">
        <v>2.6</v>
      </c>
      <c r="H73" s="59" t="n">
        <v>1.8</v>
      </c>
      <c r="I73" s="59" t="n">
        <v>1.2</v>
      </c>
      <c r="J73" s="59" t="n">
        <v>2.1</v>
      </c>
      <c r="K73" s="59" t="n">
        <v>3.7</v>
      </c>
      <c r="L73" s="59" t="n">
        <v>2.2</v>
      </c>
      <c r="M73" s="59" t="n">
        <v>2</v>
      </c>
    </row>
    <row r="75">
      <c r="A75" s="54" t="inlineStr">
        <is>
          <t>bs annual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</row>
    <row r="76">
      <c r="A76" s="55" t="inlineStr">
        <is>
          <t>항목</t>
        </is>
      </c>
      <c r="B76" s="55" t="inlineStr">
        <is>
          <t>2022</t>
        </is>
      </c>
      <c r="C76" s="55" t="inlineStr">
        <is>
          <t>2023</t>
        </is>
      </c>
      <c r="D76" s="55" t="inlineStr">
        <is>
          <t>2024</t>
        </is>
      </c>
      <c r="E76" s="55" t="inlineStr">
        <is>
          <t>2025</t>
        </is>
      </c>
      <c r="F76" s="55" t="inlineStr">
        <is>
          <t>2026</t>
        </is>
      </c>
      <c r="N76" s="55" t="inlineStr">
        <is>
          <t>출처</t>
        </is>
      </c>
    </row>
    <row r="77">
      <c r="A77" s="56" t="inlineStr">
        <is>
          <t>labels</t>
        </is>
      </c>
      <c r="B77" s="57" t="n">
        <v>2022</v>
      </c>
      <c r="C77" s="57" t="n">
        <v>2023</v>
      </c>
      <c r="D77" s="57" t="n">
        <v>2024</v>
      </c>
      <c r="E77" s="57" t="n">
        <v>2025</v>
      </c>
      <c r="F77" s="57" t="n">
        <v>2026</v>
      </c>
      <c r="N77" s="58" t="inlineStr">
        <is>
          <t>2단계 보고서 자료(회사 설명회 자료·공시)</t>
        </is>
      </c>
    </row>
    <row r="78">
      <c r="A78" s="56" t="inlineStr">
        <is>
          <t>current assets</t>
        </is>
      </c>
      <c r="B78" s="59" t="n">
        <v>66.8</v>
      </c>
      <c r="C78" s="59" t="n">
        <v>59.6</v>
      </c>
      <c r="D78" s="59" t="n">
        <v>61.5</v>
      </c>
      <c r="E78" s="59" t="n">
        <v>66.09999999999999</v>
      </c>
      <c r="F78" s="59" t="n">
        <v>71.8</v>
      </c>
    </row>
    <row r="79">
      <c r="A79" s="56" t="inlineStr">
        <is>
          <t>cash</t>
        </is>
      </c>
      <c r="B79" s="59" t="n">
        <v>10.7</v>
      </c>
      <c r="C79" s="59" t="n">
        <v>18.9</v>
      </c>
      <c r="D79" s="59" t="n">
        <v>17.5</v>
      </c>
      <c r="E79" s="59" t="n">
        <v>18.4</v>
      </c>
      <c r="F79" s="59" t="n">
        <v>19</v>
      </c>
    </row>
    <row r="80">
      <c r="A80" s="56" t="inlineStr">
        <is>
          <t>st fin</t>
        </is>
      </c>
      <c r="B80" s="60" t="n"/>
      <c r="C80" s="60" t="n"/>
      <c r="D80" s="60" t="n"/>
      <c r="E80" s="60" t="n"/>
      <c r="F80" s="60" t="n"/>
    </row>
    <row r="81">
      <c r="A81" s="56" t="inlineStr">
        <is>
          <t>receivables</t>
        </is>
      </c>
      <c r="B81" s="59" t="n">
        <v>18.7</v>
      </c>
      <c r="C81" s="59" t="n">
        <v>18.1</v>
      </c>
      <c r="D81" s="59" t="n">
        <v>17.4</v>
      </c>
      <c r="E81" s="59" t="n">
        <v>20.2</v>
      </c>
      <c r="F81" s="59" t="n">
        <v>22</v>
      </c>
    </row>
    <row r="82">
      <c r="A82" s="56" t="inlineStr">
        <is>
          <t>inventory</t>
        </is>
      </c>
      <c r="B82" s="59" t="n">
        <v>29.9</v>
      </c>
      <c r="C82" s="59" t="n">
        <v>18.2</v>
      </c>
      <c r="D82" s="59" t="n">
        <v>21.1</v>
      </c>
      <c r="E82" s="59" t="n">
        <v>23.1</v>
      </c>
      <c r="F82" s="59" t="n">
        <v>25.2</v>
      </c>
    </row>
    <row r="83">
      <c r="A83" s="56" t="inlineStr">
        <is>
          <t>noncurrent assets</t>
        </is>
      </c>
      <c r="B83" s="59" t="n">
        <v>13.4</v>
      </c>
      <c r="C83" s="59" t="n">
        <v>12</v>
      </c>
      <c r="D83" s="59" t="n">
        <v>10.6</v>
      </c>
      <c r="E83" s="59" t="n">
        <v>14.6</v>
      </c>
      <c r="F83" s="59" t="n">
        <v>22.1</v>
      </c>
    </row>
    <row r="84">
      <c r="A84" s="56" t="inlineStr">
        <is>
          <t>ppe</t>
        </is>
      </c>
      <c r="B84" s="59" t="n">
        <v>2.1</v>
      </c>
      <c r="C84" s="59" t="n">
        <v>2.1</v>
      </c>
      <c r="D84" s="59" t="n">
        <v>2.3</v>
      </c>
      <c r="E84" s="59" t="n">
        <v>4.9</v>
      </c>
      <c r="F84" s="59" t="n">
        <v>7.1</v>
      </c>
    </row>
    <row r="85">
      <c r="A85" s="56" t="inlineStr">
        <is>
          <t>intangibles</t>
        </is>
      </c>
      <c r="B85" s="59" t="n">
        <v>2.9</v>
      </c>
      <c r="C85" s="59" t="n">
        <v>3.1</v>
      </c>
      <c r="D85" s="59" t="n">
        <v>2.8</v>
      </c>
      <c r="E85" s="59" t="n">
        <v>2</v>
      </c>
      <c r="F85" s="59" t="n">
        <v>3.3</v>
      </c>
    </row>
    <row r="86">
      <c r="A86" s="56" t="inlineStr">
        <is>
          <t>inv property</t>
        </is>
      </c>
      <c r="B86" s="60" t="n"/>
      <c r="C86" s="60" t="n"/>
      <c r="D86" s="60" t="n"/>
      <c r="E86" s="60" t="n"/>
      <c r="F86" s="60" t="n"/>
    </row>
    <row r="87">
      <c r="A87" s="56" t="inlineStr">
        <is>
          <t>합계 assets</t>
        </is>
      </c>
      <c r="B87" s="59" t="n">
        <v>80.2</v>
      </c>
      <c r="C87" s="59" t="n">
        <v>71.5</v>
      </c>
      <c r="D87" s="59" t="n">
        <v>72.09999999999999</v>
      </c>
      <c r="E87" s="59" t="n">
        <v>80.7</v>
      </c>
      <c r="F87" s="59" t="n">
        <v>93.90000000000001</v>
      </c>
    </row>
    <row r="88">
      <c r="A88" s="56" t="inlineStr">
        <is>
          <t>current liab</t>
        </is>
      </c>
      <c r="B88" s="59" t="n">
        <v>27</v>
      </c>
      <c r="C88" s="59" t="n">
        <v>18</v>
      </c>
      <c r="D88" s="59" t="n">
        <v>15.9</v>
      </c>
      <c r="E88" s="59" t="n">
        <v>20</v>
      </c>
      <c r="F88" s="59" t="n">
        <v>19.9</v>
      </c>
    </row>
    <row r="89">
      <c r="A89" s="56" t="inlineStr">
        <is>
          <t>payables</t>
        </is>
      </c>
      <c r="B89" s="59" t="n">
        <v>2.9</v>
      </c>
      <c r="C89" s="59" t="n">
        <v>2.7</v>
      </c>
      <c r="D89" s="59" t="n">
        <v>2.4</v>
      </c>
      <c r="E89" s="59" t="n">
        <v>3.7</v>
      </c>
      <c r="F89" s="59" t="n">
        <v>3.8</v>
      </c>
    </row>
    <row r="90">
      <c r="A90" s="56" t="inlineStr">
        <is>
          <t>st debt</t>
        </is>
      </c>
      <c r="B90" s="59" t="n">
        <v>10</v>
      </c>
      <c r="C90" s="59" t="n">
        <v>0</v>
      </c>
      <c r="D90" s="60" t="n"/>
      <c r="E90" s="60" t="n"/>
      <c r="F90" s="60" t="n"/>
    </row>
    <row r="91">
      <c r="A91" s="56" t="inlineStr">
        <is>
          <t>noncurrent liab</t>
        </is>
      </c>
      <c r="B91" s="59" t="n">
        <v>0.5</v>
      </c>
      <c r="C91" s="59" t="n">
        <v>0.5</v>
      </c>
      <c r="D91" s="59" t="n">
        <v>0.6</v>
      </c>
      <c r="E91" s="59" t="n">
        <v>1.1</v>
      </c>
      <c r="F91" s="59" t="n">
        <v>1.7</v>
      </c>
    </row>
    <row r="92">
      <c r="A92" s="56" t="inlineStr">
        <is>
          <t>lt debt</t>
        </is>
      </c>
      <c r="B92" s="60" t="n"/>
      <c r="C92" s="60" t="n"/>
      <c r="D92" s="60" t="n"/>
      <c r="E92" s="60" t="n"/>
      <c r="F92" s="60" t="n"/>
    </row>
    <row r="93">
      <c r="A93" s="56" t="inlineStr">
        <is>
          <t>bonds</t>
        </is>
      </c>
      <c r="B93" s="60" t="n"/>
      <c r="C93" s="60" t="n"/>
      <c r="D93" s="60" t="n"/>
      <c r="E93" s="60" t="n"/>
      <c r="F93" s="60" t="n"/>
    </row>
    <row r="94">
      <c r="A94" s="56" t="inlineStr">
        <is>
          <t>합계 liab</t>
        </is>
      </c>
      <c r="B94" s="59" t="n">
        <v>27.5</v>
      </c>
      <c r="C94" s="59" t="n">
        <v>18.5</v>
      </c>
      <c r="D94" s="59" t="n">
        <v>16.4</v>
      </c>
      <c r="E94" s="59" t="n">
        <v>21.1</v>
      </c>
      <c r="F94" s="59" t="n">
        <v>21.5</v>
      </c>
    </row>
    <row r="95">
      <c r="A95" s="56" t="inlineStr">
        <is>
          <t>capital stock</t>
        </is>
      </c>
      <c r="B95" s="59" t="n">
        <v>10.3</v>
      </c>
      <c r="C95" s="59" t="n">
        <v>10.3</v>
      </c>
      <c r="D95" s="59" t="n">
        <v>10.4</v>
      </c>
      <c r="E95" s="59" t="n">
        <v>10.4</v>
      </c>
      <c r="F95" s="59" t="n">
        <v>10.6</v>
      </c>
    </row>
    <row r="96">
      <c r="A96" s="56" t="inlineStr">
        <is>
          <t>retained</t>
        </is>
      </c>
      <c r="B96" s="59" t="n">
        <v>34.4</v>
      </c>
      <c r="C96" s="59" t="n">
        <v>34.6</v>
      </c>
      <c r="D96" s="59" t="n">
        <v>37.5</v>
      </c>
      <c r="E96" s="59" t="n">
        <v>42.3</v>
      </c>
      <c r="F96" s="59" t="n">
        <v>50</v>
      </c>
    </row>
    <row r="97">
      <c r="A97" s="56" t="inlineStr">
        <is>
          <t>nci</t>
        </is>
      </c>
      <c r="B97" s="60" t="n"/>
      <c r="C97" s="60" t="n"/>
      <c r="D97" s="60" t="n"/>
      <c r="E97" s="60" t="n"/>
      <c r="F97" s="60" t="n"/>
    </row>
    <row r="98">
      <c r="A98" s="56" t="inlineStr">
        <is>
          <t>합계 equity</t>
        </is>
      </c>
      <c r="B98" s="59" t="n">
        <v>52.7</v>
      </c>
      <c r="C98" s="59" t="n">
        <v>53</v>
      </c>
      <c r="D98" s="59" t="n">
        <v>55.7</v>
      </c>
      <c r="E98" s="59" t="n">
        <v>59.6</v>
      </c>
      <c r="F98" s="59" t="n">
        <v>72.40000000000001</v>
      </c>
    </row>
    <row r="99">
      <c r="A99" s="56" t="inlineStr">
        <is>
          <t>current ltd</t>
        </is>
      </c>
      <c r="B99" s="60" t="n"/>
      <c r="C99" s="60" t="n"/>
      <c r="D99" s="60" t="n"/>
      <c r="E99" s="60" t="n"/>
      <c r="F99" s="60" t="n"/>
    </row>
    <row r="100">
      <c r="A100" s="56" t="inlineStr">
        <is>
          <t>equity owner</t>
        </is>
      </c>
      <c r="B100" s="59" t="n">
        <v>52.7</v>
      </c>
      <c r="C100" s="59" t="n">
        <v>53</v>
      </c>
      <c r="D100" s="59" t="n">
        <v>55.7</v>
      </c>
      <c r="E100" s="59" t="n">
        <v>59.6</v>
      </c>
      <c r="F100" s="59" t="n">
        <v>72.40000000000001</v>
      </c>
    </row>
    <row r="102">
      <c r="A102" s="54" t="inlineStr">
        <is>
          <t>cf annual</t>
        </is>
      </c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</row>
    <row r="103">
      <c r="A103" s="55" t="inlineStr">
        <is>
          <t>항목</t>
        </is>
      </c>
      <c r="B103" s="55" t="inlineStr">
        <is>
          <t>2022</t>
        </is>
      </c>
      <c r="C103" s="55" t="inlineStr">
        <is>
          <t>2023</t>
        </is>
      </c>
      <c r="D103" s="55" t="inlineStr">
        <is>
          <t>2024</t>
        </is>
      </c>
      <c r="E103" s="55" t="inlineStr">
        <is>
          <t>2025</t>
        </is>
      </c>
      <c r="F103" s="55" t="inlineStr">
        <is>
          <t>2026</t>
        </is>
      </c>
      <c r="N103" s="55" t="inlineStr">
        <is>
          <t>출처</t>
        </is>
      </c>
    </row>
    <row r="104">
      <c r="A104" s="56" t="inlineStr">
        <is>
          <t>labels</t>
        </is>
      </c>
      <c r="B104" s="57" t="n">
        <v>2022</v>
      </c>
      <c r="C104" s="57" t="n">
        <v>2023</v>
      </c>
      <c r="D104" s="57" t="n">
        <v>2024</v>
      </c>
      <c r="E104" s="57" t="n">
        <v>2025</v>
      </c>
      <c r="F104" s="57" t="n">
        <v>2026</v>
      </c>
      <c r="N104" s="58" t="inlineStr">
        <is>
          <t>2단계 보고서 자료(회사 설명회 자료·공시)</t>
        </is>
      </c>
    </row>
    <row r="105">
      <c r="A105" s="56" t="inlineStr">
        <is>
          <t>ocf</t>
        </is>
      </c>
      <c r="B105" s="59" t="n">
        <v>-19.2</v>
      </c>
      <c r="C105" s="59" t="n">
        <v>20.4</v>
      </c>
      <c r="D105" s="59" t="n">
        <v>2.6</v>
      </c>
      <c r="E105" s="59" t="n">
        <v>7.2</v>
      </c>
      <c r="F105" s="59" t="n">
        <v>9.1</v>
      </c>
    </row>
    <row r="106">
      <c r="A106" s="56" t="inlineStr">
        <is>
          <t>설비투자</t>
        </is>
      </c>
      <c r="B106" s="59" t="n">
        <v>1.3</v>
      </c>
      <c r="C106" s="59" t="n">
        <v>2.1</v>
      </c>
      <c r="D106" s="59" t="n">
        <v>1.6</v>
      </c>
      <c r="E106" s="59" t="n">
        <v>3.1</v>
      </c>
      <c r="F106" s="59" t="n">
        <v>5.9</v>
      </c>
    </row>
    <row r="107">
      <c r="A107" s="56" t="inlineStr">
        <is>
          <t>dividends</t>
        </is>
      </c>
      <c r="B107" s="59" t="n">
        <v>0.9</v>
      </c>
      <c r="C107" s="59" t="n">
        <v>1</v>
      </c>
      <c r="D107" s="59" t="n">
        <v>1.1</v>
      </c>
      <c r="E107" s="59" t="n">
        <v>1</v>
      </c>
      <c r="F107" s="59" t="n">
        <v>1.1</v>
      </c>
    </row>
    <row r="109">
      <c r="A109" s="54" t="inlineStr">
        <is>
          <t>bm_detail · 사업KPI</t>
        </is>
      </c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</row>
    <row r="110">
      <c r="A110" s="55" t="inlineStr">
        <is>
          <t>항목</t>
        </is>
      </c>
      <c r="B110" s="55" t="inlineStr">
        <is>
          <t>값</t>
        </is>
      </c>
      <c r="N110" s="55" t="inlineStr">
        <is>
          <t>출처</t>
        </is>
      </c>
    </row>
    <row r="111">
      <c r="A111" s="56" t="inlineStr">
        <is>
          <t>앱DL천건</t>
        </is>
      </c>
      <c r="B111" s="57" t="n">
        <v>2200</v>
      </c>
      <c r="N111" s="58" t="inlineStr">
        <is>
          <t>설명회 자료 140120261029560082 p13,15,16,17,18,29</t>
        </is>
      </c>
    </row>
    <row r="112">
      <c r="A112" s="56" t="inlineStr">
        <is>
          <t>SNS팔로워천</t>
        </is>
      </c>
      <c r="B112" s="57" t="n">
        <v>3054</v>
      </c>
    </row>
    <row r="114">
      <c r="A114" s="54" t="inlineStr">
        <is>
          <t>월차 · LOWYA매출_백만엔</t>
        </is>
      </c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</row>
    <row r="115">
      <c r="A115" s="55" t="inlineStr">
        <is>
          <t>항목</t>
        </is>
      </c>
      <c r="B115" s="55" t="inlineStr">
        <is>
          <t>값</t>
        </is>
      </c>
      <c r="N115" s="55" t="inlineStr">
        <is>
          <t>출처</t>
        </is>
      </c>
    </row>
    <row r="116">
      <c r="A116" s="56" t="inlineStr">
        <is>
          <t>25.04</t>
        </is>
      </c>
      <c r="B116" s="57" t="n">
        <v>1604</v>
      </c>
      <c r="N116" s="58" t="inlineStr">
        <is>
          <t>2단계 보고서 자료(회사 설명회 자료·공시)</t>
        </is>
      </c>
    </row>
    <row r="117">
      <c r="A117" s="56" t="inlineStr">
        <is>
          <t>25.05</t>
        </is>
      </c>
      <c r="B117" s="57" t="n">
        <v>1376</v>
      </c>
    </row>
    <row r="118">
      <c r="A118" s="56" t="inlineStr">
        <is>
          <t>25.06</t>
        </is>
      </c>
      <c r="B118" s="57" t="n">
        <v>1281</v>
      </c>
    </row>
    <row r="119">
      <c r="A119" s="56" t="inlineStr">
        <is>
          <t>25.07</t>
        </is>
      </c>
      <c r="B119" s="57" t="n">
        <v>1415</v>
      </c>
    </row>
    <row r="120">
      <c r="A120" s="56" t="inlineStr">
        <is>
          <t>25.08</t>
        </is>
      </c>
      <c r="B120" s="57" t="n">
        <v>1169</v>
      </c>
    </row>
    <row r="121">
      <c r="A121" s="56" t="inlineStr">
        <is>
          <t>25.09</t>
        </is>
      </c>
      <c r="B121" s="57" t="n">
        <v>1265</v>
      </c>
    </row>
    <row r="122">
      <c r="A122" s="56" t="inlineStr">
        <is>
          <t>25.10</t>
        </is>
      </c>
      <c r="B122" s="57" t="n">
        <v>1277</v>
      </c>
    </row>
    <row r="123">
      <c r="A123" s="56" t="inlineStr">
        <is>
          <t>25.11</t>
        </is>
      </c>
      <c r="B123" s="57" t="n">
        <v>1355</v>
      </c>
    </row>
    <row r="124">
      <c r="A124" s="56" t="inlineStr">
        <is>
          <t>25.12</t>
        </is>
      </c>
      <c r="B124" s="57" t="n">
        <v>1740</v>
      </c>
    </row>
    <row r="125">
      <c r="A125" s="56" t="inlineStr">
        <is>
          <t>26.01</t>
        </is>
      </c>
      <c r="B125" s="57" t="n">
        <v>1617</v>
      </c>
    </row>
    <row r="126">
      <c r="A126" s="56" t="inlineStr">
        <is>
          <t>26.02</t>
        </is>
      </c>
      <c r="B126" s="57" t="n">
        <v>1524</v>
      </c>
    </row>
    <row r="127">
      <c r="A127" s="56" t="inlineStr">
        <is>
          <t>26.03</t>
        </is>
      </c>
      <c r="B127" s="57" t="n">
        <v>2161</v>
      </c>
    </row>
    <row r="128">
      <c r="A128" s="56" t="inlineStr">
        <is>
          <t>26.04</t>
        </is>
      </c>
      <c r="B128" s="57" t="n">
        <v>1810</v>
      </c>
    </row>
    <row r="129">
      <c r="A129" s="56" t="inlineStr">
        <is>
          <t>26.05</t>
        </is>
      </c>
      <c r="B129" s="57" t="n">
        <v>1564</v>
      </c>
    </row>
    <row r="130">
      <c r="A130" s="56" t="inlineStr">
        <is>
          <t>26.06</t>
        </is>
      </c>
      <c r="B130" s="57" t="n">
        <v>1543</v>
      </c>
    </row>
    <row r="131">
      <c r="A131" s="56" t="inlineStr">
        <is>
          <t>26.07</t>
        </is>
      </c>
      <c r="B131" s="57" t="n">
        <v>1764</v>
      </c>
    </row>
    <row r="132">
      <c r="A132" s="56" t="inlineStr">
        <is>
          <t>26.08</t>
        </is>
      </c>
      <c r="B132" s="57" t="n">
        <v>1489</v>
      </c>
    </row>
    <row r="133">
      <c r="A133" s="56" t="inlineStr">
        <is>
          <t>26.09</t>
        </is>
      </c>
      <c r="B133" s="57" t="n">
        <v>1670</v>
      </c>
    </row>
    <row r="135">
      <c r="A135" s="54" t="inlineStr">
        <is>
          <t>월차 · 점포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</row>
    <row r="136">
      <c r="A136" s="55" t="inlineStr">
        <is>
          <t>항목</t>
        </is>
      </c>
      <c r="B136" s="55" t="inlineStr">
        <is>
          <t>값</t>
        </is>
      </c>
      <c r="N136" s="55" t="inlineStr">
        <is>
          <t>출처</t>
        </is>
      </c>
    </row>
    <row r="137">
      <c r="A137" s="56" t="inlineStr">
        <is>
          <t>25.09</t>
        </is>
      </c>
      <c r="B137" s="57" t="n">
        <v>10</v>
      </c>
      <c r="N137" s="58" t="inlineStr">
        <is>
          <t>2단계 보고서 자료(회사 설명회 자료·공시)</t>
        </is>
      </c>
    </row>
    <row r="138">
      <c r="A138" s="56" t="inlineStr">
        <is>
          <t>25.10</t>
        </is>
      </c>
      <c r="B138" s="57" t="n">
        <v>10</v>
      </c>
    </row>
    <row r="139">
      <c r="A139" s="56" t="inlineStr">
        <is>
          <t>25.11</t>
        </is>
      </c>
      <c r="B139" s="57" t="n">
        <v>11</v>
      </c>
    </row>
    <row r="140">
      <c r="A140" s="56" t="inlineStr">
        <is>
          <t>25.12</t>
        </is>
      </c>
      <c r="B140" s="57" t="n">
        <v>13</v>
      </c>
    </row>
    <row r="141">
      <c r="A141" s="56" t="inlineStr">
        <is>
          <t>26.01</t>
        </is>
      </c>
      <c r="B141" s="57" t="n">
        <v>13</v>
      </c>
    </row>
    <row r="142">
      <c r="A142" s="56" t="inlineStr">
        <is>
          <t>26.02</t>
        </is>
      </c>
      <c r="B142" s="57" t="n">
        <v>13</v>
      </c>
    </row>
    <row r="143">
      <c r="A143" s="56" t="inlineStr">
        <is>
          <t>26.03</t>
        </is>
      </c>
      <c r="B143" s="57" t="n">
        <v>13</v>
      </c>
    </row>
    <row r="144">
      <c r="A144" s="56" t="inlineStr">
        <is>
          <t>26.04</t>
        </is>
      </c>
      <c r="B144" s="57" t="n">
        <v>15</v>
      </c>
    </row>
    <row r="145">
      <c r="A145" s="56" t="inlineStr">
        <is>
          <t>26.05</t>
        </is>
      </c>
      <c r="B145" s="57" t="n">
        <v>15</v>
      </c>
    </row>
    <row r="146">
      <c r="A146" s="56" t="inlineStr">
        <is>
          <t>26.06</t>
        </is>
      </c>
      <c r="B146" s="57" t="n">
        <v>16</v>
      </c>
    </row>
    <row r="147">
      <c r="A147" s="56" t="inlineStr">
        <is>
          <t>26.07</t>
        </is>
      </c>
      <c r="B147" s="57" t="n">
        <v>17</v>
      </c>
    </row>
    <row r="148">
      <c r="A148" s="56" t="inlineStr">
        <is>
          <t>26.08</t>
        </is>
      </c>
      <c r="B148" s="57" t="n">
        <v>17</v>
      </c>
    </row>
    <row r="149">
      <c r="A149" s="56" t="inlineStr">
        <is>
          <t>26.09</t>
        </is>
      </c>
      <c r="B149" s="57" t="n">
        <v>18</v>
      </c>
    </row>
    <row r="151">
      <c r="A151" s="54" t="inlineStr">
        <is>
          <t>reactions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  <c r="N151" s="54" t="n"/>
    </row>
    <row r="152">
      <c r="A152" s="55" t="inlineStr">
        <is>
          <t>항목</t>
        </is>
      </c>
      <c r="B152" s="55" t="inlineStr">
        <is>
          <t>기준일</t>
        </is>
      </c>
      <c r="C152" s="55" t="inlineStr">
        <is>
          <t>다음날</t>
        </is>
      </c>
      <c r="D152" s="55" t="inlineStr">
        <is>
          <t>등락%</t>
        </is>
      </c>
      <c r="N152" s="55" t="inlineStr">
        <is>
          <t>출처</t>
        </is>
      </c>
    </row>
    <row r="153">
      <c r="A153" s="56" t="inlineStr">
        <is>
          <t>2025-01-31</t>
        </is>
      </c>
      <c r="B153" s="60" t="inlineStr">
        <is>
          <t>2025-01-31</t>
        </is>
      </c>
      <c r="C153" s="60" t="inlineStr">
        <is>
          <t>2025-02-03</t>
        </is>
      </c>
      <c r="D153" s="59" t="n">
        <v>-8.300000000000001</v>
      </c>
      <c r="N153" s="58" t="inlineStr">
        <is>
          <t>2단계 보고서 자료(회사 설명회 자료·공시)</t>
        </is>
      </c>
    </row>
    <row r="154">
      <c r="A154" s="56" t="inlineStr">
        <is>
          <t>2025-05-15</t>
        </is>
      </c>
      <c r="B154" s="60" t="inlineStr">
        <is>
          <t>2025-05-15</t>
        </is>
      </c>
      <c r="C154" s="60" t="inlineStr">
        <is>
          <t>2025-05-16</t>
        </is>
      </c>
      <c r="D154" s="59" t="n">
        <v>-1.6</v>
      </c>
    </row>
    <row r="155">
      <c r="A155" s="56" t="inlineStr">
        <is>
          <t>2025-07-31</t>
        </is>
      </c>
      <c r="B155" s="60" t="inlineStr">
        <is>
          <t>2025-07-31</t>
        </is>
      </c>
      <c r="C155" s="60" t="inlineStr">
        <is>
          <t>2025-08-01</t>
        </is>
      </c>
      <c r="D155" s="59" t="n">
        <v>-4.4</v>
      </c>
    </row>
    <row r="156">
      <c r="A156" s="56" t="inlineStr">
        <is>
          <t>2025-10-31</t>
        </is>
      </c>
      <c r="B156" s="60" t="inlineStr">
        <is>
          <t>2025-10-31</t>
        </is>
      </c>
      <c r="C156" s="60" t="inlineStr">
        <is>
          <t>2025-11-04</t>
        </is>
      </c>
      <c r="D156" s="59" t="n">
        <v>5</v>
      </c>
    </row>
    <row r="157">
      <c r="A157" s="56" t="inlineStr">
        <is>
          <t>2026-01-30</t>
        </is>
      </c>
      <c r="B157" s="60" t="inlineStr">
        <is>
          <t>2026-01-30</t>
        </is>
      </c>
      <c r="C157" s="60" t="inlineStr">
        <is>
          <t>2026-02-02</t>
        </is>
      </c>
      <c r="D157" s="59" t="n">
        <v>2.7</v>
      </c>
    </row>
    <row r="158">
      <c r="A158" s="56" t="inlineStr">
        <is>
          <t>2026-05-15</t>
        </is>
      </c>
      <c r="B158" s="60" t="inlineStr">
        <is>
          <t>2026-05-15</t>
        </is>
      </c>
      <c r="C158" s="60" t="inlineStr">
        <is>
          <t>2026-05-18</t>
        </is>
      </c>
      <c r="D158" s="59" t="n">
        <v>-3.3</v>
      </c>
    </row>
    <row r="159">
      <c r="A159" s="56" t="inlineStr">
        <is>
          <t>2026-07-31</t>
        </is>
      </c>
      <c r="B159" s="60" t="inlineStr">
        <is>
          <t>2026-07-31</t>
        </is>
      </c>
      <c r="C159" s="60" t="inlineStr">
        <is>
          <t>2026-08-03</t>
        </is>
      </c>
      <c r="D159" s="59" t="n">
        <v>-2.6</v>
      </c>
    </row>
    <row r="161">
      <c r="A161" s="54" t="inlineStr">
        <is>
          <t>deck map</t>
        </is>
      </c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  <c r="N161" s="54" t="n"/>
    </row>
    <row r="162">
      <c r="A162" s="55" t="inlineStr">
        <is>
          <t>항목</t>
        </is>
      </c>
      <c r="B162" s="55" t="inlineStr">
        <is>
          <t>제목</t>
        </is>
      </c>
      <c r="C162" s="55" t="inlineStr">
        <is>
          <t>핵심 숫자</t>
        </is>
      </c>
      <c r="D162" s="55" t="inlineStr">
        <is>
          <t>넣은 소제목 또는 뺀 이유</t>
        </is>
      </c>
      <c r="N162" s="55" t="inlineStr">
        <is>
          <t>출처</t>
        </is>
      </c>
    </row>
    <row r="163">
      <c r="A163" s="56" t="inlineStr">
        <is>
          <t>1</t>
        </is>
      </c>
      <c r="B163" s="60" t="inlineStr">
        <is>
          <t>표지</t>
        </is>
      </c>
      <c r="C163" s="60" t="inlineStr">
        <is>
          <t>—</t>
        </is>
      </c>
      <c r="D163" s="60" t="inlineStr">
        <is>
          <t>뺌: 표지</t>
        </is>
      </c>
      <c r="N163" s="58" t="inlineStr">
        <is>
          <t>2단계 보고서 자료(회사 설명회 자료·공시)</t>
        </is>
      </c>
    </row>
    <row r="164">
      <c r="A164" s="56" t="inlineStr">
        <is>
          <t>2</t>
        </is>
      </c>
      <c r="B164" s="60" t="inlineStr">
        <is>
          <t>목차</t>
        </is>
      </c>
      <c r="C164" s="60" t="inlineStr">
        <is>
          <t>—</t>
        </is>
      </c>
      <c r="D164" s="60" t="inlineStr">
        <is>
          <t>뺌: 목차</t>
        </is>
      </c>
    </row>
    <row r="165">
      <c r="A165" s="56" t="inlineStr">
        <is>
          <t>3</t>
        </is>
      </c>
      <c r="B165" s="60" t="inlineStr">
        <is>
          <t>1장 간지</t>
        </is>
      </c>
      <c r="C165" s="60" t="inlineStr">
        <is>
          <t>—</t>
        </is>
      </c>
      <c r="D165" s="60" t="inlineStr">
        <is>
          <t>뺌: 간지</t>
        </is>
      </c>
    </row>
    <row r="166">
      <c r="A166" s="56" t="inlineStr">
        <is>
          <t>4</t>
        </is>
      </c>
      <c r="B166" s="60" t="inlineStr">
        <is>
          <t>결산 하이라이트(상반기)</t>
        </is>
      </c>
      <c r="C166" s="60" t="inlineStr">
        <is>
          <t>매출 99.86억 +20.5%, 영업이익 6.60억 +49.0%, 로우야 98.43억·6.66억, 자사EC+실점포 68.19억, 18곳, 도코데모 GMV 8.66억</t>
        </is>
      </c>
      <c r="D166" s="60" t="inlineStr">
        <is>
          <t>① 상반기 계획 대비 / ② 로우야 / ④ 판로 / ⑮ 도코데모</t>
        </is>
      </c>
    </row>
    <row r="167">
      <c r="A167" s="56" t="inlineStr">
        <is>
          <t>5</t>
        </is>
      </c>
      <c r="B167" s="60" t="inlineStr">
        <is>
          <t>결산 하이라이트(계획 대비)</t>
        </is>
      </c>
      <c r="C167" s="60" t="inlineStr">
        <is>
          <t>계획 92억·5.5억·5.55억·3.38억, 달성률 108.5·120.0·119.7·123.0%, GPM 53.5%, 판관비율 46.9%</t>
        </is>
      </c>
      <c r="D167" s="60" t="inlineStr">
        <is>
          <t>① 상반기 계획 대비</t>
        </is>
      </c>
    </row>
    <row r="168">
      <c r="A168" s="56" t="inlineStr">
        <is>
          <t>6</t>
        </is>
      </c>
      <c r="B168" s="60" t="inlineStr">
        <is>
          <t>분기별 하이라이트</t>
        </is>
      </c>
      <c r="C168" s="60" t="inlineStr">
        <is>
          <t>2Q 매출 49.94억, GPM 53.6%, 판관비 23.69억, 영업이익 3.07억, 순이익 1.96억</t>
        </is>
      </c>
      <c r="D168" s="60" t="inlineStr">
        <is>
          <t>① 상반기 계획 대비 + 재무제표 표</t>
        </is>
      </c>
    </row>
    <row r="169">
      <c r="A169" s="56" t="inlineStr">
        <is>
          <t>7</t>
        </is>
      </c>
      <c r="B169" s="60" t="inlineStr">
        <is>
          <t>매출·영업이익 추이</t>
        </is>
      </c>
      <c r="C169" s="60" t="inlineStr">
        <is>
          <t>2Q +26.8%·+71.8%, 사상 최고</t>
        </is>
      </c>
      <c r="D169" s="60" t="inlineStr">
        <is>
          <t>한 줄 요약 / ① 상반기 계획 대비</t>
        </is>
      </c>
    </row>
    <row r="170">
      <c r="A170" s="56" t="inlineStr">
        <is>
          <t>8</t>
        </is>
      </c>
      <c r="B170" s="60" t="inlineStr">
        <is>
          <t>재무상태표</t>
        </is>
      </c>
      <c r="C170" s="60" t="inlineStr">
        <is>
          <t>현금 21.92억, 매출채권 16.47억, 상품 24.25억, 유형자산 15.85억, 총자산 99.79억, 순자산 74.34억</t>
        </is>
      </c>
      <c r="D170" s="60" t="inlineStr">
        <is>
          <t>⑰ 재무상태</t>
        </is>
      </c>
    </row>
    <row r="171">
      <c r="A171" s="56" t="inlineStr">
        <is>
          <t>9</t>
        </is>
      </c>
      <c r="B171" s="60" t="inlineStr">
        <is>
          <t>설비투자·현금흐름</t>
        </is>
      </c>
      <c r="C171" s="60" t="inlineStr">
        <is>
          <t>설비투자 6.58억, 영업CF 9.08억, 투자CF −7.59억, 재무CF −0.74억, 실질 FCF 0.34억</t>
        </is>
      </c>
      <c r="D171" s="60" t="inlineStr">
        <is>
          <t>⑰ 재무상태 / 재무분석 자산·현금</t>
        </is>
      </c>
    </row>
    <row r="172">
      <c r="A172" s="56" t="inlineStr">
        <is>
          <t>10</t>
        </is>
      </c>
      <c r="B172" s="60" t="inlineStr">
        <is>
          <t>ROE·배당 추이(기초 예상)</t>
        </is>
      </c>
      <c r="C172" s="60" t="inlineStr">
        <is>
          <t>FY26 ROE 13.4%, 순이익률 4.9%, 배당 18엔(기초), 배당성향 20% 또는 DOE 2.0%</t>
        </is>
      </c>
      <c r="D172" s="60" t="inlineStr">
        <is>
          <t>⑰ 재무상태 / ⑳ 주주환원</t>
        </is>
      </c>
    </row>
    <row r="173">
      <c r="A173" s="56" t="inlineStr">
        <is>
          <t>11</t>
        </is>
      </c>
      <c r="B173" s="60" t="inlineStr">
        <is>
          <t>2장 간지</t>
        </is>
      </c>
      <c r="C173" s="60" t="inlineStr">
        <is>
          <t>—</t>
        </is>
      </c>
      <c r="D173" s="60" t="inlineStr">
        <is>
          <t>뺌: 간지</t>
        </is>
      </c>
    </row>
    <row r="174">
      <c r="A174" s="56" t="inlineStr">
        <is>
          <t>12</t>
        </is>
      </c>
      <c r="B174" s="60" t="inlineStr">
        <is>
          <t>로우야 주요 지표</t>
        </is>
      </c>
      <c r="C174" s="60" t="inlineStr">
        <is>
          <t>객수 43.1만 +10.7%, 객단가 23,788엔 +8.8%, 18곳 +5, 회원 269.8만 +23.7%, 앱 220만 +16.3%, SNS 305.4만 +36.7%</t>
        </is>
      </c>
      <c r="D174" s="60" t="inlineStr">
        <is>
          <t>⑤ 객수·객단가 / ⑧ 회원 / ⑩ 앱·SNS</t>
        </is>
      </c>
    </row>
    <row r="175">
      <c r="A175" s="56" t="inlineStr">
        <is>
          <t>13</t>
        </is>
      </c>
      <c r="B175" s="60" t="inlineStr">
        <is>
          <t>로우야 매출·영업이익</t>
        </is>
      </c>
      <c r="C175" s="60" t="inlineStr">
        <is>
          <t>상반기 98.43억·6.66억, 2Q 49.24억 +27.9%·3.09억 +73.9%</t>
        </is>
      </c>
      <c r="D175" s="60" t="inlineStr">
        <is>
          <t>② 로우야</t>
        </is>
      </c>
    </row>
    <row r="176">
      <c r="A176" s="56" t="inlineStr">
        <is>
          <t>14</t>
        </is>
      </c>
      <c r="B176" s="60" t="inlineStr">
        <is>
          <t>월별 매출</t>
        </is>
      </c>
      <c r="C176" s="60" t="inlineStr">
        <is>
          <t>26.4~9 18.10·15.64·15.43·17.64·14.89·16.70억, +12.8~+32.1%, 점포 15→18</t>
        </is>
      </c>
      <c r="D176" s="60" t="inlineStr">
        <is>
          <t>③ 월별 매출</t>
        </is>
      </c>
    </row>
    <row r="177">
      <c r="A177" s="56" t="inlineStr">
        <is>
          <t>15</t>
        </is>
      </c>
      <c r="B177" s="60" t="inlineStr">
        <is>
          <t>판로별 매출</t>
        </is>
      </c>
      <c r="C177" s="60" t="inlineStr">
        <is>
          <t>자사EC+실점포 35.23억 +55.3%, EC몰 14.01억 −11.3%, OMO 71.5%</t>
        </is>
      </c>
      <c r="D177" s="60" t="inlineStr">
        <is>
          <t>④ 판로 / 재무분석 믹스 차트</t>
        </is>
      </c>
    </row>
    <row r="178">
      <c r="A178" s="56" t="inlineStr">
        <is>
          <t>16</t>
        </is>
      </c>
      <c r="B178" s="60" t="inlineStr">
        <is>
          <t>객수·객단가</t>
        </is>
      </c>
      <c r="C178" s="60" t="inlineStr">
        <is>
          <t>213,463명 +17.0%, 23,921엔 +8.5%</t>
        </is>
      </c>
      <c r="D178" s="60" t="inlineStr">
        <is>
          <t>⑤ 객수·객단가</t>
        </is>
      </c>
    </row>
    <row r="179">
      <c r="A179" s="56" t="inlineStr">
        <is>
          <t>17</t>
        </is>
      </c>
      <c r="B179" s="60" t="inlineStr">
        <is>
          <t>총이익률·판관비율</t>
        </is>
      </c>
      <c r="C179" s="60" t="inlineStr">
        <is>
          <t>로우야 GPM 52.9% +1.7%p, 상반기 52.8% +1.9%p, 판관비율 46.6% ±0, 상반기 46.1% +0.6%p</t>
        </is>
      </c>
      <c r="D179" s="60" t="inlineStr">
        <is>
          <t>⑥ 총이익률 / ⑦ 판관비</t>
        </is>
      </c>
    </row>
    <row r="180">
      <c r="A180" s="56" t="inlineStr">
        <is>
          <t>18</t>
        </is>
      </c>
      <c r="B180" s="60" t="inlineStr">
        <is>
          <t>판관비 항목</t>
        </is>
      </c>
      <c r="C180" s="60" t="inlineStr">
        <is>
          <t>2Q 합계 22.96억: 인건비 7.25, 고정비 6.75, 배송 5.84, 판매관련 2.15, 광고 0.83, 연구개발 0.12</t>
        </is>
      </c>
      <c r="D180" s="60" t="inlineStr">
        <is>
          <t>⑦ 판관비</t>
        </is>
      </c>
    </row>
    <row r="181">
      <c r="A181" s="56" t="inlineStr">
        <is>
          <t>19</t>
        </is>
      </c>
      <c r="B181" s="60" t="inlineStr">
        <is>
          <t>자사EC 회원·연령·성별</t>
        </is>
      </c>
      <c r="C181" s="60" t="inlineStr">
        <is>
          <t>269.8만, 20대 이하 44·30대 28·40대 14·50대 10·60대+ 4%, 여성 64%</t>
        </is>
      </c>
      <c r="D181" s="60" t="inlineStr">
        <is>
          <t>⑧ 회원·고객층</t>
        </is>
      </c>
    </row>
    <row r="182">
      <c r="A182" s="56" t="inlineStr">
        <is>
          <t>20</t>
        </is>
      </c>
      <c r="B182" s="60" t="inlineStr">
        <is>
          <t>신상품</t>
        </is>
      </c>
      <c r="C182" s="60" t="inlineStr">
        <is>
          <t>사무용 의자 29,990엔, 소파 85,000엔, 테이블 세트 75,000~149,000엔, 미도루카 7,990~19,990엔, 진공 용기 15,990엔, 건조기 6,990엔</t>
        </is>
      </c>
      <c r="D182" s="60" t="inlineStr">
        <is>
          <t>⑨ 신상품</t>
        </is>
      </c>
    </row>
    <row r="183">
      <c r="A183" s="56" t="inlineStr">
        <is>
          <t>21</t>
        </is>
      </c>
      <c r="B183" s="60" t="inlineStr">
        <is>
          <t>앱·SNS</t>
        </is>
      </c>
      <c r="C183" s="60" t="inlineStr">
        <is>
          <t>로우야 앱 220만, 오쿠ROOM 앱 121만, 인스타 179만, 틱톡 47만, 유튜브 25만</t>
        </is>
      </c>
      <c r="D183" s="60" t="inlineStr">
        <is>
          <t>⑩ 앱·SNS</t>
        </is>
      </c>
    </row>
    <row r="184">
      <c r="A184" s="56" t="inlineStr">
        <is>
          <t>22</t>
        </is>
      </c>
      <c r="B184" s="60" t="inlineStr">
        <is>
          <t>미디어 게재</t>
        </is>
      </c>
      <c r="C184" s="60" t="inlineStr">
        <is>
          <t>26.7~9 전국·후쿠오카 방송, 닛케이MJ, 안안, 룸퍼니싱</t>
        </is>
      </c>
      <c r="D184" s="60" t="inlineStr">
        <is>
          <t>⑪ 미디어 노출</t>
        </is>
      </c>
    </row>
    <row r="185">
      <c r="A185" s="56" t="inlineStr">
        <is>
          <t>23</t>
        </is>
      </c>
      <c r="B185" s="60" t="inlineStr">
        <is>
          <t>신상품 발표회</t>
        </is>
      </c>
      <c r="C185" s="60" t="inlineStr">
        <is>
          <t>26.8.28~9.2 캐널시티 하카타점, 사상 첫 발표회, 인플루언서 초대</t>
        </is>
      </c>
      <c r="D185" s="60" t="inlineStr">
        <is>
          <t>⑫ 첫 신상품 발표회</t>
        </is>
      </c>
    </row>
    <row r="186">
      <c r="A186" s="56" t="inlineStr">
        <is>
          <t>24</t>
        </is>
      </c>
      <c r="B186" s="60" t="inlineStr">
        <is>
          <t>17·18호점</t>
        </is>
      </c>
      <c r="C186" s="60" t="inlineStr">
        <is>
          <t>7월 이온몰 지쿠시노, 9월 캐널시티 하카타, 목표 6곳 중 5곳</t>
        </is>
      </c>
      <c r="D186" s="60" t="inlineStr">
        <is>
          <t>⑬ 17·18호점</t>
        </is>
      </c>
    </row>
    <row r="187">
      <c r="A187" s="56" t="inlineStr">
        <is>
          <t>25</t>
        </is>
      </c>
      <c r="B187" s="60" t="inlineStr">
        <is>
          <t>실점포 출점처</t>
        </is>
      </c>
      <c r="C187" s="60" t="inlineStr">
        <is>
          <t>7.24·9.4 개점, 18곳 목록</t>
        </is>
      </c>
      <c r="D187" s="60" t="inlineStr">
        <is>
          <t>⑬ 17·18호점</t>
        </is>
      </c>
    </row>
    <row r="188">
      <c r="A188" s="56" t="inlineStr">
        <is>
          <t>26</t>
        </is>
      </c>
      <c r="B188" s="60" t="inlineStr">
        <is>
          <t>10월 이후 출점</t>
        </is>
      </c>
      <c r="C188" s="60" t="inlineStr">
        <is>
          <t>아리오 야오 10.2, 라라포트 누마즈 10.30, 27년 봄 구마모토·우라와미소노·구사쓰·소카</t>
        </is>
      </c>
      <c r="D188" s="60" t="inlineStr">
        <is>
          <t>⑭ 10월 이후 6곳</t>
        </is>
      </c>
    </row>
    <row r="189">
      <c r="A189" s="56" t="inlineStr">
        <is>
          <t>27</t>
        </is>
      </c>
      <c r="B189" s="60" t="inlineStr">
        <is>
          <t>3장 간지</t>
        </is>
      </c>
      <c r="C189" s="60" t="inlineStr">
        <is>
          <t>—</t>
        </is>
      </c>
      <c r="D189" s="60" t="inlineStr">
        <is>
          <t>뺌: 간지</t>
        </is>
      </c>
    </row>
    <row r="190">
      <c r="A190" s="56" t="inlineStr">
        <is>
          <t>28</t>
        </is>
      </c>
      <c r="B190" s="60" t="inlineStr">
        <is>
          <t>도코데모 주요 지표</t>
        </is>
      </c>
      <c r="C190" s="60" t="inlineStr">
        <is>
          <t>GMV 8.66억 −21.2%, 매출 1.43억 −19.3%, 회원 128.1만, 앱 174.7만, 객수 5.2만, 객단가 13,836엔, 상품 13.6만, 133개국</t>
        </is>
      </c>
      <c r="D190" s="60" t="inlineStr">
        <is>
          <t>⑮ 도코데모</t>
        </is>
      </c>
    </row>
    <row r="191">
      <c r="A191" s="56" t="inlineStr">
        <is>
          <t>29</t>
        </is>
      </c>
      <c r="B191" s="60" t="inlineStr">
        <is>
          <t>도코데모 GMV·수지</t>
        </is>
      </c>
      <c r="C191" s="60" t="inlineStr">
        <is>
          <t>2Q GMV 4.24억, 수지 −0.02억</t>
        </is>
      </c>
      <c r="D191" s="60" t="inlineStr">
        <is>
          <t>⑮ 도코데모 + BM별 펼침 줄</t>
        </is>
      </c>
    </row>
    <row r="192">
      <c r="A192" s="56" t="inlineStr">
        <is>
          <t>30</t>
        </is>
      </c>
      <c r="B192" s="60" t="inlineStr">
        <is>
          <t>배송 지역별 GMV</t>
        </is>
      </c>
      <c r="C192" s="60" t="inlineStr">
        <is>
          <t>아시아 88.4%, 대만 76.9%, 홍콩 6.5%, 미국 1.0%, 상한 800→2,500달러</t>
        </is>
      </c>
      <c r="D192" s="60" t="inlineStr">
        <is>
          <t>⑮ 도코데모</t>
        </is>
      </c>
    </row>
    <row r="193">
      <c r="A193" s="56" t="inlineStr">
        <is>
          <t>31</t>
        </is>
      </c>
      <c r="B193" s="60" t="inlineStr">
        <is>
          <t>사업 양도</t>
        </is>
      </c>
      <c r="C193" s="60" t="inlineStr">
        <is>
          <t>스타넷, 계약 26.10.30, 양도 26.12.1, 가액 비공개, 영향 경미</t>
        </is>
      </c>
      <c r="D193" s="60" t="inlineStr">
        <is>
          <t>⑯ 도코데모 양도</t>
        </is>
      </c>
    </row>
    <row r="194">
      <c r="A194" s="56" t="inlineStr">
        <is>
          <t>32</t>
        </is>
      </c>
      <c r="B194" s="60" t="inlineStr">
        <is>
          <t>4장 간지</t>
        </is>
      </c>
      <c r="C194" s="60" t="inlineStr">
        <is>
          <t>—</t>
        </is>
      </c>
      <c r="D194" s="60" t="inlineStr">
        <is>
          <t>뺌: 간지</t>
        </is>
      </c>
    </row>
    <row r="195">
      <c r="A195" s="56" t="inlineStr">
        <is>
          <t>33</t>
        </is>
      </c>
      <c r="B195" s="60" t="inlineStr">
        <is>
          <t>FY27 업적 예상</t>
        </is>
      </c>
      <c r="C195" s="60" t="inlineStr">
        <is>
          <t>216억·17억·17.1억·9.86억·92.65엔, 순이익률 4.6%, ROE 13.0%</t>
        </is>
      </c>
      <c r="D195" s="60" t="inlineStr">
        <is>
          <t>⑱ 예상 수정</t>
        </is>
      </c>
    </row>
    <row r="196">
      <c r="A196" s="56" t="inlineStr">
        <is>
          <t>34</t>
        </is>
      </c>
      <c r="B196" s="60" t="inlineStr">
        <is>
          <t>5장 간지</t>
        </is>
      </c>
      <c r="C196" s="60" t="inlineStr">
        <is>
          <t>—</t>
        </is>
      </c>
      <c r="D196" s="60" t="inlineStr">
        <is>
          <t>뺌: 간지</t>
        </is>
      </c>
    </row>
    <row r="197">
      <c r="A197" s="56" t="inlineStr">
        <is>
          <t>35</t>
        </is>
      </c>
      <c r="B197" s="60" t="inlineStr">
        <is>
          <t>배당 예상</t>
        </is>
      </c>
      <c r="C197" s="60" t="inlineStr">
        <is>
          <t>18엔→20엔, 전기 17엔</t>
        </is>
      </c>
      <c r="D197" s="60" t="inlineStr">
        <is>
          <t>⑳ 주주환원</t>
        </is>
      </c>
    </row>
    <row r="198">
      <c r="A198" s="56" t="inlineStr">
        <is>
          <t>36</t>
        </is>
      </c>
      <c r="B198" s="60" t="inlineStr">
        <is>
          <t>면책·문의처</t>
        </is>
      </c>
      <c r="C198" s="60" t="inlineStr">
        <is>
          <t>—</t>
        </is>
      </c>
      <c r="D198" s="60" t="inlineStr">
        <is>
          <t>뺌: 면책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https://www2.jpx.co.jp/disc/35420/140120261029560052.pdf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https://www2.jpx.co.jp/disc/35420/140120260730503838.pdf</t>
        </is>
      </c>
    </row>
    <row r="6">
      <c r="A6" t="inlineStr">
        <is>
          <t>2026-05-15</t>
        </is>
      </c>
      <c r="B6" t="inlineStr">
        <is>
          <t>2026년 3월 결산기 연간 결산단신</t>
        </is>
      </c>
      <c r="C6" t="inlineStr">
        <is>
          <t>https://www2.jpx.co.jp/disc/35420/140120260514535343.pdf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https://www2.jpx.co.jp/disc/35420/140120260129542029.pdf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https://www2.jpx.co.jp/disc/35420/140120251030583517.pdf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https://www2.jpx.co.jp/disc/35420/140120250730524077.pdf</t>
        </is>
      </c>
    </row>
    <row r="10">
      <c r="A10" t="inlineStr">
        <is>
          <t>2025-05-15</t>
        </is>
      </c>
      <c r="B10" t="inlineStr">
        <is>
          <t>2025년 3월 결산기 연간 결산단신</t>
        </is>
      </c>
      <c r="C10" t="inlineStr">
        <is>
          <t>https://www2.jpx.co.jp/disc/35420/140120250514552169.pdf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https://www2.jpx.co.jp/disc/35420/140120250130558701.pdf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https://www2.jpx.co.jp/disc/35420/140120241030505915.pdf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https://www2.jpx.co.jp/disc/35420/140120240722552379.pdf</t>
        </is>
      </c>
    </row>
    <row r="14">
      <c r="A14" t="inlineStr">
        <is>
          <t>2024-05-15</t>
        </is>
      </c>
      <c r="B14" t="inlineStr">
        <is>
          <t>2024년 3월 결산기 연간 결산단신</t>
        </is>
      </c>
      <c r="C14" t="inlineStr">
        <is>
          <t>https://www2.jpx.co.jp/disc/35420/140120240425577125.pdf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https://www2.jpx.co.jp/disc/35420/140120240130522049.pdf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https://www2.jpx.co.jp/disc/35420/140120231030574455.pdf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https://www2.jpx.co.jp/disc/35420/140120230728529715.pdf</t>
        </is>
      </c>
    </row>
    <row r="18">
      <c r="A18" t="inlineStr">
        <is>
          <t>2023-05-15</t>
        </is>
      </c>
      <c r="B18" t="inlineStr">
        <is>
          <t>2023년 3월 결산기 연간 결산단신</t>
        </is>
      </c>
      <c r="C18" t="inlineStr">
        <is>
          <t>https://www2.jpx.co.jp/disc/35420/140120230515573137.pdf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https://www2.jpx.co.jp/disc/35420/140120230131596889.pdf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https://www2.jpx.co.jp/disc/35420/140120220512543699.pdf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https://www2.jpx.co.jp/disc/35420/140120210514419505.pdf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https://www2.jpx.co.jp/disc/35420/140120200515416108.pdf</t>
        </is>
      </c>
    </row>
    <row r="23">
      <c r="A23" t="inlineStr">
        <is>
          <t>2019-05-13</t>
        </is>
      </c>
      <c r="B23" t="inlineStr">
        <is>
          <t>2019년 3월 결산기 연간 결산단신</t>
        </is>
      </c>
      <c r="C23" t="inlineStr">
        <is>
          <t>https://www2.jpx.co.jp/disc/35420/140120190513423897.pdf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https://www2.jpx.co.jp/disc/35420/140120180427423317.pdf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3542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>
        <v>30</v>
      </c>
      <c r="D5" s="67" t="n">
        <v>32</v>
      </c>
      <c r="E5" s="67" t="n">
        <v>30.5</v>
      </c>
      <c r="F5" s="67" t="n">
        <v>33.2</v>
      </c>
      <c r="G5" s="67" t="n">
        <v>34.1</v>
      </c>
      <c r="H5" s="67" t="n">
        <v>33.7</v>
      </c>
      <c r="I5" s="67" t="n">
        <v>29.7</v>
      </c>
      <c r="J5" s="67" t="n">
        <v>35.4</v>
      </c>
      <c r="K5" s="67" t="n">
        <v>34.4</v>
      </c>
      <c r="L5" s="67" t="n">
        <v>33.2</v>
      </c>
      <c r="M5" s="67" t="n">
        <v>33.6</v>
      </c>
      <c r="N5" s="67" t="n">
        <v>31.6</v>
      </c>
      <c r="O5" s="67" t="n">
        <v>37.3</v>
      </c>
      <c r="P5" s="67" t="n">
        <v>53.5</v>
      </c>
      <c r="Q5" s="67" t="n">
        <v>45.3</v>
      </c>
      <c r="R5" s="67" t="n">
        <v>43.6</v>
      </c>
      <c r="S5" s="67" t="n">
        <v>50.7</v>
      </c>
      <c r="T5" s="67" t="n">
        <v>45.2</v>
      </c>
      <c r="U5" s="67" t="n">
        <v>40.7</v>
      </c>
      <c r="V5" s="67" t="n">
        <v>38.7</v>
      </c>
      <c r="W5" s="67" t="n">
        <v>43.8</v>
      </c>
      <c r="X5" s="67" t="n">
        <v>42</v>
      </c>
      <c r="Y5" s="67" t="n">
        <v>40.9</v>
      </c>
      <c r="Z5" s="67" t="n">
        <v>41.8</v>
      </c>
      <c r="AA5" s="67" t="n">
        <v>45.1</v>
      </c>
      <c r="AB5" s="67" t="n">
        <v>41.5</v>
      </c>
      <c r="AC5" s="67" t="n">
        <v>37.5</v>
      </c>
      <c r="AD5" s="67" t="n">
        <v>39.1</v>
      </c>
      <c r="AE5" s="67" t="n">
        <v>42.5</v>
      </c>
      <c r="AF5" s="67" t="n">
        <v>36</v>
      </c>
      <c r="AG5" s="67" t="n">
        <v>35.3</v>
      </c>
      <c r="AH5" s="67" t="n">
        <v>41.1</v>
      </c>
      <c r="AI5" s="67" t="n">
        <v>47</v>
      </c>
      <c r="AJ5" s="67" t="n">
        <v>43.5</v>
      </c>
      <c r="AK5" s="67" t="n">
        <v>39.4</v>
      </c>
      <c r="AL5" s="67" t="n">
        <v>44.6</v>
      </c>
      <c r="AM5" s="67" t="n">
        <v>53.8</v>
      </c>
      <c r="AN5" s="67" t="n">
        <v>49.9</v>
      </c>
      <c r="AO5" s="67" t="n">
        <v>49.9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>
        <v>13.7</v>
      </c>
      <c r="H6" s="68" t="n">
        <v>5.3</v>
      </c>
      <c r="I6" s="68" t="n">
        <v>-2.6</v>
      </c>
      <c r="J6" s="68" t="n">
        <v>6.6</v>
      </c>
      <c r="K6" s="68" t="n">
        <v>0.9</v>
      </c>
      <c r="L6" s="68" t="n">
        <v>-1.5</v>
      </c>
      <c r="M6" s="68" t="n">
        <v>13.1</v>
      </c>
      <c r="N6" s="68" t="n">
        <v>-10.7</v>
      </c>
      <c r="O6" s="68" t="n">
        <v>8.4</v>
      </c>
      <c r="P6" s="68" t="n">
        <v>61.1</v>
      </c>
      <c r="Q6" s="68" t="n">
        <v>34.8</v>
      </c>
      <c r="R6" s="68" t="n">
        <v>38</v>
      </c>
      <c r="S6" s="68" t="n">
        <v>35.9</v>
      </c>
      <c r="T6" s="68" t="n">
        <v>-15.5</v>
      </c>
      <c r="U6" s="68" t="n">
        <v>-10.2</v>
      </c>
      <c r="V6" s="68" t="n">
        <v>-11.2</v>
      </c>
      <c r="W6" s="68" t="n">
        <v>-13.6</v>
      </c>
      <c r="X6" s="68" t="n">
        <v>-7.1</v>
      </c>
      <c r="Y6" s="68" t="n">
        <v>0.5</v>
      </c>
      <c r="Z6" s="68" t="n">
        <v>8</v>
      </c>
      <c r="AA6" s="68" t="n">
        <v>3</v>
      </c>
      <c r="AB6" s="68" t="n">
        <v>-1.2</v>
      </c>
      <c r="AC6" s="68" t="n">
        <v>-8.300000000000001</v>
      </c>
      <c r="AD6" s="68" t="n">
        <v>-6.5</v>
      </c>
      <c r="AE6" s="68" t="n">
        <v>-5.8</v>
      </c>
      <c r="AF6" s="68" t="n">
        <v>-13.3</v>
      </c>
      <c r="AG6" s="68" t="n">
        <v>-5.9</v>
      </c>
      <c r="AH6" s="68" t="n">
        <v>5.1</v>
      </c>
      <c r="AI6" s="68" t="n">
        <v>10.6</v>
      </c>
      <c r="AJ6" s="68" t="n">
        <v>20.8</v>
      </c>
      <c r="AK6" s="68" t="n">
        <v>11.6</v>
      </c>
      <c r="AL6" s="68" t="n">
        <v>8.5</v>
      </c>
      <c r="AM6" s="68" t="n">
        <v>14.5</v>
      </c>
      <c r="AN6" s="68" t="n">
        <v>14.7</v>
      </c>
      <c r="AO6" s="68" t="n">
        <v>26.6</v>
      </c>
    </row>
    <row r="7">
      <c r="A7" s="66" t="inlineStr">
        <is>
          <t>영업이익</t>
        </is>
      </c>
      <c r="B7" s="67" t="n"/>
      <c r="C7" s="67" t="n">
        <v>2</v>
      </c>
      <c r="D7" s="67" t="n">
        <v>1.4</v>
      </c>
      <c r="E7" s="67" t="n">
        <v>0.2</v>
      </c>
      <c r="F7" s="67" t="n">
        <v>1.9</v>
      </c>
      <c r="G7" s="67" t="n">
        <v>2.1</v>
      </c>
      <c r="H7" s="67" t="n">
        <v>0.7</v>
      </c>
      <c r="I7" s="67" t="n">
        <v>-1</v>
      </c>
      <c r="J7" s="67" t="n">
        <v>-1.4</v>
      </c>
      <c r="K7" s="67" t="n">
        <v>-1.3</v>
      </c>
      <c r="L7" s="67" t="n">
        <v>0.1</v>
      </c>
      <c r="M7" s="67" t="n">
        <v>0.2</v>
      </c>
      <c r="N7" s="67" t="n">
        <v>-0.1</v>
      </c>
      <c r="O7" s="67" t="n">
        <v>1</v>
      </c>
      <c r="P7" s="67" t="n">
        <v>7.5</v>
      </c>
      <c r="Q7" s="67" t="n">
        <v>4.1</v>
      </c>
      <c r="R7" s="67" t="n">
        <v>2.5</v>
      </c>
      <c r="S7" s="67" t="n">
        <v>4.2</v>
      </c>
      <c r="T7" s="67" t="n">
        <v>2.5</v>
      </c>
      <c r="U7" s="67" t="n">
        <v>1</v>
      </c>
      <c r="V7" s="67" t="n">
        <v>1</v>
      </c>
      <c r="W7" s="67" t="n">
        <v>1.5</v>
      </c>
      <c r="X7" s="67" t="n">
        <v>0.6</v>
      </c>
      <c r="Y7" s="67" t="n">
        <v>0.5</v>
      </c>
      <c r="Z7" s="67" t="n">
        <v>1</v>
      </c>
      <c r="AA7" s="67" t="n">
        <v>1.2</v>
      </c>
      <c r="AB7" s="67" t="n">
        <v>-0.3</v>
      </c>
      <c r="AC7" s="67" t="n">
        <v>0.6</v>
      </c>
      <c r="AD7" s="67" t="n">
        <v>2.7</v>
      </c>
      <c r="AE7" s="67" t="n">
        <v>4.7</v>
      </c>
      <c r="AF7" s="67" t="n">
        <v>2</v>
      </c>
      <c r="AG7" s="67" t="n">
        <v>0.9</v>
      </c>
      <c r="AH7" s="67" t="n">
        <v>2.1</v>
      </c>
      <c r="AI7" s="67" t="n">
        <v>4.2</v>
      </c>
      <c r="AJ7" s="67" t="n">
        <v>2.6</v>
      </c>
      <c r="AK7" s="67" t="n">
        <v>1.8</v>
      </c>
      <c r="AL7" s="67" t="n">
        <v>3.3</v>
      </c>
      <c r="AM7" s="67" t="n">
        <v>5.8</v>
      </c>
      <c r="AN7" s="67" t="n">
        <v>3.5</v>
      </c>
      <c r="AO7" s="67" t="n">
        <v>3.1</v>
      </c>
    </row>
    <row r="8">
      <c r="A8" s="66" t="inlineStr">
        <is>
          <t>영업이익률</t>
        </is>
      </c>
      <c r="B8" s="68" t="n"/>
      <c r="C8" s="68" t="n">
        <v>6.7</v>
      </c>
      <c r="D8" s="68" t="n">
        <v>4.4</v>
      </c>
      <c r="E8" s="68" t="n">
        <v>0.7</v>
      </c>
      <c r="F8" s="68" t="n">
        <v>5.7</v>
      </c>
      <c r="G8" s="68" t="n">
        <v>6.2</v>
      </c>
      <c r="H8" s="68" t="n">
        <v>2.1</v>
      </c>
      <c r="I8" s="68" t="n">
        <v>-3.4</v>
      </c>
      <c r="J8" s="68" t="n">
        <v>-4</v>
      </c>
      <c r="K8" s="68" t="n">
        <v>-3.8</v>
      </c>
      <c r="L8" s="68" t="n">
        <v>0.3</v>
      </c>
      <c r="M8" s="68" t="n">
        <v>0.6</v>
      </c>
      <c r="N8" s="68" t="n">
        <v>-0.3</v>
      </c>
      <c r="O8" s="68" t="n">
        <v>2.7</v>
      </c>
      <c r="P8" s="68" t="n">
        <v>14</v>
      </c>
      <c r="Q8" s="68" t="n">
        <v>9.1</v>
      </c>
      <c r="R8" s="68" t="n">
        <v>5.7</v>
      </c>
      <c r="S8" s="68" t="n">
        <v>8.300000000000001</v>
      </c>
      <c r="T8" s="68" t="n">
        <v>5.5</v>
      </c>
      <c r="U8" s="68" t="n">
        <v>2.5</v>
      </c>
      <c r="V8" s="68" t="n">
        <v>2.6</v>
      </c>
      <c r="W8" s="68" t="n">
        <v>3.4</v>
      </c>
      <c r="X8" s="68" t="n">
        <v>1.4</v>
      </c>
      <c r="Y8" s="68" t="n">
        <v>1.2</v>
      </c>
      <c r="Z8" s="68" t="n">
        <v>2.4</v>
      </c>
      <c r="AA8" s="68" t="n">
        <v>2.7</v>
      </c>
      <c r="AB8" s="68" t="n">
        <v>-0.7</v>
      </c>
      <c r="AC8" s="68" t="n">
        <v>1.6</v>
      </c>
      <c r="AD8" s="68" t="n">
        <v>6.9</v>
      </c>
      <c r="AE8" s="68" t="n">
        <v>11.1</v>
      </c>
      <c r="AF8" s="68" t="n">
        <v>5.6</v>
      </c>
      <c r="AG8" s="68" t="n">
        <v>2.5</v>
      </c>
      <c r="AH8" s="68" t="n">
        <v>5.1</v>
      </c>
      <c r="AI8" s="68" t="n">
        <v>8.9</v>
      </c>
      <c r="AJ8" s="68" t="n">
        <v>6</v>
      </c>
      <c r="AK8" s="68" t="n">
        <v>4.6</v>
      </c>
      <c r="AL8" s="68" t="n">
        <v>7.4</v>
      </c>
      <c r="AM8" s="68" t="n">
        <v>10.8</v>
      </c>
      <c r="AN8" s="68" t="n">
        <v>7</v>
      </c>
      <c r="AO8" s="68" t="n">
        <v>6.2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>
        <v>5</v>
      </c>
      <c r="H9" s="68" t="n">
        <v>-50</v>
      </c>
      <c r="I9" s="68" t="n">
        <v>-600</v>
      </c>
      <c r="J9" s="68" t="n">
        <v>-173.7</v>
      </c>
      <c r="K9" s="68" t="n">
        <v>-161.9</v>
      </c>
      <c r="L9" s="68" t="n">
        <v>-85.7</v>
      </c>
      <c r="M9" s="68" t="n"/>
      <c r="N9" s="68" t="n"/>
      <c r="O9" s="68" t="n"/>
      <c r="P9" s="68" t="n">
        <v>7400</v>
      </c>
      <c r="Q9" s="68" t="n">
        <v>1950</v>
      </c>
      <c r="R9" s="68" t="n"/>
      <c r="S9" s="68" t="n">
        <v>320</v>
      </c>
      <c r="T9" s="68" t="n">
        <v>-66.7</v>
      </c>
      <c r="U9" s="68" t="n">
        <v>-75.59999999999999</v>
      </c>
      <c r="V9" s="68" t="n">
        <v>-60</v>
      </c>
      <c r="W9" s="68" t="n">
        <v>-64.3</v>
      </c>
      <c r="X9" s="68" t="n">
        <v>-76</v>
      </c>
      <c r="Y9" s="68" t="n">
        <v>-50</v>
      </c>
      <c r="Z9" s="68" t="n">
        <v>0</v>
      </c>
      <c r="AA9" s="68" t="n">
        <v>-20</v>
      </c>
      <c r="AB9" s="68" t="n">
        <v>-150</v>
      </c>
      <c r="AC9" s="68" t="n">
        <v>20</v>
      </c>
      <c r="AD9" s="68" t="n">
        <v>170</v>
      </c>
      <c r="AE9" s="68" t="n">
        <v>291.7</v>
      </c>
      <c r="AF9" s="68" t="n"/>
      <c r="AG9" s="68" t="n">
        <v>50</v>
      </c>
      <c r="AH9" s="68" t="n">
        <v>-22.2</v>
      </c>
      <c r="AI9" s="68" t="n">
        <v>-10.6</v>
      </c>
      <c r="AJ9" s="68" t="n">
        <v>30</v>
      </c>
      <c r="AK9" s="68" t="n">
        <v>100</v>
      </c>
      <c r="AL9" s="68" t="n">
        <v>57.1</v>
      </c>
      <c r="AM9" s="68" t="n">
        <v>38.1</v>
      </c>
      <c r="AN9" s="68" t="n">
        <v>34.6</v>
      </c>
      <c r="AO9" s="68" t="n">
        <v>72.2</v>
      </c>
    </row>
    <row r="10">
      <c r="A10" s="66" t="inlineStr">
        <is>
          <t>유동자산</t>
        </is>
      </c>
      <c r="B10" s="67" t="n"/>
      <c r="C10" s="67" t="n">
        <v>48.4</v>
      </c>
      <c r="D10" s="67" t="n"/>
      <c r="E10" s="67" t="n"/>
      <c r="F10" s="67" t="n">
        <v>49.6</v>
      </c>
      <c r="G10" s="67" t="n">
        <v>53.1</v>
      </c>
      <c r="H10" s="67" t="n">
        <v>51.4</v>
      </c>
      <c r="I10" s="67" t="n">
        <v>50.7</v>
      </c>
      <c r="J10" s="67" t="n">
        <v>51.8</v>
      </c>
      <c r="K10" s="67" t="n">
        <v>49.4</v>
      </c>
      <c r="L10" s="67" t="n">
        <v>50</v>
      </c>
      <c r="M10" s="67" t="n">
        <v>46.8</v>
      </c>
      <c r="N10" s="67" t="n">
        <v>46.9</v>
      </c>
      <c r="O10" s="67" t="n">
        <v>49.6</v>
      </c>
      <c r="P10" s="67" t="n">
        <v>58.4</v>
      </c>
      <c r="Q10" s="67" t="n">
        <v>57.9</v>
      </c>
      <c r="R10" s="67" t="n">
        <v>59.3</v>
      </c>
      <c r="S10" s="67" t="n">
        <v>68.90000000000001</v>
      </c>
      <c r="T10" s="67" t="n">
        <v>60.6</v>
      </c>
      <c r="U10" s="67" t="n">
        <v>59</v>
      </c>
      <c r="V10" s="67" t="n">
        <v>64.2</v>
      </c>
      <c r="W10" s="67" t="n">
        <v>66.8</v>
      </c>
      <c r="X10" s="67" t="n">
        <v>66.8</v>
      </c>
      <c r="Y10" s="67" t="n">
        <v>63.6</v>
      </c>
      <c r="Z10" s="67" t="n">
        <v>63.7</v>
      </c>
      <c r="AA10" s="67" t="n">
        <v>59.6</v>
      </c>
      <c r="AB10" s="67" t="n">
        <v>56.3</v>
      </c>
      <c r="AC10" s="67" t="n">
        <v>55.1</v>
      </c>
      <c r="AD10" s="67" t="n">
        <v>56</v>
      </c>
      <c r="AE10" s="67" t="n">
        <v>61.5</v>
      </c>
      <c r="AF10" s="67" t="n">
        <v>59.4</v>
      </c>
      <c r="AG10" s="67" t="n">
        <v>57.6</v>
      </c>
      <c r="AH10" s="67" t="n">
        <v>62</v>
      </c>
      <c r="AI10" s="67" t="n">
        <v>66.09999999999999</v>
      </c>
      <c r="AJ10" s="67" t="n">
        <v>64</v>
      </c>
      <c r="AK10" s="67" t="n">
        <v>63.9</v>
      </c>
      <c r="AL10" s="67" t="n">
        <v>67.7</v>
      </c>
      <c r="AM10" s="67" t="n">
        <v>71.8</v>
      </c>
      <c r="AN10" s="67" t="n">
        <v>71.2</v>
      </c>
      <c r="AO10" s="67" t="n">
        <v>67</v>
      </c>
    </row>
    <row r="11">
      <c r="A11" s="66" t="inlineStr">
        <is>
          <t>유동부채</t>
        </is>
      </c>
      <c r="B11" s="67" t="n"/>
      <c r="C11" s="67" t="n">
        <v>17.5</v>
      </c>
      <c r="D11" s="67" t="n"/>
      <c r="E11" s="67" t="n"/>
      <c r="F11" s="67" t="n">
        <v>18.3</v>
      </c>
      <c r="G11" s="67" t="n">
        <v>21.1</v>
      </c>
      <c r="H11" s="67" t="n">
        <v>18.2</v>
      </c>
      <c r="I11" s="67" t="n">
        <v>21</v>
      </c>
      <c r="J11" s="67" t="n">
        <v>25.7</v>
      </c>
      <c r="K11" s="67" t="n">
        <v>24.1</v>
      </c>
      <c r="L11" s="67" t="n">
        <v>24.6</v>
      </c>
      <c r="M11" s="67" t="n">
        <v>21.1</v>
      </c>
      <c r="N11" s="67" t="n">
        <v>21.6</v>
      </c>
      <c r="O11" s="67" t="n">
        <v>22.4</v>
      </c>
      <c r="P11" s="67" t="n">
        <v>27.2</v>
      </c>
      <c r="Q11" s="67" t="n">
        <v>24.1</v>
      </c>
      <c r="R11" s="67" t="n">
        <v>24.9</v>
      </c>
      <c r="S11" s="67" t="n">
        <v>30.2</v>
      </c>
      <c r="T11" s="67" t="n">
        <v>23.2</v>
      </c>
      <c r="U11" s="67" t="n">
        <v>21.8</v>
      </c>
      <c r="V11" s="67" t="n">
        <v>26.3</v>
      </c>
      <c r="W11" s="67" t="n">
        <v>27</v>
      </c>
      <c r="X11" s="67" t="n">
        <v>26.8</v>
      </c>
      <c r="Y11" s="67" t="n">
        <v>21.7</v>
      </c>
      <c r="Z11" s="67" t="n">
        <v>23.7</v>
      </c>
      <c r="AA11" s="67" t="n">
        <v>18</v>
      </c>
      <c r="AB11" s="67" t="n">
        <v>14.3</v>
      </c>
      <c r="AC11" s="67" t="n">
        <v>13.3</v>
      </c>
      <c r="AD11" s="67" t="n">
        <v>13.6</v>
      </c>
      <c r="AE11" s="67" t="n">
        <v>15.9</v>
      </c>
      <c r="AF11" s="67" t="n">
        <v>12.9</v>
      </c>
      <c r="AG11" s="67" t="n">
        <v>13.9</v>
      </c>
      <c r="AH11" s="67" t="n">
        <v>15.4</v>
      </c>
      <c r="AI11" s="67" t="n">
        <v>20</v>
      </c>
      <c r="AJ11" s="67" t="n">
        <v>18.4</v>
      </c>
      <c r="AK11" s="67" t="n">
        <v>15.8</v>
      </c>
      <c r="AL11" s="67" t="n">
        <v>17.6</v>
      </c>
      <c r="AM11" s="67" t="n">
        <v>19.9</v>
      </c>
      <c r="AN11" s="67" t="n">
        <v>22.2</v>
      </c>
      <c r="AO11" s="67" t="n">
        <v>22.3</v>
      </c>
    </row>
    <row r="12">
      <c r="A12" s="66" t="inlineStr">
        <is>
          <t>부채총계</t>
        </is>
      </c>
      <c r="B12" s="67" t="n"/>
      <c r="C12" s="67" t="n">
        <v>17.6</v>
      </c>
      <c r="D12" s="67" t="n"/>
      <c r="E12" s="67" t="n"/>
      <c r="F12" s="67" t="n">
        <v>18.4</v>
      </c>
      <c r="G12" s="67" t="n">
        <v>21.4</v>
      </c>
      <c r="H12" s="67" t="n">
        <v>18.5</v>
      </c>
      <c r="I12" s="67" t="n">
        <v>21.4</v>
      </c>
      <c r="J12" s="67" t="n">
        <v>26.3</v>
      </c>
      <c r="K12" s="67" t="n">
        <v>24.6</v>
      </c>
      <c r="L12" s="67" t="n">
        <v>25.1</v>
      </c>
      <c r="M12" s="67" t="n">
        <v>21.4</v>
      </c>
      <c r="N12" s="67" t="n">
        <v>21.9</v>
      </c>
      <c r="O12" s="67" t="n">
        <v>23</v>
      </c>
      <c r="P12" s="67" t="n">
        <v>27.8</v>
      </c>
      <c r="Q12" s="67" t="n">
        <v>24.6</v>
      </c>
      <c r="R12" s="67" t="n">
        <v>25.5</v>
      </c>
      <c r="S12" s="67" t="n">
        <v>30.8</v>
      </c>
      <c r="T12" s="67" t="n">
        <v>23.8</v>
      </c>
      <c r="U12" s="67" t="n">
        <v>22.2</v>
      </c>
      <c r="V12" s="67" t="n">
        <v>26.7</v>
      </c>
      <c r="W12" s="67" t="n">
        <v>27.5</v>
      </c>
      <c r="X12" s="67" t="n">
        <v>27.3</v>
      </c>
      <c r="Y12" s="67" t="n">
        <v>22.1</v>
      </c>
      <c r="Z12" s="67" t="n">
        <v>24.1</v>
      </c>
      <c r="AA12" s="67" t="n">
        <v>18.5</v>
      </c>
      <c r="AB12" s="67" t="n">
        <v>14.9</v>
      </c>
      <c r="AC12" s="67" t="n">
        <v>13.8</v>
      </c>
      <c r="AD12" s="67" t="n">
        <v>14.1</v>
      </c>
      <c r="AE12" s="67" t="n">
        <v>16.4</v>
      </c>
      <c r="AF12" s="67" t="n">
        <v>13.6</v>
      </c>
      <c r="AG12" s="67" t="n">
        <v>14.2</v>
      </c>
      <c r="AH12" s="67" t="n">
        <v>16</v>
      </c>
      <c r="AI12" s="67" t="n">
        <v>21.1</v>
      </c>
      <c r="AJ12" s="67" t="n">
        <v>19.8</v>
      </c>
      <c r="AK12" s="67" t="n">
        <v>17.1</v>
      </c>
      <c r="AL12" s="67" t="n">
        <v>19.2</v>
      </c>
      <c r="AM12" s="67" t="n">
        <v>21.5</v>
      </c>
      <c r="AN12" s="67" t="n">
        <v>24.8</v>
      </c>
      <c r="AO12" s="67" t="n">
        <v>25.4</v>
      </c>
    </row>
    <row r="13">
      <c r="A13" s="66" t="inlineStr">
        <is>
          <t>자기자본</t>
        </is>
      </c>
      <c r="B13" s="68" t="n"/>
      <c r="C13" s="68" t="n">
        <v>35.8</v>
      </c>
      <c r="D13" s="68" t="n"/>
      <c r="E13" s="68" t="n"/>
      <c r="F13" s="68" t="n">
        <v>36.9</v>
      </c>
      <c r="G13" s="68" t="n">
        <v>37.8</v>
      </c>
      <c r="H13" s="68" t="n">
        <v>38.7</v>
      </c>
      <c r="I13" s="68" t="n">
        <v>37.8</v>
      </c>
      <c r="J13" s="68" t="n">
        <v>36.5</v>
      </c>
      <c r="K13" s="68" t="n">
        <v>35.7</v>
      </c>
      <c r="L13" s="68" t="n">
        <v>35.7</v>
      </c>
      <c r="M13" s="68" t="n">
        <v>36.2</v>
      </c>
      <c r="N13" s="68" t="n">
        <v>36.1</v>
      </c>
      <c r="O13" s="68" t="n">
        <v>37.1</v>
      </c>
      <c r="P13" s="68" t="n">
        <v>41.5</v>
      </c>
      <c r="Q13" s="68" t="n">
        <v>46.4</v>
      </c>
      <c r="R13" s="68" t="n">
        <v>47.9</v>
      </c>
      <c r="S13" s="68" t="n">
        <v>51.4</v>
      </c>
      <c r="T13" s="68" t="n">
        <v>50.2</v>
      </c>
      <c r="U13" s="68" t="n">
        <v>51.3</v>
      </c>
      <c r="V13" s="68" t="n">
        <v>52.1</v>
      </c>
      <c r="W13" s="68" t="n">
        <v>52.7</v>
      </c>
      <c r="X13" s="68" t="n">
        <v>52.5</v>
      </c>
      <c r="Y13" s="68" t="n">
        <v>53.5</v>
      </c>
      <c r="Z13" s="68" t="n">
        <v>51.1</v>
      </c>
      <c r="AA13" s="68" t="n">
        <v>53</v>
      </c>
      <c r="AB13" s="68" t="n">
        <v>52.8</v>
      </c>
      <c r="AC13" s="68" t="n">
        <v>52.8</v>
      </c>
      <c r="AD13" s="68" t="n">
        <v>52.8</v>
      </c>
      <c r="AE13" s="68" t="n">
        <v>55.7</v>
      </c>
      <c r="AF13" s="68" t="n">
        <v>56.4</v>
      </c>
      <c r="AG13" s="68" t="n">
        <v>55.5</v>
      </c>
      <c r="AH13" s="68" t="n">
        <v>59.3</v>
      </c>
      <c r="AI13" s="68" t="n">
        <v>59.6</v>
      </c>
      <c r="AJ13" s="68" t="n">
        <v>59.9</v>
      </c>
      <c r="AK13" s="68" t="n">
        <v>66.2</v>
      </c>
      <c r="AL13" s="68" t="n">
        <v>68.90000000000001</v>
      </c>
      <c r="AM13" s="68" t="n">
        <v>72.40000000000001</v>
      </c>
      <c r="AN13" s="68" t="n">
        <v>72.8</v>
      </c>
      <c r="AO13" s="68" t="n">
        <v>74.3</v>
      </c>
    </row>
    <row r="14">
      <c r="A14" s="66" t="inlineStr">
        <is>
          <t>유동비율</t>
        </is>
      </c>
      <c r="B14" s="68" t="n"/>
      <c r="C14" s="68" t="n">
        <v>276.6</v>
      </c>
      <c r="D14" s="68" t="n"/>
      <c r="E14" s="68" t="n"/>
      <c r="F14" s="68" t="n">
        <v>271</v>
      </c>
      <c r="G14" s="68" t="n">
        <v>251.7</v>
      </c>
      <c r="H14" s="68" t="n">
        <v>282.4</v>
      </c>
      <c r="I14" s="68" t="n">
        <v>241.4</v>
      </c>
      <c r="J14" s="68" t="n">
        <v>201.6</v>
      </c>
      <c r="K14" s="68" t="n">
        <v>205</v>
      </c>
      <c r="L14" s="68" t="n">
        <v>203.3</v>
      </c>
      <c r="M14" s="68" t="n">
        <v>221.8</v>
      </c>
      <c r="N14" s="68" t="n">
        <v>217.1</v>
      </c>
      <c r="O14" s="68" t="n">
        <v>221.4</v>
      </c>
      <c r="P14" s="68" t="n">
        <v>214.7</v>
      </c>
      <c r="Q14" s="68" t="n">
        <v>240.2</v>
      </c>
      <c r="R14" s="68" t="n">
        <v>238.2</v>
      </c>
      <c r="S14" s="68" t="n">
        <v>228.1</v>
      </c>
      <c r="T14" s="68" t="n">
        <v>261.2</v>
      </c>
      <c r="U14" s="68" t="n">
        <v>270.6</v>
      </c>
      <c r="V14" s="68" t="n">
        <v>244.1</v>
      </c>
      <c r="W14" s="68" t="n">
        <v>247.4</v>
      </c>
      <c r="X14" s="68" t="n">
        <v>249.3</v>
      </c>
      <c r="Y14" s="68" t="n">
        <v>293.1</v>
      </c>
      <c r="Z14" s="68" t="n">
        <v>268.8</v>
      </c>
      <c r="AA14" s="68" t="n">
        <v>331.1</v>
      </c>
      <c r="AB14" s="68" t="n">
        <v>393.7</v>
      </c>
      <c r="AC14" s="68" t="n">
        <v>414.3</v>
      </c>
      <c r="AD14" s="68" t="n">
        <v>411.8</v>
      </c>
      <c r="AE14" s="68" t="n">
        <v>386.8</v>
      </c>
      <c r="AF14" s="68" t="n">
        <v>460.5</v>
      </c>
      <c r="AG14" s="68" t="n">
        <v>414.4</v>
      </c>
      <c r="AH14" s="68" t="n">
        <v>402.6</v>
      </c>
      <c r="AI14" s="68" t="n">
        <v>330.5</v>
      </c>
      <c r="AJ14" s="68" t="n">
        <v>347.8</v>
      </c>
      <c r="AK14" s="68" t="n">
        <v>404.4</v>
      </c>
      <c r="AL14" s="68" t="n">
        <v>384.7</v>
      </c>
      <c r="AM14" s="68" t="n">
        <v>360.8</v>
      </c>
      <c r="AN14" s="68" t="n">
        <v>320.7</v>
      </c>
      <c r="AO14" s="68" t="n">
        <v>300.4</v>
      </c>
    </row>
    <row r="15">
      <c r="A15" s="66" t="inlineStr">
        <is>
          <t>부채비율</t>
        </is>
      </c>
      <c r="B15" s="68" t="n"/>
      <c r="C15" s="68" t="n">
        <v>49.2</v>
      </c>
      <c r="D15" s="68" t="n"/>
      <c r="E15" s="68" t="n"/>
      <c r="F15" s="68" t="n">
        <v>49.9</v>
      </c>
      <c r="G15" s="68" t="n">
        <v>56.6</v>
      </c>
      <c r="H15" s="68" t="n">
        <v>47.8</v>
      </c>
      <c r="I15" s="68" t="n">
        <v>56.6</v>
      </c>
      <c r="J15" s="68" t="n">
        <v>72.09999999999999</v>
      </c>
      <c r="K15" s="68" t="n">
        <v>68.90000000000001</v>
      </c>
      <c r="L15" s="68" t="n">
        <v>70.3</v>
      </c>
      <c r="M15" s="68" t="n">
        <v>59.1</v>
      </c>
      <c r="N15" s="68" t="n">
        <v>60.7</v>
      </c>
      <c r="O15" s="68" t="n">
        <v>62</v>
      </c>
      <c r="P15" s="68" t="n">
        <v>67</v>
      </c>
      <c r="Q15" s="68" t="n">
        <v>53</v>
      </c>
      <c r="R15" s="68" t="n">
        <v>53.2</v>
      </c>
      <c r="S15" s="68" t="n">
        <v>59.9</v>
      </c>
      <c r="T15" s="68" t="n">
        <v>47.4</v>
      </c>
      <c r="U15" s="68" t="n">
        <v>43.3</v>
      </c>
      <c r="V15" s="68" t="n">
        <v>51.2</v>
      </c>
      <c r="W15" s="68" t="n">
        <v>52.2</v>
      </c>
      <c r="X15" s="68" t="n">
        <v>52</v>
      </c>
      <c r="Y15" s="68" t="n">
        <v>41.3</v>
      </c>
      <c r="Z15" s="68" t="n">
        <v>47.2</v>
      </c>
      <c r="AA15" s="68" t="n">
        <v>34.9</v>
      </c>
      <c r="AB15" s="68" t="n">
        <v>28.2</v>
      </c>
      <c r="AC15" s="68" t="n">
        <v>26.1</v>
      </c>
      <c r="AD15" s="68" t="n">
        <v>26.7</v>
      </c>
      <c r="AE15" s="68" t="n">
        <v>29.4</v>
      </c>
      <c r="AF15" s="68" t="n">
        <v>24.1</v>
      </c>
      <c r="AG15" s="68" t="n">
        <v>25.6</v>
      </c>
      <c r="AH15" s="68" t="n">
        <v>27</v>
      </c>
      <c r="AI15" s="68" t="n">
        <v>35.4</v>
      </c>
      <c r="AJ15" s="68" t="n">
        <v>33.1</v>
      </c>
      <c r="AK15" s="68" t="n">
        <v>25.8</v>
      </c>
      <c r="AL15" s="68" t="n">
        <v>27.9</v>
      </c>
      <c r="AM15" s="68" t="n">
        <v>29.7</v>
      </c>
      <c r="AN15" s="68" t="n">
        <v>34.1</v>
      </c>
      <c r="AO15" s="68" t="n">
        <v>34.2</v>
      </c>
    </row>
    <row r="16">
      <c r="A16" s="66" t="inlineStr">
        <is>
          <t>순차입금/자기자본</t>
        </is>
      </c>
      <c r="B16" s="68" t="n"/>
      <c r="C16" s="68" t="n">
        <v>-17</v>
      </c>
      <c r="D16" s="68" t="n"/>
      <c r="E16" s="68" t="n"/>
      <c r="F16" s="68" t="n">
        <v>-8.4</v>
      </c>
      <c r="G16" s="68" t="n">
        <v>-22.2</v>
      </c>
      <c r="H16" s="68" t="n">
        <v>-35.4</v>
      </c>
      <c r="I16" s="68" t="n">
        <v>-25.7</v>
      </c>
      <c r="J16" s="68" t="n">
        <v>6.6</v>
      </c>
      <c r="K16" s="68" t="n">
        <v>8.4</v>
      </c>
      <c r="L16" s="68" t="n">
        <v>-12.6</v>
      </c>
      <c r="M16" s="68" t="n">
        <v>-15.2</v>
      </c>
      <c r="N16" s="68" t="n">
        <v>-9.699999999999999</v>
      </c>
      <c r="O16" s="68" t="n">
        <v>-13.2</v>
      </c>
      <c r="P16" s="68" t="n">
        <v>-40.5</v>
      </c>
      <c r="Q16" s="68" t="n">
        <v>-28.7</v>
      </c>
      <c r="R16" s="68" t="n">
        <v>-31.7</v>
      </c>
      <c r="S16" s="68" t="n">
        <v>-49.2</v>
      </c>
      <c r="T16" s="68" t="n">
        <v>-30.9</v>
      </c>
      <c r="U16" s="68" t="n">
        <v>-16.6</v>
      </c>
      <c r="V16" s="68" t="n">
        <v>-7.5</v>
      </c>
      <c r="W16" s="68" t="n">
        <v>-1.3</v>
      </c>
      <c r="X16" s="68" t="n">
        <v>-15.6</v>
      </c>
      <c r="Y16" s="68" t="n">
        <v>-30.3</v>
      </c>
      <c r="Z16" s="68" t="n">
        <v>-36</v>
      </c>
      <c r="AA16" s="68" t="n">
        <v>-35.7</v>
      </c>
      <c r="AB16" s="68" t="n">
        <v>-33.9</v>
      </c>
      <c r="AC16" s="68" t="n">
        <v>-23.5</v>
      </c>
      <c r="AD16" s="68" t="n">
        <v>-20.6</v>
      </c>
      <c r="AE16" s="68" t="n">
        <v>-31.4</v>
      </c>
      <c r="AF16" s="68" t="n">
        <v>-36</v>
      </c>
      <c r="AG16" s="68" t="n">
        <v>-36.2</v>
      </c>
      <c r="AH16" s="68" t="n">
        <v>-32</v>
      </c>
      <c r="AI16" s="68" t="n">
        <v>-30.9</v>
      </c>
      <c r="AJ16" s="68" t="n">
        <v>-38.2</v>
      </c>
      <c r="AK16" s="68" t="n">
        <v>-25.7</v>
      </c>
      <c r="AL16" s="68" t="n">
        <v>-21</v>
      </c>
      <c r="AM16" s="68" t="n">
        <v>-26.2</v>
      </c>
      <c r="AN16" s="68" t="n">
        <v>-33.2</v>
      </c>
      <c r="AO16" s="68" t="n">
        <v>-29.5</v>
      </c>
    </row>
    <row r="17">
      <c r="A17" s="66" t="inlineStr">
        <is>
          <t>재고자산</t>
        </is>
      </c>
      <c r="B17" s="67" t="n"/>
      <c r="C17" s="67" t="n">
        <v>15.3</v>
      </c>
      <c r="D17" s="67" t="n"/>
      <c r="E17" s="67" t="n"/>
      <c r="F17" s="67" t="n">
        <v>19.4</v>
      </c>
      <c r="G17" s="67" t="n">
        <v>17.5</v>
      </c>
      <c r="H17" s="67" t="n">
        <v>13.3</v>
      </c>
      <c r="I17" s="67" t="n">
        <v>18.2</v>
      </c>
      <c r="J17" s="67" t="n">
        <v>26.6</v>
      </c>
      <c r="K17" s="67" t="n">
        <v>24.1</v>
      </c>
      <c r="L17" s="67" t="n">
        <v>21</v>
      </c>
      <c r="M17" s="67" t="n">
        <v>18.5</v>
      </c>
      <c r="N17" s="67" t="n">
        <v>22.1</v>
      </c>
      <c r="O17" s="67" t="n">
        <v>17.8</v>
      </c>
      <c r="P17" s="67" t="n">
        <v>12.4</v>
      </c>
      <c r="Q17" s="67" t="n">
        <v>20.2</v>
      </c>
      <c r="R17" s="67" t="n">
        <v>20.8</v>
      </c>
      <c r="S17" s="67" t="n">
        <v>15.2</v>
      </c>
      <c r="T17" s="67" t="n">
        <v>18.3</v>
      </c>
      <c r="U17" s="67" t="n">
        <v>24.7</v>
      </c>
      <c r="V17" s="67" t="n">
        <v>28.8</v>
      </c>
      <c r="W17" s="67" t="n">
        <v>29.9</v>
      </c>
      <c r="X17" s="67" t="n">
        <v>27.3</v>
      </c>
      <c r="Y17" s="67" t="n">
        <v>22.7</v>
      </c>
      <c r="Z17" s="67" t="n">
        <v>20.8</v>
      </c>
      <c r="AA17" s="67" t="n">
        <v>18.2</v>
      </c>
      <c r="AB17" s="67" t="n">
        <v>18.5</v>
      </c>
      <c r="AC17" s="67" t="n">
        <v>25.2</v>
      </c>
      <c r="AD17" s="67" t="n">
        <v>27.5</v>
      </c>
      <c r="AE17" s="67" t="n">
        <v>21.1</v>
      </c>
      <c r="AF17" s="67" t="n">
        <v>21.9</v>
      </c>
      <c r="AG17" s="67" t="n">
        <v>22.3</v>
      </c>
      <c r="AH17" s="67" t="n">
        <v>23</v>
      </c>
      <c r="AI17" s="67" t="n">
        <v>23.1</v>
      </c>
      <c r="AJ17" s="67" t="n">
        <v>23.7</v>
      </c>
      <c r="AK17" s="67" t="n">
        <v>29.4</v>
      </c>
      <c r="AL17" s="67" t="n">
        <v>30.2</v>
      </c>
      <c r="AM17" s="67" t="n">
        <v>25.2</v>
      </c>
      <c r="AN17" s="67" t="n">
        <v>25.6</v>
      </c>
      <c r="AO17" s="67" t="n">
        <v>24.2</v>
      </c>
    </row>
    <row r="18">
      <c r="A18" s="66" t="inlineStr">
        <is>
          <t>재고자산 회전일수</t>
        </is>
      </c>
      <c r="B18" s="67" t="n"/>
      <c r="C18" s="67" t="n"/>
      <c r="D18" s="67" t="n"/>
      <c r="E18" s="67" t="n"/>
      <c r="F18" s="67" t="n">
        <v>115</v>
      </c>
      <c r="G18" s="67" t="n"/>
      <c r="H18" s="67" t="n">
        <v>79</v>
      </c>
      <c r="I18" s="67" t="n">
        <v>121</v>
      </c>
      <c r="J18" s="67" t="n">
        <v>147</v>
      </c>
      <c r="K18" s="67" t="n"/>
      <c r="L18" s="67" t="n">
        <v>132</v>
      </c>
      <c r="M18" s="67" t="n">
        <v>115</v>
      </c>
      <c r="N18" s="67" t="n">
        <v>146</v>
      </c>
      <c r="O18" s="67" t="n"/>
      <c r="P18" s="67" t="n">
        <v>52</v>
      </c>
      <c r="Q18" s="67" t="n">
        <v>102</v>
      </c>
      <c r="R18" s="67" t="n">
        <v>110</v>
      </c>
      <c r="S18" s="67" t="n"/>
      <c r="T18" s="67" t="n">
        <v>84</v>
      </c>
      <c r="U18" s="67" t="n">
        <v>124</v>
      </c>
      <c r="V18" s="67" t="n">
        <v>153</v>
      </c>
      <c r="W18" s="67" t="n"/>
      <c r="X18" s="67" t="n">
        <v>124</v>
      </c>
      <c r="Y18" s="67" t="n">
        <v>103</v>
      </c>
      <c r="Z18" s="67" t="n">
        <v>89</v>
      </c>
      <c r="AA18" s="67" t="n"/>
      <c r="AB18" s="67" t="n">
        <v>78</v>
      </c>
      <c r="AC18" s="67" t="n">
        <v>120</v>
      </c>
      <c r="AD18" s="67" t="n">
        <v>128</v>
      </c>
      <c r="AE18" s="67" t="n"/>
      <c r="AF18" s="67" t="n">
        <v>116</v>
      </c>
      <c r="AG18" s="67" t="n">
        <v>117</v>
      </c>
      <c r="AH18" s="67" t="n">
        <v>103</v>
      </c>
      <c r="AI18" s="67" t="n"/>
      <c r="AJ18" s="67" t="n">
        <v>103</v>
      </c>
      <c r="AK18" s="67" t="n">
        <v>142</v>
      </c>
      <c r="AL18" s="67" t="n">
        <v>132</v>
      </c>
      <c r="AM18" s="67" t="n"/>
      <c r="AN18" s="67" t="n">
        <v>100</v>
      </c>
      <c r="AO18" s="67" t="n">
        <v>95</v>
      </c>
    </row>
    <row r="19">
      <c r="A19" s="66" t="inlineStr">
        <is>
          <t>매출채권 회전일수</t>
        </is>
      </c>
      <c r="B19" s="67" t="n"/>
      <c r="C19" s="67" t="n">
        <v>51</v>
      </c>
      <c r="D19" s="67" t="n"/>
      <c r="E19" s="67" t="n"/>
      <c r="F19" s="67" t="n">
        <v>46</v>
      </c>
      <c r="G19" s="67" t="n">
        <v>48</v>
      </c>
      <c r="H19" s="67" t="n">
        <v>40</v>
      </c>
      <c r="I19" s="67" t="n">
        <v>40</v>
      </c>
      <c r="J19" s="67" t="n">
        <v>28</v>
      </c>
      <c r="K19" s="67" t="n">
        <v>31</v>
      </c>
      <c r="L19" s="67" t="n">
        <v>25</v>
      </c>
      <c r="M19" s="67" t="n">
        <v>35</v>
      </c>
      <c r="N19" s="67" t="n">
        <v>34</v>
      </c>
      <c r="O19" s="67" t="n">
        <v>40</v>
      </c>
      <c r="P19" s="67" t="n">
        <v>31</v>
      </c>
      <c r="Q19" s="67" t="n">
        <v>33</v>
      </c>
      <c r="R19" s="67" t="n">
        <v>32</v>
      </c>
      <c r="S19" s="67" t="n">
        <v>34</v>
      </c>
      <c r="T19" s="67" t="n">
        <v>33</v>
      </c>
      <c r="U19" s="67" t="n">
        <v>34</v>
      </c>
      <c r="V19" s="67" t="n">
        <v>31</v>
      </c>
      <c r="W19" s="67" t="n">
        <v>39</v>
      </c>
      <c r="X19" s="67" t="n">
        <v>29</v>
      </c>
      <c r="Y19" s="67" t="n">
        <v>31</v>
      </c>
      <c r="Z19" s="67" t="n">
        <v>31</v>
      </c>
      <c r="AA19" s="67" t="n">
        <v>37</v>
      </c>
      <c r="AB19" s="67" t="n">
        <v>29</v>
      </c>
      <c r="AC19" s="67" t="n">
        <v>29</v>
      </c>
      <c r="AD19" s="67" t="n">
        <v>30</v>
      </c>
      <c r="AE19" s="67" t="n">
        <v>37</v>
      </c>
      <c r="AF19" s="67" t="n">
        <v>28</v>
      </c>
      <c r="AG19" s="67" t="n">
        <v>30</v>
      </c>
      <c r="AH19" s="67" t="n">
        <v>31</v>
      </c>
      <c r="AI19" s="67" t="n">
        <v>39</v>
      </c>
      <c r="AJ19" s="67" t="n">
        <v>27</v>
      </c>
      <c r="AK19" s="67" t="n">
        <v>30</v>
      </c>
      <c r="AL19" s="67" t="n">
        <v>35</v>
      </c>
      <c r="AM19" s="67" t="n">
        <v>37</v>
      </c>
      <c r="AN19" s="67" t="n">
        <v>29</v>
      </c>
      <c r="AO19" s="67" t="n">
        <v>30</v>
      </c>
    </row>
    <row r="20">
      <c r="A20" s="66" t="inlineStr">
        <is>
          <t>매입채무 회전일수</t>
        </is>
      </c>
      <c r="B20" s="67" t="n"/>
      <c r="C20" s="67" t="n"/>
      <c r="D20" s="67" t="n"/>
      <c r="E20" s="67" t="n"/>
      <c r="F20" s="67" t="n">
        <v>15</v>
      </c>
      <c r="G20" s="67" t="n"/>
      <c r="H20" s="67" t="n">
        <v>10</v>
      </c>
      <c r="I20" s="67" t="n">
        <v>31</v>
      </c>
      <c r="J20" s="67" t="n">
        <v>16</v>
      </c>
      <c r="K20" s="67" t="n"/>
      <c r="L20" s="67" t="n">
        <v>14</v>
      </c>
      <c r="M20" s="67" t="n">
        <v>14</v>
      </c>
      <c r="N20" s="67" t="n">
        <v>20</v>
      </c>
      <c r="O20" s="67" t="n"/>
      <c r="P20" s="67" t="n">
        <v>14</v>
      </c>
      <c r="Q20" s="67" t="n">
        <v>16</v>
      </c>
      <c r="R20" s="67" t="n">
        <v>11</v>
      </c>
      <c r="S20" s="67" t="n"/>
      <c r="T20" s="67" t="n">
        <v>13</v>
      </c>
      <c r="U20" s="67" t="n">
        <v>19</v>
      </c>
      <c r="V20" s="67" t="n">
        <v>20</v>
      </c>
      <c r="W20" s="67" t="n"/>
      <c r="X20" s="67" t="n">
        <v>9</v>
      </c>
      <c r="Y20" s="67" t="n">
        <v>9</v>
      </c>
      <c r="Z20" s="67" t="n">
        <v>10</v>
      </c>
      <c r="AA20" s="67" t="n"/>
      <c r="AB20" s="67" t="n">
        <v>10</v>
      </c>
      <c r="AC20" s="67" t="n">
        <v>13</v>
      </c>
      <c r="AD20" s="67" t="n">
        <v>13</v>
      </c>
      <c r="AE20" s="67" t="n"/>
      <c r="AF20" s="67" t="n">
        <v>10</v>
      </c>
      <c r="AG20" s="67" t="n">
        <v>11</v>
      </c>
      <c r="AH20" s="67" t="n">
        <v>15</v>
      </c>
      <c r="AI20" s="67" t="n"/>
      <c r="AJ20" s="67" t="n">
        <v>16</v>
      </c>
      <c r="AK20" s="67" t="n">
        <v>16</v>
      </c>
      <c r="AL20" s="67" t="n">
        <v>17</v>
      </c>
      <c r="AM20" s="67" t="n"/>
      <c r="AN20" s="67" t="n">
        <v>25</v>
      </c>
      <c r="AO20" s="67" t="n">
        <v>25</v>
      </c>
    </row>
    <row r="21">
      <c r="A21" s="66" t="inlineStr">
        <is>
          <t>현금전환주기(CCC)</t>
        </is>
      </c>
      <c r="B21" s="67" t="n"/>
      <c r="C21" s="67" t="n"/>
      <c r="D21" s="67" t="n"/>
      <c r="E21" s="67" t="n"/>
      <c r="F21" s="67" t="n">
        <v>146</v>
      </c>
      <c r="G21" s="67" t="n"/>
      <c r="H21" s="67" t="n">
        <v>109</v>
      </c>
      <c r="I21" s="67" t="n">
        <v>130</v>
      </c>
      <c r="J21" s="67" t="n">
        <v>159</v>
      </c>
      <c r="K21" s="67" t="n"/>
      <c r="L21" s="67" t="n">
        <v>143</v>
      </c>
      <c r="M21" s="67" t="n">
        <v>136</v>
      </c>
      <c r="N21" s="67" t="n">
        <v>160</v>
      </c>
      <c r="O21" s="67" t="n"/>
      <c r="P21" s="67" t="n">
        <v>69</v>
      </c>
      <c r="Q21" s="67" t="n">
        <v>119</v>
      </c>
      <c r="R21" s="67" t="n">
        <v>131</v>
      </c>
      <c r="S21" s="67" t="n"/>
      <c r="T21" s="67" t="n">
        <v>104</v>
      </c>
      <c r="U21" s="67" t="n">
        <v>139</v>
      </c>
      <c r="V21" s="67" t="n">
        <v>164</v>
      </c>
      <c r="W21" s="67" t="n"/>
      <c r="X21" s="67" t="n">
        <v>144</v>
      </c>
      <c r="Y21" s="67" t="n">
        <v>125</v>
      </c>
      <c r="Z21" s="67" t="n">
        <v>110</v>
      </c>
      <c r="AA21" s="67" t="n"/>
      <c r="AB21" s="67" t="n">
        <v>97</v>
      </c>
      <c r="AC21" s="67" t="n">
        <v>136</v>
      </c>
      <c r="AD21" s="67" t="n">
        <v>145</v>
      </c>
      <c r="AE21" s="67" t="n"/>
      <c r="AF21" s="67" t="n">
        <v>134</v>
      </c>
      <c r="AG21" s="67" t="n">
        <v>136</v>
      </c>
      <c r="AH21" s="67" t="n">
        <v>119</v>
      </c>
      <c r="AI21" s="67" t="n"/>
      <c r="AJ21" s="67" t="n">
        <v>114</v>
      </c>
      <c r="AK21" s="67" t="n">
        <v>156</v>
      </c>
      <c r="AL21" s="67" t="n">
        <v>150</v>
      </c>
      <c r="AM21" s="67" t="n"/>
      <c r="AN21" s="67" t="n">
        <v>104</v>
      </c>
      <c r="AO21" s="67" t="n">
        <v>100</v>
      </c>
    </row>
    <row r="22">
      <c r="A22" s="66" t="inlineStr">
        <is>
          <t>총 차입금</t>
        </is>
      </c>
      <c r="B22" s="67" t="n"/>
      <c r="C22" s="67" t="n">
        <v>8.199999999999999</v>
      </c>
      <c r="D22" s="67" t="n"/>
      <c r="E22" s="67" t="n"/>
      <c r="F22" s="67" t="n">
        <v>8.199999999999999</v>
      </c>
      <c r="G22" s="67" t="n">
        <v>8.199999999999999</v>
      </c>
      <c r="H22" s="67" t="n">
        <v>8.199999999999999</v>
      </c>
      <c r="I22" s="67" t="n">
        <v>8.199999999999999</v>
      </c>
      <c r="J22" s="67" t="n">
        <v>13.2</v>
      </c>
      <c r="K22" s="67" t="n">
        <v>13.2</v>
      </c>
      <c r="L22" s="67" t="n">
        <v>13.2</v>
      </c>
      <c r="M22" s="67" t="n">
        <v>8.199999999999999</v>
      </c>
      <c r="N22" s="67" t="n">
        <v>8.199999999999999</v>
      </c>
      <c r="O22" s="67" t="n">
        <v>8.199999999999999</v>
      </c>
      <c r="P22" s="67" t="n">
        <v>8.199999999999999</v>
      </c>
      <c r="Q22" s="67" t="n">
        <v>5</v>
      </c>
      <c r="R22" s="67" t="n">
        <v>5</v>
      </c>
      <c r="S22" s="67" t="n">
        <v>5</v>
      </c>
      <c r="T22" s="67" t="n">
        <v>5</v>
      </c>
      <c r="U22" s="67" t="n">
        <v>5</v>
      </c>
      <c r="V22" s="67" t="n">
        <v>10</v>
      </c>
      <c r="W22" s="67" t="n">
        <v>10</v>
      </c>
      <c r="X22" s="67" t="n">
        <v>10</v>
      </c>
      <c r="Y22" s="67" t="n">
        <v>5</v>
      </c>
      <c r="Z22" s="67" t="n">
        <v>5</v>
      </c>
      <c r="AA22" s="67" t="n">
        <v>0</v>
      </c>
      <c r="AB22" s="67" t="n">
        <v>0</v>
      </c>
      <c r="AC22" s="67" t="n">
        <v>0</v>
      </c>
      <c r="AD22" s="67" t="n">
        <v>0</v>
      </c>
      <c r="AE22" s="67" t="n">
        <v>0</v>
      </c>
      <c r="AF22" s="67" t="n">
        <v>0</v>
      </c>
      <c r="AG22" s="67" t="n">
        <v>0</v>
      </c>
      <c r="AH22" s="67" t="n">
        <v>0</v>
      </c>
      <c r="AI22" s="67" t="n">
        <v>0</v>
      </c>
      <c r="AJ22" s="67" t="n">
        <v>0</v>
      </c>
      <c r="AK22" s="67" t="n">
        <v>0</v>
      </c>
      <c r="AL22" s="67" t="n">
        <v>0</v>
      </c>
      <c r="AM22" s="67" t="n">
        <v>0</v>
      </c>
      <c r="AN22" s="67" t="n">
        <v>0</v>
      </c>
      <c r="AO22" s="67" t="n">
        <v>0</v>
      </c>
    </row>
    <row r="23">
      <c r="A23" s="66" t="inlineStr">
        <is>
          <t>현금</t>
        </is>
      </c>
      <c r="B23" s="67" t="n"/>
      <c r="C23" s="67" t="n">
        <v>14.3</v>
      </c>
      <c r="D23" s="67" t="n"/>
      <c r="E23" s="67" t="n"/>
      <c r="F23" s="67" t="n">
        <v>11.3</v>
      </c>
      <c r="G23" s="67" t="n">
        <v>16.6</v>
      </c>
      <c r="H23" s="67" t="n">
        <v>21.9</v>
      </c>
      <c r="I23" s="67" t="n">
        <v>17.9</v>
      </c>
      <c r="J23" s="67" t="n">
        <v>10.8</v>
      </c>
      <c r="K23" s="67" t="n">
        <v>10.2</v>
      </c>
      <c r="L23" s="67" t="n">
        <v>17.7</v>
      </c>
      <c r="M23" s="67" t="n">
        <v>13.7</v>
      </c>
      <c r="N23" s="67" t="n">
        <v>11.7</v>
      </c>
      <c r="O23" s="67" t="n">
        <v>13.1</v>
      </c>
      <c r="P23" s="67" t="n">
        <v>25</v>
      </c>
      <c r="Q23" s="67" t="n">
        <v>18.3</v>
      </c>
      <c r="R23" s="67" t="n">
        <v>20.2</v>
      </c>
      <c r="S23" s="67" t="n">
        <v>30.3</v>
      </c>
      <c r="T23" s="67" t="n">
        <v>20.5</v>
      </c>
      <c r="U23" s="67" t="n">
        <v>13.5</v>
      </c>
      <c r="V23" s="67" t="n">
        <v>13.9</v>
      </c>
      <c r="W23" s="67" t="n">
        <v>10.7</v>
      </c>
      <c r="X23" s="67" t="n">
        <v>18.2</v>
      </c>
      <c r="Y23" s="67" t="n">
        <v>21.2</v>
      </c>
      <c r="Z23" s="67" t="n">
        <v>23.4</v>
      </c>
      <c r="AA23" s="67" t="n">
        <v>18.9</v>
      </c>
      <c r="AB23" s="67" t="n">
        <v>17.9</v>
      </c>
      <c r="AC23" s="67" t="n">
        <v>12.4</v>
      </c>
      <c r="AD23" s="67" t="n">
        <v>10.9</v>
      </c>
      <c r="AE23" s="67" t="n">
        <v>17.5</v>
      </c>
      <c r="AF23" s="67" t="n">
        <v>20.3</v>
      </c>
      <c r="AG23" s="67" t="n">
        <v>20.1</v>
      </c>
      <c r="AH23" s="67" t="n">
        <v>19</v>
      </c>
      <c r="AI23" s="67" t="n">
        <v>18.4</v>
      </c>
      <c r="AJ23" s="67" t="n">
        <v>22.9</v>
      </c>
      <c r="AK23" s="67" t="n">
        <v>17</v>
      </c>
      <c r="AL23" s="67" t="n">
        <v>14.5</v>
      </c>
      <c r="AM23" s="67" t="n">
        <v>19</v>
      </c>
      <c r="AN23" s="67" t="n">
        <v>24.2</v>
      </c>
      <c r="AO23" s="67" t="n">
        <v>21.9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2026-10-30T09:14:14Z</dcterms:created>
  <dcterms:modified xmlns:dcterms="http://purl.org/dc/terms/" xmlns:xsi="http://www.w3.org/2001/XMLSchema-instance" xsi:type="dcterms:W3CDTF">2026-10-30T09:15:22Z</dcterms:modified>
</cp:coreProperties>
</file>