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코에이테크모홀딩스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21414</v>
      </c>
      <c r="D4" s="12" t="n">
        <v>23448</v>
      </c>
      <c r="E4" s="12" t="n">
        <v>17607</v>
      </c>
      <c r="F4" s="12" t="n">
        <v>17590</v>
      </c>
      <c r="G4" s="12" t="n">
        <v>17373</v>
      </c>
      <c r="H4" s="12" t="n">
        <v>30580</v>
      </c>
      <c r="I4" s="12" t="n">
        <v>14800</v>
      </c>
      <c r="J4" s="12" t="n">
        <v>16468</v>
      </c>
      <c r="K4" s="12" t="n">
        <v>20461</v>
      </c>
      <c r="L4" s="12" t="n">
        <v>36664</v>
      </c>
      <c r="M4" s="12" t="n">
        <v>17368</v>
      </c>
      <c r="N4" s="12" t="n">
        <v>19959</v>
      </c>
      <c r="O4" s="11" t="n">
        <v>37034</v>
      </c>
      <c r="P4" s="12" t="n">
        <v>38926</v>
      </c>
      <c r="Q4" s="12" t="n">
        <v>38968</v>
      </c>
      <c r="R4" s="12" t="n">
        <v>42645</v>
      </c>
      <c r="S4" s="12" t="n">
        <v>60370</v>
      </c>
      <c r="T4" s="12" t="n">
        <v>72759</v>
      </c>
      <c r="U4" s="12" t="n">
        <v>78417</v>
      </c>
      <c r="V4" s="12" t="n">
        <v>84584</v>
      </c>
      <c r="W4" s="12" t="n">
        <v>83150</v>
      </c>
      <c r="X4" s="12" t="n">
        <v>88393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EntertainmentReportableSegmentMember</t>
        </is>
      </c>
      <c r="B7" s="10" t="n"/>
      <c r="C7" s="19" t="n">
        <v>20169</v>
      </c>
      <c r="D7" s="20" t="n">
        <v>22067</v>
      </c>
      <c r="E7" s="20" t="n">
        <v>16567</v>
      </c>
      <c r="F7" s="20" t="n">
        <v>15941</v>
      </c>
      <c r="G7" s="20" t="n">
        <v>16012</v>
      </c>
      <c r="H7" s="20" t="n">
        <v>29218</v>
      </c>
      <c r="I7" s="20" t="n">
        <v>13431</v>
      </c>
      <c r="J7" s="20" t="n">
        <v>14881</v>
      </c>
      <c r="K7" s="20" t="n">
        <v>18981</v>
      </c>
      <c r="L7" s="20" t="n">
        <v>34946</v>
      </c>
      <c r="M7" s="20" t="n">
        <v>15911</v>
      </c>
      <c r="N7" s="20" t="n">
        <v>18262</v>
      </c>
      <c r="O7" s="19" t="n"/>
      <c r="P7" s="20" t="n"/>
      <c r="Q7" s="20" t="n"/>
      <c r="R7" s="20" t="n"/>
      <c r="S7" s="20" t="n"/>
      <c r="T7" s="20" t="n"/>
      <c r="U7" s="20" t="n"/>
      <c r="V7" s="20" t="n">
        <v>79387</v>
      </c>
      <c r="W7" s="20" t="n">
        <v>77738</v>
      </c>
      <c r="X7" s="20" t="n">
        <v>82239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AmusementReportableSegmentMember</t>
        </is>
      </c>
      <c r="B10" s="10" t="n"/>
      <c r="C10" s="19" t="n">
        <v>958</v>
      </c>
      <c r="D10" s="20" t="n">
        <v>1008</v>
      </c>
      <c r="E10" s="20" t="n">
        <v>757</v>
      </c>
      <c r="F10" s="20" t="n">
        <v>1326</v>
      </c>
      <c r="G10" s="20" t="n">
        <v>1020</v>
      </c>
      <c r="H10" s="20" t="n">
        <v>1047</v>
      </c>
      <c r="I10" s="20" t="n">
        <v>1054</v>
      </c>
      <c r="J10" s="20" t="n">
        <v>1240</v>
      </c>
      <c r="K10" s="20" t="n">
        <v>1142</v>
      </c>
      <c r="L10" s="20" t="n">
        <v>1346</v>
      </c>
      <c r="M10" s="20" t="n">
        <v>1120</v>
      </c>
      <c r="N10" s="20" t="n">
        <v>1324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3918</v>
      </c>
      <c r="W10" s="20" t="n">
        <v>4150</v>
      </c>
      <c r="X10" s="20" t="n">
        <v>4782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RealEstateReportableSegmentMember</t>
        </is>
      </c>
      <c r="B13" s="10" t="n"/>
      <c r="C13" s="19" t="n">
        <v>299</v>
      </c>
      <c r="D13" s="20" t="n">
        <v>302</v>
      </c>
      <c r="E13" s="20" t="n">
        <v>280</v>
      </c>
      <c r="F13" s="20" t="n">
        <v>320</v>
      </c>
      <c r="G13" s="20" t="n">
        <v>338</v>
      </c>
      <c r="H13" s="20" t="n">
        <v>294</v>
      </c>
      <c r="I13" s="20" t="n">
        <v>312</v>
      </c>
      <c r="J13" s="20" t="n">
        <v>323</v>
      </c>
      <c r="K13" s="20" t="n">
        <v>336</v>
      </c>
      <c r="L13" s="20" t="n">
        <v>325</v>
      </c>
      <c r="M13" s="20" t="n">
        <v>334</v>
      </c>
      <c r="N13" s="20" t="n">
        <v>357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1201</v>
      </c>
      <c r="W13" s="20" t="n">
        <v>1232</v>
      </c>
      <c r="X13" s="20" t="n">
        <v>1296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-10</v>
      </c>
      <c r="D16" s="20" t="n">
        <v>69</v>
      </c>
      <c r="E16" s="20" t="n">
        <v>2</v>
      </c>
      <c r="F16" s="20" t="n">
        <v>3</v>
      </c>
      <c r="G16" s="20" t="n">
        <v>2</v>
      </c>
      <c r="H16" s="20" t="n">
        <v>22</v>
      </c>
      <c r="I16" s="20" t="n">
        <v>2</v>
      </c>
      <c r="J16" s="20" t="n">
        <v>24</v>
      </c>
      <c r="K16" s="20" t="n">
        <v>1</v>
      </c>
      <c r="L16" s="20" t="n">
        <v>48</v>
      </c>
      <c r="M16" s="20" t="n">
        <v>2</v>
      </c>
      <c r="N16" s="20" t="n">
        <v>16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76</v>
      </c>
      <c r="W16" s="20" t="n">
        <v>29</v>
      </c>
      <c r="X16" s="20" t="n">
        <v>75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6653</v>
      </c>
      <c r="D20" s="20" t="n">
        <v>7734</v>
      </c>
      <c r="E20" s="20" t="n">
        <v>6840</v>
      </c>
      <c r="F20" s="20" t="n">
        <v>7763</v>
      </c>
      <c r="G20" s="20" t="n">
        <v>8124</v>
      </c>
      <c r="H20" s="20" t="n">
        <v>8033</v>
      </c>
      <c r="I20" s="20" t="n">
        <v>6793</v>
      </c>
      <c r="J20" s="20" t="n">
        <v>7237</v>
      </c>
      <c r="K20" s="20" t="n">
        <v>8640</v>
      </c>
      <c r="L20" s="20" t="n">
        <v>8661</v>
      </c>
      <c r="M20" s="20" t="n">
        <v>7676</v>
      </c>
      <c r="N20" s="20" t="n">
        <v>9263</v>
      </c>
      <c r="O20" s="19" t="n">
        <v>19823</v>
      </c>
      <c r="P20" s="20" t="n">
        <v>19566</v>
      </c>
      <c r="Q20" s="20" t="n">
        <v>19052</v>
      </c>
      <c r="R20" s="20" t="n">
        <v>20088</v>
      </c>
      <c r="S20" s="20" t="n">
        <v>21298</v>
      </c>
      <c r="T20" s="20" t="n">
        <v>22156</v>
      </c>
      <c r="U20" s="20" t="n">
        <v>21317</v>
      </c>
      <c r="V20" s="20" t="n">
        <v>29289</v>
      </c>
      <c r="W20" s="20" t="n">
        <v>30760</v>
      </c>
      <c r="X20" s="20" t="n">
        <v>31331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>
        <v>8301</v>
      </c>
      <c r="D24" s="20" t="n">
        <v>7534</v>
      </c>
      <c r="E24" s="20" t="n">
        <v>5043</v>
      </c>
      <c r="F24" s="20" t="n">
        <v>4898</v>
      </c>
      <c r="G24" s="20" t="n">
        <v>4826</v>
      </c>
      <c r="H24" s="20" t="n">
        <v>5503</v>
      </c>
      <c r="I24" s="20" t="n">
        <v>4432</v>
      </c>
      <c r="J24" s="20" t="n">
        <v>4841</v>
      </c>
      <c r="K24" s="20" t="n">
        <v>5214</v>
      </c>
      <c r="L24" s="20" t="n">
        <v>5407</v>
      </c>
      <c r="M24" s="20" t="n">
        <v>4285</v>
      </c>
      <c r="N24" s="20" t="n">
        <v>4360</v>
      </c>
      <c r="O24" s="19" t="n">
        <v>8429</v>
      </c>
      <c r="P24" s="20" t="n">
        <v>7649</v>
      </c>
      <c r="Q24" s="20" t="n">
        <v>7823</v>
      </c>
      <c r="R24" s="20" t="n">
        <v>8454</v>
      </c>
      <c r="S24" s="20" t="n">
        <v>14673</v>
      </c>
      <c r="T24" s="20" t="n">
        <v>16075</v>
      </c>
      <c r="U24" s="20" t="n">
        <v>17966</v>
      </c>
      <c r="V24" s="20" t="n">
        <v>26799</v>
      </c>
      <c r="W24" s="20" t="n">
        <v>20270</v>
      </c>
      <c r="X24" s="20" t="n">
        <v>19894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6461</v>
      </c>
      <c r="D25" s="12" t="n">
        <v>8178</v>
      </c>
      <c r="E25" s="12" t="n">
        <v>5723</v>
      </c>
      <c r="F25" s="12" t="n">
        <v>4928</v>
      </c>
      <c r="G25" s="12" t="n">
        <v>4424</v>
      </c>
      <c r="H25" s="12" t="n">
        <v>17044</v>
      </c>
      <c r="I25" s="12" t="n">
        <v>3574</v>
      </c>
      <c r="J25" s="12" t="n">
        <v>4390</v>
      </c>
      <c r="K25" s="12" t="n">
        <v>6607</v>
      </c>
      <c r="L25" s="12" t="n">
        <v>22597</v>
      </c>
      <c r="M25" s="12" t="n">
        <v>5407</v>
      </c>
      <c r="N25" s="12" t="n">
        <v>6336</v>
      </c>
      <c r="O25" s="11" t="n">
        <v>8781</v>
      </c>
      <c r="P25" s="12" t="n">
        <v>11711</v>
      </c>
      <c r="Q25" s="12" t="n">
        <v>12092</v>
      </c>
      <c r="R25" s="12" t="n">
        <v>14102</v>
      </c>
      <c r="S25" s="12" t="n">
        <v>24397</v>
      </c>
      <c r="T25" s="12" t="n">
        <v>34527</v>
      </c>
      <c r="U25" s="12" t="n">
        <v>39133</v>
      </c>
      <c r="V25" s="12" t="n">
        <v>28494</v>
      </c>
      <c r="W25" s="12" t="n">
        <v>32119</v>
      </c>
      <c r="X25" s="12" t="n">
        <v>37168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/>
      <c r="Q41" s="20" t="n">
        <v>0</v>
      </c>
      <c r="R41" s="20" t="n">
        <v>1559</v>
      </c>
      <c r="S41" s="20" t="n">
        <v>0</v>
      </c>
      <c r="T41" s="20" t="n">
        <v>2949</v>
      </c>
      <c r="U41" s="20" t="n">
        <v>63</v>
      </c>
      <c r="V41" s="20" t="n">
        <v>0</v>
      </c>
      <c r="W41" s="20" t="n"/>
      <c r="X41" s="20" t="n"/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/>
      <c r="D43" s="20" t="n">
        <v>4</v>
      </c>
      <c r="E43" s="20" t="n"/>
      <c r="F43" s="20" t="n"/>
      <c r="G43" s="20" t="n"/>
      <c r="H43" s="20" t="n">
        <v>0</v>
      </c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>
        <v>0</v>
      </c>
      <c r="R43" s="20" t="n">
        <v>181</v>
      </c>
      <c r="S43" s="20" t="n">
        <v>124</v>
      </c>
      <c r="T43" s="20" t="n">
        <v>3007</v>
      </c>
      <c r="U43" s="20" t="n">
        <v>0</v>
      </c>
      <c r="V43" s="20" t="n">
        <v>411</v>
      </c>
      <c r="W43" s="20" t="n">
        <v>0</v>
      </c>
      <c r="X43" s="20" t="n"/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8564</v>
      </c>
      <c r="D45" s="20" t="n">
        <v>6385</v>
      </c>
      <c r="E45" s="20" t="n">
        <v>13792</v>
      </c>
      <c r="F45" s="20" t="n">
        <v>2048</v>
      </c>
      <c r="G45" s="20" t="n">
        <v>6751</v>
      </c>
      <c r="H45" s="20" t="n">
        <v>3845</v>
      </c>
      <c r="I45" s="20" t="n">
        <v>6072</v>
      </c>
      <c r="J45" s="20" t="n">
        <v>4637</v>
      </c>
      <c r="K45" s="20" t="n">
        <v>16868</v>
      </c>
      <c r="L45" s="20" t="n">
        <v>12346</v>
      </c>
      <c r="M45" s="20" t="n">
        <v>12557</v>
      </c>
      <c r="N45" s="20" t="n">
        <v>5784</v>
      </c>
      <c r="O45" s="19" t="n">
        <v>7488</v>
      </c>
      <c r="P45" s="20" t="n">
        <v>8183</v>
      </c>
      <c r="Q45" s="20" t="n">
        <v>8450</v>
      </c>
      <c r="R45" s="20" t="n">
        <v>10413</v>
      </c>
      <c r="S45" s="20" t="n">
        <v>19403</v>
      </c>
      <c r="T45" s="20" t="n">
        <v>33952</v>
      </c>
      <c r="U45" s="20" t="n">
        <v>22313</v>
      </c>
      <c r="V45" s="20" t="n">
        <v>35726</v>
      </c>
      <c r="W45" s="20" t="n">
        <v>26436</v>
      </c>
      <c r="X45" s="20" t="n">
        <v>39923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4400</v>
      </c>
      <c r="D47" s="20" t="n">
        <v>2648</v>
      </c>
      <c r="E47" s="20" t="n">
        <v>812</v>
      </c>
      <c r="F47" s="20" t="n">
        <v>4680</v>
      </c>
      <c r="G47" s="20" t="n">
        <v>-969</v>
      </c>
      <c r="H47" s="20" t="n">
        <v>4044</v>
      </c>
      <c r="I47" s="20" t="n">
        <v>877</v>
      </c>
      <c r="J47" s="20" t="n">
        <v>0</v>
      </c>
      <c r="K47" s="20" t="n">
        <v>10172</v>
      </c>
      <c r="L47" s="20" t="n">
        <v>9042</v>
      </c>
      <c r="M47" s="20" t="n">
        <v>2246</v>
      </c>
      <c r="N47" s="20" t="n">
        <v>2314</v>
      </c>
      <c r="O47" s="19" t="n">
        <v>1058</v>
      </c>
      <c r="P47" s="20" t="n">
        <v>1601</v>
      </c>
      <c r="Q47" s="20" t="n">
        <v>2234</v>
      </c>
      <c r="R47" s="20" t="n">
        <v>5646</v>
      </c>
      <c r="S47" s="20" t="n">
        <v>4502</v>
      </c>
      <c r="T47" s="20" t="n">
        <v>19783</v>
      </c>
      <c r="U47" s="20" t="n">
        <v>21547</v>
      </c>
      <c r="V47" s="20" t="n">
        <v>18479</v>
      </c>
      <c r="W47" s="20" t="n">
        <v>8567</v>
      </c>
      <c r="X47" s="20" t="n">
        <v>20091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10217</v>
      </c>
      <c r="D49" s="12" t="n">
        <v>11912</v>
      </c>
      <c r="E49" s="12" t="n">
        <v>18703</v>
      </c>
      <c r="F49" s="12" t="n">
        <v>2297</v>
      </c>
      <c r="G49" s="12" t="n">
        <v>12144</v>
      </c>
      <c r="H49" s="12" t="n">
        <v>16844</v>
      </c>
      <c r="I49" s="12" t="n">
        <v>8769</v>
      </c>
      <c r="J49" s="12" t="n">
        <v>9026</v>
      </c>
      <c r="K49" s="12" t="n">
        <v>13304</v>
      </c>
      <c r="L49" s="12" t="n">
        <v>25901</v>
      </c>
      <c r="M49" s="12" t="n">
        <v>15719</v>
      </c>
      <c r="N49" s="12" t="n">
        <v>9804</v>
      </c>
      <c r="O49" s="11" t="n">
        <v>15211</v>
      </c>
      <c r="P49" s="12" t="n">
        <v>18293</v>
      </c>
      <c r="Q49" s="12" t="n">
        <v>18307</v>
      </c>
      <c r="R49" s="12" t="n">
        <v>20247</v>
      </c>
      <c r="S49" s="12" t="n">
        <v>39174</v>
      </c>
      <c r="T49" s="12" t="n">
        <v>48638</v>
      </c>
      <c r="U49" s="12" t="n">
        <v>39963</v>
      </c>
      <c r="V49" s="12" t="n">
        <v>45330</v>
      </c>
      <c r="W49" s="12" t="n">
        <v>49988</v>
      </c>
      <c r="X49" s="12" t="n">
        <v>57000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>
        <v>2730</v>
      </c>
      <c r="D50" s="20" t="n">
        <v>2402</v>
      </c>
      <c r="E50" s="20" t="n">
        <v>5065</v>
      </c>
      <c r="F50" s="20" t="n">
        <v>-40</v>
      </c>
      <c r="G50" s="20" t="n">
        <v>2957</v>
      </c>
      <c r="H50" s="20" t="n">
        <v>4378</v>
      </c>
      <c r="I50" s="20" t="n">
        <v>2696</v>
      </c>
      <c r="J50" s="20" t="n">
        <v>1634</v>
      </c>
      <c r="K50" s="20" t="n">
        <v>2989</v>
      </c>
      <c r="L50" s="20" t="n">
        <v>6851</v>
      </c>
      <c r="M50" s="20" t="n">
        <v>4370</v>
      </c>
      <c r="N50" s="20" t="n">
        <v>2556</v>
      </c>
      <c r="O50" s="19" t="n">
        <v>3587</v>
      </c>
      <c r="P50" s="20" t="n">
        <v>5275</v>
      </c>
      <c r="Q50" s="20" t="n">
        <v>4613</v>
      </c>
      <c r="R50" s="20" t="n">
        <v>4941</v>
      </c>
      <c r="S50" s="20" t="n">
        <v>9624</v>
      </c>
      <c r="T50" s="20" t="n">
        <v>13279</v>
      </c>
      <c r="U50" s="20" t="n">
        <v>9028</v>
      </c>
      <c r="V50" s="20" t="n">
        <v>11537</v>
      </c>
      <c r="W50" s="20" t="n">
        <v>12360</v>
      </c>
      <c r="X50" s="20" t="n">
        <v>14170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>
        <v>7488</v>
      </c>
      <c r="D52" s="12" t="n">
        <v>9509</v>
      </c>
      <c r="E52" s="12" t="n">
        <v>13638</v>
      </c>
      <c r="F52" s="12" t="n">
        <v>2337</v>
      </c>
      <c r="G52" s="12" t="n">
        <v>9186</v>
      </c>
      <c r="H52" s="12" t="n">
        <v>12467</v>
      </c>
      <c r="I52" s="12" t="n">
        <v>6072</v>
      </c>
      <c r="J52" s="12" t="n">
        <v>7393</v>
      </c>
      <c r="K52" s="12" t="n">
        <v>10315</v>
      </c>
      <c r="L52" s="12" t="n">
        <v>19050</v>
      </c>
      <c r="M52" s="12" t="n">
        <v>11348</v>
      </c>
      <c r="N52" s="12" t="n">
        <v>7248</v>
      </c>
      <c r="O52" s="11" t="n">
        <v>11624</v>
      </c>
      <c r="P52" s="12" t="n">
        <v>13017</v>
      </c>
      <c r="Q52" s="12" t="n">
        <v>13694</v>
      </c>
      <c r="R52" s="12" t="n">
        <v>15306</v>
      </c>
      <c r="S52" s="12" t="n">
        <v>29550</v>
      </c>
      <c r="T52" s="12" t="n">
        <v>35359</v>
      </c>
      <c r="U52" s="12" t="n">
        <v>30935</v>
      </c>
      <c r="V52" s="12" t="n">
        <v>33792</v>
      </c>
      <c r="W52" s="12" t="n">
        <v>37628</v>
      </c>
      <c r="X52" s="12" t="n">
        <v>42830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>
        <v>7488</v>
      </c>
      <c r="D53" s="12" t="n">
        <v>9509</v>
      </c>
      <c r="E53" s="12" t="n">
        <v>13638</v>
      </c>
      <c r="F53" s="12" t="n">
        <v>2337</v>
      </c>
      <c r="G53" s="12" t="n">
        <v>9186</v>
      </c>
      <c r="H53" s="12" t="n">
        <v>12467</v>
      </c>
      <c r="I53" s="12" t="n">
        <v>6072</v>
      </c>
      <c r="J53" s="12" t="n">
        <v>7393</v>
      </c>
      <c r="K53" s="12" t="n">
        <v>10315</v>
      </c>
      <c r="L53" s="12" t="n">
        <v>19050</v>
      </c>
      <c r="M53" s="12" t="n">
        <v>11348</v>
      </c>
      <c r="N53" s="12" t="n">
        <v>7248</v>
      </c>
      <c r="O53" s="11" t="n">
        <v>11624</v>
      </c>
      <c r="P53" s="12" t="n">
        <v>13017</v>
      </c>
      <c r="Q53" s="12" t="n">
        <v>13694</v>
      </c>
      <c r="R53" s="12" t="n">
        <v>15306</v>
      </c>
      <c r="S53" s="12" t="n">
        <v>29550</v>
      </c>
      <c r="T53" s="12" t="n">
        <v>35359</v>
      </c>
      <c r="U53" s="12" t="n">
        <v>30935</v>
      </c>
      <c r="V53" s="12" t="n">
        <v>33792</v>
      </c>
      <c r="W53" s="12" t="n">
        <v>37628</v>
      </c>
      <c r="X53" s="12" t="n">
        <v>42830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(2026.10.26)</t>
        </is>
      </c>
      <c r="B56" s="27" t="n">
        <v>1667.5</v>
      </c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>
        <v>336096924</v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 2026.10.26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2024.3Q</t>
        </is>
      </c>
      <c r="D86" s="5" t="inlineStr">
        <is>
          <t>2024.4Q</t>
        </is>
      </c>
      <c r="E86" s="5" t="inlineStr">
        <is>
          <t>2025.1Q</t>
        </is>
      </c>
      <c r="F86" s="5" t="inlineStr">
        <is>
          <t>2025.2Q</t>
        </is>
      </c>
      <c r="G86" s="5" t="inlineStr">
        <is>
          <t>2025.3Q</t>
        </is>
      </c>
      <c r="H86" s="5" t="inlineStr">
        <is>
          <t>2025.4Q</t>
        </is>
      </c>
      <c r="I86" s="5" t="inlineStr">
        <is>
          <t>2026.1Q</t>
        </is>
      </c>
      <c r="J86" s="5" t="inlineStr">
        <is>
          <t>2026.2Q</t>
        </is>
      </c>
      <c r="K86" s="5" t="inlineStr">
        <is>
          <t>2026.3Q</t>
        </is>
      </c>
      <c r="L86" s="5" t="inlineStr">
        <is>
          <t>2026.4Q</t>
        </is>
      </c>
      <c r="M86" s="5" t="inlineStr">
        <is>
          <t>2027.1Q</t>
        </is>
      </c>
      <c r="N86" s="5" t="inlineStr">
        <is>
          <t>2027.2Q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21414</v>
      </c>
      <c r="D87" s="12" t="n">
        <v>23448</v>
      </c>
      <c r="E87" s="12" t="n">
        <v>17607</v>
      </c>
      <c r="F87" s="12" t="n">
        <v>17590</v>
      </c>
      <c r="G87" s="12" t="n">
        <v>17373</v>
      </c>
      <c r="H87" s="12" t="n">
        <v>30580</v>
      </c>
      <c r="I87" s="12" t="n">
        <v>14800</v>
      </c>
      <c r="J87" s="12" t="n">
        <v>16468</v>
      </c>
      <c r="K87" s="12" t="n">
        <v>20461</v>
      </c>
      <c r="L87" s="12" t="n">
        <v>36664</v>
      </c>
      <c r="M87" s="12" t="n">
        <v>17368</v>
      </c>
      <c r="N87" s="12" t="n">
        <v>19959</v>
      </c>
      <c r="U87" s="12" t="n">
        <v>28978</v>
      </c>
      <c r="V87" s="12" t="n">
        <v>23448</v>
      </c>
      <c r="W87" s="12" t="n">
        <v>30580</v>
      </c>
      <c r="X87" s="12" t="n">
        <v>36664</v>
      </c>
    </row>
    <row r="88">
      <c r="A88" s="18" t="inlineStr">
        <is>
          <t>매출원가</t>
        </is>
      </c>
      <c r="C88" s="20" t="n">
        <v>6653</v>
      </c>
      <c r="D88" s="20" t="n">
        <v>7734</v>
      </c>
      <c r="E88" s="20" t="n">
        <v>6840</v>
      </c>
      <c r="F88" s="20" t="n">
        <v>7763</v>
      </c>
      <c r="G88" s="20" t="n">
        <v>8124</v>
      </c>
      <c r="H88" s="20" t="n">
        <v>8033</v>
      </c>
      <c r="I88" s="20" t="n">
        <v>6793</v>
      </c>
      <c r="J88" s="20" t="n">
        <v>7237</v>
      </c>
      <c r="K88" s="20" t="n">
        <v>8640</v>
      </c>
      <c r="L88" s="20" t="n">
        <v>8661</v>
      </c>
      <c r="M88" s="20" t="n">
        <v>7676</v>
      </c>
      <c r="N88" s="20" t="n">
        <v>9263</v>
      </c>
      <c r="U88" s="20" t="n">
        <v>5850</v>
      </c>
      <c r="V88" s="20" t="n">
        <v>7734</v>
      </c>
      <c r="W88" s="20" t="n">
        <v>8033</v>
      </c>
      <c r="X88" s="20" t="n">
        <v>8661</v>
      </c>
    </row>
    <row r="89">
      <c r="A89" s="9" t="inlineStr">
        <is>
          <t>매출총이익</t>
        </is>
      </c>
      <c r="C89" s="12" t="n">
        <v>14761</v>
      </c>
      <c r="D89" s="12" t="n">
        <v>15713</v>
      </c>
      <c r="E89" s="12" t="n">
        <v>10766</v>
      </c>
      <c r="F89" s="12" t="n">
        <v>9827</v>
      </c>
      <c r="G89" s="12" t="n">
        <v>9250</v>
      </c>
      <c r="H89" s="12" t="n">
        <v>22547</v>
      </c>
      <c r="I89" s="12" t="n">
        <v>8006</v>
      </c>
      <c r="J89" s="12" t="n">
        <v>9232</v>
      </c>
      <c r="K89" s="12" t="n">
        <v>11820</v>
      </c>
      <c r="L89" s="12" t="n">
        <v>28004</v>
      </c>
      <c r="M89" s="12" t="n">
        <v>9692</v>
      </c>
      <c r="N89" s="12" t="n">
        <v>10696</v>
      </c>
      <c r="U89" s="12" t="n">
        <v>23128</v>
      </c>
      <c r="V89" s="12" t="n">
        <v>15713</v>
      </c>
      <c r="W89" s="12" t="n">
        <v>22547</v>
      </c>
      <c r="X89" s="12" t="n">
        <v>28004</v>
      </c>
    </row>
    <row r="90">
      <c r="A90" s="18" t="inlineStr">
        <is>
          <t>판매비와 관리비</t>
        </is>
      </c>
      <c r="C90" s="20" t="n">
        <v>8301</v>
      </c>
      <c r="D90" s="20" t="n">
        <v>7534</v>
      </c>
      <c r="E90" s="20" t="n">
        <v>5043</v>
      </c>
      <c r="F90" s="20" t="n">
        <v>4898</v>
      </c>
      <c r="G90" s="20" t="n">
        <v>4826</v>
      </c>
      <c r="H90" s="20" t="n">
        <v>5503</v>
      </c>
      <c r="I90" s="20" t="n">
        <v>4432</v>
      </c>
      <c r="J90" s="20" t="n">
        <v>4841</v>
      </c>
      <c r="K90" s="20" t="n">
        <v>5214</v>
      </c>
      <c r="L90" s="20" t="n">
        <v>5407</v>
      </c>
      <c r="M90" s="20" t="n">
        <v>4285</v>
      </c>
      <c r="N90" s="20" t="n">
        <v>4360</v>
      </c>
      <c r="U90" s="20" t="n">
        <v>6990</v>
      </c>
      <c r="V90" s="20" t="n">
        <v>7534</v>
      </c>
      <c r="W90" s="20" t="n">
        <v>5503</v>
      </c>
      <c r="X90" s="20" t="n">
        <v>5407</v>
      </c>
    </row>
    <row r="91">
      <c r="A91" s="9" t="inlineStr">
        <is>
          <t>영업이익</t>
        </is>
      </c>
      <c r="C91" s="12" t="n">
        <v>6461</v>
      </c>
      <c r="D91" s="12" t="n">
        <v>8178</v>
      </c>
      <c r="E91" s="12" t="n">
        <v>5723</v>
      </c>
      <c r="F91" s="12" t="n">
        <v>4928</v>
      </c>
      <c r="G91" s="12" t="n">
        <v>4424</v>
      </c>
      <c r="H91" s="12" t="n">
        <v>17044</v>
      </c>
      <c r="I91" s="12" t="n">
        <v>3574</v>
      </c>
      <c r="J91" s="12" t="n">
        <v>4390</v>
      </c>
      <c r="K91" s="12" t="n">
        <v>6607</v>
      </c>
      <c r="L91" s="12" t="n">
        <v>22597</v>
      </c>
      <c r="M91" s="12" t="n">
        <v>5407</v>
      </c>
      <c r="N91" s="12" t="n">
        <v>6336</v>
      </c>
      <c r="U91" s="12" t="n">
        <v>16139</v>
      </c>
      <c r="V91" s="12" t="n">
        <v>8178</v>
      </c>
      <c r="W91" s="12" t="n">
        <v>17044</v>
      </c>
      <c r="X91" s="12" t="n">
        <v>22597</v>
      </c>
    </row>
    <row r="92">
      <c r="A92" s="18" t="inlineStr">
        <is>
          <t>이자수익</t>
        </is>
      </c>
      <c r="C92" s="20" t="n">
        <v>4164</v>
      </c>
      <c r="D92" s="20" t="n">
        <v>4619</v>
      </c>
      <c r="E92" s="20" t="n">
        <v>4917</v>
      </c>
      <c r="F92" s="20" t="n">
        <v>5025</v>
      </c>
      <c r="G92" s="20" t="n">
        <v>3633</v>
      </c>
      <c r="H92" s="20" t="n">
        <v>2066</v>
      </c>
      <c r="I92" s="20" t="n">
        <v>2344</v>
      </c>
      <c r="J92" s="20" t="n">
        <v>3113</v>
      </c>
      <c r="K92" s="20" t="n">
        <v>2902</v>
      </c>
      <c r="L92" s="20" t="n">
        <v>3909</v>
      </c>
      <c r="M92" s="20" t="n">
        <v>4335</v>
      </c>
      <c r="N92" s="20" t="n">
        <v>6001</v>
      </c>
      <c r="U92" s="20" t="n">
        <v>3844</v>
      </c>
      <c r="V92" s="20" t="n">
        <v>4619</v>
      </c>
      <c r="W92" s="20" t="n">
        <v>2066</v>
      </c>
      <c r="X92" s="20" t="n">
        <v>3909</v>
      </c>
    </row>
    <row r="93">
      <c r="A93" s="18" t="inlineStr">
        <is>
          <t>배당금수익</t>
        </is>
      </c>
      <c r="C93" s="20" t="n">
        <v>269</v>
      </c>
      <c r="D93" s="20" t="n">
        <v>174</v>
      </c>
      <c r="E93" s="20" t="n">
        <v>273</v>
      </c>
      <c r="F93" s="20" t="n">
        <v>47</v>
      </c>
      <c r="G93" s="20" t="n">
        <v>274</v>
      </c>
      <c r="H93" s="20" t="n">
        <v>55</v>
      </c>
      <c r="I93" s="20" t="n">
        <v>256</v>
      </c>
      <c r="J93" s="20" t="n">
        <v>47</v>
      </c>
      <c r="K93" s="20" t="n">
        <v>231</v>
      </c>
      <c r="L93" s="20" t="n">
        <v>40</v>
      </c>
      <c r="M93" s="20" t="n">
        <v>299</v>
      </c>
      <c r="N93" s="20" t="n">
        <v>320</v>
      </c>
      <c r="U93" s="20" t="n">
        <v>169</v>
      </c>
      <c r="V93" s="20" t="n">
        <v>174</v>
      </c>
      <c r="W93" s="20" t="n">
        <v>55</v>
      </c>
      <c r="X93" s="20" t="n">
        <v>40</v>
      </c>
    </row>
    <row r="94">
      <c r="A94" s="18" t="inlineStr">
        <is>
          <t>투자유가증권 매각이익</t>
        </is>
      </c>
      <c r="C94" s="20" t="n">
        <v>2657</v>
      </c>
      <c r="D94" s="20" t="n">
        <v>478</v>
      </c>
      <c r="E94" s="20" t="n">
        <v>850</v>
      </c>
      <c r="F94" s="20" t="n">
        <v>240</v>
      </c>
      <c r="G94" s="20" t="n">
        <v>191</v>
      </c>
      <c r="H94" s="20" t="n">
        <v>3163</v>
      </c>
      <c r="I94" s="20" t="n">
        <v>0</v>
      </c>
      <c r="J94" s="20" t="n">
        <v>0</v>
      </c>
      <c r="K94" s="20" t="n">
        <v>10953</v>
      </c>
      <c r="L94" s="20" t="n">
        <v>7691</v>
      </c>
      <c r="M94" s="20" t="n">
        <v>3677</v>
      </c>
      <c r="N94" s="20" t="n">
        <v>488</v>
      </c>
      <c r="U94" s="20" t="n">
        <v>31</v>
      </c>
      <c r="V94" s="20" t="n">
        <v>478</v>
      </c>
      <c r="W94" s="20" t="n">
        <v>3163</v>
      </c>
      <c r="X94" s="20" t="n">
        <v>7691</v>
      </c>
    </row>
    <row r="95">
      <c r="A95" s="18" t="inlineStr">
        <is>
          <t>유가증권 상환이익</t>
        </is>
      </c>
      <c r="C95" s="20" t="n">
        <v>532</v>
      </c>
      <c r="D95" s="20" t="n">
        <v>123</v>
      </c>
      <c r="E95" s="20" t="n">
        <v>1649</v>
      </c>
      <c r="F95" s="20" t="n">
        <v>1626</v>
      </c>
      <c r="G95" s="20" t="n">
        <v>0</v>
      </c>
      <c r="H95" s="20" t="n">
        <v>29</v>
      </c>
      <c r="I95" s="20" t="n">
        <v>62</v>
      </c>
      <c r="J95" s="20" t="n">
        <v>66</v>
      </c>
      <c r="K95" s="20" t="n">
        <v>614</v>
      </c>
      <c r="L95" s="20" t="n">
        <v>175</v>
      </c>
      <c r="M95" s="20" t="n">
        <v>1821</v>
      </c>
      <c r="N95" s="20" t="n">
        <v>316</v>
      </c>
      <c r="V95" s="20" t="n">
        <v>123</v>
      </c>
      <c r="W95" s="20" t="n">
        <v>29</v>
      </c>
      <c r="X95" s="20" t="n">
        <v>175</v>
      </c>
    </row>
    <row r="96">
      <c r="A96" s="18" t="inlineStr">
        <is>
          <t>외환차익</t>
        </is>
      </c>
      <c r="C96" s="20" t="n">
        <v>15</v>
      </c>
      <c r="D96" s="20" t="n">
        <v>175</v>
      </c>
      <c r="E96" s="20" t="n">
        <v>209</v>
      </c>
      <c r="F96" s="20" t="n">
        <v>-209</v>
      </c>
      <c r="G96" s="20" t="n">
        <v>1633</v>
      </c>
      <c r="H96" s="20" t="n">
        <v>-543</v>
      </c>
      <c r="I96" s="20" t="n">
        <v>0</v>
      </c>
      <c r="L96" s="20" t="n">
        <v>455</v>
      </c>
      <c r="M96" s="20" t="n">
        <v>455</v>
      </c>
      <c r="U96" s="20" t="n">
        <v>-269</v>
      </c>
      <c r="V96" s="20" t="n">
        <v>175</v>
      </c>
      <c r="W96" s="20" t="n">
        <v>-543</v>
      </c>
      <c r="X96" s="20" t="n">
        <v>455</v>
      </c>
    </row>
    <row r="97">
      <c r="A97" s="18" t="inlineStr">
        <is>
          <t>파생상품 평가이익</t>
        </is>
      </c>
      <c r="C97" s="20" t="n">
        <v>793</v>
      </c>
      <c r="D97" s="20" t="n">
        <v>781</v>
      </c>
      <c r="E97" s="20" t="n">
        <v>5883</v>
      </c>
      <c r="F97" s="20" t="n">
        <v>-4802</v>
      </c>
      <c r="G97" s="20" t="n">
        <v>988</v>
      </c>
      <c r="H97" s="20" t="n">
        <v>-1027</v>
      </c>
      <c r="I97" s="20" t="n">
        <v>3353</v>
      </c>
      <c r="J97" s="20" t="n">
        <v>1108</v>
      </c>
      <c r="K97" s="20" t="n">
        <v>1063</v>
      </c>
      <c r="L97" s="20" t="n">
        <v>-147</v>
      </c>
      <c r="M97" s="20" t="n">
        <v>1842</v>
      </c>
      <c r="N97" s="20" t="n">
        <v>-953</v>
      </c>
      <c r="U97" s="20" t="n">
        <v>82</v>
      </c>
      <c r="V97" s="20" t="n">
        <v>781</v>
      </c>
      <c r="W97" s="20" t="n">
        <v>-1027</v>
      </c>
      <c r="X97" s="20" t="n">
        <v>-147</v>
      </c>
    </row>
    <row r="98">
      <c r="A98" s="18" t="inlineStr">
        <is>
          <t>기타</t>
        </is>
      </c>
      <c r="C98" s="20" t="n">
        <v>134</v>
      </c>
      <c r="D98" s="20" t="n">
        <v>35</v>
      </c>
      <c r="E98" s="20" t="n">
        <v>9</v>
      </c>
      <c r="F98" s="20" t="n">
        <v>120</v>
      </c>
      <c r="G98" s="20" t="n">
        <v>32</v>
      </c>
      <c r="H98" s="20" t="n">
        <v>102</v>
      </c>
      <c r="I98" s="20" t="n">
        <v>54</v>
      </c>
      <c r="J98" s="20" t="n">
        <v>304</v>
      </c>
      <c r="K98" s="20" t="n">
        <v>75</v>
      </c>
      <c r="L98" s="20" t="n">
        <v>223</v>
      </c>
      <c r="M98" s="20" t="n">
        <v>126</v>
      </c>
      <c r="N98" s="20" t="n">
        <v>65</v>
      </c>
      <c r="U98" s="20" t="n">
        <v>215</v>
      </c>
      <c r="V98" s="20" t="n">
        <v>35</v>
      </c>
      <c r="W98" s="20" t="n">
        <v>102</v>
      </c>
      <c r="X98" s="20" t="n">
        <v>223</v>
      </c>
    </row>
    <row r="99">
      <c r="A99" s="18" t="inlineStr">
        <is>
          <t>영업외수익 합계</t>
        </is>
      </c>
      <c r="C99" s="20" t="n">
        <v>8564</v>
      </c>
      <c r="D99" s="20" t="n">
        <v>6385</v>
      </c>
      <c r="E99" s="20" t="n">
        <v>13792</v>
      </c>
      <c r="F99" s="20" t="n">
        <v>2048</v>
      </c>
      <c r="G99" s="20" t="n">
        <v>6751</v>
      </c>
      <c r="H99" s="20" t="n">
        <v>3845</v>
      </c>
      <c r="I99" s="20" t="n">
        <v>6072</v>
      </c>
      <c r="J99" s="20" t="n">
        <v>4637</v>
      </c>
      <c r="K99" s="20" t="n">
        <v>16868</v>
      </c>
      <c r="L99" s="20" t="n">
        <v>12346</v>
      </c>
      <c r="M99" s="20" t="n">
        <v>12557</v>
      </c>
      <c r="N99" s="20" t="n">
        <v>5784</v>
      </c>
      <c r="U99" s="20" t="n">
        <v>4586</v>
      </c>
      <c r="V99" s="20" t="n">
        <v>6385</v>
      </c>
      <c r="W99" s="20" t="n">
        <v>3845</v>
      </c>
      <c r="X99" s="20" t="n">
        <v>12346</v>
      </c>
    </row>
    <row r="100">
      <c r="A100" s="18" t="inlineStr">
        <is>
          <t>투자유가증권 평가손실</t>
        </is>
      </c>
      <c r="C100" s="20" t="n">
        <v>-349</v>
      </c>
      <c r="D100" s="20" t="n">
        <v>4</v>
      </c>
      <c r="E100" s="20" t="n">
        <v>348</v>
      </c>
      <c r="F100" s="20" t="n">
        <v>44</v>
      </c>
      <c r="G100" s="20" t="n">
        <v>55</v>
      </c>
      <c r="H100" s="20" t="n">
        <v>417</v>
      </c>
      <c r="I100" s="20" t="n">
        <v>136</v>
      </c>
      <c r="J100" s="20" t="n">
        <v>10</v>
      </c>
      <c r="K100" s="20" t="n">
        <v>-146</v>
      </c>
      <c r="L100" s="20" t="n">
        <v>0</v>
      </c>
      <c r="M100" s="20" t="n">
        <v>0</v>
      </c>
      <c r="N100" s="20" t="n">
        <v>0</v>
      </c>
      <c r="U100" s="20" t="n">
        <v>-934</v>
      </c>
      <c r="V100" s="20" t="n">
        <v>4</v>
      </c>
      <c r="W100" s="20" t="n">
        <v>417</v>
      </c>
      <c r="X100" s="20" t="n">
        <v>0</v>
      </c>
    </row>
    <row r="101">
      <c r="A101" s="18" t="inlineStr">
        <is>
          <t>투자유가증권 매각손실</t>
        </is>
      </c>
      <c r="C101" s="20" t="n">
        <v>337</v>
      </c>
      <c r="D101" s="20" t="n">
        <v>0</v>
      </c>
      <c r="E101" s="20" t="n">
        <v>0</v>
      </c>
      <c r="F101" s="20" t="n">
        <v>0</v>
      </c>
      <c r="G101" s="20" t="n">
        <v>0</v>
      </c>
      <c r="H101" s="20" t="n">
        <v>0</v>
      </c>
      <c r="I101" s="20" t="n">
        <v>0</v>
      </c>
      <c r="J101" s="20" t="n">
        <v>0</v>
      </c>
      <c r="K101" s="20" t="n">
        <v>10071</v>
      </c>
      <c r="L101" s="20" t="n">
        <v>7759</v>
      </c>
      <c r="U101" s="20" t="n">
        <v>0</v>
      </c>
      <c r="V101" s="20" t="n">
        <v>0</v>
      </c>
      <c r="W101" s="20" t="n">
        <v>0</v>
      </c>
      <c r="X101" s="20" t="n">
        <v>7759</v>
      </c>
    </row>
    <row r="102">
      <c r="A102" s="18" t="inlineStr">
        <is>
          <t>유가증권 상환손실</t>
        </is>
      </c>
      <c r="C102" s="20" t="n">
        <v>3386</v>
      </c>
      <c r="D102" s="20" t="n">
        <v>938</v>
      </c>
      <c r="E102" s="20" t="n">
        <v>61</v>
      </c>
      <c r="F102" s="20" t="n">
        <v>1638</v>
      </c>
      <c r="G102" s="20" t="n">
        <v>1318</v>
      </c>
      <c r="H102" s="20" t="n">
        <v>255</v>
      </c>
      <c r="I102" s="20" t="n">
        <v>293</v>
      </c>
      <c r="J102" s="20" t="n">
        <v>296</v>
      </c>
      <c r="K102" s="20" t="n">
        <v>194</v>
      </c>
      <c r="L102" s="20" t="n">
        <v>1119</v>
      </c>
      <c r="M102" s="20" t="n">
        <v>366</v>
      </c>
      <c r="N102" s="20" t="n">
        <v>1541</v>
      </c>
      <c r="U102" s="20" t="n">
        <v>6603</v>
      </c>
      <c r="V102" s="20" t="n">
        <v>938</v>
      </c>
      <c r="W102" s="20" t="n">
        <v>255</v>
      </c>
      <c r="X102" s="20" t="n">
        <v>1119</v>
      </c>
    </row>
    <row r="103">
      <c r="A103" s="18" t="inlineStr">
        <is>
          <t>외환차손</t>
        </is>
      </c>
      <c r="E103" s="20" t="n">
        <v>0</v>
      </c>
      <c r="F103" s="20" t="n">
        <v>1054</v>
      </c>
      <c r="I103" s="20" t="n">
        <v>407</v>
      </c>
      <c r="J103" s="20" t="n">
        <v>-396</v>
      </c>
      <c r="M103" s="20" t="n">
        <v>0</v>
      </c>
      <c r="N103" s="20" t="n">
        <v>116</v>
      </c>
    </row>
    <row r="104">
      <c r="A104" s="18" t="inlineStr">
        <is>
          <t>파생상품 평가손실</t>
        </is>
      </c>
      <c r="C104" s="20" t="n">
        <v>618</v>
      </c>
      <c r="D104" s="20" t="n">
        <v>384</v>
      </c>
      <c r="E104" s="20" t="n">
        <v>316</v>
      </c>
      <c r="F104" s="20" t="n">
        <v>1835</v>
      </c>
      <c r="G104" s="20" t="n">
        <v>-1397</v>
      </c>
      <c r="H104" s="20" t="n">
        <v>3325</v>
      </c>
      <c r="I104" s="20" t="n">
        <v>0</v>
      </c>
      <c r="J104" s="20" t="n">
        <v>0</v>
      </c>
      <c r="K104" s="20" t="n">
        <v>0</v>
      </c>
      <c r="L104" s="20" t="n">
        <v>75</v>
      </c>
      <c r="M104" s="20" t="n">
        <v>1842</v>
      </c>
      <c r="N104" s="20" t="n">
        <v>565</v>
      </c>
      <c r="U104" s="20" t="n">
        <v>-7983</v>
      </c>
      <c r="V104" s="20" t="n">
        <v>384</v>
      </c>
      <c r="W104" s="20" t="n">
        <v>3325</v>
      </c>
      <c r="X104" s="20" t="n">
        <v>75</v>
      </c>
    </row>
    <row r="105">
      <c r="A105" s="18" t="inlineStr">
        <is>
          <t>기타</t>
        </is>
      </c>
      <c r="C105" s="20" t="n">
        <v>407</v>
      </c>
      <c r="D105" s="20" t="n">
        <v>1323</v>
      </c>
      <c r="E105" s="20" t="n">
        <v>85</v>
      </c>
      <c r="F105" s="20" t="n">
        <v>109</v>
      </c>
      <c r="G105" s="20" t="n">
        <v>110</v>
      </c>
      <c r="H105" s="20" t="n">
        <v>47</v>
      </c>
      <c r="I105" s="20" t="n">
        <v>40</v>
      </c>
      <c r="J105" s="20" t="n">
        <v>90</v>
      </c>
      <c r="K105" s="20" t="n">
        <v>64</v>
      </c>
      <c r="L105" s="20" t="n">
        <v>88</v>
      </c>
      <c r="M105" s="20" t="n">
        <v>37</v>
      </c>
      <c r="N105" s="20" t="n">
        <v>92</v>
      </c>
      <c r="U105" s="20" t="n">
        <v>19</v>
      </c>
      <c r="V105" s="20" t="n">
        <v>1323</v>
      </c>
      <c r="W105" s="20" t="n">
        <v>47</v>
      </c>
      <c r="X105" s="20" t="n">
        <v>88</v>
      </c>
    </row>
    <row r="106">
      <c r="A106" s="18" t="inlineStr">
        <is>
          <t>영업외비용 합계</t>
        </is>
      </c>
      <c r="C106" s="20" t="n">
        <v>4400</v>
      </c>
      <c r="D106" s="20" t="n">
        <v>2648</v>
      </c>
      <c r="E106" s="20" t="n">
        <v>812</v>
      </c>
      <c r="F106" s="20" t="n">
        <v>4680</v>
      </c>
      <c r="G106" s="20" t="n">
        <v>-969</v>
      </c>
      <c r="H106" s="20" t="n">
        <v>4044</v>
      </c>
      <c r="I106" s="20" t="n">
        <v>877</v>
      </c>
      <c r="J106" s="20" t="n">
        <v>0</v>
      </c>
      <c r="K106" s="20" t="n">
        <v>10172</v>
      </c>
      <c r="L106" s="20" t="n">
        <v>9042</v>
      </c>
      <c r="M106" s="20" t="n">
        <v>2246</v>
      </c>
      <c r="N106" s="20" t="n">
        <v>2314</v>
      </c>
      <c r="U106" s="20" t="n">
        <v>-2295</v>
      </c>
      <c r="V106" s="20" t="n">
        <v>2648</v>
      </c>
      <c r="W106" s="20" t="n">
        <v>4044</v>
      </c>
      <c r="X106" s="20" t="n">
        <v>9042</v>
      </c>
    </row>
    <row r="107">
      <c r="A107" s="9" t="inlineStr">
        <is>
          <t>경상이익</t>
        </is>
      </c>
      <c r="C107" s="12" t="n">
        <v>10624</v>
      </c>
      <c r="D107" s="12" t="n">
        <v>11916</v>
      </c>
      <c r="E107" s="12" t="n">
        <v>18703</v>
      </c>
      <c r="F107" s="12" t="n">
        <v>2297</v>
      </c>
      <c r="G107" s="12" t="n">
        <v>12144</v>
      </c>
      <c r="H107" s="12" t="n">
        <v>16844</v>
      </c>
      <c r="I107" s="12" t="n">
        <v>8769</v>
      </c>
      <c r="J107" s="12" t="n">
        <v>9026</v>
      </c>
      <c r="K107" s="12" t="n">
        <v>13304</v>
      </c>
      <c r="L107" s="12" t="n">
        <v>25901</v>
      </c>
      <c r="M107" s="12" t="n">
        <v>15719</v>
      </c>
      <c r="N107" s="12" t="n">
        <v>9804</v>
      </c>
      <c r="U107" s="12" t="n">
        <v>23019</v>
      </c>
      <c r="V107" s="12" t="n">
        <v>11916</v>
      </c>
      <c r="W107" s="12" t="n">
        <v>16844</v>
      </c>
      <c r="X107" s="12" t="n">
        <v>25901</v>
      </c>
    </row>
    <row r="108">
      <c r="A108" s="18" t="inlineStr">
        <is>
          <t>손상차손</t>
        </is>
      </c>
      <c r="D108" s="20" t="n">
        <v>4</v>
      </c>
      <c r="H108" s="20" t="n">
        <v>0</v>
      </c>
      <c r="U108" s="20" t="n">
        <v>0</v>
      </c>
      <c r="V108" s="20" t="n">
        <v>4</v>
      </c>
      <c r="W108" s="20" t="n">
        <v>0</v>
      </c>
    </row>
    <row r="109">
      <c r="A109" s="18" t="inlineStr">
        <is>
          <t>특별손실 합계</t>
        </is>
      </c>
      <c r="D109" s="20" t="n">
        <v>4</v>
      </c>
      <c r="H109" s="20" t="n">
        <v>0</v>
      </c>
      <c r="U109" s="20" t="n">
        <v>0</v>
      </c>
      <c r="V109" s="20" t="n">
        <v>4</v>
      </c>
      <c r="W109" s="20" t="n">
        <v>0</v>
      </c>
    </row>
    <row r="110">
      <c r="A110" s="9" t="inlineStr">
        <is>
          <t>법인세차감전 순이익</t>
        </is>
      </c>
      <c r="C110" s="12" t="n">
        <v>10217</v>
      </c>
      <c r="D110" s="12" t="n">
        <v>11912</v>
      </c>
      <c r="E110" s="12" t="n">
        <v>18703</v>
      </c>
      <c r="F110" s="12" t="n">
        <v>2297</v>
      </c>
      <c r="G110" s="12" t="n">
        <v>12144</v>
      </c>
      <c r="H110" s="12" t="n">
        <v>16844</v>
      </c>
      <c r="I110" s="12" t="n">
        <v>8769</v>
      </c>
      <c r="J110" s="12" t="n">
        <v>9026</v>
      </c>
      <c r="K110" s="12" t="n">
        <v>13304</v>
      </c>
      <c r="L110" s="12" t="n">
        <v>25901</v>
      </c>
      <c r="M110" s="12" t="n">
        <v>15719</v>
      </c>
      <c r="N110" s="12" t="n">
        <v>9804</v>
      </c>
      <c r="U110" s="12" t="n">
        <v>23083</v>
      </c>
      <c r="V110" s="12" t="n">
        <v>11912</v>
      </c>
      <c r="W110" s="12" t="n">
        <v>16844</v>
      </c>
      <c r="X110" s="12" t="n">
        <v>25901</v>
      </c>
    </row>
    <row r="111">
      <c r="A111" s="18" t="inlineStr">
        <is>
          <t>법인세·주민세·사업세</t>
        </is>
      </c>
      <c r="C111" s="20" t="n">
        <v>2417</v>
      </c>
      <c r="D111" s="20" t="n">
        <v>2879</v>
      </c>
      <c r="E111" s="20" t="n">
        <v>4634</v>
      </c>
      <c r="F111" s="20" t="n">
        <v>484</v>
      </c>
      <c r="G111" s="20" t="n">
        <v>2614</v>
      </c>
      <c r="H111" s="20" t="n">
        <v>5174</v>
      </c>
      <c r="I111" s="20" t="n">
        <v>1837</v>
      </c>
      <c r="J111" s="20" t="n">
        <v>2435</v>
      </c>
      <c r="K111" s="20" t="n">
        <v>2893</v>
      </c>
      <c r="L111" s="20" t="n">
        <v>7537</v>
      </c>
      <c r="M111" s="20" t="n">
        <v>3829</v>
      </c>
      <c r="N111" s="20" t="n">
        <v>3081</v>
      </c>
      <c r="U111" s="20" t="n">
        <v>5895</v>
      </c>
      <c r="V111" s="20" t="n">
        <v>2879</v>
      </c>
      <c r="W111" s="20" t="n">
        <v>5174</v>
      </c>
      <c r="X111" s="20" t="n">
        <v>7537</v>
      </c>
    </row>
    <row r="112">
      <c r="A112" s="18" t="inlineStr">
        <is>
          <t>법인세 조정액</t>
        </is>
      </c>
      <c r="C112" s="20" t="n">
        <v>311</v>
      </c>
      <c r="D112" s="20" t="n">
        <v>-475</v>
      </c>
      <c r="E112" s="20" t="n">
        <v>430</v>
      </c>
      <c r="F112" s="20" t="n">
        <v>-522</v>
      </c>
      <c r="G112" s="20" t="n">
        <v>341</v>
      </c>
      <c r="H112" s="20" t="n">
        <v>-795</v>
      </c>
      <c r="I112" s="20" t="n">
        <v>859</v>
      </c>
      <c r="J112" s="20" t="n">
        <v>-801</v>
      </c>
      <c r="K112" s="20" t="n">
        <v>96</v>
      </c>
      <c r="L112" s="20" t="n">
        <v>-686</v>
      </c>
      <c r="M112" s="20" t="n">
        <v>541</v>
      </c>
      <c r="N112" s="20" t="n">
        <v>-525</v>
      </c>
      <c r="U112" s="20" t="n">
        <v>-270</v>
      </c>
      <c r="V112" s="20" t="n">
        <v>-475</v>
      </c>
      <c r="W112" s="20" t="n">
        <v>-795</v>
      </c>
      <c r="X112" s="20" t="n">
        <v>-686</v>
      </c>
    </row>
    <row r="113">
      <c r="A113" s="18" t="inlineStr">
        <is>
          <t>법인세 등 합계</t>
        </is>
      </c>
      <c r="C113" s="20" t="n">
        <v>2730</v>
      </c>
      <c r="D113" s="20" t="n">
        <v>2402</v>
      </c>
      <c r="E113" s="20" t="n">
        <v>5065</v>
      </c>
      <c r="F113" s="20" t="n">
        <v>-40</v>
      </c>
      <c r="G113" s="20" t="n">
        <v>2957</v>
      </c>
      <c r="H113" s="20" t="n">
        <v>4378</v>
      </c>
      <c r="I113" s="20" t="n">
        <v>2696</v>
      </c>
      <c r="J113" s="20" t="n">
        <v>1634</v>
      </c>
      <c r="K113" s="20" t="n">
        <v>2989</v>
      </c>
      <c r="L113" s="20" t="n">
        <v>6851</v>
      </c>
      <c r="M113" s="20" t="n">
        <v>4370</v>
      </c>
      <c r="N113" s="20" t="n">
        <v>2556</v>
      </c>
      <c r="U113" s="20" t="n">
        <v>5625</v>
      </c>
      <c r="V113" s="20" t="n">
        <v>2402</v>
      </c>
      <c r="W113" s="20" t="n">
        <v>4378</v>
      </c>
      <c r="X113" s="20" t="n">
        <v>6851</v>
      </c>
    </row>
    <row r="114">
      <c r="A114" s="9" t="inlineStr">
        <is>
          <t>순이익</t>
        </is>
      </c>
      <c r="C114" s="12" t="n">
        <v>7488</v>
      </c>
      <c r="D114" s="12" t="n">
        <v>9509</v>
      </c>
      <c r="E114" s="12" t="n">
        <v>13638</v>
      </c>
      <c r="F114" s="12" t="n">
        <v>2337</v>
      </c>
      <c r="G114" s="12" t="n">
        <v>9186</v>
      </c>
      <c r="H114" s="12" t="n">
        <v>12467</v>
      </c>
      <c r="I114" s="12" t="n">
        <v>6072</v>
      </c>
      <c r="J114" s="12" t="n">
        <v>7393</v>
      </c>
      <c r="K114" s="12" t="n">
        <v>10315</v>
      </c>
      <c r="L114" s="12" t="n">
        <v>19050</v>
      </c>
      <c r="M114" s="12" t="n">
        <v>11348</v>
      </c>
      <c r="N114" s="12" t="n">
        <v>7248</v>
      </c>
      <c r="U114" s="12" t="n">
        <v>17458</v>
      </c>
      <c r="V114" s="12" t="n">
        <v>9509</v>
      </c>
      <c r="W114" s="12" t="n">
        <v>12467</v>
      </c>
      <c r="X114" s="12" t="n">
        <v>19050</v>
      </c>
    </row>
    <row r="115">
      <c r="A115" s="9" t="inlineStr">
        <is>
          <t>지배주주 순이익</t>
        </is>
      </c>
      <c r="C115" s="12" t="n">
        <v>7488</v>
      </c>
      <c r="D115" s="12" t="n">
        <v>9509</v>
      </c>
      <c r="E115" s="12" t="n">
        <v>13638</v>
      </c>
      <c r="F115" s="12" t="n">
        <v>2337</v>
      </c>
      <c r="G115" s="12" t="n">
        <v>9186</v>
      </c>
      <c r="H115" s="12" t="n">
        <v>12467</v>
      </c>
      <c r="I115" s="12" t="n">
        <v>6072</v>
      </c>
      <c r="J115" s="12" t="n">
        <v>7393</v>
      </c>
      <c r="K115" s="12" t="n">
        <v>10315</v>
      </c>
      <c r="L115" s="12" t="n">
        <v>19050</v>
      </c>
      <c r="M115" s="12" t="n">
        <v>11348</v>
      </c>
      <c r="N115" s="12" t="n">
        <v>7248</v>
      </c>
      <c r="U115" s="12" t="n">
        <v>17458</v>
      </c>
      <c r="V115" s="12" t="n">
        <v>9509</v>
      </c>
      <c r="W115" s="12" t="n">
        <v>12467</v>
      </c>
      <c r="X115" s="12" t="n">
        <v>19050</v>
      </c>
    </row>
    <row r="117">
      <c r="A117" s="16" t="inlineStr">
        <is>
          <t>포괄손익 · 전 항목</t>
        </is>
      </c>
      <c r="B117" s="42" t="inlineStr">
        <is>
          <t>분기 = 3개월 단독</t>
        </is>
      </c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</row>
    <row r="118">
      <c r="A118" s="5" t="inlineStr">
        <is>
          <t>항목</t>
        </is>
      </c>
      <c r="B118" s="5" t="inlineStr">
        <is>
          <t>참고</t>
        </is>
      </c>
      <c r="C118" s="5" t="inlineStr">
        <is>
          <t>2024.3Q</t>
        </is>
      </c>
      <c r="D118" s="5" t="inlineStr">
        <is>
          <t>2024.4Q</t>
        </is>
      </c>
      <c r="E118" s="5" t="inlineStr">
        <is>
          <t>2025.1Q</t>
        </is>
      </c>
      <c r="F118" s="5" t="inlineStr">
        <is>
          <t>2025.2Q</t>
        </is>
      </c>
      <c r="G118" s="5" t="inlineStr">
        <is>
          <t>2025.3Q</t>
        </is>
      </c>
      <c r="H118" s="5" t="inlineStr">
        <is>
          <t>2025.4Q</t>
        </is>
      </c>
      <c r="I118" s="5" t="inlineStr">
        <is>
          <t>2026.1Q</t>
        </is>
      </c>
      <c r="J118" s="5" t="inlineStr">
        <is>
          <t>2026.2Q</t>
        </is>
      </c>
      <c r="K118" s="5" t="inlineStr">
        <is>
          <t>2026.3Q</t>
        </is>
      </c>
      <c r="L118" s="5" t="inlineStr">
        <is>
          <t>2026.4Q</t>
        </is>
      </c>
      <c r="M118" s="5" t="inlineStr">
        <is>
          <t>2027.1Q</t>
        </is>
      </c>
      <c r="N118" s="5" t="inlineStr">
        <is>
          <t>2027.2Q</t>
        </is>
      </c>
      <c r="O118" s="5" t="inlineStr">
        <is>
          <t>2017</t>
        </is>
      </c>
      <c r="P118" s="5" t="inlineStr">
        <is>
          <t>2018</t>
        </is>
      </c>
      <c r="Q118" s="5" t="inlineStr">
        <is>
          <t>2019</t>
        </is>
      </c>
      <c r="R118" s="5" t="inlineStr">
        <is>
          <t>2020</t>
        </is>
      </c>
      <c r="S118" s="5" t="inlineStr">
        <is>
          <t>2021</t>
        </is>
      </c>
      <c r="T118" s="5" t="inlineStr">
        <is>
          <t>2022</t>
        </is>
      </c>
      <c r="U118" s="5" t="inlineStr">
        <is>
          <t>2023</t>
        </is>
      </c>
      <c r="V118" s="5" t="inlineStr">
        <is>
          <t>2024</t>
        </is>
      </c>
      <c r="W118" s="5" t="inlineStr">
        <is>
          <t>2025</t>
        </is>
      </c>
      <c r="X118" s="5" t="inlineStr">
        <is>
          <t>2026</t>
        </is>
      </c>
      <c r="Y118" s="5" t="inlineStr">
        <is>
          <t>2027(MW)</t>
        </is>
      </c>
      <c r="Z118" s="5" t="inlineStr">
        <is>
          <t>2028(MW)</t>
        </is>
      </c>
      <c r="AA118" s="5" t="inlineStr">
        <is>
          <t>2029(MW)</t>
        </is>
      </c>
      <c r="AB118" s="5" t="inlineStr">
        <is>
          <t>2030(MW)</t>
        </is>
      </c>
      <c r="AC118" s="5" t="inlineStr">
        <is>
          <t>2031(MW)</t>
        </is>
      </c>
    </row>
    <row r="119">
      <c r="A119" s="9" t="inlineStr">
        <is>
          <t>순이익</t>
        </is>
      </c>
      <c r="C119" s="12" t="n">
        <v>7488</v>
      </c>
      <c r="D119" s="12" t="n">
        <v>9509</v>
      </c>
      <c r="E119" s="12" t="n">
        <v>13638</v>
      </c>
      <c r="F119" s="12" t="n">
        <v>2337</v>
      </c>
      <c r="G119" s="12" t="n">
        <v>9186</v>
      </c>
      <c r="H119" s="12" t="n">
        <v>12467</v>
      </c>
      <c r="I119" s="12" t="n">
        <v>6072</v>
      </c>
      <c r="J119" s="12" t="n">
        <v>7393</v>
      </c>
      <c r="K119" s="12" t="n">
        <v>10315</v>
      </c>
      <c r="L119" s="12" t="n">
        <v>19050</v>
      </c>
      <c r="M119" s="12" t="n">
        <v>11348</v>
      </c>
      <c r="N119" s="12" t="n">
        <v>7248</v>
      </c>
      <c r="U119" s="12" t="n">
        <v>17458</v>
      </c>
      <c r="V119" s="12" t="n">
        <v>9509</v>
      </c>
      <c r="W119" s="12" t="n">
        <v>12467</v>
      </c>
      <c r="X119" s="12" t="n">
        <v>19050</v>
      </c>
    </row>
    <row r="120">
      <c r="A120" s="18" t="inlineStr">
        <is>
          <t>기타유가증권 평가차액</t>
        </is>
      </c>
      <c r="C120" s="20" t="n">
        <v>-349</v>
      </c>
      <c r="D120" s="20" t="n">
        <v>6140</v>
      </c>
      <c r="E120" s="20" t="n">
        <v>4597</v>
      </c>
      <c r="F120" s="20" t="n">
        <v>-7280</v>
      </c>
      <c r="G120" s="20" t="n">
        <v>14081</v>
      </c>
      <c r="H120" s="20" t="n">
        <v>-17484</v>
      </c>
      <c r="I120" s="20" t="n">
        <v>10170</v>
      </c>
      <c r="J120" s="20" t="n">
        <v>22237</v>
      </c>
      <c r="K120" s="20" t="n">
        <v>-1375</v>
      </c>
      <c r="L120" s="20" t="n">
        <v>-7193</v>
      </c>
      <c r="M120" s="20" t="n">
        <v>17730</v>
      </c>
      <c r="N120" s="20" t="n">
        <v>3077</v>
      </c>
      <c r="U120" s="20" t="n">
        <v>3297</v>
      </c>
      <c r="V120" s="20" t="n">
        <v>6140</v>
      </c>
      <c r="W120" s="20" t="n">
        <v>-17484</v>
      </c>
      <c r="X120" s="20" t="n">
        <v>-7193</v>
      </c>
    </row>
    <row r="121">
      <c r="A121" s="18" t="inlineStr">
        <is>
          <t>토지재평가차액금</t>
        </is>
      </c>
      <c r="C121" s="20" t="n">
        <v>0</v>
      </c>
      <c r="D121" s="20" t="n">
        <v>0</v>
      </c>
      <c r="G121" s="20" t="n">
        <v>0</v>
      </c>
      <c r="H121" s="20" t="n">
        <v>13</v>
      </c>
      <c r="K121" s="20" t="n">
        <v>0</v>
      </c>
      <c r="L121" s="20" t="n">
        <v>0</v>
      </c>
      <c r="V121" s="20" t="n">
        <v>0</v>
      </c>
      <c r="W121" s="20" t="n">
        <v>13</v>
      </c>
      <c r="X121" s="20" t="n">
        <v>0</v>
      </c>
    </row>
    <row r="122">
      <c r="A122" s="18" t="inlineStr">
        <is>
          <t>해외사업환산조정</t>
        </is>
      </c>
      <c r="C122" s="20" t="n">
        <v>-331</v>
      </c>
      <c r="D122" s="20" t="n">
        <v>812</v>
      </c>
      <c r="E122" s="20" t="n">
        <v>991</v>
      </c>
      <c r="F122" s="20" t="n">
        <v>-1210</v>
      </c>
      <c r="G122" s="20" t="n">
        <v>808</v>
      </c>
      <c r="H122" s="20" t="n">
        <v>-798</v>
      </c>
      <c r="I122" s="20" t="n">
        <v>270</v>
      </c>
      <c r="J122" s="20" t="n">
        <v>304</v>
      </c>
      <c r="K122" s="20" t="n">
        <v>1025</v>
      </c>
      <c r="L122" s="20" t="n">
        <v>339</v>
      </c>
      <c r="M122" s="20" t="n">
        <v>404</v>
      </c>
      <c r="N122" s="20" t="n">
        <v>-479</v>
      </c>
      <c r="U122" s="20" t="n">
        <v>298</v>
      </c>
      <c r="V122" s="20" t="n">
        <v>812</v>
      </c>
      <c r="W122" s="20" t="n">
        <v>-798</v>
      </c>
      <c r="X122" s="20" t="n">
        <v>339</v>
      </c>
    </row>
    <row r="123">
      <c r="A123" s="18" t="inlineStr">
        <is>
          <t>퇴직급여 조정액</t>
        </is>
      </c>
      <c r="C123" s="20" t="n">
        <v>4</v>
      </c>
      <c r="D123" s="20" t="n">
        <v>1421</v>
      </c>
      <c r="E123" s="20" t="n">
        <v>-25</v>
      </c>
      <c r="F123" s="20" t="n">
        <v>-26</v>
      </c>
      <c r="G123" s="20" t="n">
        <v>-25</v>
      </c>
      <c r="H123" s="20" t="n">
        <v>-530</v>
      </c>
      <c r="I123" s="20" t="n">
        <v>-17</v>
      </c>
      <c r="J123" s="20" t="n">
        <v>-18</v>
      </c>
      <c r="K123" s="20" t="n">
        <v>-17</v>
      </c>
      <c r="L123" s="20" t="n">
        <v>1583</v>
      </c>
      <c r="M123" s="20" t="n">
        <v>-44</v>
      </c>
      <c r="N123" s="20" t="n">
        <v>-45</v>
      </c>
      <c r="U123" s="20" t="n">
        <v>-408</v>
      </c>
      <c r="V123" s="20" t="n">
        <v>1421</v>
      </c>
      <c r="W123" s="20" t="n">
        <v>-530</v>
      </c>
      <c r="X123" s="20" t="n">
        <v>1583</v>
      </c>
    </row>
    <row r="124">
      <c r="A124" s="18" t="inlineStr">
        <is>
          <t>기타포괄손익 합계</t>
        </is>
      </c>
      <c r="C124" s="20" t="n">
        <v>-676</v>
      </c>
      <c r="D124" s="20" t="n">
        <v>8372</v>
      </c>
      <c r="E124" s="20" t="n">
        <v>5563</v>
      </c>
      <c r="F124" s="20" t="n">
        <v>-8516</v>
      </c>
      <c r="G124" s="20" t="n">
        <v>14864</v>
      </c>
      <c r="H124" s="20" t="n">
        <v>-18798</v>
      </c>
      <c r="I124" s="20" t="n">
        <v>10422</v>
      </c>
      <c r="J124" s="20" t="n">
        <v>22523</v>
      </c>
      <c r="K124" s="20" t="n">
        <v>-367</v>
      </c>
      <c r="L124" s="20" t="n">
        <v>-5269</v>
      </c>
      <c r="M124" s="20" t="n">
        <v>18090</v>
      </c>
      <c r="N124" s="20" t="n">
        <v>2552</v>
      </c>
      <c r="U124" s="20" t="n">
        <v>3186</v>
      </c>
      <c r="V124" s="20" t="n">
        <v>8372</v>
      </c>
      <c r="W124" s="20" t="n">
        <v>-18798</v>
      </c>
      <c r="X124" s="20" t="n">
        <v>-5269</v>
      </c>
    </row>
    <row r="125">
      <c r="A125" s="9" t="inlineStr">
        <is>
          <t>포괄이익</t>
        </is>
      </c>
      <c r="C125" s="12" t="n">
        <v>6812</v>
      </c>
      <c r="D125" s="12" t="n">
        <v>17882</v>
      </c>
      <c r="E125" s="12" t="n">
        <v>19202</v>
      </c>
      <c r="F125" s="12" t="n">
        <v>-6181</v>
      </c>
      <c r="G125" s="12" t="n">
        <v>24052</v>
      </c>
      <c r="H125" s="12" t="n">
        <v>-6333</v>
      </c>
      <c r="I125" s="12" t="n">
        <v>16495</v>
      </c>
      <c r="J125" s="12" t="n">
        <v>29916</v>
      </c>
      <c r="K125" s="12" t="n">
        <v>9948</v>
      </c>
      <c r="L125" s="12" t="n">
        <v>13780</v>
      </c>
      <c r="M125" s="12" t="n">
        <v>29438</v>
      </c>
      <c r="N125" s="12" t="n">
        <v>9801</v>
      </c>
      <c r="U125" s="12" t="n">
        <v>20644</v>
      </c>
      <c r="V125" s="12" t="n">
        <v>17882</v>
      </c>
      <c r="W125" s="12" t="n">
        <v>-6333</v>
      </c>
      <c r="X125" s="12" t="n">
        <v>13780</v>
      </c>
    </row>
    <row r="126">
      <c r="A126" s="9" t="inlineStr">
        <is>
          <t>지배주주 포괄이익</t>
        </is>
      </c>
      <c r="C126" s="12" t="n">
        <v>6812</v>
      </c>
      <c r="D126" s="12" t="n">
        <v>17882</v>
      </c>
      <c r="E126" s="12" t="n">
        <v>19202</v>
      </c>
      <c r="F126" s="12" t="n">
        <v>-6181</v>
      </c>
      <c r="G126" s="12" t="n">
        <v>24052</v>
      </c>
      <c r="H126" s="12" t="n">
        <v>-6333</v>
      </c>
      <c r="I126" s="12" t="n">
        <v>16495</v>
      </c>
      <c r="J126" s="12" t="n">
        <v>29916</v>
      </c>
      <c r="K126" s="12" t="n">
        <v>9948</v>
      </c>
      <c r="L126" s="12" t="n">
        <v>13780</v>
      </c>
      <c r="M126" s="12" t="n">
        <v>29438</v>
      </c>
      <c r="N126" s="12" t="n">
        <v>9801</v>
      </c>
      <c r="U126" s="12" t="n">
        <v>20644</v>
      </c>
      <c r="V126" s="12" t="n">
        <v>17882</v>
      </c>
      <c r="W126" s="12" t="n">
        <v>-6333</v>
      </c>
      <c r="X126" s="12" t="n">
        <v>13780</v>
      </c>
    </row>
    <row r="128">
      <c r="A128" s="16" t="inlineStr">
        <is>
          <t>부문 · 전 항목</t>
        </is>
      </c>
      <c r="B128" s="42" t="inlineStr">
        <is>
          <t>부문 · 항목</t>
        </is>
      </c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</row>
    <row r="129">
      <c r="A129" s="5" t="inlineStr">
        <is>
          <t>항목</t>
        </is>
      </c>
      <c r="B129" s="5" t="inlineStr">
        <is>
          <t>참고</t>
        </is>
      </c>
      <c r="C129" s="5" t="inlineStr">
        <is>
          <t>2024.3Q</t>
        </is>
      </c>
      <c r="D129" s="5" t="inlineStr">
        <is>
          <t>2024.4Q</t>
        </is>
      </c>
      <c r="E129" s="5" t="inlineStr">
        <is>
          <t>2025.1Q</t>
        </is>
      </c>
      <c r="F129" s="5" t="inlineStr">
        <is>
          <t>2025.2Q</t>
        </is>
      </c>
      <c r="G129" s="5" t="inlineStr">
        <is>
          <t>2025.3Q</t>
        </is>
      </c>
      <c r="H129" s="5" t="inlineStr">
        <is>
          <t>2025.4Q</t>
        </is>
      </c>
      <c r="I129" s="5" t="inlineStr">
        <is>
          <t>2026.1Q</t>
        </is>
      </c>
      <c r="J129" s="5" t="inlineStr">
        <is>
          <t>2026.2Q</t>
        </is>
      </c>
      <c r="K129" s="5" t="inlineStr">
        <is>
          <t>2026.3Q</t>
        </is>
      </c>
      <c r="L129" s="5" t="inlineStr">
        <is>
          <t>2026.4Q</t>
        </is>
      </c>
      <c r="M129" s="5" t="inlineStr">
        <is>
          <t>2027.1Q</t>
        </is>
      </c>
      <c r="N129" s="5" t="inlineStr">
        <is>
          <t>2027.2Q</t>
        </is>
      </c>
      <c r="O129" s="5" t="inlineStr">
        <is>
          <t>2017</t>
        </is>
      </c>
      <c r="P129" s="5" t="inlineStr">
        <is>
          <t>2018</t>
        </is>
      </c>
      <c r="Q129" s="5" t="inlineStr">
        <is>
          <t>2019</t>
        </is>
      </c>
      <c r="R129" s="5" t="inlineStr">
        <is>
          <t>2020</t>
        </is>
      </c>
      <c r="S129" s="5" t="inlineStr">
        <is>
          <t>2021</t>
        </is>
      </c>
      <c r="T129" s="5" t="inlineStr">
        <is>
          <t>2022</t>
        </is>
      </c>
      <c r="U129" s="5" t="inlineStr">
        <is>
          <t>2023</t>
        </is>
      </c>
      <c r="V129" s="5" t="inlineStr">
        <is>
          <t>2024</t>
        </is>
      </c>
      <c r="W129" s="5" t="inlineStr">
        <is>
          <t>2025</t>
        </is>
      </c>
      <c r="X129" s="5" t="inlineStr">
        <is>
          <t>2026</t>
        </is>
      </c>
      <c r="Y129" s="5" t="inlineStr">
        <is>
          <t>2027(MW)</t>
        </is>
      </c>
      <c r="Z129" s="5" t="inlineStr">
        <is>
          <t>2028(MW)</t>
        </is>
      </c>
      <c r="AA129" s="5" t="inlineStr">
        <is>
          <t>2029(MW)</t>
        </is>
      </c>
      <c r="AB129" s="5" t="inlineStr">
        <is>
          <t>2030(MW)</t>
        </is>
      </c>
      <c r="AC129" s="5" t="inlineStr">
        <is>
          <t>2031(MW)</t>
        </is>
      </c>
    </row>
    <row r="130">
      <c r="A130" s="18" t="inlineStr">
        <is>
          <t>EntertainmentReportableSegmentMember · 외부 고객 매출</t>
        </is>
      </c>
      <c r="C130" s="20" t="n">
        <v>20169</v>
      </c>
      <c r="D130" s="20" t="n">
        <v>22067</v>
      </c>
      <c r="E130" s="20" t="n">
        <v>16567</v>
      </c>
      <c r="F130" s="20" t="n">
        <v>15941</v>
      </c>
      <c r="G130" s="20" t="n">
        <v>16012</v>
      </c>
      <c r="H130" s="20" t="n">
        <v>29218</v>
      </c>
      <c r="I130" s="20" t="n">
        <v>13431</v>
      </c>
      <c r="J130" s="20" t="n">
        <v>14881</v>
      </c>
      <c r="K130" s="20" t="n">
        <v>18981</v>
      </c>
      <c r="L130" s="20" t="n">
        <v>34946</v>
      </c>
      <c r="M130" s="20" t="n">
        <v>15911</v>
      </c>
      <c r="N130" s="20" t="n">
        <v>18262</v>
      </c>
      <c r="V130" s="20" t="n">
        <v>22067</v>
      </c>
      <c r="W130" s="20" t="n">
        <v>29218</v>
      </c>
      <c r="X130" s="20" t="n">
        <v>34946</v>
      </c>
    </row>
    <row r="131">
      <c r="A131" s="18" t="inlineStr">
        <is>
          <t>AmusementReportableSegmentMember · 외부 고객 매출</t>
        </is>
      </c>
      <c r="C131" s="20" t="n">
        <v>958</v>
      </c>
      <c r="D131" s="20" t="n">
        <v>1008</v>
      </c>
      <c r="E131" s="20" t="n">
        <v>757</v>
      </c>
      <c r="F131" s="20" t="n">
        <v>1326</v>
      </c>
      <c r="G131" s="20" t="n">
        <v>1020</v>
      </c>
      <c r="H131" s="20" t="n">
        <v>1047</v>
      </c>
      <c r="I131" s="20" t="n">
        <v>1054</v>
      </c>
      <c r="J131" s="20" t="n">
        <v>1240</v>
      </c>
      <c r="K131" s="20" t="n">
        <v>1142</v>
      </c>
      <c r="L131" s="20" t="n">
        <v>1346</v>
      </c>
      <c r="M131" s="20" t="n">
        <v>1120</v>
      </c>
      <c r="N131" s="20" t="n">
        <v>1324</v>
      </c>
      <c r="V131" s="20" t="n">
        <v>1008</v>
      </c>
      <c r="W131" s="20" t="n">
        <v>1047</v>
      </c>
      <c r="X131" s="20" t="n">
        <v>1346</v>
      </c>
    </row>
    <row r="132">
      <c r="A132" s="18" t="inlineStr">
        <is>
          <t>RealEstateReportableSegmentMember · 외부 고객 매출</t>
        </is>
      </c>
      <c r="C132" s="20" t="n">
        <v>299</v>
      </c>
      <c r="D132" s="20" t="n">
        <v>302</v>
      </c>
      <c r="E132" s="20" t="n">
        <v>280</v>
      </c>
      <c r="F132" s="20" t="n">
        <v>320</v>
      </c>
      <c r="G132" s="20" t="n">
        <v>338</v>
      </c>
      <c r="H132" s="20" t="n">
        <v>294</v>
      </c>
      <c r="I132" s="20" t="n">
        <v>312</v>
      </c>
      <c r="J132" s="20" t="n">
        <v>323</v>
      </c>
      <c r="K132" s="20" t="n">
        <v>336</v>
      </c>
      <c r="L132" s="20" t="n">
        <v>325</v>
      </c>
      <c r="M132" s="20" t="n">
        <v>334</v>
      </c>
      <c r="N132" s="20" t="n">
        <v>357</v>
      </c>
      <c r="V132" s="20" t="n">
        <v>302</v>
      </c>
      <c r="W132" s="20" t="n">
        <v>294</v>
      </c>
      <c r="X132" s="20" t="n">
        <v>325</v>
      </c>
    </row>
    <row r="133">
      <c r="A133" s="18" t="inlineStr">
        <is>
          <t>보고부문 합계 · 외부 고객 매출</t>
        </is>
      </c>
      <c r="C133" s="20" t="n">
        <v>21424</v>
      </c>
      <c r="D133" s="20" t="n">
        <v>23378</v>
      </c>
      <c r="E133" s="20" t="n">
        <v>17605</v>
      </c>
      <c r="F133" s="20" t="n">
        <v>17586</v>
      </c>
      <c r="G133" s="20" t="n">
        <v>17372</v>
      </c>
      <c r="H133" s="20" t="n">
        <v>30558</v>
      </c>
      <c r="I133" s="20" t="n">
        <v>14798</v>
      </c>
      <c r="J133" s="20" t="n">
        <v>16444</v>
      </c>
      <c r="K133" s="20" t="n">
        <v>20459</v>
      </c>
      <c r="L133" s="20" t="n">
        <v>36617</v>
      </c>
      <c r="M133" s="20" t="n">
        <v>17366</v>
      </c>
      <c r="N133" s="20" t="n">
        <v>19943</v>
      </c>
      <c r="V133" s="20" t="n">
        <v>23378</v>
      </c>
      <c r="W133" s="20" t="n">
        <v>30558</v>
      </c>
      <c r="X133" s="20" t="n">
        <v>36617</v>
      </c>
    </row>
    <row r="134">
      <c r="A134" s="18" t="inlineStr">
        <is>
          <t>기타 · 외부 고객 매출</t>
        </is>
      </c>
      <c r="C134" s="20" t="n">
        <v>-10</v>
      </c>
      <c r="D134" s="20" t="n">
        <v>69</v>
      </c>
      <c r="E134" s="20" t="n">
        <v>2</v>
      </c>
      <c r="F134" s="20" t="n">
        <v>3</v>
      </c>
      <c r="G134" s="20" t="n">
        <v>2</v>
      </c>
      <c r="H134" s="20" t="n">
        <v>22</v>
      </c>
      <c r="I134" s="20" t="n">
        <v>2</v>
      </c>
      <c r="J134" s="20" t="n">
        <v>24</v>
      </c>
      <c r="K134" s="20" t="n">
        <v>1</v>
      </c>
      <c r="L134" s="20" t="n">
        <v>48</v>
      </c>
      <c r="M134" s="20" t="n">
        <v>2</v>
      </c>
      <c r="N134" s="20" t="n">
        <v>16</v>
      </c>
      <c r="V134" s="20" t="n">
        <v>69</v>
      </c>
      <c r="W134" s="20" t="n">
        <v>22</v>
      </c>
      <c r="X134" s="20" t="n">
        <v>48</v>
      </c>
    </row>
    <row r="135">
      <c r="A135" s="18" t="inlineStr">
        <is>
          <t>합계 · 외부 고객 매출</t>
        </is>
      </c>
      <c r="C135" s="20" t="n">
        <v>21414</v>
      </c>
      <c r="D135" s="20" t="n">
        <v>23448</v>
      </c>
      <c r="E135" s="20" t="n">
        <v>17607</v>
      </c>
      <c r="F135" s="20" t="n">
        <v>17590</v>
      </c>
      <c r="G135" s="20" t="n">
        <v>17373</v>
      </c>
      <c r="H135" s="20" t="n">
        <v>30580</v>
      </c>
      <c r="I135" s="20" t="n">
        <v>14800</v>
      </c>
      <c r="J135" s="20" t="n">
        <v>16468</v>
      </c>
      <c r="K135" s="20" t="n">
        <v>20461</v>
      </c>
      <c r="L135" s="20" t="n">
        <v>36664</v>
      </c>
      <c r="M135" s="20" t="n">
        <v>17368</v>
      </c>
      <c r="N135" s="20" t="n">
        <v>19959</v>
      </c>
      <c r="V135" s="20" t="n">
        <v>23448</v>
      </c>
      <c r="W135" s="20" t="n">
        <v>30580</v>
      </c>
      <c r="X135" s="20" t="n">
        <v>36664</v>
      </c>
    </row>
    <row r="136">
      <c r="A136" s="18" t="inlineStr">
        <is>
          <t>EntertainmentReportableSegmentMember · 부문 간 내부매출·대체</t>
        </is>
      </c>
      <c r="C136" s="20" t="n">
        <v>15</v>
      </c>
      <c r="D136" s="20" t="n">
        <v>26</v>
      </c>
      <c r="E136" s="20" t="n">
        <v>14</v>
      </c>
      <c r="F136" s="20" t="n">
        <v>239</v>
      </c>
      <c r="G136" s="20" t="n">
        <v>21</v>
      </c>
      <c r="H136" s="20" t="n">
        <v>65</v>
      </c>
      <c r="I136" s="20" t="n">
        <v>151</v>
      </c>
      <c r="J136" s="20" t="n">
        <v>39</v>
      </c>
      <c r="K136" s="20" t="n">
        <v>60</v>
      </c>
      <c r="L136" s="20" t="n">
        <v>52</v>
      </c>
      <c r="M136" s="20" t="n">
        <v>18</v>
      </c>
      <c r="N136" s="20" t="n">
        <v>18</v>
      </c>
      <c r="V136" s="20" t="n">
        <v>26</v>
      </c>
      <c r="W136" s="20" t="n">
        <v>65</v>
      </c>
      <c r="X136" s="20" t="n">
        <v>52</v>
      </c>
    </row>
    <row r="137">
      <c r="A137" s="18" t="inlineStr">
        <is>
          <t>AmusementReportableSegmentMember · 부문 간 내부매출·대체</t>
        </is>
      </c>
      <c r="C137" s="20" t="n">
        <v>0</v>
      </c>
      <c r="D137" s="20" t="n">
        <v>0</v>
      </c>
      <c r="E137" s="20" t="n">
        <v>0</v>
      </c>
      <c r="F137" s="20" t="n">
        <v>0</v>
      </c>
      <c r="G137" s="20" t="n">
        <v>0</v>
      </c>
      <c r="H137" s="20" t="n">
        <v>0</v>
      </c>
      <c r="I137" s="20" t="n">
        <v>0</v>
      </c>
      <c r="J137" s="20" t="n">
        <v>0</v>
      </c>
      <c r="K137" s="20" t="n">
        <v>0</v>
      </c>
      <c r="L137" s="20" t="n">
        <v>0</v>
      </c>
      <c r="M137" s="20" t="n">
        <v>0</v>
      </c>
      <c r="N137" s="20" t="n">
        <v>1</v>
      </c>
      <c r="V137" s="20" t="n">
        <v>0</v>
      </c>
      <c r="W137" s="20" t="n">
        <v>0</v>
      </c>
      <c r="X137" s="20" t="n">
        <v>0</v>
      </c>
    </row>
    <row r="138">
      <c r="A138" s="18" t="inlineStr">
        <is>
          <t>RealEstateReportableSegmentMember · 부문 간 내부매출·대체</t>
        </is>
      </c>
      <c r="C138" s="20" t="n">
        <v>0</v>
      </c>
      <c r="D138" s="20" t="n">
        <v>1</v>
      </c>
      <c r="E138" s="20" t="n">
        <v>0</v>
      </c>
      <c r="F138" s="20" t="n">
        <v>0</v>
      </c>
      <c r="G138" s="20" t="n">
        <v>0</v>
      </c>
      <c r="H138" s="20" t="n">
        <v>1</v>
      </c>
      <c r="I138" s="20" t="n">
        <v>0</v>
      </c>
      <c r="J138" s="20" t="n">
        <v>0</v>
      </c>
      <c r="K138" s="20" t="n">
        <v>1</v>
      </c>
      <c r="L138" s="20" t="n">
        <v>1</v>
      </c>
      <c r="M138" s="20" t="n">
        <v>0</v>
      </c>
      <c r="N138" s="20" t="n">
        <v>0</v>
      </c>
      <c r="V138" s="20" t="n">
        <v>1</v>
      </c>
      <c r="W138" s="20" t="n">
        <v>1</v>
      </c>
      <c r="X138" s="20" t="n">
        <v>1</v>
      </c>
    </row>
    <row r="139">
      <c r="A139" s="18" t="inlineStr">
        <is>
          <t>보고부문 합계 · 부문 간 내부매출·대체</t>
        </is>
      </c>
      <c r="C139" s="20" t="n">
        <v>15</v>
      </c>
      <c r="D139" s="20" t="n">
        <v>27</v>
      </c>
      <c r="E139" s="20" t="n">
        <v>14</v>
      </c>
      <c r="F139" s="20" t="n">
        <v>239</v>
      </c>
      <c r="G139" s="20" t="n">
        <v>21</v>
      </c>
      <c r="H139" s="20" t="n">
        <v>67</v>
      </c>
      <c r="I139" s="20" t="n">
        <v>151</v>
      </c>
      <c r="J139" s="20" t="n">
        <v>39</v>
      </c>
      <c r="K139" s="20" t="n">
        <v>61</v>
      </c>
      <c r="L139" s="20" t="n">
        <v>54</v>
      </c>
      <c r="M139" s="20" t="n">
        <v>18</v>
      </c>
      <c r="N139" s="20" t="n">
        <v>19</v>
      </c>
      <c r="V139" s="20" t="n">
        <v>27</v>
      </c>
      <c r="W139" s="20" t="n">
        <v>67</v>
      </c>
      <c r="X139" s="20" t="n">
        <v>54</v>
      </c>
    </row>
    <row r="140">
      <c r="A140" s="18" t="inlineStr">
        <is>
          <t>기타 · 부문 간 내부매출·대체</t>
        </is>
      </c>
      <c r="C140" s="20" t="n">
        <v>79</v>
      </c>
      <c r="D140" s="20" t="n">
        <v>76</v>
      </c>
      <c r="E140" s="20" t="n">
        <v>75</v>
      </c>
      <c r="F140" s="20" t="n">
        <v>73</v>
      </c>
      <c r="G140" s="20" t="n">
        <v>72</v>
      </c>
      <c r="H140" s="20" t="n">
        <v>68</v>
      </c>
      <c r="I140" s="20" t="n">
        <v>74</v>
      </c>
      <c r="J140" s="20" t="n">
        <v>77</v>
      </c>
      <c r="K140" s="20" t="n">
        <v>87</v>
      </c>
      <c r="L140" s="20" t="n">
        <v>81</v>
      </c>
      <c r="M140" s="20" t="n">
        <v>80</v>
      </c>
      <c r="N140" s="20" t="n">
        <v>81</v>
      </c>
      <c r="V140" s="20" t="n">
        <v>76</v>
      </c>
      <c r="W140" s="20" t="n">
        <v>68</v>
      </c>
      <c r="X140" s="20" t="n">
        <v>81</v>
      </c>
    </row>
    <row r="141">
      <c r="A141" s="18" t="inlineStr">
        <is>
          <t>합계 · 부문 간 내부매출·대체</t>
        </is>
      </c>
      <c r="C141" s="20" t="n">
        <v>95</v>
      </c>
      <c r="D141" s="20" t="n">
        <v>103</v>
      </c>
      <c r="E141" s="20" t="n">
        <v>90</v>
      </c>
      <c r="F141" s="20" t="n">
        <v>312</v>
      </c>
      <c r="G141" s="20" t="n">
        <v>92</v>
      </c>
      <c r="H141" s="20" t="n">
        <v>136</v>
      </c>
      <c r="I141" s="20" t="n">
        <v>226</v>
      </c>
      <c r="J141" s="20" t="n">
        <v>115</v>
      </c>
      <c r="K141" s="20" t="n">
        <v>148</v>
      </c>
      <c r="L141" s="20" t="n">
        <v>135</v>
      </c>
      <c r="M141" s="20" t="n">
        <v>99</v>
      </c>
      <c r="N141" s="20" t="n">
        <v>100</v>
      </c>
      <c r="V141" s="20" t="n">
        <v>103</v>
      </c>
      <c r="W141" s="20" t="n">
        <v>136</v>
      </c>
      <c r="X141" s="20" t="n">
        <v>135</v>
      </c>
    </row>
    <row r="142">
      <c r="A142" s="18" t="inlineStr">
        <is>
          <t>EntertainmentReportableSegmentMember · 계</t>
        </is>
      </c>
      <c r="C142" s="20" t="n">
        <v>20183</v>
      </c>
      <c r="D142" s="20" t="n">
        <v>22093</v>
      </c>
      <c r="E142" s="20" t="n">
        <v>16581</v>
      </c>
      <c r="F142" s="20" t="n">
        <v>16180</v>
      </c>
      <c r="G142" s="20" t="n">
        <v>16033</v>
      </c>
      <c r="H142" s="20" t="n">
        <v>29284</v>
      </c>
      <c r="I142" s="20" t="n">
        <v>13583</v>
      </c>
      <c r="J142" s="20" t="n">
        <v>14920</v>
      </c>
      <c r="K142" s="20" t="n">
        <v>19040</v>
      </c>
      <c r="L142" s="20" t="n">
        <v>34998</v>
      </c>
      <c r="M142" s="20" t="n">
        <v>15930</v>
      </c>
      <c r="N142" s="20" t="n">
        <v>18279</v>
      </c>
      <c r="V142" s="20" t="n">
        <v>22093</v>
      </c>
      <c r="W142" s="20" t="n">
        <v>29284</v>
      </c>
      <c r="X142" s="20" t="n">
        <v>34998</v>
      </c>
    </row>
    <row r="143">
      <c r="A143" s="18" t="inlineStr">
        <is>
          <t>AmusementReportableSegmentMember · 계</t>
        </is>
      </c>
      <c r="C143" s="20" t="n">
        <v>958</v>
      </c>
      <c r="D143" s="20" t="n">
        <v>1008</v>
      </c>
      <c r="E143" s="20" t="n">
        <v>757</v>
      </c>
      <c r="F143" s="20" t="n">
        <v>1326</v>
      </c>
      <c r="G143" s="20" t="n">
        <v>1020</v>
      </c>
      <c r="H143" s="20" t="n">
        <v>1047</v>
      </c>
      <c r="I143" s="20" t="n">
        <v>1054</v>
      </c>
      <c r="J143" s="20" t="n">
        <v>1240</v>
      </c>
      <c r="K143" s="20" t="n">
        <v>1142</v>
      </c>
      <c r="L143" s="20" t="n">
        <v>1346</v>
      </c>
      <c r="M143" s="20" t="n">
        <v>1120</v>
      </c>
      <c r="N143" s="20" t="n">
        <v>1326</v>
      </c>
      <c r="V143" s="20" t="n">
        <v>1008</v>
      </c>
      <c r="W143" s="20" t="n">
        <v>1047</v>
      </c>
      <c r="X143" s="20" t="n">
        <v>1346</v>
      </c>
    </row>
    <row r="144">
      <c r="A144" s="18" t="inlineStr">
        <is>
          <t>RealEstateReportableSegmentMember · 계</t>
        </is>
      </c>
      <c r="C144" s="20" t="n">
        <v>299</v>
      </c>
      <c r="D144" s="20" t="n">
        <v>303</v>
      </c>
      <c r="E144" s="20" t="n">
        <v>280</v>
      </c>
      <c r="F144" s="20" t="n">
        <v>320</v>
      </c>
      <c r="G144" s="20" t="n">
        <v>338</v>
      </c>
      <c r="H144" s="20" t="n">
        <v>296</v>
      </c>
      <c r="I144" s="20" t="n">
        <v>312</v>
      </c>
      <c r="J144" s="20" t="n">
        <v>323</v>
      </c>
      <c r="K144" s="20" t="n">
        <v>337</v>
      </c>
      <c r="L144" s="20" t="n">
        <v>327</v>
      </c>
      <c r="M144" s="20" t="n">
        <v>334</v>
      </c>
      <c r="N144" s="20" t="n">
        <v>357</v>
      </c>
      <c r="V144" s="20" t="n">
        <v>303</v>
      </c>
      <c r="W144" s="20" t="n">
        <v>296</v>
      </c>
      <c r="X144" s="20" t="n">
        <v>327</v>
      </c>
    </row>
    <row r="145">
      <c r="A145" s="18" t="inlineStr">
        <is>
          <t>보고부문 합계 · 계</t>
        </is>
      </c>
      <c r="C145" s="20" t="n">
        <v>21439</v>
      </c>
      <c r="D145" s="20" t="n">
        <v>23405</v>
      </c>
      <c r="E145" s="20" t="n">
        <v>17620</v>
      </c>
      <c r="F145" s="20" t="n">
        <v>17825</v>
      </c>
      <c r="G145" s="20" t="n">
        <v>17392</v>
      </c>
      <c r="H145" s="20" t="n">
        <v>30625</v>
      </c>
      <c r="I145" s="20" t="n">
        <v>14949</v>
      </c>
      <c r="J145" s="20" t="n">
        <v>16483</v>
      </c>
      <c r="K145" s="20" t="n">
        <v>20520</v>
      </c>
      <c r="L145" s="20" t="n">
        <v>36671</v>
      </c>
      <c r="M145" s="20" t="n">
        <v>17385</v>
      </c>
      <c r="N145" s="20" t="n">
        <v>19962</v>
      </c>
      <c r="V145" s="20" t="n">
        <v>23405</v>
      </c>
      <c r="W145" s="20" t="n">
        <v>30625</v>
      </c>
      <c r="X145" s="20" t="n">
        <v>36671</v>
      </c>
    </row>
    <row r="146">
      <c r="A146" s="18" t="inlineStr">
        <is>
          <t>기타 · 계</t>
        </is>
      </c>
      <c r="C146" s="20" t="n">
        <v>69</v>
      </c>
      <c r="D146" s="20" t="n">
        <v>146</v>
      </c>
      <c r="E146" s="20" t="n">
        <v>78</v>
      </c>
      <c r="F146" s="20" t="n">
        <v>75</v>
      </c>
      <c r="G146" s="20" t="n">
        <v>74</v>
      </c>
      <c r="H146" s="20" t="n">
        <v>91</v>
      </c>
      <c r="I146" s="20" t="n">
        <v>77</v>
      </c>
      <c r="J146" s="20" t="n">
        <v>100</v>
      </c>
      <c r="K146" s="20" t="n">
        <v>88</v>
      </c>
      <c r="L146" s="20" t="n">
        <v>129</v>
      </c>
      <c r="M146" s="20" t="n">
        <v>82</v>
      </c>
      <c r="N146" s="20" t="n">
        <v>97</v>
      </c>
      <c r="V146" s="20" t="n">
        <v>146</v>
      </c>
      <c r="W146" s="20" t="n">
        <v>91</v>
      </c>
      <c r="X146" s="20" t="n">
        <v>129</v>
      </c>
    </row>
    <row r="147">
      <c r="A147" s="18" t="inlineStr">
        <is>
          <t>합계 · 계</t>
        </is>
      </c>
      <c r="C147" s="20" t="n">
        <v>21509</v>
      </c>
      <c r="D147" s="20" t="n">
        <v>23550</v>
      </c>
      <c r="E147" s="20" t="n">
        <v>17698</v>
      </c>
      <c r="F147" s="20" t="n">
        <v>17901</v>
      </c>
      <c r="G147" s="20" t="n">
        <v>17466</v>
      </c>
      <c r="H147" s="20" t="n">
        <v>30716</v>
      </c>
      <c r="I147" s="20" t="n">
        <v>15026</v>
      </c>
      <c r="J147" s="20" t="n">
        <v>16584</v>
      </c>
      <c r="K147" s="20" t="n">
        <v>20608</v>
      </c>
      <c r="L147" s="20" t="n">
        <v>36799</v>
      </c>
      <c r="M147" s="20" t="n">
        <v>17467</v>
      </c>
      <c r="N147" s="20" t="n">
        <v>20059</v>
      </c>
      <c r="V147" s="20" t="n">
        <v>23550</v>
      </c>
      <c r="W147" s="20" t="n">
        <v>30716</v>
      </c>
      <c r="X147" s="20" t="n">
        <v>36799</v>
      </c>
    </row>
    <row r="148">
      <c r="A148" s="18" t="inlineStr">
        <is>
          <t>EntertainmentReportableSegmentMember · 부문 이익(손실)</t>
        </is>
      </c>
      <c r="C148" s="20" t="n">
        <v>6425</v>
      </c>
      <c r="D148" s="20" t="n">
        <v>8227</v>
      </c>
      <c r="E148" s="20" t="n">
        <v>5701</v>
      </c>
      <c r="F148" s="20" t="n">
        <v>4670</v>
      </c>
      <c r="G148" s="20" t="n">
        <v>4496</v>
      </c>
      <c r="H148" s="20" t="n">
        <v>16612</v>
      </c>
      <c r="I148" s="20" t="n">
        <v>3706</v>
      </c>
      <c r="J148" s="20" t="n">
        <v>4041</v>
      </c>
      <c r="K148" s="20" t="n">
        <v>6401</v>
      </c>
      <c r="L148" s="20" t="n">
        <v>22494</v>
      </c>
      <c r="M148" s="20" t="n">
        <v>5288</v>
      </c>
      <c r="N148" s="20" t="n">
        <v>6179</v>
      </c>
      <c r="V148" s="20" t="n">
        <v>8227</v>
      </c>
      <c r="W148" s="20" t="n">
        <v>16612</v>
      </c>
      <c r="X148" s="20" t="n">
        <v>22494</v>
      </c>
    </row>
    <row r="149">
      <c r="A149" s="18" t="inlineStr">
        <is>
          <t>AmusementReportableSegmentMember · 부문 이익(손실)</t>
        </is>
      </c>
      <c r="C149" s="20" t="n">
        <v>132</v>
      </c>
      <c r="D149" s="20" t="n">
        <v>188</v>
      </c>
      <c r="E149" s="20" t="n">
        <v>15</v>
      </c>
      <c r="F149" s="20" t="n">
        <v>237</v>
      </c>
      <c r="G149" s="20" t="n">
        <v>125</v>
      </c>
      <c r="H149" s="20" t="n">
        <v>123</v>
      </c>
      <c r="I149" s="20" t="n">
        <v>103</v>
      </c>
      <c r="J149" s="20" t="n">
        <v>281</v>
      </c>
      <c r="K149" s="20" t="n">
        <v>175</v>
      </c>
      <c r="L149" s="20" t="n">
        <v>243</v>
      </c>
      <c r="M149" s="20" t="n">
        <v>165</v>
      </c>
      <c r="N149" s="20" t="n">
        <v>221</v>
      </c>
      <c r="V149" s="20" t="n">
        <v>188</v>
      </c>
      <c r="W149" s="20" t="n">
        <v>123</v>
      </c>
      <c r="X149" s="20" t="n">
        <v>243</v>
      </c>
    </row>
    <row r="150">
      <c r="A150" s="18" t="inlineStr">
        <is>
          <t>RealEstateReportableSegmentMember · 부문 이익(손실)</t>
        </is>
      </c>
      <c r="C150" s="20" t="n">
        <v>5</v>
      </c>
      <c r="D150" s="20" t="n">
        <v>49</v>
      </c>
      <c r="E150" s="20" t="n">
        <v>65</v>
      </c>
      <c r="F150" s="20" t="n">
        <v>80</v>
      </c>
      <c r="G150" s="20" t="n">
        <v>83</v>
      </c>
      <c r="H150" s="20" t="n">
        <v>76</v>
      </c>
      <c r="I150" s="20" t="n">
        <v>75</v>
      </c>
      <c r="J150" s="20" t="n">
        <v>78</v>
      </c>
      <c r="K150" s="20" t="n">
        <v>93</v>
      </c>
      <c r="L150" s="20" t="n">
        <v>81</v>
      </c>
      <c r="M150" s="20" t="n">
        <v>75</v>
      </c>
      <c r="N150" s="20" t="n">
        <v>85</v>
      </c>
      <c r="V150" s="20" t="n">
        <v>49</v>
      </c>
      <c r="W150" s="20" t="n">
        <v>76</v>
      </c>
      <c r="X150" s="20" t="n">
        <v>81</v>
      </c>
    </row>
    <row r="151">
      <c r="A151" s="18" t="inlineStr">
        <is>
          <t>보고부문 합계 · 부문 이익(손실)</t>
        </is>
      </c>
      <c r="C151" s="20" t="n">
        <v>6562</v>
      </c>
      <c r="D151" s="20" t="n">
        <v>8464</v>
      </c>
      <c r="E151" s="20" t="n">
        <v>5782</v>
      </c>
      <c r="F151" s="20" t="n">
        <v>4987</v>
      </c>
      <c r="G151" s="20" t="n">
        <v>4704</v>
      </c>
      <c r="H151" s="20" t="n">
        <v>16811</v>
      </c>
      <c r="I151" s="20" t="n">
        <v>3885</v>
      </c>
      <c r="J151" s="20" t="n">
        <v>4400</v>
      </c>
      <c r="K151" s="20" t="n">
        <v>6669</v>
      </c>
      <c r="L151" s="20" t="n">
        <v>22818</v>
      </c>
      <c r="M151" s="20" t="n">
        <v>5529</v>
      </c>
      <c r="N151" s="20" t="n">
        <v>6484</v>
      </c>
      <c r="V151" s="20" t="n">
        <v>8464</v>
      </c>
      <c r="W151" s="20" t="n">
        <v>16811</v>
      </c>
      <c r="X151" s="20" t="n">
        <v>22818</v>
      </c>
    </row>
    <row r="152">
      <c r="A152" s="18" t="inlineStr">
        <is>
          <t>기타 · 부문 이익(손실)</t>
        </is>
      </c>
      <c r="C152" s="20" t="n">
        <v>-101</v>
      </c>
      <c r="D152" s="20" t="n">
        <v>-286</v>
      </c>
      <c r="E152" s="20" t="n">
        <v>-58</v>
      </c>
      <c r="F152" s="20" t="n">
        <v>-60</v>
      </c>
      <c r="G152" s="20" t="n">
        <v>-279</v>
      </c>
      <c r="H152" s="20" t="n">
        <v>233</v>
      </c>
      <c r="I152" s="20" t="n">
        <v>-310</v>
      </c>
      <c r="J152" s="20" t="n">
        <v>-10</v>
      </c>
      <c r="K152" s="20" t="n">
        <v>-62</v>
      </c>
      <c r="L152" s="20" t="n">
        <v>-222</v>
      </c>
      <c r="M152" s="20" t="n">
        <v>-122</v>
      </c>
      <c r="N152" s="20" t="n">
        <v>-148</v>
      </c>
      <c r="V152" s="20" t="n">
        <v>-286</v>
      </c>
      <c r="W152" s="20" t="n">
        <v>233</v>
      </c>
      <c r="X152" s="20" t="n">
        <v>-222</v>
      </c>
    </row>
    <row r="153">
      <c r="A153" s="18" t="inlineStr">
        <is>
          <t>합계 · 부문 이익(손실)</t>
        </is>
      </c>
      <c r="C153" s="20" t="n">
        <v>6461</v>
      </c>
      <c r="D153" s="20" t="n">
        <v>8178</v>
      </c>
      <c r="E153" s="20" t="n">
        <v>5723</v>
      </c>
      <c r="F153" s="20" t="n">
        <v>4928</v>
      </c>
      <c r="G153" s="20" t="n">
        <v>4424</v>
      </c>
      <c r="H153" s="20" t="n">
        <v>17044</v>
      </c>
      <c r="I153" s="20" t="n">
        <v>3574</v>
      </c>
      <c r="J153" s="20" t="n">
        <v>4390</v>
      </c>
      <c r="K153" s="20" t="n">
        <v>6607</v>
      </c>
      <c r="L153" s="20" t="n">
        <v>22597</v>
      </c>
      <c r="M153" s="20" t="n">
        <v>5407</v>
      </c>
      <c r="N153" s="20" t="n">
        <v>6336</v>
      </c>
      <c r="V153" s="20" t="n">
        <v>8178</v>
      </c>
      <c r="W153" s="20" t="n">
        <v>17044</v>
      </c>
      <c r="X153" s="20" t="n">
        <v>22597</v>
      </c>
    </row>
    <row r="155">
      <c r="A155" s="16" t="inlineStr">
        <is>
          <t>현금흐름표 · 전 항목</t>
        </is>
      </c>
      <c r="B155" s="42" t="inlineStr">
        <is>
          <t>분기 = 결산기 첫날부터 누계(공시 그대로)</t>
        </is>
      </c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</row>
    <row r="156">
      <c r="A156" s="5" t="inlineStr">
        <is>
          <t>항목</t>
        </is>
      </c>
      <c r="B156" s="5" t="inlineStr">
        <is>
          <t>참고</t>
        </is>
      </c>
      <c r="C156" s="5" t="inlineStr">
        <is>
          <t>2024.3Q</t>
        </is>
      </c>
      <c r="D156" s="5" t="inlineStr">
        <is>
          <t>2024.4Q</t>
        </is>
      </c>
      <c r="E156" s="5" t="inlineStr">
        <is>
          <t>2025.1Q</t>
        </is>
      </c>
      <c r="F156" s="5" t="inlineStr">
        <is>
          <t>2025.2Q</t>
        </is>
      </c>
      <c r="G156" s="5" t="inlineStr">
        <is>
          <t>2025.3Q</t>
        </is>
      </c>
      <c r="H156" s="5" t="inlineStr">
        <is>
          <t>2025.4Q</t>
        </is>
      </c>
      <c r="I156" s="5" t="inlineStr">
        <is>
          <t>2026.1Q</t>
        </is>
      </c>
      <c r="J156" s="5" t="inlineStr">
        <is>
          <t>2026.2Q</t>
        </is>
      </c>
      <c r="K156" s="5" t="inlineStr">
        <is>
          <t>2026.3Q</t>
        </is>
      </c>
      <c r="L156" s="5" t="inlineStr">
        <is>
          <t>2026.4Q</t>
        </is>
      </c>
      <c r="M156" s="5" t="inlineStr">
        <is>
          <t>2027.1Q</t>
        </is>
      </c>
      <c r="N156" s="5" t="inlineStr">
        <is>
          <t>2027.2Q</t>
        </is>
      </c>
      <c r="O156" s="5" t="inlineStr">
        <is>
          <t>2017</t>
        </is>
      </c>
      <c r="P156" s="5" t="inlineStr">
        <is>
          <t>2018</t>
        </is>
      </c>
      <c r="Q156" s="5" t="inlineStr">
        <is>
          <t>2019</t>
        </is>
      </c>
      <c r="R156" s="5" t="inlineStr">
        <is>
          <t>2020</t>
        </is>
      </c>
      <c r="S156" s="5" t="inlineStr">
        <is>
          <t>2021</t>
        </is>
      </c>
      <c r="T156" s="5" t="inlineStr">
        <is>
          <t>2022</t>
        </is>
      </c>
      <c r="U156" s="5" t="inlineStr">
        <is>
          <t>2023</t>
        </is>
      </c>
      <c r="V156" s="5" t="inlineStr">
        <is>
          <t>2024</t>
        </is>
      </c>
      <c r="W156" s="5" t="inlineStr">
        <is>
          <t>2025</t>
        </is>
      </c>
      <c r="X156" s="5" t="inlineStr">
        <is>
          <t>2026</t>
        </is>
      </c>
      <c r="Y156" s="5" t="inlineStr">
        <is>
          <t>2027(MW)</t>
        </is>
      </c>
      <c r="Z156" s="5" t="inlineStr">
        <is>
          <t>2028(MW)</t>
        </is>
      </c>
      <c r="AA156" s="5" t="inlineStr">
        <is>
          <t>2029(MW)</t>
        </is>
      </c>
      <c r="AB156" s="5" t="inlineStr">
        <is>
          <t>2030(MW)</t>
        </is>
      </c>
      <c r="AC156" s="5" t="inlineStr">
        <is>
          <t>2031(MW)</t>
        </is>
      </c>
    </row>
    <row r="157">
      <c r="A157" s="9" t="inlineStr">
        <is>
          <t>법인세차감전 순이익</t>
        </is>
      </c>
      <c r="D157" s="12" t="n">
        <v>45330</v>
      </c>
      <c r="H157" s="12" t="n">
        <v>49988</v>
      </c>
      <c r="L157" s="12" t="n">
        <v>57000</v>
      </c>
      <c r="O157" s="12" t="n">
        <v>15211</v>
      </c>
      <c r="P157" s="12" t="n">
        <v>18293</v>
      </c>
      <c r="Q157" s="12" t="n">
        <v>18307</v>
      </c>
      <c r="R157" s="12" t="n">
        <v>20247</v>
      </c>
      <c r="S157" s="12" t="n">
        <v>39174</v>
      </c>
      <c r="T157" s="12" t="n">
        <v>48638</v>
      </c>
      <c r="U157" s="12" t="n">
        <v>39963</v>
      </c>
      <c r="V157" s="12" t="n">
        <v>45330</v>
      </c>
      <c r="W157" s="12" t="n">
        <v>49988</v>
      </c>
      <c r="X157" s="12" t="n">
        <v>57000</v>
      </c>
    </row>
    <row r="158">
      <c r="A158" s="18" t="inlineStr">
        <is>
          <t>감가상각비</t>
        </is>
      </c>
      <c r="D158" s="20" t="n">
        <v>1813</v>
      </c>
      <c r="H158" s="20" t="n">
        <v>1914</v>
      </c>
      <c r="L158" s="20" t="n">
        <v>1999</v>
      </c>
      <c r="O158" s="20" t="n">
        <v>714</v>
      </c>
      <c r="P158" s="20" t="n">
        <v>701</v>
      </c>
      <c r="Q158" s="20" t="n">
        <v>734</v>
      </c>
      <c r="R158" s="20" t="n">
        <v>752</v>
      </c>
      <c r="S158" s="20" t="n">
        <v>1547</v>
      </c>
      <c r="T158" s="20" t="n">
        <v>1555</v>
      </c>
      <c r="U158" s="20" t="n">
        <v>1643</v>
      </c>
      <c r="V158" s="20" t="n">
        <v>1813</v>
      </c>
      <c r="W158" s="20" t="n">
        <v>1914</v>
      </c>
      <c r="X158" s="20" t="n">
        <v>1999</v>
      </c>
    </row>
    <row r="159">
      <c r="A159" s="18" t="inlineStr">
        <is>
          <t>영업권 상각</t>
        </is>
      </c>
      <c r="O159" s="20" t="n">
        <v>290</v>
      </c>
      <c r="P159" s="20" t="n">
        <v>0</v>
      </c>
    </row>
    <row r="160">
      <c r="A160" s="18" t="inlineStr">
        <is>
          <t>손상차손</t>
        </is>
      </c>
      <c r="D160" s="20" t="n">
        <v>411</v>
      </c>
      <c r="H160" s="20" t="n">
        <v>0</v>
      </c>
      <c r="S160" s="20" t="n">
        <v>0</v>
      </c>
      <c r="T160" s="20" t="n">
        <v>146</v>
      </c>
      <c r="U160" s="20" t="n">
        <v>0</v>
      </c>
      <c r="V160" s="20" t="n">
        <v>411</v>
      </c>
      <c r="W160" s="20" t="n">
        <v>0</v>
      </c>
    </row>
    <row r="161">
      <c r="A161" s="18" t="inlineStr">
        <is>
          <t>수주손실 충당금 증감</t>
        </is>
      </c>
      <c r="O161" s="20" t="n">
        <v>0</v>
      </c>
      <c r="P161" s="20" t="n">
        <v>595</v>
      </c>
      <c r="Q161" s="20" t="n">
        <v>-476</v>
      </c>
      <c r="R161" s="20" t="n">
        <v>-118</v>
      </c>
      <c r="S161" s="20" t="n">
        <v>35</v>
      </c>
      <c r="T161" s="20" t="n">
        <v>-35</v>
      </c>
      <c r="U161" s="20" t="n">
        <v>0</v>
      </c>
    </row>
    <row r="162">
      <c r="A162" s="18" t="inlineStr">
        <is>
          <t>대손충당금 증감</t>
        </is>
      </c>
      <c r="D162" s="20" t="n">
        <v>-16</v>
      </c>
      <c r="H162" s="20" t="n">
        <v>2</v>
      </c>
      <c r="L162" s="20" t="n">
        <v>-1</v>
      </c>
      <c r="O162" s="20" t="n">
        <v>1</v>
      </c>
      <c r="P162" s="20" t="n">
        <v>-12</v>
      </c>
      <c r="Q162" s="20" t="n">
        <v>-5</v>
      </c>
      <c r="R162" s="20" t="n">
        <v>-1</v>
      </c>
      <c r="S162" s="20" t="n">
        <v>4</v>
      </c>
      <c r="T162" s="20" t="n">
        <v>-1</v>
      </c>
      <c r="U162" s="20" t="n">
        <v>6</v>
      </c>
      <c r="V162" s="20" t="n">
        <v>-16</v>
      </c>
      <c r="W162" s="20" t="n">
        <v>2</v>
      </c>
      <c r="X162" s="20" t="n">
        <v>-1</v>
      </c>
    </row>
    <row r="163">
      <c r="A163" s="18" t="inlineStr">
        <is>
          <t>임원 상여충당금 증감</t>
        </is>
      </c>
      <c r="D163" s="20" t="n">
        <v>-85</v>
      </c>
      <c r="H163" s="20" t="n">
        <v>166</v>
      </c>
      <c r="L163" s="20" t="n">
        <v>23</v>
      </c>
      <c r="O163" s="20" t="n">
        <v>8</v>
      </c>
      <c r="P163" s="20" t="n">
        <v>-74</v>
      </c>
      <c r="Q163" s="20" t="n">
        <v>7</v>
      </c>
      <c r="R163" s="20" t="n">
        <v>50</v>
      </c>
      <c r="S163" s="20" t="n">
        <v>91</v>
      </c>
      <c r="T163" s="20" t="n">
        <v>71</v>
      </c>
      <c r="U163" s="20" t="n">
        <v>-44</v>
      </c>
      <c r="V163" s="20" t="n">
        <v>-85</v>
      </c>
      <c r="W163" s="20" t="n">
        <v>166</v>
      </c>
      <c r="X163" s="20" t="n">
        <v>23</v>
      </c>
    </row>
    <row r="164">
      <c r="A164" s="18" t="inlineStr">
        <is>
          <t>상여충당금 증감</t>
        </is>
      </c>
      <c r="D164" s="20" t="n">
        <v>18</v>
      </c>
      <c r="H164" s="20" t="n">
        <v>321</v>
      </c>
      <c r="L164" s="20" t="n">
        <v>233</v>
      </c>
      <c r="O164" s="20" t="n">
        <v>-50</v>
      </c>
      <c r="P164" s="20" t="n">
        <v>90</v>
      </c>
      <c r="Q164" s="20" t="n">
        <v>51</v>
      </c>
      <c r="R164" s="20" t="n">
        <v>105</v>
      </c>
      <c r="S164" s="20" t="n">
        <v>438</v>
      </c>
      <c r="T164" s="20" t="n">
        <v>284</v>
      </c>
      <c r="U164" s="20" t="n">
        <v>-235</v>
      </c>
      <c r="V164" s="20" t="n">
        <v>18</v>
      </c>
      <c r="W164" s="20" t="n">
        <v>321</v>
      </c>
      <c r="X164" s="20" t="n">
        <v>233</v>
      </c>
    </row>
    <row r="165">
      <c r="A165" s="18" t="inlineStr">
        <is>
          <t>소송 손실 충당금 증감액(△는 감소)</t>
        </is>
      </c>
      <c r="Q165" s="20" t="n">
        <v>0</v>
      </c>
      <c r="R165" s="20" t="n">
        <v>181</v>
      </c>
      <c r="S165" s="20" t="n">
        <v>-181</v>
      </c>
      <c r="T165" s="20" t="n">
        <v>0</v>
      </c>
    </row>
    <row r="166">
      <c r="A166" s="18" t="inlineStr">
        <is>
          <t>이자·배당금 수익</t>
        </is>
      </c>
      <c r="D166" s="20" t="n">
        <v>-15318</v>
      </c>
      <c r="H166" s="20" t="n">
        <v>-16290</v>
      </c>
      <c r="L166" s="20" t="n">
        <v>-12842</v>
      </c>
      <c r="O166" s="20" t="n">
        <v>-3147</v>
      </c>
      <c r="P166" s="20" t="n">
        <v>-3455</v>
      </c>
      <c r="Q166" s="20" t="n">
        <v>-3992</v>
      </c>
      <c r="R166" s="20" t="n">
        <v>-3140</v>
      </c>
      <c r="S166" s="20" t="n">
        <v>-6122</v>
      </c>
      <c r="T166" s="20" t="n">
        <v>-6588</v>
      </c>
      <c r="U166" s="20" t="n">
        <v>-14685</v>
      </c>
      <c r="V166" s="20" t="n">
        <v>-15318</v>
      </c>
      <c r="W166" s="20" t="n">
        <v>-16290</v>
      </c>
      <c r="X166" s="20" t="n">
        <v>-12842</v>
      </c>
    </row>
    <row r="167">
      <c r="A167" s="18" t="inlineStr">
        <is>
          <t>보조금 수입</t>
        </is>
      </c>
      <c r="S167" s="20" t="n">
        <v>0</v>
      </c>
      <c r="T167" s="20" t="n">
        <v>-2949</v>
      </c>
      <c r="U167" s="20" t="n">
        <v>0</v>
      </c>
    </row>
    <row r="168">
      <c r="A168" s="18" t="inlineStr">
        <is>
          <t>고정자산 압축손실</t>
        </is>
      </c>
      <c r="S168" s="20" t="n">
        <v>0</v>
      </c>
      <c r="T168" s="20" t="n">
        <v>2860</v>
      </c>
      <c r="U168" s="20" t="n">
        <v>0</v>
      </c>
    </row>
    <row r="169">
      <c r="A169" s="18" t="inlineStr">
        <is>
          <t>투자유가증권 평가손익</t>
        </is>
      </c>
      <c r="D169" s="20" t="n">
        <v>91</v>
      </c>
      <c r="H169" s="20" t="n">
        <v>864</v>
      </c>
      <c r="L169" s="20" t="n">
        <v>0</v>
      </c>
      <c r="O169" s="20" t="n">
        <v>378</v>
      </c>
      <c r="P169" s="20" t="n">
        <v>492</v>
      </c>
      <c r="Q169" s="20" t="n">
        <v>1645</v>
      </c>
      <c r="R169" s="20" t="n">
        <v>2586</v>
      </c>
      <c r="S169" s="20" t="n">
        <v>48</v>
      </c>
      <c r="T169" s="20" t="n">
        <v>469</v>
      </c>
      <c r="U169" s="20" t="n">
        <v>0</v>
      </c>
      <c r="V169" s="20" t="n">
        <v>91</v>
      </c>
      <c r="W169" s="20" t="n">
        <v>864</v>
      </c>
      <c r="X169" s="20" t="n">
        <v>0</v>
      </c>
    </row>
    <row r="170">
      <c r="A170" s="18" t="inlineStr">
        <is>
          <t>투자유가증권 매각손익</t>
        </is>
      </c>
      <c r="D170" s="20" t="n">
        <v>-922</v>
      </c>
      <c r="H170" s="20" t="n">
        <v>-4444</v>
      </c>
      <c r="L170" s="20" t="n">
        <v>-813</v>
      </c>
      <c r="O170" s="20" t="n">
        <v>-3592</v>
      </c>
      <c r="P170" s="20" t="n">
        <v>-4169</v>
      </c>
      <c r="Q170" s="20" t="n">
        <v>-3869</v>
      </c>
      <c r="R170" s="20" t="n">
        <v>-5691</v>
      </c>
      <c r="S170" s="20" t="n">
        <v>-8195</v>
      </c>
      <c r="T170" s="20" t="n">
        <v>-17092</v>
      </c>
      <c r="U170" s="20" t="n">
        <v>1026</v>
      </c>
      <c r="V170" s="20" t="n">
        <v>-922</v>
      </c>
      <c r="W170" s="20" t="n">
        <v>-4444</v>
      </c>
      <c r="X170" s="20" t="n">
        <v>-813</v>
      </c>
    </row>
    <row r="171">
      <c r="A171" s="18" t="inlineStr">
        <is>
          <t>유가증권 상환손익</t>
        </is>
      </c>
      <c r="D171" s="20" t="n">
        <v>5686</v>
      </c>
      <c r="H171" s="20" t="n">
        <v>-32</v>
      </c>
      <c r="L171" s="20" t="n">
        <v>985</v>
      </c>
      <c r="O171" s="20" t="n">
        <v>-134</v>
      </c>
      <c r="P171" s="20" t="n">
        <v>703</v>
      </c>
      <c r="Q171" s="20" t="n">
        <v>432</v>
      </c>
      <c r="R171" s="20" t="n">
        <v>121</v>
      </c>
      <c r="S171" s="20" t="n">
        <v>483</v>
      </c>
      <c r="T171" s="20" t="n">
        <v>1774</v>
      </c>
      <c r="U171" s="20" t="n">
        <v>13462</v>
      </c>
      <c r="V171" s="20" t="n">
        <v>5686</v>
      </c>
      <c r="W171" s="20" t="n">
        <v>-32</v>
      </c>
      <c r="X171" s="20" t="n">
        <v>985</v>
      </c>
    </row>
    <row r="172">
      <c r="A172" s="18" t="inlineStr">
        <is>
          <t>파생상품 평가손익</t>
        </is>
      </c>
      <c r="D172" s="20" t="n">
        <v>-7866</v>
      </c>
      <c r="H172" s="20" t="n">
        <v>3037</v>
      </c>
      <c r="L172" s="20" t="n">
        <v>-5302</v>
      </c>
      <c r="Q172" s="20" t="n">
        <v>0</v>
      </c>
      <c r="R172" s="20" t="n">
        <v>1253</v>
      </c>
      <c r="S172" s="20" t="n">
        <v>-495</v>
      </c>
      <c r="T172" s="20" t="n">
        <v>7051</v>
      </c>
      <c r="U172" s="20" t="n">
        <v>345</v>
      </c>
      <c r="V172" s="20" t="n">
        <v>-7866</v>
      </c>
      <c r="W172" s="20" t="n">
        <v>3037</v>
      </c>
      <c r="X172" s="20" t="n">
        <v>-5302</v>
      </c>
    </row>
    <row r="173">
      <c r="A173" s="18" t="inlineStr">
        <is>
          <t>유형자산 매각손익</t>
        </is>
      </c>
      <c r="D173" s="20" t="n">
        <v>-7</v>
      </c>
      <c r="H173" s="20" t="n">
        <v>-14</v>
      </c>
      <c r="L173" s="20" t="n">
        <v>-1</v>
      </c>
      <c r="O173" s="20" t="n">
        <v>-2</v>
      </c>
      <c r="P173" s="20" t="n">
        <v>-1</v>
      </c>
      <c r="Q173" s="20" t="n">
        <v>-0</v>
      </c>
      <c r="R173" s="20" t="n">
        <v>-1609</v>
      </c>
      <c r="S173" s="20" t="n">
        <v>-50</v>
      </c>
      <c r="T173" s="20" t="n">
        <v>-4</v>
      </c>
      <c r="U173" s="20" t="n">
        <v>16</v>
      </c>
      <c r="V173" s="20" t="n">
        <v>-7</v>
      </c>
      <c r="W173" s="20" t="n">
        <v>-14</v>
      </c>
      <c r="X173" s="20" t="n">
        <v>-1</v>
      </c>
    </row>
    <row r="174">
      <c r="A174" s="18" t="inlineStr">
        <is>
          <t>외환차손익</t>
        </is>
      </c>
      <c r="D174" s="20" t="n">
        <v>-895</v>
      </c>
      <c r="H174" s="20" t="n">
        <v>-1226</v>
      </c>
      <c r="L174" s="20" t="n">
        <v>-1157</v>
      </c>
      <c r="O174" s="20" t="n">
        <v>301</v>
      </c>
      <c r="P174" s="20" t="n">
        <v>141</v>
      </c>
      <c r="Q174" s="20" t="n">
        <v>-161</v>
      </c>
      <c r="R174" s="20" t="n">
        <v>292</v>
      </c>
      <c r="S174" s="20" t="n">
        <v>-31</v>
      </c>
      <c r="T174" s="20" t="n">
        <v>-64</v>
      </c>
      <c r="U174" s="20" t="n">
        <v>480</v>
      </c>
      <c r="V174" s="20" t="n">
        <v>-895</v>
      </c>
      <c r="W174" s="20" t="n">
        <v>-1226</v>
      </c>
      <c r="X174" s="20" t="n">
        <v>-1157</v>
      </c>
    </row>
    <row r="175">
      <c r="A175" s="18" t="inlineStr">
        <is>
          <t>코로나19 관련 손실</t>
        </is>
      </c>
      <c r="R175" s="20" t="n">
        <v>0</v>
      </c>
      <c r="S175" s="20" t="n">
        <v>124</v>
      </c>
      <c r="T175" s="20" t="n">
        <v>0</v>
      </c>
    </row>
    <row r="176">
      <c r="A176" s="18" t="inlineStr">
        <is>
          <t>매출채권 증감</t>
        </is>
      </c>
      <c r="D176" s="20" t="n">
        <v>6794</v>
      </c>
      <c r="H176" s="20" t="n">
        <v>-138</v>
      </c>
      <c r="L176" s="20" t="n">
        <v>-5449</v>
      </c>
      <c r="O176" s="20" t="n">
        <v>2761</v>
      </c>
      <c r="P176" s="20" t="n">
        <v>-836</v>
      </c>
      <c r="Q176" s="20" t="n">
        <v>632</v>
      </c>
      <c r="R176" s="20" t="n">
        <v>-3644</v>
      </c>
      <c r="S176" s="20" t="n">
        <v>792</v>
      </c>
      <c r="T176" s="20" t="n">
        <v>-1690</v>
      </c>
      <c r="U176" s="20" t="n">
        <v>-8479</v>
      </c>
      <c r="V176" s="20" t="n">
        <v>6794</v>
      </c>
      <c r="W176" s="20" t="n">
        <v>-138</v>
      </c>
      <c r="X176" s="20" t="n">
        <v>-5449</v>
      </c>
    </row>
    <row r="177">
      <c r="A177" s="18" t="inlineStr">
        <is>
          <t>재고자산 증감</t>
        </is>
      </c>
      <c r="D177" s="20" t="n">
        <v>-59</v>
      </c>
      <c r="H177" s="20" t="n">
        <v>75</v>
      </c>
      <c r="L177" s="20" t="n">
        <v>-146</v>
      </c>
      <c r="O177" s="20" t="n">
        <v>103</v>
      </c>
      <c r="P177" s="20" t="n">
        <v>-48</v>
      </c>
      <c r="Q177" s="20" t="n">
        <v>7</v>
      </c>
      <c r="R177" s="20" t="n">
        <v>31</v>
      </c>
      <c r="S177" s="20" t="n">
        <v>-187</v>
      </c>
      <c r="T177" s="20" t="n">
        <v>118</v>
      </c>
      <c r="U177" s="20" t="n">
        <v>38</v>
      </c>
      <c r="V177" s="20" t="n">
        <v>-59</v>
      </c>
      <c r="W177" s="20" t="n">
        <v>75</v>
      </c>
      <c r="X177" s="20" t="n">
        <v>-146</v>
      </c>
    </row>
    <row r="178">
      <c r="A178" s="18" t="inlineStr">
        <is>
          <t>미수금 증감</t>
        </is>
      </c>
      <c r="D178" s="20" t="n">
        <v>936</v>
      </c>
      <c r="H178" s="20" t="n">
        <v>1457</v>
      </c>
      <c r="L178" s="20" t="n">
        <v>-612</v>
      </c>
      <c r="U178" s="20" t="n">
        <v>-853</v>
      </c>
      <c r="V178" s="20" t="n">
        <v>936</v>
      </c>
      <c r="W178" s="20" t="n">
        <v>1457</v>
      </c>
      <c r="X178" s="20" t="n">
        <v>-612</v>
      </c>
    </row>
    <row r="179">
      <c r="A179" s="18" t="inlineStr">
        <is>
          <t>매입채무 증감</t>
        </is>
      </c>
      <c r="D179" s="20" t="n">
        <v>-179</v>
      </c>
      <c r="H179" s="20" t="n">
        <v>210</v>
      </c>
      <c r="L179" s="20" t="n">
        <v>-212</v>
      </c>
      <c r="O179" s="20" t="n">
        <v>-1731</v>
      </c>
      <c r="P179" s="20" t="n">
        <v>359</v>
      </c>
      <c r="Q179" s="20" t="n">
        <v>-280</v>
      </c>
      <c r="R179" s="20" t="n">
        <v>1099</v>
      </c>
      <c r="S179" s="20" t="n">
        <v>-1398</v>
      </c>
      <c r="T179" s="20" t="n">
        <v>155</v>
      </c>
      <c r="U179" s="20" t="n">
        <v>599</v>
      </c>
      <c r="V179" s="20" t="n">
        <v>-179</v>
      </c>
      <c r="W179" s="20" t="n">
        <v>210</v>
      </c>
      <c r="X179" s="20" t="n">
        <v>-212</v>
      </c>
    </row>
    <row r="180">
      <c r="A180" s="18" t="inlineStr">
        <is>
          <t>미지급금 증감</t>
        </is>
      </c>
      <c r="D180" s="20" t="n">
        <v>550</v>
      </c>
      <c r="H180" s="20" t="n">
        <v>-1490</v>
      </c>
      <c r="L180" s="20" t="n">
        <v>-1618</v>
      </c>
      <c r="R180" s="20" t="n">
        <v>30</v>
      </c>
      <c r="S180" s="20" t="n">
        <v>2463</v>
      </c>
      <c r="T180" s="20" t="n">
        <v>-1641</v>
      </c>
      <c r="U180" s="20" t="n">
        <v>2403</v>
      </c>
      <c r="V180" s="20" t="n">
        <v>550</v>
      </c>
      <c r="W180" s="20" t="n">
        <v>-1490</v>
      </c>
      <c r="X180" s="20" t="n">
        <v>-1618</v>
      </c>
    </row>
    <row r="181">
      <c r="A181" s="18" t="inlineStr">
        <is>
          <t>미수 소비세 증감</t>
        </is>
      </c>
      <c r="R181" s="20" t="n">
        <v>-681</v>
      </c>
      <c r="S181" s="20" t="n">
        <v>681</v>
      </c>
      <c r="T181" s="20" t="n">
        <v>0</v>
      </c>
    </row>
    <row r="182">
      <c r="A182" s="18" t="inlineStr">
        <is>
          <t>미지급 소비세 증감</t>
        </is>
      </c>
      <c r="D182" s="20" t="n">
        <v>227</v>
      </c>
      <c r="H182" s="20" t="n">
        <v>-342</v>
      </c>
      <c r="L182" s="20" t="n">
        <v>526</v>
      </c>
      <c r="R182" s="20" t="n">
        <v>-524</v>
      </c>
      <c r="S182" s="20" t="n">
        <v>2024</v>
      </c>
      <c r="T182" s="20" t="n">
        <v>-1224</v>
      </c>
      <c r="U182" s="20" t="n">
        <v>-77</v>
      </c>
      <c r="V182" s="20" t="n">
        <v>227</v>
      </c>
      <c r="W182" s="20" t="n">
        <v>-342</v>
      </c>
      <c r="X182" s="20" t="n">
        <v>526</v>
      </c>
    </row>
    <row r="183">
      <c r="A183" s="18" t="inlineStr">
        <is>
          <t>예수금 증감</t>
        </is>
      </c>
      <c r="D183" s="20" t="n">
        <v>172</v>
      </c>
      <c r="H183" s="20" t="n">
        <v>-126</v>
      </c>
      <c r="L183" s="20" t="n">
        <v>3</v>
      </c>
      <c r="T183" s="20" t="n">
        <v>0</v>
      </c>
      <c r="U183" s="20" t="n">
        <v>16</v>
      </c>
      <c r="V183" s="20" t="n">
        <v>172</v>
      </c>
      <c r="W183" s="20" t="n">
        <v>-126</v>
      </c>
      <c r="X183" s="20" t="n">
        <v>3</v>
      </c>
    </row>
    <row r="184">
      <c r="A184" s="18" t="inlineStr">
        <is>
          <t>기타</t>
        </is>
      </c>
      <c r="D184" s="20" t="n">
        <v>2247</v>
      </c>
      <c r="H184" s="20" t="n">
        <v>326</v>
      </c>
      <c r="L184" s="20" t="n">
        <v>1163</v>
      </c>
      <c r="O184" s="20" t="n">
        <v>595</v>
      </c>
      <c r="P184" s="20" t="n">
        <v>-539</v>
      </c>
      <c r="Q184" s="20" t="n">
        <v>-341</v>
      </c>
      <c r="R184" s="20" t="n">
        <v>8</v>
      </c>
      <c r="S184" s="20" t="n">
        <v>1773</v>
      </c>
      <c r="T184" s="20" t="n">
        <v>745</v>
      </c>
      <c r="U184" s="20" t="n">
        <v>-61</v>
      </c>
      <c r="V184" s="20" t="n">
        <v>2247</v>
      </c>
      <c r="W184" s="20" t="n">
        <v>326</v>
      </c>
      <c r="X184" s="20" t="n">
        <v>1163</v>
      </c>
    </row>
    <row r="185">
      <c r="A185" s="18" t="inlineStr">
        <is>
          <t>소계</t>
        </is>
      </c>
      <c r="D185" s="20" t="n">
        <v>38928</v>
      </c>
      <c r="H185" s="20" t="n">
        <v>34256</v>
      </c>
      <c r="L185" s="20" t="n">
        <v>33776</v>
      </c>
      <c r="O185" s="20" t="n">
        <v>11707</v>
      </c>
      <c r="P185" s="20" t="n">
        <v>12238</v>
      </c>
      <c r="Q185" s="20" t="n">
        <v>12691</v>
      </c>
      <c r="R185" s="20" t="n">
        <v>11349</v>
      </c>
      <c r="S185" s="20" t="n">
        <v>33021</v>
      </c>
      <c r="T185" s="20" t="n">
        <v>32579</v>
      </c>
      <c r="U185" s="20" t="n">
        <v>35562</v>
      </c>
      <c r="V185" s="20" t="n">
        <v>38928</v>
      </c>
      <c r="W185" s="20" t="n">
        <v>34256</v>
      </c>
      <c r="X185" s="20" t="n">
        <v>33776</v>
      </c>
    </row>
    <row r="186">
      <c r="A186" s="18" t="inlineStr">
        <is>
          <t>이자·배당금 수취</t>
        </is>
      </c>
      <c r="D186" s="20" t="n">
        <v>8270</v>
      </c>
      <c r="H186" s="20" t="n">
        <v>12672</v>
      </c>
      <c r="L186" s="20" t="n">
        <v>9674</v>
      </c>
      <c r="O186" s="20" t="n">
        <v>2618</v>
      </c>
      <c r="P186" s="20" t="n">
        <v>2667</v>
      </c>
      <c r="Q186" s="20" t="n">
        <v>3353</v>
      </c>
      <c r="R186" s="20" t="n">
        <v>2554</v>
      </c>
      <c r="S186" s="20" t="n">
        <v>5420</v>
      </c>
      <c r="T186" s="20" t="n">
        <v>5246</v>
      </c>
      <c r="U186" s="20" t="n">
        <v>5210</v>
      </c>
      <c r="V186" s="20" t="n">
        <v>8270</v>
      </c>
      <c r="W186" s="20" t="n">
        <v>12672</v>
      </c>
      <c r="X186" s="20" t="n">
        <v>9674</v>
      </c>
    </row>
    <row r="187">
      <c r="A187" s="18" t="inlineStr">
        <is>
          <t>이자 지급</t>
        </is>
      </c>
      <c r="D187" s="20" t="n">
        <v>-10</v>
      </c>
      <c r="H187" s="20" t="n">
        <v>-39</v>
      </c>
      <c r="L187" s="20" t="n">
        <v>-129</v>
      </c>
      <c r="O187" s="20" t="n">
        <v>-0</v>
      </c>
      <c r="P187" s="20" t="n">
        <v>-0</v>
      </c>
      <c r="Q187" s="20" t="n">
        <v>-0</v>
      </c>
      <c r="R187" s="20" t="n">
        <v>-1</v>
      </c>
      <c r="S187" s="20" t="n">
        <v>-3</v>
      </c>
      <c r="T187" s="20" t="n">
        <v>-0</v>
      </c>
      <c r="U187" s="20" t="n">
        <v>-8</v>
      </c>
      <c r="V187" s="20" t="n">
        <v>-10</v>
      </c>
      <c r="W187" s="20" t="n">
        <v>-39</v>
      </c>
      <c r="X187" s="20" t="n">
        <v>-129</v>
      </c>
    </row>
    <row r="188">
      <c r="A188" s="18" t="inlineStr">
        <is>
          <t>코로나19 손실 지급</t>
        </is>
      </c>
      <c r="R188" s="20" t="n">
        <v>0</v>
      </c>
      <c r="S188" s="20" t="n">
        <v>-56</v>
      </c>
      <c r="T188" s="20" t="n">
        <v>0</v>
      </c>
    </row>
    <row r="189">
      <c r="A189" s="18" t="inlineStr">
        <is>
          <t>법인세 환급</t>
        </is>
      </c>
      <c r="D189" s="20" t="n">
        <v>2742</v>
      </c>
      <c r="H189" s="20" t="n">
        <v>222</v>
      </c>
      <c r="L189" s="20" t="n">
        <v>138</v>
      </c>
      <c r="O189" s="20" t="n">
        <v>940</v>
      </c>
      <c r="P189" s="20" t="n">
        <v>1377</v>
      </c>
      <c r="Q189" s="20" t="n">
        <v>1273</v>
      </c>
      <c r="R189" s="20" t="n">
        <v>1307</v>
      </c>
      <c r="S189" s="20" t="n">
        <v>1424</v>
      </c>
      <c r="T189" s="20" t="n">
        <v>3044</v>
      </c>
      <c r="U189" s="20" t="n">
        <v>9829</v>
      </c>
      <c r="V189" s="20" t="n">
        <v>2742</v>
      </c>
      <c r="W189" s="20" t="n">
        <v>222</v>
      </c>
      <c r="X189" s="20" t="n">
        <v>138</v>
      </c>
    </row>
    <row r="190">
      <c r="A190" s="18" t="inlineStr">
        <is>
          <t>법인세 납부</t>
        </is>
      </c>
      <c r="D190" s="20" t="n">
        <v>-13327</v>
      </c>
      <c r="H190" s="20" t="n">
        <v>-12742</v>
      </c>
      <c r="L190" s="20" t="n">
        <v>-10449</v>
      </c>
      <c r="O190" s="20" t="n">
        <v>-5375</v>
      </c>
      <c r="P190" s="20" t="n">
        <v>-5894</v>
      </c>
      <c r="Q190" s="20" t="n">
        <v>-7719</v>
      </c>
      <c r="R190" s="20" t="n">
        <v>-5460</v>
      </c>
      <c r="S190" s="20" t="n">
        <v>-10080</v>
      </c>
      <c r="T190" s="20" t="n">
        <v>-16050</v>
      </c>
      <c r="U190" s="20" t="n">
        <v>-20902</v>
      </c>
      <c r="V190" s="20" t="n">
        <v>-13327</v>
      </c>
      <c r="W190" s="20" t="n">
        <v>-12742</v>
      </c>
      <c r="X190" s="20" t="n">
        <v>-10449</v>
      </c>
    </row>
    <row r="191">
      <c r="A191" s="9" t="inlineStr">
        <is>
          <t>영업활동 현금흐름</t>
        </is>
      </c>
      <c r="D191" s="12" t="n">
        <v>36603</v>
      </c>
      <c r="H191" s="12" t="n">
        <v>34369</v>
      </c>
      <c r="L191" s="12" t="n">
        <v>33010</v>
      </c>
      <c r="O191" s="12" t="n">
        <v>9890</v>
      </c>
      <c r="P191" s="12" t="n">
        <v>10389</v>
      </c>
      <c r="Q191" s="12" t="n">
        <v>9597</v>
      </c>
      <c r="R191" s="12" t="n">
        <v>9748</v>
      </c>
      <c r="S191" s="12" t="n">
        <v>29726</v>
      </c>
      <c r="T191" s="12" t="n">
        <v>24819</v>
      </c>
      <c r="U191" s="12" t="n">
        <v>29692</v>
      </c>
      <c r="V191" s="12" t="n">
        <v>36603</v>
      </c>
      <c r="W191" s="12" t="n">
        <v>34369</v>
      </c>
      <c r="X191" s="12" t="n">
        <v>33010</v>
      </c>
    </row>
    <row r="192">
      <c r="A192" s="18" t="inlineStr">
        <is>
          <t>정기예금 예입</t>
        </is>
      </c>
      <c r="D192" s="20" t="n">
        <v>-2227</v>
      </c>
      <c r="H192" s="20" t="n">
        <v>-2884</v>
      </c>
      <c r="L192" s="20" t="n">
        <v>-4332</v>
      </c>
      <c r="O192" s="20" t="n">
        <v>-45</v>
      </c>
      <c r="P192" s="20" t="n">
        <v>-84</v>
      </c>
      <c r="Q192" s="20" t="n">
        <v>-89</v>
      </c>
      <c r="R192" s="20" t="n">
        <v>-86</v>
      </c>
      <c r="S192" s="20" t="n">
        <v>-956</v>
      </c>
      <c r="T192" s="20" t="n">
        <v>-1169</v>
      </c>
      <c r="U192" s="20" t="n">
        <v>-940</v>
      </c>
      <c r="V192" s="20" t="n">
        <v>-2227</v>
      </c>
      <c r="W192" s="20" t="n">
        <v>-2884</v>
      </c>
      <c r="X192" s="20" t="n">
        <v>-4332</v>
      </c>
    </row>
    <row r="193">
      <c r="A193" s="18" t="inlineStr">
        <is>
          <t>정기예금 인출</t>
        </is>
      </c>
      <c r="D193" s="20" t="n">
        <v>1845</v>
      </c>
      <c r="H193" s="20" t="n">
        <v>2630</v>
      </c>
      <c r="L193" s="20" t="n">
        <v>4078</v>
      </c>
      <c r="O193" s="20" t="n">
        <v>810</v>
      </c>
      <c r="P193" s="20" t="n">
        <v>122</v>
      </c>
      <c r="Q193" s="20" t="n">
        <v>84</v>
      </c>
      <c r="R193" s="20" t="n">
        <v>86</v>
      </c>
      <c r="S193" s="20" t="n">
        <v>531</v>
      </c>
      <c r="T193" s="20" t="n">
        <v>1081</v>
      </c>
      <c r="U193" s="20" t="n">
        <v>881</v>
      </c>
      <c r="V193" s="20" t="n">
        <v>1845</v>
      </c>
      <c r="W193" s="20" t="n">
        <v>2630</v>
      </c>
      <c r="X193" s="20" t="n">
        <v>4078</v>
      </c>
    </row>
    <row r="194">
      <c r="A194" s="18" t="inlineStr">
        <is>
          <t>유가증권 및 투자유가증권 취득 지출</t>
        </is>
      </c>
      <c r="D194" s="20" t="n">
        <v>-121564</v>
      </c>
      <c r="H194" s="20" t="n">
        <v>-78007</v>
      </c>
      <c r="L194" s="20" t="n">
        <v>-89789</v>
      </c>
      <c r="O194" s="20" t="n">
        <v>-12275</v>
      </c>
      <c r="P194" s="20" t="n">
        <v>-30397</v>
      </c>
      <c r="Q194" s="20" t="n">
        <v>-16158</v>
      </c>
      <c r="R194" s="20" t="n">
        <v>-49432</v>
      </c>
      <c r="S194" s="20" t="n">
        <v>-84175</v>
      </c>
      <c r="T194" s="20" t="n">
        <v>-146630</v>
      </c>
      <c r="U194" s="20" t="n">
        <v>-81749</v>
      </c>
      <c r="V194" s="20" t="n">
        <v>-121564</v>
      </c>
      <c r="W194" s="20" t="n">
        <v>-78007</v>
      </c>
      <c r="X194" s="20" t="n">
        <v>-89789</v>
      </c>
    </row>
    <row r="195">
      <c r="A195" s="18" t="inlineStr">
        <is>
          <t>유가증권·투자유가증권 매각·상환 수입</t>
        </is>
      </c>
      <c r="D195" s="20" t="n">
        <v>98241</v>
      </c>
      <c r="H195" s="20" t="n">
        <v>120835</v>
      </c>
      <c r="L195" s="20" t="n">
        <v>101916</v>
      </c>
      <c r="O195" s="20" t="n">
        <v>16326</v>
      </c>
      <c r="P195" s="20" t="n">
        <v>24272</v>
      </c>
      <c r="Q195" s="20" t="n">
        <v>14996</v>
      </c>
      <c r="R195" s="20" t="n">
        <v>50278</v>
      </c>
      <c r="S195" s="20" t="n">
        <v>73883</v>
      </c>
      <c r="T195" s="20" t="n">
        <v>134709</v>
      </c>
      <c r="U195" s="20" t="n">
        <v>60750</v>
      </c>
      <c r="V195" s="20" t="n">
        <v>98241</v>
      </c>
      <c r="W195" s="20" t="n">
        <v>120835</v>
      </c>
      <c r="X195" s="20" t="n">
        <v>101916</v>
      </c>
    </row>
    <row r="196">
      <c r="A196" s="18" t="inlineStr">
        <is>
          <t>유형자산 취득(설비투자)</t>
        </is>
      </c>
      <c r="D196" s="20" t="n">
        <v>-1789</v>
      </c>
      <c r="H196" s="20" t="n">
        <v>-1553</v>
      </c>
      <c r="L196" s="20" t="n">
        <v>-24023</v>
      </c>
      <c r="O196" s="20" t="n">
        <v>-8644</v>
      </c>
      <c r="P196" s="20" t="n">
        <v>-3729</v>
      </c>
      <c r="Q196" s="20" t="n">
        <v>-236</v>
      </c>
      <c r="R196" s="20" t="n">
        <v>-14238</v>
      </c>
      <c r="S196" s="20" t="n">
        <v>-1520</v>
      </c>
      <c r="T196" s="20" t="n">
        <v>-1300</v>
      </c>
      <c r="U196" s="20" t="n">
        <v>-837</v>
      </c>
      <c r="V196" s="20" t="n">
        <v>-1789</v>
      </c>
      <c r="W196" s="20" t="n">
        <v>-1553</v>
      </c>
      <c r="X196" s="20" t="n">
        <v>-24023</v>
      </c>
    </row>
    <row r="197">
      <c r="A197" s="18" t="inlineStr">
        <is>
          <t>유형자산 매각</t>
        </is>
      </c>
      <c r="D197" s="20" t="n">
        <v>782</v>
      </c>
      <c r="H197" s="20" t="n">
        <v>33</v>
      </c>
      <c r="L197" s="20" t="n">
        <v>3</v>
      </c>
      <c r="O197" s="20" t="n">
        <v>6</v>
      </c>
      <c r="P197" s="20" t="n">
        <v>1</v>
      </c>
      <c r="Q197" s="20" t="n">
        <v>1</v>
      </c>
      <c r="R197" s="20" t="n">
        <v>2993</v>
      </c>
      <c r="S197" s="20" t="n">
        <v>97</v>
      </c>
      <c r="T197" s="20" t="n">
        <v>5</v>
      </c>
      <c r="U197" s="20" t="n">
        <v>238</v>
      </c>
      <c r="V197" s="20" t="n">
        <v>782</v>
      </c>
      <c r="W197" s="20" t="n">
        <v>33</v>
      </c>
      <c r="X197" s="20" t="n">
        <v>3</v>
      </c>
    </row>
    <row r="198">
      <c r="A198" s="18" t="inlineStr">
        <is>
          <t>자회사 출자금 취득 지출</t>
        </is>
      </c>
      <c r="O198" s="20" t="n">
        <v>-52</v>
      </c>
      <c r="P198" s="20" t="n">
        <v>0</v>
      </c>
    </row>
    <row r="199">
      <c r="A199" s="18" t="inlineStr">
        <is>
          <t>무형자산 취득</t>
        </is>
      </c>
      <c r="D199" s="20" t="n">
        <v>-16</v>
      </c>
      <c r="H199" s="20" t="n">
        <v>-51</v>
      </c>
      <c r="L199" s="20" t="n">
        <v>-37</v>
      </c>
      <c r="O199" s="20" t="n">
        <v>-65</v>
      </c>
      <c r="P199" s="20" t="n">
        <v>-14</v>
      </c>
      <c r="Q199" s="20" t="n">
        <v>-7</v>
      </c>
      <c r="R199" s="20" t="n">
        <v>0</v>
      </c>
      <c r="S199" s="20" t="n">
        <v>-71</v>
      </c>
      <c r="T199" s="20" t="n">
        <v>-51</v>
      </c>
      <c r="U199" s="20" t="n">
        <v>-53</v>
      </c>
      <c r="V199" s="20" t="n">
        <v>-16</v>
      </c>
      <c r="W199" s="20" t="n">
        <v>-51</v>
      </c>
      <c r="X199" s="20" t="n">
        <v>-37</v>
      </c>
    </row>
    <row r="200">
      <c r="A200" s="18" t="inlineStr">
        <is>
          <t>보조금 수취</t>
        </is>
      </c>
      <c r="D200" s="20" t="n">
        <v>294</v>
      </c>
      <c r="H200" s="20" t="n">
        <v>294</v>
      </c>
      <c r="L200" s="20" t="n">
        <v>294</v>
      </c>
      <c r="S200" s="20" t="n">
        <v>0</v>
      </c>
      <c r="T200" s="20" t="n">
        <v>294</v>
      </c>
      <c r="U200" s="20" t="n">
        <v>294</v>
      </c>
      <c r="V200" s="20" t="n">
        <v>294</v>
      </c>
      <c r="W200" s="20" t="n">
        <v>294</v>
      </c>
      <c r="X200" s="20" t="n">
        <v>294</v>
      </c>
    </row>
    <row r="201">
      <c r="A201" s="18" t="inlineStr">
        <is>
          <t>연결범위 변경 자회사 주식 매각</t>
        </is>
      </c>
      <c r="D201" s="20" t="n">
        <v>0</v>
      </c>
      <c r="T201" s="20" t="n">
        <v>0</v>
      </c>
      <c r="U201" s="20" t="n">
        <v>77</v>
      </c>
      <c r="V201" s="20" t="n">
        <v>0</v>
      </c>
    </row>
    <row r="202">
      <c r="A202" s="18" t="inlineStr">
        <is>
          <t>기타</t>
        </is>
      </c>
      <c r="D202" s="20" t="n">
        <v>-426</v>
      </c>
      <c r="H202" s="20" t="n">
        <v>-330</v>
      </c>
      <c r="L202" s="20" t="n">
        <v>-190</v>
      </c>
      <c r="O202" s="20" t="n">
        <v>5</v>
      </c>
      <c r="P202" s="20" t="n">
        <v>-155</v>
      </c>
      <c r="Q202" s="20" t="n">
        <v>-94</v>
      </c>
      <c r="R202" s="20" t="n">
        <v>-97</v>
      </c>
      <c r="S202" s="20" t="n">
        <v>-79</v>
      </c>
      <c r="T202" s="20" t="n">
        <v>-108</v>
      </c>
      <c r="U202" s="20" t="n">
        <v>-56</v>
      </c>
      <c r="V202" s="20" t="n">
        <v>-426</v>
      </c>
      <c r="W202" s="20" t="n">
        <v>-330</v>
      </c>
      <c r="X202" s="20" t="n">
        <v>-190</v>
      </c>
    </row>
    <row r="203">
      <c r="A203" s="9" t="inlineStr">
        <is>
          <t>투자활동 현금흐름</t>
        </is>
      </c>
      <c r="D203" s="12" t="n">
        <v>-24859</v>
      </c>
      <c r="H203" s="12" t="n">
        <v>40973</v>
      </c>
      <c r="L203" s="12" t="n">
        <v>-12080</v>
      </c>
      <c r="O203" s="12" t="n">
        <v>-3935</v>
      </c>
      <c r="P203" s="12" t="n">
        <v>-9984</v>
      </c>
      <c r="Q203" s="12" t="n">
        <v>-1496</v>
      </c>
      <c r="R203" s="12" t="n">
        <v>-10496</v>
      </c>
      <c r="S203" s="12" t="n">
        <v>-12291</v>
      </c>
      <c r="T203" s="12" t="n">
        <v>-13168</v>
      </c>
      <c r="U203" s="12" t="n">
        <v>-21394</v>
      </c>
      <c r="V203" s="12" t="n">
        <v>-24859</v>
      </c>
      <c r="W203" s="12" t="n">
        <v>40973</v>
      </c>
      <c r="X203" s="12" t="n">
        <v>-12080</v>
      </c>
    </row>
    <row r="204">
      <c r="A204" s="18" t="inlineStr">
        <is>
          <t>단기차입</t>
        </is>
      </c>
      <c r="D204" s="20" t="n">
        <v>15000</v>
      </c>
      <c r="H204" s="20" t="n">
        <v>9000</v>
      </c>
      <c r="L204" s="20" t="n">
        <v>35000</v>
      </c>
      <c r="O204" s="20" t="n">
        <v>1000</v>
      </c>
      <c r="P204" s="20" t="n">
        <v>5500</v>
      </c>
      <c r="Q204" s="20" t="n">
        <v>1500</v>
      </c>
      <c r="R204" s="20" t="n">
        <v>23500</v>
      </c>
      <c r="S204" s="20" t="n">
        <v>0</v>
      </c>
      <c r="T204" s="20" t="n">
        <v>13500</v>
      </c>
      <c r="U204" s="20" t="n">
        <v>28000</v>
      </c>
      <c r="V204" s="20" t="n">
        <v>15000</v>
      </c>
      <c r="W204" s="20" t="n">
        <v>9000</v>
      </c>
      <c r="X204" s="20" t="n">
        <v>35000</v>
      </c>
    </row>
    <row r="205">
      <c r="A205" s="18" t="inlineStr">
        <is>
          <t>단기차입금 상환</t>
        </is>
      </c>
      <c r="D205" s="20" t="n">
        <v>-15000</v>
      </c>
      <c r="H205" s="20" t="n">
        <v>-9000</v>
      </c>
      <c r="L205" s="20" t="n">
        <v>-35000</v>
      </c>
      <c r="O205" s="20" t="n">
        <v>-1000</v>
      </c>
      <c r="P205" s="20" t="n">
        <v>-5500</v>
      </c>
      <c r="Q205" s="20" t="n">
        <v>-1500</v>
      </c>
      <c r="R205" s="20" t="n">
        <v>-10500</v>
      </c>
      <c r="S205" s="20" t="n">
        <v>-13000</v>
      </c>
      <c r="T205" s="20" t="n">
        <v>-13500</v>
      </c>
      <c r="U205" s="20" t="n">
        <v>-28000</v>
      </c>
      <c r="V205" s="20" t="n">
        <v>-15000</v>
      </c>
      <c r="W205" s="20" t="n">
        <v>-9000</v>
      </c>
      <c r="X205" s="20" t="n">
        <v>-35000</v>
      </c>
    </row>
    <row r="206">
      <c r="A206" s="18" t="inlineStr">
        <is>
          <t>자기주식 처분</t>
        </is>
      </c>
      <c r="D206" s="20" t="n">
        <v>409</v>
      </c>
      <c r="H206" s="20" t="n">
        <v>30</v>
      </c>
      <c r="L206" s="20" t="n">
        <v>31995</v>
      </c>
      <c r="O206" s="20" t="n">
        <v>383</v>
      </c>
      <c r="P206" s="20" t="n">
        <v>374</v>
      </c>
      <c r="Q206" s="20" t="n">
        <v>377</v>
      </c>
      <c r="R206" s="20" t="n">
        <v>882</v>
      </c>
      <c r="S206" s="20" t="n">
        <v>1406</v>
      </c>
      <c r="T206" s="20" t="n">
        <v>543</v>
      </c>
      <c r="U206" s="20" t="n">
        <v>520</v>
      </c>
      <c r="V206" s="20" t="n">
        <v>409</v>
      </c>
      <c r="W206" s="20" t="n">
        <v>30</v>
      </c>
      <c r="X206" s="20" t="n">
        <v>31995</v>
      </c>
    </row>
    <row r="207">
      <c r="A207" s="18" t="inlineStr">
        <is>
          <t>자기주식 취득</t>
        </is>
      </c>
      <c r="D207" s="20" t="n">
        <v>-4</v>
      </c>
      <c r="H207" s="20" t="n">
        <v>-4</v>
      </c>
      <c r="L207" s="20" t="n">
        <v>-1</v>
      </c>
      <c r="O207" s="20" t="n">
        <v>-6</v>
      </c>
      <c r="P207" s="20" t="n">
        <v>-7</v>
      </c>
      <c r="Q207" s="20" t="n">
        <v>-1556</v>
      </c>
      <c r="R207" s="20" t="n">
        <v>-8</v>
      </c>
      <c r="S207" s="20" t="n">
        <v>-16</v>
      </c>
      <c r="T207" s="20" t="n">
        <v>-38535</v>
      </c>
      <c r="U207" s="20" t="n">
        <v>-11</v>
      </c>
      <c r="V207" s="20" t="n">
        <v>-4</v>
      </c>
      <c r="W207" s="20" t="n">
        <v>-4</v>
      </c>
      <c r="X207" s="20" t="n">
        <v>-1</v>
      </c>
    </row>
    <row r="208">
      <c r="A208" s="18" t="inlineStr">
        <is>
          <t>전환사채형 신주예약권부 사채 발행 수입</t>
        </is>
      </c>
      <c r="S208" s="20" t="n">
        <v>0</v>
      </c>
      <c r="T208" s="20" t="n">
        <v>48415</v>
      </c>
      <c r="U208" s="20" t="n">
        <v>0</v>
      </c>
    </row>
    <row r="209">
      <c r="A209" s="18" t="inlineStr">
        <is>
          <t>전환사채형 신주예약권부 사채 상환 지출</t>
        </is>
      </c>
      <c r="D209" s="20" t="n">
        <v>0</v>
      </c>
      <c r="H209" s="20" t="n">
        <v>-46000</v>
      </c>
      <c r="L209" s="20" t="n">
        <v>0</v>
      </c>
      <c r="V209" s="20" t="n">
        <v>0</v>
      </c>
      <c r="W209" s="20" t="n">
        <v>-46000</v>
      </c>
      <c r="X209" s="20" t="n">
        <v>0</v>
      </c>
    </row>
    <row r="210">
      <c r="A210" s="18" t="inlineStr">
        <is>
          <t>배당금 지급</t>
        </is>
      </c>
      <c r="D210" s="20" t="n">
        <v>-15749</v>
      </c>
      <c r="H210" s="20" t="n">
        <v>-17027</v>
      </c>
      <c r="L210" s="20" t="n">
        <v>-18927</v>
      </c>
      <c r="O210" s="20" t="n">
        <v>-5460</v>
      </c>
      <c r="P210" s="20" t="n">
        <v>-5900</v>
      </c>
      <c r="Q210" s="20" t="n">
        <v>-6551</v>
      </c>
      <c r="R210" s="20" t="n">
        <v>-6942</v>
      </c>
      <c r="S210" s="20" t="n">
        <v>-7738</v>
      </c>
      <c r="T210" s="20" t="n">
        <v>-14929</v>
      </c>
      <c r="U210" s="20" t="n">
        <v>-16987</v>
      </c>
      <c r="V210" s="20" t="n">
        <v>-15749</v>
      </c>
      <c r="W210" s="20" t="n">
        <v>-17027</v>
      </c>
      <c r="X210" s="20" t="n">
        <v>-18927</v>
      </c>
    </row>
    <row r="211">
      <c r="A211" s="18" t="inlineStr">
        <is>
          <t>기타</t>
        </is>
      </c>
      <c r="D211" s="20" t="n">
        <v>-130</v>
      </c>
      <c r="H211" s="20" t="n">
        <v>-174</v>
      </c>
      <c r="L211" s="20" t="n">
        <v>-196</v>
      </c>
      <c r="Q211" s="20" t="n">
        <v>0</v>
      </c>
      <c r="R211" s="20" t="n">
        <v>-25</v>
      </c>
      <c r="S211" s="20" t="n">
        <v>-48</v>
      </c>
      <c r="T211" s="20" t="n">
        <v>-54</v>
      </c>
      <c r="U211" s="20" t="n">
        <v>-110</v>
      </c>
      <c r="V211" s="20" t="n">
        <v>-130</v>
      </c>
      <c r="W211" s="20" t="n">
        <v>-174</v>
      </c>
      <c r="X211" s="20" t="n">
        <v>-196</v>
      </c>
    </row>
    <row r="212">
      <c r="A212" s="9" t="inlineStr">
        <is>
          <t>재무활동 현금흐름</t>
        </is>
      </c>
      <c r="D212" s="12" t="n">
        <v>-15475</v>
      </c>
      <c r="H212" s="12" t="n">
        <v>-63175</v>
      </c>
      <c r="L212" s="12" t="n">
        <v>12869</v>
      </c>
      <c r="O212" s="12" t="n">
        <v>-5082</v>
      </c>
      <c r="P212" s="12" t="n">
        <v>-5533</v>
      </c>
      <c r="Q212" s="12" t="n">
        <v>-7730</v>
      </c>
      <c r="R212" s="12" t="n">
        <v>6906</v>
      </c>
      <c r="S212" s="12" t="n">
        <v>-19396</v>
      </c>
      <c r="T212" s="12" t="n">
        <v>-4561</v>
      </c>
      <c r="U212" s="12" t="n">
        <v>-16588</v>
      </c>
      <c r="V212" s="12" t="n">
        <v>-15475</v>
      </c>
      <c r="W212" s="12" t="n">
        <v>-63175</v>
      </c>
      <c r="X212" s="12" t="n">
        <v>12869</v>
      </c>
    </row>
    <row r="213">
      <c r="A213" s="18" t="inlineStr">
        <is>
          <t>현금성자산 환산차이</t>
        </is>
      </c>
      <c r="D213" s="20" t="n">
        <v>2450</v>
      </c>
      <c r="H213" s="20" t="n">
        <v>-67</v>
      </c>
      <c r="L213" s="20" t="n">
        <v>2981</v>
      </c>
      <c r="O213" s="20" t="n">
        <v>-397</v>
      </c>
      <c r="P213" s="20" t="n">
        <v>-76</v>
      </c>
      <c r="Q213" s="20" t="n">
        <v>56</v>
      </c>
      <c r="R213" s="20" t="n">
        <v>-323</v>
      </c>
      <c r="S213" s="20" t="n">
        <v>634</v>
      </c>
      <c r="T213" s="20" t="n">
        <v>974</v>
      </c>
      <c r="U213" s="20" t="n">
        <v>330</v>
      </c>
      <c r="V213" s="20" t="n">
        <v>2450</v>
      </c>
      <c r="W213" s="20" t="n">
        <v>-67</v>
      </c>
      <c r="X213" s="20" t="n">
        <v>2981</v>
      </c>
    </row>
    <row r="214">
      <c r="A214" s="18" t="inlineStr">
        <is>
          <t>현금성자산 증감</t>
        </is>
      </c>
      <c r="D214" s="20" t="n">
        <v>-1281</v>
      </c>
      <c r="H214" s="20" t="n">
        <v>12100</v>
      </c>
      <c r="L214" s="20" t="n">
        <v>36781</v>
      </c>
      <c r="O214" s="20" t="n">
        <v>474</v>
      </c>
      <c r="P214" s="20" t="n">
        <v>-5204</v>
      </c>
      <c r="Q214" s="20" t="n">
        <v>428</v>
      </c>
      <c r="R214" s="20" t="n">
        <v>5834</v>
      </c>
      <c r="S214" s="20" t="n">
        <v>-1327</v>
      </c>
      <c r="T214" s="20" t="n">
        <v>8063</v>
      </c>
      <c r="U214" s="20" t="n">
        <v>-7959</v>
      </c>
      <c r="V214" s="20" t="n">
        <v>-1281</v>
      </c>
      <c r="W214" s="20" t="n">
        <v>12100</v>
      </c>
      <c r="X214" s="20" t="n">
        <v>36781</v>
      </c>
    </row>
    <row r="215">
      <c r="A215" s="18" t="inlineStr">
        <is>
          <t>연결자회사 결산기 변경에 따른 현금성자산 증감액</t>
        </is>
      </c>
      <c r="R215" s="20" t="n">
        <v>0</v>
      </c>
      <c r="S215" s="20" t="n">
        <v>-36</v>
      </c>
      <c r="T215" s="20" t="n">
        <v>0</v>
      </c>
    </row>
    <row r="216">
      <c r="A216" s="18" t="inlineStr">
        <is>
          <t>신규 연결 현금성자산 증가</t>
        </is>
      </c>
      <c r="D216" s="20" t="n">
        <v>0</v>
      </c>
      <c r="T216" s="20" t="n">
        <v>0</v>
      </c>
      <c r="U216" s="20" t="n">
        <v>190</v>
      </c>
      <c r="V216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코에이테크모홀딩스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92401</v>
      </c>
      <c r="D5" s="12" t="n">
        <v>115591</v>
      </c>
      <c r="E5" s="12" t="n">
        <v>139608</v>
      </c>
      <c r="F5" s="12" t="n">
        <v>134654</v>
      </c>
      <c r="G5" s="12" t="n">
        <v>159776</v>
      </c>
      <c r="H5" s="11" t="n">
        <v>72075</v>
      </c>
      <c r="I5" s="12" t="n">
        <v>49113</v>
      </c>
      <c r="J5" s="12" t="n">
        <v>92951</v>
      </c>
      <c r="K5" s="12" t="n">
        <v>61484</v>
      </c>
      <c r="L5" s="12" t="n">
        <v>139608</v>
      </c>
    </row>
    <row r="6">
      <c r="A6" s="18" t="inlineStr">
        <is>
          <t>현금및현금성자산</t>
        </is>
      </c>
      <c r="B6" s="10" t="n"/>
      <c r="C6" s="19" t="n">
        <v>51070</v>
      </c>
      <c r="D6" s="20" t="n">
        <v>51319</v>
      </c>
      <c r="E6" s="20" t="n">
        <v>61275</v>
      </c>
      <c r="F6" s="20" t="n">
        <v>46166</v>
      </c>
      <c r="G6" s="20" t="n">
        <v>46317</v>
      </c>
      <c r="H6" s="19" t="n">
        <v>20235</v>
      </c>
      <c r="I6" s="20" t="n">
        <v>12529</v>
      </c>
      <c r="J6" s="20" t="n">
        <v>11702</v>
      </c>
      <c r="K6" s="20" t="n">
        <v>24034</v>
      </c>
      <c r="L6" s="20" t="n">
        <v>61275</v>
      </c>
    </row>
    <row r="7">
      <c r="A7" s="18" t="inlineStr">
        <is>
          <t>단기금융상품</t>
        </is>
      </c>
      <c r="B7" s="10" t="n"/>
      <c r="C7" s="19" t="n">
        <v>26487</v>
      </c>
      <c r="D7" s="20" t="n">
        <v>47263</v>
      </c>
      <c r="E7" s="20" t="n">
        <v>53882</v>
      </c>
      <c r="F7" s="20" t="n">
        <v>70024</v>
      </c>
      <c r="G7" s="20" t="n">
        <v>94463</v>
      </c>
      <c r="H7" s="19" t="n">
        <v>25185</v>
      </c>
      <c r="I7" s="20" t="n">
        <v>8076</v>
      </c>
      <c r="J7" s="20" t="n">
        <v>58393</v>
      </c>
      <c r="K7" s="20" t="n">
        <v>20454</v>
      </c>
      <c r="L7" s="20" t="n">
        <v>53882</v>
      </c>
    </row>
    <row r="8">
      <c r="A8" s="18" t="inlineStr">
        <is>
          <t>매출채권</t>
        </is>
      </c>
      <c r="B8" s="10" t="n"/>
      <c r="C8" s="19" t="n">
        <v>10835</v>
      </c>
      <c r="D8" s="20" t="n">
        <v>12410</v>
      </c>
      <c r="E8" s="20" t="n">
        <v>20871</v>
      </c>
      <c r="F8" s="20" t="n">
        <v>11325</v>
      </c>
      <c r="G8" s="20" t="n">
        <v>10684</v>
      </c>
      <c r="H8" s="19" t="n">
        <v>13072</v>
      </c>
      <c r="I8" s="20" t="n">
        <v>21650</v>
      </c>
      <c r="J8" s="20" t="n">
        <v>15041</v>
      </c>
      <c r="K8" s="20" t="n">
        <v>15123</v>
      </c>
      <c r="L8" s="20" t="n">
        <v>20871</v>
      </c>
    </row>
    <row r="9">
      <c r="A9" s="18" t="inlineStr">
        <is>
          <t>재고자산</t>
        </is>
      </c>
      <c r="B9" s="10" t="n"/>
      <c r="C9" s="19" t="n">
        <v>232</v>
      </c>
      <c r="D9" s="20" t="n">
        <v>439</v>
      </c>
      <c r="E9" s="20" t="n">
        <v>332</v>
      </c>
      <c r="F9" s="20" t="n">
        <v>465</v>
      </c>
      <c r="G9" s="20" t="n">
        <v>340</v>
      </c>
      <c r="H9" s="19" t="n">
        <v>227</v>
      </c>
      <c r="I9" s="20" t="n">
        <v>190</v>
      </c>
      <c r="J9" s="20" t="n">
        <v>254</v>
      </c>
      <c r="K9" s="20" t="n">
        <v>177</v>
      </c>
      <c r="L9" s="20" t="n">
        <v>332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221837</v>
      </c>
      <c r="D11" s="12" t="n">
        <v>195900</v>
      </c>
      <c r="E11" s="12" t="n">
        <v>174054</v>
      </c>
      <c r="F11" s="12" t="n">
        <v>199268</v>
      </c>
      <c r="G11" s="12" t="n">
        <v>200985</v>
      </c>
      <c r="H11" s="11" t="n">
        <v>147727</v>
      </c>
      <c r="I11" s="12" t="n">
        <v>161775</v>
      </c>
      <c r="J11" s="12" t="n">
        <v>152851</v>
      </c>
      <c r="K11" s="12" t="n">
        <v>148343</v>
      </c>
      <c r="L11" s="12" t="n">
        <v>174054</v>
      </c>
    </row>
    <row r="12">
      <c r="A12" s="18" t="inlineStr">
        <is>
          <t>유형자산</t>
        </is>
      </c>
      <c r="B12" s="10" t="n"/>
      <c r="C12" s="19" t="n">
        <v>57446</v>
      </c>
      <c r="D12" s="20" t="n">
        <v>57481</v>
      </c>
      <c r="E12" s="20" t="n">
        <v>59216</v>
      </c>
      <c r="F12" s="20" t="n">
        <v>59117</v>
      </c>
      <c r="G12" s="20" t="n">
        <v>59583</v>
      </c>
      <c r="H12" s="19" t="n">
        <v>37846</v>
      </c>
      <c r="I12" s="20" t="n">
        <v>36936</v>
      </c>
      <c r="J12" s="20" t="n">
        <v>36477</v>
      </c>
      <c r="K12" s="20" t="n">
        <v>36509</v>
      </c>
      <c r="L12" s="20" t="n">
        <v>59216</v>
      </c>
    </row>
    <row r="13">
      <c r="A13" s="18" t="inlineStr">
        <is>
          <t>무형자산</t>
        </is>
      </c>
      <c r="B13" s="10" t="n"/>
      <c r="C13" s="19" t="n">
        <v>165</v>
      </c>
      <c r="D13" s="20" t="n">
        <v>172</v>
      </c>
      <c r="E13" s="20" t="n">
        <v>191</v>
      </c>
      <c r="F13" s="20" t="n">
        <v>200</v>
      </c>
      <c r="G13" s="20" t="n">
        <v>182</v>
      </c>
      <c r="H13" s="19" t="n">
        <v>275</v>
      </c>
      <c r="I13" s="20" t="n">
        <v>245</v>
      </c>
      <c r="J13" s="20" t="n">
        <v>231</v>
      </c>
      <c r="K13" s="20" t="n">
        <v>187</v>
      </c>
      <c r="L13" s="20" t="n">
        <v>191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314239</v>
      </c>
      <c r="D16" s="12" t="n">
        <v>311492</v>
      </c>
      <c r="E16" s="12" t="n">
        <v>313662</v>
      </c>
      <c r="F16" s="12" t="n">
        <v>333923</v>
      </c>
      <c r="G16" s="12" t="n">
        <v>360762</v>
      </c>
      <c r="H16" s="11" t="n">
        <v>219803</v>
      </c>
      <c r="I16" s="12" t="n">
        <v>210889</v>
      </c>
      <c r="J16" s="12" t="n">
        <v>245802</v>
      </c>
      <c r="K16" s="12" t="n">
        <v>209828</v>
      </c>
      <c r="L16" s="12" t="n">
        <v>313662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50967</v>
      </c>
      <c r="D18" s="12" t="n">
        <v>38792</v>
      </c>
      <c r="E18" s="12" t="n">
        <v>30349</v>
      </c>
      <c r="F18" s="12" t="n">
        <v>35293</v>
      </c>
      <c r="G18" s="12" t="n">
        <v>50791</v>
      </c>
      <c r="H18" s="11" t="n">
        <v>32616</v>
      </c>
      <c r="I18" s="12" t="n">
        <v>20019</v>
      </c>
      <c r="J18" s="12" t="n">
        <v>68928</v>
      </c>
      <c r="K18" s="12" t="n">
        <v>18914</v>
      </c>
      <c r="L18" s="12" t="n">
        <v>30349</v>
      </c>
    </row>
    <row r="19">
      <c r="A19" s="18" t="inlineStr">
        <is>
          <t>매입채무</t>
        </is>
      </c>
      <c r="B19" s="10" t="n"/>
      <c r="C19" s="19" t="n">
        <v>1090</v>
      </c>
      <c r="D19" s="20" t="n">
        <v>1532</v>
      </c>
      <c r="E19" s="20" t="n">
        <v>1068</v>
      </c>
      <c r="F19" s="20" t="n">
        <v>1055</v>
      </c>
      <c r="G19" s="20" t="n">
        <v>1225</v>
      </c>
      <c r="H19" s="19" t="n">
        <v>520</v>
      </c>
      <c r="I19" s="20" t="n">
        <v>1169</v>
      </c>
      <c r="J19" s="20" t="n">
        <v>1046</v>
      </c>
      <c r="K19" s="20" t="n">
        <v>1238</v>
      </c>
      <c r="L19" s="20" t="n">
        <v>1068</v>
      </c>
    </row>
    <row r="20">
      <c r="A20" s="18" t="inlineStr">
        <is>
          <t>단기차입금</t>
        </is>
      </c>
      <c r="B20" s="10" t="n"/>
      <c r="C20" s="19" t="n">
        <v>35000</v>
      </c>
      <c r="D20" s="20" t="n">
        <v>23000</v>
      </c>
      <c r="E20" s="20" t="n">
        <v>0</v>
      </c>
      <c r="F20" s="20" t="n">
        <v>10000</v>
      </c>
      <c r="G20" s="20" t="n">
        <v>10000</v>
      </c>
      <c r="H20" s="19" t="n"/>
      <c r="I20" s="20" t="n">
        <v>0</v>
      </c>
      <c r="J20" s="20" t="n">
        <v>0</v>
      </c>
      <c r="K20" s="20" t="n">
        <v>0</v>
      </c>
      <c r="L20" s="20" t="n">
        <v>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14544</v>
      </c>
      <c r="D23" s="12" t="n">
        <v>13983</v>
      </c>
      <c r="E23" s="12" t="n">
        <v>10776</v>
      </c>
      <c r="F23" s="12" t="n">
        <v>18666</v>
      </c>
      <c r="G23" s="12" t="n">
        <v>19953</v>
      </c>
      <c r="H23" s="11" t="n">
        <v>49085</v>
      </c>
      <c r="I23" s="12" t="n">
        <v>48185</v>
      </c>
      <c r="J23" s="12" t="n">
        <v>1322</v>
      </c>
      <c r="K23" s="12" t="n">
        <v>1492</v>
      </c>
      <c r="L23" s="12" t="n">
        <v>10776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65512</v>
      </c>
      <c r="D27" s="12" t="n">
        <v>52776</v>
      </c>
      <c r="E27" s="12" t="n">
        <v>41125</v>
      </c>
      <c r="F27" s="12" t="n">
        <v>53959</v>
      </c>
      <c r="G27" s="12" t="n">
        <v>70744</v>
      </c>
      <c r="H27" s="11" t="n">
        <v>81701</v>
      </c>
      <c r="I27" s="12" t="n">
        <v>68204</v>
      </c>
      <c r="J27" s="12" t="n">
        <v>70250</v>
      </c>
      <c r="K27" s="12" t="n">
        <v>20407</v>
      </c>
      <c r="L27" s="12" t="n">
        <v>41125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248086</v>
      </c>
      <c r="D31" s="12" t="n">
        <v>258033</v>
      </c>
      <c r="E31" s="12" t="n">
        <v>271814</v>
      </c>
      <c r="F31" s="12" t="n">
        <v>279202</v>
      </c>
      <c r="G31" s="12" t="n">
        <v>289230</v>
      </c>
      <c r="H31" s="11" t="n">
        <v>137690</v>
      </c>
      <c r="I31" s="12" t="n">
        <v>142143</v>
      </c>
      <c r="J31" s="12" t="n">
        <v>174845</v>
      </c>
      <c r="K31" s="12" t="n">
        <v>188548</v>
      </c>
      <c r="L31" s="12" t="n">
        <v>271814</v>
      </c>
    </row>
    <row r="32">
      <c r="A32" s="18" t="inlineStr">
        <is>
          <t>자본금</t>
        </is>
      </c>
      <c r="B32" s="10" t="n"/>
      <c r="C32" s="19" t="n">
        <v>15000</v>
      </c>
      <c r="D32" s="20" t="n">
        <v>15000</v>
      </c>
      <c r="E32" s="20" t="n">
        <v>15000</v>
      </c>
      <c r="F32" s="20" t="n">
        <v>15000</v>
      </c>
      <c r="G32" s="20" t="n">
        <v>15000</v>
      </c>
      <c r="H32" s="19" t="n">
        <v>15000</v>
      </c>
      <c r="I32" s="20" t="n">
        <v>15000</v>
      </c>
      <c r="J32" s="20" t="n">
        <v>15000</v>
      </c>
      <c r="K32" s="20" t="n">
        <v>15000</v>
      </c>
      <c r="L32" s="20" t="n">
        <v>15000</v>
      </c>
    </row>
    <row r="33">
      <c r="A33" s="18" t="inlineStr">
        <is>
          <t>이익잉여금</t>
        </is>
      </c>
      <c r="B33" s="10" t="n"/>
      <c r="C33" s="19" t="n">
        <v>177964</v>
      </c>
      <c r="D33" s="20" t="n">
        <v>188279</v>
      </c>
      <c r="E33" s="20" t="n">
        <v>207329</v>
      </c>
      <c r="F33" s="20" t="n">
        <v>196628</v>
      </c>
      <c r="G33" s="20" t="n">
        <v>203822</v>
      </c>
      <c r="H33" s="19" t="n">
        <v>130954</v>
      </c>
      <c r="I33" s="20" t="n">
        <v>145046</v>
      </c>
      <c r="J33" s="20" t="n">
        <v>163070</v>
      </c>
      <c r="K33" s="20" t="n">
        <v>183630</v>
      </c>
      <c r="L33" s="20" t="n">
        <v>207329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248726</v>
      </c>
      <c r="D35" s="12" t="n">
        <v>258716</v>
      </c>
      <c r="E35" s="12" t="n">
        <v>272536</v>
      </c>
      <c r="F35" s="12" t="n">
        <v>279963</v>
      </c>
      <c r="G35" s="12" t="n">
        <v>290017</v>
      </c>
      <c r="H35" s="11" t="n">
        <v>138101</v>
      </c>
      <c r="I35" s="12" t="n">
        <v>142684</v>
      </c>
      <c r="J35" s="12" t="n">
        <v>175552</v>
      </c>
      <c r="K35" s="12" t="n">
        <v>189421</v>
      </c>
      <c r="L35" s="12" t="n">
        <v>272536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33010</v>
      </c>
      <c r="F37" s="12" t="n"/>
      <c r="G37" s="12" t="n"/>
      <c r="H37" s="11" t="n">
        <v>24819</v>
      </c>
      <c r="I37" s="12" t="n">
        <v>29692</v>
      </c>
      <c r="J37" s="12" t="n">
        <v>36603</v>
      </c>
      <c r="K37" s="12" t="n">
        <v>34369</v>
      </c>
      <c r="L37" s="12" t="n">
        <v>33010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>
        <v>24060</v>
      </c>
      <c r="F38" s="20" t="n"/>
      <c r="G38" s="20" t="n"/>
      <c r="H38" s="19" t="n">
        <v>1351</v>
      </c>
      <c r="I38" s="20" t="n">
        <v>890</v>
      </c>
      <c r="J38" s="20" t="n">
        <v>1805</v>
      </c>
      <c r="K38" s="20" t="n">
        <v>1604</v>
      </c>
      <c r="L38" s="20" t="n">
        <v>24060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>
        <v>18927</v>
      </c>
      <c r="F40" s="20" t="n"/>
      <c r="G40" s="20" t="n"/>
      <c r="H40" s="19" t="n">
        <v>14929</v>
      </c>
      <c r="I40" s="20" t="n">
        <v>16987</v>
      </c>
      <c r="J40" s="20" t="n">
        <v>15749</v>
      </c>
      <c r="K40" s="20" t="n">
        <v>17027</v>
      </c>
      <c r="L40" s="20" t="n">
        <v>18927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IFERROR(IF((IF(COUNT('연간'!G53:J53)&lt;4,"",SUM('연간'!G53:J53)))&lt;=0,"적자",C28/(IF(COUNT('연간'!G53:J53)&lt;4,"",SUM('연간'!G53:J53)))),"")</f>
        <v/>
      </c>
      <c r="D49" s="46">
        <f>IFERROR(IF((IF(COUNT('연간'!H53:K53)&lt;4,"",SUM('연간'!H53:K53)))&lt;=0,"적자",D28/(IF(COUNT('연간'!H53:K53)&lt;4,"",SUM('연간'!H53:K53)))),"")</f>
        <v/>
      </c>
      <c r="E49" s="46">
        <f>IFERROR(IF((IF(COUNT('연간'!I53:L53)&lt;4,"",SUM('연간'!I53:L53)))&lt;=0,"적자",E28/(IF(COUNT('연간'!I53:L53)&lt;4,"",SUM('연간'!I53:L53)))),"")</f>
        <v/>
      </c>
      <c r="F49" s="46">
        <f>IFERROR(IF((IF(COUNT('연간'!J53:M53)&lt;4,"",SUM('연간'!J53:M53)))&lt;=0,"적자",F28/(IF(COUNT('연간'!J53:M53)&lt;4,"",SUM('연간'!J53:M53)))),"")</f>
        <v/>
      </c>
      <c r="G49" s="46">
        <f>IFERROR(IF((IF(COUNT('연간'!K53:N53)&lt;4,"",SUM('연간'!K53:N53)))&lt;=0,"적자",G28/(IF(COUNT('연간'!K53:N53)&lt;4,"",SUM('연간'!K53:N53)))),"")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  <c r="L49" s="46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IFERROR(C9/(IF(COUNT('연간'!G20:J20)&lt;4,"",SUM('연간'!G20:J20)))*365,"")</f>
        <v/>
      </c>
      <c r="D60" s="48">
        <f>IFERROR(D9/(IF(COUNT('연간'!H20:K20)&lt;4,"",SUM('연간'!H20:K20)))*365,"")</f>
        <v/>
      </c>
      <c r="E60" s="48">
        <f>IFERROR(E9/(IF(COUNT('연간'!I20:L20)&lt;4,"",SUM('연간'!I20:L20)))*365,"")</f>
        <v/>
      </c>
      <c r="F60" s="48">
        <f>IFERROR(F9/(IF(COUNT('연간'!J20:M20)&lt;4,"",SUM('연간'!J20:M20)))*365,"")</f>
        <v/>
      </c>
      <c r="G60" s="48">
        <f>IFERROR(G9/(IF(COUNT('연간'!K20:N20)&lt;4,"",SUM('연간'!K20:N20)))*365,"")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  <c r="L60" s="48">
        <f>IFERROR(L9/('연간'!X20)*365,"")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IFERROR(C19/(IF(COUNT('연간'!G20:J20)&lt;4,"",SUM('연간'!G20:J20)))*365,"")</f>
        <v/>
      </c>
      <c r="D61" s="48">
        <f>IFERROR(D19/(IF(COUNT('연간'!H20:K20)&lt;4,"",SUM('연간'!H20:K20)))*365,"")</f>
        <v/>
      </c>
      <c r="E61" s="48">
        <f>IFERROR(E19/(IF(COUNT('연간'!I20:L20)&lt;4,"",SUM('연간'!I20:L20)))*365,"")</f>
        <v/>
      </c>
      <c r="F61" s="48">
        <f>IFERROR(F19/(IF(COUNT('연간'!J20:M20)&lt;4,"",SUM('연간'!J20:M20)))*365,"")</f>
        <v/>
      </c>
      <c r="G61" s="48">
        <f>IFERROR(G19/(IF(COUNT('연간'!K20:N20)&lt;4,"",SUM('연간'!K20:N20)))*365,"")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  <c r="L61" s="48">
        <f>IFERROR(L19/('연간'!X20)*365,"")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51070</v>
      </c>
      <c r="D71" s="20" t="n">
        <v>51319</v>
      </c>
      <c r="E71" s="20" t="n">
        <v>61275</v>
      </c>
      <c r="F71" s="20" t="n">
        <v>46166</v>
      </c>
      <c r="G71" s="20" t="n">
        <v>46317</v>
      </c>
      <c r="H71" s="20" t="n">
        <v>20235</v>
      </c>
      <c r="I71" s="20" t="n">
        <v>12529</v>
      </c>
      <c r="J71" s="20" t="n">
        <v>11702</v>
      </c>
      <c r="K71" s="20" t="n">
        <v>24034</v>
      </c>
      <c r="L71" s="20" t="n">
        <v>61275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H73" s="20" t="n">
        <v>13072</v>
      </c>
    </row>
    <row r="74">
      <c r="A74" s="18" t="inlineStr">
        <is>
          <t>매출채권·계약자산</t>
        </is>
      </c>
      <c r="H74" s="20" t="n">
        <v>13072</v>
      </c>
      <c r="I74" s="20" t="n">
        <v>21650</v>
      </c>
    </row>
    <row r="75">
      <c r="A75" s="18" t="inlineStr">
        <is>
          <t>매출채권·계약자산</t>
        </is>
      </c>
      <c r="C75" s="20" t="n">
        <v>10835</v>
      </c>
      <c r="D75" s="20" t="n">
        <v>12410</v>
      </c>
      <c r="E75" s="20" t="n">
        <v>20871</v>
      </c>
      <c r="F75" s="20" t="n">
        <v>11325</v>
      </c>
      <c r="G75" s="20" t="n">
        <v>10684</v>
      </c>
      <c r="I75" s="20" t="n">
        <v>21650</v>
      </c>
      <c r="J75" s="20" t="n">
        <v>15041</v>
      </c>
      <c r="K75" s="20" t="n">
        <v>15123</v>
      </c>
      <c r="L75" s="20" t="n">
        <v>20871</v>
      </c>
    </row>
    <row r="76">
      <c r="A76" s="18" t="inlineStr">
        <is>
          <t>유가증권</t>
        </is>
      </c>
      <c r="C76" s="20" t="n">
        <v>26487</v>
      </c>
      <c r="D76" s="20" t="n">
        <v>47263</v>
      </c>
      <c r="E76" s="20" t="n">
        <v>53882</v>
      </c>
      <c r="F76" s="20" t="n">
        <v>70024</v>
      </c>
      <c r="G76" s="20" t="n">
        <v>94463</v>
      </c>
      <c r="H76" s="20" t="n">
        <v>25185</v>
      </c>
      <c r="I76" s="20" t="n">
        <v>8076</v>
      </c>
      <c r="J76" s="20" t="n">
        <v>58393</v>
      </c>
      <c r="K76" s="20" t="n">
        <v>20454</v>
      </c>
      <c r="L76" s="20" t="n">
        <v>53882</v>
      </c>
    </row>
    <row r="77">
      <c r="A77" s="18" t="inlineStr">
        <is>
          <t>상품·제품</t>
        </is>
      </c>
      <c r="C77" s="20" t="n">
        <v>81</v>
      </c>
      <c r="D77" s="20" t="n">
        <v>203</v>
      </c>
      <c r="E77" s="20" t="n">
        <v>149</v>
      </c>
      <c r="F77" s="20" t="n">
        <v>275</v>
      </c>
      <c r="G77" s="20" t="n">
        <v>159</v>
      </c>
      <c r="H77" s="20" t="n">
        <v>38</v>
      </c>
      <c r="I77" s="20" t="n">
        <v>94</v>
      </c>
      <c r="J77" s="20" t="n">
        <v>50</v>
      </c>
      <c r="K77" s="20" t="n">
        <v>37</v>
      </c>
      <c r="L77" s="20" t="n">
        <v>149</v>
      </c>
    </row>
    <row r="78">
      <c r="A78" s="18" t="inlineStr">
        <is>
          <t>재공품</t>
        </is>
      </c>
      <c r="C78" s="20" t="n">
        <v>11</v>
      </c>
      <c r="D78" s="20" t="n">
        <v>11</v>
      </c>
      <c r="E78" s="20" t="n">
        <v>25</v>
      </c>
      <c r="F78" s="20" t="n">
        <v>29</v>
      </c>
      <c r="G78" s="20" t="n">
        <v>19</v>
      </c>
      <c r="H78" s="20" t="n">
        <v>112</v>
      </c>
      <c r="I78" s="20" t="n">
        <v>29</v>
      </c>
      <c r="J78" s="20" t="n">
        <v>104</v>
      </c>
      <c r="K78" s="20" t="n">
        <v>8</v>
      </c>
      <c r="L78" s="20" t="n">
        <v>25</v>
      </c>
    </row>
    <row r="79">
      <c r="A79" s="18" t="inlineStr">
        <is>
          <t>원재료·저장품</t>
        </is>
      </c>
      <c r="C79" s="20" t="n">
        <v>140</v>
      </c>
      <c r="D79" s="20" t="n">
        <v>225</v>
      </c>
      <c r="E79" s="20" t="n">
        <v>158</v>
      </c>
      <c r="F79" s="20" t="n">
        <v>161</v>
      </c>
      <c r="G79" s="20" t="n">
        <v>162</v>
      </c>
      <c r="H79" s="20" t="n">
        <v>77</v>
      </c>
      <c r="I79" s="20" t="n">
        <v>67</v>
      </c>
      <c r="J79" s="20" t="n">
        <v>100</v>
      </c>
      <c r="K79" s="20" t="n">
        <v>132</v>
      </c>
      <c r="L79" s="20" t="n">
        <v>158</v>
      </c>
    </row>
    <row r="80">
      <c r="A80" s="18" t="inlineStr">
        <is>
          <t>기타</t>
        </is>
      </c>
      <c r="C80" s="20" t="n">
        <v>3775</v>
      </c>
      <c r="D80" s="20" t="n">
        <v>4160</v>
      </c>
      <c r="E80" s="20" t="n">
        <v>3246</v>
      </c>
      <c r="F80" s="20" t="n">
        <v>6672</v>
      </c>
      <c r="G80" s="20" t="n">
        <v>7969</v>
      </c>
      <c r="H80" s="20" t="n">
        <v>13365</v>
      </c>
      <c r="I80" s="20" t="n">
        <v>6684</v>
      </c>
      <c r="J80" s="20" t="n">
        <v>7561</v>
      </c>
      <c r="K80" s="20" t="n">
        <v>1696</v>
      </c>
      <c r="L80" s="20" t="n">
        <v>3246</v>
      </c>
    </row>
    <row r="81">
      <c r="A81" s="18" t="inlineStr">
        <is>
          <t>대손충당금</t>
        </is>
      </c>
      <c r="C81" s="20" t="n">
        <v>-1</v>
      </c>
      <c r="D81" s="20" t="n">
        <v>-1</v>
      </c>
      <c r="E81" s="20" t="n">
        <v>-2</v>
      </c>
      <c r="F81" s="20" t="n">
        <v>0</v>
      </c>
      <c r="G81" s="20" t="n">
        <v>-0</v>
      </c>
      <c r="H81" s="20" t="n">
        <v>-11</v>
      </c>
      <c r="I81" s="20" t="n">
        <v>-17</v>
      </c>
      <c r="J81" s="20" t="n">
        <v>-1</v>
      </c>
      <c r="K81" s="20" t="n">
        <v>-3</v>
      </c>
      <c r="L81" s="20" t="n">
        <v>-2</v>
      </c>
    </row>
    <row r="82">
      <c r="A82" s="9" t="inlineStr">
        <is>
          <t>유동자산 합계</t>
        </is>
      </c>
      <c r="C82" s="12" t="n">
        <v>92401</v>
      </c>
      <c r="D82" s="12" t="n">
        <v>115591</v>
      </c>
      <c r="E82" s="12" t="n">
        <v>139608</v>
      </c>
      <c r="F82" s="12" t="n">
        <v>134654</v>
      </c>
      <c r="G82" s="12" t="n">
        <v>159776</v>
      </c>
      <c r="H82" s="12" t="n">
        <v>72075</v>
      </c>
      <c r="I82" s="12" t="n">
        <v>49113</v>
      </c>
      <c r="J82" s="12" t="n">
        <v>92951</v>
      </c>
      <c r="K82" s="12" t="n">
        <v>61484</v>
      </c>
      <c r="L82" s="12" t="n">
        <v>139608</v>
      </c>
    </row>
    <row r="83">
      <c r="A83" s="18" t="inlineStr">
        <is>
          <t>건물·구축물(순액)</t>
        </is>
      </c>
      <c r="C83" s="20" t="n">
        <v>27302</v>
      </c>
      <c r="D83" s="20" t="n">
        <v>27188</v>
      </c>
      <c r="E83" s="20" t="n">
        <v>27556</v>
      </c>
      <c r="F83" s="20" t="n">
        <v>27388</v>
      </c>
      <c r="G83" s="20" t="n">
        <v>29200</v>
      </c>
      <c r="H83" s="20" t="n">
        <v>22270</v>
      </c>
      <c r="I83" s="20" t="n">
        <v>21432</v>
      </c>
      <c r="J83" s="20" t="n">
        <v>19760</v>
      </c>
      <c r="K83" s="20" t="n">
        <v>20079</v>
      </c>
      <c r="L83" s="20" t="n">
        <v>27556</v>
      </c>
    </row>
    <row r="84">
      <c r="A84" s="18" t="inlineStr">
        <is>
          <t>토지</t>
        </is>
      </c>
      <c r="C84" s="20" t="n">
        <v>27665</v>
      </c>
      <c r="D84" s="20" t="n">
        <v>27665</v>
      </c>
      <c r="E84" s="20" t="n">
        <v>27964</v>
      </c>
      <c r="F84" s="20" t="n">
        <v>27964</v>
      </c>
      <c r="G84" s="20" t="n">
        <v>27964</v>
      </c>
      <c r="H84" s="20" t="n">
        <v>14093</v>
      </c>
      <c r="I84" s="20" t="n">
        <v>13974</v>
      </c>
      <c r="J84" s="20" t="n">
        <v>14624</v>
      </c>
      <c r="K84" s="20" t="n">
        <v>14615</v>
      </c>
      <c r="L84" s="20" t="n">
        <v>27964</v>
      </c>
    </row>
    <row r="85">
      <c r="A85" s="18" t="inlineStr">
        <is>
          <t>건설중인자산</t>
        </is>
      </c>
      <c r="C85" s="20" t="n">
        <v>582</v>
      </c>
      <c r="D85" s="20" t="n">
        <v>832</v>
      </c>
      <c r="E85" s="20" t="n">
        <v>1773</v>
      </c>
      <c r="F85" s="20" t="n">
        <v>1571</v>
      </c>
      <c r="G85" s="20" t="n">
        <v>0</v>
      </c>
      <c r="H85" s="20" t="n">
        <v>82</v>
      </c>
      <c r="I85" s="20" t="n">
        <v>68</v>
      </c>
      <c r="J85" s="20" t="n">
        <v>366</v>
      </c>
      <c r="K85" s="20" t="n">
        <v>71</v>
      </c>
      <c r="L85" s="20" t="n">
        <v>1773</v>
      </c>
    </row>
    <row r="86">
      <c r="A86" s="18" t="inlineStr">
        <is>
          <t>기타(순액)</t>
        </is>
      </c>
      <c r="C86" s="20" t="n">
        <v>1896</v>
      </c>
      <c r="D86" s="20" t="n">
        <v>1795</v>
      </c>
      <c r="E86" s="20" t="n">
        <v>1921</v>
      </c>
      <c r="F86" s="20" t="n">
        <v>2191</v>
      </c>
      <c r="G86" s="20" t="n">
        <v>2417</v>
      </c>
      <c r="H86" s="20" t="n">
        <v>1399</v>
      </c>
      <c r="I86" s="20" t="n">
        <v>1461</v>
      </c>
      <c r="J86" s="20" t="n">
        <v>1725</v>
      </c>
      <c r="K86" s="20" t="n">
        <v>1742</v>
      </c>
      <c r="L86" s="20" t="n">
        <v>1921</v>
      </c>
    </row>
    <row r="87">
      <c r="A87" s="18" t="inlineStr">
        <is>
          <t>유형자산 합계</t>
        </is>
      </c>
      <c r="C87" s="20" t="n">
        <v>57446</v>
      </c>
      <c r="D87" s="20" t="n">
        <v>57481</v>
      </c>
      <c r="E87" s="20" t="n">
        <v>59216</v>
      </c>
      <c r="F87" s="20" t="n">
        <v>59117</v>
      </c>
      <c r="G87" s="20" t="n">
        <v>59583</v>
      </c>
      <c r="H87" s="20" t="n">
        <v>37846</v>
      </c>
      <c r="I87" s="20" t="n">
        <v>36936</v>
      </c>
      <c r="J87" s="20" t="n">
        <v>36477</v>
      </c>
      <c r="K87" s="20" t="n">
        <v>36509</v>
      </c>
      <c r="L87" s="20" t="n">
        <v>59216</v>
      </c>
    </row>
    <row r="88">
      <c r="A88" s="18" t="inlineStr">
        <is>
          <t>기타</t>
        </is>
      </c>
      <c r="C88" s="20" t="n">
        <v>165</v>
      </c>
      <c r="D88" s="20" t="n">
        <v>172</v>
      </c>
      <c r="E88" s="20" t="n">
        <v>191</v>
      </c>
      <c r="F88" s="20" t="n">
        <v>200</v>
      </c>
      <c r="G88" s="20" t="n">
        <v>182</v>
      </c>
      <c r="H88" s="20" t="n">
        <v>275</v>
      </c>
      <c r="I88" s="20" t="n">
        <v>245</v>
      </c>
      <c r="J88" s="20" t="n">
        <v>231</v>
      </c>
      <c r="K88" s="20" t="n">
        <v>187</v>
      </c>
      <c r="L88" s="20" t="n">
        <v>191</v>
      </c>
    </row>
    <row r="89">
      <c r="A89" s="18" t="inlineStr">
        <is>
          <t>무형자산 합계</t>
        </is>
      </c>
      <c r="C89" s="20" t="n">
        <v>165</v>
      </c>
      <c r="D89" s="20" t="n">
        <v>172</v>
      </c>
      <c r="E89" s="20" t="n">
        <v>191</v>
      </c>
      <c r="F89" s="20" t="n">
        <v>200</v>
      </c>
      <c r="G89" s="20" t="n">
        <v>182</v>
      </c>
      <c r="H89" s="20" t="n">
        <v>275</v>
      </c>
      <c r="I89" s="20" t="n">
        <v>245</v>
      </c>
      <c r="J89" s="20" t="n">
        <v>231</v>
      </c>
      <c r="K89" s="20" t="n">
        <v>187</v>
      </c>
      <c r="L89" s="20" t="n">
        <v>191</v>
      </c>
    </row>
    <row r="90">
      <c r="A90" s="18" t="inlineStr">
        <is>
          <t>투자유가증권</t>
        </is>
      </c>
      <c r="C90" s="20" t="n">
        <v>153573</v>
      </c>
      <c r="D90" s="20" t="n">
        <v>127532</v>
      </c>
      <c r="E90" s="20" t="n">
        <v>101687</v>
      </c>
      <c r="F90" s="20" t="n">
        <v>127127</v>
      </c>
      <c r="G90" s="20" t="n">
        <v>127672</v>
      </c>
      <c r="H90" s="20" t="n">
        <v>102940</v>
      </c>
      <c r="I90" s="20" t="n">
        <v>112766</v>
      </c>
      <c r="J90" s="20" t="n">
        <v>106590</v>
      </c>
      <c r="K90" s="20" t="n">
        <v>99409</v>
      </c>
      <c r="L90" s="20" t="n">
        <v>101687</v>
      </c>
    </row>
    <row r="91">
      <c r="A91" s="18" t="inlineStr">
        <is>
          <t>퇴직급여자산</t>
        </is>
      </c>
      <c r="C91" s="20" t="n">
        <v>4786</v>
      </c>
      <c r="D91" s="20" t="n">
        <v>4964</v>
      </c>
      <c r="E91" s="20" t="n">
        <v>7482</v>
      </c>
      <c r="F91" s="20" t="n">
        <v>7682</v>
      </c>
      <c r="G91" s="20" t="n">
        <v>7891</v>
      </c>
      <c r="H91" s="20" t="n">
        <v>1824</v>
      </c>
      <c r="I91" s="20" t="n">
        <v>1805</v>
      </c>
      <c r="J91" s="20" t="n">
        <v>4466</v>
      </c>
      <c r="K91" s="20" t="n">
        <v>4431</v>
      </c>
      <c r="L91" s="20" t="n">
        <v>7482</v>
      </c>
    </row>
    <row r="92">
      <c r="A92" s="18" t="inlineStr">
        <is>
          <t>이연법인세자산</t>
        </is>
      </c>
      <c r="C92" s="20" t="n">
        <v>2466</v>
      </c>
      <c r="D92" s="20" t="n">
        <v>2473</v>
      </c>
      <c r="E92" s="20" t="n">
        <v>2490</v>
      </c>
      <c r="F92" s="20" t="n">
        <v>2004</v>
      </c>
      <c r="G92" s="20" t="n">
        <v>2476</v>
      </c>
      <c r="H92" s="20" t="n">
        <v>881</v>
      </c>
      <c r="I92" s="20" t="n">
        <v>5622</v>
      </c>
      <c r="J92" s="20" t="n">
        <v>933</v>
      </c>
      <c r="K92" s="20" t="n">
        <v>4119</v>
      </c>
      <c r="L92" s="20" t="n">
        <v>2490</v>
      </c>
    </row>
    <row r="93">
      <c r="A93" s="18" t="inlineStr">
        <is>
          <t>기타</t>
        </is>
      </c>
      <c r="C93" s="20" t="n">
        <v>3400</v>
      </c>
      <c r="D93" s="20" t="n">
        <v>3275</v>
      </c>
      <c r="E93" s="20" t="n">
        <v>2985</v>
      </c>
      <c r="F93" s="20" t="n">
        <v>3136</v>
      </c>
      <c r="G93" s="20" t="n">
        <v>3178</v>
      </c>
      <c r="H93" s="20" t="n">
        <v>4749</v>
      </c>
      <c r="I93" s="20" t="n">
        <v>4535</v>
      </c>
      <c r="J93" s="20" t="n">
        <v>4833</v>
      </c>
      <c r="K93" s="20" t="n">
        <v>3685</v>
      </c>
      <c r="L93" s="20" t="n">
        <v>2985</v>
      </c>
    </row>
    <row r="94">
      <c r="A94" s="18" t="inlineStr">
        <is>
          <t>대손충당금</t>
        </is>
      </c>
      <c r="H94" s="20" t="n">
        <v>-790</v>
      </c>
      <c r="I94" s="20" t="n">
        <v>-135</v>
      </c>
      <c r="J94" s="20" t="n">
        <v>-681</v>
      </c>
      <c r="K94" s="20" t="n">
        <v>0</v>
      </c>
    </row>
    <row r="95">
      <c r="A95" s="18" t="inlineStr">
        <is>
          <t>투자 및 기타자산 합계</t>
        </is>
      </c>
      <c r="C95" s="20" t="n">
        <v>164226</v>
      </c>
      <c r="D95" s="20" t="n">
        <v>138246</v>
      </c>
      <c r="E95" s="20" t="n">
        <v>114645</v>
      </c>
      <c r="F95" s="20" t="n">
        <v>139951</v>
      </c>
      <c r="G95" s="20" t="n">
        <v>141219</v>
      </c>
      <c r="H95" s="20" t="n">
        <v>109605</v>
      </c>
      <c r="I95" s="20" t="n">
        <v>124594</v>
      </c>
      <c r="J95" s="20" t="n">
        <v>116141</v>
      </c>
      <c r="K95" s="20" t="n">
        <v>111646</v>
      </c>
      <c r="L95" s="20" t="n">
        <v>114645</v>
      </c>
    </row>
    <row r="96">
      <c r="A96" s="9" t="inlineStr">
        <is>
          <t>비유동자산 합계</t>
        </is>
      </c>
      <c r="C96" s="12" t="n">
        <v>221837</v>
      </c>
      <c r="D96" s="12" t="n">
        <v>195900</v>
      </c>
      <c r="E96" s="12" t="n">
        <v>174054</v>
      </c>
      <c r="F96" s="12" t="n">
        <v>199268</v>
      </c>
      <c r="G96" s="12" t="n">
        <v>200985</v>
      </c>
      <c r="H96" s="12" t="n">
        <v>147727</v>
      </c>
      <c r="I96" s="12" t="n">
        <v>161775</v>
      </c>
      <c r="J96" s="12" t="n">
        <v>152851</v>
      </c>
      <c r="K96" s="12" t="n">
        <v>148343</v>
      </c>
      <c r="L96" s="12" t="n">
        <v>174054</v>
      </c>
    </row>
    <row r="97">
      <c r="A97" s="9" t="inlineStr">
        <is>
          <t>자산 합계</t>
        </is>
      </c>
      <c r="C97" s="12" t="n">
        <v>314239</v>
      </c>
      <c r="D97" s="12" t="n">
        <v>311492</v>
      </c>
      <c r="E97" s="12" t="n">
        <v>313662</v>
      </c>
      <c r="F97" s="12" t="n">
        <v>333923</v>
      </c>
      <c r="G97" s="12" t="n">
        <v>360762</v>
      </c>
      <c r="H97" s="12" t="n">
        <v>219803</v>
      </c>
      <c r="I97" s="12" t="n">
        <v>210889</v>
      </c>
      <c r="J97" s="12" t="n">
        <v>245802</v>
      </c>
      <c r="K97" s="12" t="n">
        <v>209828</v>
      </c>
      <c r="L97" s="12" t="n">
        <v>313662</v>
      </c>
    </row>
    <row r="98">
      <c r="A98" s="18" t="inlineStr">
        <is>
          <t>지급어음·매입채무</t>
        </is>
      </c>
      <c r="H98" s="20" t="n">
        <v>520</v>
      </c>
      <c r="I98" s="20" t="n">
        <v>1169</v>
      </c>
      <c r="J98" s="20" t="n">
        <v>1046</v>
      </c>
      <c r="K98" s="20" t="n">
        <v>1238</v>
      </c>
    </row>
    <row r="99">
      <c r="A99" s="18" t="inlineStr">
        <is>
          <t>1년 내 상환 예정 전환사채형 신주예약권부 사채</t>
        </is>
      </c>
      <c r="I99" s="20" t="n">
        <v>0</v>
      </c>
      <c r="J99" s="20" t="n">
        <v>46536</v>
      </c>
      <c r="K99" s="20" t="n">
        <v>0</v>
      </c>
    </row>
    <row r="100">
      <c r="A100" s="18" t="inlineStr">
        <is>
          <t>매입채무</t>
        </is>
      </c>
      <c r="C100" s="20" t="n">
        <v>1090</v>
      </c>
      <c r="D100" s="20" t="n">
        <v>1532</v>
      </c>
      <c r="E100" s="20" t="n">
        <v>1068</v>
      </c>
      <c r="F100" s="20" t="n">
        <v>1055</v>
      </c>
      <c r="G100" s="20" t="n">
        <v>1225</v>
      </c>
      <c r="K100" s="20" t="n">
        <v>1238</v>
      </c>
      <c r="L100" s="20" t="n">
        <v>1068</v>
      </c>
    </row>
    <row r="101">
      <c r="A101" s="18" t="inlineStr">
        <is>
          <t>단기차입금</t>
        </is>
      </c>
      <c r="C101" s="20" t="n">
        <v>35000</v>
      </c>
      <c r="D101" s="20" t="n">
        <v>23000</v>
      </c>
      <c r="E101" s="20" t="n">
        <v>0</v>
      </c>
      <c r="F101" s="20" t="n">
        <v>10000</v>
      </c>
      <c r="G101" s="20" t="n">
        <v>10000</v>
      </c>
      <c r="I101" s="20" t="n">
        <v>0</v>
      </c>
      <c r="J101" s="20" t="n">
        <v>0</v>
      </c>
      <c r="K101" s="20" t="n">
        <v>0</v>
      </c>
      <c r="L101" s="20" t="n">
        <v>0</v>
      </c>
    </row>
    <row r="102">
      <c r="A102" s="18" t="inlineStr">
        <is>
          <t>1년 내 상환 예정 전환사채형 신주예약권부 사채</t>
        </is>
      </c>
      <c r="I102" s="20" t="n">
        <v>0</v>
      </c>
    </row>
    <row r="103">
      <c r="A103" s="18" t="inlineStr">
        <is>
          <t>미지급금</t>
        </is>
      </c>
      <c r="C103" s="20" t="n">
        <v>5064</v>
      </c>
      <c r="D103" s="20" t="n">
        <v>2696</v>
      </c>
      <c r="E103" s="20" t="n">
        <v>8480</v>
      </c>
      <c r="F103" s="20" t="n">
        <v>12104</v>
      </c>
      <c r="G103" s="20" t="n">
        <v>26209</v>
      </c>
      <c r="H103" s="20" t="n">
        <v>9646</v>
      </c>
      <c r="I103" s="20" t="n">
        <v>4573</v>
      </c>
      <c r="J103" s="20" t="n">
        <v>7459</v>
      </c>
      <c r="K103" s="20" t="n">
        <v>3798</v>
      </c>
      <c r="L103" s="20" t="n">
        <v>8480</v>
      </c>
    </row>
    <row r="104">
      <c r="A104" s="18" t="inlineStr">
        <is>
          <t>미지급법인세</t>
        </is>
      </c>
      <c r="C104" s="20" t="n">
        <v>3780</v>
      </c>
      <c r="D104" s="20" t="n">
        <v>5122</v>
      </c>
      <c r="E104" s="20" t="n">
        <v>11684</v>
      </c>
      <c r="F104" s="20" t="n">
        <v>3048</v>
      </c>
      <c r="G104" s="20" t="n">
        <v>5202</v>
      </c>
      <c r="H104" s="20" t="n">
        <v>6470</v>
      </c>
      <c r="I104" s="20" t="n">
        <v>4112</v>
      </c>
      <c r="J104" s="20" t="n">
        <v>6538</v>
      </c>
      <c r="K104" s="20" t="n">
        <v>6795</v>
      </c>
      <c r="L104" s="20" t="n">
        <v>11684</v>
      </c>
    </row>
    <row r="105">
      <c r="A105" s="18" t="inlineStr">
        <is>
          <t>상여충당금</t>
        </is>
      </c>
      <c r="C105" s="20" t="n">
        <v>1976</v>
      </c>
      <c r="D105" s="20" t="n">
        <v>1177</v>
      </c>
      <c r="E105" s="20" t="n">
        <v>2299</v>
      </c>
      <c r="F105" s="20" t="n">
        <v>1175</v>
      </c>
      <c r="G105" s="20" t="n">
        <v>2251</v>
      </c>
      <c r="H105" s="20" t="n">
        <v>1928</v>
      </c>
      <c r="I105" s="20" t="n">
        <v>1697</v>
      </c>
      <c r="J105" s="20" t="n">
        <v>1730</v>
      </c>
      <c r="K105" s="20" t="n">
        <v>2047</v>
      </c>
      <c r="L105" s="20" t="n">
        <v>2299</v>
      </c>
    </row>
    <row r="106">
      <c r="A106" s="18" t="inlineStr">
        <is>
          <t>임원 상여충당금</t>
        </is>
      </c>
      <c r="C106" s="20" t="n">
        <v>215</v>
      </c>
      <c r="D106" s="20" t="n">
        <v>322</v>
      </c>
      <c r="E106" s="20" t="n">
        <v>448</v>
      </c>
      <c r="F106" s="20" t="n">
        <v>125</v>
      </c>
      <c r="G106" s="20" t="n">
        <v>251</v>
      </c>
      <c r="H106" s="20" t="n">
        <v>389</v>
      </c>
      <c r="I106" s="20" t="n">
        <v>344</v>
      </c>
      <c r="J106" s="20" t="n">
        <v>259</v>
      </c>
      <c r="K106" s="20" t="n">
        <v>425</v>
      </c>
      <c r="L106" s="20" t="n">
        <v>448</v>
      </c>
    </row>
    <row r="107">
      <c r="A107" s="18" t="inlineStr">
        <is>
          <t>반품조정 충당금</t>
        </is>
      </c>
      <c r="H107" s="20" t="n">
        <v>0</v>
      </c>
    </row>
    <row r="108">
      <c r="A108" s="18" t="inlineStr">
        <is>
          <t>매출 할인 충당금</t>
        </is>
      </c>
      <c r="H108" s="20" t="n">
        <v>0</v>
      </c>
    </row>
    <row r="109">
      <c r="A109" s="18" t="inlineStr">
        <is>
          <t>포인트 충당금</t>
        </is>
      </c>
      <c r="H109" s="20" t="n">
        <v>0</v>
      </c>
    </row>
    <row r="110">
      <c r="A110" s="18" t="inlineStr">
        <is>
          <t>수주손실 충당금</t>
        </is>
      </c>
      <c r="H110" s="20" t="n">
        <v>0</v>
      </c>
    </row>
    <row r="111">
      <c r="A111" s="18" t="inlineStr">
        <is>
          <t>기타</t>
        </is>
      </c>
      <c r="C111" s="20" t="n">
        <v>3840</v>
      </c>
      <c r="D111" s="20" t="n">
        <v>4941</v>
      </c>
      <c r="E111" s="20" t="n">
        <v>6368</v>
      </c>
      <c r="F111" s="20" t="n">
        <v>7783</v>
      </c>
      <c r="G111" s="20" t="n">
        <v>5650</v>
      </c>
      <c r="H111" s="20" t="n">
        <v>13660</v>
      </c>
      <c r="I111" s="20" t="n">
        <v>8121</v>
      </c>
      <c r="J111" s="20" t="n">
        <v>5358</v>
      </c>
      <c r="K111" s="20" t="n">
        <v>4610</v>
      </c>
      <c r="L111" s="20" t="n">
        <v>6368</v>
      </c>
    </row>
    <row r="112">
      <c r="A112" s="9" t="inlineStr">
        <is>
          <t>유동부채 합계</t>
        </is>
      </c>
      <c r="C112" s="12" t="n">
        <v>50967</v>
      </c>
      <c r="D112" s="12" t="n">
        <v>38792</v>
      </c>
      <c r="E112" s="12" t="n">
        <v>30349</v>
      </c>
      <c r="F112" s="12" t="n">
        <v>35293</v>
      </c>
      <c r="G112" s="12" t="n">
        <v>50791</v>
      </c>
      <c r="H112" s="12" t="n">
        <v>32616</v>
      </c>
      <c r="I112" s="12" t="n">
        <v>20019</v>
      </c>
      <c r="J112" s="12" t="n">
        <v>68928</v>
      </c>
      <c r="K112" s="12" t="n">
        <v>18914</v>
      </c>
      <c r="L112" s="12" t="n">
        <v>30349</v>
      </c>
    </row>
    <row r="113">
      <c r="A113" s="18" t="inlineStr">
        <is>
          <t>전환사채형 신주예약권부 사채</t>
        </is>
      </c>
      <c r="H113" s="20" t="n">
        <v>48146</v>
      </c>
      <c r="I113" s="20" t="n">
        <v>47341</v>
      </c>
      <c r="J113" s="20" t="n">
        <v>0</v>
      </c>
    </row>
    <row r="114">
      <c r="A114" s="18" t="inlineStr">
        <is>
          <t>이연법인세부채</t>
        </is>
      </c>
      <c r="C114" s="20" t="n">
        <v>13669</v>
      </c>
      <c r="D114" s="20" t="n">
        <v>13151</v>
      </c>
      <c r="E114" s="20" t="n">
        <v>9955</v>
      </c>
      <c r="F114" s="20" t="n">
        <v>17884</v>
      </c>
      <c r="G114" s="20" t="n">
        <v>19157</v>
      </c>
      <c r="H114" s="20" t="n">
        <v>156</v>
      </c>
      <c r="I114" s="20" t="n">
        <v>132</v>
      </c>
      <c r="J114" s="20" t="n">
        <v>391</v>
      </c>
      <c r="K114" s="20" t="n">
        <v>535</v>
      </c>
      <c r="L114" s="20" t="n">
        <v>9955</v>
      </c>
    </row>
    <row r="115">
      <c r="A115" s="18" t="inlineStr">
        <is>
          <t>기타</t>
        </is>
      </c>
      <c r="C115" s="20" t="n">
        <v>875</v>
      </c>
      <c r="D115" s="20" t="n">
        <v>832</v>
      </c>
      <c r="E115" s="20" t="n">
        <v>820</v>
      </c>
      <c r="F115" s="20" t="n">
        <v>782</v>
      </c>
      <c r="G115" s="20" t="n">
        <v>796</v>
      </c>
      <c r="H115" s="20" t="n">
        <v>782</v>
      </c>
      <c r="I115" s="20" t="n">
        <v>711</v>
      </c>
      <c r="J115" s="20" t="n">
        <v>930</v>
      </c>
      <c r="K115" s="20" t="n">
        <v>957</v>
      </c>
      <c r="L115" s="20" t="n">
        <v>820</v>
      </c>
    </row>
    <row r="116">
      <c r="A116" s="9" t="inlineStr">
        <is>
          <t>비유동부채 합계</t>
        </is>
      </c>
      <c r="C116" s="12" t="n">
        <v>14544</v>
      </c>
      <c r="D116" s="12" t="n">
        <v>13983</v>
      </c>
      <c r="E116" s="12" t="n">
        <v>10776</v>
      </c>
      <c r="F116" s="12" t="n">
        <v>18666</v>
      </c>
      <c r="G116" s="12" t="n">
        <v>19953</v>
      </c>
      <c r="H116" s="12" t="n">
        <v>49085</v>
      </c>
      <c r="I116" s="12" t="n">
        <v>48185</v>
      </c>
      <c r="J116" s="12" t="n">
        <v>1322</v>
      </c>
      <c r="K116" s="12" t="n">
        <v>1492</v>
      </c>
      <c r="L116" s="12" t="n">
        <v>10776</v>
      </c>
    </row>
    <row r="117">
      <c r="A117" s="9" t="inlineStr">
        <is>
          <t>부채 합계</t>
        </is>
      </c>
      <c r="C117" s="12" t="n">
        <v>65512</v>
      </c>
      <c r="D117" s="12" t="n">
        <v>52776</v>
      </c>
      <c r="E117" s="12" t="n">
        <v>41125</v>
      </c>
      <c r="F117" s="12" t="n">
        <v>53959</v>
      </c>
      <c r="G117" s="12" t="n">
        <v>70744</v>
      </c>
      <c r="H117" s="12" t="n">
        <v>81701</v>
      </c>
      <c r="I117" s="12" t="n">
        <v>68204</v>
      </c>
      <c r="J117" s="12" t="n">
        <v>70250</v>
      </c>
      <c r="K117" s="12" t="n">
        <v>20407</v>
      </c>
      <c r="L117" s="12" t="n">
        <v>41125</v>
      </c>
    </row>
    <row r="118">
      <c r="A118" s="18" t="inlineStr">
        <is>
          <t>자본금</t>
        </is>
      </c>
      <c r="C118" s="20" t="n">
        <v>15000</v>
      </c>
      <c r="D118" s="20" t="n">
        <v>15000</v>
      </c>
      <c r="E118" s="20" t="n">
        <v>15000</v>
      </c>
      <c r="F118" s="20" t="n">
        <v>15000</v>
      </c>
      <c r="G118" s="20" t="n">
        <v>15000</v>
      </c>
      <c r="H118" s="20" t="n">
        <v>15000</v>
      </c>
      <c r="I118" s="20" t="n">
        <v>15000</v>
      </c>
      <c r="J118" s="20" t="n">
        <v>15000</v>
      </c>
      <c r="K118" s="20" t="n">
        <v>15000</v>
      </c>
      <c r="L118" s="20" t="n">
        <v>15000</v>
      </c>
    </row>
    <row r="119">
      <c r="A119" s="18" t="inlineStr">
        <is>
          <t>자본잉여금</t>
        </is>
      </c>
      <c r="C119" s="20" t="n">
        <v>25699</v>
      </c>
      <c r="D119" s="20" t="n">
        <v>25699</v>
      </c>
      <c r="E119" s="20" t="n">
        <v>25699</v>
      </c>
      <c r="F119" s="20" t="n">
        <v>25699</v>
      </c>
      <c r="G119" s="20" t="n">
        <v>25699</v>
      </c>
      <c r="H119" s="20" t="n">
        <v>28006</v>
      </c>
      <c r="I119" s="20" t="n">
        <v>27844</v>
      </c>
      <c r="J119" s="20" t="n">
        <v>27428</v>
      </c>
      <c r="K119" s="20" t="n">
        <v>27435</v>
      </c>
      <c r="L119" s="20" t="n">
        <v>25699</v>
      </c>
    </row>
    <row r="120">
      <c r="A120" s="18" t="inlineStr">
        <is>
          <t>이익잉여금</t>
        </is>
      </c>
      <c r="C120" s="20" t="n">
        <v>177964</v>
      </c>
      <c r="D120" s="20" t="n">
        <v>188279</v>
      </c>
      <c r="E120" s="20" t="n">
        <v>207329</v>
      </c>
      <c r="F120" s="20" t="n">
        <v>196628</v>
      </c>
      <c r="G120" s="20" t="n">
        <v>203822</v>
      </c>
      <c r="H120" s="20" t="n">
        <v>130954</v>
      </c>
      <c r="I120" s="20" t="n">
        <v>145046</v>
      </c>
      <c r="J120" s="20" t="n">
        <v>163070</v>
      </c>
      <c r="K120" s="20" t="n">
        <v>183630</v>
      </c>
      <c r="L120" s="20" t="n">
        <v>207329</v>
      </c>
    </row>
    <row r="121">
      <c r="A121" s="18" t="inlineStr">
        <is>
          <t>자기주식</t>
        </is>
      </c>
      <c r="C121" s="20" t="n">
        <v>-3746</v>
      </c>
      <c r="D121" s="20" t="n">
        <v>-3747</v>
      </c>
      <c r="E121" s="20" t="n">
        <v>-3747</v>
      </c>
      <c r="F121" s="20" t="n">
        <v>-3747</v>
      </c>
      <c r="G121" s="20" t="n">
        <v>-3466</v>
      </c>
      <c r="H121" s="20" t="n">
        <v>-39393</v>
      </c>
      <c r="I121" s="20" t="n">
        <v>-38639</v>
      </c>
      <c r="J121" s="20" t="n">
        <v>-37765</v>
      </c>
      <c r="K121" s="20" t="n">
        <v>-37740</v>
      </c>
      <c r="L121" s="20" t="n">
        <v>-3747</v>
      </c>
    </row>
    <row r="122">
      <c r="A122" s="9" t="inlineStr">
        <is>
          <t>주주자본 합계</t>
        </is>
      </c>
      <c r="C122" s="12" t="n">
        <v>214916</v>
      </c>
      <c r="D122" s="12" t="n">
        <v>225231</v>
      </c>
      <c r="E122" s="12" t="n">
        <v>244281</v>
      </c>
      <c r="F122" s="12" t="n">
        <v>233580</v>
      </c>
      <c r="G122" s="12" t="n">
        <v>241055</v>
      </c>
      <c r="H122" s="12" t="n">
        <v>134567</v>
      </c>
      <c r="I122" s="12" t="n">
        <v>149251</v>
      </c>
      <c r="J122" s="12" t="n">
        <v>167733</v>
      </c>
      <c r="K122" s="12" t="n">
        <v>188324</v>
      </c>
      <c r="L122" s="12" t="n">
        <v>244281</v>
      </c>
    </row>
    <row r="123">
      <c r="A123" s="18" t="inlineStr">
        <is>
          <t>기타유가증권 평가차액</t>
        </is>
      </c>
      <c r="C123" s="20" t="n">
        <v>30478</v>
      </c>
      <c r="D123" s="20" t="n">
        <v>29103</v>
      </c>
      <c r="E123" s="20" t="n">
        <v>21910</v>
      </c>
      <c r="F123" s="20" t="n">
        <v>39640</v>
      </c>
      <c r="G123" s="20" t="n">
        <v>42718</v>
      </c>
      <c r="H123" s="20" t="n">
        <v>3548</v>
      </c>
      <c r="I123" s="20" t="n">
        <v>-6870</v>
      </c>
      <c r="J123" s="20" t="n">
        <v>4157</v>
      </c>
      <c r="K123" s="20" t="n">
        <v>-1928</v>
      </c>
      <c r="L123" s="20" t="n">
        <v>21910</v>
      </c>
    </row>
    <row r="124">
      <c r="A124" s="18" t="inlineStr">
        <is>
          <t>토지재평가차액금</t>
        </is>
      </c>
      <c r="C124" s="20" t="n">
        <v>-3101</v>
      </c>
      <c r="D124" s="20" t="n">
        <v>-3101</v>
      </c>
      <c r="E124" s="20" t="n">
        <v>-3101</v>
      </c>
      <c r="F124" s="20" t="n">
        <v>-3101</v>
      </c>
      <c r="G124" s="20" t="n">
        <v>-3101</v>
      </c>
      <c r="H124" s="20" t="n">
        <v>-3115</v>
      </c>
      <c r="I124" s="20" t="n">
        <v>-3115</v>
      </c>
      <c r="J124" s="20" t="n">
        <v>-3115</v>
      </c>
      <c r="K124" s="20" t="n">
        <v>-3101</v>
      </c>
      <c r="L124" s="20" t="n">
        <v>-3101</v>
      </c>
    </row>
    <row r="125">
      <c r="A125" s="18" t="inlineStr">
        <is>
          <t>해외사업환산조정</t>
        </is>
      </c>
      <c r="C125" s="20" t="n">
        <v>5157</v>
      </c>
      <c r="D125" s="20" t="n">
        <v>6182</v>
      </c>
      <c r="E125" s="20" t="n">
        <v>6521</v>
      </c>
      <c r="F125" s="20" t="n">
        <v>6926</v>
      </c>
      <c r="G125" s="20" t="n">
        <v>6446</v>
      </c>
      <c r="H125" s="20" t="n">
        <v>2418</v>
      </c>
      <c r="I125" s="20" t="n">
        <v>3034</v>
      </c>
      <c r="J125" s="20" t="n">
        <v>4792</v>
      </c>
      <c r="K125" s="20" t="n">
        <v>4583</v>
      </c>
      <c r="L125" s="20" t="n">
        <v>6521</v>
      </c>
    </row>
    <row r="126">
      <c r="A126" s="18" t="inlineStr">
        <is>
          <t>퇴직급여 조정누계액</t>
        </is>
      </c>
      <c r="C126" s="20" t="n">
        <v>633</v>
      </c>
      <c r="D126" s="20" t="n">
        <v>616</v>
      </c>
      <c r="E126" s="20" t="n">
        <v>2200</v>
      </c>
      <c r="F126" s="20" t="n">
        <v>2156</v>
      </c>
      <c r="G126" s="20" t="n">
        <v>2111</v>
      </c>
      <c r="H126" s="20" t="n">
        <v>271</v>
      </c>
      <c r="I126" s="20" t="n">
        <v>-157</v>
      </c>
      <c r="J126" s="20" t="n">
        <v>1275</v>
      </c>
      <c r="K126" s="20" t="n">
        <v>669</v>
      </c>
      <c r="L126" s="20" t="n">
        <v>2200</v>
      </c>
    </row>
    <row r="127">
      <c r="A127" s="18" t="inlineStr">
        <is>
          <t>기타포괄손익누계액 합계</t>
        </is>
      </c>
      <c r="C127" s="20" t="n">
        <v>33168</v>
      </c>
      <c r="D127" s="20" t="n">
        <v>32801</v>
      </c>
      <c r="E127" s="20" t="n">
        <v>27532</v>
      </c>
      <c r="F127" s="20" t="n">
        <v>45622</v>
      </c>
      <c r="G127" s="20" t="n">
        <v>48175</v>
      </c>
      <c r="H127" s="20" t="n">
        <v>3122</v>
      </c>
      <c r="I127" s="20" t="n">
        <v>-7108</v>
      </c>
      <c r="J127" s="20" t="n">
        <v>7110</v>
      </c>
      <c r="K127" s="20" t="n">
        <v>222</v>
      </c>
      <c r="L127" s="20" t="n">
        <v>27532</v>
      </c>
    </row>
    <row r="128">
      <c r="A128" s="18" t="inlineStr">
        <is>
          <t>신주예약권</t>
        </is>
      </c>
      <c r="C128" s="20" t="n">
        <v>640</v>
      </c>
      <c r="D128" s="20" t="n">
        <v>683</v>
      </c>
      <c r="E128" s="20" t="n">
        <v>722</v>
      </c>
      <c r="F128" s="20" t="n">
        <v>761</v>
      </c>
      <c r="G128" s="20" t="n">
        <v>787</v>
      </c>
      <c r="H128" s="20" t="n">
        <v>411</v>
      </c>
      <c r="I128" s="20" t="n">
        <v>541</v>
      </c>
      <c r="J128" s="20" t="n">
        <v>707</v>
      </c>
      <c r="K128" s="20" t="n">
        <v>873</v>
      </c>
      <c r="L128" s="20" t="n">
        <v>722</v>
      </c>
    </row>
    <row r="129">
      <c r="A129" s="9" t="inlineStr">
        <is>
          <t>순자산 합계</t>
        </is>
      </c>
      <c r="C129" s="12" t="n">
        <v>248726</v>
      </c>
      <c r="D129" s="12" t="n">
        <v>258716</v>
      </c>
      <c r="E129" s="12" t="n">
        <v>272536</v>
      </c>
      <c r="F129" s="12" t="n">
        <v>279963</v>
      </c>
      <c r="G129" s="12" t="n">
        <v>290017</v>
      </c>
      <c r="H129" s="12" t="n">
        <v>138101</v>
      </c>
      <c r="I129" s="12" t="n">
        <v>142684</v>
      </c>
      <c r="J129" s="12" t="n">
        <v>175552</v>
      </c>
      <c r="K129" s="12" t="n">
        <v>189421</v>
      </c>
      <c r="L129" s="12" t="n">
        <v>272536</v>
      </c>
    </row>
    <row r="130">
      <c r="A130" s="9" t="inlineStr">
        <is>
          <t>부채·순자산 합계</t>
        </is>
      </c>
      <c r="C130" s="12" t="n">
        <v>314239</v>
      </c>
      <c r="D130" s="12" t="n">
        <v>311492</v>
      </c>
      <c r="E130" s="12" t="n">
        <v>313662</v>
      </c>
      <c r="F130" s="12" t="n">
        <v>333923</v>
      </c>
      <c r="G130" s="12" t="n">
        <v>360762</v>
      </c>
      <c r="H130" s="12" t="n">
        <v>219803</v>
      </c>
      <c r="I130" s="12" t="n">
        <v>210889</v>
      </c>
      <c r="J130" s="12" t="n">
        <v>245802</v>
      </c>
      <c r="K130" s="12" t="n">
        <v>209828</v>
      </c>
      <c r="L130" s="12" t="n">
        <v>313662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2026-10-26</t>
        </is>
      </c>
      <c r="B4" t="inlineStr">
        <is>
          <t>２분기 결산단신</t>
        </is>
      </c>
      <c r="C4" t="inlineStr">
        <is>
          <t>https://www2.jpx.co.jp/disc/36350/140120261023554911.pdf</t>
        </is>
      </c>
    </row>
    <row r="5">
      <c r="A5" t="inlineStr">
        <is>
          <t>2026-07-27</t>
        </is>
      </c>
      <c r="B5" t="inlineStr">
        <is>
          <t>１분기 결산단신</t>
        </is>
      </c>
      <c r="C5" t="inlineStr">
        <is>
          <t>https://www2.jpx.co.jp/disc/36350/140120260723598391.pdf</t>
        </is>
      </c>
    </row>
    <row r="6">
      <c r="A6" t="inlineStr">
        <is>
          <t>2026-04-27</t>
        </is>
      </c>
      <c r="B6" t="inlineStr">
        <is>
          <t>연간 결산단신</t>
        </is>
      </c>
      <c r="C6" t="inlineStr">
        <is>
          <t>https://www2.jpx.co.jp/disc/36350/140120260424510456.pdf</t>
        </is>
      </c>
    </row>
    <row r="7">
      <c r="A7" t="inlineStr">
        <is>
          <t>2026-01-26</t>
        </is>
      </c>
      <c r="B7" t="inlineStr">
        <is>
          <t>３분기 결산단신</t>
        </is>
      </c>
      <c r="C7" t="inlineStr">
        <is>
          <t>https://www2.jpx.co.jp/disc/36350/140120260123537762.pdf</t>
        </is>
      </c>
    </row>
    <row r="8">
      <c r="A8" t="inlineStr">
        <is>
          <t>2025-10-27</t>
        </is>
      </c>
      <c r="B8" t="inlineStr">
        <is>
          <t>２분기 결산단신</t>
        </is>
      </c>
      <c r="C8" t="inlineStr">
        <is>
          <t>https://www2.jpx.co.jp/disc/36350/140120251024578611.pdf</t>
        </is>
      </c>
    </row>
    <row r="9">
      <c r="A9" t="inlineStr">
        <is>
          <t>2025-09-02</t>
        </is>
      </c>
      <c r="B9" t="inlineStr">
        <is>
          <t>１분기 결산단신</t>
        </is>
      </c>
      <c r="C9" t="inlineStr">
        <is>
          <t>https://www2.jpx.co.jp/disc/36350/140120250901551488.pdf</t>
        </is>
      </c>
    </row>
    <row r="10">
      <c r="A10" t="inlineStr">
        <is>
          <t>2025-07-28</t>
        </is>
      </c>
      <c r="B10" t="inlineStr">
        <is>
          <t>１분기 결산단신</t>
        </is>
      </c>
      <c r="C10" t="inlineStr">
        <is>
          <t>https://www2.jpx.co.jp/disc/36350/140120250725520375.pdf</t>
        </is>
      </c>
    </row>
    <row r="11">
      <c r="A11" t="inlineStr">
        <is>
          <t>2025-04-30</t>
        </is>
      </c>
      <c r="B11" t="inlineStr">
        <is>
          <t>연간 결산단신</t>
        </is>
      </c>
      <c r="C11" t="inlineStr">
        <is>
          <t>https://www2.jpx.co.jp/disc/36350/140120250428526504.pdf</t>
        </is>
      </c>
    </row>
    <row r="12">
      <c r="A12" t="inlineStr">
        <is>
          <t>2025-01-27</t>
        </is>
      </c>
      <c r="B12" t="inlineStr">
        <is>
          <t>３분기 결산단신</t>
        </is>
      </c>
      <c r="C12" t="inlineStr">
        <is>
          <t>https://www2.jpx.co.jp/disc/36350/140120250123554534.pdf</t>
        </is>
      </c>
    </row>
    <row r="13">
      <c r="A13" t="inlineStr">
        <is>
          <t>2024-10-28</t>
        </is>
      </c>
      <c r="B13" t="inlineStr">
        <is>
          <t>２분기 결산단신</t>
        </is>
      </c>
      <c r="C13" t="inlineStr">
        <is>
          <t>https://www2.jpx.co.jp/disc/36350/140120241024502353.pdf</t>
        </is>
      </c>
    </row>
    <row r="14">
      <c r="A14" t="inlineStr">
        <is>
          <t>2024-07-29</t>
        </is>
      </c>
      <c r="B14" t="inlineStr">
        <is>
          <t>１분기 결산단신</t>
        </is>
      </c>
      <c r="C14" t="inlineStr">
        <is>
          <t>https://www2.jpx.co.jp/disc/36350/140120240726555692.pdf</t>
        </is>
      </c>
    </row>
    <row r="15">
      <c r="A15" t="inlineStr">
        <is>
          <t>2024-04-30</t>
        </is>
      </c>
      <c r="B15" t="inlineStr">
        <is>
          <t>연간 결산단신</t>
        </is>
      </c>
      <c r="C15" t="inlineStr">
        <is>
          <t>https://www2.jpx.co.jp/disc/36350/140120240426578328.pdf</t>
        </is>
      </c>
    </row>
    <row r="16">
      <c r="A16" t="inlineStr">
        <is>
          <t>2024-01-29</t>
        </is>
      </c>
      <c r="B16" t="inlineStr">
        <is>
          <t>３분기 결산단신</t>
        </is>
      </c>
      <c r="C16" t="inlineStr">
        <is>
          <t>https://www2.jpx.co.jp/disc/36350/140120240126519949.pdf</t>
        </is>
      </c>
    </row>
    <row r="17">
      <c r="A17" t="inlineStr">
        <is>
          <t>2023-10-30</t>
        </is>
      </c>
      <c r="B17" t="inlineStr">
        <is>
          <t>２분기 결산단신</t>
        </is>
      </c>
      <c r="C17" t="inlineStr">
        <is>
          <t>https://www2.jpx.co.jp/disc/36350/140120231027573100.pdf</t>
        </is>
      </c>
    </row>
    <row r="18">
      <c r="A18" t="inlineStr">
        <is>
          <t>2023-07-31</t>
        </is>
      </c>
      <c r="B18" t="inlineStr">
        <is>
          <t>１분기 결산단신</t>
        </is>
      </c>
      <c r="C18" t="inlineStr">
        <is>
          <t>https://www2.jpx.co.jp/disc/36350/140120230728529088.pdf</t>
        </is>
      </c>
    </row>
    <row r="19">
      <c r="A19" t="inlineStr">
        <is>
          <t>2023-04-24</t>
        </is>
      </c>
      <c r="B19" t="inlineStr">
        <is>
          <t>연간 결산단신</t>
        </is>
      </c>
      <c r="C19" t="inlineStr">
        <is>
          <t>https://www2.jpx.co.jp/disc/36350/140120230421550956.pdf</t>
        </is>
      </c>
    </row>
    <row r="20">
      <c r="A20" t="inlineStr">
        <is>
          <t>2022-04-25</t>
        </is>
      </c>
      <c r="B20" t="inlineStr">
        <is>
          <t>연간 결산단신</t>
        </is>
      </c>
      <c r="C20" t="inlineStr">
        <is>
          <t>https://www2.jpx.co.jp/disc/36350/140120220422526312.pdf</t>
        </is>
      </c>
    </row>
    <row r="21">
      <c r="A21" t="inlineStr">
        <is>
          <t>2021-04-26</t>
        </is>
      </c>
      <c r="B21" t="inlineStr">
        <is>
          <t>연간 결산단신</t>
        </is>
      </c>
      <c r="C21" t="inlineStr">
        <is>
          <t>https://www2.jpx.co.jp/disc/36350/140120210423499298.pdf</t>
        </is>
      </c>
    </row>
    <row r="22">
      <c r="A22" t="inlineStr">
        <is>
          <t>2020-04-27</t>
        </is>
      </c>
      <c r="B22" t="inlineStr">
        <is>
          <t>연간 결산단신</t>
        </is>
      </c>
      <c r="C22" t="inlineStr">
        <is>
          <t>https://www2.jpx.co.jp/disc/36350/140120200424499481.pdf</t>
        </is>
      </c>
    </row>
    <row r="23">
      <c r="A23" t="inlineStr">
        <is>
          <t>2019-04-26</t>
        </is>
      </c>
      <c r="B23" t="inlineStr">
        <is>
          <t>연간 결산단신</t>
        </is>
      </c>
      <c r="C23" t="inlineStr">
        <is>
          <t>https://www2.jpx.co.jp/disc/36350/140120190426412383.pdf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https://www2.jpx.co.jp/disc/36350/140120180425420415.pdf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2026-10-26T07:55:20Z</dcterms:created>
  <dcterms:modified xmlns:dcterms="http://purl.org/dc/terms/" xmlns:xsi="http://www.w3.org/2001/XMLSchema-instance" xsi:type="dcterms:W3CDTF">2026-10-26T07:55:21Z</dcterms:modified>
</cp:coreProperties>
</file>