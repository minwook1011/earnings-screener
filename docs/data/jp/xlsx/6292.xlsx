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6292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5816.734</v>
      </c>
      <c r="D4" s="12" t="n">
        <v>6303.224</v>
      </c>
      <c r="E4" s="12" t="n">
        <v>4752.533</v>
      </c>
      <c r="F4" s="12" t="n">
        <v>5164.667</v>
      </c>
      <c r="G4" s="12" t="n">
        <v>4908.678</v>
      </c>
      <c r="H4" s="12" t="n">
        <v>5941.113</v>
      </c>
      <c r="I4" s="12" t="n">
        <v>4753.572</v>
      </c>
      <c r="J4" s="12" t="n">
        <v>4455.837</v>
      </c>
      <c r="K4" s="12" t="n">
        <v>4727.618</v>
      </c>
      <c r="L4" s="12" t="n">
        <v>5430.518</v>
      </c>
      <c r="M4" s="12" t="n">
        <v>4336.518</v>
      </c>
      <c r="N4" s="12" t="n">
        <v>5334.98</v>
      </c>
      <c r="O4" s="11" t="n">
        <v>8227.356</v>
      </c>
      <c r="P4" s="12" t="n">
        <v>20336.689</v>
      </c>
      <c r="Q4" s="12" t="n">
        <v>24576.011</v>
      </c>
      <c r="R4" s="12" t="n">
        <v>21197.912</v>
      </c>
      <c r="S4" s="12" t="n">
        <v>16787.932</v>
      </c>
      <c r="T4" s="12" t="n">
        <v>18383.752</v>
      </c>
      <c r="U4" s="12" t="n">
        <v>18826.951</v>
      </c>
      <c r="V4" s="12" t="n">
        <v>24494.908</v>
      </c>
      <c r="W4" s="12" t="n">
        <v>20766.991</v>
      </c>
      <c r="X4" s="12" t="n">
        <v>19367.545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JapanReportableSegmentsMember</t>
        </is>
      </c>
      <c r="B7" s="10" t="n"/>
      <c r="C7" s="19" t="n">
        <v>3631.265</v>
      </c>
      <c r="D7" s="20" t="n">
        <v>4725.17</v>
      </c>
      <c r="E7" s="20" t="n">
        <v>3209.521</v>
      </c>
      <c r="F7" s="20" t="n">
        <v>3286.747</v>
      </c>
      <c r="G7" s="20" t="n">
        <v>3099.04</v>
      </c>
      <c r="H7" s="20" t="n">
        <v>3965.494</v>
      </c>
      <c r="I7" s="20" t="n">
        <v>3210.148</v>
      </c>
      <c r="J7" s="20" t="n">
        <v>2824.112</v>
      </c>
      <c r="K7" s="20" t="n">
        <v>2904.175</v>
      </c>
      <c r="L7" s="20" t="n">
        <v>3042.757</v>
      </c>
      <c r="M7" s="20" t="n">
        <v>2693.361</v>
      </c>
      <c r="N7" s="20" t="n">
        <v>3163.384</v>
      </c>
      <c r="O7" s="19" t="n"/>
      <c r="P7" s="20" t="n"/>
      <c r="Q7" s="20" t="n"/>
      <c r="R7" s="20" t="n"/>
      <c r="S7" s="20" t="n"/>
      <c r="T7" s="20" t="n"/>
      <c r="U7" s="20" t="n"/>
      <c r="V7" s="20" t="n">
        <v>15865.754</v>
      </c>
      <c r="W7" s="20" t="n">
        <v>13560.802</v>
      </c>
      <c r="X7" s="20" t="n">
        <v>11981.192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EastAsiaReportableSegmentsMember</t>
        </is>
      </c>
      <c r="B10" s="10" t="n"/>
      <c r="C10" s="19" t="n">
        <v>1688.768</v>
      </c>
      <c r="D10" s="20" t="n">
        <v>1138.545</v>
      </c>
      <c r="E10" s="20" t="n">
        <v>1090.74</v>
      </c>
      <c r="F10" s="20" t="n">
        <v>1210.587</v>
      </c>
      <c r="G10" s="20" t="n">
        <v>1076.888</v>
      </c>
      <c r="H10" s="20" t="n">
        <v>1221.847</v>
      </c>
      <c r="I10" s="20" t="n">
        <v>838.157</v>
      </c>
      <c r="J10" s="20" t="n">
        <v>1024.639</v>
      </c>
      <c r="K10" s="20" t="n">
        <v>1210.254</v>
      </c>
      <c r="L10" s="20" t="n">
        <v>1245.592</v>
      </c>
      <c r="M10" s="20" t="n">
        <v>1065.884</v>
      </c>
      <c r="N10" s="20" t="n">
        <v>1348.47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6503.691</v>
      </c>
      <c r="W10" s="20" t="n">
        <v>4600.062</v>
      </c>
      <c r="X10" s="20" t="n">
        <v>4318.642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SoutheastAsiaReportableSegmentsMember</t>
        </is>
      </c>
      <c r="B13" s="10" t="n"/>
      <c r="C13" s="19" t="n">
        <v>454.688</v>
      </c>
      <c r="D13" s="20" t="n">
        <v>419.969</v>
      </c>
      <c r="E13" s="20" t="n">
        <v>432.565</v>
      </c>
      <c r="F13" s="20" t="n">
        <v>559.962</v>
      </c>
      <c r="G13" s="20" t="n">
        <v>607.696</v>
      </c>
      <c r="H13" s="20" t="n">
        <v>658.593</v>
      </c>
      <c r="I13" s="20" t="n">
        <v>477.489</v>
      </c>
      <c r="J13" s="20" t="n">
        <v>531.739</v>
      </c>
      <c r="K13" s="20" t="n">
        <v>514.049</v>
      </c>
      <c r="L13" s="20" t="n">
        <v>891.341</v>
      </c>
      <c r="M13" s="20" t="n">
        <v>511.588</v>
      </c>
      <c r="N13" s="20" t="n">
        <v>781.984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1874.59</v>
      </c>
      <c r="W13" s="20" t="n">
        <v>2258.816</v>
      </c>
      <c r="X13" s="20" t="n">
        <v>2414.618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NorthAndCentralAmericaReportableSegmentMember</t>
        </is>
      </c>
      <c r="B16" s="10" t="n"/>
      <c r="C16" s="19" t="n">
        <v>42.013</v>
      </c>
      <c r="D16" s="20" t="n">
        <v>19.539</v>
      </c>
      <c r="E16" s="20" t="n">
        <v>19.705</v>
      </c>
      <c r="F16" s="20" t="n">
        <v>107.372</v>
      </c>
      <c r="G16" s="20" t="n">
        <v>125.055</v>
      </c>
      <c r="H16" s="20" t="n">
        <v>95.17700000000001</v>
      </c>
      <c r="I16" s="20" t="n">
        <v>227.776</v>
      </c>
      <c r="J16" s="20" t="n">
        <v>75.34699999999999</v>
      </c>
      <c r="K16" s="20" t="n">
        <v>99.14100000000001</v>
      </c>
      <c r="L16" s="20" t="n">
        <v>250.828</v>
      </c>
      <c r="M16" s="20" t="n">
        <v>65.68300000000001</v>
      </c>
      <c r="N16" s="20" t="n">
        <v>41.143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250.871</v>
      </c>
      <c r="W16" s="20" t="n">
        <v>347.309</v>
      </c>
      <c r="X16" s="20" t="n">
        <v>653.092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4752.533</v>
      </c>
      <c r="F19" s="20" t="n"/>
      <c r="G19" s="20" t="n"/>
      <c r="H19" s="20" t="n"/>
      <c r="I19" s="20" t="n">
        <v>4753.572</v>
      </c>
      <c r="J19" s="20" t="n"/>
      <c r="K19" s="20" t="n"/>
      <c r="L19" s="20" t="n"/>
      <c r="M19" s="20" t="n">
        <v>4336.518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4345.288</v>
      </c>
      <c r="D23" s="20" t="n">
        <v>4594.779</v>
      </c>
      <c r="E23" s="20" t="n">
        <v>3373.723</v>
      </c>
      <c r="F23" s="20" t="n">
        <v>3626.49</v>
      </c>
      <c r="G23" s="20" t="n">
        <v>3389.614</v>
      </c>
      <c r="H23" s="20" t="n">
        <v>4122.37</v>
      </c>
      <c r="I23" s="20" t="n">
        <v>3111.976</v>
      </c>
      <c r="J23" s="20" t="n">
        <v>3239.733</v>
      </c>
      <c r="K23" s="20" t="n">
        <v>3292.025</v>
      </c>
      <c r="L23" s="20" t="n">
        <v>4064.019</v>
      </c>
      <c r="M23" s="20" t="n">
        <v>2976.638</v>
      </c>
      <c r="N23" s="20" t="n">
        <v>3627.163</v>
      </c>
      <c r="O23" s="19" t="n">
        <v>6556.012</v>
      </c>
      <c r="P23" s="20" t="n">
        <v>14297.987</v>
      </c>
      <c r="Q23" s="20" t="n">
        <v>16977.598</v>
      </c>
      <c r="R23" s="20" t="n">
        <v>14835.688</v>
      </c>
      <c r="S23" s="20" t="n">
        <v>12206.788</v>
      </c>
      <c r="T23" s="20" t="n">
        <v>13221.736</v>
      </c>
      <c r="U23" s="20" t="n">
        <v>13526.714</v>
      </c>
      <c r="V23" s="20" t="n">
        <v>18252.973</v>
      </c>
      <c r="W23" s="20" t="n">
        <v>14512.197</v>
      </c>
      <c r="X23" s="20" t="n">
        <v>13707.753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1323.314</v>
      </c>
      <c r="D29" s="20" t="n">
        <v>1271.74</v>
      </c>
      <c r="E29" s="20" t="n">
        <v>1254.071</v>
      </c>
      <c r="F29" s="20" t="n">
        <v>1376.403</v>
      </c>
      <c r="G29" s="20" t="n">
        <v>1183.155</v>
      </c>
      <c r="H29" s="20" t="n">
        <v>1456.724</v>
      </c>
      <c r="I29" s="20" t="n">
        <v>1211.983</v>
      </c>
      <c r="J29" s="20" t="n">
        <v>1264.073</v>
      </c>
      <c r="K29" s="20" t="n">
        <v>1246.54</v>
      </c>
      <c r="L29" s="20" t="n">
        <v>1489.247</v>
      </c>
      <c r="M29" s="20" t="n">
        <v>1253.857</v>
      </c>
      <c r="N29" s="20" t="n">
        <v>1348.653</v>
      </c>
      <c r="O29" s="19" t="n">
        <v>1445.639</v>
      </c>
      <c r="P29" s="20" t="n">
        <v>4914.077</v>
      </c>
      <c r="Q29" s="20" t="n">
        <v>5293.878</v>
      </c>
      <c r="R29" s="20" t="n">
        <v>4768.785</v>
      </c>
      <c r="S29" s="20" t="n">
        <v>4074.954</v>
      </c>
      <c r="T29" s="20" t="n">
        <v>4401.403</v>
      </c>
      <c r="U29" s="20" t="n">
        <v>4661.541</v>
      </c>
      <c r="V29" s="20" t="n">
        <v>4992.687</v>
      </c>
      <c r="W29" s="20" t="n">
        <v>5270.353</v>
      </c>
      <c r="X29" s="20" t="n">
        <v>5211.843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148.133</v>
      </c>
      <c r="D31" s="12" t="n">
        <v>436.703</v>
      </c>
      <c r="E31" s="12" t="n">
        <v>124.738</v>
      </c>
      <c r="F31" s="12" t="n">
        <v>161.773</v>
      </c>
      <c r="G31" s="12" t="n">
        <v>335.911</v>
      </c>
      <c r="H31" s="12" t="n">
        <v>362.018</v>
      </c>
      <c r="I31" s="12" t="n">
        <v>429.612</v>
      </c>
      <c r="J31" s="12" t="n">
        <v>-47.97</v>
      </c>
      <c r="K31" s="12" t="n">
        <v>189.054</v>
      </c>
      <c r="L31" s="12" t="n">
        <v>-122.748</v>
      </c>
      <c r="M31" s="12" t="n">
        <v>106.022</v>
      </c>
      <c r="N31" s="12" t="n">
        <v>359.164</v>
      </c>
      <c r="O31" s="11" t="n">
        <v>225.703</v>
      </c>
      <c r="P31" s="12" t="n">
        <v>1124.624</v>
      </c>
      <c r="Q31" s="12" t="n">
        <v>2304.535</v>
      </c>
      <c r="R31" s="12" t="n">
        <v>1593.438</v>
      </c>
      <c r="S31" s="12" t="n">
        <v>506.188</v>
      </c>
      <c r="T31" s="12" t="n">
        <v>760.612</v>
      </c>
      <c r="U31" s="12" t="n">
        <v>638.6950000000001</v>
      </c>
      <c r="V31" s="12" t="n">
        <v>1249.246</v>
      </c>
      <c r="W31" s="12" t="n">
        <v>984.4400000000001</v>
      </c>
      <c r="X31" s="12" t="n">
        <v>447.948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0.002</v>
      </c>
      <c r="D47" s="20" t="n">
        <v>0.403</v>
      </c>
      <c r="E47" s="20" t="n">
        <v>2.949</v>
      </c>
      <c r="F47" s="20" t="n">
        <v>19.234</v>
      </c>
      <c r="G47" s="20" t="n">
        <v>-0.157</v>
      </c>
      <c r="H47" s="20" t="n">
        <v>0.183</v>
      </c>
      <c r="I47" s="20" t="n">
        <v>0.07000000000000001</v>
      </c>
      <c r="J47" s="20" t="n">
        <v>2.25</v>
      </c>
      <c r="K47" s="20" t="n">
        <v>1.367</v>
      </c>
      <c r="L47" s="20" t="n">
        <v>3.316</v>
      </c>
      <c r="M47" s="20" t="n">
        <v>0.299</v>
      </c>
      <c r="N47" s="20" t="n">
        <v>0</v>
      </c>
      <c r="O47" s="19" t="n">
        <v>71.199</v>
      </c>
      <c r="P47" s="20" t="n">
        <v>0.962</v>
      </c>
      <c r="Q47" s="20" t="n">
        <v>43.954</v>
      </c>
      <c r="R47" s="20" t="n">
        <v>5.705</v>
      </c>
      <c r="S47" s="20" t="n">
        <v>3.559</v>
      </c>
      <c r="T47" s="20" t="n">
        <v>7.191</v>
      </c>
      <c r="U47" s="20" t="n">
        <v>16.484</v>
      </c>
      <c r="V47" s="20" t="n">
        <v>2.16</v>
      </c>
      <c r="W47" s="20" t="n">
        <v>22.209</v>
      </c>
      <c r="X47" s="20" t="n">
        <v>7.003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-10.306</v>
      </c>
      <c r="D49" s="20" t="n">
        <v>16.214</v>
      </c>
      <c r="E49" s="20" t="n">
        <v>0.004</v>
      </c>
      <c r="F49" s="20" t="n">
        <v>7.935</v>
      </c>
      <c r="G49" s="20" t="n">
        <v>0.004</v>
      </c>
      <c r="H49" s="20" t="n">
        <v>5.377</v>
      </c>
      <c r="I49" s="20" t="n">
        <v>0</v>
      </c>
      <c r="J49" s="20" t="n">
        <v>10.473</v>
      </c>
      <c r="K49" s="20" t="n">
        <v>141.077</v>
      </c>
      <c r="L49" s="20" t="n">
        <v>10.004</v>
      </c>
      <c r="M49" s="20" t="n">
        <v>0.733</v>
      </c>
      <c r="N49" s="20" t="n">
        <v>0.004</v>
      </c>
      <c r="O49" s="19" t="n">
        <v>1.847</v>
      </c>
      <c r="P49" s="20" t="n">
        <v>1.852</v>
      </c>
      <c r="Q49" s="20" t="n">
        <v>9.927</v>
      </c>
      <c r="R49" s="20" t="n">
        <v>2.113</v>
      </c>
      <c r="S49" s="20" t="n">
        <v>45.571</v>
      </c>
      <c r="T49" s="20" t="n">
        <v>9.504</v>
      </c>
      <c r="U49" s="20" t="n">
        <v>163.391</v>
      </c>
      <c r="V49" s="20" t="n">
        <v>18.434</v>
      </c>
      <c r="W49" s="20" t="n">
        <v>13.32</v>
      </c>
      <c r="X49" s="20" t="n">
        <v>161.554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-36.297</v>
      </c>
      <c r="D51" s="20" t="n">
        <v>119.627</v>
      </c>
      <c r="E51" s="20" t="n">
        <v>144.715</v>
      </c>
      <c r="F51" s="20" t="n">
        <v>-78.548</v>
      </c>
      <c r="G51" s="20" t="n">
        <v>35.369</v>
      </c>
      <c r="H51" s="20" t="n">
        <v>55.565</v>
      </c>
      <c r="I51" s="20" t="n">
        <v>26.586</v>
      </c>
      <c r="J51" s="20" t="n">
        <v>18.823</v>
      </c>
      <c r="K51" s="20" t="n">
        <v>124.474</v>
      </c>
      <c r="L51" s="20" t="n">
        <v>46.913</v>
      </c>
      <c r="M51" s="20" t="n">
        <v>77.596</v>
      </c>
      <c r="N51" s="20" t="n">
        <v>11.004</v>
      </c>
      <c r="O51" s="19" t="n">
        <v>348.988</v>
      </c>
      <c r="P51" s="20" t="n">
        <v>45.686</v>
      </c>
      <c r="Q51" s="20" t="n">
        <v>114.845</v>
      </c>
      <c r="R51" s="20" t="n">
        <v>173.136</v>
      </c>
      <c r="S51" s="20" t="n">
        <v>182.443</v>
      </c>
      <c r="T51" s="20" t="n">
        <v>207.74</v>
      </c>
      <c r="U51" s="20" t="n">
        <v>228.352</v>
      </c>
      <c r="V51" s="20" t="n">
        <v>254.828</v>
      </c>
      <c r="W51" s="20" t="n">
        <v>157.101</v>
      </c>
      <c r="X51" s="20" t="n">
        <v>216.796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15.614</v>
      </c>
      <c r="D53" s="20" t="n">
        <v>9.521000000000001</v>
      </c>
      <c r="E53" s="20" t="n">
        <v>20.274</v>
      </c>
      <c r="F53" s="20" t="n">
        <v>43.367</v>
      </c>
      <c r="G53" s="20" t="n">
        <v>-7.297</v>
      </c>
      <c r="H53" s="20" t="n">
        <v>51.39</v>
      </c>
      <c r="I53" s="20" t="n">
        <v>59.936</v>
      </c>
      <c r="J53" s="20" t="n">
        <v>-2.273</v>
      </c>
      <c r="K53" s="20" t="n">
        <v>18.737</v>
      </c>
      <c r="L53" s="20" t="n">
        <v>15.48</v>
      </c>
      <c r="M53" s="20" t="n">
        <v>29.799</v>
      </c>
      <c r="N53" s="20" t="n">
        <v>111.643</v>
      </c>
      <c r="O53" s="19" t="n">
        <v>197.836</v>
      </c>
      <c r="P53" s="20" t="n">
        <v>140.71</v>
      </c>
      <c r="Q53" s="20" t="n">
        <v>95.807</v>
      </c>
      <c r="R53" s="20" t="n">
        <v>127.4</v>
      </c>
      <c r="S53" s="20" t="n">
        <v>91.577</v>
      </c>
      <c r="T53" s="20" t="n">
        <v>64.697</v>
      </c>
      <c r="U53" s="20" t="n">
        <v>53.409</v>
      </c>
      <c r="V53" s="20" t="n">
        <v>89.514</v>
      </c>
      <c r="W53" s="20" t="n">
        <v>107.734</v>
      </c>
      <c r="X53" s="20" t="n">
        <v>91.88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106.531</v>
      </c>
      <c r="D55" s="12" t="n">
        <v>530.997</v>
      </c>
      <c r="E55" s="12" t="n">
        <v>252.124</v>
      </c>
      <c r="F55" s="12" t="n">
        <v>51.158</v>
      </c>
      <c r="G55" s="12" t="n">
        <v>378.414</v>
      </c>
      <c r="H55" s="12" t="n">
        <v>361.001</v>
      </c>
      <c r="I55" s="12" t="n">
        <v>396.333</v>
      </c>
      <c r="J55" s="12" t="n">
        <v>-35.098</v>
      </c>
      <c r="K55" s="12" t="n">
        <v>155.081</v>
      </c>
      <c r="L55" s="12" t="n">
        <v>-98.003</v>
      </c>
      <c r="M55" s="12" t="n">
        <v>153.385</v>
      </c>
      <c r="N55" s="12" t="n">
        <v>258.522</v>
      </c>
      <c r="O55" s="11" t="n">
        <v>446.208</v>
      </c>
      <c r="P55" s="12" t="n">
        <v>1028.71</v>
      </c>
      <c r="Q55" s="12" t="n">
        <v>2357.6</v>
      </c>
      <c r="R55" s="12" t="n">
        <v>1642.766</v>
      </c>
      <c r="S55" s="12" t="n">
        <v>555.042</v>
      </c>
      <c r="T55" s="12" t="n">
        <v>901.341</v>
      </c>
      <c r="U55" s="12" t="n">
        <v>666.731</v>
      </c>
      <c r="V55" s="12" t="n">
        <v>1398.285</v>
      </c>
      <c r="W55" s="12" t="n">
        <v>1042.697</v>
      </c>
      <c r="X55" s="12" t="n">
        <v>418.313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67.59</v>
      </c>
      <c r="D57" s="20" t="n">
        <v>176.291</v>
      </c>
      <c r="E57" s="20" t="n">
        <v>106.935</v>
      </c>
      <c r="F57" s="20" t="n">
        <v>52.801</v>
      </c>
      <c r="G57" s="20" t="n">
        <v>117.909</v>
      </c>
      <c r="H57" s="20" t="n">
        <v>184.544</v>
      </c>
      <c r="I57" s="20" t="n">
        <v>134.174</v>
      </c>
      <c r="J57" s="20" t="n">
        <v>96.93300000000001</v>
      </c>
      <c r="K57" s="20" t="n">
        <v>131.227</v>
      </c>
      <c r="L57" s="20" t="n">
        <v>14.654</v>
      </c>
      <c r="M57" s="20" t="n">
        <v>76.404</v>
      </c>
      <c r="N57" s="20" t="n">
        <v>97.048</v>
      </c>
      <c r="O57" s="19" t="n">
        <v>53.876</v>
      </c>
      <c r="P57" s="20" t="n">
        <v>113.362</v>
      </c>
      <c r="Q57" s="20" t="n">
        <v>660.164</v>
      </c>
      <c r="R57" s="20" t="n">
        <v>547.955</v>
      </c>
      <c r="S57" s="20" t="n">
        <v>264</v>
      </c>
      <c r="T57" s="20" t="n">
        <v>356.7</v>
      </c>
      <c r="U57" s="20" t="n">
        <v>314.316</v>
      </c>
      <c r="V57" s="20" t="n">
        <v>477.778</v>
      </c>
      <c r="W57" s="20" t="n">
        <v>462.189</v>
      </c>
      <c r="X57" s="20" t="n">
        <v>376.988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38.942</v>
      </c>
      <c r="D59" s="12" t="n">
        <v>354.705</v>
      </c>
      <c r="E59" s="12" t="n">
        <v>145.189</v>
      </c>
      <c r="F59" s="12" t="n">
        <v>-1.643</v>
      </c>
      <c r="G59" s="12" t="n">
        <v>260.504</v>
      </c>
      <c r="H59" s="12" t="n">
        <v>176.458</v>
      </c>
      <c r="I59" s="12" t="n">
        <v>262.159</v>
      </c>
      <c r="J59" s="12" t="n">
        <v>-132.031</v>
      </c>
      <c r="K59" s="12" t="n">
        <v>23.854</v>
      </c>
      <c r="L59" s="12" t="n">
        <v>-112.657</v>
      </c>
      <c r="M59" s="12" t="n">
        <v>76.98099999999999</v>
      </c>
      <c r="N59" s="12" t="n">
        <v>161.473</v>
      </c>
      <c r="O59" s="11" t="n">
        <v>392.332</v>
      </c>
      <c r="P59" s="12" t="n">
        <v>915.347</v>
      </c>
      <c r="Q59" s="12" t="n">
        <v>1697.435</v>
      </c>
      <c r="R59" s="12" t="n">
        <v>1094.811</v>
      </c>
      <c r="S59" s="12" t="n">
        <v>291.041</v>
      </c>
      <c r="T59" s="12" t="n">
        <v>544.641</v>
      </c>
      <c r="U59" s="12" t="n">
        <v>352.414</v>
      </c>
      <c r="V59" s="12" t="n">
        <v>920.506</v>
      </c>
      <c r="W59" s="12" t="n">
        <v>580.508</v>
      </c>
      <c r="X59" s="12" t="n">
        <v>41.325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42.224</v>
      </c>
      <c r="D61" s="12" t="n">
        <v>360.354</v>
      </c>
      <c r="E61" s="12" t="n">
        <v>145.587</v>
      </c>
      <c r="F61" s="12" t="n">
        <v>-5.726</v>
      </c>
      <c r="G61" s="12" t="n">
        <v>257.443</v>
      </c>
      <c r="H61" s="12" t="n">
        <v>178.83</v>
      </c>
      <c r="I61" s="12" t="n">
        <v>260.676</v>
      </c>
      <c r="J61" s="12" t="n">
        <v>-132.884</v>
      </c>
      <c r="K61" s="12" t="n">
        <v>23.828</v>
      </c>
      <c r="L61" s="12" t="n">
        <v>-114.644</v>
      </c>
      <c r="M61" s="12" t="n">
        <v>76.126</v>
      </c>
      <c r="N61" s="12" t="n">
        <v>156.022</v>
      </c>
      <c r="O61" s="11" t="n">
        <v>211.316</v>
      </c>
      <c r="P61" s="12" t="n">
        <v>909.575</v>
      </c>
      <c r="Q61" s="12" t="n">
        <v>1676.268</v>
      </c>
      <c r="R61" s="12" t="n">
        <v>1063.629</v>
      </c>
      <c r="S61" s="12" t="n">
        <v>296.568</v>
      </c>
      <c r="T61" s="12" t="n">
        <v>540.825</v>
      </c>
      <c r="U61" s="12" t="n">
        <v>351.286</v>
      </c>
      <c r="V61" s="12" t="n">
        <v>929.097</v>
      </c>
      <c r="W61" s="12" t="n">
        <v>576.134</v>
      </c>
      <c r="X61" s="12" t="n">
        <v>36.976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5816.734</v>
      </c>
      <c r="D96" s="12" t="n">
        <v>6303.224</v>
      </c>
      <c r="E96" s="12" t="n">
        <v>4752.533</v>
      </c>
      <c r="F96" s="12" t="n">
        <v>5164.667</v>
      </c>
      <c r="G96" s="12" t="n">
        <v>4908.678</v>
      </c>
      <c r="H96" s="12" t="n">
        <v>5941.113</v>
      </c>
      <c r="I96" s="12" t="n">
        <v>4753.572</v>
      </c>
      <c r="J96" s="12" t="n">
        <v>4455.837</v>
      </c>
      <c r="K96" s="12" t="n">
        <v>4727.618</v>
      </c>
      <c r="L96" s="12" t="n">
        <v>5430.518</v>
      </c>
      <c r="M96" s="12" t="n">
        <v>4336.518</v>
      </c>
      <c r="N96" s="12" t="n">
        <v>5334.98</v>
      </c>
      <c r="T96" s="12" t="n">
        <v>5180.71</v>
      </c>
      <c r="U96" s="12" t="n">
        <v>5446.621</v>
      </c>
      <c r="V96" s="12" t="n">
        <v>6303.224</v>
      </c>
      <c r="W96" s="12" t="n">
        <v>5941.113</v>
      </c>
      <c r="X96" s="12" t="n">
        <v>5430.518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4345.288</v>
      </c>
      <c r="D98" s="20" t="n">
        <v>4594.779</v>
      </c>
      <c r="E98" s="20" t="n">
        <v>3373.723</v>
      </c>
      <c r="F98" s="20" t="n">
        <v>3626.49</v>
      </c>
      <c r="G98" s="20" t="n">
        <v>3389.614</v>
      </c>
      <c r="H98" s="20" t="n">
        <v>4122.37</v>
      </c>
      <c r="I98" s="20" t="n">
        <v>3111.976</v>
      </c>
      <c r="J98" s="20" t="n">
        <v>3239.733</v>
      </c>
      <c r="K98" s="20" t="n">
        <v>3292.025</v>
      </c>
      <c r="L98" s="20" t="n">
        <v>4064.019</v>
      </c>
      <c r="M98" s="20" t="n">
        <v>2976.638</v>
      </c>
      <c r="N98" s="20" t="n">
        <v>3627.163</v>
      </c>
      <c r="T98" s="20" t="n">
        <v>3766.614</v>
      </c>
      <c r="U98" s="20" t="n">
        <v>3988.146</v>
      </c>
      <c r="V98" s="20" t="n">
        <v>4594.779</v>
      </c>
      <c r="W98" s="20" t="n">
        <v>4122.37</v>
      </c>
      <c r="X98" s="20" t="n">
        <v>4064.019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1471.447</v>
      </c>
      <c r="D100" s="12" t="n">
        <v>1708.444</v>
      </c>
      <c r="E100" s="12" t="n">
        <v>1378.809</v>
      </c>
      <c r="F100" s="12" t="n">
        <v>1538.177</v>
      </c>
      <c r="G100" s="12" t="n">
        <v>1519.065</v>
      </c>
      <c r="H100" s="12" t="n">
        <v>1818.743</v>
      </c>
      <c r="I100" s="12" t="n">
        <v>1641.596</v>
      </c>
      <c r="J100" s="12" t="n">
        <v>1216.103</v>
      </c>
      <c r="K100" s="12" t="n">
        <v>1435.594</v>
      </c>
      <c r="L100" s="12" t="n">
        <v>1366.499</v>
      </c>
      <c r="M100" s="12" t="n">
        <v>1359.879</v>
      </c>
      <c r="N100" s="12" t="n">
        <v>1707.818</v>
      </c>
      <c r="T100" s="12" t="n">
        <v>1414.096</v>
      </c>
      <c r="U100" s="12" t="n">
        <v>1458.475</v>
      </c>
      <c r="V100" s="12" t="n">
        <v>1708.444</v>
      </c>
      <c r="W100" s="12" t="n">
        <v>1818.743</v>
      </c>
      <c r="X100" s="12" t="n">
        <v>1366.499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1323.314</v>
      </c>
      <c r="D102" s="20" t="n">
        <v>1271.74</v>
      </c>
      <c r="E102" s="20" t="n">
        <v>1254.071</v>
      </c>
      <c r="F102" s="20" t="n">
        <v>1376.403</v>
      </c>
      <c r="G102" s="20" t="n">
        <v>1183.155</v>
      </c>
      <c r="H102" s="20" t="n">
        <v>1456.724</v>
      </c>
      <c r="I102" s="20" t="n">
        <v>1211.983</v>
      </c>
      <c r="J102" s="20" t="n">
        <v>1264.073</v>
      </c>
      <c r="K102" s="20" t="n">
        <v>1246.54</v>
      </c>
      <c r="L102" s="20" t="n">
        <v>1489.247</v>
      </c>
      <c r="M102" s="20" t="n">
        <v>1253.857</v>
      </c>
      <c r="N102" s="20" t="n">
        <v>1348.653</v>
      </c>
      <c r="T102" s="20" t="n">
        <v>1211.296</v>
      </c>
      <c r="U102" s="20" t="n">
        <v>1127.592</v>
      </c>
      <c r="V102" s="20" t="n">
        <v>1271.74</v>
      </c>
      <c r="W102" s="20" t="n">
        <v>1456.724</v>
      </c>
      <c r="X102" s="20" t="n">
        <v>1489.247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148.133</v>
      </c>
      <c r="D104" s="12" t="n">
        <v>436.703</v>
      </c>
      <c r="E104" s="12" t="n">
        <v>124.738</v>
      </c>
      <c r="F104" s="12" t="n">
        <v>161.773</v>
      </c>
      <c r="G104" s="12" t="n">
        <v>335.911</v>
      </c>
      <c r="H104" s="12" t="n">
        <v>362.018</v>
      </c>
      <c r="I104" s="12" t="n">
        <v>429.612</v>
      </c>
      <c r="J104" s="12" t="n">
        <v>-47.97</v>
      </c>
      <c r="K104" s="12" t="n">
        <v>189.054</v>
      </c>
      <c r="L104" s="12" t="n">
        <v>-122.748</v>
      </c>
      <c r="M104" s="12" t="n">
        <v>106.022</v>
      </c>
      <c r="N104" s="12" t="n">
        <v>359.164</v>
      </c>
      <c r="T104" s="12" t="n">
        <v>202.801</v>
      </c>
      <c r="U104" s="12" t="n">
        <v>330.883</v>
      </c>
      <c r="V104" s="12" t="n">
        <v>436.703</v>
      </c>
      <c r="W104" s="12" t="n">
        <v>362.018</v>
      </c>
      <c r="X104" s="12" t="n">
        <v>-122.748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4.678</v>
      </c>
      <c r="D107" s="20" t="n">
        <v>7.067</v>
      </c>
      <c r="E107" s="20" t="n">
        <v>5.501</v>
      </c>
      <c r="F107" s="20" t="n">
        <v>4.291</v>
      </c>
      <c r="G107" s="20" t="n">
        <v>5.624</v>
      </c>
      <c r="H107" s="20" t="n">
        <v>4.846</v>
      </c>
      <c r="I107" s="20" t="n">
        <v>7.103</v>
      </c>
      <c r="J107" s="20" t="n">
        <v>4.966</v>
      </c>
      <c r="K107" s="20" t="n">
        <v>5.619</v>
      </c>
      <c r="L107" s="20" t="n">
        <v>5.36</v>
      </c>
      <c r="M107" s="20" t="n">
        <v>6.38</v>
      </c>
      <c r="N107" s="20" t="n">
        <v>4.32</v>
      </c>
      <c r="T107" s="20" t="n">
        <v>2.807</v>
      </c>
      <c r="U107" s="20" t="n">
        <v>3.416</v>
      </c>
      <c r="V107" s="20" t="n">
        <v>7.067</v>
      </c>
      <c r="W107" s="20" t="n">
        <v>4.846</v>
      </c>
      <c r="X107" s="20" t="n">
        <v>5.36</v>
      </c>
    </row>
    <row r="108">
      <c r="A108" s="18" t="inlineStr">
        <is>
          <t>배당금수익</t>
        </is>
      </c>
      <c r="C108" s="20" t="n">
        <v>5.53</v>
      </c>
      <c r="D108" s="20" t="n">
        <v>0.6850000000000001</v>
      </c>
      <c r="E108" s="20" t="n">
        <v>8.673</v>
      </c>
      <c r="F108" s="20" t="n">
        <v>0.545</v>
      </c>
      <c r="G108" s="20" t="n">
        <v>7.638</v>
      </c>
      <c r="H108" s="20" t="n">
        <v>0.789</v>
      </c>
      <c r="I108" s="20" t="n">
        <v>10.933</v>
      </c>
      <c r="J108" s="20" t="n">
        <v>0.672</v>
      </c>
      <c r="K108" s="20" t="n">
        <v>9.289999999999999</v>
      </c>
      <c r="L108" s="20" t="n">
        <v>0.977</v>
      </c>
      <c r="M108" s="20" t="n">
        <v>12.812</v>
      </c>
      <c r="N108" s="20" t="n">
        <v>1.021</v>
      </c>
      <c r="T108" s="20" t="n">
        <v>0.469</v>
      </c>
      <c r="U108" s="20" t="n">
        <v>0.593</v>
      </c>
      <c r="V108" s="20" t="n">
        <v>0.6850000000000001</v>
      </c>
      <c r="W108" s="20" t="n">
        <v>0.789</v>
      </c>
      <c r="X108" s="20" t="n">
        <v>0.977</v>
      </c>
    </row>
    <row r="109">
      <c r="A109" s="18" t="inlineStr">
        <is>
          <t>외환차익</t>
        </is>
      </c>
      <c r="C109" s="20" t="n">
        <v>-49.365</v>
      </c>
      <c r="D109" s="20" t="n">
        <v>45.082</v>
      </c>
      <c r="E109" s="20" t="n">
        <v>105.446</v>
      </c>
      <c r="F109" s="20" t="n">
        <v>-105.446</v>
      </c>
      <c r="G109" s="20" t="n">
        <v>16.693</v>
      </c>
      <c r="H109" s="20" t="n">
        <v>-16.693</v>
      </c>
      <c r="I109" s="20" t="n">
        <v>0</v>
      </c>
      <c r="J109" s="20" t="n">
        <v>1.724</v>
      </c>
      <c r="K109" s="20" t="n">
        <v>62.797</v>
      </c>
      <c r="L109" s="20" t="n">
        <v>21.267</v>
      </c>
      <c r="M109" s="20" t="n">
        <v>43.21</v>
      </c>
      <c r="N109" s="20" t="n">
        <v>-32.13</v>
      </c>
      <c r="T109" s="20" t="n">
        <v>44.448</v>
      </c>
      <c r="U109" s="20" t="n">
        <v>30.794</v>
      </c>
      <c r="V109" s="20" t="n">
        <v>45.082</v>
      </c>
      <c r="W109" s="20" t="n">
        <v>-16.693</v>
      </c>
      <c r="X109" s="20" t="n">
        <v>21.267</v>
      </c>
    </row>
    <row r="110">
      <c r="A110" s="18" t="inlineStr">
        <is>
          <t>보험 해약환급금</t>
        </is>
      </c>
      <c r="T110" s="20" t="n">
        <v>28.307</v>
      </c>
      <c r="U110" s="20" t="n">
        <v>2.802</v>
      </c>
    </row>
    <row r="111">
      <c r="A111" s="18" t="inlineStr">
        <is>
          <t>보조금 수입</t>
        </is>
      </c>
      <c r="T111" s="20" t="n">
        <v>0.118</v>
      </c>
      <c r="U111" s="20" t="n">
        <v>0</v>
      </c>
    </row>
    <row r="112">
      <c r="A112" s="18" t="inlineStr">
        <is>
          <t>부가가치세 환급금</t>
        </is>
      </c>
      <c r="C112" s="20" t="n">
        <v>0</v>
      </c>
      <c r="D112" s="20" t="n">
        <v>0</v>
      </c>
      <c r="G112" s="20" t="n">
        <v>-3.544</v>
      </c>
      <c r="H112" s="20" t="n">
        <v>5.95</v>
      </c>
      <c r="K112" s="20" t="n">
        <v>7.407</v>
      </c>
      <c r="L112" s="20" t="n">
        <v>4.592</v>
      </c>
      <c r="V112" s="20" t="n">
        <v>0</v>
      </c>
      <c r="W112" s="20" t="n">
        <v>5.95</v>
      </c>
      <c r="X112" s="20" t="n">
        <v>4.592</v>
      </c>
    </row>
    <row r="113">
      <c r="A113" s="18" t="inlineStr">
        <is>
          <t>기타</t>
        </is>
      </c>
      <c r="C113" s="20" t="n">
        <v>2.86</v>
      </c>
      <c r="D113" s="20" t="n">
        <v>16.152</v>
      </c>
      <c r="E113" s="20" t="n">
        <v>25.093</v>
      </c>
      <c r="F113" s="20" t="n">
        <v>-12.547</v>
      </c>
      <c r="G113" s="20" t="n">
        <v>8.956</v>
      </c>
      <c r="H113" s="20" t="n">
        <v>2.321</v>
      </c>
      <c r="I113" s="20" t="n">
        <v>8.548999999999999</v>
      </c>
      <c r="J113" s="20" t="n">
        <v>9.824999999999999</v>
      </c>
      <c r="K113" s="20" t="n">
        <v>37.361</v>
      </c>
      <c r="L113" s="20" t="n">
        <v>-12.421</v>
      </c>
      <c r="M113" s="20" t="n">
        <v>15.193</v>
      </c>
      <c r="N113" s="20" t="n">
        <v>12.699</v>
      </c>
      <c r="T113" s="20" t="n">
        <v>3.242</v>
      </c>
      <c r="U113" s="20" t="n">
        <v>-5.269</v>
      </c>
      <c r="V113" s="20" t="n">
        <v>16.152</v>
      </c>
      <c r="W113" s="20" t="n">
        <v>2.321</v>
      </c>
      <c r="X113" s="20" t="n">
        <v>-12.421</v>
      </c>
    </row>
    <row r="114">
      <c r="A114" s="18" t="inlineStr">
        <is>
          <t>영업외수익 합계</t>
        </is>
      </c>
      <c r="C114" s="20" t="n">
        <v>-36.297</v>
      </c>
      <c r="D114" s="20" t="n">
        <v>119.627</v>
      </c>
      <c r="E114" s="20" t="n">
        <v>144.715</v>
      </c>
      <c r="F114" s="20" t="n">
        <v>-78.548</v>
      </c>
      <c r="G114" s="20" t="n">
        <v>35.369</v>
      </c>
      <c r="H114" s="20" t="n">
        <v>55.565</v>
      </c>
      <c r="I114" s="20" t="n">
        <v>26.586</v>
      </c>
      <c r="J114" s="20" t="n">
        <v>18.823</v>
      </c>
      <c r="K114" s="20" t="n">
        <v>124.474</v>
      </c>
      <c r="L114" s="20" t="n">
        <v>46.913</v>
      </c>
      <c r="M114" s="20" t="n">
        <v>77.596</v>
      </c>
      <c r="N114" s="20" t="n">
        <v>11.004</v>
      </c>
      <c r="T114" s="20" t="n">
        <v>83.252</v>
      </c>
      <c r="U114" s="20" t="n">
        <v>66.93899999999999</v>
      </c>
      <c r="V114" s="20" t="n">
        <v>119.627</v>
      </c>
      <c r="W114" s="20" t="n">
        <v>55.565</v>
      </c>
      <c r="X114" s="20" t="n">
        <v>46.913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이자비용</t>
        </is>
      </c>
      <c r="C116" s="20" t="n">
        <v>14.267</v>
      </c>
      <c r="D116" s="20" t="n">
        <v>14.352</v>
      </c>
      <c r="E116" s="20" t="n">
        <v>12.142</v>
      </c>
      <c r="F116" s="20" t="n">
        <v>15.245</v>
      </c>
      <c r="G116" s="20" t="n">
        <v>13.661</v>
      </c>
      <c r="H116" s="20" t="n">
        <v>16.925</v>
      </c>
      <c r="I116" s="20" t="n">
        <v>18.512</v>
      </c>
      <c r="J116" s="20" t="n">
        <v>12.764</v>
      </c>
      <c r="K116" s="20" t="n">
        <v>17.323</v>
      </c>
      <c r="L116" s="20" t="n">
        <v>17.146</v>
      </c>
      <c r="M116" s="20" t="n">
        <v>21.921</v>
      </c>
      <c r="N116" s="20" t="n">
        <v>17.48</v>
      </c>
      <c r="T116" s="20" t="n">
        <v>9.563000000000001</v>
      </c>
      <c r="U116" s="20" t="n">
        <v>10.918</v>
      </c>
      <c r="V116" s="20" t="n">
        <v>14.352</v>
      </c>
      <c r="W116" s="20" t="n">
        <v>16.925</v>
      </c>
      <c r="X116" s="20" t="n">
        <v>17.146</v>
      </c>
    </row>
    <row r="117">
      <c r="A117" s="18" t="inlineStr">
        <is>
          <t>외환차손</t>
        </is>
      </c>
      <c r="E117" s="20" t="n">
        <v>0</v>
      </c>
      <c r="F117" s="20" t="n">
        <v>21.897</v>
      </c>
      <c r="I117" s="20" t="n">
        <v>32.854</v>
      </c>
      <c r="J117" s="20" t="n">
        <v>-32.854</v>
      </c>
      <c r="M117" s="20" t="n">
        <v>0</v>
      </c>
    </row>
    <row r="118">
      <c r="A118" s="18" t="inlineStr">
        <is>
          <t>자금조달비용</t>
        </is>
      </c>
      <c r="C118" s="20" t="n">
        <v>0.635</v>
      </c>
      <c r="D118" s="20" t="n">
        <v>0.496</v>
      </c>
      <c r="G118" s="20" t="n">
        <v>0.654</v>
      </c>
      <c r="H118" s="20" t="n">
        <v>0.548</v>
      </c>
      <c r="U118" s="20" t="n">
        <v>0.555</v>
      </c>
      <c r="V118" s="20" t="n">
        <v>0.496</v>
      </c>
      <c r="W118" s="20" t="n">
        <v>0.548</v>
      </c>
    </row>
    <row r="119">
      <c r="A119" s="18" t="inlineStr">
        <is>
          <t>기타</t>
        </is>
      </c>
      <c r="C119" s="20" t="n">
        <v>0.712</v>
      </c>
      <c r="D119" s="20" t="n">
        <v>-5.327</v>
      </c>
      <c r="E119" s="20" t="n">
        <v>8.132</v>
      </c>
      <c r="F119" s="20" t="n">
        <v>6.223</v>
      </c>
      <c r="G119" s="20" t="n">
        <v>0.9409999999999999</v>
      </c>
      <c r="H119" s="20" t="n">
        <v>-3.93</v>
      </c>
      <c r="I119" s="20" t="n">
        <v>8.57</v>
      </c>
      <c r="J119" s="20" t="n">
        <v>17.817</v>
      </c>
      <c r="K119" s="20" t="n">
        <v>1.413</v>
      </c>
      <c r="L119" s="20" t="n">
        <v>-11.41</v>
      </c>
      <c r="M119" s="20" t="n">
        <v>7.878</v>
      </c>
      <c r="N119" s="20" t="n">
        <v>5.99</v>
      </c>
      <c r="T119" s="20" t="n">
        <v>-9.754</v>
      </c>
      <c r="U119" s="20" t="n">
        <v>0.025</v>
      </c>
      <c r="V119" s="20" t="n">
        <v>-5.327</v>
      </c>
      <c r="W119" s="20" t="n">
        <v>-3.93</v>
      </c>
      <c r="X119" s="20" t="n">
        <v>-11.41</v>
      </c>
    </row>
    <row r="120">
      <c r="A120" s="18" t="inlineStr">
        <is>
          <t>영업외비용 합계</t>
        </is>
      </c>
      <c r="C120" s="20" t="n">
        <v>15.614</v>
      </c>
      <c r="D120" s="20" t="n">
        <v>9.521000000000001</v>
      </c>
      <c r="E120" s="20" t="n">
        <v>20.274</v>
      </c>
      <c r="F120" s="20" t="n">
        <v>43.367</v>
      </c>
      <c r="G120" s="20" t="n">
        <v>-7.297</v>
      </c>
      <c r="H120" s="20" t="n">
        <v>51.39</v>
      </c>
      <c r="I120" s="20" t="n">
        <v>59.936</v>
      </c>
      <c r="J120" s="20" t="n">
        <v>-2.273</v>
      </c>
      <c r="K120" s="20" t="n">
        <v>18.737</v>
      </c>
      <c r="L120" s="20" t="n">
        <v>15.48</v>
      </c>
      <c r="M120" s="20" t="n">
        <v>29.799</v>
      </c>
      <c r="N120" s="20" t="n">
        <v>111.643</v>
      </c>
      <c r="T120" s="20" t="n">
        <v>7.046</v>
      </c>
      <c r="U120" s="20" t="n">
        <v>11.497</v>
      </c>
      <c r="V120" s="20" t="n">
        <v>9.521000000000001</v>
      </c>
      <c r="W120" s="20" t="n">
        <v>51.39</v>
      </c>
      <c r="X120" s="20" t="n">
        <v>15.48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IF(OR(G120="",C120=""),"",IF(G120*C120&lt;=0,"",IFERROR(G120/C120-1,"")))</f>
        <v/>
      </c>
      <c r="H121" s="15">
        <f>IF(OR(H120="",D120=""),"",IF(H120*D120&lt;=0,"",IFERROR(H120/D120-1,"")))</f>
        <v/>
      </c>
      <c r="I121" s="15">
        <f>IF(OR(I120="",E120=""),"",IF(I120*E120&lt;=0,"",IFERROR(I120/E120-1,"")))</f>
        <v/>
      </c>
      <c r="J121" s="15">
        <f>IF(OR(J120="",F120=""),"",IF(J120*F120&lt;=0,"",IFERROR(J120/F120-1,"")))</f>
        <v/>
      </c>
      <c r="K121" s="15">
        <f>IF(OR(K120="",G120=""),"",IF(K120*G120&lt;=0,"",IFERROR(K120/G120-1,"")))</f>
        <v/>
      </c>
      <c r="L121" s="15">
        <f>IF(OR(L120="",H120=""),"",IF(L120*H120&lt;=0,"",IFERROR(L120/H120-1,"")))</f>
        <v/>
      </c>
      <c r="M121" s="15">
        <f>IF(OR(M120="",I120=""),"",IF(M120*I120&lt;=0,"",IFERROR(M120/I120-1,"")))</f>
        <v/>
      </c>
      <c r="N121" s="15">
        <f>IF(OR(N120="",J120=""),"",IF(N120*J120&lt;=0,"",IFERROR(N120/J120-1,"")))</f>
        <v/>
      </c>
      <c r="T121" s="15">
        <f>IF(OR(T120="",S120=""),"",IF(T120*S120&lt;=0,"",IFERROR(T120/S120-1,"")))</f>
        <v/>
      </c>
      <c r="U121" s="15">
        <f>IF(OR(U120="",T120=""),"",IF(U120*T120&lt;=0,"",IFERROR(U120/T120-1,"")))</f>
        <v/>
      </c>
      <c r="V121" s="15">
        <f>IF(OR(V120="",U120=""),"",IF(V120*U120&lt;=0,"",IFERROR(V120/U120-1,"")))</f>
        <v/>
      </c>
      <c r="W121" s="15">
        <f>IF(OR(W120="",V120=""),"",IF(W120*V120&lt;=0,"",IFERROR(W120/V120-1,"")))</f>
        <v/>
      </c>
      <c r="X121" s="15">
        <f>IF(OR(X120="",W120=""),"",IF(X120*W120&lt;=0,"",IFERROR(X120/W120-1,"")))</f>
        <v/>
      </c>
    </row>
    <row r="122">
      <c r="A122" s="9" t="inlineStr">
        <is>
          <t>경상이익</t>
        </is>
      </c>
      <c r="C122" s="12" t="n">
        <v>96.223</v>
      </c>
      <c r="D122" s="12" t="n">
        <v>546.809</v>
      </c>
      <c r="E122" s="12" t="n">
        <v>249.179</v>
      </c>
      <c r="F122" s="12" t="n">
        <v>39.859</v>
      </c>
      <c r="G122" s="12" t="n">
        <v>378.575</v>
      </c>
      <c r="H122" s="12" t="n">
        <v>366.195</v>
      </c>
      <c r="I122" s="12" t="n">
        <v>396.262</v>
      </c>
      <c r="J122" s="12" t="n">
        <v>-26.874</v>
      </c>
      <c r="K122" s="12" t="n">
        <v>294.791</v>
      </c>
      <c r="L122" s="12" t="n">
        <v>-91.315</v>
      </c>
      <c r="M122" s="12" t="n">
        <v>153.818</v>
      </c>
      <c r="N122" s="12" t="n">
        <v>258.526</v>
      </c>
      <c r="T122" s="12" t="n">
        <v>279.006</v>
      </c>
      <c r="U122" s="12" t="n">
        <v>386.324</v>
      </c>
      <c r="V122" s="12" t="n">
        <v>546.809</v>
      </c>
      <c r="W122" s="12" t="n">
        <v>366.195</v>
      </c>
      <c r="X122" s="12" t="n">
        <v>-91.315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IF(OR(G122="",C122=""),"",IF(C122&lt;=0,"",IFERROR(G122/C122-1,"")))</f>
        <v/>
      </c>
      <c r="H123" s="15">
        <f>IF(OR(H122="",D122=""),"",IF(D122&lt;=0,"",IFERROR(H122/D122-1,"")))</f>
        <v/>
      </c>
      <c r="I123" s="15">
        <f>IF(OR(I122="",E122=""),"",IF(E122&lt;=0,"",IFERROR(I122/E122-1,"")))</f>
        <v/>
      </c>
      <c r="J123" s="15">
        <f>IF(OR(J122="",F122=""),"",IF(F122&lt;=0,"",IFERROR(J122/F122-1,"")))</f>
        <v/>
      </c>
      <c r="K123" s="15">
        <f>IF(OR(K122="",G122=""),"",IF(G122&lt;=0,"",IFERROR(K122/G122-1,"")))</f>
        <v/>
      </c>
      <c r="L123" s="15">
        <f>IF(OR(L122="",H122=""),"",IF(H122&lt;=0,"",IFERROR(L122/H122-1,"")))</f>
        <v/>
      </c>
      <c r="M123" s="15">
        <f>IF(OR(M122="",I122=""),"",IF(I122&lt;=0,"",IFERROR(M122/I122-1,"")))</f>
        <v/>
      </c>
      <c r="N123" s="15">
        <f>IF(OR(N122="",J122=""),"",IF(J122&lt;=0,"",IFERROR(N122/J122-1,"")))</f>
        <v/>
      </c>
      <c r="T123" s="15">
        <f>IF(OR(T122="",S122=""),"",IF(S122&lt;=0,"",IFERROR(T122/S122-1,"")))</f>
        <v/>
      </c>
      <c r="U123" s="15">
        <f>IF(OR(U122="",T122=""),"",IF(T122&lt;=0,"",IFERROR(U122/T122-1,"")))</f>
        <v/>
      </c>
      <c r="V123" s="15">
        <f>IF(OR(V122="",U122=""),"",IF(U122&lt;=0,"",IFERROR(V122/U122-1,"")))</f>
        <v/>
      </c>
      <c r="W123" s="15">
        <f>IF(OR(W122="",V122=""),"",IF(V122&lt;=0,"",IFERROR(W122/V122-1,"")))</f>
        <v/>
      </c>
      <c r="X123" s="15">
        <f>IF(OR(X122="",W122=""),"",IF(W122&lt;=0,"",IFERROR(X122/W122-1,"")))</f>
        <v/>
      </c>
    </row>
    <row r="124">
      <c r="A124" s="18" t="inlineStr">
        <is>
          <t>고정자산 매각이익</t>
        </is>
      </c>
      <c r="C124" s="20" t="n">
        <v>0.002</v>
      </c>
      <c r="D124" s="20" t="n">
        <v>0.403</v>
      </c>
      <c r="E124" s="20" t="n">
        <v>2.949</v>
      </c>
      <c r="F124" s="20" t="n">
        <v>19.234</v>
      </c>
      <c r="G124" s="20" t="n">
        <v>-0.157</v>
      </c>
      <c r="H124" s="20" t="n">
        <v>0.183</v>
      </c>
      <c r="I124" s="20" t="n">
        <v>0.07000000000000001</v>
      </c>
      <c r="J124" s="20" t="n">
        <v>2.25</v>
      </c>
      <c r="K124" s="20" t="n">
        <v>1.367</v>
      </c>
      <c r="L124" s="20" t="n">
        <v>3.316</v>
      </c>
      <c r="M124" s="20" t="n">
        <v>0.299</v>
      </c>
      <c r="N124" s="20" t="n">
        <v>0</v>
      </c>
      <c r="T124" s="20" t="n">
        <v>1.338</v>
      </c>
      <c r="U124" s="20" t="n">
        <v>-0.006</v>
      </c>
      <c r="V124" s="20" t="n">
        <v>0.403</v>
      </c>
      <c r="W124" s="20" t="n">
        <v>0.183</v>
      </c>
      <c r="X124" s="20" t="n">
        <v>3.316</v>
      </c>
    </row>
    <row r="125">
      <c r="A125" s="18" t="inlineStr">
        <is>
          <t>투자유가증권 매각이익</t>
        </is>
      </c>
      <c r="C125" s="20" t="n">
        <v>0</v>
      </c>
      <c r="D125" s="20" t="n">
        <v>0</v>
      </c>
      <c r="T125" s="20" t="n">
        <v>0</v>
      </c>
      <c r="U125" s="20" t="n">
        <v>0</v>
      </c>
      <c r="V125" s="20" t="n">
        <v>0</v>
      </c>
    </row>
    <row r="126">
      <c r="A126" s="18" t="inlineStr">
        <is>
          <t>특별이익 합계</t>
        </is>
      </c>
      <c r="C126" s="20" t="n">
        <v>0.002</v>
      </c>
      <c r="D126" s="20" t="n">
        <v>0.403</v>
      </c>
      <c r="E126" s="20" t="n">
        <v>2.949</v>
      </c>
      <c r="F126" s="20" t="n">
        <v>19.234</v>
      </c>
      <c r="G126" s="20" t="n">
        <v>-0.157</v>
      </c>
      <c r="H126" s="20" t="n">
        <v>0.183</v>
      </c>
      <c r="I126" s="20" t="n">
        <v>0.07000000000000001</v>
      </c>
      <c r="J126" s="20" t="n">
        <v>2.25</v>
      </c>
      <c r="K126" s="20" t="n">
        <v>1.367</v>
      </c>
      <c r="L126" s="20" t="n">
        <v>3.316</v>
      </c>
      <c r="M126" s="20" t="n">
        <v>0.299</v>
      </c>
      <c r="N126" s="20" t="n">
        <v>0</v>
      </c>
      <c r="T126" s="20" t="n">
        <v>1.338</v>
      </c>
      <c r="U126" s="20" t="n">
        <v>-0.005</v>
      </c>
      <c r="V126" s="20" t="n">
        <v>0.403</v>
      </c>
      <c r="W126" s="20" t="n">
        <v>0.183</v>
      </c>
      <c r="X126" s="20" t="n">
        <v>3.316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18" t="inlineStr">
        <is>
          <t>고정자산 제각·매각손실</t>
        </is>
      </c>
      <c r="C128" s="20" t="n">
        <v>0.022</v>
      </c>
      <c r="D128" s="20" t="n">
        <v>1.297</v>
      </c>
      <c r="E128" s="20" t="n">
        <v>0.004</v>
      </c>
      <c r="F128" s="20" t="n">
        <v>6.902</v>
      </c>
      <c r="G128" s="20" t="n">
        <v>0.004</v>
      </c>
      <c r="H128" s="20" t="n">
        <v>0.057</v>
      </c>
      <c r="I128" s="20" t="n">
        <v>0</v>
      </c>
      <c r="J128" s="20" t="n">
        <v>10.013</v>
      </c>
      <c r="K128" s="20" t="n">
        <v>0</v>
      </c>
      <c r="L128" s="20" t="n">
        <v>0.004</v>
      </c>
      <c r="M128" s="20" t="n">
        <v>0.733</v>
      </c>
      <c r="N128" s="20" t="n">
        <v>0.004</v>
      </c>
      <c r="T128" s="20" t="n">
        <v>0.334</v>
      </c>
      <c r="U128" s="20" t="n">
        <v>6.783</v>
      </c>
      <c r="V128" s="20" t="n">
        <v>1.297</v>
      </c>
      <c r="W128" s="20" t="n">
        <v>0.057</v>
      </c>
      <c r="X128" s="20" t="n">
        <v>0.004</v>
      </c>
    </row>
    <row r="129">
      <c r="A129" s="18" t="inlineStr">
        <is>
          <t>투자유가증권 매각손실</t>
        </is>
      </c>
      <c r="D129" s="20" t="n">
        <v>0</v>
      </c>
      <c r="T129" s="20" t="n">
        <v>0</v>
      </c>
      <c r="U129" s="20" t="n">
        <v>0</v>
      </c>
      <c r="V129" s="20" t="n">
        <v>0</v>
      </c>
    </row>
    <row r="130">
      <c r="A130" s="18" t="inlineStr">
        <is>
          <t>투자유가증권 평가손실</t>
        </is>
      </c>
      <c r="C130" s="20" t="n">
        <v>-10.327</v>
      </c>
      <c r="E130" s="20" t="n">
        <v>0</v>
      </c>
      <c r="F130" s="20" t="n">
        <v>0</v>
      </c>
      <c r="T130" s="20" t="n">
        <v>0</v>
      </c>
    </row>
    <row r="131">
      <c r="A131" s="18" t="inlineStr">
        <is>
          <t>회원권 평가손실</t>
        </is>
      </c>
      <c r="C131" s="20" t="n">
        <v>0</v>
      </c>
      <c r="D131" s="20" t="n">
        <v>0</v>
      </c>
      <c r="G131" s="20" t="n">
        <v>0</v>
      </c>
      <c r="H131" s="20" t="n">
        <v>0</v>
      </c>
      <c r="K131" s="20" t="n">
        <v>0</v>
      </c>
      <c r="L131" s="20" t="n">
        <v>0</v>
      </c>
      <c r="V131" s="20" t="n">
        <v>0</v>
      </c>
      <c r="W131" s="20" t="n">
        <v>0</v>
      </c>
      <c r="X131" s="20" t="n">
        <v>0</v>
      </c>
    </row>
    <row r="132">
      <c r="A132" s="18" t="inlineStr">
        <is>
          <t>자회사 청산손실</t>
        </is>
      </c>
      <c r="T132" s="20" t="n">
        <v>0</v>
      </c>
      <c r="U132" s="20" t="n">
        <v>0</v>
      </c>
    </row>
    <row r="133">
      <c r="A133" s="18" t="inlineStr">
        <is>
          <t>코로나19 관련 손실</t>
        </is>
      </c>
      <c r="C133" s="20" t="n">
        <v>0</v>
      </c>
      <c r="D133" s="20" t="n">
        <v>0</v>
      </c>
      <c r="T133" s="20" t="n">
        <v>0</v>
      </c>
      <c r="U133" s="20" t="n">
        <v>-7.245</v>
      </c>
      <c r="V133" s="20" t="n">
        <v>0</v>
      </c>
    </row>
    <row r="134">
      <c r="A134" s="18" t="inlineStr">
        <is>
          <t>구조개혁 비용</t>
        </is>
      </c>
      <c r="H134" s="20" t="n">
        <v>0</v>
      </c>
      <c r="L134" s="20" t="n">
        <v>10</v>
      </c>
      <c r="W134" s="20" t="n">
        <v>0</v>
      </c>
      <c r="X134" s="20" t="n">
        <v>10</v>
      </c>
    </row>
    <row r="135">
      <c r="A135" s="18" t="inlineStr">
        <is>
          <t>특별손실 합계</t>
        </is>
      </c>
      <c r="C135" s="20" t="n">
        <v>-10.306</v>
      </c>
      <c r="D135" s="20" t="n">
        <v>16.214</v>
      </c>
      <c r="E135" s="20" t="n">
        <v>0.004</v>
      </c>
      <c r="F135" s="20" t="n">
        <v>7.935</v>
      </c>
      <c r="G135" s="20" t="n">
        <v>0.004</v>
      </c>
      <c r="H135" s="20" t="n">
        <v>5.377</v>
      </c>
      <c r="I135" s="20" t="n">
        <v>0</v>
      </c>
      <c r="J135" s="20" t="n">
        <v>10.473</v>
      </c>
      <c r="K135" s="20" t="n">
        <v>141.077</v>
      </c>
      <c r="L135" s="20" t="n">
        <v>10.004</v>
      </c>
      <c r="M135" s="20" t="n">
        <v>0.733</v>
      </c>
      <c r="N135" s="20" t="n">
        <v>0.004</v>
      </c>
      <c r="T135" s="20" t="n">
        <v>0.869</v>
      </c>
      <c r="U135" s="20" t="n">
        <v>42.339</v>
      </c>
      <c r="V135" s="20" t="n">
        <v>16.214</v>
      </c>
      <c r="W135" s="20" t="n">
        <v>5.377</v>
      </c>
      <c r="X135" s="20" t="n">
        <v>10.004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IF(OR(G135="",C135=""),"",IF(G135*C135&lt;=0,"",IFERROR(G135/C135-1,"")))</f>
        <v/>
      </c>
      <c r="H136" s="15">
        <f>IF(OR(H135="",D135=""),"",IF(H135*D135&lt;=0,"",IFERROR(H135/D135-1,"")))</f>
        <v/>
      </c>
      <c r="I136" s="15">
        <f>IF(OR(I135="",E135=""),"",IF(I135*E135&lt;=0,"",IFERROR(I135/E135-1,"")))</f>
        <v/>
      </c>
      <c r="J136" s="15">
        <f>IF(OR(J135="",F135=""),"",IF(J135*F135&lt;=0,"",IFERROR(J135/F135-1,"")))</f>
        <v/>
      </c>
      <c r="K136" s="15">
        <f>IF(OR(K135="",G135=""),"",IF(K135*G135&lt;=0,"",IFERROR(K135/G135-1,"")))</f>
        <v/>
      </c>
      <c r="L136" s="15">
        <f>IF(OR(L135="",H135=""),"",IF(L135*H135&lt;=0,"",IFERROR(L135/H135-1,"")))</f>
        <v/>
      </c>
      <c r="M136" s="15">
        <f>IF(OR(M135="",I135=""),"",IF(M135*I135&lt;=0,"",IFERROR(M135/I135-1,"")))</f>
        <v/>
      </c>
      <c r="N136" s="15">
        <f>IF(OR(N135="",J135=""),"",IF(N135*J135&lt;=0,"",IFERROR(N135/J135-1,"")))</f>
        <v/>
      </c>
      <c r="T136" s="15">
        <f>IF(OR(T135="",S135=""),"",IF(T135*S135&lt;=0,"",IFERROR(T135/S135-1,"")))</f>
        <v/>
      </c>
      <c r="U136" s="15">
        <f>IF(OR(U135="",T135=""),"",IF(U135*T135&lt;=0,"",IFERROR(U135/T135-1,"")))</f>
        <v/>
      </c>
      <c r="V136" s="15">
        <f>IF(OR(V135="",U135=""),"",IF(V135*U135&lt;=0,"",IFERROR(V135/U135-1,"")))</f>
        <v/>
      </c>
      <c r="W136" s="15">
        <f>IF(OR(W135="",V135=""),"",IF(W135*V135&lt;=0,"",IFERROR(W135/V135-1,"")))</f>
        <v/>
      </c>
      <c r="X136" s="15">
        <f>IF(OR(X135="",W135=""),"",IF(X135*W135&lt;=0,"",IFERROR(X135/W135-1,"")))</f>
        <v/>
      </c>
    </row>
    <row r="137">
      <c r="A137" s="9" t="inlineStr">
        <is>
          <t>법인세차감전 순이익</t>
        </is>
      </c>
      <c r="C137" s="12" t="n">
        <v>106.531</v>
      </c>
      <c r="D137" s="12" t="n">
        <v>530.997</v>
      </c>
      <c r="E137" s="12" t="n">
        <v>252.124</v>
      </c>
      <c r="F137" s="12" t="n">
        <v>51.158</v>
      </c>
      <c r="G137" s="12" t="n">
        <v>378.414</v>
      </c>
      <c r="H137" s="12" t="n">
        <v>361.001</v>
      </c>
      <c r="I137" s="12" t="n">
        <v>396.333</v>
      </c>
      <c r="J137" s="12" t="n">
        <v>-35.098</v>
      </c>
      <c r="K137" s="12" t="n">
        <v>155.081</v>
      </c>
      <c r="L137" s="12" t="n">
        <v>-98.003</v>
      </c>
      <c r="M137" s="12" t="n">
        <v>153.385</v>
      </c>
      <c r="N137" s="12" t="n">
        <v>258.522</v>
      </c>
      <c r="T137" s="12" t="n">
        <v>279.475</v>
      </c>
      <c r="U137" s="12" t="n">
        <v>343.98</v>
      </c>
      <c r="V137" s="12" t="n">
        <v>530.997</v>
      </c>
      <c r="W137" s="12" t="n">
        <v>361.001</v>
      </c>
      <c r="X137" s="12" t="n">
        <v>-98.003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법인세·주민세·사업세</t>
        </is>
      </c>
      <c r="C139" s="20" t="n">
        <v>35.74</v>
      </c>
      <c r="D139" s="20" t="n">
        <v>206.704</v>
      </c>
      <c r="E139" s="20" t="n">
        <v>59.189</v>
      </c>
      <c r="F139" s="20" t="n">
        <v>101.134</v>
      </c>
      <c r="G139" s="20" t="n">
        <v>67.78400000000001</v>
      </c>
      <c r="H139" s="20" t="n">
        <v>232.549</v>
      </c>
      <c r="I139" s="20" t="n">
        <v>86.997</v>
      </c>
      <c r="J139" s="20" t="n">
        <v>118.909</v>
      </c>
      <c r="K139" s="20" t="n">
        <v>65.602</v>
      </c>
      <c r="L139" s="20" t="n">
        <v>141.366</v>
      </c>
      <c r="M139" s="20" t="n">
        <v>47.171</v>
      </c>
      <c r="N139" s="20" t="n">
        <v>89.79000000000001</v>
      </c>
      <c r="T139" s="20" t="n">
        <v>180.018</v>
      </c>
      <c r="U139" s="20" t="n">
        <v>172.114</v>
      </c>
      <c r="V139" s="20" t="n">
        <v>206.704</v>
      </c>
      <c r="W139" s="20" t="n">
        <v>232.549</v>
      </c>
      <c r="X139" s="20" t="n">
        <v>141.366</v>
      </c>
    </row>
    <row r="140">
      <c r="A140" s="18" t="inlineStr">
        <is>
          <t>법인세 조정액</t>
        </is>
      </c>
      <c r="C140" s="20" t="n">
        <v>31.849</v>
      </c>
      <c r="D140" s="20" t="n">
        <v>-30.412</v>
      </c>
      <c r="E140" s="20" t="n">
        <v>47.745</v>
      </c>
      <c r="F140" s="20" t="n">
        <v>-48.331</v>
      </c>
      <c r="G140" s="20" t="n">
        <v>50.124</v>
      </c>
      <c r="H140" s="20" t="n">
        <v>-48.006</v>
      </c>
      <c r="I140" s="20" t="n">
        <v>47.176</v>
      </c>
      <c r="J140" s="20" t="n">
        <v>-21.975</v>
      </c>
      <c r="K140" s="20" t="n">
        <v>65.624</v>
      </c>
      <c r="L140" s="20" t="n">
        <v>-126.71</v>
      </c>
      <c r="M140" s="20" t="n">
        <v>29.232</v>
      </c>
      <c r="N140" s="20" t="n">
        <v>7.258</v>
      </c>
      <c r="T140" s="20" t="n">
        <v>-59.598</v>
      </c>
      <c r="U140" s="20" t="n">
        <v>-38.129</v>
      </c>
      <c r="V140" s="20" t="n">
        <v>-30.412</v>
      </c>
      <c r="W140" s="20" t="n">
        <v>-48.006</v>
      </c>
      <c r="X140" s="20" t="n">
        <v>-126.71</v>
      </c>
    </row>
    <row r="141">
      <c r="A141" s="18" t="inlineStr">
        <is>
          <t>법인세 등 합계</t>
        </is>
      </c>
      <c r="C141" s="20" t="n">
        <v>67.59</v>
      </c>
      <c r="D141" s="20" t="n">
        <v>176.291</v>
      </c>
      <c r="E141" s="20" t="n">
        <v>106.935</v>
      </c>
      <c r="F141" s="20" t="n">
        <v>52.801</v>
      </c>
      <c r="G141" s="20" t="n">
        <v>117.909</v>
      </c>
      <c r="H141" s="20" t="n">
        <v>184.544</v>
      </c>
      <c r="I141" s="20" t="n">
        <v>134.174</v>
      </c>
      <c r="J141" s="20" t="n">
        <v>96.93300000000001</v>
      </c>
      <c r="K141" s="20" t="n">
        <v>131.227</v>
      </c>
      <c r="L141" s="20" t="n">
        <v>14.654</v>
      </c>
      <c r="M141" s="20" t="n">
        <v>76.404</v>
      </c>
      <c r="N141" s="20" t="n">
        <v>97.048</v>
      </c>
      <c r="T141" s="20" t="n">
        <v>120.421</v>
      </c>
      <c r="U141" s="20" t="n">
        <v>133.984</v>
      </c>
      <c r="V141" s="20" t="n">
        <v>176.291</v>
      </c>
      <c r="W141" s="20" t="n">
        <v>184.544</v>
      </c>
      <c r="X141" s="20" t="n">
        <v>14.654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T142" s="15">
        <f>IF(OR(T141="",S141=""),"",IF(T141*S141&lt;=0,"",IFERROR(T141/S141-1,"")))</f>
        <v/>
      </c>
      <c r="U142" s="15">
        <f>IF(OR(U141="",T141=""),"",IF(U141*T141&lt;=0,"",IFERROR(U141/T141-1,"")))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순이익</t>
        </is>
      </c>
      <c r="C143" s="12" t="n">
        <v>38.942</v>
      </c>
      <c r="D143" s="12" t="n">
        <v>354.705</v>
      </c>
      <c r="E143" s="12" t="n">
        <v>145.189</v>
      </c>
      <c r="F143" s="12" t="n">
        <v>-1.643</v>
      </c>
      <c r="G143" s="12" t="n">
        <v>260.504</v>
      </c>
      <c r="H143" s="12" t="n">
        <v>176.458</v>
      </c>
      <c r="I143" s="12" t="n">
        <v>262.159</v>
      </c>
      <c r="J143" s="12" t="n">
        <v>-132.031</v>
      </c>
      <c r="K143" s="12" t="n">
        <v>23.854</v>
      </c>
      <c r="L143" s="12" t="n">
        <v>-112.657</v>
      </c>
      <c r="M143" s="12" t="n">
        <v>76.98099999999999</v>
      </c>
      <c r="N143" s="12" t="n">
        <v>161.473</v>
      </c>
      <c r="T143" s="12" t="n">
        <v>159.054</v>
      </c>
      <c r="U143" s="12" t="n">
        <v>209.996</v>
      </c>
      <c r="V143" s="12" t="n">
        <v>354.705</v>
      </c>
      <c r="W143" s="12" t="n">
        <v>176.458</v>
      </c>
      <c r="X143" s="12" t="n">
        <v>-112.657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T144" s="15">
        <f>IF(OR(T143="",S143=""),"",IF(S143&lt;=0,"",IFERROR(T143/S143-1,"")))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9" t="inlineStr">
        <is>
          <t>지배주주 순이익</t>
        </is>
      </c>
      <c r="C145" s="12" t="n">
        <v>42.224</v>
      </c>
      <c r="D145" s="12" t="n">
        <v>360.354</v>
      </c>
      <c r="E145" s="12" t="n">
        <v>145.587</v>
      </c>
      <c r="F145" s="12" t="n">
        <v>-5.726</v>
      </c>
      <c r="G145" s="12" t="n">
        <v>257.443</v>
      </c>
      <c r="H145" s="12" t="n">
        <v>178.83</v>
      </c>
      <c r="I145" s="12" t="n">
        <v>260.676</v>
      </c>
      <c r="J145" s="12" t="n">
        <v>-132.884</v>
      </c>
      <c r="K145" s="12" t="n">
        <v>23.828</v>
      </c>
      <c r="L145" s="12" t="n">
        <v>-114.644</v>
      </c>
      <c r="M145" s="12" t="n">
        <v>76.126</v>
      </c>
      <c r="N145" s="12" t="n">
        <v>156.022</v>
      </c>
      <c r="T145" s="12" t="n">
        <v>159.478</v>
      </c>
      <c r="U145" s="12" t="n">
        <v>201.115</v>
      </c>
      <c r="V145" s="12" t="n">
        <v>360.354</v>
      </c>
      <c r="W145" s="12" t="n">
        <v>178.83</v>
      </c>
      <c r="X145" s="12" t="n">
        <v>-114.644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9" t="inlineStr">
        <is>
          <t>비지배주주 순이익</t>
        </is>
      </c>
      <c r="C147" s="12" t="n">
        <v>-3.28</v>
      </c>
      <c r="D147" s="12" t="n">
        <v>-5.65</v>
      </c>
      <c r="E147" s="12" t="n">
        <v>-0.398</v>
      </c>
      <c r="F147" s="12" t="n">
        <v>4.083</v>
      </c>
      <c r="G147" s="12" t="n">
        <v>3.061</v>
      </c>
      <c r="H147" s="12" t="n">
        <v>-2.373</v>
      </c>
      <c r="I147" s="12" t="n">
        <v>1.482</v>
      </c>
      <c r="J147" s="12" t="n">
        <v>0.853</v>
      </c>
      <c r="K147" s="12" t="n">
        <v>0.026</v>
      </c>
      <c r="L147" s="12" t="n">
        <v>1.987</v>
      </c>
      <c r="M147" s="12" t="n">
        <v>0.854</v>
      </c>
      <c r="N147" s="12" t="n">
        <v>5.452</v>
      </c>
      <c r="T147" s="12" t="n">
        <v>-0.424</v>
      </c>
      <c r="U147" s="12" t="n">
        <v>8.881</v>
      </c>
      <c r="V147" s="12" t="n">
        <v>-5.65</v>
      </c>
      <c r="W147" s="12" t="n">
        <v>-2.373</v>
      </c>
      <c r="X147" s="12" t="n">
        <v>1.987</v>
      </c>
    </row>
    <row r="148">
      <c r="A148" s="18" t="inlineStr">
        <is>
          <t>기타유가증권 평가차액</t>
        </is>
      </c>
      <c r="C148" s="20" t="n">
        <v>3.611</v>
      </c>
      <c r="D148" s="20" t="n">
        <v>47.31</v>
      </c>
      <c r="E148" s="20" t="n">
        <v>15.948</v>
      </c>
      <c r="F148" s="20" t="n">
        <v>-31.903</v>
      </c>
      <c r="G148" s="20" t="n">
        <v>47.057</v>
      </c>
      <c r="H148" s="20" t="n">
        <v>-26.301</v>
      </c>
      <c r="I148" s="20" t="n">
        <v>16.918</v>
      </c>
      <c r="J148" s="20" t="n">
        <v>58.668</v>
      </c>
      <c r="K148" s="20" t="n">
        <v>33.139</v>
      </c>
      <c r="L148" s="20" t="n">
        <v>31.544</v>
      </c>
      <c r="M148" s="20" t="n">
        <v>43.27</v>
      </c>
      <c r="N148" s="20" t="n">
        <v>66.239</v>
      </c>
      <c r="T148" s="20" t="n">
        <v>-8.766999999999999</v>
      </c>
      <c r="U148" s="20" t="n">
        <v>16.614</v>
      </c>
      <c r="V148" s="20" t="n">
        <v>47.31</v>
      </c>
      <c r="W148" s="20" t="n">
        <v>-26.301</v>
      </c>
      <c r="X148" s="20" t="n">
        <v>31.544</v>
      </c>
    </row>
    <row r="149">
      <c r="A149" s="18" t="inlineStr">
        <is>
          <t>해외사업환산조정</t>
        </is>
      </c>
      <c r="C149" s="20" t="n">
        <v>169.945</v>
      </c>
      <c r="D149" s="20" t="n">
        <v>-212.974</v>
      </c>
      <c r="E149" s="20" t="n">
        <v>161.224</v>
      </c>
      <c r="F149" s="20" t="n">
        <v>427.548</v>
      </c>
      <c r="G149" s="20" t="n">
        <v>-437.584</v>
      </c>
      <c r="H149" s="20" t="n">
        <v>391.876</v>
      </c>
      <c r="I149" s="20" t="n">
        <v>-267.875</v>
      </c>
      <c r="J149" s="20" t="n">
        <v>-46.245</v>
      </c>
      <c r="K149" s="20" t="n">
        <v>73.539</v>
      </c>
      <c r="L149" s="20" t="n">
        <v>312.708</v>
      </c>
      <c r="M149" s="20" t="n">
        <v>76.54600000000001</v>
      </c>
      <c r="N149" s="20" t="n">
        <v>134.429</v>
      </c>
      <c r="T149" s="20" t="n">
        <v>119.612</v>
      </c>
      <c r="U149" s="20" t="n">
        <v>-381.176</v>
      </c>
      <c r="V149" s="20" t="n">
        <v>-212.974</v>
      </c>
      <c r="W149" s="20" t="n">
        <v>391.876</v>
      </c>
      <c r="X149" s="20" t="n">
        <v>312.708</v>
      </c>
    </row>
    <row r="150">
      <c r="A150" s="18" t="inlineStr">
        <is>
          <t>기타포괄손익 합계</t>
        </is>
      </c>
      <c r="C150" s="20" t="n">
        <v>173.556</v>
      </c>
      <c r="D150" s="20" t="n">
        <v>-165.665</v>
      </c>
      <c r="E150" s="20" t="n">
        <v>177.173</v>
      </c>
      <c r="F150" s="20" t="n">
        <v>395.643</v>
      </c>
      <c r="G150" s="20" t="n">
        <v>-390.526</v>
      </c>
      <c r="H150" s="20" t="n">
        <v>365.575</v>
      </c>
      <c r="I150" s="20" t="n">
        <v>-250.957</v>
      </c>
      <c r="J150" s="20" t="n">
        <v>12.424</v>
      </c>
      <c r="K150" s="20" t="n">
        <v>106.678</v>
      </c>
      <c r="L150" s="20" t="n">
        <v>344.252</v>
      </c>
      <c r="M150" s="20" t="n">
        <v>119.816</v>
      </c>
      <c r="N150" s="20" t="n">
        <v>200.668</v>
      </c>
      <c r="T150" s="20" t="n">
        <v>110.843</v>
      </c>
      <c r="U150" s="20" t="n">
        <v>-364.563</v>
      </c>
      <c r="V150" s="20" t="n">
        <v>-165.665</v>
      </c>
      <c r="W150" s="20" t="n">
        <v>365.575</v>
      </c>
      <c r="X150" s="20" t="n">
        <v>344.252</v>
      </c>
    </row>
    <row r="151">
      <c r="A151" s="9" t="inlineStr">
        <is>
          <t>포괄이익</t>
        </is>
      </c>
      <c r="C151" s="12" t="n">
        <v>212.498</v>
      </c>
      <c r="D151" s="12" t="n">
        <v>189.04</v>
      </c>
      <c r="E151" s="12" t="n">
        <v>322.363</v>
      </c>
      <c r="F151" s="12" t="n">
        <v>393.999</v>
      </c>
      <c r="G151" s="12" t="n">
        <v>-130.021</v>
      </c>
      <c r="H151" s="12" t="n">
        <v>542.033</v>
      </c>
      <c r="I151" s="12" t="n">
        <v>11.202</v>
      </c>
      <c r="J151" s="12" t="n">
        <v>-119.607</v>
      </c>
      <c r="K151" s="12" t="n">
        <v>130.531</v>
      </c>
      <c r="L151" s="12" t="n">
        <v>231.596</v>
      </c>
      <c r="M151" s="12" t="n">
        <v>196.797</v>
      </c>
      <c r="N151" s="12" t="n">
        <v>362.142</v>
      </c>
      <c r="T151" s="12" t="n">
        <v>269.898</v>
      </c>
      <c r="U151" s="12" t="n">
        <v>-154.566</v>
      </c>
      <c r="V151" s="12" t="n">
        <v>189.04</v>
      </c>
      <c r="W151" s="12" t="n">
        <v>542.033</v>
      </c>
      <c r="X151" s="12" t="n">
        <v>231.596</v>
      </c>
    </row>
    <row r="152">
      <c r="A152" s="9" t="inlineStr">
        <is>
          <t>지배주주 포괄이익</t>
        </is>
      </c>
      <c r="C152" s="12" t="n">
        <v>214.482</v>
      </c>
      <c r="D152" s="12" t="n">
        <v>192.828</v>
      </c>
      <c r="E152" s="12" t="n">
        <v>320.689</v>
      </c>
      <c r="F152" s="12" t="n">
        <v>378.656</v>
      </c>
      <c r="G152" s="12" t="n">
        <v>-134.869</v>
      </c>
      <c r="H152" s="12" t="n">
        <v>531.272</v>
      </c>
      <c r="I152" s="12" t="n">
        <v>23.454</v>
      </c>
      <c r="J152" s="12" t="n">
        <v>-122.436</v>
      </c>
      <c r="K152" s="12" t="n">
        <v>120.387</v>
      </c>
      <c r="L152" s="12" t="n">
        <v>210.104</v>
      </c>
      <c r="M152" s="12" t="n">
        <v>201.883</v>
      </c>
      <c r="N152" s="12" t="n">
        <v>355.413</v>
      </c>
      <c r="T152" s="12" t="n">
        <v>263.058</v>
      </c>
      <c r="U152" s="12" t="n">
        <v>-161.83</v>
      </c>
      <c r="V152" s="12" t="n">
        <v>192.828</v>
      </c>
      <c r="W152" s="12" t="n">
        <v>531.272</v>
      </c>
      <c r="X152" s="12" t="n">
        <v>210.104</v>
      </c>
    </row>
    <row r="153">
      <c r="A153" s="9" t="inlineStr">
        <is>
          <t>비지배주주 포괄이익</t>
        </is>
      </c>
      <c r="C153" s="12" t="n">
        <v>-1.985</v>
      </c>
      <c r="D153" s="12" t="n">
        <v>-3.787</v>
      </c>
      <c r="E153" s="12" t="n">
        <v>1.673</v>
      </c>
      <c r="F153" s="12" t="n">
        <v>15.344</v>
      </c>
      <c r="G153" s="12" t="n">
        <v>4.847</v>
      </c>
      <c r="H153" s="12" t="n">
        <v>10.761</v>
      </c>
      <c r="I153" s="12" t="n">
        <v>-12.251</v>
      </c>
      <c r="J153" s="12" t="n">
        <v>2.828</v>
      </c>
      <c r="K153" s="12" t="n">
        <v>10.143</v>
      </c>
      <c r="L153" s="12" t="n">
        <v>21.492</v>
      </c>
      <c r="M153" s="12" t="n">
        <v>-5.085</v>
      </c>
      <c r="N153" s="12" t="n">
        <v>6.727</v>
      </c>
      <c r="T153" s="12" t="n">
        <v>6.84</v>
      </c>
      <c r="U153" s="12" t="n">
        <v>7.263</v>
      </c>
      <c r="V153" s="12" t="n">
        <v>-3.787</v>
      </c>
      <c r="W153" s="12" t="n">
        <v>10.761</v>
      </c>
      <c r="X153" s="12" t="n">
        <v>21.492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2024.3Q</t>
        </is>
      </c>
      <c r="D156" s="5" t="inlineStr">
        <is>
          <t>2024.4Q</t>
        </is>
      </c>
      <c r="E156" s="5" t="inlineStr">
        <is>
          <t>2025.1Q</t>
        </is>
      </c>
      <c r="F156" s="5" t="inlineStr">
        <is>
          <t>2025.2Q</t>
        </is>
      </c>
      <c r="G156" s="5" t="inlineStr">
        <is>
          <t>2025.3Q</t>
        </is>
      </c>
      <c r="H156" s="5" t="inlineStr">
        <is>
          <t>2025.4Q</t>
        </is>
      </c>
      <c r="I156" s="5" t="inlineStr">
        <is>
          <t>2026.1Q</t>
        </is>
      </c>
      <c r="J156" s="5" t="inlineStr">
        <is>
          <t>2026.2Q</t>
        </is>
      </c>
      <c r="K156" s="5" t="inlineStr">
        <is>
          <t>2026.3Q</t>
        </is>
      </c>
      <c r="L156" s="5" t="inlineStr">
        <is>
          <t>2026.4Q</t>
        </is>
      </c>
      <c r="M156" s="5" t="inlineStr">
        <is>
          <t>2027.1Q</t>
        </is>
      </c>
      <c r="N156" s="5" t="inlineStr">
        <is>
          <t>2027.2Q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JapanReportableSegmentsMember · 외부 고객 매출</t>
        </is>
      </c>
      <c r="C157" s="20" t="n">
        <v>3631.265</v>
      </c>
      <c r="D157" s="20" t="n">
        <v>4725.17</v>
      </c>
      <c r="E157" s="20" t="n">
        <v>3209.521</v>
      </c>
      <c r="F157" s="20" t="n">
        <v>3286.747</v>
      </c>
      <c r="G157" s="20" t="n">
        <v>3099.04</v>
      </c>
      <c r="H157" s="20" t="n">
        <v>3965.494</v>
      </c>
      <c r="I157" s="20" t="n">
        <v>3210.148</v>
      </c>
      <c r="J157" s="20" t="n">
        <v>2824.112</v>
      </c>
      <c r="K157" s="20" t="n">
        <v>2904.175</v>
      </c>
      <c r="L157" s="20" t="n">
        <v>3042.757</v>
      </c>
      <c r="M157" s="20" t="n">
        <v>2693.361</v>
      </c>
      <c r="N157" s="20" t="n">
        <v>3163.384</v>
      </c>
      <c r="V157" s="20" t="n">
        <v>4725.17</v>
      </c>
      <c r="W157" s="20" t="n">
        <v>3965.494</v>
      </c>
      <c r="X157" s="20" t="n">
        <v>3042.757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EastAsiaReportableSegmentsMember · 외부 고객 매출</t>
        </is>
      </c>
      <c r="C159" s="20" t="n">
        <v>1688.768</v>
      </c>
      <c r="D159" s="20" t="n">
        <v>1138.545</v>
      </c>
      <c r="E159" s="20" t="n">
        <v>1090.74</v>
      </c>
      <c r="F159" s="20" t="n">
        <v>1210.587</v>
      </c>
      <c r="G159" s="20" t="n">
        <v>1076.888</v>
      </c>
      <c r="H159" s="20" t="n">
        <v>1221.847</v>
      </c>
      <c r="I159" s="20" t="n">
        <v>838.157</v>
      </c>
      <c r="J159" s="20" t="n">
        <v>1024.639</v>
      </c>
      <c r="K159" s="20" t="n">
        <v>1210.254</v>
      </c>
      <c r="L159" s="20" t="n">
        <v>1245.592</v>
      </c>
      <c r="M159" s="20" t="n">
        <v>1065.884</v>
      </c>
      <c r="N159" s="20" t="n">
        <v>1348.47</v>
      </c>
      <c r="V159" s="20" t="n">
        <v>1138.545</v>
      </c>
      <c r="W159" s="20" t="n">
        <v>1221.847</v>
      </c>
      <c r="X159" s="20" t="n">
        <v>1245.592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SoutheastAsiaReportableSegmentsMember · 외부 고객 매출</t>
        </is>
      </c>
      <c r="C161" s="20" t="n">
        <v>454.688</v>
      </c>
      <c r="D161" s="20" t="n">
        <v>419.969</v>
      </c>
      <c r="E161" s="20" t="n">
        <v>432.565</v>
      </c>
      <c r="F161" s="20" t="n">
        <v>559.962</v>
      </c>
      <c r="G161" s="20" t="n">
        <v>607.696</v>
      </c>
      <c r="H161" s="20" t="n">
        <v>658.593</v>
      </c>
      <c r="I161" s="20" t="n">
        <v>477.489</v>
      </c>
      <c r="J161" s="20" t="n">
        <v>531.739</v>
      </c>
      <c r="K161" s="20" t="n">
        <v>514.049</v>
      </c>
      <c r="L161" s="20" t="n">
        <v>891.341</v>
      </c>
      <c r="M161" s="20" t="n">
        <v>511.588</v>
      </c>
      <c r="N161" s="20" t="n">
        <v>781.984</v>
      </c>
      <c r="V161" s="20" t="n">
        <v>419.969</v>
      </c>
      <c r="W161" s="20" t="n">
        <v>658.593</v>
      </c>
      <c r="X161" s="20" t="n">
        <v>891.341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NorthAndCentralAmericaReportableSegmentMember · 외부 고객 매출</t>
        </is>
      </c>
      <c r="C163" s="20" t="n">
        <v>42.013</v>
      </c>
      <c r="D163" s="20" t="n">
        <v>19.539</v>
      </c>
      <c r="E163" s="20" t="n">
        <v>19.705</v>
      </c>
      <c r="F163" s="20" t="n">
        <v>107.372</v>
      </c>
      <c r="G163" s="20" t="n">
        <v>125.055</v>
      </c>
      <c r="H163" s="20" t="n">
        <v>95.17700000000001</v>
      </c>
      <c r="I163" s="20" t="n">
        <v>227.776</v>
      </c>
      <c r="J163" s="20" t="n">
        <v>75.34699999999999</v>
      </c>
      <c r="K163" s="20" t="n">
        <v>99.14100000000001</v>
      </c>
      <c r="L163" s="20" t="n">
        <v>250.828</v>
      </c>
      <c r="M163" s="20" t="n">
        <v>65.68300000000001</v>
      </c>
      <c r="N163" s="20" t="n">
        <v>41.143</v>
      </c>
      <c r="V163" s="20" t="n">
        <v>19.539</v>
      </c>
      <c r="W163" s="20" t="n">
        <v>95.17700000000001</v>
      </c>
      <c r="X163" s="20" t="n">
        <v>250.828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합계 · 외부 고객 매출</t>
        </is>
      </c>
      <c r="C165" s="20" t="n">
        <v>5816.734</v>
      </c>
      <c r="E165" s="20" t="n">
        <v>4752.533</v>
      </c>
      <c r="F165" s="20" t="n">
        <v>5164.667</v>
      </c>
      <c r="G165" s="20" t="n">
        <v>4908.678</v>
      </c>
      <c r="I165" s="20" t="n">
        <v>4753.572</v>
      </c>
      <c r="J165" s="20" t="n">
        <v>4455.837</v>
      </c>
      <c r="K165" s="20" t="n">
        <v>4727.618</v>
      </c>
      <c r="M165" s="20" t="n">
        <v>4336.518</v>
      </c>
      <c r="N165" s="20" t="n">
        <v>5334.98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</row>
    <row r="167">
      <c r="A167" s="18" t="inlineStr">
        <is>
          <t>조정액 · 외부 고객 매출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18" t="inlineStr">
        <is>
          <t>EntityTotalMember · 외부 고객 매출</t>
        </is>
      </c>
      <c r="E168" s="20" t="n">
        <v>4752.533</v>
      </c>
      <c r="I168" s="20" t="n">
        <v>4753.572</v>
      </c>
      <c r="M168" s="20" t="n">
        <v>4336.518</v>
      </c>
    </row>
    <row r="169">
      <c r="A169" s="9" t="inlineStr">
        <is>
          <t>외부 고객 매출</t>
        </is>
      </c>
      <c r="C169" s="12" t="n">
        <v>5816.734</v>
      </c>
      <c r="D169" s="12" t="n">
        <v>6303.224</v>
      </c>
      <c r="E169" s="12" t="n">
        <v>4752.533</v>
      </c>
      <c r="F169" s="12" t="n">
        <v>5164.667</v>
      </c>
      <c r="G169" s="12" t="n">
        <v>4908.678</v>
      </c>
      <c r="H169" s="12" t="n">
        <v>5941.113</v>
      </c>
      <c r="V169" s="12" t="n">
        <v>6303.224</v>
      </c>
      <c r="W169" s="12" t="n">
        <v>5941.113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</row>
    <row r="171">
      <c r="A171" s="18" t="inlineStr">
        <is>
          <t>JapanReportableSegmentsMember · 부문 간 내부매출·대체</t>
        </is>
      </c>
      <c r="C171" s="20" t="n">
        <v>62.054</v>
      </c>
      <c r="D171" s="20" t="n">
        <v>127.209</v>
      </c>
      <c r="E171" s="20" t="n">
        <v>108.672</v>
      </c>
      <c r="F171" s="20" t="n">
        <v>212.83</v>
      </c>
      <c r="G171" s="20" t="n">
        <v>161.914</v>
      </c>
      <c r="H171" s="20" t="n">
        <v>122.133</v>
      </c>
      <c r="I171" s="20" t="n">
        <v>165.229</v>
      </c>
      <c r="J171" s="20" t="n">
        <v>148.58</v>
      </c>
      <c r="K171" s="20" t="n">
        <v>147.777</v>
      </c>
      <c r="L171" s="20" t="n">
        <v>210.928</v>
      </c>
      <c r="M171" s="20" t="n">
        <v>93.419</v>
      </c>
      <c r="N171" s="20" t="n">
        <v>141.427</v>
      </c>
      <c r="V171" s="20" t="n">
        <v>127.209</v>
      </c>
      <c r="W171" s="20" t="n">
        <v>122.133</v>
      </c>
      <c r="X171" s="20" t="n">
        <v>210.928</v>
      </c>
    </row>
    <row r="172">
      <c r="A172" s="18" t="inlineStr">
        <is>
          <t>EastAsiaReportableSegmentsMember · 부문 간 내부매출·대체</t>
        </is>
      </c>
      <c r="C172" s="20" t="n">
        <v>111.599</v>
      </c>
      <c r="D172" s="20" t="n">
        <v>111.711</v>
      </c>
      <c r="E172" s="20" t="n">
        <v>120.253</v>
      </c>
      <c r="F172" s="20" t="n">
        <v>164.489</v>
      </c>
      <c r="G172" s="20" t="n">
        <v>171.315</v>
      </c>
      <c r="H172" s="20" t="n">
        <v>231.805</v>
      </c>
      <c r="I172" s="20" t="n">
        <v>125.322</v>
      </c>
      <c r="J172" s="20" t="n">
        <v>182.452</v>
      </c>
      <c r="K172" s="20" t="n">
        <v>181.438</v>
      </c>
      <c r="L172" s="20" t="n">
        <v>216.969</v>
      </c>
      <c r="M172" s="20" t="n">
        <v>214.092</v>
      </c>
      <c r="N172" s="20" t="n">
        <v>255.152</v>
      </c>
      <c r="V172" s="20" t="n">
        <v>111.711</v>
      </c>
      <c r="W172" s="20" t="n">
        <v>231.805</v>
      </c>
      <c r="X172" s="20" t="n">
        <v>216.969</v>
      </c>
    </row>
    <row r="173">
      <c r="A173" s="18" t="inlineStr">
        <is>
          <t>SoutheastAsiaReportableSegmentsMember · 부문 간 내부매출·대체</t>
        </is>
      </c>
      <c r="C173" s="20" t="n">
        <v>1.245</v>
      </c>
      <c r="D173" s="20" t="n">
        <v>2.35</v>
      </c>
      <c r="E173" s="20" t="n">
        <v>2.042</v>
      </c>
      <c r="F173" s="20" t="n">
        <v>3.227</v>
      </c>
      <c r="G173" s="20" t="n">
        <v>1.843</v>
      </c>
      <c r="H173" s="20" t="n">
        <v>2.379</v>
      </c>
      <c r="I173" s="20" t="n">
        <v>2.09</v>
      </c>
      <c r="J173" s="20" t="n">
        <v>4.167</v>
      </c>
      <c r="K173" s="20" t="n">
        <v>4.185</v>
      </c>
      <c r="L173" s="20" t="n">
        <v>5.142</v>
      </c>
      <c r="M173" s="20" t="n">
        <v>6.604</v>
      </c>
      <c r="N173" s="20" t="n">
        <v>4.786</v>
      </c>
      <c r="V173" s="20" t="n">
        <v>2.35</v>
      </c>
      <c r="W173" s="20" t="n">
        <v>2.379</v>
      </c>
      <c r="X173" s="20" t="n">
        <v>5.142</v>
      </c>
    </row>
    <row r="174">
      <c r="A174" s="18" t="inlineStr">
        <is>
          <t>NorthAndCentralAmericaReportableSegmentMember · 부문 간 내부매출·대체</t>
        </is>
      </c>
      <c r="C174" s="20" t="n">
        <v>4.061</v>
      </c>
      <c r="D174" s="20" t="n">
        <v>3.941</v>
      </c>
      <c r="E174" s="20" t="n">
        <v>3.599</v>
      </c>
      <c r="F174" s="20" t="n">
        <v>5.893</v>
      </c>
      <c r="G174" s="20" t="n">
        <v>-0.019</v>
      </c>
      <c r="H174" s="20" t="n">
        <v>0.438</v>
      </c>
      <c r="I174" s="20" t="n">
        <v>0.865</v>
      </c>
      <c r="J174" s="20" t="n">
        <v>2.894</v>
      </c>
      <c r="K174" s="20" t="n">
        <v>3.513</v>
      </c>
      <c r="L174" s="20" t="n">
        <v>0.442</v>
      </c>
      <c r="M174" s="20" t="n">
        <v>4.056</v>
      </c>
      <c r="N174" s="20" t="n">
        <v>15.045</v>
      </c>
      <c r="V174" s="20" t="n">
        <v>3.941</v>
      </c>
      <c r="W174" s="20" t="n">
        <v>0.438</v>
      </c>
      <c r="X174" s="20" t="n">
        <v>0.442</v>
      </c>
    </row>
    <row r="175">
      <c r="A175" s="18" t="inlineStr">
        <is>
          <t>합계 · 부문 간 내부매출·대체</t>
        </is>
      </c>
      <c r="C175" s="20" t="n">
        <v>178.959</v>
      </c>
      <c r="E175" s="20" t="n">
        <v>234.567</v>
      </c>
      <c r="F175" s="20" t="n">
        <v>386.439</v>
      </c>
      <c r="G175" s="20" t="n">
        <v>335.055</v>
      </c>
      <c r="I175" s="20" t="n">
        <v>293.507</v>
      </c>
      <c r="J175" s="20" t="n">
        <v>338.093</v>
      </c>
      <c r="K175" s="20" t="n">
        <v>336.913</v>
      </c>
      <c r="M175" s="20" t="n">
        <v>318.174</v>
      </c>
      <c r="N175" s="20" t="n">
        <v>416.409</v>
      </c>
    </row>
    <row r="176">
      <c r="A176" s="18" t="inlineStr">
        <is>
          <t>조정액 · 부문 간 내부매출·대체</t>
        </is>
      </c>
      <c r="C176" s="20" t="n">
        <v>-178.959</v>
      </c>
      <c r="D176" s="20" t="n">
        <v>-245.211</v>
      </c>
      <c r="E176" s="20" t="n">
        <v>-234.567</v>
      </c>
      <c r="F176" s="20" t="n">
        <v>-386.439</v>
      </c>
      <c r="G176" s="20" t="n">
        <v>-335.055</v>
      </c>
      <c r="H176" s="20" t="n">
        <v>-356.754</v>
      </c>
      <c r="I176" s="20" t="n">
        <v>-293.507</v>
      </c>
      <c r="J176" s="20" t="n">
        <v>-338.093</v>
      </c>
      <c r="K176" s="20" t="n">
        <v>-336.913</v>
      </c>
      <c r="L176" s="20" t="n">
        <v>-433.482</v>
      </c>
      <c r="M176" s="20" t="n">
        <v>-318.174</v>
      </c>
      <c r="N176" s="20" t="n">
        <v>-416.409</v>
      </c>
      <c r="V176" s="20" t="n">
        <v>-245.211</v>
      </c>
      <c r="W176" s="20" t="n">
        <v>-356.754</v>
      </c>
      <c r="X176" s="20" t="n">
        <v>-433.482</v>
      </c>
    </row>
    <row r="177">
      <c r="A177" s="18" t="inlineStr">
        <is>
          <t>EntityTotalMember · 부문 간 내부매출·대체</t>
        </is>
      </c>
      <c r="E177" s="20" t="n">
        <v>0</v>
      </c>
      <c r="I177" s="20" t="n">
        <v>0</v>
      </c>
      <c r="M177" s="20" t="n">
        <v>0</v>
      </c>
    </row>
    <row r="178">
      <c r="A178" s="18" t="inlineStr">
        <is>
          <t>부문 간 내부매출·대체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V178" s="20" t="n">
        <v>0</v>
      </c>
      <c r="W178" s="20" t="n">
        <v>0</v>
      </c>
    </row>
    <row r="179">
      <c r="A179" s="18" t="inlineStr">
        <is>
          <t>JapanReportableSegmentsMember · 계</t>
        </is>
      </c>
      <c r="C179" s="20" t="n">
        <v>3693.319</v>
      </c>
      <c r="D179" s="20" t="n">
        <v>4852.38</v>
      </c>
      <c r="E179" s="20" t="n">
        <v>3318.193</v>
      </c>
      <c r="F179" s="20" t="n">
        <v>3499.577</v>
      </c>
      <c r="G179" s="20" t="n">
        <v>3260.955</v>
      </c>
      <c r="H179" s="20" t="n">
        <v>4087.627</v>
      </c>
      <c r="I179" s="20" t="n">
        <v>3375.377</v>
      </c>
      <c r="J179" s="20" t="n">
        <v>2972.692</v>
      </c>
      <c r="K179" s="20" t="n">
        <v>3051.952</v>
      </c>
      <c r="L179" s="20" t="n">
        <v>3253.686</v>
      </c>
      <c r="M179" s="20" t="n">
        <v>2786.781</v>
      </c>
      <c r="N179" s="20" t="n">
        <v>3304.811</v>
      </c>
      <c r="V179" s="20" t="n">
        <v>4852.38</v>
      </c>
      <c r="W179" s="20" t="n">
        <v>4087.627</v>
      </c>
      <c r="X179" s="20" t="n">
        <v>3253.686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EastAsiaReportableSegmentsMember · 계</t>
        </is>
      </c>
      <c r="C181" s="20" t="n">
        <v>1800.367</v>
      </c>
      <c r="D181" s="20" t="n">
        <v>1250.255</v>
      </c>
      <c r="E181" s="20" t="n">
        <v>1210.993</v>
      </c>
      <c r="F181" s="20" t="n">
        <v>1375.076</v>
      </c>
      <c r="G181" s="20" t="n">
        <v>1248.203</v>
      </c>
      <c r="H181" s="20" t="n">
        <v>1453.652</v>
      </c>
      <c r="I181" s="20" t="n">
        <v>963.479</v>
      </c>
      <c r="J181" s="20" t="n">
        <v>1207.092</v>
      </c>
      <c r="K181" s="20" t="n">
        <v>1391.691</v>
      </c>
      <c r="L181" s="20" t="n">
        <v>1462.561</v>
      </c>
      <c r="M181" s="20" t="n">
        <v>1279.977</v>
      </c>
      <c r="N181" s="20" t="n">
        <v>1603.621</v>
      </c>
      <c r="V181" s="20" t="n">
        <v>1250.255</v>
      </c>
      <c r="W181" s="20" t="n">
        <v>1453.652</v>
      </c>
      <c r="X181" s="20" t="n">
        <v>1462.561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SoutheastAsiaReportableSegmentsMember · 계</t>
        </is>
      </c>
      <c r="C183" s="20" t="n">
        <v>455.933</v>
      </c>
      <c r="D183" s="20" t="n">
        <v>422.319</v>
      </c>
      <c r="E183" s="20" t="n">
        <v>434.607</v>
      </c>
      <c r="F183" s="20" t="n">
        <v>563.1900000000001</v>
      </c>
      <c r="G183" s="20" t="n">
        <v>609.539</v>
      </c>
      <c r="H183" s="20" t="n">
        <v>660.971</v>
      </c>
      <c r="I183" s="20" t="n">
        <v>479.579</v>
      </c>
      <c r="J183" s="20" t="n">
        <v>535.9059999999999</v>
      </c>
      <c r="K183" s="20" t="n">
        <v>518.235</v>
      </c>
      <c r="L183" s="20" t="n">
        <v>896.482</v>
      </c>
      <c r="M183" s="20" t="n">
        <v>518.192</v>
      </c>
      <c r="N183" s="20" t="n">
        <v>786.77</v>
      </c>
      <c r="V183" s="20" t="n">
        <v>422.319</v>
      </c>
      <c r="W183" s="20" t="n">
        <v>660.971</v>
      </c>
      <c r="X183" s="20" t="n">
        <v>896.482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NorthAndCentralAmericaReportableSegmentMember · 계</t>
        </is>
      </c>
      <c r="C185" s="20" t="n">
        <v>46.074</v>
      </c>
      <c r="D185" s="20" t="n">
        <v>23.48</v>
      </c>
      <c r="E185" s="20" t="n">
        <v>23.305</v>
      </c>
      <c r="F185" s="20" t="n">
        <v>113.264</v>
      </c>
      <c r="G185" s="20" t="n">
        <v>125.037</v>
      </c>
      <c r="H185" s="20" t="n">
        <v>95.61499999999999</v>
      </c>
      <c r="I185" s="20" t="n">
        <v>228.642</v>
      </c>
      <c r="J185" s="20" t="n">
        <v>78.23999999999999</v>
      </c>
      <c r="K185" s="20" t="n">
        <v>102.654</v>
      </c>
      <c r="L185" s="20" t="n">
        <v>251.27</v>
      </c>
      <c r="M185" s="20" t="n">
        <v>69.73999999999999</v>
      </c>
      <c r="N185" s="20" t="n">
        <v>56.188</v>
      </c>
      <c r="V185" s="20" t="n">
        <v>23.48</v>
      </c>
      <c r="W185" s="20" t="n">
        <v>95.61499999999999</v>
      </c>
      <c r="X185" s="20" t="n">
        <v>251.27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합계 · 계</t>
        </is>
      </c>
      <c r="C187" s="20" t="n">
        <v>5995.694</v>
      </c>
      <c r="E187" s="20" t="n">
        <v>4987.1</v>
      </c>
      <c r="F187" s="20" t="n">
        <v>5551.107</v>
      </c>
      <c r="G187" s="20" t="n">
        <v>5243.733</v>
      </c>
      <c r="I187" s="20" t="n">
        <v>5047.079</v>
      </c>
      <c r="J187" s="20" t="n">
        <v>4793.93</v>
      </c>
      <c r="K187" s="20" t="n">
        <v>5064.531</v>
      </c>
      <c r="M187" s="20" t="n">
        <v>4654.692</v>
      </c>
      <c r="N187" s="20" t="n">
        <v>5751.389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</row>
    <row r="189">
      <c r="A189" s="18" t="inlineStr">
        <is>
          <t>조정액 · 계</t>
        </is>
      </c>
      <c r="C189" s="20" t="n">
        <v>-178.959</v>
      </c>
      <c r="D189" s="20" t="n">
        <v>-245.211</v>
      </c>
      <c r="E189" s="20" t="n">
        <v>-234.567</v>
      </c>
      <c r="F189" s="20" t="n">
        <v>-386.439</v>
      </c>
      <c r="G189" s="20" t="n">
        <v>-335.055</v>
      </c>
      <c r="H189" s="20" t="n">
        <v>-356.754</v>
      </c>
      <c r="I189" s="20" t="n">
        <v>-293.507</v>
      </c>
      <c r="J189" s="20" t="n">
        <v>-338.093</v>
      </c>
      <c r="K189" s="20" t="n">
        <v>-336.913</v>
      </c>
      <c r="L189" s="20" t="n">
        <v>-433.482</v>
      </c>
      <c r="M189" s="20" t="n">
        <v>-318.174</v>
      </c>
      <c r="N189" s="20" t="n">
        <v>-416.409</v>
      </c>
      <c r="V189" s="20" t="n">
        <v>-245.211</v>
      </c>
      <c r="W189" s="20" t="n">
        <v>-356.754</v>
      </c>
      <c r="X189" s="20" t="n">
        <v>-433.482</v>
      </c>
    </row>
    <row r="190">
      <c r="A190" s="18" t="inlineStr">
        <is>
          <t>EntityTotalMember · 계</t>
        </is>
      </c>
      <c r="E190" s="20" t="n">
        <v>4752.533</v>
      </c>
      <c r="I190" s="20" t="n">
        <v>4753.572</v>
      </c>
      <c r="M190" s="20" t="n">
        <v>4336.518</v>
      </c>
    </row>
    <row r="191">
      <c r="A191" s="9" t="inlineStr">
        <is>
          <t>계</t>
        </is>
      </c>
      <c r="C191" s="12" t="n">
        <v>5816.734</v>
      </c>
      <c r="D191" s="12" t="n">
        <v>6303.224</v>
      </c>
      <c r="E191" s="12" t="n">
        <v>4752.533</v>
      </c>
      <c r="F191" s="12" t="n">
        <v>5164.667</v>
      </c>
      <c r="G191" s="12" t="n">
        <v>4908.678</v>
      </c>
      <c r="H191" s="12" t="n">
        <v>5941.113</v>
      </c>
      <c r="V191" s="12" t="n">
        <v>6303.224</v>
      </c>
      <c r="W191" s="12" t="n">
        <v>5941.113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</row>
    <row r="193">
      <c r="A193" s="18" t="inlineStr">
        <is>
          <t>JapanReportableSegmentsMember · 부문 이익(손실)</t>
        </is>
      </c>
      <c r="C193" s="20" t="n">
        <v>99.958</v>
      </c>
      <c r="D193" s="20" t="n">
        <v>554.274</v>
      </c>
      <c r="E193" s="20" t="n">
        <v>386.85</v>
      </c>
      <c r="F193" s="20" t="n">
        <v>108.061</v>
      </c>
      <c r="G193" s="20" t="n">
        <v>403.486</v>
      </c>
      <c r="H193" s="20" t="n">
        <v>439.422</v>
      </c>
      <c r="I193" s="20" t="n">
        <v>429.642</v>
      </c>
      <c r="J193" s="20" t="n">
        <v>166.31</v>
      </c>
      <c r="K193" s="20" t="n">
        <v>342.575</v>
      </c>
      <c r="L193" s="20" t="n">
        <v>99.95</v>
      </c>
      <c r="M193" s="20" t="n">
        <v>284.451</v>
      </c>
      <c r="N193" s="20" t="n">
        <v>202.038</v>
      </c>
      <c r="V193" s="20" t="n">
        <v>554.274</v>
      </c>
      <c r="W193" s="20" t="n">
        <v>439.422</v>
      </c>
      <c r="X193" s="20" t="n">
        <v>99.95</v>
      </c>
    </row>
    <row r="194">
      <c r="A194" s="18" t="inlineStr">
        <is>
          <t>EastAsiaReportableSegmentsMember · 부문 이익(손실)</t>
        </is>
      </c>
      <c r="C194" s="20" t="n">
        <v>-7.678</v>
      </c>
      <c r="D194" s="20" t="n">
        <v>52.085</v>
      </c>
      <c r="E194" s="20" t="n">
        <v>-15.731</v>
      </c>
      <c r="F194" s="20" t="n">
        <v>-36.388</v>
      </c>
      <c r="G194" s="20" t="n">
        <v>-24.387</v>
      </c>
      <c r="H194" s="20" t="n">
        <v>-37.8</v>
      </c>
      <c r="I194" s="20" t="n">
        <v>-70.443</v>
      </c>
      <c r="J194" s="20" t="n">
        <v>-141.619</v>
      </c>
      <c r="K194" s="20" t="n">
        <v>-50.951</v>
      </c>
      <c r="L194" s="20" t="n">
        <v>-219.654</v>
      </c>
      <c r="M194" s="20" t="n">
        <v>-31.073</v>
      </c>
      <c r="N194" s="20" t="n">
        <v>127.059</v>
      </c>
      <c r="V194" s="20" t="n">
        <v>52.085</v>
      </c>
      <c r="W194" s="20" t="n">
        <v>-37.8</v>
      </c>
      <c r="X194" s="20" t="n">
        <v>-219.654</v>
      </c>
    </row>
    <row r="195">
      <c r="A195" s="18" t="inlineStr">
        <is>
          <t>SoutheastAsiaReportableSegmentsMember · 부문 이익(손실)</t>
        </is>
      </c>
      <c r="C195" s="20" t="n">
        <v>5.789</v>
      </c>
      <c r="D195" s="20" t="n">
        <v>-7.68</v>
      </c>
      <c r="E195" s="20" t="n">
        <v>-20.84</v>
      </c>
      <c r="F195" s="20" t="n">
        <v>-0.603</v>
      </c>
      <c r="G195" s="20" t="n">
        <v>65.367</v>
      </c>
      <c r="H195" s="20" t="n">
        <v>19.863</v>
      </c>
      <c r="I195" s="20" t="n">
        <v>4.021</v>
      </c>
      <c r="J195" s="20" t="n">
        <v>-10.285</v>
      </c>
      <c r="K195" s="20" t="n">
        <v>6.369</v>
      </c>
      <c r="L195" s="20" t="n">
        <v>73.125</v>
      </c>
      <c r="M195" s="20" t="n">
        <v>-12.443</v>
      </c>
      <c r="N195" s="20" t="n">
        <v>69.32599999999999</v>
      </c>
      <c r="V195" s="20" t="n">
        <v>-7.68</v>
      </c>
      <c r="W195" s="20" t="n">
        <v>19.863</v>
      </c>
      <c r="X195" s="20" t="n">
        <v>73.125</v>
      </c>
    </row>
    <row r="196">
      <c r="A196" s="18" t="inlineStr">
        <is>
          <t>NorthAndCentralAmericaReportableSegmentMember · 부문 이익(손실)</t>
        </is>
      </c>
      <c r="C196" s="20" t="n">
        <v>-37.415</v>
      </c>
      <c r="D196" s="20" t="n">
        <v>-44.827</v>
      </c>
      <c r="E196" s="20" t="n">
        <v>-22.685</v>
      </c>
      <c r="F196" s="20" t="n">
        <v>-28.986</v>
      </c>
      <c r="G196" s="20" t="n">
        <v>-52.58</v>
      </c>
      <c r="H196" s="20" t="n">
        <v>-28.898</v>
      </c>
      <c r="I196" s="20" t="n">
        <v>20.184</v>
      </c>
      <c r="J196" s="20" t="n">
        <v>-24.512</v>
      </c>
      <c r="K196" s="20" t="n">
        <v>-12.742</v>
      </c>
      <c r="L196" s="20" t="n">
        <v>-38.37</v>
      </c>
      <c r="M196" s="20" t="n">
        <v>-41.541</v>
      </c>
      <c r="N196" s="20" t="n">
        <v>-141.545</v>
      </c>
      <c r="V196" s="20" t="n">
        <v>-44.827</v>
      </c>
      <c r="W196" s="20" t="n">
        <v>-28.898</v>
      </c>
      <c r="X196" s="20" t="n">
        <v>-38.37</v>
      </c>
    </row>
    <row r="197">
      <c r="A197" s="18" t="inlineStr">
        <is>
          <t>합계 · 부문 이익(손실)</t>
        </is>
      </c>
      <c r="C197" s="20" t="n">
        <v>60.654</v>
      </c>
      <c r="E197" s="20" t="n">
        <v>327.593</v>
      </c>
      <c r="F197" s="20" t="n">
        <v>42.083</v>
      </c>
      <c r="G197" s="20" t="n">
        <v>391.888</v>
      </c>
      <c r="I197" s="20" t="n">
        <v>383.406</v>
      </c>
      <c r="J197" s="20" t="n">
        <v>-10.11</v>
      </c>
      <c r="K197" s="20" t="n">
        <v>285.252</v>
      </c>
      <c r="M197" s="20" t="n">
        <v>199.393</v>
      </c>
      <c r="N197" s="20" t="n">
        <v>256.88</v>
      </c>
    </row>
    <row r="198">
      <c r="A198" s="18" t="inlineStr">
        <is>
          <t>조정액 · 부문 이익(손실)</t>
        </is>
      </c>
      <c r="C198" s="20" t="n">
        <v>35.569</v>
      </c>
      <c r="D198" s="20" t="n">
        <v>-7.043</v>
      </c>
      <c r="E198" s="20" t="n">
        <v>-78.413</v>
      </c>
      <c r="F198" s="20" t="n">
        <v>-2.225</v>
      </c>
      <c r="G198" s="20" t="n">
        <v>-13.312</v>
      </c>
      <c r="H198" s="20" t="n">
        <v>-26.392</v>
      </c>
      <c r="I198" s="20" t="n">
        <v>12.856</v>
      </c>
      <c r="J198" s="20" t="n">
        <v>-16.764</v>
      </c>
      <c r="K198" s="20" t="n">
        <v>9.538</v>
      </c>
      <c r="L198" s="20" t="n">
        <v>-6.366</v>
      </c>
      <c r="M198" s="20" t="n">
        <v>-45.574</v>
      </c>
      <c r="N198" s="20" t="n">
        <v>1.645</v>
      </c>
      <c r="V198" s="20" t="n">
        <v>-7.043</v>
      </c>
      <c r="W198" s="20" t="n">
        <v>-26.392</v>
      </c>
      <c r="X198" s="20" t="n">
        <v>-6.366</v>
      </c>
    </row>
    <row r="199">
      <c r="A199" s="18" t="inlineStr">
        <is>
          <t>EntityTotalMember · 부문 이익(손실)</t>
        </is>
      </c>
      <c r="E199" s="20" t="n">
        <v>249.179</v>
      </c>
      <c r="I199" s="20" t="n">
        <v>396.262</v>
      </c>
      <c r="M199" s="20" t="n">
        <v>153.818</v>
      </c>
    </row>
    <row r="200">
      <c r="A200" s="9" t="inlineStr">
        <is>
          <t>부문 이익(손실)</t>
        </is>
      </c>
      <c r="C200" s="12" t="n">
        <v>96.223</v>
      </c>
      <c r="D200" s="12" t="n">
        <v>546.809</v>
      </c>
      <c r="E200" s="12" t="n">
        <v>249.179</v>
      </c>
      <c r="F200" s="12" t="n">
        <v>39.859</v>
      </c>
      <c r="G200" s="12" t="n">
        <v>378.575</v>
      </c>
      <c r="H200" s="12" t="n">
        <v>366.195</v>
      </c>
      <c r="V200" s="12" t="n">
        <v>546.809</v>
      </c>
      <c r="W200" s="12" t="n">
        <v>366.195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</row>
    <row r="203">
      <c r="A203" s="16" t="inlineStr">
        <is>
          <t>현금흐름표 · 전 항목</t>
        </is>
      </c>
      <c r="B203" s="42" t="inlineStr">
        <is>
          <t>분기 = 결산기 첫날부터 누계(공시 그대로)</t>
        </is>
      </c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</row>
    <row r="204">
      <c r="A204" s="5" t="inlineStr">
        <is>
          <t>항목</t>
        </is>
      </c>
      <c r="B204" s="5" t="inlineStr">
        <is>
          <t>참고</t>
        </is>
      </c>
      <c r="C204" s="5" t="inlineStr">
        <is>
          <t>2024.3Q</t>
        </is>
      </c>
      <c r="D204" s="5" t="inlineStr">
        <is>
          <t>2024.4Q</t>
        </is>
      </c>
      <c r="E204" s="5" t="inlineStr">
        <is>
          <t>2025.1Q</t>
        </is>
      </c>
      <c r="F204" s="5" t="inlineStr">
        <is>
          <t>2025.2Q</t>
        </is>
      </c>
      <c r="G204" s="5" t="inlineStr">
        <is>
          <t>2025.3Q</t>
        </is>
      </c>
      <c r="H204" s="5" t="inlineStr">
        <is>
          <t>2025.4Q</t>
        </is>
      </c>
      <c r="I204" s="5" t="inlineStr">
        <is>
          <t>2026.1Q</t>
        </is>
      </c>
      <c r="J204" s="5" t="inlineStr">
        <is>
          <t>2026.2Q</t>
        </is>
      </c>
      <c r="K204" s="5" t="inlineStr">
        <is>
          <t>2026.3Q</t>
        </is>
      </c>
      <c r="L204" s="5" t="inlineStr">
        <is>
          <t>2026.4Q</t>
        </is>
      </c>
      <c r="M204" s="5" t="inlineStr">
        <is>
          <t>2027.1Q</t>
        </is>
      </c>
      <c r="N204" s="5" t="inlineStr">
        <is>
          <t>2027.2Q</t>
        </is>
      </c>
      <c r="O204" s="5" t="inlineStr">
        <is>
          <t>2017</t>
        </is>
      </c>
      <c r="P204" s="5" t="inlineStr">
        <is>
          <t>2018</t>
        </is>
      </c>
      <c r="Q204" s="5" t="inlineStr">
        <is>
          <t>2019</t>
        </is>
      </c>
      <c r="R204" s="5" t="inlineStr">
        <is>
          <t>2020</t>
        </is>
      </c>
      <c r="S204" s="5" t="inlineStr">
        <is>
          <t>2021</t>
        </is>
      </c>
      <c r="T204" s="5" t="inlineStr">
        <is>
          <t>2022</t>
        </is>
      </c>
      <c r="U204" s="5" t="inlineStr">
        <is>
          <t>2023</t>
        </is>
      </c>
      <c r="V204" s="5" t="inlineStr">
        <is>
          <t>2024</t>
        </is>
      </c>
      <c r="W204" s="5" t="inlineStr">
        <is>
          <t>2025</t>
        </is>
      </c>
      <c r="X204" s="5" t="inlineStr">
        <is>
          <t>2026</t>
        </is>
      </c>
      <c r="Y204" s="5" t="inlineStr">
        <is>
          <t>2027(MW)</t>
        </is>
      </c>
      <c r="Z204" s="5" t="inlineStr">
        <is>
          <t>2028(MW)</t>
        </is>
      </c>
      <c r="AA204" s="5" t="inlineStr">
        <is>
          <t>2029(MW)</t>
        </is>
      </c>
      <c r="AB204" s="5" t="inlineStr">
        <is>
          <t>2030(MW)</t>
        </is>
      </c>
      <c r="AC204" s="5" t="inlineStr">
        <is>
          <t>2031(MW)</t>
        </is>
      </c>
    </row>
    <row r="205">
      <c r="A205" s="9" t="inlineStr">
        <is>
          <t>법인세차감전 순이익</t>
        </is>
      </c>
      <c r="D205" s="12" t="n">
        <v>1398.285</v>
      </c>
      <c r="H205" s="12" t="n">
        <v>1042.697</v>
      </c>
      <c r="L205" s="12" t="n">
        <v>418.313</v>
      </c>
      <c r="O205" s="12" t="n">
        <v>407.482</v>
      </c>
      <c r="P205" s="12" t="n">
        <v>1028.71</v>
      </c>
      <c r="Q205" s="12" t="n">
        <v>2357.6</v>
      </c>
      <c r="R205" s="12" t="n">
        <v>1642.766</v>
      </c>
      <c r="S205" s="12" t="n">
        <v>555.042</v>
      </c>
      <c r="T205" s="12" t="n">
        <v>901.341</v>
      </c>
      <c r="U205" s="12" t="n">
        <v>666.731</v>
      </c>
      <c r="V205" s="12" t="n">
        <v>1398.285</v>
      </c>
      <c r="W205" s="12" t="n">
        <v>1042.697</v>
      </c>
      <c r="X205" s="12" t="n">
        <v>418.313</v>
      </c>
    </row>
    <row r="206">
      <c r="A206" s="18" t="inlineStr">
        <is>
          <t>감가상각비</t>
        </is>
      </c>
      <c r="D206" s="20" t="n">
        <v>368.037</v>
      </c>
      <c r="H206" s="20" t="n">
        <v>425.6</v>
      </c>
      <c r="L206" s="20" t="n">
        <v>420.949</v>
      </c>
      <c r="O206" s="20" t="n">
        <v>283.649</v>
      </c>
      <c r="P206" s="20" t="n">
        <v>302.238</v>
      </c>
      <c r="Q206" s="20" t="n">
        <v>297.401</v>
      </c>
      <c r="R206" s="20" t="n">
        <v>315.597</v>
      </c>
      <c r="S206" s="20" t="n">
        <v>349.306</v>
      </c>
      <c r="T206" s="20" t="n">
        <v>321.157</v>
      </c>
      <c r="U206" s="20" t="n">
        <v>330.554</v>
      </c>
      <c r="V206" s="20" t="n">
        <v>368.037</v>
      </c>
      <c r="W206" s="20" t="n">
        <v>425.6</v>
      </c>
      <c r="X206" s="20" t="n">
        <v>420.949</v>
      </c>
    </row>
    <row r="207">
      <c r="A207" s="18" t="inlineStr">
        <is>
          <t>영업권 상각</t>
        </is>
      </c>
      <c r="O207" s="20" t="n">
        <v>31.845</v>
      </c>
      <c r="P207" s="20" t="n">
        <v>7.961</v>
      </c>
      <c r="Q207" s="20" t="n">
        <v>0</v>
      </c>
    </row>
    <row r="208">
      <c r="A208" s="18" t="inlineStr">
        <is>
          <t>손상차손</t>
        </is>
      </c>
      <c r="D208" s="20" t="n">
        <v>14.917</v>
      </c>
      <c r="H208" s="20" t="n">
        <v>5.32</v>
      </c>
      <c r="L208" s="20" t="n">
        <v>0</v>
      </c>
      <c r="O208" s="20" t="n">
        <v>36.982</v>
      </c>
      <c r="P208" s="20" t="n">
        <v>0</v>
      </c>
      <c r="R208" s="20" t="n">
        <v>0</v>
      </c>
      <c r="S208" s="20" t="n">
        <v>4.621</v>
      </c>
      <c r="T208" s="20" t="n">
        <v>0.535</v>
      </c>
      <c r="U208" s="20" t="n">
        <v>53.18</v>
      </c>
      <c r="V208" s="20" t="n">
        <v>14.917</v>
      </c>
      <c r="W208" s="20" t="n">
        <v>5.32</v>
      </c>
      <c r="X208" s="20" t="n">
        <v>0</v>
      </c>
    </row>
    <row r="209">
      <c r="A209" s="18" t="inlineStr">
        <is>
          <t>대손충당금 증감</t>
        </is>
      </c>
      <c r="D209" s="20" t="n">
        <v>-40.71</v>
      </c>
      <c r="H209" s="20" t="n">
        <v>15.31</v>
      </c>
      <c r="L209" s="20" t="n">
        <v>-17.385</v>
      </c>
      <c r="O209" s="20" t="n">
        <v>5.036</v>
      </c>
      <c r="P209" s="20" t="n">
        <v>7.697</v>
      </c>
      <c r="Q209" s="20" t="n">
        <v>18.019</v>
      </c>
      <c r="R209" s="20" t="n">
        <v>30.735</v>
      </c>
      <c r="S209" s="20" t="n">
        <v>-3.005</v>
      </c>
      <c r="T209" s="20" t="n">
        <v>-55.246</v>
      </c>
      <c r="U209" s="20" t="n">
        <v>28.768</v>
      </c>
      <c r="V209" s="20" t="n">
        <v>-40.71</v>
      </c>
      <c r="W209" s="20" t="n">
        <v>15.31</v>
      </c>
      <c r="X209" s="20" t="n">
        <v>-17.385</v>
      </c>
    </row>
    <row r="210">
      <c r="A210" s="18" t="inlineStr">
        <is>
          <t>제품보증 충당금 증감</t>
        </is>
      </c>
      <c r="D210" s="20" t="n">
        <v>12.617</v>
      </c>
      <c r="H210" s="20" t="n">
        <v>-28.645</v>
      </c>
      <c r="L210" s="20" t="n">
        <v>-22.632</v>
      </c>
      <c r="O210" s="20" t="n">
        <v>-60.894</v>
      </c>
      <c r="P210" s="20" t="n">
        <v>-6.189</v>
      </c>
      <c r="Q210" s="20" t="n">
        <v>0.84</v>
      </c>
      <c r="R210" s="20" t="n">
        <v>-12.787</v>
      </c>
      <c r="S210" s="20" t="n">
        <v>-16.289</v>
      </c>
      <c r="T210" s="20" t="n">
        <v>33.912</v>
      </c>
      <c r="U210" s="20" t="n">
        <v>-16.534</v>
      </c>
      <c r="V210" s="20" t="n">
        <v>12.617</v>
      </c>
      <c r="W210" s="20" t="n">
        <v>-28.645</v>
      </c>
      <c r="X210" s="20" t="n">
        <v>-22.632</v>
      </c>
    </row>
    <row r="211">
      <c r="A211" s="18" t="inlineStr">
        <is>
          <t>임원 상여충당금 증감</t>
        </is>
      </c>
      <c r="D211" s="20" t="n">
        <v>5.885</v>
      </c>
      <c r="H211" s="20" t="n">
        <v>-7.38</v>
      </c>
      <c r="L211" s="20" t="n">
        <v>6.694</v>
      </c>
      <c r="O211" s="20" t="n">
        <v>8.57</v>
      </c>
      <c r="P211" s="20" t="n">
        <v>18.125</v>
      </c>
      <c r="Q211" s="20" t="n">
        <v>-5.575</v>
      </c>
      <c r="R211" s="20" t="n">
        <v>-15.35</v>
      </c>
      <c r="S211" s="20" t="n">
        <v>-2.323</v>
      </c>
      <c r="T211" s="20" t="n">
        <v>7.279</v>
      </c>
      <c r="U211" s="20" t="n">
        <v>-6.205</v>
      </c>
      <c r="V211" s="20" t="n">
        <v>5.885</v>
      </c>
      <c r="W211" s="20" t="n">
        <v>-7.38</v>
      </c>
      <c r="X211" s="20" t="n">
        <v>6.694</v>
      </c>
    </row>
    <row r="212">
      <c r="A212" s="18" t="inlineStr">
        <is>
          <t>임원 퇴직위로 충당금 증감</t>
        </is>
      </c>
      <c r="O212" s="20" t="n">
        <v>13.988</v>
      </c>
      <c r="P212" s="20" t="n">
        <v>-8.552</v>
      </c>
      <c r="Q212" s="20" t="n">
        <v>17.398</v>
      </c>
      <c r="R212" s="20" t="n">
        <v>-98.07899999999999</v>
      </c>
      <c r="S212" s="20" t="n">
        <v>1.952</v>
      </c>
      <c r="T212" s="20" t="n">
        <v>0</v>
      </c>
    </row>
    <row r="213">
      <c r="A213" s="18" t="inlineStr">
        <is>
          <t>임원 주식급여 충당금 증감</t>
        </is>
      </c>
      <c r="D213" s="20" t="n">
        <v>8.859999999999999</v>
      </c>
      <c r="H213" s="20" t="n">
        <v>10.74</v>
      </c>
      <c r="L213" s="20" t="n">
        <v>4.07</v>
      </c>
      <c r="R213" s="20" t="n">
        <v>0</v>
      </c>
      <c r="S213" s="20" t="n">
        <v>5.63</v>
      </c>
      <c r="T213" s="20" t="n">
        <v>8.220000000000001</v>
      </c>
      <c r="U213" s="20" t="n">
        <v>6.39</v>
      </c>
      <c r="V213" s="20" t="n">
        <v>8.859999999999999</v>
      </c>
      <c r="W213" s="20" t="n">
        <v>10.74</v>
      </c>
      <c r="X213" s="20" t="n">
        <v>4.07</v>
      </c>
    </row>
    <row r="214">
      <c r="A214" s="18" t="inlineStr">
        <is>
          <t>퇴직급여부채 증감</t>
        </is>
      </c>
      <c r="D214" s="20" t="n">
        <v>16.277</v>
      </c>
      <c r="H214" s="20" t="n">
        <v>40.293</v>
      </c>
      <c r="L214" s="20" t="n">
        <v>-45.162</v>
      </c>
      <c r="O214" s="20" t="n">
        <v>-23.936</v>
      </c>
      <c r="P214" s="20" t="n">
        <v>38.859</v>
      </c>
      <c r="Q214" s="20" t="n">
        <v>89.34999999999999</v>
      </c>
      <c r="R214" s="20" t="n">
        <v>48.363</v>
      </c>
      <c r="S214" s="20" t="n">
        <v>-28.758</v>
      </c>
      <c r="T214" s="20" t="n">
        <v>90.298</v>
      </c>
      <c r="U214" s="20" t="n">
        <v>36.843</v>
      </c>
      <c r="V214" s="20" t="n">
        <v>16.277</v>
      </c>
      <c r="W214" s="20" t="n">
        <v>40.293</v>
      </c>
      <c r="X214" s="20" t="n">
        <v>-45.162</v>
      </c>
    </row>
    <row r="215">
      <c r="A215" s="18" t="inlineStr">
        <is>
          <t>이자·배당금 수익</t>
        </is>
      </c>
      <c r="D215" s="20" t="n">
        <v>-31.197</v>
      </c>
      <c r="H215" s="20" t="n">
        <v>-37.907</v>
      </c>
      <c r="L215" s="20" t="n">
        <v>-44.92</v>
      </c>
      <c r="O215" s="20" t="n">
        <v>-15.586</v>
      </c>
      <c r="P215" s="20" t="n">
        <v>-17.896</v>
      </c>
      <c r="Q215" s="20" t="n">
        <v>-19.263</v>
      </c>
      <c r="R215" s="20" t="n">
        <v>-19.08</v>
      </c>
      <c r="S215" s="20" t="n">
        <v>-19.734</v>
      </c>
      <c r="T215" s="20" t="n">
        <v>-19.396</v>
      </c>
      <c r="U215" s="20" t="n">
        <v>-22.225</v>
      </c>
      <c r="V215" s="20" t="n">
        <v>-31.197</v>
      </c>
      <c r="W215" s="20" t="n">
        <v>-37.907</v>
      </c>
      <c r="X215" s="20" t="n">
        <v>-44.92</v>
      </c>
    </row>
    <row r="216">
      <c r="A216" s="18" t="inlineStr">
        <is>
          <t>이자비용</t>
        </is>
      </c>
      <c r="D216" s="20" t="n">
        <v>53.094</v>
      </c>
      <c r="H216" s="20" t="n">
        <v>57.973</v>
      </c>
      <c r="L216" s="20" t="n">
        <v>65.745</v>
      </c>
      <c r="O216" s="20" t="n">
        <v>92.53400000000001</v>
      </c>
      <c r="P216" s="20" t="n">
        <v>83.77500000000001</v>
      </c>
      <c r="Q216" s="20" t="n">
        <v>81.602</v>
      </c>
      <c r="R216" s="20" t="n">
        <v>80.045</v>
      </c>
      <c r="S216" s="20" t="n">
        <v>68.94799999999999</v>
      </c>
      <c r="T216" s="20" t="n">
        <v>47.922</v>
      </c>
      <c r="U216" s="20" t="n">
        <v>39.579</v>
      </c>
      <c r="V216" s="20" t="n">
        <v>53.094</v>
      </c>
      <c r="W216" s="20" t="n">
        <v>57.973</v>
      </c>
      <c r="X216" s="20" t="n">
        <v>65.745</v>
      </c>
    </row>
    <row r="217">
      <c r="A217" s="18" t="inlineStr">
        <is>
          <t>외환차손익</t>
        </is>
      </c>
      <c r="P217" s="20" t="n">
        <v>0</v>
      </c>
      <c r="Q217" s="20" t="n">
        <v>-0.385</v>
      </c>
      <c r="R217" s="20" t="n">
        <v>0</v>
      </c>
    </row>
    <row r="218">
      <c r="A218" s="18" t="inlineStr">
        <is>
          <t>고정자산 매각손익</t>
        </is>
      </c>
      <c r="D218" s="20" t="n">
        <v>-0.519</v>
      </c>
      <c r="H218" s="20" t="n">
        <v>-15.341</v>
      </c>
      <c r="L218" s="20" t="n">
        <v>0.292</v>
      </c>
      <c r="O218" s="20" t="n">
        <v>-0.277</v>
      </c>
      <c r="P218" s="20" t="n">
        <v>0.059</v>
      </c>
      <c r="Q218" s="20" t="n">
        <v>-2.24</v>
      </c>
      <c r="R218" s="20" t="n">
        <v>-3.304</v>
      </c>
      <c r="S218" s="20" t="n">
        <v>-0.302</v>
      </c>
      <c r="T218" s="20" t="n">
        <v>-5.725</v>
      </c>
      <c r="U218" s="20" t="n">
        <v>3.534</v>
      </c>
      <c r="V218" s="20" t="n">
        <v>-0.519</v>
      </c>
      <c r="W218" s="20" t="n">
        <v>-15.341</v>
      </c>
      <c r="X218" s="20" t="n">
        <v>0.292</v>
      </c>
    </row>
    <row r="219">
      <c r="A219" s="18" t="inlineStr">
        <is>
          <t>투자유가증권 매각손익</t>
        </is>
      </c>
      <c r="D219" s="20" t="n">
        <v>0</v>
      </c>
      <c r="O219" s="20" t="n">
        <v>0.25</v>
      </c>
      <c r="P219" s="20" t="n">
        <v>0</v>
      </c>
      <c r="Q219" s="20" t="n">
        <v>-1.522</v>
      </c>
      <c r="R219" s="20" t="n">
        <v>-1.699</v>
      </c>
      <c r="S219" s="20" t="n">
        <v>-1.699</v>
      </c>
      <c r="T219" s="20" t="n">
        <v>-1.465</v>
      </c>
      <c r="U219" s="20" t="n">
        <v>-14.158</v>
      </c>
      <c r="V219" s="20" t="n">
        <v>0</v>
      </c>
    </row>
    <row r="220">
      <c r="A220" s="18" t="inlineStr">
        <is>
          <t>투자유가증권 평가손익</t>
        </is>
      </c>
      <c r="P220" s="20" t="n">
        <v>0</v>
      </c>
      <c r="Q220" s="20" t="n">
        <v>7.622</v>
      </c>
      <c r="R220" s="20" t="n">
        <v>0</v>
      </c>
      <c r="S220" s="20" t="n">
        <v>2.041</v>
      </c>
      <c r="T220" s="20" t="n">
        <v>0</v>
      </c>
    </row>
    <row r="221">
      <c r="A221" s="18" t="inlineStr">
        <is>
          <t>회원권 평가손실</t>
        </is>
      </c>
      <c r="D221" s="20" t="n">
        <v>0</v>
      </c>
      <c r="H221" s="20" t="n">
        <v>1.032</v>
      </c>
      <c r="L221" s="20" t="n">
        <v>0.46</v>
      </c>
      <c r="V221" s="20" t="n">
        <v>0</v>
      </c>
      <c r="W221" s="20" t="n">
        <v>1.032</v>
      </c>
      <c r="X221" s="20" t="n">
        <v>0.46</v>
      </c>
    </row>
    <row r="222">
      <c r="A222" s="18" t="inlineStr">
        <is>
          <t>구조개혁 비용</t>
        </is>
      </c>
      <c r="H222" s="20" t="n">
        <v>0</v>
      </c>
      <c r="L222" s="20" t="n">
        <v>151.077</v>
      </c>
      <c r="W222" s="20" t="n">
        <v>0</v>
      </c>
      <c r="X222" s="20" t="n">
        <v>151.077</v>
      </c>
    </row>
    <row r="223">
      <c r="A223" s="18" t="inlineStr">
        <is>
          <t>보험해약 손익</t>
        </is>
      </c>
      <c r="D223" s="20" t="n">
        <v>-14.682</v>
      </c>
      <c r="H223" s="20" t="n">
        <v>-1.246</v>
      </c>
      <c r="L223" s="20" t="n">
        <v>-3.403</v>
      </c>
      <c r="O223" s="20" t="n">
        <v>-5.243</v>
      </c>
      <c r="P223" s="20" t="n">
        <v>-2.78</v>
      </c>
      <c r="Q223" s="20" t="n">
        <v>-12.206</v>
      </c>
      <c r="R223" s="20" t="n">
        <v>-47.53</v>
      </c>
      <c r="S223" s="20" t="n">
        <v>-39.038</v>
      </c>
      <c r="T223" s="20" t="n">
        <v>-39.055</v>
      </c>
      <c r="U223" s="20" t="n">
        <v>-19.857</v>
      </c>
      <c r="V223" s="20" t="n">
        <v>-14.682</v>
      </c>
      <c r="W223" s="20" t="n">
        <v>-1.246</v>
      </c>
      <c r="X223" s="20" t="n">
        <v>-3.403</v>
      </c>
    </row>
    <row r="224">
      <c r="A224" s="18" t="inlineStr">
        <is>
          <t>자회사 청산손익</t>
        </is>
      </c>
      <c r="R224" s="20" t="n">
        <v>0</v>
      </c>
      <c r="S224" s="20" t="n">
        <v>36.125</v>
      </c>
      <c r="T224" s="20" t="n">
        <v>8.634</v>
      </c>
      <c r="U224" s="20" t="n">
        <v>0</v>
      </c>
    </row>
    <row r="225">
      <c r="A225" s="18" t="inlineStr">
        <is>
          <t>매출채권 증감</t>
        </is>
      </c>
      <c r="D225" s="20" t="n">
        <v>-2218.407</v>
      </c>
      <c r="O225" s="20" t="n">
        <v>803.523</v>
      </c>
      <c r="P225" s="20" t="n">
        <v>-2147.576</v>
      </c>
      <c r="Q225" s="20" t="n">
        <v>-1550.186</v>
      </c>
      <c r="R225" s="20" t="n">
        <v>1861.826</v>
      </c>
      <c r="S225" s="20" t="n">
        <v>1287.223</v>
      </c>
      <c r="T225" s="20" t="n">
        <v>273.3</v>
      </c>
      <c r="U225" s="20" t="n">
        <v>-153.974</v>
      </c>
      <c r="V225" s="20" t="n">
        <v>-2218.407</v>
      </c>
    </row>
    <row r="226">
      <c r="A226" s="18" t="inlineStr">
        <is>
          <t>매출채권·계약자산·계약부채 증감액</t>
        </is>
      </c>
      <c r="D226" s="20" t="n">
        <v>-2218.407</v>
      </c>
      <c r="H226" s="20" t="n">
        <v>1275.917</v>
      </c>
      <c r="L226" s="20" t="n">
        <v>1786.433</v>
      </c>
      <c r="V226" s="20" t="n">
        <v>-2218.407</v>
      </c>
      <c r="W226" s="20" t="n">
        <v>1275.917</v>
      </c>
      <c r="X226" s="20" t="n">
        <v>1786.433</v>
      </c>
    </row>
    <row r="227">
      <c r="A227" s="18" t="inlineStr">
        <is>
          <t>재고자산 증감</t>
        </is>
      </c>
      <c r="D227" s="20" t="n">
        <v>189.987</v>
      </c>
      <c r="H227" s="20" t="n">
        <v>416.337</v>
      </c>
      <c r="L227" s="20" t="n">
        <v>360.693</v>
      </c>
      <c r="O227" s="20" t="n">
        <v>-376.916</v>
      </c>
      <c r="P227" s="20" t="n">
        <v>-837.802</v>
      </c>
      <c r="Q227" s="20" t="n">
        <v>-462.503</v>
      </c>
      <c r="R227" s="20" t="n">
        <v>137.754</v>
      </c>
      <c r="S227" s="20" t="n">
        <v>860.068</v>
      </c>
      <c r="T227" s="20" t="n">
        <v>-281.989</v>
      </c>
      <c r="U227" s="20" t="n">
        <v>-948.458</v>
      </c>
      <c r="V227" s="20" t="n">
        <v>189.987</v>
      </c>
      <c r="W227" s="20" t="n">
        <v>416.337</v>
      </c>
      <c r="X227" s="20" t="n">
        <v>360.693</v>
      </c>
    </row>
    <row r="228">
      <c r="A228" s="18" t="inlineStr">
        <is>
          <t>매입채무 증감</t>
        </is>
      </c>
      <c r="D228" s="20" t="n">
        <v>-8.962</v>
      </c>
      <c r="H228" s="20" t="n">
        <v>-1332.306</v>
      </c>
      <c r="L228" s="20" t="n">
        <v>-385.802</v>
      </c>
      <c r="O228" s="20" t="n">
        <v>504.246</v>
      </c>
      <c r="P228" s="20" t="n">
        <v>888.725</v>
      </c>
      <c r="Q228" s="20" t="n">
        <v>31.171</v>
      </c>
      <c r="R228" s="20" t="n">
        <v>-1159.019</v>
      </c>
      <c r="S228" s="20" t="n">
        <v>-492.95</v>
      </c>
      <c r="T228" s="20" t="n">
        <v>790.328</v>
      </c>
      <c r="U228" s="20" t="n">
        <v>681.899</v>
      </c>
      <c r="V228" s="20" t="n">
        <v>-8.962</v>
      </c>
      <c r="W228" s="20" t="n">
        <v>-1332.306</v>
      </c>
      <c r="X228" s="20" t="n">
        <v>-385.802</v>
      </c>
    </row>
    <row r="229">
      <c r="A229" s="18" t="inlineStr">
        <is>
          <t>기타</t>
        </is>
      </c>
      <c r="D229" s="20" t="n">
        <v>447.183</v>
      </c>
      <c r="H229" s="20" t="n">
        <v>-136.096</v>
      </c>
      <c r="L229" s="20" t="n">
        <v>-83.628</v>
      </c>
      <c r="O229" s="20" t="n">
        <v>-107.599</v>
      </c>
      <c r="P229" s="20" t="n">
        <v>156.414</v>
      </c>
      <c r="Q229" s="20" t="n">
        <v>287.752</v>
      </c>
      <c r="R229" s="20" t="n">
        <v>-214.534</v>
      </c>
      <c r="S229" s="20" t="n">
        <v>-148.83</v>
      </c>
      <c r="T229" s="20" t="n">
        <v>-160.008</v>
      </c>
      <c r="U229" s="20" t="n">
        <v>156.191</v>
      </c>
      <c r="V229" s="20" t="n">
        <v>447.183</v>
      </c>
      <c r="W229" s="20" t="n">
        <v>-136.096</v>
      </c>
      <c r="X229" s="20" t="n">
        <v>-83.628</v>
      </c>
    </row>
    <row r="230">
      <c r="A230" s="18" t="inlineStr">
        <is>
          <t>소계</t>
        </is>
      </c>
      <c r="D230" s="20" t="n">
        <v>215.347</v>
      </c>
      <c r="H230" s="20" t="n">
        <v>1732.299</v>
      </c>
      <c r="L230" s="20" t="n">
        <v>2611.792</v>
      </c>
      <c r="O230" s="20" t="n">
        <v>1597.654</v>
      </c>
      <c r="P230" s="20" t="n">
        <v>-488.232</v>
      </c>
      <c r="Q230" s="20" t="n">
        <v>1134.874</v>
      </c>
      <c r="R230" s="20" t="n">
        <v>2545.702</v>
      </c>
      <c r="S230" s="20" t="n">
        <v>2418.027</v>
      </c>
      <c r="T230" s="20" t="n">
        <v>1920.044</v>
      </c>
      <c r="U230" s="20" t="n">
        <v>822.26</v>
      </c>
      <c r="V230" s="20" t="n">
        <v>215.347</v>
      </c>
      <c r="W230" s="20" t="n">
        <v>1732.299</v>
      </c>
      <c r="X230" s="20" t="n">
        <v>2611.792</v>
      </c>
    </row>
    <row r="231">
      <c r="A231" s="18" t="inlineStr">
        <is>
          <t>이자·배당금 수취</t>
        </is>
      </c>
      <c r="D231" s="20" t="n">
        <v>31.197</v>
      </c>
      <c r="H231" s="20" t="n">
        <v>37.907</v>
      </c>
      <c r="L231" s="20" t="n">
        <v>44.92</v>
      </c>
      <c r="O231" s="20" t="n">
        <v>15.586</v>
      </c>
      <c r="P231" s="20" t="n">
        <v>17.896</v>
      </c>
      <c r="Q231" s="20" t="n">
        <v>19.263</v>
      </c>
      <c r="R231" s="20" t="n">
        <v>19.08</v>
      </c>
      <c r="S231" s="20" t="n">
        <v>19.734</v>
      </c>
      <c r="T231" s="20" t="n">
        <v>19.396</v>
      </c>
      <c r="U231" s="20" t="n">
        <v>22.225</v>
      </c>
      <c r="V231" s="20" t="n">
        <v>31.197</v>
      </c>
      <c r="W231" s="20" t="n">
        <v>37.907</v>
      </c>
      <c r="X231" s="20" t="n">
        <v>44.92</v>
      </c>
    </row>
    <row r="232">
      <c r="A232" s="18" t="inlineStr">
        <is>
          <t>이자 지급</t>
        </is>
      </c>
      <c r="D232" s="20" t="n">
        <v>-55.7</v>
      </c>
      <c r="H232" s="20" t="n">
        <v>-61.367</v>
      </c>
      <c r="L232" s="20" t="n">
        <v>-71.985</v>
      </c>
      <c r="O232" s="20" t="n">
        <v>-89.373</v>
      </c>
      <c r="P232" s="20" t="n">
        <v>-82.883</v>
      </c>
      <c r="Q232" s="20" t="n">
        <v>-79.477</v>
      </c>
      <c r="R232" s="20" t="n">
        <v>-78.15600000000001</v>
      </c>
      <c r="S232" s="20" t="n">
        <v>-68.56</v>
      </c>
      <c r="T232" s="20" t="n">
        <v>-46.938</v>
      </c>
      <c r="U232" s="20" t="n">
        <v>-41.157</v>
      </c>
      <c r="V232" s="20" t="n">
        <v>-55.7</v>
      </c>
      <c r="W232" s="20" t="n">
        <v>-61.367</v>
      </c>
      <c r="X232" s="20" t="n">
        <v>-71.985</v>
      </c>
    </row>
    <row r="233">
      <c r="A233" s="18" t="inlineStr">
        <is>
          <t>구조개혁 비용 지급액</t>
        </is>
      </c>
      <c r="H233" s="20" t="n">
        <v>0</v>
      </c>
      <c r="L233" s="20" t="n">
        <v>-151.077</v>
      </c>
      <c r="W233" s="20" t="n">
        <v>0</v>
      </c>
      <c r="X233" s="20" t="n">
        <v>-151.077</v>
      </c>
    </row>
    <row r="234">
      <c r="A234" s="18" t="inlineStr">
        <is>
          <t>법인세 납부</t>
        </is>
      </c>
      <c r="D234" s="20" t="n">
        <v>-330.75</v>
      </c>
      <c r="H234" s="20" t="n">
        <v>-586.011</v>
      </c>
      <c r="L234" s="20" t="n">
        <v>-441.542</v>
      </c>
      <c r="O234" s="20" t="n">
        <v>-395.774</v>
      </c>
      <c r="P234" s="20" t="n">
        <v>-345.365</v>
      </c>
      <c r="Q234" s="20" t="n">
        <v>-380.075</v>
      </c>
      <c r="R234" s="20" t="n">
        <v>-614.287</v>
      </c>
      <c r="S234" s="20" t="n">
        <v>-494.911</v>
      </c>
      <c r="T234" s="20" t="n">
        <v>-288.027</v>
      </c>
      <c r="U234" s="20" t="n">
        <v>-268.632</v>
      </c>
      <c r="V234" s="20" t="n">
        <v>-330.75</v>
      </c>
      <c r="W234" s="20" t="n">
        <v>-586.011</v>
      </c>
      <c r="X234" s="20" t="n">
        <v>-441.542</v>
      </c>
    </row>
    <row r="235">
      <c r="A235" s="18" t="inlineStr">
        <is>
          <t>법인세 환급</t>
        </is>
      </c>
      <c r="D235" s="20" t="n">
        <v>0</v>
      </c>
      <c r="Q235" s="20" t="n">
        <v>0</v>
      </c>
      <c r="R235" s="20" t="n">
        <v>41.223</v>
      </c>
      <c r="S235" s="20" t="n">
        <v>0</v>
      </c>
      <c r="T235" s="20" t="n">
        <v>0</v>
      </c>
      <c r="U235" s="20" t="n">
        <v>20.217</v>
      </c>
      <c r="V235" s="20" t="n">
        <v>0</v>
      </c>
    </row>
    <row r="236">
      <c r="A236" s="9" t="inlineStr">
        <is>
          <t>영업활동 현금흐름</t>
        </is>
      </c>
      <c r="D236" s="12" t="n">
        <v>-139.906</v>
      </c>
      <c r="H236" s="12" t="n">
        <v>1122.829</v>
      </c>
      <c r="L236" s="12" t="n">
        <v>1992.108</v>
      </c>
      <c r="O236" s="12" t="n">
        <v>1128.092</v>
      </c>
      <c r="P236" s="12" t="n">
        <v>-898.5839999999999</v>
      </c>
      <c r="Q236" s="12" t="n">
        <v>694.5839999999999</v>
      </c>
      <c r="R236" s="12" t="n">
        <v>1913.562</v>
      </c>
      <c r="S236" s="12" t="n">
        <v>1874.289</v>
      </c>
      <c r="T236" s="12" t="n">
        <v>1604.474</v>
      </c>
      <c r="U236" s="12" t="n">
        <v>554.913</v>
      </c>
      <c r="V236" s="12" t="n">
        <v>-139.906</v>
      </c>
      <c r="W236" s="12" t="n">
        <v>1122.829</v>
      </c>
      <c r="X236" s="12" t="n">
        <v>1992.108</v>
      </c>
    </row>
    <row r="237">
      <c r="A237" s="18" t="inlineStr">
        <is>
          <t>정기예금 예입</t>
        </is>
      </c>
      <c r="H237" s="20" t="n">
        <v>0</v>
      </c>
      <c r="L237" s="20" t="n">
        <v>-626.376</v>
      </c>
      <c r="W237" s="20" t="n">
        <v>0</v>
      </c>
      <c r="X237" s="20" t="n">
        <v>-626.376</v>
      </c>
    </row>
    <row r="238">
      <c r="A238" s="18" t="inlineStr">
        <is>
          <t>유형자산 취득(설비투자)</t>
        </is>
      </c>
      <c r="D238" s="20" t="n">
        <v>-695.596</v>
      </c>
      <c r="H238" s="20" t="n">
        <v>-494.456</v>
      </c>
      <c r="L238" s="20" t="n">
        <v>-201.274</v>
      </c>
      <c r="O238" s="20" t="n">
        <v>-471.399</v>
      </c>
      <c r="P238" s="20" t="n">
        <v>-267.968</v>
      </c>
      <c r="Q238" s="20" t="n">
        <v>-208.948</v>
      </c>
      <c r="R238" s="20" t="n">
        <v>-238.021</v>
      </c>
      <c r="S238" s="20" t="n">
        <v>-118.561</v>
      </c>
      <c r="T238" s="20" t="n">
        <v>-338.493</v>
      </c>
      <c r="U238" s="20" t="n">
        <v>-896.697</v>
      </c>
      <c r="V238" s="20" t="n">
        <v>-695.596</v>
      </c>
      <c r="W238" s="20" t="n">
        <v>-494.456</v>
      </c>
      <c r="X238" s="20" t="n">
        <v>-201.274</v>
      </c>
    </row>
    <row r="239">
      <c r="A239" s="18" t="inlineStr">
        <is>
          <t>유형자산 매각</t>
        </is>
      </c>
      <c r="D239" s="20" t="n">
        <v>4.246</v>
      </c>
      <c r="H239" s="20" t="n">
        <v>104.261</v>
      </c>
      <c r="L239" s="20" t="n">
        <v>8.888999999999999</v>
      </c>
      <c r="O239" s="20" t="n">
        <v>3.884</v>
      </c>
      <c r="P239" s="20" t="n">
        <v>2.415</v>
      </c>
      <c r="Q239" s="20" t="n">
        <v>6.709</v>
      </c>
      <c r="R239" s="20" t="n">
        <v>11.743</v>
      </c>
      <c r="S239" s="20" t="n">
        <v>8.308999999999999</v>
      </c>
      <c r="T239" s="20" t="n">
        <v>7.771</v>
      </c>
      <c r="U239" s="20" t="n">
        <v>4.963</v>
      </c>
      <c r="V239" s="20" t="n">
        <v>4.246</v>
      </c>
      <c r="W239" s="20" t="n">
        <v>104.261</v>
      </c>
      <c r="X239" s="20" t="n">
        <v>8.888999999999999</v>
      </c>
    </row>
    <row r="240">
      <c r="A240" s="18" t="inlineStr">
        <is>
          <t>무형자산 취득</t>
        </is>
      </c>
      <c r="D240" s="20" t="n">
        <v>-0.33</v>
      </c>
      <c r="H240" s="20" t="n">
        <v>0</v>
      </c>
      <c r="O240" s="20" t="n">
        <v>0</v>
      </c>
      <c r="P240" s="20" t="n">
        <v>-3</v>
      </c>
      <c r="Q240" s="20" t="n">
        <v>-0.169</v>
      </c>
      <c r="R240" s="20" t="n">
        <v>-0.129</v>
      </c>
      <c r="S240" s="20" t="n">
        <v>0</v>
      </c>
      <c r="T240" s="20" t="n">
        <v>-24.246</v>
      </c>
      <c r="U240" s="20" t="n">
        <v>-9.154</v>
      </c>
      <c r="V240" s="20" t="n">
        <v>-0.33</v>
      </c>
      <c r="W240" s="20" t="n">
        <v>0</v>
      </c>
    </row>
    <row r="241">
      <c r="A241" s="18" t="inlineStr">
        <is>
          <t>보조금 수입</t>
        </is>
      </c>
      <c r="H241" s="20" t="n">
        <v>0</v>
      </c>
      <c r="L241" s="20" t="n">
        <v>49.814</v>
      </c>
      <c r="W241" s="20" t="n">
        <v>0</v>
      </c>
      <c r="X241" s="20" t="n">
        <v>49.814</v>
      </c>
    </row>
    <row r="242">
      <c r="A242" s="18" t="inlineStr">
        <is>
          <t>소프트웨어 취득 지출</t>
        </is>
      </c>
      <c r="D242" s="20" t="n">
        <v>-65.11799999999999</v>
      </c>
      <c r="H242" s="20" t="n">
        <v>-37.309</v>
      </c>
      <c r="L242" s="20" t="n">
        <v>-262.463</v>
      </c>
      <c r="O242" s="20" t="n">
        <v>-21.418</v>
      </c>
      <c r="P242" s="20" t="n">
        <v>-46.652</v>
      </c>
      <c r="Q242" s="20" t="n">
        <v>-57.832</v>
      </c>
      <c r="R242" s="20" t="n">
        <v>-63.678</v>
      </c>
      <c r="S242" s="20" t="n">
        <v>-32.608</v>
      </c>
      <c r="T242" s="20" t="n">
        <v>-34.245</v>
      </c>
      <c r="U242" s="20" t="n">
        <v>-40.188</v>
      </c>
      <c r="V242" s="20" t="n">
        <v>-65.11799999999999</v>
      </c>
      <c r="W242" s="20" t="n">
        <v>-37.309</v>
      </c>
      <c r="X242" s="20" t="n">
        <v>-262.463</v>
      </c>
    </row>
    <row r="243">
      <c r="A243" s="18" t="inlineStr">
        <is>
          <t>투자유가증권 취득</t>
        </is>
      </c>
      <c r="D243" s="20" t="n">
        <v>-0.499</v>
      </c>
      <c r="H243" s="20" t="n">
        <v>-0.608</v>
      </c>
      <c r="L243" s="20" t="n">
        <v>-0.652</v>
      </c>
      <c r="O243" s="20" t="n">
        <v>-2.564</v>
      </c>
      <c r="P243" s="20" t="n">
        <v>-0.438</v>
      </c>
      <c r="Q243" s="20" t="n">
        <v>-0.355</v>
      </c>
      <c r="R243" s="20" t="n">
        <v>-0.517</v>
      </c>
      <c r="S243" s="20" t="n">
        <v>-0.161</v>
      </c>
      <c r="T243" s="20" t="n">
        <v>-0.463</v>
      </c>
      <c r="U243" s="20" t="n">
        <v>-0.5570000000000001</v>
      </c>
      <c r="V243" s="20" t="n">
        <v>-0.499</v>
      </c>
      <c r="W243" s="20" t="n">
        <v>-0.608</v>
      </c>
      <c r="X243" s="20" t="n">
        <v>-0.652</v>
      </c>
    </row>
    <row r="244">
      <c r="A244" s="18" t="inlineStr">
        <is>
          <t>투자유가증권 매각</t>
        </is>
      </c>
      <c r="D244" s="20" t="n">
        <v>0</v>
      </c>
      <c r="O244" s="20" t="n">
        <v>3.75</v>
      </c>
      <c r="P244" s="20" t="n">
        <v>0</v>
      </c>
      <c r="Q244" s="20" t="n">
        <v>3.548</v>
      </c>
      <c r="R244" s="20" t="n">
        <v>3.598</v>
      </c>
      <c r="S244" s="20" t="n">
        <v>3.598</v>
      </c>
      <c r="T244" s="20" t="n">
        <v>4.276</v>
      </c>
      <c r="U244" s="20" t="n">
        <v>25.693</v>
      </c>
      <c r="V244" s="20" t="n">
        <v>0</v>
      </c>
    </row>
    <row r="245">
      <c r="A245" s="18" t="inlineStr">
        <is>
          <t>보험적립금 해약</t>
        </is>
      </c>
      <c r="D245" s="20" t="n">
        <v>14.682</v>
      </c>
      <c r="H245" s="20" t="n">
        <v>2.104</v>
      </c>
      <c r="L245" s="20" t="n">
        <v>4.679</v>
      </c>
      <c r="O245" s="20" t="n">
        <v>7.447</v>
      </c>
      <c r="P245" s="20" t="n">
        <v>4.52</v>
      </c>
      <c r="Q245" s="20" t="n">
        <v>35.081</v>
      </c>
      <c r="R245" s="20" t="n">
        <v>115.925</v>
      </c>
      <c r="S245" s="20" t="n">
        <v>41.788</v>
      </c>
      <c r="T245" s="20" t="n">
        <v>56.061</v>
      </c>
      <c r="U245" s="20" t="n">
        <v>40.82</v>
      </c>
      <c r="V245" s="20" t="n">
        <v>14.682</v>
      </c>
      <c r="W245" s="20" t="n">
        <v>2.104</v>
      </c>
      <c r="X245" s="20" t="n">
        <v>4.679</v>
      </c>
    </row>
    <row r="246">
      <c r="A246" s="18" t="inlineStr">
        <is>
          <t>공장 이전비용 지급</t>
        </is>
      </c>
      <c r="O246" s="20" t="n">
        <v>-36.017</v>
      </c>
      <c r="P246" s="20" t="n">
        <v>0</v>
      </c>
    </row>
    <row r="247">
      <c r="A247" s="18" t="inlineStr">
        <is>
          <t>자회사 청산 지출</t>
        </is>
      </c>
      <c r="R247" s="20" t="n">
        <v>0</v>
      </c>
      <c r="S247" s="20" t="n">
        <v>-15.883</v>
      </c>
      <c r="T247" s="20" t="n">
        <v>-21.446</v>
      </c>
      <c r="U247" s="20" t="n">
        <v>0</v>
      </c>
    </row>
    <row r="248">
      <c r="A248" s="18" t="inlineStr">
        <is>
          <t>기타</t>
        </is>
      </c>
      <c r="D248" s="20" t="n">
        <v>89.137</v>
      </c>
      <c r="H248" s="20" t="n">
        <v>-29.09</v>
      </c>
      <c r="L248" s="20" t="n">
        <v>-6.172</v>
      </c>
      <c r="O248" s="20" t="n">
        <v>-64.625</v>
      </c>
      <c r="P248" s="20" t="n">
        <v>-37.232</v>
      </c>
      <c r="Q248" s="20" t="n">
        <v>-75.77</v>
      </c>
      <c r="R248" s="20" t="n">
        <v>-44.523</v>
      </c>
      <c r="S248" s="20" t="n">
        <v>-46.249</v>
      </c>
      <c r="T248" s="20" t="n">
        <v>-65.898</v>
      </c>
      <c r="U248" s="20" t="n">
        <v>-154.898</v>
      </c>
      <c r="V248" s="20" t="n">
        <v>89.137</v>
      </c>
      <c r="W248" s="20" t="n">
        <v>-29.09</v>
      </c>
      <c r="X248" s="20" t="n">
        <v>-6.172</v>
      </c>
    </row>
    <row r="249">
      <c r="A249" s="9" t="inlineStr">
        <is>
          <t>투자활동 현금흐름</t>
        </is>
      </c>
      <c r="D249" s="12" t="n">
        <v>-653.478</v>
      </c>
      <c r="H249" s="12" t="n">
        <v>-455.098</v>
      </c>
      <c r="L249" s="12" t="n">
        <v>-1033.556</v>
      </c>
      <c r="O249" s="12" t="n">
        <v>-580.942</v>
      </c>
      <c r="P249" s="12" t="n">
        <v>-348.357</v>
      </c>
      <c r="Q249" s="12" t="n">
        <v>-297.737</v>
      </c>
      <c r="R249" s="12" t="n">
        <v>-215.602</v>
      </c>
      <c r="S249" s="12" t="n">
        <v>-159.768</v>
      </c>
      <c r="T249" s="12" t="n">
        <v>-416.684</v>
      </c>
      <c r="U249" s="12" t="n">
        <v>-1030.019</v>
      </c>
      <c r="V249" s="12" t="n">
        <v>-653.478</v>
      </c>
      <c r="W249" s="12" t="n">
        <v>-455.098</v>
      </c>
      <c r="X249" s="12" t="n">
        <v>-1033.556</v>
      </c>
    </row>
    <row r="250">
      <c r="A250" s="18" t="inlineStr">
        <is>
          <t>단기차입금 증감</t>
        </is>
      </c>
      <c r="D250" s="20" t="n">
        <v>750</v>
      </c>
      <c r="H250" s="20" t="n">
        <v>-899.98</v>
      </c>
      <c r="L250" s="20" t="n">
        <v>-360</v>
      </c>
      <c r="O250" s="20" t="n">
        <v>-65.355</v>
      </c>
      <c r="P250" s="20" t="n">
        <v>1181.053</v>
      </c>
      <c r="Q250" s="20" t="n">
        <v>164.853</v>
      </c>
      <c r="R250" s="20" t="n">
        <v>-312.404</v>
      </c>
      <c r="S250" s="20" t="n">
        <v>-527.026</v>
      </c>
      <c r="T250" s="20" t="n">
        <v>-632.47</v>
      </c>
      <c r="U250" s="20" t="n">
        <v>877.683</v>
      </c>
      <c r="V250" s="20" t="n">
        <v>750</v>
      </c>
      <c r="W250" s="20" t="n">
        <v>-899.98</v>
      </c>
      <c r="X250" s="20" t="n">
        <v>-360</v>
      </c>
    </row>
    <row r="251">
      <c r="A251" s="18" t="inlineStr">
        <is>
          <t>장기차입</t>
        </is>
      </c>
      <c r="D251" s="20" t="n">
        <v>1851</v>
      </c>
      <c r="H251" s="20" t="n">
        <v>1559</v>
      </c>
      <c r="L251" s="20" t="n">
        <v>1180</v>
      </c>
      <c r="O251" s="20" t="n">
        <v>1300</v>
      </c>
      <c r="P251" s="20" t="n">
        <v>1510</v>
      </c>
      <c r="Q251" s="20" t="n">
        <v>1386.291</v>
      </c>
      <c r="R251" s="20" t="n">
        <v>1430</v>
      </c>
      <c r="S251" s="20" t="n">
        <v>1780</v>
      </c>
      <c r="T251" s="20" t="n">
        <v>1500</v>
      </c>
      <c r="U251" s="20" t="n">
        <v>1680</v>
      </c>
      <c r="V251" s="20" t="n">
        <v>1851</v>
      </c>
      <c r="W251" s="20" t="n">
        <v>1559</v>
      </c>
      <c r="X251" s="20" t="n">
        <v>1180</v>
      </c>
    </row>
    <row r="252">
      <c r="A252" s="18" t="inlineStr">
        <is>
          <t>장기차입금 상환</t>
        </is>
      </c>
      <c r="D252" s="20" t="n">
        <v>-1543.002</v>
      </c>
      <c r="H252" s="20" t="n">
        <v>-1570.104</v>
      </c>
      <c r="L252" s="20" t="n">
        <v>-1520.656</v>
      </c>
      <c r="O252" s="20" t="n">
        <v>-1044.656</v>
      </c>
      <c r="P252" s="20" t="n">
        <v>-1128.306</v>
      </c>
      <c r="Q252" s="20" t="n">
        <v>-1507.726</v>
      </c>
      <c r="R252" s="20" t="n">
        <v>-1504.855</v>
      </c>
      <c r="S252" s="20" t="n">
        <v>-1279.926</v>
      </c>
      <c r="T252" s="20" t="n">
        <v>-1878.011</v>
      </c>
      <c r="U252" s="20" t="n">
        <v>-1537.256</v>
      </c>
      <c r="V252" s="20" t="n">
        <v>-1543.002</v>
      </c>
      <c r="W252" s="20" t="n">
        <v>-1570.104</v>
      </c>
      <c r="X252" s="20" t="n">
        <v>-1520.656</v>
      </c>
    </row>
    <row r="253">
      <c r="A253" s="18" t="inlineStr">
        <is>
          <t>사채 발행</t>
        </is>
      </c>
      <c r="P253" s="20" t="n">
        <v>0</v>
      </c>
      <c r="Q253" s="20" t="n">
        <v>150</v>
      </c>
      <c r="R253" s="20" t="n">
        <v>0</v>
      </c>
    </row>
    <row r="254">
      <c r="A254" s="18" t="inlineStr">
        <is>
          <t>사채 상환</t>
        </is>
      </c>
      <c r="D254" s="20" t="n">
        <v>0</v>
      </c>
      <c r="O254" s="20" t="n">
        <v>-320</v>
      </c>
      <c r="P254" s="20" t="n">
        <v>-100</v>
      </c>
      <c r="Q254" s="20" t="n">
        <v>-218.75</v>
      </c>
      <c r="R254" s="20" t="n">
        <v>-37.5</v>
      </c>
      <c r="S254" s="20" t="n">
        <v>-237.5</v>
      </c>
      <c r="T254" s="20" t="n">
        <v>-37.5</v>
      </c>
      <c r="U254" s="20" t="n">
        <v>-18.75</v>
      </c>
      <c r="V254" s="20" t="n">
        <v>0</v>
      </c>
    </row>
    <row r="255">
      <c r="A255" s="18" t="inlineStr">
        <is>
          <t>자기주식 취득</t>
        </is>
      </c>
      <c r="D255" s="20" t="n">
        <v>-0.055</v>
      </c>
      <c r="H255" s="20" t="n">
        <v>0</v>
      </c>
      <c r="R255" s="20" t="n">
        <v>0</v>
      </c>
      <c r="S255" s="20" t="n">
        <v>-89.983</v>
      </c>
      <c r="T255" s="20" t="n">
        <v>0</v>
      </c>
      <c r="U255" s="20" t="n">
        <v>0</v>
      </c>
      <c r="V255" s="20" t="n">
        <v>-0.055</v>
      </c>
      <c r="W255" s="20" t="n">
        <v>0</v>
      </c>
    </row>
    <row r="256">
      <c r="A256" s="18" t="inlineStr">
        <is>
          <t>자기주식 매각</t>
        </is>
      </c>
      <c r="D256" s="20" t="n">
        <v>2.209</v>
      </c>
      <c r="H256" s="20" t="n">
        <v>0</v>
      </c>
      <c r="L256" s="20" t="n">
        <v>3.919</v>
      </c>
      <c r="T256" s="20" t="n">
        <v>0</v>
      </c>
      <c r="U256" s="20" t="n">
        <v>1.999</v>
      </c>
      <c r="V256" s="20" t="n">
        <v>2.209</v>
      </c>
      <c r="W256" s="20" t="n">
        <v>0</v>
      </c>
      <c r="X256" s="20" t="n">
        <v>3.919</v>
      </c>
    </row>
    <row r="257">
      <c r="A257" s="18" t="inlineStr">
        <is>
          <t>배당금 지급</t>
        </is>
      </c>
      <c r="D257" s="20" t="n">
        <v>-290.197</v>
      </c>
      <c r="H257" s="20" t="n">
        <v>-289.747</v>
      </c>
      <c r="L257" s="20" t="n">
        <v>-279.612</v>
      </c>
      <c r="O257" s="20" t="n">
        <v>-91.833</v>
      </c>
      <c r="P257" s="20" t="n">
        <v>-85.206</v>
      </c>
      <c r="Q257" s="20" t="n">
        <v>-183.891</v>
      </c>
      <c r="R257" s="20" t="n">
        <v>-211.735</v>
      </c>
      <c r="S257" s="20" t="n">
        <v>-212.34</v>
      </c>
      <c r="T257" s="20" t="n">
        <v>-211.852</v>
      </c>
      <c r="U257" s="20" t="n">
        <v>-251.922</v>
      </c>
      <c r="V257" s="20" t="n">
        <v>-290.197</v>
      </c>
      <c r="W257" s="20" t="n">
        <v>-289.747</v>
      </c>
      <c r="X257" s="20" t="n">
        <v>-279.612</v>
      </c>
    </row>
    <row r="258">
      <c r="A258" s="18" t="inlineStr">
        <is>
          <t>리스부채 상환</t>
        </is>
      </c>
      <c r="D258" s="20" t="n">
        <v>-57.456</v>
      </c>
      <c r="H258" s="20" t="n">
        <v>-65.41</v>
      </c>
      <c r="L258" s="20" t="n">
        <v>-64.867</v>
      </c>
      <c r="O258" s="20" t="n">
        <v>-25.643</v>
      </c>
      <c r="P258" s="20" t="n">
        <v>-21.627</v>
      </c>
      <c r="Q258" s="20" t="n">
        <v>-17.782</v>
      </c>
      <c r="R258" s="20" t="n">
        <v>-37.457</v>
      </c>
      <c r="S258" s="20" t="n">
        <v>-46.5</v>
      </c>
      <c r="T258" s="20" t="n">
        <v>-43.916</v>
      </c>
      <c r="U258" s="20" t="n">
        <v>-53.783</v>
      </c>
      <c r="V258" s="20" t="n">
        <v>-57.456</v>
      </c>
      <c r="W258" s="20" t="n">
        <v>-65.41</v>
      </c>
      <c r="X258" s="20" t="n">
        <v>-64.867</v>
      </c>
    </row>
    <row r="259">
      <c r="A259" s="18" t="inlineStr">
        <is>
          <t>기타</t>
        </is>
      </c>
      <c r="D259" s="20" t="n">
        <v>26.079</v>
      </c>
      <c r="H259" s="20" t="n">
        <v>44.409</v>
      </c>
      <c r="L259" s="20" t="n">
        <v>35.14</v>
      </c>
      <c r="O259" s="20" t="n">
        <v>13.53</v>
      </c>
      <c r="P259" s="20" t="n">
        <v>13.188</v>
      </c>
      <c r="Q259" s="20" t="n">
        <v>20.262</v>
      </c>
      <c r="R259" s="20" t="n">
        <v>39.582</v>
      </c>
      <c r="S259" s="20" t="n">
        <v>24.075</v>
      </c>
      <c r="T259" s="20" t="n">
        <v>76.018</v>
      </c>
      <c r="U259" s="20" t="n">
        <v>62.946</v>
      </c>
      <c r="V259" s="20" t="n">
        <v>26.079</v>
      </c>
      <c r="W259" s="20" t="n">
        <v>44.409</v>
      </c>
      <c r="X259" s="20" t="n">
        <v>35.14</v>
      </c>
    </row>
    <row r="260">
      <c r="A260" s="9" t="inlineStr">
        <is>
          <t>재무활동 현금흐름</t>
        </is>
      </c>
      <c r="D260" s="12" t="n">
        <v>738.578</v>
      </c>
      <c r="H260" s="12" t="n">
        <v>-1221.832</v>
      </c>
      <c r="L260" s="12" t="n">
        <v>-1006.076</v>
      </c>
      <c r="O260" s="12" t="n">
        <v>-233.958</v>
      </c>
      <c r="P260" s="12" t="n">
        <v>1369.101</v>
      </c>
      <c r="Q260" s="12" t="n">
        <v>-206.742</v>
      </c>
      <c r="R260" s="12" t="n">
        <v>-634.37</v>
      </c>
      <c r="S260" s="12" t="n">
        <v>-589.201</v>
      </c>
      <c r="T260" s="12" t="n">
        <v>-1227.731</v>
      </c>
      <c r="U260" s="12" t="n">
        <v>760.9160000000001</v>
      </c>
      <c r="V260" s="12" t="n">
        <v>738.578</v>
      </c>
      <c r="W260" s="12" t="n">
        <v>-1221.832</v>
      </c>
      <c r="X260" s="12" t="n">
        <v>-1006.076</v>
      </c>
    </row>
    <row r="261">
      <c r="A261" s="18" t="inlineStr">
        <is>
          <t>현금성자산 환산차이</t>
        </is>
      </c>
      <c r="D261" s="20" t="n">
        <v>7.906</v>
      </c>
      <c r="H261" s="20" t="n">
        <v>284.211</v>
      </c>
      <c r="L261" s="20" t="n">
        <v>-13.136</v>
      </c>
      <c r="O261" s="20" t="n">
        <v>-58.195</v>
      </c>
      <c r="P261" s="20" t="n">
        <v>55.782</v>
      </c>
      <c r="Q261" s="20" t="n">
        <v>-87.922</v>
      </c>
      <c r="R261" s="20" t="n">
        <v>41.877</v>
      </c>
      <c r="S261" s="20" t="n">
        <v>-94.336</v>
      </c>
      <c r="T261" s="20" t="n">
        <v>121.279</v>
      </c>
      <c r="U261" s="20" t="n">
        <v>89.389</v>
      </c>
      <c r="V261" s="20" t="n">
        <v>7.906</v>
      </c>
      <c r="W261" s="20" t="n">
        <v>284.211</v>
      </c>
      <c r="X261" s="20" t="n">
        <v>-13.136</v>
      </c>
    </row>
    <row r="262">
      <c r="A262" s="18" t="inlineStr">
        <is>
          <t>현금성자산 증감</t>
        </is>
      </c>
      <c r="D262" s="20" t="n">
        <v>-46.899</v>
      </c>
      <c r="H262" s="20" t="n">
        <v>-269.889</v>
      </c>
      <c r="L262" s="20" t="n">
        <v>-60.66</v>
      </c>
      <c r="O262" s="20" t="n">
        <v>254.995</v>
      </c>
      <c r="P262" s="20" t="n">
        <v>177.942</v>
      </c>
      <c r="Q262" s="20" t="n">
        <v>102.182</v>
      </c>
      <c r="R262" s="20" t="n">
        <v>1105.467</v>
      </c>
      <c r="S262" s="20" t="n">
        <v>1030.983</v>
      </c>
      <c r="T262" s="20" t="n">
        <v>81.337</v>
      </c>
      <c r="U262" s="20" t="n">
        <v>375.2</v>
      </c>
      <c r="V262" s="20" t="n">
        <v>-46.899</v>
      </c>
      <c r="W262" s="20" t="n">
        <v>-269.889</v>
      </c>
      <c r="X262" s="20" t="n">
        <v>-60.66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6292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17348.012</v>
      </c>
      <c r="D5" s="12" t="n">
        <v>17441.851</v>
      </c>
      <c r="E5" s="12" t="n">
        <v>17038.016</v>
      </c>
      <c r="F5" s="12" t="n">
        <v>16792.279</v>
      </c>
      <c r="G5" s="12" t="n">
        <v>16842.627</v>
      </c>
      <c r="H5" s="11" t="n">
        <v>16604.733</v>
      </c>
      <c r="I5" s="12" t="n">
        <v>19045.964</v>
      </c>
      <c r="J5" s="12" t="n">
        <v>20054.418</v>
      </c>
      <c r="K5" s="12" t="n">
        <v>18524.916</v>
      </c>
      <c r="L5" s="12" t="n">
        <v>17038.016</v>
      </c>
    </row>
    <row r="6">
      <c r="A6" s="18" t="inlineStr">
        <is>
          <t>현금및현금성자산</t>
        </is>
      </c>
      <c r="B6" s="10" t="n"/>
      <c r="C6" s="19" t="n">
        <v>6806.721</v>
      </c>
      <c r="D6" s="20" t="n">
        <v>6898.778</v>
      </c>
      <c r="E6" s="20" t="n">
        <v>7438.399</v>
      </c>
      <c r="F6" s="20" t="n">
        <v>7793.89</v>
      </c>
      <c r="G6" s="20" t="n">
        <v>6767.517</v>
      </c>
      <c r="H6" s="19" t="n">
        <v>6764.843</v>
      </c>
      <c r="I6" s="20" t="n">
        <v>7246.977</v>
      </c>
      <c r="J6" s="20" t="n">
        <v>7134.04</v>
      </c>
      <c r="K6" s="20" t="n">
        <v>6866.39</v>
      </c>
      <c r="L6" s="20" t="n">
        <v>7438.399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6782.491</v>
      </c>
      <c r="D8" s="20" t="n">
        <v>6571.861</v>
      </c>
      <c r="E8" s="20" t="n">
        <v>5854.565</v>
      </c>
      <c r="F8" s="20" t="n">
        <v>5023.466</v>
      </c>
      <c r="G8" s="20" t="n">
        <v>6070.549</v>
      </c>
      <c r="H8" s="19" t="n">
        <v>6495.503</v>
      </c>
      <c r="I8" s="20" t="n">
        <v>7322.312</v>
      </c>
      <c r="J8" s="20" t="n">
        <v>8753.691000000001</v>
      </c>
      <c r="K8" s="20" t="n">
        <v>7665.787</v>
      </c>
      <c r="L8" s="20" t="n">
        <v>5854.565</v>
      </c>
    </row>
    <row r="9">
      <c r="A9" s="18" t="inlineStr">
        <is>
          <t>재고자산</t>
        </is>
      </c>
      <c r="B9" s="10" t="n"/>
      <c r="C9" s="19" t="n">
        <v>3445.805</v>
      </c>
      <c r="D9" s="20" t="n">
        <v>3569.323</v>
      </c>
      <c r="E9" s="20" t="n">
        <v>3303.215</v>
      </c>
      <c r="F9" s="20" t="n">
        <v>3514.046</v>
      </c>
      <c r="G9" s="20" t="n">
        <v>3562.352</v>
      </c>
      <c r="H9" s="19" t="n">
        <v>2889.678</v>
      </c>
      <c r="I9" s="20" t="n">
        <v>3951.207</v>
      </c>
      <c r="J9" s="20" t="n">
        <v>3873.4</v>
      </c>
      <c r="K9" s="20" t="n">
        <v>3606.281</v>
      </c>
      <c r="L9" s="20" t="n">
        <v>3303.215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6653.144</v>
      </c>
      <c r="D11" s="12" t="n">
        <v>6718.812</v>
      </c>
      <c r="E11" s="12" t="n">
        <v>7054.568</v>
      </c>
      <c r="F11" s="12" t="n">
        <v>7146.97</v>
      </c>
      <c r="G11" s="12" t="n">
        <v>7340.743</v>
      </c>
      <c r="H11" s="11" t="n">
        <v>5431.598</v>
      </c>
      <c r="I11" s="12" t="n">
        <v>6125.592</v>
      </c>
      <c r="J11" s="12" t="n">
        <v>6687.077</v>
      </c>
      <c r="K11" s="12" t="n">
        <v>6779.45</v>
      </c>
      <c r="L11" s="12" t="n">
        <v>7054.568</v>
      </c>
    </row>
    <row r="12">
      <c r="A12" s="18" t="inlineStr">
        <is>
          <t>유형자산</t>
        </is>
      </c>
      <c r="B12" s="10" t="n"/>
      <c r="C12" s="19" t="n">
        <v>5115.533</v>
      </c>
      <c r="D12" s="20" t="n">
        <v>5091.257</v>
      </c>
      <c r="E12" s="20" t="n">
        <v>5219.732</v>
      </c>
      <c r="F12" s="20" t="n">
        <v>5183.748</v>
      </c>
      <c r="G12" s="20" t="n">
        <v>5158.417</v>
      </c>
      <c r="H12" s="19" t="n">
        <v>4231.498</v>
      </c>
      <c r="I12" s="20" t="n">
        <v>4857.532</v>
      </c>
      <c r="J12" s="20" t="n">
        <v>5275.094</v>
      </c>
      <c r="K12" s="20" t="n">
        <v>5343.357</v>
      </c>
      <c r="L12" s="20" t="n">
        <v>5219.732</v>
      </c>
    </row>
    <row r="13">
      <c r="A13" s="18" t="inlineStr">
        <is>
          <t>무형자산</t>
        </is>
      </c>
      <c r="B13" s="10" t="n"/>
      <c r="C13" s="19" t="n">
        <v>685.091</v>
      </c>
      <c r="D13" s="20" t="n">
        <v>742.9160000000001</v>
      </c>
      <c r="E13" s="20" t="n">
        <v>881.109</v>
      </c>
      <c r="F13" s="20" t="n">
        <v>939.874</v>
      </c>
      <c r="G13" s="20" t="n">
        <v>1084.389</v>
      </c>
      <c r="H13" s="19" t="n">
        <v>542.133</v>
      </c>
      <c r="I13" s="20" t="n">
        <v>573.136</v>
      </c>
      <c r="J13" s="20" t="n">
        <v>615.024</v>
      </c>
      <c r="K13" s="20" t="n">
        <v>649.732</v>
      </c>
      <c r="L13" s="20" t="n">
        <v>881.109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24001.157</v>
      </c>
      <c r="D16" s="12" t="n">
        <v>24160.663</v>
      </c>
      <c r="E16" s="12" t="n">
        <v>24092.584</v>
      </c>
      <c r="F16" s="12" t="n">
        <v>23939.249</v>
      </c>
      <c r="G16" s="12" t="n">
        <v>24183.371</v>
      </c>
      <c r="H16" s="11" t="n">
        <v>22036.331</v>
      </c>
      <c r="I16" s="12" t="n">
        <v>25171.557</v>
      </c>
      <c r="J16" s="12" t="n">
        <v>26741.496</v>
      </c>
      <c r="K16" s="12" t="n">
        <v>25304.366</v>
      </c>
      <c r="L16" s="12" t="n">
        <v>24092.584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6608.016</v>
      </c>
      <c r="D18" s="12" t="n">
        <v>6670.336</v>
      </c>
      <c r="E18" s="12" t="n">
        <v>6552.65</v>
      </c>
      <c r="F18" s="12" t="n">
        <v>6297.955</v>
      </c>
      <c r="G18" s="12" t="n">
        <v>6425.843</v>
      </c>
      <c r="H18" s="11" t="n">
        <v>6948.315</v>
      </c>
      <c r="I18" s="12" t="n">
        <v>9501.359</v>
      </c>
      <c r="J18" s="12" t="n">
        <v>9836.855</v>
      </c>
      <c r="K18" s="12" t="n">
        <v>7482.79</v>
      </c>
      <c r="L18" s="12" t="n">
        <v>6552.65</v>
      </c>
    </row>
    <row r="19">
      <c r="A19" s="18" t="inlineStr">
        <is>
          <t>매입채무</t>
        </is>
      </c>
      <c r="B19" s="10" t="n"/>
      <c r="C19" s="19" t="n">
        <v>1759.217</v>
      </c>
      <c r="D19" s="20" t="n">
        <v>1590.6</v>
      </c>
      <c r="E19" s="20" t="n">
        <v>1754.028</v>
      </c>
      <c r="F19" s="20" t="n">
        <v>1701.039</v>
      </c>
      <c r="G19" s="20" t="n">
        <v>1947.455</v>
      </c>
      <c r="H19" s="19" t="n">
        <v>2560.399</v>
      </c>
      <c r="I19" s="20" t="n">
        <v>3313.791</v>
      </c>
      <c r="J19" s="20" t="n">
        <v>3375.267</v>
      </c>
      <c r="K19" s="20" t="n">
        <v>2114.691</v>
      </c>
      <c r="L19" s="20" t="n">
        <v>1754.028</v>
      </c>
    </row>
    <row r="20">
      <c r="A20" s="18" t="inlineStr">
        <is>
          <t>단기차입금</t>
        </is>
      </c>
      <c r="B20" s="10" t="n"/>
      <c r="C20" s="19" t="n">
        <v>2692.556</v>
      </c>
      <c r="D20" s="20" t="n">
        <v>3078.256</v>
      </c>
      <c r="E20" s="20" t="n">
        <v>2587.856</v>
      </c>
      <c r="F20" s="20" t="n">
        <v>2622.856</v>
      </c>
      <c r="G20" s="20" t="n">
        <v>2390.706</v>
      </c>
      <c r="H20" s="19" t="n">
        <v>2200.798</v>
      </c>
      <c r="I20" s="20" t="n">
        <v>3129.142</v>
      </c>
      <c r="J20" s="20" t="n">
        <v>3906.724</v>
      </c>
      <c r="K20" s="20" t="n">
        <v>3004.056</v>
      </c>
      <c r="L20" s="20" t="n">
        <v>2587.856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18.75</v>
      </c>
      <c r="I21" s="20" t="n">
        <v>0</v>
      </c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4162.685</v>
      </c>
      <c r="D23" s="12" t="n">
        <v>4263.892</v>
      </c>
      <c r="E23" s="12" t="n">
        <v>4081.903</v>
      </c>
      <c r="F23" s="12" t="n">
        <v>4121.017</v>
      </c>
      <c r="G23" s="12" t="n">
        <v>3894.238</v>
      </c>
      <c r="H23" s="11" t="n">
        <v>3765.965</v>
      </c>
      <c r="I23" s="12" t="n">
        <v>3910.124</v>
      </c>
      <c r="J23" s="12" t="n">
        <v>4262.549</v>
      </c>
      <c r="K23" s="12" t="n">
        <v>4341.46</v>
      </c>
      <c r="L23" s="12" t="n">
        <v>4081.903</v>
      </c>
    </row>
    <row r="24">
      <c r="A24" s="18" t="inlineStr">
        <is>
          <t>장기차입금</t>
        </is>
      </c>
      <c r="B24" s="10" t="n"/>
      <c r="C24" s="19" t="n">
        <v>2845.912</v>
      </c>
      <c r="D24" s="20" t="n">
        <v>2834.248</v>
      </c>
      <c r="E24" s="20" t="n">
        <v>2735.584</v>
      </c>
      <c r="F24" s="20" t="n">
        <v>2723.92</v>
      </c>
      <c r="G24" s="20" t="n">
        <v>2443.256</v>
      </c>
      <c r="H24" s="19" t="n">
        <v>2590.002</v>
      </c>
      <c r="I24" s="20" t="n">
        <v>2697</v>
      </c>
      <c r="J24" s="20" t="n">
        <v>2990.296</v>
      </c>
      <c r="K24" s="20" t="n">
        <v>3006.24</v>
      </c>
      <c r="L24" s="20" t="n">
        <v>2735.584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0</v>
      </c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10770.701</v>
      </c>
      <c r="D27" s="12" t="n">
        <v>10934.229</v>
      </c>
      <c r="E27" s="12" t="n">
        <v>10634.553</v>
      </c>
      <c r="F27" s="12" t="n">
        <v>10418.973</v>
      </c>
      <c r="G27" s="12" t="n">
        <v>10320.081</v>
      </c>
      <c r="H27" s="11" t="n">
        <v>10714.28</v>
      </c>
      <c r="I27" s="12" t="n">
        <v>13411.483</v>
      </c>
      <c r="J27" s="12" t="n">
        <v>14099.405</v>
      </c>
      <c r="K27" s="12" t="n">
        <v>11824.251</v>
      </c>
      <c r="L27" s="12" t="n">
        <v>10634.553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12976.337</v>
      </c>
      <c r="D31" s="12" t="n">
        <v>12962.173</v>
      </c>
      <c r="E31" s="12" t="n">
        <v>13172.278</v>
      </c>
      <c r="F31" s="12" t="n">
        <v>13239.608</v>
      </c>
      <c r="G31" s="12" t="n">
        <v>13575.894</v>
      </c>
      <c r="H31" s="11" t="n">
        <v>11124.139</v>
      </c>
      <c r="I31" s="12" t="n">
        <v>11539.482</v>
      </c>
      <c r="J31" s="12" t="n">
        <v>12411.176</v>
      </c>
      <c r="K31" s="12" t="n">
        <v>13216.574</v>
      </c>
      <c r="L31" s="12" t="n">
        <v>13172.278</v>
      </c>
    </row>
    <row r="32">
      <c r="A32" s="18" t="inlineStr">
        <is>
          <t>자본금</t>
        </is>
      </c>
      <c r="B32" s="10" t="n"/>
      <c r="C32" s="19" t="n">
        <v>977.1420000000001</v>
      </c>
      <c r="D32" s="20" t="n">
        <v>977.1420000000001</v>
      </c>
      <c r="E32" s="20" t="n">
        <v>977.1420000000001</v>
      </c>
      <c r="F32" s="20" t="n">
        <v>977.1420000000001</v>
      </c>
      <c r="G32" s="20" t="n">
        <v>977.1420000000001</v>
      </c>
      <c r="H32" s="19" t="n">
        <v>977.1420000000001</v>
      </c>
      <c r="I32" s="20" t="n">
        <v>977.1420000000001</v>
      </c>
      <c r="J32" s="20" t="n">
        <v>977.1420000000001</v>
      </c>
      <c r="K32" s="20" t="n">
        <v>977.1420000000001</v>
      </c>
      <c r="L32" s="20" t="n">
        <v>977.1420000000001</v>
      </c>
    </row>
    <row r="33">
      <c r="A33" s="18" t="inlineStr">
        <is>
          <t>이익잉여금</t>
        </is>
      </c>
      <c r="B33" s="10" t="n"/>
      <c r="C33" s="19" t="n">
        <v>9720.072</v>
      </c>
      <c r="D33" s="20" t="n">
        <v>9609.347</v>
      </c>
      <c r="E33" s="20" t="n">
        <v>9494.704</v>
      </c>
      <c r="F33" s="20" t="n">
        <v>9436.278</v>
      </c>
      <c r="G33" s="20" t="n">
        <v>9592.299999999999</v>
      </c>
      <c r="H33" s="19" t="n">
        <v>8713.037</v>
      </c>
      <c r="I33" s="20" t="n">
        <v>8812.922</v>
      </c>
      <c r="J33" s="20" t="n">
        <v>9451.669</v>
      </c>
      <c r="K33" s="20" t="n">
        <v>9737.454</v>
      </c>
      <c r="L33" s="20" t="n">
        <v>9494.704</v>
      </c>
    </row>
    <row r="34">
      <c r="A34" s="18" t="inlineStr">
        <is>
          <t>비지배지분</t>
        </is>
      </c>
      <c r="B34" s="10" t="n"/>
      <c r="C34" s="19" t="n">
        <v>254.118</v>
      </c>
      <c r="D34" s="20" t="n">
        <v>264.261</v>
      </c>
      <c r="E34" s="20" t="n">
        <v>285.753</v>
      </c>
      <c r="F34" s="20" t="n">
        <v>280.668</v>
      </c>
      <c r="G34" s="20" t="n">
        <v>287.396</v>
      </c>
      <c r="H34" s="19" t="n">
        <v>197.911</v>
      </c>
      <c r="I34" s="20" t="n">
        <v>220.591</v>
      </c>
      <c r="J34" s="20" t="n">
        <v>230.915</v>
      </c>
      <c r="K34" s="20" t="n">
        <v>263.541</v>
      </c>
      <c r="L34" s="20" t="n">
        <v>285.753</v>
      </c>
    </row>
    <row r="35">
      <c r="A35" s="9" t="inlineStr">
        <is>
          <t>자본총계</t>
        </is>
      </c>
      <c r="B35" s="10" t="n"/>
      <c r="C35" s="11" t="n">
        <v>13230.455</v>
      </c>
      <c r="D35" s="12" t="n">
        <v>13226.434</v>
      </c>
      <c r="E35" s="12" t="n">
        <v>13458.031</v>
      </c>
      <c r="F35" s="12" t="n">
        <v>13520.276</v>
      </c>
      <c r="G35" s="12" t="n">
        <v>13863.29</v>
      </c>
      <c r="H35" s="11" t="n">
        <v>11322.05</v>
      </c>
      <c r="I35" s="12" t="n">
        <v>11760.073</v>
      </c>
      <c r="J35" s="12" t="n">
        <v>12642.091</v>
      </c>
      <c r="K35" s="12" t="n">
        <v>13480.115</v>
      </c>
      <c r="L35" s="12" t="n">
        <v>13458.031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1992.108</v>
      </c>
      <c r="F37" s="12" t="n"/>
      <c r="G37" s="12" t="n"/>
      <c r="H37" s="11" t="n">
        <v>1604.474</v>
      </c>
      <c r="I37" s="12" t="n">
        <v>554.913</v>
      </c>
      <c r="J37" s="12" t="n">
        <v>-139.906</v>
      </c>
      <c r="K37" s="12" t="n">
        <v>1122.829</v>
      </c>
      <c r="L37" s="12" t="n">
        <v>1992.108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463.737</v>
      </c>
      <c r="F38" s="20" t="n"/>
      <c r="G38" s="20" t="n"/>
      <c r="H38" s="19" t="n">
        <v>372.738</v>
      </c>
      <c r="I38" s="20" t="n">
        <v>936.885</v>
      </c>
      <c r="J38" s="20" t="n">
        <v>760.7140000000001</v>
      </c>
      <c r="K38" s="20" t="n">
        <v>531.765</v>
      </c>
      <c r="L38" s="20" t="n">
        <v>463.737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279.612</v>
      </c>
      <c r="F40" s="20" t="n"/>
      <c r="G40" s="20" t="n"/>
      <c r="H40" s="19" t="n">
        <v>211.852</v>
      </c>
      <c r="I40" s="20" t="n">
        <v>251.922</v>
      </c>
      <c r="J40" s="20" t="n">
        <v>290.197</v>
      </c>
      <c r="K40" s="20" t="n">
        <v>289.747</v>
      </c>
      <c r="L40" s="20" t="n">
        <v>279.612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6806.721</v>
      </c>
      <c r="D71" s="20" t="n">
        <v>6898.778</v>
      </c>
      <c r="E71" s="20" t="n">
        <v>7438.399</v>
      </c>
      <c r="F71" s="20" t="n">
        <v>7793.89</v>
      </c>
      <c r="G71" s="20" t="n">
        <v>6767.517</v>
      </c>
      <c r="H71" s="20" t="n">
        <v>6764.843</v>
      </c>
      <c r="I71" s="20" t="n">
        <v>7246.977</v>
      </c>
      <c r="J71" s="20" t="n">
        <v>7134.04</v>
      </c>
      <c r="K71" s="20" t="n">
        <v>6866.39</v>
      </c>
      <c r="L71" s="20" t="n">
        <v>7438.399</v>
      </c>
    </row>
    <row r="72">
      <c r="A72" s="18" t="inlineStr">
        <is>
          <t>받을어음·매출채권</t>
        </is>
      </c>
      <c r="E72" s="20" t="n">
        <v>5299.18</v>
      </c>
      <c r="H72" s="20" t="n">
        <v>5472.125</v>
      </c>
      <c r="I72" s="20" t="n">
        <v>6084.399</v>
      </c>
      <c r="J72" s="20" t="n">
        <v>7396.204</v>
      </c>
      <c r="K72" s="20" t="n">
        <v>6916.623</v>
      </c>
      <c r="L72" s="20" t="n">
        <v>5299.18</v>
      </c>
    </row>
    <row r="73">
      <c r="A73" s="18" t="inlineStr">
        <is>
          <t>계약자산</t>
        </is>
      </c>
      <c r="E73" s="20" t="n">
        <v>555.384</v>
      </c>
      <c r="H73" s="20" t="n">
        <v>1023.378</v>
      </c>
      <c r="I73" s="20" t="n">
        <v>1237.913</v>
      </c>
      <c r="J73" s="20" t="n">
        <v>1357.487</v>
      </c>
      <c r="K73" s="20" t="n">
        <v>749.164</v>
      </c>
      <c r="L73" s="20" t="n">
        <v>555.384</v>
      </c>
    </row>
    <row r="74">
      <c r="A74" s="18" t="inlineStr">
        <is>
          <t>받을어음·매출채권·계약자산</t>
        </is>
      </c>
      <c r="C74" s="20" t="n">
        <v>6782.491</v>
      </c>
      <c r="D74" s="20" t="n">
        <v>6571.861</v>
      </c>
      <c r="E74" s="20" t="n">
        <v>5854.565</v>
      </c>
      <c r="F74" s="20" t="n">
        <v>5023.466</v>
      </c>
      <c r="G74" s="20" t="n">
        <v>6070.549</v>
      </c>
      <c r="H74" s="20" t="n">
        <v>6495.503</v>
      </c>
      <c r="I74" s="20" t="n">
        <v>7322.312</v>
      </c>
      <c r="J74" s="20" t="n">
        <v>8753.691000000001</v>
      </c>
      <c r="K74" s="20" t="n">
        <v>7665.787</v>
      </c>
      <c r="L74" s="20" t="n">
        <v>5854.565</v>
      </c>
    </row>
    <row r="75">
      <c r="A75" s="18" t="inlineStr">
        <is>
          <t>상품·제품</t>
        </is>
      </c>
      <c r="C75" s="20" t="n">
        <v>639.17</v>
      </c>
      <c r="D75" s="20" t="n">
        <v>649.024</v>
      </c>
      <c r="E75" s="20" t="n">
        <v>603.217</v>
      </c>
      <c r="F75" s="20" t="n">
        <v>597.181</v>
      </c>
      <c r="G75" s="20" t="n">
        <v>671.667</v>
      </c>
      <c r="H75" s="20" t="n">
        <v>613.859</v>
      </c>
      <c r="I75" s="20" t="n">
        <v>978.649</v>
      </c>
      <c r="J75" s="20" t="n">
        <v>857.918</v>
      </c>
      <c r="K75" s="20" t="n">
        <v>763.244</v>
      </c>
      <c r="L75" s="20" t="n">
        <v>603.217</v>
      </c>
    </row>
    <row r="76">
      <c r="A76" s="18" t="inlineStr">
        <is>
          <t>재공품</t>
        </is>
      </c>
      <c r="C76" s="20" t="n">
        <v>938.066</v>
      </c>
      <c r="D76" s="20" t="n">
        <v>999.461</v>
      </c>
      <c r="E76" s="20" t="n">
        <v>886.186</v>
      </c>
      <c r="F76" s="20" t="n">
        <v>1052.824</v>
      </c>
      <c r="G76" s="20" t="n">
        <v>1039.876</v>
      </c>
      <c r="H76" s="20" t="n">
        <v>1040.159</v>
      </c>
      <c r="I76" s="20" t="n">
        <v>1302.639</v>
      </c>
      <c r="J76" s="20" t="n">
        <v>1076.019</v>
      </c>
      <c r="K76" s="20" t="n">
        <v>867.461</v>
      </c>
      <c r="L76" s="20" t="n">
        <v>886.186</v>
      </c>
    </row>
    <row r="77">
      <c r="A77" s="18" t="inlineStr">
        <is>
          <t>원재료·저장품</t>
        </is>
      </c>
      <c r="C77" s="20" t="n">
        <v>1868.569</v>
      </c>
      <c r="D77" s="20" t="n">
        <v>1920.838</v>
      </c>
      <c r="E77" s="20" t="n">
        <v>1813.812</v>
      </c>
      <c r="F77" s="20" t="n">
        <v>1864.041</v>
      </c>
      <c r="G77" s="20" t="n">
        <v>1850.809</v>
      </c>
      <c r="H77" s="20" t="n">
        <v>1235.66</v>
      </c>
      <c r="I77" s="20" t="n">
        <v>1669.919</v>
      </c>
      <c r="J77" s="20" t="n">
        <v>1939.463</v>
      </c>
      <c r="K77" s="20" t="n">
        <v>1975.576</v>
      </c>
      <c r="L77" s="20" t="n">
        <v>1813.812</v>
      </c>
    </row>
    <row r="78">
      <c r="A78" s="18" t="inlineStr">
        <is>
          <t>기타</t>
        </is>
      </c>
      <c r="C78" s="20" t="n">
        <v>379.313</v>
      </c>
      <c r="D78" s="20" t="n">
        <v>449.085</v>
      </c>
      <c r="E78" s="20" t="n">
        <v>476.085</v>
      </c>
      <c r="F78" s="20" t="n">
        <v>499.475</v>
      </c>
      <c r="G78" s="20" t="n">
        <v>481.47</v>
      </c>
      <c r="H78" s="20" t="n">
        <v>495.102</v>
      </c>
      <c r="I78" s="20" t="n">
        <v>594.7329999999999</v>
      </c>
      <c r="J78" s="20" t="n">
        <v>325.329</v>
      </c>
      <c r="K78" s="20" t="n">
        <v>438.376</v>
      </c>
      <c r="L78" s="20" t="n">
        <v>476.085</v>
      </c>
    </row>
    <row r="79">
      <c r="A79" s="18" t="inlineStr">
        <is>
          <t>대손충당금</t>
        </is>
      </c>
      <c r="C79" s="20" t="n">
        <v>-66.31999999999999</v>
      </c>
      <c r="D79" s="20" t="n">
        <v>-47.199</v>
      </c>
      <c r="E79" s="20" t="n">
        <v>-34.251</v>
      </c>
      <c r="F79" s="20" t="n">
        <v>-38.6</v>
      </c>
      <c r="G79" s="20" t="n">
        <v>-39.264</v>
      </c>
      <c r="H79" s="20" t="n">
        <v>-40.394</v>
      </c>
      <c r="I79" s="20" t="n">
        <v>-69.267</v>
      </c>
      <c r="J79" s="20" t="n">
        <v>-32.044</v>
      </c>
      <c r="K79" s="20" t="n">
        <v>-51.92</v>
      </c>
      <c r="L79" s="20" t="n">
        <v>-34.251</v>
      </c>
    </row>
    <row r="80">
      <c r="A80" s="9" t="inlineStr">
        <is>
          <t>유동자산 합계</t>
        </is>
      </c>
      <c r="C80" s="12" t="n">
        <v>17348.012</v>
      </c>
      <c r="D80" s="12" t="n">
        <v>17441.851</v>
      </c>
      <c r="E80" s="12" t="n">
        <v>17038.016</v>
      </c>
      <c r="F80" s="12" t="n">
        <v>16792.279</v>
      </c>
      <c r="G80" s="12" t="n">
        <v>16842.627</v>
      </c>
      <c r="H80" s="12" t="n">
        <v>16604.733</v>
      </c>
      <c r="I80" s="12" t="n">
        <v>19045.964</v>
      </c>
      <c r="J80" s="12" t="n">
        <v>20054.418</v>
      </c>
      <c r="K80" s="12" t="n">
        <v>18524.916</v>
      </c>
      <c r="L80" s="12" t="n">
        <v>17038.016</v>
      </c>
    </row>
    <row r="81">
      <c r="A81" s="18" t="inlineStr">
        <is>
          <t>건물·구축물(순액)</t>
        </is>
      </c>
      <c r="C81" s="20" t="n">
        <v>2963.542</v>
      </c>
      <c r="D81" s="20" t="n">
        <v>2948.342</v>
      </c>
      <c r="E81" s="20" t="n">
        <v>2978.83</v>
      </c>
      <c r="F81" s="20" t="n">
        <v>2966.708</v>
      </c>
      <c r="G81" s="20" t="n">
        <v>2953.377</v>
      </c>
      <c r="H81" s="20" t="n">
        <v>2140.359</v>
      </c>
      <c r="I81" s="20" t="n">
        <v>2050.533</v>
      </c>
      <c r="J81" s="20" t="n">
        <v>2512.845</v>
      </c>
      <c r="K81" s="20" t="n">
        <v>3110.985</v>
      </c>
      <c r="L81" s="20" t="n">
        <v>2978.83</v>
      </c>
    </row>
    <row r="82">
      <c r="A82" s="18" t="inlineStr">
        <is>
          <t>기계장치·운반구(순액)</t>
        </is>
      </c>
      <c r="E82" s="20" t="n">
        <v>343.392</v>
      </c>
      <c r="H82" s="20" t="n">
        <v>341.016</v>
      </c>
      <c r="I82" s="20" t="n">
        <v>322.323</v>
      </c>
      <c r="J82" s="20" t="n">
        <v>354.499</v>
      </c>
      <c r="K82" s="20" t="n">
        <v>337.638</v>
      </c>
      <c r="L82" s="20" t="n">
        <v>343.392</v>
      </c>
    </row>
    <row r="83">
      <c r="A83" s="18" t="inlineStr">
        <is>
          <t>토지</t>
        </is>
      </c>
      <c r="C83" s="20" t="n">
        <v>1645.627</v>
      </c>
      <c r="D83" s="20" t="n">
        <v>1649.638</v>
      </c>
      <c r="E83" s="20" t="n">
        <v>1657.205</v>
      </c>
      <c r="F83" s="20" t="n">
        <v>1660.476</v>
      </c>
      <c r="G83" s="20" t="n">
        <v>1662.949</v>
      </c>
      <c r="H83" s="20" t="n">
        <v>1567.1</v>
      </c>
      <c r="I83" s="20" t="n">
        <v>1599.14</v>
      </c>
      <c r="J83" s="20" t="n">
        <v>1608.254</v>
      </c>
      <c r="K83" s="20" t="n">
        <v>1658.801</v>
      </c>
      <c r="L83" s="20" t="n">
        <v>1657.205</v>
      </c>
    </row>
    <row r="84">
      <c r="A84" s="18" t="inlineStr">
        <is>
          <t>리스자산(순액)</t>
        </is>
      </c>
      <c r="E84" s="20" t="n">
        <v>126.827</v>
      </c>
      <c r="H84" s="20" t="n">
        <v>89.773</v>
      </c>
      <c r="I84" s="20" t="n">
        <v>98.289</v>
      </c>
      <c r="J84" s="20" t="n">
        <v>99.556</v>
      </c>
      <c r="K84" s="20" t="n">
        <v>85.97499999999999</v>
      </c>
      <c r="L84" s="20" t="n">
        <v>126.827</v>
      </c>
    </row>
    <row r="85">
      <c r="A85" s="18" t="inlineStr">
        <is>
          <t>건설중인자산</t>
        </is>
      </c>
      <c r="E85" s="20" t="n">
        <v>1.664</v>
      </c>
      <c r="H85" s="20" t="n">
        <v>4.84</v>
      </c>
      <c r="I85" s="20" t="n">
        <v>689.5890000000001</v>
      </c>
      <c r="J85" s="20" t="n">
        <v>585.444</v>
      </c>
      <c r="K85" s="20" t="n">
        <v>27.47</v>
      </c>
      <c r="L85" s="20" t="n">
        <v>1.664</v>
      </c>
    </row>
    <row r="86">
      <c r="A86" s="18" t="inlineStr">
        <is>
          <t>기타(순액)</t>
        </is>
      </c>
      <c r="C86" s="20" t="n">
        <v>506.363</v>
      </c>
      <c r="D86" s="20" t="n">
        <v>493.277</v>
      </c>
      <c r="E86" s="20" t="n">
        <v>583.696</v>
      </c>
      <c r="F86" s="20" t="n">
        <v>556.562</v>
      </c>
      <c r="G86" s="20" t="n">
        <v>542.09</v>
      </c>
      <c r="H86" s="20" t="n">
        <v>88.40600000000001</v>
      </c>
      <c r="I86" s="20" t="n">
        <v>97.655</v>
      </c>
      <c r="J86" s="20" t="n">
        <v>114.494</v>
      </c>
      <c r="K86" s="20" t="n">
        <v>122.485</v>
      </c>
      <c r="L86" s="20" t="n">
        <v>583.696</v>
      </c>
    </row>
    <row r="87">
      <c r="A87" s="18" t="inlineStr">
        <is>
          <t>유형자산 합계</t>
        </is>
      </c>
      <c r="C87" s="20" t="n">
        <v>5115.533</v>
      </c>
      <c r="D87" s="20" t="n">
        <v>5091.257</v>
      </c>
      <c r="E87" s="20" t="n">
        <v>5219.732</v>
      </c>
      <c r="F87" s="20" t="n">
        <v>5183.748</v>
      </c>
      <c r="G87" s="20" t="n">
        <v>5158.417</v>
      </c>
      <c r="H87" s="20" t="n">
        <v>4231.498</v>
      </c>
      <c r="I87" s="20" t="n">
        <v>4857.532</v>
      </c>
      <c r="J87" s="20" t="n">
        <v>5275.094</v>
      </c>
      <c r="K87" s="20" t="n">
        <v>5343.357</v>
      </c>
      <c r="L87" s="20" t="n">
        <v>5219.732</v>
      </c>
    </row>
    <row r="88">
      <c r="A88" s="18" t="inlineStr">
        <is>
          <t>기타</t>
        </is>
      </c>
      <c r="C88" s="20" t="n">
        <v>685.091</v>
      </c>
      <c r="D88" s="20" t="n">
        <v>742.9160000000001</v>
      </c>
      <c r="E88" s="20" t="n">
        <v>881.109</v>
      </c>
      <c r="F88" s="20" t="n">
        <v>939.874</v>
      </c>
      <c r="G88" s="20" t="n">
        <v>1084.389</v>
      </c>
      <c r="H88" s="20" t="n">
        <v>542.133</v>
      </c>
      <c r="I88" s="20" t="n">
        <v>573.136</v>
      </c>
      <c r="J88" s="20" t="n">
        <v>615.024</v>
      </c>
      <c r="K88" s="20" t="n">
        <v>649.732</v>
      </c>
      <c r="L88" s="20" t="n">
        <v>881.109</v>
      </c>
    </row>
    <row r="89">
      <c r="A89" s="18" t="inlineStr">
        <is>
          <t>무형자산 합계</t>
        </is>
      </c>
      <c r="C89" s="20" t="n">
        <v>685.091</v>
      </c>
      <c r="D89" s="20" t="n">
        <v>742.9160000000001</v>
      </c>
      <c r="E89" s="20" t="n">
        <v>881.109</v>
      </c>
      <c r="F89" s="20" t="n">
        <v>939.874</v>
      </c>
      <c r="G89" s="20" t="n">
        <v>1084.389</v>
      </c>
      <c r="H89" s="20" t="n">
        <v>542.133</v>
      </c>
      <c r="I89" s="20" t="n">
        <v>573.136</v>
      </c>
      <c r="J89" s="20" t="n">
        <v>615.024</v>
      </c>
      <c r="K89" s="20" t="n">
        <v>649.732</v>
      </c>
      <c r="L89" s="20" t="n">
        <v>881.109</v>
      </c>
    </row>
    <row r="90">
      <c r="A90" s="18" t="inlineStr">
        <is>
          <t>투자유가증권</t>
        </is>
      </c>
      <c r="E90" s="20" t="n">
        <v>676.1369999999999</v>
      </c>
      <c r="H90" s="20" t="n">
        <v>323.445</v>
      </c>
      <c r="I90" s="20" t="n">
        <v>339.022</v>
      </c>
      <c r="J90" s="20" t="n">
        <v>473.115</v>
      </c>
      <c r="K90" s="20" t="n">
        <v>479.421</v>
      </c>
      <c r="L90" s="20" t="n">
        <v>676.1369999999999</v>
      </c>
    </row>
    <row r="91">
      <c r="A91" s="18" t="inlineStr">
        <is>
          <t>이연법인세자산</t>
        </is>
      </c>
      <c r="E91" s="20" t="n">
        <v>84.611</v>
      </c>
      <c r="H91" s="20" t="n">
        <v>96.577</v>
      </c>
      <c r="I91" s="20" t="n">
        <v>116.758</v>
      </c>
      <c r="J91" s="20" t="n">
        <v>124.708</v>
      </c>
      <c r="K91" s="20" t="n">
        <v>104.855</v>
      </c>
      <c r="L91" s="20" t="n">
        <v>84.611</v>
      </c>
    </row>
    <row r="92">
      <c r="A92" s="18" t="inlineStr">
        <is>
          <t>기타</t>
        </is>
      </c>
      <c r="C92" s="20" t="n">
        <v>854.1950000000001</v>
      </c>
      <c r="D92" s="20" t="n">
        <v>886.314</v>
      </c>
      <c r="E92" s="20" t="n">
        <v>956.71</v>
      </c>
      <c r="F92" s="20" t="n">
        <v>1026.331</v>
      </c>
      <c r="G92" s="20" t="n">
        <v>1100.88</v>
      </c>
      <c r="H92" s="20" t="n">
        <v>240.051</v>
      </c>
      <c r="I92" s="20" t="n">
        <v>243.086</v>
      </c>
      <c r="J92" s="20" t="n">
        <v>202.707</v>
      </c>
      <c r="K92" s="20" t="n">
        <v>203.279</v>
      </c>
      <c r="L92" s="20" t="n">
        <v>956.71</v>
      </c>
    </row>
    <row r="93">
      <c r="A93" s="18" t="inlineStr">
        <is>
          <t>대손충당금</t>
        </is>
      </c>
      <c r="C93" s="20" t="n">
        <v>-1.676</v>
      </c>
      <c r="D93" s="20" t="n">
        <v>-1.676</v>
      </c>
      <c r="E93" s="20" t="n">
        <v>-2.984</v>
      </c>
      <c r="F93" s="20" t="n">
        <v>-2.984</v>
      </c>
      <c r="G93" s="20" t="n">
        <v>-2.944</v>
      </c>
      <c r="H93" s="20" t="n">
        <v>-2.107</v>
      </c>
      <c r="I93" s="20" t="n">
        <v>-3.943</v>
      </c>
      <c r="J93" s="20" t="n">
        <v>-3.573</v>
      </c>
      <c r="K93" s="20" t="n">
        <v>-1.194</v>
      </c>
      <c r="L93" s="20" t="n">
        <v>-2.984</v>
      </c>
    </row>
    <row r="94">
      <c r="A94" s="18" t="inlineStr">
        <is>
          <t>투자 및 기타자산 합계</t>
        </is>
      </c>
      <c r="C94" s="20" t="n">
        <v>852.518</v>
      </c>
      <c r="D94" s="20" t="n">
        <v>884.638</v>
      </c>
      <c r="E94" s="20" t="n">
        <v>953.726</v>
      </c>
      <c r="F94" s="20" t="n">
        <v>1023.346</v>
      </c>
      <c r="G94" s="20" t="n">
        <v>1097.936</v>
      </c>
      <c r="H94" s="20" t="n">
        <v>657.966</v>
      </c>
      <c r="I94" s="20" t="n">
        <v>694.923</v>
      </c>
      <c r="J94" s="20" t="n">
        <v>796.958</v>
      </c>
      <c r="K94" s="20" t="n">
        <v>786.361</v>
      </c>
      <c r="L94" s="20" t="n">
        <v>953.726</v>
      </c>
    </row>
    <row r="95">
      <c r="A95" s="9" t="inlineStr">
        <is>
          <t>비유동자산 합계</t>
        </is>
      </c>
      <c r="C95" s="12" t="n">
        <v>6653.144</v>
      </c>
      <c r="D95" s="12" t="n">
        <v>6718.812</v>
      </c>
      <c r="E95" s="12" t="n">
        <v>7054.568</v>
      </c>
      <c r="F95" s="12" t="n">
        <v>7146.97</v>
      </c>
      <c r="G95" s="12" t="n">
        <v>7340.743</v>
      </c>
      <c r="H95" s="12" t="n">
        <v>5431.598</v>
      </c>
      <c r="I95" s="12" t="n">
        <v>6125.592</v>
      </c>
      <c r="J95" s="12" t="n">
        <v>6687.077</v>
      </c>
      <c r="K95" s="12" t="n">
        <v>6779.45</v>
      </c>
      <c r="L95" s="12" t="n">
        <v>7054.568</v>
      </c>
    </row>
    <row r="96">
      <c r="A96" s="9" t="inlineStr">
        <is>
          <t>자산 합계</t>
        </is>
      </c>
      <c r="C96" s="12" t="n">
        <v>24001.157</v>
      </c>
      <c r="D96" s="12" t="n">
        <v>24160.663</v>
      </c>
      <c r="E96" s="12" t="n">
        <v>24092.584</v>
      </c>
      <c r="F96" s="12" t="n">
        <v>23939.249</v>
      </c>
      <c r="G96" s="12" t="n">
        <v>24183.371</v>
      </c>
      <c r="H96" s="12" t="n">
        <v>22036.331</v>
      </c>
      <c r="I96" s="12" t="n">
        <v>25171.557</v>
      </c>
      <c r="J96" s="12" t="n">
        <v>26741.496</v>
      </c>
      <c r="K96" s="12" t="n">
        <v>25304.366</v>
      </c>
      <c r="L96" s="12" t="n">
        <v>24092.584</v>
      </c>
    </row>
    <row r="97">
      <c r="A97" s="18" t="inlineStr">
        <is>
          <t>지급어음·매입채무</t>
        </is>
      </c>
      <c r="C97" s="20" t="n">
        <v>1759.217</v>
      </c>
      <c r="D97" s="20" t="n">
        <v>1590.6</v>
      </c>
      <c r="E97" s="20" t="n">
        <v>1754.028</v>
      </c>
      <c r="F97" s="20" t="n">
        <v>1701.039</v>
      </c>
      <c r="G97" s="20" t="n">
        <v>1947.455</v>
      </c>
      <c r="H97" s="20" t="n">
        <v>2560.399</v>
      </c>
      <c r="I97" s="20" t="n">
        <v>3313.791</v>
      </c>
      <c r="J97" s="20" t="n">
        <v>3375.267</v>
      </c>
      <c r="K97" s="20" t="n">
        <v>2114.691</v>
      </c>
      <c r="L97" s="20" t="n">
        <v>1754.028</v>
      </c>
    </row>
    <row r="98">
      <c r="A98" s="18" t="inlineStr">
        <is>
          <t>단기차입금</t>
        </is>
      </c>
      <c r="C98" s="20" t="n">
        <v>2692.556</v>
      </c>
      <c r="D98" s="20" t="n">
        <v>3078.256</v>
      </c>
      <c r="E98" s="20" t="n">
        <v>2587.856</v>
      </c>
      <c r="F98" s="20" t="n">
        <v>2622.856</v>
      </c>
      <c r="G98" s="20" t="n">
        <v>2390.706</v>
      </c>
      <c r="H98" s="20" t="n">
        <v>2200.798</v>
      </c>
      <c r="I98" s="20" t="n">
        <v>3129.142</v>
      </c>
      <c r="J98" s="20" t="n">
        <v>3906.724</v>
      </c>
      <c r="K98" s="20" t="n">
        <v>3004.056</v>
      </c>
      <c r="L98" s="20" t="n">
        <v>2587.856</v>
      </c>
    </row>
    <row r="99">
      <c r="A99" s="18" t="inlineStr">
        <is>
          <t>1년 내 상환 예정 사채</t>
        </is>
      </c>
      <c r="H99" s="20" t="n">
        <v>18.75</v>
      </c>
      <c r="I99" s="20" t="n">
        <v>0</v>
      </c>
    </row>
    <row r="100">
      <c r="A100" s="18" t="inlineStr">
        <is>
          <t>리스부채</t>
        </is>
      </c>
      <c r="E100" s="20" t="n">
        <v>52.713</v>
      </c>
      <c r="H100" s="20" t="n">
        <v>42.031</v>
      </c>
      <c r="I100" s="20" t="n">
        <v>51.21</v>
      </c>
      <c r="J100" s="20" t="n">
        <v>55.772</v>
      </c>
      <c r="K100" s="20" t="n">
        <v>53.962</v>
      </c>
      <c r="L100" s="20" t="n">
        <v>52.713</v>
      </c>
    </row>
    <row r="101">
      <c r="A101" s="18" t="inlineStr">
        <is>
          <t>미지급법인세</t>
        </is>
      </c>
      <c r="C101" s="20" t="n">
        <v>213.26</v>
      </c>
      <c r="D101" s="20" t="n">
        <v>67.55</v>
      </c>
      <c r="E101" s="20" t="n">
        <v>199.914</v>
      </c>
      <c r="F101" s="20" t="n">
        <v>69.233</v>
      </c>
      <c r="G101" s="20" t="n">
        <v>158.071</v>
      </c>
      <c r="H101" s="20" t="n">
        <v>143.219</v>
      </c>
      <c r="I101" s="20" t="n">
        <v>215.936</v>
      </c>
      <c r="J101" s="20" t="n">
        <v>345.782</v>
      </c>
      <c r="K101" s="20" t="n">
        <v>242.569</v>
      </c>
      <c r="L101" s="20" t="n">
        <v>199.914</v>
      </c>
    </row>
    <row r="102">
      <c r="A102" s="18" t="inlineStr">
        <is>
          <t>계약부채</t>
        </is>
      </c>
      <c r="E102" s="20" t="n">
        <v>811.849</v>
      </c>
      <c r="H102" s="20" t="n">
        <v>995.522</v>
      </c>
      <c r="I102" s="20" t="n">
        <v>1581.498</v>
      </c>
      <c r="J102" s="20" t="n">
        <v>763.5839999999999</v>
      </c>
      <c r="K102" s="20" t="n">
        <v>872.633</v>
      </c>
      <c r="L102" s="20" t="n">
        <v>811.849</v>
      </c>
    </row>
    <row r="103">
      <c r="A103" s="18" t="inlineStr">
        <is>
          <t>제품보증 충당금</t>
        </is>
      </c>
      <c r="C103" s="20" t="n">
        <v>73.218</v>
      </c>
      <c r="D103" s="20" t="n">
        <v>71.425</v>
      </c>
      <c r="E103" s="20" t="n">
        <v>76.46599999999999</v>
      </c>
      <c r="F103" s="20" t="n">
        <v>69.68899999999999</v>
      </c>
      <c r="G103" s="20" t="n">
        <v>67.384</v>
      </c>
      <c r="H103" s="20" t="n">
        <v>123.035</v>
      </c>
      <c r="I103" s="20" t="n">
        <v>108.42</v>
      </c>
      <c r="J103" s="20" t="n">
        <v>122.982</v>
      </c>
      <c r="K103" s="20" t="n">
        <v>97.971</v>
      </c>
      <c r="L103" s="20" t="n">
        <v>76.46599999999999</v>
      </c>
    </row>
    <row r="104">
      <c r="A104" s="18" t="inlineStr">
        <is>
          <t>임원 상여충당금</t>
        </is>
      </c>
      <c r="C104" s="20" t="n">
        <v>0</v>
      </c>
      <c r="D104" s="20" t="n">
        <v>0</v>
      </c>
      <c r="E104" s="20" t="n">
        <v>51.65</v>
      </c>
      <c r="F104" s="20" t="n">
        <v>10.48</v>
      </c>
      <c r="G104" s="20" t="n">
        <v>0</v>
      </c>
      <c r="H104" s="20" t="n">
        <v>52.656</v>
      </c>
      <c r="I104" s="20" t="n">
        <v>46.451</v>
      </c>
      <c r="J104" s="20" t="n">
        <v>52.336</v>
      </c>
      <c r="K104" s="20" t="n">
        <v>44.956</v>
      </c>
      <c r="L104" s="20" t="n">
        <v>51.65</v>
      </c>
    </row>
    <row r="105">
      <c r="A105" s="18" t="inlineStr">
        <is>
          <t>기타</t>
        </is>
      </c>
      <c r="C105" s="20" t="n">
        <v>1869.763</v>
      </c>
      <c r="D105" s="20" t="n">
        <v>1862.503</v>
      </c>
      <c r="E105" s="20" t="n">
        <v>1882.735</v>
      </c>
      <c r="F105" s="20" t="n">
        <v>1824.656</v>
      </c>
      <c r="G105" s="20" t="n">
        <v>1862.225</v>
      </c>
      <c r="H105" s="20" t="n">
        <v>811.902</v>
      </c>
      <c r="I105" s="20" t="n">
        <v>1054.908</v>
      </c>
      <c r="J105" s="20" t="n">
        <v>1214.406</v>
      </c>
      <c r="K105" s="20" t="n">
        <v>1051.95</v>
      </c>
      <c r="L105" s="20" t="n">
        <v>1882.735</v>
      </c>
    </row>
    <row r="106">
      <c r="A106" s="9" t="inlineStr">
        <is>
          <t>유동부채 합계</t>
        </is>
      </c>
      <c r="C106" s="12" t="n">
        <v>6608.016</v>
      </c>
      <c r="D106" s="12" t="n">
        <v>6670.336</v>
      </c>
      <c r="E106" s="12" t="n">
        <v>6552.65</v>
      </c>
      <c r="F106" s="12" t="n">
        <v>6297.955</v>
      </c>
      <c r="G106" s="12" t="n">
        <v>6425.843</v>
      </c>
      <c r="H106" s="12" t="n">
        <v>6948.315</v>
      </c>
      <c r="I106" s="12" t="n">
        <v>9501.359</v>
      </c>
      <c r="J106" s="12" t="n">
        <v>9836.855</v>
      </c>
      <c r="K106" s="12" t="n">
        <v>7482.79</v>
      </c>
      <c r="L106" s="12" t="n">
        <v>6552.65</v>
      </c>
    </row>
    <row r="107">
      <c r="A107" s="18" t="inlineStr">
        <is>
          <t>사채</t>
        </is>
      </c>
      <c r="H107" s="20" t="n">
        <v>0</v>
      </c>
    </row>
    <row r="108">
      <c r="A108" s="18" t="inlineStr">
        <is>
          <t>장기차입금</t>
        </is>
      </c>
      <c r="C108" s="20" t="n">
        <v>2845.912</v>
      </c>
      <c r="D108" s="20" t="n">
        <v>2834.248</v>
      </c>
      <c r="E108" s="20" t="n">
        <v>2735.584</v>
      </c>
      <c r="F108" s="20" t="n">
        <v>2723.92</v>
      </c>
      <c r="G108" s="20" t="n">
        <v>2443.256</v>
      </c>
      <c r="H108" s="20" t="n">
        <v>2590.002</v>
      </c>
      <c r="I108" s="20" t="n">
        <v>2697</v>
      </c>
      <c r="J108" s="20" t="n">
        <v>2990.296</v>
      </c>
      <c r="K108" s="20" t="n">
        <v>3006.24</v>
      </c>
      <c r="L108" s="20" t="n">
        <v>2735.584</v>
      </c>
    </row>
    <row r="109">
      <c r="A109" s="18" t="inlineStr">
        <is>
          <t>리스부채</t>
        </is>
      </c>
      <c r="E109" s="20" t="n">
        <v>80.93899999999999</v>
      </c>
      <c r="H109" s="20" t="n">
        <v>69.934</v>
      </c>
      <c r="I109" s="20" t="n">
        <v>73.654</v>
      </c>
      <c r="J109" s="20" t="n">
        <v>64.767</v>
      </c>
      <c r="K109" s="20" t="n">
        <v>46.531</v>
      </c>
      <c r="L109" s="20" t="n">
        <v>80.93899999999999</v>
      </c>
    </row>
    <row r="110">
      <c r="A110" s="18" t="inlineStr">
        <is>
          <t>이연법인세부채</t>
        </is>
      </c>
      <c r="E110" s="20" t="n">
        <v>88.33499999999999</v>
      </c>
      <c r="H110" s="20" t="n">
        <v>40.619</v>
      </c>
      <c r="I110" s="20" t="n">
        <v>59.975</v>
      </c>
      <c r="J110" s="20" t="n">
        <v>106.096</v>
      </c>
      <c r="K110" s="20" t="n">
        <v>88.67100000000001</v>
      </c>
      <c r="L110" s="20" t="n">
        <v>88.33499999999999</v>
      </c>
    </row>
    <row r="111">
      <c r="A111" s="18" t="inlineStr">
        <is>
          <t>임원 주식급여 충당금</t>
        </is>
      </c>
      <c r="C111" s="20" t="n">
        <v>35.89</v>
      </c>
      <c r="D111" s="20" t="n">
        <v>35.89</v>
      </c>
      <c r="E111" s="20" t="n">
        <v>43.91</v>
      </c>
      <c r="F111" s="20" t="n">
        <v>43.91</v>
      </c>
      <c r="G111" s="20" t="n">
        <v>43.91</v>
      </c>
      <c r="H111" s="20" t="n">
        <v>13.85</v>
      </c>
      <c r="I111" s="20" t="n">
        <v>20.24</v>
      </c>
      <c r="J111" s="20" t="n">
        <v>29.1</v>
      </c>
      <c r="K111" s="20" t="n">
        <v>39.84</v>
      </c>
      <c r="L111" s="20" t="n">
        <v>43.91</v>
      </c>
    </row>
    <row r="112">
      <c r="A112" s="18" t="inlineStr">
        <is>
          <t>퇴직급여부채</t>
        </is>
      </c>
      <c r="C112" s="20" t="n">
        <v>1089.783</v>
      </c>
      <c r="D112" s="20" t="n">
        <v>1123.207</v>
      </c>
      <c r="E112" s="20" t="n">
        <v>1098.772</v>
      </c>
      <c r="F112" s="20" t="n">
        <v>1113.404</v>
      </c>
      <c r="G112" s="20" t="n">
        <v>1142.467</v>
      </c>
      <c r="H112" s="20" t="n">
        <v>932.61</v>
      </c>
      <c r="I112" s="20" t="n">
        <v>997.005</v>
      </c>
      <c r="J112" s="20" t="n">
        <v>1038.988</v>
      </c>
      <c r="K112" s="20" t="n">
        <v>1126.877</v>
      </c>
      <c r="L112" s="20" t="n">
        <v>1098.772</v>
      </c>
    </row>
    <row r="113">
      <c r="A113" s="18" t="inlineStr">
        <is>
          <t>기타</t>
        </is>
      </c>
      <c r="C113" s="20" t="n">
        <v>191.1</v>
      </c>
      <c r="D113" s="20" t="n">
        <v>270.546</v>
      </c>
      <c r="E113" s="20" t="n">
        <v>203.636</v>
      </c>
      <c r="F113" s="20" t="n">
        <v>239.782</v>
      </c>
      <c r="G113" s="20" t="n">
        <v>264.605</v>
      </c>
      <c r="H113" s="20" t="n">
        <v>118.948</v>
      </c>
      <c r="I113" s="20" t="n">
        <v>62.248</v>
      </c>
      <c r="J113" s="20" t="n">
        <v>33.3</v>
      </c>
      <c r="K113" s="20" t="n">
        <v>33.3</v>
      </c>
      <c r="L113" s="20" t="n">
        <v>203.636</v>
      </c>
    </row>
    <row r="114">
      <c r="A114" s="9" t="inlineStr">
        <is>
          <t>비유동부채 합계</t>
        </is>
      </c>
      <c r="C114" s="12" t="n">
        <v>4162.685</v>
      </c>
      <c r="D114" s="12" t="n">
        <v>4263.892</v>
      </c>
      <c r="E114" s="12" t="n">
        <v>4081.903</v>
      </c>
      <c r="F114" s="12" t="n">
        <v>4121.017</v>
      </c>
      <c r="G114" s="12" t="n">
        <v>3894.238</v>
      </c>
      <c r="H114" s="12" t="n">
        <v>3765.965</v>
      </c>
      <c r="I114" s="12" t="n">
        <v>3910.124</v>
      </c>
      <c r="J114" s="12" t="n">
        <v>4262.549</v>
      </c>
      <c r="K114" s="12" t="n">
        <v>4341.46</v>
      </c>
      <c r="L114" s="12" t="n">
        <v>4081.903</v>
      </c>
    </row>
    <row r="115">
      <c r="A115" s="9" t="inlineStr">
        <is>
          <t>부채 합계</t>
        </is>
      </c>
      <c r="C115" s="12" t="n">
        <v>10770.701</v>
      </c>
      <c r="D115" s="12" t="n">
        <v>10934.229</v>
      </c>
      <c r="E115" s="12" t="n">
        <v>10634.553</v>
      </c>
      <c r="F115" s="12" t="n">
        <v>10418.973</v>
      </c>
      <c r="G115" s="12" t="n">
        <v>10320.081</v>
      </c>
      <c r="H115" s="12" t="n">
        <v>10714.28</v>
      </c>
      <c r="I115" s="12" t="n">
        <v>13411.483</v>
      </c>
      <c r="J115" s="12" t="n">
        <v>14099.405</v>
      </c>
      <c r="K115" s="12" t="n">
        <v>11824.251</v>
      </c>
      <c r="L115" s="12" t="n">
        <v>10634.553</v>
      </c>
    </row>
    <row r="116">
      <c r="A116" s="18" t="inlineStr">
        <is>
          <t>자본금</t>
        </is>
      </c>
      <c r="C116" s="20" t="n">
        <v>977.1420000000001</v>
      </c>
      <c r="D116" s="20" t="n">
        <v>977.1420000000001</v>
      </c>
      <c r="E116" s="20" t="n">
        <v>977.1420000000001</v>
      </c>
      <c r="F116" s="20" t="n">
        <v>977.1420000000001</v>
      </c>
      <c r="G116" s="20" t="n">
        <v>977.1420000000001</v>
      </c>
      <c r="H116" s="20" t="n">
        <v>977.1420000000001</v>
      </c>
      <c r="I116" s="20" t="n">
        <v>977.1420000000001</v>
      </c>
      <c r="J116" s="20" t="n">
        <v>977.1420000000001</v>
      </c>
      <c r="K116" s="20" t="n">
        <v>977.1420000000001</v>
      </c>
      <c r="L116" s="20" t="n">
        <v>977.1420000000001</v>
      </c>
    </row>
    <row r="117">
      <c r="A117" s="18" t="inlineStr">
        <is>
          <t>자본잉여금</t>
        </is>
      </c>
      <c r="C117" s="20" t="n">
        <v>1069.391</v>
      </c>
      <c r="D117" s="20" t="n">
        <v>1069.391</v>
      </c>
      <c r="E117" s="20" t="n">
        <v>1069.391</v>
      </c>
      <c r="F117" s="20" t="n">
        <v>1069.391</v>
      </c>
      <c r="G117" s="20" t="n">
        <v>1069.391</v>
      </c>
      <c r="H117" s="20" t="n">
        <v>1069.391</v>
      </c>
      <c r="I117" s="20" t="n">
        <v>1069.391</v>
      </c>
      <c r="J117" s="20" t="n">
        <v>1069.391</v>
      </c>
      <c r="K117" s="20" t="n">
        <v>1069.391</v>
      </c>
      <c r="L117" s="20" t="n">
        <v>1069.391</v>
      </c>
    </row>
    <row r="118">
      <c r="A118" s="18" t="inlineStr">
        <is>
          <t>이익잉여금</t>
        </is>
      </c>
      <c r="C118" s="20" t="n">
        <v>9720.072</v>
      </c>
      <c r="D118" s="20" t="n">
        <v>9609.347</v>
      </c>
      <c r="E118" s="20" t="n">
        <v>9494.704</v>
      </c>
      <c r="F118" s="20" t="n">
        <v>9436.278</v>
      </c>
      <c r="G118" s="20" t="n">
        <v>9592.299999999999</v>
      </c>
      <c r="H118" s="20" t="n">
        <v>8713.037</v>
      </c>
      <c r="I118" s="20" t="n">
        <v>8812.922</v>
      </c>
      <c r="J118" s="20" t="n">
        <v>9451.669</v>
      </c>
      <c r="K118" s="20" t="n">
        <v>9737.454</v>
      </c>
      <c r="L118" s="20" t="n">
        <v>9494.704</v>
      </c>
    </row>
    <row r="119">
      <c r="A119" s="18" t="inlineStr">
        <is>
          <t>자기주식</t>
        </is>
      </c>
      <c r="C119" s="20" t="n">
        <v>-125.58</v>
      </c>
      <c r="D119" s="20" t="n">
        <v>-125.58</v>
      </c>
      <c r="E119" s="20" t="n">
        <v>-125.58</v>
      </c>
      <c r="F119" s="20" t="n">
        <v>-125.58</v>
      </c>
      <c r="G119" s="20" t="n">
        <v>-144.708</v>
      </c>
      <c r="H119" s="20" t="n">
        <v>-133.654</v>
      </c>
      <c r="I119" s="20" t="n">
        <v>-131.654</v>
      </c>
      <c r="J119" s="20" t="n">
        <v>-129.5</v>
      </c>
      <c r="K119" s="20" t="n">
        <v>-129.5</v>
      </c>
      <c r="L119" s="20" t="n">
        <v>-125.58</v>
      </c>
    </row>
    <row r="120">
      <c r="A120" s="9" t="inlineStr">
        <is>
          <t>주주자본 합계</t>
        </is>
      </c>
      <c r="C120" s="12" t="n">
        <v>11641.025</v>
      </c>
      <c r="D120" s="12" t="n">
        <v>11530.3</v>
      </c>
      <c r="E120" s="12" t="n">
        <v>11415.657</v>
      </c>
      <c r="F120" s="12" t="n">
        <v>11357.231</v>
      </c>
      <c r="G120" s="12" t="n">
        <v>11494.125</v>
      </c>
      <c r="H120" s="12" t="n">
        <v>10625.917</v>
      </c>
      <c r="I120" s="12" t="n">
        <v>10727.8</v>
      </c>
      <c r="J120" s="12" t="n">
        <v>11368.702</v>
      </c>
      <c r="K120" s="12" t="n">
        <v>11654.488</v>
      </c>
      <c r="L120" s="12" t="n">
        <v>11415.657</v>
      </c>
    </row>
    <row r="121">
      <c r="A121" s="18" t="inlineStr">
        <is>
          <t>기타유가증권 평가차액</t>
        </is>
      </c>
      <c r="C121" s="20" t="n">
        <v>308.02</v>
      </c>
      <c r="D121" s="20" t="n">
        <v>341.159</v>
      </c>
      <c r="E121" s="20" t="n">
        <v>372.703</v>
      </c>
      <c r="F121" s="20" t="n">
        <v>415.973</v>
      </c>
      <c r="G121" s="20" t="n">
        <v>482.212</v>
      </c>
      <c r="H121" s="20" t="n">
        <v>108.487</v>
      </c>
      <c r="I121" s="20" t="n">
        <v>127.226</v>
      </c>
      <c r="J121" s="20" t="n">
        <v>227.631</v>
      </c>
      <c r="K121" s="20" t="n">
        <v>232.433</v>
      </c>
      <c r="L121" s="20" t="n">
        <v>372.703</v>
      </c>
    </row>
    <row r="122">
      <c r="A122" s="18" t="inlineStr">
        <is>
          <t>해외사업환산조정</t>
        </is>
      </c>
      <c r="C122" s="20" t="n">
        <v>1027.291</v>
      </c>
      <c r="D122" s="20" t="n">
        <v>1090.712</v>
      </c>
      <c r="E122" s="20" t="n">
        <v>1383.916</v>
      </c>
      <c r="F122" s="20" t="n">
        <v>1466.403</v>
      </c>
      <c r="G122" s="20" t="n">
        <v>1599.555</v>
      </c>
      <c r="H122" s="20" t="n">
        <v>389.734</v>
      </c>
      <c r="I122" s="20" t="n">
        <v>684.454</v>
      </c>
      <c r="J122" s="20" t="n">
        <v>814.84</v>
      </c>
      <c r="K122" s="20" t="n">
        <v>1329.652</v>
      </c>
      <c r="L122" s="20" t="n">
        <v>1383.916</v>
      </c>
    </row>
    <row r="123">
      <c r="A123" s="18" t="inlineStr">
        <is>
          <t>기타포괄손익누계액 합계</t>
        </is>
      </c>
      <c r="C123" s="20" t="n">
        <v>1335.311</v>
      </c>
      <c r="D123" s="20" t="n">
        <v>1431.872</v>
      </c>
      <c r="E123" s="20" t="n">
        <v>1756.619</v>
      </c>
      <c r="F123" s="20" t="n">
        <v>1882.376</v>
      </c>
      <c r="G123" s="20" t="n">
        <v>2081.767</v>
      </c>
      <c r="H123" s="20" t="n">
        <v>498.221</v>
      </c>
      <c r="I123" s="20" t="n">
        <v>811.681</v>
      </c>
      <c r="J123" s="20" t="n">
        <v>1042.472</v>
      </c>
      <c r="K123" s="20" t="n">
        <v>1562.086</v>
      </c>
      <c r="L123" s="20" t="n">
        <v>1756.619</v>
      </c>
    </row>
    <row r="124">
      <c r="A124" s="18" t="inlineStr">
        <is>
          <t>비지배지분</t>
        </is>
      </c>
      <c r="C124" s="20" t="n">
        <v>254.118</v>
      </c>
      <c r="D124" s="20" t="n">
        <v>264.261</v>
      </c>
      <c r="E124" s="20" t="n">
        <v>285.753</v>
      </c>
      <c r="F124" s="20" t="n">
        <v>280.668</v>
      </c>
      <c r="G124" s="20" t="n">
        <v>287.396</v>
      </c>
      <c r="H124" s="20" t="n">
        <v>197.911</v>
      </c>
      <c r="I124" s="20" t="n">
        <v>220.591</v>
      </c>
      <c r="J124" s="20" t="n">
        <v>230.915</v>
      </c>
      <c r="K124" s="20" t="n">
        <v>263.541</v>
      </c>
      <c r="L124" s="20" t="n">
        <v>285.753</v>
      </c>
    </row>
    <row r="125">
      <c r="A125" s="9" t="inlineStr">
        <is>
          <t>순자산 합계</t>
        </is>
      </c>
      <c r="C125" s="12" t="n">
        <v>13230.455</v>
      </c>
      <c r="D125" s="12" t="n">
        <v>13226.434</v>
      </c>
      <c r="E125" s="12" t="n">
        <v>13458.031</v>
      </c>
      <c r="F125" s="12" t="n">
        <v>13520.276</v>
      </c>
      <c r="G125" s="12" t="n">
        <v>13863.29</v>
      </c>
      <c r="H125" s="12" t="n">
        <v>11322.05</v>
      </c>
      <c r="I125" s="12" t="n">
        <v>11760.073</v>
      </c>
      <c r="J125" s="12" t="n">
        <v>12642.091</v>
      </c>
      <c r="K125" s="12" t="n">
        <v>13480.115</v>
      </c>
      <c r="L125" s="12" t="n">
        <v>13458.031</v>
      </c>
    </row>
    <row r="126">
      <c r="A126" s="9" t="inlineStr">
        <is>
          <t>부채·순자산 합계</t>
        </is>
      </c>
      <c r="C126" s="12" t="n">
        <v>24001.157</v>
      </c>
      <c r="D126" s="12" t="n">
        <v>24160.663</v>
      </c>
      <c r="E126" s="12" t="n">
        <v>24092.584</v>
      </c>
      <c r="F126" s="12" t="n">
        <v>23939.249</v>
      </c>
      <c r="G126" s="12" t="n">
        <v>24183.371</v>
      </c>
      <c r="H126" s="12" t="n">
        <v>22036.331</v>
      </c>
      <c r="I126" s="12" t="n">
        <v>25171.557</v>
      </c>
      <c r="J126" s="12" t="n">
        <v>26741.496</v>
      </c>
      <c r="K126" s="12" t="n">
        <v>25304.366</v>
      </c>
      <c r="L126" s="12" t="n">
        <v>24092.584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6292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company 예상 FY3 27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195</v>
      </c>
      <c r="C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6.6</v>
      </c>
    </row>
    <row r="8">
      <c r="A8" s="54" t="inlineStr">
        <is>
          <t>경상이익</t>
        </is>
      </c>
      <c r="B8" s="55" t="n">
        <v>6</v>
      </c>
    </row>
    <row r="9">
      <c r="A9" s="54" t="inlineStr">
        <is>
          <t>순이익</t>
        </is>
      </c>
      <c r="B9" s="55" t="n">
        <v>3.8</v>
      </c>
    </row>
    <row r="10">
      <c r="A10" s="54" t="inlineStr">
        <is>
          <t>EPS</t>
        </is>
      </c>
      <c r="B10" s="55" t="n">
        <v>54.4</v>
      </c>
    </row>
    <row r="12">
      <c r="A12" s="52" t="inlineStr">
        <is>
          <t>수주 q</t>
        </is>
      </c>
      <c r="B12" s="52" t="n"/>
      <c r="C12" s="52" t="n"/>
    </row>
    <row r="13">
      <c r="A13" s="53" t="inlineStr">
        <is>
          <t>항목</t>
        </is>
      </c>
      <c r="B13" s="53" t="inlineStr">
        <is>
          <t>값</t>
        </is>
      </c>
      <c r="C13" s="53" t="inlineStr">
        <is>
          <t>출처</t>
        </is>
      </c>
    </row>
    <row r="14">
      <c r="A14" s="54" t="inlineStr">
        <is>
          <t>2025-Q1</t>
        </is>
      </c>
      <c r="B14" s="55" t="n">
        <v>48.5</v>
      </c>
      <c r="C14" s="56" t="inlineStr">
        <is>
          <t>2단계 보고서 자료(회사 설명회 자료·공시)</t>
        </is>
      </c>
    </row>
    <row r="15">
      <c r="A15" s="54" t="inlineStr">
        <is>
          <t>2025-Q2</t>
        </is>
      </c>
      <c r="B15" s="55" t="n">
        <v>46.3</v>
      </c>
    </row>
    <row r="16">
      <c r="A16" s="54" t="inlineStr">
        <is>
          <t>2025-Q3</t>
        </is>
      </c>
      <c r="B16" s="55" t="n">
        <v>39.9</v>
      </c>
    </row>
    <row r="17">
      <c r="A17" s="54" t="inlineStr">
        <is>
          <t>2025-Q4</t>
        </is>
      </c>
      <c r="B17" s="55" t="n">
        <v>54.4</v>
      </c>
    </row>
    <row r="18">
      <c r="A18" s="54" t="inlineStr">
        <is>
          <t>2026-Q1</t>
        </is>
      </c>
      <c r="B18" s="55" t="n">
        <v>56.6</v>
      </c>
    </row>
    <row r="19">
      <c r="A19" s="54" t="inlineStr">
        <is>
          <t>2026-Q2</t>
        </is>
      </c>
      <c r="B19" s="55" t="n">
        <v>38.1</v>
      </c>
    </row>
    <row r="20">
      <c r="A20" s="54" t="inlineStr">
        <is>
          <t>2026-Q3</t>
        </is>
      </c>
      <c r="B20" s="55" t="n">
        <v>46.8</v>
      </c>
    </row>
    <row r="21">
      <c r="A21" s="54" t="inlineStr">
        <is>
          <t>2026-Q4</t>
        </is>
      </c>
      <c r="B21" s="55" t="n">
        <v>46.3</v>
      </c>
    </row>
    <row r="22">
      <c r="A22" s="54" t="inlineStr">
        <is>
          <t>2027-Q1</t>
        </is>
      </c>
      <c r="B22" s="55" t="n">
        <v>56.3</v>
      </c>
    </row>
    <row r="23">
      <c r="A23" s="54" t="inlineStr">
        <is>
          <t>2027-Q2</t>
        </is>
      </c>
      <c r="B23" s="55" t="n">
        <v>61</v>
      </c>
    </row>
    <row r="25">
      <c r="A25" s="52" t="inlineStr">
        <is>
          <t>수주잔고 q</t>
        </is>
      </c>
      <c r="B25" s="52" t="n"/>
      <c r="C25" s="52" t="n"/>
    </row>
    <row r="26">
      <c r="A26" s="53" t="inlineStr">
        <is>
          <t>항목</t>
        </is>
      </c>
      <c r="B26" s="53" t="inlineStr">
        <is>
          <t>값</t>
        </is>
      </c>
      <c r="C26" s="53" t="inlineStr">
        <is>
          <t>출처</t>
        </is>
      </c>
    </row>
    <row r="27">
      <c r="A27" s="54" t="inlineStr">
        <is>
          <t>2025-Q1</t>
        </is>
      </c>
      <c r="B27" s="55" t="n">
        <v>99.7</v>
      </c>
      <c r="C27" s="56" t="inlineStr">
        <is>
          <t>2단계 보고서 자료(회사 설명회 자료·공시)</t>
        </is>
      </c>
    </row>
    <row r="28">
      <c r="A28" s="54" t="inlineStr">
        <is>
          <t>2025-Q2</t>
        </is>
      </c>
      <c r="B28" s="55" t="n">
        <v>94.40000000000001</v>
      </c>
    </row>
    <row r="29">
      <c r="A29" s="54" t="inlineStr">
        <is>
          <t>2025-Q3</t>
        </is>
      </c>
      <c r="B29" s="55" t="n">
        <v>83</v>
      </c>
    </row>
    <row r="30">
      <c r="A30" s="54" t="inlineStr">
        <is>
          <t>2025-Q4</t>
        </is>
      </c>
      <c r="B30" s="55" t="n">
        <v>80.09999999999999</v>
      </c>
    </row>
    <row r="31">
      <c r="A31" s="54" t="inlineStr">
        <is>
          <t>2026-Q1</t>
        </is>
      </c>
      <c r="B31" s="55" t="n">
        <v>88</v>
      </c>
    </row>
    <row r="32">
      <c r="A32" s="54" t="inlineStr">
        <is>
          <t>2026-Q2</t>
        </is>
      </c>
      <c r="B32" s="55" t="n">
        <v>81.3</v>
      </c>
    </row>
    <row r="33">
      <c r="A33" s="54" t="inlineStr">
        <is>
          <t>2026-Q3</t>
        </is>
      </c>
      <c r="B33" s="55" t="n">
        <v>81.90000000000001</v>
      </c>
    </row>
    <row r="34">
      <c r="A34" s="54" t="inlineStr">
        <is>
          <t>2026-Q4</t>
        </is>
      </c>
      <c r="B34" s="55" t="n">
        <v>76.2</v>
      </c>
    </row>
    <row r="35">
      <c r="A35" s="54" t="inlineStr">
        <is>
          <t>2027-Q1</t>
        </is>
      </c>
      <c r="B35" s="55" t="n">
        <v>90</v>
      </c>
    </row>
    <row r="36">
      <c r="A36" s="54" t="inlineStr">
        <is>
          <t>2027-Q2</t>
        </is>
      </c>
      <c r="B36" s="55" t="n">
        <v>98.7</v>
      </c>
    </row>
    <row r="38">
      <c r="A38" s="52" t="inlineStr">
        <is>
          <t>ordinary q</t>
        </is>
      </c>
      <c r="B38" s="52" t="n"/>
      <c r="C38" s="52" t="n"/>
    </row>
    <row r="39">
      <c r="A39" s="53" t="inlineStr">
        <is>
          <t>항목</t>
        </is>
      </c>
      <c r="B39" s="53" t="inlineStr">
        <is>
          <t>값</t>
        </is>
      </c>
      <c r="C39" s="53" t="inlineStr">
        <is>
          <t>출처</t>
        </is>
      </c>
    </row>
    <row r="40">
      <c r="A40" s="54" t="inlineStr">
        <is>
          <t>2025-Q3</t>
        </is>
      </c>
      <c r="B40" s="55" t="n">
        <v>3.78</v>
      </c>
      <c r="C40" s="56" t="inlineStr">
        <is>
          <t>2단계 보고서 자료(회사 설명회 자료·공시)</t>
        </is>
      </c>
    </row>
    <row r="41">
      <c r="A41" s="54" t="inlineStr">
        <is>
          <t>2025-Q4</t>
        </is>
      </c>
      <c r="B41" s="55" t="n">
        <v>3.66</v>
      </c>
    </row>
    <row r="42">
      <c r="A42" s="54" t="inlineStr">
        <is>
          <t>2026-Q1</t>
        </is>
      </c>
      <c r="B42" s="55" t="n">
        <v>3.96</v>
      </c>
    </row>
    <row r="43">
      <c r="A43" s="54" t="inlineStr">
        <is>
          <t>2026-Q2</t>
        </is>
      </c>
      <c r="B43" s="55" t="n">
        <v>-0.27</v>
      </c>
    </row>
    <row r="44">
      <c r="A44" s="54" t="inlineStr">
        <is>
          <t>2026-Q3</t>
        </is>
      </c>
      <c r="B44" s="55" t="n">
        <v>2.95</v>
      </c>
    </row>
    <row r="45">
      <c r="A45" s="54" t="inlineStr">
        <is>
          <t>2026-Q4</t>
        </is>
      </c>
      <c r="B45" s="55" t="n">
        <v>-0.92</v>
      </c>
    </row>
    <row r="46">
      <c r="A46" s="54" t="inlineStr">
        <is>
          <t>2027-Q1</t>
        </is>
      </c>
      <c r="B46" s="55" t="n">
        <v>1.54</v>
      </c>
    </row>
    <row r="47">
      <c r="A47" s="54" t="inlineStr">
        <is>
          <t>2027-Q2</t>
        </is>
      </c>
      <c r="B47" s="55" t="n">
        <v>2.58</v>
      </c>
    </row>
    <row r="49">
      <c r="A49" s="52" t="inlineStr">
        <is>
          <t>PER band 3y</t>
        </is>
      </c>
      <c r="B49" s="52" t="n"/>
      <c r="C49" s="52" t="n"/>
    </row>
    <row r="50">
      <c r="A50" s="53" t="inlineStr">
        <is>
          <t>항목</t>
        </is>
      </c>
      <c r="B50" s="53" t="inlineStr">
        <is>
          <t>값</t>
        </is>
      </c>
      <c r="C50" s="53" t="inlineStr">
        <is>
          <t>출처</t>
        </is>
      </c>
    </row>
    <row r="51">
      <c r="A51" s="54" t="inlineStr">
        <is>
          <t>lo</t>
        </is>
      </c>
      <c r="B51" s="55" t="n">
        <v>6.9</v>
      </c>
      <c r="C51" s="56" t="inlineStr">
        <is>
          <t>2025-10-31~2026-05-12 (FY3/26 예상 EPS 2.86~8.59엔) 제외</t>
        </is>
      </c>
    </row>
    <row r="52">
      <c r="A52" s="54" t="inlineStr">
        <is>
          <t>avg</t>
        </is>
      </c>
      <c r="B52" s="55" t="n">
        <v>16</v>
      </c>
    </row>
    <row r="53">
      <c r="A53" s="54" t="inlineStr">
        <is>
          <t>hi</t>
        </is>
      </c>
      <c r="B53" s="55" t="n">
        <v>33.3</v>
      </c>
    </row>
    <row r="55">
      <c r="A55" s="52" t="inlineStr">
        <is>
          <t>china hs8477 수출 q</t>
        </is>
      </c>
      <c r="B55" s="52" t="n"/>
      <c r="C55" s="52" t="n"/>
    </row>
    <row r="56">
      <c r="A56" s="53" t="inlineStr">
        <is>
          <t>항목</t>
        </is>
      </c>
      <c r="B56" s="53" t="inlineStr">
        <is>
          <t>값</t>
        </is>
      </c>
      <c r="C56" s="53" t="inlineStr">
        <is>
          <t>출처</t>
        </is>
      </c>
    </row>
    <row r="57">
      <c r="A57" s="54" t="inlineStr">
        <is>
          <t>2024-Q3</t>
        </is>
      </c>
      <c r="B57" s="55" t="n">
        <v>55.96</v>
      </c>
      <c r="C57" s="56" t="inlineStr">
        <is>
          <t>2단계 보고서 자료(회사 설명회 자료·공시)</t>
        </is>
      </c>
    </row>
    <row r="58">
      <c r="A58" s="54" t="inlineStr">
        <is>
          <t>2024-Q4</t>
        </is>
      </c>
      <c r="B58" s="55" t="n">
        <v>39.53</v>
      </c>
    </row>
    <row r="59">
      <c r="A59" s="54" t="inlineStr">
        <is>
          <t>2025-Q1</t>
        </is>
      </c>
      <c r="B59" s="55" t="n">
        <v>37.78</v>
      </c>
    </row>
    <row r="60">
      <c r="A60" s="54" t="inlineStr">
        <is>
          <t>2025-Q2</t>
        </is>
      </c>
      <c r="B60" s="55" t="n">
        <v>36.09</v>
      </c>
    </row>
    <row r="61">
      <c r="A61" s="54" t="inlineStr">
        <is>
          <t>2025-Q3</t>
        </is>
      </c>
      <c r="B61" s="55" t="n">
        <v>40.86</v>
      </c>
    </row>
    <row r="62">
      <c r="A62" s="54" t="inlineStr">
        <is>
          <t>2025-Q4</t>
        </is>
      </c>
      <c r="B62" s="55" t="n">
        <v>24.4</v>
      </c>
    </row>
    <row r="63">
      <c r="A63" s="54" t="inlineStr">
        <is>
          <t>2026-Q1</t>
        </is>
      </c>
      <c r="B63" s="55" t="n">
        <v>30.06</v>
      </c>
    </row>
    <row r="64">
      <c r="A64" s="54" t="inlineStr">
        <is>
          <t>2026-Q2</t>
        </is>
      </c>
      <c r="B64" s="55" t="n">
        <v>21.48</v>
      </c>
    </row>
    <row r="65">
      <c r="A65" s="54" t="inlineStr">
        <is>
          <t>2026-Q3</t>
        </is>
      </c>
      <c r="B65" s="55" t="n">
        <v>19.49</v>
      </c>
    </row>
    <row r="66">
      <c r="A66" s="54" t="inlineStr">
        <is>
          <t>2026-Q4</t>
        </is>
      </c>
      <c r="B66" s="55" t="n">
        <v>24.28</v>
      </c>
    </row>
    <row r="67">
      <c r="A67" s="54" t="inlineStr">
        <is>
          <t>2027-Q1</t>
        </is>
      </c>
      <c r="B67" s="55" t="n">
        <v>29.69</v>
      </c>
    </row>
    <row r="68">
      <c r="A68" s="54" t="inlineStr">
        <is>
          <t>2027-Q2</t>
        </is>
      </c>
      <c r="B68" s="55" t="n">
        <v>34.66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7" t="inlineStr">
        <is>
          <t>공시일</t>
        </is>
      </c>
      <c r="B3" s="57" t="inlineStr">
        <is>
          <t>문서</t>
        </is>
      </c>
      <c r="C3" s="57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https://www2.jpx.co.jp/disc/62920/140120261028557407.pdf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https://www2.jpx.co.jp/disc/62920/140120260730502874.pdf</t>
        </is>
      </c>
    </row>
    <row r="6">
      <c r="A6" t="inlineStr">
        <is>
          <t>2026-05-13</t>
        </is>
      </c>
      <c r="B6" t="inlineStr">
        <is>
          <t>2026년 3월 결산기 연간 결산단신</t>
        </is>
      </c>
      <c r="C6" t="inlineStr">
        <is>
          <t>https://www2.jpx.co.jp/disc/62920/140120260512526252.pdf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https://www2.jpx.co.jp/disc/62920/140120260127539557.pdf</t>
        </is>
      </c>
    </row>
    <row r="8">
      <c r="A8" t="inlineStr">
        <is>
          <t>2025-10-31</t>
        </is>
      </c>
      <c r="B8" t="inlineStr">
        <is>
          <t>２분기 결산단신</t>
        </is>
      </c>
      <c r="C8" t="inlineStr">
        <is>
          <t>https://www2.jpx.co.jp/disc/62920/140120251030583122.pdf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https://www2.jpx.co.jp/disc/62920/140120250731524972.pdf</t>
        </is>
      </c>
    </row>
    <row r="10">
      <c r="A10" t="inlineStr">
        <is>
          <t>2025-05-12</t>
        </is>
      </c>
      <c r="B10" t="inlineStr">
        <is>
          <t>2025년 3월 결산기 연간 결산단신</t>
        </is>
      </c>
      <c r="C10" t="inlineStr">
        <is>
          <t>https://www2.jpx.co.jp/disc/62920/140120250512540027.pdf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https://www2.jpx.co.jp/disc/62920/140120250131559275.pdf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https://www2.jpx.co.jp/disc/62920/140120241030506532.pdf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https://www2.jpx.co.jp/disc/62920/140120240730557561.pdf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https://www2.jpx.co.jp/disc/62920/140120240509587201.pdf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https://www2.jpx.co.jp/disc/62920/140120240130522184.pdf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https://www2.jpx.co.jp/disc/62920/140120231030574767.pdf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https://www2.jpx.co.jp/disc/62920/140120230728529650.pdf</t>
        </is>
      </c>
    </row>
    <row r="18">
      <c r="A18" t="inlineStr">
        <is>
          <t>2023-05-11</t>
        </is>
      </c>
      <c r="B18" t="inlineStr">
        <is>
          <t>2023년 3월 결산기 연간 결산단신</t>
        </is>
      </c>
      <c r="C18" t="inlineStr">
        <is>
          <t>https://www2.jpx.co.jp/disc/62920/140120230510564112.pdf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https://www2.jpx.co.jp/disc/62920/140120230131596698.pdf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https://www2.jpx.co.jp/disc/62920/140120220510538030.pdf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https://www2.jpx.co.jp/disc/62920/140120210510409975.pdf</t>
        </is>
      </c>
    </row>
    <row r="22">
      <c r="A22" t="inlineStr">
        <is>
          <t>2020-05-11</t>
        </is>
      </c>
      <c r="B22" t="inlineStr">
        <is>
          <t>2020년 3월 결산기 연간 결산단신</t>
        </is>
      </c>
      <c r="C22" t="inlineStr">
        <is>
          <t>https://www2.jpx.co.jp/disc/62920/140120200508407353.pdf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https://www2.jpx.co.jp/disc/62920/140120190510421489.pdf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https://www2.jpx.co.jp/disc/62920/140120180510433488.pdf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2026-10-30T03:23:37Z</dcterms:created>
  <dcterms:modified xmlns:dcterms="http://purl.org/dc/terms/" xmlns:xsi="http://www.w3.org/2001/XMLSchema-instance" xsi:type="dcterms:W3CDTF">2026-10-30T03:23:37Z</dcterms:modified>
</cp:coreProperties>
</file>