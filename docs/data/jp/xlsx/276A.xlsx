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8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쿠쿠레브어드바이저즈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8월 결산 · 일본 기준 · 2026.4Q = 2026년 8월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2024.1Q</t>
        </is>
      </c>
      <c r="D3" s="5" t="inlineStr">
        <is>
          <t>2024.2Q</t>
        </is>
      </c>
      <c r="E3" s="5" t="inlineStr">
        <is>
          <t>2024.3Q</t>
        </is>
      </c>
      <c r="F3" s="5" t="inlineStr">
        <is>
          <t>2024.4Q</t>
        </is>
      </c>
      <c r="G3" s="5" t="inlineStr">
        <is>
          <t>2025.1Q</t>
        </is>
      </c>
      <c r="H3" s="5" t="inlineStr">
        <is>
          <t>2025.2Q</t>
        </is>
      </c>
      <c r="I3" s="5" t="inlineStr">
        <is>
          <t>2025.3Q</t>
        </is>
      </c>
      <c r="J3" s="5" t="inlineStr">
        <is>
          <t>2025.4Q</t>
        </is>
      </c>
      <c r="K3" s="5" t="inlineStr">
        <is>
          <t>2026.1Q</t>
        </is>
      </c>
      <c r="L3" s="5" t="inlineStr">
        <is>
          <t>2026.2Q</t>
        </is>
      </c>
      <c r="M3" s="5" t="inlineStr">
        <is>
          <t>2026.3Q</t>
        </is>
      </c>
      <c r="N3" s="5" t="inlineStr">
        <is>
          <t>2026.4Q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/>
      <c r="E4" s="12" t="n"/>
      <c r="F4" s="12" t="n">
        <v>219.337</v>
      </c>
      <c r="G4" s="12" t="n">
        <v>681.9299999999999</v>
      </c>
      <c r="H4" s="12" t="n">
        <v>972.877</v>
      </c>
      <c r="I4" s="12" t="n">
        <v>314.592</v>
      </c>
      <c r="J4" s="12" t="n">
        <v>585.647</v>
      </c>
      <c r="K4" s="12" t="n">
        <v>730.585</v>
      </c>
      <c r="L4" s="12" t="n">
        <v>178.465</v>
      </c>
      <c r="M4" s="12" t="n">
        <v>2226.174</v>
      </c>
      <c r="N4" s="12" t="n">
        <v>3885.273</v>
      </c>
      <c r="O4" s="11" t="n"/>
      <c r="P4" s="12" t="n"/>
      <c r="Q4" s="12" t="n"/>
      <c r="R4" s="12" t="n"/>
      <c r="S4" s="12" t="n"/>
      <c r="T4" s="12" t="n"/>
      <c r="U4" s="12" t="n"/>
      <c r="V4" s="12" t="n">
        <v>1269.627</v>
      </c>
      <c r="W4" s="12" t="n">
        <v>2555.046</v>
      </c>
      <c r="X4" s="12" t="n">
        <v>7020.497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>
        <v>93.727</v>
      </c>
      <c r="G11" s="22" t="n">
        <v>255.855</v>
      </c>
      <c r="H11" s="22" t="n">
        <v>627.894</v>
      </c>
      <c r="I11" s="22" t="n">
        <v>179.79</v>
      </c>
      <c r="J11" s="22" t="n">
        <v>372.086</v>
      </c>
      <c r="K11" s="22" t="n">
        <v>331.295</v>
      </c>
      <c r="L11" s="22" t="n">
        <v>103.926</v>
      </c>
      <c r="M11" s="22" t="n">
        <v>1597.534</v>
      </c>
      <c r="N11" s="22" t="n">
        <v>3171.325</v>
      </c>
      <c r="O11" s="21" t="n"/>
      <c r="P11" s="22" t="n"/>
      <c r="Q11" s="22" t="n"/>
      <c r="R11" s="22" t="n"/>
      <c r="S11" s="22" t="n"/>
      <c r="T11" s="22" t="n"/>
      <c r="U11" s="22" t="n"/>
      <c r="V11" s="22" t="n">
        <v>420.184</v>
      </c>
      <c r="W11" s="22" t="n">
        <v>1435.625</v>
      </c>
      <c r="X11" s="22" t="n">
        <v>5204.08</v>
      </c>
      <c r="Y11" s="21" t="n"/>
      <c r="Z11" s="22" t="n"/>
      <c r="AA11" s="22" t="n"/>
      <c r="AB11" s="22" t="n"/>
      <c r="AC11" s="22" t="n"/>
    </row>
    <row r="12">
      <c r="A12" s="15" t="inlineStr">
        <is>
          <t>YoY</t>
        </is>
      </c>
      <c r="B12" s="10" t="n"/>
      <c r="C12" s="16" t="n"/>
      <c r="D12" s="17" t="n"/>
      <c r="E12" s="17" t="n"/>
      <c r="F12" s="17" t="n"/>
      <c r="G12" s="17">
        <f>IF(OR(G11="",C11=""),"",IF(C11&lt;=0,"",IFERROR(G11/C11-1,"")))</f>
        <v/>
      </c>
      <c r="H12" s="17">
        <f>IF(OR(H11="",D11=""),"",IF(D11&lt;=0,"",IFERROR(H11/D11-1,"")))</f>
        <v/>
      </c>
      <c r="I12" s="17">
        <f>IF(OR(I11="",E11=""),"",IF(E11&lt;=0,"",IFERROR(I11/E11-1,"")))</f>
        <v/>
      </c>
      <c r="J12" s="17">
        <f>IF(OR(J11="",F11=""),"",IF(F11&lt;=0,"",IFERROR(J11/F11-1,"")))</f>
        <v/>
      </c>
      <c r="K12" s="17">
        <f>IF(OR(K11="",G11=""),"",IF(G11&lt;=0,"",IFERROR(K11/G11-1,"")))</f>
        <v/>
      </c>
      <c r="L12" s="17">
        <f>IF(OR(L11="",H11=""),"",IF(H11&lt;=0,"",IFERROR(L11/H11-1,"")))</f>
        <v/>
      </c>
      <c r="M12" s="17">
        <f>IF(OR(M11="",I11=""),"",IF(I11&lt;=0,"",IFERROR(M11/I11-1,"")))</f>
        <v/>
      </c>
      <c r="N12" s="17">
        <f>IF(OR(N11="",J11=""),"",IF(J11&lt;=0,"",IFERROR(N11/J11-1,"")))</f>
        <v/>
      </c>
      <c r="O12" s="16" t="n"/>
      <c r="P12" s="17">
        <f>IF(OR(P11="",O11=""),"",IF(O11&lt;=0,"",IFERROR(P11/O11-1,"")))</f>
        <v/>
      </c>
      <c r="Q12" s="17">
        <f>IF(OR(Q11="",P11=""),"",IF(P11&lt;=0,"",IFERROR(Q11/P11-1,"")))</f>
        <v/>
      </c>
      <c r="R12" s="17">
        <f>IF(OR(R11="",Q11=""),"",IF(Q11&lt;=0,"",IFERROR(R11/Q11-1,"")))</f>
        <v/>
      </c>
      <c r="S12" s="17">
        <f>IF(OR(S11="",R11=""),"",IF(R11&lt;=0,"",IFERROR(S11/R11-1,"")))</f>
        <v/>
      </c>
      <c r="T12" s="17">
        <f>IF(OR(T11="",S11=""),"",IF(S11&lt;=0,"",IFERROR(T11/S11-1,"")))</f>
        <v/>
      </c>
      <c r="U12" s="17">
        <f>IF(OR(U11="",T11=""),"",IF(T11&lt;=0,"",IFERROR(U11/T11-1,"")))</f>
        <v/>
      </c>
      <c r="V12" s="17">
        <f>IF(OR(V11="",U11=""),"",IF(U11&lt;=0,"",IFERROR(V11/U11-1,"")))</f>
        <v/>
      </c>
      <c r="W12" s="17">
        <f>IF(OR(W11="",V11=""),"",IF(V11&lt;=0,"",IFERROR(W11/V11-1,"")))</f>
        <v/>
      </c>
      <c r="X12" s="17">
        <f>IF(OR(X11="",W11=""),"",IF(W11&lt;=0,"",IFERROR(X11/W11-1,"")))</f>
        <v/>
      </c>
      <c r="Y12" s="16">
        <f>IF(OR(Y11="",X11=""),"",IF(X11&lt;=0,"",IFERROR(Y11/X11-1,"")))</f>
        <v/>
      </c>
      <c r="Z12" s="17">
        <f>IF(OR(Z11="",Y11=""),"",IF(Y11&lt;=0,"",IFERROR(Z11/Y11-1,"")))</f>
        <v/>
      </c>
      <c r="AA12" s="17">
        <f>IF(OR(AA11="",Z11=""),"",IF(Z11&lt;=0,"",IFERROR(AA11/Z11-1,"")))</f>
        <v/>
      </c>
      <c r="AB12" s="17">
        <f>IF(OR(AB11="",AA11=""),"",IF(AA11&lt;=0,"",IFERROR(AB11/AA11-1,"")))</f>
        <v/>
      </c>
      <c r="AC12" s="17">
        <f>IF(OR(AC11="",AB11=""),"",IF(AB11&lt;=0,"",IFERROR(AC11/AB11-1,"")))</f>
        <v/>
      </c>
    </row>
    <row r="13">
      <c r="A13" s="20" t="inlineStr">
        <is>
          <t>매출총이익</t>
        </is>
      </c>
      <c r="B13" s="10" t="n"/>
      <c r="C13" s="21">
        <f>IF(OR(C4="",C11=""),"",IFERROR(C4-C11,""))</f>
        <v/>
      </c>
      <c r="D13" s="22">
        <f>IF(OR(D4="",D11=""),"",IFERROR(D4-D11,""))</f>
        <v/>
      </c>
      <c r="E13" s="22">
        <f>IF(OR(E4="",E11=""),"",IFERROR(E4-E11,""))</f>
        <v/>
      </c>
      <c r="F13" s="22">
        <f>IF(OR(F4="",F11=""),"",IFERROR(F4-F11,""))</f>
        <v/>
      </c>
      <c r="G13" s="22">
        <f>IF(OR(G4="",G11=""),"",IFERROR(G4-G11,""))</f>
        <v/>
      </c>
      <c r="H13" s="22">
        <f>IF(OR(H4="",H11=""),"",IFERROR(H4-H11,""))</f>
        <v/>
      </c>
      <c r="I13" s="22">
        <f>IF(OR(I4="",I11=""),"",IFERROR(I4-I11,""))</f>
        <v/>
      </c>
      <c r="J13" s="22">
        <f>IF(OR(J4="",J11=""),"",IFERROR(J4-J11,""))</f>
        <v/>
      </c>
      <c r="K13" s="22">
        <f>IF(OR(K4="",K11=""),"",IFERROR(K4-K11,""))</f>
        <v/>
      </c>
      <c r="L13" s="22">
        <f>IF(OR(L4="",L11=""),"",IFERROR(L4-L11,""))</f>
        <v/>
      </c>
      <c r="M13" s="22">
        <f>IF(OR(M4="",M11=""),"",IFERROR(M4-M11,""))</f>
        <v/>
      </c>
      <c r="N13" s="22">
        <f>IF(OR(N4="",N11=""),"",IFERROR(N4-N11,""))</f>
        <v/>
      </c>
      <c r="O13" s="21">
        <f>IF(OR(O4="",O11=""),"",IFERROR(O4-O11,""))</f>
        <v/>
      </c>
      <c r="P13" s="22">
        <f>IF(OR(P4="",P11=""),"",IFERROR(P4-P11,""))</f>
        <v/>
      </c>
      <c r="Q13" s="22">
        <f>IF(OR(Q4="",Q11=""),"",IFERROR(Q4-Q11,""))</f>
        <v/>
      </c>
      <c r="R13" s="22">
        <f>IF(OR(R4="",R11=""),"",IFERROR(R4-R11,""))</f>
        <v/>
      </c>
      <c r="S13" s="22">
        <f>IF(OR(S4="",S11=""),"",IFERROR(S4-S11,""))</f>
        <v/>
      </c>
      <c r="T13" s="22">
        <f>IF(OR(T4="",T11=""),"",IFERROR(T4-T11,""))</f>
        <v/>
      </c>
      <c r="U13" s="22">
        <f>IF(OR(U4="",U11=""),"",IFERROR(U4-U11,""))</f>
        <v/>
      </c>
      <c r="V13" s="22">
        <f>IF(OR(V4="",V11=""),"",IFERROR(V4-V11,""))</f>
        <v/>
      </c>
      <c r="W13" s="22">
        <f>IF(OR(W4="",W11=""),"",IFERROR(W4-W11,""))</f>
        <v/>
      </c>
      <c r="X13" s="22">
        <f>IF(OR(X4="",X11=""),"",IFERROR(X4-X11,""))</f>
        <v/>
      </c>
      <c r="Y13" s="21" t="n"/>
      <c r="Z13" s="22" t="n"/>
      <c r="AA13" s="22" t="n"/>
      <c r="AB13" s="22" t="n"/>
      <c r="AC13" s="22" t="n"/>
    </row>
    <row r="14">
      <c r="A14" s="15" t="inlineStr">
        <is>
          <t>GPM</t>
        </is>
      </c>
      <c r="B14" s="10" t="n"/>
      <c r="C14" s="16">
        <f>IF(OR(C13="",C4=""),"",IFERROR(C13/C4,""))</f>
        <v/>
      </c>
      <c r="D14" s="17">
        <f>IF(OR(D13="",D4=""),"",IFERROR(D13/D4,""))</f>
        <v/>
      </c>
      <c r="E14" s="17">
        <f>IF(OR(E13="",E4=""),"",IFERROR(E13/E4,""))</f>
        <v/>
      </c>
      <c r="F14" s="17">
        <f>IF(OR(F13="",F4=""),"",IFERROR(F13/F4,""))</f>
        <v/>
      </c>
      <c r="G14" s="17">
        <f>IF(OR(G13="",G4=""),"",IFERROR(G13/G4,""))</f>
        <v/>
      </c>
      <c r="H14" s="17">
        <f>IF(OR(H13="",H4=""),"",IFERROR(H13/H4,""))</f>
        <v/>
      </c>
      <c r="I14" s="17">
        <f>IF(OR(I13="",I4=""),"",IFERROR(I13/I4,""))</f>
        <v/>
      </c>
      <c r="J14" s="17">
        <f>IF(OR(J13="",J4=""),"",IFERROR(J13/J4,""))</f>
        <v/>
      </c>
      <c r="K14" s="17">
        <f>IF(OR(K13="",K4=""),"",IFERROR(K13/K4,""))</f>
        <v/>
      </c>
      <c r="L14" s="17">
        <f>IF(OR(L13="",L4=""),"",IFERROR(L13/L4,""))</f>
        <v/>
      </c>
      <c r="M14" s="17">
        <f>IF(OR(M13="",M4=""),"",IFERROR(M13/M4,""))</f>
        <v/>
      </c>
      <c r="N14" s="17">
        <f>IF(OR(N13="",N4=""),"",IFERROR(N13/N4,""))</f>
        <v/>
      </c>
      <c r="O14" s="16">
        <f>IF(OR(O13="",O4=""),"",IFERROR(O13/O4,""))</f>
        <v/>
      </c>
      <c r="P14" s="17">
        <f>IF(OR(P13="",P4=""),"",IFERROR(P13/P4,""))</f>
        <v/>
      </c>
      <c r="Q14" s="17">
        <f>IF(OR(Q13="",Q4=""),"",IFERROR(Q13/Q4,""))</f>
        <v/>
      </c>
      <c r="R14" s="17">
        <f>IF(OR(R13="",R4=""),"",IFERROR(R13/R4,""))</f>
        <v/>
      </c>
      <c r="S14" s="17">
        <f>IF(OR(S13="",S4=""),"",IFERROR(S13/S4,""))</f>
        <v/>
      </c>
      <c r="T14" s="17">
        <f>IF(OR(T13="",T4=""),"",IFERROR(T13/T4,""))</f>
        <v/>
      </c>
      <c r="U14" s="17">
        <f>IF(OR(U13="",U4=""),"",IFERROR(U13/U4,""))</f>
        <v/>
      </c>
      <c r="V14" s="17">
        <f>IF(OR(V13="",V4=""),"",IFERROR(V13/V4,""))</f>
        <v/>
      </c>
      <c r="W14" s="17">
        <f>IF(OR(W13="",W4=""),"",IFERROR(W13/W4,""))</f>
        <v/>
      </c>
      <c r="X14" s="17">
        <f>IF(OR(X13="",X4=""),"",IFERROR(X13/X4,""))</f>
        <v/>
      </c>
      <c r="Y14" s="16">
        <f>IF(OR(Y13="",Y4=""),"",IFERROR(Y13/Y4,""))</f>
        <v/>
      </c>
      <c r="Z14" s="17">
        <f>IF(OR(Z13="",Z4=""),"",IFERROR(Z13/Z4,""))</f>
        <v/>
      </c>
      <c r="AA14" s="17">
        <f>IF(OR(AA13="",AA4=""),"",IFERROR(AA13/AA4,""))</f>
        <v/>
      </c>
      <c r="AB14" s="17">
        <f>IF(OR(AB13="",AB4=""),"",IFERROR(AB13/AB4,""))</f>
        <v/>
      </c>
      <c r="AC14" s="17">
        <f>IF(OR(AC13="",AC4=""),"",IFERROR(AC13/AC4,""))</f>
        <v/>
      </c>
    </row>
    <row r="15">
      <c r="A15" s="15" t="inlineStr">
        <is>
          <t>YoY</t>
        </is>
      </c>
      <c r="B15" s="10" t="n"/>
      <c r="C15" s="16" t="n"/>
      <c r="D15" s="17" t="n"/>
      <c r="E15" s="17" t="n"/>
      <c r="F15" s="17" t="n"/>
      <c r="G15" s="17">
        <f>IF(OR(G13="",C13=""),"",IF(C13&lt;=0,"",IFERROR(G13/C13-1,"")))</f>
        <v/>
      </c>
      <c r="H15" s="17">
        <f>IF(OR(H13="",D13=""),"",IF(D13&lt;=0,"",IFERROR(H13/D13-1,"")))</f>
        <v/>
      </c>
      <c r="I15" s="17">
        <f>IF(OR(I13="",E13=""),"",IF(E13&lt;=0,"",IFERROR(I13/E13-1,"")))</f>
        <v/>
      </c>
      <c r="J15" s="17">
        <f>IF(OR(J13="",F13=""),"",IF(F13&lt;=0,"",IFERROR(J13/F13-1,"")))</f>
        <v/>
      </c>
      <c r="K15" s="17">
        <f>IF(OR(K13="",G13=""),"",IF(G13&lt;=0,"",IFERROR(K13/G13-1,"")))</f>
        <v/>
      </c>
      <c r="L15" s="17">
        <f>IF(OR(L13="",H13=""),"",IF(H13&lt;=0,"",IFERROR(L13/H13-1,"")))</f>
        <v/>
      </c>
      <c r="M15" s="17">
        <f>IF(OR(M13="",I13=""),"",IF(I13&lt;=0,"",IFERROR(M13/I13-1,"")))</f>
        <v/>
      </c>
      <c r="N15" s="17">
        <f>IF(OR(N13="",J13=""),"",IF(J13&lt;=0,"",IFERROR(N13/J13-1,"")))</f>
        <v/>
      </c>
      <c r="O15" s="16" t="n"/>
      <c r="P15" s="17">
        <f>IF(OR(P13="",O13=""),"",IF(O13&lt;=0,"",IFERROR(P13/O13-1,"")))</f>
        <v/>
      </c>
      <c r="Q15" s="17">
        <f>IF(OR(Q13="",P13=""),"",IF(P13&lt;=0,"",IFERROR(Q13/P13-1,"")))</f>
        <v/>
      </c>
      <c r="R15" s="17">
        <f>IF(OR(R13="",Q13=""),"",IF(Q13&lt;=0,"",IFERROR(R13/Q13-1,"")))</f>
        <v/>
      </c>
      <c r="S15" s="17">
        <f>IF(OR(S13="",R13=""),"",IF(R13&lt;=0,"",IFERROR(S13/R13-1,"")))</f>
        <v/>
      </c>
      <c r="T15" s="17">
        <f>IF(OR(T13="",S13=""),"",IF(S13&lt;=0,"",IFERROR(T13/S13-1,"")))</f>
        <v/>
      </c>
      <c r="U15" s="17">
        <f>IF(OR(U13="",T13=""),"",IF(T13&lt;=0,"",IFERROR(U13/T13-1,"")))</f>
        <v/>
      </c>
      <c r="V15" s="17">
        <f>IF(OR(V13="",U13=""),"",IF(U13&lt;=0,"",IFERROR(V13/U13-1,"")))</f>
        <v/>
      </c>
      <c r="W15" s="17">
        <f>IF(OR(W13="",V13=""),"",IF(V13&lt;=0,"",IFERROR(W13/V13-1,"")))</f>
        <v/>
      </c>
      <c r="X15" s="17">
        <f>IF(OR(X13="",W13=""),"",IF(W13&lt;=0,"",IFERROR(X13/W13-1,"")))</f>
        <v/>
      </c>
      <c r="Y15" s="16">
        <f>IF(OR(Y13="",X13=""),"",IF(X13&lt;=0,"",IFERROR(Y13/X13-1,"")))</f>
        <v/>
      </c>
      <c r="Z15" s="17">
        <f>IF(OR(Z13="",Y13=""),"",IF(Y13&lt;=0,"",IFERROR(Z13/Y13-1,"")))</f>
        <v/>
      </c>
      <c r="AA15" s="17">
        <f>IF(OR(AA13="",Z13=""),"",IF(Z13&lt;=0,"",IFERROR(AA13/Z13-1,"")))</f>
        <v/>
      </c>
      <c r="AB15" s="17">
        <f>IF(OR(AB13="",AA13=""),"",IF(AA13&lt;=0,"",IFERROR(AB13/AA13-1,"")))</f>
        <v/>
      </c>
      <c r="AC15" s="17">
        <f>IF(OR(AC13="",AB13=""),"",IF(AB13&lt;=0,"",IFERROR(AC13/AB13-1,"")))</f>
        <v/>
      </c>
    </row>
    <row r="16">
      <c r="A16" s="25" t="inlineStr">
        <is>
          <t>판매관리비</t>
        </is>
      </c>
      <c r="B16" s="25" t="n"/>
      <c r="C16" s="26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5" t="n"/>
      <c r="Q16" s="25" t="n"/>
      <c r="R16" s="25" t="n"/>
      <c r="S16" s="25" t="n"/>
      <c r="T16" s="25" t="n"/>
      <c r="U16" s="25" t="n"/>
      <c r="V16" s="25" t="n"/>
      <c r="W16" s="25" t="n"/>
      <c r="X16" s="25" t="n"/>
      <c r="Y16" s="26" t="n"/>
      <c r="Z16" s="25" t="n"/>
      <c r="AA16" s="25" t="n"/>
      <c r="AB16" s="25" t="n"/>
      <c r="AC16" s="25" t="n"/>
    </row>
    <row r="17">
      <c r="A17" s="20" t="inlineStr">
        <is>
          <t>전체 판관비</t>
        </is>
      </c>
      <c r="B17" s="10" t="n"/>
      <c r="C17" s="21" t="n"/>
      <c r="D17" s="22" t="n"/>
      <c r="E17" s="22" t="n"/>
      <c r="F17" s="22" t="n">
        <v>135.333</v>
      </c>
      <c r="G17" s="22" t="n">
        <v>118.964</v>
      </c>
      <c r="H17" s="22" t="n">
        <v>124.32</v>
      </c>
      <c r="I17" s="22" t="n">
        <v>124.284</v>
      </c>
      <c r="J17" s="22" t="n">
        <v>138.854</v>
      </c>
      <c r="K17" s="22" t="n">
        <v>155.948</v>
      </c>
      <c r="L17" s="22" t="n">
        <v>159.973</v>
      </c>
      <c r="M17" s="22" t="n">
        <v>177.053</v>
      </c>
      <c r="N17" s="22" t="n">
        <v>179.065</v>
      </c>
      <c r="O17" s="21" t="n"/>
      <c r="P17" s="22" t="n"/>
      <c r="Q17" s="22" t="n"/>
      <c r="R17" s="22" t="n"/>
      <c r="S17" s="22" t="n"/>
      <c r="T17" s="22" t="n"/>
      <c r="U17" s="22" t="n"/>
      <c r="V17" s="22" t="n">
        <v>428.488</v>
      </c>
      <c r="W17" s="22" t="n">
        <v>506.422</v>
      </c>
      <c r="X17" s="22" t="n">
        <v>672.039</v>
      </c>
      <c r="Y17" s="21" t="n"/>
      <c r="Z17" s="22" t="n"/>
      <c r="AA17" s="22" t="n"/>
      <c r="AB17" s="22" t="n"/>
      <c r="AC17" s="22" t="n"/>
    </row>
    <row r="18">
      <c r="A18" s="15" t="inlineStr">
        <is>
          <t>YoY</t>
        </is>
      </c>
      <c r="B18" s="10" t="n"/>
      <c r="C18" s="16" t="n"/>
      <c r="D18" s="17" t="n"/>
      <c r="E18" s="17" t="n"/>
      <c r="F18" s="17" t="n"/>
      <c r="G18" s="17">
        <f>IF(OR(G17="",C17=""),"",IF(C17&lt;=0,"",IFERROR(G17/C17-1,"")))</f>
        <v/>
      </c>
      <c r="H18" s="17">
        <f>IF(OR(H17="",D17=""),"",IF(D17&lt;=0,"",IFERROR(H17/D17-1,"")))</f>
        <v/>
      </c>
      <c r="I18" s="17">
        <f>IF(OR(I17="",E17=""),"",IF(E17&lt;=0,"",IFERROR(I17/E17-1,"")))</f>
        <v/>
      </c>
      <c r="J18" s="17">
        <f>IF(OR(J17="",F17=""),"",IF(F17&lt;=0,"",IFERROR(J17/F17-1,"")))</f>
        <v/>
      </c>
      <c r="K18" s="17">
        <f>IF(OR(K17="",G17=""),"",IF(G17&lt;=0,"",IFERROR(K17/G17-1,"")))</f>
        <v/>
      </c>
      <c r="L18" s="17">
        <f>IF(OR(L17="",H17=""),"",IF(H17&lt;=0,"",IFERROR(L17/H17-1,"")))</f>
        <v/>
      </c>
      <c r="M18" s="17">
        <f>IF(OR(M17="",I17=""),"",IF(I17&lt;=0,"",IFERROR(M17/I17-1,"")))</f>
        <v/>
      </c>
      <c r="N18" s="17">
        <f>IF(OR(N17="",J17=""),"",IF(J17&lt;=0,"",IFERROR(N17/J17-1,"")))</f>
        <v/>
      </c>
      <c r="O18" s="16" t="n"/>
      <c r="P18" s="17">
        <f>IF(OR(P17="",O17=""),"",IF(O17&lt;=0,"",IFERROR(P17/O17-1,"")))</f>
        <v/>
      </c>
      <c r="Q18" s="17">
        <f>IF(OR(Q17="",P17=""),"",IF(P17&lt;=0,"",IFERROR(Q17/P17-1,"")))</f>
        <v/>
      </c>
      <c r="R18" s="17">
        <f>IF(OR(R17="",Q17=""),"",IF(Q17&lt;=0,"",IFERROR(R17/Q17-1,"")))</f>
        <v/>
      </c>
      <c r="S18" s="17">
        <f>IF(OR(S17="",R17=""),"",IF(R17&lt;=0,"",IFERROR(S17/R17-1,"")))</f>
        <v/>
      </c>
      <c r="T18" s="17">
        <f>IF(OR(T17="",S17=""),"",IF(S17&lt;=0,"",IFERROR(T17/S17-1,"")))</f>
        <v/>
      </c>
      <c r="U18" s="17">
        <f>IF(OR(U17="",T17=""),"",IF(T17&lt;=0,"",IFERROR(U17/T17-1,"")))</f>
        <v/>
      </c>
      <c r="V18" s="17">
        <f>IF(OR(V17="",U17=""),"",IF(U17&lt;=0,"",IFERROR(V17/U17-1,"")))</f>
        <v/>
      </c>
      <c r="W18" s="17">
        <f>IF(OR(W17="",V17=""),"",IF(V17&lt;=0,"",IFERROR(W17/V17-1,"")))</f>
        <v/>
      </c>
      <c r="X18" s="17">
        <f>IF(OR(X17="",W17=""),"",IF(W17&lt;=0,"",IFERROR(X17/W17-1,"")))</f>
        <v/>
      </c>
      <c r="Y18" s="16">
        <f>IF(OR(Y17="",X17=""),"",IF(X17&lt;=0,"",IFERROR(Y17/X17-1,"")))</f>
        <v/>
      </c>
      <c r="Z18" s="17">
        <f>IF(OR(Z17="",Y17=""),"",IF(Y17&lt;=0,"",IFERROR(Z17/Y17-1,"")))</f>
        <v/>
      </c>
      <c r="AA18" s="17">
        <f>IF(OR(AA17="",Z17=""),"",IF(Z17&lt;=0,"",IFERROR(AA17/Z17-1,"")))</f>
        <v/>
      </c>
      <c r="AB18" s="17">
        <f>IF(OR(AB17="",AA17=""),"",IF(AA17&lt;=0,"",IFERROR(AB17/AA17-1,"")))</f>
        <v/>
      </c>
      <c r="AC18" s="17">
        <f>IF(OR(AC17="",AB17=""),"",IF(AB17&lt;=0,"",IFERROR(AC17/AB17-1,"")))</f>
        <v/>
      </c>
    </row>
    <row r="19">
      <c r="A19" s="9" t="inlineStr">
        <is>
          <t>영업이익</t>
        </is>
      </c>
      <c r="B19" s="10" t="inlineStr">
        <is>
          <t>MW = 매출 × OPM</t>
        </is>
      </c>
      <c r="C19" s="11" t="n"/>
      <c r="D19" s="12" t="n"/>
      <c r="E19" s="12" t="n"/>
      <c r="F19" s="12" t="n">
        <v>-9.723000000000001</v>
      </c>
      <c r="G19" s="12" t="n">
        <v>307.11</v>
      </c>
      <c r="H19" s="12" t="n">
        <v>220.662</v>
      </c>
      <c r="I19" s="12" t="n">
        <v>10.52</v>
      </c>
      <c r="J19" s="12" t="n">
        <v>74.706</v>
      </c>
      <c r="K19" s="12" t="n">
        <v>243.341</v>
      </c>
      <c r="L19" s="12" t="n">
        <v>-85.434</v>
      </c>
      <c r="M19" s="12" t="n">
        <v>451.587</v>
      </c>
      <c r="N19" s="12" t="n">
        <v>534.8819999999999</v>
      </c>
      <c r="O19" s="11" t="n"/>
      <c r="P19" s="12" t="n"/>
      <c r="Q19" s="12" t="n"/>
      <c r="R19" s="12" t="n"/>
      <c r="S19" s="12" t="n"/>
      <c r="T19" s="12" t="n"/>
      <c r="U19" s="12" t="n"/>
      <c r="V19" s="12" t="n">
        <v>420.954</v>
      </c>
      <c r="W19" s="12" t="n">
        <v>612.998</v>
      </c>
      <c r="X19" s="12" t="n">
        <v>1144.376</v>
      </c>
      <c r="Y19" s="11">
        <f>IF(OR(Y4="",Y20=""),"",IFERROR(Y4*Y20,""))</f>
        <v/>
      </c>
      <c r="Z19" s="12">
        <f>IF(OR(Z4="",Z20=""),"",IFERROR(Z4*Z20,""))</f>
        <v/>
      </c>
      <c r="AA19" s="12">
        <f>IF(OR(AA4="",AA20=""),"",IFERROR(AA4*AA20,""))</f>
        <v/>
      </c>
      <c r="AB19" s="12">
        <f>IF(OR(AB4="",AB20=""),"",IFERROR(AB4*AB20,""))</f>
        <v/>
      </c>
      <c r="AC19" s="12">
        <f>IF(OR(AC4="",AC20=""),"",IFERROR(AC4*AC20,""))</f>
        <v/>
      </c>
    </row>
    <row r="20">
      <c r="A20" s="15" t="inlineStr">
        <is>
          <t>OPM</t>
        </is>
      </c>
      <c r="B20" s="10" t="inlineStr">
        <is>
          <t>MW 입력</t>
        </is>
      </c>
      <c r="C20" s="16">
        <f>IF(OR(C19="",C4=""),"",IFERROR(C19/C4,""))</f>
        <v/>
      </c>
      <c r="D20" s="17">
        <f>IF(OR(D19="",D4=""),"",IFERROR(D19/D4,""))</f>
        <v/>
      </c>
      <c r="E20" s="17">
        <f>IF(OR(E19="",E4=""),"",IFERROR(E19/E4,""))</f>
        <v/>
      </c>
      <c r="F20" s="17">
        <f>IF(OR(F19="",F4=""),"",IFERROR(F19/F4,""))</f>
        <v/>
      </c>
      <c r="G20" s="17">
        <f>IF(OR(G19="",G4=""),"",IFERROR(G19/G4,""))</f>
        <v/>
      </c>
      <c r="H20" s="17">
        <f>IF(OR(H19="",H4=""),"",IFERROR(H19/H4,""))</f>
        <v/>
      </c>
      <c r="I20" s="17">
        <f>IF(OR(I19="",I4=""),"",IFERROR(I19/I4,""))</f>
        <v/>
      </c>
      <c r="J20" s="17">
        <f>IF(OR(J19="",J4=""),"",IFERROR(J19/J4,""))</f>
        <v/>
      </c>
      <c r="K20" s="17">
        <f>IF(OR(K19="",K4=""),"",IFERROR(K19/K4,""))</f>
        <v/>
      </c>
      <c r="L20" s="17">
        <f>IF(OR(L19="",L4=""),"",IFERROR(L19/L4,""))</f>
        <v/>
      </c>
      <c r="M20" s="17">
        <f>IF(OR(M19="",M4=""),"",IFERROR(M19/M4,""))</f>
        <v/>
      </c>
      <c r="N20" s="17">
        <f>IF(OR(N19="",N4=""),"",IFERROR(N19/N4,""))</f>
        <v/>
      </c>
      <c r="O20" s="16">
        <f>IF(OR(O19="",O4=""),"",IFERROR(O19/O4,""))</f>
        <v/>
      </c>
      <c r="P20" s="17">
        <f>IF(OR(P19="",P4=""),"",IFERROR(P19/P4,""))</f>
        <v/>
      </c>
      <c r="Q20" s="17">
        <f>IF(OR(Q19="",Q4=""),"",IFERROR(Q19/Q4,""))</f>
        <v/>
      </c>
      <c r="R20" s="17">
        <f>IF(OR(R19="",R4=""),"",IFERROR(R19/R4,""))</f>
        <v/>
      </c>
      <c r="S20" s="17">
        <f>IF(OR(S19="",S4=""),"",IFERROR(S19/S4,""))</f>
        <v/>
      </c>
      <c r="T20" s="17">
        <f>IF(OR(T19="",T4=""),"",IFERROR(T19/T4,""))</f>
        <v/>
      </c>
      <c r="U20" s="17">
        <f>IF(OR(U19="",U4=""),"",IFERROR(U19/U4,""))</f>
        <v/>
      </c>
      <c r="V20" s="17">
        <f>IF(OR(V19="",V4=""),"",IFERROR(V19/V4,""))</f>
        <v/>
      </c>
      <c r="W20" s="17">
        <f>IF(OR(W19="",W4=""),"",IFERROR(W19/W4,""))</f>
        <v/>
      </c>
      <c r="X20" s="17">
        <f>IF(OR(X19="",X4=""),"",IFERROR(X19/X4,""))</f>
        <v/>
      </c>
      <c r="Y20" s="27" t="n"/>
      <c r="Z20" s="28" t="n"/>
      <c r="AA20" s="28" t="n"/>
      <c r="AB20" s="28" t="n"/>
      <c r="AC20" s="28" t="n"/>
    </row>
    <row r="21">
      <c r="A21" s="15" t="inlineStr">
        <is>
          <t>증가율</t>
        </is>
      </c>
      <c r="B21" s="10" t="n"/>
      <c r="C21" s="16" t="n"/>
      <c r="D21" s="17" t="n"/>
      <c r="E21" s="17" t="n"/>
      <c r="F21" s="17" t="n"/>
      <c r="G21" s="17">
        <f>IF(OR(G19="",C19=""),"",IFERROR(G19/C19-1,""))</f>
        <v/>
      </c>
      <c r="H21" s="17">
        <f>IF(OR(H19="",D19=""),"",IFERROR(H19/D19-1,""))</f>
        <v/>
      </c>
      <c r="I21" s="17">
        <f>IF(OR(I19="",E19=""),"",IFERROR(I19/E19-1,""))</f>
        <v/>
      </c>
      <c r="J21" s="17">
        <f>IF(OR(J19="",F19=""),"",IFERROR(J19/F19-1,""))</f>
        <v/>
      </c>
      <c r="K21" s="17">
        <f>IF(OR(K19="",G19=""),"",IFERROR(K19/G19-1,""))</f>
        <v/>
      </c>
      <c r="L21" s="17">
        <f>IF(OR(L19="",H19=""),"",IFERROR(L19/H19-1,""))</f>
        <v/>
      </c>
      <c r="M21" s="17">
        <f>IF(OR(M19="",I19=""),"",IFERROR(M19/I19-1,""))</f>
        <v/>
      </c>
      <c r="N21" s="17">
        <f>IF(OR(N19="",J19=""),"",IFERROR(N19/J19-1,""))</f>
        <v/>
      </c>
      <c r="O21" s="16" t="n"/>
      <c r="P21" s="17">
        <f>IF(OR(P19="",O19=""),"",IFERROR(P19/O19-1,""))</f>
        <v/>
      </c>
      <c r="Q21" s="17">
        <f>IF(OR(Q19="",P19=""),"",IFERROR(Q19/P19-1,""))</f>
        <v/>
      </c>
      <c r="R21" s="17">
        <f>IF(OR(R19="",Q19=""),"",IFERROR(R19/Q19-1,""))</f>
        <v/>
      </c>
      <c r="S21" s="17">
        <f>IF(OR(S19="",R19=""),"",IFERROR(S19/R19-1,""))</f>
        <v/>
      </c>
      <c r="T21" s="17">
        <f>IF(OR(T19="",S19=""),"",IFERROR(T19/S19-1,""))</f>
        <v/>
      </c>
      <c r="U21" s="17">
        <f>IF(OR(U19="",T19=""),"",IFERROR(U19/T19-1,""))</f>
        <v/>
      </c>
      <c r="V21" s="17">
        <f>IF(OR(V19="",U19=""),"",IFERROR(V19/U19-1,""))</f>
        <v/>
      </c>
      <c r="W21" s="17">
        <f>IF(OR(W19="",V19=""),"",IFERROR(W19/V19-1,""))</f>
        <v/>
      </c>
      <c r="X21" s="17">
        <f>IF(OR(X19="",W19=""),"",IFERROR(X19/W19-1,""))</f>
        <v/>
      </c>
      <c r="Y21" s="16">
        <f>IF(OR(Y19="",X19=""),"",IFERROR(Y19/X19-1,""))</f>
        <v/>
      </c>
      <c r="Z21" s="17">
        <f>IF(OR(Z19="",Y19=""),"",IFERROR(Z19/Y19-1,""))</f>
        <v/>
      </c>
      <c r="AA21" s="17">
        <f>IF(OR(AA19="",Z19=""),"",IFERROR(AA19/Z19-1,""))</f>
        <v/>
      </c>
      <c r="AB21" s="17">
        <f>IF(OR(AB19="",AA19=""),"",IFERROR(AB19/AA19-1,""))</f>
        <v/>
      </c>
      <c r="AC21" s="17">
        <f>IF(OR(AC19="",AB19=""),"",IFERROR(AC19/AB19-1,""))</f>
        <v/>
      </c>
    </row>
    <row r="22">
      <c r="A22" s="18" t="inlineStr">
        <is>
          <t>비용의 성격별 분류</t>
        </is>
      </c>
      <c r="B22" s="18" t="inlineStr">
        <is>
          <t>참고 데이터</t>
        </is>
      </c>
      <c r="C22" s="19" t="n"/>
      <c r="D22" s="18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  <c r="O22" s="19" t="n"/>
      <c r="P22" s="18" t="n"/>
      <c r="Q22" s="18" t="n"/>
      <c r="R22" s="18" t="n"/>
      <c r="S22" s="18" t="n"/>
      <c r="T22" s="18" t="n"/>
      <c r="U22" s="18" t="n"/>
      <c r="V22" s="18" t="n"/>
      <c r="W22" s="18" t="n"/>
      <c r="X22" s="18" t="n"/>
      <c r="Y22" s="19" t="n"/>
      <c r="Z22" s="18" t="n"/>
      <c r="AA22" s="18" t="n"/>
      <c r="AB22" s="18" t="n"/>
      <c r="AC22" s="18" t="n"/>
    </row>
    <row r="23">
      <c r="A23" s="9" t="inlineStr">
        <is>
          <t>총 판관비</t>
        </is>
      </c>
      <c r="B23" s="10" t="n"/>
      <c r="C23" s="11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1">
        <f>IF(O17="","",O17)</f>
        <v/>
      </c>
      <c r="P23" s="12">
        <f>IF(P17="","",P17)</f>
        <v/>
      </c>
      <c r="Q23" s="12">
        <f>IF(Q17="","",Q17)</f>
        <v/>
      </c>
      <c r="R23" s="12">
        <f>IF(R17="","",R17)</f>
        <v/>
      </c>
      <c r="S23" s="12">
        <f>IF(S17="","",S17)</f>
        <v/>
      </c>
      <c r="T23" s="12">
        <f>IF(T17="","",T17)</f>
        <v/>
      </c>
      <c r="U23" s="12">
        <f>IF(U17="","",U17)</f>
        <v/>
      </c>
      <c r="V23" s="12">
        <f>IF(V17="","",V17)</f>
        <v/>
      </c>
      <c r="W23" s="12">
        <f>IF(W17="","",W17)</f>
        <v/>
      </c>
      <c r="X23" s="12">
        <f>IF(X17="","",X17)</f>
        <v/>
      </c>
      <c r="Y23" s="11" t="n"/>
      <c r="Z23" s="12" t="n"/>
      <c r="AA23" s="12" t="n"/>
      <c r="AB23" s="12" t="n"/>
      <c r="AC23" s="12" t="n"/>
    </row>
    <row r="24">
      <c r="A24" s="20" t="inlineStr">
        <is>
          <t>급여</t>
        </is>
      </c>
      <c r="B24" s="10" t="inlineStr">
        <is>
          <t>고정비</t>
        </is>
      </c>
      <c r="C24" s="21" t="n"/>
      <c r="D24" s="22" t="n"/>
      <c r="E24" s="22" t="n"/>
      <c r="F24" s="22" t="n"/>
      <c r="G24" s="22" t="n"/>
      <c r="H24" s="22" t="n"/>
      <c r="I24" s="22" t="n"/>
      <c r="J24" s="22" t="n"/>
      <c r="K24" s="22" t="n"/>
      <c r="L24" s="22" t="n"/>
      <c r="M24" s="22" t="n"/>
      <c r="N24" s="22" t="n"/>
      <c r="O24" s="21" t="n"/>
      <c r="P24" s="22" t="n"/>
      <c r="Q24" s="22" t="n"/>
      <c r="R24" s="22" t="n"/>
      <c r="S24" s="22" t="n"/>
      <c r="T24" s="22" t="n"/>
      <c r="U24" s="22" t="n"/>
      <c r="V24" s="22" t="n"/>
      <c r="W24" s="22" t="n"/>
      <c r="X24" s="22" t="n"/>
      <c r="Y24" s="21" t="n"/>
      <c r="Z24" s="22" t="n"/>
      <c r="AA24" s="22" t="n"/>
      <c r="AB24" s="22" t="n"/>
      <c r="AC24" s="22" t="n"/>
    </row>
    <row r="25">
      <c r="A25" s="15" t="inlineStr">
        <is>
          <t>% of Sales</t>
        </is>
      </c>
      <c r="B25" s="10" t="n"/>
      <c r="C25" s="16" t="n"/>
      <c r="D25" s="17" t="n"/>
      <c r="E25" s="17" t="n"/>
      <c r="F25" s="17" t="n"/>
      <c r="G25" s="17" t="n"/>
      <c r="H25" s="17" t="n"/>
      <c r="I25" s="17" t="n"/>
      <c r="J25" s="17" t="n"/>
      <c r="K25" s="17" t="n"/>
      <c r="L25" s="17" t="n"/>
      <c r="M25" s="17" t="n"/>
      <c r="N25" s="17" t="n"/>
      <c r="O25" s="16">
        <f>IF(OR(O24="",O4=""),"",IFERROR(O24/O4,""))</f>
        <v/>
      </c>
      <c r="P25" s="17">
        <f>IF(OR(P24="",P4=""),"",IFERROR(P24/P4,""))</f>
        <v/>
      </c>
      <c r="Q25" s="17">
        <f>IF(OR(Q24="",Q4=""),"",IFERROR(Q24/Q4,""))</f>
        <v/>
      </c>
      <c r="R25" s="17">
        <f>IF(OR(R24="",R4=""),"",IFERROR(R24/R4,""))</f>
        <v/>
      </c>
      <c r="S25" s="17">
        <f>IF(OR(S24="",S4=""),"",IFERROR(S24/S4,""))</f>
        <v/>
      </c>
      <c r="T25" s="17">
        <f>IF(OR(T24="",T4=""),"",IFERROR(T24/T4,""))</f>
        <v/>
      </c>
      <c r="U25" s="17">
        <f>IF(OR(U24="",U4=""),"",IFERROR(U24/U4,""))</f>
        <v/>
      </c>
      <c r="V25" s="17">
        <f>IF(OR(V24="",V4=""),"",IFERROR(V24/V4,""))</f>
        <v/>
      </c>
      <c r="W25" s="17">
        <f>IF(OR(W24="",W4=""),"",IFERROR(W24/W4,""))</f>
        <v/>
      </c>
      <c r="X25" s="17">
        <f>IF(OR(X24="",X4=""),"",IFERROR(X24/X4,""))</f>
        <v/>
      </c>
      <c r="Y25" s="16" t="n"/>
      <c r="Z25" s="17" t="n"/>
      <c r="AA25" s="17" t="n"/>
      <c r="AB25" s="17" t="n"/>
      <c r="AC25" s="17" t="n"/>
    </row>
    <row r="26">
      <c r="A26" s="20" t="inlineStr">
        <is>
          <t>감가상각비</t>
        </is>
      </c>
      <c r="B26" s="10" t="inlineStr">
        <is>
          <t>고정비</t>
        </is>
      </c>
      <c r="C26" s="21" t="n"/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1" t="n"/>
      <c r="P26" s="22" t="n"/>
      <c r="Q26" s="22" t="n"/>
      <c r="R26" s="22" t="n"/>
      <c r="S26" s="22" t="n"/>
      <c r="T26" s="22" t="n"/>
      <c r="U26" s="22" t="n"/>
      <c r="V26" s="22" t="n"/>
      <c r="W26" s="22" t="n"/>
      <c r="X26" s="22" t="n"/>
      <c r="Y26" s="21" t="n"/>
      <c r="Z26" s="22" t="n"/>
      <c r="AA26" s="22" t="n"/>
      <c r="AB26" s="22" t="n"/>
      <c r="AC26" s="22" t="n"/>
    </row>
    <row r="27">
      <c r="A27" s="15" t="inlineStr">
        <is>
          <t>% of Sales</t>
        </is>
      </c>
      <c r="B27" s="10" t="n"/>
      <c r="C27" s="16" t="n"/>
      <c r="D27" s="17" t="n"/>
      <c r="E27" s="17" t="n"/>
      <c r="F27" s="17" t="n"/>
      <c r="G27" s="17" t="n"/>
      <c r="H27" s="17" t="n"/>
      <c r="I27" s="17" t="n"/>
      <c r="J27" s="17" t="n"/>
      <c r="K27" s="17" t="n"/>
      <c r="L27" s="17" t="n"/>
      <c r="M27" s="17" t="n"/>
      <c r="N27" s="17" t="n"/>
      <c r="O27" s="16">
        <f>IF(OR(O26="",O4=""),"",IFERROR(O26/O4,""))</f>
        <v/>
      </c>
      <c r="P27" s="17">
        <f>IF(OR(P26="",P4=""),"",IFERROR(P26/P4,""))</f>
        <v/>
      </c>
      <c r="Q27" s="17">
        <f>IF(OR(Q26="",Q4=""),"",IFERROR(Q26/Q4,""))</f>
        <v/>
      </c>
      <c r="R27" s="17">
        <f>IF(OR(R26="",R4=""),"",IFERROR(R26/R4,""))</f>
        <v/>
      </c>
      <c r="S27" s="17">
        <f>IF(OR(S26="",S4=""),"",IFERROR(S26/S4,""))</f>
        <v/>
      </c>
      <c r="T27" s="17">
        <f>IF(OR(T26="",T4=""),"",IFERROR(T26/T4,""))</f>
        <v/>
      </c>
      <c r="U27" s="17">
        <f>IF(OR(U26="",U4=""),"",IFERROR(U26/U4,""))</f>
        <v/>
      </c>
      <c r="V27" s="17">
        <f>IF(OR(V26="",V4=""),"",IFERROR(V26/V4,""))</f>
        <v/>
      </c>
      <c r="W27" s="17">
        <f>IF(OR(W26="",W4=""),"",IFERROR(W26/W4,""))</f>
        <v/>
      </c>
      <c r="X27" s="17">
        <f>IF(OR(X26="",X4=""),"",IFERROR(X26/X4,""))</f>
        <v/>
      </c>
      <c r="Y27" s="16" t="n"/>
      <c r="Z27" s="17" t="n"/>
      <c r="AA27" s="17" t="n"/>
      <c r="AB27" s="17" t="n"/>
      <c r="AC27" s="17" t="n"/>
    </row>
    <row r="28">
      <c r="A28" s="20" t="inlineStr">
        <is>
          <t>지급수수료</t>
        </is>
      </c>
      <c r="B28" s="10" t="inlineStr">
        <is>
          <t>고정비</t>
        </is>
      </c>
      <c r="C28" s="21" t="n"/>
      <c r="D28" s="22" t="n"/>
      <c r="E28" s="22" t="n"/>
      <c r="F28" s="22" t="n"/>
      <c r="G28" s="22" t="n"/>
      <c r="H28" s="22" t="n"/>
      <c r="I28" s="22" t="n"/>
      <c r="J28" s="22" t="n"/>
      <c r="K28" s="22" t="n"/>
      <c r="L28" s="22" t="n"/>
      <c r="M28" s="22" t="n"/>
      <c r="N28" s="22" t="n"/>
      <c r="O28" s="21" t="n"/>
      <c r="P28" s="22" t="n"/>
      <c r="Q28" s="22" t="n"/>
      <c r="R28" s="22" t="n"/>
      <c r="S28" s="22" t="n"/>
      <c r="T28" s="22" t="n"/>
      <c r="U28" s="22" t="n"/>
      <c r="V28" s="22" t="n"/>
      <c r="W28" s="22" t="n"/>
      <c r="X28" s="22" t="n"/>
      <c r="Y28" s="21" t="n"/>
      <c r="Z28" s="22" t="n"/>
      <c r="AA28" s="22" t="n"/>
      <c r="AB28" s="22" t="n"/>
      <c r="AC28" s="22" t="n"/>
    </row>
    <row r="29">
      <c r="A29" s="15" t="inlineStr">
        <is>
          <t>% of Sales</t>
        </is>
      </c>
      <c r="B29" s="10" t="n"/>
      <c r="C29" s="16" t="n"/>
      <c r="D29" s="17" t="n"/>
      <c r="E29" s="17" t="n"/>
      <c r="F29" s="17" t="n"/>
      <c r="G29" s="17" t="n"/>
      <c r="H29" s="17" t="n"/>
      <c r="I29" s="17" t="n"/>
      <c r="J29" s="17" t="n"/>
      <c r="K29" s="17" t="n"/>
      <c r="L29" s="17" t="n"/>
      <c r="M29" s="17" t="n"/>
      <c r="N29" s="17" t="n"/>
      <c r="O29" s="16">
        <f>IF(OR(O28="",O4=""),"",IFERROR(O28/O4,""))</f>
        <v/>
      </c>
      <c r="P29" s="17">
        <f>IF(OR(P28="",P4=""),"",IFERROR(P28/P4,""))</f>
        <v/>
      </c>
      <c r="Q29" s="17">
        <f>IF(OR(Q28="",Q4=""),"",IFERROR(Q28/Q4,""))</f>
        <v/>
      </c>
      <c r="R29" s="17">
        <f>IF(OR(R28="",R4=""),"",IFERROR(R28/R4,""))</f>
        <v/>
      </c>
      <c r="S29" s="17">
        <f>IF(OR(S28="",S4=""),"",IFERROR(S28/S4,""))</f>
        <v/>
      </c>
      <c r="T29" s="17">
        <f>IF(OR(T28="",T4=""),"",IFERROR(T28/T4,""))</f>
        <v/>
      </c>
      <c r="U29" s="17">
        <f>IF(OR(U28="",U4=""),"",IFERROR(U28/U4,""))</f>
        <v/>
      </c>
      <c r="V29" s="17">
        <f>IF(OR(V28="",V4=""),"",IFERROR(V28/V4,""))</f>
        <v/>
      </c>
      <c r="W29" s="17">
        <f>IF(OR(W28="",W4=""),"",IFERROR(W28/W4,""))</f>
        <v/>
      </c>
      <c r="X29" s="17">
        <f>IF(OR(X28="",X4=""),"",IFERROR(X28/X4,""))</f>
        <v/>
      </c>
      <c r="Y29" s="16" t="n"/>
      <c r="Z29" s="17" t="n"/>
      <c r="AA29" s="17" t="n"/>
      <c r="AB29" s="17" t="n"/>
      <c r="AC29" s="17" t="n"/>
    </row>
    <row r="30">
      <c r="A30" s="20" t="inlineStr">
        <is>
          <t>연구개발비</t>
        </is>
      </c>
      <c r="B30" s="10" t="inlineStr">
        <is>
          <t>변동비</t>
        </is>
      </c>
      <c r="C30" s="21" t="n"/>
      <c r="D30" s="22" t="n"/>
      <c r="E30" s="22" t="n"/>
      <c r="F30" s="22" t="n"/>
      <c r="G30" s="22" t="n"/>
      <c r="H30" s="22" t="n"/>
      <c r="I30" s="22" t="n"/>
      <c r="J30" s="22" t="n"/>
      <c r="K30" s="22" t="n"/>
      <c r="L30" s="22" t="n"/>
      <c r="M30" s="22" t="n"/>
      <c r="N30" s="22" t="n"/>
      <c r="O30" s="21" t="n"/>
      <c r="P30" s="22" t="n"/>
      <c r="Q30" s="22" t="n"/>
      <c r="R30" s="22" t="n"/>
      <c r="S30" s="22" t="n"/>
      <c r="T30" s="22" t="n"/>
      <c r="U30" s="22" t="n"/>
      <c r="V30" s="22" t="n"/>
      <c r="W30" s="22" t="n"/>
      <c r="X30" s="22" t="n"/>
      <c r="Y30" s="21" t="n"/>
      <c r="Z30" s="22" t="n"/>
      <c r="AA30" s="22" t="n"/>
      <c r="AB30" s="22" t="n"/>
      <c r="AC30" s="22" t="n"/>
    </row>
    <row r="31">
      <c r="A31" s="15" t="inlineStr">
        <is>
          <t>% of Sales</t>
        </is>
      </c>
      <c r="B31" s="10" t="n"/>
      <c r="C31" s="16" t="n"/>
      <c r="D31" s="17" t="n"/>
      <c r="E31" s="17" t="n"/>
      <c r="F31" s="17" t="n"/>
      <c r="G31" s="17" t="n"/>
      <c r="H31" s="17" t="n"/>
      <c r="I31" s="17" t="n"/>
      <c r="J31" s="17" t="n"/>
      <c r="K31" s="17" t="n"/>
      <c r="L31" s="17" t="n"/>
      <c r="M31" s="17" t="n"/>
      <c r="N31" s="17" t="n"/>
      <c r="O31" s="16">
        <f>IF(OR(O30="",O4=""),"",IFERROR(O30/O4,""))</f>
        <v/>
      </c>
      <c r="P31" s="17">
        <f>IF(OR(P30="",P4=""),"",IFERROR(P30/P4,""))</f>
        <v/>
      </c>
      <c r="Q31" s="17">
        <f>IF(OR(Q30="",Q4=""),"",IFERROR(Q30/Q4,""))</f>
        <v/>
      </c>
      <c r="R31" s="17">
        <f>IF(OR(R30="",R4=""),"",IFERROR(R30/R4,""))</f>
        <v/>
      </c>
      <c r="S31" s="17">
        <f>IF(OR(S30="",S4=""),"",IFERROR(S30/S4,""))</f>
        <v/>
      </c>
      <c r="T31" s="17">
        <f>IF(OR(T30="",T4=""),"",IFERROR(T30/T4,""))</f>
        <v/>
      </c>
      <c r="U31" s="17">
        <f>IF(OR(U30="",U4=""),"",IFERROR(U30/U4,""))</f>
        <v/>
      </c>
      <c r="V31" s="17">
        <f>IF(OR(V30="",V4=""),"",IFERROR(V30/V4,""))</f>
        <v/>
      </c>
      <c r="W31" s="17">
        <f>IF(OR(W30="",W4=""),"",IFERROR(W30/W4,""))</f>
        <v/>
      </c>
      <c r="X31" s="17">
        <f>IF(OR(X30="",X4=""),"",IFERROR(X30/X4,""))</f>
        <v/>
      </c>
      <c r="Y31" s="16" t="n"/>
      <c r="Z31" s="17" t="n"/>
      <c r="AA31" s="17" t="n"/>
      <c r="AB31" s="17" t="n"/>
      <c r="AC31" s="17" t="n"/>
    </row>
    <row r="32">
      <c r="A32" s="20" t="inlineStr">
        <is>
          <t>기타비용</t>
        </is>
      </c>
      <c r="B32" s="10" t="inlineStr">
        <is>
          <t>변동비</t>
        </is>
      </c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>
        <f>IF(OR(O23="",O24="",O26="",O28="",O30=""),"",IFERROR(O23-O24-O26-O28-O30,""))</f>
        <v/>
      </c>
      <c r="P32" s="22">
        <f>IF(OR(P23="",P24="",P26="",P28="",P30=""),"",IFERROR(P23-P24-P26-P28-P30,""))</f>
        <v/>
      </c>
      <c r="Q32" s="22">
        <f>IF(OR(Q23="",Q24="",Q26="",Q28="",Q30=""),"",IFERROR(Q23-Q24-Q26-Q28-Q30,""))</f>
        <v/>
      </c>
      <c r="R32" s="22">
        <f>IF(OR(R23="",R24="",R26="",R28="",R30=""),"",IFERROR(R23-R24-R26-R28-R30,""))</f>
        <v/>
      </c>
      <c r="S32" s="22">
        <f>IF(OR(S23="",S24="",S26="",S28="",S30=""),"",IFERROR(S23-S24-S26-S28-S30,""))</f>
        <v/>
      </c>
      <c r="T32" s="22">
        <f>IF(OR(T23="",T24="",T26="",T28="",T30=""),"",IFERROR(T23-T24-T26-T28-T30,""))</f>
        <v/>
      </c>
      <c r="U32" s="22">
        <f>IF(OR(U23="",U24="",U26="",U28="",U30=""),"",IFERROR(U23-U24-U26-U28-U30,""))</f>
        <v/>
      </c>
      <c r="V32" s="22">
        <f>IF(OR(V23="",V24="",V26="",V28="",V30=""),"",IFERROR(V23-V24-V26-V28-V30,""))</f>
        <v/>
      </c>
      <c r="W32" s="22">
        <f>IF(OR(W23="",W24="",W26="",W28="",W30=""),"",IFERROR(W23-W24-W26-W28-W30,""))</f>
        <v/>
      </c>
      <c r="X32" s="22">
        <f>IF(OR(X23="",X24="",X26="",X28="",X30=""),"",IFERROR(X23-X24-X26-X28-X30,""))</f>
        <v/>
      </c>
      <c r="Y32" s="21" t="n"/>
      <c r="Z32" s="22" t="n"/>
      <c r="AA32" s="22" t="n"/>
      <c r="AB32" s="22" t="n"/>
      <c r="AC32" s="22" t="n"/>
    </row>
    <row r="33">
      <c r="A33" s="15" t="inlineStr">
        <is>
          <t>% of Sales</t>
        </is>
      </c>
      <c r="B33" s="10" t="n"/>
      <c r="C33" s="16" t="n"/>
      <c r="D33" s="17" t="n"/>
      <c r="E33" s="17" t="n"/>
      <c r="F33" s="17" t="n"/>
      <c r="G33" s="17" t="n"/>
      <c r="H33" s="17" t="n"/>
      <c r="I33" s="17" t="n"/>
      <c r="J33" s="17" t="n"/>
      <c r="K33" s="17" t="n"/>
      <c r="L33" s="17" t="n"/>
      <c r="M33" s="17" t="n"/>
      <c r="N33" s="17" t="n"/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16" t="n"/>
      <c r="Z33" s="17" t="n"/>
      <c r="AA33" s="17" t="n"/>
      <c r="AB33" s="17" t="n"/>
      <c r="AC33" s="17" t="n"/>
    </row>
    <row r="34">
      <c r="A34" s="18" t="inlineStr">
        <is>
          <t>당기순이익 추정</t>
        </is>
      </c>
      <c r="B34" s="18" t="n"/>
      <c r="C34" s="19" t="n"/>
      <c r="D34" s="18" t="n"/>
      <c r="E34" s="18" t="n"/>
      <c r="F34" s="18" t="n"/>
      <c r="G34" s="18" t="n"/>
      <c r="H34" s="18" t="n"/>
      <c r="I34" s="18" t="n"/>
      <c r="J34" s="18" t="n"/>
      <c r="K34" s="18" t="n"/>
      <c r="L34" s="18" t="n"/>
      <c r="M34" s="18" t="n"/>
      <c r="N34" s="18" t="n"/>
      <c r="O34" s="19" t="n"/>
      <c r="P34" s="18" t="n"/>
      <c r="Q34" s="18" t="n"/>
      <c r="R34" s="18" t="n"/>
      <c r="S34" s="18" t="n"/>
      <c r="T34" s="18" t="n"/>
      <c r="U34" s="18" t="n"/>
      <c r="V34" s="18" t="n"/>
      <c r="W34" s="18" t="n"/>
      <c r="X34" s="18" t="n"/>
      <c r="Y34" s="19" t="n"/>
      <c r="Z34" s="18" t="n"/>
      <c r="AA34" s="18" t="n"/>
      <c r="AB34" s="18" t="n"/>
      <c r="AC34" s="18" t="n"/>
    </row>
    <row r="35">
      <c r="A35" s="20" t="inlineStr">
        <is>
          <t>특별이익</t>
        </is>
      </c>
      <c r="B35" s="10" t="n"/>
      <c r="C35" s="21" t="n"/>
      <c r="D35" s="22" t="n"/>
      <c r="E35" s="22" t="n"/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23.736</v>
      </c>
      <c r="K35" s="22" t="n">
        <v>1.08</v>
      </c>
      <c r="L35" s="22" t="n">
        <v>0</v>
      </c>
      <c r="M35" s="22" t="n">
        <v>0</v>
      </c>
      <c r="N35" s="22" t="n">
        <v>0</v>
      </c>
      <c r="O35" s="21" t="n"/>
      <c r="P35" s="22" t="n"/>
      <c r="Q35" s="22" t="n"/>
      <c r="R35" s="22" t="n"/>
      <c r="S35" s="22" t="n"/>
      <c r="T35" s="22" t="n"/>
      <c r="U35" s="22" t="n"/>
      <c r="V35" s="22" t="n">
        <v>29.3</v>
      </c>
      <c r="W35" s="22" t="n">
        <v>23.736</v>
      </c>
      <c r="X35" s="22" t="n">
        <v>1.08</v>
      </c>
      <c r="Y35" s="21">
        <f>IF(OR(Y4="",Y36=""),"",IFERROR(Y4*Y36,""))</f>
        <v/>
      </c>
      <c r="Z35" s="22">
        <f>IF(OR(Z4="",Z36=""),"",IFERROR(Z4*Z36,""))</f>
        <v/>
      </c>
      <c r="AA35" s="22">
        <f>IF(OR(AA4="",AA36=""),"",IFERROR(AA4*AA36,""))</f>
        <v/>
      </c>
      <c r="AB35" s="22">
        <f>IF(OR(AB4="",AB36=""),"",IFERROR(AB4*AB36,""))</f>
        <v/>
      </c>
      <c r="AC35" s="22">
        <f>IF(OR(AC4="",AC36=""),"",IFERROR(AC4*AC36,""))</f>
        <v/>
      </c>
    </row>
    <row r="36">
      <c r="A36" s="15" t="inlineStr">
        <is>
          <t>% of Sales</t>
        </is>
      </c>
      <c r="B36" s="10" t="inlineStr">
        <is>
          <t>MW = 최근 3년 평균</t>
        </is>
      </c>
      <c r="C36" s="16">
        <f>IF(OR(C35="",C4=""),"",IFERROR(C35/C4,""))</f>
        <v/>
      </c>
      <c r="D36" s="17">
        <f>IF(OR(D35="",D4=""),"",IFERROR(D35/D4,""))</f>
        <v/>
      </c>
      <c r="E36" s="17">
        <f>IF(OR(E35="",E4=""),"",IFERROR(E35/E4,""))</f>
        <v/>
      </c>
      <c r="F36" s="17">
        <f>IF(OR(F35="",F4=""),"",IFERROR(F35/F4,""))</f>
        <v/>
      </c>
      <c r="G36" s="17">
        <f>IF(OR(G35="",G4=""),"",IFERROR(G35/G4,""))</f>
        <v/>
      </c>
      <c r="H36" s="17">
        <f>IF(OR(H35="",H4=""),"",IFERROR(H35/H4,""))</f>
        <v/>
      </c>
      <c r="I36" s="17">
        <f>IF(OR(I35="",I4=""),"",IFERROR(I35/I4,""))</f>
        <v/>
      </c>
      <c r="J36" s="17">
        <f>IF(OR(J35="",J4=""),"",IFERROR(J35/J4,""))</f>
        <v/>
      </c>
      <c r="K36" s="17">
        <f>IF(OR(K35="",K4=""),"",IFERROR(K35/K4,""))</f>
        <v/>
      </c>
      <c r="L36" s="17">
        <f>IF(OR(L35="",L4=""),"",IFERROR(L35/L4,""))</f>
        <v/>
      </c>
      <c r="M36" s="17">
        <f>IF(OR(M35="",M4=""),"",IFERROR(M35/M4,""))</f>
        <v/>
      </c>
      <c r="N36" s="17">
        <f>IF(OR(N35="",N4=""),"",IFERROR(N35/N4,""))</f>
        <v/>
      </c>
      <c r="O36" s="16">
        <f>IF(OR(O35="",O4=""),"",IFERROR(O35/O4,""))</f>
        <v/>
      </c>
      <c r="P36" s="17">
        <f>IF(OR(P35="",P4=""),"",IFERROR(P35/P4,""))</f>
        <v/>
      </c>
      <c r="Q36" s="17">
        <f>IF(OR(Q35="",Q4=""),"",IFERROR(Q35/Q4,""))</f>
        <v/>
      </c>
      <c r="R36" s="17">
        <f>IF(OR(R35="",R4=""),"",IFERROR(R35/R4,""))</f>
        <v/>
      </c>
      <c r="S36" s="17">
        <f>IF(OR(S35="",S4=""),"",IFERROR(S35/S4,""))</f>
        <v/>
      </c>
      <c r="T36" s="17">
        <f>IF(OR(T35="",T4=""),"",IFERROR(T35/T4,""))</f>
        <v/>
      </c>
      <c r="U36" s="17">
        <f>IF(OR(U35="",U4=""),"",IFERROR(U35/U4,""))</f>
        <v/>
      </c>
      <c r="V36" s="17">
        <f>IF(OR(V35="",V4=""),"",IFERROR(V35/V4,""))</f>
        <v/>
      </c>
      <c r="W36" s="17">
        <f>IF(OR(W35="",W4=""),"",IFERROR(W35/W4,""))</f>
        <v/>
      </c>
      <c r="X36" s="17">
        <f>IF(OR(X35="",X4=""),"",IFERROR(X35/X4,""))</f>
        <v/>
      </c>
      <c r="Y36" s="27">
        <f>IFERROR(AVERAGE(V36,W36,X36),"")</f>
        <v/>
      </c>
      <c r="Z36" s="28">
        <f>Y36</f>
        <v/>
      </c>
      <c r="AA36" s="28">
        <f>Z36</f>
        <v/>
      </c>
      <c r="AB36" s="28">
        <f>AA36</f>
        <v/>
      </c>
      <c r="AC36" s="28">
        <f>AB36</f>
        <v/>
      </c>
    </row>
    <row r="37">
      <c r="A37" s="20" t="inlineStr">
        <is>
          <t>특별손실</t>
        </is>
      </c>
      <c r="B37" s="10" t="n"/>
      <c r="C37" s="21" t="n"/>
      <c r="D37" s="22" t="n"/>
      <c r="E37" s="22" t="n"/>
      <c r="F37" s="22" t="n">
        <v>0</v>
      </c>
      <c r="G37" s="22" t="n"/>
      <c r="H37" s="22" t="n"/>
      <c r="I37" s="22" t="n"/>
      <c r="J37" s="22" t="n">
        <v>0</v>
      </c>
      <c r="K37" s="22" t="n"/>
      <c r="L37" s="22" t="n"/>
      <c r="M37" s="22" t="n"/>
      <c r="N37" s="22" t="n"/>
      <c r="O37" s="21" t="n"/>
      <c r="P37" s="22" t="n"/>
      <c r="Q37" s="22" t="n"/>
      <c r="R37" s="22" t="n"/>
      <c r="S37" s="22" t="n"/>
      <c r="T37" s="22" t="n"/>
      <c r="U37" s="22" t="n"/>
      <c r="V37" s="22" t="n">
        <v>16.939</v>
      </c>
      <c r="W37" s="22" t="n">
        <v>0</v>
      </c>
      <c r="X37" s="22" t="n"/>
      <c r="Y37" s="21">
        <f>IF(OR(Y4="",Y38=""),"",IFERROR(Y4*Y38,""))</f>
        <v/>
      </c>
      <c r="Z37" s="22">
        <f>IF(OR(Z4="",Z38=""),"",IFERROR(Z4*Z38,""))</f>
        <v/>
      </c>
      <c r="AA37" s="22">
        <f>IF(OR(AA4="",AA38=""),"",IFERROR(AA4*AA38,""))</f>
        <v/>
      </c>
      <c r="AB37" s="22">
        <f>IF(OR(AB4="",AB38=""),"",IFERROR(AB4*AB38,""))</f>
        <v/>
      </c>
      <c r="AC37" s="22">
        <f>IF(OR(AC4="",AC38=""),"",IFERROR(AC4*AC38,""))</f>
        <v/>
      </c>
    </row>
    <row r="38">
      <c r="A38" s="15" t="inlineStr">
        <is>
          <t>% of Sales</t>
        </is>
      </c>
      <c r="B38" s="10" t="n"/>
      <c r="C38" s="16">
        <f>IF(OR(C37="",C4=""),"",IFERROR(C37/C4,""))</f>
        <v/>
      </c>
      <c r="D38" s="17">
        <f>IF(OR(D37="",D4=""),"",IFERROR(D37/D4,""))</f>
        <v/>
      </c>
      <c r="E38" s="17">
        <f>IF(OR(E37="",E4=""),"",IFERROR(E37/E4,""))</f>
        <v/>
      </c>
      <c r="F38" s="17">
        <f>IF(OR(F37="",F4=""),"",IFERROR(F37/F4,""))</f>
        <v/>
      </c>
      <c r="G38" s="17">
        <f>IF(OR(G37="",G4=""),"",IFERROR(G37/G4,""))</f>
        <v/>
      </c>
      <c r="H38" s="17">
        <f>IF(OR(H37="",H4=""),"",IFERROR(H37/H4,""))</f>
        <v/>
      </c>
      <c r="I38" s="17">
        <f>IF(OR(I37="",I4=""),"",IFERROR(I37/I4,""))</f>
        <v/>
      </c>
      <c r="J38" s="17">
        <f>IF(OR(J37="",J4=""),"",IFERROR(J37/J4,""))</f>
        <v/>
      </c>
      <c r="K38" s="17">
        <f>IF(OR(K37="",K4=""),"",IFERROR(K37/K4,""))</f>
        <v/>
      </c>
      <c r="L38" s="17">
        <f>IF(OR(L37="",L4=""),"",IFERROR(L37/L4,""))</f>
        <v/>
      </c>
      <c r="M38" s="17">
        <f>IF(OR(M37="",M4=""),"",IFERROR(M37/M4,""))</f>
        <v/>
      </c>
      <c r="N38" s="17">
        <f>IF(OR(N37="",N4=""),"",IFERROR(N37/N4,""))</f>
        <v/>
      </c>
      <c r="O38" s="16">
        <f>IF(OR(O37="",O4=""),"",IFERROR(O37/O4,""))</f>
        <v/>
      </c>
      <c r="P38" s="17">
        <f>IF(OR(P37="",P4=""),"",IFERROR(P37/P4,""))</f>
        <v/>
      </c>
      <c r="Q38" s="17">
        <f>IF(OR(Q37="",Q4=""),"",IFERROR(Q37/Q4,""))</f>
        <v/>
      </c>
      <c r="R38" s="17">
        <f>IF(OR(R37="",R4=""),"",IFERROR(R37/R4,""))</f>
        <v/>
      </c>
      <c r="S38" s="17">
        <f>IF(OR(S37="",S4=""),"",IFERROR(S37/S4,""))</f>
        <v/>
      </c>
      <c r="T38" s="17">
        <f>IF(OR(T37="",T4=""),"",IFERROR(T37/T4,""))</f>
        <v/>
      </c>
      <c r="U38" s="17">
        <f>IF(OR(U37="",U4=""),"",IFERROR(U37/U4,""))</f>
        <v/>
      </c>
      <c r="V38" s="17">
        <f>IF(OR(V37="",V4=""),"",IFERROR(V37/V4,""))</f>
        <v/>
      </c>
      <c r="W38" s="17">
        <f>IF(OR(W37="",W4=""),"",IFERROR(W37/W4,""))</f>
        <v/>
      </c>
      <c r="X38" s="17">
        <f>IF(OR(X37="",X4=""),"",IFERROR(X37/X4,""))</f>
        <v/>
      </c>
      <c r="Y38" s="27">
        <f>IFERROR(AVERAGE(V38,W38,X38),"")</f>
        <v/>
      </c>
      <c r="Z38" s="28">
        <f>Y38</f>
        <v/>
      </c>
      <c r="AA38" s="28">
        <f>Z38</f>
        <v/>
      </c>
      <c r="AB38" s="28">
        <f>AA38</f>
        <v/>
      </c>
      <c r="AC38" s="28">
        <f>AB38</f>
        <v/>
      </c>
    </row>
    <row r="39">
      <c r="A39" s="20" t="inlineStr">
        <is>
          <t>영업외수익</t>
        </is>
      </c>
      <c r="B39" s="10" t="n"/>
      <c r="C39" s="21" t="n"/>
      <c r="D39" s="22" t="n"/>
      <c r="E39" s="22" t="n"/>
      <c r="F39" s="22" t="n">
        <v>-0.169</v>
      </c>
      <c r="G39" s="22" t="n">
        <v>0.514</v>
      </c>
      <c r="H39" s="22" t="n">
        <v>0.63</v>
      </c>
      <c r="I39" s="22" t="n">
        <v>0.31</v>
      </c>
      <c r="J39" s="22" t="n">
        <v>2.3</v>
      </c>
      <c r="K39" s="22" t="n">
        <v>0.696</v>
      </c>
      <c r="L39" s="22" t="n">
        <v>3.092</v>
      </c>
      <c r="M39" s="22" t="n">
        <v>0.789</v>
      </c>
      <c r="N39" s="22" t="n">
        <v>4.24</v>
      </c>
      <c r="O39" s="21" t="n"/>
      <c r="P39" s="22" t="n"/>
      <c r="Q39" s="22" t="n"/>
      <c r="R39" s="22" t="n"/>
      <c r="S39" s="22" t="n"/>
      <c r="T39" s="22" t="n"/>
      <c r="U39" s="22" t="n"/>
      <c r="V39" s="22" t="n">
        <v>0.992</v>
      </c>
      <c r="W39" s="22" t="n">
        <v>3.754</v>
      </c>
      <c r="X39" s="22" t="n">
        <v>8.817</v>
      </c>
      <c r="Y39" s="21">
        <f>IF(OR(Y4="",Y40=""),"",IFERROR(Y4*Y40,""))</f>
        <v/>
      </c>
      <c r="Z39" s="22">
        <f>IF(OR(Z4="",Z40=""),"",IFERROR(Z4*Z40,""))</f>
        <v/>
      </c>
      <c r="AA39" s="22">
        <f>IF(OR(AA4="",AA40=""),"",IFERROR(AA4*AA40,""))</f>
        <v/>
      </c>
      <c r="AB39" s="22">
        <f>IF(OR(AB4="",AB40=""),"",IFERROR(AB4*AB40,""))</f>
        <v/>
      </c>
      <c r="AC39" s="22">
        <f>IF(OR(AC4="",AC40=""),"",IFERROR(AC4*AC40,""))</f>
        <v/>
      </c>
    </row>
    <row r="40">
      <c r="A40" s="15" t="inlineStr">
        <is>
          <t>% of Sales</t>
        </is>
      </c>
      <c r="B40" s="10" t="n"/>
      <c r="C40" s="16">
        <f>IF(OR(C39="",C4=""),"",IFERROR(C39/C4,""))</f>
        <v/>
      </c>
      <c r="D40" s="17">
        <f>IF(OR(D39="",D4=""),"",IFERROR(D39/D4,""))</f>
        <v/>
      </c>
      <c r="E40" s="17">
        <f>IF(OR(E39="",E4=""),"",IFERROR(E39/E4,""))</f>
        <v/>
      </c>
      <c r="F40" s="17">
        <f>IF(OR(F39="",F4=""),"",IFERROR(F39/F4,""))</f>
        <v/>
      </c>
      <c r="G40" s="17">
        <f>IF(OR(G39="",G4=""),"",IFERROR(G39/G4,""))</f>
        <v/>
      </c>
      <c r="H40" s="17">
        <f>IF(OR(H39="",H4=""),"",IFERROR(H39/H4,""))</f>
        <v/>
      </c>
      <c r="I40" s="17">
        <f>IF(OR(I39="",I4=""),"",IFERROR(I39/I4,""))</f>
        <v/>
      </c>
      <c r="J40" s="17">
        <f>IF(OR(J39="",J4=""),"",IFERROR(J39/J4,""))</f>
        <v/>
      </c>
      <c r="K40" s="17">
        <f>IF(OR(K39="",K4=""),"",IFERROR(K39/K4,""))</f>
        <v/>
      </c>
      <c r="L40" s="17">
        <f>IF(OR(L39="",L4=""),"",IFERROR(L39/L4,""))</f>
        <v/>
      </c>
      <c r="M40" s="17">
        <f>IF(OR(M39="",M4=""),"",IFERROR(M39/M4,""))</f>
        <v/>
      </c>
      <c r="N40" s="17">
        <f>IF(OR(N39="",N4=""),"",IFERROR(N39/N4,""))</f>
        <v/>
      </c>
      <c r="O40" s="16">
        <f>IF(OR(O39="",O4=""),"",IFERROR(O39/O4,""))</f>
        <v/>
      </c>
      <c r="P40" s="17">
        <f>IF(OR(P39="",P4=""),"",IFERROR(P39/P4,""))</f>
        <v/>
      </c>
      <c r="Q40" s="17">
        <f>IF(OR(Q39="",Q4=""),"",IFERROR(Q39/Q4,""))</f>
        <v/>
      </c>
      <c r="R40" s="17">
        <f>IF(OR(R39="",R4=""),"",IFERROR(R39/R4,""))</f>
        <v/>
      </c>
      <c r="S40" s="17">
        <f>IF(OR(S39="",S4=""),"",IFERROR(S39/S4,""))</f>
        <v/>
      </c>
      <c r="T40" s="17">
        <f>IF(OR(T39="",T4=""),"",IFERROR(T39/T4,""))</f>
        <v/>
      </c>
      <c r="U40" s="17">
        <f>IF(OR(U39="",U4=""),"",IFERROR(U39/U4,""))</f>
        <v/>
      </c>
      <c r="V40" s="17">
        <f>IF(OR(V39="",V4=""),"",IFERROR(V39/V4,""))</f>
        <v/>
      </c>
      <c r="W40" s="17">
        <f>IF(OR(W39="",W4=""),"",IFERROR(W39/W4,""))</f>
        <v/>
      </c>
      <c r="X40" s="17">
        <f>IF(OR(X39="",X4=""),"",IFERROR(X39/X4,""))</f>
        <v/>
      </c>
      <c r="Y40" s="27">
        <f>IFERROR(AVERAGE(V40,W40,X40),"")</f>
        <v/>
      </c>
      <c r="Z40" s="28">
        <f>Y40</f>
        <v/>
      </c>
      <c r="AA40" s="28">
        <f>Z40</f>
        <v/>
      </c>
      <c r="AB40" s="28">
        <f>AA40</f>
        <v/>
      </c>
      <c r="AC40" s="28">
        <f>AB40</f>
        <v/>
      </c>
    </row>
    <row r="41">
      <c r="A41" s="20" t="inlineStr">
        <is>
          <t>영업외비용</t>
        </is>
      </c>
      <c r="B41" s="10" t="n"/>
      <c r="C41" s="21" t="n"/>
      <c r="D41" s="22" t="n"/>
      <c r="E41" s="22" t="n"/>
      <c r="F41" s="22" t="n">
        <v>3.03</v>
      </c>
      <c r="G41" s="22" t="n">
        <v>16.354</v>
      </c>
      <c r="H41" s="22" t="n">
        <v>1.303</v>
      </c>
      <c r="I41" s="22" t="n">
        <v>0.12</v>
      </c>
      <c r="J41" s="22" t="n">
        <v>0.375</v>
      </c>
      <c r="K41" s="22" t="n">
        <v>41.408</v>
      </c>
      <c r="L41" s="22" t="n">
        <v>13.506</v>
      </c>
      <c r="M41" s="22" t="n">
        <v>28.194</v>
      </c>
      <c r="N41" s="22" t="n">
        <v>12.438</v>
      </c>
      <c r="O41" s="21" t="n"/>
      <c r="P41" s="22" t="n"/>
      <c r="Q41" s="22" t="n"/>
      <c r="R41" s="22" t="n"/>
      <c r="S41" s="22" t="n"/>
      <c r="T41" s="22" t="n"/>
      <c r="U41" s="22" t="n"/>
      <c r="V41" s="22" t="n">
        <v>5.537</v>
      </c>
      <c r="W41" s="22" t="n">
        <v>18.152</v>
      </c>
      <c r="X41" s="22" t="n">
        <v>95.54600000000001</v>
      </c>
      <c r="Y41" s="21">
        <f>IF(OR(Y4="",Y42=""),"",IFERROR(Y4*Y42,""))</f>
        <v/>
      </c>
      <c r="Z41" s="22">
        <f>IF(OR(Z4="",Z42=""),"",IFERROR(Z4*Z42,""))</f>
        <v/>
      </c>
      <c r="AA41" s="22">
        <f>IF(OR(AA4="",AA42=""),"",IFERROR(AA4*AA42,""))</f>
        <v/>
      </c>
      <c r="AB41" s="22">
        <f>IF(OR(AB4="",AB42=""),"",IFERROR(AB4*AB42,""))</f>
        <v/>
      </c>
      <c r="AC41" s="22">
        <f>IF(OR(AC4="",AC42=""),"",IFERROR(AC4*AC42,""))</f>
        <v/>
      </c>
    </row>
    <row r="42">
      <c r="A42" s="15" t="inlineStr">
        <is>
          <t>% of Sales</t>
        </is>
      </c>
      <c r="B42" s="10" t="n"/>
      <c r="C42" s="16">
        <f>IF(OR(C41="",C4=""),"",IFERROR(C41/C4,""))</f>
        <v/>
      </c>
      <c r="D42" s="17">
        <f>IF(OR(D41="",D4=""),"",IFERROR(D41/D4,""))</f>
        <v/>
      </c>
      <c r="E42" s="17">
        <f>IF(OR(E41="",E4=""),"",IFERROR(E41/E4,""))</f>
        <v/>
      </c>
      <c r="F42" s="17">
        <f>IF(OR(F41="",F4=""),"",IFERROR(F41/F4,""))</f>
        <v/>
      </c>
      <c r="G42" s="17">
        <f>IF(OR(G41="",G4=""),"",IFERROR(G41/G4,""))</f>
        <v/>
      </c>
      <c r="H42" s="17">
        <f>IF(OR(H41="",H4=""),"",IFERROR(H41/H4,""))</f>
        <v/>
      </c>
      <c r="I42" s="17">
        <f>IF(OR(I41="",I4=""),"",IFERROR(I41/I4,""))</f>
        <v/>
      </c>
      <c r="J42" s="17">
        <f>IF(OR(J41="",J4=""),"",IFERROR(J41/J4,""))</f>
        <v/>
      </c>
      <c r="K42" s="17">
        <f>IF(OR(K41="",K4=""),"",IFERROR(K41/K4,""))</f>
        <v/>
      </c>
      <c r="L42" s="17">
        <f>IF(OR(L41="",L4=""),"",IFERROR(L41/L4,""))</f>
        <v/>
      </c>
      <c r="M42" s="17">
        <f>IF(OR(M41="",M4=""),"",IFERROR(M41/M4,""))</f>
        <v/>
      </c>
      <c r="N42" s="17">
        <f>IF(OR(N41="",N4=""),"",IFERROR(N41/N4,""))</f>
        <v/>
      </c>
      <c r="O42" s="16">
        <f>IF(OR(O41="",O4=""),"",IFERROR(O41/O4,""))</f>
        <v/>
      </c>
      <c r="P42" s="17">
        <f>IF(OR(P41="",P4=""),"",IFERROR(P41/P4,""))</f>
        <v/>
      </c>
      <c r="Q42" s="17">
        <f>IF(OR(Q41="",Q4=""),"",IFERROR(Q41/Q4,""))</f>
        <v/>
      </c>
      <c r="R42" s="17">
        <f>IF(OR(R41="",R4=""),"",IFERROR(R41/R4,""))</f>
        <v/>
      </c>
      <c r="S42" s="17">
        <f>IF(OR(S41="",S4=""),"",IFERROR(S41/S4,""))</f>
        <v/>
      </c>
      <c r="T42" s="17">
        <f>IF(OR(T41="",T4=""),"",IFERROR(T41/T4,""))</f>
        <v/>
      </c>
      <c r="U42" s="17">
        <f>IF(OR(U41="",U4=""),"",IFERROR(U41/U4,""))</f>
        <v/>
      </c>
      <c r="V42" s="17">
        <f>IF(OR(V41="",V4=""),"",IFERROR(V41/V4,""))</f>
        <v/>
      </c>
      <c r="W42" s="17">
        <f>IF(OR(W41="",W4=""),"",IFERROR(W41/W4,""))</f>
        <v/>
      </c>
      <c r="X42" s="17">
        <f>IF(OR(X41="",X4=""),"",IFERROR(X41/X4,""))</f>
        <v/>
      </c>
      <c r="Y42" s="27">
        <f>IFERROR(AVERAGE(V42,W42,X42),"")</f>
        <v/>
      </c>
      <c r="Z42" s="28">
        <f>Y42</f>
        <v/>
      </c>
      <c r="AA42" s="28">
        <f>Z42</f>
        <v/>
      </c>
      <c r="AB42" s="28">
        <f>AA42</f>
        <v/>
      </c>
      <c r="AC42" s="28">
        <f>AB42</f>
        <v/>
      </c>
    </row>
    <row r="43">
      <c r="A43" s="9" t="inlineStr">
        <is>
          <t>법인세비용차감전순이익(손실)</t>
        </is>
      </c>
      <c r="B43" s="10" t="n"/>
      <c r="C43" s="11" t="n"/>
      <c r="D43" s="12" t="n"/>
      <c r="E43" s="12" t="n"/>
      <c r="F43" s="12" t="n">
        <v>-12.923</v>
      </c>
      <c r="G43" s="12" t="n">
        <v>291.27</v>
      </c>
      <c r="H43" s="12" t="n">
        <v>219.989</v>
      </c>
      <c r="I43" s="12" t="n">
        <v>10.71</v>
      </c>
      <c r="J43" s="12" t="n">
        <v>100.368</v>
      </c>
      <c r="K43" s="12" t="n">
        <v>203.71</v>
      </c>
      <c r="L43" s="12" t="n">
        <v>-95.849</v>
      </c>
      <c r="M43" s="12" t="n">
        <v>424.183</v>
      </c>
      <c r="N43" s="12" t="n">
        <v>526.6849999999999</v>
      </c>
      <c r="O43" s="11" t="n"/>
      <c r="P43" s="12" t="n"/>
      <c r="Q43" s="12" t="n"/>
      <c r="R43" s="12" t="n"/>
      <c r="S43" s="12" t="n"/>
      <c r="T43" s="12" t="n"/>
      <c r="U43" s="12" t="n"/>
      <c r="V43" s="12" t="n">
        <v>428.77</v>
      </c>
      <c r="W43" s="12" t="n">
        <v>622.337</v>
      </c>
      <c r="X43" s="12" t="n">
        <v>1058.729</v>
      </c>
      <c r="Y43" s="11">
        <f>IF(OR(Y19=""),"",IFERROR(Y19+N(Y35)-N(Y37)+N(Y39)-N(Y41),""))</f>
        <v/>
      </c>
      <c r="Z43" s="12">
        <f>IF(OR(Z19=""),"",IFERROR(Z19+N(Z35)-N(Z37)+N(Z39)-N(Z41),""))</f>
        <v/>
      </c>
      <c r="AA43" s="12">
        <f>IF(OR(AA19=""),"",IFERROR(AA19+N(AA35)-N(AA37)+N(AA39)-N(AA41),""))</f>
        <v/>
      </c>
      <c r="AB43" s="12">
        <f>IF(OR(AB19=""),"",IFERROR(AB19+N(AB35)-N(AB37)+N(AB39)-N(AB41),""))</f>
        <v/>
      </c>
      <c r="AC43" s="12">
        <f>IF(OR(AC19=""),"",IFERROR(AC19+N(AC35)-N(AC37)+N(AC39)-N(AC41),""))</f>
        <v/>
      </c>
    </row>
    <row r="44">
      <c r="A44" s="15" t="inlineStr">
        <is>
          <t>YoY</t>
        </is>
      </c>
      <c r="B44" s="10" t="n"/>
      <c r="C44" s="16" t="n"/>
      <c r="D44" s="17" t="n"/>
      <c r="E44" s="17" t="n"/>
      <c r="F44" s="17" t="n"/>
      <c r="G44" s="17">
        <f>IF(OR(G43="",C43=""),"",IF(C43&lt;=0,"",IFERROR(G43/C43-1,"")))</f>
        <v/>
      </c>
      <c r="H44" s="17">
        <f>IF(OR(H43="",D43=""),"",IF(D43&lt;=0,"",IFERROR(H43/D43-1,"")))</f>
        <v/>
      </c>
      <c r="I44" s="17">
        <f>IF(OR(I43="",E43=""),"",IF(E43&lt;=0,"",IFERROR(I43/E43-1,"")))</f>
        <v/>
      </c>
      <c r="J44" s="17">
        <f>IF(OR(J43="",F43=""),"",IF(F43&lt;=0,"",IFERROR(J43/F43-1,"")))</f>
        <v/>
      </c>
      <c r="K44" s="17">
        <f>IF(OR(K43="",G43=""),"",IF(G43&lt;=0,"",IFERROR(K43/G43-1,"")))</f>
        <v/>
      </c>
      <c r="L44" s="17">
        <f>IF(OR(L43="",H43=""),"",IF(H43&lt;=0,"",IFERROR(L43/H43-1,"")))</f>
        <v/>
      </c>
      <c r="M44" s="17">
        <f>IF(OR(M43="",I43=""),"",IF(I43&lt;=0,"",IFERROR(M43/I43-1,"")))</f>
        <v/>
      </c>
      <c r="N44" s="17">
        <f>IF(OR(N43="",J43=""),"",IF(J43&lt;=0,"",IFERROR(N43/J43-1,"")))</f>
        <v/>
      </c>
      <c r="O44" s="16" t="n"/>
      <c r="P44" s="17">
        <f>IF(OR(P43="",O43=""),"",IF(O43&lt;=0,"",IFERROR(P43/O43-1,"")))</f>
        <v/>
      </c>
      <c r="Q44" s="17">
        <f>IF(OR(Q43="",P43=""),"",IF(P43&lt;=0,"",IFERROR(Q43/P43-1,"")))</f>
        <v/>
      </c>
      <c r="R44" s="17">
        <f>IF(OR(R43="",Q43=""),"",IF(Q43&lt;=0,"",IFERROR(R43/Q43-1,"")))</f>
        <v/>
      </c>
      <c r="S44" s="17">
        <f>IF(OR(S43="",R43=""),"",IF(R43&lt;=0,"",IFERROR(S43/R43-1,"")))</f>
        <v/>
      </c>
      <c r="T44" s="17">
        <f>IF(OR(T43="",S43=""),"",IF(S43&lt;=0,"",IFERROR(T43/S43-1,"")))</f>
        <v/>
      </c>
      <c r="U44" s="17">
        <f>IF(OR(U43="",T43=""),"",IF(T43&lt;=0,"",IFERROR(U43/T43-1,"")))</f>
        <v/>
      </c>
      <c r="V44" s="17">
        <f>IF(OR(V43="",U43=""),"",IF(U43&lt;=0,"",IFERROR(V43/U43-1,"")))</f>
        <v/>
      </c>
      <c r="W44" s="17">
        <f>IF(OR(W43="",V43=""),"",IF(V43&lt;=0,"",IFERROR(W43/V43-1,"")))</f>
        <v/>
      </c>
      <c r="X44" s="17">
        <f>IF(OR(X43="",W43=""),"",IF(W43&lt;=0,"",IFERROR(X43/W43-1,"")))</f>
        <v/>
      </c>
      <c r="Y44" s="16">
        <f>IF(OR(Y43="",X43=""),"",IF(X43&lt;=0,"",IFERROR(Y43/X43-1,"")))</f>
        <v/>
      </c>
      <c r="Z44" s="17">
        <f>IF(OR(Z43="",Y43=""),"",IF(Y43&lt;=0,"",IFERROR(Z43/Y43-1,"")))</f>
        <v/>
      </c>
      <c r="AA44" s="17">
        <f>IF(OR(AA43="",Z43=""),"",IF(Z43&lt;=0,"",IFERROR(AA43/Z43-1,"")))</f>
        <v/>
      </c>
      <c r="AB44" s="17">
        <f>IF(OR(AB43="",AA43=""),"",IF(AA43&lt;=0,"",IFERROR(AB43/AA43-1,"")))</f>
        <v/>
      </c>
      <c r="AC44" s="17">
        <f>IF(OR(AC43="",AB43=""),"",IF(AB43&lt;=0,"",IFERROR(AC43/AB43-1,"")))</f>
        <v/>
      </c>
    </row>
    <row r="45">
      <c r="A45" s="20" t="inlineStr">
        <is>
          <t>법인세비용(수익)</t>
        </is>
      </c>
      <c r="B45" s="10" t="n"/>
      <c r="C45" s="21" t="n"/>
      <c r="D45" s="22" t="n"/>
      <c r="E45" s="22" t="n"/>
      <c r="F45" s="22" t="n">
        <v>-17.858</v>
      </c>
      <c r="G45" s="22" t="n">
        <v>90.913</v>
      </c>
      <c r="H45" s="22" t="n">
        <v>69.94199999999999</v>
      </c>
      <c r="I45" s="22" t="n">
        <v>3.436</v>
      </c>
      <c r="J45" s="22" t="n">
        <v>12.336</v>
      </c>
      <c r="K45" s="22" t="n">
        <v>63.052</v>
      </c>
      <c r="L45" s="22" t="n">
        <v>-27.973</v>
      </c>
      <c r="M45" s="22" t="n">
        <v>130.281</v>
      </c>
      <c r="N45" s="22" t="n">
        <v>150.11</v>
      </c>
      <c r="O45" s="21" t="n"/>
      <c r="P45" s="22" t="n"/>
      <c r="Q45" s="22" t="n"/>
      <c r="R45" s="22" t="n"/>
      <c r="S45" s="22" t="n"/>
      <c r="T45" s="22" t="n"/>
      <c r="U45" s="22" t="n"/>
      <c r="V45" s="22" t="n">
        <v>140.292</v>
      </c>
      <c r="W45" s="22" t="n">
        <v>176.627</v>
      </c>
      <c r="X45" s="22" t="n">
        <v>315.47</v>
      </c>
      <c r="Y45" s="21">
        <f>IF(OR(Y43="",Y46=""),"",IFERROR(MAX(Y43,0)*Y46,""))</f>
        <v/>
      </c>
      <c r="Z45" s="22">
        <f>IF(OR(Z43="",Z46=""),"",IFERROR(MAX(Z43,0)*Z46,""))</f>
        <v/>
      </c>
      <c r="AA45" s="22">
        <f>IF(OR(AA43="",AA46=""),"",IFERROR(MAX(AA43,0)*AA46,""))</f>
        <v/>
      </c>
      <c r="AB45" s="22">
        <f>IF(OR(AB43="",AB46=""),"",IFERROR(MAX(AB43,0)*AB46,""))</f>
        <v/>
      </c>
      <c r="AC45" s="22">
        <f>IF(OR(AC43="",AC46=""),"",IFERROR(MAX(AC43,0)*AC46,""))</f>
        <v/>
      </c>
    </row>
    <row r="46">
      <c r="A46" s="15" t="inlineStr">
        <is>
          <t>법인세율</t>
        </is>
      </c>
      <c r="B46" s="10" t="inlineStr">
        <is>
          <t>MW 기본 30%</t>
        </is>
      </c>
      <c r="C46" s="16">
        <f>IF(OR(C45="",C43=""),"",IFERROR(C45/C43,""))</f>
        <v/>
      </c>
      <c r="D46" s="17">
        <f>IF(OR(D45="",D43=""),"",IFERROR(D45/D43,""))</f>
        <v/>
      </c>
      <c r="E46" s="17">
        <f>IF(OR(E45="",E43=""),"",IFERROR(E45/E43,""))</f>
        <v/>
      </c>
      <c r="F46" s="17">
        <f>IF(OR(F45="",F43=""),"",IFERROR(F45/F43,""))</f>
        <v/>
      </c>
      <c r="G46" s="17">
        <f>IF(OR(G45="",G43=""),"",IFERROR(G45/G43,""))</f>
        <v/>
      </c>
      <c r="H46" s="17">
        <f>IF(OR(H45="",H43=""),"",IFERROR(H45/H43,""))</f>
        <v/>
      </c>
      <c r="I46" s="17">
        <f>IF(OR(I45="",I43=""),"",IFERROR(I45/I43,""))</f>
        <v/>
      </c>
      <c r="J46" s="17">
        <f>IF(OR(J45="",J43=""),"",IFERROR(J45/J43,""))</f>
        <v/>
      </c>
      <c r="K46" s="17">
        <f>IF(OR(K45="",K43=""),"",IFERROR(K45/K43,""))</f>
        <v/>
      </c>
      <c r="L46" s="17">
        <f>IF(OR(L45="",L43=""),"",IFERROR(L45/L43,""))</f>
        <v/>
      </c>
      <c r="M46" s="17">
        <f>IF(OR(M45="",M43=""),"",IFERROR(M45/M43,""))</f>
        <v/>
      </c>
      <c r="N46" s="17">
        <f>IF(OR(N45="",N43=""),"",IFERROR(N45/N43,""))</f>
        <v/>
      </c>
      <c r="O46" s="16">
        <f>IF(OR(O45="",O43=""),"",IFERROR(O45/O43,""))</f>
        <v/>
      </c>
      <c r="P46" s="17">
        <f>IF(OR(P45="",P43=""),"",IFERROR(P45/P43,""))</f>
        <v/>
      </c>
      <c r="Q46" s="17">
        <f>IF(OR(Q45="",Q43=""),"",IFERROR(Q45/Q43,""))</f>
        <v/>
      </c>
      <c r="R46" s="17">
        <f>IF(OR(R45="",R43=""),"",IFERROR(R45/R43,""))</f>
        <v/>
      </c>
      <c r="S46" s="17">
        <f>IF(OR(S45="",S43=""),"",IFERROR(S45/S43,""))</f>
        <v/>
      </c>
      <c r="T46" s="17">
        <f>IF(OR(T45="",T43=""),"",IFERROR(T45/T43,""))</f>
        <v/>
      </c>
      <c r="U46" s="17">
        <f>IF(OR(U45="",U43=""),"",IFERROR(U45/U43,""))</f>
        <v/>
      </c>
      <c r="V46" s="17">
        <f>IF(OR(V45="",V43=""),"",IFERROR(V45/V43,""))</f>
        <v/>
      </c>
      <c r="W46" s="17">
        <f>IF(OR(W45="",W43=""),"",IFERROR(W45/W43,""))</f>
        <v/>
      </c>
      <c r="X46" s="17">
        <f>IF(OR(X45="",X43=""),"",IFERROR(X45/X43,""))</f>
        <v/>
      </c>
      <c r="Y46" s="27" t="n">
        <v>0.3</v>
      </c>
      <c r="Z46" s="28" t="n">
        <v>0.3</v>
      </c>
      <c r="AA46" s="28" t="n">
        <v>0.3</v>
      </c>
      <c r="AB46" s="28" t="n">
        <v>0.3</v>
      </c>
      <c r="AC46" s="28" t="n">
        <v>0.3</v>
      </c>
    </row>
    <row r="47">
      <c r="A47" s="9" t="inlineStr">
        <is>
          <t>당기순이익(손실)</t>
        </is>
      </c>
      <c r="B47" s="10" t="n"/>
      <c r="C47" s="11" t="n"/>
      <c r="D47" s="12" t="n"/>
      <c r="E47" s="12" t="n"/>
      <c r="F47" s="12" t="n">
        <v>4.935</v>
      </c>
      <c r="G47" s="12" t="n">
        <v>200.356</v>
      </c>
      <c r="H47" s="12" t="n">
        <v>150.047</v>
      </c>
      <c r="I47" s="12" t="n">
        <v>7.275</v>
      </c>
      <c r="J47" s="12" t="n">
        <v>88.03100000000001</v>
      </c>
      <c r="K47" s="12" t="n">
        <v>140.657</v>
      </c>
      <c r="L47" s="12" t="n">
        <v>-67.875</v>
      </c>
      <c r="M47" s="12" t="n">
        <v>293.902</v>
      </c>
      <c r="N47" s="12" t="n">
        <v>376.574</v>
      </c>
      <c r="O47" s="11" t="n"/>
      <c r="P47" s="12" t="n"/>
      <c r="Q47" s="12" t="n"/>
      <c r="R47" s="12" t="n"/>
      <c r="S47" s="12" t="n"/>
      <c r="T47" s="12" t="n"/>
      <c r="U47" s="12" t="n"/>
      <c r="V47" s="12" t="n">
        <v>288.477</v>
      </c>
      <c r="W47" s="12" t="n">
        <v>445.709</v>
      </c>
      <c r="X47" s="12" t="n">
        <v>743.258</v>
      </c>
      <c r="Y47" s="11">
        <f>IF(OR(Y43=""),"",IFERROR(Y43-Y45,""))</f>
        <v/>
      </c>
      <c r="Z47" s="12">
        <f>IF(OR(Z43=""),"",IFERROR(Z43-Z45,""))</f>
        <v/>
      </c>
      <c r="AA47" s="12">
        <f>IF(OR(AA43=""),"",IFERROR(AA43-AA45,""))</f>
        <v/>
      </c>
      <c r="AB47" s="12">
        <f>IF(OR(AB43=""),"",IFERROR(AB43-AB45,""))</f>
        <v/>
      </c>
      <c r="AC47" s="12">
        <f>IF(OR(AC43=""),"",IFERROR(AC43-AC45,""))</f>
        <v/>
      </c>
    </row>
    <row r="48">
      <c r="A48" s="15" t="inlineStr">
        <is>
          <t>YoY</t>
        </is>
      </c>
      <c r="B48" s="10" t="n"/>
      <c r="C48" s="16" t="n"/>
      <c r="D48" s="17" t="n"/>
      <c r="E48" s="17" t="n"/>
      <c r="F48" s="17" t="n"/>
      <c r="G48" s="17">
        <f>IF(OR(G47="",C47=""),"",IF(C47&lt;=0,"",IFERROR(G47/C47-1,"")))</f>
        <v/>
      </c>
      <c r="H48" s="17">
        <f>IF(OR(H47="",D47=""),"",IF(D47&lt;=0,"",IFERROR(H47/D47-1,"")))</f>
        <v/>
      </c>
      <c r="I48" s="17">
        <f>IF(OR(I47="",E47=""),"",IF(E47&lt;=0,"",IFERROR(I47/E47-1,"")))</f>
        <v/>
      </c>
      <c r="J48" s="17">
        <f>IF(OR(J47="",F47=""),"",IF(F47&lt;=0,"",IFERROR(J47/F47-1,"")))</f>
        <v/>
      </c>
      <c r="K48" s="17">
        <f>IF(OR(K47="",G47=""),"",IF(G47&lt;=0,"",IFERROR(K47/G47-1,"")))</f>
        <v/>
      </c>
      <c r="L48" s="17">
        <f>IF(OR(L47="",H47=""),"",IF(H47&lt;=0,"",IFERROR(L47/H47-1,"")))</f>
        <v/>
      </c>
      <c r="M48" s="17">
        <f>IF(OR(M47="",I47=""),"",IF(I47&lt;=0,"",IFERROR(M47/I47-1,"")))</f>
        <v/>
      </c>
      <c r="N48" s="17">
        <f>IF(OR(N47="",J47=""),"",IF(J47&lt;=0,"",IFERROR(N47/J47-1,"")))</f>
        <v/>
      </c>
      <c r="O48" s="16" t="n"/>
      <c r="P48" s="17">
        <f>IF(OR(P47="",O47=""),"",IF(O47&lt;=0,"",IFERROR(P47/O47-1,"")))</f>
        <v/>
      </c>
      <c r="Q48" s="17">
        <f>IF(OR(Q47="",P47=""),"",IF(P47&lt;=0,"",IFERROR(Q47/P47-1,"")))</f>
        <v/>
      </c>
      <c r="R48" s="17">
        <f>IF(OR(R47="",Q47=""),"",IF(Q47&lt;=0,"",IFERROR(R47/Q47-1,"")))</f>
        <v/>
      </c>
      <c r="S48" s="17">
        <f>IF(OR(S47="",R47=""),"",IF(R47&lt;=0,"",IFERROR(S47/R47-1,"")))</f>
        <v/>
      </c>
      <c r="T48" s="17">
        <f>IF(OR(T47="",S47=""),"",IF(S47&lt;=0,"",IFERROR(T47/S47-1,"")))</f>
        <v/>
      </c>
      <c r="U48" s="17">
        <f>IF(OR(U47="",T47=""),"",IF(T47&lt;=0,"",IFERROR(U47/T47-1,"")))</f>
        <v/>
      </c>
      <c r="V48" s="17">
        <f>IF(OR(V47="",U47=""),"",IF(U47&lt;=0,"",IFERROR(V47/U47-1,"")))</f>
        <v/>
      </c>
      <c r="W48" s="17">
        <f>IF(OR(W47="",V47=""),"",IF(V47&lt;=0,"",IFERROR(W47/V47-1,"")))</f>
        <v/>
      </c>
      <c r="X48" s="17">
        <f>IF(OR(X47="",W47=""),"",IF(W47&lt;=0,"",IFERROR(X47/W47-1,"")))</f>
        <v/>
      </c>
      <c r="Y48" s="16">
        <f>IF(OR(Y47="",X47=""),"",IF(X47&lt;=0,"",IFERROR(Y47/X47-1,"")))</f>
        <v/>
      </c>
      <c r="Z48" s="17">
        <f>IF(OR(Z47="",Y47=""),"",IF(Y47&lt;=0,"",IFERROR(Z47/Y47-1,"")))</f>
        <v/>
      </c>
      <c r="AA48" s="17">
        <f>IF(OR(AA47="",Z47=""),"",IF(Z47&lt;=0,"",IFERROR(AA47/Z47-1,"")))</f>
        <v/>
      </c>
      <c r="AB48" s="17">
        <f>IF(OR(AB47="",AA47=""),"",IF(AA47&lt;=0,"",IFERROR(AB47/AA47-1,"")))</f>
        <v/>
      </c>
      <c r="AC48" s="17">
        <f>IF(OR(AC47="",AB47=""),"",IF(AB47&lt;=0,"",IFERROR(AC47/AB47-1,"")))</f>
        <v/>
      </c>
    </row>
    <row r="49">
      <c r="A49" s="9" t="inlineStr">
        <is>
          <t>지배주주 순이익</t>
        </is>
      </c>
      <c r="B49" s="10" t="n"/>
      <c r="C49" s="11" t="n"/>
      <c r="D49" s="12" t="n"/>
      <c r="E49" s="12" t="n"/>
      <c r="F49" s="12" t="n">
        <v>4.935</v>
      </c>
      <c r="G49" s="12" t="n">
        <v>200.356</v>
      </c>
      <c r="H49" s="12" t="n">
        <v>150.047</v>
      </c>
      <c r="I49" s="12" t="n">
        <v>7.275</v>
      </c>
      <c r="J49" s="12" t="n">
        <v>88.03100000000001</v>
      </c>
      <c r="K49" s="12" t="n">
        <v>140.657</v>
      </c>
      <c r="L49" s="12" t="n">
        <v>-67.875</v>
      </c>
      <c r="M49" s="12" t="n">
        <v>293.902</v>
      </c>
      <c r="N49" s="12" t="n">
        <v>376.574</v>
      </c>
      <c r="O49" s="11" t="n"/>
      <c r="P49" s="12" t="n"/>
      <c r="Q49" s="12" t="n"/>
      <c r="R49" s="12" t="n"/>
      <c r="S49" s="12" t="n"/>
      <c r="T49" s="12" t="n"/>
      <c r="U49" s="12" t="n"/>
      <c r="V49" s="12" t="n">
        <v>288.477</v>
      </c>
      <c r="W49" s="12" t="n">
        <v>445.709</v>
      </c>
      <c r="X49" s="12" t="n">
        <v>743.258</v>
      </c>
      <c r="Y49" s="11">
        <f>IF(OR(Y47="",Y50=""),"",IFERROR(Y47*Y50,""))</f>
        <v/>
      </c>
      <c r="Z49" s="12">
        <f>IF(OR(Z47="",Z50=""),"",IFERROR(Z47*Z50,""))</f>
        <v/>
      </c>
      <c r="AA49" s="12">
        <f>IF(OR(AA47="",AA50=""),"",IFERROR(AA47*AA50,""))</f>
        <v/>
      </c>
      <c r="AB49" s="12">
        <f>IF(OR(AB47="",AB50=""),"",IFERROR(AB47*AB50,""))</f>
        <v/>
      </c>
      <c r="AC49" s="12">
        <f>IF(OR(AC47="",AC50=""),"",IFERROR(AC47*AC50,""))</f>
        <v/>
      </c>
    </row>
    <row r="50">
      <c r="A50" s="15" t="inlineStr">
        <is>
          <t>지배주주 순이익률</t>
        </is>
      </c>
      <c r="B50" s="10" t="inlineStr">
        <is>
          <t>MW 기본 100%</t>
        </is>
      </c>
      <c r="C50" s="16">
        <f>IF(OR(C49="",C47=""),"",IFERROR(C49/C47,""))</f>
        <v/>
      </c>
      <c r="D50" s="17">
        <f>IF(OR(D49="",D47=""),"",IFERROR(D49/D47,""))</f>
        <v/>
      </c>
      <c r="E50" s="17">
        <f>IF(OR(E49="",E47=""),"",IFERROR(E49/E47,""))</f>
        <v/>
      </c>
      <c r="F50" s="17">
        <f>IF(OR(F49="",F47=""),"",IFERROR(F49/F47,""))</f>
        <v/>
      </c>
      <c r="G50" s="17">
        <f>IF(OR(G49="",G47=""),"",IFERROR(G49/G47,""))</f>
        <v/>
      </c>
      <c r="H50" s="17">
        <f>IF(OR(H49="",H47=""),"",IFERROR(H49/H47,""))</f>
        <v/>
      </c>
      <c r="I50" s="17">
        <f>IF(OR(I49="",I47=""),"",IFERROR(I49/I47,""))</f>
        <v/>
      </c>
      <c r="J50" s="17">
        <f>IF(OR(J49="",J47=""),"",IFERROR(J49/J47,""))</f>
        <v/>
      </c>
      <c r="K50" s="17">
        <f>IF(OR(K49="",K47=""),"",IFERROR(K49/K47,""))</f>
        <v/>
      </c>
      <c r="L50" s="17">
        <f>IF(OR(L49="",L47=""),"",IFERROR(L49/L47,""))</f>
        <v/>
      </c>
      <c r="M50" s="17">
        <f>IF(OR(M49="",M47=""),"",IFERROR(M49/M47,""))</f>
        <v/>
      </c>
      <c r="N50" s="17">
        <f>IF(OR(N49="",N47=""),"",IFERROR(N49/N47,""))</f>
        <v/>
      </c>
      <c r="O50" s="16">
        <f>IF(OR(O49="",O47=""),"",IFERROR(O49/O47,""))</f>
        <v/>
      </c>
      <c r="P50" s="17">
        <f>IF(OR(P49="",P47=""),"",IFERROR(P49/P47,""))</f>
        <v/>
      </c>
      <c r="Q50" s="17">
        <f>IF(OR(Q49="",Q47=""),"",IFERROR(Q49/Q47,""))</f>
        <v/>
      </c>
      <c r="R50" s="17">
        <f>IF(OR(R49="",R47=""),"",IFERROR(R49/R47,""))</f>
        <v/>
      </c>
      <c r="S50" s="17">
        <f>IF(OR(S49="",S47=""),"",IFERROR(S49/S47,""))</f>
        <v/>
      </c>
      <c r="T50" s="17">
        <f>IF(OR(T49="",T47=""),"",IFERROR(T49/T47,""))</f>
        <v/>
      </c>
      <c r="U50" s="17">
        <f>IF(OR(U49="",U47=""),"",IFERROR(U49/U47,""))</f>
        <v/>
      </c>
      <c r="V50" s="17">
        <f>IF(OR(V49="",V47=""),"",IFERROR(V49/V47,""))</f>
        <v/>
      </c>
      <c r="W50" s="17">
        <f>IF(OR(W49="",W47=""),"",IFERROR(W49/W47,""))</f>
        <v/>
      </c>
      <c r="X50" s="17">
        <f>IF(OR(X49="",X47=""),"",IFERROR(X49/X47,""))</f>
        <v/>
      </c>
      <c r="Y50" s="27" t="n">
        <v>1</v>
      </c>
      <c r="Z50" s="28" t="n">
        <v>1</v>
      </c>
      <c r="AA50" s="28" t="n">
        <v>1</v>
      </c>
      <c r="AB50" s="28" t="n">
        <v>1</v>
      </c>
      <c r="AC50" s="28" t="n">
        <v>1</v>
      </c>
    </row>
    <row r="51">
      <c r="A51" s="15" t="inlineStr">
        <is>
          <t>지배주주 순이익 YoY</t>
        </is>
      </c>
      <c r="B51" s="10" t="n"/>
      <c r="C51" s="16" t="n"/>
      <c r="D51" s="17" t="n"/>
      <c r="E51" s="17" t="n"/>
      <c r="F51" s="17" t="n"/>
      <c r="G51" s="17">
        <f>IF(OR(G49="",C49=""),"",IF(C49&lt;=0,"",IFERROR(G49/C49-1,"")))</f>
        <v/>
      </c>
      <c r="H51" s="17">
        <f>IF(OR(H49="",D49=""),"",IF(D49&lt;=0,"",IFERROR(H49/D49-1,"")))</f>
        <v/>
      </c>
      <c r="I51" s="17">
        <f>IF(OR(I49="",E49=""),"",IF(E49&lt;=0,"",IFERROR(I49/E49-1,"")))</f>
        <v/>
      </c>
      <c r="J51" s="17">
        <f>IF(OR(J49="",F49=""),"",IF(F49&lt;=0,"",IFERROR(J49/F49-1,"")))</f>
        <v/>
      </c>
      <c r="K51" s="17">
        <f>IF(OR(K49="",G49=""),"",IF(G49&lt;=0,"",IFERROR(K49/G49-1,"")))</f>
        <v/>
      </c>
      <c r="L51" s="17">
        <f>IF(OR(L49="",H49=""),"",IF(H49&lt;=0,"",IFERROR(L49/H49-1,"")))</f>
        <v/>
      </c>
      <c r="M51" s="17">
        <f>IF(OR(M49="",I49=""),"",IF(I49&lt;=0,"",IFERROR(M49/I49-1,"")))</f>
        <v/>
      </c>
      <c r="N51" s="17">
        <f>IF(OR(N49="",J49=""),"",IF(J49&lt;=0,"",IFERROR(N49/J49-1,"")))</f>
        <v/>
      </c>
      <c r="O51" s="16" t="n"/>
      <c r="P51" s="17">
        <f>IF(OR(P49="",O49=""),"",IF(O49&lt;=0,"",IFERROR(P49/O49-1,"")))</f>
        <v/>
      </c>
      <c r="Q51" s="17">
        <f>IF(OR(Q49="",P49=""),"",IF(P49&lt;=0,"",IFERROR(Q49/P49-1,"")))</f>
        <v/>
      </c>
      <c r="R51" s="17">
        <f>IF(OR(R49="",Q49=""),"",IF(Q49&lt;=0,"",IFERROR(R49/Q49-1,"")))</f>
        <v/>
      </c>
      <c r="S51" s="17">
        <f>IF(OR(S49="",R49=""),"",IF(R49&lt;=0,"",IFERROR(S49/R49-1,"")))</f>
        <v/>
      </c>
      <c r="T51" s="17">
        <f>IF(OR(T49="",S49=""),"",IF(S49&lt;=0,"",IFERROR(T49/S49-1,"")))</f>
        <v/>
      </c>
      <c r="U51" s="17">
        <f>IF(OR(U49="",T49=""),"",IF(T49&lt;=0,"",IFERROR(U49/T49-1,"")))</f>
        <v/>
      </c>
      <c r="V51" s="17">
        <f>IF(OR(V49="",U49=""),"",IF(U49&lt;=0,"",IFERROR(V49/U49-1,"")))</f>
        <v/>
      </c>
      <c r="W51" s="17">
        <f>IF(OR(W49="",V49=""),"",IF(V49&lt;=0,"",IFERROR(W49/V49-1,"")))</f>
        <v/>
      </c>
      <c r="X51" s="17">
        <f>IF(OR(X49="",W49=""),"",IF(W49&lt;=0,"",IFERROR(X49/W49-1,"")))</f>
        <v/>
      </c>
      <c r="Y51" s="16">
        <f>IF(OR(Y49="",X49=""),"",IF(X49&lt;=0,"",IFERROR(Y49/X49-1,"")))</f>
        <v/>
      </c>
      <c r="Z51" s="17">
        <f>IF(OR(Z49="",Y49=""),"",IF(Y49&lt;=0,"",IFERROR(Z49/Y49-1,"")))</f>
        <v/>
      </c>
      <c r="AA51" s="17">
        <f>IF(OR(AA49="",Z49=""),"",IF(Z49&lt;=0,"",IFERROR(AA49/Z49-1,"")))</f>
        <v/>
      </c>
      <c r="AB51" s="17">
        <f>IF(OR(AB49="",AA49=""),"",IF(AA49&lt;=0,"",IFERROR(AB49/AA49-1,"")))</f>
        <v/>
      </c>
      <c r="AC51" s="17">
        <f>IF(OR(AC49="",AB49=""),"",IF(AB49&lt;=0,"",IFERROR(AC49/AB49-1,"")))</f>
        <v/>
      </c>
    </row>
    <row r="52">
      <c r="A52" s="18" t="inlineStr">
        <is>
          <t>목표주가 산출</t>
        </is>
      </c>
      <c r="B52" s="18" t="n"/>
      <c r="C52" s="19" t="n"/>
      <c r="D52" s="18" t="n"/>
      <c r="E52" s="18" t="n"/>
      <c r="F52" s="18" t="n"/>
      <c r="G52" s="18" t="n"/>
      <c r="H52" s="18" t="n"/>
      <c r="I52" s="18" t="n"/>
      <c r="J52" s="18" t="n"/>
      <c r="K52" s="18" t="n"/>
      <c r="L52" s="18" t="n"/>
      <c r="M52" s="18" t="n"/>
      <c r="N52" s="18" t="n"/>
      <c r="O52" s="19" t="n"/>
      <c r="P52" s="18" t="n"/>
      <c r="Q52" s="18" t="n"/>
      <c r="R52" s="18" t="n"/>
      <c r="S52" s="18" t="n"/>
      <c r="T52" s="18" t="n"/>
      <c r="U52" s="18" t="n"/>
      <c r="V52" s="18" t="n"/>
      <c r="W52" s="18" t="n"/>
      <c r="X52" s="18" t="n"/>
      <c r="Y52" s="19" t="n"/>
      <c r="Z52" s="18" t="n"/>
      <c r="AA52" s="18" t="n"/>
      <c r="AB52" s="18" t="n"/>
      <c r="AC52" s="18" t="n"/>
    </row>
    <row r="53">
      <c r="A53" s="20" t="inlineStr">
        <is>
          <t>현재 주가 ()</t>
        </is>
      </c>
      <c r="B53" s="29" t="n"/>
      <c r="C53" s="30" t="n"/>
      <c r="D53" s="31" t="n"/>
      <c r="E53" s="31" t="n"/>
      <c r="F53" s="31" t="n"/>
      <c r="G53" s="31" t="n"/>
      <c r="H53" s="31" t="n"/>
      <c r="I53" s="31" t="n"/>
      <c r="J53" s="31" t="n"/>
      <c r="K53" s="31" t="n"/>
      <c r="L53" s="31" t="n"/>
      <c r="M53" s="31" t="n"/>
      <c r="N53" s="31" t="n"/>
      <c r="O53" s="30" t="n"/>
      <c r="P53" s="31" t="n"/>
      <c r="Q53" s="31" t="n"/>
      <c r="R53" s="31" t="n"/>
      <c r="S53" s="31" t="n"/>
      <c r="T53" s="31" t="n"/>
      <c r="U53" s="31" t="n"/>
      <c r="V53" s="31" t="n"/>
      <c r="W53" s="31" t="n"/>
      <c r="X53" s="31" t="n"/>
      <c r="Y53" s="30" t="n"/>
      <c r="Z53" s="31" t="n"/>
      <c r="AA53" s="31" t="n"/>
      <c r="AB53" s="31" t="n"/>
      <c r="AC53" s="31" t="n"/>
    </row>
    <row r="54">
      <c r="A54" s="20" t="inlineStr">
        <is>
          <t>발행주식수 (보통주)</t>
        </is>
      </c>
      <c r="B54" s="29" t="n"/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 t="n"/>
      <c r="P54" s="31" t="n"/>
      <c r="Q54" s="31" t="n"/>
      <c r="R54" s="31" t="n"/>
      <c r="S54" s="31" t="n"/>
      <c r="T54" s="31" t="n"/>
      <c r="U54" s="31" t="n"/>
      <c r="V54" s="31" t="n"/>
      <c r="W54" s="31" t="n"/>
      <c r="X54" s="31" t="n"/>
      <c r="Y54" s="30" t="n"/>
      <c r="Z54" s="31" t="n"/>
      <c r="AA54" s="31" t="n"/>
      <c r="AB54" s="31" t="n"/>
      <c r="AC54" s="31" t="n"/>
    </row>
    <row r="55">
      <c r="A55" s="20" t="inlineStr">
        <is>
          <t>시가총액 (백만엔)</t>
        </is>
      </c>
      <c r="B55" s="12">
        <f>IF(OR(B53="",B54=""),"",B53*B54/1000000.0)</f>
        <v/>
      </c>
      <c r="C55" s="21" t="n"/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1" t="n"/>
      <c r="P55" s="22" t="n"/>
      <c r="Q55" s="22" t="n"/>
      <c r="R55" s="22" t="n"/>
      <c r="S55" s="22" t="n"/>
      <c r="T55" s="22" t="n"/>
      <c r="U55" s="22" t="n"/>
      <c r="V55" s="22" t="n"/>
      <c r="W55" s="22" t="n"/>
      <c r="X55" s="22" t="n"/>
      <c r="Y55" s="21" t="n"/>
      <c r="Z55" s="22" t="n"/>
      <c r="AA55" s="22" t="n"/>
      <c r="AB55" s="22" t="n"/>
      <c r="AC55" s="22" t="n"/>
    </row>
    <row r="56">
      <c r="A56" s="15" t="inlineStr">
        <is>
          <t>OPM</t>
        </is>
      </c>
      <c r="B56" s="10" t="n"/>
      <c r="C56" s="16" t="n"/>
      <c r="D56" s="17" t="n"/>
      <c r="E56" s="17" t="n"/>
      <c r="F56" s="17" t="n"/>
      <c r="G56" s="17" t="n"/>
      <c r="H56" s="17" t="n"/>
      <c r="I56" s="17" t="n"/>
      <c r="J56" s="17" t="n"/>
      <c r="K56" s="17" t="n"/>
      <c r="L56" s="17" t="n"/>
      <c r="M56" s="17" t="n"/>
      <c r="N56" s="17" t="n"/>
      <c r="O56" s="16">
        <f>IF(O20="","",O20)</f>
        <v/>
      </c>
      <c r="P56" s="17">
        <f>IF(P20="","",P20)</f>
        <v/>
      </c>
      <c r="Q56" s="17">
        <f>IF(Q20="","",Q20)</f>
        <v/>
      </c>
      <c r="R56" s="17">
        <f>IF(R20="","",R20)</f>
        <v/>
      </c>
      <c r="S56" s="17">
        <f>IF(S20="","",S20)</f>
        <v/>
      </c>
      <c r="T56" s="17">
        <f>IF(T20="","",T20)</f>
        <v/>
      </c>
      <c r="U56" s="17">
        <f>IF(U20="","",U20)</f>
        <v/>
      </c>
      <c r="V56" s="17">
        <f>IF(V20="","",V20)</f>
        <v/>
      </c>
      <c r="W56" s="17">
        <f>IF(W20="","",W20)</f>
        <v/>
      </c>
      <c r="X56" s="17">
        <f>IF(X20="","",X20)</f>
        <v/>
      </c>
      <c r="Y56" s="16">
        <f>IF(Y20="","",Y20)</f>
        <v/>
      </c>
      <c r="Z56" s="17">
        <f>IF(Z20="","",Z20)</f>
        <v/>
      </c>
      <c r="AA56" s="17">
        <f>IF(AA20="","",AA20)</f>
        <v/>
      </c>
      <c r="AB56" s="17">
        <f>IF(AB20="","",AB20)</f>
        <v/>
      </c>
      <c r="AC56" s="17">
        <f>IF(AC20="","",AC20)</f>
        <v/>
      </c>
    </row>
    <row r="57">
      <c r="A57" s="15" t="inlineStr">
        <is>
          <t>지배주주 순이익 증가율</t>
        </is>
      </c>
      <c r="B57" s="10" t="n"/>
      <c r="C57" s="16" t="n"/>
      <c r="D57" s="17" t="n"/>
      <c r="E57" s="17" t="n"/>
      <c r="F57" s="17" t="n"/>
      <c r="G57" s="17" t="n"/>
      <c r="H57" s="17" t="n"/>
      <c r="I57" s="17" t="n"/>
      <c r="J57" s="17" t="n"/>
      <c r="K57" s="17" t="n"/>
      <c r="L57" s="17" t="n"/>
      <c r="M57" s="17" t="n"/>
      <c r="N57" s="17" t="n"/>
      <c r="O57" s="16" t="n"/>
      <c r="P57" s="17">
        <f>IF(OR(P49="",O49=""),"",IFERROR(P49/O49-1,""))</f>
        <v/>
      </c>
      <c r="Q57" s="17">
        <f>IF(OR(Q49="",P49=""),"",IFERROR(Q49/P49-1,""))</f>
        <v/>
      </c>
      <c r="R57" s="17">
        <f>IF(OR(R49="",Q49=""),"",IFERROR(R49/Q49-1,""))</f>
        <v/>
      </c>
      <c r="S57" s="17">
        <f>IF(OR(S49="",R49=""),"",IFERROR(S49/R49-1,""))</f>
        <v/>
      </c>
      <c r="T57" s="17">
        <f>IF(OR(T49="",S49=""),"",IFERROR(T49/S49-1,""))</f>
        <v/>
      </c>
      <c r="U57" s="17">
        <f>IF(OR(U49="",T49=""),"",IFERROR(U49/T49-1,""))</f>
        <v/>
      </c>
      <c r="V57" s="17">
        <f>IF(OR(V49="",U49=""),"",IFERROR(V49/U49-1,""))</f>
        <v/>
      </c>
      <c r="W57" s="17">
        <f>IF(OR(W49="",V49=""),"",IFERROR(W49/V49-1,""))</f>
        <v/>
      </c>
      <c r="X57" s="17">
        <f>IF(OR(X49="",W49=""),"",IFERROR(X49/W49-1,""))</f>
        <v/>
      </c>
      <c r="Y57" s="16">
        <f>IF(OR(Y49="",X49=""),"",IFERROR(Y49/X49-1,""))</f>
        <v/>
      </c>
      <c r="Z57" s="17">
        <f>IF(OR(Z49="",Y49=""),"",IFERROR(Z49/Y49-1,""))</f>
        <v/>
      </c>
      <c r="AA57" s="17">
        <f>IF(OR(AA49="",Z49=""),"",IFERROR(AA49/Z49-1,""))</f>
        <v/>
      </c>
      <c r="AB57" s="17">
        <f>IF(OR(AB49="",AA49=""),"",IFERROR(AB49/AA49-1,""))</f>
        <v/>
      </c>
      <c r="AC57" s="17">
        <f>IF(OR(AC49="",AB49=""),"",IFERROR(AC49/AB49-1,""))</f>
        <v/>
      </c>
    </row>
    <row r="58">
      <c r="A58" s="20" t="inlineStr">
        <is>
          <t>P/E (현재 주가)</t>
        </is>
      </c>
      <c r="B58" s="10" t="inlineStr">
        <is>
          <t>시총 ÷ 지배순이익</t>
        </is>
      </c>
      <c r="C58" s="32" t="n"/>
      <c r="D58" s="33" t="n"/>
      <c r="E58" s="33" t="n"/>
      <c r="F58" s="33" t="n"/>
      <c r="G58" s="33" t="n"/>
      <c r="H58" s="33" t="n"/>
      <c r="I58" s="33" t="n"/>
      <c r="J58" s="33" t="n"/>
      <c r="K58" s="33" t="n"/>
      <c r="L58" s="33" t="n"/>
      <c r="M58" s="33" t="n"/>
      <c r="N58" s="33" t="n"/>
      <c r="O58" s="32" t="n"/>
      <c r="P58" s="33" t="n"/>
      <c r="Q58" s="33" t="n"/>
      <c r="R58" s="33" t="n"/>
      <c r="S58" s="33" t="n"/>
      <c r="T58" s="33" t="n"/>
      <c r="U58" s="33" t="n"/>
      <c r="V58" s="33" t="n"/>
      <c r="W58" s="33" t="n"/>
      <c r="X58" s="33">
        <f>IF(OR($B$55="",X49=""),"",IFERROR($B$55/X49,""))</f>
        <v/>
      </c>
      <c r="Y58" s="32">
        <f>IF(OR($B$55="",Y49=""),"",IFERROR($B$55/Y49,""))</f>
        <v/>
      </c>
      <c r="Z58" s="33">
        <f>IF(OR($B$55="",Z49=""),"",IFERROR($B$55/Z49,""))</f>
        <v/>
      </c>
      <c r="AA58" s="33">
        <f>IF(OR($B$55="",AA49=""),"",IFERROR($B$55/AA49,""))</f>
        <v/>
      </c>
      <c r="AB58" s="33">
        <f>IF(OR($B$55="",AB49=""),"",IFERROR($B$55/AB49,""))</f>
        <v/>
      </c>
      <c r="AC58" s="33">
        <f>IF(OR($B$55="",AC49=""),"",IFERROR($B$55/AC49,""))</f>
        <v/>
      </c>
    </row>
    <row r="59">
      <c r="A59" s="20" t="inlineStr">
        <is>
          <t>Target P/E</t>
        </is>
      </c>
      <c r="B59" s="10" t="inlineStr">
        <is>
          <t>직접 입력</t>
        </is>
      </c>
      <c r="C59" s="32" t="n"/>
      <c r="D59" s="33" t="n"/>
      <c r="E59" s="33" t="n"/>
      <c r="F59" s="33" t="n"/>
      <c r="G59" s="33" t="n"/>
      <c r="H59" s="33" t="n"/>
      <c r="I59" s="33" t="n"/>
      <c r="J59" s="33" t="n"/>
      <c r="K59" s="33" t="n"/>
      <c r="L59" s="33" t="n"/>
      <c r="M59" s="33" t="n"/>
      <c r="N59" s="33" t="n"/>
      <c r="O59" s="32" t="n"/>
      <c r="P59" s="33" t="n"/>
      <c r="Q59" s="33" t="n"/>
      <c r="R59" s="33" t="n"/>
      <c r="S59" s="33" t="n"/>
      <c r="T59" s="33" t="n"/>
      <c r="U59" s="33" t="n"/>
      <c r="V59" s="33" t="n"/>
      <c r="W59" s="33" t="n"/>
      <c r="X59" s="33" t="n"/>
      <c r="Y59" s="34" t="n"/>
      <c r="Z59" s="35" t="n"/>
      <c r="AA59" s="35" t="n"/>
      <c r="AB59" s="35" t="n"/>
      <c r="AC59" s="35" t="n"/>
    </row>
    <row r="60">
      <c r="A60" s="20" t="inlineStr">
        <is>
          <t>EPS</t>
        </is>
      </c>
      <c r="B60" s="10" t="inlineStr">
        <is>
          <t>지배순이익 ÷ 주식수</t>
        </is>
      </c>
      <c r="C60" s="30" t="n"/>
      <c r="D60" s="31" t="n"/>
      <c r="E60" s="31" t="n"/>
      <c r="F60" s="31" t="n"/>
      <c r="G60" s="31" t="n"/>
      <c r="H60" s="31" t="n"/>
      <c r="I60" s="31" t="n"/>
      <c r="J60" s="31" t="n"/>
      <c r="K60" s="31" t="n"/>
      <c r="L60" s="31" t="n"/>
      <c r="M60" s="31" t="n"/>
      <c r="N60" s="31" t="n"/>
      <c r="O60" s="30">
        <f>IF(OR(O49="",$B$54=""),"",IFERROR(O49*1000000.0/$B$54,""))</f>
        <v/>
      </c>
      <c r="P60" s="31">
        <f>IF(OR(P49="",$B$54=""),"",IFERROR(P49*1000000.0/$B$54,""))</f>
        <v/>
      </c>
      <c r="Q60" s="31">
        <f>IF(OR(Q49="",$B$54=""),"",IFERROR(Q49*1000000.0/$B$54,""))</f>
        <v/>
      </c>
      <c r="R60" s="31">
        <f>IF(OR(R49="",$B$54=""),"",IFERROR(R49*1000000.0/$B$54,""))</f>
        <v/>
      </c>
      <c r="S60" s="31">
        <f>IF(OR(S49="",$B$54=""),"",IFERROR(S49*1000000.0/$B$54,""))</f>
        <v/>
      </c>
      <c r="T60" s="31">
        <f>IF(OR(T49="",$B$54=""),"",IFERROR(T49*1000000.0/$B$54,""))</f>
        <v/>
      </c>
      <c r="U60" s="31">
        <f>IF(OR(U49="",$B$54=""),"",IFERROR(U49*1000000.0/$B$54,""))</f>
        <v/>
      </c>
      <c r="V60" s="31">
        <f>IF(OR(V49="",$B$54=""),"",IFERROR(V49*1000000.0/$B$54,""))</f>
        <v/>
      </c>
      <c r="W60" s="31">
        <f>IF(OR(W49="",$B$54=""),"",IFERROR(W49*1000000.0/$B$54,""))</f>
        <v/>
      </c>
      <c r="X60" s="31">
        <f>IF(OR(X49="",$B$54=""),"",IFERROR(X49*1000000.0/$B$54,""))</f>
        <v/>
      </c>
      <c r="Y60" s="30">
        <f>IF(OR(Y49="",$B$54=""),"",IFERROR(Y49*1000000.0/$B$54,""))</f>
        <v/>
      </c>
      <c r="Z60" s="31">
        <f>IF(OR(Z49="",$B$54=""),"",IFERROR(Z49*1000000.0/$B$54,""))</f>
        <v/>
      </c>
      <c r="AA60" s="31">
        <f>IF(OR(AA49="",$B$54=""),"",IFERROR(AA49*1000000.0/$B$54,""))</f>
        <v/>
      </c>
      <c r="AB60" s="31">
        <f>IF(OR(AB49="",$B$54=""),"",IFERROR(AB49*1000000.0/$B$54,""))</f>
        <v/>
      </c>
      <c r="AC60" s="31">
        <f>IF(OR(AC49="",$B$54=""),"",IFERROR(AC49*1000000.0/$B$54,""))</f>
        <v/>
      </c>
    </row>
    <row r="61">
      <c r="A61" s="9" t="inlineStr">
        <is>
          <t>목표주가</t>
        </is>
      </c>
      <c r="B61" s="10" t="n"/>
      <c r="C61" s="36" t="n"/>
      <c r="D61" s="29" t="n"/>
      <c r="E61" s="29" t="n"/>
      <c r="F61" s="29" t="n"/>
      <c r="G61" s="29" t="n"/>
      <c r="H61" s="29" t="n"/>
      <c r="I61" s="29" t="n"/>
      <c r="J61" s="29" t="n"/>
      <c r="K61" s="29" t="n"/>
      <c r="L61" s="29" t="n"/>
      <c r="M61" s="29" t="n"/>
      <c r="N61" s="29" t="n"/>
      <c r="O61" s="36" t="n"/>
      <c r="P61" s="29" t="n"/>
      <c r="Q61" s="29" t="n"/>
      <c r="R61" s="29" t="n"/>
      <c r="S61" s="29" t="n"/>
      <c r="T61" s="29" t="n"/>
      <c r="U61" s="29" t="n"/>
      <c r="V61" s="29" t="n"/>
      <c r="W61" s="29" t="n"/>
      <c r="X61" s="29" t="n"/>
      <c r="Y61" s="36">
        <f>IF(OR(Y60="",Y59=""),"",IFERROR(Y60*Y59,""))</f>
        <v/>
      </c>
      <c r="Z61" s="29">
        <f>IF(OR(Z60="",Z59=""),"",IFERROR(Z60*Z59,""))</f>
        <v/>
      </c>
      <c r="AA61" s="29">
        <f>IF(OR(AA60="",AA59=""),"",IFERROR(AA60*AA59,""))</f>
        <v/>
      </c>
      <c r="AB61" s="29">
        <f>IF(OR(AB60="",AB59=""),"",IFERROR(AB60*AB59,""))</f>
        <v/>
      </c>
      <c r="AC61" s="29">
        <f>IF(OR(AC60="",AC59=""),"",IFERROR(AC60*AC59,""))</f>
        <v/>
      </c>
    </row>
    <row r="62">
      <c r="A62" s="20" t="inlineStr">
        <is>
          <t>상승여력</t>
        </is>
      </c>
      <c r="B62" s="10" t="n"/>
      <c r="C62" s="37" t="n"/>
      <c r="D62" s="38" t="n"/>
      <c r="E62" s="38" t="n"/>
      <c r="F62" s="38" t="n"/>
      <c r="G62" s="38" t="n"/>
      <c r="H62" s="38" t="n"/>
      <c r="I62" s="38" t="n"/>
      <c r="J62" s="38" t="n"/>
      <c r="K62" s="38" t="n"/>
      <c r="L62" s="38" t="n"/>
      <c r="M62" s="38" t="n"/>
      <c r="N62" s="38" t="n"/>
      <c r="O62" s="37" t="n"/>
      <c r="P62" s="38" t="n"/>
      <c r="Q62" s="38" t="n"/>
      <c r="R62" s="38" t="n"/>
      <c r="S62" s="38" t="n"/>
      <c r="T62" s="38" t="n"/>
      <c r="U62" s="38" t="n"/>
      <c r="V62" s="38" t="n"/>
      <c r="W62" s="38" t="n"/>
      <c r="X62" s="38" t="n"/>
      <c r="Y62" s="39">
        <f>IF(OR(Y61="",$B$53=""),"",IFERROR(Y61/$B$53-1,""))</f>
        <v/>
      </c>
      <c r="Z62" s="40">
        <f>IF(OR(Z61="",$B$53=""),"",IFERROR(Z61/$B$53-1,""))</f>
        <v/>
      </c>
      <c r="AA62" s="40">
        <f>IF(OR(AA61="",$B$53=""),"",IFERROR(AA61/$B$53-1,""))</f>
        <v/>
      </c>
      <c r="AB62" s="40">
        <f>IF(OR(AB61="",$B$53=""),"",IFERROR(AB61/$B$53-1,""))</f>
        <v/>
      </c>
      <c r="AC62" s="40">
        <f>IF(OR(AC61="",$B$53=""),"",IFERROR(AC61/$B$53-1,""))</f>
        <v/>
      </c>
    </row>
    <row r="63">
      <c r="A63" s="18" t="inlineStr">
        <is>
          <t>자산가치 산출</t>
        </is>
      </c>
      <c r="B63" s="18" t="inlineStr">
        <is>
          <t>최신 분기 BS</t>
        </is>
      </c>
      <c r="C63" s="19" t="n"/>
      <c r="D63" s="18" t="n"/>
      <c r="E63" s="18" t="n"/>
      <c r="F63" s="18" t="n"/>
      <c r="G63" s="18" t="n"/>
      <c r="H63" s="18" t="n"/>
      <c r="I63" s="18" t="n"/>
      <c r="J63" s="18" t="n"/>
      <c r="K63" s="18" t="n"/>
      <c r="L63" s="18" t="n"/>
      <c r="M63" s="18" t="n"/>
      <c r="N63" s="18" t="n"/>
      <c r="O63" s="19" t="n"/>
      <c r="P63" s="18" t="n"/>
      <c r="Q63" s="18" t="n"/>
      <c r="R63" s="18" t="n"/>
      <c r="S63" s="18" t="n"/>
      <c r="T63" s="18" t="n"/>
      <c r="U63" s="18" t="n"/>
      <c r="V63" s="18" t="n"/>
      <c r="W63" s="18" t="n"/>
      <c r="X63" s="18" t="n"/>
      <c r="Y63" s="19" t="n"/>
      <c r="Z63" s="18" t="n"/>
      <c r="AA63" s="18" t="n"/>
      <c r="AB63" s="18" t="n"/>
      <c r="AC63" s="18" t="n"/>
    </row>
    <row r="64">
      <c r="A64" s="20" t="inlineStr">
        <is>
          <t>현금및현금성자산</t>
        </is>
      </c>
      <c r="B64" s="10" t="n"/>
      <c r="C64" s="21" t="n"/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1" t="n"/>
      <c r="P64" s="22" t="n"/>
      <c r="Q64" s="22" t="n"/>
      <c r="R64" s="22" t="n"/>
      <c r="S64" s="22" t="n"/>
      <c r="T64" s="22" t="n"/>
      <c r="U64" s="22" t="n"/>
      <c r="V64" s="22" t="n"/>
      <c r="W64" s="22" t="n"/>
      <c r="X64" s="22">
        <f>'재무상태표'!G6</f>
        <v/>
      </c>
      <c r="Y64" s="21">
        <f>'재무상태표'!G6</f>
        <v/>
      </c>
      <c r="Z64" s="22">
        <f>'재무상태표'!G6</f>
        <v/>
      </c>
      <c r="AA64" s="22">
        <f>'재무상태표'!G6</f>
        <v/>
      </c>
      <c r="AB64" s="22">
        <f>'재무상태표'!G6</f>
        <v/>
      </c>
      <c r="AC64" s="22">
        <f>'재무상태표'!G6</f>
        <v/>
      </c>
    </row>
    <row r="65">
      <c r="A65" s="20" t="inlineStr">
        <is>
          <t>단기금융상품</t>
        </is>
      </c>
      <c r="B65" s="10" t="n"/>
      <c r="C65" s="21" t="n"/>
      <c r="D65" s="22" t="n"/>
      <c r="E65" s="22" t="n"/>
      <c r="F65" s="22" t="n"/>
      <c r="G65" s="22" t="n"/>
      <c r="H65" s="22" t="n"/>
      <c r="I65" s="22" t="n"/>
      <c r="J65" s="22" t="n"/>
      <c r="K65" s="22" t="n"/>
      <c r="L65" s="22" t="n"/>
      <c r="M65" s="22" t="n"/>
      <c r="N65" s="22" t="n"/>
      <c r="O65" s="21" t="n"/>
      <c r="P65" s="22" t="n"/>
      <c r="Q65" s="22" t="n"/>
      <c r="R65" s="22" t="n"/>
      <c r="S65" s="22" t="n"/>
      <c r="T65" s="22" t="n"/>
      <c r="U65" s="22" t="n"/>
      <c r="V65" s="22" t="n"/>
      <c r="W65" s="22" t="n"/>
      <c r="X65" s="22">
        <f>'재무상태표'!G7</f>
        <v/>
      </c>
      <c r="Y65" s="21">
        <f>'재무상태표'!G7</f>
        <v/>
      </c>
      <c r="Z65" s="22">
        <f>'재무상태표'!G7</f>
        <v/>
      </c>
      <c r="AA65" s="22">
        <f>'재무상태표'!G7</f>
        <v/>
      </c>
      <c r="AB65" s="22">
        <f>'재무상태표'!G7</f>
        <v/>
      </c>
      <c r="AC65" s="22">
        <f>'재무상태표'!G7</f>
        <v/>
      </c>
    </row>
    <row r="66">
      <c r="A66" s="20" t="inlineStr">
        <is>
          <t>투자부동산</t>
        </is>
      </c>
      <c r="B66" s="10" t="n"/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>
        <f>'재무상태표'!G14</f>
        <v/>
      </c>
      <c r="Y66" s="21">
        <f>'재무상태표'!G14</f>
        <v/>
      </c>
      <c r="Z66" s="22">
        <f>'재무상태표'!G14</f>
        <v/>
      </c>
      <c r="AA66" s="22">
        <f>'재무상태표'!G14</f>
        <v/>
      </c>
      <c r="AB66" s="22">
        <f>'재무상태표'!G14</f>
        <v/>
      </c>
      <c r="AC66" s="22">
        <f>'재무상태표'!G14</f>
        <v/>
      </c>
    </row>
    <row r="67">
      <c r="A67" s="20" t="inlineStr">
        <is>
          <t>지배자본</t>
        </is>
      </c>
      <c r="B67" s="10" t="n"/>
      <c r="C67" s="21" t="n"/>
      <c r="D67" s="22" t="n"/>
      <c r="E67" s="22" t="n"/>
      <c r="F67" s="22" t="n"/>
      <c r="G67" s="22" t="n"/>
      <c r="H67" s="22" t="n"/>
      <c r="I67" s="22" t="n"/>
      <c r="J67" s="22" t="n"/>
      <c r="K67" s="22" t="n"/>
      <c r="L67" s="22" t="n"/>
      <c r="M67" s="22" t="n"/>
      <c r="N67" s="22" t="n"/>
      <c r="O67" s="21" t="n"/>
      <c r="P67" s="22" t="n"/>
      <c r="Q67" s="22" t="n"/>
      <c r="R67" s="22" t="n"/>
      <c r="S67" s="22" t="n"/>
      <c r="T67" s="22" t="n"/>
      <c r="U67" s="22" t="n"/>
      <c r="V67" s="22" t="n"/>
      <c r="W67" s="22" t="n"/>
      <c r="X67" s="22">
        <f>'재무상태표'!G31</f>
        <v/>
      </c>
      <c r="Y67" s="21">
        <f>'재무상태표'!G31</f>
        <v/>
      </c>
      <c r="Z67" s="22">
        <f>'재무상태표'!G31</f>
        <v/>
      </c>
      <c r="AA67" s="22">
        <f>'재무상태표'!G31</f>
        <v/>
      </c>
      <c r="AB67" s="22">
        <f>'재무상태표'!G31</f>
        <v/>
      </c>
      <c r="AC67" s="22">
        <f>'재무상태표'!G31</f>
        <v/>
      </c>
    </row>
    <row r="68">
      <c r="A68" s="20" t="inlineStr">
        <is>
          <t>부채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>
        <f>'재무상태표'!G27</f>
        <v/>
      </c>
      <c r="Y68" s="21">
        <f>'재무상태표'!G27</f>
        <v/>
      </c>
      <c r="Z68" s="22">
        <f>'재무상태표'!G27</f>
        <v/>
      </c>
      <c r="AA68" s="22">
        <f>'재무상태표'!G27</f>
        <v/>
      </c>
      <c r="AB68" s="22">
        <f>'재무상태표'!G27</f>
        <v/>
      </c>
      <c r="AC68" s="22">
        <f>'재무상태표'!G27</f>
        <v/>
      </c>
    </row>
    <row r="69">
      <c r="A69" s="15" t="inlineStr">
        <is>
          <t>부채비율</t>
        </is>
      </c>
      <c r="B69" s="10" t="n"/>
      <c r="C69" s="16" t="n"/>
      <c r="D69" s="17" t="n"/>
      <c r="E69" s="17" t="n"/>
      <c r="F69" s="17" t="n"/>
      <c r="G69" s="17" t="n"/>
      <c r="H69" s="17" t="n"/>
      <c r="I69" s="17" t="n"/>
      <c r="J69" s="17" t="n"/>
      <c r="K69" s="17" t="n"/>
      <c r="L69" s="17" t="n"/>
      <c r="M69" s="17" t="n"/>
      <c r="N69" s="17" t="n"/>
      <c r="O69" s="16" t="n"/>
      <c r="P69" s="17" t="n"/>
      <c r="Q69" s="17" t="n"/>
      <c r="R69" s="17" t="n"/>
      <c r="S69" s="17" t="n"/>
      <c r="T69" s="17" t="n"/>
      <c r="U69" s="17" t="n"/>
      <c r="V69" s="17" t="n"/>
      <c r="W69" s="17" t="n"/>
      <c r="X69" s="17">
        <f>IF(OR(X68="",X67=""),"",IFERROR(X68/X67,""))</f>
        <v/>
      </c>
      <c r="Y69" s="16">
        <f>IF(OR(Y68="",Y67=""),"",IFERROR(Y68/Y67,""))</f>
        <v/>
      </c>
      <c r="Z69" s="17">
        <f>IF(OR(Z68="",Z67=""),"",IFERROR(Z68/Z67,""))</f>
        <v/>
      </c>
      <c r="AA69" s="17">
        <f>IF(OR(AA68="",AA67=""),"",IFERROR(AA68/AA67,""))</f>
        <v/>
      </c>
      <c r="AB69" s="17">
        <f>IF(OR(AB68="",AB67=""),"",IFERROR(AB68/AB67,""))</f>
        <v/>
      </c>
      <c r="AC69" s="17">
        <f>IF(OR(AC68="",AC67=""),"",IFERROR(AC68/AC67,""))</f>
        <v/>
      </c>
    </row>
    <row r="70">
      <c r="A70" s="9" t="inlineStr">
        <is>
          <t>자산가치</t>
        </is>
      </c>
      <c r="B70" s="10" t="inlineStr">
        <is>
          <t>현금+단기금융+투자부동산</t>
        </is>
      </c>
      <c r="C70" s="11" t="n"/>
      <c r="D70" s="12" t="n"/>
      <c r="E70" s="12" t="n"/>
      <c r="F70" s="12" t="n"/>
      <c r="G70" s="12" t="n"/>
      <c r="H70" s="12" t="n"/>
      <c r="I70" s="12" t="n"/>
      <c r="J70" s="12" t="n"/>
      <c r="K70" s="12" t="n"/>
      <c r="L70" s="12" t="n"/>
      <c r="M70" s="12" t="n"/>
      <c r="N70" s="12" t="n"/>
      <c r="O70" s="11" t="n"/>
      <c r="P70" s="12" t="n"/>
      <c r="Q70" s="12" t="n"/>
      <c r="R70" s="12" t="n"/>
      <c r="S70" s="12" t="n"/>
      <c r="T70" s="12" t="n"/>
      <c r="U70" s="12" t="n"/>
      <c r="V70" s="12" t="n"/>
      <c r="W70" s="12" t="n"/>
      <c r="X70" s="12">
        <f>SUM(X64,X65,X66)</f>
        <v/>
      </c>
      <c r="Y70" s="11">
        <f>SUM(Y64,Y65,Y66)</f>
        <v/>
      </c>
      <c r="Z70" s="12">
        <f>SUM(Z64,Z65,Z66)</f>
        <v/>
      </c>
      <c r="AA70" s="12">
        <f>SUM(AA64,AA65,AA66)</f>
        <v/>
      </c>
      <c r="AB70" s="12">
        <f>SUM(AB64,AB65,AB66)</f>
        <v/>
      </c>
      <c r="AC70" s="12">
        <f>SUM(AC64,AC65,AC66)</f>
        <v/>
      </c>
    </row>
    <row r="71">
      <c r="A71" s="18" t="inlineStr">
        <is>
          <t>기업가치 산출</t>
        </is>
      </c>
      <c r="B71" s="18" t="n"/>
      <c r="C71" s="19" t="n"/>
      <c r="D71" s="18" t="n"/>
      <c r="E71" s="18" t="n"/>
      <c r="F71" s="18" t="n"/>
      <c r="G71" s="18" t="n"/>
      <c r="H71" s="18" t="n"/>
      <c r="I71" s="18" t="n"/>
      <c r="J71" s="18" t="n"/>
      <c r="K71" s="18" t="n"/>
      <c r="L71" s="18" t="n"/>
      <c r="M71" s="18" t="n"/>
      <c r="N71" s="18" t="n"/>
      <c r="O71" s="19" t="n"/>
      <c r="P71" s="18" t="n"/>
      <c r="Q71" s="18" t="n"/>
      <c r="R71" s="18" t="n"/>
      <c r="S71" s="18" t="n"/>
      <c r="T71" s="18" t="n"/>
      <c r="U71" s="18" t="n"/>
      <c r="V71" s="18" t="n"/>
      <c r="W71" s="18" t="n"/>
      <c r="X71" s="18" t="n"/>
      <c r="Y71" s="19" t="n"/>
      <c r="Z71" s="18" t="n"/>
      <c r="AA71" s="18" t="n"/>
      <c r="AB71" s="18" t="n"/>
      <c r="AC71" s="18" t="n"/>
    </row>
    <row r="72">
      <c r="A72" s="20" t="inlineStr">
        <is>
          <t>목표 시가총액 (P/E)</t>
        </is>
      </c>
      <c r="B72" s="10" t="inlineStr">
        <is>
          <t>지배순이익 × Target P/E</t>
        </is>
      </c>
      <c r="C72" s="21" t="n"/>
      <c r="D72" s="22" t="n"/>
      <c r="E72" s="22" t="n"/>
      <c r="F72" s="22" t="n"/>
      <c r="G72" s="22" t="n"/>
      <c r="H72" s="22" t="n"/>
      <c r="I72" s="22" t="n"/>
      <c r="J72" s="22" t="n"/>
      <c r="K72" s="22" t="n"/>
      <c r="L72" s="22" t="n"/>
      <c r="M72" s="22" t="n"/>
      <c r="N72" s="22" t="n"/>
      <c r="O72" s="21" t="n"/>
      <c r="P72" s="22" t="n"/>
      <c r="Q72" s="22" t="n"/>
      <c r="R72" s="22" t="n"/>
      <c r="S72" s="22" t="n"/>
      <c r="T72" s="22" t="n"/>
      <c r="U72" s="22" t="n"/>
      <c r="V72" s="22" t="n"/>
      <c r="W72" s="22" t="n"/>
      <c r="X72" s="22" t="n"/>
      <c r="Y72" s="21">
        <f>IF(OR(Y49="",Y59=""),"",IFERROR(Y49*Y59,""))</f>
        <v/>
      </c>
      <c r="Z72" s="22">
        <f>IF(OR(Z49="",Z59=""),"",IFERROR(Z49*Z59,""))</f>
        <v/>
      </c>
      <c r="AA72" s="22">
        <f>IF(OR(AA49="",AA59=""),"",IFERROR(AA49*AA59,""))</f>
        <v/>
      </c>
      <c r="AB72" s="22">
        <f>IF(OR(AB49="",AB59=""),"",IFERROR(AB49*AB59,""))</f>
        <v/>
      </c>
      <c r="AC72" s="22">
        <f>IF(OR(AC49="",AC59=""),"",IFERROR(AC49*AC59,""))</f>
        <v/>
      </c>
    </row>
    <row r="73">
      <c r="A73" s="9" t="inlineStr">
        <is>
          <t>기업가치</t>
        </is>
      </c>
      <c r="B73" s="10" t="inlineStr">
        <is>
          <t>목표시총 + 자산가치</t>
        </is>
      </c>
      <c r="C73" s="11" t="n"/>
      <c r="D73" s="12" t="n"/>
      <c r="E73" s="12" t="n"/>
      <c r="F73" s="12" t="n"/>
      <c r="G73" s="12" t="n"/>
      <c r="H73" s="12" t="n"/>
      <c r="I73" s="12" t="n"/>
      <c r="J73" s="12" t="n"/>
      <c r="K73" s="12" t="n"/>
      <c r="L73" s="12" t="n"/>
      <c r="M73" s="12" t="n"/>
      <c r="N73" s="12" t="n"/>
      <c r="O73" s="11" t="n"/>
      <c r="P73" s="12" t="n"/>
      <c r="Q73" s="12" t="n"/>
      <c r="R73" s="12" t="n"/>
      <c r="S73" s="12" t="n"/>
      <c r="T73" s="12" t="n"/>
      <c r="U73" s="12" t="n"/>
      <c r="V73" s="12" t="n"/>
      <c r="W73" s="12" t="n"/>
      <c r="X73" s="12" t="n"/>
      <c r="Y73" s="11">
        <f>IF(OR(Y72=""),"",IFERROR(Y72+Y70,""))</f>
        <v/>
      </c>
      <c r="Z73" s="12">
        <f>IF(OR(Z72=""),"",IFERROR(Z72+Z70,""))</f>
        <v/>
      </c>
      <c r="AA73" s="12">
        <f>IF(OR(AA72=""),"",IFERROR(AA72+AA70,""))</f>
        <v/>
      </c>
      <c r="AB73" s="12">
        <f>IF(OR(AB72=""),"",IFERROR(AB72+AB70,""))</f>
        <v/>
      </c>
      <c r="AC73" s="12">
        <f>IF(OR(AC72=""),"",IFERROR(AC72+AC70,""))</f>
        <v/>
      </c>
    </row>
    <row r="74">
      <c r="A74" s="20" t="inlineStr">
        <is>
          <t>현재 시가총액</t>
        </is>
      </c>
      <c r="B74" s="10" t="n"/>
      <c r="C74" s="21" t="n"/>
      <c r="D74" s="22" t="n"/>
      <c r="E74" s="22" t="n"/>
      <c r="F74" s="22" t="n"/>
      <c r="G74" s="22" t="n"/>
      <c r="H74" s="22" t="n"/>
      <c r="I74" s="22" t="n"/>
      <c r="J74" s="22" t="n"/>
      <c r="K74" s="22" t="n"/>
      <c r="L74" s="22" t="n"/>
      <c r="M74" s="22" t="n"/>
      <c r="N74" s="22" t="n"/>
      <c r="O74" s="21" t="n"/>
      <c r="P74" s="22" t="n"/>
      <c r="Q74" s="22" t="n"/>
      <c r="R74" s="22" t="n"/>
      <c r="S74" s="22" t="n"/>
      <c r="T74" s="22" t="n"/>
      <c r="U74" s="22" t="n"/>
      <c r="V74" s="22" t="n"/>
      <c r="W74" s="22" t="n"/>
      <c r="X74" s="22" t="n"/>
      <c r="Y74" s="21">
        <f>$B$55</f>
        <v/>
      </c>
      <c r="Z74" s="22">
        <f>$B$55</f>
        <v/>
      </c>
      <c r="AA74" s="22">
        <f>$B$55</f>
        <v/>
      </c>
      <c r="AB74" s="22">
        <f>$B$55</f>
        <v/>
      </c>
      <c r="AC74" s="22">
        <f>$B$55</f>
        <v/>
      </c>
    </row>
    <row r="75">
      <c r="A75" s="20" t="inlineStr">
        <is>
          <t>상승여력</t>
        </is>
      </c>
      <c r="B75" s="10" t="n"/>
      <c r="C75" s="37" t="n"/>
      <c r="D75" s="38" t="n"/>
      <c r="E75" s="38" t="n"/>
      <c r="F75" s="38" t="n"/>
      <c r="G75" s="38" t="n"/>
      <c r="H75" s="38" t="n"/>
      <c r="I75" s="38" t="n"/>
      <c r="J75" s="38" t="n"/>
      <c r="K75" s="38" t="n"/>
      <c r="L75" s="38" t="n"/>
      <c r="M75" s="38" t="n"/>
      <c r="N75" s="38" t="n"/>
      <c r="O75" s="37" t="n"/>
      <c r="P75" s="38" t="n"/>
      <c r="Q75" s="38" t="n"/>
      <c r="R75" s="38" t="n"/>
      <c r="S75" s="38" t="n"/>
      <c r="T75" s="38" t="n"/>
      <c r="U75" s="38" t="n"/>
      <c r="V75" s="38" t="n"/>
      <c r="W75" s="38" t="n"/>
      <c r="X75" s="38" t="n"/>
      <c r="Y75" s="39">
        <f>IF(OR(Y73="",Y74=""),"",IFERROR(Y73/Y74-1,""))</f>
        <v/>
      </c>
      <c r="Z75" s="40">
        <f>IF(OR(Z73="",Z74=""),"",IFERROR(Z73/Z74-1,""))</f>
        <v/>
      </c>
      <c r="AA75" s="40">
        <f>IF(OR(AA73="",AA74=""),"",IFERROR(AA73/AA74-1,""))</f>
        <v/>
      </c>
      <c r="AB75" s="40">
        <f>IF(OR(AB73="",AB74=""),"",IFERROR(AB73/AB74-1,""))</f>
        <v/>
      </c>
      <c r="AC75" s="40">
        <f>IF(OR(AC73="",AC74=""),"",IFERROR(AC73/AC74-1,""))</f>
        <v/>
      </c>
    </row>
    <row r="76">
      <c r="C76" s="41" t="n"/>
      <c r="O76" s="41" t="n"/>
      <c r="Y76" s="41" t="n"/>
    </row>
    <row r="77">
      <c r="A77" s="42" t="inlineStr">
        <is>
          <t>출처</t>
        </is>
      </c>
      <c r="C77" s="41" t="n"/>
      <c r="O77" s="41" t="n"/>
      <c r="Y77" s="41" t="n"/>
    </row>
    <row r="78">
      <c r="A78" s="43" t="inlineStr">
        <is>
          <t>결산단신 XBRL(TDnet·JPX 보관소) — 쓴 문서는 '출처' 시트</t>
        </is>
      </c>
      <c r="C78" s="41" t="n"/>
      <c r="O78" s="41" t="n"/>
      <c r="Y78" s="41" t="n"/>
    </row>
    <row r="79">
      <c r="A79" s="43" t="inlineStr">
        <is>
          <t>분기 = 누계에서 앞 분기를 뺀 3개월 값</t>
        </is>
      </c>
      <c r="C79" s="41" t="n"/>
      <c r="O79" s="41" t="n"/>
      <c r="Y79" s="41" t="n"/>
    </row>
    <row r="80">
      <c r="A80" s="43" t="inlineStr">
        <is>
          <t>주가: 야후 파이낸스 일봉</t>
        </is>
      </c>
      <c r="C80" s="41" t="n"/>
      <c r="O80" s="41" t="n"/>
      <c r="Y80" s="41" t="n"/>
    </row>
    <row r="82">
      <c r="A82" s="18" t="inlineStr">
        <is>
          <t>손익계산서 · 전 항목</t>
        </is>
      </c>
      <c r="B82" s="44" t="inlineStr">
        <is>
          <t>분기 = 3개월 단독</t>
        </is>
      </c>
      <c r="C82" s="18" t="n"/>
      <c r="D82" s="18" t="n"/>
      <c r="E82" s="18" t="n"/>
      <c r="F82" s="18" t="n"/>
      <c r="G82" s="18" t="n"/>
      <c r="H82" s="18" t="n"/>
      <c r="I82" s="18" t="n"/>
      <c r="J82" s="18" t="n"/>
      <c r="K82" s="18" t="n"/>
      <c r="L82" s="18" t="n"/>
      <c r="M82" s="18" t="n"/>
      <c r="N82" s="18" t="n"/>
      <c r="O82" s="18" t="n"/>
      <c r="P82" s="18" t="n"/>
      <c r="Q82" s="18" t="n"/>
      <c r="R82" s="18" t="n"/>
      <c r="S82" s="18" t="n"/>
      <c r="T82" s="18" t="n"/>
      <c r="U82" s="18" t="n"/>
      <c r="V82" s="18" t="n"/>
      <c r="W82" s="18" t="n"/>
      <c r="X82" s="18" t="n"/>
      <c r="Y82" s="18" t="n"/>
      <c r="Z82" s="18" t="n"/>
      <c r="AA82" s="18" t="n"/>
      <c r="AB82" s="18" t="n"/>
      <c r="AC82" s="18" t="n"/>
    </row>
    <row r="83">
      <c r="A83" s="5" t="inlineStr">
        <is>
          <t>항목</t>
        </is>
      </c>
      <c r="B83" s="5" t="inlineStr">
        <is>
          <t>참고</t>
        </is>
      </c>
      <c r="C83" s="5" t="inlineStr">
        <is>
          <t>2024.1Q</t>
        </is>
      </c>
      <c r="D83" s="5" t="inlineStr">
        <is>
          <t>2024.2Q</t>
        </is>
      </c>
      <c r="E83" s="5" t="inlineStr">
        <is>
          <t>2024.3Q</t>
        </is>
      </c>
      <c r="F83" s="5" t="inlineStr">
        <is>
          <t>2024.4Q</t>
        </is>
      </c>
      <c r="G83" s="5" t="inlineStr">
        <is>
          <t>2025.1Q</t>
        </is>
      </c>
      <c r="H83" s="5" t="inlineStr">
        <is>
          <t>2025.2Q</t>
        </is>
      </c>
      <c r="I83" s="5" t="inlineStr">
        <is>
          <t>2025.3Q</t>
        </is>
      </c>
      <c r="J83" s="5" t="inlineStr">
        <is>
          <t>2025.4Q</t>
        </is>
      </c>
      <c r="K83" s="5" t="inlineStr">
        <is>
          <t>2026.1Q</t>
        </is>
      </c>
      <c r="L83" s="5" t="inlineStr">
        <is>
          <t>2026.2Q</t>
        </is>
      </c>
      <c r="M83" s="5" t="inlineStr">
        <is>
          <t>2026.3Q</t>
        </is>
      </c>
      <c r="N83" s="5" t="inlineStr">
        <is>
          <t>2026.4Q</t>
        </is>
      </c>
      <c r="O83" s="5" t="inlineStr">
        <is>
          <t>2017</t>
        </is>
      </c>
      <c r="P83" s="5" t="inlineStr">
        <is>
          <t>2018</t>
        </is>
      </c>
      <c r="Q83" s="5" t="inlineStr">
        <is>
          <t>2019</t>
        </is>
      </c>
      <c r="R83" s="5" t="inlineStr">
        <is>
          <t>2020</t>
        </is>
      </c>
      <c r="S83" s="5" t="inlineStr">
        <is>
          <t>2021</t>
        </is>
      </c>
      <c r="T83" s="5" t="inlineStr">
        <is>
          <t>2022</t>
        </is>
      </c>
      <c r="U83" s="5" t="inlineStr">
        <is>
          <t>2023</t>
        </is>
      </c>
      <c r="V83" s="5" t="inlineStr">
        <is>
          <t>2024</t>
        </is>
      </c>
      <c r="W83" s="5" t="inlineStr">
        <is>
          <t>2025</t>
        </is>
      </c>
      <c r="X83" s="5" t="inlineStr">
        <is>
          <t>2026</t>
        </is>
      </c>
      <c r="Y83" s="5" t="inlineStr">
        <is>
          <t>2027(MW)</t>
        </is>
      </c>
      <c r="Z83" s="5" t="inlineStr">
        <is>
          <t>2028(MW)</t>
        </is>
      </c>
      <c r="AA83" s="5" t="inlineStr">
        <is>
          <t>2029(MW)</t>
        </is>
      </c>
      <c r="AB83" s="5" t="inlineStr">
        <is>
          <t>2030(MW)</t>
        </is>
      </c>
      <c r="AC83" s="5" t="inlineStr">
        <is>
          <t>2031(MW)</t>
        </is>
      </c>
    </row>
    <row r="84">
      <c r="A84" s="9" t="inlineStr">
        <is>
          <t>매출액</t>
        </is>
      </c>
      <c r="F84" s="12" t="n">
        <v>219.337</v>
      </c>
      <c r="G84" s="12" t="n">
        <v>681.9299999999999</v>
      </c>
      <c r="H84" s="12" t="n">
        <v>972.877</v>
      </c>
      <c r="I84" s="12" t="n">
        <v>314.592</v>
      </c>
      <c r="J84" s="12" t="n">
        <v>585.647</v>
      </c>
      <c r="K84" s="12" t="n">
        <v>730.585</v>
      </c>
      <c r="L84" s="12" t="n">
        <v>178.465</v>
      </c>
      <c r="M84" s="12" t="n">
        <v>2226.174</v>
      </c>
      <c r="N84" s="12" t="n">
        <v>3885.273</v>
      </c>
      <c r="V84" s="12" t="n">
        <v>219.337</v>
      </c>
      <c r="W84" s="12" t="n">
        <v>585.647</v>
      </c>
      <c r="X84" s="12" t="n">
        <v>3885.273</v>
      </c>
    </row>
    <row r="85">
      <c r="A85" s="45" t="inlineStr">
        <is>
          <t>YoY</t>
        </is>
      </c>
      <c r="B85" s="3" t="inlineStr">
        <is>
          <t>전년 같은 분기·전년 대비</t>
        </is>
      </c>
      <c r="G85" s="17">
        <f>IF(OR(G84="",C84=""),"",IF(C84&lt;=0,"",IFERROR(G84/C84-1,"")))</f>
        <v/>
      </c>
      <c r="H85" s="17">
        <f>IF(OR(H84="",D84=""),"",IF(D84&lt;=0,"",IFERROR(H84/D84-1,"")))</f>
        <v/>
      </c>
      <c r="I85" s="17">
        <f>IF(OR(I84="",E84=""),"",IF(E84&lt;=0,"",IFERROR(I84/E84-1,"")))</f>
        <v/>
      </c>
      <c r="J85" s="17">
        <f>IF(OR(J84="",F84=""),"",IF(F84&lt;=0,"",IFERROR(J84/F84-1,"")))</f>
        <v/>
      </c>
      <c r="K85" s="17">
        <f>IF(OR(K84="",G84=""),"",IF(G84&lt;=0,"",IFERROR(K84/G84-1,"")))</f>
        <v/>
      </c>
      <c r="L85" s="17">
        <f>IF(OR(L84="",H84=""),"",IF(H84&lt;=0,"",IFERROR(L84/H84-1,"")))</f>
        <v/>
      </c>
      <c r="M85" s="17">
        <f>IF(OR(M84="",I84=""),"",IF(I84&lt;=0,"",IFERROR(M84/I84-1,"")))</f>
        <v/>
      </c>
      <c r="N85" s="17">
        <f>IF(OR(N84="",J84=""),"",IF(J84&lt;=0,"",IFERROR(N84/J84-1,"")))</f>
        <v/>
      </c>
      <c r="V85" s="17">
        <f>IF(OR(V84="",U84=""),"",IF(U84&lt;=0,"",IFERROR(V84/U84-1,"")))</f>
        <v/>
      </c>
      <c r="W85" s="17">
        <f>IF(OR(W84="",V84=""),"",IF(V84&lt;=0,"",IFERROR(W84/V84-1,"")))</f>
        <v/>
      </c>
      <c r="X85" s="17">
        <f>IF(OR(X84="",W84=""),"",IF(W84&lt;=0,"",IFERROR(X84/W84-1,"")))</f>
        <v/>
      </c>
    </row>
    <row r="86">
      <c r="A86" s="20" t="inlineStr">
        <is>
          <t>매출원가</t>
        </is>
      </c>
      <c r="F86" s="22" t="n">
        <v>93.727</v>
      </c>
      <c r="G86" s="22" t="n">
        <v>255.855</v>
      </c>
      <c r="H86" s="22" t="n">
        <v>627.894</v>
      </c>
      <c r="I86" s="22" t="n">
        <v>179.79</v>
      </c>
      <c r="J86" s="22" t="n">
        <v>372.086</v>
      </c>
      <c r="K86" s="22" t="n">
        <v>331.295</v>
      </c>
      <c r="L86" s="22" t="n">
        <v>103.926</v>
      </c>
      <c r="M86" s="22" t="n">
        <v>1597.534</v>
      </c>
      <c r="N86" s="22" t="n">
        <v>3171.325</v>
      </c>
      <c r="V86" s="22" t="n">
        <v>93.727</v>
      </c>
      <c r="W86" s="22" t="n">
        <v>372.086</v>
      </c>
      <c r="X86" s="22" t="n">
        <v>3171.325</v>
      </c>
    </row>
    <row r="87">
      <c r="A87" s="45" t="inlineStr">
        <is>
          <t>YoY</t>
        </is>
      </c>
      <c r="B87" s="3" t="inlineStr">
        <is>
          <t>전년 같은 분기·전년 대비</t>
        </is>
      </c>
      <c r="G87" s="17">
        <f>IF(OR(G86="",C86=""),"",IF(G86*C86&lt;=0,"",IFERROR(G86/C86-1,"")))</f>
        <v/>
      </c>
      <c r="H87" s="17">
        <f>IF(OR(H86="",D86=""),"",IF(H86*D86&lt;=0,"",IFERROR(H86/D86-1,"")))</f>
        <v/>
      </c>
      <c r="I87" s="17">
        <f>IF(OR(I86="",E86=""),"",IF(I86*E86&lt;=0,"",IFERROR(I86/E86-1,"")))</f>
        <v/>
      </c>
      <c r="J87" s="17">
        <f>IF(OR(J86="",F86=""),"",IF(J86*F86&lt;=0,"",IFERROR(J86/F86-1,"")))</f>
        <v/>
      </c>
      <c r="K87" s="17">
        <f>IF(OR(K86="",G86=""),"",IF(K86*G86&lt;=0,"",IFERROR(K86/G86-1,"")))</f>
        <v/>
      </c>
      <c r="L87" s="17">
        <f>IF(OR(L86="",H86=""),"",IF(L86*H86&lt;=0,"",IFERROR(L86/H86-1,"")))</f>
        <v/>
      </c>
      <c r="M87" s="17">
        <f>IF(OR(M86="",I86=""),"",IF(M86*I86&lt;=0,"",IFERROR(M86/I86-1,"")))</f>
        <v/>
      </c>
      <c r="N87" s="17">
        <f>IF(OR(N86="",J86=""),"",IF(N86*J86&lt;=0,"",IFERROR(N86/J86-1,"")))</f>
        <v/>
      </c>
      <c r="V87" s="17">
        <f>IF(OR(V86="",U86=""),"",IF(V86*U86&lt;=0,"",IFERROR(V86/U86-1,"")))</f>
        <v/>
      </c>
      <c r="W87" s="17">
        <f>IF(OR(W86="",V86=""),"",IF(W86*V86&lt;=0,"",IFERROR(W86/V86-1,"")))</f>
        <v/>
      </c>
      <c r="X87" s="17">
        <f>IF(OR(X86="",W86=""),"",IF(X86*W86&lt;=0,"",IFERROR(X86/W86-1,"")))</f>
        <v/>
      </c>
    </row>
    <row r="88">
      <c r="A88" s="9" t="inlineStr">
        <is>
          <t>매출총이익</t>
        </is>
      </c>
      <c r="F88" s="12" t="n">
        <v>125.609</v>
      </c>
      <c r="G88" s="12" t="n">
        <v>426.075</v>
      </c>
      <c r="H88" s="12" t="n">
        <v>344.982</v>
      </c>
      <c r="I88" s="12" t="n">
        <v>134.803</v>
      </c>
      <c r="J88" s="12" t="n">
        <v>213.56</v>
      </c>
      <c r="K88" s="12" t="n">
        <v>399.289</v>
      </c>
      <c r="L88" s="12" t="n">
        <v>74.539</v>
      </c>
      <c r="M88" s="12" t="n">
        <v>628.64</v>
      </c>
      <c r="N88" s="12" t="n">
        <v>713.948</v>
      </c>
      <c r="V88" s="12" t="n">
        <v>125.609</v>
      </c>
      <c r="W88" s="12" t="n">
        <v>213.56</v>
      </c>
      <c r="X88" s="12" t="n">
        <v>713.948</v>
      </c>
    </row>
    <row r="89">
      <c r="A89" s="45" t="inlineStr">
        <is>
          <t>YoY</t>
        </is>
      </c>
      <c r="B89" s="3" t="inlineStr">
        <is>
          <t>전년 같은 분기·전년 대비</t>
        </is>
      </c>
      <c r="G89" s="17">
        <f>IF(OR(G88="",C88=""),"",IF(C88&lt;=0,"",IFERROR(G88/C88-1,"")))</f>
        <v/>
      </c>
      <c r="H89" s="17">
        <f>IF(OR(H88="",D88=""),"",IF(D88&lt;=0,"",IFERROR(H88/D88-1,"")))</f>
        <v/>
      </c>
      <c r="I89" s="17">
        <f>IF(OR(I88="",E88=""),"",IF(E88&lt;=0,"",IFERROR(I88/E88-1,"")))</f>
        <v/>
      </c>
      <c r="J89" s="17">
        <f>IF(OR(J88="",F88=""),"",IF(F88&lt;=0,"",IFERROR(J88/F88-1,"")))</f>
        <v/>
      </c>
      <c r="K89" s="17">
        <f>IF(OR(K88="",G88=""),"",IF(G88&lt;=0,"",IFERROR(K88/G88-1,"")))</f>
        <v/>
      </c>
      <c r="L89" s="17">
        <f>IF(OR(L88="",H88=""),"",IF(H88&lt;=0,"",IFERROR(L88/H88-1,"")))</f>
        <v/>
      </c>
      <c r="M89" s="17">
        <f>IF(OR(M88="",I88=""),"",IF(I88&lt;=0,"",IFERROR(M88/I88-1,"")))</f>
        <v/>
      </c>
      <c r="N89" s="17">
        <f>IF(OR(N88="",J88=""),"",IF(J88&lt;=0,"",IFERROR(N88/J88-1,"")))</f>
        <v/>
      </c>
      <c r="V89" s="17">
        <f>IF(OR(V88="",U88=""),"",IF(U88&lt;=0,"",IFERROR(V88/U88-1,"")))</f>
        <v/>
      </c>
      <c r="W89" s="17">
        <f>IF(OR(W88="",V88=""),"",IF(V88&lt;=0,"",IFERROR(W88/V88-1,"")))</f>
        <v/>
      </c>
      <c r="X89" s="17">
        <f>IF(OR(X88="",W88=""),"",IF(W88&lt;=0,"",IFERROR(X88/W88-1,"")))</f>
        <v/>
      </c>
    </row>
    <row r="90">
      <c r="A90" s="20" t="inlineStr">
        <is>
          <t>판매비와 관리비</t>
        </is>
      </c>
      <c r="F90" s="22" t="n">
        <v>135.333</v>
      </c>
      <c r="G90" s="22" t="n">
        <v>118.964</v>
      </c>
      <c r="H90" s="22" t="n">
        <v>124.32</v>
      </c>
      <c r="I90" s="22" t="n">
        <v>124.284</v>
      </c>
      <c r="J90" s="22" t="n">
        <v>138.854</v>
      </c>
      <c r="K90" s="22" t="n">
        <v>155.948</v>
      </c>
      <c r="L90" s="22" t="n">
        <v>159.973</v>
      </c>
      <c r="M90" s="22" t="n">
        <v>177.053</v>
      </c>
      <c r="N90" s="22" t="n">
        <v>179.065</v>
      </c>
      <c r="V90" s="22" t="n">
        <v>135.333</v>
      </c>
      <c r="W90" s="22" t="n">
        <v>138.854</v>
      </c>
      <c r="X90" s="22" t="n">
        <v>179.065</v>
      </c>
    </row>
    <row r="91">
      <c r="A91" s="45" t="inlineStr">
        <is>
          <t>YoY</t>
        </is>
      </c>
      <c r="B91" s="3" t="inlineStr">
        <is>
          <t>전년 같은 분기·전년 대비</t>
        </is>
      </c>
      <c r="G91" s="17">
        <f>IF(OR(G90="",C90=""),"",IF(G90*C90&lt;=0,"",IFERROR(G90/C90-1,"")))</f>
        <v/>
      </c>
      <c r="H91" s="17">
        <f>IF(OR(H90="",D90=""),"",IF(H90*D90&lt;=0,"",IFERROR(H90/D90-1,"")))</f>
        <v/>
      </c>
      <c r="I91" s="17">
        <f>IF(OR(I90="",E90=""),"",IF(I90*E90&lt;=0,"",IFERROR(I90/E90-1,"")))</f>
        <v/>
      </c>
      <c r="J91" s="17">
        <f>IF(OR(J90="",F90=""),"",IF(J90*F90&lt;=0,"",IFERROR(J90/F90-1,"")))</f>
        <v/>
      </c>
      <c r="K91" s="17">
        <f>IF(OR(K90="",G90=""),"",IF(K90*G90&lt;=0,"",IFERROR(K90/G90-1,"")))</f>
        <v/>
      </c>
      <c r="L91" s="17">
        <f>IF(OR(L90="",H90=""),"",IF(L90*H90&lt;=0,"",IFERROR(L90/H90-1,"")))</f>
        <v/>
      </c>
      <c r="M91" s="17">
        <f>IF(OR(M90="",I90=""),"",IF(M90*I90&lt;=0,"",IFERROR(M90/I90-1,"")))</f>
        <v/>
      </c>
      <c r="N91" s="17">
        <f>IF(OR(N90="",J90=""),"",IF(N90*J90&lt;=0,"",IFERROR(N90/J90-1,"")))</f>
        <v/>
      </c>
      <c r="V91" s="17">
        <f>IF(OR(V90="",U90=""),"",IF(V90*U90&lt;=0,"",IFERROR(V90/U90-1,"")))</f>
        <v/>
      </c>
      <c r="W91" s="17">
        <f>IF(OR(W90="",V90=""),"",IF(W90*V90&lt;=0,"",IFERROR(W90/V90-1,"")))</f>
        <v/>
      </c>
      <c r="X91" s="17">
        <f>IF(OR(X90="",W90=""),"",IF(X90*W90&lt;=0,"",IFERROR(X90/W90-1,"")))</f>
        <v/>
      </c>
    </row>
    <row r="92">
      <c r="A92" s="9" t="inlineStr">
        <is>
          <t>영업이익</t>
        </is>
      </c>
      <c r="F92" s="12" t="n">
        <v>-9.723000000000001</v>
      </c>
      <c r="G92" s="12" t="n">
        <v>307.11</v>
      </c>
      <c r="H92" s="12" t="n">
        <v>220.662</v>
      </c>
      <c r="I92" s="12" t="n">
        <v>10.52</v>
      </c>
      <c r="J92" s="12" t="n">
        <v>74.706</v>
      </c>
      <c r="K92" s="12" t="n">
        <v>243.341</v>
      </c>
      <c r="L92" s="12" t="n">
        <v>-85.434</v>
      </c>
      <c r="M92" s="12" t="n">
        <v>451.587</v>
      </c>
      <c r="N92" s="12" t="n">
        <v>534.8819999999999</v>
      </c>
      <c r="V92" s="12" t="n">
        <v>-9.723000000000001</v>
      </c>
      <c r="W92" s="12" t="n">
        <v>74.706</v>
      </c>
      <c r="X92" s="12" t="n">
        <v>534.8819999999999</v>
      </c>
    </row>
    <row r="93">
      <c r="A93" s="45" t="inlineStr">
        <is>
          <t>OPM</t>
        </is>
      </c>
      <c r="B93" s="3" t="inlineStr">
        <is>
          <t>영업이익 ÷ 매출</t>
        </is>
      </c>
      <c r="F93" s="17">
        <f>IF(OR(F92="",F84=""),"",IF(F84&lt;=0,"",IFERROR(F92/F84,"")))</f>
        <v/>
      </c>
      <c r="G93" s="17">
        <f>IF(OR(G92="",G84=""),"",IF(G84&lt;=0,"",IFERROR(G92/G84,"")))</f>
        <v/>
      </c>
      <c r="H93" s="17">
        <f>IF(OR(H92="",H84=""),"",IF(H84&lt;=0,"",IFERROR(H92/H84,"")))</f>
        <v/>
      </c>
      <c r="I93" s="17">
        <f>IF(OR(I92="",I84=""),"",IF(I84&lt;=0,"",IFERROR(I92/I84,"")))</f>
        <v/>
      </c>
      <c r="J93" s="17">
        <f>IF(OR(J92="",J84=""),"",IF(J84&lt;=0,"",IFERROR(J92/J84,"")))</f>
        <v/>
      </c>
      <c r="K93" s="17">
        <f>IF(OR(K92="",K84=""),"",IF(K84&lt;=0,"",IFERROR(K92/K84,"")))</f>
        <v/>
      </c>
      <c r="L93" s="17">
        <f>IF(OR(L92="",L84=""),"",IF(L84&lt;=0,"",IFERROR(L92/L84,"")))</f>
        <v/>
      </c>
      <c r="M93" s="17">
        <f>IF(OR(M92="",M84=""),"",IF(M84&lt;=0,"",IFERROR(M92/M84,"")))</f>
        <v/>
      </c>
      <c r="N93" s="17">
        <f>IF(OR(N92="",N84=""),"",IF(N84&lt;=0,"",IFERROR(N92/N84,"")))</f>
        <v/>
      </c>
      <c r="V93" s="17">
        <f>IF(OR(V92="",V84=""),"",IF(V84&lt;=0,"",IFERROR(V92/V84,"")))</f>
        <v/>
      </c>
      <c r="W93" s="17">
        <f>IF(OR(W92="",W84=""),"",IF(W84&lt;=0,"",IFERROR(W92/W84,"")))</f>
        <v/>
      </c>
      <c r="X93" s="17">
        <f>IF(OR(X92="",X84=""),"",IF(X84&lt;=0,"",IFERROR(X92/X84,"")))</f>
        <v/>
      </c>
    </row>
    <row r="94">
      <c r="A94" s="45" t="inlineStr">
        <is>
          <t>YoY</t>
        </is>
      </c>
      <c r="B94" s="3" t="inlineStr">
        <is>
          <t>전년 같은 분기·전년 대비</t>
        </is>
      </c>
      <c r="G94" s="17">
        <f>IF(OR(G92="",C92=""),"",IF(C92&lt;=0,"",IFERROR(G92/C92-1,"")))</f>
        <v/>
      </c>
      <c r="H94" s="17">
        <f>IF(OR(H92="",D92=""),"",IF(D92&lt;=0,"",IFERROR(H92/D92-1,"")))</f>
        <v/>
      </c>
      <c r="I94" s="17">
        <f>IF(OR(I92="",E92=""),"",IF(E92&lt;=0,"",IFERROR(I92/E92-1,"")))</f>
        <v/>
      </c>
      <c r="J94" s="17">
        <f>IF(OR(J92="",F92=""),"",IF(F92&lt;=0,"",IFERROR(J92/F92-1,"")))</f>
        <v/>
      </c>
      <c r="K94" s="17">
        <f>IF(OR(K92="",G92=""),"",IF(G92&lt;=0,"",IFERROR(K92/G92-1,"")))</f>
        <v/>
      </c>
      <c r="L94" s="17">
        <f>IF(OR(L92="",H92=""),"",IF(H92&lt;=0,"",IFERROR(L92/H92-1,"")))</f>
        <v/>
      </c>
      <c r="M94" s="17">
        <f>IF(OR(M92="",I92=""),"",IF(I92&lt;=0,"",IFERROR(M92/I92-1,"")))</f>
        <v/>
      </c>
      <c r="N94" s="17">
        <f>IF(OR(N92="",J92=""),"",IF(J92&lt;=0,"",IFERROR(N92/J92-1,"")))</f>
        <v/>
      </c>
      <c r="V94" s="17">
        <f>IF(OR(V92="",U92=""),"",IF(U92&lt;=0,"",IFERROR(V92/U92-1,"")))</f>
        <v/>
      </c>
      <c r="W94" s="17">
        <f>IF(OR(W92="",V92=""),"",IF(V92&lt;=0,"",IFERROR(W92/V92-1,"")))</f>
        <v/>
      </c>
      <c r="X94" s="17">
        <f>IF(OR(X92="",W92=""),"",IF(W92&lt;=0,"",IFERROR(X92/W92-1,"")))</f>
        <v/>
      </c>
    </row>
    <row r="95">
      <c r="A95" s="20" t="inlineStr">
        <is>
          <t>이자수익</t>
        </is>
      </c>
      <c r="F95" s="22" t="n">
        <v>0.02</v>
      </c>
      <c r="G95" s="22" t="n">
        <v>0.008999999999999999</v>
      </c>
      <c r="H95" s="22" t="n">
        <v>0.401</v>
      </c>
      <c r="I95" s="22" t="n">
        <v>0.026</v>
      </c>
      <c r="J95" s="22" t="n">
        <v>1.666</v>
      </c>
      <c r="K95" s="22" t="n">
        <v>0.367</v>
      </c>
      <c r="L95" s="22" t="n">
        <v>2.643</v>
      </c>
      <c r="M95" s="22" t="n">
        <v>0.726</v>
      </c>
      <c r="N95" s="22" t="n">
        <v>3.285</v>
      </c>
      <c r="V95" s="22" t="n">
        <v>0.02</v>
      </c>
      <c r="W95" s="22" t="n">
        <v>1.666</v>
      </c>
      <c r="X95" s="22" t="n">
        <v>3.285</v>
      </c>
    </row>
    <row r="96">
      <c r="A96" s="20" t="inlineStr">
        <is>
          <t>외환차익</t>
        </is>
      </c>
      <c r="G96" s="22" t="n">
        <v>0.017</v>
      </c>
      <c r="H96" s="22" t="n">
        <v>0.008999999999999999</v>
      </c>
      <c r="I96" s="22" t="n">
        <v>-0.007</v>
      </c>
    </row>
    <row r="97">
      <c r="A97" s="20" t="inlineStr">
        <is>
          <t>보험 해약환급금</t>
        </is>
      </c>
      <c r="F97" s="22" t="n">
        <v>0</v>
      </c>
      <c r="G97" s="22" t="n">
        <v>0.488</v>
      </c>
      <c r="H97" s="22" t="n">
        <v>0</v>
      </c>
      <c r="I97" s="22" t="n">
        <v>0.226</v>
      </c>
      <c r="J97" s="22" t="n">
        <v>0.492</v>
      </c>
      <c r="K97" s="22" t="n">
        <v>0.264</v>
      </c>
      <c r="L97" s="22" t="n">
        <v>-0.264</v>
      </c>
      <c r="M97" s="22" t="n">
        <v>0</v>
      </c>
      <c r="N97" s="22" t="n">
        <v>0</v>
      </c>
      <c r="V97" s="22" t="n">
        <v>0</v>
      </c>
      <c r="W97" s="22" t="n">
        <v>0.492</v>
      </c>
      <c r="X97" s="22" t="n">
        <v>0</v>
      </c>
    </row>
    <row r="98">
      <c r="A98" s="20" t="inlineStr">
        <is>
          <t>소비세 등 차액</t>
        </is>
      </c>
      <c r="F98" s="22" t="n">
        <v>-0.282</v>
      </c>
      <c r="J98" s="22" t="n">
        <v>0</v>
      </c>
      <c r="V98" s="22" t="n">
        <v>-0.282</v>
      </c>
      <c r="W98" s="22" t="n">
        <v>0</v>
      </c>
    </row>
    <row r="99">
      <c r="A99" s="20" t="inlineStr">
        <is>
          <t>기타</t>
        </is>
      </c>
      <c r="F99" s="22" t="n">
        <v>0.152</v>
      </c>
      <c r="G99" s="22" t="n">
        <v>0.017</v>
      </c>
      <c r="H99" s="22" t="n">
        <v>0.228</v>
      </c>
      <c r="I99" s="22" t="n">
        <v>0.058</v>
      </c>
      <c r="J99" s="22" t="n">
        <v>0.142</v>
      </c>
      <c r="K99" s="22" t="n">
        <v>0.064</v>
      </c>
      <c r="L99" s="22" t="n">
        <v>0.713</v>
      </c>
      <c r="M99" s="22" t="n">
        <v>0.064</v>
      </c>
      <c r="N99" s="22" t="n">
        <v>0.955</v>
      </c>
      <c r="V99" s="22" t="n">
        <v>0.152</v>
      </c>
      <c r="W99" s="22" t="n">
        <v>0.142</v>
      </c>
      <c r="X99" s="22" t="n">
        <v>0.955</v>
      </c>
    </row>
    <row r="100">
      <c r="A100" s="20" t="inlineStr">
        <is>
          <t>영업외수익 합계</t>
        </is>
      </c>
      <c r="F100" s="22" t="n">
        <v>-0.169</v>
      </c>
      <c r="G100" s="22" t="n">
        <v>0.514</v>
      </c>
      <c r="H100" s="22" t="n">
        <v>0.63</v>
      </c>
      <c r="I100" s="22" t="n">
        <v>0.31</v>
      </c>
      <c r="J100" s="22" t="n">
        <v>2.3</v>
      </c>
      <c r="K100" s="22" t="n">
        <v>0.696</v>
      </c>
      <c r="L100" s="22" t="n">
        <v>3.092</v>
      </c>
      <c r="M100" s="22" t="n">
        <v>0.789</v>
      </c>
      <c r="N100" s="22" t="n">
        <v>4.24</v>
      </c>
      <c r="V100" s="22" t="n">
        <v>-0.169</v>
      </c>
      <c r="W100" s="22" t="n">
        <v>2.3</v>
      </c>
      <c r="X100" s="22" t="n">
        <v>4.24</v>
      </c>
    </row>
    <row r="101">
      <c r="A101" s="45" t="inlineStr">
        <is>
          <t>YoY</t>
        </is>
      </c>
      <c r="B101" s="3" t="inlineStr">
        <is>
          <t>전년 같은 분기·전년 대비</t>
        </is>
      </c>
      <c r="G101" s="17">
        <f>IF(OR(G100="",C100=""),"",IF(G100*C100&lt;=0,"",IFERROR(G100/C100-1,"")))</f>
        <v/>
      </c>
      <c r="H101" s="17">
        <f>IF(OR(H100="",D100=""),"",IF(H100*D100&lt;=0,"",IFERROR(H100/D100-1,"")))</f>
        <v/>
      </c>
      <c r="I101" s="17">
        <f>IF(OR(I100="",E100=""),"",IF(I100*E100&lt;=0,"",IFERROR(I100/E100-1,"")))</f>
        <v/>
      </c>
      <c r="J101" s="17">
        <f>IF(OR(J100="",F100=""),"",IF(J100*F100&lt;=0,"",IFERROR(J100/F100-1,"")))</f>
        <v/>
      </c>
      <c r="K101" s="17">
        <f>IF(OR(K100="",G100=""),"",IF(K100*G100&lt;=0,"",IFERROR(K100/G100-1,"")))</f>
        <v/>
      </c>
      <c r="L101" s="17">
        <f>IF(OR(L100="",H100=""),"",IF(L100*H100&lt;=0,"",IFERROR(L100/H100-1,"")))</f>
        <v/>
      </c>
      <c r="M101" s="17">
        <f>IF(OR(M100="",I100=""),"",IF(M100*I100&lt;=0,"",IFERROR(M100/I100-1,"")))</f>
        <v/>
      </c>
      <c r="N101" s="17">
        <f>IF(OR(N100="",J100=""),"",IF(N100*J100&lt;=0,"",IFERROR(N100/J100-1,"")))</f>
        <v/>
      </c>
      <c r="V101" s="17">
        <f>IF(OR(V100="",U100=""),"",IF(V100*U100&lt;=0,"",IFERROR(V100/U100-1,"")))</f>
        <v/>
      </c>
      <c r="W101" s="17">
        <f>IF(OR(W100="",V100=""),"",IF(W100*V100&lt;=0,"",IFERROR(W100/V100-1,"")))</f>
        <v/>
      </c>
      <c r="X101" s="17">
        <f>IF(OR(X100="",W100=""),"",IF(X100*W100&lt;=0,"",IFERROR(X100/W100-1,"")))</f>
        <v/>
      </c>
    </row>
    <row r="102">
      <c r="A102" s="20" t="inlineStr">
        <is>
          <t>이자비용</t>
        </is>
      </c>
      <c r="F102" s="22" t="n">
        <v>0.857</v>
      </c>
      <c r="G102" s="22" t="n">
        <v>0.131</v>
      </c>
      <c r="H102" s="22" t="n">
        <v>0.16</v>
      </c>
      <c r="I102" s="22" t="n">
        <v>0.12</v>
      </c>
      <c r="J102" s="22" t="n">
        <v>0.376</v>
      </c>
      <c r="K102" s="22" t="n">
        <v>6.972</v>
      </c>
      <c r="L102" s="22" t="n">
        <v>13.081</v>
      </c>
      <c r="M102" s="22" t="n">
        <v>12.264</v>
      </c>
      <c r="N102" s="22" t="n">
        <v>12.422</v>
      </c>
      <c r="V102" s="22" t="n">
        <v>0.857</v>
      </c>
      <c r="W102" s="22" t="n">
        <v>0.376</v>
      </c>
      <c r="X102" s="22" t="n">
        <v>12.422</v>
      </c>
    </row>
    <row r="103">
      <c r="A103" s="20" t="inlineStr">
        <is>
          <t>지급수수료</t>
        </is>
      </c>
      <c r="G103" s="22" t="n">
        <v>0</v>
      </c>
      <c r="H103" s="22" t="n">
        <v>0</v>
      </c>
      <c r="I103" s="22" t="n">
        <v>0</v>
      </c>
      <c r="J103" s="22" t="n">
        <v>0</v>
      </c>
      <c r="K103" s="22" t="n">
        <v>1.52</v>
      </c>
      <c r="L103" s="22" t="n">
        <v>0</v>
      </c>
      <c r="M103" s="22" t="n">
        <v>15.929</v>
      </c>
      <c r="N103" s="22" t="n">
        <v>0.021</v>
      </c>
      <c r="W103" s="22" t="n">
        <v>0</v>
      </c>
      <c r="X103" s="22" t="n">
        <v>0.021</v>
      </c>
    </row>
    <row r="104">
      <c r="A104" s="20" t="inlineStr">
        <is>
          <t>상장 관련 비용</t>
        </is>
      </c>
      <c r="F104" s="22" t="n">
        <v>2</v>
      </c>
      <c r="G104" s="22" t="n">
        <v>16.223</v>
      </c>
      <c r="H104" s="22" t="n">
        <v>1.142</v>
      </c>
      <c r="I104" s="22" t="n">
        <v>0</v>
      </c>
      <c r="J104" s="22" t="n">
        <v>0</v>
      </c>
      <c r="K104" s="22" t="n">
        <v>0</v>
      </c>
      <c r="L104" s="22" t="n">
        <v>0</v>
      </c>
      <c r="M104" s="22" t="n">
        <v>0</v>
      </c>
      <c r="N104" s="22" t="n">
        <v>0</v>
      </c>
      <c r="V104" s="22" t="n">
        <v>2</v>
      </c>
      <c r="W104" s="22" t="n">
        <v>0</v>
      </c>
      <c r="X104" s="22" t="n">
        <v>0</v>
      </c>
    </row>
    <row r="105">
      <c r="A105" s="20" t="inlineStr">
        <is>
          <t>주식교부비</t>
        </is>
      </c>
      <c r="G105" s="22" t="n">
        <v>0</v>
      </c>
      <c r="H105" s="22" t="n">
        <v>0</v>
      </c>
      <c r="I105" s="22" t="n">
        <v>0</v>
      </c>
      <c r="J105" s="22" t="n">
        <v>0</v>
      </c>
      <c r="K105" s="22" t="n">
        <v>32.91</v>
      </c>
      <c r="L105" s="22" t="n">
        <v>0.426</v>
      </c>
      <c r="M105" s="22" t="n">
        <v>0</v>
      </c>
      <c r="N105" s="22" t="n">
        <v>0</v>
      </c>
      <c r="W105" s="22" t="n">
        <v>0</v>
      </c>
      <c r="X105" s="22" t="n">
        <v>0</v>
      </c>
    </row>
    <row r="106">
      <c r="A106" s="20" t="inlineStr">
        <is>
          <t>기타</t>
        </is>
      </c>
      <c r="F106" s="22" t="n">
        <v>0.173</v>
      </c>
      <c r="G106" s="22" t="n">
        <v>0</v>
      </c>
      <c r="H106" s="22" t="n">
        <v>0</v>
      </c>
      <c r="I106" s="22" t="n">
        <v>0</v>
      </c>
      <c r="J106" s="22" t="n">
        <v>0</v>
      </c>
      <c r="K106" s="22" t="n">
        <v>0.004</v>
      </c>
      <c r="L106" s="22" t="n">
        <v>0</v>
      </c>
      <c r="M106" s="22" t="n">
        <v>0</v>
      </c>
      <c r="N106" s="22" t="n">
        <v>-0.004</v>
      </c>
      <c r="V106" s="22" t="n">
        <v>0.173</v>
      </c>
      <c r="W106" s="22" t="n">
        <v>0</v>
      </c>
      <c r="X106" s="22" t="n">
        <v>-0.004</v>
      </c>
    </row>
    <row r="107">
      <c r="A107" s="20" t="inlineStr">
        <is>
          <t>영업외비용 합계</t>
        </is>
      </c>
      <c r="F107" s="22" t="n">
        <v>3.03</v>
      </c>
      <c r="G107" s="22" t="n">
        <v>16.354</v>
      </c>
      <c r="H107" s="22" t="n">
        <v>1.303</v>
      </c>
      <c r="I107" s="22" t="n">
        <v>0.12</v>
      </c>
      <c r="J107" s="22" t="n">
        <v>0.375</v>
      </c>
      <c r="K107" s="22" t="n">
        <v>41.408</v>
      </c>
      <c r="L107" s="22" t="n">
        <v>13.506</v>
      </c>
      <c r="M107" s="22" t="n">
        <v>28.194</v>
      </c>
      <c r="N107" s="22" t="n">
        <v>12.438</v>
      </c>
      <c r="V107" s="22" t="n">
        <v>3.03</v>
      </c>
      <c r="W107" s="22" t="n">
        <v>0.375</v>
      </c>
      <c r="X107" s="22" t="n">
        <v>12.438</v>
      </c>
    </row>
    <row r="108">
      <c r="A108" s="45" t="inlineStr">
        <is>
          <t>YoY</t>
        </is>
      </c>
      <c r="B108" s="3" t="inlineStr">
        <is>
          <t>전년 같은 분기·전년 대비</t>
        </is>
      </c>
      <c r="G108" s="17">
        <f>IF(OR(G107="",C107=""),"",IF(G107*C107&lt;=0,"",IFERROR(G107/C107-1,"")))</f>
        <v/>
      </c>
      <c r="H108" s="17">
        <f>IF(OR(H107="",D107=""),"",IF(H107*D107&lt;=0,"",IFERROR(H107/D107-1,"")))</f>
        <v/>
      </c>
      <c r="I108" s="17">
        <f>IF(OR(I107="",E107=""),"",IF(I107*E107&lt;=0,"",IFERROR(I107/E107-1,"")))</f>
        <v/>
      </c>
      <c r="J108" s="17">
        <f>IF(OR(J107="",F107=""),"",IF(J107*F107&lt;=0,"",IFERROR(J107/F107-1,"")))</f>
        <v/>
      </c>
      <c r="K108" s="17">
        <f>IF(OR(K107="",G107=""),"",IF(K107*G107&lt;=0,"",IFERROR(K107/G107-1,"")))</f>
        <v/>
      </c>
      <c r="L108" s="17">
        <f>IF(OR(L107="",H107=""),"",IF(L107*H107&lt;=0,"",IFERROR(L107/H107-1,"")))</f>
        <v/>
      </c>
      <c r="M108" s="17">
        <f>IF(OR(M107="",I107=""),"",IF(M107*I107&lt;=0,"",IFERROR(M107/I107-1,"")))</f>
        <v/>
      </c>
      <c r="N108" s="17">
        <f>IF(OR(N107="",J107=""),"",IF(N107*J107&lt;=0,"",IFERROR(N107/J107-1,"")))</f>
        <v/>
      </c>
      <c r="V108" s="17">
        <f>IF(OR(V107="",U107=""),"",IF(V107*U107&lt;=0,"",IFERROR(V107/U107-1,"")))</f>
        <v/>
      </c>
      <c r="W108" s="17">
        <f>IF(OR(W107="",V107=""),"",IF(W107*V107&lt;=0,"",IFERROR(W107/V107-1,"")))</f>
        <v/>
      </c>
      <c r="X108" s="17">
        <f>IF(OR(X107="",W107=""),"",IF(X107*W107&lt;=0,"",IFERROR(X107/W107-1,"")))</f>
        <v/>
      </c>
    </row>
    <row r="109">
      <c r="A109" s="9" t="inlineStr">
        <is>
          <t>경상이익</t>
        </is>
      </c>
      <c r="F109" s="12" t="n">
        <v>-12.924</v>
      </c>
      <c r="G109" s="12" t="n">
        <v>291.27</v>
      </c>
      <c r="H109" s="12" t="n">
        <v>219.989</v>
      </c>
      <c r="I109" s="12" t="n">
        <v>10.71</v>
      </c>
      <c r="J109" s="12" t="n">
        <v>76.631</v>
      </c>
      <c r="K109" s="12" t="n">
        <v>202.629</v>
      </c>
      <c r="L109" s="12" t="n">
        <v>-95.848</v>
      </c>
      <c r="M109" s="12" t="n">
        <v>424.182</v>
      </c>
      <c r="N109" s="12" t="n">
        <v>526.6849999999999</v>
      </c>
      <c r="V109" s="12" t="n">
        <v>-12.924</v>
      </c>
      <c r="W109" s="12" t="n">
        <v>76.631</v>
      </c>
      <c r="X109" s="12" t="n">
        <v>526.6849999999999</v>
      </c>
    </row>
    <row r="110">
      <c r="A110" s="45" t="inlineStr">
        <is>
          <t>YoY</t>
        </is>
      </c>
      <c r="B110" s="3" t="inlineStr">
        <is>
          <t>전년 같은 분기·전년 대비</t>
        </is>
      </c>
      <c r="G110" s="17">
        <f>IF(OR(G109="",C109=""),"",IF(C109&lt;=0,"",IFERROR(G109/C109-1,"")))</f>
        <v/>
      </c>
      <c r="H110" s="17">
        <f>IF(OR(H109="",D109=""),"",IF(D109&lt;=0,"",IFERROR(H109/D109-1,"")))</f>
        <v/>
      </c>
      <c r="I110" s="17">
        <f>IF(OR(I109="",E109=""),"",IF(E109&lt;=0,"",IFERROR(I109/E109-1,"")))</f>
        <v/>
      </c>
      <c r="J110" s="17">
        <f>IF(OR(J109="",F109=""),"",IF(F109&lt;=0,"",IFERROR(J109/F109-1,"")))</f>
        <v/>
      </c>
      <c r="K110" s="17">
        <f>IF(OR(K109="",G109=""),"",IF(G109&lt;=0,"",IFERROR(K109/G109-1,"")))</f>
        <v/>
      </c>
      <c r="L110" s="17">
        <f>IF(OR(L109="",H109=""),"",IF(H109&lt;=0,"",IFERROR(L109/H109-1,"")))</f>
        <v/>
      </c>
      <c r="M110" s="17">
        <f>IF(OR(M109="",I109=""),"",IF(I109&lt;=0,"",IFERROR(M109/I109-1,"")))</f>
        <v/>
      </c>
      <c r="N110" s="17">
        <f>IF(OR(N109="",J109=""),"",IF(J109&lt;=0,"",IFERROR(N109/J109-1,"")))</f>
        <v/>
      </c>
      <c r="V110" s="17">
        <f>IF(OR(V109="",U109=""),"",IF(U109&lt;=0,"",IFERROR(V109/U109-1,"")))</f>
        <v/>
      </c>
      <c r="W110" s="17">
        <f>IF(OR(W109="",V109=""),"",IF(V109&lt;=0,"",IFERROR(W109/V109-1,"")))</f>
        <v/>
      </c>
      <c r="X110" s="17">
        <f>IF(OR(X109="",W109=""),"",IF(W109&lt;=0,"",IFERROR(X109/W109-1,"")))</f>
        <v/>
      </c>
    </row>
    <row r="111">
      <c r="A111" s="20" t="inlineStr">
        <is>
          <t>고정자산 매각이익</t>
        </is>
      </c>
      <c r="F111" s="22" t="n">
        <v>0</v>
      </c>
      <c r="G111" s="22" t="n">
        <v>0</v>
      </c>
      <c r="H111" s="22" t="n">
        <v>0</v>
      </c>
      <c r="I111" s="22" t="n">
        <v>0</v>
      </c>
      <c r="J111" s="22" t="n">
        <v>23.736</v>
      </c>
      <c r="K111" s="22" t="n">
        <v>1.08</v>
      </c>
      <c r="L111" s="22" t="n">
        <v>0</v>
      </c>
      <c r="M111" s="22" t="n">
        <v>0</v>
      </c>
      <c r="N111" s="22" t="n">
        <v>0</v>
      </c>
      <c r="V111" s="22" t="n">
        <v>0</v>
      </c>
      <c r="W111" s="22" t="n">
        <v>23.736</v>
      </c>
      <c r="X111" s="22" t="n">
        <v>0</v>
      </c>
    </row>
    <row r="112">
      <c r="A112" s="20" t="inlineStr">
        <is>
          <t>특별이익 합계</t>
        </is>
      </c>
      <c r="F112" s="22" t="n">
        <v>0</v>
      </c>
      <c r="G112" s="22" t="n">
        <v>0</v>
      </c>
      <c r="H112" s="22" t="n">
        <v>0</v>
      </c>
      <c r="I112" s="22" t="n">
        <v>0</v>
      </c>
      <c r="J112" s="22" t="n">
        <v>23.736</v>
      </c>
      <c r="K112" s="22" t="n">
        <v>1.08</v>
      </c>
      <c r="L112" s="22" t="n">
        <v>0</v>
      </c>
      <c r="M112" s="22" t="n">
        <v>0</v>
      </c>
      <c r="N112" s="22" t="n">
        <v>0</v>
      </c>
      <c r="V112" s="22" t="n">
        <v>0</v>
      </c>
      <c r="W112" s="22" t="n">
        <v>23.736</v>
      </c>
      <c r="X112" s="22" t="n">
        <v>0</v>
      </c>
    </row>
    <row r="113">
      <c r="A113" s="45" t="inlineStr">
        <is>
          <t>YoY</t>
        </is>
      </c>
      <c r="B113" s="3" t="inlineStr">
        <is>
          <t>전년 같은 분기·전년 대비</t>
        </is>
      </c>
      <c r="G113" s="17">
        <f>IF(OR(G112="",C112=""),"",IF(G112*C112&lt;=0,"",IFERROR(G112/C112-1,"")))</f>
        <v/>
      </c>
      <c r="H113" s="17">
        <f>IF(OR(H112="",D112=""),"",IF(H112*D112&lt;=0,"",IFERROR(H112/D112-1,"")))</f>
        <v/>
      </c>
      <c r="I113" s="17">
        <f>IF(OR(I112="",E112=""),"",IF(I112*E112&lt;=0,"",IFERROR(I112/E112-1,"")))</f>
        <v/>
      </c>
      <c r="J113" s="17">
        <f>IF(OR(J112="",F112=""),"",IF(J112*F112&lt;=0,"",IFERROR(J112/F112-1,"")))</f>
        <v/>
      </c>
      <c r="K113" s="17">
        <f>IF(OR(K112="",G112=""),"",IF(K112*G112&lt;=0,"",IFERROR(K112/G112-1,"")))</f>
        <v/>
      </c>
      <c r="L113" s="17">
        <f>IF(OR(L112="",H112=""),"",IF(L112*H112&lt;=0,"",IFERROR(L112/H112-1,"")))</f>
        <v/>
      </c>
      <c r="M113" s="17">
        <f>IF(OR(M112="",I112=""),"",IF(M112*I112&lt;=0,"",IFERROR(M112/I112-1,"")))</f>
        <v/>
      </c>
      <c r="N113" s="17">
        <f>IF(OR(N112="",J112=""),"",IF(N112*J112&lt;=0,"",IFERROR(N112/J112-1,"")))</f>
        <v/>
      </c>
      <c r="V113" s="17">
        <f>IF(OR(V112="",U112=""),"",IF(V112*U112&lt;=0,"",IFERROR(V112/U112-1,"")))</f>
        <v/>
      </c>
      <c r="W113" s="17">
        <f>IF(OR(W112="",V112=""),"",IF(W112*V112&lt;=0,"",IFERROR(W112/V112-1,"")))</f>
        <v/>
      </c>
      <c r="X113" s="17">
        <f>IF(OR(X112="",W112=""),"",IF(X112*W112&lt;=0,"",IFERROR(X112/W112-1,"")))</f>
        <v/>
      </c>
    </row>
    <row r="114">
      <c r="A114" s="20" t="inlineStr">
        <is>
          <t>고정자산 압축손실</t>
        </is>
      </c>
      <c r="F114" s="22" t="n">
        <v>0</v>
      </c>
      <c r="J114" s="22" t="n">
        <v>0</v>
      </c>
      <c r="V114" s="22" t="n">
        <v>0</v>
      </c>
      <c r="W114" s="22" t="n">
        <v>0</v>
      </c>
    </row>
    <row r="115">
      <c r="A115" s="20" t="inlineStr">
        <is>
          <t>특별손실 합계</t>
        </is>
      </c>
      <c r="F115" s="22" t="n">
        <v>0</v>
      </c>
      <c r="J115" s="22" t="n">
        <v>0</v>
      </c>
      <c r="V115" s="22" t="n">
        <v>0</v>
      </c>
      <c r="W115" s="22" t="n">
        <v>0</v>
      </c>
    </row>
    <row r="116">
      <c r="A116" s="45" t="inlineStr">
        <is>
          <t>YoY</t>
        </is>
      </c>
      <c r="B116" s="3" t="inlineStr">
        <is>
          <t>전년 같은 분기·전년 대비</t>
        </is>
      </c>
      <c r="J116" s="17">
        <f>IF(OR(J115="",F115=""),"",IF(J115*F115&lt;=0,"",IFERROR(J115/F115-1,"")))</f>
        <v/>
      </c>
      <c r="V116" s="17">
        <f>IF(OR(V115="",U115=""),"",IF(V115*U115&lt;=0,"",IFERROR(V115/U115-1,"")))</f>
        <v/>
      </c>
      <c r="W116" s="17">
        <f>IF(OR(W115="",V115=""),"",IF(W115*V115&lt;=0,"",IFERROR(W115/V115-1,"")))</f>
        <v/>
      </c>
    </row>
    <row r="117">
      <c r="A117" s="9" t="inlineStr">
        <is>
          <t>법인세차감전 순이익</t>
        </is>
      </c>
      <c r="F117" s="12" t="n">
        <v>-12.923</v>
      </c>
      <c r="G117" s="12" t="n">
        <v>291.27</v>
      </c>
      <c r="H117" s="12" t="n">
        <v>219.989</v>
      </c>
      <c r="I117" s="12" t="n">
        <v>10.71</v>
      </c>
      <c r="J117" s="12" t="n">
        <v>100.368</v>
      </c>
      <c r="K117" s="12" t="n">
        <v>203.71</v>
      </c>
      <c r="L117" s="12" t="n">
        <v>-95.849</v>
      </c>
      <c r="M117" s="12" t="n">
        <v>424.183</v>
      </c>
      <c r="N117" s="12" t="n">
        <v>526.6849999999999</v>
      </c>
      <c r="V117" s="12" t="n">
        <v>-12.923</v>
      </c>
      <c r="W117" s="12" t="n">
        <v>100.368</v>
      </c>
      <c r="X117" s="12" t="n">
        <v>526.6849999999999</v>
      </c>
    </row>
    <row r="118">
      <c r="A118" s="45" t="inlineStr">
        <is>
          <t>YoY</t>
        </is>
      </c>
      <c r="B118" s="3" t="inlineStr">
        <is>
          <t>전년 같은 분기·전년 대비</t>
        </is>
      </c>
      <c r="G118" s="17">
        <f>IF(OR(G117="",C117=""),"",IF(C117&lt;=0,"",IFERROR(G117/C117-1,"")))</f>
        <v/>
      </c>
      <c r="H118" s="17">
        <f>IF(OR(H117="",D117=""),"",IF(D117&lt;=0,"",IFERROR(H117/D117-1,"")))</f>
        <v/>
      </c>
      <c r="I118" s="17">
        <f>IF(OR(I117="",E117=""),"",IF(E117&lt;=0,"",IFERROR(I117/E117-1,"")))</f>
        <v/>
      </c>
      <c r="J118" s="17">
        <f>IF(OR(J117="",F117=""),"",IF(F117&lt;=0,"",IFERROR(J117/F117-1,"")))</f>
        <v/>
      </c>
      <c r="K118" s="17">
        <f>IF(OR(K117="",G117=""),"",IF(G117&lt;=0,"",IFERROR(K117/G117-1,"")))</f>
        <v/>
      </c>
      <c r="L118" s="17">
        <f>IF(OR(L117="",H117=""),"",IF(H117&lt;=0,"",IFERROR(L117/H117-1,"")))</f>
        <v/>
      </c>
      <c r="M118" s="17">
        <f>IF(OR(M117="",I117=""),"",IF(I117&lt;=0,"",IFERROR(M117/I117-1,"")))</f>
        <v/>
      </c>
      <c r="N118" s="17">
        <f>IF(OR(N117="",J117=""),"",IF(J117&lt;=0,"",IFERROR(N117/J117-1,"")))</f>
        <v/>
      </c>
      <c r="V118" s="17">
        <f>IF(OR(V117="",U117=""),"",IF(U117&lt;=0,"",IFERROR(V117/U117-1,"")))</f>
        <v/>
      </c>
      <c r="W118" s="17">
        <f>IF(OR(W117="",V117=""),"",IF(V117&lt;=0,"",IFERROR(W117/V117-1,"")))</f>
        <v/>
      </c>
      <c r="X118" s="17">
        <f>IF(OR(X117="",W117=""),"",IF(W117&lt;=0,"",IFERROR(X117/W117-1,"")))</f>
        <v/>
      </c>
    </row>
    <row r="119">
      <c r="A119" s="20" t="inlineStr">
        <is>
          <t>법인세·주민세·사업세</t>
        </is>
      </c>
      <c r="F119" s="22" t="n">
        <v>-14.661</v>
      </c>
      <c r="G119" s="22" t="n">
        <v>87.797</v>
      </c>
      <c r="H119" s="22" t="n">
        <v>71.566</v>
      </c>
      <c r="I119" s="22" t="n">
        <v>1.765</v>
      </c>
      <c r="J119" s="22" t="n">
        <v>16.005</v>
      </c>
      <c r="K119" s="22" t="n">
        <v>59.849</v>
      </c>
      <c r="L119" s="22" t="n">
        <v>-27.07</v>
      </c>
      <c r="M119" s="22" t="n">
        <v>134.366</v>
      </c>
      <c r="N119" s="22" t="n">
        <v>173.835</v>
      </c>
      <c r="V119" s="22" t="n">
        <v>-14.661</v>
      </c>
      <c r="W119" s="22" t="n">
        <v>16.005</v>
      </c>
      <c r="X119" s="22" t="n">
        <v>173.835</v>
      </c>
    </row>
    <row r="120">
      <c r="A120" s="20" t="inlineStr">
        <is>
          <t>법인세 조정액</t>
        </is>
      </c>
      <c r="F120" s="22" t="n">
        <v>-3.198</v>
      </c>
      <c r="G120" s="22" t="n">
        <v>3.116</v>
      </c>
      <c r="H120" s="22" t="n">
        <v>-1.625</v>
      </c>
      <c r="I120" s="22" t="n">
        <v>1.671</v>
      </c>
      <c r="J120" s="22" t="n">
        <v>-3.668</v>
      </c>
      <c r="K120" s="22" t="n">
        <v>3.203</v>
      </c>
      <c r="L120" s="22" t="n">
        <v>-0.903</v>
      </c>
      <c r="M120" s="22" t="n">
        <v>-4.084</v>
      </c>
      <c r="N120" s="22" t="n">
        <v>-23.726</v>
      </c>
      <c r="V120" s="22" t="n">
        <v>-3.198</v>
      </c>
      <c r="W120" s="22" t="n">
        <v>-3.668</v>
      </c>
      <c r="X120" s="22" t="n">
        <v>-23.726</v>
      </c>
    </row>
    <row r="121">
      <c r="A121" s="20" t="inlineStr">
        <is>
          <t>법인세 등 합계</t>
        </is>
      </c>
      <c r="F121" s="22" t="n">
        <v>-17.858</v>
      </c>
      <c r="G121" s="22" t="n">
        <v>90.913</v>
      </c>
      <c r="H121" s="22" t="n">
        <v>69.94199999999999</v>
      </c>
      <c r="I121" s="22" t="n">
        <v>3.436</v>
      </c>
      <c r="J121" s="22" t="n">
        <v>12.336</v>
      </c>
      <c r="K121" s="22" t="n">
        <v>63.052</v>
      </c>
      <c r="L121" s="22" t="n">
        <v>-27.973</v>
      </c>
      <c r="M121" s="22" t="n">
        <v>130.281</v>
      </c>
      <c r="N121" s="22" t="n">
        <v>150.11</v>
      </c>
      <c r="V121" s="22" t="n">
        <v>-17.858</v>
      </c>
      <c r="W121" s="22" t="n">
        <v>12.336</v>
      </c>
      <c r="X121" s="22" t="n">
        <v>150.11</v>
      </c>
    </row>
    <row r="122">
      <c r="A122" s="45" t="inlineStr">
        <is>
          <t>YoY</t>
        </is>
      </c>
      <c r="B122" s="3" t="inlineStr">
        <is>
          <t>전년 같은 분기·전년 대비</t>
        </is>
      </c>
      <c r="G122" s="17">
        <f>IF(OR(G121="",C121=""),"",IF(G121*C121&lt;=0,"",IFERROR(G121/C121-1,"")))</f>
        <v/>
      </c>
      <c r="H122" s="17">
        <f>IF(OR(H121="",D121=""),"",IF(H121*D121&lt;=0,"",IFERROR(H121/D121-1,"")))</f>
        <v/>
      </c>
      <c r="I122" s="17">
        <f>IF(OR(I121="",E121=""),"",IF(I121*E121&lt;=0,"",IFERROR(I121/E121-1,"")))</f>
        <v/>
      </c>
      <c r="J122" s="17">
        <f>IF(OR(J121="",F121=""),"",IF(J121*F121&lt;=0,"",IFERROR(J121/F121-1,"")))</f>
        <v/>
      </c>
      <c r="K122" s="17">
        <f>IF(OR(K121="",G121=""),"",IF(K121*G121&lt;=0,"",IFERROR(K121/G121-1,"")))</f>
        <v/>
      </c>
      <c r="L122" s="17">
        <f>IF(OR(L121="",H121=""),"",IF(L121*H121&lt;=0,"",IFERROR(L121/H121-1,"")))</f>
        <v/>
      </c>
      <c r="M122" s="17">
        <f>IF(OR(M121="",I121=""),"",IF(M121*I121&lt;=0,"",IFERROR(M121/I121-1,"")))</f>
        <v/>
      </c>
      <c r="N122" s="17">
        <f>IF(OR(N121="",J121=""),"",IF(N121*J121&lt;=0,"",IFERROR(N121/J121-1,"")))</f>
        <v/>
      </c>
      <c r="V122" s="17">
        <f>IF(OR(V121="",U121=""),"",IF(V121*U121&lt;=0,"",IFERROR(V121/U121-1,"")))</f>
        <v/>
      </c>
      <c r="W122" s="17">
        <f>IF(OR(W121="",V121=""),"",IF(W121*V121&lt;=0,"",IFERROR(W121/V121-1,"")))</f>
        <v/>
      </c>
      <c r="X122" s="17">
        <f>IF(OR(X121="",W121=""),"",IF(X121*W121&lt;=0,"",IFERROR(X121/W121-1,"")))</f>
        <v/>
      </c>
    </row>
    <row r="123">
      <c r="A123" s="9" t="inlineStr">
        <is>
          <t>순이익</t>
        </is>
      </c>
      <c r="F123" s="12" t="n">
        <v>4.935</v>
      </c>
      <c r="G123" s="12" t="n">
        <v>200.356</v>
      </c>
      <c r="H123" s="12" t="n">
        <v>150.047</v>
      </c>
      <c r="I123" s="12" t="n">
        <v>7.275</v>
      </c>
      <c r="J123" s="12" t="n">
        <v>88.03100000000001</v>
      </c>
      <c r="K123" s="12" t="n">
        <v>140.657</v>
      </c>
      <c r="L123" s="12" t="n">
        <v>-67.875</v>
      </c>
      <c r="M123" s="12" t="n">
        <v>293.902</v>
      </c>
      <c r="N123" s="12" t="n">
        <v>376.574</v>
      </c>
      <c r="V123" s="12" t="n">
        <v>4.935</v>
      </c>
      <c r="W123" s="12" t="n">
        <v>88.03100000000001</v>
      </c>
      <c r="X123" s="12" t="n">
        <v>376.574</v>
      </c>
    </row>
    <row r="124">
      <c r="A124" s="45" t="inlineStr">
        <is>
          <t>YoY</t>
        </is>
      </c>
      <c r="B124" s="3" t="inlineStr">
        <is>
          <t>전년 같은 분기·전년 대비</t>
        </is>
      </c>
      <c r="G124" s="17">
        <f>IF(OR(G123="",C123=""),"",IF(C123&lt;=0,"",IFERROR(G123/C123-1,"")))</f>
        <v/>
      </c>
      <c r="H124" s="17">
        <f>IF(OR(H123="",D123=""),"",IF(D123&lt;=0,"",IFERROR(H123/D123-1,"")))</f>
        <v/>
      </c>
      <c r="I124" s="17">
        <f>IF(OR(I123="",E123=""),"",IF(E123&lt;=0,"",IFERROR(I123/E123-1,"")))</f>
        <v/>
      </c>
      <c r="J124" s="17">
        <f>IF(OR(J123="",F123=""),"",IF(F123&lt;=0,"",IFERROR(J123/F123-1,"")))</f>
        <v/>
      </c>
      <c r="K124" s="17">
        <f>IF(OR(K123="",G123=""),"",IF(G123&lt;=0,"",IFERROR(K123/G123-1,"")))</f>
        <v/>
      </c>
      <c r="L124" s="17">
        <f>IF(OR(L123="",H123=""),"",IF(H123&lt;=0,"",IFERROR(L123/H123-1,"")))</f>
        <v/>
      </c>
      <c r="M124" s="17">
        <f>IF(OR(M123="",I123=""),"",IF(I123&lt;=0,"",IFERROR(M123/I123-1,"")))</f>
        <v/>
      </c>
      <c r="N124" s="17">
        <f>IF(OR(N123="",J123=""),"",IF(J123&lt;=0,"",IFERROR(N123/J123-1,"")))</f>
        <v/>
      </c>
      <c r="V124" s="17">
        <f>IF(OR(V123="",U123=""),"",IF(U123&lt;=0,"",IFERROR(V123/U123-1,"")))</f>
        <v/>
      </c>
      <c r="W124" s="17">
        <f>IF(OR(W123="",V123=""),"",IF(V123&lt;=0,"",IFERROR(W123/V123-1,"")))</f>
        <v/>
      </c>
      <c r="X124" s="17">
        <f>IF(OR(X123="",W123=""),"",IF(W123&lt;=0,"",IFERROR(X123/W123-1,"")))</f>
        <v/>
      </c>
    </row>
    <row r="125">
      <c r="A125" s="9" t="inlineStr">
        <is>
          <t>비지배주주 순이익</t>
        </is>
      </c>
      <c r="F125" s="12" t="n">
        <v>0</v>
      </c>
      <c r="G125" s="12" t="n">
        <v>0</v>
      </c>
      <c r="H125" s="12" t="n">
        <v>0</v>
      </c>
      <c r="I125" s="12" t="n">
        <v>0</v>
      </c>
      <c r="J125" s="12" t="n">
        <v>0</v>
      </c>
      <c r="K125" s="12" t="n">
        <v>0</v>
      </c>
      <c r="L125" s="12" t="n">
        <v>0</v>
      </c>
      <c r="M125" s="12" t="n">
        <v>0</v>
      </c>
      <c r="N125" s="12" t="n">
        <v>0</v>
      </c>
      <c r="V125" s="12" t="n">
        <v>0</v>
      </c>
      <c r="W125" s="12" t="n">
        <v>0</v>
      </c>
      <c r="X125" s="12" t="n">
        <v>0</v>
      </c>
    </row>
    <row r="126">
      <c r="A126" s="9" t="inlineStr">
        <is>
          <t>지배주주 순이익</t>
        </is>
      </c>
      <c r="F126" s="12" t="n">
        <v>4.935</v>
      </c>
      <c r="G126" s="12" t="n">
        <v>200.356</v>
      </c>
      <c r="H126" s="12" t="n">
        <v>150.047</v>
      </c>
      <c r="I126" s="12" t="n">
        <v>7.275</v>
      </c>
      <c r="J126" s="12" t="n">
        <v>88.03100000000001</v>
      </c>
      <c r="K126" s="12" t="n">
        <v>140.657</v>
      </c>
      <c r="L126" s="12" t="n">
        <v>-67.875</v>
      </c>
      <c r="M126" s="12" t="n">
        <v>293.902</v>
      </c>
      <c r="N126" s="12" t="n">
        <v>376.574</v>
      </c>
      <c r="V126" s="12" t="n">
        <v>4.935</v>
      </c>
      <c r="W126" s="12" t="n">
        <v>88.03100000000001</v>
      </c>
      <c r="X126" s="12" t="n">
        <v>376.574</v>
      </c>
    </row>
    <row r="127">
      <c r="A127" s="45" t="inlineStr">
        <is>
          <t>YoY</t>
        </is>
      </c>
      <c r="B127" s="3" t="inlineStr">
        <is>
          <t>전년 같은 분기·전년 대비</t>
        </is>
      </c>
      <c r="G127" s="17">
        <f>IF(OR(G126="",C126=""),"",IF(C126&lt;=0,"",IFERROR(G126/C126-1,"")))</f>
        <v/>
      </c>
      <c r="H127" s="17">
        <f>IF(OR(H126="",D126=""),"",IF(D126&lt;=0,"",IFERROR(H126/D126-1,"")))</f>
        <v/>
      </c>
      <c r="I127" s="17">
        <f>IF(OR(I126="",E126=""),"",IF(E126&lt;=0,"",IFERROR(I126/E126-1,"")))</f>
        <v/>
      </c>
      <c r="J127" s="17">
        <f>IF(OR(J126="",F126=""),"",IF(F126&lt;=0,"",IFERROR(J126/F126-1,"")))</f>
        <v/>
      </c>
      <c r="K127" s="17">
        <f>IF(OR(K126="",G126=""),"",IF(G126&lt;=0,"",IFERROR(K126/G126-1,"")))</f>
        <v/>
      </c>
      <c r="L127" s="17">
        <f>IF(OR(L126="",H126=""),"",IF(H126&lt;=0,"",IFERROR(L126/H126-1,"")))</f>
        <v/>
      </c>
      <c r="M127" s="17">
        <f>IF(OR(M126="",I126=""),"",IF(I126&lt;=0,"",IFERROR(M126/I126-1,"")))</f>
        <v/>
      </c>
      <c r="N127" s="17">
        <f>IF(OR(N126="",J126=""),"",IF(J126&lt;=0,"",IFERROR(N126/J126-1,"")))</f>
        <v/>
      </c>
      <c r="V127" s="17">
        <f>IF(OR(V126="",U126=""),"",IF(U126&lt;=0,"",IFERROR(V126/U126-1,"")))</f>
        <v/>
      </c>
      <c r="W127" s="17">
        <f>IF(OR(W126="",V126=""),"",IF(V126&lt;=0,"",IFERROR(W126/V126-1,"")))</f>
        <v/>
      </c>
      <c r="X127" s="17">
        <f>IF(OR(X126="",W126=""),"",IF(W126&lt;=0,"",IFERROR(X126/W126-1,"")))</f>
        <v/>
      </c>
    </row>
    <row r="129">
      <c r="A129" s="18" t="inlineStr">
        <is>
          <t>포괄손익 · 전 항목</t>
        </is>
      </c>
      <c r="B129" s="44" t="inlineStr">
        <is>
          <t>분기 = 3개월 단독</t>
        </is>
      </c>
      <c r="C129" s="18" t="n"/>
      <c r="D129" s="18" t="n"/>
      <c r="E129" s="18" t="n"/>
      <c r="F129" s="18" t="n"/>
      <c r="G129" s="18" t="n"/>
      <c r="H129" s="18" t="n"/>
      <c r="I129" s="18" t="n"/>
      <c r="J129" s="18" t="n"/>
      <c r="K129" s="18" t="n"/>
      <c r="L129" s="18" t="n"/>
      <c r="M129" s="18" t="n"/>
      <c r="N129" s="18" t="n"/>
      <c r="O129" s="18" t="n"/>
      <c r="P129" s="18" t="n"/>
      <c r="Q129" s="18" t="n"/>
      <c r="R129" s="18" t="n"/>
      <c r="S129" s="18" t="n"/>
      <c r="T129" s="18" t="n"/>
      <c r="U129" s="18" t="n"/>
      <c r="V129" s="18" t="n"/>
      <c r="W129" s="18" t="n"/>
      <c r="X129" s="18" t="n"/>
      <c r="Y129" s="18" t="n"/>
      <c r="Z129" s="18" t="n"/>
      <c r="AA129" s="18" t="n"/>
      <c r="AB129" s="18" t="n"/>
      <c r="AC129" s="18" t="n"/>
    </row>
    <row r="130">
      <c r="A130" s="5" t="inlineStr">
        <is>
          <t>항목</t>
        </is>
      </c>
      <c r="B130" s="5" t="inlineStr">
        <is>
          <t>참고</t>
        </is>
      </c>
      <c r="C130" s="5" t="inlineStr">
        <is>
          <t>2024.1Q</t>
        </is>
      </c>
      <c r="D130" s="5" t="inlineStr">
        <is>
          <t>2024.2Q</t>
        </is>
      </c>
      <c r="E130" s="5" t="inlineStr">
        <is>
          <t>2024.3Q</t>
        </is>
      </c>
      <c r="F130" s="5" t="inlineStr">
        <is>
          <t>2024.4Q</t>
        </is>
      </c>
      <c r="G130" s="5" t="inlineStr">
        <is>
          <t>2025.1Q</t>
        </is>
      </c>
      <c r="H130" s="5" t="inlineStr">
        <is>
          <t>2025.2Q</t>
        </is>
      </c>
      <c r="I130" s="5" t="inlineStr">
        <is>
          <t>2025.3Q</t>
        </is>
      </c>
      <c r="J130" s="5" t="inlineStr">
        <is>
          <t>2025.4Q</t>
        </is>
      </c>
      <c r="K130" s="5" t="inlineStr">
        <is>
          <t>2026.1Q</t>
        </is>
      </c>
      <c r="L130" s="5" t="inlineStr">
        <is>
          <t>2026.2Q</t>
        </is>
      </c>
      <c r="M130" s="5" t="inlineStr">
        <is>
          <t>2026.3Q</t>
        </is>
      </c>
      <c r="N130" s="5" t="inlineStr">
        <is>
          <t>2026.4Q</t>
        </is>
      </c>
      <c r="O130" s="5" t="inlineStr">
        <is>
          <t>2017</t>
        </is>
      </c>
      <c r="P130" s="5" t="inlineStr">
        <is>
          <t>2018</t>
        </is>
      </c>
      <c r="Q130" s="5" t="inlineStr">
        <is>
          <t>2019</t>
        </is>
      </c>
      <c r="R130" s="5" t="inlineStr">
        <is>
          <t>2020</t>
        </is>
      </c>
      <c r="S130" s="5" t="inlineStr">
        <is>
          <t>2021</t>
        </is>
      </c>
      <c r="T130" s="5" t="inlineStr">
        <is>
          <t>2022</t>
        </is>
      </c>
      <c r="U130" s="5" t="inlineStr">
        <is>
          <t>2023</t>
        </is>
      </c>
      <c r="V130" s="5" t="inlineStr">
        <is>
          <t>2024</t>
        </is>
      </c>
      <c r="W130" s="5" t="inlineStr">
        <is>
          <t>2025</t>
        </is>
      </c>
      <c r="X130" s="5" t="inlineStr">
        <is>
          <t>2026</t>
        </is>
      </c>
      <c r="Y130" s="5" t="inlineStr">
        <is>
          <t>2027(MW)</t>
        </is>
      </c>
      <c r="Z130" s="5" t="inlineStr">
        <is>
          <t>2028(MW)</t>
        </is>
      </c>
      <c r="AA130" s="5" t="inlineStr">
        <is>
          <t>2029(MW)</t>
        </is>
      </c>
      <c r="AB130" s="5" t="inlineStr">
        <is>
          <t>2030(MW)</t>
        </is>
      </c>
      <c r="AC130" s="5" t="inlineStr">
        <is>
          <t>2031(MW)</t>
        </is>
      </c>
    </row>
    <row r="131">
      <c r="A131" s="9" t="inlineStr">
        <is>
          <t>순이익</t>
        </is>
      </c>
      <c r="F131" s="12" t="n">
        <v>4.935</v>
      </c>
      <c r="G131" s="12" t="n">
        <v>200.356</v>
      </c>
      <c r="H131" s="12" t="n">
        <v>150.047</v>
      </c>
      <c r="I131" s="12" t="n">
        <v>7.275</v>
      </c>
      <c r="J131" s="12" t="n">
        <v>88.03100000000001</v>
      </c>
      <c r="K131" s="12" t="n">
        <v>140.657</v>
      </c>
      <c r="L131" s="12" t="n">
        <v>-67.875</v>
      </c>
      <c r="M131" s="12" t="n">
        <v>293.902</v>
      </c>
      <c r="N131" s="12" t="n">
        <v>376.574</v>
      </c>
      <c r="V131" s="12" t="n">
        <v>4.935</v>
      </c>
      <c r="W131" s="12" t="n">
        <v>88.03100000000001</v>
      </c>
      <c r="X131" s="12" t="n">
        <v>376.574</v>
      </c>
    </row>
    <row r="132">
      <c r="A132" s="9" t="inlineStr">
        <is>
          <t>포괄이익</t>
        </is>
      </c>
      <c r="F132" s="12" t="n">
        <v>4.935</v>
      </c>
      <c r="G132" s="12" t="n">
        <v>200.356</v>
      </c>
      <c r="H132" s="12" t="n">
        <v>150.047</v>
      </c>
      <c r="I132" s="12" t="n">
        <v>7.275</v>
      </c>
      <c r="J132" s="12" t="n">
        <v>88.03100000000001</v>
      </c>
      <c r="K132" s="12" t="n">
        <v>140.657</v>
      </c>
      <c r="L132" s="12" t="n">
        <v>-67.875</v>
      </c>
      <c r="M132" s="12" t="n">
        <v>293.902</v>
      </c>
      <c r="N132" s="12" t="n">
        <v>376.574</v>
      </c>
      <c r="V132" s="12" t="n">
        <v>4.935</v>
      </c>
      <c r="W132" s="12" t="n">
        <v>88.03100000000001</v>
      </c>
      <c r="X132" s="12" t="n">
        <v>376.574</v>
      </c>
    </row>
    <row r="133">
      <c r="A133" s="9" t="inlineStr">
        <is>
          <t>지배주주 포괄이익</t>
        </is>
      </c>
      <c r="F133" s="12" t="n">
        <v>4.935</v>
      </c>
      <c r="G133" s="12" t="n">
        <v>200.356</v>
      </c>
      <c r="H133" s="12" t="n">
        <v>150.047</v>
      </c>
      <c r="I133" s="12" t="n">
        <v>7.275</v>
      </c>
      <c r="J133" s="12" t="n">
        <v>88.03100000000001</v>
      </c>
      <c r="K133" s="12" t="n">
        <v>140.657</v>
      </c>
      <c r="L133" s="12" t="n">
        <v>-67.875</v>
      </c>
      <c r="M133" s="12" t="n">
        <v>293.902</v>
      </c>
      <c r="N133" s="12" t="n">
        <v>376.574</v>
      </c>
      <c r="V133" s="12" t="n">
        <v>4.935</v>
      </c>
      <c r="W133" s="12" t="n">
        <v>88.03100000000001</v>
      </c>
      <c r="X133" s="12" t="n">
        <v>376.574</v>
      </c>
    </row>
    <row r="134">
      <c r="A134" s="9" t="inlineStr">
        <is>
          <t>비지배주주 포괄이익</t>
        </is>
      </c>
      <c r="F134" s="12" t="n">
        <v>0</v>
      </c>
      <c r="G134" s="12" t="n">
        <v>0</v>
      </c>
      <c r="H134" s="12" t="n">
        <v>0</v>
      </c>
      <c r="I134" s="12" t="n">
        <v>0</v>
      </c>
      <c r="J134" s="12" t="n">
        <v>0</v>
      </c>
      <c r="K134" s="12" t="n">
        <v>0</v>
      </c>
      <c r="L134" s="12" t="n">
        <v>0</v>
      </c>
      <c r="M134" s="12" t="n">
        <v>0</v>
      </c>
      <c r="N134" s="12" t="n">
        <v>0</v>
      </c>
      <c r="V134" s="12" t="n">
        <v>0</v>
      </c>
      <c r="W134" s="12" t="n">
        <v>0</v>
      </c>
      <c r="X134" s="12" t="n">
        <v>0</v>
      </c>
    </row>
    <row r="136">
      <c r="A136" s="18" t="inlineStr">
        <is>
          <t>현금흐름표 · 전 항목</t>
        </is>
      </c>
      <c r="B136" s="44" t="inlineStr">
        <is>
          <t>분기 = 결산기 첫날부터 누계(공시 그대로)</t>
        </is>
      </c>
      <c r="C136" s="18" t="n"/>
      <c r="D136" s="18" t="n"/>
      <c r="E136" s="18" t="n"/>
      <c r="F136" s="18" t="n"/>
      <c r="G136" s="18" t="n"/>
      <c r="H136" s="18" t="n"/>
      <c r="I136" s="18" t="n"/>
      <c r="J136" s="18" t="n"/>
      <c r="K136" s="18" t="n"/>
      <c r="L136" s="18" t="n"/>
      <c r="M136" s="18" t="n"/>
      <c r="N136" s="18" t="n"/>
      <c r="O136" s="18" t="n"/>
      <c r="P136" s="18" t="n"/>
      <c r="Q136" s="18" t="n"/>
      <c r="R136" s="18" t="n"/>
      <c r="S136" s="18" t="n"/>
      <c r="T136" s="18" t="n"/>
      <c r="U136" s="18" t="n"/>
      <c r="V136" s="18" t="n"/>
      <c r="W136" s="18" t="n"/>
      <c r="X136" s="18" t="n"/>
      <c r="Y136" s="18" t="n"/>
      <c r="Z136" s="18" t="n"/>
      <c r="AA136" s="18" t="n"/>
      <c r="AB136" s="18" t="n"/>
      <c r="AC136" s="18" t="n"/>
    </row>
    <row r="137">
      <c r="A137" s="5" t="inlineStr">
        <is>
          <t>항목</t>
        </is>
      </c>
      <c r="B137" s="5" t="inlineStr">
        <is>
          <t>참고</t>
        </is>
      </c>
      <c r="C137" s="5" t="inlineStr">
        <is>
          <t>2024.1Q</t>
        </is>
      </c>
      <c r="D137" s="5" t="inlineStr">
        <is>
          <t>2024.2Q</t>
        </is>
      </c>
      <c r="E137" s="5" t="inlineStr">
        <is>
          <t>2024.3Q</t>
        </is>
      </c>
      <c r="F137" s="5" t="inlineStr">
        <is>
          <t>2024.4Q</t>
        </is>
      </c>
      <c r="G137" s="5" t="inlineStr">
        <is>
          <t>2025.1Q</t>
        </is>
      </c>
      <c r="H137" s="5" t="inlineStr">
        <is>
          <t>2025.2Q</t>
        </is>
      </c>
      <c r="I137" s="5" t="inlineStr">
        <is>
          <t>2025.3Q</t>
        </is>
      </c>
      <c r="J137" s="5" t="inlineStr">
        <is>
          <t>2025.4Q</t>
        </is>
      </c>
      <c r="K137" s="5" t="inlineStr">
        <is>
          <t>2026.1Q</t>
        </is>
      </c>
      <c r="L137" s="5" t="inlineStr">
        <is>
          <t>2026.2Q</t>
        </is>
      </c>
      <c r="M137" s="5" t="inlineStr">
        <is>
          <t>2026.3Q</t>
        </is>
      </c>
      <c r="N137" s="5" t="inlineStr">
        <is>
          <t>2026.4Q</t>
        </is>
      </c>
      <c r="O137" s="5" t="inlineStr">
        <is>
          <t>2017</t>
        </is>
      </c>
      <c r="P137" s="5" t="inlineStr">
        <is>
          <t>2018</t>
        </is>
      </c>
      <c r="Q137" s="5" t="inlineStr">
        <is>
          <t>2019</t>
        </is>
      </c>
      <c r="R137" s="5" t="inlineStr">
        <is>
          <t>2020</t>
        </is>
      </c>
      <c r="S137" s="5" t="inlineStr">
        <is>
          <t>2021</t>
        </is>
      </c>
      <c r="T137" s="5" t="inlineStr">
        <is>
          <t>2022</t>
        </is>
      </c>
      <c r="U137" s="5" t="inlineStr">
        <is>
          <t>2023</t>
        </is>
      </c>
      <c r="V137" s="5" t="inlineStr">
        <is>
          <t>2024</t>
        </is>
      </c>
      <c r="W137" s="5" t="inlineStr">
        <is>
          <t>2025</t>
        </is>
      </c>
      <c r="X137" s="5" t="inlineStr">
        <is>
          <t>2026</t>
        </is>
      </c>
      <c r="Y137" s="5" t="inlineStr">
        <is>
          <t>2027(MW)</t>
        </is>
      </c>
      <c r="Z137" s="5" t="inlineStr">
        <is>
          <t>2028(MW)</t>
        </is>
      </c>
      <c r="AA137" s="5" t="inlineStr">
        <is>
          <t>2029(MW)</t>
        </is>
      </c>
      <c r="AB137" s="5" t="inlineStr">
        <is>
          <t>2030(MW)</t>
        </is>
      </c>
      <c r="AC137" s="5" t="inlineStr">
        <is>
          <t>2031(MW)</t>
        </is>
      </c>
    </row>
    <row r="138">
      <c r="A138" s="9" t="inlineStr">
        <is>
          <t>법인세차감전 순이익</t>
        </is>
      </c>
      <c r="F138" s="12" t="n">
        <v>428.77</v>
      </c>
      <c r="H138" s="12" t="n">
        <v>511.259</v>
      </c>
      <c r="J138" s="12" t="n">
        <v>622.337</v>
      </c>
      <c r="L138" s="12" t="n">
        <v>107.861</v>
      </c>
      <c r="N138" s="12" t="n">
        <v>1058.729</v>
      </c>
      <c r="V138" s="12" t="n">
        <v>428.77</v>
      </c>
      <c r="W138" s="12" t="n">
        <v>622.337</v>
      </c>
      <c r="X138" s="12" t="n">
        <v>1058.729</v>
      </c>
    </row>
    <row r="139">
      <c r="A139" s="20" t="inlineStr">
        <is>
          <t>감가상각비</t>
        </is>
      </c>
      <c r="F139" s="22" t="n">
        <v>23.084</v>
      </c>
      <c r="H139" s="22" t="n">
        <v>12.035</v>
      </c>
      <c r="J139" s="22" t="n">
        <v>24.336</v>
      </c>
      <c r="L139" s="22" t="n">
        <v>30.608</v>
      </c>
      <c r="N139" s="22" t="n">
        <v>80.56100000000001</v>
      </c>
      <c r="V139" s="22" t="n">
        <v>23.084</v>
      </c>
      <c r="W139" s="22" t="n">
        <v>24.336</v>
      </c>
      <c r="X139" s="22" t="n">
        <v>80.56100000000001</v>
      </c>
    </row>
    <row r="140">
      <c r="A140" s="20" t="inlineStr">
        <is>
          <t>상여충당금 증감</t>
        </is>
      </c>
      <c r="F140" s="22" t="n">
        <v>6.9</v>
      </c>
      <c r="H140" s="22" t="n">
        <v>-2.587</v>
      </c>
      <c r="J140" s="22" t="n">
        <v>2.8</v>
      </c>
      <c r="L140" s="22" t="n">
        <v>-3.233</v>
      </c>
      <c r="N140" s="22" t="n">
        <v>16</v>
      </c>
      <c r="V140" s="22" t="n">
        <v>6.9</v>
      </c>
      <c r="W140" s="22" t="n">
        <v>2.8</v>
      </c>
      <c r="X140" s="22" t="n">
        <v>16</v>
      </c>
    </row>
    <row r="141">
      <c r="A141" s="20" t="inlineStr">
        <is>
          <t>보증금 상각액</t>
        </is>
      </c>
      <c r="F141" s="22" t="n">
        <v>1.9</v>
      </c>
      <c r="J141" s="22" t="n">
        <v>0</v>
      </c>
      <c r="V141" s="22" t="n">
        <v>1.9</v>
      </c>
      <c r="W141" s="22" t="n">
        <v>0</v>
      </c>
    </row>
    <row r="142">
      <c r="A142" s="20" t="inlineStr">
        <is>
          <t>이자수익</t>
        </is>
      </c>
      <c r="F142" s="22" t="n">
        <v>-0.022</v>
      </c>
      <c r="H142" s="22" t="n">
        <v>-0.41</v>
      </c>
      <c r="J142" s="22" t="n">
        <v>-2.102</v>
      </c>
      <c r="L142" s="22" t="n">
        <v>-3.01</v>
      </c>
      <c r="N142" s="22" t="n">
        <v>-7.021</v>
      </c>
      <c r="V142" s="22" t="n">
        <v>-0.022</v>
      </c>
      <c r="W142" s="22" t="n">
        <v>-2.102</v>
      </c>
      <c r="X142" s="22" t="n">
        <v>-7.021</v>
      </c>
    </row>
    <row r="143">
      <c r="A143" s="20" t="inlineStr">
        <is>
          <t>보험금 수입</t>
        </is>
      </c>
      <c r="F143" s="22" t="n">
        <v>-27.495</v>
      </c>
      <c r="J143" s="22" t="n">
        <v>0</v>
      </c>
      <c r="V143" s="22" t="n">
        <v>-27.495</v>
      </c>
      <c r="W143" s="22" t="n">
        <v>0</v>
      </c>
    </row>
    <row r="144">
      <c r="A144" s="20" t="inlineStr">
        <is>
          <t>고정자산 매각손익</t>
        </is>
      </c>
      <c r="F144" s="22" t="n">
        <v>-1.805</v>
      </c>
      <c r="H144" s="22" t="n">
        <v>0</v>
      </c>
      <c r="J144" s="22" t="n">
        <v>-23.736</v>
      </c>
      <c r="L144" s="22" t="n">
        <v>-1.08</v>
      </c>
      <c r="N144" s="22" t="n">
        <v>-1.08</v>
      </c>
      <c r="V144" s="22" t="n">
        <v>-1.805</v>
      </c>
      <c r="W144" s="22" t="n">
        <v>-23.736</v>
      </c>
      <c r="X144" s="22" t="n">
        <v>-1.08</v>
      </c>
    </row>
    <row r="145">
      <c r="A145" s="20" t="inlineStr">
        <is>
          <t>고정자산 압축손실</t>
        </is>
      </c>
      <c r="F145" s="22" t="n">
        <v>16.939</v>
      </c>
      <c r="J145" s="22" t="n">
        <v>0</v>
      </c>
      <c r="V145" s="22" t="n">
        <v>16.939</v>
      </c>
      <c r="W145" s="22" t="n">
        <v>0</v>
      </c>
    </row>
    <row r="146">
      <c r="A146" s="20" t="inlineStr">
        <is>
          <t>주식교부비</t>
        </is>
      </c>
      <c r="H146" s="22" t="n">
        <v>0</v>
      </c>
      <c r="J146" s="22" t="n">
        <v>0</v>
      </c>
      <c r="L146" s="22" t="n">
        <v>33.336</v>
      </c>
      <c r="N146" s="22" t="n">
        <v>33.336</v>
      </c>
      <c r="W146" s="22" t="n">
        <v>0</v>
      </c>
      <c r="X146" s="22" t="n">
        <v>33.336</v>
      </c>
    </row>
    <row r="147">
      <c r="A147" s="20" t="inlineStr">
        <is>
          <t>상장 관련 비용</t>
        </is>
      </c>
      <c r="F147" s="22" t="n">
        <v>0</v>
      </c>
      <c r="H147" s="22" t="n">
        <v>17.365</v>
      </c>
      <c r="J147" s="22" t="n">
        <v>17.365</v>
      </c>
      <c r="L147" s="22" t="n">
        <v>0</v>
      </c>
      <c r="N147" s="22" t="n">
        <v>0</v>
      </c>
      <c r="V147" s="22" t="n">
        <v>0</v>
      </c>
      <c r="W147" s="22" t="n">
        <v>17.365</v>
      </c>
      <c r="X147" s="22" t="n">
        <v>0</v>
      </c>
    </row>
    <row r="148">
      <c r="A148" s="20" t="inlineStr">
        <is>
          <t>이자비용</t>
        </is>
      </c>
      <c r="F148" s="22" t="n">
        <v>3.364</v>
      </c>
      <c r="H148" s="22" t="n">
        <v>0.291</v>
      </c>
      <c r="J148" s="22" t="n">
        <v>0.787</v>
      </c>
      <c r="L148" s="22" t="n">
        <v>20.053</v>
      </c>
      <c r="N148" s="22" t="n">
        <v>44.739</v>
      </c>
      <c r="V148" s="22" t="n">
        <v>3.364</v>
      </c>
      <c r="W148" s="22" t="n">
        <v>0.787</v>
      </c>
      <c r="X148" s="22" t="n">
        <v>44.739</v>
      </c>
    </row>
    <row r="149">
      <c r="A149" s="20" t="inlineStr">
        <is>
          <t>매출채권 증감</t>
        </is>
      </c>
      <c r="H149" s="22" t="n">
        <v>-2.019</v>
      </c>
    </row>
    <row r="150">
      <c r="A150" s="20" t="inlineStr">
        <is>
          <t>매출채권·계약자산 증감</t>
        </is>
      </c>
      <c r="F150" s="22" t="n">
        <v>-8.055</v>
      </c>
      <c r="H150" s="22" t="n">
        <v>-2.019</v>
      </c>
      <c r="J150" s="22" t="n">
        <v>-28.621</v>
      </c>
      <c r="L150" s="22" t="n">
        <v>26.745</v>
      </c>
      <c r="N150" s="22" t="n">
        <v>-162.459</v>
      </c>
      <c r="V150" s="22" t="n">
        <v>-8.055</v>
      </c>
      <c r="W150" s="22" t="n">
        <v>-28.621</v>
      </c>
      <c r="X150" s="22" t="n">
        <v>-162.459</v>
      </c>
    </row>
    <row r="151">
      <c r="A151" s="20" t="inlineStr">
        <is>
          <t>매입채무 증감</t>
        </is>
      </c>
      <c r="F151" s="22" t="n">
        <v>42.083</v>
      </c>
      <c r="H151" s="22" t="n">
        <v>-39.766</v>
      </c>
      <c r="J151" s="22" t="n">
        <v>-40.873</v>
      </c>
      <c r="L151" s="22" t="n">
        <v>6.951</v>
      </c>
      <c r="N151" s="22" t="n">
        <v>33.896</v>
      </c>
      <c r="V151" s="22" t="n">
        <v>42.083</v>
      </c>
      <c r="W151" s="22" t="n">
        <v>-40.873</v>
      </c>
      <c r="X151" s="22" t="n">
        <v>33.896</v>
      </c>
    </row>
    <row r="152">
      <c r="A152" s="20" t="inlineStr">
        <is>
          <t>계약부채 증감</t>
        </is>
      </c>
      <c r="F152" s="22" t="n">
        <v>-38.288</v>
      </c>
      <c r="H152" s="22" t="n">
        <v>-31.812</v>
      </c>
      <c r="J152" s="22" t="n">
        <v>-31.018</v>
      </c>
      <c r="L152" s="22" t="n">
        <v>15.273</v>
      </c>
      <c r="N152" s="22" t="n">
        <v>33.778</v>
      </c>
      <c r="V152" s="22" t="n">
        <v>-38.288</v>
      </c>
      <c r="W152" s="22" t="n">
        <v>-31.018</v>
      </c>
      <c r="X152" s="22" t="n">
        <v>33.778</v>
      </c>
    </row>
    <row r="153">
      <c r="A153" s="20" t="inlineStr">
        <is>
          <t>판매용 부동산 증감액</t>
        </is>
      </c>
      <c r="F153" s="22" t="n">
        <v>-715.658</v>
      </c>
      <c r="H153" s="22" t="n">
        <v>648.3099999999999</v>
      </c>
      <c r="J153" s="22" t="n">
        <v>-759.669</v>
      </c>
      <c r="L153" s="22" t="n">
        <v>-812.251</v>
      </c>
      <c r="N153" s="22" t="n">
        <v>662.803</v>
      </c>
      <c r="V153" s="22" t="n">
        <v>-715.658</v>
      </c>
      <c r="W153" s="22" t="n">
        <v>-759.669</v>
      </c>
      <c r="X153" s="22" t="n">
        <v>662.803</v>
      </c>
    </row>
    <row r="154">
      <c r="A154" s="20" t="inlineStr">
        <is>
          <t>선급비용 증감</t>
        </is>
      </c>
      <c r="F154" s="22" t="n">
        <v>-2.008</v>
      </c>
      <c r="H154" s="22" t="n">
        <v>-16.738</v>
      </c>
      <c r="J154" s="22" t="n">
        <v>-19.184</v>
      </c>
      <c r="L154" s="22" t="n">
        <v>-1.299</v>
      </c>
      <c r="N154" s="22" t="n">
        <v>-6.864</v>
      </c>
      <c r="V154" s="22" t="n">
        <v>-2.008</v>
      </c>
      <c r="W154" s="22" t="n">
        <v>-19.184</v>
      </c>
      <c r="X154" s="22" t="n">
        <v>-6.864</v>
      </c>
    </row>
    <row r="155">
      <c r="A155" s="20" t="inlineStr">
        <is>
          <t>미지급비용 증감</t>
        </is>
      </c>
      <c r="F155" s="22" t="n">
        <v>3.35</v>
      </c>
      <c r="H155" s="22" t="n">
        <v>-1.329</v>
      </c>
      <c r="J155" s="22" t="n">
        <v>1.858</v>
      </c>
      <c r="L155" s="22" t="n">
        <v>2.189</v>
      </c>
      <c r="N155" s="22" t="n">
        <v>0.324</v>
      </c>
      <c r="V155" s="22" t="n">
        <v>3.35</v>
      </c>
      <c r="W155" s="22" t="n">
        <v>1.858</v>
      </c>
      <c r="X155" s="22" t="n">
        <v>0.324</v>
      </c>
    </row>
    <row r="156">
      <c r="A156" s="20" t="inlineStr">
        <is>
          <t>미지급금 증감</t>
        </is>
      </c>
      <c r="F156" s="22" t="n">
        <v>-20.323</v>
      </c>
      <c r="H156" s="22" t="n">
        <v>-9.571</v>
      </c>
      <c r="J156" s="22" t="n">
        <v>-8.491</v>
      </c>
      <c r="L156" s="22" t="n">
        <v>-10.317</v>
      </c>
      <c r="N156" s="22" t="n">
        <v>-17.063</v>
      </c>
      <c r="V156" s="22" t="n">
        <v>-20.323</v>
      </c>
      <c r="W156" s="22" t="n">
        <v>-8.491</v>
      </c>
      <c r="X156" s="22" t="n">
        <v>-17.063</v>
      </c>
    </row>
    <row r="157">
      <c r="A157" s="20" t="inlineStr">
        <is>
          <t>영업투자유가증권 증감액</t>
        </is>
      </c>
      <c r="F157" s="22" t="n">
        <v>50</v>
      </c>
      <c r="H157" s="22" t="n">
        <v>49.875</v>
      </c>
      <c r="J157" s="22" t="n">
        <v>50</v>
      </c>
      <c r="L157" s="22" t="n">
        <v>0</v>
      </c>
      <c r="N157" s="22" t="n">
        <v>-75</v>
      </c>
      <c r="V157" s="22" t="n">
        <v>50</v>
      </c>
      <c r="W157" s="22" t="n">
        <v>50</v>
      </c>
      <c r="X157" s="22" t="n">
        <v>-75</v>
      </c>
    </row>
    <row r="158">
      <c r="A158" s="20" t="inlineStr">
        <is>
          <t>기타</t>
        </is>
      </c>
      <c r="F158" s="22" t="n">
        <v>6.403</v>
      </c>
      <c r="H158" s="22" t="n">
        <v>2.232</v>
      </c>
      <c r="J158" s="22" t="n">
        <v>4.904</v>
      </c>
      <c r="L158" s="22" t="n">
        <v>-148.006</v>
      </c>
      <c r="N158" s="22" t="n">
        <v>-11.113</v>
      </c>
      <c r="V158" s="22" t="n">
        <v>6.403</v>
      </c>
      <c r="W158" s="22" t="n">
        <v>4.904</v>
      </c>
      <c r="X158" s="22" t="n">
        <v>-11.113</v>
      </c>
    </row>
    <row r="159">
      <c r="A159" s="20" t="inlineStr">
        <is>
          <t>소계</t>
        </is>
      </c>
      <c r="F159" s="22" t="n">
        <v>-230.863</v>
      </c>
      <c r="H159" s="22" t="n">
        <v>1137.134</v>
      </c>
      <c r="J159" s="22" t="n">
        <v>-189.307</v>
      </c>
      <c r="L159" s="22" t="n">
        <v>-736.1799999999999</v>
      </c>
      <c r="N159" s="22" t="n">
        <v>1683.567</v>
      </c>
      <c r="V159" s="22" t="n">
        <v>-230.863</v>
      </c>
      <c r="W159" s="22" t="n">
        <v>-189.307</v>
      </c>
      <c r="X159" s="22" t="n">
        <v>1683.567</v>
      </c>
    </row>
    <row r="160">
      <c r="A160" s="20" t="inlineStr">
        <is>
          <t>이자 수취</t>
        </is>
      </c>
      <c r="F160" s="22" t="n">
        <v>0.022</v>
      </c>
      <c r="H160" s="22" t="n">
        <v>0.41</v>
      </c>
      <c r="J160" s="22" t="n">
        <v>2.102</v>
      </c>
      <c r="L160" s="22" t="n">
        <v>3.01</v>
      </c>
      <c r="N160" s="22" t="n">
        <v>7.021</v>
      </c>
      <c r="V160" s="22" t="n">
        <v>0.022</v>
      </c>
      <c r="W160" s="22" t="n">
        <v>2.102</v>
      </c>
      <c r="X160" s="22" t="n">
        <v>7.021</v>
      </c>
    </row>
    <row r="161">
      <c r="A161" s="20" t="inlineStr">
        <is>
          <t>이자 지급</t>
        </is>
      </c>
      <c r="F161" s="22" t="n">
        <v>-3.364</v>
      </c>
      <c r="H161" s="22" t="n">
        <v>-0.291</v>
      </c>
      <c r="J161" s="22" t="n">
        <v>-3.088</v>
      </c>
      <c r="L161" s="22" t="n">
        <v>-20.513</v>
      </c>
      <c r="N161" s="22" t="n">
        <v>-44.818</v>
      </c>
      <c r="V161" s="22" t="n">
        <v>-3.364</v>
      </c>
      <c r="W161" s="22" t="n">
        <v>-3.088</v>
      </c>
      <c r="X161" s="22" t="n">
        <v>-44.818</v>
      </c>
    </row>
    <row r="162">
      <c r="A162" s="20" t="inlineStr">
        <is>
          <t>보험금 수취</t>
        </is>
      </c>
      <c r="F162" s="22" t="n">
        <v>27.495</v>
      </c>
      <c r="J162" s="22" t="n">
        <v>0</v>
      </c>
      <c r="V162" s="22" t="n">
        <v>27.495</v>
      </c>
      <c r="W162" s="22" t="n">
        <v>0</v>
      </c>
    </row>
    <row r="163">
      <c r="A163" s="20" t="inlineStr">
        <is>
          <t>법인세 환급</t>
        </is>
      </c>
      <c r="F163" s="22" t="n">
        <v>0.546</v>
      </c>
      <c r="H163" s="22" t="n">
        <v>5.41</v>
      </c>
      <c r="J163" s="22" t="n">
        <v>5.41</v>
      </c>
      <c r="L163" s="22" t="n">
        <v>0.004</v>
      </c>
      <c r="N163" s="22" t="n">
        <v>0.004</v>
      </c>
      <c r="V163" s="22" t="n">
        <v>0.546</v>
      </c>
      <c r="W163" s="22" t="n">
        <v>5.41</v>
      </c>
      <c r="X163" s="22" t="n">
        <v>0.004</v>
      </c>
    </row>
    <row r="164">
      <c r="A164" s="20" t="inlineStr">
        <is>
          <t>법인세 납부</t>
        </is>
      </c>
      <c r="F164" s="22" t="n">
        <v>-93.19</v>
      </c>
      <c r="H164" s="22" t="n">
        <v>-109.217</v>
      </c>
      <c r="J164" s="22" t="n">
        <v>-197.297</v>
      </c>
      <c r="L164" s="22" t="n">
        <v>-101.351</v>
      </c>
      <c r="N164" s="22" t="n">
        <v>-185.605</v>
      </c>
      <c r="V164" s="22" t="n">
        <v>-93.19</v>
      </c>
      <c r="W164" s="22" t="n">
        <v>-197.297</v>
      </c>
      <c r="X164" s="22" t="n">
        <v>-185.605</v>
      </c>
    </row>
    <row r="165">
      <c r="A165" s="9" t="inlineStr">
        <is>
          <t>영업활동 현금흐름</t>
        </is>
      </c>
      <c r="F165" s="12" t="n">
        <v>-299.354</v>
      </c>
      <c r="H165" s="12" t="n">
        <v>1033.445</v>
      </c>
      <c r="J165" s="12" t="n">
        <v>-382.181</v>
      </c>
      <c r="L165" s="12" t="n">
        <v>-855.03</v>
      </c>
      <c r="N165" s="12" t="n">
        <v>1460.169</v>
      </c>
      <c r="V165" s="12" t="n">
        <v>-299.354</v>
      </c>
      <c r="W165" s="12" t="n">
        <v>-382.181</v>
      </c>
      <c r="X165" s="12" t="n">
        <v>1460.169</v>
      </c>
    </row>
    <row r="166">
      <c r="A166" s="20" t="inlineStr">
        <is>
          <t>유형자산 취득(설비투자)</t>
        </is>
      </c>
      <c r="F166" s="22" t="n">
        <v>-183.035</v>
      </c>
      <c r="H166" s="22" t="n">
        <v>0</v>
      </c>
      <c r="J166" s="22" t="n">
        <v>-110.304</v>
      </c>
      <c r="L166" s="22" t="n">
        <v>-1874.463</v>
      </c>
      <c r="N166" s="22" t="n">
        <v>-2303.023</v>
      </c>
      <c r="V166" s="22" t="n">
        <v>-183.035</v>
      </c>
      <c r="W166" s="22" t="n">
        <v>-110.304</v>
      </c>
      <c r="X166" s="22" t="n">
        <v>-2303.023</v>
      </c>
    </row>
    <row r="167">
      <c r="A167" s="20" t="inlineStr">
        <is>
          <t>유형자산 매각</t>
        </is>
      </c>
      <c r="F167" s="22" t="n">
        <v>4.545</v>
      </c>
      <c r="H167" s="22" t="n">
        <v>0</v>
      </c>
      <c r="J167" s="22" t="n">
        <v>78.54300000000001</v>
      </c>
      <c r="L167" s="22" t="n">
        <v>1.263</v>
      </c>
      <c r="N167" s="22" t="n">
        <v>1.263</v>
      </c>
      <c r="V167" s="22" t="n">
        <v>4.545</v>
      </c>
      <c r="W167" s="22" t="n">
        <v>78.54300000000001</v>
      </c>
      <c r="X167" s="22" t="n">
        <v>1.263</v>
      </c>
    </row>
    <row r="168">
      <c r="A168" s="20" t="inlineStr">
        <is>
          <t>무형자산 취득</t>
        </is>
      </c>
      <c r="F168" s="22" t="n">
        <v>-15.374</v>
      </c>
      <c r="H168" s="22" t="n">
        <v>-4.417</v>
      </c>
      <c r="J168" s="22" t="n">
        <v>-7.166</v>
      </c>
      <c r="L168" s="22" t="n">
        <v>-3.425</v>
      </c>
      <c r="N168" s="22" t="n">
        <v>-10.033</v>
      </c>
      <c r="V168" s="22" t="n">
        <v>-15.374</v>
      </c>
      <c r="W168" s="22" t="n">
        <v>-7.166</v>
      </c>
      <c r="X168" s="22" t="n">
        <v>-10.033</v>
      </c>
    </row>
    <row r="169">
      <c r="A169" s="20" t="inlineStr">
        <is>
          <t>종업원 장기대여 지출</t>
        </is>
      </c>
      <c r="F169" s="22" t="n">
        <v>0</v>
      </c>
      <c r="H169" s="22" t="n">
        <v>0</v>
      </c>
      <c r="J169" s="22" t="n">
        <v>-69.646</v>
      </c>
      <c r="L169" s="22" t="n">
        <v>-48.793</v>
      </c>
      <c r="N169" s="22" t="n">
        <v>-53.969</v>
      </c>
      <c r="V169" s="22" t="n">
        <v>0</v>
      </c>
      <c r="W169" s="22" t="n">
        <v>-69.646</v>
      </c>
      <c r="X169" s="22" t="n">
        <v>-53.969</v>
      </c>
    </row>
    <row r="170">
      <c r="A170" s="20" t="inlineStr">
        <is>
          <t>임원 장기대여 지출</t>
        </is>
      </c>
      <c r="J170" s="22" t="n">
        <v>0</v>
      </c>
      <c r="N170" s="22" t="n">
        <v>-65.925</v>
      </c>
      <c r="W170" s="22" t="n">
        <v>0</v>
      </c>
      <c r="X170" s="22" t="n">
        <v>-65.925</v>
      </c>
    </row>
    <row r="171">
      <c r="A171" s="20" t="inlineStr">
        <is>
          <t>임원 장기대여금 회수 수입</t>
        </is>
      </c>
      <c r="J171" s="22" t="n">
        <v>0</v>
      </c>
      <c r="N171" s="22" t="n">
        <v>24.2</v>
      </c>
      <c r="W171" s="22" t="n">
        <v>0</v>
      </c>
      <c r="X171" s="22" t="n">
        <v>24.2</v>
      </c>
    </row>
    <row r="172">
      <c r="A172" s="20" t="inlineStr">
        <is>
          <t>보증금 반환 수입</t>
        </is>
      </c>
      <c r="F172" s="22" t="n">
        <v>0.03</v>
      </c>
      <c r="J172" s="22" t="n">
        <v>0</v>
      </c>
      <c r="N172" s="22" t="n">
        <v>31.86</v>
      </c>
      <c r="V172" s="22" t="n">
        <v>0.03</v>
      </c>
      <c r="W172" s="22" t="n">
        <v>0</v>
      </c>
      <c r="X172" s="22" t="n">
        <v>31.86</v>
      </c>
    </row>
    <row r="173">
      <c r="A173" s="20" t="inlineStr">
        <is>
          <t>임차보증금 납입</t>
        </is>
      </c>
      <c r="F173" s="22" t="n">
        <v>-33.018</v>
      </c>
      <c r="H173" s="22" t="n">
        <v>0</v>
      </c>
      <c r="J173" s="22" t="n">
        <v>-16.94</v>
      </c>
      <c r="L173" s="22" t="n">
        <v>-5</v>
      </c>
      <c r="N173" s="22" t="n">
        <v>-72.455</v>
      </c>
      <c r="V173" s="22" t="n">
        <v>-33.018</v>
      </c>
      <c r="W173" s="22" t="n">
        <v>-16.94</v>
      </c>
      <c r="X173" s="22" t="n">
        <v>-72.455</v>
      </c>
    </row>
    <row r="174">
      <c r="A174" s="20" t="inlineStr">
        <is>
          <t>예수 보증금 수령 수입</t>
        </is>
      </c>
      <c r="F174" s="22" t="n">
        <v>41.137</v>
      </c>
      <c r="H174" s="22" t="n">
        <v>0</v>
      </c>
      <c r="J174" s="22" t="n">
        <v>4.4</v>
      </c>
      <c r="L174" s="22" t="n">
        <v>65.245</v>
      </c>
      <c r="N174" s="22" t="n">
        <v>136.05</v>
      </c>
      <c r="V174" s="22" t="n">
        <v>41.137</v>
      </c>
      <c r="W174" s="22" t="n">
        <v>4.4</v>
      </c>
      <c r="X174" s="22" t="n">
        <v>136.05</v>
      </c>
    </row>
    <row r="175">
      <c r="A175" s="20" t="inlineStr">
        <is>
          <t>예수 보증금 반환 지출</t>
        </is>
      </c>
      <c r="F175" s="22" t="n">
        <v>0</v>
      </c>
      <c r="H175" s="22" t="n">
        <v>-2.67</v>
      </c>
      <c r="J175" s="22" t="n">
        <v>-2.67</v>
      </c>
      <c r="L175" s="22" t="n">
        <v>0</v>
      </c>
      <c r="N175" s="22" t="n">
        <v>-36.204</v>
      </c>
      <c r="V175" s="22" t="n">
        <v>0</v>
      </c>
      <c r="W175" s="22" t="n">
        <v>-2.67</v>
      </c>
      <c r="X175" s="22" t="n">
        <v>-36.204</v>
      </c>
    </row>
    <row r="176">
      <c r="A176" s="20" t="inlineStr">
        <is>
          <t>보험 해약 수입</t>
        </is>
      </c>
      <c r="F176" s="22" t="n">
        <v>0</v>
      </c>
      <c r="H176" s="22" t="n">
        <v>1.169</v>
      </c>
      <c r="J176" s="22" t="n">
        <v>2.511</v>
      </c>
      <c r="L176" s="22" t="n">
        <v>0</v>
      </c>
      <c r="N176" s="22" t="n">
        <v>0</v>
      </c>
      <c r="V176" s="22" t="n">
        <v>0</v>
      </c>
      <c r="W176" s="22" t="n">
        <v>2.511</v>
      </c>
      <c r="X176" s="22" t="n">
        <v>0</v>
      </c>
    </row>
    <row r="177">
      <c r="A177" s="20" t="inlineStr">
        <is>
          <t>보험적립금 적립</t>
        </is>
      </c>
      <c r="F177" s="22" t="n">
        <v>-8.254</v>
      </c>
      <c r="H177" s="22" t="n">
        <v>-5.033</v>
      </c>
      <c r="J177" s="22" t="n">
        <v>-9.484</v>
      </c>
      <c r="L177" s="22" t="n">
        <v>-5.662</v>
      </c>
      <c r="N177" s="22" t="n">
        <v>-10.416</v>
      </c>
      <c r="V177" s="22" t="n">
        <v>-8.254</v>
      </c>
      <c r="W177" s="22" t="n">
        <v>-9.484</v>
      </c>
      <c r="X177" s="22" t="n">
        <v>-10.416</v>
      </c>
    </row>
    <row r="178">
      <c r="A178" s="20" t="inlineStr">
        <is>
          <t>기타</t>
        </is>
      </c>
      <c r="H178" s="22" t="n">
        <v>0</v>
      </c>
      <c r="J178" s="22" t="n">
        <v>0</v>
      </c>
      <c r="L178" s="22" t="n">
        <v>-0.17</v>
      </c>
      <c r="N178" s="22" t="n">
        <v>-0.21</v>
      </c>
      <c r="W178" s="22" t="n">
        <v>0</v>
      </c>
      <c r="X178" s="22" t="n">
        <v>-0.21</v>
      </c>
    </row>
    <row r="179">
      <c r="A179" s="9" t="inlineStr">
        <is>
          <t>투자활동 현금흐름</t>
        </is>
      </c>
      <c r="F179" s="12" t="n">
        <v>-193.971</v>
      </c>
      <c r="H179" s="12" t="n">
        <v>-10.951</v>
      </c>
      <c r="J179" s="12" t="n">
        <v>-130.756</v>
      </c>
      <c r="L179" s="12" t="n">
        <v>-1871.007</v>
      </c>
      <c r="N179" s="12" t="n">
        <v>-2358.864</v>
      </c>
      <c r="V179" s="12" t="n">
        <v>-193.971</v>
      </c>
      <c r="W179" s="12" t="n">
        <v>-130.756</v>
      </c>
      <c r="X179" s="12" t="n">
        <v>-2358.864</v>
      </c>
    </row>
    <row r="180">
      <c r="A180" s="20" t="inlineStr">
        <is>
          <t>단기차입금 순증감</t>
        </is>
      </c>
      <c r="F180" s="22" t="n">
        <v>170</v>
      </c>
      <c r="H180" s="22" t="n">
        <v>-170</v>
      </c>
      <c r="J180" s="22" t="n">
        <v>1230</v>
      </c>
      <c r="L180" s="22" t="n">
        <v>560</v>
      </c>
      <c r="N180" s="22" t="n">
        <v>-840</v>
      </c>
      <c r="V180" s="22" t="n">
        <v>170</v>
      </c>
      <c r="W180" s="22" t="n">
        <v>1230</v>
      </c>
      <c r="X180" s="22" t="n">
        <v>-840</v>
      </c>
    </row>
    <row r="181">
      <c r="A181" s="20" t="inlineStr">
        <is>
          <t>장기차입</t>
        </is>
      </c>
      <c r="H181" s="22" t="n">
        <v>0</v>
      </c>
      <c r="J181" s="22" t="n">
        <v>0</v>
      </c>
      <c r="L181" s="22" t="n">
        <v>800</v>
      </c>
      <c r="N181" s="22" t="n">
        <v>2389.8</v>
      </c>
      <c r="W181" s="22" t="n">
        <v>0</v>
      </c>
      <c r="X181" s="22" t="n">
        <v>2389.8</v>
      </c>
    </row>
    <row r="182">
      <c r="A182" s="20" t="inlineStr">
        <is>
          <t>장기차입금 상환</t>
        </is>
      </c>
      <c r="H182" s="22" t="n">
        <v>0</v>
      </c>
      <c r="J182" s="22" t="n">
        <v>0</v>
      </c>
      <c r="L182" s="22" t="n">
        <v>-9.525</v>
      </c>
      <c r="N182" s="22" t="n">
        <v>-1618.375</v>
      </c>
      <c r="W182" s="22" t="n">
        <v>0</v>
      </c>
      <c r="X182" s="22" t="n">
        <v>-1618.375</v>
      </c>
    </row>
    <row r="183">
      <c r="A183" s="20" t="inlineStr">
        <is>
          <t>주식 발행</t>
        </is>
      </c>
      <c r="F183" s="22" t="n">
        <v>0</v>
      </c>
      <c r="H183" s="22" t="n">
        <v>718.078</v>
      </c>
      <c r="J183" s="22" t="n">
        <v>735.263</v>
      </c>
      <c r="L183" s="22" t="n">
        <v>2418.036</v>
      </c>
      <c r="N183" s="22" t="n">
        <v>2457.636</v>
      </c>
      <c r="V183" s="22" t="n">
        <v>0</v>
      </c>
      <c r="W183" s="22" t="n">
        <v>735.263</v>
      </c>
      <c r="X183" s="22" t="n">
        <v>2457.636</v>
      </c>
    </row>
    <row r="184">
      <c r="A184" s="20" t="inlineStr">
        <is>
          <t>상장 관련 비용 지출</t>
        </is>
      </c>
      <c r="F184" s="22" t="n">
        <v>0</v>
      </c>
      <c r="H184" s="22" t="n">
        <v>-17.365</v>
      </c>
      <c r="J184" s="22" t="n">
        <v>-17.365</v>
      </c>
      <c r="L184" s="22" t="n">
        <v>0</v>
      </c>
      <c r="N184" s="22" t="n">
        <v>0</v>
      </c>
      <c r="V184" s="22" t="n">
        <v>0</v>
      </c>
      <c r="W184" s="22" t="n">
        <v>-17.365</v>
      </c>
      <c r="X184" s="22" t="n">
        <v>0</v>
      </c>
    </row>
    <row r="185">
      <c r="A185" s="20" t="inlineStr">
        <is>
          <t>자기주식 처분</t>
        </is>
      </c>
      <c r="F185" s="22" t="n">
        <v>2.25</v>
      </c>
      <c r="J185" s="22" t="n">
        <v>0</v>
      </c>
      <c r="V185" s="22" t="n">
        <v>2.25</v>
      </c>
      <c r="W185" s="22" t="n">
        <v>0</v>
      </c>
    </row>
    <row r="186">
      <c r="A186" s="20" t="inlineStr">
        <is>
          <t>배당금 지급</t>
        </is>
      </c>
      <c r="F186" s="22" t="n">
        <v>-34.2</v>
      </c>
      <c r="H186" s="22" t="n">
        <v>-58.191</v>
      </c>
      <c r="J186" s="22" t="n">
        <v>-58.191</v>
      </c>
      <c r="L186" s="22" t="n">
        <v>-94.01000000000001</v>
      </c>
      <c r="N186" s="22" t="n">
        <v>-94.015</v>
      </c>
      <c r="V186" s="22" t="n">
        <v>-34.2</v>
      </c>
      <c r="W186" s="22" t="n">
        <v>-58.191</v>
      </c>
      <c r="X186" s="22" t="n">
        <v>-94.015</v>
      </c>
    </row>
    <row r="187">
      <c r="A187" s="9" t="inlineStr">
        <is>
          <t>재무활동 현금흐름</t>
        </is>
      </c>
      <c r="F187" s="12" t="n">
        <v>138.05</v>
      </c>
      <c r="H187" s="12" t="n">
        <v>472.521</v>
      </c>
      <c r="J187" s="12" t="n">
        <v>1889.707</v>
      </c>
      <c r="L187" s="12" t="n">
        <v>3674.5</v>
      </c>
      <c r="N187" s="12" t="n">
        <v>2295.045</v>
      </c>
      <c r="V187" s="12" t="n">
        <v>138.05</v>
      </c>
      <c r="W187" s="12" t="n">
        <v>1889.707</v>
      </c>
      <c r="X187" s="12" t="n">
        <v>2295.045</v>
      </c>
    </row>
    <row r="188">
      <c r="A188" s="20" t="inlineStr">
        <is>
          <t>현금성자산 증감</t>
        </is>
      </c>
      <c r="F188" s="22" t="n">
        <v>-355.275</v>
      </c>
      <c r="H188" s="22" t="n">
        <v>1495.016</v>
      </c>
      <c r="J188" s="22" t="n">
        <v>1376.769</v>
      </c>
      <c r="L188" s="22" t="n">
        <v>948.463</v>
      </c>
      <c r="N188" s="22" t="n">
        <v>1396.349</v>
      </c>
      <c r="V188" s="22" t="n">
        <v>-355.275</v>
      </c>
      <c r="W188" s="22" t="n">
        <v>1376.769</v>
      </c>
      <c r="X188" s="22" t="n">
        <v>1396.349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23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쿠쿠레브어드바이저즈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2025.4Q</t>
        </is>
      </c>
      <c r="D3" s="5" t="inlineStr">
        <is>
          <t>2026.1Q</t>
        </is>
      </c>
      <c r="E3" s="5" t="inlineStr">
        <is>
          <t>2026.2Q</t>
        </is>
      </c>
      <c r="F3" s="5" t="inlineStr">
        <is>
          <t>2026.3Q</t>
        </is>
      </c>
      <c r="G3" s="5" t="inlineStr">
        <is>
          <t>2026.4Q</t>
        </is>
      </c>
      <c r="H3" s="6" t="inlineStr">
        <is>
          <t>2024</t>
        </is>
      </c>
      <c r="I3" s="5" t="inlineStr">
        <is>
          <t>2025</t>
        </is>
      </c>
      <c r="J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</row>
    <row r="5">
      <c r="A5" s="9" t="inlineStr">
        <is>
          <t>유동자산</t>
        </is>
      </c>
      <c r="B5" s="10" t="n"/>
      <c r="C5" s="11" t="n">
        <v>3217.408</v>
      </c>
      <c r="D5" s="12" t="n">
        <v>5418.21</v>
      </c>
      <c r="E5" s="12" t="n">
        <v>5098.441</v>
      </c>
      <c r="F5" s="12" t="n">
        <v>5410.701</v>
      </c>
      <c r="G5" s="12" t="n">
        <v>4801.909</v>
      </c>
      <c r="H5" s="11" t="n">
        <v>1073.019</v>
      </c>
      <c r="I5" s="12" t="n">
        <v>3217.408</v>
      </c>
      <c r="J5" s="12" t="n">
        <v>4801.909</v>
      </c>
    </row>
    <row r="6">
      <c r="A6" s="20" t="inlineStr">
        <is>
          <t>현금및현금성자산</t>
        </is>
      </c>
      <c r="B6" s="10" t="n"/>
      <c r="C6" s="21" t="n">
        <v>1639.195</v>
      </c>
      <c r="D6" s="22" t="n">
        <v>3841.304</v>
      </c>
      <c r="E6" s="22" t="n">
        <v>2587.658</v>
      </c>
      <c r="F6" s="22" t="n">
        <v>1348.883</v>
      </c>
      <c r="G6" s="22" t="n">
        <v>3035.544</v>
      </c>
      <c r="H6" s="21" t="n">
        <v>262.425</v>
      </c>
      <c r="I6" s="22" t="n">
        <v>1639.195</v>
      </c>
      <c r="J6" s="22" t="n">
        <v>3035.544</v>
      </c>
    </row>
    <row r="7">
      <c r="A7" s="20" t="inlineStr">
        <is>
          <t>단기금융상품</t>
        </is>
      </c>
      <c r="B7" s="10" t="n"/>
      <c r="C7" s="21" t="n"/>
      <c r="D7" s="22" t="n"/>
      <c r="E7" s="22" t="n"/>
      <c r="F7" s="22" t="n"/>
      <c r="G7" s="22" t="n"/>
      <c r="H7" s="21" t="n"/>
      <c r="I7" s="22" t="n"/>
      <c r="J7" s="22" t="n"/>
    </row>
    <row r="8">
      <c r="A8" s="20" t="inlineStr">
        <is>
          <t>매출채권</t>
        </is>
      </c>
      <c r="B8" s="10" t="n"/>
      <c r="C8" s="21" t="n">
        <v>41.981</v>
      </c>
      <c r="D8" s="22" t="n">
        <v>28.795</v>
      </c>
      <c r="E8" s="22" t="n">
        <v>15.235</v>
      </c>
      <c r="F8" s="22" t="n">
        <v>21.96</v>
      </c>
      <c r="G8" s="22" t="n">
        <v>204.44</v>
      </c>
      <c r="H8" s="21" t="n">
        <v>13.359</v>
      </c>
      <c r="I8" s="22" t="n">
        <v>41.981</v>
      </c>
      <c r="J8" s="22" t="n">
        <v>204.44</v>
      </c>
    </row>
    <row r="9">
      <c r="A9" s="20" t="inlineStr">
        <is>
          <t>재고자산</t>
        </is>
      </c>
      <c r="B9" s="10" t="n"/>
      <c r="C9" s="21" t="n">
        <v>1475.328</v>
      </c>
      <c r="D9" s="22" t="n">
        <v>1477.984</v>
      </c>
      <c r="E9" s="22" t="n">
        <v>2279.063</v>
      </c>
      <c r="F9" s="22" t="n">
        <v>3827.57</v>
      </c>
      <c r="G9" s="22" t="n">
        <v>1352.145</v>
      </c>
      <c r="H9" s="21" t="n">
        <v>715.658</v>
      </c>
      <c r="I9" s="22" t="n">
        <v>1475.328</v>
      </c>
      <c r="J9" s="22" t="n">
        <v>1352.145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</row>
    <row r="11">
      <c r="A11" s="9" t="inlineStr">
        <is>
          <t>비유동자산</t>
        </is>
      </c>
      <c r="B11" s="10" t="n"/>
      <c r="C11" s="11" t="n">
        <v>574.3440000000001</v>
      </c>
      <c r="D11" s="12" t="n">
        <v>890.096</v>
      </c>
      <c r="E11" s="12" t="n">
        <v>2481.965</v>
      </c>
      <c r="F11" s="12" t="n">
        <v>2841.807</v>
      </c>
      <c r="G11" s="12" t="n">
        <v>2468.267</v>
      </c>
      <c r="H11" s="11" t="n">
        <v>438.595</v>
      </c>
      <c r="I11" s="12" t="n">
        <v>574.3440000000001</v>
      </c>
      <c r="J11" s="12" t="n">
        <v>2468.267</v>
      </c>
    </row>
    <row r="12">
      <c r="A12" s="20" t="inlineStr">
        <is>
          <t>유형자산</t>
        </is>
      </c>
      <c r="B12" s="10" t="n"/>
      <c r="C12" s="21" t="n">
        <v>320.906</v>
      </c>
      <c r="D12" s="22" t="n">
        <v>623.725</v>
      </c>
      <c r="E12" s="22" t="n">
        <v>2176.022</v>
      </c>
      <c r="F12" s="22" t="n">
        <v>2524.289</v>
      </c>
      <c r="G12" s="22" t="n">
        <v>2014.807</v>
      </c>
      <c r="H12" s="21" t="n">
        <v>278.887</v>
      </c>
      <c r="I12" s="22" t="n">
        <v>320.906</v>
      </c>
      <c r="J12" s="22" t="n">
        <v>2014.807</v>
      </c>
    </row>
    <row r="13">
      <c r="A13" s="20" t="inlineStr">
        <is>
          <t>무형자산</t>
        </is>
      </c>
      <c r="B13" s="10" t="n"/>
      <c r="C13" s="21" t="n">
        <v>30.786</v>
      </c>
      <c r="D13" s="22" t="n">
        <v>27.94</v>
      </c>
      <c r="E13" s="22" t="n">
        <v>27.18</v>
      </c>
      <c r="F13" s="22" t="n">
        <v>25.932</v>
      </c>
      <c r="G13" s="22" t="n">
        <v>27.443</v>
      </c>
      <c r="H13" s="21" t="n">
        <v>32.327</v>
      </c>
      <c r="I13" s="22" t="n">
        <v>30.786</v>
      </c>
      <c r="J13" s="22" t="n">
        <v>27.443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</row>
    <row r="16">
      <c r="A16" s="9" t="inlineStr">
        <is>
          <t>자산총계</t>
        </is>
      </c>
      <c r="B16" s="10" t="n"/>
      <c r="C16" s="11" t="n">
        <v>3791.752</v>
      </c>
      <c r="D16" s="12" t="n">
        <v>6308.307</v>
      </c>
      <c r="E16" s="12" t="n">
        <v>7580.406</v>
      </c>
      <c r="F16" s="12" t="n">
        <v>8252.508</v>
      </c>
      <c r="G16" s="12" t="n">
        <v>7270.177</v>
      </c>
      <c r="H16" s="11" t="n">
        <v>1511.615</v>
      </c>
      <c r="I16" s="12" t="n">
        <v>3791.752</v>
      </c>
      <c r="J16" s="12" t="n">
        <v>7270.177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</row>
    <row r="18">
      <c r="A18" s="9" t="inlineStr">
        <is>
          <t>유동부채</t>
        </is>
      </c>
      <c r="B18" s="10" t="n"/>
      <c r="C18" s="11" t="n">
        <v>1650.27</v>
      </c>
      <c r="D18" s="12" t="n">
        <v>1659.308</v>
      </c>
      <c r="E18" s="12" t="n">
        <v>2191.217</v>
      </c>
      <c r="F18" s="12" t="n">
        <v>952.936</v>
      </c>
      <c r="G18" s="12" t="n">
        <v>1088.289</v>
      </c>
      <c r="H18" s="11" t="n">
        <v>494.645</v>
      </c>
      <c r="I18" s="12" t="n">
        <v>1650.27</v>
      </c>
      <c r="J18" s="12" t="n">
        <v>1088.289</v>
      </c>
    </row>
    <row r="19">
      <c r="A19" s="20" t="inlineStr">
        <is>
          <t>매입채무</t>
        </is>
      </c>
      <c r="B19" s="10" t="n"/>
      <c r="C19" s="21" t="n">
        <v>3.056</v>
      </c>
      <c r="D19" s="22" t="n">
        <v>9.106999999999999</v>
      </c>
      <c r="E19" s="22" t="n">
        <v>10.007</v>
      </c>
      <c r="F19" s="22" t="n">
        <v>8.898</v>
      </c>
      <c r="G19" s="22" t="n">
        <v>36.952</v>
      </c>
      <c r="H19" s="21" t="n">
        <v>43.929</v>
      </c>
      <c r="I19" s="22" t="n">
        <v>3.056</v>
      </c>
      <c r="J19" s="22" t="n">
        <v>36.952</v>
      </c>
    </row>
    <row r="20">
      <c r="A20" s="20" t="inlineStr">
        <is>
          <t>단기차입금</t>
        </is>
      </c>
      <c r="B20" s="10" t="n"/>
      <c r="C20" s="21" t="n">
        <v>1450</v>
      </c>
      <c r="D20" s="22" t="n">
        <v>1450</v>
      </c>
      <c r="E20" s="22" t="n">
        <v>2010</v>
      </c>
      <c r="F20" s="22" t="n">
        <v>610</v>
      </c>
      <c r="G20" s="22" t="n">
        <v>610</v>
      </c>
      <c r="H20" s="21" t="n">
        <v>220</v>
      </c>
      <c r="I20" s="22" t="n">
        <v>1450</v>
      </c>
      <c r="J20" s="22" t="n">
        <v>610</v>
      </c>
    </row>
    <row r="21">
      <c r="A21" s="20" t="inlineStr">
        <is>
          <t>유동성장기부채</t>
        </is>
      </c>
      <c r="B21" s="10" t="n"/>
      <c r="C21" s="21" t="n">
        <v>0</v>
      </c>
      <c r="D21" s="22" t="n"/>
      <c r="E21" s="22" t="n">
        <v>38.1</v>
      </c>
      <c r="F21" s="22" t="n">
        <v>38.1</v>
      </c>
      <c r="G21" s="22" t="n">
        <v>38.1</v>
      </c>
      <c r="H21" s="21" t="n"/>
      <c r="I21" s="22" t="n">
        <v>0</v>
      </c>
      <c r="J21" s="22" t="n">
        <v>38.1</v>
      </c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</row>
    <row r="23">
      <c r="A23" s="9" t="inlineStr">
        <is>
          <t>비유동부채</t>
        </is>
      </c>
      <c r="B23" s="10" t="n"/>
      <c r="C23" s="11" t="n">
        <v>45.936</v>
      </c>
      <c r="D23" s="12" t="n">
        <v>57.856</v>
      </c>
      <c r="E23" s="12" t="n">
        <v>863.557</v>
      </c>
      <c r="F23" s="12" t="n">
        <v>2480.036</v>
      </c>
      <c r="G23" s="12" t="n">
        <v>879.208</v>
      </c>
      <c r="H23" s="11" t="n">
        <v>44.206</v>
      </c>
      <c r="I23" s="12" t="n">
        <v>45.936</v>
      </c>
      <c r="J23" s="12" t="n">
        <v>879.208</v>
      </c>
    </row>
    <row r="24">
      <c r="A24" s="20" t="inlineStr">
        <is>
          <t>장기차입금</t>
        </is>
      </c>
      <c r="B24" s="10" t="n"/>
      <c r="C24" s="21" t="n">
        <v>0</v>
      </c>
      <c r="D24" s="22" t="n"/>
      <c r="E24" s="22" t="n">
        <v>752.375</v>
      </c>
      <c r="F24" s="22" t="n">
        <v>2332.65</v>
      </c>
      <c r="G24" s="22" t="n">
        <v>733.325</v>
      </c>
      <c r="H24" s="21" t="n"/>
      <c r="I24" s="22" t="n">
        <v>0</v>
      </c>
      <c r="J24" s="22" t="n">
        <v>733.325</v>
      </c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</row>
    <row r="27">
      <c r="A27" s="9" t="inlineStr">
        <is>
          <t>부채총계</t>
        </is>
      </c>
      <c r="B27" s="10" t="n"/>
      <c r="C27" s="11" t="n">
        <v>1696.207</v>
      </c>
      <c r="D27" s="12" t="n">
        <v>1717.165</v>
      </c>
      <c r="E27" s="12" t="n">
        <v>3054.774</v>
      </c>
      <c r="F27" s="12" t="n">
        <v>3432.973</v>
      </c>
      <c r="G27" s="12" t="n">
        <v>1967.497</v>
      </c>
      <c r="H27" s="11" t="n">
        <v>538.852</v>
      </c>
      <c r="I27" s="12" t="n">
        <v>1696.207</v>
      </c>
      <c r="J27" s="12" t="n">
        <v>1967.497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</row>
    <row r="31">
      <c r="A31" s="9" t="inlineStr">
        <is>
          <t>지배주주지분</t>
        </is>
      </c>
      <c r="B31" s="10" t="n"/>
      <c r="C31" s="11" t="n">
        <v>2093.97</v>
      </c>
      <c r="D31" s="12" t="n">
        <v>4589.877</v>
      </c>
      <c r="E31" s="12" t="n">
        <v>4524.389</v>
      </c>
      <c r="F31" s="12" t="n">
        <v>4818.291</v>
      </c>
      <c r="G31" s="12" t="n">
        <v>5301.796</v>
      </c>
      <c r="H31" s="11" t="n">
        <v>971.032</v>
      </c>
      <c r="I31" s="12" t="n">
        <v>2093.97</v>
      </c>
      <c r="J31" s="12" t="n">
        <v>5301.796</v>
      </c>
    </row>
    <row r="32">
      <c r="A32" s="20" t="inlineStr">
        <is>
          <t>자본금</t>
        </is>
      </c>
      <c r="B32" s="10" t="n"/>
      <c r="C32" s="21" t="n">
        <v>567.71</v>
      </c>
      <c r="D32" s="22" t="n">
        <v>1792.369</v>
      </c>
      <c r="E32" s="22" t="n">
        <v>1793.562</v>
      </c>
      <c r="F32" s="22" t="n">
        <v>1793.562</v>
      </c>
      <c r="G32" s="22" t="n">
        <v>1847.027</v>
      </c>
      <c r="H32" s="21" t="n">
        <v>200</v>
      </c>
      <c r="I32" s="22" t="n">
        <v>567.71</v>
      </c>
      <c r="J32" s="22" t="n">
        <v>1847.027</v>
      </c>
    </row>
    <row r="33">
      <c r="A33" s="20" t="inlineStr">
        <is>
          <t>이익잉여금</t>
        </is>
      </c>
      <c r="B33" s="10" t="n"/>
      <c r="C33" s="21" t="n">
        <v>979.3</v>
      </c>
      <c r="D33" s="22" t="n">
        <v>1025.889</v>
      </c>
      <c r="E33" s="22" t="n">
        <v>958.014</v>
      </c>
      <c r="F33" s="22" t="n">
        <v>1251.916</v>
      </c>
      <c r="G33" s="22" t="n">
        <v>1628.49</v>
      </c>
      <c r="H33" s="21" t="n">
        <v>591.7809999999999</v>
      </c>
      <c r="I33" s="22" t="n">
        <v>979.3</v>
      </c>
      <c r="J33" s="22" t="n">
        <v>1628.49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</row>
    <row r="35">
      <c r="A35" s="9" t="inlineStr">
        <is>
          <t>자본총계</t>
        </is>
      </c>
      <c r="B35" s="10" t="n"/>
      <c r="C35" s="11" t="n">
        <v>2095.545</v>
      </c>
      <c r="D35" s="12" t="n">
        <v>4591.142</v>
      </c>
      <c r="E35" s="12" t="n">
        <v>4525.632</v>
      </c>
      <c r="F35" s="12" t="n">
        <v>4819.534</v>
      </c>
      <c r="G35" s="12" t="n">
        <v>5302.679</v>
      </c>
      <c r="H35" s="11" t="n">
        <v>972.763</v>
      </c>
      <c r="I35" s="12" t="n">
        <v>2095.545</v>
      </c>
      <c r="J35" s="12" t="n">
        <v>5302.679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</row>
    <row r="37">
      <c r="A37" s="9" t="inlineStr">
        <is>
          <t>영업활동현금흐름</t>
        </is>
      </c>
      <c r="B37" s="10" t="n"/>
      <c r="C37" s="11" t="n">
        <v>-382.181</v>
      </c>
      <c r="D37" s="12" t="n"/>
      <c r="E37" s="12" t="n">
        <v>-2270.656</v>
      </c>
      <c r="F37" s="12" t="n"/>
      <c r="G37" s="12" t="n">
        <v>1460.169</v>
      </c>
      <c r="H37" s="11" t="n">
        <v>-299.354</v>
      </c>
      <c r="I37" s="12" t="n">
        <v>-382.181</v>
      </c>
      <c r="J37" s="12" t="n">
        <v>1460.169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>
        <v>117.47</v>
      </c>
      <c r="D38" s="22" t="n"/>
      <c r="E38" s="22" t="n">
        <v>1990.941</v>
      </c>
      <c r="F38" s="22" t="n"/>
      <c r="G38" s="22" t="n">
        <v>2313.056</v>
      </c>
      <c r="H38" s="21" t="n">
        <v>198.409</v>
      </c>
      <c r="I38" s="22" t="n">
        <v>117.47</v>
      </c>
      <c r="J38" s="22" t="n">
        <v>2313.056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>
        <v>58.191</v>
      </c>
      <c r="D40" s="22" t="n"/>
      <c r="E40" s="22" t="n">
        <v>94.01000000000001</v>
      </c>
      <c r="F40" s="22" t="n"/>
      <c r="G40" s="22" t="n">
        <v>94.015</v>
      </c>
      <c r="H40" s="21" t="n">
        <v>34.2</v>
      </c>
      <c r="I40" s="22" t="n">
        <v>58.191</v>
      </c>
      <c r="J40" s="22" t="n">
        <v>94.015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IFERROR((IF(COUNT('연간'!G19:J19)&lt;4,"",SUM('연간'!G19:J19)))/(IF(COUNT('연간'!G41:J41)&lt;4,"",SUM('연간'!G41:J41))),"")</f>
        <v/>
      </c>
      <c r="D48" s="33">
        <f>IFERROR((IF(COUNT('연간'!H19:K19)&lt;4,"",SUM('연간'!H19:K19)))/(IF(COUNT('연간'!H41:K41)&lt;4,"",SUM('연간'!H41:K41))),"")</f>
        <v/>
      </c>
      <c r="E48" s="33">
        <f>IFERROR((IF(COUNT('연간'!I19:L19)&lt;4,"",SUM('연간'!I19:L19)))/(IF(COUNT('연간'!I41:L41)&lt;4,"",SUM('연간'!I41:L41))),"")</f>
        <v/>
      </c>
      <c r="F48" s="33">
        <f>IFERROR((IF(COUNT('연간'!J19:M19)&lt;4,"",SUM('연간'!J19:M19)))/(IF(COUNT('연간'!J41:M41)&lt;4,"",SUM('연간'!J41:M41))),"")</f>
        <v/>
      </c>
      <c r="G48" s="33">
        <f>IFERROR((IF(COUNT('연간'!K19:N19)&lt;4,"",SUM('연간'!K19:N19)))/(IF(COUNT('연간'!K41:N41)&lt;4,"",SUM('연간'!K41:N41))),"")</f>
        <v/>
      </c>
      <c r="H48" s="32">
        <f>IFERROR(('연간'!V19)/('연간'!V41),"")</f>
        <v/>
      </c>
      <c r="I48" s="33">
        <f>IFERROR(('연간'!W19)/('연간'!W41),"")</f>
        <v/>
      </c>
      <c r="J48" s="33">
        <f>IFERROR(('연간'!X19)/('연간'!X41),"")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IFERROR(IF((IF(COUNT('연간'!G49:J49)&lt;4,"",SUM('연간'!G49:J49)))&lt;=0,"적자",C28/(IF(COUNT('연간'!G49:J49)&lt;4,"",SUM('연간'!G49:J49)))),"")</f>
        <v/>
      </c>
      <c r="D49" s="49">
        <f>IFERROR(IF((IF(COUNT('연간'!H49:K49)&lt;4,"",SUM('연간'!H49:K49)))&lt;=0,"적자",D28/(IF(COUNT('연간'!H49:K49)&lt;4,"",SUM('연간'!H49:K49)))),"")</f>
        <v/>
      </c>
      <c r="E49" s="49">
        <f>IFERROR(IF((IF(COUNT('연간'!I49:L49)&lt;4,"",SUM('연간'!I49:L49)))&lt;=0,"적자",E28/(IF(COUNT('연간'!I49:L49)&lt;4,"",SUM('연간'!I49:L49)))),"")</f>
        <v/>
      </c>
      <c r="F49" s="49">
        <f>IFERROR(IF((IF(COUNT('연간'!J49:M49)&lt;4,"",SUM('연간'!J49:M49)))&lt;=0,"적자",F28/(IF(COUNT('연간'!J49:M49)&lt;4,"",SUM('연간'!J49:M49)))),"")</f>
        <v/>
      </c>
      <c r="G49" s="49">
        <f>IFERROR(IF((IF(COUNT('연간'!K49:N49)&lt;4,"",SUM('연간'!K49:N49)))&lt;=0,"적자",G28/(IF(COUNT('연간'!K49:N49)&lt;4,"",SUM('연간'!K49:N49)))),"")</f>
        <v/>
      </c>
      <c r="H49" s="48">
        <f>IFERROR(IF(('연간'!V49)&lt;=0,"적자",H28/('연간'!V49)),"")</f>
        <v/>
      </c>
      <c r="I49" s="49">
        <f>IFERROR(IF(('연간'!W49)&lt;=0,"적자",I28/('연간'!W49)),"")</f>
        <v/>
      </c>
      <c r="J49" s="49">
        <f>IFERROR(IF(('연간'!X49)&lt;=0,"적자",J28/('연간'!X49)),"")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IFERROR((IF(COUNT('연간'!G49:J49)&lt;4,"",SUM('연간'!G49:J49)))/C31,"")</f>
        <v/>
      </c>
      <c r="D51" s="38">
        <f>IFERROR((IF(COUNT('연간'!H49:K49)&lt;4,"",SUM('연간'!H49:K49)))/D31,"")</f>
        <v/>
      </c>
      <c r="E51" s="38">
        <f>IFERROR((IF(COUNT('연간'!I49:L49)&lt;4,"",SUM('연간'!I49:L49)))/E31,"")</f>
        <v/>
      </c>
      <c r="F51" s="38">
        <f>IFERROR((IF(COUNT('연간'!J49:M49)&lt;4,"",SUM('연간'!J49:M49)))/F31,"")</f>
        <v/>
      </c>
      <c r="G51" s="38">
        <f>IFERROR((IF(COUNT('연간'!K49:N49)&lt;4,"",SUM('연간'!K49:N49)))/G31,"")</f>
        <v/>
      </c>
      <c r="H51" s="37">
        <f>IFERROR(('연간'!V49)/H31,"")</f>
        <v/>
      </c>
      <c r="I51" s="38">
        <f>IFERROR(('연간'!W49)/I31,"")</f>
        <v/>
      </c>
      <c r="J51" s="38">
        <f>IFERROR(('연간'!X49)/J31,"")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IFERROR((IF(COUNT('연간'!G47:J47)&lt;4,"",SUM('연간'!G47:J47)))/C16,"")</f>
        <v/>
      </c>
      <c r="D52" s="38">
        <f>IFERROR((IF(COUNT('연간'!H47:K47)&lt;4,"",SUM('연간'!H47:K47)))/D16,"")</f>
        <v/>
      </c>
      <c r="E52" s="38">
        <f>IFERROR((IF(COUNT('연간'!I47:L47)&lt;4,"",SUM('연간'!I47:L47)))/E16,"")</f>
        <v/>
      </c>
      <c r="F52" s="38">
        <f>IFERROR((IF(COUNT('연간'!J47:M47)&lt;4,"",SUM('연간'!J47:M47)))/F16,"")</f>
        <v/>
      </c>
      <c r="G52" s="38">
        <f>IFERROR((IF(COUNT('연간'!K47:N47)&lt;4,"",SUM('연간'!K47:N47)))/G16,"")</f>
        <v/>
      </c>
      <c r="H52" s="37">
        <f>IFERROR(('연간'!V47)/H16,"")</f>
        <v/>
      </c>
      <c r="I52" s="38">
        <f>IFERROR(('연간'!W47)/I16,"")</f>
        <v/>
      </c>
      <c r="J52" s="38">
        <f>IFERROR(('연간'!X47)/J16,"")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IFERROR((IF(COUNT('연간'!G19:J19)&lt;4,"",SUM('연간'!G19:J19)))*(1-0.3)/(C35+C29),"")</f>
        <v/>
      </c>
      <c r="D53" s="38">
        <f>IFERROR((IF(COUNT('연간'!H19:K19)&lt;4,"",SUM('연간'!H19:K19)))*(1-0.3)/(D35+D29),"")</f>
        <v/>
      </c>
      <c r="E53" s="38">
        <f>IFERROR((IF(COUNT('연간'!I19:L19)&lt;4,"",SUM('연간'!I19:L19)))*(1-0.3)/(E35+E29),"")</f>
        <v/>
      </c>
      <c r="F53" s="38">
        <f>IFERROR((IF(COUNT('연간'!J19:M19)&lt;4,"",SUM('연간'!J19:M19)))*(1-0.3)/(F35+F29),"")</f>
        <v/>
      </c>
      <c r="G53" s="38">
        <f>IFERROR((IF(COUNT('연간'!K19:N19)&lt;4,"",SUM('연간'!K19:N19)))*(1-0.3)/(G35+G29),"")</f>
        <v/>
      </c>
      <c r="H53" s="37">
        <f>IFERROR(('연간'!V19)*(1-0.3)/(H35+H29),"")</f>
        <v/>
      </c>
      <c r="I53" s="38">
        <f>IFERROR(('연간'!W19)*(1-0.3)/(I35+I29),"")</f>
        <v/>
      </c>
      <c r="J53" s="38">
        <f>IFERROR(('연간'!X19)*(1-0.3)/(J35+J29),"")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IFERROR((IF(COUNT('연간'!G13:J13)&lt;4,"",SUM('연간'!G13:J13)))/(IF(COUNT('연간'!G4:J4)&lt;4,"",SUM('연간'!G4:J4))),"")</f>
        <v/>
      </c>
      <c r="D54" s="38">
        <f>IFERROR((IF(COUNT('연간'!H13:K13)&lt;4,"",SUM('연간'!H13:K13)))/(IF(COUNT('연간'!H4:K4)&lt;4,"",SUM('연간'!H4:K4))),"")</f>
        <v/>
      </c>
      <c r="E54" s="38">
        <f>IFERROR((IF(COUNT('연간'!I13:L13)&lt;4,"",SUM('연간'!I13:L13)))/(IF(COUNT('연간'!I4:L4)&lt;4,"",SUM('연간'!I4:L4))),"")</f>
        <v/>
      </c>
      <c r="F54" s="38">
        <f>IFERROR((IF(COUNT('연간'!J13:M13)&lt;4,"",SUM('연간'!J13:M13)))/(IF(COUNT('연간'!J4:M4)&lt;4,"",SUM('연간'!J4:M4))),"")</f>
        <v/>
      </c>
      <c r="G54" s="38">
        <f>IFERROR((IF(COUNT('연간'!K13:N13)&lt;4,"",SUM('연간'!K13:N13)))/(IF(COUNT('연간'!K4:N4)&lt;4,"",SUM('연간'!K4:N4))),"")</f>
        <v/>
      </c>
      <c r="H54" s="37">
        <f>IFERROR(('연간'!V13)/('연간'!V4),"")</f>
        <v/>
      </c>
      <c r="I54" s="38">
        <f>IFERROR(('연간'!W13)/('연간'!W4),"")</f>
        <v/>
      </c>
      <c r="J54" s="38">
        <f>IFERROR(('연간'!X13)/('연간'!X4),"")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IFERROR((IF(COUNT('연간'!G19:J19)&lt;4,"",SUM('연간'!G19:J19)))/(IF(COUNT('연간'!G4:J4)&lt;4,"",SUM('연간'!G4:J4))),"")</f>
        <v/>
      </c>
      <c r="D55" s="38">
        <f>IFERROR((IF(COUNT('연간'!H19:K19)&lt;4,"",SUM('연간'!H19:K19)))/(IF(COUNT('연간'!H4:K4)&lt;4,"",SUM('연간'!H4:K4))),"")</f>
        <v/>
      </c>
      <c r="E55" s="38">
        <f>IFERROR((IF(COUNT('연간'!I19:L19)&lt;4,"",SUM('연간'!I19:L19)))/(IF(COUNT('연간'!I4:L4)&lt;4,"",SUM('연간'!I4:L4))),"")</f>
        <v/>
      </c>
      <c r="F55" s="38">
        <f>IFERROR((IF(COUNT('연간'!J19:M19)&lt;4,"",SUM('연간'!J19:M19)))/(IF(COUNT('연간'!J4:M4)&lt;4,"",SUM('연간'!J4:M4))),"")</f>
        <v/>
      </c>
      <c r="G55" s="38">
        <f>IFERROR((IF(COUNT('연간'!K19:N19)&lt;4,"",SUM('연간'!K19:N19)))/(IF(COUNT('연간'!K4:N4)&lt;4,"",SUM('연간'!K4:N4))),"")</f>
        <v/>
      </c>
      <c r="H55" s="37">
        <f>IFERROR(('연간'!V19)/('연간'!V4),"")</f>
        <v/>
      </c>
      <c r="I55" s="38">
        <f>IFERROR(('연간'!W19)/('연간'!W4),"")</f>
        <v/>
      </c>
      <c r="J55" s="38">
        <f>IFERROR(('연간'!X19)/('연간'!X4),"")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IFERROR((IF(COUNT('연간'!G47:J47)&lt;4,"",SUM('연간'!G47:J47)))/(IF(COUNT('연간'!G4:J4)&lt;4,"",SUM('연간'!G4:J4))),"")</f>
        <v/>
      </c>
      <c r="D56" s="38">
        <f>IFERROR((IF(COUNT('연간'!H47:K47)&lt;4,"",SUM('연간'!H47:K47)))/(IF(COUNT('연간'!H4:K4)&lt;4,"",SUM('연간'!H4:K4))),"")</f>
        <v/>
      </c>
      <c r="E56" s="38">
        <f>IFERROR((IF(COUNT('연간'!I47:L47)&lt;4,"",SUM('연간'!I47:L47)))/(IF(COUNT('연간'!I4:L4)&lt;4,"",SUM('연간'!I4:L4))),"")</f>
        <v/>
      </c>
      <c r="F56" s="38">
        <f>IFERROR((IF(COUNT('연간'!J47:M47)&lt;4,"",SUM('연간'!J47:M47)))/(IF(COUNT('연간'!J4:M4)&lt;4,"",SUM('연간'!J4:M4))),"")</f>
        <v/>
      </c>
      <c r="G56" s="38">
        <f>IFERROR((IF(COUNT('연간'!K47:N47)&lt;4,"",SUM('연간'!K47:N47)))/(IF(COUNT('연간'!K4:N4)&lt;4,"",SUM('연간'!K4:N4))),"")</f>
        <v/>
      </c>
      <c r="H56" s="37">
        <f>IFERROR(('연간'!V47)/('연간'!V4),"")</f>
        <v/>
      </c>
      <c r="I56" s="38">
        <f>IFERROR(('연간'!W47)/('연간'!W4),"")</f>
        <v/>
      </c>
      <c r="J56" s="38">
        <f>IFERROR(('연간'!X47)/('연간'!X4),"")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IFERROR(('연간'!V4)/H16,"")</f>
        <v/>
      </c>
      <c r="I58" s="33">
        <f>IFERROR(('연간'!W4)/I16,"")</f>
        <v/>
      </c>
      <c r="J58" s="33">
        <f>IFERROR(('연간'!X4)/J16,"")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IFERROR(H8/('연간'!V4)*365,"")</f>
        <v/>
      </c>
      <c r="I59" s="51">
        <f>IFERROR(I8/('연간'!W4)*365,"")</f>
        <v/>
      </c>
      <c r="J59" s="51">
        <f>IFERROR(J8/('연간'!X4)*365,"")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IFERROR(H9/('연간'!V11)*365,"")</f>
        <v/>
      </c>
      <c r="I60" s="51">
        <f>IFERROR(I9/('연간'!W11)*365,"")</f>
        <v/>
      </c>
      <c r="J60" s="51">
        <f>IFERROR(J9/('연간'!X11)*365,"")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IFERROR(H19/('연간'!V11)*365,"")</f>
        <v/>
      </c>
      <c r="I61" s="51">
        <f>IFERROR(I19/('연간'!W11)*365,"")</f>
        <v/>
      </c>
      <c r="J61" s="51">
        <f>IFERROR(J19/('연간'!X11)*365,"")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IF(C37="","",IFERROR(C37/(IF(COUNT('연간'!G47:J47)&lt;4,"",SUM('연간'!G47:J47))),""))</f>
        <v/>
      </c>
      <c r="D64" s="33">
        <f>IF(D37="","",IFERROR(D37/(IF(COUNT('연간'!H47:K47)&lt;4,"",SUM('연간'!H47:K47))),""))</f>
        <v/>
      </c>
      <c r="E64" s="33">
        <f>IF(E37="","",IFERROR(E37/(IF(COUNT('연간'!I47:L47)&lt;4,"",SUM('연간'!I47:L47))),""))</f>
        <v/>
      </c>
      <c r="F64" s="33">
        <f>IF(F37="","",IFERROR(F37/(IF(COUNT('연간'!J47:M47)&lt;4,"",SUM('연간'!J47:M47))),""))</f>
        <v/>
      </c>
      <c r="G64" s="33">
        <f>IF(G37="","",IFERROR(G37/(IF(COUNT('연간'!K47:N47)&lt;4,"",SUM('연간'!K47:N47))),""))</f>
        <v/>
      </c>
      <c r="H64" s="32">
        <f>IF(H37="","",IFERROR(H37/('연간'!V47),""))</f>
        <v/>
      </c>
      <c r="I64" s="33">
        <f>IF(I37="","",IFERROR(I37/('연간'!W47),""))</f>
        <v/>
      </c>
      <c r="J64" s="33">
        <f>IF(J37="","",IFERROR(J37/('연간'!X47),""))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IF(H39="","",IFERROR(H39/('연간'!V4),""))</f>
        <v/>
      </c>
      <c r="I65" s="38">
        <f>IF(I39="","",IFERROR(I39/('연간'!W4),""))</f>
        <v/>
      </c>
      <c r="J65" s="38">
        <f>IF(J39="","",IFERROR(J39/('연간'!X4),""))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IF(H38="","",IFERROR(H38/('연간'!V4),""))</f>
        <v/>
      </c>
      <c r="I66" s="38">
        <f>IF(I38="","",IFERROR(I38/('연간'!W4),""))</f>
        <v/>
      </c>
      <c r="J66" s="38">
        <f>IF(J38="","",IFERROR(J38/('연간'!X4),""))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IF(C40="","",IFERROR(C40/(IF(COUNT('연간'!G49:J49)&lt;4,"",SUM('연간'!G49:J49))),""))</f>
        <v/>
      </c>
      <c r="D67" s="38">
        <f>IF(D40="","",IFERROR(D40/(IF(COUNT('연간'!H49:K49)&lt;4,"",SUM('연간'!H49:K49))),""))</f>
        <v/>
      </c>
      <c r="E67" s="38">
        <f>IF(E40="","",IFERROR(E40/(IF(COUNT('연간'!I49:L49)&lt;4,"",SUM('연간'!I49:L49))),""))</f>
        <v/>
      </c>
      <c r="F67" s="38">
        <f>IF(F40="","",IFERROR(F40/(IF(COUNT('연간'!J49:M49)&lt;4,"",SUM('연간'!J49:M49))),""))</f>
        <v/>
      </c>
      <c r="G67" s="38">
        <f>IF(G40="","",IFERROR(G40/(IF(COUNT('연간'!K49:N49)&lt;4,"",SUM('연간'!K49:N49))),""))</f>
        <v/>
      </c>
      <c r="H67" s="37">
        <f>IF(H40="","",IFERROR(H40/('연간'!V49),""))</f>
        <v/>
      </c>
      <c r="I67" s="38">
        <f>IF(I40="","",IFERROR(I40/('연간'!W49),""))</f>
        <v/>
      </c>
      <c r="J67" s="38">
        <f>IF(J40="","",IFERROR(J40/('연간'!X49),""))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2025.4Q</t>
        </is>
      </c>
      <c r="D70" s="5" t="inlineStr">
        <is>
          <t>2026.1Q</t>
        </is>
      </c>
      <c r="E70" s="5" t="inlineStr">
        <is>
          <t>2026.2Q</t>
        </is>
      </c>
      <c r="F70" s="5" t="inlineStr">
        <is>
          <t>2026.3Q</t>
        </is>
      </c>
      <c r="G70" s="5" t="inlineStr">
        <is>
          <t>2026.4Q</t>
        </is>
      </c>
      <c r="H70" s="5" t="inlineStr">
        <is>
          <t>2024</t>
        </is>
      </c>
      <c r="I70" s="5" t="inlineStr">
        <is>
          <t>2025</t>
        </is>
      </c>
      <c r="J70" s="5" t="inlineStr">
        <is>
          <t>2026</t>
        </is>
      </c>
    </row>
    <row r="71">
      <c r="A71" s="20" t="inlineStr">
        <is>
          <t>현금 및 예금</t>
        </is>
      </c>
      <c r="C71" s="22" t="n">
        <v>1639.195</v>
      </c>
      <c r="D71" s="22" t="n">
        <v>3841.304</v>
      </c>
      <c r="E71" s="22" t="n">
        <v>2587.658</v>
      </c>
      <c r="F71" s="22" t="n">
        <v>1348.883</v>
      </c>
      <c r="G71" s="22" t="n">
        <v>3035.544</v>
      </c>
      <c r="H71" s="22" t="n">
        <v>262.425</v>
      </c>
      <c r="I71" s="22" t="n">
        <v>1639.195</v>
      </c>
      <c r="J71" s="22" t="n">
        <v>3035.544</v>
      </c>
    </row>
    <row r="72">
      <c r="A72" s="20" t="inlineStr">
        <is>
          <t>매출채권</t>
        </is>
      </c>
      <c r="H72" s="22" t="n">
        <v>13.359</v>
      </c>
    </row>
    <row r="73">
      <c r="A73" s="20" t="inlineStr">
        <is>
          <t>매출채권·계약자산</t>
        </is>
      </c>
      <c r="C73" s="22" t="n">
        <v>41.981</v>
      </c>
      <c r="D73" s="22" t="n">
        <v>28.795</v>
      </c>
      <c r="E73" s="22" t="n">
        <v>15.235</v>
      </c>
      <c r="F73" s="22" t="n">
        <v>21.96</v>
      </c>
      <c r="G73" s="22" t="n">
        <v>204.44</v>
      </c>
      <c r="H73" s="22" t="n">
        <v>13.359</v>
      </c>
      <c r="I73" s="22" t="n">
        <v>41.981</v>
      </c>
      <c r="J73" s="22" t="n">
        <v>204.44</v>
      </c>
    </row>
    <row r="74">
      <c r="A74" s="20" t="inlineStr">
        <is>
          <t>판매용 부동산</t>
        </is>
      </c>
      <c r="C74" s="22" t="n">
        <v>1475.328</v>
      </c>
      <c r="D74" s="22" t="n">
        <v>1477.984</v>
      </c>
      <c r="E74" s="22" t="n">
        <v>2279.063</v>
      </c>
      <c r="F74" s="22" t="n">
        <v>3827.57</v>
      </c>
      <c r="G74" s="22" t="n">
        <v>1352.145</v>
      </c>
      <c r="H74" s="22" t="n">
        <v>715.658</v>
      </c>
      <c r="I74" s="22" t="n">
        <v>1475.328</v>
      </c>
      <c r="J74" s="22" t="n">
        <v>1352.145</v>
      </c>
    </row>
    <row r="75">
      <c r="A75" s="20" t="inlineStr">
        <is>
          <t>영업투자유가증권</t>
        </is>
      </c>
      <c r="C75" s="22" t="n">
        <v>0</v>
      </c>
      <c r="F75" s="22" t="n">
        <v>75</v>
      </c>
      <c r="G75" s="22" t="n">
        <v>75</v>
      </c>
      <c r="H75" s="22" t="n">
        <v>50</v>
      </c>
      <c r="I75" s="22" t="n">
        <v>0</v>
      </c>
      <c r="J75" s="22" t="n">
        <v>75</v>
      </c>
    </row>
    <row r="76">
      <c r="A76" s="20" t="inlineStr">
        <is>
          <t>선급비용</t>
        </is>
      </c>
      <c r="C76" s="22" t="n">
        <v>46.701</v>
      </c>
      <c r="D76" s="22" t="n">
        <v>43.562</v>
      </c>
      <c r="E76" s="22" t="n">
        <v>48.461</v>
      </c>
      <c r="F76" s="22" t="n">
        <v>48.281</v>
      </c>
      <c r="G76" s="22" t="n">
        <v>89.32299999999999</v>
      </c>
      <c r="H76" s="22" t="n">
        <v>25.215</v>
      </c>
      <c r="I76" s="22" t="n">
        <v>46.701</v>
      </c>
      <c r="J76" s="22" t="n">
        <v>89.32299999999999</v>
      </c>
    </row>
    <row r="77">
      <c r="A77" s="20" t="inlineStr">
        <is>
          <t>기타</t>
        </is>
      </c>
      <c r="C77" s="22" t="n">
        <v>14.201</v>
      </c>
      <c r="D77" s="22" t="n">
        <v>26.563</v>
      </c>
      <c r="E77" s="22" t="n">
        <v>168.023</v>
      </c>
      <c r="F77" s="22" t="n">
        <v>89.005</v>
      </c>
      <c r="G77" s="22" t="n">
        <v>45.455</v>
      </c>
      <c r="H77" s="22" t="n">
        <v>6.36</v>
      </c>
      <c r="I77" s="22" t="n">
        <v>14.201</v>
      </c>
      <c r="J77" s="22" t="n">
        <v>45.455</v>
      </c>
    </row>
    <row r="78">
      <c r="A78" s="9" t="inlineStr">
        <is>
          <t>유동자산 합계</t>
        </is>
      </c>
      <c r="C78" s="12" t="n">
        <v>3217.408</v>
      </c>
      <c r="D78" s="12" t="n">
        <v>5418.21</v>
      </c>
      <c r="E78" s="12" t="n">
        <v>5098.441</v>
      </c>
      <c r="F78" s="12" t="n">
        <v>5410.701</v>
      </c>
      <c r="G78" s="12" t="n">
        <v>4801.909</v>
      </c>
      <c r="H78" s="12" t="n">
        <v>1073.019</v>
      </c>
      <c r="I78" s="12" t="n">
        <v>3217.408</v>
      </c>
      <c r="J78" s="12" t="n">
        <v>4801.909</v>
      </c>
    </row>
    <row r="79">
      <c r="A79" s="20" t="inlineStr">
        <is>
          <t>건물·구축물</t>
        </is>
      </c>
      <c r="C79" s="22" t="n">
        <v>107.089</v>
      </c>
      <c r="G79" s="22" t="n">
        <v>837.342</v>
      </c>
      <c r="H79" s="22" t="n">
        <v>158.89</v>
      </c>
      <c r="I79" s="22" t="n">
        <v>107.089</v>
      </c>
      <c r="J79" s="22" t="n">
        <v>837.342</v>
      </c>
    </row>
    <row r="80">
      <c r="A80" s="20" t="inlineStr">
        <is>
          <t>감가상각누계액</t>
        </is>
      </c>
      <c r="C80" s="22" t="n">
        <v>-22.695</v>
      </c>
      <c r="G80" s="22" t="n">
        <v>-55.761</v>
      </c>
      <c r="H80" s="22" t="n">
        <v>-15.282</v>
      </c>
      <c r="I80" s="22" t="n">
        <v>-22.695</v>
      </c>
      <c r="J80" s="22" t="n">
        <v>-55.761</v>
      </c>
    </row>
    <row r="81">
      <c r="A81" s="20" t="inlineStr">
        <is>
          <t>건물·구축물(순액)</t>
        </is>
      </c>
      <c r="C81" s="22" t="n">
        <v>84.393</v>
      </c>
      <c r="D81" s="22" t="n">
        <v>85.61499999999999</v>
      </c>
      <c r="E81" s="22" t="n">
        <v>434.086</v>
      </c>
      <c r="F81" s="22" t="n">
        <v>753.115</v>
      </c>
      <c r="G81" s="22" t="n">
        <v>781.581</v>
      </c>
      <c r="H81" s="22" t="n">
        <v>143.608</v>
      </c>
      <c r="I81" s="22" t="n">
        <v>84.393</v>
      </c>
      <c r="J81" s="22" t="n">
        <v>781.581</v>
      </c>
    </row>
    <row r="82">
      <c r="A82" s="20" t="inlineStr">
        <is>
          <t>기계장치·운반구</t>
        </is>
      </c>
      <c r="C82" s="22" t="n">
        <v>2.864</v>
      </c>
      <c r="G82" s="22" t="n">
        <v>0.341</v>
      </c>
      <c r="H82" s="22" t="n">
        <v>2.864</v>
      </c>
      <c r="I82" s="22" t="n">
        <v>2.864</v>
      </c>
      <c r="J82" s="22" t="n">
        <v>0.341</v>
      </c>
    </row>
    <row r="83">
      <c r="A83" s="20" t="inlineStr">
        <is>
          <t>감가상각누계액</t>
        </is>
      </c>
      <c r="C83" s="22" t="n">
        <v>-2.536</v>
      </c>
      <c r="G83" s="22" t="n">
        <v>-0.255</v>
      </c>
      <c r="H83" s="22" t="n">
        <v>-2.271</v>
      </c>
      <c r="I83" s="22" t="n">
        <v>-2.536</v>
      </c>
      <c r="J83" s="22" t="n">
        <v>-0.255</v>
      </c>
    </row>
    <row r="84">
      <c r="A84" s="20" t="inlineStr">
        <is>
          <t>기계장치·운반구(순액)</t>
        </is>
      </c>
      <c r="C84" s="22" t="n">
        <v>0.328</v>
      </c>
      <c r="G84" s="22" t="n">
        <v>0.08500000000000001</v>
      </c>
      <c r="H84" s="22" t="n">
        <v>0.593</v>
      </c>
      <c r="I84" s="22" t="n">
        <v>0.328</v>
      </c>
      <c r="J84" s="22" t="n">
        <v>0.08500000000000001</v>
      </c>
    </row>
    <row r="85">
      <c r="A85" s="20" t="inlineStr">
        <is>
          <t>공구·기구·비품</t>
        </is>
      </c>
      <c r="C85" s="22" t="n">
        <v>12.562</v>
      </c>
      <c r="G85" s="22" t="n">
        <v>13.241</v>
      </c>
      <c r="H85" s="22" t="n">
        <v>12.562</v>
      </c>
      <c r="I85" s="22" t="n">
        <v>12.562</v>
      </c>
      <c r="J85" s="22" t="n">
        <v>13.241</v>
      </c>
    </row>
    <row r="86">
      <c r="A86" s="20" t="inlineStr">
        <is>
          <t>감가상각누계액</t>
        </is>
      </c>
      <c r="C86" s="22" t="n">
        <v>-8.679</v>
      </c>
      <c r="G86" s="22" t="n">
        <v>-12.04</v>
      </c>
      <c r="H86" s="22" t="n">
        <v>-7.153</v>
      </c>
      <c r="I86" s="22" t="n">
        <v>-8.679</v>
      </c>
      <c r="J86" s="22" t="n">
        <v>-12.04</v>
      </c>
    </row>
    <row r="87">
      <c r="A87" s="20" t="inlineStr">
        <is>
          <t>공구·기구·비품(순액)</t>
        </is>
      </c>
      <c r="C87" s="22" t="n">
        <v>3.882</v>
      </c>
      <c r="G87" s="22" t="n">
        <v>1.2</v>
      </c>
      <c r="H87" s="22" t="n">
        <v>5.409</v>
      </c>
      <c r="I87" s="22" t="n">
        <v>3.882</v>
      </c>
      <c r="J87" s="22" t="n">
        <v>1.2</v>
      </c>
    </row>
    <row r="88">
      <c r="A88" s="20" t="inlineStr">
        <is>
          <t>토지</t>
        </is>
      </c>
      <c r="C88" s="22" t="n">
        <v>232.301</v>
      </c>
      <c r="D88" s="22" t="n">
        <v>534.793</v>
      </c>
      <c r="E88" s="22" t="n">
        <v>1739.492</v>
      </c>
      <c r="F88" s="22" t="n">
        <v>1739.492</v>
      </c>
      <c r="G88" s="22" t="n">
        <v>1202.566</v>
      </c>
      <c r="H88" s="22" t="n">
        <v>129.275</v>
      </c>
      <c r="I88" s="22" t="n">
        <v>232.301</v>
      </c>
      <c r="J88" s="22" t="n">
        <v>1202.566</v>
      </c>
    </row>
    <row r="89">
      <c r="A89" s="20" t="inlineStr">
        <is>
          <t>건설중인자산</t>
        </is>
      </c>
      <c r="C89" s="22" t="n">
        <v>0</v>
      </c>
      <c r="F89" s="22" t="n">
        <v>29.865</v>
      </c>
      <c r="G89" s="22" t="n">
        <v>29.374</v>
      </c>
      <c r="I89" s="22" t="n">
        <v>0</v>
      </c>
      <c r="J89" s="22" t="n">
        <v>29.374</v>
      </c>
    </row>
    <row r="90">
      <c r="A90" s="20" t="inlineStr">
        <is>
          <t>기타(순액)</t>
        </is>
      </c>
      <c r="C90" s="22" t="n">
        <v>4.21</v>
      </c>
      <c r="D90" s="22" t="n">
        <v>3.315</v>
      </c>
      <c r="E90" s="22" t="n">
        <v>2.442</v>
      </c>
      <c r="F90" s="22" t="n">
        <v>1.816</v>
      </c>
      <c r="H90" s="22" t="n">
        <v>6.002</v>
      </c>
      <c r="I90" s="22" t="n">
        <v>4.21</v>
      </c>
    </row>
    <row r="91">
      <c r="A91" s="20" t="inlineStr">
        <is>
          <t>유형자산 합계</t>
        </is>
      </c>
      <c r="C91" s="22" t="n">
        <v>320.906</v>
      </c>
      <c r="D91" s="22" t="n">
        <v>623.725</v>
      </c>
      <c r="E91" s="22" t="n">
        <v>2176.022</v>
      </c>
      <c r="F91" s="22" t="n">
        <v>2524.289</v>
      </c>
      <c r="G91" s="22" t="n">
        <v>2014.807</v>
      </c>
      <c r="H91" s="22" t="n">
        <v>278.887</v>
      </c>
      <c r="I91" s="22" t="n">
        <v>320.906</v>
      </c>
      <c r="J91" s="22" t="n">
        <v>2014.807</v>
      </c>
    </row>
    <row r="92">
      <c r="A92" s="20" t="inlineStr">
        <is>
          <t>기타</t>
        </is>
      </c>
      <c r="C92" s="22" t="n">
        <v>30.786</v>
      </c>
      <c r="D92" s="22" t="n">
        <v>27.94</v>
      </c>
      <c r="E92" s="22" t="n">
        <v>27.18</v>
      </c>
      <c r="F92" s="22" t="n">
        <v>25.932</v>
      </c>
      <c r="G92" s="22" t="n">
        <v>27.443</v>
      </c>
      <c r="H92" s="22" t="n">
        <v>32.327</v>
      </c>
      <c r="I92" s="22" t="n">
        <v>30.786</v>
      </c>
      <c r="J92" s="22" t="n">
        <v>27.443</v>
      </c>
    </row>
    <row r="93">
      <c r="A93" s="20" t="inlineStr">
        <is>
          <t>무형자산 합계</t>
        </is>
      </c>
      <c r="C93" s="22" t="n">
        <v>30.786</v>
      </c>
      <c r="D93" s="22" t="n">
        <v>27.94</v>
      </c>
      <c r="E93" s="22" t="n">
        <v>27.18</v>
      </c>
      <c r="F93" s="22" t="n">
        <v>25.932</v>
      </c>
      <c r="G93" s="22" t="n">
        <v>27.443</v>
      </c>
      <c r="H93" s="22" t="n">
        <v>32.327</v>
      </c>
      <c r="I93" s="22" t="n">
        <v>30.786</v>
      </c>
      <c r="J93" s="22" t="n">
        <v>27.443</v>
      </c>
    </row>
    <row r="94">
      <c r="A94" s="20" t="inlineStr">
        <is>
          <t>임차보증금</t>
        </is>
      </c>
      <c r="C94" s="22" t="n">
        <v>81.509</v>
      </c>
      <c r="D94" s="22" t="n">
        <v>86.209</v>
      </c>
      <c r="E94" s="22" t="n">
        <v>85.279</v>
      </c>
      <c r="F94" s="22" t="n">
        <v>88.949</v>
      </c>
      <c r="G94" s="22" t="n">
        <v>122.455</v>
      </c>
      <c r="H94" s="22" t="n">
        <v>73.039</v>
      </c>
      <c r="I94" s="22" t="n">
        <v>81.509</v>
      </c>
      <c r="J94" s="22" t="n">
        <v>122.455</v>
      </c>
    </row>
    <row r="95">
      <c r="A95" s="20" t="inlineStr">
        <is>
          <t>종업원 장기대여금</t>
        </is>
      </c>
      <c r="C95" s="22" t="n">
        <v>69.646</v>
      </c>
      <c r="D95" s="22" t="n">
        <v>82.494</v>
      </c>
      <c r="E95" s="22" t="n">
        <v>118.44</v>
      </c>
      <c r="F95" s="22" t="n">
        <v>122.216</v>
      </c>
      <c r="G95" s="22" t="n">
        <v>123.616</v>
      </c>
      <c r="H95" s="22" t="n">
        <v>0</v>
      </c>
      <c r="I95" s="22" t="n">
        <v>69.646</v>
      </c>
      <c r="J95" s="22" t="n">
        <v>123.616</v>
      </c>
    </row>
    <row r="96">
      <c r="A96" s="20" t="inlineStr">
        <is>
          <t>임원 장기대여금</t>
        </is>
      </c>
      <c r="C96" s="22" t="n">
        <v>0</v>
      </c>
      <c r="G96" s="22" t="n">
        <v>41.725</v>
      </c>
      <c r="I96" s="22" t="n">
        <v>0</v>
      </c>
      <c r="J96" s="22" t="n">
        <v>41.725</v>
      </c>
    </row>
    <row r="97">
      <c r="A97" s="20" t="inlineStr">
        <is>
          <t>보험적립금</t>
        </is>
      </c>
      <c r="C97" s="22" t="n">
        <v>37.023</v>
      </c>
      <c r="D97" s="22" t="n">
        <v>38.272</v>
      </c>
      <c r="E97" s="22" t="n">
        <v>42.686</v>
      </c>
      <c r="F97" s="22" t="n">
        <v>43.966</v>
      </c>
      <c r="G97" s="22" t="n">
        <v>47.439</v>
      </c>
      <c r="H97" s="22" t="n">
        <v>28.845</v>
      </c>
      <c r="I97" s="22" t="n">
        <v>37.023</v>
      </c>
      <c r="J97" s="22" t="n">
        <v>47.439</v>
      </c>
    </row>
    <row r="98">
      <c r="A98" s="20" t="inlineStr">
        <is>
          <t>이연법인세자산</t>
        </is>
      </c>
      <c r="C98" s="22" t="n">
        <v>24.887</v>
      </c>
      <c r="D98" s="22" t="n">
        <v>21.683</v>
      </c>
      <c r="E98" s="22" t="n">
        <v>22.586</v>
      </c>
      <c r="F98" s="22" t="n">
        <v>26.672</v>
      </c>
      <c r="G98" s="22" t="n">
        <v>50.397</v>
      </c>
      <c r="H98" s="22" t="n">
        <v>24.38</v>
      </c>
      <c r="I98" s="22" t="n">
        <v>24.887</v>
      </c>
      <c r="J98" s="22" t="n">
        <v>50.397</v>
      </c>
    </row>
    <row r="99">
      <c r="A99" s="20" t="inlineStr">
        <is>
          <t>기타</t>
        </is>
      </c>
      <c r="C99" s="22" t="n">
        <v>9.585000000000001</v>
      </c>
      <c r="D99" s="22" t="n">
        <v>9.77</v>
      </c>
      <c r="E99" s="22" t="n">
        <v>9.77</v>
      </c>
      <c r="F99" s="22" t="n">
        <v>9.779999999999999</v>
      </c>
      <c r="G99" s="22" t="n">
        <v>40.383</v>
      </c>
      <c r="H99" s="22" t="n">
        <v>1.115</v>
      </c>
      <c r="I99" s="22" t="n">
        <v>9.585000000000001</v>
      </c>
      <c r="J99" s="22" t="n">
        <v>40.383</v>
      </c>
    </row>
    <row r="100">
      <c r="A100" s="20" t="inlineStr">
        <is>
          <t>투자 및 기타자산 합계</t>
        </is>
      </c>
      <c r="C100" s="22" t="n">
        <v>222.652</v>
      </c>
      <c r="D100" s="22" t="n">
        <v>238.431</v>
      </c>
      <c r="E100" s="22" t="n">
        <v>278.762</v>
      </c>
      <c r="F100" s="22" t="n">
        <v>291.584</v>
      </c>
      <c r="G100" s="22" t="n">
        <v>426.017</v>
      </c>
      <c r="H100" s="22" t="n">
        <v>127.38</v>
      </c>
      <c r="I100" s="22" t="n">
        <v>222.652</v>
      </c>
      <c r="J100" s="22" t="n">
        <v>426.017</v>
      </c>
    </row>
    <row r="101">
      <c r="A101" s="9" t="inlineStr">
        <is>
          <t>비유동자산 합계</t>
        </is>
      </c>
      <c r="C101" s="12" t="n">
        <v>574.3440000000001</v>
      </c>
      <c r="D101" s="12" t="n">
        <v>890.096</v>
      </c>
      <c r="E101" s="12" t="n">
        <v>2481.965</v>
      </c>
      <c r="F101" s="12" t="n">
        <v>2841.807</v>
      </c>
      <c r="G101" s="12" t="n">
        <v>2468.267</v>
      </c>
      <c r="H101" s="12" t="n">
        <v>438.595</v>
      </c>
      <c r="I101" s="12" t="n">
        <v>574.3440000000001</v>
      </c>
      <c r="J101" s="12" t="n">
        <v>2468.267</v>
      </c>
    </row>
    <row r="102">
      <c r="A102" s="9" t="inlineStr">
        <is>
          <t>자산 합계</t>
        </is>
      </c>
      <c r="C102" s="12" t="n">
        <v>3791.752</v>
      </c>
      <c r="D102" s="12" t="n">
        <v>6308.307</v>
      </c>
      <c r="E102" s="12" t="n">
        <v>7580.406</v>
      </c>
      <c r="F102" s="12" t="n">
        <v>8252.508</v>
      </c>
      <c r="G102" s="12" t="n">
        <v>7270.177</v>
      </c>
      <c r="H102" s="12" t="n">
        <v>1511.615</v>
      </c>
      <c r="I102" s="12" t="n">
        <v>3791.752</v>
      </c>
      <c r="J102" s="12" t="n">
        <v>7270.177</v>
      </c>
    </row>
    <row r="103">
      <c r="A103" s="20" t="inlineStr">
        <is>
          <t>매입채무</t>
        </is>
      </c>
      <c r="C103" s="22" t="n">
        <v>3.056</v>
      </c>
      <c r="D103" s="22" t="n">
        <v>9.106999999999999</v>
      </c>
      <c r="E103" s="22" t="n">
        <v>10.007</v>
      </c>
      <c r="F103" s="22" t="n">
        <v>8.898</v>
      </c>
      <c r="G103" s="22" t="n">
        <v>36.952</v>
      </c>
      <c r="H103" s="22" t="n">
        <v>43.929</v>
      </c>
      <c r="I103" s="22" t="n">
        <v>3.056</v>
      </c>
      <c r="J103" s="22" t="n">
        <v>36.952</v>
      </c>
    </row>
    <row r="104">
      <c r="A104" s="20" t="inlineStr">
        <is>
          <t>단기차입금</t>
        </is>
      </c>
      <c r="C104" s="22" t="n">
        <v>1450</v>
      </c>
      <c r="D104" s="22" t="n">
        <v>1450</v>
      </c>
      <c r="E104" s="22" t="n">
        <v>2010</v>
      </c>
      <c r="F104" s="22" t="n">
        <v>610</v>
      </c>
      <c r="G104" s="22" t="n">
        <v>610</v>
      </c>
      <c r="H104" s="22" t="n">
        <v>220</v>
      </c>
      <c r="I104" s="22" t="n">
        <v>1450</v>
      </c>
      <c r="J104" s="22" t="n">
        <v>610</v>
      </c>
    </row>
    <row r="105">
      <c r="A105" s="20" t="inlineStr">
        <is>
          <t>1년 내 상환 장기차입금</t>
        </is>
      </c>
      <c r="C105" s="22" t="n">
        <v>0</v>
      </c>
      <c r="E105" s="22" t="n">
        <v>38.1</v>
      </c>
      <c r="F105" s="22" t="n">
        <v>38.1</v>
      </c>
      <c r="G105" s="22" t="n">
        <v>38.1</v>
      </c>
      <c r="I105" s="22" t="n">
        <v>0</v>
      </c>
      <c r="J105" s="22" t="n">
        <v>38.1</v>
      </c>
    </row>
    <row r="106">
      <c r="A106" s="20" t="inlineStr">
        <is>
          <t>미지급금</t>
        </is>
      </c>
      <c r="C106" s="22" t="n">
        <v>42.426</v>
      </c>
      <c r="D106" s="22" t="n">
        <v>76.553</v>
      </c>
      <c r="E106" s="22" t="n">
        <v>31.116</v>
      </c>
      <c r="F106" s="22" t="n">
        <v>22.173</v>
      </c>
      <c r="G106" s="22" t="n">
        <v>23.265</v>
      </c>
      <c r="H106" s="22" t="n">
        <v>48.767</v>
      </c>
      <c r="I106" s="22" t="n">
        <v>42.426</v>
      </c>
      <c r="J106" s="22" t="n">
        <v>23.265</v>
      </c>
    </row>
    <row r="107">
      <c r="A107" s="20" t="inlineStr">
        <is>
          <t>미지급법인세</t>
        </is>
      </c>
      <c r="C107" s="22" t="n">
        <v>111.859</v>
      </c>
      <c r="D107" s="22" t="n">
        <v>67.70099999999999</v>
      </c>
      <c r="E107" s="22" t="n">
        <v>44.827</v>
      </c>
      <c r="F107" s="22" t="n">
        <v>99.131</v>
      </c>
      <c r="G107" s="22" t="n">
        <v>285.785</v>
      </c>
      <c r="H107" s="22" t="n">
        <v>114.745</v>
      </c>
      <c r="I107" s="22" t="n">
        <v>111.859</v>
      </c>
      <c r="J107" s="22" t="n">
        <v>285.785</v>
      </c>
    </row>
    <row r="108">
      <c r="A108" s="20" t="inlineStr">
        <is>
          <t>계약부채</t>
        </is>
      </c>
      <c r="C108" s="22" t="n">
        <v>18.53</v>
      </c>
      <c r="D108" s="22" t="n">
        <v>22.364</v>
      </c>
      <c r="E108" s="22" t="n">
        <v>33.804</v>
      </c>
      <c r="F108" s="22" t="n">
        <v>144.122</v>
      </c>
      <c r="G108" s="22" t="n">
        <v>52.309</v>
      </c>
      <c r="H108" s="22" t="n">
        <v>49.548</v>
      </c>
      <c r="I108" s="22" t="n">
        <v>18.53</v>
      </c>
      <c r="J108" s="22" t="n">
        <v>52.309</v>
      </c>
    </row>
    <row r="109">
      <c r="A109" s="20" t="inlineStr">
        <is>
          <t>상여충당금</t>
        </is>
      </c>
      <c r="C109" s="22" t="n">
        <v>9.699999999999999</v>
      </c>
      <c r="D109" s="22" t="n">
        <v>6.821</v>
      </c>
      <c r="E109" s="22" t="n">
        <v>6.466</v>
      </c>
      <c r="F109" s="22" t="n">
        <v>13.244</v>
      </c>
      <c r="G109" s="22" t="n">
        <v>25.7</v>
      </c>
      <c r="H109" s="22" t="n">
        <v>6.9</v>
      </c>
      <c r="I109" s="22" t="n">
        <v>9.699999999999999</v>
      </c>
      <c r="J109" s="22" t="n">
        <v>25.7</v>
      </c>
    </row>
    <row r="110">
      <c r="A110" s="20" t="inlineStr">
        <is>
          <t>기타</t>
        </is>
      </c>
      <c r="C110" s="22" t="n">
        <v>14.697</v>
      </c>
      <c r="D110" s="22" t="n">
        <v>26.76</v>
      </c>
      <c r="E110" s="22" t="n">
        <v>16.894</v>
      </c>
      <c r="F110" s="22" t="n">
        <v>17.265</v>
      </c>
      <c r="G110" s="22" t="n">
        <v>16.177</v>
      </c>
      <c r="H110" s="22" t="n">
        <v>10.754</v>
      </c>
      <c r="I110" s="22" t="n">
        <v>14.697</v>
      </c>
      <c r="J110" s="22" t="n">
        <v>16.177</v>
      </c>
    </row>
    <row r="111">
      <c r="A111" s="9" t="inlineStr">
        <is>
          <t>유동부채 합계</t>
        </is>
      </c>
      <c r="C111" s="12" t="n">
        <v>1650.27</v>
      </c>
      <c r="D111" s="12" t="n">
        <v>1659.308</v>
      </c>
      <c r="E111" s="12" t="n">
        <v>2191.217</v>
      </c>
      <c r="F111" s="12" t="n">
        <v>952.936</v>
      </c>
      <c r="G111" s="12" t="n">
        <v>1088.289</v>
      </c>
      <c r="H111" s="12" t="n">
        <v>494.645</v>
      </c>
      <c r="I111" s="12" t="n">
        <v>1650.27</v>
      </c>
      <c r="J111" s="12" t="n">
        <v>1088.289</v>
      </c>
    </row>
    <row r="112">
      <c r="A112" s="20" t="inlineStr">
        <is>
          <t>장기차입금</t>
        </is>
      </c>
      <c r="C112" s="22" t="n">
        <v>0</v>
      </c>
      <c r="E112" s="22" t="n">
        <v>752.375</v>
      </c>
      <c r="F112" s="22" t="n">
        <v>2332.65</v>
      </c>
      <c r="G112" s="22" t="n">
        <v>733.325</v>
      </c>
      <c r="I112" s="22" t="n">
        <v>0</v>
      </c>
      <c r="J112" s="22" t="n">
        <v>733.325</v>
      </c>
    </row>
    <row r="113">
      <c r="A113" s="20" t="inlineStr">
        <is>
          <t>기타</t>
        </is>
      </c>
      <c r="C113" s="22" t="n">
        <v>45.936</v>
      </c>
      <c r="D113" s="22" t="n">
        <v>57.856</v>
      </c>
      <c r="E113" s="22" t="n">
        <v>111.182</v>
      </c>
      <c r="F113" s="22" t="n">
        <v>147.386</v>
      </c>
      <c r="G113" s="22" t="n">
        <v>145.883</v>
      </c>
      <c r="H113" s="22" t="n">
        <v>44.206</v>
      </c>
      <c r="I113" s="22" t="n">
        <v>45.936</v>
      </c>
      <c r="J113" s="22" t="n">
        <v>145.883</v>
      </c>
    </row>
    <row r="114">
      <c r="A114" s="9" t="inlineStr">
        <is>
          <t>비유동부채 합계</t>
        </is>
      </c>
      <c r="C114" s="12" t="n">
        <v>45.936</v>
      </c>
      <c r="D114" s="12" t="n">
        <v>57.856</v>
      </c>
      <c r="E114" s="12" t="n">
        <v>863.557</v>
      </c>
      <c r="F114" s="12" t="n">
        <v>2480.036</v>
      </c>
      <c r="G114" s="12" t="n">
        <v>879.208</v>
      </c>
      <c r="H114" s="12" t="n">
        <v>44.206</v>
      </c>
      <c r="I114" s="12" t="n">
        <v>45.936</v>
      </c>
      <c r="J114" s="12" t="n">
        <v>879.208</v>
      </c>
    </row>
    <row r="115">
      <c r="A115" s="9" t="inlineStr">
        <is>
          <t>부채 합계</t>
        </is>
      </c>
      <c r="C115" s="12" t="n">
        <v>1696.207</v>
      </c>
      <c r="D115" s="12" t="n">
        <v>1717.165</v>
      </c>
      <c r="E115" s="12" t="n">
        <v>3054.774</v>
      </c>
      <c r="F115" s="12" t="n">
        <v>3432.973</v>
      </c>
      <c r="G115" s="12" t="n">
        <v>1967.497</v>
      </c>
      <c r="H115" s="12" t="n">
        <v>538.852</v>
      </c>
      <c r="I115" s="12" t="n">
        <v>1696.207</v>
      </c>
      <c r="J115" s="12" t="n">
        <v>1967.497</v>
      </c>
    </row>
    <row r="116">
      <c r="A116" s="20" t="inlineStr">
        <is>
          <t>자본금</t>
        </is>
      </c>
      <c r="C116" s="22" t="n">
        <v>567.71</v>
      </c>
      <c r="D116" s="22" t="n">
        <v>1792.369</v>
      </c>
      <c r="E116" s="22" t="n">
        <v>1793.562</v>
      </c>
      <c r="F116" s="22" t="n">
        <v>1793.562</v>
      </c>
      <c r="G116" s="22" t="n">
        <v>1847.027</v>
      </c>
      <c r="H116" s="22" t="n">
        <v>200</v>
      </c>
      <c r="I116" s="22" t="n">
        <v>567.71</v>
      </c>
      <c r="J116" s="22" t="n">
        <v>1847.027</v>
      </c>
    </row>
    <row r="117">
      <c r="A117" s="20" t="inlineStr">
        <is>
          <t>자본잉여금</t>
        </is>
      </c>
      <c r="C117" s="22" t="n">
        <v>569.3099999999999</v>
      </c>
      <c r="D117" s="22" t="n">
        <v>1793.969</v>
      </c>
      <c r="E117" s="22" t="n">
        <v>1795.162</v>
      </c>
      <c r="F117" s="22" t="n">
        <v>1795.162</v>
      </c>
      <c r="G117" s="22" t="n">
        <v>1848.627</v>
      </c>
      <c r="H117" s="22" t="n">
        <v>201.6</v>
      </c>
      <c r="I117" s="22" t="n">
        <v>569.3099999999999</v>
      </c>
      <c r="J117" s="22" t="n">
        <v>1848.627</v>
      </c>
    </row>
    <row r="118">
      <c r="A118" s="20" t="inlineStr">
        <is>
          <t>이익잉여금</t>
        </is>
      </c>
      <c r="C118" s="22" t="n">
        <v>979.3</v>
      </c>
      <c r="D118" s="22" t="n">
        <v>1025.889</v>
      </c>
      <c r="E118" s="22" t="n">
        <v>958.014</v>
      </c>
      <c r="F118" s="22" t="n">
        <v>1251.916</v>
      </c>
      <c r="G118" s="22" t="n">
        <v>1628.49</v>
      </c>
      <c r="H118" s="22" t="n">
        <v>591.7809999999999</v>
      </c>
      <c r="I118" s="22" t="n">
        <v>979.3</v>
      </c>
      <c r="J118" s="22" t="n">
        <v>1628.49</v>
      </c>
    </row>
    <row r="119">
      <c r="A119" s="20" t="inlineStr">
        <is>
          <t>자기주식</t>
        </is>
      </c>
      <c r="C119" s="22" t="n">
        <v>-22.35</v>
      </c>
      <c r="D119" s="22" t="n">
        <v>-22.35</v>
      </c>
      <c r="E119" s="22" t="n">
        <v>-22.35</v>
      </c>
      <c r="F119" s="22" t="n">
        <v>-22.35</v>
      </c>
      <c r="G119" s="22" t="n">
        <v>-22.35</v>
      </c>
      <c r="H119" s="22" t="n">
        <v>-22.35</v>
      </c>
      <c r="I119" s="22" t="n">
        <v>-22.35</v>
      </c>
      <c r="J119" s="22" t="n">
        <v>-22.35</v>
      </c>
    </row>
    <row r="120">
      <c r="A120" s="9" t="inlineStr">
        <is>
          <t>주주자본 합계</t>
        </is>
      </c>
      <c r="C120" s="12" t="n">
        <v>2093.97</v>
      </c>
      <c r="D120" s="12" t="n">
        <v>4589.877</v>
      </c>
      <c r="E120" s="12" t="n">
        <v>4524.388</v>
      </c>
      <c r="F120" s="12" t="n">
        <v>4818.29</v>
      </c>
      <c r="G120" s="12" t="n">
        <v>5301.796</v>
      </c>
      <c r="H120" s="12" t="n">
        <v>971.0309999999999</v>
      </c>
      <c r="I120" s="12" t="n">
        <v>2093.97</v>
      </c>
      <c r="J120" s="12" t="n">
        <v>5301.796</v>
      </c>
    </row>
    <row r="121">
      <c r="A121" s="20" t="inlineStr">
        <is>
          <t>신주예약권</t>
        </is>
      </c>
      <c r="C121" s="22" t="n">
        <v>1.575</v>
      </c>
      <c r="D121" s="22" t="n">
        <v>1.265</v>
      </c>
      <c r="E121" s="22" t="n">
        <v>1.243</v>
      </c>
      <c r="F121" s="22" t="n">
        <v>1.243</v>
      </c>
      <c r="G121" s="22" t="n">
        <v>0.883</v>
      </c>
      <c r="H121" s="22" t="n">
        <v>1.731</v>
      </c>
      <c r="I121" s="22" t="n">
        <v>1.575</v>
      </c>
      <c r="J121" s="22" t="n">
        <v>0.883</v>
      </c>
    </row>
    <row r="122">
      <c r="A122" s="9" t="inlineStr">
        <is>
          <t>순자산 합계</t>
        </is>
      </c>
      <c r="C122" s="12" t="n">
        <v>2095.545</v>
      </c>
      <c r="D122" s="12" t="n">
        <v>4591.142</v>
      </c>
      <c r="E122" s="12" t="n">
        <v>4525.632</v>
      </c>
      <c r="F122" s="12" t="n">
        <v>4819.534</v>
      </c>
      <c r="G122" s="12" t="n">
        <v>5302.679</v>
      </c>
      <c r="H122" s="12" t="n">
        <v>972.763</v>
      </c>
      <c r="I122" s="12" t="n">
        <v>2095.545</v>
      </c>
      <c r="J122" s="12" t="n">
        <v>5302.679</v>
      </c>
    </row>
    <row r="123">
      <c r="A123" s="9" t="inlineStr">
        <is>
          <t>부채·순자산 합계</t>
        </is>
      </c>
      <c r="C123" s="12" t="n">
        <v>3791.752</v>
      </c>
      <c r="D123" s="12" t="n">
        <v>6308.307</v>
      </c>
      <c r="E123" s="12" t="n">
        <v>7580.406</v>
      </c>
      <c r="F123" s="12" t="n">
        <v>8252.508</v>
      </c>
      <c r="G123" s="12" t="n">
        <v>7270.177</v>
      </c>
      <c r="H123" s="12" t="n">
        <v>1511.615</v>
      </c>
      <c r="I123" s="12" t="n">
        <v>3791.752</v>
      </c>
      <c r="J123" s="12" t="n">
        <v>7270.177</v>
      </c>
    </row>
  </sheetData>
  <conditionalFormatting sqref="C43:J43">
    <cfRule type="expression" priority="1" dxfId="0">
      <formula>AND(ISNUMBER(C43),C43&gt;1.0)</formula>
    </cfRule>
  </conditionalFormatting>
  <conditionalFormatting sqref="C44:J44">
    <cfRule type="expression" priority="2" dxfId="0">
      <formula>AND(ISNUMBER(C44),C44&gt;0.5)</formula>
    </cfRule>
  </conditionalFormatting>
  <conditionalFormatting sqref="C45:J45">
    <cfRule type="expression" priority="3" dxfId="0">
      <formula>AND(ISNUMBER(C45),C45&lt;0.5)</formula>
    </cfRule>
  </conditionalFormatting>
  <conditionalFormatting sqref="C46:J46">
    <cfRule type="expression" priority="4" dxfId="0">
      <formula>AND(ISNUMBER(C46),C46&lt;1.5)</formula>
    </cfRule>
  </conditionalFormatting>
  <conditionalFormatting sqref="C47:J47">
    <cfRule type="expression" priority="5" dxfId="0">
      <formula>AND(ISNUMBER(C47),C47&lt;1.0)</formula>
    </cfRule>
  </conditionalFormatting>
  <conditionalFormatting sqref="C48:J48">
    <cfRule type="expression" priority="6" dxfId="0">
      <formula>AND(ISNUMBER(C48),C48&lt;5)</formula>
    </cfRule>
  </conditionalFormatting>
  <conditionalFormatting sqref="C49:J49">
    <cfRule type="expression" priority="7" dxfId="0">
      <formula>AND(ISNUMBER(C49),C49&gt;4)</formula>
    </cfRule>
  </conditionalFormatting>
  <conditionalFormatting sqref="C51:J51">
    <cfRule type="expression" priority="8" dxfId="0">
      <formula>AND(ISNUMBER(C51),C51&lt;0.15)</formula>
    </cfRule>
  </conditionalFormatting>
  <conditionalFormatting sqref="C52:J52">
    <cfRule type="expression" priority="9" dxfId="0">
      <formula>AND(ISNUMBER(C52),C52&lt;0.05)</formula>
    </cfRule>
  </conditionalFormatting>
  <conditionalFormatting sqref="C53:J53">
    <cfRule type="expression" priority="10" dxfId="0">
      <formula>AND(ISNUMBER(C53),C53&lt;0.1)</formula>
    </cfRule>
  </conditionalFormatting>
  <conditionalFormatting sqref="C54:J54">
    <cfRule type="expression" priority="11" dxfId="0">
      <formula>AND(ISNUMBER(C54),C54&lt;0.4)</formula>
    </cfRule>
  </conditionalFormatting>
  <conditionalFormatting sqref="C55:J55">
    <cfRule type="expression" priority="12" dxfId="0">
      <formula>AND(ISNUMBER(C55),C55&lt;0.15)</formula>
    </cfRule>
  </conditionalFormatting>
  <conditionalFormatting sqref="C56:J56">
    <cfRule type="expression" priority="13" dxfId="0">
      <formula>AND(ISNUMBER(C56),C56&lt;0.1)</formula>
    </cfRule>
  </conditionalFormatting>
  <conditionalFormatting sqref="C64:J64">
    <cfRule type="expression" priority="14" dxfId="0">
      <formula>AND(ISNUMBER(C64),C64&lt;1.0)</formula>
    </cfRule>
  </conditionalFormatting>
  <conditionalFormatting sqref="C65:J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2" t="inlineStr">
        <is>
          <t>쿠쿠레브어드바이저즈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THIS RESULT · 4Q</t>
        </is>
      </c>
      <c r="B4" s="54" t="n"/>
      <c r="C4" s="54" t="n"/>
      <c r="D4" s="54" t="n"/>
      <c r="E4" s="54" t="n"/>
    </row>
    <row r="5">
      <c r="A5" s="55" t="inlineStr">
        <is>
          <t>항목</t>
        </is>
      </c>
      <c r="B5" s="55" t="inlineStr">
        <is>
          <t>값</t>
        </is>
      </c>
      <c r="E5" s="55" t="inlineStr">
        <is>
          <t>출처</t>
        </is>
      </c>
    </row>
    <row r="6">
      <c r="A6" s="56" t="inlineStr">
        <is>
          <t>매출</t>
        </is>
      </c>
      <c r="B6" s="57" t="n">
        <v>38.85</v>
      </c>
      <c r="E6" s="58" t="inlineStr">
        <is>
          <t>2단계 보고서 자료(회사 설명회 자료·공시)</t>
        </is>
      </c>
    </row>
    <row r="7">
      <c r="A7" s="56" t="inlineStr">
        <is>
          <t>gp</t>
        </is>
      </c>
      <c r="B7" s="57" t="n">
        <v>7.1</v>
      </c>
    </row>
    <row r="8">
      <c r="A8" s="56" t="inlineStr">
        <is>
          <t>영업이익</t>
        </is>
      </c>
      <c r="B8" s="57" t="n">
        <v>5.35</v>
      </c>
    </row>
    <row r="9">
      <c r="A9" s="56" t="inlineStr">
        <is>
          <t>ordinary</t>
        </is>
      </c>
      <c r="B9" s="57" t="n">
        <v>5.27</v>
      </c>
    </row>
    <row r="10">
      <c r="A10" s="56" t="inlineStr">
        <is>
          <t>순이익</t>
        </is>
      </c>
      <c r="B10" s="57" t="n">
        <v>3.77</v>
      </c>
    </row>
    <row r="11">
      <c r="A11" s="56" t="inlineStr">
        <is>
          <t>flow</t>
        </is>
      </c>
      <c r="B11" s="57" t="n">
        <v>36.81</v>
      </c>
    </row>
    <row r="12">
      <c r="A12" s="56" t="inlineStr">
        <is>
          <t>stock</t>
        </is>
      </c>
      <c r="B12" s="57" t="n">
        <v>2.03</v>
      </c>
    </row>
    <row r="13">
      <c r="A13" s="56" t="inlineStr">
        <is>
          <t>영업이익률 %</t>
        </is>
      </c>
      <c r="B13" s="57" t="n">
        <v>13.8</v>
      </c>
    </row>
    <row r="15">
      <c r="A15" s="54" t="inlineStr">
        <is>
          <t>THIS RESULT · fy26</t>
        </is>
      </c>
      <c r="B15" s="54" t="n"/>
      <c r="C15" s="54" t="n"/>
      <c r="D15" s="54" t="n"/>
      <c r="E15" s="54" t="n"/>
    </row>
    <row r="16">
      <c r="A16" s="55" t="inlineStr">
        <is>
          <t>항목</t>
        </is>
      </c>
      <c r="B16" s="55" t="inlineStr">
        <is>
          <t>값</t>
        </is>
      </c>
      <c r="E16" s="55" t="inlineStr">
        <is>
          <t>출처</t>
        </is>
      </c>
    </row>
    <row r="17">
      <c r="A17" s="56" t="inlineStr">
        <is>
          <t>매출</t>
        </is>
      </c>
      <c r="B17" s="57" t="n">
        <v>70.2</v>
      </c>
      <c r="E17" s="58" t="inlineStr">
        <is>
          <t>2단계 보고서 자료(회사 설명회 자료·공시)</t>
        </is>
      </c>
    </row>
    <row r="18">
      <c r="A18" s="56" t="inlineStr">
        <is>
          <t>gp</t>
        </is>
      </c>
      <c r="B18" s="57" t="n">
        <v>18.16</v>
      </c>
    </row>
    <row r="19">
      <c r="A19" s="56" t="inlineStr">
        <is>
          <t>sga</t>
        </is>
      </c>
      <c r="B19" s="57" t="n">
        <v>6.72</v>
      </c>
    </row>
    <row r="20">
      <c r="A20" s="56" t="inlineStr">
        <is>
          <t>영업이익</t>
        </is>
      </c>
      <c r="B20" s="57" t="n">
        <v>11.44</v>
      </c>
    </row>
    <row r="21">
      <c r="A21" s="56" t="inlineStr">
        <is>
          <t>ordinary</t>
        </is>
      </c>
      <c r="B21" s="57" t="n">
        <v>10.58</v>
      </c>
    </row>
    <row r="22">
      <c r="A22" s="56" t="inlineStr">
        <is>
          <t>순이익</t>
        </is>
      </c>
      <c r="B22" s="57" t="n">
        <v>7.43</v>
      </c>
    </row>
    <row r="23">
      <c r="A23" s="56" t="inlineStr">
        <is>
          <t>EPS</t>
        </is>
      </c>
      <c r="B23" s="57" t="n">
        <v>151.86</v>
      </c>
    </row>
    <row r="24">
      <c r="A24" s="56" t="inlineStr">
        <is>
          <t>dps</t>
        </is>
      </c>
      <c r="B24" s="59" t="n">
        <v>30</v>
      </c>
    </row>
    <row r="25">
      <c r="A25" s="56" t="inlineStr">
        <is>
          <t>flow</t>
        </is>
      </c>
      <c r="B25" s="57" t="n">
        <v>63.24</v>
      </c>
    </row>
    <row r="26">
      <c r="A26" s="56" t="inlineStr">
        <is>
          <t>stock</t>
        </is>
      </c>
      <c r="B26" s="57" t="n">
        <v>6.96</v>
      </c>
    </row>
    <row r="27">
      <c r="A27" s="56" t="inlineStr">
        <is>
          <t>bs invest 비중 %</t>
        </is>
      </c>
      <c r="B27" s="57" t="n">
        <v>77.8</v>
      </c>
    </row>
    <row r="28">
      <c r="A28" s="56" t="inlineStr">
        <is>
          <t>영업이익률 %</t>
        </is>
      </c>
      <c r="B28" s="57" t="n">
        <v>16.3</v>
      </c>
    </row>
    <row r="30">
      <c r="A30" s="54" t="inlineStr">
        <is>
          <t>THIS RESULT · fy26 vs 계획</t>
        </is>
      </c>
      <c r="B30" s="54" t="n"/>
      <c r="C30" s="54" t="n"/>
      <c r="D30" s="54" t="n"/>
      <c r="E30" s="54" t="n"/>
    </row>
    <row r="31">
      <c r="A31" s="55" t="inlineStr">
        <is>
          <t>항목</t>
        </is>
      </c>
      <c r="B31" s="55" t="inlineStr">
        <is>
          <t>값</t>
        </is>
      </c>
      <c r="E31" s="55" t="inlineStr">
        <is>
          <t>출처</t>
        </is>
      </c>
    </row>
    <row r="32">
      <c r="A32" s="56" t="inlineStr">
        <is>
          <t>매출 계획</t>
        </is>
      </c>
      <c r="B32" s="57" t="n">
        <v>70</v>
      </c>
      <c r="E32" s="58" t="inlineStr">
        <is>
          <t>2단계 보고서 자료(회사 설명회 자료·공시)</t>
        </is>
      </c>
    </row>
    <row r="33">
      <c r="A33" s="56" t="inlineStr">
        <is>
          <t>영업이익 계획</t>
        </is>
      </c>
      <c r="B33" s="57" t="n">
        <v>11</v>
      </c>
    </row>
    <row r="34">
      <c r="A34" s="56" t="inlineStr">
        <is>
          <t>순이익 계획</t>
        </is>
      </c>
      <c r="B34" s="57" t="n">
        <v>7</v>
      </c>
    </row>
    <row r="35">
      <c r="A35" s="56" t="inlineStr">
        <is>
          <t>매출 %</t>
        </is>
      </c>
      <c r="B35" s="57" t="n">
        <v>0.3</v>
      </c>
    </row>
    <row r="36">
      <c r="A36" s="56" t="inlineStr">
        <is>
          <t>영업이익 %</t>
        </is>
      </c>
      <c r="B36" s="57" t="n">
        <v>4</v>
      </c>
    </row>
    <row r="37">
      <c r="A37" s="56" t="inlineStr">
        <is>
          <t>순이익 %</t>
        </is>
      </c>
      <c r="B37" s="57" t="n">
        <v>6.2</v>
      </c>
    </row>
    <row r="39">
      <c r="A39" s="54" t="inlineStr">
        <is>
          <t>THIS RESULT · fy27 guide</t>
        </is>
      </c>
      <c r="B39" s="54" t="n"/>
      <c r="C39" s="54" t="n"/>
      <c r="D39" s="54" t="n"/>
      <c r="E39" s="54" t="n"/>
    </row>
    <row r="40">
      <c r="A40" s="55" t="inlineStr">
        <is>
          <t>항목</t>
        </is>
      </c>
      <c r="B40" s="55" t="inlineStr">
        <is>
          <t>값</t>
        </is>
      </c>
      <c r="E40" s="55" t="inlineStr">
        <is>
          <t>출처</t>
        </is>
      </c>
    </row>
    <row r="41">
      <c r="A41" s="56" t="inlineStr">
        <is>
          <t>매출</t>
        </is>
      </c>
      <c r="B41" s="59" t="n">
        <v>110</v>
      </c>
      <c r="E41" s="58" t="inlineStr">
        <is>
          <t>2단계 보고서 자료(회사 설명회 자료·공시)</t>
        </is>
      </c>
    </row>
    <row r="42">
      <c r="A42" s="56" t="inlineStr">
        <is>
          <t>영업이익</t>
        </is>
      </c>
      <c r="B42" s="59" t="n">
        <v>22</v>
      </c>
    </row>
    <row r="43">
      <c r="A43" s="56" t="inlineStr">
        <is>
          <t>ordinary</t>
        </is>
      </c>
      <c r="B43" s="59" t="n">
        <v>20</v>
      </c>
    </row>
    <row r="44">
      <c r="A44" s="56" t="inlineStr">
        <is>
          <t>순이익</t>
        </is>
      </c>
      <c r="B44" s="59" t="n">
        <v>14</v>
      </c>
    </row>
    <row r="45">
      <c r="A45" s="56" t="inlineStr">
        <is>
          <t>EPS</t>
        </is>
      </c>
      <c r="B45" s="57" t="n">
        <v>271.88</v>
      </c>
    </row>
    <row r="46">
      <c r="A46" s="56" t="inlineStr">
        <is>
          <t>dps</t>
        </is>
      </c>
      <c r="B46" s="59" t="n">
        <v>50</v>
      </c>
    </row>
    <row r="47">
      <c r="A47" s="56" t="inlineStr">
        <is>
          <t>bs invest 비중 %</t>
        </is>
      </c>
      <c r="B47" s="59" t="n">
        <v>80</v>
      </c>
    </row>
    <row r="48">
      <c r="A48" s="56" t="inlineStr">
        <is>
          <t>flow</t>
        </is>
      </c>
      <c r="B48" s="57" t="n">
        <v>94.5</v>
      </c>
    </row>
    <row r="49">
      <c r="A49" s="56" t="inlineStr">
        <is>
          <t>stock</t>
        </is>
      </c>
      <c r="B49" s="57" t="n">
        <v>15.5</v>
      </c>
    </row>
    <row r="51">
      <c r="A51" s="54" t="inlineStr">
        <is>
          <t>THIS RESULT · pipeline</t>
        </is>
      </c>
      <c r="B51" s="54" t="n"/>
      <c r="C51" s="54" t="n"/>
      <c r="D51" s="54" t="n"/>
      <c r="E51" s="54" t="n"/>
    </row>
    <row r="52">
      <c r="A52" s="55" t="inlineStr">
        <is>
          <t>항목</t>
        </is>
      </c>
      <c r="B52" s="55" t="inlineStr">
        <is>
          <t>값</t>
        </is>
      </c>
      <c r="E52" s="55" t="inlineStr">
        <is>
          <t>출처</t>
        </is>
      </c>
    </row>
    <row r="53">
      <c r="A53" s="56" t="inlineStr">
        <is>
          <t>상장 전</t>
        </is>
      </c>
      <c r="B53" s="59" t="n">
        <v>400</v>
      </c>
      <c r="E53" s="58" t="inlineStr">
        <is>
          <t>2단계 보고서 자료(회사 설명회 자료·공시)</t>
        </is>
      </c>
    </row>
    <row r="54">
      <c r="A54" s="56" t="inlineStr">
        <is>
          <t>FY27_1Q_계약(예정)</t>
        </is>
      </c>
      <c r="B54" s="59" t="n">
        <v>55</v>
      </c>
    </row>
    <row r="56">
      <c r="A56" s="54" t="inlineStr">
        <is>
          <t>bs annual</t>
        </is>
      </c>
      <c r="B56" s="54" t="n"/>
      <c r="C56" s="54" t="n"/>
      <c r="D56" s="54" t="n"/>
      <c r="E56" s="54" t="n"/>
    </row>
    <row r="57">
      <c r="A57" s="55" t="inlineStr">
        <is>
          <t>항목</t>
        </is>
      </c>
      <c r="B57" s="55" t="inlineStr">
        <is>
          <t>2024</t>
        </is>
      </c>
      <c r="C57" s="55" t="inlineStr">
        <is>
          <t>2025</t>
        </is>
      </c>
      <c r="D57" s="55" t="inlineStr">
        <is>
          <t>2026</t>
        </is>
      </c>
      <c r="E57" s="55" t="inlineStr">
        <is>
          <t>출처</t>
        </is>
      </c>
    </row>
    <row r="58">
      <c r="A58" s="56" t="inlineStr">
        <is>
          <t>labels</t>
        </is>
      </c>
      <c r="B58" s="59" t="n">
        <v>2024</v>
      </c>
      <c r="C58" s="59" t="n">
        <v>2025</v>
      </c>
      <c r="D58" s="59" t="n">
        <v>2026</v>
      </c>
      <c r="E58" s="58" t="inlineStr">
        <is>
          <t>2단계 보고서 자료(회사 설명회 자료·공시)</t>
        </is>
      </c>
    </row>
    <row r="59">
      <c r="A59" s="56" t="inlineStr">
        <is>
          <t>current assets</t>
        </is>
      </c>
      <c r="B59" s="57" t="n">
        <v>10.7</v>
      </c>
      <c r="C59" s="57" t="n">
        <v>32.2</v>
      </c>
      <c r="D59" s="57" t="n">
        <v>48</v>
      </c>
    </row>
    <row r="60">
      <c r="A60" s="56" t="inlineStr">
        <is>
          <t>cash</t>
        </is>
      </c>
      <c r="B60" s="57" t="n">
        <v>2.6</v>
      </c>
      <c r="C60" s="57" t="n">
        <v>16.4</v>
      </c>
      <c r="D60" s="57" t="n">
        <v>30.4</v>
      </c>
    </row>
    <row r="61">
      <c r="A61" s="56" t="inlineStr">
        <is>
          <t>st fin</t>
        </is>
      </c>
      <c r="B61" s="60" t="n"/>
      <c r="C61" s="60" t="n"/>
      <c r="D61" s="60" t="n"/>
    </row>
    <row r="62">
      <c r="A62" s="56" t="inlineStr">
        <is>
          <t>receivables</t>
        </is>
      </c>
      <c r="B62" s="57" t="n">
        <v>0.1</v>
      </c>
      <c r="C62" s="57" t="n">
        <v>0.4</v>
      </c>
      <c r="D62" s="57" t="n">
        <v>2</v>
      </c>
    </row>
    <row r="63">
      <c r="A63" s="56" t="inlineStr">
        <is>
          <t>inventory</t>
        </is>
      </c>
      <c r="B63" s="57" t="n">
        <v>7.2</v>
      </c>
      <c r="C63" s="57" t="n">
        <v>14.8</v>
      </c>
      <c r="D63" s="57" t="n">
        <v>13.5</v>
      </c>
    </row>
    <row r="64">
      <c r="A64" s="56" t="inlineStr">
        <is>
          <t>noncurrent assets</t>
        </is>
      </c>
      <c r="B64" s="57" t="n">
        <v>4.4</v>
      </c>
      <c r="C64" s="57" t="n">
        <v>5.7</v>
      </c>
      <c r="D64" s="57" t="n">
        <v>24.7</v>
      </c>
    </row>
    <row r="65">
      <c r="A65" s="56" t="inlineStr">
        <is>
          <t>ppe</t>
        </is>
      </c>
      <c r="B65" s="57" t="n">
        <v>2.8</v>
      </c>
      <c r="C65" s="57" t="n">
        <v>3.2</v>
      </c>
      <c r="D65" s="57" t="n">
        <v>20.1</v>
      </c>
    </row>
    <row r="66">
      <c r="A66" s="56" t="inlineStr">
        <is>
          <t>intangibles</t>
        </is>
      </c>
      <c r="B66" s="57" t="n">
        <v>0.3</v>
      </c>
      <c r="C66" s="57" t="n">
        <v>0.3</v>
      </c>
      <c r="D66" s="57" t="n">
        <v>0.3</v>
      </c>
    </row>
    <row r="67">
      <c r="A67" s="56" t="inlineStr">
        <is>
          <t>inv property</t>
        </is>
      </c>
      <c r="B67" s="60" t="n"/>
      <c r="C67" s="60" t="n"/>
      <c r="D67" s="60" t="n"/>
    </row>
    <row r="68">
      <c r="A68" s="56" t="inlineStr">
        <is>
          <t>합계 assets</t>
        </is>
      </c>
      <c r="B68" s="57" t="n">
        <v>15.1</v>
      </c>
      <c r="C68" s="57" t="n">
        <v>37.9</v>
      </c>
      <c r="D68" s="57" t="n">
        <v>72.7</v>
      </c>
    </row>
    <row r="69">
      <c r="A69" s="56" t="inlineStr">
        <is>
          <t>current liab</t>
        </is>
      </c>
      <c r="B69" s="57" t="n">
        <v>4.9</v>
      </c>
      <c r="C69" s="57" t="n">
        <v>16.5</v>
      </c>
      <c r="D69" s="57" t="n">
        <v>10.9</v>
      </c>
    </row>
    <row r="70">
      <c r="A70" s="56" t="inlineStr">
        <is>
          <t>payables</t>
        </is>
      </c>
      <c r="B70" s="57" t="n">
        <v>0.4</v>
      </c>
      <c r="C70" s="57" t="n">
        <v>0</v>
      </c>
      <c r="D70" s="57" t="n">
        <v>0.4</v>
      </c>
    </row>
    <row r="71">
      <c r="A71" s="56" t="inlineStr">
        <is>
          <t>st debt</t>
        </is>
      </c>
      <c r="B71" s="57" t="n">
        <v>2.2</v>
      </c>
      <c r="C71" s="57" t="n">
        <v>14.5</v>
      </c>
      <c r="D71" s="57" t="n">
        <v>6.1</v>
      </c>
    </row>
    <row r="72">
      <c r="A72" s="56" t="inlineStr">
        <is>
          <t>noncurrent liab</t>
        </is>
      </c>
      <c r="B72" s="57" t="n">
        <v>0.4</v>
      </c>
      <c r="C72" s="57" t="n">
        <v>0.5</v>
      </c>
      <c r="D72" s="57" t="n">
        <v>8.800000000000001</v>
      </c>
    </row>
    <row r="73">
      <c r="A73" s="56" t="inlineStr">
        <is>
          <t>lt debt</t>
        </is>
      </c>
      <c r="B73" s="60" t="n"/>
      <c r="C73" s="57" t="n">
        <v>0</v>
      </c>
      <c r="D73" s="57" t="n">
        <v>7.3</v>
      </c>
    </row>
    <row r="74">
      <c r="A74" s="56" t="inlineStr">
        <is>
          <t>bonds</t>
        </is>
      </c>
      <c r="B74" s="60" t="n"/>
      <c r="C74" s="60" t="n"/>
      <c r="D74" s="60" t="n"/>
    </row>
    <row r="75">
      <c r="A75" s="56" t="inlineStr">
        <is>
          <t>합계 liab</t>
        </is>
      </c>
      <c r="B75" s="57" t="n">
        <v>5.4</v>
      </c>
      <c r="C75" s="57" t="n">
        <v>17</v>
      </c>
      <c r="D75" s="57" t="n">
        <v>19.7</v>
      </c>
    </row>
    <row r="76">
      <c r="A76" s="56" t="inlineStr">
        <is>
          <t>capital stock</t>
        </is>
      </c>
      <c r="B76" s="57" t="n">
        <v>2</v>
      </c>
      <c r="C76" s="57" t="n">
        <v>5.7</v>
      </c>
      <c r="D76" s="57" t="n">
        <v>18.5</v>
      </c>
    </row>
    <row r="77">
      <c r="A77" s="56" t="inlineStr">
        <is>
          <t>retained</t>
        </is>
      </c>
      <c r="B77" s="57" t="n">
        <v>5.9</v>
      </c>
      <c r="C77" s="57" t="n">
        <v>9.800000000000001</v>
      </c>
      <c r="D77" s="57" t="n">
        <v>16.3</v>
      </c>
    </row>
    <row r="78">
      <c r="A78" s="56" t="inlineStr">
        <is>
          <t>nci</t>
        </is>
      </c>
      <c r="B78" s="60" t="n"/>
      <c r="C78" s="60" t="n"/>
      <c r="D78" s="60" t="n"/>
    </row>
    <row r="79">
      <c r="A79" s="56" t="inlineStr">
        <is>
          <t>합계 equity</t>
        </is>
      </c>
      <c r="B79" s="57" t="n">
        <v>9.699999999999999</v>
      </c>
      <c r="C79" s="57" t="n">
        <v>21</v>
      </c>
      <c r="D79" s="57" t="n">
        <v>53</v>
      </c>
    </row>
    <row r="80">
      <c r="A80" s="56" t="inlineStr">
        <is>
          <t>current ltd</t>
        </is>
      </c>
      <c r="B80" s="60" t="n"/>
      <c r="C80" s="57" t="n">
        <v>0</v>
      </c>
      <c r="D80" s="57" t="n">
        <v>0.4</v>
      </c>
    </row>
    <row r="81">
      <c r="A81" s="56" t="inlineStr">
        <is>
          <t>equity owner</t>
        </is>
      </c>
      <c r="B81" s="57" t="n">
        <v>9.699999999999999</v>
      </c>
      <c r="C81" s="57" t="n">
        <v>20.9</v>
      </c>
      <c r="D81" s="57" t="n">
        <v>53</v>
      </c>
    </row>
    <row r="83">
      <c r="A83" s="54" t="inlineStr">
        <is>
          <t>cf annual</t>
        </is>
      </c>
      <c r="B83" s="54" t="n"/>
      <c r="C83" s="54" t="n"/>
      <c r="D83" s="54" t="n"/>
      <c r="E83" s="54" t="n"/>
    </row>
    <row r="84">
      <c r="A84" s="55" t="inlineStr">
        <is>
          <t>항목</t>
        </is>
      </c>
      <c r="B84" s="55" t="inlineStr">
        <is>
          <t>2024</t>
        </is>
      </c>
      <c r="C84" s="55" t="inlineStr">
        <is>
          <t>2025</t>
        </is>
      </c>
      <c r="D84" s="55" t="inlineStr">
        <is>
          <t>2026</t>
        </is>
      </c>
      <c r="E84" s="55" t="inlineStr">
        <is>
          <t>출처</t>
        </is>
      </c>
    </row>
    <row r="85">
      <c r="A85" s="56" t="inlineStr">
        <is>
          <t>labels</t>
        </is>
      </c>
      <c r="B85" s="59" t="n">
        <v>2024</v>
      </c>
      <c r="C85" s="59" t="n">
        <v>2025</v>
      </c>
      <c r="D85" s="59" t="n">
        <v>2026</v>
      </c>
      <c r="E85" s="58" t="inlineStr">
        <is>
          <t>2단계 보고서 자료(회사 설명회 자료·공시)</t>
        </is>
      </c>
    </row>
    <row r="86">
      <c r="A86" s="56" t="inlineStr">
        <is>
          <t>ocf</t>
        </is>
      </c>
      <c r="B86" s="57" t="n">
        <v>-3</v>
      </c>
      <c r="C86" s="57" t="n">
        <v>-3.8</v>
      </c>
      <c r="D86" s="57" t="n">
        <v>14.6</v>
      </c>
    </row>
    <row r="87">
      <c r="A87" s="56" t="inlineStr">
        <is>
          <t>설비투자</t>
        </is>
      </c>
      <c r="B87" s="57" t="n">
        <v>2</v>
      </c>
      <c r="C87" s="57" t="n">
        <v>1.2</v>
      </c>
      <c r="D87" s="57" t="n">
        <v>23.1</v>
      </c>
    </row>
    <row r="88">
      <c r="A88" s="56" t="inlineStr">
        <is>
          <t>dividends</t>
        </is>
      </c>
      <c r="B88" s="57" t="n">
        <v>0.3</v>
      </c>
      <c r="C88" s="57" t="n">
        <v>0.6</v>
      </c>
      <c r="D88" s="57" t="n">
        <v>0.9</v>
      </c>
    </row>
    <row r="90">
      <c r="A90" s="54" t="inlineStr">
        <is>
          <t>dps</t>
        </is>
      </c>
      <c r="B90" s="54" t="n"/>
      <c r="C90" s="54" t="n"/>
      <c r="D90" s="54" t="n"/>
      <c r="E90" s="54" t="n"/>
    </row>
    <row r="91">
      <c r="A91" s="55" t="inlineStr">
        <is>
          <t>항목</t>
        </is>
      </c>
      <c r="B91" s="55" t="inlineStr">
        <is>
          <t>값</t>
        </is>
      </c>
      <c r="E91" s="55" t="inlineStr">
        <is>
          <t>출처</t>
        </is>
      </c>
    </row>
    <row r="92">
      <c r="A92" s="56" t="inlineStr">
        <is>
          <t>FY25</t>
        </is>
      </c>
      <c r="B92" s="59" t="n">
        <v>22</v>
      </c>
      <c r="E92" s="58" t="inlineStr">
        <is>
          <t>2단계 보고서 자료(회사 설명회 자료·공시)</t>
        </is>
      </c>
    </row>
    <row r="93">
      <c r="A93" s="56" t="inlineStr">
        <is>
          <t>FY26</t>
        </is>
      </c>
      <c r="B93" s="59" t="n">
        <v>30</v>
      </c>
    </row>
    <row r="94">
      <c r="A94" s="56" t="inlineStr">
        <is>
          <t>FY27G</t>
        </is>
      </c>
      <c r="B94" s="59" t="n">
        <v>50</v>
      </c>
    </row>
    <row r="96">
      <c r="A96" s="54" t="inlineStr">
        <is>
          <t>shares</t>
        </is>
      </c>
      <c r="B96" s="54" t="n"/>
      <c r="C96" s="54" t="n"/>
      <c r="D96" s="54" t="n"/>
      <c r="E96" s="54" t="n"/>
    </row>
    <row r="97">
      <c r="A97" s="55" t="inlineStr">
        <is>
          <t>항목</t>
        </is>
      </c>
      <c r="B97" s="55" t="inlineStr">
        <is>
          <t>값</t>
        </is>
      </c>
      <c r="E97" s="55" t="inlineStr">
        <is>
          <t>출처</t>
        </is>
      </c>
    </row>
    <row r="98">
      <c r="A98" s="56" t="inlineStr">
        <is>
          <t>issued 2026-08</t>
        </is>
      </c>
      <c r="B98" s="59" t="n">
        <v>5189960</v>
      </c>
      <c r="E98" s="58" t="inlineStr">
        <is>
          <t>2단계 보고서 자료(회사 설명회 자료·공시)</t>
        </is>
      </c>
    </row>
    <row r="99">
      <c r="A99" s="56" t="inlineStr">
        <is>
          <t>treasury</t>
        </is>
      </c>
      <c r="B99" s="59" t="n">
        <v>40637</v>
      </c>
    </row>
    <row r="100">
      <c r="A100" s="56" t="inlineStr">
        <is>
          <t>outstanding</t>
        </is>
      </c>
      <c r="B100" s="59" t="n">
        <v>5149323</v>
      </c>
    </row>
    <row r="102">
      <c r="A102" s="54" t="inlineStr">
        <is>
          <t>reactions</t>
        </is>
      </c>
      <c r="B102" s="54" t="n"/>
      <c r="C102" s="54" t="n"/>
      <c r="D102" s="54" t="n"/>
      <c r="E102" s="54" t="n"/>
    </row>
    <row r="103">
      <c r="A103" s="55" t="inlineStr">
        <is>
          <t>항목</t>
        </is>
      </c>
      <c r="B103" s="55" t="inlineStr">
        <is>
          <t>기준일</t>
        </is>
      </c>
      <c r="C103" s="55" t="inlineStr">
        <is>
          <t>다음날</t>
        </is>
      </c>
      <c r="D103" s="55" t="inlineStr">
        <is>
          <t>등락%</t>
        </is>
      </c>
      <c r="E103" s="55" t="inlineStr">
        <is>
          <t>출처</t>
        </is>
      </c>
    </row>
    <row r="104">
      <c r="A104" s="56" t="inlineStr">
        <is>
          <t>2025-01-14</t>
        </is>
      </c>
      <c r="B104" s="60" t="inlineStr">
        <is>
          <t>2025-01-14</t>
        </is>
      </c>
      <c r="C104" s="60" t="inlineStr">
        <is>
          <t>2025-01-15</t>
        </is>
      </c>
      <c r="D104" s="57" t="n">
        <v>23.6</v>
      </c>
      <c r="E104" s="58" t="inlineStr">
        <is>
          <t>2단계 보고서 자료(회사 설명회 자료·공시)</t>
        </is>
      </c>
    </row>
    <row r="105">
      <c r="A105" s="56" t="inlineStr">
        <is>
          <t>2025-04-14</t>
        </is>
      </c>
      <c r="B105" s="60" t="inlineStr">
        <is>
          <t>2025-04-14</t>
        </is>
      </c>
      <c r="C105" s="60" t="inlineStr">
        <is>
          <t>2025-04-15</t>
        </is>
      </c>
      <c r="D105" s="57" t="n">
        <v>4.9</v>
      </c>
    </row>
    <row r="106">
      <c r="A106" s="56" t="inlineStr">
        <is>
          <t>2025-07-14</t>
        </is>
      </c>
      <c r="B106" s="60" t="inlineStr">
        <is>
          <t>2025-07-14</t>
        </is>
      </c>
      <c r="C106" s="60" t="inlineStr">
        <is>
          <t>2025-07-15</t>
        </is>
      </c>
      <c r="D106" s="57" t="n">
        <v>-15.5</v>
      </c>
    </row>
    <row r="107">
      <c r="A107" s="56" t="inlineStr">
        <is>
          <t>2025-10-14</t>
        </is>
      </c>
      <c r="B107" s="60" t="inlineStr">
        <is>
          <t>2025-10-14</t>
        </is>
      </c>
      <c r="C107" s="60" t="inlineStr">
        <is>
          <t>2025-10-15</t>
        </is>
      </c>
      <c r="D107" s="57" t="n">
        <v>-5.8</v>
      </c>
    </row>
    <row r="108">
      <c r="A108" s="56" t="inlineStr">
        <is>
          <t>2026-01-14</t>
        </is>
      </c>
      <c r="B108" s="60" t="inlineStr">
        <is>
          <t>2026-01-14</t>
        </is>
      </c>
      <c r="C108" s="60" t="inlineStr">
        <is>
          <t>2026-01-15</t>
        </is>
      </c>
      <c r="D108" s="57" t="n">
        <v>-10.1</v>
      </c>
    </row>
    <row r="109">
      <c r="A109" s="56" t="inlineStr">
        <is>
          <t>2026-04-13</t>
        </is>
      </c>
      <c r="B109" s="60" t="inlineStr">
        <is>
          <t>2026-04-13</t>
        </is>
      </c>
      <c r="C109" s="60" t="inlineStr">
        <is>
          <t>2026-04-14</t>
        </is>
      </c>
      <c r="D109" s="57" t="n">
        <v>-13.2</v>
      </c>
    </row>
    <row r="110">
      <c r="A110" s="56" t="inlineStr">
        <is>
          <t>2026-07-14</t>
        </is>
      </c>
      <c r="B110" s="60" t="inlineStr">
        <is>
          <t>2026-07-14</t>
        </is>
      </c>
      <c r="C110" s="60" t="inlineStr">
        <is>
          <t>2026-07-15</t>
        </is>
      </c>
      <c r="D110" s="57" t="n">
        <v>12.3</v>
      </c>
    </row>
    <row r="111">
      <c r="A111" s="56" t="inlineStr">
        <is>
          <t>2026-10-15</t>
        </is>
      </c>
      <c r="B111" s="60" t="inlineStr">
        <is>
          <t>2026-10-15</t>
        </is>
      </c>
      <c r="C111" s="60" t="inlineStr">
        <is>
          <t>2026-10-16</t>
        </is>
      </c>
      <c r="D111" s="57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2026-10-15</t>
        </is>
      </c>
      <c r="B4" t="inlineStr">
        <is>
          <t>2026년 8월 결산기 연간 결산단신</t>
        </is>
      </c>
      <c r="C4" t="inlineStr">
        <is>
          <t>https://www2.jpx.co.jp/disc/276A0/140120261008548118.pdf</t>
        </is>
      </c>
    </row>
    <row r="5">
      <c r="A5" t="inlineStr">
        <is>
          <t>2026-07-14</t>
        </is>
      </c>
      <c r="B5" t="inlineStr">
        <is>
          <t>2026년 8월 결산기 3분기 결산단신</t>
        </is>
      </c>
      <c r="C5" t="inlineStr">
        <is>
          <t>https://www2.jpx.co.jp/disc/276A0/140120260706588143.pdf</t>
        </is>
      </c>
    </row>
    <row r="6">
      <c r="A6" t="inlineStr">
        <is>
          <t>2026-04-13</t>
        </is>
      </c>
      <c r="B6" t="inlineStr">
        <is>
          <t>2026년 8월 결산기 2분기 결산단신</t>
        </is>
      </c>
      <c r="C6" t="inlineStr">
        <is>
          <t>https://www2.jpx.co.jp/disc/276A0/140120260410501502.pdf</t>
        </is>
      </c>
    </row>
    <row r="7">
      <c r="A7" t="inlineStr">
        <is>
          <t>2026-01-14</t>
        </is>
      </c>
      <c r="B7" t="inlineStr">
        <is>
          <t>2026년 8월 결산기 1분기 결산단신</t>
        </is>
      </c>
      <c r="C7" t="inlineStr">
        <is>
          <t>https://www2.jpx.co.jp/disc/276A0/140120260109531363.pdf</t>
        </is>
      </c>
    </row>
    <row r="8">
      <c r="A8" t="inlineStr">
        <is>
          <t>2025-10-14</t>
        </is>
      </c>
      <c r="B8" t="inlineStr">
        <is>
          <t>2025년 8월 결산기 연간 결산단신</t>
        </is>
      </c>
      <c r="C8" t="inlineStr">
        <is>
          <t>https://www2.jpx.co.jp/disc/276A0/140120251010572124.pdf</t>
        </is>
      </c>
    </row>
    <row r="9">
      <c r="A9" t="inlineStr">
        <is>
          <t>2025-07-14</t>
        </is>
      </c>
      <c r="B9" t="inlineStr">
        <is>
          <t>2025년 8월 결산기 ３분기 결산단신</t>
        </is>
      </c>
      <c r="C9" t="inlineStr">
        <is>
          <t>https://www2.jpx.co.jp/disc/276A0/140120250714513706.pdf</t>
        </is>
      </c>
    </row>
    <row r="10">
      <c r="A10" t="inlineStr">
        <is>
          <t>2025-04-14</t>
        </is>
      </c>
      <c r="B10" t="inlineStr">
        <is>
          <t>2025년 8월 결산기 ２분기 결산단신</t>
        </is>
      </c>
      <c r="C10" t="inlineStr">
        <is>
          <t>https://www2.jpx.co.jp/disc/276A0/140120250414514645.pdf</t>
        </is>
      </c>
    </row>
    <row r="11">
      <c r="A11" t="inlineStr">
        <is>
          <t>2025-01-14</t>
        </is>
      </c>
      <c r="B11" t="inlineStr">
        <is>
          <t>2025년 8월 결산기 １분기 결산단신</t>
        </is>
      </c>
      <c r="C11" t="inlineStr">
        <is>
          <t>https://www2.jpx.co.jp/disc/276A0/140120250114550530.pdf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2026-10-28T08:40:53Z</dcterms:created>
  <dcterms:modified xmlns:dcterms="http://purl.org/dc/terms/" xmlns:xsi="http://www.w3.org/2001/XMLSchema-instance" xsi:type="dcterms:W3CDTF">2026-10-28T08:40:53Z</dcterms:modified>
</cp:coreProperties>
</file>