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46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0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9950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2027.4Q = 2027년 2월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2025.1Q</t>
        </is>
      </c>
      <c r="D3" s="5" t="inlineStr">
        <is>
          <t>2025.2Q</t>
        </is>
      </c>
      <c r="E3" s="5" t="inlineStr">
        <is>
          <t>2025.3Q</t>
        </is>
      </c>
      <c r="F3" s="5" t="inlineStr">
        <is>
          <t>2025.4Q</t>
        </is>
      </c>
      <c r="G3" s="5" t="inlineStr">
        <is>
          <t>2026.1Q</t>
        </is>
      </c>
      <c r="H3" s="5" t="inlineStr">
        <is>
          <t>2026.2Q</t>
        </is>
      </c>
      <c r="I3" s="5" t="inlineStr">
        <is>
          <t>2026.3Q</t>
        </is>
      </c>
      <c r="J3" s="5" t="inlineStr">
        <is>
          <t>2026.4Q</t>
        </is>
      </c>
      <c r="K3" s="5" t="inlineStr">
        <is>
          <t>2027.1Q</t>
        </is>
      </c>
      <c r="L3" s="5" t="inlineStr">
        <is>
          <t>2027.2Q</t>
        </is>
      </c>
      <c r="M3" s="5" t="inlineStr">
        <is>
          <t>2027.3Q</t>
        </is>
      </c>
      <c r="N3" s="5" t="inlineStr">
        <is>
          <t>2027.4Q</t>
        </is>
      </c>
      <c r="O3" s="6" t="inlineStr">
        <is>
          <t>2018</t>
        </is>
      </c>
      <c r="P3" s="5" t="inlineStr">
        <is>
          <t>2019</t>
        </is>
      </c>
      <c r="Q3" s="5" t="inlineStr">
        <is>
          <t>2020</t>
        </is>
      </c>
      <c r="R3" s="5" t="inlineStr">
        <is>
          <t>2021</t>
        </is>
      </c>
      <c r="S3" s="5" t="inlineStr">
        <is>
          <t>2022</t>
        </is>
      </c>
      <c r="T3" s="5" t="inlineStr">
        <is>
          <t>2023</t>
        </is>
      </c>
      <c r="U3" s="5" t="inlineStr">
        <is>
          <t>2024</t>
        </is>
      </c>
      <c r="V3" s="5" t="inlineStr">
        <is>
          <t>2025</t>
        </is>
      </c>
      <c r="W3" s="5" t="inlineStr">
        <is>
          <t>2026</t>
        </is>
      </c>
      <c r="X3" s="5" t="inlineStr">
        <is>
          <t>2027</t>
        </is>
      </c>
      <c r="Y3" s="7" t="inlineStr">
        <is>
          <t>2028(MW)</t>
        </is>
      </c>
      <c r="Z3" s="8" t="inlineStr">
        <is>
          <t>2029(MW)</t>
        </is>
      </c>
      <c r="AA3" s="8" t="inlineStr">
        <is>
          <t>2030(MW)</t>
        </is>
      </c>
      <c r="AB3" s="8" t="inlineStr">
        <is>
          <t>2031(MW)</t>
        </is>
      </c>
      <c r="AC3" s="8" t="inlineStr">
        <is>
          <t>2032(MW)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1864.782</v>
      </c>
      <c r="D4" s="12" t="n">
        <v>1983.858</v>
      </c>
      <c r="E4" s="12" t="n">
        <v>1785.445</v>
      </c>
      <c r="F4" s="12" t="n">
        <v>1207.226</v>
      </c>
      <c r="G4" s="12" t="n">
        <v>1862.071</v>
      </c>
      <c r="H4" s="12" t="n">
        <v>1984.798</v>
      </c>
      <c r="I4" s="12" t="n">
        <v>1935.544</v>
      </c>
      <c r="J4" s="12" t="n">
        <v>1595.276</v>
      </c>
      <c r="K4" s="12" t="n">
        <v>2008.744</v>
      </c>
      <c r="L4" s="12" t="n">
        <v>2115.126</v>
      </c>
      <c r="M4" s="12" t="n"/>
      <c r="N4" s="12" t="n"/>
      <c r="O4" s="11" t="n">
        <v>6748.559</v>
      </c>
      <c r="P4" s="12" t="n">
        <v>7068.409</v>
      </c>
      <c r="Q4" s="12" t="n">
        <v>7683.199</v>
      </c>
      <c r="R4" s="12" t="n">
        <v>7650.678</v>
      </c>
      <c r="S4" s="12" t="n">
        <v>5309.975</v>
      </c>
      <c r="T4" s="12" t="n">
        <v>5400.634</v>
      </c>
      <c r="U4" s="12" t="n">
        <v>6435.409</v>
      </c>
      <c r="V4" s="12" t="n">
        <v>6841.311</v>
      </c>
      <c r="W4" s="12" t="n">
        <v>7377.689</v>
      </c>
      <c r="X4" s="12" t="n">
        <v>7730.061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Restaurant Business Reportable Segments</t>
        </is>
      </c>
      <c r="B7" s="10" t="n"/>
      <c r="C7" s="19" t="n"/>
      <c r="D7" s="20" t="n"/>
      <c r="E7" s="20" t="n">
        <v>1508</v>
      </c>
      <c r="F7" s="20" t="n">
        <v>1023.631</v>
      </c>
      <c r="G7" s="20" t="n"/>
      <c r="H7" s="20" t="n"/>
      <c r="I7" s="20" t="n">
        <v>1624.649</v>
      </c>
      <c r="J7" s="20" t="n">
        <v>1294.115</v>
      </c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5822.418</v>
      </c>
      <c r="W7" s="20" t="n">
        <v>6192.966</v>
      </c>
      <c r="X7" s="20" t="n">
        <v>6528.348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Wholesale Business Reportable Segments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649.629</v>
      </c>
      <c r="W10" s="20" t="n">
        <v>603.208</v>
      </c>
      <c r="X10" s="20" t="n">
        <v>576.962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Retail Sales Business Reportable Segments</t>
        </is>
      </c>
      <c r="B13" s="10" t="n"/>
      <c r="C13" s="19" t="n"/>
      <c r="D13" s="20" t="n"/>
      <c r="E13" s="20" t="n">
        <v>141.72</v>
      </c>
      <c r="F13" s="20" t="n"/>
      <c r="G13" s="20" t="n"/>
      <c r="H13" s="20" t="n"/>
      <c r="I13" s="20" t="n">
        <v>143.389</v>
      </c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해외 사업</t>
        </is>
      </c>
      <c r="B16" s="10" t="n"/>
      <c r="C16" s="19" t="n">
        <v>310.514</v>
      </c>
      <c r="D16" s="20" t="n">
        <v>348.894</v>
      </c>
      <c r="E16" s="20" t="n">
        <v>342.352</v>
      </c>
      <c r="F16" s="20" t="n">
        <v>149.984</v>
      </c>
      <c r="G16" s="20" t="n">
        <v>354.933</v>
      </c>
      <c r="H16" s="20" t="n">
        <v>358.907</v>
      </c>
      <c r="I16" s="20" t="n">
        <v>386.478</v>
      </c>
      <c r="J16" s="20" t="n">
        <v>336.956</v>
      </c>
      <c r="K16" s="20" t="n">
        <v>409.98</v>
      </c>
      <c r="L16" s="20" t="n">
        <v>372.644</v>
      </c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1151.744</v>
      </c>
      <c r="W16" s="20" t="n">
        <v>1437.274</v>
      </c>
      <c r="X16" s="20" t="n">
        <v>1539.202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Restaurant Business Segments</t>
        </is>
      </c>
      <c r="B19" s="10" t="n"/>
      <c r="C19" s="19" t="n">
        <v>1611.648</v>
      </c>
      <c r="D19" s="20" t="n"/>
      <c r="E19" s="20" t="n"/>
      <c r="F19" s="20" t="n"/>
      <c r="G19" s="20" t="n">
        <v>1583.721</v>
      </c>
      <c r="H19" s="20" t="n"/>
      <c r="I19" s="20" t="n"/>
      <c r="J19" s="20" t="n"/>
      <c r="K19" s="20" t="n">
        <v>1706.824</v>
      </c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Retail Sales Business Segments</t>
        </is>
      </c>
      <c r="B22" s="10" t="n"/>
      <c r="C22" s="19" t="n">
        <v>163.594</v>
      </c>
      <c r="D22" s="20" t="n"/>
      <c r="E22" s="20" t="n"/>
      <c r="F22" s="20" t="n"/>
      <c r="G22" s="20" t="n">
        <v>142.07</v>
      </c>
      <c r="H22" s="20" t="n"/>
      <c r="I22" s="20" t="n"/>
      <c r="J22" s="20" t="n"/>
      <c r="K22" s="20" t="n">
        <v>133.743</v>
      </c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1119.078</v>
      </c>
      <c r="D26" s="20" t="n">
        <v>1164.358</v>
      </c>
      <c r="E26" s="20" t="n">
        <v>1079.498</v>
      </c>
      <c r="F26" s="20" t="n">
        <v>737.004</v>
      </c>
      <c r="G26" s="20" t="n">
        <v>1149.124</v>
      </c>
      <c r="H26" s="20" t="n">
        <v>1204.381</v>
      </c>
      <c r="I26" s="20" t="n">
        <v>1174.85</v>
      </c>
      <c r="J26" s="20" t="n">
        <v>961.347</v>
      </c>
      <c r="K26" s="20" t="n">
        <v>1183.909</v>
      </c>
      <c r="L26" s="20" t="n">
        <v>1244.835</v>
      </c>
      <c r="M26" s="20" t="n"/>
      <c r="N26" s="20" t="n"/>
      <c r="O26" s="19" t="n">
        <v>3448.092</v>
      </c>
      <c r="P26" s="20" t="n">
        <v>3702.345</v>
      </c>
      <c r="Q26" s="20" t="n">
        <v>4049.493</v>
      </c>
      <c r="R26" s="20" t="n">
        <v>4057.732</v>
      </c>
      <c r="S26" s="20" t="n">
        <v>3197.46</v>
      </c>
      <c r="T26" s="20" t="n">
        <v>3266.112</v>
      </c>
      <c r="U26" s="20" t="n">
        <v>3729.3</v>
      </c>
      <c r="V26" s="20" t="n">
        <v>4099.938</v>
      </c>
      <c r="W26" s="20" t="n">
        <v>4489.702</v>
      </c>
      <c r="X26" s="20" t="n">
        <v>4762.017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874.853</v>
      </c>
      <c r="D32" s="20" t="n">
        <v>865.874</v>
      </c>
      <c r="E32" s="20" t="n">
        <v>861.318</v>
      </c>
      <c r="F32" s="20" t="n">
        <v>686.468</v>
      </c>
      <c r="G32" s="20" t="n">
        <v>919.8440000000001</v>
      </c>
      <c r="H32" s="20" t="n">
        <v>963.136</v>
      </c>
      <c r="I32" s="20" t="n">
        <v>1010.182</v>
      </c>
      <c r="J32" s="20" t="n">
        <v>586.15</v>
      </c>
      <c r="K32" s="20" t="n">
        <v>1061.502</v>
      </c>
      <c r="L32" s="20" t="n">
        <v>1021.989</v>
      </c>
      <c r="M32" s="20" t="n"/>
      <c r="N32" s="20" t="n"/>
      <c r="O32" s="19" t="n">
        <v>3437.404</v>
      </c>
      <c r="P32" s="20" t="n">
        <v>3650.976</v>
      </c>
      <c r="Q32" s="20" t="n">
        <v>3956.515</v>
      </c>
      <c r="R32" s="20" t="n">
        <v>4007.669</v>
      </c>
      <c r="S32" s="20" t="n">
        <v>3247.401</v>
      </c>
      <c r="T32" s="20" t="n">
        <v>2992.36</v>
      </c>
      <c r="U32" s="20" t="n">
        <v>3209.876</v>
      </c>
      <c r="V32" s="20" t="n">
        <v>3288.513</v>
      </c>
      <c r="W32" s="20" t="n">
        <v>3479.312</v>
      </c>
      <c r="X32" s="20" t="n">
        <v>3877.842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91.825</v>
      </c>
      <c r="D34" s="12" t="n">
        <v>177.684</v>
      </c>
      <c r="E34" s="12" t="n">
        <v>51.257</v>
      </c>
      <c r="F34" s="12" t="n">
        <v>-85.425</v>
      </c>
      <c r="G34" s="12" t="n">
        <v>11.757</v>
      </c>
      <c r="H34" s="12" t="n">
        <v>58.616</v>
      </c>
      <c r="I34" s="12" t="n">
        <v>-30.516</v>
      </c>
      <c r="J34" s="12" t="n">
        <v>224.578</v>
      </c>
      <c r="K34" s="12" t="n">
        <v>5.136</v>
      </c>
      <c r="L34" s="12" t="n">
        <v>95.965</v>
      </c>
      <c r="M34" s="12" t="n"/>
      <c r="N34" s="12" t="n"/>
      <c r="O34" s="11" t="n">
        <v>427.328</v>
      </c>
      <c r="P34" s="12" t="n">
        <v>297.236</v>
      </c>
      <c r="Q34" s="12" t="n">
        <v>285.435</v>
      </c>
      <c r="R34" s="12" t="n">
        <v>202.614</v>
      </c>
      <c r="S34" s="12" t="n">
        <v>-647.451</v>
      </c>
      <c r="T34" s="12" t="n">
        <v>-343.402</v>
      </c>
      <c r="U34" s="12" t="n">
        <v>168.106</v>
      </c>
      <c r="V34" s="12" t="n">
        <v>235.341</v>
      </c>
      <c r="W34" s="12" t="n">
        <v>264.435</v>
      </c>
      <c r="X34" s="12" t="n">
        <v>4.653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>
        <v>1294.209</v>
      </c>
      <c r="P39" s="20" t="n">
        <v>1430.946</v>
      </c>
      <c r="Q39" s="20" t="n">
        <v>1512.451</v>
      </c>
      <c r="R39" s="20" t="n">
        <v>1578.299</v>
      </c>
      <c r="S39" s="20" t="n">
        <v>1264.341</v>
      </c>
      <c r="T39" s="20" t="n">
        <v>1134.829</v>
      </c>
      <c r="U39" s="20" t="n">
        <v>1238.444</v>
      </c>
      <c r="V39" s="20" t="n">
        <v>1202.665</v>
      </c>
      <c r="W39" s="20" t="n">
        <v>1315.111</v>
      </c>
      <c r="X39" s="20" t="n">
        <v>1500.55</v>
      </c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>
        <v>109.043</v>
      </c>
      <c r="P41" s="20" t="n">
        <v>127.532</v>
      </c>
      <c r="Q41" s="20" t="n">
        <v>149.359</v>
      </c>
      <c r="R41" s="20" t="n">
        <v>159.782</v>
      </c>
      <c r="S41" s="20" t="n">
        <v>146.625</v>
      </c>
      <c r="T41" s="20" t="n">
        <v>120.575</v>
      </c>
      <c r="U41" s="20" t="n">
        <v>101.912</v>
      </c>
      <c r="V41" s="20" t="n">
        <v>102.209</v>
      </c>
      <c r="W41" s="20" t="n">
        <v>115.928</v>
      </c>
      <c r="X41" s="20" t="n">
        <v>152.941</v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0</v>
      </c>
      <c r="D50" s="20" t="n">
        <v>4.407</v>
      </c>
      <c r="E50" s="20" t="n">
        <v>7.423</v>
      </c>
      <c r="F50" s="20" t="n">
        <v>17.595</v>
      </c>
      <c r="G50" s="20" t="n"/>
      <c r="H50" s="20" t="n"/>
      <c r="I50" s="20" t="n">
        <v>0.182</v>
      </c>
      <c r="J50" s="20" t="n">
        <v>12.562</v>
      </c>
      <c r="K50" s="20" t="n"/>
      <c r="L50" s="20" t="n"/>
      <c r="M50" s="20" t="n"/>
      <c r="N50" s="20" t="n"/>
      <c r="O50" s="19" t="n">
        <v>421.199</v>
      </c>
      <c r="P50" s="20" t="n">
        <v>0</v>
      </c>
      <c r="Q50" s="20" t="n">
        <v>8.545999999999999</v>
      </c>
      <c r="R50" s="20" t="n">
        <v>1.004</v>
      </c>
      <c r="S50" s="20" t="n">
        <v>10.016</v>
      </c>
      <c r="T50" s="20" t="n">
        <v>5.701</v>
      </c>
      <c r="U50" s="20" t="n">
        <v>0.361</v>
      </c>
      <c r="V50" s="20" t="n">
        <v>29.425</v>
      </c>
      <c r="W50" s="20" t="n">
        <v>12.744</v>
      </c>
      <c r="X50" s="20" t="n">
        <v>0.756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4.085</v>
      </c>
      <c r="D52" s="20" t="n">
        <v>0.111</v>
      </c>
      <c r="E52" s="20" t="n">
        <v>6.595</v>
      </c>
      <c r="F52" s="20" t="n">
        <v>178.193</v>
      </c>
      <c r="G52" s="20" t="n">
        <v>0</v>
      </c>
      <c r="H52" s="20" t="n">
        <v>0.043</v>
      </c>
      <c r="I52" s="20" t="n">
        <v>0.346</v>
      </c>
      <c r="J52" s="20" t="n">
        <v>38.061</v>
      </c>
      <c r="K52" s="20" t="n">
        <v>0.018</v>
      </c>
      <c r="L52" s="20" t="n">
        <v>0.046</v>
      </c>
      <c r="M52" s="20" t="n"/>
      <c r="N52" s="20" t="n"/>
      <c r="O52" s="19" t="n">
        <v>53.901</v>
      </c>
      <c r="P52" s="20" t="n">
        <v>3.159</v>
      </c>
      <c r="Q52" s="20" t="n">
        <v>64.19</v>
      </c>
      <c r="R52" s="20" t="n">
        <v>81.86799999999999</v>
      </c>
      <c r="S52" s="20" t="n">
        <v>265.878</v>
      </c>
      <c r="T52" s="20" t="n">
        <v>95.47199999999999</v>
      </c>
      <c r="U52" s="20" t="n">
        <v>87.122</v>
      </c>
      <c r="V52" s="20" t="n">
        <v>188.984</v>
      </c>
      <c r="W52" s="20" t="n">
        <v>38.45</v>
      </c>
      <c r="X52" s="20" t="n">
        <v>6.398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154.158</v>
      </c>
      <c r="D54" s="20" t="n">
        <v>46.499</v>
      </c>
      <c r="E54" s="20" t="n">
        <v>58.883</v>
      </c>
      <c r="F54" s="20" t="n">
        <v>-50.03</v>
      </c>
      <c r="G54" s="20" t="n">
        <v>157.43</v>
      </c>
      <c r="H54" s="20" t="n">
        <v>64.908</v>
      </c>
      <c r="I54" s="20" t="n">
        <v>47.817</v>
      </c>
      <c r="J54" s="20" t="n">
        <v>24.093</v>
      </c>
      <c r="K54" s="20" t="n">
        <v>160.022</v>
      </c>
      <c r="L54" s="20" t="n">
        <v>46.229</v>
      </c>
      <c r="M54" s="20" t="n"/>
      <c r="N54" s="20" t="n"/>
      <c r="O54" s="19" t="n">
        <v>159.217</v>
      </c>
      <c r="P54" s="20" t="n">
        <v>152.153</v>
      </c>
      <c r="Q54" s="20" t="n">
        <v>176.495</v>
      </c>
      <c r="R54" s="20" t="n">
        <v>147.282</v>
      </c>
      <c r="S54" s="20" t="n">
        <v>185.166</v>
      </c>
      <c r="T54" s="20" t="n">
        <v>346.614</v>
      </c>
      <c r="U54" s="20" t="n">
        <v>135.22</v>
      </c>
      <c r="V54" s="20" t="n">
        <v>209.51</v>
      </c>
      <c r="W54" s="20" t="n">
        <v>294.248</v>
      </c>
      <c r="X54" s="20" t="n">
        <v>297.133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24.221</v>
      </c>
      <c r="D56" s="20" t="n">
        <v>23.915</v>
      </c>
      <c r="E56" s="20" t="n">
        <v>23.757</v>
      </c>
      <c r="F56" s="20" t="n">
        <v>7.289</v>
      </c>
      <c r="G56" s="20" t="n">
        <v>23.801</v>
      </c>
      <c r="H56" s="20" t="n">
        <v>23.766</v>
      </c>
      <c r="I56" s="20" t="n">
        <v>23.514</v>
      </c>
      <c r="J56" s="20" t="n">
        <v>24.115</v>
      </c>
      <c r="K56" s="20" t="n">
        <v>24.622</v>
      </c>
      <c r="L56" s="20" t="n">
        <v>39.75</v>
      </c>
      <c r="M56" s="20" t="n"/>
      <c r="N56" s="20" t="n"/>
      <c r="O56" s="19" t="n">
        <v>40.423</v>
      </c>
      <c r="P56" s="20" t="n">
        <v>49.773</v>
      </c>
      <c r="Q56" s="20" t="n">
        <v>49.398</v>
      </c>
      <c r="R56" s="20" t="n">
        <v>59.065</v>
      </c>
      <c r="S56" s="20" t="n">
        <v>52.244</v>
      </c>
      <c r="T56" s="20" t="n">
        <v>73.13500000000001</v>
      </c>
      <c r="U56" s="20" t="n">
        <v>79.051</v>
      </c>
      <c r="V56" s="20" t="n">
        <v>79.182</v>
      </c>
      <c r="W56" s="20" t="n">
        <v>95.196</v>
      </c>
      <c r="X56" s="20" t="n">
        <v>94.244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217.678</v>
      </c>
      <c r="D58" s="12" t="n">
        <v>204.563</v>
      </c>
      <c r="E58" s="12" t="n">
        <v>87.211</v>
      </c>
      <c r="F58" s="12" t="n">
        <v>-303.342</v>
      </c>
      <c r="G58" s="12" t="n">
        <v>145.387</v>
      </c>
      <c r="H58" s="12" t="n">
        <v>99.714</v>
      </c>
      <c r="I58" s="12" t="n">
        <v>-6.376</v>
      </c>
      <c r="J58" s="12" t="n">
        <v>199.055</v>
      </c>
      <c r="K58" s="12" t="n">
        <v>140.518</v>
      </c>
      <c r="L58" s="12" t="n">
        <v>102.398</v>
      </c>
      <c r="M58" s="12" t="n"/>
      <c r="N58" s="12" t="n"/>
      <c r="O58" s="11" t="n">
        <v>913.42</v>
      </c>
      <c r="P58" s="12" t="n">
        <v>396.455</v>
      </c>
      <c r="Q58" s="12" t="n">
        <v>356.889</v>
      </c>
      <c r="R58" s="12" t="n">
        <v>209.967</v>
      </c>
      <c r="S58" s="12" t="n">
        <v>-770.391</v>
      </c>
      <c r="T58" s="12" t="n">
        <v>-159.694</v>
      </c>
      <c r="U58" s="12" t="n">
        <v>137.514</v>
      </c>
      <c r="V58" s="12" t="n">
        <v>206.11</v>
      </c>
      <c r="W58" s="12" t="n">
        <v>437.78</v>
      </c>
      <c r="X58" s="12" t="n">
        <v>201.9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68.745</v>
      </c>
      <c r="D60" s="20" t="n">
        <v>67.554</v>
      </c>
      <c r="E60" s="20" t="n">
        <v>38.177</v>
      </c>
      <c r="F60" s="20" t="n">
        <v>-128.892</v>
      </c>
      <c r="G60" s="20" t="n">
        <v>49.83</v>
      </c>
      <c r="H60" s="20" t="n">
        <v>44.844</v>
      </c>
      <c r="I60" s="20" t="n">
        <v>9.224</v>
      </c>
      <c r="J60" s="20" t="n">
        <v>97.679</v>
      </c>
      <c r="K60" s="20" t="n">
        <v>45.43</v>
      </c>
      <c r="L60" s="20" t="n">
        <v>57.027</v>
      </c>
      <c r="M60" s="20" t="n"/>
      <c r="N60" s="20" t="n"/>
      <c r="O60" s="19" t="n">
        <v>341.8</v>
      </c>
      <c r="P60" s="20" t="n">
        <v>154.918</v>
      </c>
      <c r="Q60" s="20" t="n">
        <v>139.083</v>
      </c>
      <c r="R60" s="20" t="n">
        <v>95.27</v>
      </c>
      <c r="S60" s="20" t="n">
        <v>-122.795</v>
      </c>
      <c r="T60" s="20" t="n">
        <v>8.948</v>
      </c>
      <c r="U60" s="20" t="n">
        <v>72.33499999999999</v>
      </c>
      <c r="V60" s="20" t="n">
        <v>45.584</v>
      </c>
      <c r="W60" s="20" t="n">
        <v>201.577</v>
      </c>
      <c r="X60" s="20" t="n">
        <v>141.759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148.932</v>
      </c>
      <c r="D62" s="12" t="n">
        <v>137.009</v>
      </c>
      <c r="E62" s="12" t="n">
        <v>49.034</v>
      </c>
      <c r="F62" s="12" t="n">
        <v>-174.45</v>
      </c>
      <c r="G62" s="12" t="n">
        <v>95.556</v>
      </c>
      <c r="H62" s="12" t="n">
        <v>54.871</v>
      </c>
      <c r="I62" s="12" t="n">
        <v>-15.6</v>
      </c>
      <c r="J62" s="12" t="n">
        <v>101.376</v>
      </c>
      <c r="K62" s="12" t="n">
        <v>95.087</v>
      </c>
      <c r="L62" s="12" t="n">
        <v>45.372</v>
      </c>
      <c r="M62" s="12" t="n"/>
      <c r="N62" s="12" t="n"/>
      <c r="O62" s="11" t="n">
        <v>571.619</v>
      </c>
      <c r="P62" s="12" t="n">
        <v>241.537</v>
      </c>
      <c r="Q62" s="12" t="n">
        <v>217.805</v>
      </c>
      <c r="R62" s="12" t="n">
        <v>114.696</v>
      </c>
      <c r="S62" s="12" t="n">
        <v>-647.596</v>
      </c>
      <c r="T62" s="12" t="n">
        <v>-168.642</v>
      </c>
      <c r="U62" s="12" t="n">
        <v>65.178</v>
      </c>
      <c r="V62" s="12" t="n">
        <v>160.525</v>
      </c>
      <c r="W62" s="12" t="n">
        <v>236.203</v>
      </c>
      <c r="X62" s="12" t="n">
        <v>60.14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148.932</v>
      </c>
      <c r="D64" s="12" t="n">
        <v>137.009</v>
      </c>
      <c r="E64" s="12" t="n">
        <v>49.033</v>
      </c>
      <c r="F64" s="12" t="n">
        <v>-174.449</v>
      </c>
      <c r="G64" s="12" t="n">
        <v>95.556</v>
      </c>
      <c r="H64" s="12" t="n">
        <v>54.871</v>
      </c>
      <c r="I64" s="12" t="n">
        <v>-15.601</v>
      </c>
      <c r="J64" s="12" t="n">
        <v>101.376</v>
      </c>
      <c r="K64" s="12" t="n">
        <v>95.087</v>
      </c>
      <c r="L64" s="12" t="n">
        <v>45.371</v>
      </c>
      <c r="M64" s="12" t="n"/>
      <c r="N64" s="12" t="n"/>
      <c r="O64" s="11" t="n">
        <v>565.646</v>
      </c>
      <c r="P64" s="12" t="n">
        <v>237.157</v>
      </c>
      <c r="Q64" s="12" t="n">
        <v>210.377</v>
      </c>
      <c r="R64" s="12" t="n">
        <v>108.285</v>
      </c>
      <c r="S64" s="12" t="n">
        <v>-647.596</v>
      </c>
      <c r="T64" s="12" t="n">
        <v>-168.642</v>
      </c>
      <c r="U64" s="12" t="n">
        <v>65.178</v>
      </c>
      <c r="V64" s="12" t="n">
        <v>160.525</v>
      </c>
      <c r="W64" s="12" t="n">
        <v>236.202</v>
      </c>
      <c r="X64" s="12" t="n">
        <v>60.139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()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2025.1Q</t>
        </is>
      </c>
      <c r="D98" s="5" t="inlineStr">
        <is>
          <t>2025.2Q</t>
        </is>
      </c>
      <c r="E98" s="5" t="inlineStr">
        <is>
          <t>2025.3Q</t>
        </is>
      </c>
      <c r="F98" s="5" t="inlineStr">
        <is>
          <t>2025.4Q</t>
        </is>
      </c>
      <c r="G98" s="5" t="inlineStr">
        <is>
          <t>2026.1Q</t>
        </is>
      </c>
      <c r="H98" s="5" t="inlineStr">
        <is>
          <t>2026.2Q</t>
        </is>
      </c>
      <c r="I98" s="5" t="inlineStr">
        <is>
          <t>2026.3Q</t>
        </is>
      </c>
      <c r="J98" s="5" t="inlineStr">
        <is>
          <t>2026.4Q</t>
        </is>
      </c>
      <c r="K98" s="5" t="inlineStr">
        <is>
          <t>2027.1Q</t>
        </is>
      </c>
      <c r="L98" s="5" t="inlineStr">
        <is>
          <t>2027.2Q</t>
        </is>
      </c>
      <c r="M98" s="5" t="inlineStr">
        <is>
          <t>2027.3Q</t>
        </is>
      </c>
      <c r="N98" s="5" t="inlineStr">
        <is>
          <t>2027.4Q</t>
        </is>
      </c>
      <c r="O98" s="5" t="inlineStr">
        <is>
          <t>2018</t>
        </is>
      </c>
      <c r="P98" s="5" t="inlineStr">
        <is>
          <t>2019</t>
        </is>
      </c>
      <c r="Q98" s="5" t="inlineStr">
        <is>
          <t>2020</t>
        </is>
      </c>
      <c r="R98" s="5" t="inlineStr">
        <is>
          <t>2021</t>
        </is>
      </c>
      <c r="S98" s="5" t="inlineStr">
        <is>
          <t>2022</t>
        </is>
      </c>
      <c r="T98" s="5" t="inlineStr">
        <is>
          <t>2023</t>
        </is>
      </c>
      <c r="U98" s="5" t="inlineStr">
        <is>
          <t>2024</t>
        </is>
      </c>
      <c r="V98" s="5" t="inlineStr">
        <is>
          <t>2025</t>
        </is>
      </c>
      <c r="W98" s="5" t="inlineStr">
        <is>
          <t>2026</t>
        </is>
      </c>
      <c r="X98" s="5" t="inlineStr">
        <is>
          <t>2027</t>
        </is>
      </c>
      <c r="Y98" s="5" t="inlineStr">
        <is>
          <t>2028(MW)</t>
        </is>
      </c>
      <c r="Z98" s="5" t="inlineStr">
        <is>
          <t>2029(MW)</t>
        </is>
      </c>
      <c r="AA98" s="5" t="inlineStr">
        <is>
          <t>2030(MW)</t>
        </is>
      </c>
      <c r="AB98" s="5" t="inlineStr">
        <is>
          <t>2031(MW)</t>
        </is>
      </c>
      <c r="AC98" s="5" t="inlineStr">
        <is>
          <t>2032(MW)</t>
        </is>
      </c>
    </row>
    <row r="99">
      <c r="A99" s="9" t="inlineStr">
        <is>
          <t>매출액</t>
        </is>
      </c>
      <c r="C99" s="12" t="n">
        <v>1864.782</v>
      </c>
      <c r="D99" s="12" t="n">
        <v>1983.858</v>
      </c>
      <c r="E99" s="12" t="n">
        <v>1785.445</v>
      </c>
      <c r="F99" s="12" t="n">
        <v>1207.226</v>
      </c>
      <c r="G99" s="12" t="n">
        <v>1862.071</v>
      </c>
      <c r="H99" s="12" t="n">
        <v>1984.798</v>
      </c>
      <c r="I99" s="12" t="n">
        <v>1935.544</v>
      </c>
      <c r="J99" s="12" t="n">
        <v>1595.276</v>
      </c>
      <c r="K99" s="12" t="n">
        <v>2008.744</v>
      </c>
      <c r="L99" s="12" t="n">
        <v>2115.126</v>
      </c>
      <c r="S99" s="12" t="n">
        <v>1220.565</v>
      </c>
      <c r="T99" s="12" t="n">
        <v>503.21</v>
      </c>
      <c r="U99" s="12" t="n">
        <v>1162.242</v>
      </c>
      <c r="V99" s="12" t="n">
        <v>1207.226</v>
      </c>
      <c r="W99" s="12" t="n">
        <v>1595.276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S100" s="15">
        <f>IF(OR(S99="",R99=""),"",IF(R99&lt;=0,"",IFERROR(S99/R99-1,"")))</f>
        <v/>
      </c>
      <c r="T100" s="15">
        <f>IF(OR(T99="",S99=""),"",IF(S99&lt;=0,"",IFERROR(T99/S99-1,"")))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</row>
    <row r="101">
      <c r="A101" s="18" t="inlineStr">
        <is>
          <t>매출원가</t>
        </is>
      </c>
      <c r="C101" s="20" t="n">
        <v>1119.078</v>
      </c>
      <c r="D101" s="20" t="n">
        <v>1164.358</v>
      </c>
      <c r="E101" s="20" t="n">
        <v>1079.498</v>
      </c>
      <c r="F101" s="20" t="n">
        <v>737.004</v>
      </c>
      <c r="G101" s="20" t="n">
        <v>1149.124</v>
      </c>
      <c r="H101" s="20" t="n">
        <v>1204.381</v>
      </c>
      <c r="I101" s="20" t="n">
        <v>1174.85</v>
      </c>
      <c r="J101" s="20" t="n">
        <v>961.347</v>
      </c>
      <c r="K101" s="20" t="n">
        <v>1183.909</v>
      </c>
      <c r="L101" s="20" t="n">
        <v>1244.835</v>
      </c>
      <c r="S101" s="20" t="n">
        <v>753.159</v>
      </c>
      <c r="T101" s="20" t="n">
        <v>441.583</v>
      </c>
      <c r="U101" s="20" t="n">
        <v>613.037</v>
      </c>
      <c r="V101" s="20" t="n">
        <v>737.004</v>
      </c>
      <c r="W101" s="20" t="n">
        <v>961.347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S102" s="15">
        <f>IF(OR(S101="",R101=""),"",IF(S101*R101&lt;=0,"",IFERROR(S101/R101-1,"")))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</row>
    <row r="103">
      <c r="A103" s="9" t="inlineStr">
        <is>
          <t>매출총이익</t>
        </is>
      </c>
      <c r="C103" s="12" t="n">
        <v>745.703</v>
      </c>
      <c r="D103" s="12" t="n">
        <v>819.5</v>
      </c>
      <c r="E103" s="12" t="n">
        <v>705.948</v>
      </c>
      <c r="F103" s="12" t="n">
        <v>470.221</v>
      </c>
      <c r="G103" s="12" t="n">
        <v>712.946</v>
      </c>
      <c r="H103" s="12" t="n">
        <v>780.418</v>
      </c>
      <c r="I103" s="12" t="n">
        <v>760.694</v>
      </c>
      <c r="J103" s="12" t="n">
        <v>633.929</v>
      </c>
      <c r="K103" s="12" t="n">
        <v>824.8339999999999</v>
      </c>
      <c r="L103" s="12" t="n">
        <v>870.292</v>
      </c>
      <c r="S103" s="12" t="n">
        <v>467.406</v>
      </c>
      <c r="T103" s="12" t="n">
        <v>61.627</v>
      </c>
      <c r="U103" s="12" t="n">
        <v>549.206</v>
      </c>
      <c r="V103" s="12" t="n">
        <v>470.221</v>
      </c>
      <c r="W103" s="12" t="n">
        <v>633.929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S104" s="15">
        <f>IF(OR(S103="",R103=""),"",IF(R103&lt;=0,"",IFERROR(S103/R103-1,"")))</f>
        <v/>
      </c>
      <c r="T104" s="15">
        <f>IF(OR(T103="",S103=""),"",IF(S103&lt;=0,"",IFERROR(T103/S103-1,"")))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</row>
    <row r="105">
      <c r="A105" s="18" t="inlineStr">
        <is>
          <t>영업수입</t>
        </is>
      </c>
      <c r="C105" s="20" t="n">
        <v>220.975</v>
      </c>
      <c r="D105" s="20" t="n">
        <v>224.058</v>
      </c>
      <c r="E105" s="20" t="n">
        <v>206.627</v>
      </c>
      <c r="F105" s="20" t="n">
        <v>130.821</v>
      </c>
      <c r="G105" s="20" t="n">
        <v>218.655</v>
      </c>
      <c r="H105" s="20" t="n">
        <v>241.335</v>
      </c>
      <c r="I105" s="20" t="n">
        <v>218.971</v>
      </c>
      <c r="J105" s="20" t="n">
        <v>176.798</v>
      </c>
      <c r="K105" s="20" t="n">
        <v>241.804</v>
      </c>
      <c r="L105" s="20" t="n">
        <v>247.663</v>
      </c>
      <c r="S105" s="20" t="n">
        <v>109.291</v>
      </c>
      <c r="T105" s="20" t="n">
        <v>11.689</v>
      </c>
      <c r="U105" s="20" t="n">
        <v>83.636</v>
      </c>
      <c r="V105" s="20" t="n">
        <v>130.821</v>
      </c>
      <c r="W105" s="20" t="n">
        <v>176.798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IF(OR(G105="",C105=""),"",IF(C105&lt;=0,"",IFERROR(G105/C105-1,"")))</f>
        <v/>
      </c>
      <c r="H106" s="15">
        <f>IF(OR(H105="",D105=""),"",IF(D105&lt;=0,"",IFERROR(H105/D105-1,"")))</f>
        <v/>
      </c>
      <c r="I106" s="15">
        <f>IF(OR(I105="",E105=""),"",IF(E105&lt;=0,"",IFERROR(I105/E105-1,"")))</f>
        <v/>
      </c>
      <c r="J106" s="15">
        <f>IF(OR(J105="",F105=""),"",IF(F105&lt;=0,"",IFERROR(J105/F105-1,"")))</f>
        <v/>
      </c>
      <c r="K106" s="15">
        <f>IF(OR(K105="",G105=""),"",IF(G105&lt;=0,"",IFERROR(K105/G105-1,"")))</f>
        <v/>
      </c>
      <c r="L106" s="15">
        <f>IF(OR(L105="",H105=""),"",IF(H105&lt;=0,"",IFERROR(L105/H105-1,"")))</f>
        <v/>
      </c>
      <c r="S106" s="15">
        <f>IF(OR(S105="",R105=""),"",IF(R105&lt;=0,"",IFERROR(S105/R105-1,"")))</f>
        <v/>
      </c>
      <c r="T106" s="15">
        <f>IF(OR(T105="",S105=""),"",IF(S105&lt;=0,"",IFERROR(T105/S105-1,"")))</f>
        <v/>
      </c>
      <c r="U106" s="15">
        <f>IF(OR(U105="",T105=""),"",IF(T105&lt;=0,"",IFERROR(U105/T105-1,"")))</f>
        <v/>
      </c>
      <c r="V106" s="15">
        <f>IF(OR(V105="",U105=""),"",IF(U105&lt;=0,"",IFERROR(V105/U105-1,"")))</f>
        <v/>
      </c>
      <c r="W106" s="15">
        <f>IF(OR(W105="",V105=""),"",IF(V105&lt;=0,"",IFERROR(W105/V105-1,"")))</f>
        <v/>
      </c>
    </row>
    <row r="107">
      <c r="A107" s="18" t="inlineStr">
        <is>
          <t>영업총이익</t>
        </is>
      </c>
      <c r="C107" s="20" t="n">
        <v>966.678</v>
      </c>
      <c r="D107" s="20" t="n">
        <v>1043.559</v>
      </c>
      <c r="E107" s="20" t="n">
        <v>912.574</v>
      </c>
      <c r="F107" s="20" t="n">
        <v>601.043</v>
      </c>
      <c r="G107" s="20" t="n">
        <v>931.601</v>
      </c>
      <c r="H107" s="20" t="n">
        <v>1021.753</v>
      </c>
      <c r="I107" s="20" t="n">
        <v>979.665</v>
      </c>
      <c r="J107" s="20" t="n">
        <v>810.728</v>
      </c>
      <c r="K107" s="20" t="n">
        <v>1066.638</v>
      </c>
      <c r="L107" s="20" t="n">
        <v>1117.955</v>
      </c>
      <c r="S107" s="20" t="n">
        <v>576.697</v>
      </c>
      <c r="T107" s="20" t="n">
        <v>73.315</v>
      </c>
      <c r="U107" s="20" t="n">
        <v>632.841</v>
      </c>
      <c r="V107" s="20" t="n">
        <v>601.043</v>
      </c>
      <c r="W107" s="20" t="n">
        <v>810.728</v>
      </c>
    </row>
    <row r="108">
      <c r="A108" s="18" t="inlineStr">
        <is>
          <t>운임</t>
        </is>
      </c>
      <c r="C108" s="20" t="n">
        <v>77.119</v>
      </c>
      <c r="D108" s="20" t="n">
        <v>80.985</v>
      </c>
      <c r="E108" s="20" t="n">
        <v>75.03400000000001</v>
      </c>
      <c r="F108" s="20" t="n">
        <v>56.766</v>
      </c>
      <c r="G108" s="20" t="n">
        <v>72.501</v>
      </c>
      <c r="H108" s="20" t="n">
        <v>80.92100000000001</v>
      </c>
      <c r="I108" s="20" t="n">
        <v>75.526</v>
      </c>
      <c r="J108" s="20" t="n">
        <v>73.747</v>
      </c>
      <c r="K108" s="20" t="n">
        <v>81.07299999999999</v>
      </c>
      <c r="L108" s="20" t="n">
        <v>84.264</v>
      </c>
      <c r="S108" s="20" t="n">
        <v>60.427</v>
      </c>
      <c r="T108" s="20" t="n">
        <v>53.393</v>
      </c>
      <c r="U108" s="20" t="n">
        <v>48.53</v>
      </c>
      <c r="V108" s="20" t="n">
        <v>56.766</v>
      </c>
      <c r="W108" s="20" t="n">
        <v>73.747</v>
      </c>
    </row>
    <row r="109">
      <c r="A109" s="18" t="inlineStr">
        <is>
          <t>임원 보수</t>
        </is>
      </c>
      <c r="C109" s="20" t="n">
        <v>31.503</v>
      </c>
      <c r="D109" s="20" t="n">
        <v>23.309</v>
      </c>
      <c r="E109" s="20" t="n">
        <v>25.431</v>
      </c>
      <c r="F109" s="20" t="n">
        <v>48.266</v>
      </c>
      <c r="G109" s="20" t="n">
        <v>26.741</v>
      </c>
      <c r="H109" s="20" t="n">
        <v>26.483</v>
      </c>
      <c r="I109" s="20" t="n">
        <v>26.439</v>
      </c>
      <c r="J109" s="20" t="n">
        <v>25.99</v>
      </c>
      <c r="K109" s="20" t="n">
        <v>26.719</v>
      </c>
      <c r="L109" s="20" t="n">
        <v>19.736</v>
      </c>
      <c r="S109" s="20" t="n">
        <v>21.353</v>
      </c>
      <c r="T109" s="20" t="n">
        <v>26.442</v>
      </c>
      <c r="U109" s="20" t="n">
        <v>27.614</v>
      </c>
      <c r="V109" s="20" t="n">
        <v>48.266</v>
      </c>
      <c r="W109" s="20" t="n">
        <v>25.99</v>
      </c>
    </row>
    <row r="110">
      <c r="A110" s="18" t="inlineStr">
        <is>
          <t>급여·수당</t>
        </is>
      </c>
      <c r="C110" s="20" t="n">
        <v>302.719</v>
      </c>
      <c r="D110" s="20" t="n">
        <v>309.958</v>
      </c>
      <c r="E110" s="20" t="n">
        <v>388.664</v>
      </c>
      <c r="F110" s="20" t="n">
        <v>201.324</v>
      </c>
      <c r="G110" s="20" t="n">
        <v>335.316</v>
      </c>
      <c r="H110" s="20" t="n">
        <v>342.856</v>
      </c>
      <c r="I110" s="20" t="n">
        <v>453.815</v>
      </c>
      <c r="J110" s="20" t="n">
        <v>183.124</v>
      </c>
      <c r="K110" s="20" t="n">
        <v>383.85</v>
      </c>
      <c r="L110" s="20" t="n">
        <v>385.838</v>
      </c>
      <c r="S110" s="20" t="n">
        <v>399.35</v>
      </c>
      <c r="T110" s="20" t="n">
        <v>183.237</v>
      </c>
      <c r="U110" s="20" t="n">
        <v>315.41</v>
      </c>
      <c r="V110" s="20" t="n">
        <v>201.324</v>
      </c>
      <c r="W110" s="20" t="n">
        <v>183.124</v>
      </c>
    </row>
    <row r="111">
      <c r="A111" s="18" t="inlineStr">
        <is>
          <t>상여충당금 전입</t>
        </is>
      </c>
      <c r="C111" s="20" t="n">
        <v>37.024</v>
      </c>
      <c r="D111" s="20" t="n">
        <v>38.56</v>
      </c>
      <c r="E111" s="20" t="n">
        <v>-38.193</v>
      </c>
      <c r="F111" s="20" t="n">
        <v>60.266</v>
      </c>
      <c r="G111" s="20" t="n">
        <v>42.263</v>
      </c>
      <c r="H111" s="20" t="n">
        <v>44.613</v>
      </c>
      <c r="I111" s="20" t="n">
        <v>-41.147</v>
      </c>
      <c r="J111" s="20" t="n">
        <v>31.039</v>
      </c>
      <c r="K111" s="20" t="n">
        <v>48.496</v>
      </c>
      <c r="L111" s="20" t="n">
        <v>46.521</v>
      </c>
      <c r="S111" s="20" t="n">
        <v>48.027</v>
      </c>
      <c r="T111" s="20" t="n">
        <v>38.884</v>
      </c>
      <c r="U111" s="20" t="n">
        <v>38.503</v>
      </c>
      <c r="V111" s="20" t="n">
        <v>60.266</v>
      </c>
      <c r="W111" s="20" t="n">
        <v>31.039</v>
      </c>
    </row>
    <row r="112">
      <c r="A112" s="18" t="inlineStr">
        <is>
          <t>임원 주식급여 충당금 전입액</t>
        </is>
      </c>
      <c r="C112" s="20" t="n">
        <v>4.351</v>
      </c>
      <c r="D112" s="20" t="n">
        <v>2.726</v>
      </c>
      <c r="E112" s="20" t="n">
        <v>2.726</v>
      </c>
      <c r="F112" s="20" t="n">
        <v>7.603</v>
      </c>
      <c r="G112" s="20" t="n">
        <v>2.853</v>
      </c>
      <c r="H112" s="20" t="n">
        <v>2.821</v>
      </c>
      <c r="I112" s="20" t="n">
        <v>2.822</v>
      </c>
      <c r="J112" s="20" t="n">
        <v>4.064</v>
      </c>
      <c r="K112" s="20" t="n">
        <v>2.821</v>
      </c>
      <c r="L112" s="20" t="n">
        <v>1.188</v>
      </c>
      <c r="S112" s="20" t="n">
        <v>5.011</v>
      </c>
      <c r="T112" s="20" t="n">
        <v>2.984</v>
      </c>
      <c r="U112" s="20" t="n">
        <v>3.778</v>
      </c>
      <c r="V112" s="20" t="n">
        <v>7.603</v>
      </c>
      <c r="W112" s="20" t="n">
        <v>4.064</v>
      </c>
    </row>
    <row r="113">
      <c r="A113" s="18" t="inlineStr">
        <is>
          <t>Provision For Employee Stock Ownership Plan Trust SGA</t>
        </is>
      </c>
      <c r="C113" s="20" t="n">
        <v>2.341</v>
      </c>
      <c r="D113" s="20" t="n">
        <v>2.392</v>
      </c>
      <c r="E113" s="20" t="n">
        <v>2.422</v>
      </c>
      <c r="F113" s="20" t="n">
        <v>0.707</v>
      </c>
      <c r="G113" s="20" t="n">
        <v>4.998</v>
      </c>
      <c r="H113" s="20" t="n">
        <v>5.03</v>
      </c>
      <c r="I113" s="20" t="n">
        <v>5.533</v>
      </c>
      <c r="J113" s="20" t="n">
        <v>-5.744</v>
      </c>
      <c r="K113" s="20" t="n">
        <v>5.355</v>
      </c>
      <c r="L113" s="20" t="n">
        <v>4.499</v>
      </c>
      <c r="S113" s="20" t="n">
        <v>2.585</v>
      </c>
      <c r="T113" s="20" t="n">
        <v>2.698</v>
      </c>
      <c r="U113" s="20" t="n">
        <v>2.847</v>
      </c>
      <c r="V113" s="20" t="n">
        <v>0.707</v>
      </c>
      <c r="W113" s="20" t="n">
        <v>-5.744</v>
      </c>
    </row>
    <row r="114">
      <c r="A114" s="18" t="inlineStr">
        <is>
          <t>퇴직급여비용</t>
        </is>
      </c>
      <c r="C114" s="20" t="n">
        <v>7.606</v>
      </c>
      <c r="D114" s="20" t="n">
        <v>7.722</v>
      </c>
      <c r="E114" s="20" t="n">
        <v>7.815</v>
      </c>
      <c r="F114" s="20" t="n">
        <v>6.862</v>
      </c>
      <c r="G114" s="20" t="n">
        <v>7.832</v>
      </c>
      <c r="H114" s="20" t="n">
        <v>8.006</v>
      </c>
      <c r="I114" s="20" t="n">
        <v>8.356</v>
      </c>
      <c r="J114" s="20" t="n">
        <v>6.717</v>
      </c>
      <c r="K114" s="20" t="n">
        <v>8.529999999999999</v>
      </c>
      <c r="L114" s="20" t="n">
        <v>8.457000000000001</v>
      </c>
      <c r="S114" s="20" t="n">
        <v>10.159</v>
      </c>
      <c r="T114" s="20" t="n">
        <v>7.589</v>
      </c>
      <c r="U114" s="20" t="n">
        <v>8.766</v>
      </c>
      <c r="V114" s="20" t="n">
        <v>6.862</v>
      </c>
      <c r="W114" s="20" t="n">
        <v>6.717</v>
      </c>
    </row>
    <row r="115">
      <c r="A115" s="18" t="inlineStr">
        <is>
          <t>지대·임차료</t>
        </is>
      </c>
      <c r="C115" s="20" t="n">
        <v>70.61199999999999</v>
      </c>
      <c r="D115" s="20" t="n">
        <v>71.831</v>
      </c>
      <c r="E115" s="20" t="n">
        <v>65.613</v>
      </c>
      <c r="F115" s="20" t="n">
        <v>75.941</v>
      </c>
      <c r="G115" s="20" t="n">
        <v>54.937</v>
      </c>
      <c r="H115" s="20" t="n">
        <v>56.879</v>
      </c>
      <c r="I115" s="20" t="n">
        <v>60.191</v>
      </c>
      <c r="J115" s="20" t="n">
        <v>91.104</v>
      </c>
      <c r="K115" s="20" t="n">
        <v>65.429</v>
      </c>
      <c r="L115" s="20" t="n">
        <v>65.465</v>
      </c>
      <c r="S115" s="20" t="n">
        <v>91.657</v>
      </c>
      <c r="T115" s="20" t="n">
        <v>58.493</v>
      </c>
      <c r="U115" s="20" t="n">
        <v>76.571</v>
      </c>
      <c r="V115" s="20" t="n">
        <v>75.941</v>
      </c>
      <c r="W115" s="20" t="n">
        <v>91.104</v>
      </c>
    </row>
    <row r="116">
      <c r="A116" s="18" t="inlineStr">
        <is>
          <t>Utilities Expenses SGA</t>
        </is>
      </c>
      <c r="C116" s="20" t="n">
        <v>33.665</v>
      </c>
      <c r="D116" s="20" t="n">
        <v>41.772</v>
      </c>
      <c r="E116" s="20" t="n">
        <v>36.587</v>
      </c>
      <c r="F116" s="20" t="n">
        <v>24.775</v>
      </c>
      <c r="G116" s="20" t="n">
        <v>32.319</v>
      </c>
      <c r="H116" s="20" t="n">
        <v>37.315</v>
      </c>
      <c r="I116" s="20" t="n">
        <v>35.352</v>
      </c>
      <c r="J116" s="20" t="n">
        <v>39.857</v>
      </c>
      <c r="K116" s="20" t="n">
        <v>34.987</v>
      </c>
      <c r="L116" s="20" t="n">
        <v>41.919</v>
      </c>
      <c r="S116" s="20" t="n">
        <v>39.5</v>
      </c>
      <c r="T116" s="20" t="n">
        <v>8.757999999999999</v>
      </c>
      <c r="U116" s="20" t="n">
        <v>49.051</v>
      </c>
      <c r="V116" s="20" t="n">
        <v>24.775</v>
      </c>
      <c r="W116" s="20" t="n">
        <v>39.857</v>
      </c>
    </row>
    <row r="117">
      <c r="A117" s="18" t="inlineStr">
        <is>
          <t>감가상각비</t>
        </is>
      </c>
      <c r="C117" s="20" t="n">
        <v>26.596</v>
      </c>
      <c r="D117" s="20" t="n">
        <v>25.659</v>
      </c>
      <c r="E117" s="20" t="n">
        <v>29.856</v>
      </c>
      <c r="F117" s="20" t="n">
        <v>20.098</v>
      </c>
      <c r="G117" s="20" t="n">
        <v>34.841</v>
      </c>
      <c r="H117" s="20" t="n">
        <v>35.643</v>
      </c>
      <c r="I117" s="20" t="n">
        <v>38.227</v>
      </c>
      <c r="J117" s="20" t="n">
        <v>7.217</v>
      </c>
      <c r="K117" s="20" t="n">
        <v>48.459</v>
      </c>
      <c r="L117" s="20" t="n">
        <v>47.674</v>
      </c>
      <c r="S117" s="20" t="n">
        <v>56.449</v>
      </c>
      <c r="T117" s="20" t="n">
        <v>46.19</v>
      </c>
      <c r="U117" s="20" t="n">
        <v>26.77</v>
      </c>
      <c r="V117" s="20" t="n">
        <v>20.098</v>
      </c>
      <c r="W117" s="20" t="n">
        <v>7.217</v>
      </c>
    </row>
    <row r="118">
      <c r="A118" s="18" t="inlineStr">
        <is>
          <t>기타</t>
        </is>
      </c>
      <c r="C118" s="20" t="n">
        <v>281.313</v>
      </c>
      <c r="D118" s="20" t="n">
        <v>260.961</v>
      </c>
      <c r="E118" s="20" t="n">
        <v>265.363</v>
      </c>
      <c r="F118" s="20" t="n">
        <v>183.857</v>
      </c>
      <c r="G118" s="20" t="n">
        <v>305.239</v>
      </c>
      <c r="H118" s="20" t="n">
        <v>322.568</v>
      </c>
      <c r="I118" s="20" t="n">
        <v>345.068</v>
      </c>
      <c r="J118" s="20" t="n">
        <v>113.034</v>
      </c>
      <c r="K118" s="20" t="n">
        <v>355.778</v>
      </c>
      <c r="L118" s="20" t="n">
        <v>316.43</v>
      </c>
      <c r="S118" s="20" t="n">
        <v>267.101</v>
      </c>
      <c r="T118" s="20" t="n">
        <v>152.19</v>
      </c>
      <c r="U118" s="20" t="n">
        <v>180.753</v>
      </c>
      <c r="V118" s="20" t="n">
        <v>183.857</v>
      </c>
      <c r="W118" s="20" t="n">
        <v>113.034</v>
      </c>
    </row>
    <row r="119">
      <c r="A119" s="18" t="inlineStr">
        <is>
          <t>판매비와 관리비 합계</t>
        </is>
      </c>
      <c r="C119" s="20" t="n">
        <v>874.853</v>
      </c>
      <c r="D119" s="20" t="n">
        <v>865.874</v>
      </c>
      <c r="E119" s="20" t="n">
        <v>861.318</v>
      </c>
      <c r="F119" s="20" t="n">
        <v>686.468</v>
      </c>
      <c r="G119" s="20" t="n">
        <v>919.8440000000001</v>
      </c>
      <c r="H119" s="20" t="n">
        <v>963.136</v>
      </c>
      <c r="I119" s="20" t="n">
        <v>1010.182</v>
      </c>
      <c r="J119" s="20" t="n">
        <v>586.15</v>
      </c>
      <c r="K119" s="20" t="n">
        <v>1061.502</v>
      </c>
      <c r="L119" s="20" t="n">
        <v>1021.989</v>
      </c>
      <c r="S119" s="20" t="n">
        <v>1001.617</v>
      </c>
      <c r="T119" s="20" t="n">
        <v>580.857</v>
      </c>
      <c r="U119" s="20" t="n">
        <v>778.593</v>
      </c>
      <c r="V119" s="20" t="n">
        <v>686.468</v>
      </c>
      <c r="W119" s="20" t="n">
        <v>586.15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S120" s="15">
        <f>IF(OR(S119="",R119=""),"",IF(S119*R119&lt;=0,"",IFERROR(S119/R119-1,"")))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</row>
    <row r="121">
      <c r="A121" s="9" t="inlineStr">
        <is>
          <t>영업이익</t>
        </is>
      </c>
      <c r="C121" s="12" t="n">
        <v>91.825</v>
      </c>
      <c r="D121" s="12" t="n">
        <v>177.684</v>
      </c>
      <c r="E121" s="12" t="n">
        <v>51.257</v>
      </c>
      <c r="F121" s="12" t="n">
        <v>-85.425</v>
      </c>
      <c r="G121" s="12" t="n">
        <v>11.757</v>
      </c>
      <c r="H121" s="12" t="n">
        <v>58.616</v>
      </c>
      <c r="I121" s="12" t="n">
        <v>-30.516</v>
      </c>
      <c r="J121" s="12" t="n">
        <v>224.578</v>
      </c>
      <c r="K121" s="12" t="n">
        <v>5.136</v>
      </c>
      <c r="L121" s="12" t="n">
        <v>95.965</v>
      </c>
      <c r="S121" s="12" t="n">
        <v>-424.921</v>
      </c>
      <c r="T121" s="12" t="n">
        <v>-507.541</v>
      </c>
      <c r="U121" s="12" t="n">
        <v>-145.751</v>
      </c>
      <c r="V121" s="12" t="n">
        <v>-85.425</v>
      </c>
      <c r="W121" s="12" t="n">
        <v>224.578</v>
      </c>
    </row>
    <row r="122">
      <c r="A122" s="43" t="inlineStr">
        <is>
          <t>OPM</t>
        </is>
      </c>
      <c r="B122" s="3" t="inlineStr">
        <is>
          <t>영업이익 ÷ 매출</t>
        </is>
      </c>
      <c r="C122" s="15">
        <f>IF(OR(C121="",C99=""),"",IF(C99&lt;=0,"",IFERROR(C121/C99,"")))</f>
        <v/>
      </c>
      <c r="D122" s="15">
        <f>IF(OR(D121="",D99=""),"",IF(D99&lt;=0,"",IFERROR(D121/D99,"")))</f>
        <v/>
      </c>
      <c r="E122" s="15">
        <f>IF(OR(E121="",E99=""),"",IF(E99&lt;=0,"",IFERROR(E121/E99,"")))</f>
        <v/>
      </c>
      <c r="F122" s="15">
        <f>IF(OR(F121="",F99=""),"",IF(F99&lt;=0,"",IFERROR(F121/F99,"")))</f>
        <v/>
      </c>
      <c r="G122" s="15">
        <f>IF(OR(G121="",G99=""),"",IF(G99&lt;=0,"",IFERROR(G121/G99,"")))</f>
        <v/>
      </c>
      <c r="H122" s="15">
        <f>IF(OR(H121="",H99=""),"",IF(H99&lt;=0,"",IFERROR(H121/H99,"")))</f>
        <v/>
      </c>
      <c r="I122" s="15">
        <f>IF(OR(I121="",I99=""),"",IF(I99&lt;=0,"",IFERROR(I121/I99,"")))</f>
        <v/>
      </c>
      <c r="J122" s="15">
        <f>IF(OR(J121="",J99=""),"",IF(J99&lt;=0,"",IFERROR(J121/J99,"")))</f>
        <v/>
      </c>
      <c r="K122" s="15">
        <f>IF(OR(K121="",K99=""),"",IF(K99&lt;=0,"",IFERROR(K121/K99,"")))</f>
        <v/>
      </c>
      <c r="L122" s="15">
        <f>IF(OR(L121="",L99=""),"",IF(L99&lt;=0,"",IFERROR(L121/L99,"")))</f>
        <v/>
      </c>
      <c r="S122" s="15">
        <f>IF(OR(S121="",S99=""),"",IF(S99&lt;=0,"",IFERROR(S121/S99,"")))</f>
        <v/>
      </c>
      <c r="T122" s="15">
        <f>IF(OR(T121="",T99=""),"",IF(T99&lt;=0,"",IFERROR(T121/T99,"")))</f>
        <v/>
      </c>
      <c r="U122" s="15">
        <f>IF(OR(U121="",U99=""),"",IF(U99&lt;=0,"",IFERROR(U121/U99,"")))</f>
        <v/>
      </c>
      <c r="V122" s="15">
        <f>IF(OR(V121="",V99=""),"",IF(V99&lt;=0,"",IFERROR(V121/V99,"")))</f>
        <v/>
      </c>
      <c r="W122" s="15">
        <f>IF(OR(W121="",W99=""),"",IF(W99&lt;=0,"",IFERROR(W121/W99,"")))</f>
        <v/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IF(OR(G121="",C121=""),"",IF(C121&lt;=0,"",IFERROR(G121/C121-1,"")))</f>
        <v/>
      </c>
      <c r="H123" s="15">
        <f>IF(OR(H121="",D121=""),"",IF(D121&lt;=0,"",IFERROR(H121/D121-1,"")))</f>
        <v/>
      </c>
      <c r="I123" s="15">
        <f>IF(OR(I121="",E121=""),"",IF(E121&lt;=0,"",IFERROR(I121/E121-1,"")))</f>
        <v/>
      </c>
      <c r="J123" s="15">
        <f>IF(OR(J121="",F121=""),"",IF(F121&lt;=0,"",IFERROR(J121/F121-1,"")))</f>
        <v/>
      </c>
      <c r="K123" s="15">
        <f>IF(OR(K121="",G121=""),"",IF(G121&lt;=0,"",IFERROR(K121/G121-1,"")))</f>
        <v/>
      </c>
      <c r="L123" s="15">
        <f>IF(OR(L121="",H121=""),"",IF(H121&lt;=0,"",IFERROR(L121/H121-1,"")))</f>
        <v/>
      </c>
      <c r="S123" s="15">
        <f>IF(OR(S121="",R121=""),"",IF(R121&lt;=0,"",IFERROR(S121/R121-1,"")))</f>
        <v/>
      </c>
      <c r="T123" s="15">
        <f>IF(OR(T121="",S121=""),"",IF(S121&lt;=0,"",IFERROR(T121/S121-1,"")))</f>
        <v/>
      </c>
      <c r="U123" s="15">
        <f>IF(OR(U121="",T121=""),"",IF(T121&lt;=0,"",IFERROR(U121/T121-1,"")))</f>
        <v/>
      </c>
      <c r="V123" s="15">
        <f>IF(OR(V121="",U121=""),"",IF(U121&lt;=0,"",IFERROR(V121/U121-1,"")))</f>
        <v/>
      </c>
      <c r="W123" s="15">
        <f>IF(OR(W121="",V121=""),"",IF(V121&lt;=0,"",IFERROR(W121/V121-1,"")))</f>
        <v/>
      </c>
    </row>
    <row r="124">
      <c r="A124" s="18" t="inlineStr">
        <is>
          <t>이자수익</t>
        </is>
      </c>
      <c r="C124" s="20" t="n">
        <v>0.165</v>
      </c>
      <c r="D124" s="20" t="n">
        <v>0.595</v>
      </c>
      <c r="E124" s="20" t="n">
        <v>0.183</v>
      </c>
      <c r="F124" s="20" t="n">
        <v>0.432</v>
      </c>
      <c r="G124" s="20" t="n">
        <v>0.134</v>
      </c>
      <c r="H124" s="20" t="n">
        <v>0.914</v>
      </c>
      <c r="I124" s="20" t="n">
        <v>0.163</v>
      </c>
      <c r="J124" s="20" t="n">
        <v>0.696</v>
      </c>
      <c r="K124" s="20" t="n">
        <v>0.082</v>
      </c>
      <c r="L124" s="20" t="n">
        <v>0.855</v>
      </c>
      <c r="S124" s="20" t="n">
        <v>0.419</v>
      </c>
      <c r="T124" s="20" t="n">
        <v>0.398</v>
      </c>
      <c r="U124" s="20" t="n">
        <v>-0.407</v>
      </c>
      <c r="V124" s="20" t="n">
        <v>0.432</v>
      </c>
      <c r="W124" s="20" t="n">
        <v>0.696</v>
      </c>
    </row>
    <row r="125">
      <c r="A125" s="18" t="inlineStr">
        <is>
          <t>배당금수익</t>
        </is>
      </c>
      <c r="C125" s="20" t="n">
        <v>90.274</v>
      </c>
      <c r="D125" s="20" t="n">
        <v>1.637</v>
      </c>
      <c r="E125" s="20" t="n">
        <v>0.884</v>
      </c>
      <c r="F125" s="20" t="n">
        <v>-29.213</v>
      </c>
      <c r="G125" s="20" t="n">
        <v>111.667</v>
      </c>
      <c r="H125" s="20" t="n">
        <v>11.731</v>
      </c>
      <c r="I125" s="20" t="n">
        <v>-8.817</v>
      </c>
      <c r="J125" s="20" t="n">
        <v>-21.786</v>
      </c>
      <c r="K125" s="20" t="n">
        <v>114.488</v>
      </c>
      <c r="L125" s="20" t="n">
        <v>2.619</v>
      </c>
      <c r="S125" s="20" t="n">
        <v>22.046</v>
      </c>
      <c r="T125" s="20" t="n">
        <v>8.601000000000001</v>
      </c>
      <c r="U125" s="20" t="n">
        <v>-46.958</v>
      </c>
      <c r="V125" s="20" t="n">
        <v>-29.213</v>
      </c>
      <c r="W125" s="20" t="n">
        <v>-21.786</v>
      </c>
    </row>
    <row r="126">
      <c r="A126" s="18" t="inlineStr">
        <is>
          <t>임대료 수익</t>
        </is>
      </c>
      <c r="C126" s="20" t="n">
        <v>22.712</v>
      </c>
      <c r="D126" s="20" t="n">
        <v>22.966</v>
      </c>
      <c r="E126" s="20" t="n">
        <v>22.996</v>
      </c>
      <c r="F126" s="20" t="n">
        <v>7.386</v>
      </c>
      <c r="G126" s="20" t="n">
        <v>22.944</v>
      </c>
      <c r="H126" s="20" t="n">
        <v>22.995</v>
      </c>
      <c r="I126" s="20" t="n">
        <v>22.955</v>
      </c>
      <c r="J126" s="20" t="n">
        <v>22.561</v>
      </c>
      <c r="K126" s="20" t="n">
        <v>23.262</v>
      </c>
      <c r="L126" s="20" t="n">
        <v>23.216</v>
      </c>
      <c r="S126" s="20" t="n">
        <v>2.632</v>
      </c>
      <c r="T126" s="20" t="n">
        <v>12.133</v>
      </c>
      <c r="U126" s="20" t="n">
        <v>13.419</v>
      </c>
      <c r="V126" s="20" t="n">
        <v>7.386</v>
      </c>
      <c r="W126" s="20" t="n">
        <v>22.561</v>
      </c>
    </row>
    <row r="127">
      <c r="A127" s="18" t="inlineStr">
        <is>
          <t>외환차익</t>
        </is>
      </c>
      <c r="C127" s="20" t="n">
        <v>7.564</v>
      </c>
      <c r="D127" s="20" t="n">
        <v>-6.04</v>
      </c>
      <c r="E127" s="20" t="n">
        <v>10.378</v>
      </c>
      <c r="F127" s="20" t="n">
        <v>-0.798</v>
      </c>
      <c r="G127" s="20" t="n">
        <v>1.034</v>
      </c>
      <c r="H127" s="20" t="n">
        <v>8.159000000000001</v>
      </c>
      <c r="I127" s="20" t="n">
        <v>14.203</v>
      </c>
      <c r="J127" s="20" t="n">
        <v>-16.891</v>
      </c>
      <c r="K127" s="20" t="n">
        <v>0</v>
      </c>
      <c r="L127" s="20" t="n">
        <v>0</v>
      </c>
      <c r="S127" s="20" t="n">
        <v>6.13</v>
      </c>
      <c r="T127" s="20" t="n">
        <v>-8.901</v>
      </c>
      <c r="U127" s="20" t="n">
        <v>3.637</v>
      </c>
      <c r="V127" s="20" t="n">
        <v>-0.798</v>
      </c>
      <c r="W127" s="20" t="n">
        <v>-16.891</v>
      </c>
    </row>
    <row r="128">
      <c r="A128" s="18" t="inlineStr">
        <is>
          <t>지분법이익</t>
        </is>
      </c>
      <c r="C128" s="20" t="n">
        <v>12.202</v>
      </c>
      <c r="D128" s="20" t="n">
        <v>18.355</v>
      </c>
      <c r="E128" s="20" t="n">
        <v>12.487</v>
      </c>
      <c r="F128" s="20" t="n">
        <v>-15.999</v>
      </c>
      <c r="G128" s="20" t="n">
        <v>14.72</v>
      </c>
      <c r="H128" s="20" t="n">
        <v>12.998</v>
      </c>
      <c r="I128" s="20" t="n">
        <v>10.807</v>
      </c>
      <c r="J128" s="20" t="n">
        <v>11.362</v>
      </c>
      <c r="K128" s="20" t="n">
        <v>15.867</v>
      </c>
      <c r="L128" s="20" t="n">
        <v>6.324</v>
      </c>
      <c r="S128" s="20" t="n">
        <v>-1.255</v>
      </c>
      <c r="T128" s="20" t="n">
        <v>-4.222</v>
      </c>
      <c r="U128" s="20" t="n">
        <v>-11.582</v>
      </c>
      <c r="V128" s="20" t="n">
        <v>-15.999</v>
      </c>
      <c r="W128" s="20" t="n">
        <v>11.362</v>
      </c>
    </row>
    <row r="129">
      <c r="A129" s="18" t="inlineStr">
        <is>
          <t>Cooperation Money Income NOI</t>
        </is>
      </c>
      <c r="S129" s="20" t="n">
        <v>-163.006</v>
      </c>
      <c r="T129" s="20" t="n">
        <v>216.964</v>
      </c>
      <c r="U129" s="20" t="n">
        <v>4.701</v>
      </c>
    </row>
    <row r="130">
      <c r="A130" s="18" t="inlineStr">
        <is>
          <t>기타</t>
        </is>
      </c>
      <c r="C130" s="20" t="n">
        <v>21.239</v>
      </c>
      <c r="D130" s="20" t="n">
        <v>8.984999999999999</v>
      </c>
      <c r="E130" s="20" t="n">
        <v>11.956</v>
      </c>
      <c r="F130" s="20" t="n">
        <v>-11.839</v>
      </c>
      <c r="G130" s="20" t="n">
        <v>6.929</v>
      </c>
      <c r="H130" s="20" t="n">
        <v>8.111000000000001</v>
      </c>
      <c r="I130" s="20" t="n">
        <v>8.506</v>
      </c>
      <c r="J130" s="20" t="n">
        <v>28.151</v>
      </c>
      <c r="K130" s="20" t="n">
        <v>6.321</v>
      </c>
      <c r="L130" s="20" t="n">
        <v>13.215</v>
      </c>
      <c r="S130" s="20" t="n">
        <v>-0.294</v>
      </c>
      <c r="T130" s="20" t="n">
        <v>9.356</v>
      </c>
      <c r="U130" s="20" t="n">
        <v>1.186</v>
      </c>
      <c r="V130" s="20" t="n">
        <v>-11.839</v>
      </c>
      <c r="W130" s="20" t="n">
        <v>28.151</v>
      </c>
    </row>
    <row r="131">
      <c r="A131" s="18" t="inlineStr">
        <is>
          <t>영업외수익 합계</t>
        </is>
      </c>
      <c r="C131" s="20" t="n">
        <v>154.158</v>
      </c>
      <c r="D131" s="20" t="n">
        <v>46.499</v>
      </c>
      <c r="E131" s="20" t="n">
        <v>58.883</v>
      </c>
      <c r="F131" s="20" t="n">
        <v>-50.03</v>
      </c>
      <c r="G131" s="20" t="n">
        <v>157.43</v>
      </c>
      <c r="H131" s="20" t="n">
        <v>64.908</v>
      </c>
      <c r="I131" s="20" t="n">
        <v>47.817</v>
      </c>
      <c r="J131" s="20" t="n">
        <v>24.093</v>
      </c>
      <c r="K131" s="20" t="n">
        <v>160.022</v>
      </c>
      <c r="L131" s="20" t="n">
        <v>46.229</v>
      </c>
      <c r="S131" s="20" t="n">
        <v>-78.42</v>
      </c>
      <c r="T131" s="20" t="n">
        <v>234.328</v>
      </c>
      <c r="U131" s="20" t="n">
        <v>-36.005</v>
      </c>
      <c r="V131" s="20" t="n">
        <v>-50.03</v>
      </c>
      <c r="W131" s="20" t="n">
        <v>24.093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S132" s="15">
        <f>IF(OR(S131="",R131=""),"",IF(S131*R131&lt;=0,"",IFERROR(S131/R131-1,"")))</f>
        <v/>
      </c>
      <c r="T132" s="15">
        <f>IF(OR(T131="",S131=""),"",IF(T131*S131&lt;=0,"",IFERROR(T131/S131-1,"")))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</row>
    <row r="133">
      <c r="A133" s="18" t="inlineStr">
        <is>
          <t>이자비용</t>
        </is>
      </c>
      <c r="C133" s="20" t="n">
        <v>1.609</v>
      </c>
      <c r="D133" s="20" t="n">
        <v>1.497</v>
      </c>
      <c r="E133" s="20" t="n">
        <v>1.324</v>
      </c>
      <c r="F133" s="20" t="n">
        <v>-3.129</v>
      </c>
      <c r="G133" s="20" t="n">
        <v>1.125</v>
      </c>
      <c r="H133" s="20" t="n">
        <v>1.173</v>
      </c>
      <c r="I133" s="20" t="n">
        <v>1.003</v>
      </c>
      <c r="J133" s="20" t="n">
        <v>2.476</v>
      </c>
      <c r="K133" s="20" t="n">
        <v>1.464</v>
      </c>
      <c r="L133" s="20" t="n">
        <v>2.487</v>
      </c>
      <c r="S133" s="20" t="n">
        <v>-0.047</v>
      </c>
      <c r="T133" s="20" t="n">
        <v>1.635</v>
      </c>
      <c r="U133" s="20" t="n">
        <v>1.979</v>
      </c>
      <c r="V133" s="20" t="n">
        <v>-3.129</v>
      </c>
      <c r="W133" s="20" t="n">
        <v>2.476</v>
      </c>
    </row>
    <row r="134">
      <c r="A134" s="18" t="inlineStr">
        <is>
          <t>임대비용</t>
        </is>
      </c>
      <c r="C134" s="20" t="n">
        <v>22.033</v>
      </c>
      <c r="D134" s="20" t="n">
        <v>22.282</v>
      </c>
      <c r="E134" s="20" t="n">
        <v>22.312</v>
      </c>
      <c r="F134" s="20" t="n">
        <v>6.446</v>
      </c>
      <c r="G134" s="20" t="n">
        <v>22.341</v>
      </c>
      <c r="H134" s="20" t="n">
        <v>22.31</v>
      </c>
      <c r="I134" s="20" t="n">
        <v>22.27</v>
      </c>
      <c r="J134" s="20" t="n">
        <v>21.721</v>
      </c>
      <c r="K134" s="20" t="n">
        <v>22.578</v>
      </c>
      <c r="L134" s="20" t="n">
        <v>22.531</v>
      </c>
      <c r="S134" s="20" t="n">
        <v>1.705</v>
      </c>
      <c r="T134" s="20" t="n">
        <v>11.767</v>
      </c>
      <c r="U134" s="20" t="n">
        <v>12.604</v>
      </c>
      <c r="V134" s="20" t="n">
        <v>6.446</v>
      </c>
      <c r="W134" s="20" t="n">
        <v>21.721</v>
      </c>
    </row>
    <row r="135">
      <c r="A135" s="18" t="inlineStr">
        <is>
          <t>외환차손</t>
        </is>
      </c>
      <c r="G135" s="20" t="n">
        <v>0</v>
      </c>
      <c r="H135" s="20" t="n">
        <v>0</v>
      </c>
      <c r="K135" s="20" t="n">
        <v>0.147</v>
      </c>
      <c r="L135" s="20" t="n">
        <v>13.802</v>
      </c>
      <c r="S135" s="20" t="n">
        <v>-5.155</v>
      </c>
    </row>
    <row r="136">
      <c r="A136" s="18" t="inlineStr">
        <is>
          <t>기타</t>
        </is>
      </c>
      <c r="C136" s="20" t="n">
        <v>0.577</v>
      </c>
      <c r="D136" s="20" t="n">
        <v>0.137</v>
      </c>
      <c r="E136" s="20" t="n">
        <v>0.121</v>
      </c>
      <c r="F136" s="20" t="n">
        <v>3.973</v>
      </c>
      <c r="G136" s="20" t="n">
        <v>0.334</v>
      </c>
      <c r="H136" s="20" t="n">
        <v>0.284</v>
      </c>
      <c r="I136" s="20" t="n">
        <v>0.24</v>
      </c>
      <c r="J136" s="20" t="n">
        <v>-0.082</v>
      </c>
      <c r="K136" s="20" t="n">
        <v>0.432</v>
      </c>
      <c r="L136" s="20" t="n">
        <v>0.929</v>
      </c>
      <c r="S136" s="20" t="n">
        <v>-4.475</v>
      </c>
      <c r="T136" s="20" t="n">
        <v>1.074</v>
      </c>
      <c r="U136" s="20" t="n">
        <v>3.468</v>
      </c>
      <c r="V136" s="20" t="n">
        <v>3.973</v>
      </c>
      <c r="W136" s="20" t="n">
        <v>-0.082</v>
      </c>
    </row>
    <row r="137">
      <c r="A137" s="18" t="inlineStr">
        <is>
          <t>영업외비용 합계</t>
        </is>
      </c>
      <c r="C137" s="20" t="n">
        <v>24.221</v>
      </c>
      <c r="D137" s="20" t="n">
        <v>23.915</v>
      </c>
      <c r="E137" s="20" t="n">
        <v>23.757</v>
      </c>
      <c r="F137" s="20" t="n">
        <v>7.289</v>
      </c>
      <c r="G137" s="20" t="n">
        <v>23.801</v>
      </c>
      <c r="H137" s="20" t="n">
        <v>23.766</v>
      </c>
      <c r="I137" s="20" t="n">
        <v>23.514</v>
      </c>
      <c r="J137" s="20" t="n">
        <v>24.115</v>
      </c>
      <c r="K137" s="20" t="n">
        <v>24.622</v>
      </c>
      <c r="L137" s="20" t="n">
        <v>39.75</v>
      </c>
      <c r="S137" s="20" t="n">
        <v>-7.972</v>
      </c>
      <c r="T137" s="20" t="n">
        <v>14.476</v>
      </c>
      <c r="U137" s="20" t="n">
        <v>18.052</v>
      </c>
      <c r="V137" s="20" t="n">
        <v>7.289</v>
      </c>
      <c r="W137" s="20" t="n">
        <v>24.115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S138" s="15">
        <f>IF(OR(S137="",R137=""),"",IF(S137*R137&lt;=0,"",IFERROR(S137/R137-1,"")))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</row>
    <row r="139">
      <c r="A139" s="9" t="inlineStr">
        <is>
          <t>경상이익</t>
        </is>
      </c>
      <c r="C139" s="12" t="n">
        <v>221.763</v>
      </c>
      <c r="D139" s="12" t="n">
        <v>200.267</v>
      </c>
      <c r="E139" s="12" t="n">
        <v>86.383</v>
      </c>
      <c r="F139" s="12" t="n">
        <v>-142.744</v>
      </c>
      <c r="G139" s="12" t="n">
        <v>145.387</v>
      </c>
      <c r="H139" s="12" t="n">
        <v>99.75700000000001</v>
      </c>
      <c r="I139" s="12" t="n">
        <v>-6.213</v>
      </c>
      <c r="J139" s="12" t="n">
        <v>224.556</v>
      </c>
      <c r="K139" s="12" t="n">
        <v>140.536</v>
      </c>
      <c r="L139" s="12" t="n">
        <v>102.444</v>
      </c>
      <c r="S139" s="12" t="n">
        <v>-495.369</v>
      </c>
      <c r="T139" s="12" t="n">
        <v>-287.689</v>
      </c>
      <c r="U139" s="12" t="n">
        <v>-199.807</v>
      </c>
      <c r="V139" s="12" t="n">
        <v>-142.744</v>
      </c>
      <c r="W139" s="12" t="n">
        <v>224.556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S140" s="15">
        <f>IF(OR(S139="",R139=""),"",IF(R139&lt;=0,"",IFERROR(S139/R139-1,"")))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</row>
    <row r="141">
      <c r="A141" s="18" t="inlineStr">
        <is>
          <t>고정자산 매각이익</t>
        </is>
      </c>
      <c r="C141" s="20" t="n">
        <v>0</v>
      </c>
      <c r="D141" s="20" t="n">
        <v>0</v>
      </c>
      <c r="E141" s="20" t="n">
        <v>7.422</v>
      </c>
      <c r="F141" s="20" t="n">
        <v>-1.009</v>
      </c>
      <c r="J141" s="20" t="n">
        <v>8.154</v>
      </c>
      <c r="S141" s="20" t="n">
        <v>-2.065</v>
      </c>
      <c r="T141" s="20" t="n">
        <v>5.701</v>
      </c>
      <c r="U141" s="20" t="n">
        <v>-6.363</v>
      </c>
      <c r="V141" s="20" t="n">
        <v>-1.009</v>
      </c>
      <c r="W141" s="20" t="n">
        <v>8.154</v>
      </c>
    </row>
    <row r="142">
      <c r="A142" s="18" t="inlineStr">
        <is>
          <t>보조금 수입</t>
        </is>
      </c>
      <c r="E142" s="20" t="n">
        <v>0</v>
      </c>
      <c r="F142" s="20" t="n">
        <v>1.9</v>
      </c>
      <c r="T142" s="20" t="n">
        <v>0</v>
      </c>
      <c r="U142" s="20" t="n">
        <v>-1.539</v>
      </c>
      <c r="V142" s="20" t="n">
        <v>1.9</v>
      </c>
    </row>
    <row r="143">
      <c r="A143" s="18" t="inlineStr">
        <is>
          <t>Reversal Of Provision For Loss On Store Closing EI</t>
        </is>
      </c>
      <c r="E143" s="20" t="n">
        <v>0</v>
      </c>
      <c r="F143" s="20" t="n">
        <v>0.529</v>
      </c>
      <c r="T143" s="20" t="n">
        <v>0</v>
      </c>
      <c r="U143" s="20" t="n">
        <v>-0.529</v>
      </c>
      <c r="V143" s="20" t="n">
        <v>0.529</v>
      </c>
    </row>
    <row r="144">
      <c r="A144" s="18" t="inlineStr">
        <is>
          <t>자산복구부채 환입이익</t>
        </is>
      </c>
      <c r="C144" s="20" t="n">
        <v>0</v>
      </c>
      <c r="D144" s="20" t="n">
        <v>0</v>
      </c>
      <c r="E144" s="20" t="n">
        <v>0</v>
      </c>
      <c r="F144" s="20" t="n">
        <v>20.582</v>
      </c>
      <c r="U144" s="20" t="n">
        <v>-17.085</v>
      </c>
      <c r="V144" s="20" t="n">
        <v>20.582</v>
      </c>
    </row>
    <row r="145">
      <c r="A145" s="18" t="inlineStr">
        <is>
          <t>Reversal Of Provision For Loss On Taking Back EI</t>
        </is>
      </c>
      <c r="E145" s="20" t="n">
        <v>0</v>
      </c>
      <c r="F145" s="20" t="n">
        <v>-4.407</v>
      </c>
      <c r="I145" s="20" t="n">
        <v>0</v>
      </c>
      <c r="J145" s="20" t="n">
        <v>4.407</v>
      </c>
      <c r="V145" s="20" t="n">
        <v>-4.407</v>
      </c>
      <c r="W145" s="20" t="n">
        <v>4.407</v>
      </c>
    </row>
    <row r="146">
      <c r="A146" s="18" t="inlineStr">
        <is>
          <t>특별이익 합계</t>
        </is>
      </c>
      <c r="C146" s="20" t="n">
        <v>0</v>
      </c>
      <c r="D146" s="20" t="n">
        <v>4.407</v>
      </c>
      <c r="E146" s="20" t="n">
        <v>7.423</v>
      </c>
      <c r="F146" s="20" t="n">
        <v>17.595</v>
      </c>
      <c r="I146" s="20" t="n">
        <v>0.182</v>
      </c>
      <c r="J146" s="20" t="n">
        <v>12.562</v>
      </c>
      <c r="S146" s="20" t="n">
        <v>4.315</v>
      </c>
      <c r="T146" s="20" t="n">
        <v>5.701</v>
      </c>
      <c r="U146" s="20" t="n">
        <v>-25.517</v>
      </c>
      <c r="V146" s="20" t="n">
        <v>17.595</v>
      </c>
      <c r="W146" s="20" t="n">
        <v>12.562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S147" s="15">
        <f>IF(OR(S146="",R146=""),"",IF(S146*R146&lt;=0,"",IFERROR(S146/R146-1,"")))</f>
        <v/>
      </c>
      <c r="T147" s="15">
        <f>IF(OR(T146="",S146=""),"",IF(T146*S146&lt;=0,"",IFERROR(T146/S146-1,"")))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</row>
    <row r="148">
      <c r="A148" s="18" t="inlineStr">
        <is>
          <t>고정자산 매각손실</t>
        </is>
      </c>
      <c r="C148" s="20" t="n">
        <v>3.941</v>
      </c>
      <c r="D148" s="20" t="n">
        <v>0</v>
      </c>
      <c r="E148" s="20" t="n">
        <v>0</v>
      </c>
      <c r="F148" s="20" t="n">
        <v>-3.941</v>
      </c>
      <c r="G148" s="20" t="n">
        <v>0</v>
      </c>
      <c r="H148" s="20" t="n">
        <v>0</v>
      </c>
      <c r="I148" s="20" t="n">
        <v>0</v>
      </c>
      <c r="J148" s="20" t="n">
        <v>3.941</v>
      </c>
      <c r="V148" s="20" t="n">
        <v>-3.941</v>
      </c>
      <c r="W148" s="20" t="n">
        <v>3.941</v>
      </c>
    </row>
    <row r="149">
      <c r="A149" s="18" t="inlineStr">
        <is>
          <t>고정자산 제각손실</t>
        </is>
      </c>
      <c r="C149" s="20" t="n">
        <v>0.143</v>
      </c>
      <c r="D149" s="20" t="n">
        <v>0.112</v>
      </c>
      <c r="E149" s="20" t="n">
        <v>6.594</v>
      </c>
      <c r="F149" s="20" t="n">
        <v>-4.644</v>
      </c>
      <c r="G149" s="20" t="n">
        <v>0</v>
      </c>
      <c r="H149" s="20" t="n">
        <v>0.043</v>
      </c>
      <c r="I149" s="20" t="n">
        <v>0.346</v>
      </c>
      <c r="J149" s="20" t="n">
        <v>6.482</v>
      </c>
      <c r="K149" s="20" t="n">
        <v>0.018</v>
      </c>
      <c r="L149" s="20" t="n">
        <v>0.046</v>
      </c>
      <c r="S149" s="20" t="n">
        <v>1.476</v>
      </c>
      <c r="T149" s="20" t="n">
        <v>2.265</v>
      </c>
      <c r="U149" s="20" t="n">
        <v>-0.189</v>
      </c>
      <c r="V149" s="20" t="n">
        <v>-4.644</v>
      </c>
      <c r="W149" s="20" t="n">
        <v>6.482</v>
      </c>
    </row>
    <row r="150">
      <c r="A150" s="18" t="inlineStr">
        <is>
          <t>손상차손</t>
        </is>
      </c>
      <c r="F150" s="20" t="n">
        <v>70.634</v>
      </c>
      <c r="S150" s="20" t="n">
        <v>240.635</v>
      </c>
      <c r="T150" s="20" t="n">
        <v>61.444</v>
      </c>
      <c r="U150" s="20" t="n">
        <v>12.283</v>
      </c>
      <c r="V150" s="20" t="n">
        <v>70.634</v>
      </c>
    </row>
    <row r="151">
      <c r="A151" s="18" t="inlineStr">
        <is>
          <t>고정자산 압축손실</t>
        </is>
      </c>
      <c r="E151" s="20" t="n">
        <v>0</v>
      </c>
      <c r="F151" s="20" t="n">
        <v>1.9</v>
      </c>
      <c r="T151" s="20" t="n">
        <v>0</v>
      </c>
      <c r="U151" s="20" t="n">
        <v>-1.539</v>
      </c>
      <c r="V151" s="20" t="n">
        <v>1.9</v>
      </c>
    </row>
    <row r="152">
      <c r="A152" s="18" t="inlineStr">
        <is>
          <t>관계회사 출자금 평가손실</t>
        </is>
      </c>
      <c r="F152" s="20" t="n">
        <v>59.92</v>
      </c>
      <c r="U152" s="20" t="n">
        <v>-59.92</v>
      </c>
      <c r="V152" s="20" t="n">
        <v>59.92</v>
      </c>
    </row>
    <row r="153">
      <c r="A153" s="18" t="inlineStr">
        <is>
          <t>관계회사 정리손실 충당금 전입</t>
        </is>
      </c>
      <c r="F153" s="20" t="n">
        <v>13.099</v>
      </c>
      <c r="U153" s="20" t="n">
        <v>-2.52</v>
      </c>
      <c r="V153" s="20" t="n">
        <v>13.099</v>
      </c>
    </row>
    <row r="154">
      <c r="A154" s="18" t="inlineStr">
        <is>
          <t>점포 폐쇄 손실 충당금 전입액</t>
        </is>
      </c>
      <c r="F154" s="20" t="n">
        <v>1.386</v>
      </c>
      <c r="S154" s="20" t="n">
        <v>23.344</v>
      </c>
      <c r="T154" s="20" t="n">
        <v>-9.875999999999999</v>
      </c>
      <c r="U154" s="20" t="n">
        <v>8.49</v>
      </c>
      <c r="V154" s="20" t="n">
        <v>1.386</v>
      </c>
    </row>
    <row r="155">
      <c r="A155" s="18" t="inlineStr">
        <is>
          <t>Provision For Loss On Taking Back Equipments EL</t>
        </is>
      </c>
      <c r="E155" s="20" t="n">
        <v>0</v>
      </c>
      <c r="F155" s="20" t="n">
        <v>39.84</v>
      </c>
      <c r="U155" s="20" t="n">
        <v>-39.84</v>
      </c>
      <c r="V155" s="20" t="n">
        <v>39.84</v>
      </c>
    </row>
    <row r="156">
      <c r="A156" s="18" t="inlineStr">
        <is>
          <t>특별손실 합계</t>
        </is>
      </c>
      <c r="C156" s="20" t="n">
        <v>4.085</v>
      </c>
      <c r="D156" s="20" t="n">
        <v>0.111</v>
      </c>
      <c r="E156" s="20" t="n">
        <v>6.595</v>
      </c>
      <c r="F156" s="20" t="n">
        <v>178.193</v>
      </c>
      <c r="G156" s="20" t="n">
        <v>0</v>
      </c>
      <c r="H156" s="20" t="n">
        <v>0.043</v>
      </c>
      <c r="I156" s="20" t="n">
        <v>0.346</v>
      </c>
      <c r="J156" s="20" t="n">
        <v>38.061</v>
      </c>
      <c r="K156" s="20" t="n">
        <v>0.018</v>
      </c>
      <c r="L156" s="20" t="n">
        <v>0.046</v>
      </c>
      <c r="S156" s="20" t="n">
        <v>265.456</v>
      </c>
      <c r="T156" s="20" t="n">
        <v>53.834</v>
      </c>
      <c r="U156" s="20" t="n">
        <v>-63.119</v>
      </c>
      <c r="V156" s="20" t="n">
        <v>178.193</v>
      </c>
      <c r="W156" s="20" t="n">
        <v>38.061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IF(OR(G156="",C156=""),"",IF(G156*C156&lt;=0,"",IFERROR(G156/C156-1,"")))</f>
        <v/>
      </c>
      <c r="H157" s="15">
        <f>IF(OR(H156="",D156=""),"",IF(H156*D156&lt;=0,"",IFERROR(H156/D156-1,"")))</f>
        <v/>
      </c>
      <c r="I157" s="15">
        <f>IF(OR(I156="",E156=""),"",IF(I156*E156&lt;=0,"",IFERROR(I156/E156-1,"")))</f>
        <v/>
      </c>
      <c r="J157" s="15">
        <f>IF(OR(J156="",F156=""),"",IF(J156*F156&lt;=0,"",IFERROR(J156/F156-1,"")))</f>
        <v/>
      </c>
      <c r="K157" s="15">
        <f>IF(OR(K156="",G156=""),"",IF(K156*G156&lt;=0,"",IFERROR(K156/G156-1,"")))</f>
        <v/>
      </c>
      <c r="L157" s="15">
        <f>IF(OR(L156="",H156=""),"",IF(L156*H156&lt;=0,"",IFERROR(L156/H156-1,"")))</f>
        <v/>
      </c>
      <c r="S157" s="15">
        <f>IF(OR(S156="",R156=""),"",IF(S156*R156&lt;=0,"",IFERROR(S156/R156-1,"")))</f>
        <v/>
      </c>
      <c r="T157" s="15">
        <f>IF(OR(T156="",S156=""),"",IF(T156*S156&lt;=0,"",IFERROR(T156/S156-1,"")))</f>
        <v/>
      </c>
      <c r="U157" s="15">
        <f>IF(OR(U156="",T156=""),"",IF(U156*T156&lt;=0,"",IFERROR(U156/T156-1,"")))</f>
        <v/>
      </c>
      <c r="V157" s="15">
        <f>IF(OR(V156="",U156=""),"",IF(V156*U156&lt;=0,"",IFERROR(V156/U156-1,"")))</f>
        <v/>
      </c>
      <c r="W157" s="15">
        <f>IF(OR(W156="",V156=""),"",IF(W156*V156&lt;=0,"",IFERROR(W156/V156-1,"")))</f>
        <v/>
      </c>
    </row>
    <row r="158">
      <c r="A158" s="9" t="inlineStr">
        <is>
          <t>법인세차감전 순이익</t>
        </is>
      </c>
      <c r="C158" s="12" t="n">
        <v>217.678</v>
      </c>
      <c r="D158" s="12" t="n">
        <v>204.563</v>
      </c>
      <c r="E158" s="12" t="n">
        <v>87.211</v>
      </c>
      <c r="F158" s="12" t="n">
        <v>-303.342</v>
      </c>
      <c r="G158" s="12" t="n">
        <v>145.387</v>
      </c>
      <c r="H158" s="12" t="n">
        <v>99.714</v>
      </c>
      <c r="I158" s="12" t="n">
        <v>-6.376</v>
      </c>
      <c r="J158" s="12" t="n">
        <v>199.055</v>
      </c>
      <c r="K158" s="12" t="n">
        <v>140.518</v>
      </c>
      <c r="L158" s="12" t="n">
        <v>102.398</v>
      </c>
      <c r="S158" s="12" t="n">
        <v>-756.509</v>
      </c>
      <c r="T158" s="12" t="n">
        <v>-335.822</v>
      </c>
      <c r="U158" s="12" t="n">
        <v>-162.206</v>
      </c>
      <c r="V158" s="12" t="n">
        <v>-303.342</v>
      </c>
      <c r="W158" s="12" t="n">
        <v>199.055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S159" s="15">
        <f>IF(OR(S158="",R158=""),"",IF(R158&lt;=0,"",IFERROR(S158/R158-1,"")))</f>
        <v/>
      </c>
      <c r="T159" s="15">
        <f>IF(OR(T158="",S158=""),"",IF(S158&lt;=0,"",IFERROR(T158/S158-1,"")))</f>
        <v/>
      </c>
      <c r="U159" s="15">
        <f>IF(OR(U158="",T158=""),"",IF(T158&lt;=0,"",IFERROR(U158/T158-1,"")))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</row>
    <row r="160">
      <c r="A160" s="18" t="inlineStr">
        <is>
          <t>법인세·주민세·사업세</t>
        </is>
      </c>
      <c r="C160" s="20" t="n">
        <v>36.5</v>
      </c>
      <c r="D160" s="20" t="n">
        <v>12.5</v>
      </c>
      <c r="E160" s="20" t="n">
        <v>6.5</v>
      </c>
      <c r="F160" s="20" t="n">
        <v>49.5</v>
      </c>
      <c r="G160" s="20" t="n">
        <v>33</v>
      </c>
      <c r="H160" s="20" t="n">
        <v>23.5</v>
      </c>
      <c r="I160" s="20" t="n">
        <v>6</v>
      </c>
      <c r="J160" s="20" t="n">
        <v>33.847</v>
      </c>
      <c r="K160" s="20" t="n">
        <v>35.311</v>
      </c>
      <c r="L160" s="20" t="n">
        <v>26.633</v>
      </c>
      <c r="S160" s="20" t="n">
        <v>4.413</v>
      </c>
      <c r="T160" s="20" t="n">
        <v>-18.673</v>
      </c>
      <c r="U160" s="20" t="n">
        <v>1.494</v>
      </c>
      <c r="V160" s="20" t="n">
        <v>49.5</v>
      </c>
      <c r="W160" s="20" t="n">
        <v>33.847</v>
      </c>
    </row>
    <row r="161">
      <c r="A161" s="18" t="inlineStr">
        <is>
          <t>법인세 조정액</t>
        </is>
      </c>
      <c r="C161" s="20" t="n">
        <v>32.245</v>
      </c>
      <c r="D161" s="20" t="n">
        <v>55.054</v>
      </c>
      <c r="E161" s="20" t="n">
        <v>31.677</v>
      </c>
      <c r="F161" s="20" t="n">
        <v>-178.391</v>
      </c>
      <c r="G161" s="20" t="n">
        <v>16.83</v>
      </c>
      <c r="H161" s="20" t="n">
        <v>21.344</v>
      </c>
      <c r="I161" s="20" t="n">
        <v>3.224</v>
      </c>
      <c r="J161" s="20" t="n">
        <v>63.831</v>
      </c>
      <c r="K161" s="20" t="n">
        <v>10.119</v>
      </c>
      <c r="L161" s="20" t="n">
        <v>30.393</v>
      </c>
      <c r="S161" s="20" t="n">
        <v>-173.628</v>
      </c>
      <c r="T161" s="20" t="n">
        <v>-11.715</v>
      </c>
      <c r="U161" s="20" t="n">
        <v>3.124</v>
      </c>
      <c r="V161" s="20" t="n">
        <v>-178.391</v>
      </c>
      <c r="W161" s="20" t="n">
        <v>63.831</v>
      </c>
    </row>
    <row r="162">
      <c r="A162" s="18" t="inlineStr">
        <is>
          <t>법인세 등 합계</t>
        </is>
      </c>
      <c r="C162" s="20" t="n">
        <v>68.745</v>
      </c>
      <c r="D162" s="20" t="n">
        <v>67.554</v>
      </c>
      <c r="E162" s="20" t="n">
        <v>38.177</v>
      </c>
      <c r="F162" s="20" t="n">
        <v>-128.892</v>
      </c>
      <c r="G162" s="20" t="n">
        <v>49.83</v>
      </c>
      <c r="H162" s="20" t="n">
        <v>44.844</v>
      </c>
      <c r="I162" s="20" t="n">
        <v>9.224</v>
      </c>
      <c r="J162" s="20" t="n">
        <v>97.679</v>
      </c>
      <c r="K162" s="20" t="n">
        <v>45.43</v>
      </c>
      <c r="L162" s="20" t="n">
        <v>57.027</v>
      </c>
      <c r="S162" s="20" t="n">
        <v>-169.214</v>
      </c>
      <c r="T162" s="20" t="n">
        <v>-30.388</v>
      </c>
      <c r="U162" s="20" t="n">
        <v>4.618</v>
      </c>
      <c r="V162" s="20" t="n">
        <v>-128.892</v>
      </c>
      <c r="W162" s="20" t="n">
        <v>97.679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IF(OR(G162="",C162=""),"",IF(G162*C162&lt;=0,"",IFERROR(G162/C162-1,"")))</f>
        <v/>
      </c>
      <c r="H163" s="15">
        <f>IF(OR(H162="",D162=""),"",IF(H162*D162&lt;=0,"",IFERROR(H162/D162-1,"")))</f>
        <v/>
      </c>
      <c r="I163" s="15">
        <f>IF(OR(I162="",E162=""),"",IF(I162*E162&lt;=0,"",IFERROR(I162/E162-1,"")))</f>
        <v/>
      </c>
      <c r="J163" s="15">
        <f>IF(OR(J162="",F162=""),"",IF(J162*F162&lt;=0,"",IFERROR(J162/F162-1,"")))</f>
        <v/>
      </c>
      <c r="K163" s="15">
        <f>IF(OR(K162="",G162=""),"",IF(K162*G162&lt;=0,"",IFERROR(K162/G162-1,"")))</f>
        <v/>
      </c>
      <c r="L163" s="15">
        <f>IF(OR(L162="",H162=""),"",IF(L162*H162&lt;=0,"",IFERROR(L162/H162-1,"")))</f>
        <v/>
      </c>
      <c r="S163" s="15">
        <f>IF(OR(S162="",R162=""),"",IF(S162*R162&lt;=0,"",IFERROR(S162/R162-1,"")))</f>
        <v/>
      </c>
      <c r="T163" s="15">
        <f>IF(OR(T162="",S162=""),"",IF(T162*S162&lt;=0,"",IFERROR(T162/S162-1,"")))</f>
        <v/>
      </c>
      <c r="U163" s="15">
        <f>IF(OR(U162="",T162=""),"",IF(U162*T162&lt;=0,"",IFERROR(U162/T162-1,"")))</f>
        <v/>
      </c>
      <c r="V163" s="15">
        <f>IF(OR(V162="",U162=""),"",IF(V162*U162&lt;=0,"",IFERROR(V162/U162-1,"")))</f>
        <v/>
      </c>
      <c r="W163" s="15">
        <f>IF(OR(W162="",V162=""),"",IF(W162*V162&lt;=0,"",IFERROR(W162/V162-1,"")))</f>
        <v/>
      </c>
    </row>
    <row r="164">
      <c r="A164" s="9" t="inlineStr">
        <is>
          <t>순이익</t>
        </is>
      </c>
      <c r="C164" s="12" t="n">
        <v>148.932</v>
      </c>
      <c r="D164" s="12" t="n">
        <v>137.009</v>
      </c>
      <c r="E164" s="12" t="n">
        <v>49.034</v>
      </c>
      <c r="F164" s="12" t="n">
        <v>-174.45</v>
      </c>
      <c r="G164" s="12" t="n">
        <v>95.556</v>
      </c>
      <c r="H164" s="12" t="n">
        <v>54.871</v>
      </c>
      <c r="I164" s="12" t="n">
        <v>-15.6</v>
      </c>
      <c r="J164" s="12" t="n">
        <v>101.376</v>
      </c>
      <c r="K164" s="12" t="n">
        <v>95.087</v>
      </c>
      <c r="L164" s="12" t="n">
        <v>45.372</v>
      </c>
      <c r="S164" s="12" t="n">
        <v>-587.294</v>
      </c>
      <c r="T164" s="12" t="n">
        <v>-305.433</v>
      </c>
      <c r="U164" s="12" t="n">
        <v>-166.824</v>
      </c>
      <c r="V164" s="12" t="n">
        <v>-174.45</v>
      </c>
      <c r="W164" s="12" t="n">
        <v>101.376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S165" s="15">
        <f>IF(OR(S164="",R164=""),"",IF(R164&lt;=0,"",IFERROR(S164/R164-1,"")))</f>
        <v/>
      </c>
      <c r="T165" s="15">
        <f>IF(OR(T164="",S164=""),"",IF(S164&lt;=0,"",IFERROR(T164/S164-1,"")))</f>
        <v/>
      </c>
      <c r="U165" s="15">
        <f>IF(OR(U164="",T164=""),"",IF(T164&lt;=0,"",IFERROR(U164/T164-1,"")))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</row>
    <row r="166">
      <c r="A166" s="9" t="inlineStr">
        <is>
          <t>비지배주주 순이익</t>
        </is>
      </c>
      <c r="C166" s="12" t="n">
        <v>-0</v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</row>
    <row r="167">
      <c r="A167" s="9" t="inlineStr">
        <is>
          <t>지배주주 순이익</t>
        </is>
      </c>
      <c r="C167" s="12" t="n">
        <v>148.932</v>
      </c>
      <c r="D167" s="12" t="n">
        <v>137.009</v>
      </c>
      <c r="E167" s="12" t="n">
        <v>49.033</v>
      </c>
      <c r="F167" s="12" t="n">
        <v>-174.449</v>
      </c>
      <c r="G167" s="12" t="n">
        <v>95.556</v>
      </c>
      <c r="H167" s="12" t="n">
        <v>54.871</v>
      </c>
      <c r="I167" s="12" t="n">
        <v>-15.601</v>
      </c>
      <c r="J167" s="12" t="n">
        <v>101.376</v>
      </c>
      <c r="K167" s="12" t="n">
        <v>95.087</v>
      </c>
      <c r="L167" s="12" t="n">
        <v>45.371</v>
      </c>
      <c r="S167" s="12" t="n">
        <v>-587.294</v>
      </c>
      <c r="T167" s="12" t="n">
        <v>-305.433</v>
      </c>
      <c r="U167" s="12" t="n">
        <v>-166.824</v>
      </c>
      <c r="V167" s="12" t="n">
        <v>-174.449</v>
      </c>
      <c r="W167" s="12" t="n">
        <v>101.376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S168" s="15">
        <f>IF(OR(S167="",R167=""),"",IF(R167&lt;=0,"",IFERROR(S167/R167-1,"")))</f>
        <v/>
      </c>
      <c r="T168" s="15">
        <f>IF(OR(T167="",S167=""),"",IF(S167&lt;=0,"",IFERROR(T167/S167-1,"")))</f>
        <v/>
      </c>
      <c r="U168" s="15">
        <f>IF(OR(U167="",T167=""),"",IF(T167&lt;=0,"",IFERROR(U167/T167-1,"")))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</row>
    <row r="170">
      <c r="A170" s="16" t="inlineStr">
        <is>
          <t>포괄손익 · 전 항목</t>
        </is>
      </c>
      <c r="B170" s="42" t="inlineStr">
        <is>
          <t>분기 = 3개월 단독</t>
        </is>
      </c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</row>
    <row r="171">
      <c r="A171" s="5" t="inlineStr">
        <is>
          <t>항목</t>
        </is>
      </c>
      <c r="B171" s="5" t="inlineStr">
        <is>
          <t>참고</t>
        </is>
      </c>
      <c r="C171" s="5" t="inlineStr">
        <is>
          <t>2025.1Q</t>
        </is>
      </c>
      <c r="D171" s="5" t="inlineStr">
        <is>
          <t>2025.2Q</t>
        </is>
      </c>
      <c r="E171" s="5" t="inlineStr">
        <is>
          <t>2025.3Q</t>
        </is>
      </c>
      <c r="F171" s="5" t="inlineStr">
        <is>
          <t>2025.4Q</t>
        </is>
      </c>
      <c r="G171" s="5" t="inlineStr">
        <is>
          <t>2026.1Q</t>
        </is>
      </c>
      <c r="H171" s="5" t="inlineStr">
        <is>
          <t>2026.2Q</t>
        </is>
      </c>
      <c r="I171" s="5" t="inlineStr">
        <is>
          <t>2026.3Q</t>
        </is>
      </c>
      <c r="J171" s="5" t="inlineStr">
        <is>
          <t>2026.4Q</t>
        </is>
      </c>
      <c r="K171" s="5" t="inlineStr">
        <is>
          <t>2027.1Q</t>
        </is>
      </c>
      <c r="L171" s="5" t="inlineStr">
        <is>
          <t>2027.2Q</t>
        </is>
      </c>
      <c r="M171" s="5" t="inlineStr">
        <is>
          <t>2027.3Q</t>
        </is>
      </c>
      <c r="N171" s="5" t="inlineStr">
        <is>
          <t>2027.4Q</t>
        </is>
      </c>
      <c r="O171" s="5" t="inlineStr">
        <is>
          <t>2018</t>
        </is>
      </c>
      <c r="P171" s="5" t="inlineStr">
        <is>
          <t>2019</t>
        </is>
      </c>
      <c r="Q171" s="5" t="inlineStr">
        <is>
          <t>2020</t>
        </is>
      </c>
      <c r="R171" s="5" t="inlineStr">
        <is>
          <t>2021</t>
        </is>
      </c>
      <c r="S171" s="5" t="inlineStr">
        <is>
          <t>2022</t>
        </is>
      </c>
      <c r="T171" s="5" t="inlineStr">
        <is>
          <t>2023</t>
        </is>
      </c>
      <c r="U171" s="5" t="inlineStr">
        <is>
          <t>2024</t>
        </is>
      </c>
      <c r="V171" s="5" t="inlineStr">
        <is>
          <t>2025</t>
        </is>
      </c>
      <c r="W171" s="5" t="inlineStr">
        <is>
          <t>2026</t>
        </is>
      </c>
      <c r="X171" s="5" t="inlineStr">
        <is>
          <t>2027</t>
        </is>
      </c>
      <c r="Y171" s="5" t="inlineStr">
        <is>
          <t>2028(MW)</t>
        </is>
      </c>
      <c r="Z171" s="5" t="inlineStr">
        <is>
          <t>2029(MW)</t>
        </is>
      </c>
      <c r="AA171" s="5" t="inlineStr">
        <is>
          <t>2030(MW)</t>
        </is>
      </c>
      <c r="AB171" s="5" t="inlineStr">
        <is>
          <t>2031(MW)</t>
        </is>
      </c>
      <c r="AC171" s="5" t="inlineStr">
        <is>
          <t>2032(MW)</t>
        </is>
      </c>
    </row>
    <row r="172">
      <c r="A172" s="9" t="inlineStr">
        <is>
          <t>순이익</t>
        </is>
      </c>
      <c r="C172" s="12" t="n">
        <v>148.932</v>
      </c>
      <c r="D172" s="12" t="n">
        <v>137.009</v>
      </c>
      <c r="E172" s="12" t="n">
        <v>49.034</v>
      </c>
      <c r="F172" s="12" t="n">
        <v>-174.45</v>
      </c>
      <c r="G172" s="12" t="n">
        <v>95.556</v>
      </c>
      <c r="H172" s="12" t="n">
        <v>54.871</v>
      </c>
      <c r="I172" s="12" t="n">
        <v>-15.6</v>
      </c>
      <c r="J172" s="12" t="n">
        <v>101.376</v>
      </c>
      <c r="K172" s="12" t="n">
        <v>95.087</v>
      </c>
      <c r="L172" s="12" t="n">
        <v>45.372</v>
      </c>
      <c r="S172" s="12" t="n">
        <v>-587.294</v>
      </c>
      <c r="T172" s="12" t="n">
        <v>-305.433</v>
      </c>
      <c r="U172" s="12" t="n">
        <v>-166.824</v>
      </c>
      <c r="V172" s="12" t="n">
        <v>-174.45</v>
      </c>
      <c r="W172" s="12" t="n">
        <v>101.376</v>
      </c>
    </row>
    <row r="173">
      <c r="A173" s="18" t="inlineStr">
        <is>
          <t>기타유가증권 평가차액</t>
        </is>
      </c>
      <c r="C173" s="20" t="n">
        <v>8.132999999999999</v>
      </c>
      <c r="D173" s="20" t="n">
        <v>-12.215</v>
      </c>
      <c r="E173" s="20" t="n">
        <v>13.033</v>
      </c>
      <c r="F173" s="20" t="n">
        <v>27.579</v>
      </c>
      <c r="G173" s="20" t="n">
        <v>4.915</v>
      </c>
      <c r="H173" s="20" t="n">
        <v>30.338</v>
      </c>
      <c r="I173" s="20" t="n">
        <v>29.938</v>
      </c>
      <c r="J173" s="20" t="n">
        <v>-42.219</v>
      </c>
      <c r="K173" s="20" t="n">
        <v>18.346</v>
      </c>
      <c r="L173" s="20" t="n">
        <v>55.063</v>
      </c>
      <c r="S173" s="20" t="n">
        <v>23.399</v>
      </c>
      <c r="T173" s="20" t="n">
        <v>-8.414999999999999</v>
      </c>
      <c r="U173" s="20" t="n">
        <v>-7.378</v>
      </c>
      <c r="V173" s="20" t="n">
        <v>27.579</v>
      </c>
      <c r="W173" s="20" t="n">
        <v>-42.219</v>
      </c>
    </row>
    <row r="174">
      <c r="A174" s="18" t="inlineStr">
        <is>
          <t>해외사업환산조정</t>
        </is>
      </c>
      <c r="C174" s="20" t="n">
        <v>1.636</v>
      </c>
      <c r="D174" s="20" t="n">
        <v>10.914</v>
      </c>
      <c r="E174" s="20" t="n">
        <v>2.728</v>
      </c>
      <c r="F174" s="20" t="n">
        <v>0.555</v>
      </c>
      <c r="G174" s="20" t="n">
        <v>-14.975</v>
      </c>
      <c r="H174" s="20" t="n">
        <v>2.496</v>
      </c>
      <c r="I174" s="20" t="n">
        <v>11.232</v>
      </c>
      <c r="J174" s="20" t="n">
        <v>29.075</v>
      </c>
      <c r="K174" s="20" t="n">
        <v>-7.661</v>
      </c>
      <c r="L174" s="20" t="n">
        <v>1.393</v>
      </c>
      <c r="S174" s="20" t="n">
        <v>-1.622</v>
      </c>
      <c r="T174" s="20" t="n">
        <v>-17.084</v>
      </c>
      <c r="U174" s="20" t="n">
        <v>2.337</v>
      </c>
      <c r="V174" s="20" t="n">
        <v>0.555</v>
      </c>
      <c r="W174" s="20" t="n">
        <v>29.075</v>
      </c>
    </row>
    <row r="175">
      <c r="A175" s="18" t="inlineStr">
        <is>
          <t>지분법 적용회사 지분 해당액</t>
        </is>
      </c>
      <c r="C175" s="20" t="n">
        <v>1.11</v>
      </c>
      <c r="D175" s="20" t="n">
        <v>7.4</v>
      </c>
      <c r="E175" s="20" t="n">
        <v>1.85</v>
      </c>
      <c r="F175" s="20" t="n">
        <v>-0.372</v>
      </c>
      <c r="G175" s="20" t="n">
        <v>-11.521</v>
      </c>
      <c r="H175" s="20" t="n">
        <v>1.92</v>
      </c>
      <c r="I175" s="20" t="n">
        <v>9.859999999999999</v>
      </c>
      <c r="J175" s="20" t="n">
        <v>18.612</v>
      </c>
      <c r="K175" s="20" t="n">
        <v>-7.086</v>
      </c>
      <c r="L175" s="20" t="n">
        <v>2.954</v>
      </c>
      <c r="S175" s="20" t="n">
        <v>-0.993</v>
      </c>
      <c r="T175" s="20" t="n">
        <v>-10.718</v>
      </c>
      <c r="U175" s="20" t="n">
        <v>1.408</v>
      </c>
      <c r="V175" s="20" t="n">
        <v>-0.372</v>
      </c>
      <c r="W175" s="20" t="n">
        <v>18.612</v>
      </c>
    </row>
    <row r="176">
      <c r="A176" s="18" t="inlineStr">
        <is>
          <t>기타포괄손익 합계</t>
        </is>
      </c>
      <c r="C176" s="20" t="n">
        <v>10.88</v>
      </c>
      <c r="D176" s="20" t="n">
        <v>6.097</v>
      </c>
      <c r="E176" s="20" t="n">
        <v>17.613</v>
      </c>
      <c r="F176" s="20" t="n">
        <v>27.761</v>
      </c>
      <c r="G176" s="20" t="n">
        <v>-21.581</v>
      </c>
      <c r="H176" s="20" t="n">
        <v>34.754</v>
      </c>
      <c r="I176" s="20" t="n">
        <v>51.029</v>
      </c>
      <c r="J176" s="20" t="n">
        <v>5.47</v>
      </c>
      <c r="K176" s="20" t="n">
        <v>3.597</v>
      </c>
      <c r="L176" s="20" t="n">
        <v>59.41</v>
      </c>
      <c r="S176" s="20" t="n">
        <v>20.785</v>
      </c>
      <c r="T176" s="20" t="n">
        <v>-36.22</v>
      </c>
      <c r="U176" s="20" t="n">
        <v>-3.632</v>
      </c>
      <c r="V176" s="20" t="n">
        <v>27.761</v>
      </c>
      <c r="W176" s="20" t="n">
        <v>5.47</v>
      </c>
    </row>
    <row r="177">
      <c r="A177" s="9" t="inlineStr">
        <is>
          <t>포괄이익</t>
        </is>
      </c>
      <c r="C177" s="12" t="n">
        <v>159.812</v>
      </c>
      <c r="D177" s="12" t="n">
        <v>143.107</v>
      </c>
      <c r="E177" s="12" t="n">
        <v>66.64700000000001</v>
      </c>
      <c r="F177" s="12" t="n">
        <v>-146.689</v>
      </c>
      <c r="G177" s="12" t="n">
        <v>73.97499999999999</v>
      </c>
      <c r="H177" s="12" t="n">
        <v>89.625</v>
      </c>
      <c r="I177" s="12" t="n">
        <v>35.43</v>
      </c>
      <c r="J177" s="12" t="n">
        <v>106.846</v>
      </c>
      <c r="K177" s="12" t="n">
        <v>98.685</v>
      </c>
      <c r="L177" s="12" t="n">
        <v>104.782</v>
      </c>
      <c r="S177" s="12" t="n">
        <v>-566.51</v>
      </c>
      <c r="T177" s="12" t="n">
        <v>-341.654</v>
      </c>
      <c r="U177" s="12" t="n">
        <v>-170.456</v>
      </c>
      <c r="V177" s="12" t="n">
        <v>-146.689</v>
      </c>
      <c r="W177" s="12" t="n">
        <v>106.846</v>
      </c>
    </row>
    <row r="178">
      <c r="A178" s="9" t="inlineStr">
        <is>
          <t>지배주주 포괄이익</t>
        </is>
      </c>
      <c r="C178" s="12" t="n">
        <v>159.812</v>
      </c>
      <c r="D178" s="12" t="n">
        <v>143.106</v>
      </c>
      <c r="E178" s="12" t="n">
        <v>66.64700000000001</v>
      </c>
      <c r="F178" s="12" t="n">
        <v>-146.689</v>
      </c>
      <c r="G178" s="12" t="n">
        <v>73.97499999999999</v>
      </c>
      <c r="H178" s="12" t="n">
        <v>89.625</v>
      </c>
      <c r="I178" s="12" t="n">
        <v>35.429</v>
      </c>
      <c r="J178" s="12" t="n">
        <v>106.845</v>
      </c>
      <c r="K178" s="12" t="n">
        <v>98.685</v>
      </c>
      <c r="L178" s="12" t="n">
        <v>104.781</v>
      </c>
      <c r="S178" s="12" t="n">
        <v>-566.51</v>
      </c>
      <c r="T178" s="12" t="n">
        <v>-341.654</v>
      </c>
      <c r="U178" s="12" t="n">
        <v>-170.456</v>
      </c>
      <c r="V178" s="12" t="n">
        <v>-146.689</v>
      </c>
      <c r="W178" s="12" t="n">
        <v>106.845</v>
      </c>
    </row>
    <row r="179">
      <c r="A179" s="9" t="inlineStr">
        <is>
          <t>비지배주주 포괄이익</t>
        </is>
      </c>
      <c r="C179" s="12" t="n">
        <v>0</v>
      </c>
      <c r="D179" s="12" t="n">
        <v>0</v>
      </c>
      <c r="E179" s="12" t="n">
        <v>0</v>
      </c>
      <c r="F179" s="12" t="n">
        <v>0</v>
      </c>
      <c r="G179" s="12" t="n">
        <v>-0</v>
      </c>
      <c r="H179" s="12" t="n">
        <v>0</v>
      </c>
      <c r="I179" s="12" t="n">
        <v>0</v>
      </c>
      <c r="J179" s="12" t="n">
        <v>0.001</v>
      </c>
      <c r="K179" s="12" t="n">
        <v>0</v>
      </c>
      <c r="L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0.001</v>
      </c>
    </row>
    <row r="181">
      <c r="A181" s="16" t="inlineStr">
        <is>
          <t>부문 · 전 항목</t>
        </is>
      </c>
      <c r="B181" s="42" t="inlineStr">
        <is>
          <t>부문 · 항목</t>
        </is>
      </c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</row>
    <row r="182">
      <c r="A182" s="5" t="inlineStr">
        <is>
          <t>항목</t>
        </is>
      </c>
      <c r="B182" s="5" t="inlineStr">
        <is>
          <t>참고</t>
        </is>
      </c>
      <c r="C182" s="5" t="inlineStr">
        <is>
          <t>2025.1Q</t>
        </is>
      </c>
      <c r="D182" s="5" t="inlineStr">
        <is>
          <t>2025.2Q</t>
        </is>
      </c>
      <c r="E182" s="5" t="inlineStr">
        <is>
          <t>2025.3Q</t>
        </is>
      </c>
      <c r="F182" s="5" t="inlineStr">
        <is>
          <t>2025.4Q</t>
        </is>
      </c>
      <c r="G182" s="5" t="inlineStr">
        <is>
          <t>2026.1Q</t>
        </is>
      </c>
      <c r="H182" s="5" t="inlineStr">
        <is>
          <t>2026.2Q</t>
        </is>
      </c>
      <c r="I182" s="5" t="inlineStr">
        <is>
          <t>2026.3Q</t>
        </is>
      </c>
      <c r="J182" s="5" t="inlineStr">
        <is>
          <t>2026.4Q</t>
        </is>
      </c>
      <c r="K182" s="5" t="inlineStr">
        <is>
          <t>2027.1Q</t>
        </is>
      </c>
      <c r="L182" s="5" t="inlineStr">
        <is>
          <t>2027.2Q</t>
        </is>
      </c>
      <c r="M182" s="5" t="inlineStr">
        <is>
          <t>2027.3Q</t>
        </is>
      </c>
      <c r="N182" s="5" t="inlineStr">
        <is>
          <t>2027.4Q</t>
        </is>
      </c>
      <c r="O182" s="5" t="inlineStr">
        <is>
          <t>2018</t>
        </is>
      </c>
      <c r="P182" s="5" t="inlineStr">
        <is>
          <t>2019</t>
        </is>
      </c>
      <c r="Q182" s="5" t="inlineStr">
        <is>
          <t>2020</t>
        </is>
      </c>
      <c r="R182" s="5" t="inlineStr">
        <is>
          <t>2021</t>
        </is>
      </c>
      <c r="S182" s="5" t="inlineStr">
        <is>
          <t>2022</t>
        </is>
      </c>
      <c r="T182" s="5" t="inlineStr">
        <is>
          <t>2023</t>
        </is>
      </c>
      <c r="U182" s="5" t="inlineStr">
        <is>
          <t>2024</t>
        </is>
      </c>
      <c r="V182" s="5" t="inlineStr">
        <is>
          <t>2025</t>
        </is>
      </c>
      <c r="W182" s="5" t="inlineStr">
        <is>
          <t>2026</t>
        </is>
      </c>
      <c r="X182" s="5" t="inlineStr">
        <is>
          <t>2027</t>
        </is>
      </c>
      <c r="Y182" s="5" t="inlineStr">
        <is>
          <t>2028(MW)</t>
        </is>
      </c>
      <c r="Z182" s="5" t="inlineStr">
        <is>
          <t>2029(MW)</t>
        </is>
      </c>
      <c r="AA182" s="5" t="inlineStr">
        <is>
          <t>2030(MW)</t>
        </is>
      </c>
      <c r="AB182" s="5" t="inlineStr">
        <is>
          <t>2031(MW)</t>
        </is>
      </c>
      <c r="AC182" s="5" t="inlineStr">
        <is>
          <t>2032(MW)</t>
        </is>
      </c>
    </row>
    <row r="183">
      <c r="A183" s="18" t="inlineStr">
        <is>
          <t>부문 · Revenues From External Customers</t>
        </is>
      </c>
      <c r="E183" s="20" t="n">
        <v>1508</v>
      </c>
      <c r="F183" s="20" t="n">
        <v>1023.631</v>
      </c>
      <c r="I183" s="20" t="n">
        <v>1624.649</v>
      </c>
      <c r="J183" s="20" t="n">
        <v>1294.115</v>
      </c>
      <c r="V183" s="20" t="n">
        <v>1023.631</v>
      </c>
      <c r="W183" s="20" t="n">
        <v>1294.115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</row>
    <row r="185">
      <c r="A185" s="18" t="inlineStr">
        <is>
          <t>부문 · Revenues From External Customers</t>
        </is>
      </c>
      <c r="E185" s="20" t="n">
        <v>141.72</v>
      </c>
      <c r="I185" s="20" t="n">
        <v>143.389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I186" s="15">
        <f>IF(OR(I185="",E185=""),"",IF(E185&lt;=0,"",IFERROR(I185/E185-1,"")))</f>
        <v/>
      </c>
    </row>
    <row r="187">
      <c r="A187" s="18" t="inlineStr">
        <is>
          <t>해외 사업 · Revenues From External Customers</t>
        </is>
      </c>
      <c r="C187" s="20" t="n">
        <v>310.514</v>
      </c>
      <c r="D187" s="20" t="n">
        <v>348.894</v>
      </c>
      <c r="E187" s="20" t="n">
        <v>342.352</v>
      </c>
      <c r="F187" s="20" t="n">
        <v>149.984</v>
      </c>
      <c r="G187" s="20" t="n">
        <v>354.933</v>
      </c>
      <c r="H187" s="20" t="n">
        <v>358.907</v>
      </c>
      <c r="I187" s="20" t="n">
        <v>386.478</v>
      </c>
      <c r="J187" s="20" t="n">
        <v>336.956</v>
      </c>
      <c r="K187" s="20" t="n">
        <v>409.98</v>
      </c>
      <c r="L187" s="20" t="n">
        <v>372.644</v>
      </c>
      <c r="V187" s="20" t="n">
        <v>149.984</v>
      </c>
      <c r="W187" s="20" t="n">
        <v>336.956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</row>
    <row r="189">
      <c r="A189" s="18" t="inlineStr">
        <is>
          <t>보고부문 합계 · Revenues From External Customers</t>
        </is>
      </c>
      <c r="C189" s="20" t="n">
        <v>2085.757</v>
      </c>
      <c r="D189" s="20" t="n">
        <v>2207.916</v>
      </c>
      <c r="E189" s="20" t="n">
        <v>1992.072</v>
      </c>
      <c r="F189" s="20" t="n">
        <v>1338.047</v>
      </c>
      <c r="G189" s="20" t="n">
        <v>2080.726</v>
      </c>
      <c r="H189" s="20" t="n">
        <v>2226.133</v>
      </c>
      <c r="I189" s="20" t="n">
        <v>2154.516</v>
      </c>
      <c r="J189" s="20" t="n">
        <v>1772.074</v>
      </c>
      <c r="K189" s="20" t="n">
        <v>2250.548</v>
      </c>
      <c r="L189" s="20" t="n">
        <v>2362.789</v>
      </c>
      <c r="V189" s="20" t="n">
        <v>1338.047</v>
      </c>
      <c r="W189" s="20" t="n">
        <v>1772.074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K190" s="15">
        <f>IF(OR(K189="",G189=""),"",IF(G189&lt;=0,"",IFERROR(K189/G189-1,"")))</f>
        <v/>
      </c>
      <c r="L190" s="15">
        <f>IF(OR(L189="",H189=""),"",IF(H189&lt;=0,"",IFERROR(L189/H189-1,"")))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</row>
    <row r="191">
      <c r="A191" s="18" t="inlineStr">
        <is>
          <t>조정액 · Revenues From External Customers</t>
        </is>
      </c>
      <c r="C191" s="20" t="n">
        <v>0</v>
      </c>
      <c r="D191" s="20" t="n">
        <v>0</v>
      </c>
      <c r="E191" s="20" t="n">
        <v>0</v>
      </c>
      <c r="F191" s="20" t="n">
        <v>0</v>
      </c>
      <c r="G191" s="20" t="n">
        <v>0</v>
      </c>
      <c r="H191" s="20" t="n">
        <v>0</v>
      </c>
      <c r="I191" s="20" t="n">
        <v>0</v>
      </c>
      <c r="J191" s="20" t="n">
        <v>0</v>
      </c>
      <c r="K191" s="20" t="n">
        <v>0</v>
      </c>
      <c r="L191" s="20" t="n">
        <v>0</v>
      </c>
      <c r="V191" s="20" t="n">
        <v>0</v>
      </c>
      <c r="W191" s="20" t="n">
        <v>0</v>
      </c>
    </row>
    <row r="192">
      <c r="A192" s="9" t="inlineStr">
        <is>
          <t>Revenues From External Customers</t>
        </is>
      </c>
      <c r="C192" s="12" t="n">
        <v>2085.757</v>
      </c>
      <c r="D192" s="12" t="n">
        <v>2207.916</v>
      </c>
      <c r="E192" s="12" t="n">
        <v>1992.072</v>
      </c>
      <c r="F192" s="12" t="n">
        <v>1338.047</v>
      </c>
      <c r="G192" s="12" t="n">
        <v>2080.726</v>
      </c>
      <c r="H192" s="12" t="n">
        <v>2226.133</v>
      </c>
      <c r="I192" s="12" t="n">
        <v>2154.516</v>
      </c>
      <c r="J192" s="12" t="n">
        <v>1772.074</v>
      </c>
      <c r="K192" s="12" t="n">
        <v>2250.548</v>
      </c>
      <c r="L192" s="12" t="n">
        <v>2362.789</v>
      </c>
      <c r="V192" s="12" t="n">
        <v>1338.047</v>
      </c>
      <c r="W192" s="12" t="n">
        <v>1772.074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</row>
    <row r="194">
      <c r="A194" s="18" t="inlineStr">
        <is>
          <t>부문 · Transactions With Other Segments</t>
        </is>
      </c>
      <c r="C194" s="20" t="n">
        <v>134.024</v>
      </c>
      <c r="G194" s="20" t="n">
        <v>87.056</v>
      </c>
      <c r="K194" s="20" t="n">
        <v>89.428</v>
      </c>
    </row>
    <row r="195">
      <c r="A195" s="18" t="inlineStr">
        <is>
          <t>부문 · Transactions With Other Segments</t>
        </is>
      </c>
      <c r="C195" s="20" t="n">
        <v>6.602</v>
      </c>
      <c r="G195" s="20" t="n">
        <v>3.281</v>
      </c>
      <c r="K195" s="20" t="n">
        <v>3.195</v>
      </c>
    </row>
    <row r="196">
      <c r="A196" s="18" t="inlineStr">
        <is>
          <t>부문 · Transactions With Other Segments</t>
        </is>
      </c>
      <c r="E196" s="20" t="n">
        <v>97.64</v>
      </c>
      <c r="F196" s="20" t="n">
        <v>135.579</v>
      </c>
      <c r="I196" s="20" t="n">
        <v>81.226</v>
      </c>
      <c r="J196" s="20" t="n">
        <v>178.275</v>
      </c>
      <c r="V196" s="20" t="n">
        <v>135.579</v>
      </c>
      <c r="W196" s="20" t="n">
        <v>178.275</v>
      </c>
    </row>
    <row r="197">
      <c r="A197" s="18" t="inlineStr">
        <is>
          <t>부문 · Transactions With Other Segments</t>
        </is>
      </c>
      <c r="E197" s="20" t="n">
        <v>4.748</v>
      </c>
      <c r="I197" s="20" t="n">
        <v>3.106</v>
      </c>
    </row>
    <row r="198">
      <c r="A198" s="18" t="inlineStr">
        <is>
          <t>해외 사업 · Transactions With Other Segments</t>
        </is>
      </c>
      <c r="C198" s="20" t="n">
        <v>26.764</v>
      </c>
      <c r="D198" s="20" t="n">
        <v>25.662</v>
      </c>
      <c r="E198" s="20" t="n">
        <v>31.996</v>
      </c>
      <c r="F198" s="20" t="n">
        <v>32.554</v>
      </c>
      <c r="G198" s="20" t="n">
        <v>27.438</v>
      </c>
      <c r="H198" s="20" t="n">
        <v>21.542</v>
      </c>
      <c r="I198" s="20" t="n">
        <v>7.973</v>
      </c>
      <c r="J198" s="20" t="n">
        <v>57.826</v>
      </c>
      <c r="K198" s="20" t="n">
        <v>3.687</v>
      </c>
      <c r="L198" s="20" t="n">
        <v>1.171</v>
      </c>
      <c r="V198" s="20" t="n">
        <v>32.554</v>
      </c>
      <c r="W198" s="20" t="n">
        <v>57.826</v>
      </c>
    </row>
    <row r="199">
      <c r="A199" s="18" t="inlineStr">
        <is>
          <t>보고부문 합계 · Transactions With Other Segments</t>
        </is>
      </c>
      <c r="C199" s="20" t="n">
        <v>167.391</v>
      </c>
      <c r="D199" s="20" t="n">
        <v>154.162</v>
      </c>
      <c r="E199" s="20" t="n">
        <v>134.384</v>
      </c>
      <c r="F199" s="20" t="n">
        <v>178.147</v>
      </c>
      <c r="G199" s="20" t="n">
        <v>117.775</v>
      </c>
      <c r="H199" s="20" t="n">
        <v>110.136</v>
      </c>
      <c r="I199" s="20" t="n">
        <v>92.304</v>
      </c>
      <c r="J199" s="20" t="n">
        <v>247.329</v>
      </c>
      <c r="K199" s="20" t="n">
        <v>96.31100000000001</v>
      </c>
      <c r="L199" s="20" t="n">
        <v>87.938</v>
      </c>
      <c r="V199" s="20" t="n">
        <v>178.147</v>
      </c>
      <c r="W199" s="20" t="n">
        <v>247.329</v>
      </c>
    </row>
    <row r="200">
      <c r="A200" s="18" t="inlineStr">
        <is>
          <t>조정액 · Transactions With Other Segments</t>
        </is>
      </c>
      <c r="C200" s="20" t="n">
        <v>-167.391</v>
      </c>
      <c r="D200" s="20" t="n">
        <v>-154.162</v>
      </c>
      <c r="E200" s="20" t="n">
        <v>-134.384</v>
      </c>
      <c r="F200" s="20" t="n">
        <v>-178.147</v>
      </c>
      <c r="G200" s="20" t="n">
        <v>-117.775</v>
      </c>
      <c r="H200" s="20" t="n">
        <v>-110.136</v>
      </c>
      <c r="I200" s="20" t="n">
        <v>-92.304</v>
      </c>
      <c r="J200" s="20" t="n">
        <v>-247.329</v>
      </c>
      <c r="K200" s="20" t="n">
        <v>-96.31100000000001</v>
      </c>
      <c r="L200" s="20" t="n">
        <v>-87.938</v>
      </c>
      <c r="V200" s="20" t="n">
        <v>-178.147</v>
      </c>
      <c r="W200" s="20" t="n">
        <v>-247.329</v>
      </c>
    </row>
    <row r="201">
      <c r="A201" s="18" t="inlineStr">
        <is>
          <t>Transactions With Other Segments</t>
        </is>
      </c>
      <c r="C201" s="20" t="n">
        <v>0</v>
      </c>
      <c r="D201" s="20" t="n">
        <v>0</v>
      </c>
      <c r="E201" s="20" t="n">
        <v>0</v>
      </c>
      <c r="F201" s="20" t="n">
        <v>0</v>
      </c>
      <c r="G201" s="20" t="n">
        <v>0</v>
      </c>
      <c r="H201" s="20" t="n">
        <v>0</v>
      </c>
      <c r="I201" s="20" t="n">
        <v>0</v>
      </c>
      <c r="J201" s="20" t="n">
        <v>0</v>
      </c>
      <c r="K201" s="20" t="n">
        <v>0</v>
      </c>
      <c r="L201" s="20" t="n">
        <v>0</v>
      </c>
      <c r="V201" s="20" t="n">
        <v>0</v>
      </c>
      <c r="W201" s="20" t="n">
        <v>0</v>
      </c>
    </row>
    <row r="202">
      <c r="A202" s="18" t="inlineStr">
        <is>
          <t>부문 · 계</t>
        </is>
      </c>
      <c r="C202" s="20" t="n">
        <v>1745.673</v>
      </c>
      <c r="G202" s="20" t="n">
        <v>1670.778</v>
      </c>
      <c r="K202" s="20" t="n">
        <v>1796.252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K203" s="15">
        <f>IF(OR(K202="",G202=""),"",IF(G202&lt;=0,"",IFERROR(K202/G202-1,"")))</f>
        <v/>
      </c>
    </row>
    <row r="204">
      <c r="A204" s="18" t="inlineStr">
        <is>
          <t>부문 · 계</t>
        </is>
      </c>
      <c r="C204" s="20" t="n">
        <v>170.196</v>
      </c>
      <c r="G204" s="20" t="n">
        <v>145.351</v>
      </c>
      <c r="K204" s="20" t="n">
        <v>136.938</v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IF(OR(G204="",C204=""),"",IF(C204&lt;=0,"",IFERROR(G204/C204-1,"")))</f>
        <v/>
      </c>
      <c r="K205" s="15">
        <f>IF(OR(K204="",G204=""),"",IF(G204&lt;=0,"",IFERROR(K204/G204-1,"")))</f>
        <v/>
      </c>
    </row>
    <row r="206">
      <c r="A206" s="18" t="inlineStr">
        <is>
          <t>부문 · 계</t>
        </is>
      </c>
      <c r="E206" s="20" t="n">
        <v>1605.64</v>
      </c>
      <c r="F206" s="20" t="n">
        <v>1159.21</v>
      </c>
      <c r="I206" s="20" t="n">
        <v>1705.874</v>
      </c>
      <c r="J206" s="20" t="n">
        <v>1472.39</v>
      </c>
      <c r="V206" s="20" t="n">
        <v>1159.21</v>
      </c>
      <c r="W206" s="20" t="n">
        <v>1472.39</v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I207" s="15">
        <f>IF(OR(I206="",E206=""),"",IF(E206&lt;=0,"",IFERROR(I206/E206-1,"")))</f>
        <v/>
      </c>
      <c r="J207" s="15">
        <f>IF(OR(J206="",F206=""),"",IF(F206&lt;=0,"",IFERROR(J206/F206-1,"")))</f>
        <v/>
      </c>
      <c r="V207" s="15">
        <f>IF(OR(V206="",U206=""),"",IF(U206&lt;=0,"",IFERROR(V206/U206-1,"")))</f>
        <v/>
      </c>
      <c r="W207" s="15">
        <f>IF(OR(W206="",V206=""),"",IF(V206&lt;=0,"",IFERROR(W206/V206-1,"")))</f>
        <v/>
      </c>
    </row>
    <row r="208">
      <c r="A208" s="18" t="inlineStr">
        <is>
          <t>부문 · 계</t>
        </is>
      </c>
      <c r="E208" s="20" t="n">
        <v>146.468</v>
      </c>
      <c r="I208" s="20" t="n">
        <v>146.495</v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I209" s="15">
        <f>IF(OR(I208="",E208=""),"",IF(E208&lt;=0,"",IFERROR(I208/E208-1,"")))</f>
        <v/>
      </c>
    </row>
    <row r="210">
      <c r="A210" s="18" t="inlineStr">
        <is>
          <t>해외 사업 · 계</t>
        </is>
      </c>
      <c r="C210" s="20" t="n">
        <v>337.279</v>
      </c>
      <c r="D210" s="20" t="n">
        <v>374.556</v>
      </c>
      <c r="E210" s="20" t="n">
        <v>374.348</v>
      </c>
      <c r="F210" s="20" t="n">
        <v>182.537</v>
      </c>
      <c r="G210" s="20" t="n">
        <v>382.372</v>
      </c>
      <c r="H210" s="20" t="n">
        <v>380.449</v>
      </c>
      <c r="I210" s="20" t="n">
        <v>394.45</v>
      </c>
      <c r="J210" s="20" t="n">
        <v>394.783</v>
      </c>
      <c r="K210" s="20" t="n">
        <v>413.668</v>
      </c>
      <c r="L210" s="20" t="n">
        <v>373.815</v>
      </c>
      <c r="V210" s="20" t="n">
        <v>182.537</v>
      </c>
      <c r="W210" s="20" t="n">
        <v>394.783</v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G211" s="15">
        <f>IF(OR(G210="",C210=""),"",IF(C210&lt;=0,"",IFERROR(G210/C210-1,"")))</f>
        <v/>
      </c>
      <c r="H211" s="15">
        <f>IF(OR(H210="",D210=""),"",IF(D210&lt;=0,"",IFERROR(H210/D210-1,"")))</f>
        <v/>
      </c>
      <c r="I211" s="15">
        <f>IF(OR(I210="",E210=""),"",IF(E210&lt;=0,"",IFERROR(I210/E210-1,"")))</f>
        <v/>
      </c>
      <c r="J211" s="15">
        <f>IF(OR(J210="",F210=""),"",IF(F210&lt;=0,"",IFERROR(J210/F210-1,"")))</f>
        <v/>
      </c>
      <c r="K211" s="15">
        <f>IF(OR(K210="",G210=""),"",IF(G210&lt;=0,"",IFERROR(K210/G210-1,"")))</f>
        <v/>
      </c>
      <c r="L211" s="15">
        <f>IF(OR(L210="",H210=""),"",IF(H210&lt;=0,"",IFERROR(L210/H210-1,"")))</f>
        <v/>
      </c>
      <c r="V211" s="15">
        <f>IF(OR(V210="",U210=""),"",IF(U210&lt;=0,"",IFERROR(V210/U210-1,"")))</f>
        <v/>
      </c>
      <c r="W211" s="15">
        <f>IF(OR(W210="",V210=""),"",IF(V210&lt;=0,"",IFERROR(W210/V210-1,"")))</f>
        <v/>
      </c>
    </row>
    <row r="212">
      <c r="A212" s="18" t="inlineStr">
        <is>
          <t>보고부문 합계 · 계</t>
        </is>
      </c>
      <c r="C212" s="20" t="n">
        <v>2253.149</v>
      </c>
      <c r="D212" s="20" t="n">
        <v>2362.078</v>
      </c>
      <c r="E212" s="20" t="n">
        <v>2126.456</v>
      </c>
      <c r="F212" s="20" t="n">
        <v>1516.193</v>
      </c>
      <c r="G212" s="20" t="n">
        <v>2198.501</v>
      </c>
      <c r="H212" s="20" t="n">
        <v>2336.27</v>
      </c>
      <c r="I212" s="20" t="n">
        <v>2246.82</v>
      </c>
      <c r="J212" s="20" t="n">
        <v>2019.403</v>
      </c>
      <c r="K212" s="20" t="n">
        <v>2346.859</v>
      </c>
      <c r="L212" s="20" t="n">
        <v>2450.728</v>
      </c>
      <c r="V212" s="20" t="n">
        <v>1516.193</v>
      </c>
      <c r="W212" s="20" t="n">
        <v>2019.403</v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IF(OR(G212="",C212=""),"",IF(C212&lt;=0,"",IFERROR(G212/C212-1,"")))</f>
        <v/>
      </c>
      <c r="H213" s="15">
        <f>IF(OR(H212="",D212=""),"",IF(D212&lt;=0,"",IFERROR(H212/D212-1,"")))</f>
        <v/>
      </c>
      <c r="I213" s="15">
        <f>IF(OR(I212="",E212=""),"",IF(E212&lt;=0,"",IFERROR(I212/E212-1,"")))</f>
        <v/>
      </c>
      <c r="J213" s="15">
        <f>IF(OR(J212="",F212=""),"",IF(F212&lt;=0,"",IFERROR(J212/F212-1,"")))</f>
        <v/>
      </c>
      <c r="K213" s="15">
        <f>IF(OR(K212="",G212=""),"",IF(G212&lt;=0,"",IFERROR(K212/G212-1,"")))</f>
        <v/>
      </c>
      <c r="L213" s="15">
        <f>IF(OR(L212="",H212=""),"",IF(H212&lt;=0,"",IFERROR(L212/H212-1,"")))</f>
        <v/>
      </c>
      <c r="V213" s="15">
        <f>IF(OR(V212="",U212=""),"",IF(U212&lt;=0,"",IFERROR(V212/U212-1,"")))</f>
        <v/>
      </c>
      <c r="W213" s="15">
        <f>IF(OR(W212="",V212=""),"",IF(V212&lt;=0,"",IFERROR(W212/V212-1,"")))</f>
        <v/>
      </c>
    </row>
    <row r="214">
      <c r="A214" s="18" t="inlineStr">
        <is>
          <t>조정액 · 계</t>
        </is>
      </c>
      <c r="C214" s="20" t="n">
        <v>-167.391</v>
      </c>
      <c r="D214" s="20" t="n">
        <v>-154.162</v>
      </c>
      <c r="E214" s="20" t="n">
        <v>-134.384</v>
      </c>
      <c r="F214" s="20" t="n">
        <v>-178.147</v>
      </c>
      <c r="G214" s="20" t="n">
        <v>-117.775</v>
      </c>
      <c r="H214" s="20" t="n">
        <v>-110.136</v>
      </c>
      <c r="I214" s="20" t="n">
        <v>-92.304</v>
      </c>
      <c r="J214" s="20" t="n">
        <v>-247.329</v>
      </c>
      <c r="K214" s="20" t="n">
        <v>-96.31100000000001</v>
      </c>
      <c r="L214" s="20" t="n">
        <v>-87.938</v>
      </c>
      <c r="V214" s="20" t="n">
        <v>-178.147</v>
      </c>
      <c r="W214" s="20" t="n">
        <v>-247.329</v>
      </c>
    </row>
    <row r="215">
      <c r="A215" s="18" t="inlineStr">
        <is>
          <t>계</t>
        </is>
      </c>
      <c r="C215" s="20" t="n">
        <v>2085.757</v>
      </c>
      <c r="D215" s="20" t="n">
        <v>2207.916</v>
      </c>
      <c r="E215" s="20" t="n">
        <v>1992.072</v>
      </c>
      <c r="F215" s="20" t="n">
        <v>1338.047</v>
      </c>
      <c r="G215" s="20" t="n">
        <v>2080.726</v>
      </c>
      <c r="H215" s="20" t="n">
        <v>2226.133</v>
      </c>
      <c r="I215" s="20" t="n">
        <v>2154.516</v>
      </c>
      <c r="J215" s="20" t="n">
        <v>1772.074</v>
      </c>
      <c r="K215" s="20" t="n">
        <v>2250.548</v>
      </c>
      <c r="L215" s="20" t="n">
        <v>2362.789</v>
      </c>
      <c r="V215" s="20" t="n">
        <v>1338.047</v>
      </c>
      <c r="W215" s="20" t="n">
        <v>1772.074</v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IF(OR(G215="",C215=""),"",IF(C215&lt;=0,"",IFERROR(G215/C215-1,"")))</f>
        <v/>
      </c>
      <c r="H216" s="15">
        <f>IF(OR(H215="",D215=""),"",IF(D215&lt;=0,"",IFERROR(H215/D215-1,"")))</f>
        <v/>
      </c>
      <c r="I216" s="15">
        <f>IF(OR(I215="",E215=""),"",IF(E215&lt;=0,"",IFERROR(I215/E215-1,"")))</f>
        <v/>
      </c>
      <c r="J216" s="15">
        <f>IF(OR(J215="",F215=""),"",IF(F215&lt;=0,"",IFERROR(J215/F215-1,"")))</f>
        <v/>
      </c>
      <c r="K216" s="15">
        <f>IF(OR(K215="",G215=""),"",IF(G215&lt;=0,"",IFERROR(K215/G215-1,"")))</f>
        <v/>
      </c>
      <c r="L216" s="15">
        <f>IF(OR(L215="",H215=""),"",IF(H215&lt;=0,"",IFERROR(L215/H215-1,"")))</f>
        <v/>
      </c>
      <c r="V216" s="15">
        <f>IF(OR(V215="",U215=""),"",IF(U215&lt;=0,"",IFERROR(V215/U215-1,"")))</f>
        <v/>
      </c>
      <c r="W216" s="15">
        <f>IF(OR(W215="",V215=""),"",IF(V215&lt;=0,"",IFERROR(W215/V215-1,"")))</f>
        <v/>
      </c>
    </row>
    <row r="217">
      <c r="A217" s="18" t="inlineStr">
        <is>
          <t>부문 · 부문 이익(손실)</t>
        </is>
      </c>
      <c r="C217" s="20" t="n">
        <v>219.537</v>
      </c>
      <c r="G217" s="20" t="n">
        <v>175.849</v>
      </c>
      <c r="K217" s="20" t="n">
        <v>143.844</v>
      </c>
    </row>
    <row r="218">
      <c r="A218" s="18" t="inlineStr">
        <is>
          <t>부문 · 부문 이익(손실)</t>
        </is>
      </c>
      <c r="C218" s="20" t="n">
        <v>-2.075</v>
      </c>
      <c r="G218" s="20" t="n">
        <v>-4.526</v>
      </c>
      <c r="K218" s="20" t="n">
        <v>-3.52</v>
      </c>
    </row>
    <row r="219">
      <c r="A219" s="18" t="inlineStr">
        <is>
          <t>부문 · 부문 이익</t>
        </is>
      </c>
      <c r="E219" s="20" t="n">
        <v>174.481</v>
      </c>
      <c r="F219" s="20" t="n">
        <v>20.823</v>
      </c>
      <c r="I219" s="20" t="n">
        <v>103.745</v>
      </c>
      <c r="J219" s="20" t="n">
        <v>289.934</v>
      </c>
      <c r="V219" s="20" t="n">
        <v>20.823</v>
      </c>
      <c r="W219" s="20" t="n">
        <v>289.934</v>
      </c>
    </row>
    <row r="220">
      <c r="A220" s="18" t="inlineStr">
        <is>
          <t>부문 · 부문 이익</t>
        </is>
      </c>
      <c r="E220" s="20" t="n">
        <v>0.68</v>
      </c>
      <c r="I220" s="20" t="n">
        <v>-0.257</v>
      </c>
    </row>
    <row r="221">
      <c r="A221" s="18" t="inlineStr">
        <is>
          <t>해외 사업 · 부문 이익</t>
        </is>
      </c>
      <c r="C221" s="20" t="n">
        <v>107.079</v>
      </c>
      <c r="D221" s="20" t="n">
        <v>109.278</v>
      </c>
      <c r="E221" s="20" t="n">
        <v>102.991</v>
      </c>
      <c r="F221" s="20" t="n">
        <v>59.606</v>
      </c>
      <c r="G221" s="20" t="n">
        <v>100.081</v>
      </c>
      <c r="H221" s="20" t="n">
        <v>101.123</v>
      </c>
      <c r="I221" s="20" t="n">
        <v>91.071</v>
      </c>
      <c r="J221" s="20" t="n">
        <v>128.613</v>
      </c>
      <c r="K221" s="20" t="n">
        <v>109.549</v>
      </c>
      <c r="L221" s="20" t="n">
        <v>83.247</v>
      </c>
      <c r="V221" s="20" t="n">
        <v>59.606</v>
      </c>
      <c r="W221" s="20" t="n">
        <v>128.613</v>
      </c>
    </row>
    <row r="222">
      <c r="A222" s="18" t="inlineStr">
        <is>
          <t>보고부문 합계 · 부문 이익</t>
        </is>
      </c>
      <c r="C222" s="20" t="n">
        <v>324.541</v>
      </c>
      <c r="D222" s="20" t="n">
        <v>381.568</v>
      </c>
      <c r="E222" s="20" t="n">
        <v>278.15</v>
      </c>
      <c r="F222" s="20" t="n">
        <v>36.542</v>
      </c>
      <c r="G222" s="20" t="n">
        <v>271.404</v>
      </c>
      <c r="H222" s="20" t="n">
        <v>303.594</v>
      </c>
      <c r="I222" s="20" t="n">
        <v>194.559</v>
      </c>
      <c r="J222" s="20" t="n">
        <v>412.175</v>
      </c>
      <c r="K222" s="20" t="n">
        <v>249.872</v>
      </c>
      <c r="L222" s="20" t="n">
        <v>311.854</v>
      </c>
      <c r="V222" s="20" t="n">
        <v>36.542</v>
      </c>
      <c r="W222" s="20" t="n">
        <v>412.175</v>
      </c>
    </row>
    <row r="223">
      <c r="A223" s="18" t="inlineStr">
        <is>
          <t>조정액 · 부문 이익</t>
        </is>
      </c>
      <c r="C223" s="20" t="n">
        <v>-102.778</v>
      </c>
      <c r="D223" s="20" t="n">
        <v>-181.301</v>
      </c>
      <c r="E223" s="20" t="n">
        <v>-191.767</v>
      </c>
      <c r="F223" s="20" t="n">
        <v>-179.286</v>
      </c>
      <c r="G223" s="20" t="n">
        <v>-126.017</v>
      </c>
      <c r="H223" s="20" t="n">
        <v>-203.836</v>
      </c>
      <c r="I223" s="20" t="n">
        <v>-200.772</v>
      </c>
      <c r="J223" s="20" t="n">
        <v>-187.62</v>
      </c>
      <c r="K223" s="20" t="n">
        <v>-109.336</v>
      </c>
      <c r="L223" s="20" t="n">
        <v>-209.409</v>
      </c>
      <c r="V223" s="20" t="n">
        <v>-179.286</v>
      </c>
      <c r="W223" s="20" t="n">
        <v>-187.62</v>
      </c>
    </row>
    <row r="224">
      <c r="A224" s="9" t="inlineStr">
        <is>
          <t>부문 이익</t>
        </is>
      </c>
      <c r="C224" s="12" t="n">
        <v>221.763</v>
      </c>
      <c r="D224" s="12" t="n">
        <v>200.267</v>
      </c>
      <c r="E224" s="12" t="n">
        <v>86.383</v>
      </c>
      <c r="F224" s="12" t="n">
        <v>-142.744</v>
      </c>
      <c r="G224" s="12" t="n">
        <v>145.387</v>
      </c>
      <c r="H224" s="12" t="n">
        <v>99.75700000000001</v>
      </c>
      <c r="I224" s="12" t="n">
        <v>-6.213</v>
      </c>
      <c r="J224" s="12" t="n">
        <v>224.556</v>
      </c>
      <c r="K224" s="12" t="n">
        <v>140.536</v>
      </c>
      <c r="L224" s="12" t="n">
        <v>102.444</v>
      </c>
      <c r="V224" s="12" t="n">
        <v>-142.744</v>
      </c>
      <c r="W224" s="12" t="n">
        <v>224.556</v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G225" s="15">
        <f>IF(OR(G224="",C224=""),"",IF(C224&lt;=0,"",IFERROR(G224/C224-1,"")))</f>
        <v/>
      </c>
      <c r="H225" s="15">
        <f>IF(OR(H224="",D224=""),"",IF(D224&lt;=0,"",IFERROR(H224/D224-1,"")))</f>
        <v/>
      </c>
      <c r="I225" s="15">
        <f>IF(OR(I224="",E224=""),"",IF(E224&lt;=0,"",IFERROR(I224/E224-1,"")))</f>
        <v/>
      </c>
      <c r="J225" s="15">
        <f>IF(OR(J224="",F224=""),"",IF(F224&lt;=0,"",IFERROR(J224/F224-1,"")))</f>
        <v/>
      </c>
      <c r="K225" s="15">
        <f>IF(OR(K224="",G224=""),"",IF(G224&lt;=0,"",IFERROR(K224/G224-1,"")))</f>
        <v/>
      </c>
      <c r="L225" s="15">
        <f>IF(OR(L224="",H224=""),"",IF(H224&lt;=0,"",IFERROR(L224/H224-1,"")))</f>
        <v/>
      </c>
      <c r="V225" s="15">
        <f>IF(OR(V224="",U224=""),"",IF(U224&lt;=0,"",IFERROR(V224/U224-1,"")))</f>
        <v/>
      </c>
      <c r="W225" s="15">
        <f>IF(OR(W224="",V224=""),"",IF(V224&lt;=0,"",IFERROR(W224/V224-1,"")))</f>
        <v/>
      </c>
    </row>
    <row r="226">
      <c r="A226" s="18" t="inlineStr">
        <is>
          <t>부문 · Revenues From External Customers</t>
        </is>
      </c>
      <c r="C226" s="20" t="n">
        <v>1611.648</v>
      </c>
      <c r="G226" s="20" t="n">
        <v>1583.721</v>
      </c>
      <c r="K226" s="20" t="n">
        <v>1706.824</v>
      </c>
    </row>
    <row r="227">
      <c r="A227" s="43" t="inlineStr">
        <is>
          <t>YoY</t>
        </is>
      </c>
      <c r="B227" s="3" t="inlineStr">
        <is>
          <t>전년 같은 분기·전년 대비</t>
        </is>
      </c>
      <c r="G227" s="15">
        <f>IF(OR(G226="",C226=""),"",IF(C226&lt;=0,"",IFERROR(G226/C226-1,"")))</f>
        <v/>
      </c>
      <c r="K227" s="15">
        <f>IF(OR(K226="",G226=""),"",IF(G226&lt;=0,"",IFERROR(K226/G226-1,"")))</f>
        <v/>
      </c>
    </row>
    <row r="228">
      <c r="A228" s="18" t="inlineStr">
        <is>
          <t>부문 · Revenues From External Customers</t>
        </is>
      </c>
      <c r="C228" s="20" t="n">
        <v>163.594</v>
      </c>
      <c r="G228" s="20" t="n">
        <v>142.07</v>
      </c>
      <c r="K228" s="20" t="n">
        <v>133.743</v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IF(OR(G228="",C228=""),"",IF(C228&lt;=0,"",IFERROR(G228/C228-1,"")))</f>
        <v/>
      </c>
      <c r="K229" s="15">
        <f>IF(OR(K228="",G228=""),"",IF(G228&lt;=0,"",IFERROR(K228/G228-1,"")))</f>
        <v/>
      </c>
    </row>
    <row r="231">
      <c r="A231" s="16" t="inlineStr">
        <is>
          <t>현금흐름표 · 전 항목</t>
        </is>
      </c>
      <c r="B231" s="42" t="inlineStr">
        <is>
          <t>분기 = 결산기 첫날부터 누계(공시 그대로)</t>
        </is>
      </c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</row>
    <row r="232">
      <c r="A232" s="5" t="inlineStr">
        <is>
          <t>항목</t>
        </is>
      </c>
      <c r="B232" s="5" t="inlineStr">
        <is>
          <t>참고</t>
        </is>
      </c>
      <c r="C232" s="5" t="inlineStr">
        <is>
          <t>2025.1Q</t>
        </is>
      </c>
      <c r="D232" s="5" t="inlineStr">
        <is>
          <t>2025.2Q</t>
        </is>
      </c>
      <c r="E232" s="5" t="inlineStr">
        <is>
          <t>2025.3Q</t>
        </is>
      </c>
      <c r="F232" s="5" t="inlineStr">
        <is>
          <t>2025.4Q</t>
        </is>
      </c>
      <c r="G232" s="5" t="inlineStr">
        <is>
          <t>2026.1Q</t>
        </is>
      </c>
      <c r="H232" s="5" t="inlineStr">
        <is>
          <t>2026.2Q</t>
        </is>
      </c>
      <c r="I232" s="5" t="inlineStr">
        <is>
          <t>2026.3Q</t>
        </is>
      </c>
      <c r="J232" s="5" t="inlineStr">
        <is>
          <t>2026.4Q</t>
        </is>
      </c>
      <c r="K232" s="5" t="inlineStr">
        <is>
          <t>2027.1Q</t>
        </is>
      </c>
      <c r="L232" s="5" t="inlineStr">
        <is>
          <t>2027.2Q</t>
        </is>
      </c>
      <c r="M232" s="5" t="inlineStr">
        <is>
          <t>2027.3Q</t>
        </is>
      </c>
      <c r="N232" s="5" t="inlineStr">
        <is>
          <t>2027.4Q</t>
        </is>
      </c>
      <c r="O232" s="5" t="inlineStr">
        <is>
          <t>2018</t>
        </is>
      </c>
      <c r="P232" s="5" t="inlineStr">
        <is>
          <t>2019</t>
        </is>
      </c>
      <c r="Q232" s="5" t="inlineStr">
        <is>
          <t>2020</t>
        </is>
      </c>
      <c r="R232" s="5" t="inlineStr">
        <is>
          <t>2021</t>
        </is>
      </c>
      <c r="S232" s="5" t="inlineStr">
        <is>
          <t>2022</t>
        </is>
      </c>
      <c r="T232" s="5" t="inlineStr">
        <is>
          <t>2023</t>
        </is>
      </c>
      <c r="U232" s="5" t="inlineStr">
        <is>
          <t>2024</t>
        </is>
      </c>
      <c r="V232" s="5" t="inlineStr">
        <is>
          <t>2025</t>
        </is>
      </c>
      <c r="W232" s="5" t="inlineStr">
        <is>
          <t>2026</t>
        </is>
      </c>
      <c r="X232" s="5" t="inlineStr">
        <is>
          <t>2027</t>
        </is>
      </c>
      <c r="Y232" s="5" t="inlineStr">
        <is>
          <t>2028(MW)</t>
        </is>
      </c>
      <c r="Z232" s="5" t="inlineStr">
        <is>
          <t>2029(MW)</t>
        </is>
      </c>
      <c r="AA232" s="5" t="inlineStr">
        <is>
          <t>2030(MW)</t>
        </is>
      </c>
      <c r="AB232" s="5" t="inlineStr">
        <is>
          <t>2031(MW)</t>
        </is>
      </c>
      <c r="AC232" s="5" t="inlineStr">
        <is>
          <t>2032(MW)</t>
        </is>
      </c>
    </row>
    <row r="233">
      <c r="A233" s="9" t="inlineStr">
        <is>
          <t>법인세차감전 순이익</t>
        </is>
      </c>
      <c r="F233" s="12" t="n">
        <v>206.11</v>
      </c>
      <c r="J233" s="12" t="n">
        <v>437.78</v>
      </c>
      <c r="N233" s="12" t="n">
        <v>201.9</v>
      </c>
      <c r="O233" s="12" t="n">
        <v>913.42</v>
      </c>
      <c r="P233" s="12" t="n">
        <v>396.455</v>
      </c>
      <c r="Q233" s="12" t="n">
        <v>356.889</v>
      </c>
      <c r="R233" s="12" t="n">
        <v>209.967</v>
      </c>
      <c r="S233" s="12" t="n">
        <v>-770.391</v>
      </c>
      <c r="T233" s="12" t="n">
        <v>-159.694</v>
      </c>
      <c r="U233" s="12" t="n">
        <v>137.514</v>
      </c>
      <c r="V233" s="12" t="n">
        <v>206.11</v>
      </c>
      <c r="W233" s="12" t="n">
        <v>437.78</v>
      </c>
      <c r="X233" s="12" t="n">
        <v>201.9</v>
      </c>
    </row>
    <row r="234">
      <c r="A234" s="18" t="inlineStr">
        <is>
          <t>감가상각비</t>
        </is>
      </c>
      <c r="F234" s="20" t="n">
        <v>194.269</v>
      </c>
      <c r="J234" s="20" t="n">
        <v>221.627</v>
      </c>
      <c r="N234" s="20" t="n">
        <v>293.44</v>
      </c>
      <c r="O234" s="20" t="n">
        <v>180.635</v>
      </c>
      <c r="P234" s="20" t="n">
        <v>209.648</v>
      </c>
      <c r="Q234" s="20" t="n">
        <v>244.845</v>
      </c>
      <c r="R234" s="20" t="n">
        <v>254.919</v>
      </c>
      <c r="S234" s="20" t="n">
        <v>258.347</v>
      </c>
      <c r="T234" s="20" t="n">
        <v>215.197</v>
      </c>
      <c r="U234" s="20" t="n">
        <v>214.559</v>
      </c>
      <c r="V234" s="20" t="n">
        <v>194.269</v>
      </c>
      <c r="W234" s="20" t="n">
        <v>221.627</v>
      </c>
      <c r="X234" s="20" t="n">
        <v>293.44</v>
      </c>
    </row>
    <row r="235">
      <c r="A235" s="18" t="inlineStr">
        <is>
          <t>외환차손익</t>
        </is>
      </c>
      <c r="F235" s="20" t="n">
        <v>-2.627</v>
      </c>
      <c r="J235" s="20" t="n">
        <v>-11</v>
      </c>
      <c r="N235" s="20" t="n">
        <v>-10.687</v>
      </c>
      <c r="O235" s="20" t="n">
        <v>-2.471</v>
      </c>
      <c r="P235" s="20" t="n">
        <v>-0.114</v>
      </c>
      <c r="Q235" s="20" t="n">
        <v>0.294</v>
      </c>
      <c r="R235" s="20" t="n">
        <v>3.527</v>
      </c>
      <c r="S235" s="20" t="n">
        <v>-2.188</v>
      </c>
      <c r="T235" s="20" t="n">
        <v>-1.658</v>
      </c>
      <c r="U235" s="20" t="n">
        <v>-6.631</v>
      </c>
      <c r="V235" s="20" t="n">
        <v>-2.627</v>
      </c>
      <c r="W235" s="20" t="n">
        <v>-11</v>
      </c>
      <c r="X235" s="20" t="n">
        <v>-10.687</v>
      </c>
    </row>
    <row r="236">
      <c r="A236" s="18" t="inlineStr">
        <is>
          <t>지분법손익</t>
        </is>
      </c>
      <c r="F236" s="20" t="n">
        <v>-27.045</v>
      </c>
      <c r="J236" s="20" t="n">
        <v>-49.887</v>
      </c>
      <c r="N236" s="20" t="n">
        <v>-43.042</v>
      </c>
      <c r="O236" s="20" t="n">
        <v>0.771</v>
      </c>
      <c r="P236" s="20" t="n">
        <v>8.007</v>
      </c>
      <c r="Q236" s="20" t="n">
        <v>-9.843999999999999</v>
      </c>
      <c r="R236" s="20" t="n">
        <v>-10.633</v>
      </c>
      <c r="S236" s="20" t="n">
        <v>-5.074</v>
      </c>
      <c r="T236" s="20" t="n">
        <v>-7.911</v>
      </c>
      <c r="U236" s="20" t="n">
        <v>-10.485</v>
      </c>
      <c r="V236" s="20" t="n">
        <v>-27.045</v>
      </c>
      <c r="W236" s="20" t="n">
        <v>-49.887</v>
      </c>
      <c r="X236" s="20" t="n">
        <v>-43.042</v>
      </c>
    </row>
    <row r="237">
      <c r="A237" s="18" t="inlineStr">
        <is>
          <t>손상차손</t>
        </is>
      </c>
      <c r="F237" s="20" t="n">
        <v>70.634</v>
      </c>
      <c r="J237" s="20" t="n">
        <v>27.637</v>
      </c>
      <c r="N237" s="20" t="n">
        <v>5.997</v>
      </c>
      <c r="O237" s="20" t="n">
        <v>38.311</v>
      </c>
      <c r="P237" s="20" t="n">
        <v>0</v>
      </c>
      <c r="Q237" s="20" t="n">
        <v>62.722</v>
      </c>
      <c r="R237" s="20" t="n">
        <v>80.45</v>
      </c>
      <c r="S237" s="20" t="n">
        <v>240.635</v>
      </c>
      <c r="T237" s="20" t="n">
        <v>93.14400000000001</v>
      </c>
      <c r="U237" s="20" t="n">
        <v>56.445</v>
      </c>
      <c r="V237" s="20" t="n">
        <v>70.634</v>
      </c>
      <c r="W237" s="20" t="n">
        <v>27.637</v>
      </c>
      <c r="X237" s="20" t="n">
        <v>5.997</v>
      </c>
    </row>
    <row r="238">
      <c r="A238" s="18" t="inlineStr">
        <is>
          <t>고정자산 압축손실</t>
        </is>
      </c>
      <c r="F238" s="20" t="n">
        <v>1.9</v>
      </c>
      <c r="J238" s="20" t="n">
        <v>0</v>
      </c>
      <c r="T238" s="20" t="n">
        <v>0</v>
      </c>
      <c r="U238" s="20" t="n">
        <v>0.361</v>
      </c>
      <c r="V238" s="20" t="n">
        <v>1.9</v>
      </c>
      <c r="W238" s="20" t="n">
        <v>0</v>
      </c>
    </row>
    <row r="239">
      <c r="A239" s="18" t="inlineStr">
        <is>
          <t>투자유가증권 평가손익</t>
        </is>
      </c>
      <c r="F239" s="20" t="n">
        <v>0</v>
      </c>
      <c r="T239" s="20" t="n">
        <v>0</v>
      </c>
      <c r="U239" s="20" t="n">
        <v>20.115</v>
      </c>
      <c r="V239" s="20" t="n">
        <v>0</v>
      </c>
    </row>
    <row r="240">
      <c r="A240" s="18" t="inlineStr">
        <is>
          <t>상여충당금 증감</t>
        </is>
      </c>
      <c r="F240" s="20" t="n">
        <v>23.354</v>
      </c>
      <c r="J240" s="20" t="n">
        <v>-19.391</v>
      </c>
      <c r="N240" s="20" t="n">
        <v>15.836</v>
      </c>
      <c r="O240" s="20" t="n">
        <v>2.685</v>
      </c>
      <c r="P240" s="20" t="n">
        <v>3.926</v>
      </c>
      <c r="Q240" s="20" t="n">
        <v>3.322</v>
      </c>
      <c r="R240" s="20" t="n">
        <v>1.666</v>
      </c>
      <c r="S240" s="20" t="n">
        <v>-2.338</v>
      </c>
      <c r="T240" s="20" t="n">
        <v>-9.016999999999999</v>
      </c>
      <c r="U240" s="20" t="n">
        <v>-1.822</v>
      </c>
      <c r="V240" s="20" t="n">
        <v>23.354</v>
      </c>
      <c r="W240" s="20" t="n">
        <v>-19.391</v>
      </c>
      <c r="X240" s="20" t="n">
        <v>15.836</v>
      </c>
    </row>
    <row r="241">
      <c r="A241" s="18" t="inlineStr">
        <is>
          <t>임원 주식급여 충당금 증감</t>
        </is>
      </c>
      <c r="F241" s="20" t="n">
        <v>17.406</v>
      </c>
      <c r="P241" s="20" t="n">
        <v>0</v>
      </c>
      <c r="Q241" s="20" t="n">
        <v>11.731</v>
      </c>
      <c r="R241" s="20" t="n">
        <v>15.642</v>
      </c>
      <c r="S241" s="20" t="n">
        <v>16.698</v>
      </c>
      <c r="T241" s="20" t="n">
        <v>11.835</v>
      </c>
      <c r="U241" s="20" t="n">
        <v>12.241</v>
      </c>
      <c r="V241" s="20" t="n">
        <v>17.406</v>
      </c>
    </row>
    <row r="242">
      <c r="A242" s="18" t="inlineStr">
        <is>
          <t>직원 주식급여 충당금 증감</t>
        </is>
      </c>
      <c r="Q242" s="20" t="n">
        <v>0</v>
      </c>
      <c r="R242" s="20" t="n">
        <v>10.106</v>
      </c>
    </row>
    <row r="243">
      <c r="A243" s="18" t="inlineStr">
        <is>
          <t>임원 주식급여 충당금 증감</t>
        </is>
      </c>
      <c r="F243" s="20" t="n">
        <v>17.406</v>
      </c>
      <c r="J243" s="20" t="n">
        <v>-28.756</v>
      </c>
      <c r="N243" s="20" t="n">
        <v>11.317</v>
      </c>
      <c r="V243" s="20" t="n">
        <v>17.406</v>
      </c>
      <c r="W243" s="20" t="n">
        <v>-28.756</v>
      </c>
      <c r="X243" s="20" t="n">
        <v>11.317</v>
      </c>
    </row>
    <row r="244">
      <c r="A244" s="18" t="inlineStr">
        <is>
          <t>직원 주식급여 충당금 증감</t>
        </is>
      </c>
      <c r="F244" s="20" t="n">
        <v>8.766999999999999</v>
      </c>
      <c r="J244" s="20" t="n">
        <v>9.763999999999999</v>
      </c>
      <c r="N244" s="20" t="n">
        <v>22.427</v>
      </c>
      <c r="R244" s="20" t="n">
        <v>10.106</v>
      </c>
      <c r="S244" s="20" t="n">
        <v>10.11</v>
      </c>
      <c r="T244" s="20" t="n">
        <v>7.535</v>
      </c>
      <c r="U244" s="20" t="n">
        <v>5.865</v>
      </c>
      <c r="V244" s="20" t="n">
        <v>8.766999999999999</v>
      </c>
      <c r="W244" s="20" t="n">
        <v>9.763999999999999</v>
      </c>
      <c r="X244" s="20" t="n">
        <v>22.427</v>
      </c>
    </row>
    <row r="245">
      <c r="A245" s="18" t="inlineStr">
        <is>
          <t>대손충당금 증감</t>
        </is>
      </c>
      <c r="F245" s="20" t="n">
        <v>0.19</v>
      </c>
      <c r="J245" s="20" t="n">
        <v>-0.185</v>
      </c>
      <c r="N245" s="20" t="n">
        <v>-0.13</v>
      </c>
      <c r="O245" s="20" t="n">
        <v>-1.202</v>
      </c>
      <c r="P245" s="20" t="n">
        <v>-1.348</v>
      </c>
      <c r="Q245" s="20" t="n">
        <v>-0.893</v>
      </c>
      <c r="R245" s="20" t="n">
        <v>1.236</v>
      </c>
      <c r="S245" s="20" t="n">
        <v>-1.086</v>
      </c>
      <c r="T245" s="20" t="n">
        <v>-1.096</v>
      </c>
      <c r="U245" s="20" t="n">
        <v>0.286</v>
      </c>
      <c r="V245" s="20" t="n">
        <v>0.19</v>
      </c>
      <c r="W245" s="20" t="n">
        <v>-0.185</v>
      </c>
      <c r="X245" s="20" t="n">
        <v>-0.13</v>
      </c>
    </row>
    <row r="246">
      <c r="A246" s="18" t="inlineStr">
        <is>
          <t>임원 상여충당금 증감</t>
        </is>
      </c>
      <c r="F246" s="20" t="n">
        <v>0</v>
      </c>
      <c r="J246" s="20" t="n">
        <v>16</v>
      </c>
      <c r="N246" s="20" t="n">
        <v>-16</v>
      </c>
      <c r="O246" s="20" t="n">
        <v>-5</v>
      </c>
      <c r="P246" s="20" t="n">
        <v>-10</v>
      </c>
      <c r="Q246" s="20" t="n">
        <v>0</v>
      </c>
      <c r="R246" s="20" t="n">
        <v>-15</v>
      </c>
      <c r="S246" s="20" t="n">
        <v>0</v>
      </c>
      <c r="V246" s="20" t="n">
        <v>0</v>
      </c>
      <c r="W246" s="20" t="n">
        <v>16</v>
      </c>
      <c r="X246" s="20" t="n">
        <v>-16</v>
      </c>
    </row>
    <row r="247">
      <c r="A247" s="18" t="inlineStr">
        <is>
          <t>점포 폐쇄 손실 충당금 증감액(△는 감소)</t>
        </is>
      </c>
      <c r="F247" s="20" t="n">
        <v>-2.882</v>
      </c>
      <c r="J247" s="20" t="n">
        <v>-1.386</v>
      </c>
      <c r="N247" s="20" t="n">
        <v>0</v>
      </c>
      <c r="R247" s="20" t="n">
        <v>0</v>
      </c>
      <c r="S247" s="20" t="n">
        <v>1.92</v>
      </c>
      <c r="T247" s="20" t="n">
        <v>-1.92</v>
      </c>
      <c r="U247" s="20" t="n">
        <v>4.268</v>
      </c>
      <c r="V247" s="20" t="n">
        <v>-2.882</v>
      </c>
      <c r="W247" s="20" t="n">
        <v>-1.386</v>
      </c>
      <c r="X247" s="20" t="n">
        <v>0</v>
      </c>
    </row>
    <row r="248">
      <c r="A248" s="18" t="inlineStr">
        <is>
          <t>Increase Decrease In Provision For Loss On Taking Back Equipments Ope CF</t>
        </is>
      </c>
      <c r="F248" s="20" t="n">
        <v>39.84</v>
      </c>
      <c r="J248" s="20" t="n">
        <v>-39.84</v>
      </c>
      <c r="N248" s="20" t="n">
        <v>0</v>
      </c>
      <c r="U248" s="20" t="n">
        <v>0</v>
      </c>
      <c r="V248" s="20" t="n">
        <v>39.84</v>
      </c>
      <c r="W248" s="20" t="n">
        <v>-39.84</v>
      </c>
      <c r="X248" s="20" t="n">
        <v>0</v>
      </c>
    </row>
    <row r="249">
      <c r="A249" s="18" t="inlineStr">
        <is>
          <t>이자·배당금 수익</t>
        </is>
      </c>
      <c r="F249" s="20" t="n">
        <v>-64.95699999999999</v>
      </c>
      <c r="J249" s="20" t="n">
        <v>-94.702</v>
      </c>
      <c r="N249" s="20" t="n">
        <v>-116.701</v>
      </c>
      <c r="O249" s="20" t="n">
        <v>-89.06100000000001</v>
      </c>
      <c r="P249" s="20" t="n">
        <v>-91.456</v>
      </c>
      <c r="Q249" s="20" t="n">
        <v>-93.794</v>
      </c>
      <c r="R249" s="20" t="n">
        <v>-68.74299999999999</v>
      </c>
      <c r="S249" s="20" t="n">
        <v>-48.203</v>
      </c>
      <c r="T249" s="20" t="n">
        <v>-25.918</v>
      </c>
      <c r="U249" s="20" t="n">
        <v>-17.178</v>
      </c>
      <c r="V249" s="20" t="n">
        <v>-64.95699999999999</v>
      </c>
      <c r="W249" s="20" t="n">
        <v>-94.702</v>
      </c>
      <c r="X249" s="20" t="n">
        <v>-116.701</v>
      </c>
    </row>
    <row r="250">
      <c r="A250" s="18" t="inlineStr">
        <is>
          <t>이자비용</t>
        </is>
      </c>
      <c r="F250" s="20" t="n">
        <v>1.301</v>
      </c>
      <c r="J250" s="20" t="n">
        <v>5.777</v>
      </c>
      <c r="N250" s="20" t="n">
        <v>4.432</v>
      </c>
      <c r="O250" s="20" t="n">
        <v>0.797</v>
      </c>
      <c r="P250" s="20" t="n">
        <v>0.423</v>
      </c>
      <c r="Q250" s="20" t="n">
        <v>0.181</v>
      </c>
      <c r="R250" s="20" t="n">
        <v>0.186</v>
      </c>
      <c r="S250" s="20" t="n">
        <v>3.112</v>
      </c>
      <c r="T250" s="20" t="n">
        <v>4.078</v>
      </c>
      <c r="U250" s="20" t="n">
        <v>2.866</v>
      </c>
      <c r="V250" s="20" t="n">
        <v>1.301</v>
      </c>
      <c r="W250" s="20" t="n">
        <v>5.777</v>
      </c>
      <c r="X250" s="20" t="n">
        <v>4.432</v>
      </c>
    </row>
    <row r="251">
      <c r="A251" s="18" t="inlineStr">
        <is>
          <t>투자유가증권 매각손익</t>
        </is>
      </c>
      <c r="O251" s="20" t="n">
        <v>-421.199</v>
      </c>
      <c r="P251" s="20" t="n">
        <v>0</v>
      </c>
    </row>
    <row r="252">
      <c r="A252" s="18" t="inlineStr">
        <is>
          <t>고용조정 보조금</t>
        </is>
      </c>
      <c r="R252" s="20" t="n">
        <v>0</v>
      </c>
      <c r="S252" s="20" t="n">
        <v>-54.908</v>
      </c>
    </row>
    <row r="253">
      <c r="A253" s="18" t="inlineStr">
        <is>
          <t>고용조정 보조금</t>
        </is>
      </c>
      <c r="S253" s="20" t="n">
        <v>-54.908</v>
      </c>
      <c r="T253" s="20" t="n">
        <v>0</v>
      </c>
    </row>
    <row r="254">
      <c r="A254" s="18" t="inlineStr">
        <is>
          <t>Cooperation Money Income Ope CF</t>
        </is>
      </c>
      <c r="F254" s="20" t="n">
        <v>0</v>
      </c>
      <c r="S254" s="20" t="n">
        <v>0</v>
      </c>
      <c r="T254" s="20" t="n">
        <v>-221.665</v>
      </c>
      <c r="U254" s="20" t="n">
        <v>-4.701</v>
      </c>
      <c r="V254" s="20" t="n">
        <v>0</v>
      </c>
    </row>
    <row r="255">
      <c r="A255" s="18" t="inlineStr">
        <is>
          <t>보조금 수입</t>
        </is>
      </c>
      <c r="F255" s="20" t="n">
        <v>-1.9</v>
      </c>
      <c r="J255" s="20" t="n">
        <v>0</v>
      </c>
      <c r="T255" s="20" t="n">
        <v>0</v>
      </c>
      <c r="U255" s="20" t="n">
        <v>-0.361</v>
      </c>
      <c r="V255" s="20" t="n">
        <v>-1.9</v>
      </c>
      <c r="W255" s="20" t="n">
        <v>0</v>
      </c>
    </row>
    <row r="256">
      <c r="A256" s="18" t="inlineStr">
        <is>
          <t>자산복구부채 환입이익</t>
        </is>
      </c>
      <c r="F256" s="20" t="n">
        <v>-20.582</v>
      </c>
      <c r="J256" s="20" t="n">
        <v>0</v>
      </c>
      <c r="U256" s="20" t="n">
        <v>0</v>
      </c>
      <c r="V256" s="20" t="n">
        <v>-20.582</v>
      </c>
      <c r="W256" s="20" t="n">
        <v>0</v>
      </c>
    </row>
    <row r="257">
      <c r="A257" s="18" t="inlineStr">
        <is>
          <t>관계회사 출자금 평가손실</t>
        </is>
      </c>
      <c r="F257" s="20" t="n">
        <v>59.92</v>
      </c>
      <c r="J257" s="20" t="n">
        <v>0</v>
      </c>
      <c r="U257" s="20" t="n">
        <v>0</v>
      </c>
      <c r="V257" s="20" t="n">
        <v>59.92</v>
      </c>
      <c r="W257" s="20" t="n">
        <v>0</v>
      </c>
    </row>
    <row r="258">
      <c r="A258" s="18" t="inlineStr">
        <is>
          <t>관계회사 정리손실 충당금 증감</t>
        </is>
      </c>
      <c r="F258" s="20" t="n">
        <v>2.364</v>
      </c>
      <c r="J258" s="20" t="n">
        <v>-1.752</v>
      </c>
      <c r="N258" s="20" t="n">
        <v>-0.612</v>
      </c>
      <c r="U258" s="20" t="n">
        <v>0</v>
      </c>
      <c r="V258" s="20" t="n">
        <v>2.364</v>
      </c>
      <c r="W258" s="20" t="n">
        <v>-1.752</v>
      </c>
      <c r="X258" s="20" t="n">
        <v>-0.612</v>
      </c>
    </row>
    <row r="259">
      <c r="A259" s="18" t="inlineStr">
        <is>
          <t>유형자산 매각손익</t>
        </is>
      </c>
      <c r="F259" s="20" t="n">
        <v>-6.413</v>
      </c>
      <c r="J259" s="20" t="n">
        <v>-4.395</v>
      </c>
      <c r="N259" s="20" t="n">
        <v>-0.182</v>
      </c>
      <c r="P259" s="20" t="n">
        <v>0</v>
      </c>
      <c r="Q259" s="20" t="n">
        <v>-8.545999999999999</v>
      </c>
      <c r="R259" s="20" t="n">
        <v>-1.004</v>
      </c>
      <c r="S259" s="20" t="n">
        <v>-3.636</v>
      </c>
      <c r="T259" s="20" t="n">
        <v>-5.701</v>
      </c>
      <c r="U259" s="20" t="n">
        <v>0</v>
      </c>
      <c r="V259" s="20" t="n">
        <v>-6.413</v>
      </c>
      <c r="W259" s="20" t="n">
        <v>-4.395</v>
      </c>
      <c r="X259" s="20" t="n">
        <v>-0.182</v>
      </c>
    </row>
    <row r="260">
      <c r="A260" s="18" t="inlineStr">
        <is>
          <t>유형자산 제각손실</t>
        </is>
      </c>
      <c r="F260" s="20" t="n">
        <v>2.205</v>
      </c>
      <c r="J260" s="20" t="n">
        <v>6.871</v>
      </c>
      <c r="N260" s="20" t="n">
        <v>0.401</v>
      </c>
      <c r="O260" s="20" t="n">
        <v>15.59</v>
      </c>
      <c r="P260" s="20" t="n">
        <v>3.159</v>
      </c>
      <c r="Q260" s="20" t="n">
        <v>1.467</v>
      </c>
      <c r="R260" s="20" t="n">
        <v>1.417</v>
      </c>
      <c r="S260" s="20" t="n">
        <v>1.898</v>
      </c>
      <c r="T260" s="20" t="n">
        <v>2.327</v>
      </c>
      <c r="U260" s="20" t="n">
        <v>0.324</v>
      </c>
      <c r="V260" s="20" t="n">
        <v>2.205</v>
      </c>
      <c r="W260" s="20" t="n">
        <v>6.871</v>
      </c>
      <c r="X260" s="20" t="n">
        <v>0.401</v>
      </c>
    </row>
    <row r="261">
      <c r="A261" s="18" t="inlineStr">
        <is>
          <t>매출채권 증감</t>
        </is>
      </c>
      <c r="F261" s="20" t="n">
        <v>30.217</v>
      </c>
      <c r="J261" s="20" t="n">
        <v>-49.953</v>
      </c>
      <c r="N261" s="20" t="n">
        <v>-97.126</v>
      </c>
      <c r="O261" s="20" t="n">
        <v>31.101</v>
      </c>
      <c r="P261" s="20" t="n">
        <v>19.973</v>
      </c>
      <c r="Q261" s="20" t="n">
        <v>-51.166</v>
      </c>
      <c r="R261" s="20" t="n">
        <v>-34.548</v>
      </c>
      <c r="S261" s="20" t="n">
        <v>22.754</v>
      </c>
      <c r="T261" s="20" t="n">
        <v>-20.745</v>
      </c>
      <c r="U261" s="20" t="n">
        <v>-165.861</v>
      </c>
      <c r="V261" s="20" t="n">
        <v>30.217</v>
      </c>
      <c r="W261" s="20" t="n">
        <v>-49.953</v>
      </c>
      <c r="X261" s="20" t="n">
        <v>-97.126</v>
      </c>
    </row>
    <row r="262">
      <c r="A262" s="18" t="inlineStr">
        <is>
          <t>미수금 증감</t>
        </is>
      </c>
      <c r="F262" s="20" t="n">
        <v>-28.753</v>
      </c>
      <c r="J262" s="20" t="n">
        <v>24.016</v>
      </c>
      <c r="N262" s="20" t="n">
        <v>-0.789</v>
      </c>
      <c r="P262" s="20" t="n">
        <v>-5.816</v>
      </c>
      <c r="Q262" s="20" t="n">
        <v>9.582000000000001</v>
      </c>
      <c r="R262" s="20" t="n">
        <v>2.316</v>
      </c>
      <c r="S262" s="20" t="n">
        <v>-111.783</v>
      </c>
      <c r="T262" s="20" t="n">
        <v>78.238</v>
      </c>
      <c r="U262" s="20" t="n">
        <v>-16.41</v>
      </c>
      <c r="V262" s="20" t="n">
        <v>-28.753</v>
      </c>
      <c r="W262" s="20" t="n">
        <v>24.016</v>
      </c>
      <c r="X262" s="20" t="n">
        <v>-0.789</v>
      </c>
    </row>
    <row r="263">
      <c r="A263" s="18" t="inlineStr">
        <is>
          <t>재고자산 증감</t>
        </is>
      </c>
      <c r="F263" s="20" t="n">
        <v>3.877</v>
      </c>
      <c r="J263" s="20" t="n">
        <v>-27.572</v>
      </c>
      <c r="N263" s="20" t="n">
        <v>3.545</v>
      </c>
      <c r="O263" s="20" t="n">
        <v>4.974</v>
      </c>
      <c r="P263" s="20" t="n">
        <v>-8.177</v>
      </c>
      <c r="Q263" s="20" t="n">
        <v>-23.316</v>
      </c>
      <c r="R263" s="20" t="n">
        <v>-7.414</v>
      </c>
      <c r="S263" s="20" t="n">
        <v>-40.05</v>
      </c>
      <c r="T263" s="20" t="n">
        <v>-0.881</v>
      </c>
      <c r="U263" s="20" t="n">
        <v>-18.286</v>
      </c>
      <c r="V263" s="20" t="n">
        <v>3.877</v>
      </c>
      <c r="W263" s="20" t="n">
        <v>-27.572</v>
      </c>
      <c r="X263" s="20" t="n">
        <v>3.545</v>
      </c>
    </row>
    <row r="264">
      <c r="A264" s="18" t="inlineStr">
        <is>
          <t>매입채무 증감</t>
        </is>
      </c>
      <c r="F264" s="20" t="n">
        <v>22.568</v>
      </c>
      <c r="J264" s="20" t="n">
        <v>26.961</v>
      </c>
      <c r="N264" s="20" t="n">
        <v>42.607</v>
      </c>
      <c r="O264" s="20" t="n">
        <v>-33.967</v>
      </c>
      <c r="P264" s="20" t="n">
        <v>14.264</v>
      </c>
      <c r="Q264" s="20" t="n">
        <v>33.026</v>
      </c>
      <c r="R264" s="20" t="n">
        <v>-32.791</v>
      </c>
      <c r="S264" s="20" t="n">
        <v>-11.119</v>
      </c>
      <c r="T264" s="20" t="n">
        <v>-5.703</v>
      </c>
      <c r="U264" s="20" t="n">
        <v>65.80500000000001</v>
      </c>
      <c r="V264" s="20" t="n">
        <v>22.568</v>
      </c>
      <c r="W264" s="20" t="n">
        <v>26.961</v>
      </c>
      <c r="X264" s="20" t="n">
        <v>42.607</v>
      </c>
    </row>
    <row r="265">
      <c r="A265" s="18" t="inlineStr">
        <is>
          <t>미지급금 증감</t>
        </is>
      </c>
      <c r="F265" s="20" t="n">
        <v>15.425</v>
      </c>
      <c r="J265" s="20" t="n">
        <v>-63.112</v>
      </c>
      <c r="N265" s="20" t="n">
        <v>-2.395</v>
      </c>
      <c r="V265" s="20" t="n">
        <v>15.425</v>
      </c>
      <c r="W265" s="20" t="n">
        <v>-63.112</v>
      </c>
      <c r="X265" s="20" t="n">
        <v>-2.395</v>
      </c>
    </row>
    <row r="266">
      <c r="A266" s="18" t="inlineStr">
        <is>
          <t>미지급비용 증감</t>
        </is>
      </c>
      <c r="F266" s="20" t="n">
        <v>36.311</v>
      </c>
      <c r="J266" s="20" t="n">
        <v>17.217</v>
      </c>
      <c r="N266" s="20" t="n">
        <v>20.528</v>
      </c>
      <c r="O266" s="20" t="n">
        <v>-32.326</v>
      </c>
      <c r="P266" s="20" t="n">
        <v>-32.743</v>
      </c>
      <c r="Q266" s="20" t="n">
        <v>20.959</v>
      </c>
      <c r="R266" s="20" t="n">
        <v>-10.531</v>
      </c>
      <c r="S266" s="20" t="n">
        <v>-31.715</v>
      </c>
      <c r="T266" s="20" t="n">
        <v>-11.971</v>
      </c>
      <c r="U266" s="20" t="n">
        <v>15.111</v>
      </c>
      <c r="V266" s="20" t="n">
        <v>36.311</v>
      </c>
      <c r="W266" s="20" t="n">
        <v>17.217</v>
      </c>
      <c r="X266" s="20" t="n">
        <v>20.528</v>
      </c>
    </row>
    <row r="267">
      <c r="A267" s="18" t="inlineStr">
        <is>
          <t>장기미지급금 증감</t>
        </is>
      </c>
      <c r="F267" s="20" t="n">
        <v>-52.498</v>
      </c>
      <c r="J267" s="20" t="n">
        <v>0</v>
      </c>
      <c r="P267" s="20" t="n">
        <v>0</v>
      </c>
      <c r="Q267" s="20" t="n">
        <v>-148.382</v>
      </c>
      <c r="R267" s="20" t="n">
        <v>0</v>
      </c>
      <c r="S267" s="20" t="n">
        <v>-2.189</v>
      </c>
      <c r="T267" s="20" t="n">
        <v>0</v>
      </c>
      <c r="U267" s="20" t="n">
        <v>0</v>
      </c>
      <c r="V267" s="20" t="n">
        <v>-52.498</v>
      </c>
      <c r="W267" s="20" t="n">
        <v>0</v>
      </c>
    </row>
    <row r="268">
      <c r="A268" s="18" t="inlineStr">
        <is>
          <t>미지급 소비세 증감</t>
        </is>
      </c>
      <c r="F268" s="20" t="n">
        <v>-41.783</v>
      </c>
      <c r="J268" s="20" t="n">
        <v>15.376</v>
      </c>
      <c r="N268" s="20" t="n">
        <v>10.33</v>
      </c>
      <c r="O268" s="20" t="n">
        <v>-83.54000000000001</v>
      </c>
      <c r="P268" s="20" t="n">
        <v>33.274</v>
      </c>
      <c r="Q268" s="20" t="n">
        <v>2.565</v>
      </c>
      <c r="R268" s="20" t="n">
        <v>21.761</v>
      </c>
      <c r="S268" s="20" t="n">
        <v>-59.847</v>
      </c>
      <c r="T268" s="20" t="n">
        <v>44.498</v>
      </c>
      <c r="U268" s="20" t="n">
        <v>11.497</v>
      </c>
      <c r="V268" s="20" t="n">
        <v>-41.783</v>
      </c>
      <c r="W268" s="20" t="n">
        <v>15.376</v>
      </c>
      <c r="X268" s="20" t="n">
        <v>10.33</v>
      </c>
    </row>
    <row r="269">
      <c r="A269" s="18" t="inlineStr">
        <is>
          <t>기타</t>
        </is>
      </c>
      <c r="F269" s="20" t="n">
        <v>-18.851</v>
      </c>
      <c r="J269" s="20" t="n">
        <v>7.967</v>
      </c>
      <c r="N269" s="20" t="n">
        <v>7.485</v>
      </c>
      <c r="O269" s="20" t="n">
        <v>2.161</v>
      </c>
      <c r="P269" s="20" t="n">
        <v>26.968</v>
      </c>
      <c r="Q269" s="20" t="n">
        <v>-8.829000000000001</v>
      </c>
      <c r="R269" s="20" t="n">
        <v>26.26</v>
      </c>
      <c r="S269" s="20" t="n">
        <v>0.17</v>
      </c>
      <c r="T269" s="20" t="n">
        <v>-39.012</v>
      </c>
      <c r="U269" s="20" t="n">
        <v>6.36</v>
      </c>
      <c r="V269" s="20" t="n">
        <v>-18.851</v>
      </c>
      <c r="W269" s="20" t="n">
        <v>7.967</v>
      </c>
      <c r="X269" s="20" t="n">
        <v>7.485</v>
      </c>
    </row>
    <row r="270">
      <c r="A270" s="18" t="inlineStr">
        <is>
          <t>소계</t>
        </is>
      </c>
      <c r="F270" s="20" t="n">
        <v>468.368</v>
      </c>
      <c r="J270" s="20" t="n">
        <v>425.063</v>
      </c>
      <c r="N270" s="20" t="n">
        <v>352.58</v>
      </c>
      <c r="O270" s="20" t="n">
        <v>521.679</v>
      </c>
      <c r="P270" s="20" t="n">
        <v>566.446</v>
      </c>
      <c r="Q270" s="20" t="n">
        <v>402.816</v>
      </c>
      <c r="R270" s="20" t="n">
        <v>448.793</v>
      </c>
      <c r="S270" s="20" t="n">
        <v>-588.885</v>
      </c>
      <c r="T270" s="20" t="n">
        <v>-56.039</v>
      </c>
      <c r="U270" s="20" t="n">
        <v>311.888</v>
      </c>
      <c r="V270" s="20" t="n">
        <v>468.368</v>
      </c>
      <c r="W270" s="20" t="n">
        <v>425.063</v>
      </c>
      <c r="X270" s="20" t="n">
        <v>352.58</v>
      </c>
    </row>
    <row r="271">
      <c r="A271" s="18" t="inlineStr">
        <is>
          <t>이자·배당금 수취</t>
        </is>
      </c>
      <c r="F271" s="20" t="n">
        <v>65.00700000000001</v>
      </c>
      <c r="J271" s="20" t="n">
        <v>94.702</v>
      </c>
      <c r="N271" s="20" t="n">
        <v>116.701</v>
      </c>
      <c r="O271" s="20" t="n">
        <v>89.157</v>
      </c>
      <c r="P271" s="20" t="n">
        <v>91.431</v>
      </c>
      <c r="Q271" s="20" t="n">
        <v>93.878</v>
      </c>
      <c r="R271" s="20" t="n">
        <v>68.71299999999999</v>
      </c>
      <c r="S271" s="20" t="n">
        <v>48.233</v>
      </c>
      <c r="T271" s="20" t="n">
        <v>25.92</v>
      </c>
      <c r="U271" s="20" t="n">
        <v>17.142</v>
      </c>
      <c r="V271" s="20" t="n">
        <v>65.00700000000001</v>
      </c>
      <c r="W271" s="20" t="n">
        <v>94.702</v>
      </c>
      <c r="X271" s="20" t="n">
        <v>116.701</v>
      </c>
    </row>
    <row r="272">
      <c r="A272" s="18" t="inlineStr">
        <is>
          <t>이자 지급</t>
        </is>
      </c>
      <c r="F272" s="20" t="n">
        <v>-1.459</v>
      </c>
      <c r="J272" s="20" t="n">
        <v>-5.713</v>
      </c>
      <c r="N272" s="20" t="n">
        <v>-4.37</v>
      </c>
      <c r="O272" s="20" t="n">
        <v>-0.798</v>
      </c>
      <c r="P272" s="20" t="n">
        <v>-0.424</v>
      </c>
      <c r="Q272" s="20" t="n">
        <v>-0.181</v>
      </c>
      <c r="R272" s="20" t="n">
        <v>-0.186</v>
      </c>
      <c r="S272" s="20" t="n">
        <v>-2.957</v>
      </c>
      <c r="T272" s="20" t="n">
        <v>-4.275</v>
      </c>
      <c r="U272" s="20" t="n">
        <v>-2.853</v>
      </c>
      <c r="V272" s="20" t="n">
        <v>-1.459</v>
      </c>
      <c r="W272" s="20" t="n">
        <v>-5.713</v>
      </c>
      <c r="X272" s="20" t="n">
        <v>-4.37</v>
      </c>
    </row>
    <row r="273">
      <c r="A273" s="18" t="inlineStr">
        <is>
          <t>고용조정 조성금 수령액</t>
        </is>
      </c>
      <c r="R273" s="20" t="n">
        <v>0</v>
      </c>
      <c r="S273" s="20" t="n">
        <v>54.908</v>
      </c>
    </row>
    <row r="274">
      <c r="A274" s="18" t="inlineStr">
        <is>
          <t>고용조정 조성금 수령액</t>
        </is>
      </c>
      <c r="S274" s="20" t="n">
        <v>54.908</v>
      </c>
      <c r="T274" s="20" t="n">
        <v>0</v>
      </c>
    </row>
    <row r="275">
      <c r="A275" s="18" t="inlineStr">
        <is>
          <t>Cooperation Money Income Received Ope CF</t>
        </is>
      </c>
      <c r="F275" s="20" t="n">
        <v>0</v>
      </c>
      <c r="S275" s="20" t="n">
        <v>0</v>
      </c>
      <c r="T275" s="20" t="n">
        <v>164.486</v>
      </c>
      <c r="U275" s="20" t="n">
        <v>62.44</v>
      </c>
      <c r="V275" s="20" t="n">
        <v>0</v>
      </c>
    </row>
    <row r="276">
      <c r="A276" s="18" t="inlineStr">
        <is>
          <t>보조금 수취</t>
        </is>
      </c>
      <c r="F276" s="20" t="n">
        <v>1.9</v>
      </c>
      <c r="J276" s="20" t="n">
        <v>0</v>
      </c>
      <c r="T276" s="20" t="n">
        <v>0</v>
      </c>
      <c r="U276" s="20" t="n">
        <v>0.361</v>
      </c>
      <c r="V276" s="20" t="n">
        <v>1.9</v>
      </c>
      <c r="W276" s="20" t="n">
        <v>0</v>
      </c>
    </row>
    <row r="277">
      <c r="A277" s="18" t="inlineStr">
        <is>
          <t>법인세 납부</t>
        </is>
      </c>
      <c r="F277" s="20" t="n">
        <v>-34.281</v>
      </c>
      <c r="J277" s="20" t="n">
        <v>-96.34099999999999</v>
      </c>
      <c r="N277" s="20" t="n">
        <v>-106.864</v>
      </c>
      <c r="O277" s="20" t="n">
        <v>-283.479</v>
      </c>
      <c r="P277" s="20" t="n">
        <v>-396.056</v>
      </c>
      <c r="Q277" s="20" t="n">
        <v>-65.703</v>
      </c>
      <c r="R277" s="20" t="n">
        <v>-91.16500000000001</v>
      </c>
      <c r="S277" s="20" t="n">
        <v>-46.626</v>
      </c>
      <c r="T277" s="20" t="n">
        <v>-7.59</v>
      </c>
      <c r="U277" s="20" t="n">
        <v>-12.357</v>
      </c>
      <c r="V277" s="20" t="n">
        <v>-34.281</v>
      </c>
      <c r="W277" s="20" t="n">
        <v>-96.34099999999999</v>
      </c>
      <c r="X277" s="20" t="n">
        <v>-106.864</v>
      </c>
    </row>
    <row r="278">
      <c r="A278" s="18" t="inlineStr">
        <is>
          <t>법인세 환급</t>
        </is>
      </c>
      <c r="F278" s="20" t="n">
        <v>0</v>
      </c>
      <c r="J278" s="20" t="n">
        <v>0.889</v>
      </c>
      <c r="N278" s="20" t="n">
        <v>1.5</v>
      </c>
      <c r="P278" s="20" t="n">
        <v>0</v>
      </c>
      <c r="Q278" s="20" t="n">
        <v>46.399</v>
      </c>
      <c r="R278" s="20" t="n">
        <v>0</v>
      </c>
      <c r="S278" s="20" t="n">
        <v>0</v>
      </c>
      <c r="T278" s="20" t="n">
        <v>22.087</v>
      </c>
      <c r="U278" s="20" t="n">
        <v>8.51</v>
      </c>
      <c r="V278" s="20" t="n">
        <v>0</v>
      </c>
      <c r="W278" s="20" t="n">
        <v>0.889</v>
      </c>
      <c r="X278" s="20" t="n">
        <v>1.5</v>
      </c>
    </row>
    <row r="279">
      <c r="A279" s="9" t="inlineStr">
        <is>
          <t>영업활동 현금흐름</t>
        </is>
      </c>
      <c r="F279" s="12" t="n">
        <v>499.535</v>
      </c>
      <c r="J279" s="12" t="n">
        <v>418.599</v>
      </c>
      <c r="N279" s="12" t="n">
        <v>359.546</v>
      </c>
      <c r="O279" s="12" t="n">
        <v>326.558</v>
      </c>
      <c r="P279" s="12" t="n">
        <v>261.397</v>
      </c>
      <c r="Q279" s="12" t="n">
        <v>477.208</v>
      </c>
      <c r="R279" s="12" t="n">
        <v>426.155</v>
      </c>
      <c r="S279" s="12" t="n">
        <v>-535.326</v>
      </c>
      <c r="T279" s="12" t="n">
        <v>144.588</v>
      </c>
      <c r="U279" s="12" t="n">
        <v>385.131</v>
      </c>
      <c r="V279" s="12" t="n">
        <v>499.535</v>
      </c>
      <c r="W279" s="12" t="n">
        <v>418.599</v>
      </c>
      <c r="X279" s="12" t="n">
        <v>359.546</v>
      </c>
    </row>
    <row r="280">
      <c r="A280" s="18" t="inlineStr">
        <is>
          <t>관계회사 주식 취득</t>
        </is>
      </c>
      <c r="Q280" s="20" t="n">
        <v>0</v>
      </c>
      <c r="R280" s="20" t="n">
        <v>-20.093</v>
      </c>
      <c r="S280" s="20" t="n">
        <v>0</v>
      </c>
    </row>
    <row r="281">
      <c r="A281" s="18" t="inlineStr">
        <is>
          <t>비연결 자회사 주식 취득</t>
        </is>
      </c>
      <c r="Q281" s="20" t="n">
        <v>0</v>
      </c>
      <c r="R281" s="20" t="n">
        <v>-7.709</v>
      </c>
    </row>
    <row r="282">
      <c r="A282" s="18" t="inlineStr">
        <is>
          <t>비연결 자회사 주식 취득</t>
        </is>
      </c>
      <c r="R282" s="20" t="n">
        <v>-7.709</v>
      </c>
      <c r="S282" s="20" t="n">
        <v>0</v>
      </c>
    </row>
    <row r="283">
      <c r="A283" s="18" t="inlineStr">
        <is>
          <t>비연결 자회사 주식 취득</t>
        </is>
      </c>
      <c r="F283" s="20" t="n">
        <v>0</v>
      </c>
      <c r="T283" s="20" t="n">
        <v>0</v>
      </c>
      <c r="U283" s="20" t="n">
        <v>-9.704000000000001</v>
      </c>
      <c r="V283" s="20" t="n">
        <v>0</v>
      </c>
    </row>
    <row r="284">
      <c r="A284" s="18" t="inlineStr">
        <is>
          <t>자산복구부채 이행 지출</t>
        </is>
      </c>
      <c r="F284" s="20" t="n">
        <v>-8.417</v>
      </c>
      <c r="J284" s="20" t="n">
        <v>0</v>
      </c>
      <c r="T284" s="20" t="n">
        <v>0</v>
      </c>
      <c r="U284" s="20" t="n">
        <v>-12.7</v>
      </c>
      <c r="V284" s="20" t="n">
        <v>-8.417</v>
      </c>
      <c r="W284" s="20" t="n">
        <v>0</v>
      </c>
    </row>
    <row r="285">
      <c r="A285" s="18" t="inlineStr">
        <is>
          <t>유형자산 취득(설비투자)</t>
        </is>
      </c>
      <c r="F285" s="20" t="n">
        <v>-234.204</v>
      </c>
      <c r="J285" s="20" t="n">
        <v>-663.548</v>
      </c>
      <c r="N285" s="20" t="n">
        <v>-381.994</v>
      </c>
      <c r="O285" s="20" t="n">
        <v>-244.567</v>
      </c>
      <c r="P285" s="20" t="n">
        <v>-464.85</v>
      </c>
      <c r="Q285" s="20" t="n">
        <v>-300.901</v>
      </c>
      <c r="R285" s="20" t="n">
        <v>-140.431</v>
      </c>
      <c r="S285" s="20" t="n">
        <v>-188.786</v>
      </c>
      <c r="T285" s="20" t="n">
        <v>-48.05</v>
      </c>
      <c r="U285" s="20" t="n">
        <v>-219.532</v>
      </c>
      <c r="V285" s="20" t="n">
        <v>-234.204</v>
      </c>
      <c r="W285" s="20" t="n">
        <v>-663.548</v>
      </c>
      <c r="X285" s="20" t="n">
        <v>-381.994</v>
      </c>
    </row>
    <row r="286">
      <c r="A286" s="18" t="inlineStr">
        <is>
          <t>유형자산 매각</t>
        </is>
      </c>
      <c r="F286" s="20" t="n">
        <v>6.413</v>
      </c>
      <c r="J286" s="20" t="n">
        <v>13.791</v>
      </c>
      <c r="N286" s="20" t="n">
        <v>0.182</v>
      </c>
      <c r="O286" s="20" t="n">
        <v>0</v>
      </c>
      <c r="P286" s="20" t="n">
        <v>0</v>
      </c>
      <c r="Q286" s="20" t="n">
        <v>8.545999999999999</v>
      </c>
      <c r="R286" s="20" t="n">
        <v>34.505</v>
      </c>
      <c r="S286" s="20" t="n">
        <v>41.377</v>
      </c>
      <c r="T286" s="20" t="n">
        <v>56.634</v>
      </c>
      <c r="U286" s="20" t="n">
        <v>0</v>
      </c>
      <c r="V286" s="20" t="n">
        <v>6.413</v>
      </c>
      <c r="W286" s="20" t="n">
        <v>13.791</v>
      </c>
      <c r="X286" s="20" t="n">
        <v>0.182</v>
      </c>
    </row>
    <row r="287">
      <c r="A287" s="18" t="inlineStr">
        <is>
          <t>무형자산 취득</t>
        </is>
      </c>
      <c r="F287" s="20" t="n">
        <v>-41.954</v>
      </c>
      <c r="J287" s="20" t="n">
        <v>-179.533</v>
      </c>
      <c r="N287" s="20" t="n">
        <v>-112.967</v>
      </c>
      <c r="O287" s="20" t="n">
        <v>-3.765</v>
      </c>
      <c r="P287" s="20" t="n">
        <v>-40.483</v>
      </c>
      <c r="Q287" s="20" t="n">
        <v>-22.41</v>
      </c>
      <c r="R287" s="20" t="n">
        <v>-55.989</v>
      </c>
      <c r="S287" s="20" t="n">
        <v>-15.768</v>
      </c>
      <c r="T287" s="20" t="n">
        <v>-26.225</v>
      </c>
      <c r="U287" s="20" t="n">
        <v>-12.494</v>
      </c>
      <c r="V287" s="20" t="n">
        <v>-41.954</v>
      </c>
      <c r="W287" s="20" t="n">
        <v>-179.533</v>
      </c>
      <c r="X287" s="20" t="n">
        <v>-112.967</v>
      </c>
    </row>
    <row r="288">
      <c r="A288" s="18" t="inlineStr">
        <is>
          <t>투자유가증권 매각</t>
        </is>
      </c>
      <c r="O288" s="20" t="n">
        <v>1188.449</v>
      </c>
      <c r="P288" s="20" t="n">
        <v>0</v>
      </c>
    </row>
    <row r="289">
      <c r="A289" s="18" t="inlineStr">
        <is>
          <t>투자유가증권 상환</t>
        </is>
      </c>
      <c r="O289" s="20" t="n">
        <v>0</v>
      </c>
      <c r="P289" s="20" t="n">
        <v>0</v>
      </c>
    </row>
    <row r="290">
      <c r="A290" s="18" t="inlineStr">
        <is>
          <t>출자금 회수</t>
        </is>
      </c>
      <c r="O290" s="20" t="n">
        <v>0</v>
      </c>
      <c r="P290" s="20" t="n">
        <v>0</v>
      </c>
    </row>
    <row r="291">
      <c r="A291" s="18" t="inlineStr">
        <is>
          <t>보험적립금 적립</t>
        </is>
      </c>
      <c r="F291" s="20" t="n">
        <v>0</v>
      </c>
      <c r="J291" s="20" t="n">
        <v>-0.865</v>
      </c>
      <c r="N291" s="20" t="n">
        <v>-0.966</v>
      </c>
      <c r="V291" s="20" t="n">
        <v>0</v>
      </c>
      <c r="W291" s="20" t="n">
        <v>-0.865</v>
      </c>
      <c r="X291" s="20" t="n">
        <v>-0.966</v>
      </c>
    </row>
    <row r="292">
      <c r="A292" s="18" t="inlineStr">
        <is>
          <t>보험적립금 해약</t>
        </is>
      </c>
      <c r="F292" s="20" t="n">
        <v>0</v>
      </c>
      <c r="J292" s="20" t="n">
        <v>62.11</v>
      </c>
      <c r="N292" s="20" t="n">
        <v>0.121</v>
      </c>
      <c r="P292" s="20" t="n">
        <v>0</v>
      </c>
      <c r="Q292" s="20" t="n">
        <v>136.052</v>
      </c>
      <c r="R292" s="20" t="n">
        <v>0</v>
      </c>
      <c r="V292" s="20" t="n">
        <v>0</v>
      </c>
      <c r="W292" s="20" t="n">
        <v>62.11</v>
      </c>
      <c r="X292" s="20" t="n">
        <v>0.121</v>
      </c>
    </row>
    <row r="293">
      <c r="A293" s="18" t="inlineStr">
        <is>
          <t>보증금 납입</t>
        </is>
      </c>
      <c r="F293" s="20" t="n">
        <v>-25.155</v>
      </c>
      <c r="J293" s="20" t="n">
        <v>-14.622</v>
      </c>
      <c r="N293" s="20" t="n">
        <v>-14.743</v>
      </c>
      <c r="O293" s="20" t="n">
        <v>-21.718</v>
      </c>
      <c r="P293" s="20" t="n">
        <v>-69.361</v>
      </c>
      <c r="Q293" s="20" t="n">
        <v>-9.24</v>
      </c>
      <c r="R293" s="20" t="n">
        <v>-23.171</v>
      </c>
      <c r="S293" s="20" t="n">
        <v>-12.361</v>
      </c>
      <c r="T293" s="20" t="n">
        <v>-1.477</v>
      </c>
      <c r="U293" s="20" t="n">
        <v>-15.428</v>
      </c>
      <c r="V293" s="20" t="n">
        <v>-25.155</v>
      </c>
      <c r="W293" s="20" t="n">
        <v>-14.622</v>
      </c>
      <c r="X293" s="20" t="n">
        <v>-14.743</v>
      </c>
    </row>
    <row r="294">
      <c r="A294" s="18" t="inlineStr">
        <is>
          <t>보증금 회수</t>
        </is>
      </c>
      <c r="F294" s="20" t="n">
        <v>20.515</v>
      </c>
      <c r="J294" s="20" t="n">
        <v>79.321</v>
      </c>
      <c r="N294" s="20" t="n">
        <v>7.185</v>
      </c>
      <c r="O294" s="20" t="n">
        <v>6.922</v>
      </c>
      <c r="P294" s="20" t="n">
        <v>37.666</v>
      </c>
      <c r="Q294" s="20" t="n">
        <v>5.184</v>
      </c>
      <c r="R294" s="20" t="n">
        <v>43.508</v>
      </c>
      <c r="S294" s="20" t="n">
        <v>15.465</v>
      </c>
      <c r="T294" s="20" t="n">
        <v>52.183</v>
      </c>
      <c r="U294" s="20" t="n">
        <v>6.658</v>
      </c>
      <c r="V294" s="20" t="n">
        <v>20.515</v>
      </c>
      <c r="W294" s="20" t="n">
        <v>79.321</v>
      </c>
      <c r="X294" s="20" t="n">
        <v>7.185</v>
      </c>
    </row>
    <row r="295">
      <c r="A295" s="18" t="inlineStr">
        <is>
          <t>대여</t>
        </is>
      </c>
      <c r="O295" s="20" t="n">
        <v>0</v>
      </c>
      <c r="P295" s="20" t="n">
        <v>0</v>
      </c>
    </row>
    <row r="296">
      <c r="A296" s="18" t="inlineStr">
        <is>
          <t>대여금 회수</t>
        </is>
      </c>
      <c r="F296" s="20" t="n">
        <v>0</v>
      </c>
      <c r="O296" s="20" t="n">
        <v>12.375</v>
      </c>
      <c r="P296" s="20" t="n">
        <v>62.075</v>
      </c>
      <c r="Q296" s="20" t="n">
        <v>7.485</v>
      </c>
      <c r="R296" s="20" t="n">
        <v>6.336</v>
      </c>
      <c r="S296" s="20" t="n">
        <v>7.488</v>
      </c>
      <c r="T296" s="20" t="n">
        <v>6.912</v>
      </c>
      <c r="U296" s="20" t="n">
        <v>22.464</v>
      </c>
      <c r="V296" s="20" t="n">
        <v>0</v>
      </c>
    </row>
    <row r="297">
      <c r="A297" s="9" t="inlineStr">
        <is>
          <t>투자활동 현금흐름</t>
        </is>
      </c>
      <c r="F297" s="12" t="n">
        <v>-282.802</v>
      </c>
      <c r="J297" s="12" t="n">
        <v>-703.346</v>
      </c>
      <c r="N297" s="12" t="n">
        <v>-503.18</v>
      </c>
      <c r="O297" s="12" t="n">
        <v>937.696</v>
      </c>
      <c r="P297" s="12" t="n">
        <v>-474.954</v>
      </c>
      <c r="Q297" s="12" t="n">
        <v>-175.283</v>
      </c>
      <c r="R297" s="12" t="n">
        <v>-163.045</v>
      </c>
      <c r="S297" s="12" t="n">
        <v>-152.584</v>
      </c>
      <c r="T297" s="12" t="n">
        <v>39.976</v>
      </c>
      <c r="U297" s="12" t="n">
        <v>-240.737</v>
      </c>
      <c r="V297" s="12" t="n">
        <v>-282.802</v>
      </c>
      <c r="W297" s="12" t="n">
        <v>-703.346</v>
      </c>
      <c r="X297" s="12" t="n">
        <v>-503.18</v>
      </c>
    </row>
    <row r="298">
      <c r="A298" s="18" t="inlineStr">
        <is>
          <t>연결범위 변경 없는 자회사 주식 취득</t>
        </is>
      </c>
      <c r="Q298" s="20" t="n">
        <v>0</v>
      </c>
      <c r="R298" s="20" t="n">
        <v>-39.743</v>
      </c>
      <c r="S298" s="20" t="n">
        <v>0</v>
      </c>
    </row>
    <row r="299">
      <c r="A299" s="18" t="inlineStr">
        <is>
          <t>단기차입금 순증감</t>
        </is>
      </c>
      <c r="F299" s="20" t="n">
        <v>0</v>
      </c>
      <c r="O299" s="20" t="n">
        <v>0</v>
      </c>
      <c r="P299" s="20" t="n">
        <v>0</v>
      </c>
      <c r="R299" s="20" t="n">
        <v>0</v>
      </c>
      <c r="S299" s="20" t="n">
        <v>500</v>
      </c>
      <c r="T299" s="20" t="n">
        <v>0</v>
      </c>
      <c r="U299" s="20" t="n">
        <v>-500</v>
      </c>
      <c r="V299" s="20" t="n">
        <v>0</v>
      </c>
    </row>
    <row r="300">
      <c r="A300" s="18" t="inlineStr">
        <is>
          <t>장기차입</t>
        </is>
      </c>
      <c r="F300" s="20" t="n">
        <v>700</v>
      </c>
      <c r="J300" s="20" t="n">
        <v>0</v>
      </c>
      <c r="N300" s="20" t="n">
        <v>50</v>
      </c>
      <c r="R300" s="20" t="n">
        <v>0</v>
      </c>
      <c r="S300" s="20" t="n">
        <v>500</v>
      </c>
      <c r="T300" s="20" t="n">
        <v>0</v>
      </c>
      <c r="U300" s="20" t="n">
        <v>0</v>
      </c>
      <c r="V300" s="20" t="n">
        <v>700</v>
      </c>
      <c r="W300" s="20" t="n">
        <v>0</v>
      </c>
      <c r="X300" s="20" t="n">
        <v>50</v>
      </c>
    </row>
    <row r="301">
      <c r="A301" s="18" t="inlineStr">
        <is>
          <t>장기차입금 상환</t>
        </is>
      </c>
      <c r="F301" s="20" t="n">
        <v>-110.084</v>
      </c>
      <c r="J301" s="20" t="n">
        <v>-250.072</v>
      </c>
      <c r="N301" s="20" t="n">
        <v>-199.35</v>
      </c>
      <c r="O301" s="20" t="n">
        <v>-69.996</v>
      </c>
      <c r="P301" s="20" t="n">
        <v>-69.996</v>
      </c>
      <c r="Q301" s="20" t="n">
        <v>-37.351</v>
      </c>
      <c r="R301" s="20" t="n">
        <v>0</v>
      </c>
      <c r="S301" s="20" t="n">
        <v>-5.3</v>
      </c>
      <c r="T301" s="20" t="n">
        <v>-110.084</v>
      </c>
      <c r="U301" s="20" t="n">
        <v>-110.084</v>
      </c>
      <c r="V301" s="20" t="n">
        <v>-110.084</v>
      </c>
      <c r="W301" s="20" t="n">
        <v>-250.072</v>
      </c>
      <c r="X301" s="20" t="n">
        <v>-199.35</v>
      </c>
    </row>
    <row r="302">
      <c r="A302" s="18" t="inlineStr">
        <is>
          <t>리스부채 상환</t>
        </is>
      </c>
      <c r="F302" s="20" t="n">
        <v>-3.28</v>
      </c>
      <c r="J302" s="20" t="n">
        <v>-7.142</v>
      </c>
      <c r="N302" s="20" t="n">
        <v>-3.001</v>
      </c>
      <c r="U302" s="20" t="n">
        <v>0</v>
      </c>
      <c r="V302" s="20" t="n">
        <v>-3.28</v>
      </c>
      <c r="W302" s="20" t="n">
        <v>-7.142</v>
      </c>
      <c r="X302" s="20" t="n">
        <v>-3.001</v>
      </c>
    </row>
    <row r="303">
      <c r="A303" s="18" t="inlineStr">
        <is>
          <t>자기주식 처분</t>
        </is>
      </c>
      <c r="F303" s="20" t="n">
        <v>0</v>
      </c>
      <c r="J303" s="20" t="n">
        <v>158.01</v>
      </c>
      <c r="N303" s="20" t="n">
        <v>1.326</v>
      </c>
      <c r="O303" s="20" t="n">
        <v>0</v>
      </c>
      <c r="P303" s="20" t="n">
        <v>436.56</v>
      </c>
      <c r="Q303" s="20" t="n">
        <v>62.7</v>
      </c>
      <c r="R303" s="20" t="n">
        <v>78</v>
      </c>
      <c r="S303" s="20" t="n">
        <v>0</v>
      </c>
      <c r="T303" s="20" t="n">
        <v>42.63</v>
      </c>
      <c r="U303" s="20" t="n">
        <v>0</v>
      </c>
      <c r="V303" s="20" t="n">
        <v>0</v>
      </c>
      <c r="W303" s="20" t="n">
        <v>158.01</v>
      </c>
      <c r="X303" s="20" t="n">
        <v>1.326</v>
      </c>
    </row>
    <row r="304">
      <c r="A304" s="18" t="inlineStr">
        <is>
          <t>자기주식 취득</t>
        </is>
      </c>
      <c r="F304" s="20" t="n">
        <v>-0.925</v>
      </c>
      <c r="J304" s="20" t="n">
        <v>-158.654</v>
      </c>
      <c r="N304" s="20" t="n">
        <v>-0.496</v>
      </c>
      <c r="O304" s="20" t="n">
        <v>-1146.948</v>
      </c>
      <c r="P304" s="20" t="n">
        <v>-0.8080000000000001</v>
      </c>
      <c r="Q304" s="20" t="n">
        <v>-62.852</v>
      </c>
      <c r="R304" s="20" t="n">
        <v>-202.393</v>
      </c>
      <c r="S304" s="20" t="n">
        <v>0</v>
      </c>
      <c r="T304" s="20" t="n">
        <v>-43.651</v>
      </c>
      <c r="U304" s="20" t="n">
        <v>-0.196</v>
      </c>
      <c r="V304" s="20" t="n">
        <v>-0.925</v>
      </c>
      <c r="W304" s="20" t="n">
        <v>-158.654</v>
      </c>
      <c r="X304" s="20" t="n">
        <v>-0.496</v>
      </c>
    </row>
    <row r="305">
      <c r="A305" s="18" t="inlineStr">
        <is>
          <t>배당금 지급</t>
        </is>
      </c>
      <c r="F305" s="20" t="n">
        <v>-59.696</v>
      </c>
      <c r="J305" s="20" t="n">
        <v>-59.628</v>
      </c>
      <c r="N305" s="20" t="n">
        <v>-60.483</v>
      </c>
      <c r="O305" s="20" t="n">
        <v>-92.827</v>
      </c>
      <c r="P305" s="20" t="n">
        <v>-86.22</v>
      </c>
      <c r="Q305" s="20" t="n">
        <v>-59.647</v>
      </c>
      <c r="R305" s="20" t="n">
        <v>-59.829</v>
      </c>
      <c r="S305" s="20" t="n">
        <v>-59.468</v>
      </c>
      <c r="T305" s="20" t="n">
        <v>-59.354</v>
      </c>
      <c r="U305" s="20" t="n">
        <v>-59.532</v>
      </c>
      <c r="V305" s="20" t="n">
        <v>-59.696</v>
      </c>
      <c r="W305" s="20" t="n">
        <v>-59.628</v>
      </c>
      <c r="X305" s="20" t="n">
        <v>-60.483</v>
      </c>
    </row>
    <row r="306">
      <c r="A306" s="9" t="inlineStr">
        <is>
          <t>재무활동 현금흐름</t>
        </is>
      </c>
      <c r="F306" s="12" t="n">
        <v>526.014</v>
      </c>
      <c r="J306" s="12" t="n">
        <v>-317.488</v>
      </c>
      <c r="N306" s="12" t="n">
        <v>-212.004</v>
      </c>
      <c r="O306" s="12" t="n">
        <v>-1309.772</v>
      </c>
      <c r="P306" s="12" t="n">
        <v>279.534</v>
      </c>
      <c r="Q306" s="12" t="n">
        <v>-97.151</v>
      </c>
      <c r="R306" s="12" t="n">
        <v>-223.966</v>
      </c>
      <c r="S306" s="12" t="n">
        <v>935.231</v>
      </c>
      <c r="T306" s="12" t="n">
        <v>-170.46</v>
      </c>
      <c r="U306" s="12" t="n">
        <v>-669.813</v>
      </c>
      <c r="V306" s="12" t="n">
        <v>526.014</v>
      </c>
      <c r="W306" s="12" t="n">
        <v>-317.488</v>
      </c>
      <c r="X306" s="12" t="n">
        <v>-212.004</v>
      </c>
    </row>
    <row r="307">
      <c r="A307" s="18" t="inlineStr">
        <is>
          <t>현금성자산 환산차이</t>
        </is>
      </c>
      <c r="F307" s="20" t="n">
        <v>16.649</v>
      </c>
      <c r="J307" s="20" t="n">
        <v>34.1</v>
      </c>
      <c r="N307" s="20" t="n">
        <v>28.083</v>
      </c>
      <c r="O307" s="20" t="n">
        <v>-1.036</v>
      </c>
      <c r="P307" s="20" t="n">
        <v>4.324</v>
      </c>
      <c r="Q307" s="20" t="n">
        <v>-0.249</v>
      </c>
      <c r="R307" s="20" t="n">
        <v>2.148</v>
      </c>
      <c r="S307" s="20" t="n">
        <v>-2.777</v>
      </c>
      <c r="T307" s="20" t="n">
        <v>1.328</v>
      </c>
      <c r="U307" s="20" t="n">
        <v>21.974</v>
      </c>
      <c r="V307" s="20" t="n">
        <v>16.649</v>
      </c>
      <c r="W307" s="20" t="n">
        <v>34.1</v>
      </c>
      <c r="X307" s="20" t="n">
        <v>28.083</v>
      </c>
    </row>
    <row r="308">
      <c r="A308" s="18" t="inlineStr">
        <is>
          <t>현금성자산 증감</t>
        </is>
      </c>
      <c r="F308" s="20" t="n">
        <v>759.396</v>
      </c>
      <c r="J308" s="20" t="n">
        <v>-568.134</v>
      </c>
      <c r="N308" s="20" t="n">
        <v>-327.554</v>
      </c>
      <c r="O308" s="20" t="n">
        <v>-46.553</v>
      </c>
      <c r="P308" s="20" t="n">
        <v>70.301</v>
      </c>
      <c r="Q308" s="20" t="n">
        <v>204.524</v>
      </c>
      <c r="R308" s="20" t="n">
        <v>41.292</v>
      </c>
      <c r="S308" s="20" t="n">
        <v>244.541</v>
      </c>
      <c r="T308" s="20" t="n">
        <v>15.433</v>
      </c>
      <c r="U308" s="20" t="n">
        <v>-503.444</v>
      </c>
      <c r="V308" s="20" t="n">
        <v>759.396</v>
      </c>
      <c r="W308" s="20" t="n">
        <v>-568.134</v>
      </c>
      <c r="X308" s="20" t="n">
        <v>-327.554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9950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2026.3Q</t>
        </is>
      </c>
      <c r="D3" s="5" t="inlineStr">
        <is>
          <t>2026.4Q</t>
        </is>
      </c>
      <c r="E3" s="5" t="inlineStr">
        <is>
          <t>2027.1Q</t>
        </is>
      </c>
      <c r="F3" s="5" t="inlineStr">
        <is>
          <t>2027.2Q</t>
        </is>
      </c>
      <c r="G3" s="5" t="inlineStr">
        <is>
          <t>2027.3Q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</row>
    <row r="5">
      <c r="A5" s="9" t="inlineStr">
        <is>
          <t>유동자산</t>
        </is>
      </c>
      <c r="B5" s="10" t="n"/>
      <c r="C5" s="11" t="n">
        <v>2126.837</v>
      </c>
      <c r="D5" s="12" t="n">
        <v>1914.112</v>
      </c>
      <c r="E5" s="12" t="n">
        <v>1799.529</v>
      </c>
      <c r="F5" s="12" t="n">
        <v>2200.944</v>
      </c>
      <c r="G5" s="12" t="n">
        <v>3118.64</v>
      </c>
      <c r="H5" s="11" t="n">
        <v>1959.853</v>
      </c>
      <c r="I5" s="12" t="n">
        <v>2026.813</v>
      </c>
      <c r="J5" s="12" t="n">
        <v>2162.267</v>
      </c>
      <c r="K5" s="12" t="n">
        <v>1914.112</v>
      </c>
    </row>
    <row r="6">
      <c r="A6" s="18" t="inlineStr">
        <is>
          <t>현금및현금성자산</t>
        </is>
      </c>
      <c r="B6" s="10" t="n"/>
      <c r="C6" s="19" t="n">
        <v>883.8390000000001</v>
      </c>
      <c r="D6" s="20" t="n">
        <v>587.071</v>
      </c>
      <c r="E6" s="20" t="n">
        <v>682.082</v>
      </c>
      <c r="F6" s="20" t="n">
        <v>890.502</v>
      </c>
      <c r="G6" s="20" t="n">
        <v>1812.83</v>
      </c>
      <c r="H6" s="19" t="n">
        <v>870.986</v>
      </c>
      <c r="I6" s="20" t="n">
        <v>870.99</v>
      </c>
      <c r="J6" s="20" t="n">
        <v>913.121</v>
      </c>
      <c r="K6" s="20" t="n">
        <v>587.071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</row>
    <row r="8">
      <c r="A8" s="18" t="inlineStr">
        <is>
          <t>매출채권</t>
        </is>
      </c>
      <c r="B8" s="10" t="n"/>
      <c r="C8" s="19" t="n">
        <v>837.08</v>
      </c>
      <c r="D8" s="20" t="n">
        <v>969.287</v>
      </c>
      <c r="E8" s="20" t="n">
        <v>795.849</v>
      </c>
      <c r="F8" s="20" t="n">
        <v>950.146</v>
      </c>
      <c r="G8" s="20" t="n">
        <v>908.975</v>
      </c>
      <c r="H8" s="19" t="n">
        <v>679.814</v>
      </c>
      <c r="I8" s="20" t="n">
        <v>720.665</v>
      </c>
      <c r="J8" s="20" t="n">
        <v>796.159</v>
      </c>
      <c r="K8" s="20" t="n">
        <v>969.287</v>
      </c>
    </row>
    <row r="9">
      <c r="A9" s="18" t="inlineStr">
        <is>
          <t>재고자산</t>
        </is>
      </c>
      <c r="B9" s="10" t="n"/>
      <c r="C9" s="19" t="n">
        <v>216.072</v>
      </c>
      <c r="D9" s="20" t="n">
        <v>233.651</v>
      </c>
      <c r="E9" s="20" t="n">
        <v>220.091</v>
      </c>
      <c r="F9" s="20" t="n">
        <v>237.832</v>
      </c>
      <c r="G9" s="20" t="n">
        <v>261.269</v>
      </c>
      <c r="H9" s="19" t="n">
        <v>210.771</v>
      </c>
      <c r="I9" s="20" t="n">
        <v>242.75</v>
      </c>
      <c r="J9" s="20" t="n">
        <v>239.671</v>
      </c>
      <c r="K9" s="20" t="n">
        <v>233.651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3561.266</v>
      </c>
      <c r="D11" s="12" t="n">
        <v>3736.07</v>
      </c>
      <c r="E11" s="12" t="n">
        <v>3809.081</v>
      </c>
      <c r="F11" s="12" t="n">
        <v>3832.592</v>
      </c>
      <c r="G11" s="12" t="n">
        <v>3920.724</v>
      </c>
      <c r="H11" s="11" t="n">
        <v>2955.748</v>
      </c>
      <c r="I11" s="12" t="n">
        <v>2857.97</v>
      </c>
      <c r="J11" s="12" t="n">
        <v>3449.38</v>
      </c>
      <c r="K11" s="12" t="n">
        <v>3736.07</v>
      </c>
    </row>
    <row r="12">
      <c r="A12" s="18" t="inlineStr">
        <is>
          <t>유형자산</t>
        </is>
      </c>
      <c r="B12" s="10" t="n"/>
      <c r="C12" s="19" t="n">
        <v>2471.529</v>
      </c>
      <c r="D12" s="20" t="n">
        <v>2577.731</v>
      </c>
      <c r="E12" s="20" t="n">
        <v>2576.257</v>
      </c>
      <c r="F12" s="20" t="n">
        <v>2578.398</v>
      </c>
      <c r="G12" s="20" t="n">
        <v>2644.875</v>
      </c>
      <c r="H12" s="19" t="n">
        <v>2011.932</v>
      </c>
      <c r="I12" s="20" t="n">
        <v>2028.016</v>
      </c>
      <c r="J12" s="20" t="n">
        <v>2455.704</v>
      </c>
      <c r="K12" s="20" t="n">
        <v>2577.731</v>
      </c>
    </row>
    <row r="13">
      <c r="A13" s="18" t="inlineStr">
        <is>
          <t>무형자산</t>
        </is>
      </c>
      <c r="B13" s="10" t="n"/>
      <c r="C13" s="19" t="n">
        <v>247.804</v>
      </c>
      <c r="D13" s="20" t="n">
        <v>277.574</v>
      </c>
      <c r="E13" s="20" t="n">
        <v>289.923</v>
      </c>
      <c r="F13" s="20" t="n">
        <v>293.405</v>
      </c>
      <c r="G13" s="20" t="n">
        <v>274.286</v>
      </c>
      <c r="H13" s="19" t="n">
        <v>71.482</v>
      </c>
      <c r="I13" s="20" t="n">
        <v>50.96</v>
      </c>
      <c r="J13" s="20" t="n">
        <v>210.124</v>
      </c>
      <c r="K13" s="20" t="n">
        <v>277.574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5688.103</v>
      </c>
      <c r="D16" s="12" t="n">
        <v>5650.182</v>
      </c>
      <c r="E16" s="12" t="n">
        <v>5608.61</v>
      </c>
      <c r="F16" s="12" t="n">
        <v>6033.536</v>
      </c>
      <c r="G16" s="12" t="n">
        <v>7039.364</v>
      </c>
      <c r="H16" s="11" t="n">
        <v>4915.602</v>
      </c>
      <c r="I16" s="12" t="n">
        <v>4884.783</v>
      </c>
      <c r="J16" s="12" t="n">
        <v>5611.648</v>
      </c>
      <c r="K16" s="12" t="n">
        <v>5650.182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</row>
    <row r="18">
      <c r="A18" s="9" t="inlineStr">
        <is>
          <t>유동부채</t>
        </is>
      </c>
      <c r="B18" s="10" t="n"/>
      <c r="C18" s="11" t="n">
        <v>1184.975</v>
      </c>
      <c r="D18" s="12" t="n">
        <v>1169.505</v>
      </c>
      <c r="E18" s="12" t="n">
        <v>1156.746</v>
      </c>
      <c r="F18" s="12" t="n">
        <v>1543.49</v>
      </c>
      <c r="G18" s="12" t="n">
        <v>1510.935</v>
      </c>
      <c r="H18" s="11" t="n">
        <v>1127.503</v>
      </c>
      <c r="I18" s="12" t="n">
        <v>1007.068</v>
      </c>
      <c r="J18" s="12" t="n">
        <v>1141.948</v>
      </c>
      <c r="K18" s="12" t="n">
        <v>1169.505</v>
      </c>
    </row>
    <row r="19">
      <c r="A19" s="18" t="inlineStr">
        <is>
          <t>매입채무</t>
        </is>
      </c>
      <c r="B19" s="10" t="n"/>
      <c r="C19" s="19" t="n">
        <v>420.452</v>
      </c>
      <c r="D19" s="20" t="n">
        <v>489.369</v>
      </c>
      <c r="E19" s="20" t="n">
        <v>429.872</v>
      </c>
      <c r="F19" s="20" t="n">
        <v>432.553</v>
      </c>
      <c r="G19" s="20" t="n">
        <v>461.559</v>
      </c>
      <c r="H19" s="19" t="n">
        <v>379.585</v>
      </c>
      <c r="I19" s="20" t="n">
        <v>400.595</v>
      </c>
      <c r="J19" s="20" t="n">
        <v>391.965</v>
      </c>
      <c r="K19" s="20" t="n">
        <v>489.369</v>
      </c>
    </row>
    <row r="20">
      <c r="A20" s="18" t="inlineStr">
        <is>
          <t>단기차입금</t>
        </is>
      </c>
      <c r="B20" s="10" t="n"/>
      <c r="C20" s="19" t="n">
        <v>150.014</v>
      </c>
      <c r="D20" s="20" t="n">
        <v>149.984</v>
      </c>
      <c r="E20" s="20" t="n">
        <v>149.984</v>
      </c>
      <c r="F20" s="20" t="n">
        <v>449.984</v>
      </c>
      <c r="G20" s="20" t="n">
        <v>389.576</v>
      </c>
      <c r="H20" s="19" t="n">
        <v>210.084</v>
      </c>
      <c r="I20" s="20" t="n">
        <v>110.084</v>
      </c>
      <c r="J20" s="20" t="n">
        <v>222.551</v>
      </c>
      <c r="K20" s="20" t="n">
        <v>149.984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695.761</v>
      </c>
      <c r="D23" s="12" t="n">
        <v>667.795</v>
      </c>
      <c r="E23" s="12" t="n">
        <v>643.907</v>
      </c>
      <c r="F23" s="12" t="n">
        <v>613.529</v>
      </c>
      <c r="G23" s="12" t="n">
        <v>1522.948</v>
      </c>
      <c r="H23" s="11" t="n">
        <v>509.436</v>
      </c>
      <c r="I23" s="12" t="n">
        <v>434.206</v>
      </c>
      <c r="J23" s="12" t="n">
        <v>732.284</v>
      </c>
      <c r="K23" s="12" t="n">
        <v>667.795</v>
      </c>
    </row>
    <row r="24">
      <c r="A24" s="18" t="inlineStr">
        <is>
          <t>장기차입금</t>
        </is>
      </c>
      <c r="B24" s="10" t="n"/>
      <c r="C24" s="19" t="n">
        <v>390.034</v>
      </c>
      <c r="D24" s="20" t="n">
        <v>352.538</v>
      </c>
      <c r="E24" s="20" t="n">
        <v>315.042</v>
      </c>
      <c r="F24" s="20" t="n">
        <v>277.546</v>
      </c>
      <c r="G24" s="20" t="n">
        <v>1200.458</v>
      </c>
      <c r="H24" s="19" t="n">
        <v>191.969</v>
      </c>
      <c r="I24" s="20" t="n">
        <v>81.88500000000001</v>
      </c>
      <c r="J24" s="20" t="n">
        <v>454.343</v>
      </c>
      <c r="K24" s="20" t="n">
        <v>352.538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1880.737</v>
      </c>
      <c r="D27" s="12" t="n">
        <v>1837.301</v>
      </c>
      <c r="E27" s="12" t="n">
        <v>1800.653</v>
      </c>
      <c r="F27" s="12" t="n">
        <v>2157.02</v>
      </c>
      <c r="G27" s="12" t="n">
        <v>3033.883</v>
      </c>
      <c r="H27" s="11" t="n">
        <v>1636.939</v>
      </c>
      <c r="I27" s="12" t="n">
        <v>1441.274</v>
      </c>
      <c r="J27" s="12" t="n">
        <v>1874.232</v>
      </c>
      <c r="K27" s="12" t="n">
        <v>1837.301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</row>
    <row r="31">
      <c r="A31" s="9" t="inlineStr">
        <is>
          <t>지배주주지분</t>
        </is>
      </c>
      <c r="B31" s="10" t="n"/>
      <c r="C31" s="11" t="n">
        <v>3807.361</v>
      </c>
      <c r="D31" s="12" t="n">
        <v>3812.876</v>
      </c>
      <c r="E31" s="12" t="n">
        <v>3807.95</v>
      </c>
      <c r="F31" s="12" t="n">
        <v>3876.511</v>
      </c>
      <c r="G31" s="12" t="n">
        <v>4005.475</v>
      </c>
      <c r="H31" s="11" t="n">
        <v>3278.659</v>
      </c>
      <c r="I31" s="12" t="n">
        <v>3443.505</v>
      </c>
      <c r="J31" s="12" t="n">
        <v>3737.412</v>
      </c>
      <c r="K31" s="12" t="n">
        <v>3812.876</v>
      </c>
    </row>
    <row r="32">
      <c r="A32" s="18" t="inlineStr">
        <is>
          <t>자본금</t>
        </is>
      </c>
      <c r="B32" s="10" t="n"/>
      <c r="C32" s="19" t="n">
        <v>1518.454</v>
      </c>
      <c r="D32" s="20" t="n">
        <v>1518.454</v>
      </c>
      <c r="E32" s="20" t="n">
        <v>1518.454</v>
      </c>
      <c r="F32" s="20" t="n">
        <v>1518.454</v>
      </c>
      <c r="G32" s="20" t="n">
        <v>1518.454</v>
      </c>
      <c r="H32" s="19" t="n">
        <v>1518.454</v>
      </c>
      <c r="I32" s="20" t="n">
        <v>1518.454</v>
      </c>
      <c r="J32" s="20" t="n">
        <v>1518.454</v>
      </c>
      <c r="K32" s="20" t="n">
        <v>1518.454</v>
      </c>
    </row>
    <row r="33">
      <c r="A33" s="18" t="inlineStr">
        <is>
          <t>이익잉여금</t>
        </is>
      </c>
      <c r="B33" s="10" t="n"/>
      <c r="C33" s="19" t="n">
        <v>1408.465</v>
      </c>
      <c r="D33" s="20" t="n">
        <v>1362.619</v>
      </c>
      <c r="E33" s="20" t="n">
        <v>1287.932</v>
      </c>
      <c r="F33" s="20" t="n">
        <v>1352.773</v>
      </c>
      <c r="G33" s="20" t="n">
        <v>1403.025</v>
      </c>
      <c r="H33" s="19" t="n">
        <v>1082.338</v>
      </c>
      <c r="I33" s="20" t="n">
        <v>1183.141</v>
      </c>
      <c r="J33" s="20" t="n">
        <v>1387.057</v>
      </c>
      <c r="K33" s="20" t="n">
        <v>1362.619</v>
      </c>
    </row>
    <row r="34">
      <c r="A34" s="18" t="inlineStr">
        <is>
          <t>비지배지분</t>
        </is>
      </c>
      <c r="B34" s="10" t="n"/>
      <c r="C34" s="19" t="n">
        <v>0.005</v>
      </c>
      <c r="D34" s="20" t="n">
        <v>0.005</v>
      </c>
      <c r="E34" s="20" t="n">
        <v>0.006</v>
      </c>
      <c r="F34" s="20" t="n">
        <v>0.005</v>
      </c>
      <c r="G34" s="20" t="n">
        <v>0.005</v>
      </c>
      <c r="H34" s="19" t="n">
        <v>0.003</v>
      </c>
      <c r="I34" s="20" t="n">
        <v>0.004</v>
      </c>
      <c r="J34" s="20" t="n">
        <v>0.004</v>
      </c>
      <c r="K34" s="20" t="n">
        <v>0.005</v>
      </c>
    </row>
    <row r="35">
      <c r="A35" s="9" t="inlineStr">
        <is>
          <t>자본총계</t>
        </is>
      </c>
      <c r="B35" s="10" t="n"/>
      <c r="C35" s="11" t="n">
        <v>3807.366</v>
      </c>
      <c r="D35" s="12" t="n">
        <v>3812.881</v>
      </c>
      <c r="E35" s="12" t="n">
        <v>3807.956</v>
      </c>
      <c r="F35" s="12" t="n">
        <v>3876.516</v>
      </c>
      <c r="G35" s="12" t="n">
        <v>4005.48</v>
      </c>
      <c r="H35" s="11" t="n">
        <v>3278.662</v>
      </c>
      <c r="I35" s="12" t="n">
        <v>3443.509</v>
      </c>
      <c r="J35" s="12" t="n">
        <v>3737.416</v>
      </c>
      <c r="K35" s="12" t="n">
        <v>3812.881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</row>
    <row r="37">
      <c r="A37" s="9" t="inlineStr">
        <is>
          <t>영업활동현금흐름</t>
        </is>
      </c>
      <c r="B37" s="10" t="n"/>
      <c r="C37" s="11" t="n"/>
      <c r="D37" s="12" t="n">
        <v>418.599</v>
      </c>
      <c r="E37" s="12" t="n"/>
      <c r="F37" s="12" t="n"/>
      <c r="G37" s="12" t="n"/>
      <c r="H37" s="11" t="n">
        <v>144.588</v>
      </c>
      <c r="I37" s="12" t="n">
        <v>385.131</v>
      </c>
      <c r="J37" s="12" t="n">
        <v>499.535</v>
      </c>
      <c r="K37" s="12" t="n">
        <v>418.599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843.081</v>
      </c>
      <c r="E38" s="20" t="n"/>
      <c r="F38" s="20" t="n"/>
      <c r="G38" s="20" t="n"/>
      <c r="H38" s="19" t="n">
        <v>74.27500000000001</v>
      </c>
      <c r="I38" s="20" t="n">
        <v>232.026</v>
      </c>
      <c r="J38" s="20" t="n">
        <v>276.158</v>
      </c>
      <c r="K38" s="20" t="n">
        <v>843.081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59.628</v>
      </c>
      <c r="E40" s="20" t="n"/>
      <c r="F40" s="20" t="n"/>
      <c r="G40" s="20" t="n"/>
      <c r="H40" s="19" t="n">
        <v>59.354</v>
      </c>
      <c r="I40" s="20" t="n">
        <v>59.532</v>
      </c>
      <c r="J40" s="20" t="n">
        <v>59.696</v>
      </c>
      <c r="K40" s="20" t="n">
        <v>59.628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IFERROR((IF(COUNT('연간'!F34:I34)&lt;4,"",SUM('연간'!F34:I34)))/(IF(COUNT('연간'!F56:I56)&lt;4,"",SUM('연간'!F56:I56))),"")</f>
        <v/>
      </c>
      <c r="D48" s="31">
        <f>IFERROR((IF(COUNT('연간'!G34:J34)&lt;4,"",SUM('연간'!G34:J34)))/(IF(COUNT('연간'!G56:J56)&lt;4,"",SUM('연간'!G56:J56))),"")</f>
        <v/>
      </c>
      <c r="E48" s="31">
        <f>IFERROR((IF(COUNT('연간'!H34:K34)&lt;4,"",SUM('연간'!H34:K34)))/(IF(COUNT('연간'!H56:K56)&lt;4,"",SUM('연간'!H56:K56))),"")</f>
        <v/>
      </c>
      <c r="F48" s="31">
        <f>IFERROR((IF(COUNT('연간'!I34:L34)&lt;4,"",SUM('연간'!I34:L34)))/(IF(COUNT('연간'!I56:L56)&lt;4,"",SUM('연간'!I56:L56))),"")</f>
        <v/>
      </c>
      <c r="G48" s="31">
        <f>IFERROR((IF(COUNT('연간'!J34:M34)&lt;4,"",SUM('연간'!J34:M34)))/(IF(COUNT('연간'!J56:M56)&lt;4,"",SUM('연간'!J56:M56))),"")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IFERROR(IF((IF(COUNT('연간'!F64:I64)&lt;4,"",SUM('연간'!F64:I64)))&lt;=0,"적자",C28/(IF(COUNT('연간'!F64:I64)&lt;4,"",SUM('연간'!F64:I64)))),"")</f>
        <v/>
      </c>
      <c r="D49" s="47">
        <f>IFERROR(IF((IF(COUNT('연간'!G64:J64)&lt;4,"",SUM('연간'!G64:J64)))&lt;=0,"적자",D28/(IF(COUNT('연간'!G64:J64)&lt;4,"",SUM('연간'!G64:J64)))),"")</f>
        <v/>
      </c>
      <c r="E49" s="47">
        <f>IFERROR(IF((IF(COUNT('연간'!H64:K64)&lt;4,"",SUM('연간'!H64:K64)))&lt;=0,"적자",E28/(IF(COUNT('연간'!H64:K64)&lt;4,"",SUM('연간'!H64:K64)))),"")</f>
        <v/>
      </c>
      <c r="F49" s="47">
        <f>IFERROR(IF((IF(COUNT('연간'!I64:L64)&lt;4,"",SUM('연간'!I64:L64)))&lt;=0,"적자",F28/(IF(COUNT('연간'!I64:L64)&lt;4,"",SUM('연간'!I64:L64)))),"")</f>
        <v/>
      </c>
      <c r="G49" s="47">
        <f>IFERROR(IF((IF(COUNT('연간'!J64:M64)&lt;4,"",SUM('연간'!J64:M64)))&lt;=0,"적자",G28/(IF(COUNT('연간'!J64:M64)&lt;4,"",SUM('연간'!J64:M64)))),"")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IFERROR((IF(COUNT('연간'!F64:I64)&lt;4,"",SUM('연간'!F64:I64)))/C31,"")</f>
        <v/>
      </c>
      <c r="D51" s="36">
        <f>IFERROR((IF(COUNT('연간'!G64:J64)&lt;4,"",SUM('연간'!G64:J64)))/D31,"")</f>
        <v/>
      </c>
      <c r="E51" s="36">
        <f>IFERROR((IF(COUNT('연간'!H64:K64)&lt;4,"",SUM('연간'!H64:K64)))/E31,"")</f>
        <v/>
      </c>
      <c r="F51" s="36">
        <f>IFERROR((IF(COUNT('연간'!I64:L64)&lt;4,"",SUM('연간'!I64:L64)))/F31,"")</f>
        <v/>
      </c>
      <c r="G51" s="36">
        <f>IFERROR((IF(COUNT('연간'!J64:M64)&lt;4,"",SUM('연간'!J64:M64)))/G31,"")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IFERROR((IF(COUNT('연간'!F62:I62)&lt;4,"",SUM('연간'!F62:I62)))/C16,"")</f>
        <v/>
      </c>
      <c r="D52" s="36">
        <f>IFERROR((IF(COUNT('연간'!G62:J62)&lt;4,"",SUM('연간'!G62:J62)))/D16,"")</f>
        <v/>
      </c>
      <c r="E52" s="36">
        <f>IFERROR((IF(COUNT('연간'!H62:K62)&lt;4,"",SUM('연간'!H62:K62)))/E16,"")</f>
        <v/>
      </c>
      <c r="F52" s="36">
        <f>IFERROR((IF(COUNT('연간'!I62:L62)&lt;4,"",SUM('연간'!I62:L62)))/F16,"")</f>
        <v/>
      </c>
      <c r="G52" s="36">
        <f>IFERROR((IF(COUNT('연간'!J62:M62)&lt;4,"",SUM('연간'!J62:M62)))/G16,"")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IFERROR((IF(COUNT('연간'!F34:I34)&lt;4,"",SUM('연간'!F34:I34)))*(1-0.3)/(C35+C29),"")</f>
        <v/>
      </c>
      <c r="D53" s="36">
        <f>IFERROR((IF(COUNT('연간'!G34:J34)&lt;4,"",SUM('연간'!G34:J34)))*(1-0.3)/(D35+D29),"")</f>
        <v/>
      </c>
      <c r="E53" s="36">
        <f>IFERROR((IF(COUNT('연간'!H34:K34)&lt;4,"",SUM('연간'!H34:K34)))*(1-0.3)/(E35+E29),"")</f>
        <v/>
      </c>
      <c r="F53" s="36">
        <f>IFERROR((IF(COUNT('연간'!I34:L34)&lt;4,"",SUM('연간'!I34:L34)))*(1-0.3)/(F35+F29),"")</f>
        <v/>
      </c>
      <c r="G53" s="36">
        <f>IFERROR((IF(COUNT('연간'!J34:M34)&lt;4,"",SUM('연간'!J34:M34)))*(1-0.3)/(G35+G29),"")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IFERROR((IF(COUNT('연간'!F28:I28)&lt;4,"",SUM('연간'!F28:I28)))/(IF(COUNT('연간'!F4:I4)&lt;4,"",SUM('연간'!F4:I4))),"")</f>
        <v/>
      </c>
      <c r="D54" s="36">
        <f>IFERROR((IF(COUNT('연간'!G28:J28)&lt;4,"",SUM('연간'!G28:J28)))/(IF(COUNT('연간'!G4:J4)&lt;4,"",SUM('연간'!G4:J4))),"")</f>
        <v/>
      </c>
      <c r="E54" s="36">
        <f>IFERROR((IF(COUNT('연간'!H28:K28)&lt;4,"",SUM('연간'!H28:K28)))/(IF(COUNT('연간'!H4:K4)&lt;4,"",SUM('연간'!H4:K4))),"")</f>
        <v/>
      </c>
      <c r="F54" s="36">
        <f>IFERROR((IF(COUNT('연간'!I28:L28)&lt;4,"",SUM('연간'!I28:L28)))/(IF(COUNT('연간'!I4:L4)&lt;4,"",SUM('연간'!I4:L4))),"")</f>
        <v/>
      </c>
      <c r="G54" s="36">
        <f>IFERROR((IF(COUNT('연간'!J28:M28)&lt;4,"",SUM('연간'!J28:M28)))/(IF(COUNT('연간'!J4:M4)&lt;4,"",SUM('연간'!J4:M4))),"")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IFERROR((IF(COUNT('연간'!F34:I34)&lt;4,"",SUM('연간'!F34:I34)))/(IF(COUNT('연간'!F4:I4)&lt;4,"",SUM('연간'!F4:I4))),"")</f>
        <v/>
      </c>
      <c r="D55" s="36">
        <f>IFERROR((IF(COUNT('연간'!G34:J34)&lt;4,"",SUM('연간'!G34:J34)))/(IF(COUNT('연간'!G4:J4)&lt;4,"",SUM('연간'!G4:J4))),"")</f>
        <v/>
      </c>
      <c r="E55" s="36">
        <f>IFERROR((IF(COUNT('연간'!H34:K34)&lt;4,"",SUM('연간'!H34:K34)))/(IF(COUNT('연간'!H4:K4)&lt;4,"",SUM('연간'!H4:K4))),"")</f>
        <v/>
      </c>
      <c r="F55" s="36">
        <f>IFERROR((IF(COUNT('연간'!I34:L34)&lt;4,"",SUM('연간'!I34:L34)))/(IF(COUNT('연간'!I4:L4)&lt;4,"",SUM('연간'!I4:L4))),"")</f>
        <v/>
      </c>
      <c r="G55" s="36">
        <f>IFERROR((IF(COUNT('연간'!J34:M34)&lt;4,"",SUM('연간'!J34:M34)))/(IF(COUNT('연간'!J4:M4)&lt;4,"",SUM('연간'!J4:M4))),"")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IFERROR((IF(COUNT('연간'!F62:I62)&lt;4,"",SUM('연간'!F62:I62)))/(IF(COUNT('연간'!F4:I4)&lt;4,"",SUM('연간'!F4:I4))),"")</f>
        <v/>
      </c>
      <c r="D56" s="36">
        <f>IFERROR((IF(COUNT('연간'!G62:J62)&lt;4,"",SUM('연간'!G62:J62)))/(IF(COUNT('연간'!G4:J4)&lt;4,"",SUM('연간'!G4:J4))),"")</f>
        <v/>
      </c>
      <c r="E56" s="36">
        <f>IFERROR((IF(COUNT('연간'!H62:K62)&lt;4,"",SUM('연간'!H62:K62)))/(IF(COUNT('연간'!H4:K4)&lt;4,"",SUM('연간'!H4:K4))),"")</f>
        <v/>
      </c>
      <c r="F56" s="36">
        <f>IFERROR((IF(COUNT('연간'!I62:L62)&lt;4,"",SUM('연간'!I62:L62)))/(IF(COUNT('연간'!I4:L4)&lt;4,"",SUM('연간'!I4:L4))),"")</f>
        <v/>
      </c>
      <c r="G56" s="36">
        <f>IFERROR((IF(COUNT('연간'!J62:M62)&lt;4,"",SUM('연간'!J62:M62)))/(IF(COUNT('연간'!J4:M4)&lt;4,"",SUM('연간'!J4:M4))),"")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IFERROR((IF(COUNT('연간'!F4:I4)&lt;4,"",SUM('연간'!F4:I4)))/C16,"")</f>
        <v/>
      </c>
      <c r="D58" s="31">
        <f>IFERROR((IF(COUNT('연간'!G4:J4)&lt;4,"",SUM('연간'!G4:J4)))/D16,"")</f>
        <v/>
      </c>
      <c r="E58" s="31">
        <f>IFERROR((IF(COUNT('연간'!H4:K4)&lt;4,"",SUM('연간'!H4:K4)))/E16,"")</f>
        <v/>
      </c>
      <c r="F58" s="31">
        <f>IFERROR((IF(COUNT('연간'!I4:L4)&lt;4,"",SUM('연간'!I4:L4)))/F16,"")</f>
        <v/>
      </c>
      <c r="G58" s="31">
        <f>IFERROR((IF(COUNT('연간'!J4:M4)&lt;4,"",SUM('연간'!J4:M4)))/G16,"")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IFERROR(C8/(IF(COUNT('연간'!F4:I4)&lt;4,"",SUM('연간'!F4:I4)))*365,"")</f>
        <v/>
      </c>
      <c r="D59" s="49">
        <f>IFERROR(D8/(IF(COUNT('연간'!G4:J4)&lt;4,"",SUM('연간'!G4:J4)))*365,"")</f>
        <v/>
      </c>
      <c r="E59" s="49">
        <f>IFERROR(E8/(IF(COUNT('연간'!H4:K4)&lt;4,"",SUM('연간'!H4:K4)))*365,"")</f>
        <v/>
      </c>
      <c r="F59" s="49">
        <f>IFERROR(F8/(IF(COUNT('연간'!I4:L4)&lt;4,"",SUM('연간'!I4:L4)))*365,"")</f>
        <v/>
      </c>
      <c r="G59" s="49">
        <f>IFERROR(G8/(IF(COUNT('연간'!J4:M4)&lt;4,"",SUM('연간'!J4:M4)))*365,"")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IFERROR(C9/(IF(COUNT('연간'!F26:I26)&lt;4,"",SUM('연간'!F26:I26)))*365,"")</f>
        <v/>
      </c>
      <c r="D60" s="49">
        <f>IFERROR(D9/(IF(COUNT('연간'!G26:J26)&lt;4,"",SUM('연간'!G26:J26)))*365,"")</f>
        <v/>
      </c>
      <c r="E60" s="49">
        <f>IFERROR(E9/(IF(COUNT('연간'!H26:K26)&lt;4,"",SUM('연간'!H26:K26)))*365,"")</f>
        <v/>
      </c>
      <c r="F60" s="49">
        <f>IFERROR(F9/(IF(COUNT('연간'!I26:L26)&lt;4,"",SUM('연간'!I26:L26)))*365,"")</f>
        <v/>
      </c>
      <c r="G60" s="49">
        <f>IFERROR(G9/(IF(COUNT('연간'!J26:M26)&lt;4,"",SUM('연간'!J26:M26)))*365,"")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IFERROR(C19/(IF(COUNT('연간'!F26:I26)&lt;4,"",SUM('연간'!F26:I26)))*365,"")</f>
        <v/>
      </c>
      <c r="D61" s="49">
        <f>IFERROR(D19/(IF(COUNT('연간'!G26:J26)&lt;4,"",SUM('연간'!G26:J26)))*365,"")</f>
        <v/>
      </c>
      <c r="E61" s="49">
        <f>IFERROR(E19/(IF(COUNT('연간'!H26:K26)&lt;4,"",SUM('연간'!H26:K26)))*365,"")</f>
        <v/>
      </c>
      <c r="F61" s="49">
        <f>IFERROR(F19/(IF(COUNT('연간'!I26:L26)&lt;4,"",SUM('연간'!I26:L26)))*365,"")</f>
        <v/>
      </c>
      <c r="G61" s="49">
        <f>IFERROR(G19/(IF(COUNT('연간'!J26:M26)&lt;4,"",SUM('연간'!J26:M26)))*365,"")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IF(C37="","",IFERROR(C37/(IF(COUNT('연간'!F62:I62)&lt;4,"",SUM('연간'!F62:I62))),""))</f>
        <v/>
      </c>
      <c r="D64" s="31">
        <f>IF(D37="","",IFERROR(D37/(IF(COUNT('연간'!G62:J62)&lt;4,"",SUM('연간'!G62:J62))),""))</f>
        <v/>
      </c>
      <c r="E64" s="31">
        <f>IF(E37="","",IFERROR(E37/(IF(COUNT('연간'!H62:K62)&lt;4,"",SUM('연간'!H62:K62))),""))</f>
        <v/>
      </c>
      <c r="F64" s="31">
        <f>IF(F37="","",IFERROR(F37/(IF(COUNT('연간'!I62:L62)&lt;4,"",SUM('연간'!I62:L62))),""))</f>
        <v/>
      </c>
      <c r="G64" s="31">
        <f>IF(G37="","",IFERROR(G37/(IF(COUNT('연간'!J62:M62)&lt;4,"",SUM('연간'!J62:M62))),""))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IF(C39="","",IFERROR(C39/(IF(COUNT('연간'!F4:I4)&lt;4,"",SUM('연간'!F4:I4))),""))</f>
        <v/>
      </c>
      <c r="D65" s="36">
        <f>IF(D39="","",IFERROR(D39/(IF(COUNT('연간'!G4:J4)&lt;4,"",SUM('연간'!G4:J4))),""))</f>
        <v/>
      </c>
      <c r="E65" s="36">
        <f>IF(E39="","",IFERROR(E39/(IF(COUNT('연간'!H4:K4)&lt;4,"",SUM('연간'!H4:K4))),""))</f>
        <v/>
      </c>
      <c r="F65" s="36">
        <f>IF(F39="","",IFERROR(F39/(IF(COUNT('연간'!I4:L4)&lt;4,"",SUM('연간'!I4:L4))),""))</f>
        <v/>
      </c>
      <c r="G65" s="36">
        <f>IF(G39="","",IFERROR(G39/(IF(COUNT('연간'!J4:M4)&lt;4,"",SUM('연간'!J4:M4))),""))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IF(C38="","",IFERROR(C38/(IF(COUNT('연간'!F4:I4)&lt;4,"",SUM('연간'!F4:I4))),""))</f>
        <v/>
      </c>
      <c r="D66" s="36">
        <f>IF(D38="","",IFERROR(D38/(IF(COUNT('연간'!G4:J4)&lt;4,"",SUM('연간'!G4:J4))),""))</f>
        <v/>
      </c>
      <c r="E66" s="36">
        <f>IF(E38="","",IFERROR(E38/(IF(COUNT('연간'!H4:K4)&lt;4,"",SUM('연간'!H4:K4))),""))</f>
        <v/>
      </c>
      <c r="F66" s="36">
        <f>IF(F38="","",IFERROR(F38/(IF(COUNT('연간'!I4:L4)&lt;4,"",SUM('연간'!I4:L4))),""))</f>
        <v/>
      </c>
      <c r="G66" s="36">
        <f>IF(G38="","",IFERROR(G38/(IF(COUNT('연간'!J4:M4)&lt;4,"",SUM('연간'!J4:M4))),""))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IF(C40="","",IFERROR(C40/(IF(COUNT('연간'!F64:I64)&lt;4,"",SUM('연간'!F64:I64))),""))</f>
        <v/>
      </c>
      <c r="D67" s="36">
        <f>IF(D40="","",IFERROR(D40/(IF(COUNT('연간'!G64:J64)&lt;4,"",SUM('연간'!G64:J64))),""))</f>
        <v/>
      </c>
      <c r="E67" s="36">
        <f>IF(E40="","",IFERROR(E40/(IF(COUNT('연간'!H64:K64)&lt;4,"",SUM('연간'!H64:K64))),""))</f>
        <v/>
      </c>
      <c r="F67" s="36">
        <f>IF(F40="","",IFERROR(F40/(IF(COUNT('연간'!I64:L64)&lt;4,"",SUM('연간'!I64:L64))),""))</f>
        <v/>
      </c>
      <c r="G67" s="36">
        <f>IF(G40="","",IFERROR(G40/(IF(COUNT('연간'!J64:M64)&lt;4,"",SUM('연간'!J64:M64))),""))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2026.3Q</t>
        </is>
      </c>
      <c r="D70" s="5" t="inlineStr">
        <is>
          <t>2026.4Q</t>
        </is>
      </c>
      <c r="E70" s="5" t="inlineStr">
        <is>
          <t>2027.1Q</t>
        </is>
      </c>
      <c r="F70" s="5" t="inlineStr">
        <is>
          <t>2027.2Q</t>
        </is>
      </c>
      <c r="G70" s="5" t="inlineStr">
        <is>
          <t>2027.3Q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  <c r="K70" s="5" t="inlineStr">
        <is>
          <t>2026</t>
        </is>
      </c>
    </row>
    <row r="71">
      <c r="A71" s="18" t="inlineStr">
        <is>
          <t>현금 및 예금</t>
        </is>
      </c>
      <c r="C71" s="20" t="n">
        <v>883.8390000000001</v>
      </c>
      <c r="D71" s="20" t="n">
        <v>587.071</v>
      </c>
      <c r="E71" s="20" t="n">
        <v>682.082</v>
      </c>
      <c r="F71" s="20" t="n">
        <v>890.502</v>
      </c>
      <c r="G71" s="20" t="n">
        <v>1812.83</v>
      </c>
      <c r="H71" s="20" t="n">
        <v>870.986</v>
      </c>
      <c r="I71" s="20" t="n">
        <v>870.99</v>
      </c>
      <c r="J71" s="20" t="n">
        <v>913.121</v>
      </c>
      <c r="K71" s="20" t="n">
        <v>587.071</v>
      </c>
    </row>
    <row r="72">
      <c r="A72" s="18" t="inlineStr">
        <is>
          <t>매출채권</t>
        </is>
      </c>
      <c r="C72" s="20" t="n">
        <v>837.08</v>
      </c>
      <c r="D72" s="20" t="n">
        <v>969.287</v>
      </c>
      <c r="E72" s="20" t="n">
        <v>795.849</v>
      </c>
      <c r="F72" s="20" t="n">
        <v>950.146</v>
      </c>
      <c r="G72" s="20" t="n">
        <v>908.975</v>
      </c>
      <c r="H72" s="20" t="n">
        <v>679.814</v>
      </c>
      <c r="I72" s="20" t="n">
        <v>720.665</v>
      </c>
      <c r="J72" s="20" t="n">
        <v>796.159</v>
      </c>
      <c r="K72" s="20" t="n">
        <v>969.287</v>
      </c>
    </row>
    <row r="73">
      <c r="A73" s="18" t="inlineStr">
        <is>
          <t>상품·제품</t>
        </is>
      </c>
      <c r="C73" s="20" t="n">
        <v>187.974</v>
      </c>
      <c r="D73" s="20" t="n">
        <v>201.293</v>
      </c>
      <c r="E73" s="20" t="n">
        <v>193.244</v>
      </c>
      <c r="F73" s="20" t="n">
        <v>206.132</v>
      </c>
      <c r="G73" s="20" t="n">
        <v>227.761</v>
      </c>
      <c r="H73" s="20" t="n">
        <v>185.168</v>
      </c>
      <c r="I73" s="20" t="n">
        <v>216.386</v>
      </c>
      <c r="J73" s="20" t="n">
        <v>209.024</v>
      </c>
      <c r="K73" s="20" t="n">
        <v>201.293</v>
      </c>
    </row>
    <row r="74">
      <c r="A74" s="18" t="inlineStr">
        <is>
          <t>원재료·저장품</t>
        </is>
      </c>
      <c r="C74" s="20" t="n">
        <v>28.098</v>
      </c>
      <c r="D74" s="20" t="n">
        <v>32.358</v>
      </c>
      <c r="E74" s="20" t="n">
        <v>26.847</v>
      </c>
      <c r="F74" s="20" t="n">
        <v>31.7</v>
      </c>
      <c r="G74" s="20" t="n">
        <v>33.508</v>
      </c>
      <c r="H74" s="20" t="n">
        <v>25.603</v>
      </c>
      <c r="I74" s="20" t="n">
        <v>26.364</v>
      </c>
      <c r="J74" s="20" t="n">
        <v>30.647</v>
      </c>
      <c r="K74" s="20" t="n">
        <v>32.358</v>
      </c>
    </row>
    <row r="75">
      <c r="A75" s="18" t="inlineStr">
        <is>
          <t>기타</t>
        </is>
      </c>
      <c r="C75" s="20" t="n">
        <v>189.844</v>
      </c>
      <c r="D75" s="20" t="n">
        <v>124.101</v>
      </c>
      <c r="E75" s="20" t="n">
        <v>101.506</v>
      </c>
      <c r="F75" s="20" t="n">
        <v>122.463</v>
      </c>
      <c r="G75" s="20" t="n">
        <v>135.564</v>
      </c>
      <c r="H75" s="20" t="n">
        <v>198.28</v>
      </c>
      <c r="I75" s="20" t="n">
        <v>192.405</v>
      </c>
      <c r="J75" s="20" t="n">
        <v>213.314</v>
      </c>
      <c r="K75" s="20" t="n">
        <v>124.101</v>
      </c>
    </row>
    <row r="76">
      <c r="A76" s="9" t="inlineStr">
        <is>
          <t>유동자산 합계</t>
        </is>
      </c>
      <c r="C76" s="12" t="n">
        <v>2126.837</v>
      </c>
      <c r="D76" s="12" t="n">
        <v>1914.112</v>
      </c>
      <c r="E76" s="12" t="n">
        <v>1799.529</v>
      </c>
      <c r="F76" s="12" t="n">
        <v>2200.944</v>
      </c>
      <c r="G76" s="12" t="n">
        <v>3118.64</v>
      </c>
      <c r="H76" s="12" t="n">
        <v>1959.853</v>
      </c>
      <c r="I76" s="12" t="n">
        <v>2026.813</v>
      </c>
      <c r="J76" s="12" t="n">
        <v>2162.267</v>
      </c>
      <c r="K76" s="12" t="n">
        <v>1914.112</v>
      </c>
    </row>
    <row r="77">
      <c r="A77" s="18" t="inlineStr">
        <is>
          <t>건물·구축물(순액)</t>
        </is>
      </c>
      <c r="C77" s="20" t="n">
        <v>699.264</v>
      </c>
      <c r="D77" s="20" t="n">
        <v>796.801</v>
      </c>
      <c r="E77" s="20" t="n">
        <v>777.347</v>
      </c>
      <c r="F77" s="20" t="n">
        <v>814.881</v>
      </c>
      <c r="G77" s="20" t="n">
        <v>836.792</v>
      </c>
      <c r="H77" s="20" t="n">
        <v>601.385</v>
      </c>
      <c r="I77" s="20" t="n">
        <v>578.101</v>
      </c>
      <c r="J77" s="20" t="n">
        <v>668.1799999999999</v>
      </c>
      <c r="K77" s="20" t="n">
        <v>796.801</v>
      </c>
    </row>
    <row r="78">
      <c r="A78" s="18" t="inlineStr">
        <is>
          <t>기계장치·운반구(순액)</t>
        </is>
      </c>
      <c r="C78" s="20" t="n">
        <v>199.079</v>
      </c>
      <c r="D78" s="20" t="n">
        <v>239.168</v>
      </c>
      <c r="E78" s="20" t="n">
        <v>226.593</v>
      </c>
      <c r="F78" s="20" t="n">
        <v>220.523</v>
      </c>
      <c r="G78" s="20" t="n">
        <v>277.072</v>
      </c>
      <c r="H78" s="20" t="n">
        <v>243.122</v>
      </c>
      <c r="I78" s="20" t="n">
        <v>212.174</v>
      </c>
      <c r="J78" s="20" t="n">
        <v>224.315</v>
      </c>
      <c r="K78" s="20" t="n">
        <v>239.168</v>
      </c>
    </row>
    <row r="79">
      <c r="A79" s="18" t="inlineStr">
        <is>
          <t>공구·기구·비품(순액)</t>
        </is>
      </c>
      <c r="C79" s="20" t="n">
        <v>128.087</v>
      </c>
      <c r="D79" s="20" t="n">
        <v>151.381</v>
      </c>
      <c r="E79" s="20" t="n">
        <v>153.63</v>
      </c>
      <c r="F79" s="20" t="n">
        <v>166.43</v>
      </c>
      <c r="G79" s="20" t="n">
        <v>165.262</v>
      </c>
      <c r="H79" s="20" t="n">
        <v>88.896</v>
      </c>
      <c r="I79" s="20" t="n">
        <v>107.334</v>
      </c>
      <c r="J79" s="20" t="n">
        <v>127.426</v>
      </c>
      <c r="K79" s="20" t="n">
        <v>151.381</v>
      </c>
    </row>
    <row r="80">
      <c r="A80" s="18" t="inlineStr">
        <is>
          <t>토지</t>
        </is>
      </c>
      <c r="C80" s="20" t="n">
        <v>1071.028</v>
      </c>
      <c r="D80" s="20" t="n">
        <v>1071.028</v>
      </c>
      <c r="E80" s="20" t="n">
        <v>1071.028</v>
      </c>
      <c r="F80" s="20" t="n">
        <v>1071.028</v>
      </c>
      <c r="G80" s="20" t="n">
        <v>1071.028</v>
      </c>
      <c r="H80" s="20" t="n">
        <v>1071.028</v>
      </c>
      <c r="I80" s="20" t="n">
        <v>1071.028</v>
      </c>
      <c r="J80" s="20" t="n">
        <v>1071.028</v>
      </c>
      <c r="K80" s="20" t="n">
        <v>1071.028</v>
      </c>
    </row>
    <row r="81">
      <c r="A81" s="18" t="inlineStr">
        <is>
          <t>리스자산</t>
        </is>
      </c>
      <c r="C81" s="20" t="n">
        <v>336.757</v>
      </c>
      <c r="D81" s="20" t="n">
        <v>319.35</v>
      </c>
      <c r="E81" s="20" t="n">
        <v>310.256</v>
      </c>
      <c r="F81" s="20" t="n">
        <v>305.234</v>
      </c>
      <c r="G81" s="20" t="n">
        <v>293.601</v>
      </c>
      <c r="I81" s="20" t="n">
        <v>13.101</v>
      </c>
      <c r="J81" s="20" t="n">
        <v>358.108</v>
      </c>
      <c r="K81" s="20" t="n">
        <v>319.35</v>
      </c>
    </row>
    <row r="82">
      <c r="A82" s="18" t="inlineStr">
        <is>
          <t>건설중인자산</t>
        </is>
      </c>
      <c r="C82" s="20" t="n">
        <v>37.311</v>
      </c>
      <c r="D82" s="20" t="n">
        <v>0</v>
      </c>
      <c r="E82" s="20" t="n">
        <v>37.4</v>
      </c>
      <c r="F82" s="20" t="n">
        <v>0.3</v>
      </c>
      <c r="G82" s="20" t="n">
        <v>1.117</v>
      </c>
      <c r="H82" s="20" t="n">
        <v>7.5</v>
      </c>
      <c r="I82" s="20" t="n">
        <v>46.275</v>
      </c>
      <c r="J82" s="20" t="n">
        <v>6.645</v>
      </c>
      <c r="K82" s="20" t="n">
        <v>0</v>
      </c>
    </row>
    <row r="83">
      <c r="A83" s="18" t="inlineStr">
        <is>
          <t>유형자산 합계</t>
        </is>
      </c>
      <c r="C83" s="20" t="n">
        <v>2471.529</v>
      </c>
      <c r="D83" s="20" t="n">
        <v>2577.731</v>
      </c>
      <c r="E83" s="20" t="n">
        <v>2576.257</v>
      </c>
      <c r="F83" s="20" t="n">
        <v>2578.398</v>
      </c>
      <c r="G83" s="20" t="n">
        <v>2644.875</v>
      </c>
      <c r="H83" s="20" t="n">
        <v>2011.932</v>
      </c>
      <c r="I83" s="20" t="n">
        <v>2028.016</v>
      </c>
      <c r="J83" s="20" t="n">
        <v>2455.704</v>
      </c>
      <c r="K83" s="20" t="n">
        <v>2577.731</v>
      </c>
    </row>
    <row r="84">
      <c r="A84" s="18" t="inlineStr">
        <is>
          <t>소프트웨어</t>
        </is>
      </c>
      <c r="E84" s="20" t="n">
        <v>283.878</v>
      </c>
      <c r="F84" s="20" t="n">
        <v>287.382</v>
      </c>
      <c r="G84" s="20" t="n">
        <v>268.284</v>
      </c>
    </row>
    <row r="85">
      <c r="A85" s="18" t="inlineStr">
        <is>
          <t>기타</t>
        </is>
      </c>
      <c r="E85" s="20" t="n">
        <v>6.044</v>
      </c>
      <c r="F85" s="20" t="n">
        <v>6.023</v>
      </c>
      <c r="G85" s="20" t="n">
        <v>6.001</v>
      </c>
    </row>
    <row r="86">
      <c r="A86" s="18" t="inlineStr">
        <is>
          <t>무형자산 합계</t>
        </is>
      </c>
      <c r="C86" s="20" t="n">
        <v>247.804</v>
      </c>
      <c r="D86" s="20" t="n">
        <v>277.574</v>
      </c>
      <c r="E86" s="20" t="n">
        <v>289.923</v>
      </c>
      <c r="F86" s="20" t="n">
        <v>293.405</v>
      </c>
      <c r="G86" s="20" t="n">
        <v>274.286</v>
      </c>
      <c r="H86" s="20" t="n">
        <v>71.482</v>
      </c>
      <c r="I86" s="20" t="n">
        <v>50.96</v>
      </c>
      <c r="J86" s="20" t="n">
        <v>210.124</v>
      </c>
      <c r="K86" s="20" t="n">
        <v>277.574</v>
      </c>
    </row>
    <row r="87">
      <c r="A87" s="18" t="inlineStr">
        <is>
          <t>투자유가증권</t>
        </is>
      </c>
      <c r="C87" s="20" t="n">
        <v>524.297</v>
      </c>
      <c r="D87" s="20" t="n">
        <v>576.283</v>
      </c>
      <c r="E87" s="20" t="n">
        <v>641.933</v>
      </c>
      <c r="F87" s="20" t="n">
        <v>677.66</v>
      </c>
      <c r="G87" s="20" t="n">
        <v>762.143</v>
      </c>
      <c r="H87" s="20" t="n">
        <v>270.228</v>
      </c>
      <c r="I87" s="20" t="n">
        <v>329.919</v>
      </c>
      <c r="J87" s="20" t="n">
        <v>416.638</v>
      </c>
      <c r="K87" s="20" t="n">
        <v>576.283</v>
      </c>
    </row>
    <row r="88">
      <c r="A88" s="18" t="inlineStr">
        <is>
          <t>장기대여금</t>
        </is>
      </c>
      <c r="H88" s="20" t="n">
        <v>0</v>
      </c>
    </row>
    <row r="89">
      <c r="A89" s="18" t="inlineStr">
        <is>
          <t>관계회사 출자금</t>
        </is>
      </c>
      <c r="H89" s="20" t="n">
        <v>59.92</v>
      </c>
      <c r="I89" s="20" t="n">
        <v>0</v>
      </c>
    </row>
    <row r="90">
      <c r="A90" s="18" t="inlineStr">
        <is>
          <t>보증금</t>
        </is>
      </c>
      <c r="C90" s="20" t="n">
        <v>206.411</v>
      </c>
      <c r="D90" s="20" t="n">
        <v>208.487</v>
      </c>
      <c r="E90" s="20" t="n">
        <v>216.471</v>
      </c>
      <c r="F90" s="20" t="n">
        <v>215.372</v>
      </c>
      <c r="G90" s="20" t="n">
        <v>217.894</v>
      </c>
      <c r="H90" s="20" t="n">
        <v>257.867</v>
      </c>
      <c r="I90" s="20" t="n">
        <v>173.926</v>
      </c>
      <c r="J90" s="20" t="n">
        <v>208.305</v>
      </c>
      <c r="K90" s="20" t="n">
        <v>208.487</v>
      </c>
    </row>
    <row r="91">
      <c r="A91" s="18" t="inlineStr">
        <is>
          <t>보험적립금</t>
        </is>
      </c>
      <c r="C91" s="20" t="n">
        <v>20.5</v>
      </c>
      <c r="D91" s="20" t="n">
        <v>20.72</v>
      </c>
      <c r="E91" s="20" t="n">
        <v>20.94</v>
      </c>
      <c r="F91" s="20" t="n">
        <v>21.219</v>
      </c>
      <c r="G91" s="20" t="n">
        <v>16.31</v>
      </c>
      <c r="H91" s="20" t="n">
        <v>70.212</v>
      </c>
      <c r="I91" s="20" t="n">
        <v>70.982</v>
      </c>
      <c r="J91" s="20" t="n">
        <v>19.876</v>
      </c>
      <c r="K91" s="20" t="n">
        <v>20.72</v>
      </c>
    </row>
    <row r="92">
      <c r="A92" s="18" t="inlineStr">
        <is>
          <t>이연법인세자산</t>
        </is>
      </c>
      <c r="C92" s="20" t="n">
        <v>84.505</v>
      </c>
      <c r="D92" s="20" t="n">
        <v>69.31399999999999</v>
      </c>
      <c r="E92" s="20" t="n">
        <v>59.587</v>
      </c>
      <c r="F92" s="20" t="n">
        <v>41.085</v>
      </c>
      <c r="G92" s="20" t="n">
        <v>0</v>
      </c>
      <c r="H92" s="20" t="n">
        <v>209.552</v>
      </c>
      <c r="I92" s="20" t="n">
        <v>199.955</v>
      </c>
      <c r="J92" s="20" t="n">
        <v>133.847</v>
      </c>
      <c r="K92" s="20" t="n">
        <v>69.31399999999999</v>
      </c>
    </row>
    <row r="93">
      <c r="A93" s="18" t="inlineStr">
        <is>
          <t>기타</t>
        </is>
      </c>
      <c r="C93" s="20" t="n">
        <v>24.346</v>
      </c>
      <c r="D93" s="20" t="n">
        <v>24.058</v>
      </c>
      <c r="E93" s="20" t="n">
        <v>22.037</v>
      </c>
      <c r="F93" s="20" t="n">
        <v>23.256</v>
      </c>
      <c r="G93" s="20" t="n">
        <v>22.989</v>
      </c>
      <c r="H93" s="20" t="n">
        <v>22.818</v>
      </c>
      <c r="I93" s="20" t="n">
        <v>22.637</v>
      </c>
      <c r="J93" s="20" t="n">
        <v>23.138</v>
      </c>
      <c r="K93" s="20" t="n">
        <v>24.058</v>
      </c>
    </row>
    <row r="94">
      <c r="A94" s="18" t="inlineStr">
        <is>
          <t>대손충당금</t>
        </is>
      </c>
      <c r="C94" s="20" t="n">
        <v>-18.128</v>
      </c>
      <c r="D94" s="20" t="n">
        <v>-18.098</v>
      </c>
      <c r="E94" s="20" t="n">
        <v>-18.068</v>
      </c>
      <c r="F94" s="20" t="n">
        <v>-17.806</v>
      </c>
      <c r="G94" s="20" t="n">
        <v>-17.776</v>
      </c>
      <c r="H94" s="20" t="n">
        <v>-18.265</v>
      </c>
      <c r="I94" s="20" t="n">
        <v>-18.428</v>
      </c>
      <c r="J94" s="20" t="n">
        <v>-18.253</v>
      </c>
      <c r="K94" s="20" t="n">
        <v>-18.098</v>
      </c>
    </row>
    <row r="95">
      <c r="A95" s="18" t="inlineStr">
        <is>
          <t>투자 및 기타자산 합계</t>
        </is>
      </c>
      <c r="C95" s="20" t="n">
        <v>841.932</v>
      </c>
      <c r="D95" s="20" t="n">
        <v>880.765</v>
      </c>
      <c r="E95" s="20" t="n">
        <v>942.901</v>
      </c>
      <c r="F95" s="20" t="n">
        <v>960.788</v>
      </c>
      <c r="G95" s="20" t="n">
        <v>1001.561</v>
      </c>
      <c r="H95" s="20" t="n">
        <v>872.333</v>
      </c>
      <c r="I95" s="20" t="n">
        <v>778.9930000000001</v>
      </c>
      <c r="J95" s="20" t="n">
        <v>783.551</v>
      </c>
      <c r="K95" s="20" t="n">
        <v>880.765</v>
      </c>
    </row>
    <row r="96">
      <c r="A96" s="9" t="inlineStr">
        <is>
          <t>비유동자산 합계</t>
        </is>
      </c>
      <c r="C96" s="12" t="n">
        <v>3561.266</v>
      </c>
      <c r="D96" s="12" t="n">
        <v>3736.07</v>
      </c>
      <c r="E96" s="12" t="n">
        <v>3809.081</v>
      </c>
      <c r="F96" s="12" t="n">
        <v>3832.592</v>
      </c>
      <c r="G96" s="12" t="n">
        <v>3920.724</v>
      </c>
      <c r="H96" s="12" t="n">
        <v>2955.748</v>
      </c>
      <c r="I96" s="12" t="n">
        <v>2857.97</v>
      </c>
      <c r="J96" s="12" t="n">
        <v>3449.38</v>
      </c>
      <c r="K96" s="12" t="n">
        <v>3736.07</v>
      </c>
    </row>
    <row r="97">
      <c r="A97" s="9" t="inlineStr">
        <is>
          <t>자산 합계</t>
        </is>
      </c>
      <c r="C97" s="12" t="n">
        <v>5688.103</v>
      </c>
      <c r="D97" s="12" t="n">
        <v>5650.182</v>
      </c>
      <c r="E97" s="12" t="n">
        <v>5608.61</v>
      </c>
      <c r="F97" s="12" t="n">
        <v>6033.536</v>
      </c>
      <c r="G97" s="12" t="n">
        <v>7039.364</v>
      </c>
      <c r="H97" s="12" t="n">
        <v>4915.602</v>
      </c>
      <c r="I97" s="12" t="n">
        <v>4884.783</v>
      </c>
      <c r="J97" s="12" t="n">
        <v>5611.648</v>
      </c>
      <c r="K97" s="12" t="n">
        <v>5650.182</v>
      </c>
    </row>
    <row r="98">
      <c r="A98" s="18" t="inlineStr">
        <is>
          <t>매입채무</t>
        </is>
      </c>
      <c r="C98" s="20" t="n">
        <v>420.452</v>
      </c>
      <c r="D98" s="20" t="n">
        <v>489.369</v>
      </c>
      <c r="E98" s="20" t="n">
        <v>429.872</v>
      </c>
      <c r="F98" s="20" t="n">
        <v>432.553</v>
      </c>
      <c r="G98" s="20" t="n">
        <v>461.559</v>
      </c>
      <c r="H98" s="20" t="n">
        <v>379.585</v>
      </c>
      <c r="I98" s="20" t="n">
        <v>400.595</v>
      </c>
      <c r="J98" s="20" t="n">
        <v>391.965</v>
      </c>
      <c r="K98" s="20" t="n">
        <v>489.369</v>
      </c>
    </row>
    <row r="99">
      <c r="A99" s="18" t="inlineStr">
        <is>
          <t>단기차입금</t>
        </is>
      </c>
      <c r="C99" s="20" t="n">
        <v>150.014</v>
      </c>
      <c r="D99" s="20" t="n">
        <v>149.984</v>
      </c>
      <c r="E99" s="20" t="n">
        <v>149.984</v>
      </c>
      <c r="F99" s="20" t="n">
        <v>449.984</v>
      </c>
      <c r="G99" s="20" t="n">
        <v>389.576</v>
      </c>
      <c r="H99" s="20" t="n">
        <v>210.084</v>
      </c>
      <c r="I99" s="20" t="n">
        <v>110.084</v>
      </c>
      <c r="J99" s="20" t="n">
        <v>222.551</v>
      </c>
      <c r="K99" s="20" t="n">
        <v>149.984</v>
      </c>
    </row>
    <row r="100">
      <c r="A100" s="18" t="inlineStr">
        <is>
          <t>리스부채</t>
        </is>
      </c>
      <c r="C100" s="20" t="n">
        <v>2.628</v>
      </c>
      <c r="D100" s="20" t="n">
        <v>2.628</v>
      </c>
      <c r="E100" s="20" t="n">
        <v>3.81</v>
      </c>
      <c r="F100" s="20" t="n">
        <v>3.81</v>
      </c>
      <c r="G100" s="20" t="n">
        <v>3.81</v>
      </c>
      <c r="I100" s="20" t="n">
        <v>4.337</v>
      </c>
      <c r="J100" s="20" t="n">
        <v>1.908</v>
      </c>
      <c r="K100" s="20" t="n">
        <v>2.628</v>
      </c>
    </row>
    <row r="101">
      <c r="A101" s="18" t="inlineStr">
        <is>
          <t>미지급금</t>
        </is>
      </c>
      <c r="C101" s="20" t="n">
        <v>25.939</v>
      </c>
      <c r="D101" s="20" t="n">
        <v>14.461</v>
      </c>
      <c r="E101" s="20" t="n">
        <v>38.275</v>
      </c>
      <c r="F101" s="20" t="n">
        <v>17.472</v>
      </c>
      <c r="G101" s="20" t="n">
        <v>97.371</v>
      </c>
      <c r="J101" s="20" t="n">
        <v>28.562</v>
      </c>
      <c r="K101" s="20" t="n">
        <v>14.461</v>
      </c>
    </row>
    <row r="102">
      <c r="A102" s="18" t="inlineStr">
        <is>
          <t>미지급법인세</t>
        </is>
      </c>
      <c r="C102" s="20" t="n">
        <v>29.124</v>
      </c>
      <c r="D102" s="20" t="n">
        <v>13.251</v>
      </c>
      <c r="E102" s="20" t="n">
        <v>28.111</v>
      </c>
      <c r="F102" s="20" t="n">
        <v>34.715</v>
      </c>
      <c r="G102" s="20" t="n">
        <v>31.193</v>
      </c>
      <c r="H102" s="20" t="n">
        <v>26.529</v>
      </c>
      <c r="I102" s="20" t="n">
        <v>11.536</v>
      </c>
      <c r="J102" s="20" t="n">
        <v>13.926</v>
      </c>
      <c r="K102" s="20" t="n">
        <v>13.251</v>
      </c>
    </row>
    <row r="103">
      <c r="A103" s="18" t="inlineStr">
        <is>
          <t>상여충당금</t>
        </is>
      </c>
      <c r="C103" s="20" t="n">
        <v>98.833</v>
      </c>
      <c r="D103" s="20" t="n">
        <v>51.785</v>
      </c>
      <c r="E103" s="20" t="n">
        <v>105.585</v>
      </c>
      <c r="F103" s="20" t="n">
        <v>159.967</v>
      </c>
      <c r="G103" s="20" t="n">
        <v>107.972</v>
      </c>
      <c r="H103" s="20" t="n">
        <v>43.188</v>
      </c>
      <c r="I103" s="20" t="n">
        <v>43.316</v>
      </c>
      <c r="J103" s="20" t="n">
        <v>44.6</v>
      </c>
      <c r="K103" s="20" t="n">
        <v>51.785</v>
      </c>
    </row>
    <row r="104">
      <c r="A104" s="18" t="inlineStr">
        <is>
          <t>임원 상여충당금</t>
        </is>
      </c>
      <c r="C104" s="20" t="n">
        <v>0</v>
      </c>
      <c r="D104" s="20" t="n">
        <v>0</v>
      </c>
      <c r="E104" s="20" t="n">
        <v>0</v>
      </c>
      <c r="K104" s="20" t="n">
        <v>0</v>
      </c>
    </row>
    <row r="105">
      <c r="A105" s="18" t="inlineStr">
        <is>
          <t>미지급비용</t>
        </is>
      </c>
      <c r="C105" s="20" t="n">
        <v>324.195</v>
      </c>
      <c r="D105" s="20" t="n">
        <v>348.93</v>
      </c>
      <c r="E105" s="20" t="n">
        <v>330.178</v>
      </c>
      <c r="F105" s="20" t="n">
        <v>357.628</v>
      </c>
      <c r="G105" s="20" t="n">
        <v>341.256</v>
      </c>
      <c r="H105" s="20" t="n">
        <v>290.582</v>
      </c>
      <c r="I105" s="20" t="n">
        <v>282.808</v>
      </c>
      <c r="J105" s="20" t="n">
        <v>305.206</v>
      </c>
      <c r="K105" s="20" t="n">
        <v>348.93</v>
      </c>
    </row>
    <row r="106">
      <c r="A106" s="18" t="inlineStr">
        <is>
          <t>임원 주식급여 충당금</t>
        </is>
      </c>
      <c r="J106" s="20" t="n">
        <v>0</v>
      </c>
    </row>
    <row r="107">
      <c r="A107" s="18" t="inlineStr">
        <is>
          <t>관계회사 정리손실 충당금</t>
        </is>
      </c>
      <c r="C107" s="20" t="n">
        <v>0.573</v>
      </c>
      <c r="D107" s="20" t="n">
        <v>0.573</v>
      </c>
      <c r="E107" s="20" t="n">
        <v>0</v>
      </c>
      <c r="I107" s="20" t="n">
        <v>2.52</v>
      </c>
      <c r="J107" s="20" t="n">
        <v>0.612</v>
      </c>
      <c r="K107" s="20" t="n">
        <v>0.573</v>
      </c>
    </row>
    <row r="108">
      <c r="A108" s="18" t="inlineStr">
        <is>
          <t>점포 폐쇄 손실 충당금</t>
        </is>
      </c>
      <c r="H108" s="20" t="n">
        <v>5.336</v>
      </c>
      <c r="I108" s="20" t="n">
        <v>1.386</v>
      </c>
      <c r="J108" s="20" t="n">
        <v>0</v>
      </c>
    </row>
    <row r="109">
      <c r="A109" s="18" t="inlineStr">
        <is>
          <t>Provision For Loss On Taking Back Equipments CL</t>
        </is>
      </c>
      <c r="I109" s="20" t="n">
        <v>39.84</v>
      </c>
      <c r="J109" s="20" t="n">
        <v>0</v>
      </c>
    </row>
    <row r="110">
      <c r="A110" s="18" t="inlineStr">
        <is>
          <t>기타</t>
        </is>
      </c>
      <c r="C110" s="20" t="n">
        <v>133.214</v>
      </c>
      <c r="D110" s="20" t="n">
        <v>98.52200000000001</v>
      </c>
      <c r="E110" s="20" t="n">
        <v>70.928</v>
      </c>
      <c r="F110" s="20" t="n">
        <v>87.35899999999999</v>
      </c>
      <c r="G110" s="20" t="n">
        <v>78.196</v>
      </c>
      <c r="H110" s="20" t="n">
        <v>172.197</v>
      </c>
      <c r="I110" s="20" t="n">
        <v>110.644</v>
      </c>
      <c r="J110" s="20" t="n">
        <v>132.615</v>
      </c>
      <c r="K110" s="20" t="n">
        <v>98.52200000000001</v>
      </c>
    </row>
    <row r="111">
      <c r="A111" s="9" t="inlineStr">
        <is>
          <t>유동부채 합계</t>
        </is>
      </c>
      <c r="C111" s="12" t="n">
        <v>1184.975</v>
      </c>
      <c r="D111" s="12" t="n">
        <v>1169.505</v>
      </c>
      <c r="E111" s="12" t="n">
        <v>1156.746</v>
      </c>
      <c r="F111" s="12" t="n">
        <v>1543.49</v>
      </c>
      <c r="G111" s="12" t="n">
        <v>1510.935</v>
      </c>
      <c r="H111" s="12" t="n">
        <v>1127.503</v>
      </c>
      <c r="I111" s="12" t="n">
        <v>1007.068</v>
      </c>
      <c r="J111" s="12" t="n">
        <v>1141.948</v>
      </c>
      <c r="K111" s="12" t="n">
        <v>1169.505</v>
      </c>
    </row>
    <row r="112">
      <c r="A112" s="18" t="inlineStr">
        <is>
          <t>장기차입금</t>
        </is>
      </c>
      <c r="C112" s="20" t="n">
        <v>390.034</v>
      </c>
      <c r="D112" s="20" t="n">
        <v>352.538</v>
      </c>
      <c r="E112" s="20" t="n">
        <v>315.042</v>
      </c>
      <c r="F112" s="20" t="n">
        <v>277.546</v>
      </c>
      <c r="G112" s="20" t="n">
        <v>1200.458</v>
      </c>
      <c r="H112" s="20" t="n">
        <v>191.969</v>
      </c>
      <c r="I112" s="20" t="n">
        <v>81.88500000000001</v>
      </c>
      <c r="J112" s="20" t="n">
        <v>454.343</v>
      </c>
      <c r="K112" s="20" t="n">
        <v>352.538</v>
      </c>
    </row>
    <row r="113">
      <c r="A113" s="18" t="inlineStr">
        <is>
          <t>리스부채</t>
        </is>
      </c>
      <c r="C113" s="20" t="n">
        <v>5.958</v>
      </c>
      <c r="D113" s="20" t="n">
        <v>5.301</v>
      </c>
      <c r="E113" s="20" t="n">
        <v>8.882</v>
      </c>
      <c r="F113" s="20" t="n">
        <v>7.93</v>
      </c>
      <c r="G113" s="20" t="n">
        <v>6.977</v>
      </c>
      <c r="I113" s="20" t="n">
        <v>10.074</v>
      </c>
      <c r="J113" s="20" t="n">
        <v>4.752</v>
      </c>
      <c r="K113" s="20" t="n">
        <v>5.301</v>
      </c>
    </row>
    <row r="114">
      <c r="A114" s="18" t="inlineStr">
        <is>
          <t>장기미지급금</t>
        </is>
      </c>
      <c r="C114" s="20" t="n">
        <v>10.682</v>
      </c>
      <c r="D114" s="20" t="n">
        <v>10.682</v>
      </c>
      <c r="E114" s="20" t="n">
        <v>10.682</v>
      </c>
      <c r="F114" s="20" t="n">
        <v>10.682</v>
      </c>
      <c r="G114" s="20" t="n">
        <v>5.454</v>
      </c>
      <c r="H114" s="20" t="n">
        <v>63.18</v>
      </c>
      <c r="I114" s="20" t="n">
        <v>63.18</v>
      </c>
      <c r="J114" s="20" t="n">
        <v>10.682</v>
      </c>
      <c r="K114" s="20" t="n">
        <v>10.682</v>
      </c>
    </row>
    <row r="115">
      <c r="A115" s="18" t="inlineStr">
        <is>
          <t>장기 예수보증금</t>
        </is>
      </c>
      <c r="C115" s="20" t="n">
        <v>148.948</v>
      </c>
      <c r="D115" s="20" t="n">
        <v>148.558</v>
      </c>
      <c r="E115" s="20" t="n">
        <v>148.168</v>
      </c>
      <c r="F115" s="20" t="n">
        <v>146.778</v>
      </c>
      <c r="G115" s="20" t="n">
        <v>147.388</v>
      </c>
      <c r="H115" s="20" t="n">
        <v>150.377</v>
      </c>
      <c r="I115" s="20" t="n">
        <v>148.237</v>
      </c>
      <c r="J115" s="20" t="n">
        <v>146.077</v>
      </c>
      <c r="K115" s="20" t="n">
        <v>148.558</v>
      </c>
    </row>
    <row r="116">
      <c r="A116" s="18" t="inlineStr">
        <is>
          <t>임원 주식급여 충당금</t>
        </is>
      </c>
      <c r="D116" s="20" t="n">
        <v>65.294</v>
      </c>
      <c r="H116" s="20" t="n">
        <v>63.796</v>
      </c>
      <c r="I116" s="20" t="n">
        <v>81.203</v>
      </c>
      <c r="J116" s="20" t="n">
        <v>54.04</v>
      </c>
      <c r="K116" s="20" t="n">
        <v>65.294</v>
      </c>
    </row>
    <row r="117">
      <c r="A117" s="18" t="inlineStr">
        <is>
          <t>임원 주식급여 충당금</t>
        </is>
      </c>
      <c r="C117" s="20" t="n">
        <v>62.472</v>
      </c>
      <c r="E117" s="20" t="n">
        <v>68.11499999999999</v>
      </c>
      <c r="F117" s="20" t="n">
        <v>70.937</v>
      </c>
      <c r="G117" s="20" t="n">
        <v>47.573</v>
      </c>
    </row>
    <row r="118">
      <c r="A118" s="18" t="inlineStr">
        <is>
          <t>직원 주식급여 충당금</t>
        </is>
      </c>
      <c r="C118" s="20" t="n">
        <v>63.148</v>
      </c>
      <c r="D118" s="20" t="n">
        <v>69.128</v>
      </c>
      <c r="E118" s="20" t="n">
        <v>74.577</v>
      </c>
      <c r="F118" s="20" t="n">
        <v>80.327</v>
      </c>
      <c r="G118" s="20" t="n">
        <v>80.88500000000001</v>
      </c>
      <c r="H118" s="20" t="n">
        <v>32.713</v>
      </c>
      <c r="I118" s="20" t="n">
        <v>39.952</v>
      </c>
      <c r="J118" s="20" t="n">
        <v>49.252</v>
      </c>
      <c r="K118" s="20" t="n">
        <v>69.128</v>
      </c>
    </row>
    <row r="119">
      <c r="A119" s="18" t="inlineStr">
        <is>
          <t>이연법인세부채</t>
        </is>
      </c>
      <c r="E119" s="20" t="n">
        <v>0</v>
      </c>
      <c r="G119" s="20" t="n">
        <v>14.464</v>
      </c>
    </row>
    <row r="120">
      <c r="A120" s="18" t="inlineStr">
        <is>
          <t>기타</t>
        </is>
      </c>
      <c r="C120" s="20" t="n">
        <v>14.516</v>
      </c>
      <c r="D120" s="20" t="n">
        <v>16.292</v>
      </c>
      <c r="E120" s="20" t="n">
        <v>18.437</v>
      </c>
      <c r="F120" s="20" t="n">
        <v>19.327</v>
      </c>
      <c r="G120" s="20" t="n">
        <v>19.746</v>
      </c>
      <c r="H120" s="20" t="n">
        <v>7.399</v>
      </c>
      <c r="I120" s="20" t="n">
        <v>9.673999999999999</v>
      </c>
      <c r="J120" s="20" t="n">
        <v>13.136</v>
      </c>
      <c r="K120" s="20" t="n">
        <v>16.292</v>
      </c>
    </row>
    <row r="121">
      <c r="A121" s="9" t="inlineStr">
        <is>
          <t>비유동부채 합계</t>
        </is>
      </c>
      <c r="C121" s="12" t="n">
        <v>695.761</v>
      </c>
      <c r="D121" s="12" t="n">
        <v>667.795</v>
      </c>
      <c r="E121" s="12" t="n">
        <v>643.907</v>
      </c>
      <c r="F121" s="12" t="n">
        <v>613.529</v>
      </c>
      <c r="G121" s="12" t="n">
        <v>1522.948</v>
      </c>
      <c r="H121" s="12" t="n">
        <v>509.436</v>
      </c>
      <c r="I121" s="12" t="n">
        <v>434.206</v>
      </c>
      <c r="J121" s="12" t="n">
        <v>732.284</v>
      </c>
      <c r="K121" s="12" t="n">
        <v>667.795</v>
      </c>
    </row>
    <row r="122">
      <c r="A122" s="9" t="inlineStr">
        <is>
          <t>부채 합계</t>
        </is>
      </c>
      <c r="C122" s="12" t="n">
        <v>1880.737</v>
      </c>
      <c r="D122" s="12" t="n">
        <v>1837.301</v>
      </c>
      <c r="E122" s="12" t="n">
        <v>1800.653</v>
      </c>
      <c r="F122" s="12" t="n">
        <v>2157.02</v>
      </c>
      <c r="G122" s="12" t="n">
        <v>3033.883</v>
      </c>
      <c r="H122" s="12" t="n">
        <v>1636.939</v>
      </c>
      <c r="I122" s="12" t="n">
        <v>1441.274</v>
      </c>
      <c r="J122" s="12" t="n">
        <v>1874.232</v>
      </c>
      <c r="K122" s="12" t="n">
        <v>1837.301</v>
      </c>
    </row>
    <row r="123">
      <c r="A123" s="18" t="inlineStr">
        <is>
          <t>자본금</t>
        </is>
      </c>
      <c r="C123" s="20" t="n">
        <v>1518.454</v>
      </c>
      <c r="D123" s="20" t="n">
        <v>1518.454</v>
      </c>
      <c r="E123" s="20" t="n">
        <v>1518.454</v>
      </c>
      <c r="F123" s="20" t="n">
        <v>1518.454</v>
      </c>
      <c r="G123" s="20" t="n">
        <v>1518.454</v>
      </c>
      <c r="H123" s="20" t="n">
        <v>1518.454</v>
      </c>
      <c r="I123" s="20" t="n">
        <v>1518.454</v>
      </c>
      <c r="J123" s="20" t="n">
        <v>1518.454</v>
      </c>
      <c r="K123" s="20" t="n">
        <v>1518.454</v>
      </c>
    </row>
    <row r="124">
      <c r="A124" s="18" t="inlineStr">
        <is>
          <t>자본잉여금</t>
        </is>
      </c>
      <c r="C124" s="20" t="n">
        <v>1112.371</v>
      </c>
      <c r="D124" s="20" t="n">
        <v>1112.371</v>
      </c>
      <c r="E124" s="20" t="n">
        <v>1112.371</v>
      </c>
      <c r="F124" s="20" t="n">
        <v>1112.371</v>
      </c>
      <c r="G124" s="20" t="n">
        <v>1112.371</v>
      </c>
      <c r="H124" s="20" t="n">
        <v>1093.537</v>
      </c>
      <c r="I124" s="20" t="n">
        <v>1093.537</v>
      </c>
      <c r="J124" s="20" t="n">
        <v>1093.537</v>
      </c>
      <c r="K124" s="20" t="n">
        <v>1112.371</v>
      </c>
    </row>
    <row r="125">
      <c r="A125" s="18" t="inlineStr">
        <is>
          <t>이익잉여금</t>
        </is>
      </c>
      <c r="C125" s="20" t="n">
        <v>1408.465</v>
      </c>
      <c r="D125" s="20" t="n">
        <v>1362.619</v>
      </c>
      <c r="E125" s="20" t="n">
        <v>1287.932</v>
      </c>
      <c r="F125" s="20" t="n">
        <v>1352.773</v>
      </c>
      <c r="G125" s="20" t="n">
        <v>1403.025</v>
      </c>
      <c r="H125" s="20" t="n">
        <v>1082.338</v>
      </c>
      <c r="I125" s="20" t="n">
        <v>1183.141</v>
      </c>
      <c r="J125" s="20" t="n">
        <v>1387.057</v>
      </c>
      <c r="K125" s="20" t="n">
        <v>1362.619</v>
      </c>
    </row>
    <row r="126">
      <c r="A126" s="18" t="inlineStr">
        <is>
          <t>자기주식</t>
        </is>
      </c>
      <c r="C126" s="20" t="n">
        <v>-413.134</v>
      </c>
      <c r="D126" s="20" t="n">
        <v>-412.802</v>
      </c>
      <c r="E126" s="20" t="n">
        <v>-412.139</v>
      </c>
      <c r="F126" s="20" t="n">
        <v>-412.018</v>
      </c>
      <c r="G126" s="20" t="n">
        <v>-382.505</v>
      </c>
      <c r="H126" s="20" t="n">
        <v>-437.482</v>
      </c>
      <c r="I126" s="20" t="n">
        <v>-436.944</v>
      </c>
      <c r="J126" s="20" t="n">
        <v>-394.586</v>
      </c>
      <c r="K126" s="20" t="n">
        <v>-412.802</v>
      </c>
    </row>
    <row r="127">
      <c r="A127" s="9" t="inlineStr">
        <is>
          <t>주주자본 합계</t>
        </is>
      </c>
      <c r="C127" s="12" t="n">
        <v>3626.156</v>
      </c>
      <c r="D127" s="12" t="n">
        <v>3580.642</v>
      </c>
      <c r="E127" s="12" t="n">
        <v>3506.618</v>
      </c>
      <c r="F127" s="12" t="n">
        <v>3571.58</v>
      </c>
      <c r="G127" s="12" t="n">
        <v>3651.345</v>
      </c>
      <c r="H127" s="12" t="n">
        <v>3256.847</v>
      </c>
      <c r="I127" s="12" t="n">
        <v>3358.188</v>
      </c>
      <c r="J127" s="12" t="n">
        <v>3604.463</v>
      </c>
      <c r="K127" s="12" t="n">
        <v>3580.642</v>
      </c>
    </row>
    <row r="128">
      <c r="A128" s="18" t="inlineStr">
        <is>
          <t>기타유가증권 평가차액</t>
        </is>
      </c>
      <c r="C128" s="20" t="n">
        <v>105.97</v>
      </c>
      <c r="D128" s="20" t="n">
        <v>135.907</v>
      </c>
      <c r="E128" s="20" t="n">
        <v>166.272</v>
      </c>
      <c r="F128" s="20" t="n">
        <v>184.618</v>
      </c>
      <c r="G128" s="20" t="n">
        <v>239.681</v>
      </c>
      <c r="H128" s="20" t="n">
        <v>-3.679</v>
      </c>
      <c r="I128" s="20" t="n">
        <v>37.832</v>
      </c>
      <c r="J128" s="20" t="n">
        <v>56.694</v>
      </c>
      <c r="K128" s="20" t="n">
        <v>135.907</v>
      </c>
    </row>
    <row r="129">
      <c r="A129" s="18" t="inlineStr">
        <is>
          <t>해외사업환산조정</t>
        </is>
      </c>
      <c r="C129" s="20" t="n">
        <v>75.23399999999999</v>
      </c>
      <c r="D129" s="20" t="n">
        <v>96.32599999999999</v>
      </c>
      <c r="E129" s="20" t="n">
        <v>135.059</v>
      </c>
      <c r="F129" s="20" t="n">
        <v>120.311</v>
      </c>
      <c r="G129" s="20" t="n">
        <v>114.447</v>
      </c>
      <c r="H129" s="20" t="n">
        <v>25.491</v>
      </c>
      <c r="I129" s="20" t="n">
        <v>47.484</v>
      </c>
      <c r="J129" s="20" t="n">
        <v>76.253</v>
      </c>
      <c r="K129" s="20" t="n">
        <v>96.32599999999999</v>
      </c>
    </row>
    <row r="130">
      <c r="A130" s="18" t="inlineStr">
        <is>
          <t>기타포괄손익누계액 합계</t>
        </is>
      </c>
      <c r="C130" s="20" t="n">
        <v>181.204</v>
      </c>
      <c r="D130" s="20" t="n">
        <v>232.233</v>
      </c>
      <c r="E130" s="20" t="n">
        <v>301.331</v>
      </c>
      <c r="F130" s="20" t="n">
        <v>304.93</v>
      </c>
      <c r="G130" s="20" t="n">
        <v>354.129</v>
      </c>
      <c r="H130" s="20" t="n">
        <v>21.812</v>
      </c>
      <c r="I130" s="20" t="n">
        <v>85.316</v>
      </c>
      <c r="J130" s="20" t="n">
        <v>132.948</v>
      </c>
      <c r="K130" s="20" t="n">
        <v>232.233</v>
      </c>
    </row>
    <row r="131">
      <c r="A131" s="18" t="inlineStr">
        <is>
          <t>비지배지분</t>
        </is>
      </c>
      <c r="C131" s="20" t="n">
        <v>0.005</v>
      </c>
      <c r="D131" s="20" t="n">
        <v>0.005</v>
      </c>
      <c r="E131" s="20" t="n">
        <v>0.006</v>
      </c>
      <c r="F131" s="20" t="n">
        <v>0.005</v>
      </c>
      <c r="G131" s="20" t="n">
        <v>0.005</v>
      </c>
      <c r="H131" s="20" t="n">
        <v>0.003</v>
      </c>
      <c r="I131" s="20" t="n">
        <v>0.004</v>
      </c>
      <c r="J131" s="20" t="n">
        <v>0.004</v>
      </c>
      <c r="K131" s="20" t="n">
        <v>0.005</v>
      </c>
    </row>
    <row r="132">
      <c r="A132" s="9" t="inlineStr">
        <is>
          <t>순자산 합계</t>
        </is>
      </c>
      <c r="C132" s="12" t="n">
        <v>3807.366</v>
      </c>
      <c r="D132" s="12" t="n">
        <v>3812.881</v>
      </c>
      <c r="E132" s="12" t="n">
        <v>3807.956</v>
      </c>
      <c r="F132" s="12" t="n">
        <v>3876.516</v>
      </c>
      <c r="G132" s="12" t="n">
        <v>4005.48</v>
      </c>
      <c r="H132" s="12" t="n">
        <v>3278.662</v>
      </c>
      <c r="I132" s="12" t="n">
        <v>3443.509</v>
      </c>
      <c r="J132" s="12" t="n">
        <v>3737.416</v>
      </c>
      <c r="K132" s="12" t="n">
        <v>3812.881</v>
      </c>
    </row>
    <row r="133">
      <c r="A133" s="9" t="inlineStr">
        <is>
          <t>부채·순자산 합계</t>
        </is>
      </c>
      <c r="C133" s="12" t="n">
        <v>5688.103</v>
      </c>
      <c r="D133" s="12" t="n">
        <v>5650.182</v>
      </c>
      <c r="E133" s="12" t="n">
        <v>5608.61</v>
      </c>
      <c r="F133" s="12" t="n">
        <v>6033.536</v>
      </c>
      <c r="G133" s="12" t="n">
        <v>7039.364</v>
      </c>
      <c r="H133" s="12" t="n">
        <v>4915.602</v>
      </c>
      <c r="I133" s="12" t="n">
        <v>4884.783</v>
      </c>
      <c r="J133" s="12" t="n">
        <v>5611.648</v>
      </c>
      <c r="K133" s="12" t="n">
        <v>5650.182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9950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 · q alone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21.15</v>
      </c>
      <c r="C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0.96</v>
      </c>
    </row>
    <row r="8">
      <c r="A8" s="54" t="inlineStr">
        <is>
          <t>ordinary</t>
        </is>
      </c>
      <c r="B8" s="55" t="n">
        <v>1.02</v>
      </c>
    </row>
    <row r="9">
      <c r="A9" s="54" t="inlineStr">
        <is>
          <t>순이익</t>
        </is>
      </c>
      <c r="B9" s="55" t="n">
        <v>0.45</v>
      </c>
    </row>
    <row r="10">
      <c r="A10" s="54" t="inlineStr">
        <is>
          <t>EPS</t>
        </is>
      </c>
      <c r="B10" s="55" t="n">
        <v>15.39</v>
      </c>
    </row>
    <row r="12">
      <c r="A12" s="52" t="inlineStr">
        <is>
          <t>this quarter · q YoY base</t>
        </is>
      </c>
      <c r="B12" s="52" t="n"/>
      <c r="C12" s="52" t="n"/>
    </row>
    <row r="13">
      <c r="A13" s="53" t="inlineStr">
        <is>
          <t>항목</t>
        </is>
      </c>
      <c r="B13" s="53" t="inlineStr">
        <is>
          <t>값</t>
        </is>
      </c>
      <c r="C13" s="53" t="inlineStr">
        <is>
          <t>출처</t>
        </is>
      </c>
    </row>
    <row r="14">
      <c r="A14" s="54" t="inlineStr">
        <is>
          <t>매출</t>
        </is>
      </c>
      <c r="B14" s="55" t="n">
        <v>19.84</v>
      </c>
      <c r="C14" s="56" t="inlineStr">
        <is>
          <t>2단계 보고서 자료(회사 설명회 자료·공시)</t>
        </is>
      </c>
    </row>
    <row r="15">
      <c r="A15" s="54" t="inlineStr">
        <is>
          <t>영업이익</t>
        </is>
      </c>
      <c r="B15" s="55" t="n">
        <v>0.59</v>
      </c>
    </row>
    <row r="16">
      <c r="A16" s="54" t="inlineStr">
        <is>
          <t>ordinary</t>
        </is>
      </c>
      <c r="B16" s="55" t="n">
        <v>1</v>
      </c>
    </row>
    <row r="17">
      <c r="A17" s="54" t="inlineStr">
        <is>
          <t>순이익</t>
        </is>
      </c>
      <c r="B17" s="55" t="n">
        <v>0.55</v>
      </c>
    </row>
    <row r="19">
      <c r="A19" s="52" t="inlineStr">
        <is>
          <t>this quarter · 상반기</t>
        </is>
      </c>
      <c r="B19" s="52" t="n"/>
      <c r="C19" s="52" t="n"/>
    </row>
    <row r="20">
      <c r="A20" s="53" t="inlineStr">
        <is>
          <t>항목</t>
        </is>
      </c>
      <c r="B20" s="53" t="inlineStr">
        <is>
          <t>값</t>
        </is>
      </c>
      <c r="C20" s="53" t="inlineStr">
        <is>
          <t>출처</t>
        </is>
      </c>
    </row>
    <row r="21">
      <c r="A21" s="54" t="inlineStr">
        <is>
          <t>영업이익 매출</t>
        </is>
      </c>
      <c r="B21" s="55" t="n">
        <v>46.13</v>
      </c>
      <c r="C21" s="56" t="inlineStr">
        <is>
          <t>2단계 보고서 자료(회사 설명회 자료·공시)</t>
        </is>
      </c>
    </row>
    <row r="22">
      <c r="A22" s="54" t="inlineStr">
        <is>
          <t>매출</t>
        </is>
      </c>
      <c r="B22" s="55" t="n">
        <v>41.24</v>
      </c>
    </row>
    <row r="23">
      <c r="A23" s="54" t="inlineStr">
        <is>
          <t>gp</t>
        </is>
      </c>
      <c r="B23" s="55" t="n">
        <v>16.95</v>
      </c>
    </row>
    <row r="24">
      <c r="A24" s="54" t="inlineStr">
        <is>
          <t>royalty</t>
        </is>
      </c>
      <c r="B24" s="55" t="n">
        <v>4.89</v>
      </c>
    </row>
    <row r="25">
      <c r="A25" s="54" t="inlineStr">
        <is>
          <t>영업이익 gross</t>
        </is>
      </c>
      <c r="B25" s="55" t="n">
        <v>21.85</v>
      </c>
    </row>
    <row r="26">
      <c r="A26" s="54" t="inlineStr">
        <is>
          <t>sga</t>
        </is>
      </c>
      <c r="B26" s="55" t="n">
        <v>20.83</v>
      </c>
    </row>
    <row r="27">
      <c r="A27" s="54" t="inlineStr">
        <is>
          <t>영업이익</t>
        </is>
      </c>
      <c r="B27" s="55" t="n">
        <v>1.01</v>
      </c>
    </row>
    <row r="28">
      <c r="A28" s="54" t="inlineStr">
        <is>
          <t>ordinary</t>
        </is>
      </c>
      <c r="B28" s="55" t="n">
        <v>2.43</v>
      </c>
    </row>
    <row r="29">
      <c r="A29" s="54" t="inlineStr">
        <is>
          <t>순이익</t>
        </is>
      </c>
      <c r="B29" s="55" t="n">
        <v>1.4</v>
      </c>
    </row>
    <row r="30">
      <c r="A30" s="54" t="inlineStr">
        <is>
          <t>EPS</t>
        </is>
      </c>
      <c r="B30" s="55" t="n">
        <v>47.73</v>
      </c>
    </row>
    <row r="32">
      <c r="A32" s="52" t="inlineStr">
        <is>
          <t>this quarter · 상반기 직전</t>
        </is>
      </c>
      <c r="B32" s="52" t="n"/>
      <c r="C32" s="52" t="n"/>
    </row>
    <row r="33">
      <c r="A33" s="53" t="inlineStr">
        <is>
          <t>항목</t>
        </is>
      </c>
      <c r="B33" s="53" t="inlineStr">
        <is>
          <t>값</t>
        </is>
      </c>
      <c r="C33" s="53" t="inlineStr">
        <is>
          <t>출처</t>
        </is>
      </c>
    </row>
    <row r="34">
      <c r="A34" s="54" t="inlineStr">
        <is>
          <t>영업이익 매출</t>
        </is>
      </c>
      <c r="B34" s="55" t="n">
        <v>43.07</v>
      </c>
      <c r="C34" s="56" t="inlineStr">
        <is>
          <t>2단계 보고서 자료(회사 설명회 자료·공시)</t>
        </is>
      </c>
    </row>
    <row r="35">
      <c r="A35" s="54" t="inlineStr">
        <is>
          <t>매출</t>
        </is>
      </c>
      <c r="B35" s="55" t="n">
        <v>38.47</v>
      </c>
    </row>
    <row r="36">
      <c r="A36" s="54" t="inlineStr">
        <is>
          <t>gp</t>
        </is>
      </c>
      <c r="B36" s="55" t="n">
        <v>14.93</v>
      </c>
    </row>
    <row r="37">
      <c r="A37" s="54" t="inlineStr">
        <is>
          <t>royalty</t>
        </is>
      </c>
      <c r="B37" s="55" t="n">
        <v>4.6</v>
      </c>
    </row>
    <row r="38">
      <c r="A38" s="54" t="inlineStr">
        <is>
          <t>영업이익 gross</t>
        </is>
      </c>
      <c r="B38" s="55" t="n">
        <v>19.53</v>
      </c>
    </row>
    <row r="39">
      <c r="A39" s="54" t="inlineStr">
        <is>
          <t>sga</t>
        </is>
      </c>
      <c r="B39" s="55" t="n">
        <v>18.83</v>
      </c>
    </row>
    <row r="40">
      <c r="A40" s="54" t="inlineStr">
        <is>
          <t>영업이익</t>
        </is>
      </c>
      <c r="B40" s="55" t="n">
        <v>0.7</v>
      </c>
    </row>
    <row r="41">
      <c r="A41" s="54" t="inlineStr">
        <is>
          <t>ordinary</t>
        </is>
      </c>
      <c r="B41" s="55" t="n">
        <v>2.45</v>
      </c>
    </row>
    <row r="42">
      <c r="A42" s="54" t="inlineStr">
        <is>
          <t>순이익</t>
        </is>
      </c>
      <c r="B42" s="55" t="n">
        <v>1.5</v>
      </c>
    </row>
    <row r="43">
      <c r="A43" s="54" t="inlineStr">
        <is>
          <t>EPS</t>
        </is>
      </c>
      <c r="B43" s="55" t="n">
        <v>51.17</v>
      </c>
    </row>
    <row r="45">
      <c r="A45" s="52" t="inlineStr">
        <is>
          <t>market</t>
        </is>
      </c>
      <c r="B45" s="52" t="n"/>
      <c r="C45" s="52" t="n"/>
    </row>
    <row r="46">
      <c r="A46" s="53" t="inlineStr">
        <is>
          <t>항목</t>
        </is>
      </c>
      <c r="B46" s="53" t="inlineStr">
        <is>
          <t>값</t>
        </is>
      </c>
      <c r="C46" s="53" t="inlineStr">
        <is>
          <t>출처</t>
        </is>
      </c>
    </row>
    <row r="47">
      <c r="A47" s="54" t="inlineStr">
        <is>
          <t>가격</t>
        </is>
      </c>
      <c r="B47" s="57" t="n">
        <v>3305</v>
      </c>
      <c r="C47" s="56" t="inlineStr">
        <is>
          <t>주가는 결산 발표(10-30 16:00) 전 종가. 발표 뒤 반응은 아직 없음</t>
        </is>
      </c>
    </row>
    <row r="48">
      <c r="A48" s="54" t="inlineStr">
        <is>
          <t>shares issued</t>
        </is>
      </c>
      <c r="B48" s="57" t="n">
        <v>3068111</v>
      </c>
    </row>
    <row r="49">
      <c r="A49" s="54" t="inlineStr">
        <is>
          <t>treasury</t>
        </is>
      </c>
      <c r="B49" s="57" t="n">
        <v>119048</v>
      </c>
    </row>
    <row r="50">
      <c r="A50" s="54" t="inlineStr">
        <is>
          <t>shares out</t>
        </is>
      </c>
      <c r="B50" s="57" t="n">
        <v>2949063</v>
      </c>
    </row>
    <row r="51">
      <c r="A51" s="54" t="inlineStr">
        <is>
          <t>mcap</t>
        </is>
      </c>
      <c r="B51" s="55" t="n">
        <v>97.5</v>
      </c>
    </row>
    <row r="52">
      <c r="A52" s="54" t="inlineStr">
        <is>
          <t>PER 가이던스</t>
        </is>
      </c>
      <c r="B52" s="55" t="n">
        <v>50.7</v>
      </c>
    </row>
    <row r="53">
      <c r="A53" s="54" t="inlineStr">
        <is>
          <t>dps</t>
        </is>
      </c>
      <c r="B53" s="57" t="n">
        <v>20</v>
      </c>
    </row>
    <row r="54">
      <c r="A54" s="54" t="inlineStr">
        <is>
          <t>div yield</t>
        </is>
      </c>
      <c r="B54" s="55" t="n">
        <v>0.61</v>
      </c>
    </row>
    <row r="55">
      <c r="A55" s="54" t="inlineStr">
        <is>
          <t>PBR</t>
        </is>
      </c>
      <c r="B55" s="55" t="n">
        <v>2.43</v>
      </c>
    </row>
    <row r="56">
      <c r="A56" s="54" t="inlineStr">
        <is>
          <t>bps</t>
        </is>
      </c>
      <c r="B56" s="57" t="n">
        <v>1358</v>
      </c>
    </row>
    <row r="58">
      <c r="A58" s="52" t="inlineStr">
        <is>
          <t>비교 기업 · fc EPS latest</t>
        </is>
      </c>
      <c r="B58" s="52" t="n"/>
      <c r="C58" s="52" t="n"/>
    </row>
    <row r="59">
      <c r="A59" s="53" t="inlineStr">
        <is>
          <t>항목</t>
        </is>
      </c>
      <c r="B59" s="53" t="inlineStr">
        <is>
          <t>값</t>
        </is>
      </c>
      <c r="C59" s="53" t="inlineStr">
        <is>
          <t>출처</t>
        </is>
      </c>
    </row>
    <row r="60">
      <c r="A60" s="54" t="inlineStr">
        <is>
          <t>7611</t>
        </is>
      </c>
      <c r="B60" s="55" t="n">
        <v>124.99</v>
      </c>
      <c r="C60" s="56" t="inlineStr">
        <is>
          <t>모두 jp_guidance history quarterly(분기 단독 계산). 히다카야·야마오카야는 개별 기준. 하치방 분기 YoY는 위 quarterly 에서.</t>
        </is>
      </c>
    </row>
    <row r="61">
      <c r="A61" s="54" t="inlineStr">
        <is>
          <t>9936</t>
        </is>
      </c>
      <c r="B61" s="55" t="n">
        <v>111.54</v>
      </c>
    </row>
    <row r="62">
      <c r="A62" s="54" t="inlineStr">
        <is>
          <t>3399</t>
        </is>
      </c>
      <c r="B62" s="55" t="n">
        <v>184.3</v>
      </c>
    </row>
    <row r="63">
      <c r="A63" s="54" t="inlineStr">
        <is>
          <t>9279</t>
        </is>
      </c>
      <c r="B63" s="55" t="n">
        <v>75.31999999999999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https://www2.jpx.co.jp/disc/99500/140120261030560585.pdf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https://www2.jpx.co.jp/disc/99500/140120260731505543.pdf</t>
        </is>
      </c>
    </row>
    <row r="6">
      <c r="A6" t="inlineStr">
        <is>
          <t>2026-05-01</t>
        </is>
      </c>
      <c r="B6" t="inlineStr">
        <is>
          <t>2026년 3월 결산기 연간 결산단신</t>
        </is>
      </c>
      <c r="C6" t="inlineStr">
        <is>
          <t>https://www2.jpx.co.jp/disc/99500/140120260501516029.pdf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https://www2.jpx.co.jp/disc/99500/140120260130542562.pdf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https://www2.jpx.co.jp/disc/99500/140120251031584029.pdf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https://www2.jpx.co.jp/disc/99500/140120250731524924.pdf</t>
        </is>
      </c>
    </row>
    <row r="10">
      <c r="A10" t="inlineStr">
        <is>
          <t>2025-04-30</t>
        </is>
      </c>
      <c r="B10" t="inlineStr">
        <is>
          <t>2025년 3월 결산기 연간 결산단신</t>
        </is>
      </c>
      <c r="C10" t="inlineStr">
        <is>
          <t>https://www2.jpx.co.jp/disc/99500/140120250430527253.pdf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https://www2.jpx.co.jp/disc/99500/140120250131559802.pdf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https://www2.jpx.co.jp/disc/99500/140120241031507229.pdf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https://www2.jpx.co.jp/disc/99500/140120240731558675.pdf</t>
        </is>
      </c>
    </row>
    <row r="14">
      <c r="A14" t="inlineStr">
        <is>
          <t>2024-05-01</t>
        </is>
      </c>
      <c r="B14" t="inlineStr">
        <is>
          <t>2024년 3월 결산기 연간 결산단신</t>
        </is>
      </c>
      <c r="C14" t="inlineStr">
        <is>
          <t>https://www2.jpx.co.jp/disc/99500/140120240501580565.pdf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https://www2.jpx.co.jp/disc/99500/140120240131522968.pdf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https://www2.jpx.co.jp/disc/99500/140120231031575665.pdf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https://www2.jpx.co.jp/disc/99500/140120230731530484.pdf</t>
        </is>
      </c>
    </row>
    <row r="18">
      <c r="A18" t="inlineStr">
        <is>
          <t>2023-05-01</t>
        </is>
      </c>
      <c r="B18" t="inlineStr">
        <is>
          <t>2023년 3월 결산기 연간 결산단신</t>
        </is>
      </c>
      <c r="C18" t="inlineStr">
        <is>
          <t>https://www2.jpx.co.jp/disc/99500/140120230501557224.pdf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https://www2.jpx.co.jp/disc/99500/140120230130596580.pdf</t>
        </is>
      </c>
    </row>
    <row r="20">
      <c r="A20" t="inlineStr">
        <is>
          <t>2022-05-02</t>
        </is>
      </c>
      <c r="B20" t="inlineStr">
        <is>
          <t>2022년 3월 결산기 연간 결산단신</t>
        </is>
      </c>
      <c r="C20" t="inlineStr">
        <is>
          <t>https://www2.jpx.co.jp/disc/99500/140120220429532205.pdf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https://www2.jpx.co.jp/disc/99500/140120210430404166.pdf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https://www2.jpx.co.jp/disc/99500/140120200430402743.pdf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https://www2.jpx.co.jp/disc/99500/140120190426412864.pdf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https://www2.jpx.co.jp/disc/99500/140120180426422092.pdf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59" t="inlineStr">
        <is>
          <t>9950 재무제표 한눈에 보기 — 최근 40개 분기(달력 분기, 3Q26 = 26.7~9) · 단위 억 엔</t>
        </is>
      </c>
    </row>
    <row r="2">
      <c r="A2" s="60" t="inlineStr">
        <is>
          <t>출처: 매출·영업이익 결산단신 XBRL · 재무상태표 등 결산단신 XBRL 36건(2018-01-29~2026-10-30). 부문·지역·수주·수출은 있을 때만(출처는 줄 끝). 총 차입금 = 이자 붙는 부채 전부(단기·장기 차입금, CP, 사채·전환사채, 리스부채)</t>
        </is>
      </c>
    </row>
    <row r="4">
      <c r="A4" s="61" t="inlineStr">
        <is>
          <t>항목</t>
        </is>
      </c>
      <c r="B4" s="62" t="inlineStr">
        <is>
          <t>2Q17</t>
        </is>
      </c>
      <c r="C4" s="62" t="inlineStr">
        <is>
          <t>3Q17</t>
        </is>
      </c>
      <c r="D4" s="62" t="inlineStr">
        <is>
          <t>4Q17</t>
        </is>
      </c>
      <c r="E4" s="62" t="inlineStr">
        <is>
          <t>1Q18</t>
        </is>
      </c>
      <c r="F4" s="62" t="inlineStr">
        <is>
          <t>2Q18</t>
        </is>
      </c>
      <c r="G4" s="62" t="inlineStr">
        <is>
          <t>3Q18</t>
        </is>
      </c>
      <c r="H4" s="62" t="inlineStr">
        <is>
          <t>4Q18</t>
        </is>
      </c>
      <c r="I4" s="62" t="inlineStr">
        <is>
          <t>1Q19</t>
        </is>
      </c>
      <c r="J4" s="62" t="inlineStr">
        <is>
          <t>2Q19</t>
        </is>
      </c>
      <c r="K4" s="62" t="inlineStr">
        <is>
          <t>3Q19</t>
        </is>
      </c>
      <c r="L4" s="62" t="inlineStr">
        <is>
          <t>4Q19</t>
        </is>
      </c>
      <c r="M4" s="62" t="inlineStr">
        <is>
          <t>1Q20</t>
        </is>
      </c>
      <c r="N4" s="62" t="inlineStr">
        <is>
          <t>2Q20</t>
        </is>
      </c>
      <c r="O4" s="62" t="inlineStr">
        <is>
          <t>3Q20</t>
        </is>
      </c>
      <c r="P4" s="62" t="inlineStr">
        <is>
          <t>4Q20</t>
        </is>
      </c>
      <c r="Q4" s="62" t="inlineStr">
        <is>
          <t>1Q21</t>
        </is>
      </c>
      <c r="R4" s="62" t="inlineStr">
        <is>
          <t>2Q21</t>
        </is>
      </c>
      <c r="S4" s="62" t="inlineStr">
        <is>
          <t>3Q21</t>
        </is>
      </c>
      <c r="T4" s="62" t="inlineStr">
        <is>
          <t>4Q21</t>
        </is>
      </c>
      <c r="U4" s="62" t="inlineStr">
        <is>
          <t>1Q22</t>
        </is>
      </c>
      <c r="V4" s="62" t="inlineStr">
        <is>
          <t>2Q22</t>
        </is>
      </c>
      <c r="W4" s="62" t="inlineStr">
        <is>
          <t>3Q22</t>
        </is>
      </c>
      <c r="X4" s="62" t="inlineStr">
        <is>
          <t>4Q22</t>
        </is>
      </c>
      <c r="Y4" s="62" t="inlineStr">
        <is>
          <t>1Q23</t>
        </is>
      </c>
      <c r="Z4" s="62" t="inlineStr">
        <is>
          <t>2Q23</t>
        </is>
      </c>
      <c r="AA4" s="62" t="inlineStr">
        <is>
          <t>3Q23</t>
        </is>
      </c>
      <c r="AB4" s="62" t="inlineStr">
        <is>
          <t>4Q23</t>
        </is>
      </c>
      <c r="AC4" s="62" t="inlineStr">
        <is>
          <t>1Q24</t>
        </is>
      </c>
      <c r="AD4" s="62" t="inlineStr">
        <is>
          <t>2Q24</t>
        </is>
      </c>
      <c r="AE4" s="62" t="inlineStr">
        <is>
          <t>3Q24</t>
        </is>
      </c>
      <c r="AF4" s="62" t="inlineStr">
        <is>
          <t>4Q24</t>
        </is>
      </c>
      <c r="AG4" s="62" t="inlineStr">
        <is>
          <t>1Q25</t>
        </is>
      </c>
      <c r="AH4" s="62" t="inlineStr">
        <is>
          <t>2Q25</t>
        </is>
      </c>
      <c r="AI4" s="62" t="inlineStr">
        <is>
          <t>3Q25</t>
        </is>
      </c>
      <c r="AJ4" s="62" t="inlineStr">
        <is>
          <t>4Q25</t>
        </is>
      </c>
      <c r="AK4" s="62" t="inlineStr">
        <is>
          <t>1Q26</t>
        </is>
      </c>
      <c r="AL4" s="62" t="inlineStr">
        <is>
          <t>2Q26</t>
        </is>
      </c>
      <c r="AM4" s="62" t="inlineStr">
        <is>
          <t>3Q26</t>
        </is>
      </c>
      <c r="AN4" s="62" t="inlineStr">
        <is>
          <t>4Q26</t>
        </is>
      </c>
      <c r="AO4" s="62" t="inlineStr">
        <is>
          <t>1Q27</t>
        </is>
      </c>
      <c r="AP4" s="61" t="inlineStr">
        <is>
          <t>출처</t>
        </is>
      </c>
    </row>
    <row r="5">
      <c r="A5" s="63" t="inlineStr">
        <is>
          <t>매출액</t>
        </is>
      </c>
      <c r="B5" s="64" t="n">
        <v>17.5</v>
      </c>
      <c r="C5" s="64" t="n">
        <v>19.6</v>
      </c>
      <c r="D5" s="64" t="n">
        <v>17.5</v>
      </c>
      <c r="E5" s="64" t="n">
        <v>12.9</v>
      </c>
      <c r="F5" s="64" t="n">
        <v>18.7</v>
      </c>
      <c r="G5" s="64" t="n">
        <v>21.1</v>
      </c>
      <c r="H5" s="64" t="n">
        <v>19.4</v>
      </c>
      <c r="I5" s="64" t="n">
        <v>11.4</v>
      </c>
      <c r="J5" s="64" t="n">
        <v>18.8</v>
      </c>
      <c r="K5" s="64" t="n">
        <v>21.5</v>
      </c>
      <c r="L5" s="64" t="n">
        <v>19.2</v>
      </c>
      <c r="M5" s="64" t="n">
        <v>17.3</v>
      </c>
      <c r="N5" s="64" t="n">
        <v>10.3</v>
      </c>
      <c r="O5" s="64" t="n">
        <v>14.4</v>
      </c>
      <c r="P5" s="64" t="n">
        <v>16</v>
      </c>
      <c r="Q5" s="64" t="n">
        <v>35.8</v>
      </c>
      <c r="R5" s="64" t="n">
        <v>12.3</v>
      </c>
      <c r="S5" s="64" t="n">
        <v>13.9</v>
      </c>
      <c r="T5" s="64" t="n">
        <v>14.7</v>
      </c>
      <c r="U5" s="64" t="n">
        <v>12.2</v>
      </c>
      <c r="V5" s="64" t="n">
        <v>15.5</v>
      </c>
      <c r="W5" s="64" t="n">
        <v>16.8</v>
      </c>
      <c r="X5" s="64" t="n">
        <v>16.7</v>
      </c>
      <c r="Y5" s="64" t="n">
        <v>5</v>
      </c>
      <c r="Z5" s="64" t="n">
        <v>17</v>
      </c>
      <c r="AA5" s="64" t="n">
        <v>18.5</v>
      </c>
      <c r="AB5" s="64" t="n">
        <v>17.2</v>
      </c>
      <c r="AC5" s="64" t="n">
        <v>11.6</v>
      </c>
      <c r="AD5" s="64" t="n">
        <v>18.6</v>
      </c>
      <c r="AE5" s="64" t="n">
        <v>19.8</v>
      </c>
      <c r="AF5" s="64" t="n">
        <v>17.9</v>
      </c>
      <c r="AG5" s="64" t="n">
        <v>12.1</v>
      </c>
      <c r="AH5" s="64" t="n">
        <v>18.6</v>
      </c>
      <c r="AI5" s="64" t="n">
        <v>19.8</v>
      </c>
      <c r="AJ5" s="64" t="n">
        <v>19.4</v>
      </c>
      <c r="AK5" s="64" t="n">
        <v>16</v>
      </c>
      <c r="AL5" s="64" t="n">
        <v>20.1</v>
      </c>
      <c r="AM5" s="64" t="n">
        <v>21.2</v>
      </c>
      <c r="AN5" s="64" t="n"/>
      <c r="AO5" s="64" t="n"/>
    </row>
    <row r="6">
      <c r="A6" s="63" t="inlineStr">
        <is>
          <t>매출액 YoY</t>
        </is>
      </c>
      <c r="B6" s="65" t="n"/>
      <c r="C6" s="65" t="n"/>
      <c r="D6" s="65" t="n"/>
      <c r="E6" s="65" t="n"/>
      <c r="F6" s="65" t="n">
        <v>6.9</v>
      </c>
      <c r="G6" s="65" t="n">
        <v>7.7</v>
      </c>
      <c r="H6" s="65" t="n">
        <v>10.9</v>
      </c>
      <c r="I6" s="65" t="n">
        <v>-11.6</v>
      </c>
      <c r="J6" s="65" t="n">
        <v>0.5</v>
      </c>
      <c r="K6" s="65" t="n">
        <v>1.9</v>
      </c>
      <c r="L6" s="65" t="n">
        <v>-1</v>
      </c>
      <c r="M6" s="65" t="n">
        <v>51.8</v>
      </c>
      <c r="N6" s="65" t="n">
        <v>-45.2</v>
      </c>
      <c r="O6" s="65" t="n">
        <v>-33</v>
      </c>
      <c r="P6" s="65" t="n">
        <v>-16.7</v>
      </c>
      <c r="Q6" s="65" t="n">
        <v>106.9</v>
      </c>
      <c r="R6" s="65" t="n">
        <v>19.4</v>
      </c>
      <c r="S6" s="65" t="n">
        <v>-3.5</v>
      </c>
      <c r="T6" s="65" t="n">
        <v>-8.1</v>
      </c>
      <c r="U6" s="65" t="n">
        <v>-65.90000000000001</v>
      </c>
      <c r="V6" s="65" t="n">
        <v>26</v>
      </c>
      <c r="W6" s="65" t="n">
        <v>20.9</v>
      </c>
      <c r="X6" s="65" t="n">
        <v>13.6</v>
      </c>
      <c r="Y6" s="65" t="n">
        <v>-59</v>
      </c>
      <c r="Z6" s="65" t="n">
        <v>9.699999999999999</v>
      </c>
      <c r="AA6" s="65" t="n">
        <v>10.1</v>
      </c>
      <c r="AB6" s="65" t="n">
        <v>3</v>
      </c>
      <c r="AC6" s="65" t="n">
        <v>132</v>
      </c>
      <c r="AD6" s="65" t="n">
        <v>9.4</v>
      </c>
      <c r="AE6" s="65" t="n">
        <v>7</v>
      </c>
      <c r="AF6" s="65" t="n">
        <v>4.1</v>
      </c>
      <c r="AG6" s="65" t="n">
        <v>4.3</v>
      </c>
      <c r="AH6" s="65" t="n">
        <v>0</v>
      </c>
      <c r="AI6" s="65" t="n">
        <v>0</v>
      </c>
      <c r="AJ6" s="65" t="n">
        <v>8.4</v>
      </c>
      <c r="AK6" s="65" t="n">
        <v>32.2</v>
      </c>
      <c r="AL6" s="65" t="n">
        <v>8.1</v>
      </c>
      <c r="AM6" s="65" t="n">
        <v>7.1</v>
      </c>
      <c r="AN6" s="65" t="n"/>
      <c r="AO6" s="65" t="n"/>
    </row>
    <row r="7">
      <c r="A7" s="63" t="inlineStr">
        <is>
          <t>영업이익</t>
        </is>
      </c>
      <c r="B7" s="64" t="n">
        <v>0.8</v>
      </c>
      <c r="C7" s="64" t="n">
        <v>1.4</v>
      </c>
      <c r="D7" s="64" t="n">
        <v>0.7</v>
      </c>
      <c r="E7" s="64" t="n">
        <v>1.3</v>
      </c>
      <c r="F7" s="64" t="n">
        <v>0.4</v>
      </c>
      <c r="G7" s="64" t="n">
        <v>1.7</v>
      </c>
      <c r="H7" s="64" t="n">
        <v>1</v>
      </c>
      <c r="I7" s="64" t="n">
        <v>-0.1</v>
      </c>
      <c r="J7" s="64" t="n">
        <v>0.9</v>
      </c>
      <c r="K7" s="64" t="n">
        <v>1.6</v>
      </c>
      <c r="L7" s="64" t="n">
        <v>0.5</v>
      </c>
      <c r="M7" s="64" t="n">
        <v>-0.1</v>
      </c>
      <c r="N7" s="64" t="n">
        <v>-3.6</v>
      </c>
      <c r="O7" s="64" t="n">
        <v>-1</v>
      </c>
      <c r="P7" s="64" t="n">
        <v>-0.2</v>
      </c>
      <c r="Q7" s="64" t="n">
        <v>6.8</v>
      </c>
      <c r="R7" s="64" t="n">
        <v>-1.5</v>
      </c>
      <c r="S7" s="64" t="n">
        <v>-0.7</v>
      </c>
      <c r="T7" s="64" t="n">
        <v>0</v>
      </c>
      <c r="U7" s="64" t="n">
        <v>-4.2</v>
      </c>
      <c r="V7" s="64" t="n">
        <v>0.4</v>
      </c>
      <c r="W7" s="64" t="n">
        <v>0.8</v>
      </c>
      <c r="X7" s="64" t="n">
        <v>0.5</v>
      </c>
      <c r="Y7" s="64" t="n">
        <v>-5.1</v>
      </c>
      <c r="Z7" s="64" t="n">
        <v>1.1</v>
      </c>
      <c r="AA7" s="64" t="n">
        <v>1.4</v>
      </c>
      <c r="AB7" s="64" t="n">
        <v>0.6</v>
      </c>
      <c r="AC7" s="64" t="n">
        <v>-1.5</v>
      </c>
      <c r="AD7" s="64" t="n">
        <v>0.9</v>
      </c>
      <c r="AE7" s="64" t="n">
        <v>1.8</v>
      </c>
      <c r="AF7" s="64" t="n">
        <v>0.5</v>
      </c>
      <c r="AG7" s="64" t="n">
        <v>-0.9</v>
      </c>
      <c r="AH7" s="64" t="n">
        <v>0.1</v>
      </c>
      <c r="AI7" s="64" t="n">
        <v>0.6</v>
      </c>
      <c r="AJ7" s="64" t="n">
        <v>-0.3</v>
      </c>
      <c r="AK7" s="64" t="n">
        <v>2.2</v>
      </c>
      <c r="AL7" s="64" t="n">
        <v>0.1</v>
      </c>
      <c r="AM7" s="64" t="n">
        <v>1</v>
      </c>
      <c r="AN7" s="64" t="n"/>
      <c r="AO7" s="64" t="n"/>
    </row>
    <row r="8">
      <c r="A8" s="63" t="inlineStr">
        <is>
          <t>영업이익률</t>
        </is>
      </c>
      <c r="B8" s="65" t="n">
        <v>4.6</v>
      </c>
      <c r="C8" s="65" t="n">
        <v>7.1</v>
      </c>
      <c r="D8" s="65" t="n">
        <v>4</v>
      </c>
      <c r="E8" s="65" t="n">
        <v>10.1</v>
      </c>
      <c r="F8" s="65" t="n">
        <v>2.1</v>
      </c>
      <c r="G8" s="65" t="n">
        <v>8.1</v>
      </c>
      <c r="H8" s="65" t="n">
        <v>5.2</v>
      </c>
      <c r="I8" s="65" t="n">
        <v>-0.9</v>
      </c>
      <c r="J8" s="65" t="n">
        <v>4.8</v>
      </c>
      <c r="K8" s="65" t="n">
        <v>7.4</v>
      </c>
      <c r="L8" s="65" t="n">
        <v>2.6</v>
      </c>
      <c r="M8" s="65" t="n">
        <v>-0.6</v>
      </c>
      <c r="N8" s="65" t="n">
        <v>-35</v>
      </c>
      <c r="O8" s="65" t="n">
        <v>-6.9</v>
      </c>
      <c r="P8" s="65" t="n">
        <v>-1.2</v>
      </c>
      <c r="Q8" s="65" t="n">
        <v>19</v>
      </c>
      <c r="R8" s="65" t="n">
        <v>-12.2</v>
      </c>
      <c r="S8" s="65" t="n">
        <v>-5</v>
      </c>
      <c r="T8" s="65" t="n">
        <v>0</v>
      </c>
      <c r="U8" s="65" t="n">
        <v>-34.4</v>
      </c>
      <c r="V8" s="65" t="n">
        <v>2.6</v>
      </c>
      <c r="W8" s="65" t="n">
        <v>4.8</v>
      </c>
      <c r="X8" s="65" t="n">
        <v>3</v>
      </c>
      <c r="Y8" s="65" t="n">
        <v>-102</v>
      </c>
      <c r="Z8" s="65" t="n">
        <v>6.5</v>
      </c>
      <c r="AA8" s="65" t="n">
        <v>7.6</v>
      </c>
      <c r="AB8" s="65" t="n">
        <v>3.5</v>
      </c>
      <c r="AC8" s="65" t="n">
        <v>-12.9</v>
      </c>
      <c r="AD8" s="65" t="n">
        <v>4.8</v>
      </c>
      <c r="AE8" s="65" t="n">
        <v>9.1</v>
      </c>
      <c r="AF8" s="65" t="n">
        <v>2.8</v>
      </c>
      <c r="AG8" s="65" t="n">
        <v>-7.4</v>
      </c>
      <c r="AH8" s="65" t="n">
        <v>0.5</v>
      </c>
      <c r="AI8" s="65" t="n">
        <v>3</v>
      </c>
      <c r="AJ8" s="65" t="n">
        <v>-1.5</v>
      </c>
      <c r="AK8" s="65" t="n">
        <v>13.8</v>
      </c>
      <c r="AL8" s="65" t="n">
        <v>0.5</v>
      </c>
      <c r="AM8" s="65" t="n">
        <v>4.7</v>
      </c>
      <c r="AN8" s="65" t="n"/>
      <c r="AO8" s="65" t="n"/>
    </row>
    <row r="9">
      <c r="A9" s="63" t="inlineStr">
        <is>
          <t>영업이익 YoY</t>
        </is>
      </c>
      <c r="B9" s="65" t="n"/>
      <c r="C9" s="65" t="n"/>
      <c r="D9" s="65" t="n"/>
      <c r="E9" s="65" t="n"/>
      <c r="F9" s="65" t="n">
        <v>-50</v>
      </c>
      <c r="G9" s="65" t="n">
        <v>21.4</v>
      </c>
      <c r="H9" s="65" t="n">
        <v>42.9</v>
      </c>
      <c r="I9" s="65" t="n">
        <v>-107.7</v>
      </c>
      <c r="J9" s="65" t="n">
        <v>125</v>
      </c>
      <c r="K9" s="65" t="n">
        <v>-5.9</v>
      </c>
      <c r="L9" s="65" t="n">
        <v>-50</v>
      </c>
      <c r="M9" s="65" t="n"/>
      <c r="N9" s="65" t="n">
        <v>-500</v>
      </c>
      <c r="O9" s="65" t="n">
        <v>-162.5</v>
      </c>
      <c r="P9" s="65" t="n">
        <v>-140</v>
      </c>
      <c r="Q9" s="65" t="n"/>
      <c r="R9" s="65" t="n"/>
      <c r="S9" s="65" t="n"/>
      <c r="T9" s="65" t="n"/>
      <c r="U9" s="65" t="n">
        <v>-161.8</v>
      </c>
      <c r="V9" s="65" t="n"/>
      <c r="W9" s="65" t="n"/>
      <c r="X9" s="65" t="n"/>
      <c r="Y9" s="65" t="n"/>
      <c r="Z9" s="65" t="n">
        <v>175</v>
      </c>
      <c r="AA9" s="65" t="n">
        <v>75</v>
      </c>
      <c r="AB9" s="65" t="n">
        <v>20</v>
      </c>
      <c r="AC9" s="65" t="n"/>
      <c r="AD9" s="65" t="n">
        <v>-18.2</v>
      </c>
      <c r="AE9" s="65" t="n">
        <v>28.6</v>
      </c>
      <c r="AF9" s="65" t="n">
        <v>-16.7</v>
      </c>
      <c r="AG9" s="65" t="n"/>
      <c r="AH9" s="65" t="n">
        <v>-88.90000000000001</v>
      </c>
      <c r="AI9" s="65" t="n">
        <v>-66.7</v>
      </c>
      <c r="AJ9" s="65" t="n">
        <v>-160</v>
      </c>
      <c r="AK9" s="65" t="n"/>
      <c r="AL9" s="65" t="n">
        <v>0</v>
      </c>
      <c r="AM9" s="65" t="n">
        <v>66.7</v>
      </c>
      <c r="AN9" s="65" t="n"/>
      <c r="AO9" s="65" t="n"/>
    </row>
    <row r="10">
      <c r="A10" s="63" t="inlineStr">
        <is>
          <t>유동자산</t>
        </is>
      </c>
      <c r="B10" s="64" t="n">
        <v>14.5</v>
      </c>
      <c r="C10" s="64" t="n"/>
      <c r="D10" s="64" t="n"/>
      <c r="E10" s="64" t="n">
        <v>14.9</v>
      </c>
      <c r="F10" s="64" t="n">
        <v>15.2</v>
      </c>
      <c r="G10" s="64" t="n">
        <v>18.1</v>
      </c>
      <c r="H10" s="64" t="n">
        <v>17.4</v>
      </c>
      <c r="I10" s="64" t="n">
        <v>17.9</v>
      </c>
      <c r="J10" s="64" t="n">
        <v>17.1</v>
      </c>
      <c r="K10" s="64" t="n">
        <v>19.6</v>
      </c>
      <c r="L10" s="64" t="n">
        <v>20</v>
      </c>
      <c r="M10" s="64" t="n">
        <v>20.6</v>
      </c>
      <c r="N10" s="64" t="n">
        <v>17.6</v>
      </c>
      <c r="O10" s="64" t="n">
        <v>18.3</v>
      </c>
      <c r="P10" s="64" t="n">
        <v>22.6</v>
      </c>
      <c r="Q10" s="64" t="n">
        <v>22.9</v>
      </c>
      <c r="R10" s="64" t="n">
        <v>21.3</v>
      </c>
      <c r="S10" s="64" t="n">
        <v>21.5</v>
      </c>
      <c r="T10" s="64" t="n">
        <v>20.8</v>
      </c>
      <c r="U10" s="64" t="n">
        <v>22.8</v>
      </c>
      <c r="V10" s="64" t="n">
        <v>21.8</v>
      </c>
      <c r="W10" s="64" t="n">
        <v>23.4</v>
      </c>
      <c r="X10" s="64" t="n">
        <v>23.6</v>
      </c>
      <c r="Y10" s="64" t="n">
        <v>19.6</v>
      </c>
      <c r="Z10" s="64" t="n">
        <v>18.5</v>
      </c>
      <c r="AA10" s="64" t="n">
        <v>20.8</v>
      </c>
      <c r="AB10" s="64" t="n">
        <v>20.5</v>
      </c>
      <c r="AC10" s="64" t="n">
        <v>20.3</v>
      </c>
      <c r="AD10" s="64" t="n">
        <v>26.1</v>
      </c>
      <c r="AE10" s="64" t="n">
        <v>26.1</v>
      </c>
      <c r="AF10" s="64" t="n">
        <v>23.7</v>
      </c>
      <c r="AG10" s="64" t="n">
        <v>21.6</v>
      </c>
      <c r="AH10" s="64" t="n">
        <v>20.7</v>
      </c>
      <c r="AI10" s="64" t="n">
        <v>21.4</v>
      </c>
      <c r="AJ10" s="64" t="n">
        <v>21.3</v>
      </c>
      <c r="AK10" s="64" t="n">
        <v>19.1</v>
      </c>
      <c r="AL10" s="64" t="n">
        <v>18</v>
      </c>
      <c r="AM10" s="64" t="n">
        <v>22</v>
      </c>
      <c r="AN10" s="64" t="n">
        <v>31.2</v>
      </c>
      <c r="AO10" s="64" t="n"/>
    </row>
    <row r="11">
      <c r="A11" s="63" t="inlineStr">
        <is>
          <t>유동부채</t>
        </is>
      </c>
      <c r="B11" s="64" t="n">
        <v>11.3</v>
      </c>
      <c r="C11" s="64" t="n"/>
      <c r="D11" s="64" t="n"/>
      <c r="E11" s="64" t="n">
        <v>7.9</v>
      </c>
      <c r="F11" s="64" t="n">
        <v>7.6</v>
      </c>
      <c r="G11" s="64" t="n">
        <v>11.3</v>
      </c>
      <c r="H11" s="64" t="n">
        <v>8.9</v>
      </c>
      <c r="I11" s="64" t="n">
        <v>8.6</v>
      </c>
      <c r="J11" s="64" t="n">
        <v>8.1</v>
      </c>
      <c r="K11" s="64" t="n">
        <v>9.9</v>
      </c>
      <c r="L11" s="64" t="n">
        <v>9.6</v>
      </c>
      <c r="M11" s="64" t="n">
        <v>9.4</v>
      </c>
      <c r="N11" s="64" t="n">
        <v>8.300000000000001</v>
      </c>
      <c r="O11" s="64" t="n">
        <v>12.5</v>
      </c>
      <c r="P11" s="64" t="n">
        <v>13</v>
      </c>
      <c r="Q11" s="64" t="n">
        <v>13.5</v>
      </c>
      <c r="R11" s="64" t="n">
        <v>12.7</v>
      </c>
      <c r="S11" s="64" t="n">
        <v>13.2</v>
      </c>
      <c r="T11" s="64" t="n">
        <v>12.2</v>
      </c>
      <c r="U11" s="64" t="n">
        <v>13.9</v>
      </c>
      <c r="V11" s="64" t="n">
        <v>13.5</v>
      </c>
      <c r="W11" s="64" t="n">
        <v>14.7</v>
      </c>
      <c r="X11" s="64" t="n">
        <v>14.5</v>
      </c>
      <c r="Y11" s="64" t="n">
        <v>11.3</v>
      </c>
      <c r="Z11" s="64" t="n">
        <v>9.800000000000001</v>
      </c>
      <c r="AA11" s="64" t="n">
        <v>10.7</v>
      </c>
      <c r="AB11" s="64" t="n">
        <v>9.800000000000001</v>
      </c>
      <c r="AC11" s="64" t="n">
        <v>10.1</v>
      </c>
      <c r="AD11" s="64" t="n">
        <v>15</v>
      </c>
      <c r="AE11" s="64" t="n">
        <v>15.2</v>
      </c>
      <c r="AF11" s="64" t="n">
        <v>13.4</v>
      </c>
      <c r="AG11" s="64" t="n">
        <v>11.4</v>
      </c>
      <c r="AH11" s="64" t="n">
        <v>11.7</v>
      </c>
      <c r="AI11" s="64" t="n">
        <v>12.7</v>
      </c>
      <c r="AJ11" s="64" t="n">
        <v>11.8</v>
      </c>
      <c r="AK11" s="64" t="n">
        <v>11.7</v>
      </c>
      <c r="AL11" s="64" t="n">
        <v>11.6</v>
      </c>
      <c r="AM11" s="64" t="n">
        <v>15.4</v>
      </c>
      <c r="AN11" s="64" t="n">
        <v>15.1</v>
      </c>
      <c r="AO11" s="64" t="n"/>
    </row>
    <row r="12">
      <c r="A12" s="63" t="inlineStr">
        <is>
          <t>부채총계</t>
        </is>
      </c>
      <c r="B12" s="64" t="n">
        <v>15.4</v>
      </c>
      <c r="C12" s="64" t="n"/>
      <c r="D12" s="64" t="n"/>
      <c r="E12" s="64" t="n">
        <v>11.7</v>
      </c>
      <c r="F12" s="64" t="n">
        <v>11.3</v>
      </c>
      <c r="G12" s="64" t="n">
        <v>13.7</v>
      </c>
      <c r="H12" s="64" t="n">
        <v>11.4</v>
      </c>
      <c r="I12" s="64" t="n">
        <v>11</v>
      </c>
      <c r="J12" s="64" t="n">
        <v>10.5</v>
      </c>
      <c r="K12" s="64" t="n">
        <v>12.2</v>
      </c>
      <c r="L12" s="64" t="n">
        <v>12</v>
      </c>
      <c r="M12" s="64" t="n">
        <v>11.8</v>
      </c>
      <c r="N12" s="64" t="n">
        <v>10.9</v>
      </c>
      <c r="O12" s="64" t="n">
        <v>15.2</v>
      </c>
      <c r="P12" s="64" t="n">
        <v>20.2</v>
      </c>
      <c r="Q12" s="64" t="n">
        <v>20.4</v>
      </c>
      <c r="R12" s="64" t="n">
        <v>19.4</v>
      </c>
      <c r="S12" s="64" t="n">
        <v>19.7</v>
      </c>
      <c r="T12" s="64" t="n">
        <v>18.5</v>
      </c>
      <c r="U12" s="64" t="n">
        <v>20</v>
      </c>
      <c r="V12" s="64" t="n">
        <v>19.3</v>
      </c>
      <c r="W12" s="64" t="n">
        <v>20.3</v>
      </c>
      <c r="X12" s="64" t="n">
        <v>19.8</v>
      </c>
      <c r="Y12" s="64" t="n">
        <v>16.4</v>
      </c>
      <c r="Z12" s="64" t="n">
        <v>14.7</v>
      </c>
      <c r="AA12" s="64" t="n">
        <v>15.4</v>
      </c>
      <c r="AB12" s="64" t="n">
        <v>14.3</v>
      </c>
      <c r="AC12" s="64" t="n">
        <v>14.4</v>
      </c>
      <c r="AD12" s="64" t="n">
        <v>23.8</v>
      </c>
      <c r="AE12" s="64" t="n">
        <v>23.3</v>
      </c>
      <c r="AF12" s="64" t="n">
        <v>21</v>
      </c>
      <c r="AG12" s="64" t="n">
        <v>18.7</v>
      </c>
      <c r="AH12" s="64" t="n">
        <v>18.8</v>
      </c>
      <c r="AI12" s="64" t="n">
        <v>19.5</v>
      </c>
      <c r="AJ12" s="64" t="n">
        <v>18.8</v>
      </c>
      <c r="AK12" s="64" t="n">
        <v>18.4</v>
      </c>
      <c r="AL12" s="64" t="n">
        <v>18</v>
      </c>
      <c r="AM12" s="64" t="n">
        <v>21.6</v>
      </c>
      <c r="AN12" s="64" t="n">
        <v>30.3</v>
      </c>
      <c r="AO12" s="64" t="n"/>
    </row>
    <row r="13">
      <c r="A13" s="63" t="inlineStr">
        <is>
          <t>자기자본</t>
        </is>
      </c>
      <c r="B13" s="65" t="n">
        <v>34.6</v>
      </c>
      <c r="C13" s="65" t="n"/>
      <c r="D13" s="65" t="n"/>
      <c r="E13" s="65" t="n">
        <v>40.7</v>
      </c>
      <c r="F13" s="65" t="n">
        <v>40.5</v>
      </c>
      <c r="G13" s="65" t="n">
        <v>41.1</v>
      </c>
      <c r="H13" s="65" t="n">
        <v>42.3</v>
      </c>
      <c r="I13" s="65" t="n">
        <v>42.5</v>
      </c>
      <c r="J13" s="65" t="n">
        <v>42.1</v>
      </c>
      <c r="K13" s="65" t="n">
        <v>42.8</v>
      </c>
      <c r="L13" s="65" t="n">
        <v>43.3</v>
      </c>
      <c r="M13" s="65" t="n">
        <v>43.5</v>
      </c>
      <c r="N13" s="65" t="n">
        <v>41</v>
      </c>
      <c r="O13" s="65" t="n">
        <v>38.4</v>
      </c>
      <c r="P13" s="65" t="n">
        <v>36.9</v>
      </c>
      <c r="Q13" s="65" t="n">
        <v>36.5</v>
      </c>
      <c r="R13" s="65" t="n">
        <v>33.9</v>
      </c>
      <c r="S13" s="65" t="n">
        <v>33</v>
      </c>
      <c r="T13" s="65" t="n">
        <v>32.9</v>
      </c>
      <c r="U13" s="65" t="n">
        <v>32.5</v>
      </c>
      <c r="V13" s="65" t="n">
        <v>31.6</v>
      </c>
      <c r="W13" s="65" t="n">
        <v>32.1</v>
      </c>
      <c r="X13" s="65" t="n">
        <v>33</v>
      </c>
      <c r="Y13" s="65" t="n">
        <v>32.8</v>
      </c>
      <c r="Z13" s="65" t="n">
        <v>32.2</v>
      </c>
      <c r="AA13" s="65" t="n">
        <v>33.8</v>
      </c>
      <c r="AB13" s="65" t="n">
        <v>35</v>
      </c>
      <c r="AC13" s="65" t="n">
        <v>34.4</v>
      </c>
      <c r="AD13" s="65" t="n">
        <v>33.8</v>
      </c>
      <c r="AE13" s="65" t="n">
        <v>35.1</v>
      </c>
      <c r="AF13" s="65" t="n">
        <v>37</v>
      </c>
      <c r="AG13" s="65" t="n">
        <v>37.4</v>
      </c>
      <c r="AH13" s="65" t="n">
        <v>36.7</v>
      </c>
      <c r="AI13" s="65" t="n">
        <v>37.2</v>
      </c>
      <c r="AJ13" s="65" t="n">
        <v>38.1</v>
      </c>
      <c r="AK13" s="65" t="n">
        <v>38.1</v>
      </c>
      <c r="AL13" s="65" t="n">
        <v>38.1</v>
      </c>
      <c r="AM13" s="65" t="n">
        <v>38.8</v>
      </c>
      <c r="AN13" s="65" t="n">
        <v>40.1</v>
      </c>
      <c r="AO13" s="65" t="n"/>
    </row>
    <row r="14">
      <c r="A14" s="63" t="inlineStr">
        <is>
          <t>유동비율</t>
        </is>
      </c>
      <c r="B14" s="65" t="n">
        <v>128.3</v>
      </c>
      <c r="C14" s="65" t="n"/>
      <c r="D14" s="65" t="n"/>
      <c r="E14" s="65" t="n">
        <v>188.6</v>
      </c>
      <c r="F14" s="65" t="n">
        <v>200</v>
      </c>
      <c r="G14" s="65" t="n">
        <v>160.2</v>
      </c>
      <c r="H14" s="65" t="n">
        <v>195.5</v>
      </c>
      <c r="I14" s="65" t="n">
        <v>208.1</v>
      </c>
      <c r="J14" s="65" t="n">
        <v>211.1</v>
      </c>
      <c r="K14" s="65" t="n">
        <v>198</v>
      </c>
      <c r="L14" s="65" t="n">
        <v>208.3</v>
      </c>
      <c r="M14" s="65" t="n">
        <v>219.1</v>
      </c>
      <c r="N14" s="65" t="n">
        <v>212</v>
      </c>
      <c r="O14" s="65" t="n">
        <v>146.4</v>
      </c>
      <c r="P14" s="65" t="n">
        <v>173.8</v>
      </c>
      <c r="Q14" s="65" t="n">
        <v>169.6</v>
      </c>
      <c r="R14" s="65" t="n">
        <v>167.7</v>
      </c>
      <c r="S14" s="65" t="n">
        <v>162.9</v>
      </c>
      <c r="T14" s="65" t="n">
        <v>170.5</v>
      </c>
      <c r="U14" s="65" t="n">
        <v>164</v>
      </c>
      <c r="V14" s="65" t="n">
        <v>161.5</v>
      </c>
      <c r="W14" s="65" t="n">
        <v>159.2</v>
      </c>
      <c r="X14" s="65" t="n">
        <v>162.8</v>
      </c>
      <c r="Y14" s="65" t="n">
        <v>173.5</v>
      </c>
      <c r="Z14" s="65" t="n">
        <v>188.8</v>
      </c>
      <c r="AA14" s="65" t="n">
        <v>194.4</v>
      </c>
      <c r="AB14" s="65" t="n">
        <v>209.2</v>
      </c>
      <c r="AC14" s="65" t="n">
        <v>201</v>
      </c>
      <c r="AD14" s="65" t="n">
        <v>174</v>
      </c>
      <c r="AE14" s="65" t="n">
        <v>171.7</v>
      </c>
      <c r="AF14" s="65" t="n">
        <v>176.9</v>
      </c>
      <c r="AG14" s="65" t="n">
        <v>189.5</v>
      </c>
      <c r="AH14" s="65" t="n">
        <v>176.9</v>
      </c>
      <c r="AI14" s="65" t="n">
        <v>168.5</v>
      </c>
      <c r="AJ14" s="65" t="n">
        <v>180.5</v>
      </c>
      <c r="AK14" s="65" t="n">
        <v>163.2</v>
      </c>
      <c r="AL14" s="65" t="n">
        <v>155.2</v>
      </c>
      <c r="AM14" s="65" t="n">
        <v>142.9</v>
      </c>
      <c r="AN14" s="65" t="n">
        <v>206.6</v>
      </c>
      <c r="AO14" s="65" t="n"/>
    </row>
    <row r="15">
      <c r="A15" s="63" t="inlineStr">
        <is>
          <t>부채비율</t>
        </is>
      </c>
      <c r="B15" s="65" t="n">
        <v>44.5</v>
      </c>
      <c r="C15" s="65" t="n"/>
      <c r="D15" s="65" t="n"/>
      <c r="E15" s="65" t="n">
        <v>28.7</v>
      </c>
      <c r="F15" s="65" t="n">
        <v>27.9</v>
      </c>
      <c r="G15" s="65" t="n">
        <v>33.3</v>
      </c>
      <c r="H15" s="65" t="n">
        <v>27</v>
      </c>
      <c r="I15" s="65" t="n">
        <v>25.9</v>
      </c>
      <c r="J15" s="65" t="n">
        <v>24.9</v>
      </c>
      <c r="K15" s="65" t="n">
        <v>28.5</v>
      </c>
      <c r="L15" s="65" t="n">
        <v>27.7</v>
      </c>
      <c r="M15" s="65" t="n">
        <v>27.1</v>
      </c>
      <c r="N15" s="65" t="n">
        <v>26.6</v>
      </c>
      <c r="O15" s="65" t="n">
        <v>39.6</v>
      </c>
      <c r="P15" s="65" t="n">
        <v>54.7</v>
      </c>
      <c r="Q15" s="65" t="n">
        <v>55.9</v>
      </c>
      <c r="R15" s="65" t="n">
        <v>57.2</v>
      </c>
      <c r="S15" s="65" t="n">
        <v>59.7</v>
      </c>
      <c r="T15" s="65" t="n">
        <v>56.2</v>
      </c>
      <c r="U15" s="65" t="n">
        <v>61.5</v>
      </c>
      <c r="V15" s="65" t="n">
        <v>61.1</v>
      </c>
      <c r="W15" s="65" t="n">
        <v>63.2</v>
      </c>
      <c r="X15" s="65" t="n">
        <v>60</v>
      </c>
      <c r="Y15" s="65" t="n">
        <v>50</v>
      </c>
      <c r="Z15" s="65" t="n">
        <v>45.7</v>
      </c>
      <c r="AA15" s="65" t="n">
        <v>45.6</v>
      </c>
      <c r="AB15" s="65" t="n">
        <v>40.9</v>
      </c>
      <c r="AC15" s="65" t="n">
        <v>41.9</v>
      </c>
      <c r="AD15" s="65" t="n">
        <v>70.40000000000001</v>
      </c>
      <c r="AE15" s="65" t="n">
        <v>66.40000000000001</v>
      </c>
      <c r="AF15" s="65" t="n">
        <v>56.8</v>
      </c>
      <c r="AG15" s="65" t="n">
        <v>50</v>
      </c>
      <c r="AH15" s="65" t="n">
        <v>51.2</v>
      </c>
      <c r="AI15" s="65" t="n">
        <v>52.4</v>
      </c>
      <c r="AJ15" s="65" t="n">
        <v>49.3</v>
      </c>
      <c r="AK15" s="65" t="n">
        <v>48.3</v>
      </c>
      <c r="AL15" s="65" t="n">
        <v>47.2</v>
      </c>
      <c r="AM15" s="65" t="n">
        <v>55.7</v>
      </c>
      <c r="AN15" s="65" t="n">
        <v>75.59999999999999</v>
      </c>
      <c r="AO15" s="65" t="n"/>
    </row>
    <row r="16">
      <c r="A16" s="63" t="inlineStr">
        <is>
          <t>순차입금/자기자본</t>
        </is>
      </c>
      <c r="B16" s="65" t="n">
        <v>-18.5</v>
      </c>
      <c r="C16" s="65" t="n"/>
      <c r="D16" s="65" t="n"/>
      <c r="E16" s="65" t="n">
        <v>-14.3</v>
      </c>
      <c r="F16" s="65" t="n">
        <v>-19.3</v>
      </c>
      <c r="G16" s="65" t="n">
        <v>-17.8</v>
      </c>
      <c r="H16" s="65" t="n">
        <v>-20.3</v>
      </c>
      <c r="I16" s="65" t="n">
        <v>-20.5</v>
      </c>
      <c r="J16" s="65" t="n">
        <v>-24.2</v>
      </c>
      <c r="K16" s="65" t="n">
        <v>-24.1</v>
      </c>
      <c r="L16" s="65" t="n">
        <v>-25.6</v>
      </c>
      <c r="M16" s="65" t="n">
        <v>-26.2</v>
      </c>
      <c r="N16" s="65" t="n">
        <v>-25.9</v>
      </c>
      <c r="O16" s="65" t="n">
        <v>-12.8</v>
      </c>
      <c r="P16" s="65" t="n">
        <v>-9.800000000000001</v>
      </c>
      <c r="Q16" s="65" t="n">
        <v>-7.1</v>
      </c>
      <c r="R16" s="65" t="n">
        <v>-9.4</v>
      </c>
      <c r="S16" s="65" t="n">
        <v>-9.4</v>
      </c>
      <c r="T16" s="65" t="n">
        <v>-8.5</v>
      </c>
      <c r="U16" s="65" t="n">
        <v>-13.5</v>
      </c>
      <c r="V16" s="65" t="n">
        <v>-13.9</v>
      </c>
      <c r="W16" s="65" t="n">
        <v>-13.4</v>
      </c>
      <c r="X16" s="65" t="n">
        <v>-13.6</v>
      </c>
      <c r="Y16" s="65" t="n">
        <v>-14.3</v>
      </c>
      <c r="Z16" s="65" t="n">
        <v>-17.1</v>
      </c>
      <c r="AA16" s="65" t="n">
        <v>-18.3</v>
      </c>
      <c r="AB16" s="65" t="n">
        <v>-22.6</v>
      </c>
      <c r="AC16" s="65" t="n">
        <v>-19.5</v>
      </c>
      <c r="AD16" s="65" t="n">
        <v>-21</v>
      </c>
      <c r="AE16" s="65" t="n">
        <v>-10.5</v>
      </c>
      <c r="AF16" s="65" t="n">
        <v>-11.9</v>
      </c>
      <c r="AG16" s="65" t="n">
        <v>-6.4</v>
      </c>
      <c r="AH16" s="65" t="n">
        <v>-10.9</v>
      </c>
      <c r="AI16" s="65" t="n">
        <v>-6.2</v>
      </c>
      <c r="AJ16" s="65" t="n">
        <v>-8.699999999999999</v>
      </c>
      <c r="AK16" s="65" t="n">
        <v>-2.1</v>
      </c>
      <c r="AL16" s="65" t="n">
        <v>-5.2</v>
      </c>
      <c r="AM16" s="65" t="n">
        <v>-3.9</v>
      </c>
      <c r="AN16" s="65" t="n">
        <v>-5.2</v>
      </c>
      <c r="AO16" s="65" t="n"/>
    </row>
    <row r="17">
      <c r="A17" s="63" t="inlineStr">
        <is>
          <t>재고자산</t>
        </is>
      </c>
      <c r="B17" s="64" t="n">
        <v>0.9</v>
      </c>
      <c r="C17" s="64" t="n"/>
      <c r="D17" s="64" t="n"/>
      <c r="E17" s="64" t="n">
        <v>1.1</v>
      </c>
      <c r="F17" s="64" t="n">
        <v>1</v>
      </c>
      <c r="G17" s="64" t="n">
        <v>1.3</v>
      </c>
      <c r="H17" s="64" t="n">
        <v>1.1</v>
      </c>
      <c r="I17" s="64" t="n">
        <v>1.5</v>
      </c>
      <c r="J17" s="64" t="n">
        <v>1.2</v>
      </c>
      <c r="K17" s="64" t="n">
        <v>1.5</v>
      </c>
      <c r="L17" s="64" t="n">
        <v>1.3</v>
      </c>
      <c r="M17" s="64" t="n">
        <v>1.4</v>
      </c>
      <c r="N17" s="64" t="n">
        <v>1.3</v>
      </c>
      <c r="O17" s="64" t="n">
        <v>1.6</v>
      </c>
      <c r="P17" s="64" t="n">
        <v>1.5</v>
      </c>
      <c r="Q17" s="64" t="n">
        <v>1.6</v>
      </c>
      <c r="R17" s="64" t="n">
        <v>1.7</v>
      </c>
      <c r="S17" s="64" t="n">
        <v>1.8</v>
      </c>
      <c r="T17" s="64" t="n">
        <v>1.6</v>
      </c>
      <c r="U17" s="64" t="n">
        <v>1.9</v>
      </c>
      <c r="V17" s="64" t="n">
        <v>1.7</v>
      </c>
      <c r="W17" s="64" t="n">
        <v>2</v>
      </c>
      <c r="X17" s="64" t="n">
        <v>1.7</v>
      </c>
      <c r="Y17" s="64" t="n">
        <v>2.2</v>
      </c>
      <c r="Z17" s="64" t="n">
        <v>1.9</v>
      </c>
      <c r="AA17" s="64" t="n">
        <v>2</v>
      </c>
      <c r="AB17" s="64" t="n">
        <v>1.8</v>
      </c>
      <c r="AC17" s="64" t="n">
        <v>2.5</v>
      </c>
      <c r="AD17" s="64" t="n">
        <v>1.9</v>
      </c>
      <c r="AE17" s="64" t="n">
        <v>1.9</v>
      </c>
      <c r="AF17" s="64" t="n">
        <v>2.2</v>
      </c>
      <c r="AG17" s="64" t="n">
        <v>2.4</v>
      </c>
      <c r="AH17" s="64" t="n">
        <v>2.3</v>
      </c>
      <c r="AI17" s="64" t="n">
        <v>2.2</v>
      </c>
      <c r="AJ17" s="64" t="n">
        <v>2.2</v>
      </c>
      <c r="AK17" s="64" t="n">
        <v>2.3</v>
      </c>
      <c r="AL17" s="64" t="n">
        <v>2.2</v>
      </c>
      <c r="AM17" s="64" t="n">
        <v>2.4</v>
      </c>
      <c r="AN17" s="64" t="n">
        <v>2.6</v>
      </c>
      <c r="AO17" s="64" t="n"/>
    </row>
    <row r="18">
      <c r="A18" s="63" t="inlineStr">
        <is>
          <t>재고자산 회전일수</t>
        </is>
      </c>
      <c r="B18" s="64" t="n">
        <v>9</v>
      </c>
      <c r="C18" s="64" t="n"/>
      <c r="D18" s="64" t="n"/>
      <c r="E18" s="64" t="n">
        <v>16</v>
      </c>
      <c r="F18" s="64" t="n">
        <v>9</v>
      </c>
      <c r="G18" s="64" t="n">
        <v>11</v>
      </c>
      <c r="H18" s="64" t="n">
        <v>10</v>
      </c>
      <c r="I18" s="64" t="n">
        <v>24</v>
      </c>
      <c r="J18" s="64" t="n">
        <v>11</v>
      </c>
      <c r="K18" s="64" t="n">
        <v>12</v>
      </c>
      <c r="L18" s="64" t="n">
        <v>12</v>
      </c>
      <c r="M18" s="64" t="n">
        <v>14</v>
      </c>
      <c r="N18" s="64" t="n">
        <v>17</v>
      </c>
      <c r="O18" s="64" t="n">
        <v>17</v>
      </c>
      <c r="P18" s="64" t="n">
        <v>15</v>
      </c>
      <c r="Q18" s="64" t="n">
        <v>9</v>
      </c>
      <c r="R18" s="64" t="n">
        <v>20</v>
      </c>
      <c r="S18" s="64" t="n">
        <v>20</v>
      </c>
      <c r="T18" s="64" t="n">
        <v>17</v>
      </c>
      <c r="U18" s="64" t="n">
        <v>23</v>
      </c>
      <c r="V18" s="64" t="n">
        <v>17</v>
      </c>
      <c r="W18" s="64" t="n">
        <v>19</v>
      </c>
      <c r="X18" s="64" t="n">
        <v>16</v>
      </c>
      <c r="Y18" s="64" t="n">
        <v>46</v>
      </c>
      <c r="Z18" s="64" t="n">
        <v>18</v>
      </c>
      <c r="AA18" s="64" t="n">
        <v>16</v>
      </c>
      <c r="AB18" s="64" t="n">
        <v>16</v>
      </c>
      <c r="AC18" s="64" t="n">
        <v>37</v>
      </c>
      <c r="AD18" s="64" t="n">
        <v>15</v>
      </c>
      <c r="AE18" s="64" t="n">
        <v>15</v>
      </c>
      <c r="AF18" s="64" t="n">
        <v>19</v>
      </c>
      <c r="AG18" s="64" t="n">
        <v>30</v>
      </c>
      <c r="AH18" s="64" t="n">
        <v>18</v>
      </c>
      <c r="AI18" s="64" t="n">
        <v>17</v>
      </c>
      <c r="AJ18" s="64" t="n">
        <v>17</v>
      </c>
      <c r="AK18" s="64" t="n">
        <v>22</v>
      </c>
      <c r="AL18" s="64" t="n">
        <v>17</v>
      </c>
      <c r="AM18" s="64" t="n">
        <v>18</v>
      </c>
      <c r="AN18" s="64" t="n"/>
      <c r="AO18" s="64" t="n"/>
    </row>
    <row r="19">
      <c r="A19" s="63" t="inlineStr">
        <is>
          <t>매출채권 회전일수</t>
        </is>
      </c>
      <c r="B19" s="64" t="n">
        <v>21</v>
      </c>
      <c r="C19" s="64" t="n"/>
      <c r="D19" s="64" t="n"/>
      <c r="E19" s="64" t="n">
        <v>36</v>
      </c>
      <c r="F19" s="64" t="n">
        <v>19</v>
      </c>
      <c r="G19" s="64" t="n">
        <v>23</v>
      </c>
      <c r="H19" s="64" t="n">
        <v>27</v>
      </c>
      <c r="I19" s="64" t="n">
        <v>47</v>
      </c>
      <c r="J19" s="64" t="n">
        <v>21</v>
      </c>
      <c r="K19" s="64" t="n">
        <v>24</v>
      </c>
      <c r="L19" s="64" t="n">
        <v>28</v>
      </c>
      <c r="M19" s="64" t="n">
        <v>33</v>
      </c>
      <c r="N19" s="64" t="n">
        <v>42</v>
      </c>
      <c r="O19" s="64" t="n">
        <v>32</v>
      </c>
      <c r="P19" s="64" t="n">
        <v>30</v>
      </c>
      <c r="Q19" s="64" t="n">
        <v>17</v>
      </c>
      <c r="R19" s="64" t="n">
        <v>33</v>
      </c>
      <c r="S19" s="64" t="n">
        <v>32</v>
      </c>
      <c r="T19" s="64" t="n">
        <v>32</v>
      </c>
      <c r="U19" s="64" t="n">
        <v>44</v>
      </c>
      <c r="V19" s="64" t="n">
        <v>28</v>
      </c>
      <c r="W19" s="64" t="n">
        <v>35</v>
      </c>
      <c r="X19" s="64" t="n">
        <v>40</v>
      </c>
      <c r="Y19" s="64" t="n">
        <v>124</v>
      </c>
      <c r="Z19" s="64" t="n">
        <v>35</v>
      </c>
      <c r="AA19" s="64" t="n">
        <v>34</v>
      </c>
      <c r="AB19" s="64" t="n">
        <v>37</v>
      </c>
      <c r="AC19" s="64" t="n">
        <v>56</v>
      </c>
      <c r="AD19" s="64" t="n">
        <v>30</v>
      </c>
      <c r="AE19" s="64" t="n">
        <v>40</v>
      </c>
      <c r="AF19" s="64" t="n">
        <v>39</v>
      </c>
      <c r="AG19" s="64" t="n">
        <v>60</v>
      </c>
      <c r="AH19" s="64" t="n">
        <v>34</v>
      </c>
      <c r="AI19" s="64" t="n">
        <v>39</v>
      </c>
      <c r="AJ19" s="64" t="n">
        <v>39</v>
      </c>
      <c r="AK19" s="64" t="n">
        <v>55</v>
      </c>
      <c r="AL19" s="64" t="n">
        <v>36</v>
      </c>
      <c r="AM19" s="64" t="n">
        <v>41</v>
      </c>
      <c r="AN19" s="64" t="n"/>
      <c r="AO19" s="64" t="n"/>
    </row>
    <row r="20">
      <c r="A20" s="63" t="inlineStr">
        <is>
          <t>매입채무 회전일수</t>
        </is>
      </c>
      <c r="B20" s="64" t="n">
        <v>24</v>
      </c>
      <c r="C20" s="64" t="n"/>
      <c r="D20" s="64" t="n"/>
      <c r="E20" s="64" t="n">
        <v>45</v>
      </c>
      <c r="F20" s="64" t="n">
        <v>23</v>
      </c>
      <c r="G20" s="64" t="n">
        <v>26</v>
      </c>
      <c r="H20" s="64" t="n">
        <v>31</v>
      </c>
      <c r="I20" s="64" t="n">
        <v>60</v>
      </c>
      <c r="J20" s="64" t="n">
        <v>27</v>
      </c>
      <c r="K20" s="64" t="n">
        <v>27</v>
      </c>
      <c r="L20" s="64" t="n">
        <v>32</v>
      </c>
      <c r="M20" s="64" t="n">
        <v>36</v>
      </c>
      <c r="N20" s="64" t="n">
        <v>35</v>
      </c>
      <c r="O20" s="64" t="n">
        <v>27</v>
      </c>
      <c r="P20" s="64" t="n">
        <v>27</v>
      </c>
      <c r="Q20" s="64" t="n">
        <v>18</v>
      </c>
      <c r="R20" s="64" t="n">
        <v>28</v>
      </c>
      <c r="S20" s="64" t="n">
        <v>26</v>
      </c>
      <c r="T20" s="64" t="n">
        <v>24</v>
      </c>
      <c r="U20" s="64" t="n">
        <v>41</v>
      </c>
      <c r="V20" s="64" t="n">
        <v>25</v>
      </c>
      <c r="W20" s="64" t="n">
        <v>29</v>
      </c>
      <c r="X20" s="64" t="n">
        <v>29</v>
      </c>
      <c r="Y20" s="64" t="n">
        <v>79</v>
      </c>
      <c r="Z20" s="64" t="n">
        <v>29</v>
      </c>
      <c r="AA20" s="64" t="n">
        <v>26</v>
      </c>
      <c r="AB20" s="64" t="n">
        <v>32</v>
      </c>
      <c r="AC20" s="64" t="n">
        <v>60</v>
      </c>
      <c r="AD20" s="64" t="n">
        <v>28</v>
      </c>
      <c r="AE20" s="64" t="n">
        <v>32</v>
      </c>
      <c r="AF20" s="64" t="n">
        <v>35</v>
      </c>
      <c r="AG20" s="64" t="n">
        <v>48</v>
      </c>
      <c r="AH20" s="64" t="n">
        <v>30</v>
      </c>
      <c r="AI20" s="64" t="n">
        <v>32</v>
      </c>
      <c r="AJ20" s="64" t="n">
        <v>33</v>
      </c>
      <c r="AK20" s="64" t="n">
        <v>46</v>
      </c>
      <c r="AL20" s="64" t="n">
        <v>33</v>
      </c>
      <c r="AM20" s="64" t="n">
        <v>32</v>
      </c>
      <c r="AN20" s="64" t="n"/>
      <c r="AO20" s="64" t="n"/>
    </row>
    <row r="21">
      <c r="A21" s="63" t="inlineStr">
        <is>
          <t>현금전환주기(CCC)</t>
        </is>
      </c>
      <c r="B21" s="64" t="n">
        <v>6</v>
      </c>
      <c r="C21" s="64" t="n"/>
      <c r="D21" s="64" t="n"/>
      <c r="E21" s="64" t="n">
        <v>7</v>
      </c>
      <c r="F21" s="64" t="n">
        <v>5</v>
      </c>
      <c r="G21" s="64" t="n">
        <v>8</v>
      </c>
      <c r="H21" s="64" t="n">
        <v>6</v>
      </c>
      <c r="I21" s="64" t="n">
        <v>11</v>
      </c>
      <c r="J21" s="64" t="n">
        <v>5</v>
      </c>
      <c r="K21" s="64" t="n">
        <v>9</v>
      </c>
      <c r="L21" s="64" t="n">
        <v>8</v>
      </c>
      <c r="M21" s="64" t="n">
        <v>11</v>
      </c>
      <c r="N21" s="64" t="n">
        <v>24</v>
      </c>
      <c r="O21" s="64" t="n">
        <v>22</v>
      </c>
      <c r="P21" s="64" t="n">
        <v>18</v>
      </c>
      <c r="Q21" s="64" t="n">
        <v>8</v>
      </c>
      <c r="R21" s="64" t="n">
        <v>25</v>
      </c>
      <c r="S21" s="64" t="n">
        <v>26</v>
      </c>
      <c r="T21" s="64" t="n">
        <v>25</v>
      </c>
      <c r="U21" s="64" t="n">
        <v>26</v>
      </c>
      <c r="V21" s="64" t="n">
        <v>20</v>
      </c>
      <c r="W21" s="64" t="n">
        <v>25</v>
      </c>
      <c r="X21" s="64" t="n">
        <v>27</v>
      </c>
      <c r="Y21" s="64" t="n">
        <v>91</v>
      </c>
      <c r="Z21" s="64" t="n">
        <v>24</v>
      </c>
      <c r="AA21" s="64" t="n">
        <v>24</v>
      </c>
      <c r="AB21" s="64" t="n">
        <v>21</v>
      </c>
      <c r="AC21" s="64" t="n">
        <v>33</v>
      </c>
      <c r="AD21" s="64" t="n">
        <v>17</v>
      </c>
      <c r="AE21" s="64" t="n">
        <v>23</v>
      </c>
      <c r="AF21" s="64" t="n">
        <v>23</v>
      </c>
      <c r="AG21" s="64" t="n">
        <v>42</v>
      </c>
      <c r="AH21" s="64" t="n">
        <v>22</v>
      </c>
      <c r="AI21" s="64" t="n">
        <v>24</v>
      </c>
      <c r="AJ21" s="64" t="n">
        <v>23</v>
      </c>
      <c r="AK21" s="64" t="n">
        <v>31</v>
      </c>
      <c r="AL21" s="64" t="n">
        <v>20</v>
      </c>
      <c r="AM21" s="64" t="n">
        <v>27</v>
      </c>
      <c r="AN21" s="64" t="n"/>
      <c r="AO21" s="64" t="n"/>
    </row>
    <row r="22">
      <c r="A22" s="63" t="inlineStr">
        <is>
          <t>총 차입금</t>
        </is>
      </c>
      <c r="B22" s="64" t="n">
        <v>1.1</v>
      </c>
      <c r="C22" s="64" t="n"/>
      <c r="D22" s="64" t="n"/>
      <c r="E22" s="64" t="n">
        <v>0.5</v>
      </c>
      <c r="F22" s="64" t="n">
        <v>0.4</v>
      </c>
      <c r="G22" s="64" t="n">
        <v>0.2</v>
      </c>
      <c r="H22" s="64" t="n">
        <v>0</v>
      </c>
      <c r="I22" s="64" t="n">
        <v>0</v>
      </c>
      <c r="J22" s="64" t="n">
        <v>0</v>
      </c>
      <c r="K22" s="64" t="n">
        <v>0</v>
      </c>
      <c r="L22" s="64" t="n">
        <v>0</v>
      </c>
      <c r="M22" s="64" t="n">
        <v>0</v>
      </c>
      <c r="N22" s="64" t="n">
        <v>0</v>
      </c>
      <c r="O22" s="64" t="n">
        <v>5</v>
      </c>
      <c r="P22" s="64" t="n">
        <v>10</v>
      </c>
      <c r="Q22" s="64" t="n">
        <v>10</v>
      </c>
      <c r="R22" s="64" t="n">
        <v>9.899999999999999</v>
      </c>
      <c r="S22" s="64" t="n">
        <v>9.699999999999999</v>
      </c>
      <c r="T22" s="64" t="n">
        <v>9.399999999999999</v>
      </c>
      <c r="U22" s="64" t="n">
        <v>9.1</v>
      </c>
      <c r="V22" s="64" t="n">
        <v>8.800000000000001</v>
      </c>
      <c r="W22" s="64" t="n">
        <v>8.6</v>
      </c>
      <c r="X22" s="64" t="n">
        <v>8.300000000000001</v>
      </c>
      <c r="Y22" s="64" t="n">
        <v>4</v>
      </c>
      <c r="Z22" s="64" t="n">
        <v>2.7</v>
      </c>
      <c r="AA22" s="64" t="n">
        <v>2.5</v>
      </c>
      <c r="AB22" s="64" t="n">
        <v>2.2</v>
      </c>
      <c r="AC22" s="64" t="n">
        <v>2</v>
      </c>
      <c r="AD22" s="64" t="n">
        <v>8.699999999999999</v>
      </c>
      <c r="AE22" s="64" t="n">
        <v>8.1</v>
      </c>
      <c r="AF22" s="64" t="n">
        <v>7.5</v>
      </c>
      <c r="AG22" s="64" t="n">
        <v>6.7</v>
      </c>
      <c r="AH22" s="64" t="n">
        <v>6.1</v>
      </c>
      <c r="AI22" s="64" t="n">
        <v>5.7</v>
      </c>
      <c r="AJ22" s="64" t="n">
        <v>5.5</v>
      </c>
      <c r="AK22" s="64" t="n">
        <v>5.1</v>
      </c>
      <c r="AL22" s="64" t="n">
        <v>4.8</v>
      </c>
      <c r="AM22" s="64" t="n">
        <v>7.399999999999999</v>
      </c>
      <c r="AN22" s="64" t="n">
        <v>16</v>
      </c>
      <c r="AO22" s="64" t="n"/>
    </row>
    <row r="23">
      <c r="A23" s="63" t="inlineStr">
        <is>
          <t>현금</t>
        </is>
      </c>
      <c r="B23" s="64" t="n">
        <v>7.5</v>
      </c>
      <c r="C23" s="64" t="n"/>
      <c r="D23" s="64" t="n"/>
      <c r="E23" s="64" t="n">
        <v>6.3</v>
      </c>
      <c r="F23" s="64" t="n">
        <v>8.199999999999999</v>
      </c>
      <c r="G23" s="64" t="n">
        <v>7.5</v>
      </c>
      <c r="H23" s="64" t="n">
        <v>8.6</v>
      </c>
      <c r="I23" s="64" t="n">
        <v>8.699999999999999</v>
      </c>
      <c r="J23" s="64" t="n">
        <v>10.2</v>
      </c>
      <c r="K23" s="64" t="n">
        <v>10.3</v>
      </c>
      <c r="L23" s="64" t="n">
        <v>11.1</v>
      </c>
      <c r="M23" s="64" t="n">
        <v>11.4</v>
      </c>
      <c r="N23" s="64" t="n">
        <v>10.6</v>
      </c>
      <c r="O23" s="64" t="n">
        <v>9.9</v>
      </c>
      <c r="P23" s="64" t="n">
        <v>13.6</v>
      </c>
      <c r="Q23" s="64" t="n">
        <v>12.6</v>
      </c>
      <c r="R23" s="64" t="n">
        <v>13.1</v>
      </c>
      <c r="S23" s="64" t="n">
        <v>12.8</v>
      </c>
      <c r="T23" s="64" t="n">
        <v>12.2</v>
      </c>
      <c r="U23" s="64" t="n">
        <v>13.5</v>
      </c>
      <c r="V23" s="64" t="n">
        <v>13.2</v>
      </c>
      <c r="W23" s="64" t="n">
        <v>12.9</v>
      </c>
      <c r="X23" s="64" t="n">
        <v>12.8</v>
      </c>
      <c r="Y23" s="64" t="n">
        <v>8.699999999999999</v>
      </c>
      <c r="Z23" s="64" t="n">
        <v>8.199999999999999</v>
      </c>
      <c r="AA23" s="64" t="n">
        <v>8.699999999999999</v>
      </c>
      <c r="AB23" s="64" t="n">
        <v>10.1</v>
      </c>
      <c r="AC23" s="64" t="n">
        <v>8.699999999999999</v>
      </c>
      <c r="AD23" s="64" t="n">
        <v>15.8</v>
      </c>
      <c r="AE23" s="64" t="n">
        <v>11.8</v>
      </c>
      <c r="AF23" s="64" t="n">
        <v>11.9</v>
      </c>
      <c r="AG23" s="64" t="n">
        <v>9.1</v>
      </c>
      <c r="AH23" s="64" t="n">
        <v>10.1</v>
      </c>
      <c r="AI23" s="64" t="n">
        <v>8</v>
      </c>
      <c r="AJ23" s="64" t="n">
        <v>8.800000000000001</v>
      </c>
      <c r="AK23" s="64" t="n">
        <v>5.9</v>
      </c>
      <c r="AL23" s="64" t="n">
        <v>6.8</v>
      </c>
      <c r="AM23" s="64" t="n">
        <v>8.9</v>
      </c>
      <c r="AN23" s="64" t="n">
        <v>18.1</v>
      </c>
      <c r="AO23" s="64" t="n"/>
    </row>
    <row r="24">
      <c r="A24" s="63" t="inlineStr">
        <is>
          <t>부문별 매출 · 外食事業、報告セグメント [メンバー]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>
        <v>14.7</v>
      </c>
      <c r="AC24" s="64" t="n"/>
      <c r="AD24" s="64" t="n"/>
      <c r="AE24" s="64" t="n"/>
      <c r="AF24" s="64" t="n">
        <v>15.1</v>
      </c>
      <c r="AG24" s="64" t="n">
        <v>10.2</v>
      </c>
      <c r="AH24" s="64" t="n"/>
      <c r="AI24" s="64" t="n"/>
      <c r="AJ24" s="64" t="n">
        <v>16.2</v>
      </c>
      <c r="AK24" s="64" t="n">
        <v>12.9</v>
      </c>
      <c r="AL24" s="64" t="n"/>
      <c r="AM24" s="64" t="n"/>
      <c r="AN24" s="64" t="n"/>
      <c r="AO24" s="64" t="n"/>
      <c r="AP24" s="60" t="inlineStr">
        <is>
          <t>결산단신 부문 정보(외부 고객 매출)</t>
        </is>
      </c>
    </row>
    <row r="25">
      <c r="A25" s="63" t="inlineStr">
        <is>
          <t>부문별 매출 · 海外事業、報告セグメント [メンバー]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>
        <v>2.8</v>
      </c>
      <c r="AC25" s="64" t="n"/>
      <c r="AD25" s="64" t="n">
        <v>3.1</v>
      </c>
      <c r="AE25" s="64" t="n">
        <v>3.5</v>
      </c>
      <c r="AF25" s="64" t="n">
        <v>3.4</v>
      </c>
      <c r="AG25" s="64" t="n">
        <v>1.5</v>
      </c>
      <c r="AH25" s="64" t="n">
        <v>3.5</v>
      </c>
      <c r="AI25" s="64" t="n">
        <v>3.6</v>
      </c>
      <c r="AJ25" s="64" t="n">
        <v>3.9</v>
      </c>
      <c r="AK25" s="64" t="n">
        <v>3.4</v>
      </c>
      <c r="AL25" s="64" t="n">
        <v>4.1</v>
      </c>
      <c r="AM25" s="64" t="n">
        <v>3.7</v>
      </c>
      <c r="AN25" s="64" t="n"/>
      <c r="AO25" s="64" t="n"/>
      <c r="AP25" s="60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2026-10-30T09:43:44Z</dcterms:created>
  <dcterms:modified xmlns:dcterms="http://purl.org/dc/terms/" xmlns:xsi="http://www.w3.org/2001/XMLSchema-instance" xsi:type="dcterms:W3CDTF">2026-10-30T09:44:56Z</dcterms:modified>
</cp:coreProperties>
</file>