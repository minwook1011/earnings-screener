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6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4" fillId="8" borderId="0" applyAlignment="1" pivotButton="0" quotePrefix="0" xfId="0">
      <alignment horizontal="center"/>
    </xf>
    <xf numFmtId="0" fontId="25" fillId="0" borderId="0" pivotButton="0" quotePrefix="0" xfId="0"/>
    <xf numFmtId="3" fontId="25" fillId="0" borderId="0" pivotButton="0" quotePrefix="0" xfId="0"/>
    <xf numFmtId="170" fontId="25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6864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1503.934</v>
      </c>
      <c r="D4" s="12" t="n">
        <v>2538.991</v>
      </c>
      <c r="E4" s="12" t="n">
        <v>1878.53</v>
      </c>
      <c r="F4" s="12" t="n">
        <v>2211.158</v>
      </c>
      <c r="G4" s="12" t="n">
        <v>2027.303</v>
      </c>
      <c r="H4" s="12" t="n">
        <v>2966.374</v>
      </c>
      <c r="I4" s="12" t="n">
        <v>2074.698</v>
      </c>
      <c r="J4" s="12" t="n">
        <v>1899.828</v>
      </c>
      <c r="K4" s="12" t="n">
        <v>1941.853</v>
      </c>
      <c r="L4" s="12" t="n">
        <v>3221.683</v>
      </c>
      <c r="M4" s="12" t="n">
        <v>1951.661</v>
      </c>
      <c r="N4" s="12" t="n">
        <v>2554.117</v>
      </c>
      <c r="O4" s="11" t="n">
        <v>7044.642</v>
      </c>
      <c r="P4" s="12" t="n">
        <v>10098.244</v>
      </c>
      <c r="Q4" s="12" t="n">
        <v>12011.876</v>
      </c>
      <c r="R4" s="12" t="n">
        <v>13231.498</v>
      </c>
      <c r="S4" s="12" t="n">
        <v>10651.004</v>
      </c>
      <c r="T4" s="12" t="n">
        <v>10148.534</v>
      </c>
      <c r="U4" s="12" t="n">
        <v>9642.053</v>
      </c>
      <c r="V4" s="12" t="n">
        <v>9399.509</v>
      </c>
      <c r="W4" s="12" t="n">
        <v>9083.365</v>
      </c>
      <c r="X4" s="12" t="n">
        <v>9138.062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990.798</v>
      </c>
      <c r="D11" s="22" t="n">
        <v>1654.461</v>
      </c>
      <c r="E11" s="22" t="n">
        <v>1152.983</v>
      </c>
      <c r="F11" s="22" t="n">
        <v>1425.41</v>
      </c>
      <c r="G11" s="22" t="n">
        <v>1346.316</v>
      </c>
      <c r="H11" s="22" t="n">
        <v>1902.734</v>
      </c>
      <c r="I11" s="22" t="n">
        <v>1304.782</v>
      </c>
      <c r="J11" s="22" t="n">
        <v>1163.317</v>
      </c>
      <c r="K11" s="22" t="n">
        <v>1266.615</v>
      </c>
      <c r="L11" s="22" t="n">
        <v>1901.629</v>
      </c>
      <c r="M11" s="22" t="n">
        <v>1222.596</v>
      </c>
      <c r="N11" s="22" t="n">
        <v>1585.39</v>
      </c>
      <c r="O11" s="21" t="n">
        <v>4393.578</v>
      </c>
      <c r="P11" s="22" t="n">
        <v>6762.201</v>
      </c>
      <c r="Q11" s="22" t="n">
        <v>8165.716</v>
      </c>
      <c r="R11" s="22" t="n">
        <v>9086.163</v>
      </c>
      <c r="S11" s="22" t="n">
        <v>7179.012</v>
      </c>
      <c r="T11" s="22" t="n">
        <v>6517.91</v>
      </c>
      <c r="U11" s="22" t="n">
        <v>6435.828</v>
      </c>
      <c r="V11" s="22" t="n">
        <v>6338.496</v>
      </c>
      <c r="W11" s="22" t="n">
        <v>5827.443</v>
      </c>
      <c r="X11" s="22" t="n">
        <v>5636.343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623.712</v>
      </c>
      <c r="D17" s="22" t="n">
        <v>804.504</v>
      </c>
      <c r="E17" s="22" t="n">
        <v>672.562</v>
      </c>
      <c r="F17" s="22" t="n">
        <v>636.115</v>
      </c>
      <c r="G17" s="22" t="n">
        <v>640.0890000000001</v>
      </c>
      <c r="H17" s="22" t="n">
        <v>759.578</v>
      </c>
      <c r="I17" s="22" t="n">
        <v>624.208</v>
      </c>
      <c r="J17" s="22" t="n">
        <v>620.952</v>
      </c>
      <c r="K17" s="22" t="n">
        <v>576.758</v>
      </c>
      <c r="L17" s="22" t="n">
        <v>734.131</v>
      </c>
      <c r="M17" s="22" t="n">
        <v>563.7329999999999</v>
      </c>
      <c r="N17" s="22" t="n">
        <v>586.708</v>
      </c>
      <c r="O17" s="21" t="n">
        <v>2061.967</v>
      </c>
      <c r="P17" s="22" t="n">
        <v>2233.235</v>
      </c>
      <c r="Q17" s="22" t="n">
        <v>2421.985</v>
      </c>
      <c r="R17" s="22" t="n">
        <v>2613.235</v>
      </c>
      <c r="S17" s="22" t="n">
        <v>2767.134</v>
      </c>
      <c r="T17" s="22" t="n">
        <v>2678.581</v>
      </c>
      <c r="U17" s="22" t="n">
        <v>2738.542</v>
      </c>
      <c r="V17" s="22" t="n">
        <v>2642.108</v>
      </c>
      <c r="W17" s="22" t="n">
        <v>2708.344</v>
      </c>
      <c r="X17" s="22" t="n">
        <v>2556.049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-110.574</v>
      </c>
      <c r="D19" s="12" t="n">
        <v>80.02500000000001</v>
      </c>
      <c r="E19" s="12" t="n">
        <v>52.985</v>
      </c>
      <c r="F19" s="12" t="n">
        <v>149.632</v>
      </c>
      <c r="G19" s="12" t="n">
        <v>40.898</v>
      </c>
      <c r="H19" s="12" t="n">
        <v>304.063</v>
      </c>
      <c r="I19" s="12" t="n">
        <v>145.707</v>
      </c>
      <c r="J19" s="12" t="n">
        <v>115.56</v>
      </c>
      <c r="K19" s="12" t="n">
        <v>98.479</v>
      </c>
      <c r="L19" s="12" t="n">
        <v>585.923</v>
      </c>
      <c r="M19" s="12" t="n">
        <v>165.331</v>
      </c>
      <c r="N19" s="12" t="n">
        <v>382.019</v>
      </c>
      <c r="O19" s="11" t="n">
        <v>589.096</v>
      </c>
      <c r="P19" s="12" t="n">
        <v>1102.807</v>
      </c>
      <c r="Q19" s="12" t="n">
        <v>1424.174</v>
      </c>
      <c r="R19" s="12" t="n">
        <v>1532.099</v>
      </c>
      <c r="S19" s="12" t="n">
        <v>704.857</v>
      </c>
      <c r="T19" s="12" t="n">
        <v>952.042</v>
      </c>
      <c r="U19" s="12" t="n">
        <v>467.682</v>
      </c>
      <c r="V19" s="12" t="n">
        <v>418.904</v>
      </c>
      <c r="W19" s="12" t="n">
        <v>547.578</v>
      </c>
      <c r="X19" s="12" t="n">
        <v>945.669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0</v>
      </c>
      <c r="D35" s="22" t="n">
        <v>80.471</v>
      </c>
      <c r="E35" s="22" t="n">
        <v>85.92400000000001</v>
      </c>
      <c r="F35" s="22" t="n">
        <v>194.764</v>
      </c>
      <c r="G35" s="22" t="n">
        <v>10.598</v>
      </c>
      <c r="H35" s="22" t="n">
        <v>46.807</v>
      </c>
      <c r="I35" s="22" t="n">
        <v>0</v>
      </c>
      <c r="J35" s="22" t="n">
        <v>0</v>
      </c>
      <c r="K35" s="22" t="n">
        <v>0</v>
      </c>
      <c r="L35" s="22" t="n">
        <v>553.177</v>
      </c>
      <c r="M35" s="22" t="n">
        <v>0.022</v>
      </c>
      <c r="N35" s="22" t="n">
        <v>0</v>
      </c>
      <c r="O35" s="21" t="n">
        <v>0</v>
      </c>
      <c r="P35" s="22" t="n">
        <v>92.611</v>
      </c>
      <c r="Q35" s="22" t="n">
        <v>1.045</v>
      </c>
      <c r="R35" s="22" t="n">
        <v>0.043</v>
      </c>
      <c r="S35" s="22" t="n">
        <v>27.325</v>
      </c>
      <c r="T35" s="22" t="n">
        <v>105.476</v>
      </c>
      <c r="U35" s="22" t="n">
        <v>151.42</v>
      </c>
      <c r="V35" s="22" t="n">
        <v>80.471</v>
      </c>
      <c r="W35" s="22" t="n">
        <v>338.093</v>
      </c>
      <c r="X35" s="22" t="n">
        <v>553.177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0</v>
      </c>
      <c r="D37" s="22" t="n">
        <v>43.75</v>
      </c>
      <c r="E37" s="22" t="n">
        <v>0</v>
      </c>
      <c r="F37" s="22" t="n">
        <v>254.44</v>
      </c>
      <c r="G37" s="22" t="n">
        <v>0</v>
      </c>
      <c r="H37" s="22" t="n">
        <v>24.435</v>
      </c>
      <c r="I37" s="22" t="n">
        <v>0.333</v>
      </c>
      <c r="J37" s="22" t="n">
        <v>565.648</v>
      </c>
      <c r="K37" s="22" t="n">
        <v>-0.122</v>
      </c>
      <c r="L37" s="22" t="n">
        <v>1.307</v>
      </c>
      <c r="M37" s="22" t="n">
        <v>0</v>
      </c>
      <c r="N37" s="22" t="n">
        <v>0</v>
      </c>
      <c r="O37" s="21" t="n">
        <v>0.207</v>
      </c>
      <c r="P37" s="22" t="n">
        <v>1.872</v>
      </c>
      <c r="Q37" s="22" t="n">
        <v>0.351</v>
      </c>
      <c r="R37" s="22" t="n">
        <v>3.742</v>
      </c>
      <c r="S37" s="22" t="n">
        <v>2.403</v>
      </c>
      <c r="T37" s="22" t="n">
        <v>1.238</v>
      </c>
      <c r="U37" s="22" t="n">
        <v>1.869</v>
      </c>
      <c r="V37" s="22" t="n">
        <v>44.879</v>
      </c>
      <c r="W37" s="22" t="n">
        <v>278.875</v>
      </c>
      <c r="X37" s="22" t="n">
        <v>567.1660000000001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27.109</v>
      </c>
      <c r="D39" s="22" t="n">
        <v>16.79</v>
      </c>
      <c r="E39" s="22" t="n">
        <v>20.998</v>
      </c>
      <c r="F39" s="22" t="n">
        <v>4.535</v>
      </c>
      <c r="G39" s="22" t="n">
        <v>14.64</v>
      </c>
      <c r="H39" s="22" t="n">
        <v>11.269</v>
      </c>
      <c r="I39" s="22" t="n">
        <v>9.439</v>
      </c>
      <c r="J39" s="22" t="n">
        <v>8.208</v>
      </c>
      <c r="K39" s="22" t="n">
        <v>13.256</v>
      </c>
      <c r="L39" s="22" t="n">
        <v>16.824</v>
      </c>
      <c r="M39" s="22" t="n">
        <v>15.913</v>
      </c>
      <c r="N39" s="22" t="n">
        <v>11.903</v>
      </c>
      <c r="O39" s="21" t="n">
        <v>17.898</v>
      </c>
      <c r="P39" s="22" t="n">
        <v>28.579</v>
      </c>
      <c r="Q39" s="22" t="n">
        <v>33.364</v>
      </c>
      <c r="R39" s="22" t="n">
        <v>30.992</v>
      </c>
      <c r="S39" s="22" t="n">
        <v>56.548</v>
      </c>
      <c r="T39" s="22" t="n">
        <v>124.519</v>
      </c>
      <c r="U39" s="22" t="n">
        <v>176.872</v>
      </c>
      <c r="V39" s="22" t="n">
        <v>84.089</v>
      </c>
      <c r="W39" s="22" t="n">
        <v>51.442</v>
      </c>
      <c r="X39" s="22" t="n">
        <v>47.727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2.142</v>
      </c>
      <c r="D41" s="22" t="n">
        <v>5.239</v>
      </c>
      <c r="E41" s="22" t="n">
        <v>3.957</v>
      </c>
      <c r="F41" s="22" t="n">
        <v>3.894</v>
      </c>
      <c r="G41" s="22" t="n">
        <v>3.161</v>
      </c>
      <c r="H41" s="22" t="n">
        <v>0.663</v>
      </c>
      <c r="I41" s="22" t="n">
        <v>2.154</v>
      </c>
      <c r="J41" s="22" t="n">
        <v>2.918</v>
      </c>
      <c r="K41" s="22" t="n">
        <v>4.077</v>
      </c>
      <c r="L41" s="22" t="n">
        <v>10.9</v>
      </c>
      <c r="M41" s="22" t="n">
        <v>4.705</v>
      </c>
      <c r="N41" s="22" t="n">
        <v>1.295</v>
      </c>
      <c r="O41" s="21" t="n">
        <v>20.516</v>
      </c>
      <c r="P41" s="22" t="n">
        <v>21.957</v>
      </c>
      <c r="Q41" s="22" t="n">
        <v>25.819</v>
      </c>
      <c r="R41" s="22" t="n">
        <v>22.981</v>
      </c>
      <c r="S41" s="22" t="n">
        <v>23.106</v>
      </c>
      <c r="T41" s="22" t="n">
        <v>17.841</v>
      </c>
      <c r="U41" s="22" t="n">
        <v>22.312</v>
      </c>
      <c r="V41" s="22" t="n">
        <v>18.371</v>
      </c>
      <c r="W41" s="22" t="n">
        <v>11.675</v>
      </c>
      <c r="X41" s="22" t="n">
        <v>20.049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-85.607</v>
      </c>
      <c r="D43" s="12" t="n">
        <v>128.298</v>
      </c>
      <c r="E43" s="12" t="n">
        <v>155.951</v>
      </c>
      <c r="F43" s="12" t="n">
        <v>90.59699999999999</v>
      </c>
      <c r="G43" s="12" t="n">
        <v>62.974</v>
      </c>
      <c r="H43" s="12" t="n">
        <v>337.041</v>
      </c>
      <c r="I43" s="12" t="n">
        <v>152.658</v>
      </c>
      <c r="J43" s="12" t="n">
        <v>-444.797</v>
      </c>
      <c r="K43" s="12" t="n">
        <v>107.78</v>
      </c>
      <c r="L43" s="12" t="n">
        <v>1143.718</v>
      </c>
      <c r="M43" s="12" t="n">
        <v>176.561</v>
      </c>
      <c r="N43" s="12" t="n">
        <v>392.627</v>
      </c>
      <c r="O43" s="11" t="n">
        <v>586.271</v>
      </c>
      <c r="P43" s="12" t="n">
        <v>1200.167</v>
      </c>
      <c r="Q43" s="12" t="n">
        <v>1432.412</v>
      </c>
      <c r="R43" s="12" t="n">
        <v>1536.411</v>
      </c>
      <c r="S43" s="12" t="n">
        <v>763.221</v>
      </c>
      <c r="T43" s="12" t="n">
        <v>1162.959</v>
      </c>
      <c r="U43" s="12" t="n">
        <v>771.793</v>
      </c>
      <c r="V43" s="12" t="n">
        <v>520.215</v>
      </c>
      <c r="W43" s="12" t="n">
        <v>646.563</v>
      </c>
      <c r="X43" s="12" t="n">
        <v>959.359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-24.606</v>
      </c>
      <c r="D45" s="22" t="n">
        <v>65.00700000000001</v>
      </c>
      <c r="E45" s="22" t="n">
        <v>-11.234</v>
      </c>
      <c r="F45" s="22" t="n">
        <v>73.529</v>
      </c>
      <c r="G45" s="22" t="n">
        <v>25.907</v>
      </c>
      <c r="H45" s="22" t="n">
        <v>300.455</v>
      </c>
      <c r="I45" s="22" t="n">
        <v>48.963</v>
      </c>
      <c r="J45" s="22" t="n">
        <v>59.187</v>
      </c>
      <c r="K45" s="22" t="n">
        <v>58.371</v>
      </c>
      <c r="L45" s="22" t="n">
        <v>243.37</v>
      </c>
      <c r="M45" s="22" t="n">
        <v>-2.69</v>
      </c>
      <c r="N45" s="22" t="n">
        <v>155.121</v>
      </c>
      <c r="O45" s="21" t="n">
        <v>205.633</v>
      </c>
      <c r="P45" s="22" t="n">
        <v>377.838</v>
      </c>
      <c r="Q45" s="22" t="n">
        <v>480.258</v>
      </c>
      <c r="R45" s="22" t="n">
        <v>516.268</v>
      </c>
      <c r="S45" s="22" t="n">
        <v>263.201</v>
      </c>
      <c r="T45" s="22" t="n">
        <v>390.514</v>
      </c>
      <c r="U45" s="22" t="n">
        <v>269.495</v>
      </c>
      <c r="V45" s="22" t="n">
        <v>185.607</v>
      </c>
      <c r="W45" s="22" t="n">
        <v>388.657</v>
      </c>
      <c r="X45" s="22" t="n">
        <v>409.891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-61.002</v>
      </c>
      <c r="D47" s="12" t="n">
        <v>63.291</v>
      </c>
      <c r="E47" s="12" t="n">
        <v>167.185</v>
      </c>
      <c r="F47" s="12" t="n">
        <v>17.067</v>
      </c>
      <c r="G47" s="12" t="n">
        <v>37.068</v>
      </c>
      <c r="H47" s="12" t="n">
        <v>36.585</v>
      </c>
      <c r="I47" s="12" t="n">
        <v>103.695</v>
      </c>
      <c r="J47" s="12" t="n">
        <v>-503.985</v>
      </c>
      <c r="K47" s="12" t="n">
        <v>49.409</v>
      </c>
      <c r="L47" s="12" t="n">
        <v>900.348</v>
      </c>
      <c r="M47" s="12" t="n">
        <v>179.251</v>
      </c>
      <c r="N47" s="12" t="n">
        <v>237.506</v>
      </c>
      <c r="O47" s="11" t="n">
        <v>380.638</v>
      </c>
      <c r="P47" s="12" t="n">
        <v>822.329</v>
      </c>
      <c r="Q47" s="12" t="n">
        <v>952.154</v>
      </c>
      <c r="R47" s="12" t="n">
        <v>1020.143</v>
      </c>
      <c r="S47" s="12" t="n">
        <v>500.019</v>
      </c>
      <c r="T47" s="12" t="n">
        <v>772.444</v>
      </c>
      <c r="U47" s="12" t="n">
        <v>502.298</v>
      </c>
      <c r="V47" s="12" t="n">
        <v>334.607</v>
      </c>
      <c r="W47" s="12" t="n">
        <v>257.905</v>
      </c>
      <c r="X47" s="12" t="n">
        <v>549.467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-32.605</v>
      </c>
      <c r="D49" s="12" t="n">
        <v>42.687</v>
      </c>
      <c r="E49" s="12" t="n">
        <v>188.709</v>
      </c>
      <c r="F49" s="12" t="n">
        <v>121.986</v>
      </c>
      <c r="G49" s="12" t="n">
        <v>80.837</v>
      </c>
      <c r="H49" s="12" t="n">
        <v>59.117</v>
      </c>
      <c r="I49" s="12" t="n">
        <v>101.089</v>
      </c>
      <c r="J49" s="12" t="n">
        <v>-261.302</v>
      </c>
      <c r="K49" s="12" t="n">
        <v>73.607</v>
      </c>
      <c r="L49" s="12" t="n">
        <v>734.244</v>
      </c>
      <c r="M49" s="12" t="n">
        <v>183.458</v>
      </c>
      <c r="N49" s="12" t="n">
        <v>237.506</v>
      </c>
      <c r="O49" s="11" t="n">
        <v>380.638</v>
      </c>
      <c r="P49" s="12" t="n">
        <v>822.329</v>
      </c>
      <c r="Q49" s="12" t="n">
        <v>952.154</v>
      </c>
      <c r="R49" s="12" t="n">
        <v>981.215</v>
      </c>
      <c r="S49" s="12" t="n">
        <v>444.212</v>
      </c>
      <c r="T49" s="12" t="n">
        <v>615.472</v>
      </c>
      <c r="U49" s="12" t="n">
        <v>457.082</v>
      </c>
      <c r="V49" s="12" t="n">
        <v>323.839</v>
      </c>
      <c r="W49" s="12" t="n">
        <v>450.649</v>
      </c>
      <c r="X49" s="12" t="n">
        <v>647.638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()</t>
        </is>
      </c>
      <c r="B53" s="29" t="n"/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/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1503.934</v>
      </c>
      <c r="D84" s="12" t="n">
        <v>2538.991</v>
      </c>
      <c r="E84" s="12" t="n">
        <v>1878.53</v>
      </c>
      <c r="F84" s="12" t="n">
        <v>2211.158</v>
      </c>
      <c r="G84" s="12" t="n">
        <v>2027.303</v>
      </c>
      <c r="H84" s="12" t="n">
        <v>2966.374</v>
      </c>
      <c r="I84" s="12" t="n">
        <v>2074.698</v>
      </c>
      <c r="J84" s="12" t="n">
        <v>1899.828</v>
      </c>
      <c r="K84" s="12" t="n">
        <v>1941.853</v>
      </c>
      <c r="L84" s="12" t="n">
        <v>3221.683</v>
      </c>
      <c r="M84" s="12" t="n">
        <v>1951.661</v>
      </c>
      <c r="N84" s="12" t="n">
        <v>2554.117</v>
      </c>
      <c r="T84" s="12" t="n">
        <v>3203.639</v>
      </c>
      <c r="U84" s="12" t="n">
        <v>3022.153</v>
      </c>
      <c r="V84" s="12" t="n">
        <v>2538.991</v>
      </c>
      <c r="W84" s="12" t="n">
        <v>2966.374</v>
      </c>
      <c r="X84" s="12" t="n">
        <v>3221.683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990.798</v>
      </c>
      <c r="D86" s="22" t="n">
        <v>1654.461</v>
      </c>
      <c r="E86" s="22" t="n">
        <v>1152.983</v>
      </c>
      <c r="F86" s="22" t="n">
        <v>1425.41</v>
      </c>
      <c r="G86" s="22" t="n">
        <v>1346.316</v>
      </c>
      <c r="H86" s="22" t="n">
        <v>1902.734</v>
      </c>
      <c r="I86" s="22" t="n">
        <v>1304.782</v>
      </c>
      <c r="J86" s="22" t="n">
        <v>1163.317</v>
      </c>
      <c r="K86" s="22" t="n">
        <v>1266.615</v>
      </c>
      <c r="L86" s="22" t="n">
        <v>1901.629</v>
      </c>
      <c r="M86" s="22" t="n">
        <v>1222.596</v>
      </c>
      <c r="N86" s="22" t="n">
        <v>1585.39</v>
      </c>
      <c r="T86" s="22" t="n">
        <v>2146.212</v>
      </c>
      <c r="U86" s="22" t="n">
        <v>2053.488</v>
      </c>
      <c r="V86" s="22" t="n">
        <v>1654.461</v>
      </c>
      <c r="W86" s="22" t="n">
        <v>1902.734</v>
      </c>
      <c r="X86" s="22" t="n">
        <v>1901.629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513.1369999999999</v>
      </c>
      <c r="D88" s="12" t="n">
        <v>884.529</v>
      </c>
      <c r="E88" s="12" t="n">
        <v>725.547</v>
      </c>
      <c r="F88" s="12" t="n">
        <v>785.747</v>
      </c>
      <c r="G88" s="12" t="n">
        <v>680.987</v>
      </c>
      <c r="H88" s="12" t="n">
        <v>1063.641</v>
      </c>
      <c r="I88" s="12" t="n">
        <v>769.9160000000001</v>
      </c>
      <c r="J88" s="12" t="n">
        <v>736.511</v>
      </c>
      <c r="K88" s="12" t="n">
        <v>675.2380000000001</v>
      </c>
      <c r="L88" s="12" t="n">
        <v>1320.054</v>
      </c>
      <c r="M88" s="12" t="n">
        <v>729.064</v>
      </c>
      <c r="N88" s="12" t="n">
        <v>968.728</v>
      </c>
      <c r="T88" s="12" t="n">
        <v>1057.427</v>
      </c>
      <c r="U88" s="12" t="n">
        <v>968.665</v>
      </c>
      <c r="V88" s="12" t="n">
        <v>884.529</v>
      </c>
      <c r="W88" s="12" t="n">
        <v>1063.641</v>
      </c>
      <c r="X88" s="12" t="n">
        <v>1320.054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623.712</v>
      </c>
      <c r="D90" s="22" t="n">
        <v>804.504</v>
      </c>
      <c r="E90" s="22" t="n">
        <v>672.562</v>
      </c>
      <c r="F90" s="22" t="n">
        <v>636.115</v>
      </c>
      <c r="G90" s="22" t="n">
        <v>640.0890000000001</v>
      </c>
      <c r="H90" s="22" t="n">
        <v>759.578</v>
      </c>
      <c r="I90" s="22" t="n">
        <v>624.208</v>
      </c>
      <c r="J90" s="22" t="n">
        <v>620.952</v>
      </c>
      <c r="K90" s="22" t="n">
        <v>576.758</v>
      </c>
      <c r="L90" s="22" t="n">
        <v>734.131</v>
      </c>
      <c r="M90" s="22" t="n">
        <v>563.7329999999999</v>
      </c>
      <c r="N90" s="22" t="n">
        <v>586.708</v>
      </c>
      <c r="T90" s="22" t="n">
        <v>715.1849999999999</v>
      </c>
      <c r="U90" s="22" t="n">
        <v>794.6609999999999</v>
      </c>
      <c r="V90" s="22" t="n">
        <v>804.504</v>
      </c>
      <c r="W90" s="22" t="n">
        <v>759.578</v>
      </c>
      <c r="X90" s="22" t="n">
        <v>734.131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-110.574</v>
      </c>
      <c r="D92" s="12" t="n">
        <v>80.02500000000001</v>
      </c>
      <c r="E92" s="12" t="n">
        <v>52.985</v>
      </c>
      <c r="F92" s="12" t="n">
        <v>149.632</v>
      </c>
      <c r="G92" s="12" t="n">
        <v>40.898</v>
      </c>
      <c r="H92" s="12" t="n">
        <v>304.063</v>
      </c>
      <c r="I92" s="12" t="n">
        <v>145.707</v>
      </c>
      <c r="J92" s="12" t="n">
        <v>115.56</v>
      </c>
      <c r="K92" s="12" t="n">
        <v>98.479</v>
      </c>
      <c r="L92" s="12" t="n">
        <v>585.923</v>
      </c>
      <c r="M92" s="12" t="n">
        <v>165.331</v>
      </c>
      <c r="N92" s="12" t="n">
        <v>382.019</v>
      </c>
      <c r="T92" s="12" t="n">
        <v>342.241</v>
      </c>
      <c r="U92" s="12" t="n">
        <v>174.004</v>
      </c>
      <c r="V92" s="12" t="n">
        <v>80.02500000000001</v>
      </c>
      <c r="W92" s="12" t="n">
        <v>304.063</v>
      </c>
      <c r="X92" s="12" t="n">
        <v>585.923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0.037</v>
      </c>
      <c r="D95" s="22" t="n">
        <v>0.021</v>
      </c>
      <c r="E95" s="22" t="n">
        <v>0.016</v>
      </c>
      <c r="F95" s="22" t="n">
        <v>0.039</v>
      </c>
      <c r="G95" s="22" t="n">
        <v>0.175</v>
      </c>
      <c r="H95" s="22" t="n">
        <v>0.458</v>
      </c>
      <c r="I95" s="22" t="n">
        <v>0.843</v>
      </c>
      <c r="J95" s="22" t="n">
        <v>1.578</v>
      </c>
      <c r="K95" s="22" t="n">
        <v>4.14</v>
      </c>
      <c r="L95" s="22" t="n">
        <v>2.833</v>
      </c>
      <c r="M95" s="22" t="n">
        <v>3.432</v>
      </c>
      <c r="N95" s="22" t="n">
        <v>4.425</v>
      </c>
      <c r="T95" s="22" t="n">
        <v>1.272</v>
      </c>
      <c r="U95" s="22" t="n">
        <v>0.037</v>
      </c>
      <c r="V95" s="22" t="n">
        <v>0.021</v>
      </c>
      <c r="W95" s="22" t="n">
        <v>0.458</v>
      </c>
      <c r="X95" s="22" t="n">
        <v>2.833</v>
      </c>
    </row>
    <row r="96">
      <c r="A96" s="20" t="inlineStr">
        <is>
          <t>배당금수익</t>
        </is>
      </c>
      <c r="C96" s="22" t="n">
        <v>16.716</v>
      </c>
      <c r="D96" s="22" t="n">
        <v>0.011</v>
      </c>
      <c r="E96" s="22" t="n">
        <v>16.599</v>
      </c>
      <c r="F96" s="22" t="n">
        <v>0.189</v>
      </c>
      <c r="G96" s="22" t="n">
        <v>9.852</v>
      </c>
      <c r="H96" s="22" t="n">
        <v>0.018</v>
      </c>
      <c r="I96" s="22" t="n">
        <v>5.021</v>
      </c>
      <c r="J96" s="22" t="n">
        <v>0.289</v>
      </c>
      <c r="K96" s="22" t="n">
        <v>7.102</v>
      </c>
      <c r="L96" s="22" t="n">
        <v>0.016</v>
      </c>
      <c r="M96" s="22" t="n">
        <v>5.821</v>
      </c>
      <c r="N96" s="22" t="n">
        <v>0.338</v>
      </c>
      <c r="T96" s="22" t="n">
        <v>0.01</v>
      </c>
      <c r="U96" s="22" t="n">
        <v>0.01</v>
      </c>
      <c r="V96" s="22" t="n">
        <v>0.011</v>
      </c>
      <c r="W96" s="22" t="n">
        <v>0.018</v>
      </c>
      <c r="X96" s="22" t="n">
        <v>0.016</v>
      </c>
    </row>
    <row r="97">
      <c r="A97" s="20" t="inlineStr">
        <is>
          <t>개발 부담금 수입</t>
        </is>
      </c>
      <c r="C97" s="22" t="n">
        <v>0</v>
      </c>
      <c r="D97" s="22" t="n">
        <v>0</v>
      </c>
      <c r="T97" s="22" t="n">
        <v>31.608</v>
      </c>
      <c r="U97" s="22" t="n">
        <v>35.984</v>
      </c>
      <c r="V97" s="22" t="n">
        <v>0</v>
      </c>
    </row>
    <row r="98">
      <c r="A98" s="20" t="inlineStr">
        <is>
          <t>작업 부스러기 매각 수입</t>
        </is>
      </c>
      <c r="G98" s="22" t="n">
        <v>0.8139999999999999</v>
      </c>
      <c r="H98" s="22" t="n">
        <v>3.404</v>
      </c>
      <c r="K98" s="22" t="n">
        <v>1.781</v>
      </c>
      <c r="L98" s="22" t="n">
        <v>4.829</v>
      </c>
      <c r="W98" s="22" t="n">
        <v>3.404</v>
      </c>
      <c r="X98" s="22" t="n">
        <v>4.829</v>
      </c>
    </row>
    <row r="99">
      <c r="A99" s="20" t="inlineStr">
        <is>
          <t>기타</t>
        </is>
      </c>
      <c r="C99" s="22" t="n">
        <v>10.356</v>
      </c>
      <c r="D99" s="22" t="n">
        <v>7.525</v>
      </c>
      <c r="E99" s="22" t="n">
        <v>4.382</v>
      </c>
      <c r="F99" s="22" t="n">
        <v>1.06</v>
      </c>
      <c r="G99" s="22" t="n">
        <v>3.799</v>
      </c>
      <c r="H99" s="22" t="n">
        <v>2.39</v>
      </c>
      <c r="I99" s="22" t="n">
        <v>3.573</v>
      </c>
      <c r="J99" s="22" t="n">
        <v>1.1</v>
      </c>
      <c r="K99" s="22" t="n">
        <v>0.231</v>
      </c>
      <c r="L99" s="22" t="n">
        <v>9.147</v>
      </c>
      <c r="M99" s="22" t="n">
        <v>6.66</v>
      </c>
      <c r="N99" s="22" t="n">
        <v>-3.467</v>
      </c>
      <c r="T99" s="22" t="n">
        <v>1.634</v>
      </c>
      <c r="U99" s="22" t="n">
        <v>20.707</v>
      </c>
      <c r="V99" s="22" t="n">
        <v>7.525</v>
      </c>
      <c r="W99" s="22" t="n">
        <v>2.39</v>
      </c>
      <c r="X99" s="22" t="n">
        <v>9.147</v>
      </c>
    </row>
    <row r="100">
      <c r="A100" s="20" t="inlineStr">
        <is>
          <t>영업외수익 합계</t>
        </is>
      </c>
      <c r="C100" s="22" t="n">
        <v>27.109</v>
      </c>
      <c r="D100" s="22" t="n">
        <v>16.79</v>
      </c>
      <c r="E100" s="22" t="n">
        <v>20.998</v>
      </c>
      <c r="F100" s="22" t="n">
        <v>4.535</v>
      </c>
      <c r="G100" s="22" t="n">
        <v>14.64</v>
      </c>
      <c r="H100" s="22" t="n">
        <v>11.269</v>
      </c>
      <c r="I100" s="22" t="n">
        <v>9.439</v>
      </c>
      <c r="J100" s="22" t="n">
        <v>8.208</v>
      </c>
      <c r="K100" s="22" t="n">
        <v>13.256</v>
      </c>
      <c r="L100" s="22" t="n">
        <v>16.824</v>
      </c>
      <c r="M100" s="22" t="n">
        <v>15.913</v>
      </c>
      <c r="N100" s="22" t="n">
        <v>11.903</v>
      </c>
      <c r="T100" s="22" t="n">
        <v>34.524</v>
      </c>
      <c r="U100" s="22" t="n">
        <v>56.738</v>
      </c>
      <c r="V100" s="22" t="n">
        <v>16.79</v>
      </c>
      <c r="W100" s="22" t="n">
        <v>11.269</v>
      </c>
      <c r="X100" s="22" t="n">
        <v>16.824</v>
      </c>
    </row>
    <row r="101">
      <c r="A101" s="45" t="inlineStr">
        <is>
          <t>YoY</t>
        </is>
      </c>
      <c r="B101" s="3" t="inlineStr">
        <is>
          <t>전년 같은 분기·전년 대비</t>
        </is>
      </c>
      <c r="G101" s="17">
        <f>IF(OR(G100="",C100=""),"",IF(G100*C100&lt;=0,"",IFERROR(G100/C100-1,"")))</f>
        <v/>
      </c>
      <c r="H101" s="17">
        <f>IF(OR(H100="",D100=""),"",IF(H100*D100&lt;=0,"",IFERROR(H100/D100-1,"")))</f>
        <v/>
      </c>
      <c r="I101" s="17">
        <f>IF(OR(I100="",E100=""),"",IF(I100*E100&lt;=0,"",IFERROR(I100/E100-1,"")))</f>
        <v/>
      </c>
      <c r="J101" s="17">
        <f>IF(OR(J100="",F100=""),"",IF(J100*F100&lt;=0,"",IFERROR(J100/F100-1,"")))</f>
        <v/>
      </c>
      <c r="K101" s="17">
        <f>IF(OR(K100="",G100=""),"",IF(K100*G100&lt;=0,"",IFERROR(K100/G100-1,"")))</f>
        <v/>
      </c>
      <c r="L101" s="17">
        <f>IF(OR(L100="",H100=""),"",IF(L100*H100&lt;=0,"",IFERROR(L100/H100-1,"")))</f>
        <v/>
      </c>
      <c r="M101" s="17">
        <f>IF(OR(M100="",I100=""),"",IF(M100*I100&lt;=0,"",IFERROR(M100/I100-1,"")))</f>
        <v/>
      </c>
      <c r="N101" s="17">
        <f>IF(OR(N100="",J100=""),"",IF(N100*J100&lt;=0,"",IFERROR(N100/J100-1,"")))</f>
        <v/>
      </c>
      <c r="T101" s="17">
        <f>IF(OR(T100="",S100=""),"",IF(T100*S100&lt;=0,"",IFERROR(T100/S100-1,"")))</f>
        <v/>
      </c>
      <c r="U101" s="17">
        <f>IF(OR(U100="",T100=""),"",IF(U100*T100&lt;=0,"",IFERROR(U100/T100-1,"")))</f>
        <v/>
      </c>
      <c r="V101" s="17">
        <f>IF(OR(V100="",U100=""),"",IF(V100*U100&lt;=0,"",IFERROR(V100/U100-1,"")))</f>
        <v/>
      </c>
      <c r="W101" s="17">
        <f>IF(OR(W100="",V100=""),"",IF(W100*V100&lt;=0,"",IFERROR(W100/V100-1,"")))</f>
        <v/>
      </c>
      <c r="X101" s="17">
        <f>IF(OR(X100="",W100=""),"",IF(X100*W100&lt;=0,"",IFERROR(X100/W100-1,"")))</f>
        <v/>
      </c>
    </row>
    <row r="102">
      <c r="A102" s="20" t="inlineStr">
        <is>
          <t>이자비용</t>
        </is>
      </c>
      <c r="C102" s="22" t="n">
        <v>2.368</v>
      </c>
      <c r="D102" s="22" t="n">
        <v>2.461</v>
      </c>
      <c r="E102" s="22" t="n">
        <v>2.123</v>
      </c>
      <c r="F102" s="22" t="n">
        <v>2.088</v>
      </c>
      <c r="G102" s="22" t="n">
        <v>2.016</v>
      </c>
      <c r="H102" s="22" t="n">
        <v>1.925</v>
      </c>
      <c r="I102" s="22" t="n">
        <v>1.506</v>
      </c>
      <c r="J102" s="22" t="n">
        <v>1.717</v>
      </c>
      <c r="K102" s="22" t="n">
        <v>1.367</v>
      </c>
      <c r="L102" s="22" t="n">
        <v>1.457</v>
      </c>
      <c r="M102" s="22" t="n">
        <v>0.636</v>
      </c>
      <c r="N102" s="22" t="n">
        <v>0.641</v>
      </c>
      <c r="T102" s="22" t="n">
        <v>2.53</v>
      </c>
      <c r="U102" s="22" t="n">
        <v>3.268</v>
      </c>
      <c r="V102" s="22" t="n">
        <v>2.461</v>
      </c>
      <c r="W102" s="22" t="n">
        <v>1.925</v>
      </c>
      <c r="X102" s="22" t="n">
        <v>1.457</v>
      </c>
    </row>
    <row r="103">
      <c r="A103" s="20" t="inlineStr">
        <is>
          <t>외환차손</t>
        </is>
      </c>
      <c r="C103" s="22" t="n">
        <v>-0.825</v>
      </c>
      <c r="D103" s="22" t="n">
        <v>1.505</v>
      </c>
      <c r="E103" s="22" t="n">
        <v>0.609</v>
      </c>
      <c r="F103" s="22" t="n">
        <v>1.367</v>
      </c>
      <c r="G103" s="22" t="n">
        <v>0.848</v>
      </c>
      <c r="H103" s="22" t="n">
        <v>-1.409</v>
      </c>
      <c r="I103" s="22" t="n">
        <v>0.496</v>
      </c>
      <c r="J103" s="22" t="n">
        <v>0.633</v>
      </c>
      <c r="K103" s="22" t="n">
        <v>2.088</v>
      </c>
      <c r="L103" s="22" t="n">
        <v>1.509</v>
      </c>
      <c r="M103" s="22" t="n">
        <v>1.295</v>
      </c>
      <c r="N103" s="22" t="n">
        <v>0.45</v>
      </c>
      <c r="T103" s="22" t="n">
        <v>1.684</v>
      </c>
      <c r="U103" s="22" t="n">
        <v>2.217</v>
      </c>
      <c r="V103" s="22" t="n">
        <v>1.505</v>
      </c>
      <c r="W103" s="22" t="n">
        <v>-1.409</v>
      </c>
      <c r="X103" s="22" t="n">
        <v>1.509</v>
      </c>
    </row>
    <row r="104">
      <c r="A104" s="20" t="inlineStr">
        <is>
          <t>기타</t>
        </is>
      </c>
      <c r="C104" s="22" t="n">
        <v>0.598</v>
      </c>
      <c r="D104" s="22" t="n">
        <v>1.273</v>
      </c>
      <c r="E104" s="22" t="n">
        <v>1.224</v>
      </c>
      <c r="F104" s="22" t="n">
        <v>0.439</v>
      </c>
      <c r="G104" s="22" t="n">
        <v>0.297</v>
      </c>
      <c r="H104" s="22" t="n">
        <v>0.147</v>
      </c>
      <c r="I104" s="22" t="n">
        <v>0.151</v>
      </c>
      <c r="J104" s="22" t="n">
        <v>0.5679999999999999</v>
      </c>
      <c r="K104" s="22" t="n">
        <v>0.622</v>
      </c>
      <c r="L104" s="22" t="n">
        <v>7.934</v>
      </c>
      <c r="M104" s="22" t="n">
        <v>2.773</v>
      </c>
      <c r="N104" s="22" t="n">
        <v>0.204</v>
      </c>
      <c r="T104" s="22" t="n">
        <v>1.731</v>
      </c>
      <c r="U104" s="22" t="n">
        <v>1.956</v>
      </c>
      <c r="V104" s="22" t="n">
        <v>1.273</v>
      </c>
      <c r="W104" s="22" t="n">
        <v>0.147</v>
      </c>
      <c r="X104" s="22" t="n">
        <v>7.934</v>
      </c>
    </row>
    <row r="105">
      <c r="A105" s="20" t="inlineStr">
        <is>
          <t>영업외비용 합계</t>
        </is>
      </c>
      <c r="C105" s="22" t="n">
        <v>2.142</v>
      </c>
      <c r="D105" s="22" t="n">
        <v>5.239</v>
      </c>
      <c r="E105" s="22" t="n">
        <v>3.957</v>
      </c>
      <c r="F105" s="22" t="n">
        <v>3.894</v>
      </c>
      <c r="G105" s="22" t="n">
        <v>3.161</v>
      </c>
      <c r="H105" s="22" t="n">
        <v>0.663</v>
      </c>
      <c r="I105" s="22" t="n">
        <v>2.154</v>
      </c>
      <c r="J105" s="22" t="n">
        <v>2.918</v>
      </c>
      <c r="K105" s="22" t="n">
        <v>4.077</v>
      </c>
      <c r="L105" s="22" t="n">
        <v>10.9</v>
      </c>
      <c r="M105" s="22" t="n">
        <v>4.705</v>
      </c>
      <c r="N105" s="22" t="n">
        <v>1.295</v>
      </c>
      <c r="T105" s="22" t="n">
        <v>5.946</v>
      </c>
      <c r="U105" s="22" t="n">
        <v>7.441</v>
      </c>
      <c r="V105" s="22" t="n">
        <v>5.239</v>
      </c>
      <c r="W105" s="22" t="n">
        <v>0.663</v>
      </c>
      <c r="X105" s="22" t="n">
        <v>10.9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IF(OR(G105="",C105=""),"",IF(G105*C105&lt;=0,"",IFERROR(G105/C105-1,"")))</f>
        <v/>
      </c>
      <c r="H106" s="17">
        <f>IF(OR(H105="",D105=""),"",IF(H105*D105&lt;=0,"",IFERROR(H105/D105-1,"")))</f>
        <v/>
      </c>
      <c r="I106" s="17">
        <f>IF(OR(I105="",E105=""),"",IF(I105*E105&lt;=0,"",IFERROR(I105/E105-1,"")))</f>
        <v/>
      </c>
      <c r="J106" s="17">
        <f>IF(OR(J105="",F105=""),"",IF(J105*F105&lt;=0,"",IFERROR(J105/F105-1,"")))</f>
        <v/>
      </c>
      <c r="K106" s="17">
        <f>IF(OR(K105="",G105=""),"",IF(K105*G105&lt;=0,"",IFERROR(K105/G105-1,"")))</f>
        <v/>
      </c>
      <c r="L106" s="17">
        <f>IF(OR(L105="",H105=""),"",IF(L105*H105&lt;=0,"",IFERROR(L105/H105-1,"")))</f>
        <v/>
      </c>
      <c r="M106" s="17">
        <f>IF(OR(M105="",I105=""),"",IF(M105*I105&lt;=0,"",IFERROR(M105/I105-1,"")))</f>
        <v/>
      </c>
      <c r="N106" s="17">
        <f>IF(OR(N105="",J105=""),"",IF(N105*J105&lt;=0,"",IFERROR(N105/J105-1,"")))</f>
        <v/>
      </c>
      <c r="T106" s="17">
        <f>IF(OR(T105="",S105=""),"",IF(T105*S105&lt;=0,"",IFERROR(T105/S105-1,"")))</f>
        <v/>
      </c>
      <c r="U106" s="17">
        <f>IF(OR(U105="",T105=""),"",IF(U105*T105&lt;=0,"",IFERROR(U105/T105-1,"")))</f>
        <v/>
      </c>
      <c r="V106" s="17">
        <f>IF(OR(V105="",U105=""),"",IF(V105*U105&lt;=0,"",IFERROR(V105/U105-1,"")))</f>
        <v/>
      </c>
      <c r="W106" s="17">
        <f>IF(OR(W105="",V105=""),"",IF(W105*V105&lt;=0,"",IFERROR(W105/V105-1,"")))</f>
        <v/>
      </c>
      <c r="X106" s="17">
        <f>IF(OR(X105="",W105=""),"",IF(X105*W105&lt;=0,"",IFERROR(X105/W105-1,"")))</f>
        <v/>
      </c>
    </row>
    <row r="107">
      <c r="A107" s="9" t="inlineStr">
        <is>
          <t>경상이익</t>
        </is>
      </c>
      <c r="C107" s="12" t="n">
        <v>-85.608</v>
      </c>
      <c r="D107" s="12" t="n">
        <v>91.57599999999999</v>
      </c>
      <c r="E107" s="12" t="n">
        <v>70.026</v>
      </c>
      <c r="F107" s="12" t="n">
        <v>150.273</v>
      </c>
      <c r="G107" s="12" t="n">
        <v>52.377</v>
      </c>
      <c r="H107" s="12" t="n">
        <v>314.669</v>
      </c>
      <c r="I107" s="12" t="n">
        <v>152.992</v>
      </c>
      <c r="J107" s="12" t="n">
        <v>120.849</v>
      </c>
      <c r="K107" s="12" t="n">
        <v>107.659</v>
      </c>
      <c r="L107" s="12" t="n">
        <v>591.848</v>
      </c>
      <c r="M107" s="12" t="n">
        <v>176.539</v>
      </c>
      <c r="N107" s="12" t="n">
        <v>392.627</v>
      </c>
      <c r="T107" s="12" t="n">
        <v>370.819</v>
      </c>
      <c r="U107" s="12" t="n">
        <v>223.301</v>
      </c>
      <c r="V107" s="12" t="n">
        <v>91.57599999999999</v>
      </c>
      <c r="W107" s="12" t="n">
        <v>314.669</v>
      </c>
      <c r="X107" s="12" t="n">
        <v>591.848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IF(OR(G107="",C107=""),"",IF(C107&lt;=0,"",IFERROR(G107/C107-1,"")))</f>
        <v/>
      </c>
      <c r="H108" s="17">
        <f>IF(OR(H107="",D107=""),"",IF(D107&lt;=0,"",IFERROR(H107/D107-1,"")))</f>
        <v/>
      </c>
      <c r="I108" s="17">
        <f>IF(OR(I107="",E107=""),"",IF(E107&lt;=0,"",IFERROR(I107/E107-1,"")))</f>
        <v/>
      </c>
      <c r="J108" s="17">
        <f>IF(OR(J107="",F107=""),"",IF(F107&lt;=0,"",IFERROR(J107/F107-1,"")))</f>
        <v/>
      </c>
      <c r="K108" s="17">
        <f>IF(OR(K107="",G107=""),"",IF(G107&lt;=0,"",IFERROR(K107/G107-1,"")))</f>
        <v/>
      </c>
      <c r="L108" s="17">
        <f>IF(OR(L107="",H107=""),"",IF(H107&lt;=0,"",IFERROR(L107/H107-1,"")))</f>
        <v/>
      </c>
      <c r="M108" s="17">
        <f>IF(OR(M107="",I107=""),"",IF(I107&lt;=0,"",IFERROR(M107/I107-1,"")))</f>
        <v/>
      </c>
      <c r="N108" s="17">
        <f>IF(OR(N107="",J107=""),"",IF(J107&lt;=0,"",IFERROR(N107/J107-1,"")))</f>
        <v/>
      </c>
      <c r="T108" s="17">
        <f>IF(OR(T107="",S107=""),"",IF(S107&lt;=0,"",IFERROR(T107/S107-1,"")))</f>
        <v/>
      </c>
      <c r="U108" s="17">
        <f>IF(OR(U107="",T107=""),"",IF(T107&lt;=0,"",IFERROR(U107/T107-1,"")))</f>
        <v/>
      </c>
      <c r="V108" s="17">
        <f>IF(OR(V107="",U107=""),"",IF(U107&lt;=0,"",IFERROR(V107/U107-1,"")))</f>
        <v/>
      </c>
      <c r="W108" s="17">
        <f>IF(OR(W107="",V107=""),"",IF(V107&lt;=0,"",IFERROR(W107/V107-1,"")))</f>
        <v/>
      </c>
      <c r="X108" s="17">
        <f>IF(OR(X107="",W107=""),"",IF(W107&lt;=0,"",IFERROR(X107/W107-1,"")))</f>
        <v/>
      </c>
    </row>
    <row r="109">
      <c r="A109" s="20" t="inlineStr">
        <is>
          <t>고정자산 매각이익</t>
        </is>
      </c>
      <c r="C109" s="22" t="n">
        <v>0</v>
      </c>
      <c r="D109" s="22" t="n">
        <v>0.104</v>
      </c>
      <c r="E109" s="22" t="n">
        <v>0.389</v>
      </c>
      <c r="F109" s="22" t="n">
        <v>0</v>
      </c>
      <c r="G109" s="22" t="n">
        <v>0.217</v>
      </c>
      <c r="H109" s="22" t="n">
        <v>0</v>
      </c>
      <c r="I109" s="22" t="n">
        <v>0</v>
      </c>
      <c r="J109" s="22" t="n">
        <v>0</v>
      </c>
      <c r="K109" s="22" t="n">
        <v>0</v>
      </c>
      <c r="L109" s="22" t="n">
        <v>0</v>
      </c>
      <c r="M109" s="22" t="n">
        <v>0.022</v>
      </c>
      <c r="N109" s="22" t="n">
        <v>0</v>
      </c>
      <c r="T109" s="22" t="n">
        <v>0</v>
      </c>
      <c r="U109" s="22" t="n">
        <v>115.535</v>
      </c>
      <c r="V109" s="22" t="n">
        <v>0.104</v>
      </c>
      <c r="W109" s="22" t="n">
        <v>0</v>
      </c>
      <c r="X109" s="22" t="n">
        <v>0</v>
      </c>
    </row>
    <row r="110">
      <c r="A110" s="20" t="inlineStr">
        <is>
          <t>투자유가증권 매각이익</t>
        </is>
      </c>
      <c r="C110" s="22" t="n">
        <v>0</v>
      </c>
      <c r="D110" s="22" t="n">
        <v>70.21899999999999</v>
      </c>
      <c r="E110" s="22" t="n">
        <v>85.535</v>
      </c>
      <c r="F110" s="22" t="n">
        <v>194.764</v>
      </c>
      <c r="G110" s="22" t="n">
        <v>10.381</v>
      </c>
      <c r="H110" s="22" t="n">
        <v>46.806</v>
      </c>
      <c r="I110" s="22" t="n">
        <v>0</v>
      </c>
      <c r="J110" s="22" t="n">
        <v>0</v>
      </c>
      <c r="K110" s="22" t="n">
        <v>0</v>
      </c>
      <c r="L110" s="22" t="n">
        <v>0</v>
      </c>
      <c r="T110" s="22" t="n">
        <v>7.437</v>
      </c>
      <c r="U110" s="22" t="n">
        <v>0</v>
      </c>
      <c r="V110" s="22" t="n">
        <v>70.21899999999999</v>
      </c>
      <c r="W110" s="22" t="n">
        <v>46.806</v>
      </c>
      <c r="X110" s="22" t="n">
        <v>0</v>
      </c>
    </row>
    <row r="111">
      <c r="A111" s="20" t="inlineStr">
        <is>
          <t>특별이익 합계</t>
        </is>
      </c>
      <c r="C111" s="22" t="n">
        <v>0</v>
      </c>
      <c r="D111" s="22" t="n">
        <v>80.471</v>
      </c>
      <c r="E111" s="22" t="n">
        <v>85.92400000000001</v>
      </c>
      <c r="F111" s="22" t="n">
        <v>194.764</v>
      </c>
      <c r="G111" s="22" t="n">
        <v>10.598</v>
      </c>
      <c r="H111" s="22" t="n">
        <v>46.807</v>
      </c>
      <c r="I111" s="22" t="n">
        <v>0</v>
      </c>
      <c r="J111" s="22" t="n">
        <v>0</v>
      </c>
      <c r="K111" s="22" t="n">
        <v>0</v>
      </c>
      <c r="L111" s="22" t="n">
        <v>553.177</v>
      </c>
      <c r="M111" s="22" t="n">
        <v>0.022</v>
      </c>
      <c r="N111" s="22" t="n">
        <v>0</v>
      </c>
      <c r="T111" s="22" t="n">
        <v>7.437</v>
      </c>
      <c r="U111" s="22" t="n">
        <v>115.535</v>
      </c>
      <c r="V111" s="22" t="n">
        <v>80.471</v>
      </c>
      <c r="W111" s="22" t="n">
        <v>46.807</v>
      </c>
      <c r="X111" s="22" t="n">
        <v>553.177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IF(OR(G111="",C111=""),"",IF(G111*C111&lt;=0,"",IFERROR(G111/C111-1,"")))</f>
        <v/>
      </c>
      <c r="H112" s="17">
        <f>IF(OR(H111="",D111=""),"",IF(H111*D111&lt;=0,"",IFERROR(H111/D111-1,"")))</f>
        <v/>
      </c>
      <c r="I112" s="17">
        <f>IF(OR(I111="",E111=""),"",IF(I111*E111&lt;=0,"",IFERROR(I111/E111-1,"")))</f>
        <v/>
      </c>
      <c r="J112" s="17">
        <f>IF(OR(J111="",F111=""),"",IF(J111*F111&lt;=0,"",IFERROR(J111/F111-1,"")))</f>
        <v/>
      </c>
      <c r="K112" s="17">
        <f>IF(OR(K111="",G111=""),"",IF(K111*G111&lt;=0,"",IFERROR(K111/G111-1,"")))</f>
        <v/>
      </c>
      <c r="L112" s="17">
        <f>IF(OR(L111="",H111=""),"",IF(L111*H111&lt;=0,"",IFERROR(L111/H111-1,"")))</f>
        <v/>
      </c>
      <c r="M112" s="17">
        <f>IF(OR(M111="",I111=""),"",IF(M111*I111&lt;=0,"",IFERROR(M111/I111-1,"")))</f>
        <v/>
      </c>
      <c r="N112" s="17">
        <f>IF(OR(N111="",J111=""),"",IF(N111*J111&lt;=0,"",IFERROR(N111/J111-1,"")))</f>
        <v/>
      </c>
      <c r="T112" s="17">
        <f>IF(OR(T111="",S111=""),"",IF(T111*S111&lt;=0,"",IFERROR(T111/S111-1,"")))</f>
        <v/>
      </c>
      <c r="U112" s="17">
        <f>IF(OR(U111="",T111=""),"",IF(U111*T111&lt;=0,"",IFERROR(U111/T111-1,"")))</f>
        <v/>
      </c>
      <c r="V112" s="17">
        <f>IF(OR(V111="",U111=""),"",IF(V111*U111&lt;=0,"",IFERROR(V111/U111-1,"")))</f>
        <v/>
      </c>
      <c r="W112" s="17">
        <f>IF(OR(W111="",V111=""),"",IF(W111*V111&lt;=0,"",IFERROR(W111/V111-1,"")))</f>
        <v/>
      </c>
      <c r="X112" s="17">
        <f>IF(OR(X111="",W111=""),"",IF(X111*W111&lt;=0,"",IFERROR(X111/W111-1,"")))</f>
        <v/>
      </c>
    </row>
    <row r="113">
      <c r="A113" s="20" t="inlineStr">
        <is>
          <t>고정자산 매각손실</t>
        </is>
      </c>
      <c r="C113" s="22" t="n">
        <v>0</v>
      </c>
      <c r="G113" s="22" t="n">
        <v>0</v>
      </c>
    </row>
    <row r="114">
      <c r="A114" s="20" t="inlineStr">
        <is>
          <t>고정자산 제각손실</t>
        </is>
      </c>
      <c r="C114" s="22" t="n">
        <v>0</v>
      </c>
      <c r="D114" s="22" t="n">
        <v>9.590999999999999</v>
      </c>
      <c r="E114" s="22" t="n">
        <v>0</v>
      </c>
      <c r="F114" s="22" t="n">
        <v>0</v>
      </c>
      <c r="G114" s="22" t="n">
        <v>0</v>
      </c>
      <c r="H114" s="22" t="n">
        <v>0.016</v>
      </c>
      <c r="I114" s="22" t="n">
        <v>0.333</v>
      </c>
      <c r="J114" s="22" t="n">
        <v>0.541</v>
      </c>
      <c r="K114" s="22" t="n">
        <v>0</v>
      </c>
      <c r="L114" s="22" t="n">
        <v>0.048</v>
      </c>
      <c r="M114" s="22" t="n">
        <v>0</v>
      </c>
      <c r="N114" s="22" t="n">
        <v>0</v>
      </c>
      <c r="T114" s="22" t="n">
        <v>0.123</v>
      </c>
      <c r="U114" s="22" t="n">
        <v>0.821</v>
      </c>
      <c r="V114" s="22" t="n">
        <v>9.590999999999999</v>
      </c>
      <c r="W114" s="22" t="n">
        <v>0.016</v>
      </c>
      <c r="X114" s="22" t="n">
        <v>0.048</v>
      </c>
    </row>
    <row r="115">
      <c r="A115" s="20" t="inlineStr">
        <is>
          <t>사업정리 손실</t>
        </is>
      </c>
      <c r="G115" s="22" t="n">
        <v>0</v>
      </c>
      <c r="H115" s="22" t="n">
        <v>0</v>
      </c>
      <c r="K115" s="22" t="n">
        <v>-0.122</v>
      </c>
      <c r="L115" s="22" t="n">
        <v>1.258</v>
      </c>
      <c r="W115" s="22" t="n">
        <v>0</v>
      </c>
      <c r="X115" s="22" t="n">
        <v>1.258</v>
      </c>
    </row>
    <row r="116">
      <c r="A116" s="20" t="inlineStr">
        <is>
          <t>기타</t>
        </is>
      </c>
      <c r="G116" s="22" t="n">
        <v>0</v>
      </c>
      <c r="H116" s="22" t="n">
        <v>0</v>
      </c>
      <c r="K116" s="22" t="n">
        <v>0</v>
      </c>
      <c r="L116" s="22" t="n">
        <v>0</v>
      </c>
      <c r="W116" s="22" t="n">
        <v>0</v>
      </c>
      <c r="X116" s="22" t="n">
        <v>0</v>
      </c>
    </row>
    <row r="117">
      <c r="A117" s="20" t="inlineStr">
        <is>
          <t>특별손실 합계</t>
        </is>
      </c>
      <c r="C117" s="22" t="n">
        <v>0</v>
      </c>
      <c r="D117" s="22" t="n">
        <v>43.75</v>
      </c>
      <c r="E117" s="22" t="n">
        <v>0</v>
      </c>
      <c r="F117" s="22" t="n">
        <v>254.44</v>
      </c>
      <c r="G117" s="22" t="n">
        <v>0</v>
      </c>
      <c r="H117" s="22" t="n">
        <v>24.435</v>
      </c>
      <c r="I117" s="22" t="n">
        <v>0.333</v>
      </c>
      <c r="J117" s="22" t="n">
        <v>565.648</v>
      </c>
      <c r="K117" s="22" t="n">
        <v>-0.122</v>
      </c>
      <c r="L117" s="22" t="n">
        <v>1.307</v>
      </c>
      <c r="M117" s="22" t="n">
        <v>0</v>
      </c>
      <c r="N117" s="22" t="n">
        <v>0</v>
      </c>
      <c r="T117" s="22" t="n">
        <v>0.123</v>
      </c>
      <c r="U117" s="22" t="n">
        <v>0.821</v>
      </c>
      <c r="V117" s="22" t="n">
        <v>43.75</v>
      </c>
      <c r="W117" s="22" t="n">
        <v>24.435</v>
      </c>
      <c r="X117" s="22" t="n">
        <v>1.307</v>
      </c>
    </row>
    <row r="118">
      <c r="A118" s="45" t="inlineStr">
        <is>
          <t>YoY</t>
        </is>
      </c>
      <c r="B118" s="3" t="inlineStr">
        <is>
          <t>전년 같은 분기·전년 대비</t>
        </is>
      </c>
      <c r="G118" s="17">
        <f>IF(OR(G117="",C117=""),"",IF(G117*C117&lt;=0,"",IFERROR(G117/C117-1,"")))</f>
        <v/>
      </c>
      <c r="H118" s="17">
        <f>IF(OR(H117="",D117=""),"",IF(H117*D117&lt;=0,"",IFERROR(H117/D117-1,"")))</f>
        <v/>
      </c>
      <c r="I118" s="17">
        <f>IF(OR(I117="",E117=""),"",IF(I117*E117&lt;=0,"",IFERROR(I117/E117-1,"")))</f>
        <v/>
      </c>
      <c r="J118" s="17">
        <f>IF(OR(J117="",F117=""),"",IF(J117*F117&lt;=0,"",IFERROR(J117/F117-1,"")))</f>
        <v/>
      </c>
      <c r="K118" s="17">
        <f>IF(OR(K117="",G117=""),"",IF(K117*G117&lt;=0,"",IFERROR(K117/G117-1,"")))</f>
        <v/>
      </c>
      <c r="L118" s="17">
        <f>IF(OR(L117="",H117=""),"",IF(L117*H117&lt;=0,"",IFERROR(L117/H117-1,"")))</f>
        <v/>
      </c>
      <c r="M118" s="17">
        <f>IF(OR(M117="",I117=""),"",IF(M117*I117&lt;=0,"",IFERROR(M117/I117-1,"")))</f>
        <v/>
      </c>
      <c r="N118" s="17">
        <f>IF(OR(N117="",J117=""),"",IF(N117*J117&lt;=0,"",IFERROR(N117/J117-1,"")))</f>
        <v/>
      </c>
      <c r="T118" s="17">
        <f>IF(OR(T117="",S117=""),"",IF(T117*S117&lt;=0,"",IFERROR(T117/S117-1,"")))</f>
        <v/>
      </c>
      <c r="U118" s="17">
        <f>IF(OR(U117="",T117=""),"",IF(U117*T117&lt;=0,"",IFERROR(U117/T117-1,"")))</f>
        <v/>
      </c>
      <c r="V118" s="17">
        <f>IF(OR(V117="",U117=""),"",IF(V117*U117&lt;=0,"",IFERROR(V117/U117-1,"")))</f>
        <v/>
      </c>
      <c r="W118" s="17">
        <f>IF(OR(W117="",V117=""),"",IF(W117*V117&lt;=0,"",IFERROR(W117/V117-1,"")))</f>
        <v/>
      </c>
      <c r="X118" s="17">
        <f>IF(OR(X117="",W117=""),"",IF(X117*W117&lt;=0,"",IFERROR(X117/W117-1,"")))</f>
        <v/>
      </c>
    </row>
    <row r="119">
      <c r="A119" s="9" t="inlineStr">
        <is>
          <t>법인세차감전 중간순이익(손실)</t>
        </is>
      </c>
      <c r="C119" s="12" t="n">
        <v>-85.607</v>
      </c>
      <c r="D119" s="12" t="n">
        <v>128.298</v>
      </c>
      <c r="E119" s="12" t="n">
        <v>155.951</v>
      </c>
      <c r="F119" s="12" t="n">
        <v>90.59699999999999</v>
      </c>
      <c r="G119" s="12" t="n">
        <v>62.974</v>
      </c>
      <c r="H119" s="12" t="n">
        <v>337.041</v>
      </c>
      <c r="I119" s="12" t="n">
        <v>152.658</v>
      </c>
      <c r="J119" s="12" t="n">
        <v>-444.797</v>
      </c>
      <c r="K119" s="12" t="n">
        <v>107.78</v>
      </c>
      <c r="L119" s="12" t="n">
        <v>1143.718</v>
      </c>
      <c r="M119" s="12" t="n">
        <v>176.561</v>
      </c>
      <c r="N119" s="12" t="n">
        <v>392.627</v>
      </c>
      <c r="T119" s="12" t="n">
        <v>378.134</v>
      </c>
      <c r="U119" s="12" t="n">
        <v>338.014</v>
      </c>
      <c r="V119" s="12" t="n">
        <v>128.298</v>
      </c>
      <c r="W119" s="12" t="n">
        <v>337.041</v>
      </c>
      <c r="X119" s="12" t="n">
        <v>1143.718</v>
      </c>
    </row>
    <row r="120">
      <c r="A120" s="45" t="inlineStr">
        <is>
          <t>YoY</t>
        </is>
      </c>
      <c r="B120" s="3" t="inlineStr">
        <is>
          <t>전년 같은 분기·전년 대비</t>
        </is>
      </c>
      <c r="G120" s="17">
        <f>IF(OR(G119="",C119=""),"",IF(C119&lt;=0,"",IFERROR(G119/C119-1,"")))</f>
        <v/>
      </c>
      <c r="H120" s="17">
        <f>IF(OR(H119="",D119=""),"",IF(D119&lt;=0,"",IFERROR(H119/D119-1,"")))</f>
        <v/>
      </c>
      <c r="I120" s="17">
        <f>IF(OR(I119="",E119=""),"",IF(E119&lt;=0,"",IFERROR(I119/E119-1,"")))</f>
        <v/>
      </c>
      <c r="J120" s="17">
        <f>IF(OR(J119="",F119=""),"",IF(F119&lt;=0,"",IFERROR(J119/F119-1,"")))</f>
        <v/>
      </c>
      <c r="K120" s="17">
        <f>IF(OR(K119="",G119=""),"",IF(G119&lt;=0,"",IFERROR(K119/G119-1,"")))</f>
        <v/>
      </c>
      <c r="L120" s="17">
        <f>IF(OR(L119="",H119=""),"",IF(H119&lt;=0,"",IFERROR(L119/H119-1,"")))</f>
        <v/>
      </c>
      <c r="M120" s="17">
        <f>IF(OR(M119="",I119=""),"",IF(I119&lt;=0,"",IFERROR(M119/I119-1,"")))</f>
        <v/>
      </c>
      <c r="N120" s="17">
        <f>IF(OR(N119="",J119=""),"",IF(J119&lt;=0,"",IFERROR(N119/J119-1,"")))</f>
        <v/>
      </c>
      <c r="T120" s="17">
        <f>IF(OR(T119="",S119=""),"",IF(S119&lt;=0,"",IFERROR(T119/S119-1,"")))</f>
        <v/>
      </c>
      <c r="U120" s="17">
        <f>IF(OR(U119="",T119=""),"",IF(T119&lt;=0,"",IFERROR(U119/T119-1,"")))</f>
        <v/>
      </c>
      <c r="V120" s="17">
        <f>IF(OR(V119="",U119=""),"",IF(U119&lt;=0,"",IFERROR(V119/U119-1,"")))</f>
        <v/>
      </c>
      <c r="W120" s="17">
        <f>IF(OR(W119="",V119=""),"",IF(V119&lt;=0,"",IFERROR(W119/V119-1,"")))</f>
        <v/>
      </c>
      <c r="X120" s="17">
        <f>IF(OR(X119="",W119=""),"",IF(W119&lt;=0,"",IFERROR(X119/W119-1,"")))</f>
        <v/>
      </c>
    </row>
    <row r="121">
      <c r="A121" s="20" t="inlineStr">
        <is>
          <t>법인세·주민세·사업세</t>
        </is>
      </c>
      <c r="C121" s="22" t="n">
        <v>-69.449</v>
      </c>
      <c r="D121" s="22" t="n">
        <v>111.407</v>
      </c>
      <c r="E121" s="22" t="n">
        <v>12.498</v>
      </c>
      <c r="F121" s="22" t="n">
        <v>198.585</v>
      </c>
      <c r="G121" s="22" t="n">
        <v>33.898</v>
      </c>
      <c r="H121" s="22" t="n">
        <v>154.204</v>
      </c>
      <c r="I121" s="22" t="n">
        <v>4.186</v>
      </c>
      <c r="J121" s="22" t="n">
        <v>41.538</v>
      </c>
      <c r="K121" s="22" t="n">
        <v>6.323</v>
      </c>
      <c r="L121" s="22" t="n">
        <v>360.029</v>
      </c>
      <c r="M121" s="22" t="n">
        <v>-4.605</v>
      </c>
      <c r="N121" s="22" t="n">
        <v>89.16200000000001</v>
      </c>
      <c r="T121" s="22" t="n">
        <v>84.59099999999999</v>
      </c>
      <c r="U121" s="22" t="n">
        <v>194.059</v>
      </c>
      <c r="V121" s="22" t="n">
        <v>111.407</v>
      </c>
      <c r="W121" s="22" t="n">
        <v>154.204</v>
      </c>
      <c r="X121" s="22" t="n">
        <v>360.029</v>
      </c>
    </row>
    <row r="122">
      <c r="A122" s="20" t="inlineStr">
        <is>
          <t>법인세 조정액</t>
        </is>
      </c>
      <c r="C122" s="22" t="n">
        <v>44.844</v>
      </c>
      <c r="D122" s="22" t="n">
        <v>-46.4</v>
      </c>
      <c r="E122" s="22" t="n">
        <v>-23.733</v>
      </c>
      <c r="F122" s="22" t="n">
        <v>-125.054</v>
      </c>
      <c r="G122" s="22" t="n">
        <v>-7.991</v>
      </c>
      <c r="H122" s="22" t="n">
        <v>146.251</v>
      </c>
      <c r="I122" s="22" t="n">
        <v>44.776</v>
      </c>
      <c r="J122" s="22" t="n">
        <v>17.649</v>
      </c>
      <c r="K122" s="22" t="n">
        <v>52.049</v>
      </c>
      <c r="L122" s="22" t="n">
        <v>-116.658</v>
      </c>
      <c r="M122" s="22" t="n">
        <v>1.914</v>
      </c>
      <c r="N122" s="22" t="n">
        <v>65.95999999999999</v>
      </c>
      <c r="T122" s="22" t="n">
        <v>66.155</v>
      </c>
      <c r="U122" s="22" t="n">
        <v>-84.77500000000001</v>
      </c>
      <c r="V122" s="22" t="n">
        <v>-46.4</v>
      </c>
      <c r="W122" s="22" t="n">
        <v>146.251</v>
      </c>
      <c r="X122" s="22" t="n">
        <v>-116.658</v>
      </c>
    </row>
    <row r="123">
      <c r="A123" s="20" t="inlineStr">
        <is>
          <t>법인세 등 합계</t>
        </is>
      </c>
      <c r="C123" s="22" t="n">
        <v>-24.606</v>
      </c>
      <c r="D123" s="22" t="n">
        <v>65.00700000000001</v>
      </c>
      <c r="E123" s="22" t="n">
        <v>-11.234</v>
      </c>
      <c r="F123" s="22" t="n">
        <v>73.529</v>
      </c>
      <c r="G123" s="22" t="n">
        <v>25.907</v>
      </c>
      <c r="H123" s="22" t="n">
        <v>300.455</v>
      </c>
      <c r="I123" s="22" t="n">
        <v>48.963</v>
      </c>
      <c r="J123" s="22" t="n">
        <v>59.187</v>
      </c>
      <c r="K123" s="22" t="n">
        <v>58.371</v>
      </c>
      <c r="L123" s="22" t="n">
        <v>243.37</v>
      </c>
      <c r="M123" s="22" t="n">
        <v>-2.69</v>
      </c>
      <c r="N123" s="22" t="n">
        <v>155.121</v>
      </c>
      <c r="T123" s="22" t="n">
        <v>150.746</v>
      </c>
      <c r="U123" s="22" t="n">
        <v>109.284</v>
      </c>
      <c r="V123" s="22" t="n">
        <v>65.00700000000001</v>
      </c>
      <c r="W123" s="22" t="n">
        <v>300.455</v>
      </c>
      <c r="X123" s="22" t="n">
        <v>243.37</v>
      </c>
    </row>
    <row r="124">
      <c r="A124" s="45" t="inlineStr">
        <is>
          <t>YoY</t>
        </is>
      </c>
      <c r="B124" s="3" t="inlineStr">
        <is>
          <t>전년 같은 분기·전년 대비</t>
        </is>
      </c>
      <c r="G124" s="17">
        <f>IF(OR(G123="",C123=""),"",IF(G123*C123&lt;=0,"",IFERROR(G123/C123-1,"")))</f>
        <v/>
      </c>
      <c r="H124" s="17">
        <f>IF(OR(H123="",D123=""),"",IF(H123*D123&lt;=0,"",IFERROR(H123/D123-1,"")))</f>
        <v/>
      </c>
      <c r="I124" s="17">
        <f>IF(OR(I123="",E123=""),"",IF(I123*E123&lt;=0,"",IFERROR(I123/E123-1,"")))</f>
        <v/>
      </c>
      <c r="J124" s="17">
        <f>IF(OR(J123="",F123=""),"",IF(J123*F123&lt;=0,"",IFERROR(J123/F123-1,"")))</f>
        <v/>
      </c>
      <c r="K124" s="17">
        <f>IF(OR(K123="",G123=""),"",IF(K123*G123&lt;=0,"",IFERROR(K123/G123-1,"")))</f>
        <v/>
      </c>
      <c r="L124" s="17">
        <f>IF(OR(L123="",H123=""),"",IF(L123*H123&lt;=0,"",IFERROR(L123/H123-1,"")))</f>
        <v/>
      </c>
      <c r="M124" s="17">
        <f>IF(OR(M123="",I123=""),"",IF(M123*I123&lt;=0,"",IFERROR(M123/I123-1,"")))</f>
        <v/>
      </c>
      <c r="N124" s="17">
        <f>IF(OR(N123="",J123=""),"",IF(N123*J123&lt;=0,"",IFERROR(N123/J123-1,"")))</f>
        <v/>
      </c>
      <c r="T124" s="17">
        <f>IF(OR(T123="",S123=""),"",IF(T123*S123&lt;=0,"",IFERROR(T123/S123-1,"")))</f>
        <v/>
      </c>
      <c r="U124" s="17">
        <f>IF(OR(U123="",T123=""),"",IF(U123*T123&lt;=0,"",IFERROR(U123/T123-1,"")))</f>
        <v/>
      </c>
      <c r="V124" s="17">
        <f>IF(OR(V123="",U123=""),"",IF(V123*U123&lt;=0,"",IFERROR(V123/U123-1,"")))</f>
        <v/>
      </c>
      <c r="W124" s="17">
        <f>IF(OR(W123="",V123=""),"",IF(W123*V123&lt;=0,"",IFERROR(W123/V123-1,"")))</f>
        <v/>
      </c>
      <c r="X124" s="17">
        <f>IF(OR(X123="",W123=""),"",IF(X123*W123&lt;=0,"",IFERROR(X123/W123-1,"")))</f>
        <v/>
      </c>
    </row>
    <row r="125">
      <c r="A125" s="9" t="inlineStr">
        <is>
          <t>중간순이익(손실)</t>
        </is>
      </c>
      <c r="C125" s="12" t="n">
        <v>-61.002</v>
      </c>
      <c r="D125" s="12" t="n">
        <v>63.291</v>
      </c>
      <c r="E125" s="12" t="n">
        <v>167.185</v>
      </c>
      <c r="F125" s="12" t="n">
        <v>17.067</v>
      </c>
      <c r="G125" s="12" t="n">
        <v>37.068</v>
      </c>
      <c r="H125" s="12" t="n">
        <v>36.585</v>
      </c>
      <c r="I125" s="12" t="n">
        <v>103.695</v>
      </c>
      <c r="J125" s="12" t="n">
        <v>-503.985</v>
      </c>
      <c r="K125" s="12" t="n">
        <v>49.409</v>
      </c>
      <c r="L125" s="12" t="n">
        <v>900.348</v>
      </c>
      <c r="M125" s="12" t="n">
        <v>179.251</v>
      </c>
      <c r="N125" s="12" t="n">
        <v>237.506</v>
      </c>
      <c r="T125" s="12" t="n">
        <v>227.387</v>
      </c>
      <c r="U125" s="12" t="n">
        <v>228.731</v>
      </c>
      <c r="V125" s="12" t="n">
        <v>63.291</v>
      </c>
      <c r="W125" s="12" t="n">
        <v>36.585</v>
      </c>
      <c r="X125" s="12" t="n">
        <v>900.348</v>
      </c>
    </row>
    <row r="126">
      <c r="A126" s="45" t="inlineStr">
        <is>
          <t>YoY</t>
        </is>
      </c>
      <c r="B126" s="3" t="inlineStr">
        <is>
          <t>전년 같은 분기·전년 대비</t>
        </is>
      </c>
      <c r="G126" s="17">
        <f>IF(OR(G125="",C125=""),"",IF(C125&lt;=0,"",IFERROR(G125/C125-1,"")))</f>
        <v/>
      </c>
      <c r="H126" s="17">
        <f>IF(OR(H125="",D125=""),"",IF(D125&lt;=0,"",IFERROR(H125/D125-1,"")))</f>
        <v/>
      </c>
      <c r="I126" s="17">
        <f>IF(OR(I125="",E125=""),"",IF(E125&lt;=0,"",IFERROR(I125/E125-1,"")))</f>
        <v/>
      </c>
      <c r="J126" s="17">
        <f>IF(OR(J125="",F125=""),"",IF(F125&lt;=0,"",IFERROR(J125/F125-1,"")))</f>
        <v/>
      </c>
      <c r="K126" s="17">
        <f>IF(OR(K125="",G125=""),"",IF(G125&lt;=0,"",IFERROR(K125/G125-1,"")))</f>
        <v/>
      </c>
      <c r="L126" s="17">
        <f>IF(OR(L125="",H125=""),"",IF(H125&lt;=0,"",IFERROR(L125/H125-1,"")))</f>
        <v/>
      </c>
      <c r="M126" s="17">
        <f>IF(OR(M125="",I125=""),"",IF(I125&lt;=0,"",IFERROR(M125/I125-1,"")))</f>
        <v/>
      </c>
      <c r="N126" s="17">
        <f>IF(OR(N125="",J125=""),"",IF(J125&lt;=0,"",IFERROR(N125/J125-1,"")))</f>
        <v/>
      </c>
      <c r="T126" s="17">
        <f>IF(OR(T125="",S125=""),"",IF(S125&lt;=0,"",IFERROR(T125/S125-1,"")))</f>
        <v/>
      </c>
      <c r="U126" s="17">
        <f>IF(OR(U125="",T125=""),"",IF(T125&lt;=0,"",IFERROR(U125/T125-1,"")))</f>
        <v/>
      </c>
      <c r="V126" s="17">
        <f>IF(OR(V125="",U125=""),"",IF(U125&lt;=0,"",IFERROR(V125/U125-1,"")))</f>
        <v/>
      </c>
      <c r="W126" s="17">
        <f>IF(OR(W125="",V125=""),"",IF(V125&lt;=0,"",IFERROR(W125/V125-1,"")))</f>
        <v/>
      </c>
      <c r="X126" s="17">
        <f>IF(OR(X125="",W125=""),"",IF(W125&lt;=0,"",IFERROR(X125/W125-1,"")))</f>
        <v/>
      </c>
    </row>
    <row r="127">
      <c r="A127" s="9" t="inlineStr">
        <is>
          <t>비지배주주 당기순손실</t>
        </is>
      </c>
      <c r="C127" s="12" t="n">
        <v>-28.396</v>
      </c>
      <c r="D127" s="12" t="n">
        <v>20.603</v>
      </c>
      <c r="E127" s="12" t="n">
        <v>-21.523</v>
      </c>
      <c r="F127" s="12" t="n">
        <v>-104.92</v>
      </c>
      <c r="G127" s="12" t="n">
        <v>-43.769</v>
      </c>
      <c r="H127" s="12" t="n">
        <v>-22.531</v>
      </c>
      <c r="I127" s="12" t="n">
        <v>2.605</v>
      </c>
      <c r="J127" s="12" t="n">
        <v>-242.681</v>
      </c>
      <c r="K127" s="12" t="n">
        <v>-24.198</v>
      </c>
      <c r="L127" s="12" t="n">
        <v>166.103</v>
      </c>
      <c r="M127" s="12" t="n">
        <v>-4.207</v>
      </c>
      <c r="N127" s="12" t="n">
        <v>0</v>
      </c>
      <c r="T127" s="12" t="n">
        <v>36.481</v>
      </c>
      <c r="U127" s="12" t="n">
        <v>-2.319</v>
      </c>
      <c r="V127" s="12" t="n">
        <v>20.603</v>
      </c>
      <c r="W127" s="12" t="n">
        <v>-22.531</v>
      </c>
      <c r="X127" s="12" t="n">
        <v>166.103</v>
      </c>
    </row>
    <row r="128">
      <c r="A128" s="9" t="inlineStr">
        <is>
          <t>지배주주 귀속 중간순이익(손실)</t>
        </is>
      </c>
      <c r="C128" s="12" t="n">
        <v>-32.605</v>
      </c>
      <c r="D128" s="12" t="n">
        <v>42.687</v>
      </c>
      <c r="E128" s="12" t="n">
        <v>188.709</v>
      </c>
      <c r="F128" s="12" t="n">
        <v>121.986</v>
      </c>
      <c r="G128" s="12" t="n">
        <v>80.837</v>
      </c>
      <c r="H128" s="12" t="n">
        <v>59.117</v>
      </c>
      <c r="I128" s="12" t="n">
        <v>101.089</v>
      </c>
      <c r="J128" s="12" t="n">
        <v>-261.302</v>
      </c>
      <c r="K128" s="12" t="n">
        <v>73.607</v>
      </c>
      <c r="L128" s="12" t="n">
        <v>734.244</v>
      </c>
      <c r="M128" s="12" t="n">
        <v>183.458</v>
      </c>
      <c r="N128" s="12" t="n">
        <v>237.506</v>
      </c>
      <c r="T128" s="12" t="n">
        <v>190.906</v>
      </c>
      <c r="U128" s="12" t="n">
        <v>231.049</v>
      </c>
      <c r="V128" s="12" t="n">
        <v>42.687</v>
      </c>
      <c r="W128" s="12" t="n">
        <v>59.117</v>
      </c>
      <c r="X128" s="12" t="n">
        <v>734.244</v>
      </c>
    </row>
    <row r="129">
      <c r="A129" s="45" t="inlineStr">
        <is>
          <t>YoY</t>
        </is>
      </c>
      <c r="B129" s="3" t="inlineStr">
        <is>
          <t>전년 같은 분기·전년 대비</t>
        </is>
      </c>
      <c r="G129" s="17">
        <f>IF(OR(G128="",C128=""),"",IF(C128&lt;=0,"",IFERROR(G128/C128-1,"")))</f>
        <v/>
      </c>
      <c r="H129" s="17">
        <f>IF(OR(H128="",D128=""),"",IF(D128&lt;=0,"",IFERROR(H128/D128-1,"")))</f>
        <v/>
      </c>
      <c r="I129" s="17">
        <f>IF(OR(I128="",E128=""),"",IF(E128&lt;=0,"",IFERROR(I128/E128-1,"")))</f>
        <v/>
      </c>
      <c r="J129" s="17">
        <f>IF(OR(J128="",F128=""),"",IF(F128&lt;=0,"",IFERROR(J128/F128-1,"")))</f>
        <v/>
      </c>
      <c r="K129" s="17">
        <f>IF(OR(K128="",G128=""),"",IF(G128&lt;=0,"",IFERROR(K128/G128-1,"")))</f>
        <v/>
      </c>
      <c r="L129" s="17">
        <f>IF(OR(L128="",H128=""),"",IF(H128&lt;=0,"",IFERROR(L128/H128-1,"")))</f>
        <v/>
      </c>
      <c r="M129" s="17">
        <f>IF(OR(M128="",I128=""),"",IF(I128&lt;=0,"",IFERROR(M128/I128-1,"")))</f>
        <v/>
      </c>
      <c r="N129" s="17">
        <f>IF(OR(N128="",J128=""),"",IF(J128&lt;=0,"",IFERROR(N128/J128-1,"")))</f>
        <v/>
      </c>
      <c r="T129" s="17">
        <f>IF(OR(T128="",S128=""),"",IF(S128&lt;=0,"",IFERROR(T128/S128-1,"")))</f>
        <v/>
      </c>
      <c r="U129" s="17">
        <f>IF(OR(U128="",T128=""),"",IF(T128&lt;=0,"",IFERROR(U128/T128-1,"")))</f>
        <v/>
      </c>
      <c r="V129" s="17">
        <f>IF(OR(V128="",U128=""),"",IF(U128&lt;=0,"",IFERROR(V128/U128-1,"")))</f>
        <v/>
      </c>
      <c r="W129" s="17">
        <f>IF(OR(W128="",V128=""),"",IF(V128&lt;=0,"",IFERROR(W128/V128-1,"")))</f>
        <v/>
      </c>
      <c r="X129" s="17">
        <f>IF(OR(X128="",W128=""),"",IF(W128&lt;=0,"",IFERROR(X128/W128-1,"")))</f>
        <v/>
      </c>
    </row>
    <row r="131">
      <c r="A131" s="18" t="inlineStr">
        <is>
          <t>포괄손익 · 전 항목</t>
        </is>
      </c>
      <c r="B131" s="44" t="inlineStr">
        <is>
          <t>분기 = 3개월 단독</t>
        </is>
      </c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  <c r="AA131" s="18" t="n"/>
      <c r="AB131" s="18" t="n"/>
      <c r="AC131" s="18" t="n"/>
    </row>
    <row r="132">
      <c r="A132" s="5" t="inlineStr">
        <is>
          <t>항목</t>
        </is>
      </c>
      <c r="B132" s="5" t="inlineStr">
        <is>
          <t>참고</t>
        </is>
      </c>
      <c r="C132" s="5" t="inlineStr">
        <is>
          <t>2024.3Q</t>
        </is>
      </c>
      <c r="D132" s="5" t="inlineStr">
        <is>
          <t>2024.4Q</t>
        </is>
      </c>
      <c r="E132" s="5" t="inlineStr">
        <is>
          <t>2025.1Q</t>
        </is>
      </c>
      <c r="F132" s="5" t="inlineStr">
        <is>
          <t>2025.2Q</t>
        </is>
      </c>
      <c r="G132" s="5" t="inlineStr">
        <is>
          <t>2025.3Q</t>
        </is>
      </c>
      <c r="H132" s="5" t="inlineStr">
        <is>
          <t>2025.4Q</t>
        </is>
      </c>
      <c r="I132" s="5" t="inlineStr">
        <is>
          <t>2026.1Q</t>
        </is>
      </c>
      <c r="J132" s="5" t="inlineStr">
        <is>
          <t>2026.2Q</t>
        </is>
      </c>
      <c r="K132" s="5" t="inlineStr">
        <is>
          <t>2026.3Q</t>
        </is>
      </c>
      <c r="L132" s="5" t="inlineStr">
        <is>
          <t>2026.4Q</t>
        </is>
      </c>
      <c r="M132" s="5" t="inlineStr">
        <is>
          <t>2027.1Q</t>
        </is>
      </c>
      <c r="N132" s="5" t="inlineStr">
        <is>
          <t>2027.2Q</t>
        </is>
      </c>
      <c r="O132" s="5" t="inlineStr">
        <is>
          <t>2017</t>
        </is>
      </c>
      <c r="P132" s="5" t="inlineStr">
        <is>
          <t>2018</t>
        </is>
      </c>
      <c r="Q132" s="5" t="inlineStr">
        <is>
          <t>2019</t>
        </is>
      </c>
      <c r="R132" s="5" t="inlineStr">
        <is>
          <t>2020</t>
        </is>
      </c>
      <c r="S132" s="5" t="inlineStr">
        <is>
          <t>2021</t>
        </is>
      </c>
      <c r="T132" s="5" t="inlineStr">
        <is>
          <t>2022</t>
        </is>
      </c>
      <c r="U132" s="5" t="inlineStr">
        <is>
          <t>2023</t>
        </is>
      </c>
      <c r="V132" s="5" t="inlineStr">
        <is>
          <t>2024</t>
        </is>
      </c>
      <c r="W132" s="5" t="inlineStr">
        <is>
          <t>2025</t>
        </is>
      </c>
      <c r="X132" s="5" t="inlineStr">
        <is>
          <t>2026</t>
        </is>
      </c>
      <c r="Y132" s="5" t="inlineStr">
        <is>
          <t>2027(MW)</t>
        </is>
      </c>
      <c r="Z132" s="5" t="inlineStr">
        <is>
          <t>2028(MW)</t>
        </is>
      </c>
      <c r="AA132" s="5" t="inlineStr">
        <is>
          <t>2029(MW)</t>
        </is>
      </c>
      <c r="AB132" s="5" t="inlineStr">
        <is>
          <t>2030(MW)</t>
        </is>
      </c>
      <c r="AC132" s="5" t="inlineStr">
        <is>
          <t>2031(MW)</t>
        </is>
      </c>
    </row>
    <row r="133">
      <c r="A133" s="9" t="inlineStr">
        <is>
          <t>중간순이익(손실)</t>
        </is>
      </c>
      <c r="C133" s="12" t="n">
        <v>-61.002</v>
      </c>
      <c r="D133" s="12" t="n">
        <v>63.291</v>
      </c>
      <c r="E133" s="12" t="n">
        <v>167.185</v>
      </c>
      <c r="F133" s="12" t="n">
        <v>17.067</v>
      </c>
      <c r="G133" s="12" t="n">
        <v>37.068</v>
      </c>
      <c r="H133" s="12" t="n">
        <v>36.585</v>
      </c>
      <c r="I133" s="12" t="n">
        <v>103.695</v>
      </c>
      <c r="J133" s="12" t="n">
        <v>-503.985</v>
      </c>
      <c r="K133" s="12" t="n">
        <v>49.409</v>
      </c>
      <c r="L133" s="12" t="n">
        <v>900.348</v>
      </c>
      <c r="M133" s="12" t="n">
        <v>179.251</v>
      </c>
      <c r="N133" s="12" t="n">
        <v>237.506</v>
      </c>
      <c r="T133" s="12" t="n">
        <v>227.387</v>
      </c>
      <c r="U133" s="12" t="n">
        <v>228.731</v>
      </c>
      <c r="V133" s="12" t="n">
        <v>63.291</v>
      </c>
      <c r="W133" s="12" t="n">
        <v>36.585</v>
      </c>
      <c r="X133" s="12" t="n">
        <v>900.348</v>
      </c>
    </row>
    <row r="134">
      <c r="A134" s="20" t="inlineStr">
        <is>
          <t>기타유가증권 평가차액</t>
        </is>
      </c>
      <c r="C134" s="22" t="n">
        <v>-38.686</v>
      </c>
      <c r="D134" s="22" t="n">
        <v>99.471</v>
      </c>
      <c r="E134" s="22" t="n">
        <v>-117.087</v>
      </c>
      <c r="F134" s="22" t="n">
        <v>-184.02</v>
      </c>
      <c r="G134" s="22" t="n">
        <v>2.309</v>
      </c>
      <c r="H134" s="22" t="n">
        <v>-39.872</v>
      </c>
      <c r="I134" s="22" t="n">
        <v>21.983</v>
      </c>
      <c r="J134" s="22" t="n">
        <v>2.889</v>
      </c>
      <c r="K134" s="22" t="n">
        <v>14.458</v>
      </c>
      <c r="L134" s="22" t="n">
        <v>17.1</v>
      </c>
      <c r="M134" s="22" t="n">
        <v>22.085</v>
      </c>
      <c r="N134" s="22" t="n">
        <v>8.768000000000001</v>
      </c>
      <c r="T134" s="22" t="n">
        <v>-7.598</v>
      </c>
      <c r="U134" s="22" t="n">
        <v>89.581</v>
      </c>
      <c r="V134" s="22" t="n">
        <v>99.471</v>
      </c>
      <c r="W134" s="22" t="n">
        <v>-39.872</v>
      </c>
      <c r="X134" s="22" t="n">
        <v>17.1</v>
      </c>
    </row>
    <row r="135">
      <c r="A135" s="20" t="inlineStr">
        <is>
          <t>기타포괄손익 합계</t>
        </is>
      </c>
      <c r="C135" s="22" t="n">
        <v>-38.686</v>
      </c>
      <c r="D135" s="22" t="n">
        <v>99.471</v>
      </c>
      <c r="E135" s="22" t="n">
        <v>-117.087</v>
      </c>
      <c r="F135" s="22" t="n">
        <v>-184.02</v>
      </c>
      <c r="G135" s="22" t="n">
        <v>2.309</v>
      </c>
      <c r="H135" s="22" t="n">
        <v>-39.872</v>
      </c>
      <c r="I135" s="22" t="n">
        <v>21.983</v>
      </c>
      <c r="J135" s="22" t="n">
        <v>2.889</v>
      </c>
      <c r="K135" s="22" t="n">
        <v>14.458</v>
      </c>
      <c r="L135" s="22" t="n">
        <v>17.1</v>
      </c>
      <c r="M135" s="22" t="n">
        <v>22.085</v>
      </c>
      <c r="N135" s="22" t="n">
        <v>8.768000000000001</v>
      </c>
      <c r="T135" s="22" t="n">
        <v>-7.598</v>
      </c>
      <c r="U135" s="22" t="n">
        <v>89.581</v>
      </c>
      <c r="V135" s="22" t="n">
        <v>99.471</v>
      </c>
      <c r="W135" s="22" t="n">
        <v>-39.872</v>
      </c>
      <c r="X135" s="22" t="n">
        <v>17.1</v>
      </c>
    </row>
    <row r="136">
      <c r="A136" s="9" t="inlineStr">
        <is>
          <t>포괄이익</t>
        </is>
      </c>
      <c r="C136" s="12" t="n">
        <v>-99.688</v>
      </c>
      <c r="D136" s="12" t="n">
        <v>162.762</v>
      </c>
      <c r="E136" s="12" t="n">
        <v>50.097</v>
      </c>
      <c r="F136" s="12" t="n">
        <v>-166.952</v>
      </c>
      <c r="G136" s="12" t="n">
        <v>39.377</v>
      </c>
      <c r="H136" s="12" t="n">
        <v>-3.286</v>
      </c>
      <c r="I136" s="12" t="n">
        <v>125.678</v>
      </c>
      <c r="J136" s="12" t="n">
        <v>-501.095</v>
      </c>
      <c r="K136" s="12" t="n">
        <v>63.866</v>
      </c>
      <c r="L136" s="12" t="n">
        <v>917.449</v>
      </c>
      <c r="M136" s="12" t="n">
        <v>201.337</v>
      </c>
      <c r="N136" s="12" t="n">
        <v>246.273</v>
      </c>
      <c r="T136" s="12" t="n">
        <v>219.788</v>
      </c>
      <c r="U136" s="12" t="n">
        <v>318.312</v>
      </c>
      <c r="V136" s="12" t="n">
        <v>162.762</v>
      </c>
      <c r="W136" s="12" t="n">
        <v>-3.286</v>
      </c>
      <c r="X136" s="12" t="n">
        <v>917.449</v>
      </c>
    </row>
    <row r="137">
      <c r="A137" s="9" t="inlineStr">
        <is>
          <t>지배주주 포괄이익</t>
        </is>
      </c>
      <c r="C137" s="12" t="n">
        <v>-71.291</v>
      </c>
      <c r="D137" s="12" t="n">
        <v>142.158</v>
      </c>
      <c r="E137" s="12" t="n">
        <v>71.621</v>
      </c>
      <c r="F137" s="12" t="n">
        <v>-62.034</v>
      </c>
      <c r="G137" s="12" t="n">
        <v>83.14700000000001</v>
      </c>
      <c r="H137" s="12" t="n">
        <v>19.244</v>
      </c>
      <c r="I137" s="12" t="n">
        <v>123.072</v>
      </c>
      <c r="J137" s="12" t="n">
        <v>-258.413</v>
      </c>
      <c r="K137" s="12" t="n">
        <v>88.065</v>
      </c>
      <c r="L137" s="12" t="n">
        <v>751.345</v>
      </c>
      <c r="M137" s="12" t="n">
        <v>205.544</v>
      </c>
      <c r="N137" s="12" t="n">
        <v>246.273</v>
      </c>
      <c r="T137" s="12" t="n">
        <v>183.307</v>
      </c>
      <c r="U137" s="12" t="n">
        <v>320.63</v>
      </c>
      <c r="V137" s="12" t="n">
        <v>142.158</v>
      </c>
      <c r="W137" s="12" t="n">
        <v>19.244</v>
      </c>
      <c r="X137" s="12" t="n">
        <v>751.345</v>
      </c>
    </row>
    <row r="138">
      <c r="A138" s="9" t="inlineStr">
        <is>
          <t>비지배주주 포괄이익</t>
        </is>
      </c>
      <c r="C138" s="12" t="n">
        <v>-28.396</v>
      </c>
      <c r="D138" s="12" t="n">
        <v>20.603</v>
      </c>
      <c r="E138" s="12" t="n">
        <v>-21.523</v>
      </c>
      <c r="F138" s="12" t="n">
        <v>-104.92</v>
      </c>
      <c r="G138" s="12" t="n">
        <v>-43.769</v>
      </c>
      <c r="H138" s="12" t="n">
        <v>-22.531</v>
      </c>
      <c r="I138" s="12" t="n">
        <v>2.605</v>
      </c>
      <c r="J138" s="12" t="n">
        <v>-242.681</v>
      </c>
      <c r="K138" s="12" t="n">
        <v>-24.198</v>
      </c>
      <c r="L138" s="12" t="n">
        <v>166.103</v>
      </c>
      <c r="M138" s="12" t="n">
        <v>-4.207</v>
      </c>
      <c r="N138" s="12" t="n">
        <v>0</v>
      </c>
      <c r="T138" s="12" t="n">
        <v>36.481</v>
      </c>
      <c r="U138" s="12" t="n">
        <v>-2.319</v>
      </c>
      <c r="V138" s="12" t="n">
        <v>20.603</v>
      </c>
      <c r="W138" s="12" t="n">
        <v>-22.531</v>
      </c>
      <c r="X138" s="12" t="n">
        <v>166.103</v>
      </c>
    </row>
    <row r="140">
      <c r="A140" s="18" t="inlineStr">
        <is>
          <t>현금흐름표 · 전 항목</t>
        </is>
      </c>
      <c r="B140" s="44" t="inlineStr">
        <is>
          <t>분기 = 결산기 첫날부터 누계(공시 그대로)</t>
        </is>
      </c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  <c r="AA140" s="18" t="n"/>
      <c r="AB140" s="18" t="n"/>
      <c r="AC140" s="18" t="n"/>
    </row>
    <row r="141">
      <c r="A141" s="5" t="inlineStr">
        <is>
          <t>항목</t>
        </is>
      </c>
      <c r="B141" s="5" t="inlineStr">
        <is>
          <t>참고</t>
        </is>
      </c>
      <c r="C141" s="5" t="inlineStr">
        <is>
          <t>2024.3Q</t>
        </is>
      </c>
      <c r="D141" s="5" t="inlineStr">
        <is>
          <t>2024.4Q</t>
        </is>
      </c>
      <c r="E141" s="5" t="inlineStr">
        <is>
          <t>2025.1Q</t>
        </is>
      </c>
      <c r="F141" s="5" t="inlineStr">
        <is>
          <t>2025.2Q</t>
        </is>
      </c>
      <c r="G141" s="5" t="inlineStr">
        <is>
          <t>2025.3Q</t>
        </is>
      </c>
      <c r="H141" s="5" t="inlineStr">
        <is>
          <t>2025.4Q</t>
        </is>
      </c>
      <c r="I141" s="5" t="inlineStr">
        <is>
          <t>2026.1Q</t>
        </is>
      </c>
      <c r="J141" s="5" t="inlineStr">
        <is>
          <t>2026.2Q</t>
        </is>
      </c>
      <c r="K141" s="5" t="inlineStr">
        <is>
          <t>2026.3Q</t>
        </is>
      </c>
      <c r="L141" s="5" t="inlineStr">
        <is>
          <t>2026.4Q</t>
        </is>
      </c>
      <c r="M141" s="5" t="inlineStr">
        <is>
          <t>2027.1Q</t>
        </is>
      </c>
      <c r="N141" s="5" t="inlineStr">
        <is>
          <t>2027.2Q</t>
        </is>
      </c>
      <c r="O141" s="5" t="inlineStr">
        <is>
          <t>2017</t>
        </is>
      </c>
      <c r="P141" s="5" t="inlineStr">
        <is>
          <t>2018</t>
        </is>
      </c>
      <c r="Q141" s="5" t="inlineStr">
        <is>
          <t>2019</t>
        </is>
      </c>
      <c r="R141" s="5" t="inlineStr">
        <is>
          <t>2020</t>
        </is>
      </c>
      <c r="S141" s="5" t="inlineStr">
        <is>
          <t>2021</t>
        </is>
      </c>
      <c r="T141" s="5" t="inlineStr">
        <is>
          <t>2022</t>
        </is>
      </c>
      <c r="U141" s="5" t="inlineStr">
        <is>
          <t>2023</t>
        </is>
      </c>
      <c r="V141" s="5" t="inlineStr">
        <is>
          <t>2024</t>
        </is>
      </c>
      <c r="W141" s="5" t="inlineStr">
        <is>
          <t>2025</t>
        </is>
      </c>
      <c r="X141" s="5" t="inlineStr">
        <is>
          <t>2026</t>
        </is>
      </c>
      <c r="Y141" s="5" t="inlineStr">
        <is>
          <t>2027(MW)</t>
        </is>
      </c>
      <c r="Z141" s="5" t="inlineStr">
        <is>
          <t>2028(MW)</t>
        </is>
      </c>
      <c r="AA141" s="5" t="inlineStr">
        <is>
          <t>2029(MW)</t>
        </is>
      </c>
      <c r="AB141" s="5" t="inlineStr">
        <is>
          <t>2030(MW)</t>
        </is>
      </c>
      <c r="AC141" s="5" t="inlineStr">
        <is>
          <t>2031(MW)</t>
        </is>
      </c>
    </row>
    <row r="142">
      <c r="A142" s="9" t="inlineStr">
        <is>
          <t>법인세차감전 중간순이익(손실)</t>
        </is>
      </c>
      <c r="D142" s="12" t="n">
        <v>520.215</v>
      </c>
      <c r="F142" s="12" t="n">
        <v>246.548</v>
      </c>
      <c r="H142" s="12" t="n">
        <v>646.563</v>
      </c>
      <c r="J142" s="12" t="n">
        <v>-292.139</v>
      </c>
      <c r="L142" s="12" t="n">
        <v>959.359</v>
      </c>
      <c r="N142" s="12" t="n">
        <v>569.188</v>
      </c>
      <c r="O142" s="12" t="n">
        <v>586.271</v>
      </c>
      <c r="P142" s="12" t="n">
        <v>1200.167</v>
      </c>
      <c r="Q142" s="12" t="n">
        <v>1432.412</v>
      </c>
      <c r="R142" s="12" t="n">
        <v>1536.411</v>
      </c>
      <c r="S142" s="12" t="n">
        <v>763.221</v>
      </c>
      <c r="T142" s="12" t="n">
        <v>1162.959</v>
      </c>
      <c r="U142" s="12" t="n">
        <v>771.793</v>
      </c>
      <c r="V142" s="12" t="n">
        <v>520.215</v>
      </c>
      <c r="W142" s="12" t="n">
        <v>646.563</v>
      </c>
      <c r="X142" s="12" t="n">
        <v>959.359</v>
      </c>
    </row>
    <row r="143">
      <c r="A143" s="20" t="inlineStr">
        <is>
          <t>감가상각비</t>
        </is>
      </c>
      <c r="D143" s="22" t="n">
        <v>284.522</v>
      </c>
      <c r="F143" s="22" t="n">
        <v>172.899</v>
      </c>
      <c r="H143" s="22" t="n">
        <v>350.657</v>
      </c>
      <c r="J143" s="22" t="n">
        <v>155.9</v>
      </c>
      <c r="L143" s="22" t="n">
        <v>306.167</v>
      </c>
      <c r="N143" s="22" t="n">
        <v>155.706</v>
      </c>
      <c r="O143" s="22" t="n">
        <v>241.418</v>
      </c>
      <c r="P143" s="22" t="n">
        <v>257.091</v>
      </c>
      <c r="Q143" s="22" t="n">
        <v>233.847</v>
      </c>
      <c r="R143" s="22" t="n">
        <v>255.349</v>
      </c>
      <c r="S143" s="22" t="n">
        <v>216.904</v>
      </c>
      <c r="T143" s="22" t="n">
        <v>236.422</v>
      </c>
      <c r="U143" s="22" t="n">
        <v>238.391</v>
      </c>
      <c r="V143" s="22" t="n">
        <v>284.522</v>
      </c>
      <c r="W143" s="22" t="n">
        <v>350.657</v>
      </c>
      <c r="X143" s="22" t="n">
        <v>306.167</v>
      </c>
    </row>
    <row r="144">
      <c r="A144" s="20" t="inlineStr">
        <is>
          <t>부의 영업권 발생이익</t>
        </is>
      </c>
      <c r="O144" s="22" t="n">
        <v>0</v>
      </c>
      <c r="P144" s="22" t="n">
        <v>-92.60599999999999</v>
      </c>
      <c r="Q144" s="22" t="n">
        <v>0</v>
      </c>
    </row>
    <row r="145">
      <c r="A145" s="20" t="inlineStr">
        <is>
          <t>사채발행비</t>
        </is>
      </c>
      <c r="Q145" s="22" t="n">
        <v>0</v>
      </c>
      <c r="R145" s="22" t="n">
        <v>4.334</v>
      </c>
      <c r="S145" s="22" t="n">
        <v>0</v>
      </c>
    </row>
    <row r="146">
      <c r="A146" s="20" t="inlineStr">
        <is>
          <t>대손충당금 증감</t>
        </is>
      </c>
      <c r="D146" s="22" t="n">
        <v>-1.579</v>
      </c>
      <c r="O146" s="22" t="n">
        <v>0</v>
      </c>
      <c r="P146" s="22" t="n">
        <v>-0.07000000000000001</v>
      </c>
      <c r="Q146" s="22" t="n">
        <v>-0.124</v>
      </c>
      <c r="R146" s="22" t="n">
        <v>0.052</v>
      </c>
      <c r="S146" s="22" t="n">
        <v>0.45</v>
      </c>
      <c r="T146" s="22" t="n">
        <v>-10.388</v>
      </c>
      <c r="U146" s="22" t="n">
        <v>-0.766</v>
      </c>
      <c r="V146" s="22" t="n">
        <v>-1.579</v>
      </c>
    </row>
    <row r="147">
      <c r="A147" s="20" t="inlineStr">
        <is>
          <t>제품보증 충당금 증감</t>
        </is>
      </c>
      <c r="D147" s="22" t="n">
        <v>-6.206</v>
      </c>
      <c r="F147" s="22" t="n">
        <v>-0.095</v>
      </c>
      <c r="H147" s="22" t="n">
        <v>-0.985</v>
      </c>
      <c r="J147" s="22" t="n">
        <v>-2.271</v>
      </c>
      <c r="L147" s="22" t="n">
        <v>-8.913</v>
      </c>
      <c r="N147" s="22" t="n">
        <v>-0.034</v>
      </c>
      <c r="P147" s="22" t="n">
        <v>0</v>
      </c>
      <c r="Q147" s="22" t="n">
        <v>224.561</v>
      </c>
      <c r="R147" s="22" t="n">
        <v>-198.025</v>
      </c>
      <c r="S147" s="22" t="n">
        <v>-14.594</v>
      </c>
      <c r="T147" s="22" t="n">
        <v>2.626</v>
      </c>
      <c r="U147" s="22" t="n">
        <v>1.835</v>
      </c>
      <c r="V147" s="22" t="n">
        <v>-6.206</v>
      </c>
      <c r="W147" s="22" t="n">
        <v>-0.985</v>
      </c>
      <c r="X147" s="22" t="n">
        <v>-8.913</v>
      </c>
    </row>
    <row r="148">
      <c r="A148" s="20" t="inlineStr">
        <is>
          <t>수주손실 충당금 증감</t>
        </is>
      </c>
      <c r="O148" s="22" t="n">
        <v>1.188</v>
      </c>
      <c r="P148" s="22" t="n">
        <v>-1.188</v>
      </c>
      <c r="Q148" s="22" t="n">
        <v>0</v>
      </c>
    </row>
    <row r="149">
      <c r="A149" s="20" t="inlineStr">
        <is>
          <t>상여충당금 증감</t>
        </is>
      </c>
      <c r="D149" s="22" t="n">
        <v>-59.518</v>
      </c>
      <c r="F149" s="22" t="n">
        <v>-18.203</v>
      </c>
      <c r="H149" s="22" t="n">
        <v>28.22</v>
      </c>
      <c r="J149" s="22" t="n">
        <v>-33.272</v>
      </c>
      <c r="L149" s="22" t="n">
        <v>-1.08</v>
      </c>
      <c r="N149" s="22" t="n">
        <v>-87.66800000000001</v>
      </c>
      <c r="O149" s="22" t="n">
        <v>-40.99</v>
      </c>
      <c r="P149" s="22" t="n">
        <v>40.811</v>
      </c>
      <c r="Q149" s="22" t="n">
        <v>46.851</v>
      </c>
      <c r="R149" s="22" t="n">
        <v>-40.785</v>
      </c>
      <c r="S149" s="22" t="n">
        <v>-35.624</v>
      </c>
      <c r="T149" s="22" t="n">
        <v>-33.374</v>
      </c>
      <c r="U149" s="22" t="n">
        <v>63.084</v>
      </c>
      <c r="V149" s="22" t="n">
        <v>-59.518</v>
      </c>
      <c r="W149" s="22" t="n">
        <v>28.22</v>
      </c>
      <c r="X149" s="22" t="n">
        <v>-1.08</v>
      </c>
    </row>
    <row r="150">
      <c r="A150" s="20" t="inlineStr">
        <is>
          <t>임원 상여충당금 증감</t>
        </is>
      </c>
      <c r="D150" s="22" t="n">
        <v>-18.552</v>
      </c>
      <c r="F150" s="22" t="n">
        <v>-38.797</v>
      </c>
      <c r="H150" s="22" t="n">
        <v>-5.532</v>
      </c>
      <c r="J150" s="22" t="n">
        <v>-33.265</v>
      </c>
      <c r="L150" s="22" t="n">
        <v>25.835</v>
      </c>
      <c r="N150" s="22" t="n">
        <v>-59.1</v>
      </c>
      <c r="O150" s="22" t="n">
        <v>-0.25</v>
      </c>
      <c r="P150" s="22" t="n">
        <v>4.35</v>
      </c>
      <c r="Q150" s="22" t="n">
        <v>24.61</v>
      </c>
      <c r="R150" s="22" t="n">
        <v>-10.759</v>
      </c>
      <c r="S150" s="22" t="n">
        <v>10.199</v>
      </c>
      <c r="T150" s="22" t="n">
        <v>-6.05</v>
      </c>
      <c r="U150" s="22" t="n">
        <v>10.15</v>
      </c>
      <c r="V150" s="22" t="n">
        <v>-18.552</v>
      </c>
      <c r="W150" s="22" t="n">
        <v>-5.532</v>
      </c>
      <c r="X150" s="22" t="n">
        <v>25.835</v>
      </c>
    </row>
    <row r="151">
      <c r="A151" s="20" t="inlineStr">
        <is>
          <t>퇴직급여부채 증감</t>
        </is>
      </c>
      <c r="D151" s="22" t="n">
        <v>3.485</v>
      </c>
      <c r="F151" s="22" t="n">
        <v>6.239</v>
      </c>
      <c r="H151" s="22" t="n">
        <v>-4.534</v>
      </c>
      <c r="J151" s="22" t="n">
        <v>-11.745</v>
      </c>
      <c r="L151" s="22" t="n">
        <v>-14.556</v>
      </c>
      <c r="N151" s="22" t="n">
        <v>7.117</v>
      </c>
      <c r="O151" s="22" t="n">
        <v>-11.302</v>
      </c>
      <c r="P151" s="22" t="n">
        <v>-8.586</v>
      </c>
      <c r="Q151" s="22" t="n">
        <v>-0.239</v>
      </c>
      <c r="R151" s="22" t="n">
        <v>-1.721</v>
      </c>
      <c r="S151" s="22" t="n">
        <v>9.776</v>
      </c>
      <c r="T151" s="22" t="n">
        <v>-15.658</v>
      </c>
      <c r="U151" s="22" t="n">
        <v>1.44</v>
      </c>
      <c r="V151" s="22" t="n">
        <v>3.485</v>
      </c>
      <c r="W151" s="22" t="n">
        <v>-4.534</v>
      </c>
      <c r="X151" s="22" t="n">
        <v>-14.556</v>
      </c>
    </row>
    <row r="152">
      <c r="A152" s="20" t="inlineStr">
        <is>
          <t>구조개혁 비용</t>
        </is>
      </c>
      <c r="F152" s="22" t="n">
        <v>254.44</v>
      </c>
      <c r="H152" s="22" t="n">
        <v>278.858</v>
      </c>
      <c r="J152" s="22" t="n">
        <v>0</v>
      </c>
      <c r="L152" s="22" t="n">
        <v>0</v>
      </c>
      <c r="W152" s="22" t="n">
        <v>278.858</v>
      </c>
      <c r="X152" s="22" t="n">
        <v>0</v>
      </c>
    </row>
    <row r="153">
      <c r="A153" s="20" t="inlineStr">
        <is>
          <t>사업정리 손실</t>
        </is>
      </c>
      <c r="F153" s="22" t="n">
        <v>0</v>
      </c>
      <c r="H153" s="22" t="n">
        <v>0</v>
      </c>
      <c r="J153" s="22" t="n">
        <v>564.107</v>
      </c>
      <c r="L153" s="22" t="n">
        <v>565.2430000000001</v>
      </c>
      <c r="N153" s="22" t="n">
        <v>0</v>
      </c>
      <c r="W153" s="22" t="n">
        <v>0</v>
      </c>
      <c r="X153" s="22" t="n">
        <v>565.2430000000001</v>
      </c>
    </row>
    <row r="154">
      <c r="A154" s="20" t="inlineStr">
        <is>
          <t>보전금 수익</t>
        </is>
      </c>
      <c r="H154" s="22" t="n">
        <v>0</v>
      </c>
      <c r="L154" s="22" t="n">
        <v>-400</v>
      </c>
      <c r="W154" s="22" t="n">
        <v>0</v>
      </c>
      <c r="X154" s="22" t="n">
        <v>-400</v>
      </c>
    </row>
    <row r="155">
      <c r="A155" s="20" t="inlineStr">
        <is>
          <t>수취 설비 부담금</t>
        </is>
      </c>
      <c r="H155" s="22" t="n">
        <v>0</v>
      </c>
      <c r="L155" s="22" t="n">
        <v>-153.177</v>
      </c>
      <c r="W155" s="22" t="n">
        <v>0</v>
      </c>
      <c r="X155" s="22" t="n">
        <v>-153.177</v>
      </c>
    </row>
    <row r="156">
      <c r="A156" s="20" t="inlineStr">
        <is>
          <t>이자·배당금 수익</t>
        </is>
      </c>
      <c r="D156" s="22" t="n">
        <v>-34.597</v>
      </c>
      <c r="F156" s="22" t="n">
        <v>-16.843</v>
      </c>
      <c r="H156" s="22" t="n">
        <v>-27.346</v>
      </c>
      <c r="J156" s="22" t="n">
        <v>-7.731</v>
      </c>
      <c r="L156" s="22" t="n">
        <v>-21.823</v>
      </c>
      <c r="N156" s="22" t="n">
        <v>-14.017</v>
      </c>
      <c r="O156" s="22" t="n">
        <v>-9.619999999999999</v>
      </c>
      <c r="P156" s="22" t="n">
        <v>-10.702</v>
      </c>
      <c r="Q156" s="22" t="n">
        <v>-9.407</v>
      </c>
      <c r="R156" s="22" t="n">
        <v>-14.292</v>
      </c>
      <c r="S156" s="22" t="n">
        <v>-22.821</v>
      </c>
      <c r="T156" s="22" t="n">
        <v>-32.109</v>
      </c>
      <c r="U156" s="22" t="n">
        <v>-31.043</v>
      </c>
      <c r="V156" s="22" t="n">
        <v>-34.597</v>
      </c>
      <c r="W156" s="22" t="n">
        <v>-27.346</v>
      </c>
      <c r="X156" s="22" t="n">
        <v>-21.823</v>
      </c>
    </row>
    <row r="157">
      <c r="A157" s="20" t="inlineStr">
        <is>
          <t>보조금 수입</t>
        </is>
      </c>
      <c r="D157" s="22" t="n">
        <v>-9.233000000000001</v>
      </c>
      <c r="H157" s="22" t="n">
        <v>-5</v>
      </c>
      <c r="L157" s="22" t="n">
        <v>0</v>
      </c>
      <c r="U157" s="22" t="n">
        <v>0</v>
      </c>
      <c r="V157" s="22" t="n">
        <v>-9.233000000000001</v>
      </c>
      <c r="W157" s="22" t="n">
        <v>-5</v>
      </c>
      <c r="X157" s="22" t="n">
        <v>0</v>
      </c>
    </row>
    <row r="158">
      <c r="A158" s="20" t="inlineStr">
        <is>
          <t>보험 해약환급금</t>
        </is>
      </c>
      <c r="D158" s="22" t="n">
        <v>-10.147</v>
      </c>
      <c r="O158" s="22" t="n">
        <v>0</v>
      </c>
      <c r="P158" s="22" t="n">
        <v>-5.598</v>
      </c>
      <c r="Q158" s="22" t="n">
        <v>-14.033</v>
      </c>
      <c r="R158" s="22" t="n">
        <v>-0.395</v>
      </c>
      <c r="S158" s="22" t="n">
        <v>-4.419</v>
      </c>
      <c r="T158" s="22" t="n">
        <v>-1.518</v>
      </c>
      <c r="U158" s="22" t="n">
        <v>0</v>
      </c>
      <c r="V158" s="22" t="n">
        <v>-10.147</v>
      </c>
    </row>
    <row r="159">
      <c r="A159" s="20" t="inlineStr">
        <is>
          <t>이자비용</t>
        </is>
      </c>
      <c r="D159" s="22" t="n">
        <v>9.459</v>
      </c>
      <c r="F159" s="22" t="n">
        <v>4.211</v>
      </c>
      <c r="H159" s="22" t="n">
        <v>8.151999999999999</v>
      </c>
      <c r="J159" s="22" t="n">
        <v>3.223</v>
      </c>
      <c r="L159" s="22" t="n">
        <v>6.047</v>
      </c>
      <c r="N159" s="22" t="n">
        <v>1.277</v>
      </c>
      <c r="O159" s="22" t="n">
        <v>17.009</v>
      </c>
      <c r="P159" s="22" t="n">
        <v>21.499</v>
      </c>
      <c r="Q159" s="22" t="n">
        <v>18.135</v>
      </c>
      <c r="R159" s="22" t="n">
        <v>15.408</v>
      </c>
      <c r="S159" s="22" t="n">
        <v>14.529</v>
      </c>
      <c r="T159" s="22" t="n">
        <v>12.244</v>
      </c>
      <c r="U159" s="22" t="n">
        <v>10.216</v>
      </c>
      <c r="V159" s="22" t="n">
        <v>9.459</v>
      </c>
      <c r="W159" s="22" t="n">
        <v>8.151999999999999</v>
      </c>
      <c r="X159" s="22" t="n">
        <v>6.047</v>
      </c>
    </row>
    <row r="160">
      <c r="A160" s="20" t="inlineStr">
        <is>
          <t>고정자산 매각손익</t>
        </is>
      </c>
      <c r="D160" s="22" t="n">
        <v>-0.104</v>
      </c>
      <c r="H160" s="22" t="n">
        <v>-0.606</v>
      </c>
      <c r="L160" s="22" t="n">
        <v>0</v>
      </c>
      <c r="O160" s="22" t="n">
        <v>0</v>
      </c>
      <c r="P160" s="22" t="n">
        <v>-0.004</v>
      </c>
      <c r="Q160" s="22" t="n">
        <v>0</v>
      </c>
      <c r="R160" s="22" t="n">
        <v>-0.043</v>
      </c>
      <c r="S160" s="22" t="n">
        <v>-0.127</v>
      </c>
      <c r="T160" s="22" t="n">
        <v>-0.159</v>
      </c>
      <c r="U160" s="22" t="n">
        <v>-116.068</v>
      </c>
      <c r="V160" s="22" t="n">
        <v>-0.104</v>
      </c>
      <c r="W160" s="22" t="n">
        <v>-0.606</v>
      </c>
      <c r="X160" s="22" t="n">
        <v>0</v>
      </c>
    </row>
    <row r="161">
      <c r="A161" s="20" t="inlineStr">
        <is>
          <t>고정자산 제각손실</t>
        </is>
      </c>
      <c r="H161" s="22" t="n">
        <v>0.016</v>
      </c>
      <c r="L161" s="22" t="n">
        <v>0.922</v>
      </c>
      <c r="W161" s="22" t="n">
        <v>0.016</v>
      </c>
      <c r="X161" s="22" t="n">
        <v>0.922</v>
      </c>
    </row>
    <row r="162">
      <c r="A162" s="20" t="inlineStr">
        <is>
          <t>투자유가증권 매각손익</t>
        </is>
      </c>
      <c r="D162" s="22" t="n">
        <v>-70.21899999999999</v>
      </c>
      <c r="F162" s="22" t="n">
        <v>-280.299</v>
      </c>
      <c r="H162" s="22" t="n">
        <v>-337.486</v>
      </c>
      <c r="J162" s="22" t="n">
        <v>0</v>
      </c>
      <c r="L162" s="22" t="n">
        <v>0</v>
      </c>
      <c r="O162" s="22" t="n">
        <v>0</v>
      </c>
      <c r="P162" s="22" t="n">
        <v>0</v>
      </c>
      <c r="Q162" s="22" t="n">
        <v>-0.78</v>
      </c>
      <c r="R162" s="22" t="n">
        <v>0</v>
      </c>
      <c r="S162" s="22" t="n">
        <v>-27.197</v>
      </c>
      <c r="T162" s="22" t="n">
        <v>-105.316</v>
      </c>
      <c r="U162" s="22" t="n">
        <v>-35.352</v>
      </c>
      <c r="V162" s="22" t="n">
        <v>-70.21899999999999</v>
      </c>
      <c r="W162" s="22" t="n">
        <v>-337.486</v>
      </c>
      <c r="X162" s="22" t="n">
        <v>0</v>
      </c>
    </row>
    <row r="163">
      <c r="A163" s="20" t="inlineStr">
        <is>
          <t>특별퇴직금</t>
        </is>
      </c>
      <c r="D163" s="22" t="n">
        <v>34.158</v>
      </c>
      <c r="U163" s="22" t="n">
        <v>0</v>
      </c>
      <c r="V163" s="22" t="n">
        <v>34.158</v>
      </c>
    </row>
    <row r="164">
      <c r="A164" s="20" t="inlineStr">
        <is>
          <t>유형자산 매각손익</t>
        </is>
      </c>
      <c r="F164" s="22" t="n">
        <v>-0.389</v>
      </c>
      <c r="J164" s="22" t="n">
        <v>0</v>
      </c>
      <c r="N164" s="22" t="n">
        <v>-0.022</v>
      </c>
    </row>
    <row r="165">
      <c r="A165" s="20" t="inlineStr">
        <is>
          <t>유형자산 제각손실</t>
        </is>
      </c>
      <c r="D165" s="22" t="n">
        <v>10.72</v>
      </c>
      <c r="F165" s="22" t="n">
        <v>0</v>
      </c>
      <c r="J165" s="22" t="n">
        <v>0.874</v>
      </c>
      <c r="N165" s="22" t="n">
        <v>0</v>
      </c>
      <c r="O165" s="22" t="n">
        <v>0.207</v>
      </c>
      <c r="P165" s="22" t="n">
        <v>1.872</v>
      </c>
      <c r="Q165" s="22" t="n">
        <v>0.08699999999999999</v>
      </c>
      <c r="R165" s="22" t="n">
        <v>3.742</v>
      </c>
      <c r="S165" s="22" t="n">
        <v>2.403</v>
      </c>
      <c r="T165" s="22" t="n">
        <v>1.238</v>
      </c>
      <c r="U165" s="22" t="n">
        <v>1.869</v>
      </c>
      <c r="V165" s="22" t="n">
        <v>10.72</v>
      </c>
    </row>
    <row r="166">
      <c r="A166" s="20" t="inlineStr">
        <is>
          <t>장기미지급금 증감</t>
        </is>
      </c>
      <c r="D166" s="22" t="n">
        <v>-7.649</v>
      </c>
      <c r="F166" s="22" t="n">
        <v>-1.334</v>
      </c>
      <c r="H166" s="22" t="n">
        <v>-5.946</v>
      </c>
      <c r="J166" s="22" t="n">
        <v>-0.6820000000000001</v>
      </c>
      <c r="L166" s="22" t="n">
        <v>-0.6820000000000001</v>
      </c>
      <c r="N166" s="22" t="n">
        <v>-3.389</v>
      </c>
      <c r="O166" s="22" t="n">
        <v>-6.323</v>
      </c>
      <c r="P166" s="22" t="n">
        <v>-6.535</v>
      </c>
      <c r="Q166" s="22" t="n">
        <v>-5.665</v>
      </c>
      <c r="R166" s="22" t="n">
        <v>-18.239</v>
      </c>
      <c r="S166" s="22" t="n">
        <v>-14.302</v>
      </c>
      <c r="T166" s="22" t="n">
        <v>-8.013999999999999</v>
      </c>
      <c r="U166" s="22" t="n">
        <v>-2.772</v>
      </c>
      <c r="V166" s="22" t="n">
        <v>-7.649</v>
      </c>
      <c r="W166" s="22" t="n">
        <v>-5.946</v>
      </c>
      <c r="X166" s="22" t="n">
        <v>-0.6820000000000001</v>
      </c>
    </row>
    <row r="167">
      <c r="A167" s="20" t="inlineStr">
        <is>
          <t>예수보증금 증감액</t>
        </is>
      </c>
      <c r="D167" s="22" t="n">
        <v>0</v>
      </c>
      <c r="H167" s="22" t="n">
        <v>0</v>
      </c>
      <c r="L167" s="22" t="n">
        <v>10</v>
      </c>
      <c r="O167" s="22" t="n">
        <v>0</v>
      </c>
      <c r="T167" s="22" t="n">
        <v>0</v>
      </c>
      <c r="U167" s="22" t="n">
        <v>-12.674</v>
      </c>
      <c r="V167" s="22" t="n">
        <v>0</v>
      </c>
      <c r="W167" s="22" t="n">
        <v>0</v>
      </c>
      <c r="X167" s="22" t="n">
        <v>10</v>
      </c>
    </row>
    <row r="168">
      <c r="A168" s="20" t="inlineStr">
        <is>
          <t>매출채권 증감</t>
        </is>
      </c>
      <c r="D168" s="22" t="n">
        <v>40.224</v>
      </c>
      <c r="F168" s="22" t="n">
        <v>350.865</v>
      </c>
      <c r="H168" s="22" t="n">
        <v>-218.226</v>
      </c>
      <c r="J168" s="22" t="n">
        <v>913.672</v>
      </c>
      <c r="L168" s="22" t="n">
        <v>32.207</v>
      </c>
      <c r="N168" s="22" t="n">
        <v>1061.952</v>
      </c>
      <c r="O168" s="22" t="n">
        <v>31.222</v>
      </c>
      <c r="P168" s="22" t="n">
        <v>-961.097</v>
      </c>
      <c r="Q168" s="22" t="n">
        <v>-302.6</v>
      </c>
      <c r="R168" s="22" t="n">
        <v>881.342</v>
      </c>
      <c r="S168" s="22" t="n">
        <v>546.694</v>
      </c>
      <c r="T168" s="22" t="n">
        <v>-235.383</v>
      </c>
      <c r="U168" s="22" t="n">
        <v>126.312</v>
      </c>
      <c r="V168" s="22" t="n">
        <v>40.224</v>
      </c>
      <c r="W168" s="22" t="n">
        <v>-218.226</v>
      </c>
      <c r="X168" s="22" t="n">
        <v>32.207</v>
      </c>
    </row>
    <row r="169">
      <c r="A169" s="20" t="inlineStr">
        <is>
          <t>재고자산 증감</t>
        </is>
      </c>
      <c r="D169" s="22" t="n">
        <v>50.37</v>
      </c>
      <c r="F169" s="22" t="n">
        <v>-179.174</v>
      </c>
      <c r="H169" s="22" t="n">
        <v>377.517</v>
      </c>
      <c r="J169" s="22" t="n">
        <v>159.638</v>
      </c>
      <c r="L169" s="22" t="n">
        <v>587.6950000000001</v>
      </c>
      <c r="N169" s="22" t="n">
        <v>-209.834</v>
      </c>
      <c r="O169" s="22" t="n">
        <v>-163.015</v>
      </c>
      <c r="P169" s="22" t="n">
        <v>-309.368</v>
      </c>
      <c r="Q169" s="22" t="n">
        <v>52.256</v>
      </c>
      <c r="R169" s="22" t="n">
        <v>-534.1079999999999</v>
      </c>
      <c r="S169" s="22" t="n">
        <v>-347.038</v>
      </c>
      <c r="T169" s="22" t="n">
        <v>-1057.046</v>
      </c>
      <c r="U169" s="22" t="n">
        <v>-240.039</v>
      </c>
      <c r="V169" s="22" t="n">
        <v>50.37</v>
      </c>
      <c r="W169" s="22" t="n">
        <v>377.517</v>
      </c>
      <c r="X169" s="22" t="n">
        <v>587.6950000000001</v>
      </c>
    </row>
    <row r="170">
      <c r="A170" s="20" t="inlineStr">
        <is>
          <t>매입채무 증감</t>
        </is>
      </c>
      <c r="D170" s="22" t="n">
        <v>140.014</v>
      </c>
      <c r="F170" s="22" t="n">
        <v>-405.207</v>
      </c>
      <c r="H170" s="22" t="n">
        <v>-807.6319999999999</v>
      </c>
      <c r="J170" s="22" t="n">
        <v>-120.611</v>
      </c>
      <c r="L170" s="22" t="n">
        <v>-52.589</v>
      </c>
      <c r="N170" s="22" t="n">
        <v>52.597</v>
      </c>
      <c r="O170" s="22" t="n">
        <v>-22.75</v>
      </c>
      <c r="P170" s="22" t="n">
        <v>1763.734</v>
      </c>
      <c r="Q170" s="22" t="n">
        <v>71.758</v>
      </c>
      <c r="R170" s="22" t="n">
        <v>324.153</v>
      </c>
      <c r="S170" s="22" t="n">
        <v>-815.764</v>
      </c>
      <c r="T170" s="22" t="n">
        <v>-541.045</v>
      </c>
      <c r="U170" s="22" t="n">
        <v>-319.059</v>
      </c>
      <c r="V170" s="22" t="n">
        <v>140.014</v>
      </c>
      <c r="W170" s="22" t="n">
        <v>-807.6319999999999</v>
      </c>
      <c r="X170" s="22" t="n">
        <v>-52.589</v>
      </c>
    </row>
    <row r="171">
      <c r="A171" s="20" t="inlineStr">
        <is>
          <t>미지급 소비세 증감</t>
        </is>
      </c>
      <c r="D171" s="22" t="n">
        <v>-77.965</v>
      </c>
      <c r="F171" s="22" t="n">
        <v>-50.009</v>
      </c>
      <c r="H171" s="22" t="n">
        <v>94.742</v>
      </c>
      <c r="J171" s="22" t="n">
        <v>-152.422</v>
      </c>
      <c r="L171" s="22" t="n">
        <v>-6.451</v>
      </c>
      <c r="N171" s="22" t="n">
        <v>-121.453</v>
      </c>
      <c r="O171" s="22" t="n">
        <v>-5.065</v>
      </c>
      <c r="P171" s="22" t="n">
        <v>21.421</v>
      </c>
      <c r="Q171" s="22" t="n">
        <v>44.765</v>
      </c>
      <c r="R171" s="22" t="n">
        <v>-5.212</v>
      </c>
      <c r="S171" s="22" t="n">
        <v>-32.302</v>
      </c>
      <c r="T171" s="22" t="n">
        <v>-29.285</v>
      </c>
      <c r="U171" s="22" t="n">
        <v>87.896</v>
      </c>
      <c r="V171" s="22" t="n">
        <v>-77.965</v>
      </c>
      <c r="W171" s="22" t="n">
        <v>94.742</v>
      </c>
      <c r="X171" s="22" t="n">
        <v>-6.451</v>
      </c>
    </row>
    <row r="172">
      <c r="A172" s="20" t="inlineStr">
        <is>
          <t>기타</t>
        </is>
      </c>
      <c r="D172" s="22" t="n">
        <v>61.289</v>
      </c>
      <c r="F172" s="22" t="n">
        <v>13.541</v>
      </c>
      <c r="H172" s="22" t="n">
        <v>46.472</v>
      </c>
      <c r="J172" s="22" t="n">
        <v>-20.685</v>
      </c>
      <c r="L172" s="22" t="n">
        <v>-4.888</v>
      </c>
      <c r="N172" s="22" t="n">
        <v>5.208</v>
      </c>
      <c r="O172" s="22" t="n">
        <v>13.901</v>
      </c>
      <c r="P172" s="22" t="n">
        <v>128.302</v>
      </c>
      <c r="Q172" s="22" t="n">
        <v>16.602</v>
      </c>
      <c r="R172" s="22" t="n">
        <v>-130.837</v>
      </c>
      <c r="S172" s="22" t="n">
        <v>-137.743</v>
      </c>
      <c r="T172" s="22" t="n">
        <v>59.205</v>
      </c>
      <c r="U172" s="22" t="n">
        <v>-43.763</v>
      </c>
      <c r="V172" s="22" t="n">
        <v>61.289</v>
      </c>
      <c r="W172" s="22" t="n">
        <v>46.472</v>
      </c>
      <c r="X172" s="22" t="n">
        <v>-4.888</v>
      </c>
    </row>
    <row r="173">
      <c r="A173" s="20" t="inlineStr">
        <is>
          <t>소계</t>
        </is>
      </c>
      <c r="D173" s="22" t="n">
        <v>858.688</v>
      </c>
      <c r="F173" s="22" t="n">
        <v>58.392</v>
      </c>
      <c r="H173" s="22" t="n">
        <v>417.903</v>
      </c>
      <c r="J173" s="22" t="n">
        <v>1122.589</v>
      </c>
      <c r="L173" s="22" t="n">
        <v>1829.312</v>
      </c>
      <c r="N173" s="22" t="n">
        <v>1357.531</v>
      </c>
      <c r="O173" s="22" t="n">
        <v>631.899</v>
      </c>
      <c r="P173" s="22" t="n">
        <v>2043.492</v>
      </c>
      <c r="Q173" s="22" t="n">
        <v>1833.036</v>
      </c>
      <c r="R173" s="22" t="n">
        <v>2066.373</v>
      </c>
      <c r="S173" s="22" t="n">
        <v>112.242</v>
      </c>
      <c r="T173" s="22" t="n">
        <v>-599.135</v>
      </c>
      <c r="U173" s="22" t="n">
        <v>511.449</v>
      </c>
      <c r="V173" s="22" t="n">
        <v>858.688</v>
      </c>
      <c r="W173" s="22" t="n">
        <v>417.903</v>
      </c>
      <c r="X173" s="22" t="n">
        <v>1829.312</v>
      </c>
    </row>
    <row r="174">
      <c r="A174" s="20" t="inlineStr">
        <is>
          <t>이자·배당금 수취</t>
        </is>
      </c>
      <c r="D174" s="22" t="n">
        <v>34.597</v>
      </c>
      <c r="F174" s="22" t="n">
        <v>16.843</v>
      </c>
      <c r="H174" s="22" t="n">
        <v>27.346</v>
      </c>
      <c r="J174" s="22" t="n">
        <v>7.731</v>
      </c>
      <c r="L174" s="22" t="n">
        <v>21.823</v>
      </c>
      <c r="N174" s="22" t="n">
        <v>14.017</v>
      </c>
      <c r="O174" s="22" t="n">
        <v>9.619999999999999</v>
      </c>
      <c r="P174" s="22" t="n">
        <v>10.702</v>
      </c>
      <c r="Q174" s="22" t="n">
        <v>9.407</v>
      </c>
      <c r="R174" s="22" t="n">
        <v>14.292</v>
      </c>
      <c r="S174" s="22" t="n">
        <v>22.821</v>
      </c>
      <c r="T174" s="22" t="n">
        <v>32.109</v>
      </c>
      <c r="U174" s="22" t="n">
        <v>31.043</v>
      </c>
      <c r="V174" s="22" t="n">
        <v>34.597</v>
      </c>
      <c r="W174" s="22" t="n">
        <v>27.346</v>
      </c>
      <c r="X174" s="22" t="n">
        <v>21.823</v>
      </c>
    </row>
    <row r="175">
      <c r="A175" s="20" t="inlineStr">
        <is>
          <t>이자 지급</t>
        </is>
      </c>
      <c r="D175" s="22" t="n">
        <v>-9</v>
      </c>
      <c r="F175" s="22" t="n">
        <v>-4.688</v>
      </c>
      <c r="H175" s="22" t="n">
        <v>-8.614000000000001</v>
      </c>
      <c r="J175" s="22" t="n">
        <v>-2.933</v>
      </c>
      <c r="L175" s="22" t="n">
        <v>-5.666</v>
      </c>
      <c r="N175" s="22" t="n">
        <v>-1.283</v>
      </c>
      <c r="O175" s="22" t="n">
        <v>-17.462</v>
      </c>
      <c r="P175" s="22" t="n">
        <v>-21.139</v>
      </c>
      <c r="Q175" s="22" t="n">
        <v>-18.317</v>
      </c>
      <c r="R175" s="22" t="n">
        <v>-15.289</v>
      </c>
      <c r="S175" s="22" t="n">
        <v>-14.816</v>
      </c>
      <c r="T175" s="22" t="n">
        <v>-12.267</v>
      </c>
      <c r="U175" s="22" t="n">
        <v>-10.212</v>
      </c>
      <c r="V175" s="22" t="n">
        <v>-9</v>
      </c>
      <c r="W175" s="22" t="n">
        <v>-8.614000000000001</v>
      </c>
      <c r="X175" s="22" t="n">
        <v>-5.666</v>
      </c>
    </row>
    <row r="176">
      <c r="A176" s="20" t="inlineStr">
        <is>
          <t>법인세 납부</t>
        </is>
      </c>
      <c r="D176" s="22" t="n">
        <v>-339.236</v>
      </c>
      <c r="F176" s="22" t="n">
        <v>-40.498</v>
      </c>
      <c r="H176" s="22" t="n">
        <v>-100.649</v>
      </c>
      <c r="J176" s="22" t="n">
        <v>-330.888</v>
      </c>
      <c r="L176" s="22" t="n">
        <v>-509.115</v>
      </c>
      <c r="N176" s="22" t="n">
        <v>-223.326</v>
      </c>
      <c r="O176" s="22" t="n">
        <v>-254.531</v>
      </c>
      <c r="P176" s="22" t="n">
        <v>-151.837</v>
      </c>
      <c r="Q176" s="22" t="n">
        <v>-521.926</v>
      </c>
      <c r="R176" s="22" t="n">
        <v>-600.881</v>
      </c>
      <c r="S176" s="22" t="n">
        <v>-532.066</v>
      </c>
      <c r="T176" s="22" t="n">
        <v>-190.972</v>
      </c>
      <c r="U176" s="22" t="n">
        <v>-252.861</v>
      </c>
      <c r="V176" s="22" t="n">
        <v>-339.236</v>
      </c>
      <c r="W176" s="22" t="n">
        <v>-100.649</v>
      </c>
      <c r="X176" s="22" t="n">
        <v>-509.115</v>
      </c>
    </row>
    <row r="177">
      <c r="A177" s="20" t="inlineStr">
        <is>
          <t>법인세 환급</t>
        </is>
      </c>
      <c r="S177" s="22" t="n">
        <v>0</v>
      </c>
      <c r="T177" s="22" t="n">
        <v>175.402</v>
      </c>
      <c r="U177" s="22" t="n">
        <v>0</v>
      </c>
    </row>
    <row r="178">
      <c r="A178" s="20" t="inlineStr">
        <is>
          <t>보조금 수취</t>
        </is>
      </c>
      <c r="D178" s="22" t="n">
        <v>9.233000000000001</v>
      </c>
      <c r="H178" s="22" t="n">
        <v>5</v>
      </c>
      <c r="L178" s="22" t="n">
        <v>0</v>
      </c>
      <c r="U178" s="22" t="n">
        <v>0</v>
      </c>
      <c r="V178" s="22" t="n">
        <v>9.233000000000001</v>
      </c>
      <c r="W178" s="22" t="n">
        <v>5</v>
      </c>
      <c r="X178" s="22" t="n">
        <v>0</v>
      </c>
    </row>
    <row r="179">
      <c r="A179" s="20" t="inlineStr">
        <is>
          <t>보험금 수취</t>
        </is>
      </c>
      <c r="D179" s="22" t="n">
        <v>10.147</v>
      </c>
      <c r="U179" s="22" t="n">
        <v>0</v>
      </c>
      <c r="V179" s="22" t="n">
        <v>10.147</v>
      </c>
    </row>
    <row r="180">
      <c r="A180" s="20" t="inlineStr">
        <is>
          <t>특별 퇴직금 등 지급액</t>
        </is>
      </c>
      <c r="D180" s="22" t="n">
        <v>-34.158</v>
      </c>
      <c r="U180" s="22" t="n">
        <v>0</v>
      </c>
      <c r="V180" s="22" t="n">
        <v>-34.158</v>
      </c>
    </row>
    <row r="181">
      <c r="A181" s="20" t="inlineStr">
        <is>
          <t>설비부담금 수령액</t>
        </is>
      </c>
      <c r="H181" s="22" t="n">
        <v>0</v>
      </c>
      <c r="L181" s="22" t="n">
        <v>153.177</v>
      </c>
      <c r="W181" s="22" t="n">
        <v>0</v>
      </c>
      <c r="X181" s="22" t="n">
        <v>153.177</v>
      </c>
    </row>
    <row r="182">
      <c r="A182" s="20" t="inlineStr">
        <is>
          <t>보전금 수취</t>
        </is>
      </c>
      <c r="J182" s="22" t="n">
        <v>0</v>
      </c>
      <c r="N182" s="22" t="n">
        <v>400</v>
      </c>
    </row>
    <row r="183">
      <c r="A183" s="9" t="inlineStr">
        <is>
          <t>영업활동 현금흐름</t>
        </is>
      </c>
      <c r="D183" s="12" t="n">
        <v>530.271</v>
      </c>
      <c r="F183" s="12" t="n">
        <v>30.049</v>
      </c>
      <c r="H183" s="12" t="n">
        <v>340.986</v>
      </c>
      <c r="J183" s="12" t="n">
        <v>796.499</v>
      </c>
      <c r="L183" s="12" t="n">
        <v>1489.532</v>
      </c>
      <c r="N183" s="12" t="n">
        <v>1546.938</v>
      </c>
      <c r="O183" s="12" t="n">
        <v>369.525</v>
      </c>
      <c r="P183" s="12" t="n">
        <v>1881.217</v>
      </c>
      <c r="Q183" s="12" t="n">
        <v>1302.2</v>
      </c>
      <c r="R183" s="12" t="n">
        <v>1464.495</v>
      </c>
      <c r="S183" s="12" t="n">
        <v>-411.818</v>
      </c>
      <c r="T183" s="12" t="n">
        <v>-594.864</v>
      </c>
      <c r="U183" s="12" t="n">
        <v>279.419</v>
      </c>
      <c r="V183" s="12" t="n">
        <v>530.271</v>
      </c>
      <c r="W183" s="12" t="n">
        <v>340.986</v>
      </c>
      <c r="X183" s="12" t="n">
        <v>1489.532</v>
      </c>
    </row>
    <row r="184">
      <c r="A184" s="20" t="inlineStr">
        <is>
          <t>정기예금 순증감</t>
        </is>
      </c>
      <c r="D184" s="22" t="n">
        <v>324.44</v>
      </c>
      <c r="F184" s="22" t="n">
        <v>402.039</v>
      </c>
      <c r="H184" s="22" t="n">
        <v>876.83</v>
      </c>
      <c r="J184" s="22" t="n">
        <v>0</v>
      </c>
      <c r="L184" s="22" t="n">
        <v>894.329</v>
      </c>
      <c r="N184" s="22" t="n">
        <v>-1429.761</v>
      </c>
      <c r="O184" s="22" t="n">
        <v>50</v>
      </c>
      <c r="P184" s="22" t="n">
        <v>8</v>
      </c>
      <c r="Q184" s="22" t="n">
        <v>-126</v>
      </c>
      <c r="R184" s="22" t="n">
        <v>0</v>
      </c>
      <c r="S184" s="22" t="n">
        <v>0</v>
      </c>
      <c r="T184" s="22" t="n">
        <v>-631.37</v>
      </c>
      <c r="U184" s="22" t="n">
        <v>-386.19</v>
      </c>
      <c r="V184" s="22" t="n">
        <v>324.44</v>
      </c>
      <c r="W184" s="22" t="n">
        <v>876.83</v>
      </c>
      <c r="X184" s="22" t="n">
        <v>894.329</v>
      </c>
    </row>
    <row r="185">
      <c r="A185" s="20" t="inlineStr">
        <is>
          <t>유형자산 취득(설비투자)</t>
        </is>
      </c>
      <c r="D185" s="22" t="n">
        <v>-340.396</v>
      </c>
      <c r="F185" s="22" t="n">
        <v>-96.798</v>
      </c>
      <c r="H185" s="22" t="n">
        <v>-171.044</v>
      </c>
      <c r="J185" s="22" t="n">
        <v>-93.193</v>
      </c>
      <c r="L185" s="22" t="n">
        <v>-506.414</v>
      </c>
      <c r="N185" s="22" t="n">
        <v>-48.753</v>
      </c>
      <c r="O185" s="22" t="n">
        <v>-200.579</v>
      </c>
      <c r="P185" s="22" t="n">
        <v>-106.782</v>
      </c>
      <c r="Q185" s="22" t="n">
        <v>-140.523</v>
      </c>
      <c r="R185" s="22" t="n">
        <v>-727.019</v>
      </c>
      <c r="S185" s="22" t="n">
        <v>-192.954</v>
      </c>
      <c r="T185" s="22" t="n">
        <v>-344.132</v>
      </c>
      <c r="U185" s="22" t="n">
        <v>-489.696</v>
      </c>
      <c r="V185" s="22" t="n">
        <v>-340.396</v>
      </c>
      <c r="W185" s="22" t="n">
        <v>-171.044</v>
      </c>
      <c r="X185" s="22" t="n">
        <v>-506.414</v>
      </c>
    </row>
    <row r="186">
      <c r="A186" s="20" t="inlineStr">
        <is>
          <t>무형자산 취득</t>
        </is>
      </c>
      <c r="D186" s="22" t="n">
        <v>-140.116</v>
      </c>
      <c r="F186" s="22" t="n">
        <v>-5.12</v>
      </c>
      <c r="H186" s="22" t="n">
        <v>-16.584</v>
      </c>
      <c r="J186" s="22" t="n">
        <v>0</v>
      </c>
      <c r="L186" s="22" t="n">
        <v>-4.88</v>
      </c>
      <c r="N186" s="22" t="n">
        <v>-1.32</v>
      </c>
      <c r="O186" s="22" t="n">
        <v>-97.214</v>
      </c>
      <c r="P186" s="22" t="n">
        <v>-52.796</v>
      </c>
      <c r="Q186" s="22" t="n">
        <v>-27.02</v>
      </c>
      <c r="R186" s="22" t="n">
        <v>-34.412</v>
      </c>
      <c r="S186" s="22" t="n">
        <v>-61.327</v>
      </c>
      <c r="T186" s="22" t="n">
        <v>-83.56699999999999</v>
      </c>
      <c r="U186" s="22" t="n">
        <v>-127.674</v>
      </c>
      <c r="V186" s="22" t="n">
        <v>-140.116</v>
      </c>
      <c r="W186" s="22" t="n">
        <v>-16.584</v>
      </c>
      <c r="X186" s="22" t="n">
        <v>-4.88</v>
      </c>
    </row>
    <row r="187">
      <c r="A187" s="20" t="inlineStr">
        <is>
          <t>유형자산 매각</t>
        </is>
      </c>
      <c r="D187" s="22" t="n">
        <v>0.104</v>
      </c>
      <c r="F187" s="22" t="n">
        <v>0.389</v>
      </c>
      <c r="H187" s="22" t="n">
        <v>0.606</v>
      </c>
      <c r="J187" s="22" t="n">
        <v>0.874</v>
      </c>
      <c r="L187" s="22" t="n">
        <v>0</v>
      </c>
      <c r="N187" s="22" t="n">
        <v>0.022</v>
      </c>
      <c r="O187" s="22" t="n">
        <v>0</v>
      </c>
      <c r="P187" s="22" t="n">
        <v>0.004</v>
      </c>
      <c r="Q187" s="22" t="n">
        <v>0</v>
      </c>
      <c r="R187" s="22" t="n">
        <v>0.043</v>
      </c>
      <c r="S187" s="22" t="n">
        <v>0.311</v>
      </c>
      <c r="T187" s="22" t="n">
        <v>0.159</v>
      </c>
      <c r="U187" s="22" t="n">
        <v>262.736</v>
      </c>
      <c r="V187" s="22" t="n">
        <v>0.104</v>
      </c>
      <c r="W187" s="22" t="n">
        <v>0.606</v>
      </c>
      <c r="X187" s="22" t="n">
        <v>0</v>
      </c>
    </row>
    <row r="188">
      <c r="A188" s="20" t="inlineStr">
        <is>
          <t>투자유가증권 취득</t>
        </is>
      </c>
      <c r="D188" s="22" t="n">
        <v>-8.052</v>
      </c>
      <c r="F188" s="22" t="n">
        <v>-4.491</v>
      </c>
      <c r="H188" s="22" t="n">
        <v>-10.756</v>
      </c>
      <c r="J188" s="22" t="n">
        <v>-8.757</v>
      </c>
      <c r="L188" s="22" t="n">
        <v>-14.127</v>
      </c>
      <c r="N188" s="22" t="n">
        <v>-5.584</v>
      </c>
      <c r="O188" s="22" t="n">
        <v>-4.811</v>
      </c>
      <c r="P188" s="22" t="n">
        <v>-17.182</v>
      </c>
      <c r="Q188" s="22" t="n">
        <v>-151.961</v>
      </c>
      <c r="R188" s="22" t="n">
        <v>-241.855</v>
      </c>
      <c r="S188" s="22" t="n">
        <v>-16.991</v>
      </c>
      <c r="T188" s="22" t="n">
        <v>-12.996</v>
      </c>
      <c r="U188" s="22" t="n">
        <v>-7.232</v>
      </c>
      <c r="V188" s="22" t="n">
        <v>-8.052</v>
      </c>
      <c r="W188" s="22" t="n">
        <v>-10.756</v>
      </c>
      <c r="X188" s="22" t="n">
        <v>-14.127</v>
      </c>
    </row>
    <row r="189">
      <c r="A189" s="20" t="inlineStr">
        <is>
          <t>투자유가증권 매각</t>
        </is>
      </c>
      <c r="D189" s="22" t="n">
        <v>119.525</v>
      </c>
      <c r="F189" s="22" t="n">
        <v>483.014</v>
      </c>
      <c r="H189" s="22" t="n">
        <v>594.38</v>
      </c>
      <c r="J189" s="22" t="n">
        <v>0</v>
      </c>
      <c r="L189" s="22" t="n">
        <v>0</v>
      </c>
      <c r="O189" s="22" t="n">
        <v>0</v>
      </c>
      <c r="P189" s="22" t="n">
        <v>0</v>
      </c>
      <c r="Q189" s="22" t="n">
        <v>15.596</v>
      </c>
      <c r="R189" s="22" t="n">
        <v>0</v>
      </c>
      <c r="S189" s="22" t="n">
        <v>28.886</v>
      </c>
      <c r="T189" s="22" t="n">
        <v>244.892</v>
      </c>
      <c r="U189" s="22" t="n">
        <v>54.758</v>
      </c>
      <c r="V189" s="22" t="n">
        <v>119.525</v>
      </c>
      <c r="W189" s="22" t="n">
        <v>594.38</v>
      </c>
      <c r="X189" s="22" t="n">
        <v>0</v>
      </c>
    </row>
    <row r="190">
      <c r="A190" s="20" t="inlineStr">
        <is>
          <t>연결범위 변경 자회사 주식 취득(수입)</t>
        </is>
      </c>
      <c r="O190" s="22" t="n">
        <v>0</v>
      </c>
      <c r="P190" s="22" t="n">
        <v>330.613</v>
      </c>
      <c r="Q190" s="22" t="n">
        <v>0</v>
      </c>
    </row>
    <row r="191">
      <c r="A191" s="20" t="inlineStr">
        <is>
          <t>관계회사 주식 취득</t>
        </is>
      </c>
      <c r="Q191" s="22" t="n">
        <v>0</v>
      </c>
      <c r="R191" s="22" t="n">
        <v>-20.539</v>
      </c>
      <c r="S191" s="22" t="n">
        <v>0</v>
      </c>
    </row>
    <row r="192">
      <c r="A192" s="20" t="inlineStr">
        <is>
          <t>자산복구부채 이행 지출</t>
        </is>
      </c>
      <c r="D192" s="22" t="n">
        <v>0</v>
      </c>
      <c r="S192" s="22" t="n">
        <v>0</v>
      </c>
      <c r="T192" s="22" t="n">
        <v>-2.2</v>
      </c>
      <c r="U192" s="22" t="n">
        <v>-4.235</v>
      </c>
      <c r="V192" s="22" t="n">
        <v>0</v>
      </c>
    </row>
    <row r="193">
      <c r="A193" s="20" t="inlineStr">
        <is>
          <t>기타</t>
        </is>
      </c>
      <c r="H193" s="22" t="n">
        <v>7.777</v>
      </c>
      <c r="L193" s="22" t="n">
        <v>-0.01</v>
      </c>
      <c r="W193" s="22" t="n">
        <v>7.777</v>
      </c>
      <c r="X193" s="22" t="n">
        <v>-0.01</v>
      </c>
    </row>
    <row r="194">
      <c r="A194" s="20" t="inlineStr">
        <is>
          <t>기타 지출</t>
        </is>
      </c>
      <c r="D194" s="22" t="n">
        <v>-0.819</v>
      </c>
      <c r="F194" s="22" t="n">
        <v>-2.58</v>
      </c>
      <c r="J194" s="22" t="n">
        <v>-0.21</v>
      </c>
      <c r="N194" s="22" t="n">
        <v>-2.649</v>
      </c>
      <c r="O194" s="22" t="n">
        <v>-4.439</v>
      </c>
      <c r="P194" s="22" t="n">
        <v>-9.795999999999999</v>
      </c>
      <c r="Q194" s="22" t="n">
        <v>-10.089</v>
      </c>
      <c r="R194" s="22" t="n">
        <v>-5.651</v>
      </c>
      <c r="S194" s="22" t="n">
        <v>-4.212</v>
      </c>
      <c r="T194" s="22" t="n">
        <v>-5.722</v>
      </c>
      <c r="U194" s="22" t="n">
        <v>-7.248</v>
      </c>
      <c r="V194" s="22" t="n">
        <v>-0.819</v>
      </c>
    </row>
    <row r="195">
      <c r="A195" s="20" t="inlineStr">
        <is>
          <t>기타 수입</t>
        </is>
      </c>
      <c r="D195" s="22" t="n">
        <v>0.323</v>
      </c>
      <c r="F195" s="22" t="n">
        <v>0.175</v>
      </c>
      <c r="J195" s="22" t="n">
        <v>0.099</v>
      </c>
      <c r="N195" s="22" t="n">
        <v>0.296</v>
      </c>
      <c r="O195" s="22" t="n">
        <v>3.085</v>
      </c>
      <c r="P195" s="22" t="n">
        <v>13.101</v>
      </c>
      <c r="Q195" s="22" t="n">
        <v>56.722</v>
      </c>
      <c r="R195" s="22" t="n">
        <v>7.234</v>
      </c>
      <c r="S195" s="22" t="n">
        <v>8.452</v>
      </c>
      <c r="T195" s="22" t="n">
        <v>2.801</v>
      </c>
      <c r="U195" s="22" t="n">
        <v>3.869</v>
      </c>
      <c r="V195" s="22" t="n">
        <v>0.323</v>
      </c>
    </row>
    <row r="196">
      <c r="A196" s="9" t="inlineStr">
        <is>
          <t>투자활동 현금흐름</t>
        </is>
      </c>
      <c r="D196" s="12" t="n">
        <v>-44.992</v>
      </c>
      <c r="F196" s="12" t="n">
        <v>776.628</v>
      </c>
      <c r="H196" s="12" t="n">
        <v>1281.209</v>
      </c>
      <c r="J196" s="12" t="n">
        <v>-101.187</v>
      </c>
      <c r="L196" s="12" t="n">
        <v>368.897</v>
      </c>
      <c r="N196" s="12" t="n">
        <v>-1487.75</v>
      </c>
      <c r="O196" s="12" t="n">
        <v>-253.959</v>
      </c>
      <c r="P196" s="12" t="n">
        <v>165.16</v>
      </c>
      <c r="Q196" s="12" t="n">
        <v>-383.275</v>
      </c>
      <c r="R196" s="12" t="n">
        <v>-1022.201</v>
      </c>
      <c r="S196" s="12" t="n">
        <v>-237.835</v>
      </c>
      <c r="T196" s="12" t="n">
        <v>-832.136</v>
      </c>
      <c r="U196" s="12" t="n">
        <v>-700.9109999999999</v>
      </c>
      <c r="V196" s="12" t="n">
        <v>-44.992</v>
      </c>
      <c r="W196" s="12" t="n">
        <v>1281.209</v>
      </c>
      <c r="X196" s="12" t="n">
        <v>368.897</v>
      </c>
    </row>
    <row r="197">
      <c r="A197" s="20" t="inlineStr">
        <is>
          <t>단기차입금 증감</t>
        </is>
      </c>
      <c r="O197" s="22" t="n">
        <v>-50</v>
      </c>
      <c r="P197" s="22" t="n">
        <v>-330</v>
      </c>
      <c r="Q197" s="22" t="n">
        <v>-300</v>
      </c>
      <c r="R197" s="22" t="n">
        <v>0</v>
      </c>
    </row>
    <row r="198">
      <c r="A198" s="20" t="inlineStr">
        <is>
          <t>장기차입</t>
        </is>
      </c>
      <c r="D198" s="22" t="n">
        <v>111.864</v>
      </c>
      <c r="O198" s="22" t="n">
        <v>200</v>
      </c>
      <c r="P198" s="22" t="n">
        <v>0</v>
      </c>
      <c r="Q198" s="22" t="n">
        <v>420</v>
      </c>
      <c r="R198" s="22" t="n">
        <v>400</v>
      </c>
      <c r="S198" s="22" t="n">
        <v>1100</v>
      </c>
      <c r="T198" s="22" t="n">
        <v>0</v>
      </c>
      <c r="U198" s="22" t="n">
        <v>200</v>
      </c>
      <c r="V198" s="22" t="n">
        <v>111.864</v>
      </c>
    </row>
    <row r="199">
      <c r="A199" s="20" t="inlineStr">
        <is>
          <t>장기차입금 상환</t>
        </is>
      </c>
      <c r="D199" s="22" t="n">
        <v>-220</v>
      </c>
      <c r="F199" s="22" t="n">
        <v>-10</v>
      </c>
      <c r="H199" s="22" t="n">
        <v>-210</v>
      </c>
      <c r="J199" s="22" t="n">
        <v>-800</v>
      </c>
      <c r="L199" s="22" t="n">
        <v>-1111.911</v>
      </c>
      <c r="N199" s="22" t="n">
        <v>0</v>
      </c>
      <c r="O199" s="22" t="n">
        <v>-6.6</v>
      </c>
      <c r="P199" s="22" t="n">
        <v>-70.54000000000001</v>
      </c>
      <c r="Q199" s="22" t="n">
        <v>-527.297</v>
      </c>
      <c r="R199" s="22" t="n">
        <v>-483.2</v>
      </c>
      <c r="S199" s="22" t="n">
        <v>-366.8</v>
      </c>
      <c r="T199" s="22" t="n">
        <v>-320</v>
      </c>
      <c r="U199" s="22" t="n">
        <v>-320</v>
      </c>
      <c r="V199" s="22" t="n">
        <v>-220</v>
      </c>
      <c r="W199" s="22" t="n">
        <v>-210</v>
      </c>
      <c r="X199" s="22" t="n">
        <v>-1111.911</v>
      </c>
    </row>
    <row r="200">
      <c r="A200" s="20" t="inlineStr">
        <is>
          <t>사채 발행</t>
        </is>
      </c>
      <c r="Q200" s="22" t="n">
        <v>0</v>
      </c>
      <c r="R200" s="22" t="n">
        <v>395.665</v>
      </c>
      <c r="S200" s="22" t="n">
        <v>0</v>
      </c>
    </row>
    <row r="201">
      <c r="A201" s="20" t="inlineStr">
        <is>
          <t>사채 상환</t>
        </is>
      </c>
      <c r="D201" s="22" t="n">
        <v>0</v>
      </c>
      <c r="F201" s="22" t="n">
        <v>-300</v>
      </c>
      <c r="H201" s="22" t="n">
        <v>-300</v>
      </c>
      <c r="J201" s="22" t="n">
        <v>0</v>
      </c>
      <c r="L201" s="22" t="n">
        <v>0</v>
      </c>
      <c r="O201" s="22" t="n">
        <v>0</v>
      </c>
      <c r="P201" s="22" t="n">
        <v>-20</v>
      </c>
      <c r="Q201" s="22" t="n">
        <v>-120</v>
      </c>
      <c r="R201" s="22" t="n">
        <v>-20</v>
      </c>
      <c r="S201" s="22" t="n">
        <v>-20</v>
      </c>
      <c r="T201" s="22" t="n">
        <v>-10</v>
      </c>
      <c r="U201" s="22" t="n">
        <v>-100</v>
      </c>
      <c r="V201" s="22" t="n">
        <v>0</v>
      </c>
      <c r="W201" s="22" t="n">
        <v>-300</v>
      </c>
      <c r="X201" s="22" t="n">
        <v>0</v>
      </c>
    </row>
    <row r="202">
      <c r="A202" s="20" t="inlineStr">
        <is>
          <t>리스부채 상환</t>
        </is>
      </c>
      <c r="D202" s="22" t="n">
        <v>0</v>
      </c>
      <c r="F202" s="22" t="n">
        <v>-0.343</v>
      </c>
      <c r="H202" s="22" t="n">
        <v>-1.446</v>
      </c>
      <c r="J202" s="22" t="n">
        <v>-2.088</v>
      </c>
      <c r="L202" s="22" t="n">
        <v>-2.922</v>
      </c>
      <c r="N202" s="22" t="n">
        <v>-1.488</v>
      </c>
      <c r="O202" s="22" t="n">
        <v>-19.288</v>
      </c>
      <c r="P202" s="22" t="n">
        <v>-15.554</v>
      </c>
      <c r="Q202" s="22" t="n">
        <v>-5.743</v>
      </c>
      <c r="R202" s="22" t="n">
        <v>-4.058</v>
      </c>
      <c r="S202" s="22" t="n">
        <v>-1.01</v>
      </c>
      <c r="T202" s="22" t="n">
        <v>-0.763</v>
      </c>
      <c r="U202" s="22" t="n">
        <v>-0.254</v>
      </c>
      <c r="V202" s="22" t="n">
        <v>0</v>
      </c>
      <c r="W202" s="22" t="n">
        <v>-1.446</v>
      </c>
      <c r="X202" s="22" t="n">
        <v>-2.922</v>
      </c>
    </row>
    <row r="203">
      <c r="A203" s="20" t="inlineStr">
        <is>
          <t>비지배주주 배당금 지급</t>
        </is>
      </c>
      <c r="D203" s="22" t="n">
        <v>-31.6</v>
      </c>
      <c r="F203" s="22" t="n">
        <v>0</v>
      </c>
      <c r="R203" s="22" t="n">
        <v>0</v>
      </c>
      <c r="S203" s="22" t="n">
        <v>-16.8</v>
      </c>
      <c r="T203" s="22" t="n">
        <v>-38.8</v>
      </c>
      <c r="U203" s="22" t="n">
        <v>-109.599</v>
      </c>
      <c r="V203" s="22" t="n">
        <v>-31.6</v>
      </c>
    </row>
    <row r="204">
      <c r="A204" s="20" t="inlineStr">
        <is>
          <t>신주예약권 행사에 따른 주식 발행</t>
        </is>
      </c>
      <c r="P204" s="22" t="n">
        <v>0</v>
      </c>
      <c r="Q204" s="22" t="n">
        <v>755.951</v>
      </c>
      <c r="R204" s="22" t="n">
        <v>88.468</v>
      </c>
      <c r="S204" s="22" t="n">
        <v>542.901</v>
      </c>
      <c r="T204" s="22" t="n">
        <v>0</v>
      </c>
    </row>
    <row r="205">
      <c r="A205" s="20" t="inlineStr">
        <is>
          <t>자기주식 취득</t>
        </is>
      </c>
      <c r="J205" s="22" t="n">
        <v>0</v>
      </c>
      <c r="N205" s="22" t="n">
        <v>-0.067</v>
      </c>
      <c r="O205" s="22" t="n">
        <v>-0.031</v>
      </c>
      <c r="P205" s="22" t="n">
        <v>-0.205</v>
      </c>
      <c r="Q205" s="22" t="n">
        <v>-0.292</v>
      </c>
      <c r="R205" s="22" t="n">
        <v>-0.322</v>
      </c>
      <c r="S205" s="22" t="n">
        <v>0</v>
      </c>
      <c r="T205" s="22" t="n">
        <v>-0.343</v>
      </c>
      <c r="U205" s="22" t="n">
        <v>0</v>
      </c>
    </row>
    <row r="206">
      <c r="A206" s="20" t="inlineStr">
        <is>
          <t>연결범위 변경 없는 자회사 주식 취득</t>
        </is>
      </c>
      <c r="O206" s="22" t="n">
        <v>0</v>
      </c>
    </row>
    <row r="207">
      <c r="A207" s="20" t="inlineStr">
        <is>
          <t>비지배주주 납입</t>
        </is>
      </c>
      <c r="Q207" s="22" t="n">
        <v>0</v>
      </c>
      <c r="R207" s="22" t="n">
        <v>1400</v>
      </c>
      <c r="S207" s="22" t="n">
        <v>0</v>
      </c>
    </row>
    <row r="208">
      <c r="A208" s="20" t="inlineStr">
        <is>
          <t>신주예약권 발행</t>
        </is>
      </c>
      <c r="P208" s="22" t="n">
        <v>0</v>
      </c>
      <c r="Q208" s="22" t="n">
        <v>7.007</v>
      </c>
      <c r="R208" s="22" t="n">
        <v>0</v>
      </c>
    </row>
    <row r="209">
      <c r="A209" s="20" t="inlineStr">
        <is>
          <t>배당금 지급</t>
        </is>
      </c>
      <c r="D209" s="22" t="n">
        <v>-209.694</v>
      </c>
      <c r="F209" s="22" t="n">
        <v>-222.627</v>
      </c>
      <c r="H209" s="22" t="n">
        <v>-224.387</v>
      </c>
      <c r="J209" s="22" t="n">
        <v>-224.083</v>
      </c>
      <c r="L209" s="22" t="n">
        <v>-224.36</v>
      </c>
      <c r="N209" s="22" t="n">
        <v>-252.121</v>
      </c>
      <c r="O209" s="22" t="n">
        <v>-125.473</v>
      </c>
      <c r="P209" s="22" t="n">
        <v>-125.8</v>
      </c>
      <c r="Q209" s="22" t="n">
        <v>-156.736</v>
      </c>
      <c r="R209" s="22" t="n">
        <v>-233.887</v>
      </c>
      <c r="S209" s="22" t="n">
        <v>-201.048</v>
      </c>
      <c r="T209" s="22" t="n">
        <v>-210.963</v>
      </c>
      <c r="U209" s="22" t="n">
        <v>-210.861</v>
      </c>
      <c r="V209" s="22" t="n">
        <v>-209.694</v>
      </c>
      <c r="W209" s="22" t="n">
        <v>-224.387</v>
      </c>
      <c r="X209" s="22" t="n">
        <v>-224.36</v>
      </c>
    </row>
    <row r="210">
      <c r="A210" s="20" t="inlineStr">
        <is>
          <t>비지배주주 분배금 지급액</t>
        </is>
      </c>
      <c r="J210" s="22" t="n">
        <v>0</v>
      </c>
      <c r="N210" s="22" t="n">
        <v>-994.694</v>
      </c>
    </row>
    <row r="211">
      <c r="A211" s="9" t="inlineStr">
        <is>
          <t>재무활동 현금흐름</t>
        </is>
      </c>
      <c r="D211" s="12" t="n">
        <v>-349.43</v>
      </c>
      <c r="F211" s="12" t="n">
        <v>-532.971</v>
      </c>
      <c r="H211" s="12" t="n">
        <v>-735.8339999999999</v>
      </c>
      <c r="J211" s="12" t="n">
        <v>-1026.172</v>
      </c>
      <c r="L211" s="12" t="n">
        <v>-1339.193</v>
      </c>
      <c r="N211" s="12" t="n">
        <v>-1248.371</v>
      </c>
      <c r="O211" s="12" t="n">
        <v>-1.393</v>
      </c>
      <c r="P211" s="12" t="n">
        <v>-562.1</v>
      </c>
      <c r="Q211" s="12" t="n">
        <v>72.89</v>
      </c>
      <c r="R211" s="12" t="n">
        <v>1542.665</v>
      </c>
      <c r="S211" s="12" t="n">
        <v>1037.242</v>
      </c>
      <c r="T211" s="12" t="n">
        <v>-580.871</v>
      </c>
      <c r="U211" s="12" t="n">
        <v>-540.716</v>
      </c>
      <c r="V211" s="12" t="n">
        <v>-349.43</v>
      </c>
      <c r="W211" s="12" t="n">
        <v>-735.8339999999999</v>
      </c>
      <c r="X211" s="12" t="n">
        <v>-1339.193</v>
      </c>
    </row>
    <row r="212">
      <c r="A212" s="20" t="inlineStr">
        <is>
          <t>현금성자산 증감</t>
        </is>
      </c>
      <c r="D212" s="22" t="n">
        <v>135.848</v>
      </c>
      <c r="F212" s="22" t="n">
        <v>273.706</v>
      </c>
      <c r="H212" s="22" t="n">
        <v>886.361</v>
      </c>
      <c r="J212" s="22" t="n">
        <v>-330.86</v>
      </c>
      <c r="L212" s="22" t="n">
        <v>519.235</v>
      </c>
      <c r="N212" s="22" t="n">
        <v>-1189.183</v>
      </c>
      <c r="O212" s="22" t="n">
        <v>114.171</v>
      </c>
      <c r="P212" s="22" t="n">
        <v>1484.278</v>
      </c>
      <c r="Q212" s="22" t="n">
        <v>991.814</v>
      </c>
      <c r="R212" s="22" t="n">
        <v>1984.959</v>
      </c>
      <c r="S212" s="22" t="n">
        <v>387.588</v>
      </c>
      <c r="T212" s="22" t="n">
        <v>-2007.872</v>
      </c>
      <c r="U212" s="22" t="n">
        <v>-962.208</v>
      </c>
      <c r="V212" s="22" t="n">
        <v>135.848</v>
      </c>
      <c r="W212" s="22" t="n">
        <v>886.361</v>
      </c>
      <c r="X212" s="22" t="n">
        <v>519.235</v>
      </c>
    </row>
    <row r="213">
      <c r="A213" s="20" t="inlineStr">
        <is>
          <t>비연결 자회사 합병에 따른 현금성자산 증가</t>
        </is>
      </c>
      <c r="F213" s="22" t="n">
        <v>94.58799999999999</v>
      </c>
      <c r="H213" s="22" t="n">
        <v>94.58799999999999</v>
      </c>
      <c r="J213" s="22" t="n">
        <v>0</v>
      </c>
      <c r="L213" s="22" t="n">
        <v>0</v>
      </c>
      <c r="W213" s="22" t="n">
        <v>94.58799999999999</v>
      </c>
      <c r="X213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6864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11045.479</v>
      </c>
      <c r="D5" s="12" t="n">
        <v>11481.492</v>
      </c>
      <c r="E5" s="12" t="n">
        <v>11933.859</v>
      </c>
      <c r="F5" s="12" t="n">
        <v>10397.231</v>
      </c>
      <c r="G5" s="12" t="n">
        <v>10816.338</v>
      </c>
      <c r="H5" s="11" t="n">
        <v>13893.791</v>
      </c>
      <c r="I5" s="12" t="n">
        <v>13538.153</v>
      </c>
      <c r="J5" s="12" t="n">
        <v>13237.82</v>
      </c>
      <c r="K5" s="12" t="n">
        <v>12879.221</v>
      </c>
      <c r="L5" s="12" t="n">
        <v>11933.859</v>
      </c>
    </row>
    <row r="6">
      <c r="A6" s="20" t="inlineStr">
        <is>
          <t>현금및현금성자산</t>
        </is>
      </c>
      <c r="B6" s="10" t="n"/>
      <c r="C6" s="21" t="n">
        <v>5114.479</v>
      </c>
      <c r="D6" s="22" t="n">
        <v>5123.881</v>
      </c>
      <c r="E6" s="22" t="n">
        <v>5070.245</v>
      </c>
      <c r="F6" s="22" t="n">
        <v>5063.605</v>
      </c>
      <c r="G6" s="22" t="n">
        <v>5310.823</v>
      </c>
      <c r="H6" s="21" t="n">
        <v>6105.831</v>
      </c>
      <c r="I6" s="22" t="n">
        <v>5529.812</v>
      </c>
      <c r="J6" s="22" t="n">
        <v>5341.22</v>
      </c>
      <c r="K6" s="22" t="n">
        <v>5445.339</v>
      </c>
      <c r="L6" s="22" t="n">
        <v>5070.245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1531.606</v>
      </c>
      <c r="D8" s="22" t="n">
        <v>1754.445</v>
      </c>
      <c r="E8" s="22" t="n">
        <v>2868.256</v>
      </c>
      <c r="F8" s="22" t="n">
        <v>1476.901</v>
      </c>
      <c r="G8" s="22" t="n">
        <v>1844.257</v>
      </c>
      <c r="H8" s="21" t="n">
        <v>2674.983</v>
      </c>
      <c r="I8" s="22" t="n">
        <v>2573.652</v>
      </c>
      <c r="J8" s="22" t="n">
        <v>2503.875</v>
      </c>
      <c r="K8" s="22" t="n">
        <v>2257.025</v>
      </c>
      <c r="L8" s="22" t="n">
        <v>2868.256</v>
      </c>
    </row>
    <row r="9">
      <c r="A9" s="20" t="inlineStr">
        <is>
          <t>재고자산</t>
        </is>
      </c>
      <c r="B9" s="10" t="n"/>
      <c r="C9" s="21" t="n">
        <v>3246.922</v>
      </c>
      <c r="D9" s="22" t="n">
        <v>3224.876</v>
      </c>
      <c r="E9" s="22" t="n">
        <v>2799.07</v>
      </c>
      <c r="F9" s="22" t="n">
        <v>3118.314</v>
      </c>
      <c r="G9" s="22" t="n">
        <v>2979.483</v>
      </c>
      <c r="H9" s="21" t="n">
        <v>4207.492</v>
      </c>
      <c r="I9" s="22" t="n">
        <v>4449.324</v>
      </c>
      <c r="J9" s="22" t="n">
        <v>4389.8</v>
      </c>
      <c r="K9" s="22" t="n">
        <v>3808.57</v>
      </c>
      <c r="L9" s="22" t="n">
        <v>2799.07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4336.454</v>
      </c>
      <c r="D11" s="12" t="n">
        <v>4379.978</v>
      </c>
      <c r="E11" s="12" t="n">
        <v>4580.642</v>
      </c>
      <c r="F11" s="12" t="n">
        <v>4566.094</v>
      </c>
      <c r="G11" s="12" t="n">
        <v>4473.545</v>
      </c>
      <c r="H11" s="11" t="n">
        <v>4743.257</v>
      </c>
      <c r="I11" s="12" t="n">
        <v>5289.805</v>
      </c>
      <c r="J11" s="12" t="n">
        <v>5389.564</v>
      </c>
      <c r="K11" s="12" t="n">
        <v>4442.3</v>
      </c>
      <c r="L11" s="12" t="n">
        <v>4580.642</v>
      </c>
    </row>
    <row r="12">
      <c r="A12" s="20" t="inlineStr">
        <is>
          <t>유형자산</t>
        </is>
      </c>
      <c r="B12" s="10" t="n"/>
      <c r="C12" s="21" t="n">
        <v>3651.473</v>
      </c>
      <c r="D12" s="22" t="n">
        <v>3738.826</v>
      </c>
      <c r="E12" s="22" t="n">
        <v>3842.102</v>
      </c>
      <c r="F12" s="22" t="n">
        <v>3802.133</v>
      </c>
      <c r="G12" s="22" t="n">
        <v>3778.629</v>
      </c>
      <c r="H12" s="21" t="n">
        <v>3603.518</v>
      </c>
      <c r="I12" s="22" t="n">
        <v>3920.485</v>
      </c>
      <c r="J12" s="22" t="n">
        <v>3817.532</v>
      </c>
      <c r="K12" s="22" t="n">
        <v>3672.408</v>
      </c>
      <c r="L12" s="22" t="n">
        <v>3842.102</v>
      </c>
    </row>
    <row r="13">
      <c r="A13" s="20" t="inlineStr">
        <is>
          <t>무형자산</t>
        </is>
      </c>
      <c r="B13" s="10" t="n"/>
      <c r="C13" s="21" t="n">
        <v>149.812</v>
      </c>
      <c r="D13" s="22" t="n">
        <v>127.931</v>
      </c>
      <c r="E13" s="22" t="n">
        <v>106.409</v>
      </c>
      <c r="F13" s="22" t="n">
        <v>83.571</v>
      </c>
      <c r="G13" s="22" t="n">
        <v>61.877</v>
      </c>
      <c r="H13" s="21" t="n">
        <v>132.912</v>
      </c>
      <c r="I13" s="22" t="n">
        <v>207.072</v>
      </c>
      <c r="J13" s="22" t="n">
        <v>295.427</v>
      </c>
      <c r="K13" s="22" t="n">
        <v>199.732</v>
      </c>
      <c r="L13" s="22" t="n">
        <v>106.409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15381.933</v>
      </c>
      <c r="D16" s="12" t="n">
        <v>15861.471</v>
      </c>
      <c r="E16" s="12" t="n">
        <v>16514.501</v>
      </c>
      <c r="F16" s="12" t="n">
        <v>14963.326</v>
      </c>
      <c r="G16" s="12" t="n">
        <v>15289.884</v>
      </c>
      <c r="H16" s="11" t="n">
        <v>18637.048</v>
      </c>
      <c r="I16" s="12" t="n">
        <v>18827.958</v>
      </c>
      <c r="J16" s="12" t="n">
        <v>18627.385</v>
      </c>
      <c r="K16" s="12" t="n">
        <v>17321.521</v>
      </c>
      <c r="L16" s="12" t="n">
        <v>16514.501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1850.328</v>
      </c>
      <c r="D18" s="12" t="n">
        <v>2256.697</v>
      </c>
      <c r="E18" s="12" t="n">
        <v>1946.77</v>
      </c>
      <c r="F18" s="12" t="n">
        <v>1428.678</v>
      </c>
      <c r="G18" s="12" t="n">
        <v>1705.429</v>
      </c>
      <c r="H18" s="11" t="n">
        <v>3164.396</v>
      </c>
      <c r="I18" s="12" t="n">
        <v>3061.786</v>
      </c>
      <c r="J18" s="12" t="n">
        <v>2989.614</v>
      </c>
      <c r="K18" s="12" t="n">
        <v>3174.436</v>
      </c>
      <c r="L18" s="12" t="n">
        <v>1946.77</v>
      </c>
    </row>
    <row r="19">
      <c r="A19" s="20" t="inlineStr">
        <is>
          <t>매입채무</t>
        </is>
      </c>
      <c r="B19" s="10" t="n"/>
      <c r="C19" s="21" t="n">
        <v>240.519</v>
      </c>
      <c r="D19" s="22" t="n">
        <v>280.795</v>
      </c>
      <c r="E19" s="22" t="n">
        <v>359.956</v>
      </c>
      <c r="F19" s="22" t="n">
        <v>373.043</v>
      </c>
      <c r="G19" s="22" t="n">
        <v>320.101</v>
      </c>
      <c r="H19" s="21" t="n">
        <v>661.231</v>
      </c>
      <c r="I19" s="22" t="n">
        <v>516.572</v>
      </c>
      <c r="J19" s="22" t="n">
        <v>433.375</v>
      </c>
      <c r="K19" s="22" t="n">
        <v>284.959</v>
      </c>
      <c r="L19" s="22" t="n">
        <v>359.956</v>
      </c>
    </row>
    <row r="20">
      <c r="A20" s="20" t="inlineStr">
        <is>
          <t>단기차입금</t>
        </is>
      </c>
      <c r="B20" s="10" t="n"/>
      <c r="C20" s="21" t="n">
        <v>311.911</v>
      </c>
      <c r="D20" s="22" t="n">
        <v>600</v>
      </c>
      <c r="E20" s="22" t="n">
        <v>0</v>
      </c>
      <c r="F20" s="22" t="n"/>
      <c r="G20" s="22" t="n">
        <v>200</v>
      </c>
      <c r="H20" s="21" t="n">
        <v>320</v>
      </c>
      <c r="I20" s="22" t="n">
        <v>220</v>
      </c>
      <c r="J20" s="22" t="n">
        <v>210</v>
      </c>
      <c r="K20" s="22" t="n">
        <v>1111.962</v>
      </c>
      <c r="L20" s="22" t="n">
        <v>0</v>
      </c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>
        <v>100</v>
      </c>
      <c r="I21" s="22" t="n">
        <v>0</v>
      </c>
      <c r="J21" s="22" t="n">
        <v>300</v>
      </c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472.759</v>
      </c>
      <c r="D23" s="12" t="n">
        <v>482.059</v>
      </c>
      <c r="E23" s="12" t="n">
        <v>527.567</v>
      </c>
      <c r="F23" s="12" t="n">
        <v>546.927</v>
      </c>
      <c r="G23" s="12" t="n">
        <v>350.461</v>
      </c>
      <c r="H23" s="11" t="n">
        <v>2055.331</v>
      </c>
      <c r="I23" s="12" t="n">
        <v>2049.863</v>
      </c>
      <c r="J23" s="12" t="n">
        <v>1700.414</v>
      </c>
      <c r="K23" s="12" t="n">
        <v>480.311</v>
      </c>
      <c r="L23" s="12" t="n">
        <v>527.567</v>
      </c>
    </row>
    <row r="24">
      <c r="A24" s="20" t="inlineStr">
        <is>
          <t>장기차입금</t>
        </is>
      </c>
      <c r="B24" s="10" t="n"/>
      <c r="C24" s="21" t="n">
        <v>300</v>
      </c>
      <c r="D24" s="22" t="n">
        <v>300</v>
      </c>
      <c r="E24" s="22" t="n">
        <v>300</v>
      </c>
      <c r="F24" s="22" t="n">
        <v>300</v>
      </c>
      <c r="G24" s="22" t="n">
        <v>100</v>
      </c>
      <c r="H24" s="21" t="n">
        <v>1530</v>
      </c>
      <c r="I24" s="22" t="n">
        <v>1510</v>
      </c>
      <c r="J24" s="22" t="n">
        <v>1412.112</v>
      </c>
      <c r="K24" s="22" t="n">
        <v>300</v>
      </c>
      <c r="L24" s="22" t="n">
        <v>300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>
        <v>300</v>
      </c>
      <c r="I25" s="22" t="n">
        <v>300</v>
      </c>
      <c r="J25" s="22" t="n">
        <v>0</v>
      </c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2323.087</v>
      </c>
      <c r="D27" s="12" t="n">
        <v>2738.757</v>
      </c>
      <c r="E27" s="12" t="n">
        <v>2474.337</v>
      </c>
      <c r="F27" s="12" t="n">
        <v>1975.606</v>
      </c>
      <c r="G27" s="12" t="n">
        <v>2055.891</v>
      </c>
      <c r="H27" s="11" t="n">
        <v>5219.727</v>
      </c>
      <c r="I27" s="12" t="n">
        <v>5111.649</v>
      </c>
      <c r="J27" s="12" t="n">
        <v>4690.028</v>
      </c>
      <c r="K27" s="12" t="n">
        <v>3654.748</v>
      </c>
      <c r="L27" s="12" t="n">
        <v>2474.337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12195.507</v>
      </c>
      <c r="D31" s="12" t="n">
        <v>12283.572</v>
      </c>
      <c r="E31" s="12" t="n">
        <v>13034.918</v>
      </c>
      <c r="F31" s="12" t="n">
        <v>12987.719</v>
      </c>
      <c r="G31" s="12" t="n">
        <v>13233.992</v>
      </c>
      <c r="H31" s="11" t="n">
        <v>12035.944</v>
      </c>
      <c r="I31" s="12" t="n">
        <v>12399.318</v>
      </c>
      <c r="J31" s="12" t="n">
        <v>12641.197</v>
      </c>
      <c r="K31" s="12" t="n">
        <v>12563.357</v>
      </c>
      <c r="L31" s="12" t="n">
        <v>13034.918</v>
      </c>
    </row>
    <row r="32">
      <c r="A32" s="20" t="inlineStr">
        <is>
          <t>자본금</t>
        </is>
      </c>
      <c r="B32" s="10" t="n"/>
      <c r="C32" s="21" t="n">
        <v>3317.2</v>
      </c>
      <c r="D32" s="22" t="n">
        <v>3317.2</v>
      </c>
      <c r="E32" s="22" t="n">
        <v>3317.2</v>
      </c>
      <c r="F32" s="22" t="n">
        <v>3317.2</v>
      </c>
      <c r="G32" s="22" t="n">
        <v>3317.2</v>
      </c>
      <c r="H32" s="21" t="n">
        <v>3317.2</v>
      </c>
      <c r="I32" s="22" t="n">
        <v>3317.2</v>
      </c>
      <c r="J32" s="22" t="n">
        <v>3317.2</v>
      </c>
      <c r="K32" s="22" t="n">
        <v>3317.2</v>
      </c>
      <c r="L32" s="22" t="n">
        <v>3317.2</v>
      </c>
    </row>
    <row r="33">
      <c r="A33" s="20" t="inlineStr">
        <is>
          <t>이익잉여금</t>
        </is>
      </c>
      <c r="B33" s="10" t="n"/>
      <c r="C33" s="21" t="n">
        <v>7507.898</v>
      </c>
      <c r="D33" s="22" t="n">
        <v>7581.505</v>
      </c>
      <c r="E33" s="22" t="n">
        <v>8315.751</v>
      </c>
      <c r="F33" s="22" t="n">
        <v>8246.534</v>
      </c>
      <c r="G33" s="22" t="n">
        <v>8484.039000000001</v>
      </c>
      <c r="H33" s="21" t="n">
        <v>7277.498</v>
      </c>
      <c r="I33" s="22" t="n">
        <v>7524.018</v>
      </c>
      <c r="J33" s="22" t="n">
        <v>7637.294</v>
      </c>
      <c r="K33" s="22" t="n">
        <v>7892.712</v>
      </c>
      <c r="L33" s="22" t="n">
        <v>8315.751</v>
      </c>
    </row>
    <row r="34">
      <c r="A34" s="20" t="inlineStr">
        <is>
          <t>비지배지분</t>
        </is>
      </c>
      <c r="B34" s="10" t="n"/>
      <c r="C34" s="21" t="n">
        <v>863.3390000000001</v>
      </c>
      <c r="D34" s="22" t="n">
        <v>839.141</v>
      </c>
      <c r="E34" s="22" t="n">
        <v>1005.245</v>
      </c>
      <c r="F34" s="22" t="n">
        <v>0</v>
      </c>
      <c r="G34" s="22" t="n">
        <v>0</v>
      </c>
      <c r="H34" s="21" t="n">
        <v>1381.376</v>
      </c>
      <c r="I34" s="22" t="n">
        <v>1316.991</v>
      </c>
      <c r="J34" s="22" t="n">
        <v>1296.159</v>
      </c>
      <c r="K34" s="22" t="n">
        <v>1103.416</v>
      </c>
      <c r="L34" s="22" t="n">
        <v>1005.245</v>
      </c>
    </row>
    <row r="35">
      <c r="A35" s="9" t="inlineStr">
        <is>
          <t>자본총계</t>
        </is>
      </c>
      <c r="B35" s="10" t="n"/>
      <c r="C35" s="11" t="n">
        <v>13058.846</v>
      </c>
      <c r="D35" s="12" t="n">
        <v>13122.713</v>
      </c>
      <c r="E35" s="12" t="n">
        <v>14040.163</v>
      </c>
      <c r="F35" s="12" t="n">
        <v>12987.719</v>
      </c>
      <c r="G35" s="12" t="n">
        <v>13233.992</v>
      </c>
      <c r="H35" s="11" t="n">
        <v>13417.32</v>
      </c>
      <c r="I35" s="12" t="n">
        <v>13716.309</v>
      </c>
      <c r="J35" s="12" t="n">
        <v>13937.356</v>
      </c>
      <c r="K35" s="12" t="n">
        <v>13666.773</v>
      </c>
      <c r="L35" s="12" t="n">
        <v>14040.163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1107.436</v>
      </c>
      <c r="D37" s="12" t="n"/>
      <c r="E37" s="12" t="n">
        <v>1489.532</v>
      </c>
      <c r="F37" s="12" t="n"/>
      <c r="G37" s="12" t="n">
        <v>2239.971</v>
      </c>
      <c r="H37" s="11" t="n">
        <v>-594.864</v>
      </c>
      <c r="I37" s="12" t="n">
        <v>279.419</v>
      </c>
      <c r="J37" s="12" t="n">
        <v>530.271</v>
      </c>
      <c r="K37" s="12" t="n">
        <v>340.986</v>
      </c>
      <c r="L37" s="12" t="n">
        <v>1489.532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178.903</v>
      </c>
      <c r="D38" s="22" t="n"/>
      <c r="E38" s="22" t="n">
        <v>511.294</v>
      </c>
      <c r="F38" s="22" t="n"/>
      <c r="G38" s="22" t="n">
        <v>468.174</v>
      </c>
      <c r="H38" s="21" t="n">
        <v>427.699</v>
      </c>
      <c r="I38" s="22" t="n">
        <v>617.37</v>
      </c>
      <c r="J38" s="22" t="n">
        <v>480.512</v>
      </c>
      <c r="K38" s="22" t="n">
        <v>187.628</v>
      </c>
      <c r="L38" s="22" t="n">
        <v>511.294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225.843</v>
      </c>
      <c r="D40" s="22" t="n"/>
      <c r="E40" s="22" t="n">
        <v>224.36</v>
      </c>
      <c r="F40" s="22" t="n"/>
      <c r="G40" s="22" t="n">
        <v>252.398</v>
      </c>
      <c r="H40" s="21" t="n">
        <v>210.963</v>
      </c>
      <c r="I40" s="22" t="n">
        <v>210.861</v>
      </c>
      <c r="J40" s="22" t="n">
        <v>209.694</v>
      </c>
      <c r="K40" s="22" t="n">
        <v>224.387</v>
      </c>
      <c r="L40" s="22" t="n">
        <v>224.36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5114.479</v>
      </c>
      <c r="D71" s="22" t="n">
        <v>5123.881</v>
      </c>
      <c r="E71" s="22" t="n">
        <v>5070.245</v>
      </c>
      <c r="F71" s="22" t="n">
        <v>5063.605</v>
      </c>
      <c r="G71" s="22" t="n">
        <v>5310.823</v>
      </c>
      <c r="H71" s="22" t="n">
        <v>6105.831</v>
      </c>
      <c r="I71" s="22" t="n">
        <v>5529.812</v>
      </c>
      <c r="J71" s="22" t="n">
        <v>5341.22</v>
      </c>
      <c r="K71" s="22" t="n">
        <v>5445.339</v>
      </c>
      <c r="L71" s="22" t="n">
        <v>5070.245</v>
      </c>
    </row>
    <row r="72">
      <c r="A72" s="20" t="inlineStr">
        <is>
          <t>받을어음</t>
        </is>
      </c>
      <c r="E72" s="22" t="n">
        <v>3.441</v>
      </c>
      <c r="H72" s="22" t="n">
        <v>610.822</v>
      </c>
      <c r="I72" s="22" t="n">
        <v>571.236</v>
      </c>
      <c r="J72" s="22" t="n">
        <v>439.179</v>
      </c>
      <c r="K72" s="22" t="n">
        <v>36.825</v>
      </c>
      <c r="L72" s="22" t="n">
        <v>3.441</v>
      </c>
    </row>
    <row r="73">
      <c r="A73" s="20" t="inlineStr">
        <is>
          <t>받을어음·매출채권</t>
        </is>
      </c>
      <c r="C73" s="22" t="n">
        <v>1531.606</v>
      </c>
      <c r="D73" s="22" t="n">
        <v>1754.445</v>
      </c>
      <c r="E73" s="22" t="n">
        <v>2868.256</v>
      </c>
      <c r="F73" s="22" t="n">
        <v>1476.901</v>
      </c>
      <c r="G73" s="22" t="n">
        <v>1844.257</v>
      </c>
      <c r="H73" s="22" t="n">
        <v>2674.983</v>
      </c>
      <c r="I73" s="22" t="n">
        <v>2573.652</v>
      </c>
      <c r="J73" s="22" t="n">
        <v>2503.875</v>
      </c>
      <c r="K73" s="22" t="n">
        <v>2257.025</v>
      </c>
      <c r="L73" s="22" t="n">
        <v>2868.256</v>
      </c>
    </row>
    <row r="74">
      <c r="A74" s="20" t="inlineStr">
        <is>
          <t>전자기록채권</t>
        </is>
      </c>
      <c r="C74" s="22" t="n">
        <v>1078.551</v>
      </c>
      <c r="D74" s="22" t="n">
        <v>1181.695</v>
      </c>
      <c r="E74" s="22" t="n">
        <v>624.39</v>
      </c>
      <c r="F74" s="22" t="n">
        <v>633.304</v>
      </c>
      <c r="G74" s="22" t="n">
        <v>591.539</v>
      </c>
      <c r="H74" s="22" t="n">
        <v>754.479</v>
      </c>
      <c r="I74" s="22" t="n">
        <v>749.7140000000001</v>
      </c>
      <c r="J74" s="22" t="n">
        <v>753.5359999999999</v>
      </c>
      <c r="K74" s="22" t="n">
        <v>1270.5</v>
      </c>
      <c r="L74" s="22" t="n">
        <v>624.39</v>
      </c>
    </row>
    <row r="75">
      <c r="A75" s="20" t="inlineStr">
        <is>
          <t>매출채권</t>
        </is>
      </c>
      <c r="E75" s="22" t="n">
        <v>2864.815</v>
      </c>
      <c r="H75" s="22" t="n">
        <v>2064.161</v>
      </c>
      <c r="I75" s="22" t="n">
        <v>2002.416</v>
      </c>
      <c r="J75" s="22" t="n">
        <v>2064.696</v>
      </c>
      <c r="K75" s="22" t="n">
        <v>2220.2</v>
      </c>
      <c r="L75" s="22" t="n">
        <v>2864.815</v>
      </c>
    </row>
    <row r="76">
      <c r="A76" s="20" t="inlineStr">
        <is>
          <t>상품·제품</t>
        </is>
      </c>
      <c r="C76" s="22" t="n">
        <v>795.126</v>
      </c>
      <c r="D76" s="22" t="n">
        <v>744.731</v>
      </c>
      <c r="E76" s="22" t="n">
        <v>582.221</v>
      </c>
      <c r="F76" s="22" t="n">
        <v>595.934</v>
      </c>
      <c r="G76" s="22" t="n">
        <v>594.029</v>
      </c>
      <c r="H76" s="22" t="n">
        <v>1360.942</v>
      </c>
      <c r="I76" s="22" t="n">
        <v>805.45</v>
      </c>
      <c r="J76" s="22" t="n">
        <v>837.498</v>
      </c>
      <c r="K76" s="22" t="n">
        <v>894.5</v>
      </c>
      <c r="L76" s="22" t="n">
        <v>582.221</v>
      </c>
    </row>
    <row r="77">
      <c r="A77" s="20" t="inlineStr">
        <is>
          <t>재공품</t>
        </is>
      </c>
      <c r="C77" s="22" t="n">
        <v>1473.094</v>
      </c>
      <c r="D77" s="22" t="n">
        <v>1458.524</v>
      </c>
      <c r="E77" s="22" t="n">
        <v>1297.761</v>
      </c>
      <c r="F77" s="22" t="n">
        <v>1417.919</v>
      </c>
      <c r="G77" s="22" t="n">
        <v>1297.085</v>
      </c>
      <c r="H77" s="22" t="n">
        <v>1002.945</v>
      </c>
      <c r="I77" s="22" t="n">
        <v>1491.448</v>
      </c>
      <c r="J77" s="22" t="n">
        <v>1401.87</v>
      </c>
      <c r="K77" s="22" t="n">
        <v>1411.296</v>
      </c>
      <c r="L77" s="22" t="n">
        <v>1297.761</v>
      </c>
    </row>
    <row r="78">
      <c r="A78" s="20" t="inlineStr">
        <is>
          <t>원재료</t>
        </is>
      </c>
      <c r="C78" s="22" t="n">
        <v>978.702</v>
      </c>
      <c r="D78" s="22" t="n">
        <v>1021.621</v>
      </c>
      <c r="E78" s="22" t="n">
        <v>919.088</v>
      </c>
      <c r="F78" s="22" t="n">
        <v>1104.461</v>
      </c>
      <c r="G78" s="22" t="n">
        <v>1088.369</v>
      </c>
      <c r="H78" s="22" t="n">
        <v>1843.605</v>
      </c>
      <c r="I78" s="22" t="n">
        <v>2152.426</v>
      </c>
      <c r="J78" s="22" t="n">
        <v>2150.432</v>
      </c>
      <c r="K78" s="22" t="n">
        <v>1502.774</v>
      </c>
      <c r="L78" s="22" t="n">
        <v>919.088</v>
      </c>
    </row>
    <row r="79">
      <c r="A79" s="20" t="inlineStr">
        <is>
          <t>미수 환급법인세</t>
        </is>
      </c>
      <c r="H79" s="22" t="n">
        <v>0</v>
      </c>
    </row>
    <row r="80">
      <c r="A80" s="20" t="inlineStr">
        <is>
          <t>기타</t>
        </is>
      </c>
      <c r="C80" s="22" t="n">
        <v>73.91800000000001</v>
      </c>
      <c r="D80" s="22" t="n">
        <v>196.592</v>
      </c>
      <c r="E80" s="22" t="n">
        <v>571.894</v>
      </c>
      <c r="F80" s="22" t="n">
        <v>105.103</v>
      </c>
      <c r="G80" s="22" t="n">
        <v>90.235</v>
      </c>
      <c r="H80" s="22" t="n">
        <v>153.35</v>
      </c>
      <c r="I80" s="22" t="n">
        <v>237.228</v>
      </c>
      <c r="J80" s="22" t="n">
        <v>249.386</v>
      </c>
      <c r="K80" s="22" t="n">
        <v>97.783</v>
      </c>
      <c r="L80" s="22" t="n">
        <v>571.894</v>
      </c>
    </row>
    <row r="81">
      <c r="A81" s="20" t="inlineStr">
        <is>
          <t>대손충당금</t>
        </is>
      </c>
      <c r="H81" s="22" t="n">
        <v>-2.346</v>
      </c>
      <c r="I81" s="22" t="n">
        <v>-1.579</v>
      </c>
      <c r="J81" s="22" t="n">
        <v>0</v>
      </c>
    </row>
    <row r="82">
      <c r="A82" s="9" t="inlineStr">
        <is>
          <t>유동자산 합계</t>
        </is>
      </c>
      <c r="C82" s="12" t="n">
        <v>11045.479</v>
      </c>
      <c r="D82" s="12" t="n">
        <v>11481.492</v>
      </c>
      <c r="E82" s="12" t="n">
        <v>11933.859</v>
      </c>
      <c r="F82" s="12" t="n">
        <v>10397.231</v>
      </c>
      <c r="G82" s="12" t="n">
        <v>10816.338</v>
      </c>
      <c r="H82" s="12" t="n">
        <v>13893.791</v>
      </c>
      <c r="I82" s="12" t="n">
        <v>13538.153</v>
      </c>
      <c r="J82" s="12" t="n">
        <v>13237.82</v>
      </c>
      <c r="K82" s="12" t="n">
        <v>12879.221</v>
      </c>
      <c r="L82" s="12" t="n">
        <v>11933.859</v>
      </c>
    </row>
    <row r="83">
      <c r="A83" s="20" t="inlineStr">
        <is>
          <t>건물·구축물</t>
        </is>
      </c>
      <c r="E83" s="22" t="n">
        <v>3244.509</v>
      </c>
      <c r="H83" s="22" t="n">
        <v>2672.771</v>
      </c>
      <c r="I83" s="22" t="n">
        <v>2646.999</v>
      </c>
      <c r="J83" s="22" t="n">
        <v>3187.418</v>
      </c>
      <c r="K83" s="22" t="n">
        <v>3270.53</v>
      </c>
      <c r="L83" s="22" t="n">
        <v>3244.509</v>
      </c>
    </row>
    <row r="84">
      <c r="A84" s="20" t="inlineStr">
        <is>
          <t>감가상각누계액</t>
        </is>
      </c>
      <c r="E84" s="22" t="n">
        <v>-1660.598</v>
      </c>
      <c r="H84" s="22" t="n">
        <v>-1361.682</v>
      </c>
      <c r="I84" s="22" t="n">
        <v>-1434.843</v>
      </c>
      <c r="J84" s="22" t="n">
        <v>-1529.677</v>
      </c>
      <c r="K84" s="22" t="n">
        <v>-1647.747</v>
      </c>
      <c r="L84" s="22" t="n">
        <v>-1660.598</v>
      </c>
    </row>
    <row r="85">
      <c r="A85" s="20" t="inlineStr">
        <is>
          <t>건물·구축물(순액)</t>
        </is>
      </c>
      <c r="E85" s="22" t="n">
        <v>1583.91</v>
      </c>
      <c r="H85" s="22" t="n">
        <v>1311.088</v>
      </c>
      <c r="I85" s="22" t="n">
        <v>1212.155</v>
      </c>
      <c r="J85" s="22" t="n">
        <v>1657.741</v>
      </c>
      <c r="K85" s="22" t="n">
        <v>1622.782</v>
      </c>
      <c r="L85" s="22" t="n">
        <v>1583.91</v>
      </c>
    </row>
    <row r="86">
      <c r="A86" s="20" t="inlineStr">
        <is>
          <t>기계장치·운반구</t>
        </is>
      </c>
      <c r="E86" s="22" t="n">
        <v>509.222</v>
      </c>
      <c r="H86" s="22" t="n">
        <v>494.901</v>
      </c>
      <c r="I86" s="22" t="n">
        <v>490.802</v>
      </c>
      <c r="J86" s="22" t="n">
        <v>512.717</v>
      </c>
      <c r="K86" s="22" t="n">
        <v>506.478</v>
      </c>
      <c r="L86" s="22" t="n">
        <v>509.222</v>
      </c>
    </row>
    <row r="87">
      <c r="A87" s="20" t="inlineStr">
        <is>
          <t>감가상각누계액</t>
        </is>
      </c>
      <c r="E87" s="22" t="n">
        <v>-472.641</v>
      </c>
      <c r="H87" s="22" t="n">
        <v>-434.255</v>
      </c>
      <c r="I87" s="22" t="n">
        <v>-444.902</v>
      </c>
      <c r="J87" s="22" t="n">
        <v>-460.852</v>
      </c>
      <c r="K87" s="22" t="n">
        <v>-466.754</v>
      </c>
      <c r="L87" s="22" t="n">
        <v>-472.641</v>
      </c>
    </row>
    <row r="88">
      <c r="A88" s="20" t="inlineStr">
        <is>
          <t>기계장치·운반구(순액)</t>
        </is>
      </c>
      <c r="E88" s="22" t="n">
        <v>36.58</v>
      </c>
      <c r="H88" s="22" t="n">
        <v>60.646</v>
      </c>
      <c r="I88" s="22" t="n">
        <v>45.899</v>
      </c>
      <c r="J88" s="22" t="n">
        <v>51.864</v>
      </c>
      <c r="K88" s="22" t="n">
        <v>39.724</v>
      </c>
      <c r="L88" s="22" t="n">
        <v>36.58</v>
      </c>
    </row>
    <row r="89">
      <c r="A89" s="20" t="inlineStr">
        <is>
          <t>공구·기구·비품</t>
        </is>
      </c>
      <c r="E89" s="22" t="n">
        <v>1716.474</v>
      </c>
      <c r="H89" s="22" t="n">
        <v>1716.308</v>
      </c>
      <c r="I89" s="22" t="n">
        <v>1691.844</v>
      </c>
      <c r="J89" s="22" t="n">
        <v>1838.768</v>
      </c>
      <c r="K89" s="22" t="n">
        <v>1762.399</v>
      </c>
      <c r="L89" s="22" t="n">
        <v>1716.474</v>
      </c>
    </row>
    <row r="90">
      <c r="A90" s="20" t="inlineStr">
        <is>
          <t>감가상각누계액</t>
        </is>
      </c>
      <c r="E90" s="22" t="n">
        <v>-1594.323</v>
      </c>
      <c r="H90" s="22" t="n">
        <v>-1494.88</v>
      </c>
      <c r="I90" s="22" t="n">
        <v>-1494.794</v>
      </c>
      <c r="J90" s="22" t="n">
        <v>-1583.074</v>
      </c>
      <c r="K90" s="22" t="n">
        <v>-1593.281</v>
      </c>
      <c r="L90" s="22" t="n">
        <v>-1594.323</v>
      </c>
    </row>
    <row r="91">
      <c r="A91" s="20" t="inlineStr">
        <is>
          <t>공구·기구·비품(순액)</t>
        </is>
      </c>
      <c r="E91" s="22" t="n">
        <v>122.151</v>
      </c>
      <c r="H91" s="22" t="n">
        <v>221.428</v>
      </c>
      <c r="I91" s="22" t="n">
        <v>197.049</v>
      </c>
      <c r="J91" s="22" t="n">
        <v>255.694</v>
      </c>
      <c r="K91" s="22" t="n">
        <v>169.118</v>
      </c>
      <c r="L91" s="22" t="n">
        <v>122.151</v>
      </c>
    </row>
    <row r="92">
      <c r="A92" s="20" t="inlineStr">
        <is>
          <t>토지</t>
        </is>
      </c>
      <c r="C92" s="22" t="n">
        <v>1730.954</v>
      </c>
      <c r="D92" s="22" t="n">
        <v>1753.355</v>
      </c>
      <c r="E92" s="22" t="n">
        <v>1766.293</v>
      </c>
      <c r="F92" s="22" t="n">
        <v>1766.293</v>
      </c>
      <c r="G92" s="22" t="n">
        <v>1766.293</v>
      </c>
      <c r="H92" s="22" t="n">
        <v>1951.082</v>
      </c>
      <c r="I92" s="22" t="n">
        <v>1842.488</v>
      </c>
      <c r="J92" s="22" t="n">
        <v>1781.639</v>
      </c>
      <c r="K92" s="22" t="n">
        <v>1794.621</v>
      </c>
      <c r="L92" s="22" t="n">
        <v>1766.293</v>
      </c>
    </row>
    <row r="93">
      <c r="A93" s="20" t="inlineStr">
        <is>
          <t>리스자산</t>
        </is>
      </c>
      <c r="E93" s="22" t="n">
        <v>13.078</v>
      </c>
      <c r="H93" s="22" t="n">
        <v>4.582</v>
      </c>
      <c r="I93" s="22" t="n">
        <v>0</v>
      </c>
      <c r="K93" s="22" t="n">
        <v>10.316</v>
      </c>
      <c r="L93" s="22" t="n">
        <v>13.078</v>
      </c>
    </row>
    <row r="94">
      <c r="A94" s="20" t="inlineStr">
        <is>
          <t>감가상각누계액</t>
        </is>
      </c>
      <c r="E94" s="22" t="n">
        <v>-3.852</v>
      </c>
      <c r="H94" s="22" t="n">
        <v>-4.391</v>
      </c>
      <c r="I94" s="22" t="n">
        <v>0</v>
      </c>
      <c r="K94" s="22" t="n">
        <v>-1.283</v>
      </c>
      <c r="L94" s="22" t="n">
        <v>-3.852</v>
      </c>
    </row>
    <row r="95">
      <c r="A95" s="20" t="inlineStr">
        <is>
          <t>리스자산(순액)</t>
        </is>
      </c>
      <c r="E95" s="22" t="n">
        <v>9.225</v>
      </c>
      <c r="H95" s="22" t="n">
        <v>0.19</v>
      </c>
      <c r="I95" s="22" t="n">
        <v>0</v>
      </c>
      <c r="K95" s="22" t="n">
        <v>9.032</v>
      </c>
      <c r="L95" s="22" t="n">
        <v>9.225</v>
      </c>
    </row>
    <row r="96">
      <c r="A96" s="20" t="inlineStr">
        <is>
          <t>건설중인자산</t>
        </is>
      </c>
      <c r="E96" s="22" t="n">
        <v>323.94</v>
      </c>
      <c r="K96" s="22" t="n">
        <v>37.127</v>
      </c>
      <c r="L96" s="22" t="n">
        <v>323.94</v>
      </c>
    </row>
    <row r="97">
      <c r="A97" s="20" t="inlineStr">
        <is>
          <t>기타(순액)</t>
        </is>
      </c>
      <c r="C97" s="22" t="n">
        <v>1920.519</v>
      </c>
      <c r="D97" s="22" t="n">
        <v>1985.471</v>
      </c>
      <c r="E97" s="22" t="n">
        <v>2075.809</v>
      </c>
      <c r="F97" s="22" t="n">
        <v>2035.84</v>
      </c>
      <c r="G97" s="22" t="n">
        <v>2012.336</v>
      </c>
      <c r="H97" s="22" t="n">
        <v>59.08</v>
      </c>
      <c r="I97" s="22" t="n">
        <v>622.8920000000001</v>
      </c>
      <c r="J97" s="22" t="n">
        <v>2035.893</v>
      </c>
      <c r="K97" s="22" t="n">
        <v>1877.786</v>
      </c>
      <c r="L97" s="22" t="n">
        <v>2075.809</v>
      </c>
    </row>
    <row r="98">
      <c r="A98" s="20" t="inlineStr">
        <is>
          <t>유형자산 합계</t>
        </is>
      </c>
      <c r="C98" s="22" t="n">
        <v>3651.473</v>
      </c>
      <c r="D98" s="22" t="n">
        <v>3738.826</v>
      </c>
      <c r="E98" s="22" t="n">
        <v>3842.102</v>
      </c>
      <c r="F98" s="22" t="n">
        <v>3802.133</v>
      </c>
      <c r="G98" s="22" t="n">
        <v>3778.629</v>
      </c>
      <c r="H98" s="22" t="n">
        <v>3603.518</v>
      </c>
      <c r="I98" s="22" t="n">
        <v>3920.485</v>
      </c>
      <c r="J98" s="22" t="n">
        <v>3817.532</v>
      </c>
      <c r="K98" s="22" t="n">
        <v>3672.408</v>
      </c>
      <c r="L98" s="22" t="n">
        <v>3842.102</v>
      </c>
    </row>
    <row r="99">
      <c r="A99" s="20" t="inlineStr">
        <is>
          <t>소프트웨어</t>
        </is>
      </c>
      <c r="E99" s="22" t="n">
        <v>92.758</v>
      </c>
      <c r="H99" s="22" t="n">
        <v>84.89400000000001</v>
      </c>
      <c r="I99" s="22" t="n">
        <v>82.986</v>
      </c>
      <c r="J99" s="22" t="n">
        <v>282.337</v>
      </c>
      <c r="K99" s="22" t="n">
        <v>192.854</v>
      </c>
      <c r="L99" s="22" t="n">
        <v>92.758</v>
      </c>
    </row>
    <row r="100">
      <c r="A100" s="20" t="inlineStr">
        <is>
          <t>개발 중 소프트웨어</t>
        </is>
      </c>
      <c r="E100" s="22" t="n">
        <v>13.65</v>
      </c>
      <c r="H100" s="22" t="n">
        <v>48.017</v>
      </c>
      <c r="I100" s="22" t="n">
        <v>124.085</v>
      </c>
      <c r="J100" s="22" t="n">
        <v>13.09</v>
      </c>
      <c r="K100" s="22" t="n">
        <v>6.878</v>
      </c>
      <c r="L100" s="22" t="n">
        <v>13.65</v>
      </c>
    </row>
    <row r="101">
      <c r="A101" s="20" t="inlineStr">
        <is>
          <t>무형자산</t>
        </is>
      </c>
      <c r="C101" s="22" t="n">
        <v>149.812</v>
      </c>
      <c r="D101" s="22" t="n">
        <v>127.931</v>
      </c>
      <c r="E101" s="22" t="n">
        <v>106.409</v>
      </c>
      <c r="F101" s="22" t="n">
        <v>83.571</v>
      </c>
      <c r="G101" s="22" t="n">
        <v>61.877</v>
      </c>
      <c r="H101" s="22" t="n">
        <v>132.912</v>
      </c>
      <c r="I101" s="22" t="n">
        <v>207.072</v>
      </c>
      <c r="J101" s="22" t="n">
        <v>295.427</v>
      </c>
      <c r="K101" s="22" t="n">
        <v>199.732</v>
      </c>
      <c r="L101" s="22" t="n">
        <v>106.409</v>
      </c>
    </row>
    <row r="102">
      <c r="A102" s="20" t="inlineStr">
        <is>
          <t>투자유가증권</t>
        </is>
      </c>
      <c r="E102" s="22" t="n">
        <v>328.985</v>
      </c>
      <c r="H102" s="22" t="n">
        <v>715.162</v>
      </c>
      <c r="I102" s="22" t="n">
        <v>871.3</v>
      </c>
      <c r="J102" s="22" t="n">
        <v>1007.246</v>
      </c>
      <c r="K102" s="22" t="n">
        <v>245.134</v>
      </c>
      <c r="L102" s="22" t="n">
        <v>328.985</v>
      </c>
    </row>
    <row r="103">
      <c r="A103" s="20" t="inlineStr">
        <is>
          <t>이연법인세자산</t>
        </is>
      </c>
      <c r="E103" s="22" t="n">
        <v>247.327</v>
      </c>
      <c r="H103" s="22" t="n">
        <v>217.444</v>
      </c>
      <c r="I103" s="22" t="n">
        <v>223.714</v>
      </c>
      <c r="J103" s="22" t="n">
        <v>211.279</v>
      </c>
      <c r="K103" s="22" t="n">
        <v>266.343</v>
      </c>
      <c r="L103" s="22" t="n">
        <v>247.327</v>
      </c>
    </row>
    <row r="104">
      <c r="A104" s="20" t="inlineStr">
        <is>
          <t>기타</t>
        </is>
      </c>
      <c r="E104" s="22" t="n">
        <v>55.817</v>
      </c>
      <c r="H104" s="22" t="n">
        <v>74.21899999999999</v>
      </c>
      <c r="I104" s="22" t="n">
        <v>67.232</v>
      </c>
      <c r="J104" s="22" t="n">
        <v>58.078</v>
      </c>
      <c r="K104" s="22" t="n">
        <v>58.681</v>
      </c>
      <c r="L104" s="22" t="n">
        <v>55.817</v>
      </c>
    </row>
    <row r="105">
      <c r="A105" s="20" t="inlineStr">
        <is>
          <t>투자 및 기타자산</t>
        </is>
      </c>
      <c r="C105" s="22" t="n">
        <v>535.167</v>
      </c>
      <c r="D105" s="22" t="n">
        <v>513.22</v>
      </c>
      <c r="E105" s="22" t="n">
        <v>632.13</v>
      </c>
      <c r="F105" s="22" t="n">
        <v>680.389</v>
      </c>
      <c r="G105" s="22" t="n">
        <v>633.038</v>
      </c>
      <c r="H105" s="22" t="n">
        <v>1006.827</v>
      </c>
      <c r="I105" s="22" t="n">
        <v>1162.247</v>
      </c>
      <c r="J105" s="22" t="n">
        <v>1276.604</v>
      </c>
      <c r="K105" s="22" t="n">
        <v>570.159</v>
      </c>
      <c r="L105" s="22" t="n">
        <v>632.13</v>
      </c>
    </row>
    <row r="106">
      <c r="A106" s="9" t="inlineStr">
        <is>
          <t>비유동자산 합계</t>
        </is>
      </c>
      <c r="C106" s="12" t="n">
        <v>4336.454</v>
      </c>
      <c r="D106" s="12" t="n">
        <v>4379.978</v>
      </c>
      <c r="E106" s="12" t="n">
        <v>4580.642</v>
      </c>
      <c r="F106" s="12" t="n">
        <v>4566.094</v>
      </c>
      <c r="G106" s="12" t="n">
        <v>4473.545</v>
      </c>
      <c r="H106" s="12" t="n">
        <v>4743.257</v>
      </c>
      <c r="I106" s="12" t="n">
        <v>5289.805</v>
      </c>
      <c r="J106" s="12" t="n">
        <v>5389.564</v>
      </c>
      <c r="K106" s="12" t="n">
        <v>4442.3</v>
      </c>
      <c r="L106" s="12" t="n">
        <v>4580.642</v>
      </c>
    </row>
    <row r="107">
      <c r="A107" s="9" t="inlineStr">
        <is>
          <t>자산 합계</t>
        </is>
      </c>
      <c r="C107" s="12" t="n">
        <v>15381.933</v>
      </c>
      <c r="D107" s="12" t="n">
        <v>15861.471</v>
      </c>
      <c r="E107" s="12" t="n">
        <v>16514.501</v>
      </c>
      <c r="F107" s="12" t="n">
        <v>14963.326</v>
      </c>
      <c r="G107" s="12" t="n">
        <v>15289.884</v>
      </c>
      <c r="H107" s="12" t="n">
        <v>18637.048</v>
      </c>
      <c r="I107" s="12" t="n">
        <v>18827.958</v>
      </c>
      <c r="J107" s="12" t="n">
        <v>18627.385</v>
      </c>
      <c r="K107" s="12" t="n">
        <v>17321.521</v>
      </c>
      <c r="L107" s="12" t="n">
        <v>16514.501</v>
      </c>
    </row>
    <row r="108">
      <c r="A108" s="20" t="inlineStr">
        <is>
          <t>지급어음·매입채무</t>
        </is>
      </c>
      <c r="C108" s="22" t="n">
        <v>240.519</v>
      </c>
      <c r="D108" s="22" t="n">
        <v>280.795</v>
      </c>
      <c r="E108" s="22" t="n">
        <v>359.956</v>
      </c>
      <c r="F108" s="22" t="n">
        <v>373.043</v>
      </c>
      <c r="G108" s="22" t="n">
        <v>320.101</v>
      </c>
      <c r="H108" s="22" t="n">
        <v>661.231</v>
      </c>
      <c r="I108" s="22" t="n">
        <v>516.572</v>
      </c>
      <c r="J108" s="22" t="n">
        <v>433.375</v>
      </c>
      <c r="K108" s="22" t="n">
        <v>284.959</v>
      </c>
      <c r="L108" s="22" t="n">
        <v>359.956</v>
      </c>
    </row>
    <row r="109">
      <c r="A109" s="20" t="inlineStr">
        <is>
          <t>전자기록채무</t>
        </is>
      </c>
      <c r="C109" s="22" t="n">
        <v>368.289</v>
      </c>
      <c r="D109" s="22" t="n">
        <v>586.942</v>
      </c>
      <c r="E109" s="22" t="n">
        <v>316.16</v>
      </c>
      <c r="F109" s="22" t="n">
        <v>385.341</v>
      </c>
      <c r="G109" s="22" t="n">
        <v>408.911</v>
      </c>
      <c r="H109" s="22" t="n">
        <v>951.867</v>
      </c>
      <c r="I109" s="22" t="n">
        <v>788.297</v>
      </c>
      <c r="J109" s="22" t="n">
        <v>1002.09</v>
      </c>
      <c r="K109" s="22" t="n">
        <v>443.487</v>
      </c>
      <c r="L109" s="22" t="n">
        <v>316.16</v>
      </c>
    </row>
    <row r="110">
      <c r="A110" s="20" t="inlineStr">
        <is>
          <t>단기차입금</t>
        </is>
      </c>
      <c r="C110" s="22" t="n">
        <v>311.911</v>
      </c>
      <c r="D110" s="22" t="n">
        <v>600</v>
      </c>
      <c r="E110" s="22" t="n">
        <v>0</v>
      </c>
      <c r="G110" s="22" t="n">
        <v>200</v>
      </c>
      <c r="H110" s="22" t="n">
        <v>320</v>
      </c>
      <c r="I110" s="22" t="n">
        <v>220</v>
      </c>
      <c r="J110" s="22" t="n">
        <v>210</v>
      </c>
      <c r="K110" s="22" t="n">
        <v>1111.962</v>
      </c>
      <c r="L110" s="22" t="n">
        <v>0</v>
      </c>
    </row>
    <row r="111">
      <c r="A111" s="20" t="inlineStr">
        <is>
          <t>1년 내 상환 예정 사채</t>
        </is>
      </c>
      <c r="H111" s="22" t="n">
        <v>100</v>
      </c>
      <c r="I111" s="22" t="n">
        <v>0</v>
      </c>
      <c r="J111" s="22" t="n">
        <v>300</v>
      </c>
    </row>
    <row r="112">
      <c r="A112" s="20" t="inlineStr">
        <is>
          <t>미지급법인세</t>
        </is>
      </c>
      <c r="C112" s="22" t="n">
        <v>94.217</v>
      </c>
      <c r="D112" s="22" t="n">
        <v>0</v>
      </c>
      <c r="E112" s="22" t="n">
        <v>289.303</v>
      </c>
      <c r="F112" s="22" t="n">
        <v>30.92</v>
      </c>
      <c r="G112" s="22" t="n">
        <v>136.533</v>
      </c>
      <c r="H112" s="22" t="n">
        <v>256.811</v>
      </c>
      <c r="I112" s="22" t="n">
        <v>288.284</v>
      </c>
      <c r="J112" s="22" t="n">
        <v>116.889</v>
      </c>
      <c r="K112" s="22" t="n">
        <v>394.791</v>
      </c>
      <c r="L112" s="22" t="n">
        <v>289.303</v>
      </c>
    </row>
    <row r="113">
      <c r="A113" s="20" t="inlineStr">
        <is>
          <t>리스부채</t>
        </is>
      </c>
      <c r="E113" s="22" t="n">
        <v>2.976</v>
      </c>
      <c r="F113" s="22" t="n">
        <v>2.976</v>
      </c>
      <c r="G113" s="22" t="n">
        <v>2.976</v>
      </c>
      <c r="H113" s="22" t="n">
        <v>0.19</v>
      </c>
      <c r="I113" s="22" t="n">
        <v>0</v>
      </c>
      <c r="K113" s="22" t="n">
        <v>2.321</v>
      </c>
      <c r="L113" s="22" t="n">
        <v>2.976</v>
      </c>
    </row>
    <row r="114">
      <c r="A114" s="20" t="inlineStr">
        <is>
          <t>상여충당금</t>
        </is>
      </c>
      <c r="C114" s="22" t="n">
        <v>248.859</v>
      </c>
      <c r="D114" s="22" t="n">
        <v>122.031</v>
      </c>
      <c r="E114" s="22" t="n">
        <v>281.051</v>
      </c>
      <c r="F114" s="22" t="n">
        <v>100.311</v>
      </c>
      <c r="G114" s="22" t="n">
        <v>193.383</v>
      </c>
      <c r="H114" s="22" t="n">
        <v>249.835</v>
      </c>
      <c r="I114" s="22" t="n">
        <v>312.919</v>
      </c>
      <c r="J114" s="22" t="n">
        <v>253.4</v>
      </c>
      <c r="K114" s="22" t="n">
        <v>282.131</v>
      </c>
      <c r="L114" s="22" t="n">
        <v>281.051</v>
      </c>
    </row>
    <row r="115">
      <c r="A115" s="20" t="inlineStr">
        <is>
          <t>임원 상여충당금</t>
        </is>
      </c>
      <c r="C115" s="22" t="n">
        <v>0</v>
      </c>
      <c r="D115" s="22" t="n">
        <v>0</v>
      </c>
      <c r="E115" s="22" t="n">
        <v>59.1</v>
      </c>
      <c r="F115" s="22" t="n">
        <v>0</v>
      </c>
      <c r="G115" s="22" t="n">
        <v>0</v>
      </c>
      <c r="H115" s="22" t="n">
        <v>47.2</v>
      </c>
      <c r="I115" s="22" t="n">
        <v>57.35</v>
      </c>
      <c r="J115" s="22" t="n">
        <v>38.797</v>
      </c>
      <c r="K115" s="22" t="n">
        <v>33.265</v>
      </c>
      <c r="L115" s="22" t="n">
        <v>59.1</v>
      </c>
    </row>
    <row r="116">
      <c r="A116" s="20" t="inlineStr">
        <is>
          <t>제품보증 충당금</t>
        </is>
      </c>
      <c r="C116" s="22" t="n">
        <v>6.939</v>
      </c>
      <c r="D116" s="22" t="n">
        <v>6.391</v>
      </c>
      <c r="E116" s="22" t="n">
        <v>0.297</v>
      </c>
      <c r="F116" s="22" t="n">
        <v>0.262</v>
      </c>
      <c r="G116" s="22" t="n">
        <v>0.262</v>
      </c>
      <c r="H116" s="22" t="n">
        <v>14.567</v>
      </c>
      <c r="I116" s="22" t="n">
        <v>16.403</v>
      </c>
      <c r="J116" s="22" t="n">
        <v>10.196</v>
      </c>
      <c r="K116" s="22" t="n">
        <v>9.211</v>
      </c>
      <c r="L116" s="22" t="n">
        <v>0.297</v>
      </c>
    </row>
    <row r="117">
      <c r="A117" s="20" t="inlineStr">
        <is>
          <t>기타</t>
        </is>
      </c>
      <c r="C117" s="22" t="n">
        <v>579.591</v>
      </c>
      <c r="D117" s="22" t="n">
        <v>660.537</v>
      </c>
      <c r="E117" s="22" t="n">
        <v>637.925</v>
      </c>
      <c r="F117" s="22" t="n">
        <v>535.822</v>
      </c>
      <c r="G117" s="22" t="n">
        <v>443.259</v>
      </c>
      <c r="H117" s="22" t="n">
        <v>562.692</v>
      </c>
      <c r="I117" s="22" t="n">
        <v>861.96</v>
      </c>
      <c r="J117" s="22" t="n">
        <v>624.864</v>
      </c>
      <c r="K117" s="22" t="n">
        <v>612.306</v>
      </c>
      <c r="L117" s="22" t="n">
        <v>637.925</v>
      </c>
    </row>
    <row r="118">
      <c r="A118" s="9" t="inlineStr">
        <is>
          <t>유동부채 합계</t>
        </is>
      </c>
      <c r="C118" s="12" t="n">
        <v>1850.328</v>
      </c>
      <c r="D118" s="12" t="n">
        <v>2256.697</v>
      </c>
      <c r="E118" s="12" t="n">
        <v>1946.77</v>
      </c>
      <c r="F118" s="12" t="n">
        <v>1428.678</v>
      </c>
      <c r="G118" s="12" t="n">
        <v>1705.429</v>
      </c>
      <c r="H118" s="12" t="n">
        <v>3164.396</v>
      </c>
      <c r="I118" s="12" t="n">
        <v>3061.786</v>
      </c>
      <c r="J118" s="12" t="n">
        <v>2989.614</v>
      </c>
      <c r="K118" s="12" t="n">
        <v>3174.436</v>
      </c>
      <c r="L118" s="12" t="n">
        <v>1946.77</v>
      </c>
    </row>
    <row r="119">
      <c r="A119" s="20" t="inlineStr">
        <is>
          <t>사채</t>
        </is>
      </c>
      <c r="H119" s="22" t="n">
        <v>300</v>
      </c>
      <c r="I119" s="22" t="n">
        <v>300</v>
      </c>
      <c r="J119" s="22" t="n">
        <v>0</v>
      </c>
    </row>
    <row r="120">
      <c r="A120" s="20" t="inlineStr">
        <is>
          <t>장기차입금</t>
        </is>
      </c>
      <c r="C120" s="22" t="n">
        <v>300</v>
      </c>
      <c r="D120" s="22" t="n">
        <v>300</v>
      </c>
      <c r="E120" s="22" t="n">
        <v>300</v>
      </c>
      <c r="F120" s="22" t="n">
        <v>300</v>
      </c>
      <c r="G120" s="22" t="n">
        <v>100</v>
      </c>
      <c r="H120" s="22" t="n">
        <v>1530</v>
      </c>
      <c r="I120" s="22" t="n">
        <v>1510</v>
      </c>
      <c r="J120" s="22" t="n">
        <v>1412.112</v>
      </c>
      <c r="K120" s="22" t="n">
        <v>300</v>
      </c>
      <c r="L120" s="22" t="n">
        <v>300</v>
      </c>
    </row>
    <row r="121">
      <c r="A121" s="20" t="inlineStr">
        <is>
          <t>장기 예수보증금</t>
        </is>
      </c>
      <c r="H121" s="22" t="n">
        <v>12.674</v>
      </c>
      <c r="I121" s="22" t="n">
        <v>0</v>
      </c>
    </row>
    <row r="122">
      <c r="A122" s="20" t="inlineStr">
        <is>
          <t>퇴직급여부채</t>
        </is>
      </c>
      <c r="C122" s="22" t="n">
        <v>110.859</v>
      </c>
      <c r="D122" s="22" t="n">
        <v>108.899</v>
      </c>
      <c r="E122" s="22" t="n">
        <v>108.048</v>
      </c>
      <c r="F122" s="22" t="n">
        <v>114.65</v>
      </c>
      <c r="G122" s="22" t="n">
        <v>115.165</v>
      </c>
      <c r="H122" s="22" t="n">
        <v>122.213</v>
      </c>
      <c r="I122" s="22" t="n">
        <v>123.654</v>
      </c>
      <c r="J122" s="22" t="n">
        <v>127.139</v>
      </c>
      <c r="K122" s="22" t="n">
        <v>122.604</v>
      </c>
      <c r="L122" s="22" t="n">
        <v>108.048</v>
      </c>
    </row>
    <row r="123">
      <c r="A123" s="20" t="inlineStr">
        <is>
          <t>리스부채</t>
        </is>
      </c>
      <c r="E123" s="22" t="n">
        <v>7.538</v>
      </c>
      <c r="F123" s="22" t="n">
        <v>6.794</v>
      </c>
      <c r="G123" s="22" t="n">
        <v>6.049</v>
      </c>
      <c r="H123" s="22" t="n">
        <v>0</v>
      </c>
      <c r="K123" s="22" t="n">
        <v>7.84</v>
      </c>
      <c r="L123" s="22" t="n">
        <v>7.538</v>
      </c>
    </row>
    <row r="124">
      <c r="A124" s="20" t="inlineStr">
        <is>
          <t>장기미지급금</t>
        </is>
      </c>
      <c r="C124" s="22" t="n">
        <v>36.995</v>
      </c>
      <c r="D124" s="22" t="n">
        <v>36.995</v>
      </c>
      <c r="E124" s="22" t="n">
        <v>36.995</v>
      </c>
      <c r="F124" s="22" t="n">
        <v>34.787</v>
      </c>
      <c r="G124" s="22" t="n">
        <v>33.606</v>
      </c>
      <c r="H124" s="22" t="n">
        <v>54.045</v>
      </c>
      <c r="I124" s="22" t="n">
        <v>51.273</v>
      </c>
      <c r="J124" s="22" t="n">
        <v>43.624</v>
      </c>
      <c r="K124" s="22" t="n">
        <v>37.678</v>
      </c>
      <c r="L124" s="22" t="n">
        <v>36.995</v>
      </c>
    </row>
    <row r="125">
      <c r="A125" s="20" t="inlineStr">
        <is>
          <t>장기선수수익</t>
        </is>
      </c>
      <c r="E125" s="22" t="n">
        <v>52.687</v>
      </c>
      <c r="F125" s="22" t="n">
        <v>46.833</v>
      </c>
      <c r="K125" s="22" t="n">
        <v>0</v>
      </c>
      <c r="L125" s="22" t="n">
        <v>52.687</v>
      </c>
    </row>
    <row r="126">
      <c r="A126" s="20" t="inlineStr">
        <is>
          <t>자산복구부채</t>
        </is>
      </c>
      <c r="C126" s="22" t="n">
        <v>12.242</v>
      </c>
      <c r="D126" s="22" t="n">
        <v>12.27</v>
      </c>
      <c r="E126" s="22" t="n">
        <v>12.298</v>
      </c>
      <c r="F126" s="22" t="n">
        <v>12.325</v>
      </c>
      <c r="G126" s="22" t="n">
        <v>12.353</v>
      </c>
      <c r="H126" s="22" t="n">
        <v>25.528</v>
      </c>
      <c r="I126" s="22" t="n">
        <v>12.097</v>
      </c>
      <c r="J126" s="22" t="n">
        <v>12.205</v>
      </c>
      <c r="K126" s="22" t="n">
        <v>12.187</v>
      </c>
      <c r="L126" s="22" t="n">
        <v>12.298</v>
      </c>
    </row>
    <row r="127">
      <c r="A127" s="20" t="inlineStr">
        <is>
          <t>이연법인세부채</t>
        </is>
      </c>
      <c r="H127" s="22" t="n">
        <v>10.868</v>
      </c>
      <c r="I127" s="22" t="n">
        <v>52.837</v>
      </c>
      <c r="J127" s="22" t="n">
        <v>105.332</v>
      </c>
    </row>
    <row r="128">
      <c r="A128" s="20" t="inlineStr">
        <is>
          <t>장기선수수익</t>
        </is>
      </c>
      <c r="E128" s="22" t="n">
        <v>52.687</v>
      </c>
      <c r="G128" s="22" t="n">
        <v>42.442</v>
      </c>
      <c r="L128" s="22" t="n">
        <v>52.687</v>
      </c>
    </row>
    <row r="129">
      <c r="A129" s="20" t="inlineStr">
        <is>
          <t>기타</t>
        </is>
      </c>
      <c r="C129" s="22" t="n">
        <v>12.661</v>
      </c>
      <c r="D129" s="22" t="n">
        <v>23.894</v>
      </c>
      <c r="E129" s="22" t="n">
        <v>10</v>
      </c>
      <c r="F129" s="22" t="n">
        <v>31.536</v>
      </c>
      <c r="G129" s="22" t="n">
        <v>40.843</v>
      </c>
      <c r="H129" s="22" t="n">
        <v>23.543</v>
      </c>
      <c r="I129" s="22" t="n">
        <v>52.837</v>
      </c>
      <c r="J129" s="22" t="n">
        <v>105.332</v>
      </c>
      <c r="K129" s="22" t="n">
        <v>0</v>
      </c>
      <c r="L129" s="22" t="n">
        <v>10</v>
      </c>
    </row>
    <row r="130">
      <c r="A130" s="9" t="inlineStr">
        <is>
          <t>비유동부채 합계</t>
        </is>
      </c>
      <c r="C130" s="12" t="n">
        <v>472.759</v>
      </c>
      <c r="D130" s="12" t="n">
        <v>482.059</v>
      </c>
      <c r="E130" s="12" t="n">
        <v>527.567</v>
      </c>
      <c r="F130" s="12" t="n">
        <v>546.927</v>
      </c>
      <c r="G130" s="12" t="n">
        <v>350.461</v>
      </c>
      <c r="H130" s="12" t="n">
        <v>2055.331</v>
      </c>
      <c r="I130" s="12" t="n">
        <v>2049.863</v>
      </c>
      <c r="J130" s="12" t="n">
        <v>1700.414</v>
      </c>
      <c r="K130" s="12" t="n">
        <v>480.311</v>
      </c>
      <c r="L130" s="12" t="n">
        <v>527.567</v>
      </c>
    </row>
    <row r="131">
      <c r="A131" s="9" t="inlineStr">
        <is>
          <t>부채 합계</t>
        </is>
      </c>
      <c r="C131" s="12" t="n">
        <v>2323.087</v>
      </c>
      <c r="D131" s="12" t="n">
        <v>2738.757</v>
      </c>
      <c r="E131" s="12" t="n">
        <v>2474.337</v>
      </c>
      <c r="F131" s="12" t="n">
        <v>1975.606</v>
      </c>
      <c r="G131" s="12" t="n">
        <v>2055.891</v>
      </c>
      <c r="H131" s="12" t="n">
        <v>5219.727</v>
      </c>
      <c r="I131" s="12" t="n">
        <v>5111.649</v>
      </c>
      <c r="J131" s="12" t="n">
        <v>4690.028</v>
      </c>
      <c r="K131" s="12" t="n">
        <v>3654.748</v>
      </c>
      <c r="L131" s="12" t="n">
        <v>2474.337</v>
      </c>
    </row>
    <row r="132">
      <c r="A132" s="20" t="inlineStr">
        <is>
          <t>자본금</t>
        </is>
      </c>
      <c r="C132" s="22" t="n">
        <v>3317.2</v>
      </c>
      <c r="D132" s="22" t="n">
        <v>3317.2</v>
      </c>
      <c r="E132" s="22" t="n">
        <v>3317.2</v>
      </c>
      <c r="F132" s="22" t="n">
        <v>3317.2</v>
      </c>
      <c r="G132" s="22" t="n">
        <v>3317.2</v>
      </c>
      <c r="H132" s="22" t="n">
        <v>3317.2</v>
      </c>
      <c r="I132" s="22" t="n">
        <v>3317.2</v>
      </c>
      <c r="J132" s="22" t="n">
        <v>3317.2</v>
      </c>
      <c r="K132" s="22" t="n">
        <v>3317.2</v>
      </c>
      <c r="L132" s="22" t="n">
        <v>3317.2</v>
      </c>
    </row>
    <row r="133">
      <c r="A133" s="20" t="inlineStr">
        <is>
          <t>자본잉여금</t>
        </is>
      </c>
      <c r="C133" s="22" t="n">
        <v>1318.446</v>
      </c>
      <c r="D133" s="22" t="n">
        <v>1318.446</v>
      </c>
      <c r="E133" s="22" t="n">
        <v>1318.446</v>
      </c>
      <c r="F133" s="22" t="n">
        <v>1318.446</v>
      </c>
      <c r="G133" s="22" t="n">
        <v>1318.446</v>
      </c>
      <c r="H133" s="22" t="n">
        <v>1313.033</v>
      </c>
      <c r="I133" s="22" t="n">
        <v>1313.033</v>
      </c>
      <c r="J133" s="22" t="n">
        <v>1313.033</v>
      </c>
      <c r="K133" s="22" t="n">
        <v>1318.446</v>
      </c>
      <c r="L133" s="22" t="n">
        <v>1318.446</v>
      </c>
    </row>
    <row r="134">
      <c r="A134" s="20" t="inlineStr">
        <is>
          <t>이익잉여금</t>
        </is>
      </c>
      <c r="C134" s="22" t="n">
        <v>7507.898</v>
      </c>
      <c r="D134" s="22" t="n">
        <v>7581.505</v>
      </c>
      <c r="E134" s="22" t="n">
        <v>8315.751</v>
      </c>
      <c r="F134" s="22" t="n">
        <v>8246.534</v>
      </c>
      <c r="G134" s="22" t="n">
        <v>8484.039000000001</v>
      </c>
      <c r="H134" s="22" t="n">
        <v>7277.498</v>
      </c>
      <c r="I134" s="22" t="n">
        <v>7524.018</v>
      </c>
      <c r="J134" s="22" t="n">
        <v>7637.294</v>
      </c>
      <c r="K134" s="22" t="n">
        <v>7892.712</v>
      </c>
      <c r="L134" s="22" t="n">
        <v>8315.751</v>
      </c>
    </row>
    <row r="135">
      <c r="A135" s="20" t="inlineStr">
        <is>
          <t>자기주식</t>
        </is>
      </c>
      <c r="C135" s="22" t="n">
        <v>-23.739</v>
      </c>
      <c r="D135" s="22" t="n">
        <v>-23.739</v>
      </c>
      <c r="E135" s="22" t="n">
        <v>-23.739</v>
      </c>
      <c r="F135" s="22" t="n">
        <v>-23.806</v>
      </c>
      <c r="G135" s="22" t="n">
        <v>-23.806</v>
      </c>
      <c r="H135" s="22" t="n">
        <v>-23.739</v>
      </c>
      <c r="I135" s="22" t="n">
        <v>-23.739</v>
      </c>
      <c r="J135" s="22" t="n">
        <v>-23.739</v>
      </c>
      <c r="K135" s="22" t="n">
        <v>-23.739</v>
      </c>
      <c r="L135" s="22" t="n">
        <v>-23.739</v>
      </c>
    </row>
    <row r="136">
      <c r="A136" s="9" t="inlineStr">
        <is>
          <t>주주자본 합계</t>
        </is>
      </c>
      <c r="C136" s="12" t="n">
        <v>12119.805</v>
      </c>
      <c r="D136" s="12" t="n">
        <v>12193.413</v>
      </c>
      <c r="E136" s="12" t="n">
        <v>12927.658</v>
      </c>
      <c r="F136" s="12" t="n">
        <v>12858.374</v>
      </c>
      <c r="G136" s="12" t="n">
        <v>13095.88</v>
      </c>
      <c r="H136" s="12" t="n">
        <v>11883.993</v>
      </c>
      <c r="I136" s="12" t="n">
        <v>12130.512</v>
      </c>
      <c r="J136" s="12" t="n">
        <v>12243.789</v>
      </c>
      <c r="K136" s="12" t="n">
        <v>12504.62</v>
      </c>
      <c r="L136" s="12" t="n">
        <v>12927.658</v>
      </c>
    </row>
    <row r="137">
      <c r="A137" s="20" t="inlineStr">
        <is>
          <t>기타유가증권 평가차액</t>
        </is>
      </c>
      <c r="C137" s="22" t="n">
        <v>75.7</v>
      </c>
      <c r="D137" s="22" t="n">
        <v>90.158</v>
      </c>
      <c r="E137" s="22" t="n">
        <v>107.259</v>
      </c>
      <c r="F137" s="22" t="n">
        <v>129.345</v>
      </c>
      <c r="G137" s="22" t="n">
        <v>138.112</v>
      </c>
      <c r="H137" s="22" t="n">
        <v>151.951</v>
      </c>
      <c r="I137" s="22" t="n">
        <v>268.804</v>
      </c>
      <c r="J137" s="22" t="n">
        <v>397.407</v>
      </c>
      <c r="K137" s="22" t="n">
        <v>58.736</v>
      </c>
      <c r="L137" s="22" t="n">
        <v>107.259</v>
      </c>
    </row>
    <row r="138">
      <c r="A138" s="20" t="inlineStr">
        <is>
          <t>기타포괄손익누계액 합계</t>
        </is>
      </c>
      <c r="C138" s="22" t="n">
        <v>75.7</v>
      </c>
      <c r="D138" s="22" t="n">
        <v>90.158</v>
      </c>
      <c r="E138" s="22" t="n">
        <v>107.259</v>
      </c>
      <c r="F138" s="22" t="n">
        <v>129.345</v>
      </c>
      <c r="G138" s="22" t="n">
        <v>138.112</v>
      </c>
      <c r="H138" s="22" t="n">
        <v>151.951</v>
      </c>
      <c r="I138" s="22" t="n">
        <v>268.804</v>
      </c>
      <c r="J138" s="22" t="n">
        <v>397.407</v>
      </c>
      <c r="K138" s="22" t="n">
        <v>58.736</v>
      </c>
      <c r="L138" s="22" t="n">
        <v>107.259</v>
      </c>
    </row>
    <row r="139">
      <c r="A139" s="20" t="inlineStr">
        <is>
          <t>비지배지분</t>
        </is>
      </c>
      <c r="C139" s="22" t="n">
        <v>863.3390000000001</v>
      </c>
      <c r="D139" s="22" t="n">
        <v>839.141</v>
      </c>
      <c r="E139" s="22" t="n">
        <v>1005.245</v>
      </c>
      <c r="F139" s="22" t="n">
        <v>0</v>
      </c>
      <c r="G139" s="22" t="n">
        <v>0</v>
      </c>
      <c r="H139" s="22" t="n">
        <v>1381.376</v>
      </c>
      <c r="I139" s="22" t="n">
        <v>1316.991</v>
      </c>
      <c r="J139" s="22" t="n">
        <v>1296.159</v>
      </c>
      <c r="K139" s="22" t="n">
        <v>1103.416</v>
      </c>
      <c r="L139" s="22" t="n">
        <v>1005.245</v>
      </c>
    </row>
    <row r="140">
      <c r="A140" s="9" t="inlineStr">
        <is>
          <t>순자산 합계</t>
        </is>
      </c>
      <c r="C140" s="12" t="n">
        <v>13058.846</v>
      </c>
      <c r="D140" s="12" t="n">
        <v>13122.713</v>
      </c>
      <c r="E140" s="12" t="n">
        <v>14040.163</v>
      </c>
      <c r="F140" s="12" t="n">
        <v>12987.719</v>
      </c>
      <c r="G140" s="12" t="n">
        <v>13233.992</v>
      </c>
      <c r="H140" s="12" t="n">
        <v>13417.32</v>
      </c>
      <c r="I140" s="12" t="n">
        <v>13716.309</v>
      </c>
      <c r="J140" s="12" t="n">
        <v>13937.356</v>
      </c>
      <c r="K140" s="12" t="n">
        <v>13666.773</v>
      </c>
      <c r="L140" s="12" t="n">
        <v>14040.163</v>
      </c>
    </row>
    <row r="141">
      <c r="A141" s="9" t="inlineStr">
        <is>
          <t>부채·순자산 합계</t>
        </is>
      </c>
      <c r="C141" s="12" t="n">
        <v>15381.933</v>
      </c>
      <c r="D141" s="12" t="n">
        <v>15861.471</v>
      </c>
      <c r="E141" s="12" t="n">
        <v>16514.501</v>
      </c>
      <c r="F141" s="12" t="n">
        <v>14963.326</v>
      </c>
      <c r="G141" s="12" t="n">
        <v>15289.884</v>
      </c>
      <c r="H141" s="12" t="n">
        <v>18637.048</v>
      </c>
      <c r="I141" s="12" t="n">
        <v>18827.958</v>
      </c>
      <c r="J141" s="12" t="n">
        <v>18627.385</v>
      </c>
      <c r="K141" s="12" t="n">
        <v>17321.521</v>
      </c>
      <c r="L141" s="12" t="n">
        <v>16514.501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2" t="inlineStr">
        <is>
          <t>6864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meta</t>
        </is>
      </c>
      <c r="B4" s="54" t="n"/>
      <c r="C4" s="54" t="n"/>
      <c r="D4" s="54" t="n"/>
      <c r="E4" s="54" t="n"/>
      <c r="F4" s="54" t="n"/>
      <c r="G4" s="54" t="n"/>
    </row>
    <row r="5">
      <c r="A5" s="55" t="inlineStr">
        <is>
          <t>항목</t>
        </is>
      </c>
      <c r="B5" s="55" t="inlineStr">
        <is>
          <t>값</t>
        </is>
      </c>
      <c r="G5" s="55" t="inlineStr">
        <is>
          <t>출처</t>
        </is>
      </c>
    </row>
    <row r="6">
      <c r="A6" s="56" t="inlineStr">
        <is>
          <t>가격</t>
        </is>
      </c>
      <c r="B6" s="57" t="n">
        <v>1489</v>
      </c>
      <c r="G6" s="58" t="inlineStr">
        <is>
          <t>2단계 보고서 자료(회사 설명회 자료·공시)</t>
        </is>
      </c>
    </row>
    <row r="7">
      <c r="A7" s="56" t="inlineStr">
        <is>
          <t>shares ex treasury</t>
        </is>
      </c>
      <c r="B7" s="57" t="n">
        <v>7018727</v>
      </c>
    </row>
    <row r="8">
      <c r="A8" s="56" t="inlineStr">
        <is>
          <t>shares issued</t>
        </is>
      </c>
      <c r="B8" s="57" t="n">
        <v>7070000</v>
      </c>
    </row>
    <row r="9">
      <c r="A9" s="56" t="inlineStr">
        <is>
          <t>mcap oku</t>
        </is>
      </c>
      <c r="B9" s="59" t="n">
        <v>104.5</v>
      </c>
    </row>
    <row r="11">
      <c r="A11" s="54" t="inlineStr">
        <is>
          <t>this results · 상반기</t>
        </is>
      </c>
      <c r="B11" s="54" t="n"/>
      <c r="C11" s="54" t="n"/>
      <c r="D11" s="54" t="n"/>
      <c r="E11" s="54" t="n"/>
      <c r="F11" s="54" t="n"/>
      <c r="G11" s="54" t="n"/>
    </row>
    <row r="12">
      <c r="A12" s="55" t="inlineStr">
        <is>
          <t>항목</t>
        </is>
      </c>
      <c r="B12" s="55" t="inlineStr">
        <is>
          <t>값</t>
        </is>
      </c>
      <c r="G12" s="55" t="inlineStr">
        <is>
          <t>출처</t>
        </is>
      </c>
    </row>
    <row r="13">
      <c r="A13" s="56" t="inlineStr">
        <is>
          <t>매출</t>
        </is>
      </c>
      <c r="B13" s="59" t="n">
        <v>45.06</v>
      </c>
      <c r="G13" s="58" t="inlineStr">
        <is>
          <t>2단계 보고서 자료(회사 설명회 자료·공시)</t>
        </is>
      </c>
    </row>
    <row r="14">
      <c r="A14" s="56" t="inlineStr">
        <is>
          <t>영업이익</t>
        </is>
      </c>
      <c r="B14" s="59" t="n">
        <v>5.47</v>
      </c>
    </row>
    <row r="15">
      <c r="A15" s="56" t="inlineStr">
        <is>
          <t>ord</t>
        </is>
      </c>
      <c r="B15" s="59" t="n">
        <v>5.69</v>
      </c>
    </row>
    <row r="16">
      <c r="A16" s="56" t="inlineStr">
        <is>
          <t>순이익 owner</t>
        </is>
      </c>
      <c r="B16" s="59" t="n">
        <v>4.21</v>
      </c>
    </row>
    <row r="17">
      <c r="A17" s="56" t="inlineStr">
        <is>
          <t>수주</t>
        </is>
      </c>
      <c r="B17" s="59" t="n">
        <v>50.35</v>
      </c>
    </row>
    <row r="18">
      <c r="A18" s="56" t="inlineStr">
        <is>
          <t>EPS 상반기</t>
        </is>
      </c>
      <c r="B18" s="59" t="n">
        <v>59.98</v>
      </c>
    </row>
    <row r="19">
      <c r="A19" s="56" t="inlineStr">
        <is>
          <t>매출 YoY</t>
        </is>
      </c>
      <c r="B19" s="59" t="n">
        <v>13.4</v>
      </c>
    </row>
    <row r="20">
      <c r="A20" s="56" t="inlineStr">
        <is>
          <t>영업이익 YoY</t>
        </is>
      </c>
      <c r="B20" s="59" t="n">
        <v>109.5</v>
      </c>
    </row>
    <row r="21">
      <c r="A21" s="56" t="inlineStr">
        <is>
          <t>수주 YoY</t>
        </is>
      </c>
      <c r="B21" s="59" t="n">
        <v>13.3</v>
      </c>
    </row>
    <row r="23">
      <c r="A23" s="54" t="inlineStr">
        <is>
          <t>this results · 2Q standalone</t>
        </is>
      </c>
      <c r="B23" s="54" t="n"/>
      <c r="C23" s="54" t="n"/>
      <c r="D23" s="54" t="n"/>
      <c r="E23" s="54" t="n"/>
      <c r="F23" s="54" t="n"/>
      <c r="G23" s="54" t="n"/>
    </row>
    <row r="24">
      <c r="A24" s="55" t="inlineStr">
        <is>
          <t>항목</t>
        </is>
      </c>
      <c r="B24" s="55" t="inlineStr">
        <is>
          <t>값</t>
        </is>
      </c>
      <c r="G24" s="55" t="inlineStr">
        <is>
          <t>출처</t>
        </is>
      </c>
    </row>
    <row r="25">
      <c r="A25" s="56" t="inlineStr">
        <is>
          <t>매출</t>
        </is>
      </c>
      <c r="B25" s="59" t="n">
        <v>25.5</v>
      </c>
      <c r="G25" s="58" t="inlineStr">
        <is>
          <t>2단계 보고서 자료(회사 설명회 자료·공시)</t>
        </is>
      </c>
    </row>
    <row r="26">
      <c r="A26" s="56" t="inlineStr">
        <is>
          <t>gp</t>
        </is>
      </c>
      <c r="B26" s="59" t="n">
        <v>9.699999999999999</v>
      </c>
    </row>
    <row r="27">
      <c r="A27" s="56" t="inlineStr">
        <is>
          <t>sga</t>
        </is>
      </c>
      <c r="B27" s="59" t="n">
        <v>5.9</v>
      </c>
    </row>
    <row r="28">
      <c r="A28" s="56" t="inlineStr">
        <is>
          <t>영업이익</t>
        </is>
      </c>
      <c r="B28" s="59" t="n">
        <v>3.8</v>
      </c>
    </row>
    <row r="29">
      <c r="A29" s="56" t="inlineStr">
        <is>
          <t>pbt</t>
        </is>
      </c>
      <c r="B29" s="59" t="n">
        <v>3.9</v>
      </c>
    </row>
    <row r="30">
      <c r="A30" s="56" t="inlineStr">
        <is>
          <t>순이익 owner</t>
        </is>
      </c>
      <c r="B30" s="59" t="n">
        <v>2.4</v>
      </c>
    </row>
    <row r="31">
      <c r="A31" s="56" t="inlineStr">
        <is>
          <t>수주</t>
        </is>
      </c>
      <c r="B31" s="59" t="n">
        <v>25.12</v>
      </c>
    </row>
    <row r="33">
      <c r="A33" s="54" t="inlineStr">
        <is>
          <t>this results · 상반기 pl detail oku</t>
        </is>
      </c>
      <c r="B33" s="54" t="n"/>
      <c r="C33" s="54" t="n"/>
      <c r="D33" s="54" t="n"/>
      <c r="E33" s="54" t="n"/>
      <c r="F33" s="54" t="n"/>
      <c r="G33" s="54" t="n"/>
    </row>
    <row r="34">
      <c r="A34" s="55" t="inlineStr">
        <is>
          <t>항목</t>
        </is>
      </c>
      <c r="B34" s="55" t="inlineStr">
        <is>
          <t>값</t>
        </is>
      </c>
      <c r="G34" s="55" t="inlineStr">
        <is>
          <t>출처</t>
        </is>
      </c>
    </row>
    <row r="35">
      <c r="A35" s="56" t="inlineStr">
        <is>
          <t>매출원가</t>
        </is>
      </c>
      <c r="B35" s="59" t="n">
        <v>28.08</v>
      </c>
      <c r="G35" s="58" t="inlineStr">
        <is>
          <t>2단계 보고서 자료(회사 설명회 자료·공시)</t>
        </is>
      </c>
    </row>
    <row r="36">
      <c r="A36" s="56" t="inlineStr">
        <is>
          <t>매출총이익</t>
        </is>
      </c>
      <c r="B36" s="59" t="n">
        <v>16.98</v>
      </c>
    </row>
    <row r="37">
      <c r="A37" s="56" t="inlineStr">
        <is>
          <t>판관비</t>
        </is>
      </c>
      <c r="B37" s="59" t="n">
        <v>11.5</v>
      </c>
    </row>
    <row r="38">
      <c r="A38" s="56" t="inlineStr">
        <is>
          <t>영업외수익</t>
        </is>
      </c>
      <c r="B38" s="59" t="n">
        <v>0.28</v>
      </c>
    </row>
    <row r="39">
      <c r="A39" s="56" t="inlineStr">
        <is>
          <t>이자수익</t>
        </is>
      </c>
      <c r="B39" s="59" t="n">
        <v>0.08</v>
      </c>
    </row>
    <row r="40">
      <c r="A40" s="56" t="inlineStr">
        <is>
          <t>배당수익</t>
        </is>
      </c>
      <c r="B40" s="59" t="n">
        <v>0.06</v>
      </c>
    </row>
    <row r="41">
      <c r="A41" s="56" t="inlineStr">
        <is>
          <t>작업부스러기 매각수입</t>
        </is>
      </c>
      <c r="B41" s="59" t="n">
        <v>0.11</v>
      </c>
    </row>
    <row r="42">
      <c r="A42" s="56" t="inlineStr">
        <is>
          <t>영업외비용</t>
        </is>
      </c>
      <c r="B42" s="59" t="n">
        <v>0.06</v>
      </c>
    </row>
    <row r="43">
      <c r="A43" s="56" t="inlineStr">
        <is>
          <t>지급이자</t>
        </is>
      </c>
      <c r="B43" s="59" t="n">
        <v>0.01</v>
      </c>
    </row>
    <row r="44">
      <c r="A44" s="56" t="inlineStr">
        <is>
          <t>환차손</t>
        </is>
      </c>
      <c r="B44" s="59" t="n">
        <v>0.02</v>
      </c>
    </row>
    <row r="45">
      <c r="A45" s="56" t="inlineStr">
        <is>
          <t>경상이익</t>
        </is>
      </c>
      <c r="B45" s="59" t="n">
        <v>5.69</v>
      </c>
    </row>
    <row r="46">
      <c r="A46" s="56" t="inlineStr">
        <is>
          <t>특별이익</t>
        </is>
      </c>
      <c r="B46" s="59" t="n">
        <v>0</v>
      </c>
    </row>
    <row r="47">
      <c r="A47" s="56" t="inlineStr">
        <is>
          <t>특별손실</t>
        </is>
      </c>
      <c r="B47" s="59" t="n">
        <v>0</v>
      </c>
    </row>
    <row r="48">
      <c r="A48" s="56" t="inlineStr">
        <is>
          <t>세전이익</t>
        </is>
      </c>
      <c r="B48" s="59" t="n">
        <v>5.69</v>
      </c>
    </row>
    <row r="49">
      <c r="A49" s="56" t="inlineStr">
        <is>
          <t>법인세 등</t>
        </is>
      </c>
      <c r="B49" s="59" t="n">
        <v>1.52</v>
      </c>
    </row>
    <row r="50">
      <c r="A50" s="56" t="inlineStr">
        <is>
          <t>비지배 몫</t>
        </is>
      </c>
      <c r="B50" s="59" t="n">
        <v>-0.04</v>
      </c>
    </row>
    <row r="52">
      <c r="A52" s="54" t="inlineStr">
        <is>
          <t>this results · fields fy26</t>
        </is>
      </c>
      <c r="B52" s="54" t="n"/>
      <c r="C52" s="54" t="n"/>
      <c r="D52" s="54" t="n"/>
      <c r="E52" s="54" t="n"/>
      <c r="F52" s="54" t="n"/>
      <c r="G52" s="54" t="n"/>
    </row>
    <row r="53">
      <c r="A53" s="55" t="inlineStr">
        <is>
          <t>항목</t>
        </is>
      </c>
      <c r="B53" s="55" t="inlineStr">
        <is>
          <t>값</t>
        </is>
      </c>
      <c r="G53" s="55" t="inlineStr">
        <is>
          <t>출처</t>
        </is>
      </c>
    </row>
    <row r="54">
      <c r="A54" s="56" t="inlineStr">
        <is>
          <t>합계 수주</t>
        </is>
      </c>
      <c r="B54" s="59" t="n">
        <v>95.86</v>
      </c>
      <c r="G54" s="58" t="inlineStr">
        <is>
          <t>2단계 보고서 자료(회사 설명회 자료·공시)</t>
        </is>
      </c>
    </row>
    <row r="55">
      <c r="A55" s="56" t="inlineStr">
        <is>
          <t>합계 매출</t>
        </is>
      </c>
      <c r="B55" s="59" t="n">
        <v>91.38</v>
      </c>
    </row>
    <row r="57">
      <c r="A57" s="54" t="inlineStr">
        <is>
          <t>this results · bs 2026 09</t>
        </is>
      </c>
      <c r="B57" s="54" t="n"/>
      <c r="C57" s="54" t="n"/>
      <c r="D57" s="54" t="n"/>
      <c r="E57" s="54" t="n"/>
      <c r="F57" s="54" t="n"/>
      <c r="G57" s="54" t="n"/>
    </row>
    <row r="58">
      <c r="A58" s="55" t="inlineStr">
        <is>
          <t>항목</t>
        </is>
      </c>
      <c r="B58" s="55" t="inlineStr">
        <is>
          <t>값</t>
        </is>
      </c>
      <c r="G58" s="55" t="inlineStr">
        <is>
          <t>출처</t>
        </is>
      </c>
    </row>
    <row r="59">
      <c r="A59" s="56" t="inlineStr">
        <is>
          <t>합계 assets</t>
        </is>
      </c>
      <c r="B59" s="59" t="n">
        <v>152.9</v>
      </c>
      <c r="G59" s="58" t="inlineStr">
        <is>
          <t>2단계 보고서 자료(회사 설명회 자료·공시)</t>
        </is>
      </c>
    </row>
    <row r="60">
      <c r="A60" s="56" t="inlineStr">
        <is>
          <t>net assets</t>
        </is>
      </c>
      <c r="B60" s="59" t="n">
        <v>132.3</v>
      </c>
    </row>
    <row r="61">
      <c r="A61" s="56" t="inlineStr">
        <is>
          <t>equity ratio</t>
        </is>
      </c>
      <c r="B61" s="59" t="n">
        <v>86.59999999999999</v>
      </c>
    </row>
    <row r="62">
      <c r="A62" s="56" t="inlineStr">
        <is>
          <t>cash</t>
        </is>
      </c>
      <c r="B62" s="59" t="n">
        <v>53.1</v>
      </c>
    </row>
    <row r="63">
      <c r="A63" s="56" t="inlineStr">
        <is>
          <t>inventory</t>
        </is>
      </c>
      <c r="B63" s="59" t="n">
        <v>29.8</v>
      </c>
    </row>
    <row r="64">
      <c r="A64" s="56" t="inlineStr">
        <is>
          <t>st debt</t>
        </is>
      </c>
      <c r="B64" s="59" t="n">
        <v>2</v>
      </c>
    </row>
    <row r="65">
      <c r="A65" s="56" t="inlineStr">
        <is>
          <t>lt debt</t>
        </is>
      </c>
      <c r="B65" s="59" t="n">
        <v>1</v>
      </c>
    </row>
    <row r="66">
      <c r="A66" s="56" t="inlineStr">
        <is>
          <t>nci</t>
        </is>
      </c>
      <c r="B66" s="59" t="n">
        <v>0</v>
      </c>
    </row>
    <row r="68">
      <c r="A68" s="54" t="inlineStr">
        <is>
          <t>bs annual</t>
        </is>
      </c>
      <c r="B68" s="54" t="n"/>
      <c r="C68" s="54" t="n"/>
      <c r="D68" s="54" t="n"/>
      <c r="E68" s="54" t="n"/>
      <c r="F68" s="54" t="n"/>
      <c r="G68" s="54" t="n"/>
    </row>
    <row r="69">
      <c r="A69" s="55" t="inlineStr">
        <is>
          <t>항목</t>
        </is>
      </c>
      <c r="B69" s="55" t="inlineStr">
        <is>
          <t>2022</t>
        </is>
      </c>
      <c r="C69" s="55" t="inlineStr">
        <is>
          <t>2023</t>
        </is>
      </c>
      <c r="D69" s="55" t="inlineStr">
        <is>
          <t>2024</t>
        </is>
      </c>
      <c r="E69" s="55" t="inlineStr">
        <is>
          <t>2025</t>
        </is>
      </c>
      <c r="F69" s="55" t="inlineStr">
        <is>
          <t>2026</t>
        </is>
      </c>
      <c r="G69" s="55" t="inlineStr">
        <is>
          <t>출처</t>
        </is>
      </c>
    </row>
    <row r="70">
      <c r="A70" s="56" t="inlineStr">
        <is>
          <t>labels</t>
        </is>
      </c>
      <c r="B70" s="57" t="n">
        <v>2022</v>
      </c>
      <c r="C70" s="57" t="n">
        <v>2023</v>
      </c>
      <c r="D70" s="57" t="n">
        <v>2024</v>
      </c>
      <c r="E70" s="57" t="n">
        <v>2025</v>
      </c>
      <c r="F70" s="57" t="n">
        <v>2026</v>
      </c>
      <c r="G70" s="58" t="inlineStr">
        <is>
          <t>2단계 보고서 자료(회사 설명회 자료·공시)</t>
        </is>
      </c>
    </row>
    <row r="71">
      <c r="A71" s="56" t="inlineStr">
        <is>
          <t>current assets</t>
        </is>
      </c>
      <c r="B71" s="59" t="n">
        <v>138.9</v>
      </c>
      <c r="C71" s="59" t="n">
        <v>135.4</v>
      </c>
      <c r="D71" s="59" t="n">
        <v>132.4</v>
      </c>
      <c r="E71" s="59" t="n">
        <v>128.8</v>
      </c>
      <c r="F71" s="59" t="n">
        <v>119.3</v>
      </c>
    </row>
    <row r="72">
      <c r="A72" s="56" t="inlineStr">
        <is>
          <t>cash</t>
        </is>
      </c>
      <c r="B72" s="59" t="n">
        <v>61.1</v>
      </c>
      <c r="C72" s="59" t="n">
        <v>55.3</v>
      </c>
      <c r="D72" s="59" t="n">
        <v>53.4</v>
      </c>
      <c r="E72" s="59" t="n">
        <v>54.5</v>
      </c>
      <c r="F72" s="59" t="n">
        <v>50.7</v>
      </c>
    </row>
    <row r="73">
      <c r="A73" s="56" t="inlineStr">
        <is>
          <t>st fin</t>
        </is>
      </c>
      <c r="B73" s="60" t="n"/>
      <c r="C73" s="60" t="n"/>
      <c r="D73" s="60" t="n"/>
      <c r="E73" s="60" t="n"/>
      <c r="F73" s="60" t="n"/>
    </row>
    <row r="74">
      <c r="A74" s="56" t="inlineStr">
        <is>
          <t>receivables</t>
        </is>
      </c>
      <c r="B74" s="59" t="n">
        <v>26.7</v>
      </c>
      <c r="C74" s="59" t="n">
        <v>25.7</v>
      </c>
      <c r="D74" s="59" t="n">
        <v>25</v>
      </c>
      <c r="E74" s="59" t="n">
        <v>22.6</v>
      </c>
      <c r="F74" s="59" t="n">
        <v>28.7</v>
      </c>
    </row>
    <row r="75">
      <c r="A75" s="56" t="inlineStr">
        <is>
          <t>inventory</t>
        </is>
      </c>
      <c r="B75" s="59" t="n">
        <v>42.1</v>
      </c>
      <c r="C75" s="59" t="n">
        <v>44.5</v>
      </c>
      <c r="D75" s="59" t="n">
        <v>43.9</v>
      </c>
      <c r="E75" s="59" t="n">
        <v>38.1</v>
      </c>
      <c r="F75" s="59" t="n">
        <v>28</v>
      </c>
    </row>
    <row r="76">
      <c r="A76" s="56" t="inlineStr">
        <is>
          <t>noncurrent assets</t>
        </is>
      </c>
      <c r="B76" s="59" t="n">
        <v>47.4</v>
      </c>
      <c r="C76" s="59" t="n">
        <v>52.9</v>
      </c>
      <c r="D76" s="59" t="n">
        <v>53.9</v>
      </c>
      <c r="E76" s="59" t="n">
        <v>44.4</v>
      </c>
      <c r="F76" s="59" t="n">
        <v>45.8</v>
      </c>
    </row>
    <row r="77">
      <c r="A77" s="56" t="inlineStr">
        <is>
          <t>ppe</t>
        </is>
      </c>
      <c r="B77" s="59" t="n">
        <v>36</v>
      </c>
      <c r="C77" s="59" t="n">
        <v>39.2</v>
      </c>
      <c r="D77" s="59" t="n">
        <v>38.2</v>
      </c>
      <c r="E77" s="59" t="n">
        <v>36.7</v>
      </c>
      <c r="F77" s="59" t="n">
        <v>38.4</v>
      </c>
    </row>
    <row r="78">
      <c r="A78" s="56" t="inlineStr">
        <is>
          <t>intangibles</t>
        </is>
      </c>
      <c r="B78" s="59" t="n">
        <v>1.3</v>
      </c>
      <c r="C78" s="59" t="n">
        <v>2.1</v>
      </c>
      <c r="D78" s="59" t="n">
        <v>3</v>
      </c>
      <c r="E78" s="59" t="n">
        <v>2</v>
      </c>
      <c r="F78" s="59" t="n">
        <v>1.1</v>
      </c>
    </row>
    <row r="79">
      <c r="A79" s="56" t="inlineStr">
        <is>
          <t>inv property</t>
        </is>
      </c>
      <c r="B79" s="60" t="n"/>
      <c r="C79" s="60" t="n"/>
      <c r="D79" s="60" t="n"/>
      <c r="E79" s="60" t="n"/>
      <c r="F79" s="60" t="n"/>
    </row>
    <row r="80">
      <c r="A80" s="56" t="inlineStr">
        <is>
          <t>합계 assets</t>
        </is>
      </c>
      <c r="B80" s="59" t="n">
        <v>186.4</v>
      </c>
      <c r="C80" s="59" t="n">
        <v>188.3</v>
      </c>
      <c r="D80" s="59" t="n">
        <v>186.3</v>
      </c>
      <c r="E80" s="59" t="n">
        <v>173.2</v>
      </c>
      <c r="F80" s="59" t="n">
        <v>165.1</v>
      </c>
    </row>
    <row r="81">
      <c r="A81" s="56" t="inlineStr">
        <is>
          <t>current liab</t>
        </is>
      </c>
      <c r="B81" s="59" t="n">
        <v>31.6</v>
      </c>
      <c r="C81" s="59" t="n">
        <v>30.6</v>
      </c>
      <c r="D81" s="59" t="n">
        <v>29.9</v>
      </c>
      <c r="E81" s="59" t="n">
        <v>31.7</v>
      </c>
      <c r="F81" s="59" t="n">
        <v>19.5</v>
      </c>
    </row>
    <row r="82">
      <c r="A82" s="56" t="inlineStr">
        <is>
          <t>payables</t>
        </is>
      </c>
      <c r="B82" s="59" t="n">
        <v>6.6</v>
      </c>
      <c r="C82" s="59" t="n">
        <v>5.2</v>
      </c>
      <c r="D82" s="59" t="n">
        <v>4.3</v>
      </c>
      <c r="E82" s="59" t="n">
        <v>2.8</v>
      </c>
      <c r="F82" s="59" t="n">
        <v>3.6</v>
      </c>
    </row>
    <row r="83">
      <c r="A83" s="56" t="inlineStr">
        <is>
          <t>st debt</t>
        </is>
      </c>
      <c r="B83" s="59" t="n">
        <v>3.2</v>
      </c>
      <c r="C83" s="59" t="n">
        <v>2.2</v>
      </c>
      <c r="D83" s="59" t="n">
        <v>2.1</v>
      </c>
      <c r="E83" s="59" t="n">
        <v>11.1</v>
      </c>
      <c r="F83" s="59" t="n">
        <v>0</v>
      </c>
    </row>
    <row r="84">
      <c r="A84" s="56" t="inlineStr">
        <is>
          <t>noncurrent liab</t>
        </is>
      </c>
      <c r="B84" s="59" t="n">
        <v>20.6</v>
      </c>
      <c r="C84" s="59" t="n">
        <v>20.5</v>
      </c>
      <c r="D84" s="59" t="n">
        <v>17</v>
      </c>
      <c r="E84" s="59" t="n">
        <v>4.8</v>
      </c>
      <c r="F84" s="59" t="n">
        <v>5.3</v>
      </c>
    </row>
    <row r="85">
      <c r="A85" s="56" t="inlineStr">
        <is>
          <t>lt debt</t>
        </is>
      </c>
      <c r="B85" s="59" t="n">
        <v>15.3</v>
      </c>
      <c r="C85" s="59" t="n">
        <v>15.1</v>
      </c>
      <c r="D85" s="59" t="n">
        <v>14.1</v>
      </c>
      <c r="E85" s="59" t="n">
        <v>3</v>
      </c>
      <c r="F85" s="59" t="n">
        <v>3</v>
      </c>
    </row>
    <row r="86">
      <c r="A86" s="56" t="inlineStr">
        <is>
          <t>bonds</t>
        </is>
      </c>
      <c r="B86" s="59" t="n">
        <v>3</v>
      </c>
      <c r="C86" s="59" t="n">
        <v>3</v>
      </c>
      <c r="D86" s="59" t="n">
        <v>0</v>
      </c>
      <c r="E86" s="60" t="n"/>
      <c r="F86" s="60" t="n"/>
    </row>
    <row r="87">
      <c r="A87" s="56" t="inlineStr">
        <is>
          <t>합계 liab</t>
        </is>
      </c>
      <c r="B87" s="59" t="n">
        <v>52.2</v>
      </c>
      <c r="C87" s="59" t="n">
        <v>51.1</v>
      </c>
      <c r="D87" s="59" t="n">
        <v>46.9</v>
      </c>
      <c r="E87" s="59" t="n">
        <v>36.5</v>
      </c>
      <c r="F87" s="59" t="n">
        <v>24.7</v>
      </c>
    </row>
    <row r="88">
      <c r="A88" s="56" t="inlineStr">
        <is>
          <t>capital stock</t>
        </is>
      </c>
      <c r="B88" s="59" t="n">
        <v>33.2</v>
      </c>
      <c r="C88" s="59" t="n">
        <v>33.2</v>
      </c>
      <c r="D88" s="59" t="n">
        <v>33.2</v>
      </c>
      <c r="E88" s="59" t="n">
        <v>33.2</v>
      </c>
      <c r="F88" s="59" t="n">
        <v>33.2</v>
      </c>
    </row>
    <row r="89">
      <c r="A89" s="56" t="inlineStr">
        <is>
          <t>retained</t>
        </is>
      </c>
      <c r="B89" s="59" t="n">
        <v>72.8</v>
      </c>
      <c r="C89" s="59" t="n">
        <v>75.2</v>
      </c>
      <c r="D89" s="59" t="n">
        <v>76.40000000000001</v>
      </c>
      <c r="E89" s="59" t="n">
        <v>78.90000000000001</v>
      </c>
      <c r="F89" s="59" t="n">
        <v>83.2</v>
      </c>
    </row>
    <row r="90">
      <c r="A90" s="56" t="inlineStr">
        <is>
          <t>nci</t>
        </is>
      </c>
      <c r="B90" s="59" t="n">
        <v>13.8</v>
      </c>
      <c r="C90" s="59" t="n">
        <v>13.2</v>
      </c>
      <c r="D90" s="59" t="n">
        <v>13</v>
      </c>
      <c r="E90" s="59" t="n">
        <v>11</v>
      </c>
      <c r="F90" s="59" t="n">
        <v>10.1</v>
      </c>
    </row>
    <row r="91">
      <c r="A91" s="56" t="inlineStr">
        <is>
          <t>합계 equity</t>
        </is>
      </c>
      <c r="B91" s="59" t="n">
        <v>134.2</v>
      </c>
      <c r="C91" s="59" t="n">
        <v>137.2</v>
      </c>
      <c r="D91" s="59" t="n">
        <v>139.4</v>
      </c>
      <c r="E91" s="59" t="n">
        <v>136.7</v>
      </c>
      <c r="F91" s="59" t="n">
        <v>140.4</v>
      </c>
    </row>
    <row r="92">
      <c r="A92" s="56" t="inlineStr">
        <is>
          <t>current ltd</t>
        </is>
      </c>
      <c r="B92" s="59" t="n">
        <v>1</v>
      </c>
      <c r="C92" s="59" t="n">
        <v>0</v>
      </c>
      <c r="D92" s="59" t="n">
        <v>3</v>
      </c>
      <c r="E92" s="60" t="n"/>
      <c r="F92" s="60" t="n"/>
    </row>
    <row r="93">
      <c r="A93" s="56" t="inlineStr">
        <is>
          <t>equity owner</t>
        </is>
      </c>
      <c r="B93" s="59" t="n">
        <v>120.4</v>
      </c>
      <c r="C93" s="59" t="n">
        <v>124</v>
      </c>
      <c r="D93" s="59" t="n">
        <v>126.4</v>
      </c>
      <c r="E93" s="59" t="n">
        <v>125.6</v>
      </c>
      <c r="F93" s="59" t="n">
        <v>130.3</v>
      </c>
    </row>
    <row r="95">
      <c r="A95" s="54" t="inlineStr">
        <is>
          <t>cf annual</t>
        </is>
      </c>
      <c r="B95" s="54" t="n"/>
      <c r="C95" s="54" t="n"/>
      <c r="D95" s="54" t="n"/>
      <c r="E95" s="54" t="n"/>
      <c r="F95" s="54" t="n"/>
      <c r="G95" s="54" t="n"/>
    </row>
    <row r="96">
      <c r="A96" s="55" t="inlineStr">
        <is>
          <t>항목</t>
        </is>
      </c>
      <c r="B96" s="55" t="inlineStr">
        <is>
          <t>2022</t>
        </is>
      </c>
      <c r="C96" s="55" t="inlineStr">
        <is>
          <t>2023</t>
        </is>
      </c>
      <c r="D96" s="55" t="inlineStr">
        <is>
          <t>2024</t>
        </is>
      </c>
      <c r="E96" s="55" t="inlineStr">
        <is>
          <t>2025</t>
        </is>
      </c>
      <c r="F96" s="55" t="inlineStr">
        <is>
          <t>2026</t>
        </is>
      </c>
      <c r="G96" s="55" t="inlineStr">
        <is>
          <t>출처</t>
        </is>
      </c>
    </row>
    <row r="97">
      <c r="A97" s="56" t="inlineStr">
        <is>
          <t>labels</t>
        </is>
      </c>
      <c r="B97" s="57" t="n">
        <v>2022</v>
      </c>
      <c r="C97" s="57" t="n">
        <v>2023</v>
      </c>
      <c r="D97" s="57" t="n">
        <v>2024</v>
      </c>
      <c r="E97" s="57" t="n">
        <v>2025</v>
      </c>
      <c r="F97" s="57" t="n">
        <v>2026</v>
      </c>
      <c r="G97" s="58" t="inlineStr">
        <is>
          <t>2단계 보고서 자료(회사 설명회 자료·공시)</t>
        </is>
      </c>
    </row>
    <row r="98">
      <c r="A98" s="56" t="inlineStr">
        <is>
          <t>ocf</t>
        </is>
      </c>
      <c r="B98" s="59" t="n">
        <v>-5.9</v>
      </c>
      <c r="C98" s="59" t="n">
        <v>2.8</v>
      </c>
      <c r="D98" s="59" t="n">
        <v>5.3</v>
      </c>
      <c r="E98" s="59" t="n">
        <v>3.4</v>
      </c>
      <c r="F98" s="59" t="n">
        <v>14.9</v>
      </c>
    </row>
    <row r="99">
      <c r="A99" s="56" t="inlineStr">
        <is>
          <t>설비투자</t>
        </is>
      </c>
      <c r="B99" s="59" t="n">
        <v>4.3</v>
      </c>
      <c r="C99" s="59" t="n">
        <v>6.2</v>
      </c>
      <c r="D99" s="59" t="n">
        <v>4.8</v>
      </c>
      <c r="E99" s="59" t="n">
        <v>1.9</v>
      </c>
      <c r="F99" s="59" t="n">
        <v>5.1</v>
      </c>
    </row>
    <row r="100">
      <c r="A100" s="56" t="inlineStr">
        <is>
          <t>dividends</t>
        </is>
      </c>
      <c r="B100" s="59" t="n">
        <v>2.1</v>
      </c>
      <c r="C100" s="59" t="n">
        <v>2.1</v>
      </c>
      <c r="D100" s="59" t="n">
        <v>2.1</v>
      </c>
      <c r="E100" s="59" t="n">
        <v>2.2</v>
      </c>
      <c r="F100" s="59" t="n">
        <v>2.2</v>
      </c>
    </row>
    <row r="102">
      <c r="A102" s="54" t="inlineStr">
        <is>
          <t>peers · 6912 기쿠스이홀딩스(전원·시험기)</t>
        </is>
      </c>
      <c r="B102" s="54" t="n"/>
      <c r="C102" s="54" t="n"/>
      <c r="D102" s="54" t="n"/>
      <c r="E102" s="54" t="n"/>
      <c r="F102" s="54" t="n"/>
      <c r="G102" s="54" t="n"/>
    </row>
    <row r="103">
      <c r="A103" s="55" t="inlineStr">
        <is>
          <t>항목</t>
        </is>
      </c>
      <c r="B103" s="55" t="inlineStr">
        <is>
          <t>값</t>
        </is>
      </c>
      <c r="G103" s="55" t="inlineStr">
        <is>
          <t>출처</t>
        </is>
      </c>
    </row>
    <row r="104">
      <c r="A104" s="56" t="inlineStr">
        <is>
          <t>가격</t>
        </is>
      </c>
      <c r="B104" s="57" t="n">
        <v>2188</v>
      </c>
      <c r="G104" s="58" t="inlineStr">
        <is>
          <t>억 엔, 분기 단독(누계 차분). 결산월: 기쿠스이 3월·히오키 12월·코셀 5월</t>
        </is>
      </c>
    </row>
    <row r="105">
      <c r="A105" s="56" t="inlineStr">
        <is>
          <t>mcap oku</t>
        </is>
      </c>
      <c r="B105" s="57" t="n">
        <v>182</v>
      </c>
    </row>
    <row r="107">
      <c r="A107" s="54" t="inlineStr">
        <is>
          <t>peers · 6866 히오키전기(계측기)</t>
        </is>
      </c>
      <c r="B107" s="54" t="n"/>
      <c r="C107" s="54" t="n"/>
      <c r="D107" s="54" t="n"/>
      <c r="E107" s="54" t="n"/>
      <c r="F107" s="54" t="n"/>
      <c r="G107" s="54" t="n"/>
    </row>
    <row r="108">
      <c r="A108" s="55" t="inlineStr">
        <is>
          <t>항목</t>
        </is>
      </c>
      <c r="B108" s="55" t="inlineStr">
        <is>
          <t>값</t>
        </is>
      </c>
      <c r="G108" s="55" t="inlineStr">
        <is>
          <t>출처</t>
        </is>
      </c>
    </row>
    <row r="109">
      <c r="A109" s="56" t="inlineStr">
        <is>
          <t>가격</t>
        </is>
      </c>
      <c r="B109" s="57" t="n">
        <v>8880</v>
      </c>
      <c r="G109" s="58" t="inlineStr">
        <is>
          <t>억 엔, 분기 단독(누계 차분). 결산월: 기쿠스이 3월·히오키 12월·코셀 5월</t>
        </is>
      </c>
    </row>
    <row r="110">
      <c r="A110" s="56" t="inlineStr">
        <is>
          <t>mcap oku</t>
        </is>
      </c>
      <c r="B110" s="57" t="n">
        <v>1190</v>
      </c>
    </row>
    <row r="112">
      <c r="A112" s="54" t="inlineStr">
        <is>
          <t>peers · 6905 코셀(스위칭 전원)</t>
        </is>
      </c>
      <c r="B112" s="54" t="n"/>
      <c r="C112" s="54" t="n"/>
      <c r="D112" s="54" t="n"/>
      <c r="E112" s="54" t="n"/>
      <c r="F112" s="54" t="n"/>
      <c r="G112" s="54" t="n"/>
    </row>
    <row r="113">
      <c r="A113" s="55" t="inlineStr">
        <is>
          <t>항목</t>
        </is>
      </c>
      <c r="B113" s="55" t="inlineStr">
        <is>
          <t>값</t>
        </is>
      </c>
      <c r="G113" s="55" t="inlineStr">
        <is>
          <t>출처</t>
        </is>
      </c>
    </row>
    <row r="114">
      <c r="A114" s="56" t="inlineStr">
        <is>
          <t>가격</t>
        </is>
      </c>
      <c r="B114" s="57" t="n">
        <v>1251</v>
      </c>
      <c r="G114" s="58" t="inlineStr">
        <is>
          <t>억 엔, 분기 단독(누계 차분). 결산월: 기쿠스이 3월·히오키 12월·코셀 5월</t>
        </is>
      </c>
    </row>
    <row r="115">
      <c r="A115" s="56" t="inlineStr">
        <is>
          <t>mcap oku</t>
        </is>
      </c>
      <c r="B115" s="57" t="n">
        <v>515</v>
      </c>
    </row>
    <row r="117">
      <c r="A117" s="54" t="inlineStr">
        <is>
          <t>reactions</t>
        </is>
      </c>
      <c r="B117" s="54" t="n"/>
      <c r="C117" s="54" t="n"/>
      <c r="D117" s="54" t="n"/>
      <c r="E117" s="54" t="n"/>
      <c r="F117" s="54" t="n"/>
      <c r="G117" s="54" t="n"/>
    </row>
    <row r="118">
      <c r="A118" s="55" t="inlineStr">
        <is>
          <t>항목</t>
        </is>
      </c>
      <c r="B118" s="55" t="inlineStr">
        <is>
          <t>기준일</t>
        </is>
      </c>
      <c r="C118" s="55" t="inlineStr">
        <is>
          <t>다음날</t>
        </is>
      </c>
      <c r="D118" s="55" t="inlineStr">
        <is>
          <t>등락%</t>
        </is>
      </c>
      <c r="G118" s="55" t="inlineStr">
        <is>
          <t>출처</t>
        </is>
      </c>
    </row>
    <row r="119">
      <c r="A119" s="56" t="inlineStr">
        <is>
          <t>2024-10-30</t>
        </is>
      </c>
      <c r="B119" s="60" t="inlineStr">
        <is>
          <t>2024-10-30</t>
        </is>
      </c>
      <c r="C119" s="60" t="inlineStr">
        <is>
          <t>2024-10-31</t>
        </is>
      </c>
      <c r="D119" s="59" t="n">
        <v>-4.6</v>
      </c>
      <c r="G119" s="58" t="inlineStr">
        <is>
          <t>2단계 보고서 자료(회사 설명회 자료·공시)</t>
        </is>
      </c>
    </row>
    <row r="120">
      <c r="A120" s="56" t="inlineStr">
        <is>
          <t>2025-01-31</t>
        </is>
      </c>
      <c r="B120" s="60" t="inlineStr">
        <is>
          <t>2025-01-31</t>
        </is>
      </c>
      <c r="C120" s="60" t="inlineStr">
        <is>
          <t>2025-02-03</t>
        </is>
      </c>
      <c r="D120" s="59" t="n">
        <v>-1.6</v>
      </c>
    </row>
    <row r="121">
      <c r="A121" s="56" t="inlineStr">
        <is>
          <t>2025-07-31</t>
        </is>
      </c>
      <c r="B121" s="60" t="inlineStr">
        <is>
          <t>2025-07-31</t>
        </is>
      </c>
      <c r="C121" s="60" t="inlineStr">
        <is>
          <t>2025-08-01</t>
        </is>
      </c>
      <c r="D121" s="59" t="n">
        <v>0.1</v>
      </c>
    </row>
    <row r="122">
      <c r="A122" s="56" t="inlineStr">
        <is>
          <t>2025-10-30</t>
        </is>
      </c>
      <c r="B122" s="60" t="inlineStr">
        <is>
          <t>2025-10-30</t>
        </is>
      </c>
      <c r="C122" s="60" t="inlineStr">
        <is>
          <t>2025-10-31</t>
        </is>
      </c>
      <c r="D122" s="59" t="n">
        <v>-2.9</v>
      </c>
    </row>
    <row r="123">
      <c r="A123" s="56" t="inlineStr">
        <is>
          <t>2026-01-29</t>
        </is>
      </c>
      <c r="B123" s="60" t="inlineStr">
        <is>
          <t>2026-01-29</t>
        </is>
      </c>
      <c r="C123" s="60" t="inlineStr">
        <is>
          <t>2026-01-30</t>
        </is>
      </c>
      <c r="D123" s="59" t="n">
        <v>-0.3</v>
      </c>
    </row>
    <row r="124">
      <c r="A124" s="56" t="inlineStr">
        <is>
          <t>2026-05-15</t>
        </is>
      </c>
      <c r="B124" s="60" t="inlineStr">
        <is>
          <t>2026-05-15</t>
        </is>
      </c>
      <c r="C124" s="60" t="inlineStr">
        <is>
          <t>2026-05-18</t>
        </is>
      </c>
      <c r="D124" s="59" t="n">
        <v>14.1</v>
      </c>
    </row>
    <row r="125">
      <c r="A125" s="56" t="inlineStr">
        <is>
          <t>2026-07-30</t>
        </is>
      </c>
      <c r="B125" s="60" t="inlineStr">
        <is>
          <t>2026-07-30</t>
        </is>
      </c>
      <c r="C125" s="60" t="inlineStr">
        <is>
          <t>2026-07-31</t>
        </is>
      </c>
      <c r="D125" s="59" t="n">
        <v>0.6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https://www2.jpx.co.jp/disc/68640/140120261029559404.pdf</t>
        </is>
      </c>
    </row>
    <row r="5">
      <c r="A5" t="inlineStr">
        <is>
          <t>2026-07-30</t>
        </is>
      </c>
      <c r="B5" t="inlineStr">
        <is>
          <t>2027년 3월 결산기 １분기 결산단신</t>
        </is>
      </c>
      <c r="C5" t="inlineStr">
        <is>
          <t>https://www2.jpx.co.jp/disc/68640/140120260730503614.pdf</t>
        </is>
      </c>
    </row>
    <row r="6">
      <c r="A6" t="inlineStr">
        <is>
          <t>2026-05-15</t>
        </is>
      </c>
      <c r="B6" t="inlineStr">
        <is>
          <t>2026년 3월 결산기 연간 결산단신</t>
        </is>
      </c>
      <c r="C6" t="inlineStr">
        <is>
          <t>https://www2.jpx.co.jp/disc/68640/140120260515536437.pdf</t>
        </is>
      </c>
    </row>
    <row r="7">
      <c r="A7" t="inlineStr">
        <is>
          <t>2026-01-29</t>
        </is>
      </c>
      <c r="B7" t="inlineStr">
        <is>
          <t>2026년 3월 결산기 ３분기 결산단신</t>
        </is>
      </c>
      <c r="C7" t="inlineStr">
        <is>
          <t>https://www2.jpx.co.jp/disc/68640/140120260128540488.pdf</t>
        </is>
      </c>
    </row>
    <row r="8">
      <c r="A8" t="inlineStr">
        <is>
          <t>2025-10-30</t>
        </is>
      </c>
      <c r="B8" t="inlineStr">
        <is>
          <t>2026년 3월 결산기 ２분기 결산단신</t>
        </is>
      </c>
      <c r="C8" t="inlineStr">
        <is>
          <t>https://www2.jpx.co.jp/disc/68640/140120251030583208.pdf</t>
        </is>
      </c>
    </row>
    <row r="9">
      <c r="A9" t="inlineStr">
        <is>
          <t>2025-07-31</t>
        </is>
      </c>
      <c r="B9" t="inlineStr">
        <is>
          <t>2026년 3월 결산기 １분기 결산단신</t>
        </is>
      </c>
      <c r="C9" t="inlineStr">
        <is>
          <t>https://www2.jpx.co.jp/disc/68640/140120250730524509.pdf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https://www2.jpx.co.jp/disc/68640/140120250115550920.pdf</t>
        </is>
      </c>
    </row>
    <row r="11">
      <c r="A11" t="inlineStr">
        <is>
          <t>2024-10-30</t>
        </is>
      </c>
      <c r="B11" t="inlineStr">
        <is>
          <t>2025년 3월 결산기 ２분기 결산단신</t>
        </is>
      </c>
      <c r="C11" t="inlineStr">
        <is>
          <t>https://www2.jpx.co.jp/disc/68640/140120241030505838.pdf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https://www2.jpx.co.jp/disc/68640/140120240729556403.pdf</t>
        </is>
      </c>
    </row>
    <row r="13">
      <c r="A13" t="inlineStr">
        <is>
          <t>2024-05-14</t>
        </is>
      </c>
      <c r="B13" t="inlineStr">
        <is>
          <t>2024년 3월 결산기 연간 결산단신</t>
        </is>
      </c>
      <c r="C13" t="inlineStr">
        <is>
          <t>https://www2.jpx.co.jp/disc/68640/140120240422574164.pdf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https://www2.jpx.co.jp/disc/68640/140120240131522815.pdf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https://www2.jpx.co.jp/disc/68640/140120231030574392.pdf</t>
        </is>
      </c>
    </row>
    <row r="16">
      <c r="A16" t="inlineStr">
        <is>
          <t>2023-07-26</t>
        </is>
      </c>
      <c r="B16" t="inlineStr">
        <is>
          <t>2024년 3월 결산기 １분기 결산단신</t>
        </is>
      </c>
      <c r="C16" t="inlineStr">
        <is>
          <t>https://www2.jpx.co.jp/disc/68640/140120230726527139.pdf</t>
        </is>
      </c>
    </row>
    <row r="17">
      <c r="A17" t="inlineStr">
        <is>
          <t>2023-05-12</t>
        </is>
      </c>
      <c r="B17" t="inlineStr">
        <is>
          <t>2023년 3월 결산기 연간 결산단신</t>
        </is>
      </c>
      <c r="C17" t="inlineStr">
        <is>
          <t>https://www2.jpx.co.jp/disc/68640/140120230424551401.pdf</t>
        </is>
      </c>
    </row>
    <row r="18">
      <c r="A18" t="inlineStr">
        <is>
          <t>2023-01-30</t>
        </is>
      </c>
      <c r="B18" t="inlineStr">
        <is>
          <t>2023년 3월 결산기 ３분기 결산단신</t>
        </is>
      </c>
      <c r="C18" t="inlineStr">
        <is>
          <t>https://www2.jpx.co.jp/disc/68640/140120230130595737.pdf</t>
        </is>
      </c>
    </row>
    <row r="19">
      <c r="A19" t="inlineStr">
        <is>
          <t>2022-10-27</t>
        </is>
      </c>
      <c r="B19" t="inlineStr">
        <is>
          <t>2023년 3월 결산기 ２분기 결산단신</t>
        </is>
      </c>
      <c r="C19" t="inlineStr">
        <is>
          <t>https://www2.jpx.co.jp/disc/68640/140120221027550385.pdf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https://www2.jpx.co.jp/disc/68640/140120220513546016.pdf</t>
        </is>
      </c>
    </row>
    <row r="21">
      <c r="A21" t="inlineStr">
        <is>
          <t>2021-05-13</t>
        </is>
      </c>
      <c r="B21" t="inlineStr">
        <is>
          <t>2021년 3월 결산기 연간 결산단신</t>
        </is>
      </c>
      <c r="C21" t="inlineStr">
        <is>
          <t>https://www2.jpx.co.jp/disc/68640/140120210513415230.pdf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https://www2.jpx.co.jp/disc/68640/140120200514414813.pdf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https://www2.jpx.co.jp/disc/68640/140120190515427063.pdf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https://www2.jpx.co.jp/disc/68640/140120180514438168.pdf</t>
        </is>
      </c>
    </row>
    <row r="25">
      <c r="A25" t="inlineStr">
        <is>
          <t>2017-05-15</t>
        </is>
      </c>
      <c r="B25" t="inlineStr">
        <is>
          <t>연간 결산단신</t>
        </is>
      </c>
      <c r="C25" t="inlineStr">
        <is>
          <t>https://www2.jpx.co.jp/disc/68640/140120170514472283.pdf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2" t="inlineStr">
        <is>
          <t>6864 재무제표 한눈에 보기 — 최근 40개 분기(달력 분기, 3Q26 = 26.7~9) · 단위 억 엔</t>
        </is>
      </c>
    </row>
    <row r="2">
      <c r="A2" s="63" t="inlineStr">
        <is>
          <t>출처: 매출·영업이익 결산단신 XBRL · 재무상태표 등 결산단신 XBRL 36건(2017-10-30~2026-10-30). 부문·지역·수주·수출은 있을 때만(출처는 줄 끝). 총 차입금 = 이자 붙는 부채 전부(단기·장기 차입금, CP, 사채·전환사채, 리스부채)</t>
        </is>
      </c>
    </row>
    <row r="4">
      <c r="A4" s="64" t="inlineStr">
        <is>
          <t>항목</t>
        </is>
      </c>
      <c r="B4" s="65" t="inlineStr">
        <is>
          <t>4Q16</t>
        </is>
      </c>
      <c r="C4" s="65" t="inlineStr">
        <is>
          <t>1Q17</t>
        </is>
      </c>
      <c r="D4" s="65" t="inlineStr">
        <is>
          <t>2Q17</t>
        </is>
      </c>
      <c r="E4" s="65" t="inlineStr">
        <is>
          <t>3Q17</t>
        </is>
      </c>
      <c r="F4" s="65" t="inlineStr">
        <is>
          <t>4Q17</t>
        </is>
      </c>
      <c r="G4" s="65" t="inlineStr">
        <is>
          <t>1Q18</t>
        </is>
      </c>
      <c r="H4" s="65" t="inlineStr">
        <is>
          <t>2Q18</t>
        </is>
      </c>
      <c r="I4" s="65" t="inlineStr">
        <is>
          <t>3Q18</t>
        </is>
      </c>
      <c r="J4" s="65" t="inlineStr">
        <is>
          <t>4Q18</t>
        </is>
      </c>
      <c r="K4" s="65" t="inlineStr">
        <is>
          <t>1Q19</t>
        </is>
      </c>
      <c r="L4" s="65" t="inlineStr">
        <is>
          <t>2Q19</t>
        </is>
      </c>
      <c r="M4" s="65" t="inlineStr">
        <is>
          <t>3Q19</t>
        </is>
      </c>
      <c r="N4" s="65" t="inlineStr">
        <is>
          <t>4Q19</t>
        </is>
      </c>
      <c r="O4" s="65" t="inlineStr">
        <is>
          <t>1Q20</t>
        </is>
      </c>
      <c r="P4" s="65" t="inlineStr">
        <is>
          <t>2Q20</t>
        </is>
      </c>
      <c r="Q4" s="65" t="inlineStr">
        <is>
          <t>3Q20</t>
        </is>
      </c>
      <c r="R4" s="65" t="inlineStr">
        <is>
          <t>4Q20</t>
        </is>
      </c>
      <c r="S4" s="65" t="inlineStr">
        <is>
          <t>1Q21</t>
        </is>
      </c>
      <c r="T4" s="65" t="inlineStr">
        <is>
          <t>2Q21</t>
        </is>
      </c>
      <c r="U4" s="65" t="inlineStr">
        <is>
          <t>3Q21</t>
        </is>
      </c>
      <c r="V4" s="65" t="inlineStr">
        <is>
          <t>4Q21</t>
        </is>
      </c>
      <c r="W4" s="65" t="inlineStr">
        <is>
          <t>1Q22</t>
        </is>
      </c>
      <c r="X4" s="65" t="inlineStr">
        <is>
          <t>2Q22</t>
        </is>
      </c>
      <c r="Y4" s="65" t="inlineStr">
        <is>
          <t>3Q22</t>
        </is>
      </c>
      <c r="Z4" s="65" t="inlineStr">
        <is>
          <t>4Q22</t>
        </is>
      </c>
      <c r="AA4" s="65" t="inlineStr">
        <is>
          <t>1Q23</t>
        </is>
      </c>
      <c r="AB4" s="65" t="inlineStr">
        <is>
          <t>2Q23</t>
        </is>
      </c>
      <c r="AC4" s="65" t="inlineStr">
        <is>
          <t>3Q23</t>
        </is>
      </c>
      <c r="AD4" s="65" t="inlineStr">
        <is>
          <t>4Q23</t>
        </is>
      </c>
      <c r="AE4" s="65" t="inlineStr">
        <is>
          <t>1Q24</t>
        </is>
      </c>
      <c r="AF4" s="65" t="inlineStr">
        <is>
          <t>2Q24</t>
        </is>
      </c>
      <c r="AG4" s="65" t="inlineStr">
        <is>
          <t>3Q24</t>
        </is>
      </c>
      <c r="AH4" s="65" t="inlineStr">
        <is>
          <t>4Q24</t>
        </is>
      </c>
      <c r="AI4" s="65" t="inlineStr">
        <is>
          <t>1Q25</t>
        </is>
      </c>
      <c r="AJ4" s="65" t="inlineStr">
        <is>
          <t>2Q25</t>
        </is>
      </c>
      <c r="AK4" s="65" t="inlineStr">
        <is>
          <t>3Q25</t>
        </is>
      </c>
      <c r="AL4" s="65" t="inlineStr">
        <is>
          <t>4Q25</t>
        </is>
      </c>
      <c r="AM4" s="65" t="inlineStr">
        <is>
          <t>1Q26</t>
        </is>
      </c>
      <c r="AN4" s="65" t="inlineStr">
        <is>
          <t>2Q26</t>
        </is>
      </c>
      <c r="AO4" s="65" t="inlineStr">
        <is>
          <t>3Q26</t>
        </is>
      </c>
      <c r="AP4" s="64" t="inlineStr">
        <is>
          <t>출처</t>
        </is>
      </c>
    </row>
    <row r="5">
      <c r="A5" s="66" t="inlineStr">
        <is>
          <t>매출액</t>
        </is>
      </c>
      <c r="B5" s="67" t="n">
        <v>12.7</v>
      </c>
      <c r="C5" s="67" t="n">
        <v>23.2</v>
      </c>
      <c r="D5" s="67" t="n">
        <v>15.7</v>
      </c>
      <c r="E5" s="67" t="n">
        <v>22.5</v>
      </c>
      <c r="F5" s="67" t="n">
        <v>26.4</v>
      </c>
      <c r="G5" s="67" t="n">
        <v>36.4</v>
      </c>
      <c r="H5" s="67" t="n">
        <v>21.2</v>
      </c>
      <c r="I5" s="67" t="n">
        <v>29.2</v>
      </c>
      <c r="J5" s="67" t="n">
        <v>28.5</v>
      </c>
      <c r="K5" s="67" t="n">
        <v>41.2</v>
      </c>
      <c r="L5" s="67" t="n">
        <v>28.9</v>
      </c>
      <c r="M5" s="67" t="n">
        <v>33</v>
      </c>
      <c r="N5" s="67" t="n">
        <v>30.9</v>
      </c>
      <c r="O5" s="67" t="n">
        <v>39.5</v>
      </c>
      <c r="P5" s="67" t="n">
        <v>21.8</v>
      </c>
      <c r="Q5" s="67" t="n">
        <v>26</v>
      </c>
      <c r="R5" s="67" t="n">
        <v>26</v>
      </c>
      <c r="S5" s="67" t="n">
        <v>32.8</v>
      </c>
      <c r="T5" s="67" t="n">
        <v>22.8</v>
      </c>
      <c r="U5" s="67" t="n">
        <v>22.6</v>
      </c>
      <c r="V5" s="67" t="n">
        <v>24.1</v>
      </c>
      <c r="W5" s="67" t="n">
        <v>32</v>
      </c>
      <c r="X5" s="67" t="n">
        <v>18.3</v>
      </c>
      <c r="Y5" s="67" t="n">
        <v>23.6</v>
      </c>
      <c r="Z5" s="67" t="n">
        <v>24.3</v>
      </c>
      <c r="AA5" s="67" t="n">
        <v>30.2</v>
      </c>
      <c r="AB5" s="67" t="n">
        <v>23.6</v>
      </c>
      <c r="AC5" s="67" t="n">
        <v>30</v>
      </c>
      <c r="AD5" s="67" t="n">
        <v>15</v>
      </c>
      <c r="AE5" s="67" t="n">
        <v>25.4</v>
      </c>
      <c r="AF5" s="67" t="n">
        <v>18.8</v>
      </c>
      <c r="AG5" s="67" t="n">
        <v>22.1</v>
      </c>
      <c r="AH5" s="67" t="n">
        <v>20.3</v>
      </c>
      <c r="AI5" s="67" t="n">
        <v>29.7</v>
      </c>
      <c r="AJ5" s="67" t="n">
        <v>20.7</v>
      </c>
      <c r="AK5" s="67" t="n">
        <v>19</v>
      </c>
      <c r="AL5" s="67" t="n">
        <v>19.4</v>
      </c>
      <c r="AM5" s="67" t="n">
        <v>32.2</v>
      </c>
      <c r="AN5" s="67" t="n">
        <v>19.5</v>
      </c>
      <c r="AO5" s="67" t="n">
        <v>25.5</v>
      </c>
    </row>
    <row r="6">
      <c r="A6" s="66" t="inlineStr">
        <is>
          <t>매출액 YoY</t>
        </is>
      </c>
      <c r="B6" s="68" t="n"/>
      <c r="C6" s="68" t="n"/>
      <c r="D6" s="68" t="n"/>
      <c r="E6" s="68" t="n"/>
      <c r="F6" s="68" t="n">
        <v>107.9</v>
      </c>
      <c r="G6" s="68" t="n">
        <v>56.9</v>
      </c>
      <c r="H6" s="68" t="n">
        <v>35</v>
      </c>
      <c r="I6" s="68" t="n">
        <v>29.8</v>
      </c>
      <c r="J6" s="68" t="n">
        <v>8</v>
      </c>
      <c r="K6" s="68" t="n">
        <v>13.2</v>
      </c>
      <c r="L6" s="68" t="n">
        <v>36.3</v>
      </c>
      <c r="M6" s="68" t="n">
        <v>13</v>
      </c>
      <c r="N6" s="68" t="n">
        <v>8.4</v>
      </c>
      <c r="O6" s="68" t="n">
        <v>-4.1</v>
      </c>
      <c r="P6" s="68" t="n">
        <v>-24.6</v>
      </c>
      <c r="Q6" s="68" t="n">
        <v>-21.2</v>
      </c>
      <c r="R6" s="68" t="n">
        <v>-15.9</v>
      </c>
      <c r="S6" s="68" t="n">
        <v>-17</v>
      </c>
      <c r="T6" s="68" t="n">
        <v>4.6</v>
      </c>
      <c r="U6" s="68" t="n">
        <v>-13.1</v>
      </c>
      <c r="V6" s="68" t="n">
        <v>-7.3</v>
      </c>
      <c r="W6" s="68" t="n">
        <v>-2.4</v>
      </c>
      <c r="X6" s="68" t="n">
        <v>-19.7</v>
      </c>
      <c r="Y6" s="68" t="n">
        <v>4.4</v>
      </c>
      <c r="Z6" s="68" t="n">
        <v>0.8</v>
      </c>
      <c r="AA6" s="68" t="n">
        <v>-5.6</v>
      </c>
      <c r="AB6" s="68" t="n">
        <v>29</v>
      </c>
      <c r="AC6" s="68" t="n">
        <v>27.1</v>
      </c>
      <c r="AD6" s="68" t="n">
        <v>-38.3</v>
      </c>
      <c r="AE6" s="68" t="n">
        <v>-15.9</v>
      </c>
      <c r="AF6" s="68" t="n">
        <v>-20.3</v>
      </c>
      <c r="AG6" s="68" t="n">
        <v>-26.3</v>
      </c>
      <c r="AH6" s="68" t="n">
        <v>35.3</v>
      </c>
      <c r="AI6" s="68" t="n">
        <v>16.9</v>
      </c>
      <c r="AJ6" s="68" t="n">
        <v>10.1</v>
      </c>
      <c r="AK6" s="68" t="n">
        <v>-14</v>
      </c>
      <c r="AL6" s="68" t="n">
        <v>-4.4</v>
      </c>
      <c r="AM6" s="68" t="n">
        <v>8.4</v>
      </c>
      <c r="AN6" s="68" t="n">
        <v>-5.8</v>
      </c>
      <c r="AO6" s="68" t="n">
        <v>34.2</v>
      </c>
    </row>
    <row r="7">
      <c r="A7" s="66" t="inlineStr">
        <is>
          <t>영업이익</t>
        </is>
      </c>
      <c r="B7" s="67" t="n">
        <v>-0.2</v>
      </c>
      <c r="C7" s="67" t="n">
        <v>2.4</v>
      </c>
      <c r="D7" s="67" t="n">
        <v>-0.2</v>
      </c>
      <c r="E7" s="67" t="n">
        <v>1.4</v>
      </c>
      <c r="F7" s="67" t="n">
        <v>3.5</v>
      </c>
      <c r="G7" s="67" t="n">
        <v>6.4</v>
      </c>
      <c r="H7" s="67" t="n">
        <v>1.5</v>
      </c>
      <c r="I7" s="67" t="n">
        <v>3.4</v>
      </c>
      <c r="J7" s="67" t="n">
        <v>4</v>
      </c>
      <c r="K7" s="67" t="n">
        <v>5.3</v>
      </c>
      <c r="L7" s="67" t="n">
        <v>1.9</v>
      </c>
      <c r="M7" s="67" t="n">
        <v>3.9</v>
      </c>
      <c r="N7" s="67" t="n">
        <v>3.6</v>
      </c>
      <c r="O7" s="67" t="n">
        <v>6</v>
      </c>
      <c r="P7" s="67" t="n">
        <v>1.4</v>
      </c>
      <c r="Q7" s="67" t="n">
        <v>1.3</v>
      </c>
      <c r="R7" s="67" t="n">
        <v>2.8</v>
      </c>
      <c r="S7" s="67" t="n">
        <v>1.6</v>
      </c>
      <c r="T7" s="67" t="n">
        <v>1.5</v>
      </c>
      <c r="U7" s="67" t="n">
        <v>1.6</v>
      </c>
      <c r="V7" s="67" t="n">
        <v>3</v>
      </c>
      <c r="W7" s="67" t="n">
        <v>3.4</v>
      </c>
      <c r="X7" s="67" t="n">
        <v>-0.8</v>
      </c>
      <c r="Y7" s="67" t="n">
        <v>1.7</v>
      </c>
      <c r="Z7" s="67" t="n">
        <v>2</v>
      </c>
      <c r="AA7" s="67" t="n">
        <v>1.7</v>
      </c>
      <c r="AB7" s="67" t="n">
        <v>1.7</v>
      </c>
      <c r="AC7" s="67" t="n">
        <v>2.8</v>
      </c>
      <c r="AD7" s="67" t="n">
        <v>-1.1</v>
      </c>
      <c r="AE7" s="67" t="n">
        <v>0.8</v>
      </c>
      <c r="AF7" s="67" t="n">
        <v>0.5</v>
      </c>
      <c r="AG7" s="67" t="n">
        <v>1.5</v>
      </c>
      <c r="AH7" s="67" t="n">
        <v>0.4</v>
      </c>
      <c r="AI7" s="67" t="n">
        <v>3</v>
      </c>
      <c r="AJ7" s="67" t="n">
        <v>1.5</v>
      </c>
      <c r="AK7" s="67" t="n">
        <v>1.2</v>
      </c>
      <c r="AL7" s="67" t="n">
        <v>1</v>
      </c>
      <c r="AM7" s="67" t="n">
        <v>5.9</v>
      </c>
      <c r="AN7" s="67" t="n">
        <v>1.7</v>
      </c>
      <c r="AO7" s="67" t="n">
        <v>3.8</v>
      </c>
    </row>
    <row r="8">
      <c r="A8" s="66" t="inlineStr">
        <is>
          <t>영업이익률</t>
        </is>
      </c>
      <c r="B8" s="68" t="n">
        <v>-1.6</v>
      </c>
      <c r="C8" s="68" t="n">
        <v>10.3</v>
      </c>
      <c r="D8" s="68" t="n">
        <v>-1.3</v>
      </c>
      <c r="E8" s="68" t="n">
        <v>6.2</v>
      </c>
      <c r="F8" s="68" t="n">
        <v>13.3</v>
      </c>
      <c r="G8" s="68" t="n">
        <v>17.6</v>
      </c>
      <c r="H8" s="68" t="n">
        <v>7.1</v>
      </c>
      <c r="I8" s="68" t="n">
        <v>11.6</v>
      </c>
      <c r="J8" s="68" t="n">
        <v>14</v>
      </c>
      <c r="K8" s="68" t="n">
        <v>12.9</v>
      </c>
      <c r="L8" s="68" t="n">
        <v>6.6</v>
      </c>
      <c r="M8" s="68" t="n">
        <v>11.8</v>
      </c>
      <c r="N8" s="68" t="n">
        <v>11.7</v>
      </c>
      <c r="O8" s="68" t="n">
        <v>15.2</v>
      </c>
      <c r="P8" s="68" t="n">
        <v>6.4</v>
      </c>
      <c r="Q8" s="68" t="n">
        <v>5</v>
      </c>
      <c r="R8" s="68" t="n">
        <v>10.8</v>
      </c>
      <c r="S8" s="68" t="n">
        <v>4.9</v>
      </c>
      <c r="T8" s="68" t="n">
        <v>6.6</v>
      </c>
      <c r="U8" s="68" t="n">
        <v>7.1</v>
      </c>
      <c r="V8" s="68" t="n">
        <v>12.4</v>
      </c>
      <c r="W8" s="68" t="n">
        <v>10.6</v>
      </c>
      <c r="X8" s="68" t="n">
        <v>-4.4</v>
      </c>
      <c r="Y8" s="68" t="n">
        <v>7.2</v>
      </c>
      <c r="Z8" s="68" t="n">
        <v>8.199999999999999</v>
      </c>
      <c r="AA8" s="68" t="n">
        <v>5.6</v>
      </c>
      <c r="AB8" s="68" t="n">
        <v>7.2</v>
      </c>
      <c r="AC8" s="68" t="n">
        <v>9.300000000000001</v>
      </c>
      <c r="AD8" s="68" t="n">
        <v>-7.3</v>
      </c>
      <c r="AE8" s="68" t="n">
        <v>3.1</v>
      </c>
      <c r="AF8" s="68" t="n">
        <v>2.7</v>
      </c>
      <c r="AG8" s="68" t="n">
        <v>6.8</v>
      </c>
      <c r="AH8" s="68" t="n">
        <v>2</v>
      </c>
      <c r="AI8" s="68" t="n">
        <v>10.1</v>
      </c>
      <c r="AJ8" s="68" t="n">
        <v>7.2</v>
      </c>
      <c r="AK8" s="68" t="n">
        <v>6.3</v>
      </c>
      <c r="AL8" s="68" t="n">
        <v>5.2</v>
      </c>
      <c r="AM8" s="68" t="n">
        <v>18.3</v>
      </c>
      <c r="AN8" s="68" t="n">
        <v>8.699999999999999</v>
      </c>
      <c r="AO8" s="68" t="n">
        <v>14.9</v>
      </c>
    </row>
    <row r="9">
      <c r="A9" s="66" t="inlineStr">
        <is>
          <t>영업이익 YoY</t>
        </is>
      </c>
      <c r="B9" s="68" t="n"/>
      <c r="C9" s="68" t="n"/>
      <c r="D9" s="68" t="n"/>
      <c r="E9" s="68" t="n"/>
      <c r="F9" s="68" t="n"/>
      <c r="G9" s="68" t="n">
        <v>166.7</v>
      </c>
      <c r="H9" s="68" t="n"/>
      <c r="I9" s="68" t="n">
        <v>142.9</v>
      </c>
      <c r="J9" s="68" t="n">
        <v>14.3</v>
      </c>
      <c r="K9" s="68" t="n">
        <v>-17.2</v>
      </c>
      <c r="L9" s="68" t="n">
        <v>26.7</v>
      </c>
      <c r="M9" s="68" t="n">
        <v>14.7</v>
      </c>
      <c r="N9" s="68" t="n">
        <v>-10</v>
      </c>
      <c r="O9" s="68" t="n">
        <v>13.2</v>
      </c>
      <c r="P9" s="68" t="n">
        <v>-26.3</v>
      </c>
      <c r="Q9" s="68" t="n">
        <v>-66.7</v>
      </c>
      <c r="R9" s="68" t="n">
        <v>-22.2</v>
      </c>
      <c r="S9" s="68" t="n">
        <v>-73.3</v>
      </c>
      <c r="T9" s="68" t="n">
        <v>7.1</v>
      </c>
      <c r="U9" s="68" t="n">
        <v>23.1</v>
      </c>
      <c r="V9" s="68" t="n">
        <v>7.1</v>
      </c>
      <c r="W9" s="68" t="n">
        <v>112.5</v>
      </c>
      <c r="X9" s="68" t="n">
        <v>-153.3</v>
      </c>
      <c r="Y9" s="68" t="n">
        <v>6.2</v>
      </c>
      <c r="Z9" s="68" t="n">
        <v>-33.3</v>
      </c>
      <c r="AA9" s="68" t="n">
        <v>-50</v>
      </c>
      <c r="AB9" s="68" t="n"/>
      <c r="AC9" s="68" t="n">
        <v>64.7</v>
      </c>
      <c r="AD9" s="68" t="n">
        <v>-155</v>
      </c>
      <c r="AE9" s="68" t="n">
        <v>-52.9</v>
      </c>
      <c r="AF9" s="68" t="n">
        <v>-70.59999999999999</v>
      </c>
      <c r="AG9" s="68" t="n">
        <v>-46.4</v>
      </c>
      <c r="AH9" s="68" t="n"/>
      <c r="AI9" s="68" t="n">
        <v>275</v>
      </c>
      <c r="AJ9" s="68" t="n">
        <v>200</v>
      </c>
      <c r="AK9" s="68" t="n">
        <v>-20</v>
      </c>
      <c r="AL9" s="68" t="n">
        <v>150</v>
      </c>
      <c r="AM9" s="68" t="n">
        <v>96.7</v>
      </c>
      <c r="AN9" s="68" t="n">
        <v>13.3</v>
      </c>
      <c r="AO9" s="68" t="n">
        <v>216.7</v>
      </c>
    </row>
    <row r="10">
      <c r="A10" s="66" t="inlineStr">
        <is>
          <t>유동자산</t>
        </is>
      </c>
      <c r="B10" s="67" t="n"/>
      <c r="C10" s="67" t="n">
        <v>77.40000000000001</v>
      </c>
      <c r="D10" s="67" t="n"/>
      <c r="E10" s="67" t="n">
        <v>81</v>
      </c>
      <c r="F10" s="67" t="n">
        <v>91</v>
      </c>
      <c r="G10" s="67" t="n">
        <v>107.1</v>
      </c>
      <c r="H10" s="67" t="n">
        <v>95.09999999999999</v>
      </c>
      <c r="I10" s="67" t="n">
        <v>95.40000000000001</v>
      </c>
      <c r="J10" s="67" t="n">
        <v>107.2</v>
      </c>
      <c r="K10" s="67" t="n">
        <v>120.8</v>
      </c>
      <c r="L10" s="67" t="n">
        <v>115.9</v>
      </c>
      <c r="M10" s="67" t="n">
        <v>116.6</v>
      </c>
      <c r="N10" s="67" t="n">
        <v>121.4</v>
      </c>
      <c r="O10" s="67" t="n">
        <v>138.3</v>
      </c>
      <c r="P10" s="67" t="n">
        <v>130.4</v>
      </c>
      <c r="Q10" s="67" t="n">
        <v>128.1</v>
      </c>
      <c r="R10" s="67" t="n">
        <v>137.1</v>
      </c>
      <c r="S10" s="67" t="n">
        <v>141.8</v>
      </c>
      <c r="T10" s="67" t="n">
        <v>137.9</v>
      </c>
      <c r="U10" s="67" t="n">
        <v>135.4</v>
      </c>
      <c r="V10" s="67" t="n">
        <v>140.7</v>
      </c>
      <c r="W10" s="67" t="n">
        <v>138.9</v>
      </c>
      <c r="X10" s="67" t="n">
        <v>129.5</v>
      </c>
      <c r="Y10" s="67" t="n">
        <v>131</v>
      </c>
      <c r="Z10" s="67" t="n">
        <v>134.6</v>
      </c>
      <c r="AA10" s="67" t="n">
        <v>135.4</v>
      </c>
      <c r="AB10" s="67" t="n">
        <v>128.4</v>
      </c>
      <c r="AC10" s="67" t="n">
        <v>135.8</v>
      </c>
      <c r="AD10" s="67" t="n">
        <v>131.4</v>
      </c>
      <c r="AE10" s="67" t="n">
        <v>132.4</v>
      </c>
      <c r="AF10" s="67" t="n">
        <v>126.8</v>
      </c>
      <c r="AG10" s="67" t="n">
        <v>126.6</v>
      </c>
      <c r="AH10" s="67" t="n">
        <v>130.5</v>
      </c>
      <c r="AI10" s="67" t="n">
        <v>128.8</v>
      </c>
      <c r="AJ10" s="67" t="n">
        <v>116.1</v>
      </c>
      <c r="AK10" s="67" t="n">
        <v>110.5</v>
      </c>
      <c r="AL10" s="67" t="n">
        <v>114.8</v>
      </c>
      <c r="AM10" s="67" t="n">
        <v>119.3</v>
      </c>
      <c r="AN10" s="67" t="n">
        <v>104</v>
      </c>
      <c r="AO10" s="67" t="n">
        <v>108.2</v>
      </c>
    </row>
    <row r="11">
      <c r="A11" s="66" t="inlineStr">
        <is>
          <t>유동부채</t>
        </is>
      </c>
      <c r="B11" s="67" t="n"/>
      <c r="C11" s="67" t="n">
        <v>16.8</v>
      </c>
      <c r="D11" s="67" t="n"/>
      <c r="E11" s="67" t="n">
        <v>25.6</v>
      </c>
      <c r="F11" s="67" t="n">
        <v>33.2</v>
      </c>
      <c r="G11" s="67" t="n">
        <v>47.2</v>
      </c>
      <c r="H11" s="67" t="n">
        <v>33.3</v>
      </c>
      <c r="I11" s="67" t="n">
        <v>30.2</v>
      </c>
      <c r="J11" s="67" t="n">
        <v>33.6</v>
      </c>
      <c r="K11" s="67" t="n">
        <v>49.6</v>
      </c>
      <c r="L11" s="67" t="n">
        <v>45.9</v>
      </c>
      <c r="M11" s="67" t="n">
        <v>42</v>
      </c>
      <c r="N11" s="67" t="n">
        <v>44.4</v>
      </c>
      <c r="O11" s="67" t="n">
        <v>45.9</v>
      </c>
      <c r="P11" s="67" t="n">
        <v>33.7</v>
      </c>
      <c r="Q11" s="67" t="n">
        <v>28.1</v>
      </c>
      <c r="R11" s="67" t="n">
        <v>34.4</v>
      </c>
      <c r="S11" s="67" t="n">
        <v>35.3</v>
      </c>
      <c r="T11" s="67" t="n">
        <v>33.6</v>
      </c>
      <c r="U11" s="67" t="n">
        <v>31.9</v>
      </c>
      <c r="V11" s="67" t="n">
        <v>34.2</v>
      </c>
      <c r="W11" s="67" t="n">
        <v>31.6</v>
      </c>
      <c r="X11" s="67" t="n">
        <v>25.3</v>
      </c>
      <c r="Y11" s="67" t="n">
        <v>24.6</v>
      </c>
      <c r="Z11" s="67" t="n">
        <v>26.5</v>
      </c>
      <c r="AA11" s="67" t="n">
        <v>30.6</v>
      </c>
      <c r="AB11" s="67" t="n">
        <v>24.3</v>
      </c>
      <c r="AC11" s="67" t="n">
        <v>34</v>
      </c>
      <c r="AD11" s="67" t="n">
        <v>29.7</v>
      </c>
      <c r="AE11" s="67" t="n">
        <v>29.9</v>
      </c>
      <c r="AF11" s="67" t="n">
        <v>32.2</v>
      </c>
      <c r="AG11" s="67" t="n">
        <v>29.9</v>
      </c>
      <c r="AH11" s="67" t="n">
        <v>32.9</v>
      </c>
      <c r="AI11" s="67" t="n">
        <v>31.7</v>
      </c>
      <c r="AJ11" s="67" t="n">
        <v>19.8</v>
      </c>
      <c r="AK11" s="67" t="n">
        <v>18.5</v>
      </c>
      <c r="AL11" s="67" t="n">
        <v>22.6</v>
      </c>
      <c r="AM11" s="67" t="n">
        <v>19.5</v>
      </c>
      <c r="AN11" s="67" t="n">
        <v>14.3</v>
      </c>
      <c r="AO11" s="67" t="n">
        <v>17.1</v>
      </c>
    </row>
    <row r="12">
      <c r="A12" s="66" t="inlineStr">
        <is>
          <t>부채총계</t>
        </is>
      </c>
      <c r="B12" s="67" t="n"/>
      <c r="C12" s="67" t="n">
        <v>33.8</v>
      </c>
      <c r="D12" s="67" t="n"/>
      <c r="E12" s="67" t="n">
        <v>41.9</v>
      </c>
      <c r="F12" s="67" t="n">
        <v>49.3</v>
      </c>
      <c r="G12" s="67" t="n">
        <v>63</v>
      </c>
      <c r="H12" s="67" t="n">
        <v>51</v>
      </c>
      <c r="I12" s="67" t="n">
        <v>48.9</v>
      </c>
      <c r="J12" s="67" t="n">
        <v>50.2</v>
      </c>
      <c r="K12" s="67" t="n">
        <v>63</v>
      </c>
      <c r="L12" s="67" t="n">
        <v>59.1</v>
      </c>
      <c r="M12" s="67" t="n">
        <v>60.8</v>
      </c>
      <c r="N12" s="67" t="n">
        <v>62.9</v>
      </c>
      <c r="O12" s="67" t="n">
        <v>63.9</v>
      </c>
      <c r="P12" s="67" t="n">
        <v>57</v>
      </c>
      <c r="Q12" s="67" t="n">
        <v>51.2</v>
      </c>
      <c r="R12" s="67" t="n">
        <v>54.5</v>
      </c>
      <c r="S12" s="67" t="n">
        <v>60.2</v>
      </c>
      <c r="T12" s="67" t="n">
        <v>58.6</v>
      </c>
      <c r="U12" s="67" t="n">
        <v>54.6</v>
      </c>
      <c r="V12" s="67" t="n">
        <v>57</v>
      </c>
      <c r="W12" s="67" t="n">
        <v>52.2</v>
      </c>
      <c r="X12" s="67" t="n">
        <v>45.9</v>
      </c>
      <c r="Y12" s="67" t="n">
        <v>47.1</v>
      </c>
      <c r="Z12" s="67" t="n">
        <v>49.1</v>
      </c>
      <c r="AA12" s="67" t="n">
        <v>51.1</v>
      </c>
      <c r="AB12" s="67" t="n">
        <v>45.2</v>
      </c>
      <c r="AC12" s="67" t="n">
        <v>51.7</v>
      </c>
      <c r="AD12" s="67" t="n">
        <v>47.5</v>
      </c>
      <c r="AE12" s="67" t="n">
        <v>46.9</v>
      </c>
      <c r="AF12" s="67" t="n">
        <v>41</v>
      </c>
      <c r="AG12" s="67" t="n">
        <v>37.9</v>
      </c>
      <c r="AH12" s="67" t="n">
        <v>40.9</v>
      </c>
      <c r="AI12" s="67" t="n">
        <v>36.5</v>
      </c>
      <c r="AJ12" s="67" t="n">
        <v>24.7</v>
      </c>
      <c r="AK12" s="67" t="n">
        <v>23.2</v>
      </c>
      <c r="AL12" s="67" t="n">
        <v>27.4</v>
      </c>
      <c r="AM12" s="67" t="n">
        <v>24.7</v>
      </c>
      <c r="AN12" s="67" t="n">
        <v>19.8</v>
      </c>
      <c r="AO12" s="67" t="n">
        <v>20.6</v>
      </c>
    </row>
    <row r="13">
      <c r="A13" s="66" t="inlineStr">
        <is>
          <t>자기자본</t>
        </is>
      </c>
      <c r="B13" s="68" t="n"/>
      <c r="C13" s="68" t="n">
        <v>74.3</v>
      </c>
      <c r="D13" s="68" t="n"/>
      <c r="E13" s="68" t="n">
        <v>75</v>
      </c>
      <c r="F13" s="68" t="n">
        <v>77.7</v>
      </c>
      <c r="G13" s="68" t="n">
        <v>81.59999999999999</v>
      </c>
      <c r="H13" s="68" t="n">
        <v>80.8</v>
      </c>
      <c r="I13" s="68" t="n">
        <v>83.3</v>
      </c>
      <c r="J13" s="68" t="n">
        <v>93.09999999999999</v>
      </c>
      <c r="K13" s="68" t="n">
        <v>96.8</v>
      </c>
      <c r="L13" s="68" t="n">
        <v>95.59999999999999</v>
      </c>
      <c r="M13" s="68" t="n">
        <v>98</v>
      </c>
      <c r="N13" s="68" t="n">
        <v>100.8</v>
      </c>
      <c r="O13" s="68" t="n">
        <v>118.6</v>
      </c>
      <c r="P13" s="68" t="n">
        <v>117.9</v>
      </c>
      <c r="Q13" s="68" t="n">
        <v>121.3</v>
      </c>
      <c r="R13" s="68" t="n">
        <v>126.8</v>
      </c>
      <c r="S13" s="68" t="n">
        <v>128</v>
      </c>
      <c r="T13" s="68" t="n">
        <v>127.8</v>
      </c>
      <c r="U13" s="68" t="n">
        <v>129.1</v>
      </c>
      <c r="V13" s="68" t="n">
        <v>132</v>
      </c>
      <c r="W13" s="68" t="n">
        <v>134.2</v>
      </c>
      <c r="X13" s="68" t="n">
        <v>130.8</v>
      </c>
      <c r="Y13" s="68" t="n">
        <v>132.2</v>
      </c>
      <c r="Z13" s="68" t="n">
        <v>134</v>
      </c>
      <c r="AA13" s="68" t="n">
        <v>137.2</v>
      </c>
      <c r="AB13" s="68" t="n">
        <v>136.4</v>
      </c>
      <c r="AC13" s="68" t="n">
        <v>138.7</v>
      </c>
      <c r="AD13" s="68" t="n">
        <v>137.7</v>
      </c>
      <c r="AE13" s="68" t="n">
        <v>139.4</v>
      </c>
      <c r="AF13" s="68" t="n">
        <v>137.6</v>
      </c>
      <c r="AG13" s="68" t="n">
        <v>136.3</v>
      </c>
      <c r="AH13" s="68" t="n">
        <v>136.7</v>
      </c>
      <c r="AI13" s="68" t="n">
        <v>136.7</v>
      </c>
      <c r="AJ13" s="68" t="n">
        <v>135.6</v>
      </c>
      <c r="AK13" s="68" t="n">
        <v>130.6</v>
      </c>
      <c r="AL13" s="68" t="n">
        <v>131.2</v>
      </c>
      <c r="AM13" s="68" t="n">
        <v>140.4</v>
      </c>
      <c r="AN13" s="68" t="n">
        <v>129.9</v>
      </c>
      <c r="AO13" s="68" t="n">
        <v>132.3</v>
      </c>
    </row>
    <row r="14">
      <c r="A14" s="66" t="inlineStr">
        <is>
          <t>유동비율</t>
        </is>
      </c>
      <c r="B14" s="68" t="n"/>
      <c r="C14" s="68" t="n">
        <v>460.7</v>
      </c>
      <c r="D14" s="68" t="n"/>
      <c r="E14" s="68" t="n">
        <v>316.4</v>
      </c>
      <c r="F14" s="68" t="n">
        <v>274.1</v>
      </c>
      <c r="G14" s="68" t="n">
        <v>226.9</v>
      </c>
      <c r="H14" s="68" t="n">
        <v>285.6</v>
      </c>
      <c r="I14" s="68" t="n">
        <v>315.9</v>
      </c>
      <c r="J14" s="68" t="n">
        <v>319</v>
      </c>
      <c r="K14" s="68" t="n">
        <v>243.5</v>
      </c>
      <c r="L14" s="68" t="n">
        <v>252.5</v>
      </c>
      <c r="M14" s="68" t="n">
        <v>277.6</v>
      </c>
      <c r="N14" s="68" t="n">
        <v>273.4</v>
      </c>
      <c r="O14" s="68" t="n">
        <v>301.3</v>
      </c>
      <c r="P14" s="68" t="n">
        <v>386.9</v>
      </c>
      <c r="Q14" s="68" t="n">
        <v>455.9</v>
      </c>
      <c r="R14" s="68" t="n">
        <v>398.5</v>
      </c>
      <c r="S14" s="68" t="n">
        <v>401.7</v>
      </c>
      <c r="T14" s="68" t="n">
        <v>410.4</v>
      </c>
      <c r="U14" s="68" t="n">
        <v>424.5</v>
      </c>
      <c r="V14" s="68" t="n">
        <v>411.4</v>
      </c>
      <c r="W14" s="68" t="n">
        <v>439.6</v>
      </c>
      <c r="X14" s="68" t="n">
        <v>511.9</v>
      </c>
      <c r="Y14" s="68" t="n">
        <v>532.5</v>
      </c>
      <c r="Z14" s="68" t="n">
        <v>507.9</v>
      </c>
      <c r="AA14" s="68" t="n">
        <v>442.5</v>
      </c>
      <c r="AB14" s="68" t="n">
        <v>528.4</v>
      </c>
      <c r="AC14" s="68" t="n">
        <v>399.4</v>
      </c>
      <c r="AD14" s="68" t="n">
        <v>442.4</v>
      </c>
      <c r="AE14" s="68" t="n">
        <v>442.8</v>
      </c>
      <c r="AF14" s="68" t="n">
        <v>393.8</v>
      </c>
      <c r="AG14" s="68" t="n">
        <v>423.4</v>
      </c>
      <c r="AH14" s="68" t="n">
        <v>396.7</v>
      </c>
      <c r="AI14" s="68" t="n">
        <v>406.3</v>
      </c>
      <c r="AJ14" s="68" t="n">
        <v>586.4</v>
      </c>
      <c r="AK14" s="68" t="n">
        <v>597.3</v>
      </c>
      <c r="AL14" s="68" t="n">
        <v>508</v>
      </c>
      <c r="AM14" s="68" t="n">
        <v>611.8</v>
      </c>
      <c r="AN14" s="68" t="n">
        <v>727.3</v>
      </c>
      <c r="AO14" s="68" t="n">
        <v>632.7</v>
      </c>
    </row>
    <row r="15">
      <c r="A15" s="66" t="inlineStr">
        <is>
          <t>부채비율</t>
        </is>
      </c>
      <c r="B15" s="68" t="n"/>
      <c r="C15" s="68" t="n">
        <v>45.5</v>
      </c>
      <c r="D15" s="68" t="n"/>
      <c r="E15" s="68" t="n">
        <v>55.9</v>
      </c>
      <c r="F15" s="68" t="n">
        <v>63.4</v>
      </c>
      <c r="G15" s="68" t="n">
        <v>77.2</v>
      </c>
      <c r="H15" s="68" t="n">
        <v>63.1</v>
      </c>
      <c r="I15" s="68" t="n">
        <v>58.7</v>
      </c>
      <c r="J15" s="68" t="n">
        <v>53.9</v>
      </c>
      <c r="K15" s="68" t="n">
        <v>65.09999999999999</v>
      </c>
      <c r="L15" s="68" t="n">
        <v>61.8</v>
      </c>
      <c r="M15" s="68" t="n">
        <v>62</v>
      </c>
      <c r="N15" s="68" t="n">
        <v>62.4</v>
      </c>
      <c r="O15" s="68" t="n">
        <v>53.9</v>
      </c>
      <c r="P15" s="68" t="n">
        <v>48.3</v>
      </c>
      <c r="Q15" s="68" t="n">
        <v>42.2</v>
      </c>
      <c r="R15" s="68" t="n">
        <v>43</v>
      </c>
      <c r="S15" s="68" t="n">
        <v>47</v>
      </c>
      <c r="T15" s="68" t="n">
        <v>45.9</v>
      </c>
      <c r="U15" s="68" t="n">
        <v>42.3</v>
      </c>
      <c r="V15" s="68" t="n">
        <v>43.2</v>
      </c>
      <c r="W15" s="68" t="n">
        <v>38.9</v>
      </c>
      <c r="X15" s="68" t="n">
        <v>35.1</v>
      </c>
      <c r="Y15" s="68" t="n">
        <v>35.6</v>
      </c>
      <c r="Z15" s="68" t="n">
        <v>36.6</v>
      </c>
      <c r="AA15" s="68" t="n">
        <v>37.2</v>
      </c>
      <c r="AB15" s="68" t="n">
        <v>33.1</v>
      </c>
      <c r="AC15" s="68" t="n">
        <v>37.3</v>
      </c>
      <c r="AD15" s="68" t="n">
        <v>34.5</v>
      </c>
      <c r="AE15" s="68" t="n">
        <v>33.6</v>
      </c>
      <c r="AF15" s="68" t="n">
        <v>29.8</v>
      </c>
      <c r="AG15" s="68" t="n">
        <v>27.8</v>
      </c>
      <c r="AH15" s="68" t="n">
        <v>29.9</v>
      </c>
      <c r="AI15" s="68" t="n">
        <v>26.7</v>
      </c>
      <c r="AJ15" s="68" t="n">
        <v>18.2</v>
      </c>
      <c r="AK15" s="68" t="n">
        <v>17.8</v>
      </c>
      <c r="AL15" s="68" t="n">
        <v>20.9</v>
      </c>
      <c r="AM15" s="68" t="n">
        <v>17.6</v>
      </c>
      <c r="AN15" s="68" t="n">
        <v>15.2</v>
      </c>
      <c r="AO15" s="68" t="n">
        <v>15.6</v>
      </c>
    </row>
    <row r="16">
      <c r="A16" s="66" t="inlineStr">
        <is>
          <t>순차입금/자기자본</t>
        </is>
      </c>
      <c r="B16" s="68" t="n"/>
      <c r="C16" s="68" t="n">
        <v>-13.1</v>
      </c>
      <c r="D16" s="68" t="n"/>
      <c r="E16" s="68" t="n">
        <v>-13.3</v>
      </c>
      <c r="F16" s="68" t="n">
        <v>-15.7</v>
      </c>
      <c r="G16" s="68" t="n">
        <v>-22.9</v>
      </c>
      <c r="H16" s="68" t="n">
        <v>-18.6</v>
      </c>
      <c r="I16" s="68" t="n">
        <v>-20.2</v>
      </c>
      <c r="J16" s="68" t="n">
        <v>-30.3</v>
      </c>
      <c r="K16" s="68" t="n">
        <v>-36.6</v>
      </c>
      <c r="L16" s="68" t="n">
        <v>-37.1</v>
      </c>
      <c r="M16" s="68" t="n">
        <v>-40.2</v>
      </c>
      <c r="N16" s="68" t="n">
        <v>-39.1</v>
      </c>
      <c r="O16" s="68" t="n">
        <v>-44.1</v>
      </c>
      <c r="P16" s="68" t="n">
        <v>-35.5</v>
      </c>
      <c r="Q16" s="68" t="n">
        <v>-38.2</v>
      </c>
      <c r="R16" s="68" t="n">
        <v>-41.8</v>
      </c>
      <c r="S16" s="68" t="n">
        <v>-38.3</v>
      </c>
      <c r="T16" s="68" t="n">
        <v>-32.2</v>
      </c>
      <c r="U16" s="68" t="n">
        <v>-31.8</v>
      </c>
      <c r="V16" s="68" t="n">
        <v>-32.7</v>
      </c>
      <c r="W16" s="68" t="n">
        <v>-28.8</v>
      </c>
      <c r="X16" s="68" t="n">
        <v>-28.3</v>
      </c>
      <c r="Y16" s="68" t="n">
        <v>-23.4</v>
      </c>
      <c r="Z16" s="68" t="n">
        <v>-25.6</v>
      </c>
      <c r="AA16" s="68" t="n">
        <v>-25.5</v>
      </c>
      <c r="AB16" s="68" t="n">
        <v>-21.2</v>
      </c>
      <c r="AC16" s="68" t="n">
        <v>-27</v>
      </c>
      <c r="AD16" s="68" t="n">
        <v>-27.7</v>
      </c>
      <c r="AE16" s="68" t="n">
        <v>-24.5</v>
      </c>
      <c r="AF16" s="68" t="n">
        <v>-24.2</v>
      </c>
      <c r="AG16" s="68" t="n">
        <v>-27.1</v>
      </c>
      <c r="AH16" s="68" t="n">
        <v>-29.5</v>
      </c>
      <c r="AI16" s="68" t="n">
        <v>-29.5</v>
      </c>
      <c r="AJ16" s="68" t="n">
        <v>-28.5</v>
      </c>
      <c r="AK16" s="68" t="n">
        <v>-34.5</v>
      </c>
      <c r="AL16" s="68" t="n">
        <v>-32.2</v>
      </c>
      <c r="AM16" s="68" t="n">
        <v>-33.9</v>
      </c>
      <c r="AN16" s="68" t="n">
        <v>-36.6</v>
      </c>
      <c r="AO16" s="68" t="n">
        <v>-37.8</v>
      </c>
    </row>
    <row r="17">
      <c r="A17" s="66" t="inlineStr">
        <is>
          <t>재고자산</t>
        </is>
      </c>
      <c r="B17" s="67" t="n"/>
      <c r="C17" s="67" t="n">
        <v>19.6</v>
      </c>
      <c r="D17" s="67" t="n"/>
      <c r="E17" s="67" t="n">
        <v>20.3</v>
      </c>
      <c r="F17" s="67" t="n">
        <v>24.7</v>
      </c>
      <c r="G17" s="67" t="n">
        <v>23.3</v>
      </c>
      <c r="H17" s="67" t="n">
        <v>25.7</v>
      </c>
      <c r="I17" s="67" t="n">
        <v>25.1</v>
      </c>
      <c r="J17" s="67" t="n">
        <v>26.6</v>
      </c>
      <c r="K17" s="67" t="n">
        <v>22.7</v>
      </c>
      <c r="L17" s="67" t="n">
        <v>24.7</v>
      </c>
      <c r="M17" s="67" t="n">
        <v>25.2</v>
      </c>
      <c r="N17" s="67" t="n">
        <v>28.8</v>
      </c>
      <c r="O17" s="67" t="n">
        <v>28</v>
      </c>
      <c r="P17" s="67" t="n">
        <v>33.8</v>
      </c>
      <c r="Q17" s="67" t="n">
        <v>32.7</v>
      </c>
      <c r="R17" s="67" t="n">
        <v>34.5</v>
      </c>
      <c r="S17" s="67" t="n">
        <v>31.5</v>
      </c>
      <c r="T17" s="67" t="n">
        <v>36.2</v>
      </c>
      <c r="U17" s="67" t="n">
        <v>39.6</v>
      </c>
      <c r="V17" s="67" t="n">
        <v>45.6</v>
      </c>
      <c r="W17" s="67" t="n">
        <v>42</v>
      </c>
      <c r="X17" s="67" t="n">
        <v>45.9</v>
      </c>
      <c r="Y17" s="67" t="n">
        <v>46.9</v>
      </c>
      <c r="Z17" s="67" t="n">
        <v>48.5</v>
      </c>
      <c r="AA17" s="67" t="n">
        <v>44.5</v>
      </c>
      <c r="AB17" s="67" t="n">
        <v>44.3</v>
      </c>
      <c r="AC17" s="67" t="n">
        <v>41.3</v>
      </c>
      <c r="AD17" s="67" t="n">
        <v>46.4</v>
      </c>
      <c r="AE17" s="67" t="n">
        <v>43.9</v>
      </c>
      <c r="AF17" s="67" t="n">
        <v>45.4</v>
      </c>
      <c r="AG17" s="67" t="n">
        <v>43.8</v>
      </c>
      <c r="AH17" s="67" t="n">
        <v>44.4</v>
      </c>
      <c r="AI17" s="67" t="n">
        <v>38</v>
      </c>
      <c r="AJ17" s="67" t="n">
        <v>36.7</v>
      </c>
      <c r="AK17" s="67" t="n">
        <v>32.5</v>
      </c>
      <c r="AL17" s="67" t="n">
        <v>32.2</v>
      </c>
      <c r="AM17" s="67" t="n">
        <v>28</v>
      </c>
      <c r="AN17" s="67" t="n">
        <v>31.2</v>
      </c>
      <c r="AO17" s="67" t="n">
        <v>29.8</v>
      </c>
    </row>
    <row r="18">
      <c r="A18" s="66" t="inlineStr">
        <is>
          <t>재고자산 회전일수</t>
        </is>
      </c>
      <c r="B18" s="67" t="n"/>
      <c r="C18" s="67" t="n">
        <v>121</v>
      </c>
      <c r="D18" s="67" t="n"/>
      <c r="E18" s="67" t="n">
        <v>118</v>
      </c>
      <c r="F18" s="67" t="n">
        <v>130</v>
      </c>
      <c r="G18" s="67" t="n">
        <v>89</v>
      </c>
      <c r="H18" s="67" t="n">
        <v>168</v>
      </c>
      <c r="I18" s="67" t="n">
        <v>114</v>
      </c>
      <c r="J18" s="67" t="n">
        <v>129</v>
      </c>
      <c r="K18" s="67" t="n">
        <v>71</v>
      </c>
      <c r="L18" s="67" t="n">
        <v>108</v>
      </c>
      <c r="M18" s="67" t="n">
        <v>101</v>
      </c>
      <c r="N18" s="67" t="n">
        <v>124</v>
      </c>
      <c r="O18" s="67" t="n">
        <v>98</v>
      </c>
      <c r="P18" s="67" t="n">
        <v>212</v>
      </c>
      <c r="Q18" s="67" t="n">
        <v>161</v>
      </c>
      <c r="R18" s="67" t="n">
        <v>193</v>
      </c>
      <c r="S18" s="67" t="n">
        <v>127</v>
      </c>
      <c r="T18" s="67" t="n">
        <v>232</v>
      </c>
      <c r="U18" s="67" t="n">
        <v>234</v>
      </c>
      <c r="V18" s="67" t="n">
        <v>292</v>
      </c>
      <c r="W18" s="67" t="n">
        <v>178</v>
      </c>
      <c r="X18" s="67" t="n">
        <v>334</v>
      </c>
      <c r="Y18" s="67" t="n">
        <v>275</v>
      </c>
      <c r="Z18" s="67" t="n">
        <v>279</v>
      </c>
      <c r="AA18" s="67" t="n">
        <v>198</v>
      </c>
      <c r="AB18" s="67" t="n">
        <v>250</v>
      </c>
      <c r="AC18" s="67" t="n">
        <v>181</v>
      </c>
      <c r="AD18" s="67" t="n">
        <v>427</v>
      </c>
      <c r="AE18" s="67" t="n">
        <v>242</v>
      </c>
      <c r="AF18" s="67" t="n">
        <v>359</v>
      </c>
      <c r="AG18" s="67" t="n">
        <v>279</v>
      </c>
      <c r="AH18" s="67" t="n">
        <v>299</v>
      </c>
      <c r="AI18" s="67" t="n">
        <v>182</v>
      </c>
      <c r="AJ18" s="67" t="n">
        <v>257</v>
      </c>
      <c r="AK18" s="67" t="n">
        <v>255</v>
      </c>
      <c r="AL18" s="67" t="n">
        <v>231</v>
      </c>
      <c r="AM18" s="67" t="n">
        <v>134</v>
      </c>
      <c r="AN18" s="67" t="n">
        <v>233</v>
      </c>
      <c r="AO18" s="67" t="n">
        <v>171</v>
      </c>
    </row>
    <row r="19">
      <c r="A19" s="66" t="inlineStr">
        <is>
          <t>매출채권 회전일수</t>
        </is>
      </c>
      <c r="B19" s="67" t="n"/>
      <c r="C19" s="67" t="n">
        <v>119</v>
      </c>
      <c r="D19" s="67" t="n"/>
      <c r="E19" s="67" t="n">
        <v>123</v>
      </c>
      <c r="F19" s="67" t="n">
        <v>118</v>
      </c>
      <c r="G19" s="67" t="n">
        <v>108</v>
      </c>
      <c r="H19" s="67" t="n">
        <v>149</v>
      </c>
      <c r="I19" s="67" t="n">
        <v>113</v>
      </c>
      <c r="J19" s="67" t="n">
        <v>112</v>
      </c>
      <c r="K19" s="67" t="n">
        <v>102</v>
      </c>
      <c r="L19" s="67" t="n">
        <v>123</v>
      </c>
      <c r="M19" s="67" t="n">
        <v>83</v>
      </c>
      <c r="N19" s="67" t="n">
        <v>93</v>
      </c>
      <c r="O19" s="67" t="n">
        <v>86</v>
      </c>
      <c r="P19" s="67" t="n">
        <v>126</v>
      </c>
      <c r="Q19" s="67" t="n">
        <v>88</v>
      </c>
      <c r="R19" s="67" t="n">
        <v>88</v>
      </c>
      <c r="S19" s="67" t="n">
        <v>79</v>
      </c>
      <c r="T19" s="67" t="n">
        <v>126</v>
      </c>
      <c r="U19" s="67" t="n">
        <v>114</v>
      </c>
      <c r="V19" s="67" t="n">
        <v>109</v>
      </c>
      <c r="W19" s="67" t="n">
        <v>76</v>
      </c>
      <c r="X19" s="67" t="n">
        <v>91</v>
      </c>
      <c r="Y19" s="67" t="n">
        <v>88</v>
      </c>
      <c r="Z19" s="67" t="n">
        <v>78</v>
      </c>
      <c r="AA19" s="67" t="n">
        <v>77</v>
      </c>
      <c r="AB19" s="67" t="n">
        <v>89</v>
      </c>
      <c r="AC19" s="67" t="n">
        <v>92</v>
      </c>
      <c r="AD19" s="67" t="n">
        <v>106</v>
      </c>
      <c r="AE19" s="67" t="n">
        <v>90</v>
      </c>
      <c r="AF19" s="67" t="n">
        <v>97</v>
      </c>
      <c r="AG19" s="67" t="n">
        <v>85</v>
      </c>
      <c r="AH19" s="67" t="n">
        <v>86</v>
      </c>
      <c r="AI19" s="67" t="n">
        <v>69</v>
      </c>
      <c r="AJ19" s="67" t="n">
        <v>94</v>
      </c>
      <c r="AK19" s="67" t="n">
        <v>73</v>
      </c>
      <c r="AL19" s="67" t="n">
        <v>82</v>
      </c>
      <c r="AM19" s="67" t="n">
        <v>81</v>
      </c>
      <c r="AN19" s="67" t="n">
        <v>69</v>
      </c>
      <c r="AO19" s="67" t="n">
        <v>66</v>
      </c>
    </row>
    <row r="20">
      <c r="A20" s="66" t="inlineStr">
        <is>
          <t>매입채무 회전일수</t>
        </is>
      </c>
      <c r="B20" s="67" t="n"/>
      <c r="C20" s="67" t="n">
        <v>46</v>
      </c>
      <c r="D20" s="67" t="n"/>
      <c r="E20" s="67" t="n">
        <v>72</v>
      </c>
      <c r="F20" s="67" t="n">
        <v>107</v>
      </c>
      <c r="G20" s="67" t="n">
        <v>98</v>
      </c>
      <c r="H20" s="67" t="n">
        <v>122</v>
      </c>
      <c r="I20" s="67" t="n">
        <v>60</v>
      </c>
      <c r="J20" s="67" t="n">
        <v>63</v>
      </c>
      <c r="K20" s="67" t="n">
        <v>40</v>
      </c>
      <c r="L20" s="67" t="n">
        <v>56</v>
      </c>
      <c r="M20" s="67" t="n">
        <v>40</v>
      </c>
      <c r="N20" s="67" t="n">
        <v>61</v>
      </c>
      <c r="O20" s="67" t="n">
        <v>44</v>
      </c>
      <c r="P20" s="67" t="n">
        <v>58</v>
      </c>
      <c r="Q20" s="67" t="n">
        <v>39</v>
      </c>
      <c r="R20" s="67" t="n">
        <v>51</v>
      </c>
      <c r="S20" s="67" t="n">
        <v>40</v>
      </c>
      <c r="T20" s="67" t="n">
        <v>58</v>
      </c>
      <c r="U20" s="67" t="n">
        <v>43</v>
      </c>
      <c r="V20" s="67" t="n">
        <v>60</v>
      </c>
      <c r="W20" s="67" t="n">
        <v>28</v>
      </c>
      <c r="X20" s="67" t="n">
        <v>41</v>
      </c>
      <c r="Y20" s="67" t="n">
        <v>31</v>
      </c>
      <c r="Z20" s="67" t="n">
        <v>39</v>
      </c>
      <c r="AA20" s="67" t="n">
        <v>23</v>
      </c>
      <c r="AB20" s="67" t="n">
        <v>32</v>
      </c>
      <c r="AC20" s="67" t="n">
        <v>26</v>
      </c>
      <c r="AD20" s="67" t="n">
        <v>47</v>
      </c>
      <c r="AE20" s="67" t="n">
        <v>24</v>
      </c>
      <c r="AF20" s="67" t="n">
        <v>32</v>
      </c>
      <c r="AG20" s="67" t="n">
        <v>24</v>
      </c>
      <c r="AH20" s="67" t="n">
        <v>26</v>
      </c>
      <c r="AI20" s="67" t="n">
        <v>13</v>
      </c>
      <c r="AJ20" s="67" t="n">
        <v>16</v>
      </c>
      <c r="AK20" s="67" t="n">
        <v>19</v>
      </c>
      <c r="AL20" s="67" t="n">
        <v>20</v>
      </c>
      <c r="AM20" s="67" t="n">
        <v>17</v>
      </c>
      <c r="AN20" s="67" t="n">
        <v>28</v>
      </c>
      <c r="AO20" s="67" t="n">
        <v>18</v>
      </c>
    </row>
    <row r="21">
      <c r="A21" s="66" t="inlineStr">
        <is>
          <t>현금전환주기(CCC)</t>
        </is>
      </c>
      <c r="B21" s="67" t="n"/>
      <c r="C21" s="67" t="n">
        <v>194</v>
      </c>
      <c r="D21" s="67" t="n"/>
      <c r="E21" s="67" t="n">
        <v>169</v>
      </c>
      <c r="F21" s="67" t="n">
        <v>141</v>
      </c>
      <c r="G21" s="67" t="n">
        <v>99</v>
      </c>
      <c r="H21" s="67" t="n">
        <v>195</v>
      </c>
      <c r="I21" s="67" t="n">
        <v>167</v>
      </c>
      <c r="J21" s="67" t="n">
        <v>178</v>
      </c>
      <c r="K21" s="67" t="n">
        <v>133</v>
      </c>
      <c r="L21" s="67" t="n">
        <v>175</v>
      </c>
      <c r="M21" s="67" t="n">
        <v>144</v>
      </c>
      <c r="N21" s="67" t="n">
        <v>156</v>
      </c>
      <c r="O21" s="67" t="n">
        <v>140</v>
      </c>
      <c r="P21" s="67" t="n">
        <v>280</v>
      </c>
      <c r="Q21" s="67" t="n">
        <v>210</v>
      </c>
      <c r="R21" s="67" t="n">
        <v>230</v>
      </c>
      <c r="S21" s="67" t="n">
        <v>166</v>
      </c>
      <c r="T21" s="67" t="n">
        <v>300</v>
      </c>
      <c r="U21" s="67" t="n">
        <v>305</v>
      </c>
      <c r="V21" s="67" t="n">
        <v>341</v>
      </c>
      <c r="W21" s="67" t="n">
        <v>226</v>
      </c>
      <c r="X21" s="67" t="n">
        <v>384</v>
      </c>
      <c r="Y21" s="67" t="n">
        <v>332</v>
      </c>
      <c r="Z21" s="67" t="n">
        <v>318</v>
      </c>
      <c r="AA21" s="67" t="n">
        <v>252</v>
      </c>
      <c r="AB21" s="67" t="n">
        <v>307</v>
      </c>
      <c r="AC21" s="67" t="n">
        <v>247</v>
      </c>
      <c r="AD21" s="67" t="n">
        <v>486</v>
      </c>
      <c r="AE21" s="67" t="n">
        <v>308</v>
      </c>
      <c r="AF21" s="67" t="n">
        <v>424</v>
      </c>
      <c r="AG21" s="67" t="n">
        <v>340</v>
      </c>
      <c r="AH21" s="67" t="n">
        <v>359</v>
      </c>
      <c r="AI21" s="67" t="n">
        <v>238</v>
      </c>
      <c r="AJ21" s="67" t="n">
        <v>335</v>
      </c>
      <c r="AK21" s="67" t="n">
        <v>309</v>
      </c>
      <c r="AL21" s="67" t="n">
        <v>293</v>
      </c>
      <c r="AM21" s="67" t="n">
        <v>198</v>
      </c>
      <c r="AN21" s="67" t="n">
        <v>274</v>
      </c>
      <c r="AO21" s="67" t="n">
        <v>219</v>
      </c>
    </row>
    <row r="22">
      <c r="A22" s="66" t="inlineStr">
        <is>
          <t>총 차입금</t>
        </is>
      </c>
      <c r="B22" s="67" t="n"/>
      <c r="C22" s="67" t="n">
        <v>15.4</v>
      </c>
      <c r="D22" s="67" t="n"/>
      <c r="E22" s="67" t="n">
        <v>18.2</v>
      </c>
      <c r="F22" s="67" t="n">
        <v>18</v>
      </c>
      <c r="G22" s="67" t="n">
        <v>21.2</v>
      </c>
      <c r="H22" s="67" t="n">
        <v>18.6</v>
      </c>
      <c r="I22" s="67" t="n">
        <v>16.5</v>
      </c>
      <c r="J22" s="67" t="n">
        <v>16.4</v>
      </c>
      <c r="K22" s="67" t="n">
        <v>15.7</v>
      </c>
      <c r="L22" s="67" t="n">
        <v>15.3</v>
      </c>
      <c r="M22" s="67" t="n">
        <v>21</v>
      </c>
      <c r="N22" s="67" t="n">
        <v>18.8</v>
      </c>
      <c r="O22" s="67" t="n">
        <v>18.6</v>
      </c>
      <c r="P22" s="67" t="n">
        <v>23</v>
      </c>
      <c r="Q22" s="67" t="n">
        <v>22.8</v>
      </c>
      <c r="R22" s="67" t="n">
        <v>22.8</v>
      </c>
      <c r="S22" s="67" t="n">
        <v>25.8</v>
      </c>
      <c r="T22" s="67" t="n">
        <v>25.7</v>
      </c>
      <c r="U22" s="67" t="n">
        <v>24.6</v>
      </c>
      <c r="V22" s="67" t="n">
        <v>21.6</v>
      </c>
      <c r="W22" s="67" t="n">
        <v>22.5</v>
      </c>
      <c r="X22" s="67" t="n">
        <v>21.5</v>
      </c>
      <c r="Y22" s="67" t="n">
        <v>22.4</v>
      </c>
      <c r="Z22" s="67" t="n">
        <v>22.4</v>
      </c>
      <c r="AA22" s="67" t="n">
        <v>20.3</v>
      </c>
      <c r="AB22" s="67" t="n">
        <v>20.3</v>
      </c>
      <c r="AC22" s="67" t="n">
        <v>17.2</v>
      </c>
      <c r="AD22" s="67" t="n">
        <v>17.3</v>
      </c>
      <c r="AE22" s="67" t="n">
        <v>19.2</v>
      </c>
      <c r="AF22" s="67" t="n">
        <v>16.2</v>
      </c>
      <c r="AG22" s="67" t="n">
        <v>16.1</v>
      </c>
      <c r="AH22" s="67" t="n">
        <v>16.1</v>
      </c>
      <c r="AI22" s="67" t="n">
        <v>14.2</v>
      </c>
      <c r="AJ22" s="67" t="n">
        <v>9.1</v>
      </c>
      <c r="AK22" s="67" t="n">
        <v>6.1</v>
      </c>
      <c r="AL22" s="67" t="n">
        <v>9</v>
      </c>
      <c r="AM22" s="67" t="n">
        <v>3.1</v>
      </c>
      <c r="AN22" s="67" t="n">
        <v>3.1</v>
      </c>
      <c r="AO22" s="67" t="n">
        <v>3.1</v>
      </c>
    </row>
    <row r="23">
      <c r="A23" s="66" t="inlineStr">
        <is>
          <t>현금</t>
        </is>
      </c>
      <c r="B23" s="67" t="n"/>
      <c r="C23" s="67" t="n">
        <v>25.1</v>
      </c>
      <c r="D23" s="67" t="n"/>
      <c r="E23" s="67" t="n">
        <v>28.2</v>
      </c>
      <c r="F23" s="67" t="n">
        <v>30.2</v>
      </c>
      <c r="G23" s="67" t="n">
        <v>39.9</v>
      </c>
      <c r="H23" s="67" t="n">
        <v>33.6</v>
      </c>
      <c r="I23" s="67" t="n">
        <v>33.3</v>
      </c>
      <c r="J23" s="67" t="n">
        <v>44.6</v>
      </c>
      <c r="K23" s="67" t="n">
        <v>51.1</v>
      </c>
      <c r="L23" s="67" t="n">
        <v>50.8</v>
      </c>
      <c r="M23" s="67" t="n">
        <v>60.4</v>
      </c>
      <c r="N23" s="67" t="n">
        <v>58.2</v>
      </c>
      <c r="O23" s="67" t="n">
        <v>70.90000000000001</v>
      </c>
      <c r="P23" s="67" t="n">
        <v>64.8</v>
      </c>
      <c r="Q23" s="67" t="n">
        <v>69.09999999999999</v>
      </c>
      <c r="R23" s="67" t="n">
        <v>75.8</v>
      </c>
      <c r="S23" s="67" t="n">
        <v>74.8</v>
      </c>
      <c r="T23" s="67" t="n">
        <v>66.8</v>
      </c>
      <c r="U23" s="67" t="n">
        <v>65.7</v>
      </c>
      <c r="V23" s="67" t="n">
        <v>64.7</v>
      </c>
      <c r="W23" s="67" t="n">
        <v>61.1</v>
      </c>
      <c r="X23" s="67" t="n">
        <v>58.5</v>
      </c>
      <c r="Y23" s="67" t="n">
        <v>53.4</v>
      </c>
      <c r="Z23" s="67" t="n">
        <v>56.7</v>
      </c>
      <c r="AA23" s="67" t="n">
        <v>55.3</v>
      </c>
      <c r="AB23" s="67" t="n">
        <v>49.2</v>
      </c>
      <c r="AC23" s="67" t="n">
        <v>54.7</v>
      </c>
      <c r="AD23" s="67" t="n">
        <v>55.5</v>
      </c>
      <c r="AE23" s="67" t="n">
        <v>53.4</v>
      </c>
      <c r="AF23" s="67" t="n">
        <v>49.5</v>
      </c>
      <c r="AG23" s="67" t="n">
        <v>53.1</v>
      </c>
      <c r="AH23" s="67" t="n">
        <v>56.4</v>
      </c>
      <c r="AI23" s="67" t="n">
        <v>54.5</v>
      </c>
      <c r="AJ23" s="67" t="n">
        <v>47.8</v>
      </c>
      <c r="AK23" s="67" t="n">
        <v>51.1</v>
      </c>
      <c r="AL23" s="67" t="n">
        <v>51.2</v>
      </c>
      <c r="AM23" s="67" t="n">
        <v>50.7</v>
      </c>
      <c r="AN23" s="67" t="n">
        <v>50.6</v>
      </c>
      <c r="AO23" s="67" t="n">
        <v>53.1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2026-10-30T11:44:00Z</dcterms:created>
  <dcterms:modified xmlns:dcterms="http://purl.org/dc/terms/" xmlns:xsi="http://www.w3.org/2001/XMLSchema-instance" xsi:type="dcterms:W3CDTF">2026-10-30T11:44:19Z</dcterms:modified>
</cp:coreProperties>
</file>