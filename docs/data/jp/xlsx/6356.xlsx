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46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46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6356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2835.605</v>
      </c>
      <c r="D4" s="12" t="n">
        <v>2621.963</v>
      </c>
      <c r="E4" s="12" t="n">
        <v>2110.599</v>
      </c>
      <c r="F4" s="12" t="n">
        <v>2131.343</v>
      </c>
      <c r="G4" s="12" t="n">
        <v>2536.664</v>
      </c>
      <c r="H4" s="12" t="n">
        <v>2776.942</v>
      </c>
      <c r="I4" s="12" t="n">
        <v>2069.178</v>
      </c>
      <c r="J4" s="12" t="n">
        <v>2142.92</v>
      </c>
      <c r="K4" s="12" t="n">
        <v>2492.843</v>
      </c>
      <c r="L4" s="12" t="n">
        <v>3178.717</v>
      </c>
      <c r="M4" s="12" t="n">
        <v>2060.259</v>
      </c>
      <c r="N4" s="12" t="n">
        <v>2390.764</v>
      </c>
      <c r="O4" s="11" t="n">
        <v>9015.424000000001</v>
      </c>
      <c r="P4" s="12" t="n">
        <v>7390.17</v>
      </c>
      <c r="Q4" s="12" t="n">
        <v>7393.876</v>
      </c>
      <c r="R4" s="12" t="n">
        <v>7579.029</v>
      </c>
      <c r="S4" s="12" t="n">
        <v>7715.126</v>
      </c>
      <c r="T4" s="12" t="n">
        <v>7568.813</v>
      </c>
      <c r="U4" s="12" t="n">
        <v>7520.229</v>
      </c>
      <c r="V4" s="12" t="n">
        <v>9622.022000000001</v>
      </c>
      <c r="W4" s="12" t="n">
        <v>9555.548000000001</v>
      </c>
      <c r="X4" s="12" t="n">
        <v>9883.657999999999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기어 및 기어 장치</t>
        </is>
      </c>
      <c r="B7" s="10" t="n"/>
      <c r="C7" s="19" t="n">
        <v>2060.559</v>
      </c>
      <c r="D7" s="20" t="n"/>
      <c r="E7" s="20" t="n"/>
      <c r="F7" s="20" t="n"/>
      <c r="G7" s="20" t="n">
        <v>1931.643</v>
      </c>
      <c r="H7" s="20" t="n"/>
      <c r="I7" s="20" t="n"/>
      <c r="J7" s="20" t="n"/>
      <c r="K7" s="20" t="n">
        <v>1799.29</v>
      </c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공사</t>
        </is>
      </c>
      <c r="B10" s="10" t="n"/>
      <c r="C10" s="19" t="n">
        <v>775.047</v>
      </c>
      <c r="D10" s="20" t="n"/>
      <c r="E10" s="20" t="n"/>
      <c r="F10" s="20" t="n"/>
      <c r="G10" s="20" t="n">
        <v>605.02</v>
      </c>
      <c r="H10" s="20" t="n"/>
      <c r="I10" s="20" t="n"/>
      <c r="J10" s="20" t="n"/>
      <c r="K10" s="20" t="n">
        <v>693.553</v>
      </c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기어 및 기어 장치</t>
        </is>
      </c>
      <c r="B13" s="10" t="n"/>
      <c r="C13" s="19" t="n"/>
      <c r="D13" s="20" t="n"/>
      <c r="E13" s="20" t="n">
        <v>1614.234</v>
      </c>
      <c r="F13" s="20" t="n"/>
      <c r="G13" s="20" t="n"/>
      <c r="H13" s="20" t="n"/>
      <c r="I13" s="20" t="n">
        <v>1581.462</v>
      </c>
      <c r="J13" s="20" t="n"/>
      <c r="K13" s="20" t="n"/>
      <c r="L13" s="20" t="n"/>
      <c r="M13" s="20" t="n">
        <v>1531.167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7119.152</v>
      </c>
      <c r="W13" s="20" t="n">
        <v>7207.629</v>
      </c>
      <c r="X13" s="20" t="n">
        <v>7513.197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공사</t>
        </is>
      </c>
      <c r="B16" s="10" t="n"/>
      <c r="C16" s="19" t="n"/>
      <c r="D16" s="20" t="n"/>
      <c r="E16" s="20" t="n">
        <v>496.364</v>
      </c>
      <c r="F16" s="20" t="n"/>
      <c r="G16" s="20" t="n"/>
      <c r="H16" s="20" t="n"/>
      <c r="I16" s="20" t="n">
        <v>487.716</v>
      </c>
      <c r="J16" s="20" t="n"/>
      <c r="K16" s="20" t="n"/>
      <c r="L16" s="20" t="n"/>
      <c r="M16" s="20" t="n">
        <v>529.092</v>
      </c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2502.869</v>
      </c>
      <c r="W16" s="20" t="n">
        <v>2347.918</v>
      </c>
      <c r="X16" s="20" t="n">
        <v>2370.46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1425.593</v>
      </c>
      <c r="D20" s="20" t="n"/>
      <c r="E20" s="20" t="n">
        <v>1169.586</v>
      </c>
      <c r="F20" s="20" t="n">
        <v>1237.962</v>
      </c>
      <c r="G20" s="20" t="n">
        <v>1333.924</v>
      </c>
      <c r="H20" s="20" t="n"/>
      <c r="I20" s="20" t="n">
        <v>1071.823</v>
      </c>
      <c r="J20" s="20" t="n">
        <v>1178.406</v>
      </c>
      <c r="K20" s="20" t="n">
        <v>1297.37</v>
      </c>
      <c r="L20" s="20" t="n"/>
      <c r="M20" s="20" t="n">
        <v>1056.392</v>
      </c>
      <c r="N20" s="20" t="n">
        <v>1084.796</v>
      </c>
      <c r="O20" s="19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581.481</v>
      </c>
      <c r="D26" s="20" t="n">
        <v>650.894</v>
      </c>
      <c r="E26" s="20" t="n">
        <v>417.604</v>
      </c>
      <c r="F26" s="20" t="n">
        <v>526.049</v>
      </c>
      <c r="G26" s="20" t="n">
        <v>559.177</v>
      </c>
      <c r="H26" s="20" t="n">
        <v>657.211</v>
      </c>
      <c r="I26" s="20" t="n">
        <v>618.4349999999999</v>
      </c>
      <c r="J26" s="20" t="n">
        <v>551.572</v>
      </c>
      <c r="K26" s="20" t="n">
        <v>547.148</v>
      </c>
      <c r="L26" s="20" t="n">
        <v>631.61</v>
      </c>
      <c r="M26" s="20" t="n">
        <v>507.989</v>
      </c>
      <c r="N26" s="20" t="n">
        <v>535.54</v>
      </c>
      <c r="O26" s="19" t="n">
        <v>1944.384</v>
      </c>
      <c r="P26" s="20" t="n">
        <v>1960.853</v>
      </c>
      <c r="Q26" s="20" t="n">
        <v>1759.64</v>
      </c>
      <c r="R26" s="20" t="n">
        <v>1717.474</v>
      </c>
      <c r="S26" s="20" t="n">
        <v>1818.106</v>
      </c>
      <c r="T26" s="20" t="n">
        <v>2150.224</v>
      </c>
      <c r="U26" s="20" t="n">
        <v>2170.548</v>
      </c>
      <c r="V26" s="20" t="n">
        <v>2326.25</v>
      </c>
      <c r="W26" s="20" t="n">
        <v>2160.041</v>
      </c>
      <c r="X26" s="20" t="n">
        <v>2348.765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828.5309999999999</v>
      </c>
      <c r="D28" s="12" t="n">
        <v>496.134</v>
      </c>
      <c r="E28" s="12" t="n">
        <v>523.407</v>
      </c>
      <c r="F28" s="12" t="n">
        <v>367.334</v>
      </c>
      <c r="G28" s="12" t="n">
        <v>643.562</v>
      </c>
      <c r="H28" s="12" t="n">
        <v>571.474</v>
      </c>
      <c r="I28" s="12" t="n">
        <v>378.919</v>
      </c>
      <c r="J28" s="12" t="n">
        <v>412.941</v>
      </c>
      <c r="K28" s="12" t="n">
        <v>648.325</v>
      </c>
      <c r="L28" s="12" t="n">
        <v>1016.895</v>
      </c>
      <c r="M28" s="12" t="n">
        <v>495.877</v>
      </c>
      <c r="N28" s="12" t="n">
        <v>770.427</v>
      </c>
      <c r="O28" s="11" t="n">
        <v>1062.043</v>
      </c>
      <c r="P28" s="12" t="n">
        <v>291.351</v>
      </c>
      <c r="Q28" s="12" t="n">
        <v>461.119</v>
      </c>
      <c r="R28" s="12" t="n">
        <v>568.237</v>
      </c>
      <c r="S28" s="12" t="n">
        <v>412.327</v>
      </c>
      <c r="T28" s="12" t="n">
        <v>118.865</v>
      </c>
      <c r="U28" s="12" t="n">
        <v>964.639</v>
      </c>
      <c r="V28" s="12" t="n">
        <v>2128.108</v>
      </c>
      <c r="W28" s="12" t="n">
        <v>2105.777</v>
      </c>
      <c r="X28" s="12" t="n">
        <v>2457.08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>
        <v>0</v>
      </c>
      <c r="D44" s="20" t="n">
        <v>28.574</v>
      </c>
      <c r="E44" s="20" t="n"/>
      <c r="F44" s="20" t="n"/>
      <c r="G44" s="20" t="n"/>
      <c r="H44" s="20" t="n">
        <v>143.178</v>
      </c>
      <c r="I44" s="20" t="n">
        <v>0</v>
      </c>
      <c r="J44" s="20" t="n">
        <v>0</v>
      </c>
      <c r="K44" s="20" t="n">
        <v>1.337</v>
      </c>
      <c r="L44" s="20" t="n">
        <v>402.113</v>
      </c>
      <c r="M44" s="20" t="n">
        <v>2.499</v>
      </c>
      <c r="N44" s="20" t="n">
        <v>13.405</v>
      </c>
      <c r="O44" s="19" t="n">
        <v>6.047</v>
      </c>
      <c r="P44" s="20" t="n">
        <v>62.355</v>
      </c>
      <c r="Q44" s="20" t="n">
        <v>10.636</v>
      </c>
      <c r="R44" s="20" t="n">
        <v>19.26</v>
      </c>
      <c r="S44" s="20" t="n">
        <v>45.939</v>
      </c>
      <c r="T44" s="20" t="n">
        <v>330.586</v>
      </c>
      <c r="U44" s="20" t="n">
        <v>94.946</v>
      </c>
      <c r="V44" s="20" t="n">
        <v>28.574</v>
      </c>
      <c r="W44" s="20" t="n">
        <v>152.258</v>
      </c>
      <c r="X44" s="20" t="n">
        <v>403.45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>
        <v>60.28</v>
      </c>
      <c r="P46" s="20" t="n">
        <v>0</v>
      </c>
      <c r="Q46" s="20" t="n"/>
      <c r="R46" s="20" t="n">
        <v>0</v>
      </c>
      <c r="S46" s="20" t="n">
        <v>20.297</v>
      </c>
      <c r="T46" s="20" t="n">
        <v>0</v>
      </c>
      <c r="U46" s="20" t="n">
        <v>89.185</v>
      </c>
      <c r="V46" s="20" t="n">
        <v>0</v>
      </c>
      <c r="W46" s="20" t="n">
        <v>23.713</v>
      </c>
      <c r="X46" s="20" t="n">
        <v>337.681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14.48</v>
      </c>
      <c r="D48" s="20" t="n">
        <v>5.353</v>
      </c>
      <c r="E48" s="20" t="n">
        <v>22.73</v>
      </c>
      <c r="F48" s="20" t="n">
        <v>7.855</v>
      </c>
      <c r="G48" s="20" t="n">
        <v>14.478</v>
      </c>
      <c r="H48" s="20" t="n">
        <v>7.22</v>
      </c>
      <c r="I48" s="20" t="n">
        <v>18.594</v>
      </c>
      <c r="J48" s="20" t="n">
        <v>7.31</v>
      </c>
      <c r="K48" s="20" t="n">
        <v>18.728</v>
      </c>
      <c r="L48" s="20" t="n">
        <v>8.609999999999999</v>
      </c>
      <c r="M48" s="20" t="n">
        <v>25.984</v>
      </c>
      <c r="N48" s="20" t="n">
        <v>11.522</v>
      </c>
      <c r="O48" s="19" t="n">
        <v>23.931</v>
      </c>
      <c r="P48" s="20" t="n">
        <v>22.941</v>
      </c>
      <c r="Q48" s="20" t="n">
        <v>27.618</v>
      </c>
      <c r="R48" s="20" t="n">
        <v>26.62</v>
      </c>
      <c r="S48" s="20" t="n">
        <v>24.773</v>
      </c>
      <c r="T48" s="20" t="n">
        <v>22.365</v>
      </c>
      <c r="U48" s="20" t="n">
        <v>40.869</v>
      </c>
      <c r="V48" s="20" t="n">
        <v>45.435</v>
      </c>
      <c r="W48" s="20" t="n">
        <v>52.283</v>
      </c>
      <c r="X48" s="20" t="n">
        <v>53.242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1.21</v>
      </c>
      <c r="D50" s="20" t="n">
        <v>14.068</v>
      </c>
      <c r="E50" s="20" t="n">
        <v>2.995</v>
      </c>
      <c r="F50" s="20" t="n">
        <v>-0.908</v>
      </c>
      <c r="G50" s="20" t="n">
        <v>2.86</v>
      </c>
      <c r="H50" s="20" t="n">
        <v>0.214</v>
      </c>
      <c r="I50" s="20" t="n">
        <v>0.296</v>
      </c>
      <c r="J50" s="20" t="n">
        <v>0.168</v>
      </c>
      <c r="K50" s="20" t="n">
        <v>1.704</v>
      </c>
      <c r="L50" s="20" t="n">
        <v>0.198</v>
      </c>
      <c r="M50" s="20" t="n">
        <v>0.833</v>
      </c>
      <c r="N50" s="20" t="n">
        <v>0.215</v>
      </c>
      <c r="O50" s="19" t="n">
        <v>20.369</v>
      </c>
      <c r="P50" s="20" t="n">
        <v>16.945</v>
      </c>
      <c r="Q50" s="20" t="n">
        <v>14.91</v>
      </c>
      <c r="R50" s="20" t="n">
        <v>16.399</v>
      </c>
      <c r="S50" s="20" t="n">
        <v>14.027</v>
      </c>
      <c r="T50" s="20" t="n">
        <v>17.804</v>
      </c>
      <c r="U50" s="20" t="n">
        <v>6.051</v>
      </c>
      <c r="V50" s="20" t="n">
        <v>22.062</v>
      </c>
      <c r="W50" s="20" t="n">
        <v>5.161</v>
      </c>
      <c r="X50" s="20" t="n">
        <v>2.366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841.801</v>
      </c>
      <c r="D52" s="12" t="n">
        <v>515.994</v>
      </c>
      <c r="E52" s="12" t="n">
        <v>543.1420000000001</v>
      </c>
      <c r="F52" s="12" t="n">
        <v>376.096</v>
      </c>
      <c r="G52" s="12" t="n">
        <v>664.2619999999999</v>
      </c>
      <c r="H52" s="12" t="n">
        <v>697.944</v>
      </c>
      <c r="I52" s="12" t="n">
        <v>397.217</v>
      </c>
      <c r="J52" s="12" t="n">
        <v>420.083</v>
      </c>
      <c r="K52" s="12" t="n">
        <v>666.6849999999999</v>
      </c>
      <c r="L52" s="12" t="n">
        <v>1089.741</v>
      </c>
      <c r="M52" s="12" t="n">
        <v>523.528</v>
      </c>
      <c r="N52" s="12" t="n">
        <v>795.14</v>
      </c>
      <c r="O52" s="11" t="n">
        <v>1011.373</v>
      </c>
      <c r="P52" s="12" t="n">
        <v>359.702</v>
      </c>
      <c r="Q52" s="12" t="n">
        <v>484.463</v>
      </c>
      <c r="R52" s="12" t="n">
        <v>597.718</v>
      </c>
      <c r="S52" s="12" t="n">
        <v>448.716</v>
      </c>
      <c r="T52" s="12" t="n">
        <v>454.012</v>
      </c>
      <c r="U52" s="12" t="n">
        <v>1005.219</v>
      </c>
      <c r="V52" s="12" t="n">
        <v>2180.056</v>
      </c>
      <c r="W52" s="12" t="n">
        <v>2281.444</v>
      </c>
      <c r="X52" s="12" t="n">
        <v>2573.726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265.05</v>
      </c>
      <c r="D54" s="20" t="n">
        <v>99.239</v>
      </c>
      <c r="E54" s="20" t="n">
        <v>173.574</v>
      </c>
      <c r="F54" s="20" t="n">
        <v>120.468</v>
      </c>
      <c r="G54" s="20" t="n">
        <v>222.563</v>
      </c>
      <c r="H54" s="20" t="n">
        <v>214.438</v>
      </c>
      <c r="I54" s="20" t="n">
        <v>128.16</v>
      </c>
      <c r="J54" s="20" t="n">
        <v>133.892</v>
      </c>
      <c r="K54" s="20" t="n">
        <v>211.032</v>
      </c>
      <c r="L54" s="20" t="n">
        <v>349.385</v>
      </c>
      <c r="M54" s="20" t="n">
        <v>172.275</v>
      </c>
      <c r="N54" s="20" t="n">
        <v>258.253</v>
      </c>
      <c r="O54" s="19" t="n">
        <v>325.02</v>
      </c>
      <c r="P54" s="20" t="n">
        <v>142.15</v>
      </c>
      <c r="Q54" s="20" t="n">
        <v>167.205</v>
      </c>
      <c r="R54" s="20" t="n">
        <v>202.033</v>
      </c>
      <c r="S54" s="20" t="n">
        <v>136.181</v>
      </c>
      <c r="T54" s="20" t="n">
        <v>158.181</v>
      </c>
      <c r="U54" s="20" t="n">
        <v>320.089</v>
      </c>
      <c r="V54" s="20" t="n">
        <v>640.59</v>
      </c>
      <c r="W54" s="20" t="n">
        <v>731.043</v>
      </c>
      <c r="X54" s="20" t="n">
        <v>822.4690000000001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576.751</v>
      </c>
      <c r="D56" s="12" t="n">
        <v>416.754</v>
      </c>
      <c r="E56" s="12" t="n">
        <v>369.568</v>
      </c>
      <c r="F56" s="12" t="n">
        <v>255.628</v>
      </c>
      <c r="G56" s="12" t="n">
        <v>441.698</v>
      </c>
      <c r="H56" s="12" t="n">
        <v>483.506</v>
      </c>
      <c r="I56" s="12" t="n">
        <v>269.057</v>
      </c>
      <c r="J56" s="12" t="n">
        <v>286.191</v>
      </c>
      <c r="K56" s="12" t="n">
        <v>455.653</v>
      </c>
      <c r="L56" s="12" t="n">
        <v>740.356</v>
      </c>
      <c r="M56" s="12" t="n">
        <v>351.253</v>
      </c>
      <c r="N56" s="12" t="n">
        <v>536.886</v>
      </c>
      <c r="O56" s="11" t="n">
        <v>686.352</v>
      </c>
      <c r="P56" s="12" t="n">
        <v>217.552</v>
      </c>
      <c r="Q56" s="12" t="n">
        <v>317.258</v>
      </c>
      <c r="R56" s="12" t="n">
        <v>395.685</v>
      </c>
      <c r="S56" s="12" t="n">
        <v>312.534</v>
      </c>
      <c r="T56" s="12" t="n">
        <v>295.831</v>
      </c>
      <c r="U56" s="12" t="n">
        <v>685.13</v>
      </c>
      <c r="V56" s="12" t="n">
        <v>1539.465</v>
      </c>
      <c r="W56" s="12" t="n">
        <v>1550.4</v>
      </c>
      <c r="X56" s="12" t="n">
        <v>1751.257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576.751</v>
      </c>
      <c r="D58" s="12" t="n">
        <v>416.754</v>
      </c>
      <c r="E58" s="12" t="n">
        <v>369.568</v>
      </c>
      <c r="F58" s="12" t="n">
        <v>255.628</v>
      </c>
      <c r="G58" s="12" t="n">
        <v>441.698</v>
      </c>
      <c r="H58" s="12" t="n">
        <v>483.506</v>
      </c>
      <c r="I58" s="12" t="n">
        <v>269.057</v>
      </c>
      <c r="J58" s="12" t="n">
        <v>286.191</v>
      </c>
      <c r="K58" s="12" t="n">
        <v>455.653</v>
      </c>
      <c r="L58" s="12" t="n">
        <v>740.356</v>
      </c>
      <c r="M58" s="12" t="n">
        <v>351.253</v>
      </c>
      <c r="N58" s="12" t="n">
        <v>536.886</v>
      </c>
      <c r="O58" s="11" t="n">
        <v>686.352</v>
      </c>
      <c r="P58" s="12" t="n">
        <v>217.552</v>
      </c>
      <c r="Q58" s="12" t="n">
        <v>317.258</v>
      </c>
      <c r="R58" s="12" t="n">
        <v>395.685</v>
      </c>
      <c r="S58" s="12" t="n">
        <v>312.534</v>
      </c>
      <c r="T58" s="12" t="n">
        <v>295.831</v>
      </c>
      <c r="U58" s="12" t="n">
        <v>685.13</v>
      </c>
      <c r="V58" s="12" t="n">
        <v>1539.465</v>
      </c>
      <c r="W58" s="12" t="n">
        <v>1550.4</v>
      </c>
      <c r="X58" s="12" t="n">
        <v>1751.257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()</t>
        </is>
      </c>
      <c r="B62" s="27" t="n"/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/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2024.3Q</t>
        </is>
      </c>
      <c r="D92" s="5" t="inlineStr">
        <is>
          <t>2024.4Q</t>
        </is>
      </c>
      <c r="E92" s="5" t="inlineStr">
        <is>
          <t>2025.1Q</t>
        </is>
      </c>
      <c r="F92" s="5" t="inlineStr">
        <is>
          <t>2025.2Q</t>
        </is>
      </c>
      <c r="G92" s="5" t="inlineStr">
        <is>
          <t>2025.3Q</t>
        </is>
      </c>
      <c r="H92" s="5" t="inlineStr">
        <is>
          <t>2025.4Q</t>
        </is>
      </c>
      <c r="I92" s="5" t="inlineStr">
        <is>
          <t>2026.1Q</t>
        </is>
      </c>
      <c r="J92" s="5" t="inlineStr">
        <is>
          <t>2026.2Q</t>
        </is>
      </c>
      <c r="K92" s="5" t="inlineStr">
        <is>
          <t>2026.3Q</t>
        </is>
      </c>
      <c r="L92" s="5" t="inlineStr">
        <is>
          <t>2026.4Q</t>
        </is>
      </c>
      <c r="M92" s="5" t="inlineStr">
        <is>
          <t>2027.1Q</t>
        </is>
      </c>
      <c r="N92" s="5" t="inlineStr">
        <is>
          <t>2027.2Q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2835.605</v>
      </c>
      <c r="D93" s="12" t="n">
        <v>2621.963</v>
      </c>
      <c r="E93" s="12" t="n">
        <v>2110.599</v>
      </c>
      <c r="F93" s="12" t="n">
        <v>2131.343</v>
      </c>
      <c r="G93" s="12" t="n">
        <v>2536.664</v>
      </c>
      <c r="H93" s="12" t="n">
        <v>2776.942</v>
      </c>
      <c r="I93" s="12" t="n">
        <v>2069.178</v>
      </c>
      <c r="J93" s="12" t="n">
        <v>2142.92</v>
      </c>
      <c r="K93" s="12" t="n">
        <v>2492.843</v>
      </c>
      <c r="L93" s="12" t="n">
        <v>3178.717</v>
      </c>
      <c r="M93" s="12" t="n">
        <v>2060.259</v>
      </c>
      <c r="N93" s="12" t="n">
        <v>2390.764</v>
      </c>
      <c r="T93" s="12" t="n">
        <v>2351.639</v>
      </c>
      <c r="U93" s="12" t="n">
        <v>2196.994</v>
      </c>
      <c r="V93" s="12" t="n">
        <v>2621.963</v>
      </c>
      <c r="W93" s="12" t="n">
        <v>2776.942</v>
      </c>
      <c r="X93" s="12" t="n">
        <v>3178.717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1425.593</v>
      </c>
      <c r="E95" s="20" t="n">
        <v>1169.586</v>
      </c>
      <c r="F95" s="20" t="n">
        <v>1237.962</v>
      </c>
      <c r="G95" s="20" t="n">
        <v>1333.924</v>
      </c>
      <c r="I95" s="20" t="n">
        <v>1071.823</v>
      </c>
      <c r="J95" s="20" t="n">
        <v>1178.406</v>
      </c>
      <c r="K95" s="20" t="n">
        <v>1297.37</v>
      </c>
      <c r="M95" s="20" t="n">
        <v>1056.392</v>
      </c>
      <c r="N95" s="20" t="n">
        <v>1084.796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</row>
    <row r="97">
      <c r="A97" s="9" t="inlineStr">
        <is>
          <t>매출총이익</t>
        </is>
      </c>
      <c r="C97" s="12" t="n">
        <v>1410.012</v>
      </c>
      <c r="D97" s="12" t="n">
        <v>1147.029</v>
      </c>
      <c r="E97" s="12" t="n">
        <v>941.0119999999999</v>
      </c>
      <c r="F97" s="12" t="n">
        <v>893.3819999999999</v>
      </c>
      <c r="G97" s="12" t="n">
        <v>1202.739</v>
      </c>
      <c r="H97" s="12" t="n">
        <v>1228.686</v>
      </c>
      <c r="I97" s="12" t="n">
        <v>997.354</v>
      </c>
      <c r="J97" s="12" t="n">
        <v>964.514</v>
      </c>
      <c r="K97" s="12" t="n">
        <v>1195.473</v>
      </c>
      <c r="L97" s="12" t="n">
        <v>1648.505</v>
      </c>
      <c r="M97" s="12" t="n">
        <v>1003.867</v>
      </c>
      <c r="N97" s="12" t="n">
        <v>1305.967</v>
      </c>
      <c r="T97" s="12" t="n">
        <v>883.701</v>
      </c>
      <c r="U97" s="12" t="n">
        <v>922.446</v>
      </c>
      <c r="V97" s="12" t="n">
        <v>1147.029</v>
      </c>
      <c r="W97" s="12" t="n">
        <v>1228.686</v>
      </c>
      <c r="X97" s="12" t="n">
        <v>1648.505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581.481</v>
      </c>
      <c r="D99" s="20" t="n">
        <v>650.894</v>
      </c>
      <c r="E99" s="20" t="n">
        <v>417.604</v>
      </c>
      <c r="F99" s="20" t="n">
        <v>526.049</v>
      </c>
      <c r="G99" s="20" t="n">
        <v>559.177</v>
      </c>
      <c r="H99" s="20" t="n">
        <v>657.211</v>
      </c>
      <c r="I99" s="20" t="n">
        <v>618.4349999999999</v>
      </c>
      <c r="J99" s="20" t="n">
        <v>551.572</v>
      </c>
      <c r="K99" s="20" t="n">
        <v>547.148</v>
      </c>
      <c r="L99" s="20" t="n">
        <v>631.61</v>
      </c>
      <c r="M99" s="20" t="n">
        <v>507.989</v>
      </c>
      <c r="N99" s="20" t="n">
        <v>535.54</v>
      </c>
      <c r="T99" s="20" t="n">
        <v>506.275</v>
      </c>
      <c r="U99" s="20" t="n">
        <v>617.571</v>
      </c>
      <c r="V99" s="20" t="n">
        <v>650.894</v>
      </c>
      <c r="W99" s="20" t="n">
        <v>657.211</v>
      </c>
      <c r="X99" s="20" t="n">
        <v>631.61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</t>
        </is>
      </c>
      <c r="C101" s="12" t="n">
        <v>828.5309999999999</v>
      </c>
      <c r="D101" s="12" t="n">
        <v>496.134</v>
      </c>
      <c r="E101" s="12" t="n">
        <v>523.407</v>
      </c>
      <c r="F101" s="12" t="n">
        <v>367.334</v>
      </c>
      <c r="G101" s="12" t="n">
        <v>643.562</v>
      </c>
      <c r="H101" s="12" t="n">
        <v>571.474</v>
      </c>
      <c r="I101" s="12" t="n">
        <v>378.919</v>
      </c>
      <c r="J101" s="12" t="n">
        <v>412.941</v>
      </c>
      <c r="K101" s="12" t="n">
        <v>648.325</v>
      </c>
      <c r="L101" s="12" t="n">
        <v>1016.895</v>
      </c>
      <c r="M101" s="12" t="n">
        <v>495.877</v>
      </c>
      <c r="N101" s="12" t="n">
        <v>770.427</v>
      </c>
      <c r="T101" s="12" t="n">
        <v>377.425</v>
      </c>
      <c r="U101" s="12" t="n">
        <v>304.875</v>
      </c>
      <c r="V101" s="12" t="n">
        <v>496.134</v>
      </c>
      <c r="W101" s="12" t="n">
        <v>571.474</v>
      </c>
      <c r="X101" s="12" t="n">
        <v>1016.895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0</v>
      </c>
      <c r="D104" s="20" t="n">
        <v>0.013</v>
      </c>
      <c r="E104" s="20" t="n">
        <v>0</v>
      </c>
      <c r="F104" s="20" t="n">
        <v>0.192</v>
      </c>
      <c r="G104" s="20" t="n">
        <v>0</v>
      </c>
      <c r="H104" s="20" t="n">
        <v>1.008</v>
      </c>
      <c r="I104" s="20" t="n">
        <v>0.574</v>
      </c>
      <c r="J104" s="20" t="n">
        <v>3.068</v>
      </c>
      <c r="K104" s="20" t="n">
        <v>2.746</v>
      </c>
      <c r="L104" s="20" t="n">
        <v>3.651</v>
      </c>
      <c r="M104" s="20" t="n">
        <v>4.924</v>
      </c>
      <c r="N104" s="20" t="n">
        <v>7.103</v>
      </c>
      <c r="T104" s="20" t="n">
        <v>0.007</v>
      </c>
      <c r="U104" s="20" t="n">
        <v>0.144</v>
      </c>
      <c r="V104" s="20" t="n">
        <v>0.013</v>
      </c>
      <c r="W104" s="20" t="n">
        <v>1.008</v>
      </c>
      <c r="X104" s="20" t="n">
        <v>3.651</v>
      </c>
    </row>
    <row r="105">
      <c r="A105" s="18" t="inlineStr">
        <is>
          <t>배당금수익</t>
        </is>
      </c>
      <c r="C105" s="20" t="n">
        <v>8.752000000000001</v>
      </c>
      <c r="D105" s="20" t="n">
        <v>2.849</v>
      </c>
      <c r="E105" s="20" t="n">
        <v>13.056</v>
      </c>
      <c r="F105" s="20" t="n">
        <v>3.027</v>
      </c>
      <c r="G105" s="20" t="n">
        <v>12.09</v>
      </c>
      <c r="H105" s="20" t="n">
        <v>3.376</v>
      </c>
      <c r="I105" s="20" t="n">
        <v>15.289</v>
      </c>
      <c r="J105" s="20" t="n">
        <v>4.481</v>
      </c>
      <c r="K105" s="20" t="n">
        <v>14.644</v>
      </c>
      <c r="L105" s="20" t="n">
        <v>3.056</v>
      </c>
      <c r="M105" s="20" t="n">
        <v>17.965</v>
      </c>
      <c r="N105" s="20" t="n">
        <v>3.208</v>
      </c>
      <c r="T105" s="20" t="n">
        <v>2.383</v>
      </c>
      <c r="U105" s="20" t="n">
        <v>2.456</v>
      </c>
      <c r="V105" s="20" t="n">
        <v>2.849</v>
      </c>
      <c r="W105" s="20" t="n">
        <v>3.376</v>
      </c>
      <c r="X105" s="20" t="n">
        <v>3.056</v>
      </c>
    </row>
    <row r="106">
      <c r="A106" s="18" t="inlineStr">
        <is>
          <t>파견자 부담금</t>
        </is>
      </c>
      <c r="C106" s="20" t="n">
        <v>4.526</v>
      </c>
      <c r="D106" s="20" t="n">
        <v>1.329</v>
      </c>
      <c r="E106" s="20" t="n">
        <v>1.362</v>
      </c>
      <c r="F106" s="20" t="n">
        <v>2.283</v>
      </c>
      <c r="G106" s="20" t="n">
        <v>2.253</v>
      </c>
      <c r="H106" s="20" t="n">
        <v>1.353</v>
      </c>
      <c r="I106" s="20" t="n">
        <v>0.053</v>
      </c>
      <c r="J106" s="20" t="n">
        <v>0</v>
      </c>
      <c r="K106" s="20" t="n">
        <v>0</v>
      </c>
      <c r="L106" s="20" t="n">
        <v>0</v>
      </c>
      <c r="M106" s="20" t="n">
        <v>0</v>
      </c>
      <c r="N106" s="20" t="n">
        <v>0</v>
      </c>
      <c r="T106" s="20" t="n">
        <v>0</v>
      </c>
      <c r="U106" s="20" t="n">
        <v>6.124</v>
      </c>
      <c r="V106" s="20" t="n">
        <v>1.329</v>
      </c>
      <c r="W106" s="20" t="n">
        <v>1.353</v>
      </c>
      <c r="X106" s="20" t="n">
        <v>0</v>
      </c>
    </row>
    <row r="107">
      <c r="A107" s="18" t="inlineStr">
        <is>
          <t>보상금 수취</t>
        </is>
      </c>
      <c r="C107" s="20" t="n">
        <v>0</v>
      </c>
      <c r="D107" s="20" t="n">
        <v>0</v>
      </c>
      <c r="E107" s="20" t="n">
        <v>7.052</v>
      </c>
      <c r="F107" s="20" t="n">
        <v>0</v>
      </c>
      <c r="G107" s="20" t="n">
        <v>0</v>
      </c>
      <c r="H107" s="20" t="n">
        <v>0</v>
      </c>
      <c r="I107" s="20" t="n">
        <v>0</v>
      </c>
      <c r="J107" s="20" t="n">
        <v>0</v>
      </c>
      <c r="K107" s="20" t="n">
        <v>0</v>
      </c>
      <c r="L107" s="20" t="n">
        <v>0</v>
      </c>
      <c r="V107" s="20" t="n">
        <v>0</v>
      </c>
      <c r="W107" s="20" t="n">
        <v>0</v>
      </c>
      <c r="X107" s="20" t="n">
        <v>0</v>
      </c>
    </row>
    <row r="108">
      <c r="A108" s="18" t="inlineStr">
        <is>
          <t>외환차익</t>
        </is>
      </c>
      <c r="E108" s="20" t="n">
        <v>0</v>
      </c>
      <c r="I108" s="20" t="n">
        <v>1.582</v>
      </c>
      <c r="M108" s="20" t="n">
        <v>0</v>
      </c>
    </row>
    <row r="109">
      <c r="A109" s="18" t="inlineStr">
        <is>
          <t>기타</t>
        </is>
      </c>
      <c r="C109" s="20" t="n">
        <v>1.202</v>
      </c>
      <c r="D109" s="20" t="n">
        <v>0.791</v>
      </c>
      <c r="E109" s="20" t="n">
        <v>1.258</v>
      </c>
      <c r="F109" s="20" t="n">
        <v>2.352</v>
      </c>
      <c r="G109" s="20" t="n">
        <v>0.136</v>
      </c>
      <c r="H109" s="20" t="n">
        <v>1.012</v>
      </c>
      <c r="I109" s="20" t="n">
        <v>1.094</v>
      </c>
      <c r="J109" s="20" t="n">
        <v>1.344</v>
      </c>
      <c r="K109" s="20" t="n">
        <v>1.337</v>
      </c>
      <c r="L109" s="20" t="n">
        <v>1.561</v>
      </c>
      <c r="M109" s="20" t="n">
        <v>3.094</v>
      </c>
      <c r="N109" s="20" t="n">
        <v>1.211</v>
      </c>
      <c r="T109" s="20" t="n">
        <v>1.389</v>
      </c>
      <c r="U109" s="20" t="n">
        <v>-0.118</v>
      </c>
      <c r="V109" s="20" t="n">
        <v>0.791</v>
      </c>
      <c r="W109" s="20" t="n">
        <v>1.012</v>
      </c>
      <c r="X109" s="20" t="n">
        <v>1.561</v>
      </c>
    </row>
    <row r="110">
      <c r="A110" s="18" t="inlineStr">
        <is>
          <t>영업외수익 합계</t>
        </is>
      </c>
      <c r="C110" s="20" t="n">
        <v>14.48</v>
      </c>
      <c r="D110" s="20" t="n">
        <v>5.353</v>
      </c>
      <c r="E110" s="20" t="n">
        <v>22.73</v>
      </c>
      <c r="F110" s="20" t="n">
        <v>7.855</v>
      </c>
      <c r="G110" s="20" t="n">
        <v>14.478</v>
      </c>
      <c r="H110" s="20" t="n">
        <v>7.22</v>
      </c>
      <c r="I110" s="20" t="n">
        <v>18.594</v>
      </c>
      <c r="J110" s="20" t="n">
        <v>7.31</v>
      </c>
      <c r="K110" s="20" t="n">
        <v>18.728</v>
      </c>
      <c r="L110" s="20" t="n">
        <v>8.609999999999999</v>
      </c>
      <c r="M110" s="20" t="n">
        <v>25.984</v>
      </c>
      <c r="N110" s="20" t="n">
        <v>11.522</v>
      </c>
      <c r="T110" s="20" t="n">
        <v>4.111</v>
      </c>
      <c r="U110" s="20" t="n">
        <v>8.901</v>
      </c>
      <c r="V110" s="20" t="n">
        <v>5.353</v>
      </c>
      <c r="W110" s="20" t="n">
        <v>7.22</v>
      </c>
      <c r="X110" s="20" t="n">
        <v>8.609999999999999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IF(OR(G110="",C110=""),"",IF(G110*C110&lt;=0,"",IFERROR(G110/C110-1,"")))</f>
        <v/>
      </c>
      <c r="H111" s="15">
        <f>IF(OR(H110="",D110=""),"",IF(H110*D110&lt;=0,"",IFERROR(H110/D110-1,"")))</f>
        <v/>
      </c>
      <c r="I111" s="15">
        <f>IF(OR(I110="",E110=""),"",IF(I110*E110&lt;=0,"",IFERROR(I110/E110-1,"")))</f>
        <v/>
      </c>
      <c r="J111" s="15">
        <f>IF(OR(J110="",F110=""),"",IF(J110*F110&lt;=0,"",IFERROR(J110/F110-1,"")))</f>
        <v/>
      </c>
      <c r="K111" s="15">
        <f>IF(OR(K110="",G110=""),"",IF(K110*G110&lt;=0,"",IFERROR(K110/G110-1,"")))</f>
        <v/>
      </c>
      <c r="L111" s="15">
        <f>IF(OR(L110="",H110=""),"",IF(L110*H110&lt;=0,"",IFERROR(L110/H110-1,"")))</f>
        <v/>
      </c>
      <c r="M111" s="15">
        <f>IF(OR(M110="",I110=""),"",IF(M110*I110&lt;=0,"",IFERROR(M110/I110-1,"")))</f>
        <v/>
      </c>
      <c r="N111" s="15">
        <f>IF(OR(N110="",J110=""),"",IF(N110*J110&lt;=0,"",IFERROR(N110/J110-1,"")))</f>
        <v/>
      </c>
      <c r="T111" s="15">
        <f>IF(OR(T110="",S110=""),"",IF(T110*S110&lt;=0,"",IFERROR(T110/S110-1,"")))</f>
        <v/>
      </c>
      <c r="U111" s="15">
        <f>IF(OR(U110="",T110=""),"",IF(U110*T110&lt;=0,"",IFERROR(U110/T110-1,"")))</f>
        <v/>
      </c>
      <c r="V111" s="15">
        <f>IF(OR(V110="",U110=""),"",IF(V110*U110&lt;=0,"",IFERROR(V110/U110-1,"")))</f>
        <v/>
      </c>
      <c r="W111" s="15">
        <f>IF(OR(W110="",V110=""),"",IF(W110*V110&lt;=0,"",IFERROR(W110/V110-1,"")))</f>
        <v/>
      </c>
      <c r="X111" s="15">
        <f>IF(OR(X110="",W110=""),"",IF(X110*W110&lt;=0,"",IFERROR(X110/W110-1,"")))</f>
        <v/>
      </c>
    </row>
    <row r="112">
      <c r="A112" s="18" t="inlineStr">
        <is>
          <t>이자비용</t>
        </is>
      </c>
      <c r="C112" s="20" t="n">
        <v>0.601</v>
      </c>
      <c r="D112" s="20" t="n">
        <v>0.541</v>
      </c>
      <c r="E112" s="20" t="n">
        <v>0.527</v>
      </c>
      <c r="F112" s="20" t="n">
        <v>0.506</v>
      </c>
      <c r="G112" s="20" t="n">
        <v>0.532</v>
      </c>
      <c r="H112" s="20" t="n">
        <v>0.271</v>
      </c>
      <c r="I112" s="20" t="n">
        <v>0.206</v>
      </c>
      <c r="J112" s="20" t="n">
        <v>0.096</v>
      </c>
      <c r="K112" s="20" t="n">
        <v>0.096</v>
      </c>
      <c r="L112" s="20" t="n">
        <v>0.169</v>
      </c>
      <c r="M112" s="20" t="n">
        <v>0.205</v>
      </c>
      <c r="N112" s="20" t="n">
        <v>0.163</v>
      </c>
      <c r="T112" s="20" t="n">
        <v>1.853</v>
      </c>
      <c r="U112" s="20" t="n">
        <v>0.901</v>
      </c>
      <c r="V112" s="20" t="n">
        <v>0.541</v>
      </c>
      <c r="W112" s="20" t="n">
        <v>0.271</v>
      </c>
      <c r="X112" s="20" t="n">
        <v>0.169</v>
      </c>
    </row>
    <row r="113">
      <c r="A113" s="18" t="inlineStr">
        <is>
          <t>지급수수료</t>
        </is>
      </c>
      <c r="C113" s="20" t="n">
        <v>0.375</v>
      </c>
      <c r="D113" s="20" t="n">
        <v>0.375</v>
      </c>
      <c r="E113" s="20" t="n">
        <v>0.375</v>
      </c>
      <c r="F113" s="20" t="n">
        <v>0.375</v>
      </c>
      <c r="G113" s="20" t="n">
        <v>0.375</v>
      </c>
      <c r="H113" s="20" t="n">
        <v>0.375</v>
      </c>
      <c r="I113" s="20" t="n">
        <v>0.075</v>
      </c>
      <c r="J113" s="20" t="n">
        <v>0.075</v>
      </c>
      <c r="K113" s="20" t="n">
        <v>0.075</v>
      </c>
      <c r="L113" s="20" t="n">
        <v>0.075</v>
      </c>
      <c r="M113" s="20" t="n">
        <v>0</v>
      </c>
      <c r="N113" s="20" t="n">
        <v>0.15</v>
      </c>
      <c r="T113" s="20" t="n">
        <v>1.125</v>
      </c>
      <c r="U113" s="20" t="n">
        <v>0.375</v>
      </c>
      <c r="V113" s="20" t="n">
        <v>0.375</v>
      </c>
      <c r="W113" s="20" t="n">
        <v>0.375</v>
      </c>
      <c r="X113" s="20" t="n">
        <v>0.075</v>
      </c>
    </row>
    <row r="114">
      <c r="A114" s="18" t="inlineStr">
        <is>
          <t>외환차손</t>
        </is>
      </c>
      <c r="C114" s="20" t="n">
        <v>-2.062</v>
      </c>
      <c r="D114" s="20" t="n">
        <v>3.241</v>
      </c>
      <c r="E114" s="20" t="n">
        <v>2.092</v>
      </c>
      <c r="F114" s="20" t="n">
        <v>-2.092</v>
      </c>
      <c r="G114" s="20" t="n">
        <v>1.78</v>
      </c>
      <c r="H114" s="20" t="n">
        <v>-1.35</v>
      </c>
      <c r="I114" s="20" t="n">
        <v>0</v>
      </c>
      <c r="J114" s="20" t="n">
        <v>0</v>
      </c>
      <c r="K114" s="20" t="n">
        <v>0.9389999999999999</v>
      </c>
      <c r="L114" s="20" t="n">
        <v>-0.11</v>
      </c>
      <c r="M114" s="20" t="n">
        <v>0.479</v>
      </c>
      <c r="N114" s="20" t="n">
        <v>-0.099</v>
      </c>
      <c r="V114" s="20" t="n">
        <v>3.241</v>
      </c>
      <c r="W114" s="20" t="n">
        <v>-1.35</v>
      </c>
      <c r="X114" s="20" t="n">
        <v>-0.11</v>
      </c>
    </row>
    <row r="115">
      <c r="A115" s="18" t="inlineStr">
        <is>
          <t>계약 해지 손실</t>
        </is>
      </c>
      <c r="C115" s="20" t="n">
        <v>0</v>
      </c>
      <c r="G115" s="20" t="n">
        <v>0</v>
      </c>
    </row>
    <row r="116">
      <c r="A116" s="18" t="inlineStr">
        <is>
          <t>기타</t>
        </is>
      </c>
      <c r="C116" s="20" t="n">
        <v>2.297</v>
      </c>
      <c r="D116" s="20" t="n">
        <v>-0.104</v>
      </c>
      <c r="E116" s="20" t="n">
        <v>0</v>
      </c>
      <c r="F116" s="20" t="n">
        <v>0.304</v>
      </c>
      <c r="G116" s="20" t="n">
        <v>0.172</v>
      </c>
      <c r="H116" s="20" t="n">
        <v>0.918</v>
      </c>
      <c r="I116" s="20" t="n">
        <v>0.015</v>
      </c>
      <c r="J116" s="20" t="n">
        <v>-0.003</v>
      </c>
      <c r="K116" s="20" t="n">
        <v>0.593</v>
      </c>
      <c r="L116" s="20" t="n">
        <v>0.064</v>
      </c>
      <c r="M116" s="20" t="n">
        <v>0.148</v>
      </c>
      <c r="N116" s="20" t="n">
        <v>0.001</v>
      </c>
      <c r="T116" s="20" t="n">
        <v>3.924</v>
      </c>
      <c r="U116" s="20" t="n">
        <v>0.015</v>
      </c>
      <c r="V116" s="20" t="n">
        <v>-0.104</v>
      </c>
      <c r="W116" s="20" t="n">
        <v>0.918</v>
      </c>
      <c r="X116" s="20" t="n">
        <v>0.064</v>
      </c>
    </row>
    <row r="117">
      <c r="A117" s="18" t="inlineStr">
        <is>
          <t>영업외비용 합계</t>
        </is>
      </c>
      <c r="C117" s="20" t="n">
        <v>1.21</v>
      </c>
      <c r="D117" s="20" t="n">
        <v>14.068</v>
      </c>
      <c r="E117" s="20" t="n">
        <v>2.995</v>
      </c>
      <c r="F117" s="20" t="n">
        <v>-0.908</v>
      </c>
      <c r="G117" s="20" t="n">
        <v>2.86</v>
      </c>
      <c r="H117" s="20" t="n">
        <v>0.214</v>
      </c>
      <c r="I117" s="20" t="n">
        <v>0.296</v>
      </c>
      <c r="J117" s="20" t="n">
        <v>0.168</v>
      </c>
      <c r="K117" s="20" t="n">
        <v>1.704</v>
      </c>
      <c r="L117" s="20" t="n">
        <v>0.198</v>
      </c>
      <c r="M117" s="20" t="n">
        <v>0.833</v>
      </c>
      <c r="N117" s="20" t="n">
        <v>0.215</v>
      </c>
      <c r="T117" s="20" t="n">
        <v>6.903</v>
      </c>
      <c r="U117" s="20" t="n">
        <v>1.292</v>
      </c>
      <c r="V117" s="20" t="n">
        <v>14.068</v>
      </c>
      <c r="W117" s="20" t="n">
        <v>0.214</v>
      </c>
      <c r="X117" s="20" t="n">
        <v>0.198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경상이익</t>
        </is>
      </c>
      <c r="C119" s="12" t="n">
        <v>841.801</v>
      </c>
      <c r="D119" s="12" t="n">
        <v>487.419</v>
      </c>
      <c r="E119" s="12" t="n">
        <v>543.1420000000001</v>
      </c>
      <c r="F119" s="12" t="n">
        <v>376.096</v>
      </c>
      <c r="G119" s="12" t="n">
        <v>655.181</v>
      </c>
      <c r="H119" s="12" t="n">
        <v>578.481</v>
      </c>
      <c r="I119" s="12" t="n">
        <v>397.217</v>
      </c>
      <c r="J119" s="12" t="n">
        <v>420.083</v>
      </c>
      <c r="K119" s="12" t="n">
        <v>665.348</v>
      </c>
      <c r="L119" s="12" t="n">
        <v>1025.309</v>
      </c>
      <c r="M119" s="12" t="n">
        <v>521.028</v>
      </c>
      <c r="N119" s="12" t="n">
        <v>781.735</v>
      </c>
      <c r="T119" s="12" t="n">
        <v>374.633</v>
      </c>
      <c r="U119" s="12" t="n">
        <v>312.485</v>
      </c>
      <c r="V119" s="12" t="n">
        <v>487.419</v>
      </c>
      <c r="W119" s="12" t="n">
        <v>578.481</v>
      </c>
      <c r="X119" s="12" t="n">
        <v>1025.309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고정자산 매각이익</t>
        </is>
      </c>
      <c r="D121" s="20" t="n">
        <v>0</v>
      </c>
      <c r="H121" s="20" t="n">
        <v>0</v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2.499</v>
      </c>
      <c r="N121" s="20" t="n">
        <v>0</v>
      </c>
      <c r="V121" s="20" t="n">
        <v>0</v>
      </c>
      <c r="W121" s="20" t="n">
        <v>0</v>
      </c>
      <c r="X121" s="20" t="n">
        <v>0</v>
      </c>
    </row>
    <row r="122">
      <c r="A122" s="18" t="inlineStr">
        <is>
          <t>퇴직급여제도 개정 이익</t>
        </is>
      </c>
      <c r="T122" s="20" t="n">
        <v>0</v>
      </c>
      <c r="U122" s="20" t="n">
        <v>0</v>
      </c>
    </row>
    <row r="123">
      <c r="A123" s="18" t="inlineStr">
        <is>
          <t>채무면제이익</t>
        </is>
      </c>
      <c r="H123" s="20" t="n">
        <v>53.411</v>
      </c>
      <c r="L123" s="20" t="n">
        <v>0</v>
      </c>
      <c r="W123" s="20" t="n">
        <v>53.411</v>
      </c>
      <c r="X123" s="20" t="n">
        <v>0</v>
      </c>
    </row>
    <row r="124">
      <c r="A124" s="18" t="inlineStr">
        <is>
          <t>투자유가증권 매각이익</t>
        </is>
      </c>
      <c r="D124" s="20" t="n">
        <v>0</v>
      </c>
      <c r="U124" s="20" t="n">
        <v>0</v>
      </c>
      <c r="V124" s="20" t="n">
        <v>0</v>
      </c>
    </row>
    <row r="125">
      <c r="A125" s="18" t="inlineStr">
        <is>
          <t>신주예약권 환입이익</t>
        </is>
      </c>
      <c r="C125" s="20" t="n">
        <v>0</v>
      </c>
      <c r="D125" s="20" t="n">
        <v>0</v>
      </c>
      <c r="T125" s="20" t="n">
        <v>0</v>
      </c>
      <c r="U125" s="20" t="n">
        <v>0</v>
      </c>
      <c r="V125" s="20" t="n">
        <v>0</v>
      </c>
    </row>
    <row r="126">
      <c r="A126" s="18" t="inlineStr">
        <is>
          <t>퇴직급여 수리차이 상각이익</t>
        </is>
      </c>
      <c r="C126" s="20" t="n">
        <v>0</v>
      </c>
      <c r="D126" s="20" t="n">
        <v>0</v>
      </c>
      <c r="T126" s="20" t="n">
        <v>0</v>
      </c>
      <c r="U126" s="20" t="n">
        <v>0</v>
      </c>
      <c r="V126" s="20" t="n">
        <v>0</v>
      </c>
    </row>
    <row r="127">
      <c r="A127" s="18" t="inlineStr">
        <is>
          <t>특별이익 합계</t>
        </is>
      </c>
      <c r="C127" s="20" t="n">
        <v>0</v>
      </c>
      <c r="D127" s="20" t="n">
        <v>28.574</v>
      </c>
      <c r="H127" s="20" t="n">
        <v>143.178</v>
      </c>
      <c r="I127" s="20" t="n">
        <v>0</v>
      </c>
      <c r="J127" s="20" t="n">
        <v>0</v>
      </c>
      <c r="K127" s="20" t="n">
        <v>1.337</v>
      </c>
      <c r="L127" s="20" t="n">
        <v>402.113</v>
      </c>
      <c r="M127" s="20" t="n">
        <v>2.499</v>
      </c>
      <c r="N127" s="20" t="n">
        <v>13.405</v>
      </c>
      <c r="T127" s="20" t="n">
        <v>53.568</v>
      </c>
      <c r="U127" s="20" t="n">
        <v>28.03</v>
      </c>
      <c r="V127" s="20" t="n">
        <v>28.574</v>
      </c>
      <c r="W127" s="20" t="n">
        <v>143.178</v>
      </c>
      <c r="X127" s="20" t="n">
        <v>402.113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H128" s="15">
        <f>IF(OR(H127="",D127=""),"",IF(H127*D127&lt;=0,"",IFERROR(H127/D127-1,"")))</f>
        <v/>
      </c>
      <c r="I128" s="15">
        <f>IF(OR(I127="",E127=""),"",IF(I127*E127&lt;=0,"",IFERROR(I127/E127-1,"")))</f>
        <v/>
      </c>
      <c r="J128" s="15">
        <f>IF(OR(J127="",F127=""),"",IF(J127*F127&lt;=0,"",IFERROR(J127/F127-1,"")))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M128" s="15">
        <f>IF(OR(M127="",I127=""),"",IF(M127*I127&lt;=0,"",IFERROR(M127/I127-1,"")))</f>
        <v/>
      </c>
      <c r="N128" s="15">
        <f>IF(OR(N127="",J127=""),"",IF(N127*J127&lt;=0,"",IFERROR(N127/J127-1,"")))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법인세차감전 순이익</t>
        </is>
      </c>
      <c r="C129" s="12" t="n">
        <v>841.801</v>
      </c>
      <c r="D129" s="12" t="n">
        <v>515.994</v>
      </c>
      <c r="E129" s="12" t="n">
        <v>543.1420000000001</v>
      </c>
      <c r="F129" s="12" t="n">
        <v>376.096</v>
      </c>
      <c r="G129" s="12" t="n">
        <v>664.2619999999999</v>
      </c>
      <c r="H129" s="12" t="n">
        <v>697.944</v>
      </c>
      <c r="I129" s="12" t="n">
        <v>397.217</v>
      </c>
      <c r="J129" s="12" t="n">
        <v>420.083</v>
      </c>
      <c r="K129" s="12" t="n">
        <v>666.6849999999999</v>
      </c>
      <c r="L129" s="12" t="n">
        <v>1089.741</v>
      </c>
      <c r="M129" s="12" t="n">
        <v>523.528</v>
      </c>
      <c r="N129" s="12" t="n">
        <v>795.14</v>
      </c>
      <c r="T129" s="12" t="n">
        <v>428.202</v>
      </c>
      <c r="U129" s="12" t="n">
        <v>251.329</v>
      </c>
      <c r="V129" s="12" t="n">
        <v>515.994</v>
      </c>
      <c r="W129" s="12" t="n">
        <v>697.944</v>
      </c>
      <c r="X129" s="12" t="n">
        <v>1089.741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T130" s="15">
        <f>IF(OR(T129="",S129=""),"",IF(S129&lt;=0,"",IFERROR(T129/S129-1,"")))</f>
        <v/>
      </c>
      <c r="U130" s="15">
        <f>IF(OR(U129="",T129=""),"",IF(T129&lt;=0,"",IFERROR(U129/T129-1,"")))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18" t="inlineStr">
        <is>
          <t>법인세 등</t>
        </is>
      </c>
      <c r="C131" s="20" t="n">
        <v>265.05</v>
      </c>
      <c r="D131" s="20" t="n">
        <v>99.239</v>
      </c>
      <c r="E131" s="20" t="n">
        <v>173.574</v>
      </c>
      <c r="F131" s="20" t="n">
        <v>120.468</v>
      </c>
      <c r="G131" s="20" t="n">
        <v>222.563</v>
      </c>
      <c r="H131" s="20" t="n">
        <v>214.438</v>
      </c>
      <c r="I131" s="20" t="n">
        <v>128.16</v>
      </c>
      <c r="J131" s="20" t="n">
        <v>133.892</v>
      </c>
      <c r="K131" s="20" t="n">
        <v>211.032</v>
      </c>
      <c r="L131" s="20" t="n">
        <v>349.385</v>
      </c>
      <c r="M131" s="20" t="n">
        <v>172.275</v>
      </c>
      <c r="N131" s="20" t="n">
        <v>258.253</v>
      </c>
      <c r="T131" s="20" t="n">
        <v>135.936</v>
      </c>
      <c r="U131" s="20" t="n">
        <v>67.73999999999999</v>
      </c>
      <c r="V131" s="20" t="n">
        <v>99.239</v>
      </c>
      <c r="W131" s="20" t="n">
        <v>214.438</v>
      </c>
      <c r="X131" s="20" t="n">
        <v>349.385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순이익</t>
        </is>
      </c>
      <c r="C133" s="12" t="n">
        <v>576.751</v>
      </c>
      <c r="D133" s="12" t="n">
        <v>416.754</v>
      </c>
      <c r="E133" s="12" t="n">
        <v>369.568</v>
      </c>
      <c r="F133" s="12" t="n">
        <v>255.628</v>
      </c>
      <c r="G133" s="12" t="n">
        <v>441.698</v>
      </c>
      <c r="H133" s="12" t="n">
        <v>483.506</v>
      </c>
      <c r="I133" s="12" t="n">
        <v>269.057</v>
      </c>
      <c r="J133" s="12" t="n">
        <v>286.191</v>
      </c>
      <c r="K133" s="12" t="n">
        <v>455.653</v>
      </c>
      <c r="L133" s="12" t="n">
        <v>740.356</v>
      </c>
      <c r="M133" s="12" t="n">
        <v>351.253</v>
      </c>
      <c r="N133" s="12" t="n">
        <v>536.886</v>
      </c>
      <c r="T133" s="12" t="n">
        <v>292.267</v>
      </c>
      <c r="U133" s="12" t="n">
        <v>183.59</v>
      </c>
      <c r="V133" s="12" t="n">
        <v>416.754</v>
      </c>
      <c r="W133" s="12" t="n">
        <v>483.506</v>
      </c>
      <c r="X133" s="12" t="n">
        <v>740.356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6">
      <c r="A136" s="16" t="inlineStr">
        <is>
          <t>부문 · 전 항목</t>
        </is>
      </c>
      <c r="B136" s="42" t="inlineStr">
        <is>
          <t>부문 · 항목</t>
        </is>
      </c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2024.3Q</t>
        </is>
      </c>
      <c r="D137" s="5" t="inlineStr">
        <is>
          <t>2024.4Q</t>
        </is>
      </c>
      <c r="E137" s="5" t="inlineStr">
        <is>
          <t>2025.1Q</t>
        </is>
      </c>
      <c r="F137" s="5" t="inlineStr">
        <is>
          <t>2025.2Q</t>
        </is>
      </c>
      <c r="G137" s="5" t="inlineStr">
        <is>
          <t>2025.3Q</t>
        </is>
      </c>
      <c r="H137" s="5" t="inlineStr">
        <is>
          <t>2025.4Q</t>
        </is>
      </c>
      <c r="I137" s="5" t="inlineStr">
        <is>
          <t>2026.1Q</t>
        </is>
      </c>
      <c r="J137" s="5" t="inlineStr">
        <is>
          <t>2026.2Q</t>
        </is>
      </c>
      <c r="K137" s="5" t="inlineStr">
        <is>
          <t>2026.3Q</t>
        </is>
      </c>
      <c r="L137" s="5" t="inlineStr">
        <is>
          <t>2026.4Q</t>
        </is>
      </c>
      <c r="M137" s="5" t="inlineStr">
        <is>
          <t>2027.1Q</t>
        </is>
      </c>
      <c r="N137" s="5" t="inlineStr">
        <is>
          <t>2027.2Q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18" t="inlineStr">
        <is>
          <t>기어 및 기어 장치 · 외부 고객 매출</t>
        </is>
      </c>
      <c r="C138" s="20" t="n">
        <v>2060.559</v>
      </c>
      <c r="G138" s="20" t="n">
        <v>1931.643</v>
      </c>
      <c r="K138" s="20" t="n">
        <v>1799.29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IF(OR(G138="",C138=""),"",IF(C138&lt;=0,"",IFERROR(G138/C138-1,"")))</f>
        <v/>
      </c>
      <c r="K139" s="15">
        <f>IF(OR(K138="",G138=""),"",IF(G138&lt;=0,"",IFERROR(K138/G138-1,"")))</f>
        <v/>
      </c>
    </row>
    <row r="140">
      <c r="A140" s="18" t="inlineStr">
        <is>
          <t>공사 · 외부 고객 매출</t>
        </is>
      </c>
      <c r="C140" s="20" t="n">
        <v>775.047</v>
      </c>
      <c r="G140" s="20" t="n">
        <v>605.02</v>
      </c>
      <c r="K140" s="20" t="n">
        <v>693.553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K141" s="15">
        <f>IF(OR(K140="",G140=""),"",IF(G140&lt;=0,"",IFERROR(K140/G140-1,"")))</f>
        <v/>
      </c>
    </row>
    <row r="142">
      <c r="A142" s="9" t="inlineStr">
        <is>
          <t>외부 고객 매출</t>
        </is>
      </c>
      <c r="C142" s="12" t="n">
        <v>2835.605</v>
      </c>
      <c r="E142" s="12" t="n">
        <v>2110.599</v>
      </c>
      <c r="F142" s="12" t="n">
        <v>2131.343</v>
      </c>
      <c r="G142" s="12" t="n">
        <v>2536.664</v>
      </c>
      <c r="I142" s="12" t="n">
        <v>2069.178</v>
      </c>
      <c r="J142" s="12" t="n">
        <v>2142.92</v>
      </c>
      <c r="K142" s="12" t="n">
        <v>2492.843</v>
      </c>
      <c r="M142" s="12" t="n">
        <v>2060.259</v>
      </c>
      <c r="N142" s="12" t="n">
        <v>2390.764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</row>
    <row r="144">
      <c r="A144" s="18" t="inlineStr">
        <is>
          <t>기어 및 기어 장치 · 부문 간 내부매출·대체</t>
        </is>
      </c>
      <c r="E144" s="20" t="n">
        <v>0</v>
      </c>
      <c r="I144" s="20" t="n">
        <v>0</v>
      </c>
      <c r="M144" s="20" t="n">
        <v>0</v>
      </c>
    </row>
    <row r="145">
      <c r="A145" s="18" t="inlineStr">
        <is>
          <t>공사 · 부문 간 내부매출·대체</t>
        </is>
      </c>
      <c r="E145" s="20" t="n">
        <v>0</v>
      </c>
      <c r="I145" s="20" t="n">
        <v>0</v>
      </c>
      <c r="M145" s="20" t="n">
        <v>0</v>
      </c>
    </row>
    <row r="146">
      <c r="A146" s="18" t="inlineStr">
        <is>
          <t>기어 및 기어 장치 · 부문 간 내부매출·대체</t>
        </is>
      </c>
      <c r="C146" s="20" t="n">
        <v>0</v>
      </c>
      <c r="G146" s="20" t="n">
        <v>0</v>
      </c>
      <c r="K146" s="20" t="n">
        <v>0</v>
      </c>
    </row>
    <row r="147">
      <c r="A147" s="18" t="inlineStr">
        <is>
          <t>공사 · 부문 간 내부매출·대체</t>
        </is>
      </c>
      <c r="C147" s="20" t="n">
        <v>0</v>
      </c>
      <c r="G147" s="20" t="n">
        <v>0</v>
      </c>
      <c r="K147" s="20" t="n">
        <v>0</v>
      </c>
    </row>
    <row r="148">
      <c r="A148" s="18" t="inlineStr">
        <is>
          <t>부문 간 내부매출·대체</t>
        </is>
      </c>
      <c r="C148" s="20" t="n">
        <v>0</v>
      </c>
      <c r="E148" s="20" t="n">
        <v>0</v>
      </c>
      <c r="F148" s="20" t="n">
        <v>0</v>
      </c>
      <c r="G148" s="20" t="n">
        <v>0</v>
      </c>
      <c r="I148" s="20" t="n">
        <v>0</v>
      </c>
      <c r="J148" s="20" t="n">
        <v>0</v>
      </c>
      <c r="K148" s="20" t="n">
        <v>0</v>
      </c>
      <c r="M148" s="20" t="n">
        <v>0</v>
      </c>
      <c r="N148" s="20" t="n">
        <v>0</v>
      </c>
    </row>
    <row r="149">
      <c r="A149" s="18" t="inlineStr">
        <is>
          <t>기어 및 기어 장치 · 계</t>
        </is>
      </c>
      <c r="E149" s="20" t="n">
        <v>1614.234</v>
      </c>
      <c r="I149" s="20" t="n">
        <v>1581.462</v>
      </c>
      <c r="M149" s="20" t="n">
        <v>1531.167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I150" s="15">
        <f>IF(OR(I149="",E149=""),"",IF(E149&lt;=0,"",IFERROR(I149/E149-1,"")))</f>
        <v/>
      </c>
      <c r="M150" s="15">
        <f>IF(OR(M149="",I149=""),"",IF(I149&lt;=0,"",IFERROR(M149/I149-1,"")))</f>
        <v/>
      </c>
    </row>
    <row r="151">
      <c r="A151" s="18" t="inlineStr">
        <is>
          <t>공사 · 계</t>
        </is>
      </c>
      <c r="E151" s="20" t="n">
        <v>496.364</v>
      </c>
      <c r="I151" s="20" t="n">
        <v>487.716</v>
      </c>
      <c r="M151" s="20" t="n">
        <v>529.092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I152" s="15">
        <f>IF(OR(I151="",E151=""),"",IF(E151&lt;=0,"",IFERROR(I151/E151-1,"")))</f>
        <v/>
      </c>
      <c r="M152" s="15">
        <f>IF(OR(M151="",I151=""),"",IF(I151&lt;=0,"",IFERROR(M151/I151-1,"")))</f>
        <v/>
      </c>
    </row>
    <row r="153">
      <c r="A153" s="18" t="inlineStr">
        <is>
          <t>기어 및 기어 장치 · 계</t>
        </is>
      </c>
      <c r="C153" s="20" t="n">
        <v>2060.559</v>
      </c>
      <c r="G153" s="20" t="n">
        <v>1931.643</v>
      </c>
      <c r="K153" s="20" t="n">
        <v>1799.29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K154" s="15">
        <f>IF(OR(K153="",G153=""),"",IF(G153&lt;=0,"",IFERROR(K153/G153-1,"")))</f>
        <v/>
      </c>
    </row>
    <row r="155">
      <c r="A155" s="18" t="inlineStr">
        <is>
          <t>공사 · 계</t>
        </is>
      </c>
      <c r="C155" s="20" t="n">
        <v>775.047</v>
      </c>
      <c r="G155" s="20" t="n">
        <v>605.02</v>
      </c>
      <c r="K155" s="20" t="n">
        <v>693.553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K156" s="15">
        <f>IF(OR(K155="",G155=""),"",IF(G155&lt;=0,"",IFERROR(K155/G155-1,"")))</f>
        <v/>
      </c>
    </row>
    <row r="157">
      <c r="A157" s="9" t="inlineStr">
        <is>
          <t>계</t>
        </is>
      </c>
      <c r="C157" s="12" t="n">
        <v>2835.605</v>
      </c>
      <c r="E157" s="12" t="n">
        <v>2110.599</v>
      </c>
      <c r="F157" s="12" t="n">
        <v>2131.343</v>
      </c>
      <c r="G157" s="12" t="n">
        <v>2536.664</v>
      </c>
      <c r="I157" s="12" t="n">
        <v>2069.178</v>
      </c>
      <c r="J157" s="12" t="n">
        <v>2142.92</v>
      </c>
      <c r="K157" s="12" t="n">
        <v>2492.843</v>
      </c>
      <c r="M157" s="12" t="n">
        <v>2060.259</v>
      </c>
      <c r="N157" s="12" t="n">
        <v>2390.764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</row>
    <row r="159">
      <c r="A159" s="18" t="inlineStr">
        <is>
          <t>기어 및 기어 장치 · 부문 이익</t>
        </is>
      </c>
      <c r="E159" s="20" t="n">
        <v>320.223</v>
      </c>
      <c r="I159" s="20" t="n">
        <v>235.173</v>
      </c>
      <c r="M159" s="20" t="n">
        <v>346.239</v>
      </c>
    </row>
    <row r="160">
      <c r="A160" s="43" t="inlineStr">
        <is>
          <t>OPM</t>
        </is>
      </c>
      <c r="B160" s="3" t="inlineStr">
        <is>
          <t>영업이익 ÷ 매출</t>
        </is>
      </c>
      <c r="E160" s="15">
        <f>IF(OR(E159="",E149=""),"",IF(E149&lt;=0,"",IFERROR(E159/E149,"")))</f>
        <v/>
      </c>
      <c r="I160" s="15">
        <f>IF(OR(I159="",I149=""),"",IF(I149&lt;=0,"",IFERROR(I159/I149,"")))</f>
        <v/>
      </c>
      <c r="M160" s="15">
        <f>IF(OR(M159="",M149=""),"",IF(M149&lt;=0,"",IFERROR(M159/M149,"")))</f>
        <v/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I161" s="15">
        <f>IF(OR(I159="",E159=""),"",IF(E159&lt;=0,"",IFERROR(I159/E159-1,"")))</f>
        <v/>
      </c>
      <c r="M161" s="15">
        <f>IF(OR(M159="",I159=""),"",IF(I159&lt;=0,"",IFERROR(M159/I159-1,"")))</f>
        <v/>
      </c>
    </row>
    <row r="162">
      <c r="A162" s="18" t="inlineStr">
        <is>
          <t>공사 · 부문 이익</t>
        </is>
      </c>
      <c r="E162" s="20" t="n">
        <v>203.184</v>
      </c>
      <c r="I162" s="20" t="n">
        <v>143.746</v>
      </c>
      <c r="M162" s="20" t="n">
        <v>149.637</v>
      </c>
    </row>
    <row r="163">
      <c r="A163" s="43" t="inlineStr">
        <is>
          <t>OPM</t>
        </is>
      </c>
      <c r="B163" s="3" t="inlineStr">
        <is>
          <t>영업이익 ÷ 매출</t>
        </is>
      </c>
      <c r="E163" s="15">
        <f>IF(OR(E162="",E151=""),"",IF(E151&lt;=0,"",IFERROR(E162/E151,"")))</f>
        <v/>
      </c>
      <c r="I163" s="15">
        <f>IF(OR(I162="",I151=""),"",IF(I151&lt;=0,"",IFERROR(I162/I151,"")))</f>
        <v/>
      </c>
      <c r="M163" s="15">
        <f>IF(OR(M162="",M151=""),"",IF(M151&lt;=0,"",IFERROR(M162/M151,"")))</f>
        <v/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I164" s="15">
        <f>IF(OR(I162="",E162=""),"",IF(E162&lt;=0,"",IFERROR(I162/E162-1,"")))</f>
        <v/>
      </c>
      <c r="M164" s="15">
        <f>IF(OR(M162="",I162=""),"",IF(I162&lt;=0,"",IFERROR(M162/I162-1,"")))</f>
        <v/>
      </c>
    </row>
    <row r="165">
      <c r="A165" s="18" t="inlineStr">
        <is>
          <t>기어 및 기어 장치 · 부문 이익</t>
        </is>
      </c>
      <c r="C165" s="20" t="n">
        <v>510.879</v>
      </c>
      <c r="G165" s="20" t="n">
        <v>417.903</v>
      </c>
      <c r="K165" s="20" t="n">
        <v>373.767</v>
      </c>
    </row>
    <row r="166">
      <c r="A166" s="43" t="inlineStr">
        <is>
          <t>OPM</t>
        </is>
      </c>
      <c r="B166" s="3" t="inlineStr">
        <is>
          <t>영업이익 ÷ 매출</t>
        </is>
      </c>
      <c r="C166" s="15">
        <f>IF(OR(C165="",C153=""),"",IF(C153&lt;=0,"",IFERROR(C165/C153,"")))</f>
        <v/>
      </c>
      <c r="G166" s="15">
        <f>IF(OR(G165="",G153=""),"",IF(G153&lt;=0,"",IFERROR(G165/G153,"")))</f>
        <v/>
      </c>
      <c r="K166" s="15">
        <f>IF(OR(K165="",K153=""),"",IF(K153&lt;=0,"",IFERROR(K165/K153,"")))</f>
        <v/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IF(OR(G165="",C165=""),"",IF(C165&lt;=0,"",IFERROR(G165/C165-1,"")))</f>
        <v/>
      </c>
      <c r="K167" s="15">
        <f>IF(OR(K165="",G165=""),"",IF(G165&lt;=0,"",IFERROR(K165/G165-1,"")))</f>
        <v/>
      </c>
    </row>
    <row r="168">
      <c r="A168" s="18" t="inlineStr">
        <is>
          <t>공사 · 부문 이익</t>
        </is>
      </c>
      <c r="C168" s="20" t="n">
        <v>317.651</v>
      </c>
      <c r="G168" s="20" t="n">
        <v>225.66</v>
      </c>
      <c r="K168" s="20" t="n">
        <v>274.559</v>
      </c>
    </row>
    <row r="169">
      <c r="A169" s="43" t="inlineStr">
        <is>
          <t>OPM</t>
        </is>
      </c>
      <c r="B169" s="3" t="inlineStr">
        <is>
          <t>영업이익 ÷ 매출</t>
        </is>
      </c>
      <c r="C169" s="15">
        <f>IF(OR(C168="",C155=""),"",IF(C155&lt;=0,"",IFERROR(C168/C155,"")))</f>
        <v/>
      </c>
      <c r="G169" s="15">
        <f>IF(OR(G168="",G155=""),"",IF(G155&lt;=0,"",IFERROR(G168/G155,"")))</f>
        <v/>
      </c>
      <c r="K169" s="15">
        <f>IF(OR(K168="",K155=""),"",IF(K155&lt;=0,"",IFERROR(K168/K155,"")))</f>
        <v/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IF(OR(G168="",C168=""),"",IF(C168&lt;=0,"",IFERROR(G168/C168-1,"")))</f>
        <v/>
      </c>
      <c r="K170" s="15">
        <f>IF(OR(K168="",G168=""),"",IF(G168&lt;=0,"",IFERROR(K168/G168-1,"")))</f>
        <v/>
      </c>
    </row>
    <row r="171">
      <c r="A171" s="9" t="inlineStr">
        <is>
          <t>부문 이익</t>
        </is>
      </c>
      <c r="C171" s="12" t="n">
        <v>828.5309999999999</v>
      </c>
      <c r="E171" s="12" t="n">
        <v>523.407</v>
      </c>
      <c r="F171" s="12" t="n">
        <v>367.334</v>
      </c>
      <c r="G171" s="12" t="n">
        <v>643.562</v>
      </c>
      <c r="I171" s="12" t="n">
        <v>378.919</v>
      </c>
      <c r="J171" s="12" t="n">
        <v>412.941</v>
      </c>
      <c r="K171" s="12" t="n">
        <v>648.325</v>
      </c>
      <c r="M171" s="12" t="n">
        <v>495.877</v>
      </c>
      <c r="N171" s="12" t="n">
        <v>770.427</v>
      </c>
    </row>
    <row r="172">
      <c r="A172" s="43" t="inlineStr">
        <is>
          <t>OPM</t>
        </is>
      </c>
      <c r="B172" s="3" t="inlineStr">
        <is>
          <t>영업이익 ÷ 매출</t>
        </is>
      </c>
      <c r="C172" s="15">
        <f>IF(OR(C171="",C142=""),"",IF(C142&lt;=0,"",IFERROR(C171/C142,"")))</f>
        <v/>
      </c>
      <c r="E172" s="15">
        <f>IF(OR(E171="",E142=""),"",IF(E142&lt;=0,"",IFERROR(E171/E142,"")))</f>
        <v/>
      </c>
      <c r="F172" s="15">
        <f>IF(OR(F171="",F142=""),"",IF(F142&lt;=0,"",IFERROR(F171/F142,"")))</f>
        <v/>
      </c>
      <c r="G172" s="15">
        <f>IF(OR(G171="",G142=""),"",IF(G142&lt;=0,"",IFERROR(G171/G142,"")))</f>
        <v/>
      </c>
      <c r="I172" s="15">
        <f>IF(OR(I171="",I142=""),"",IF(I142&lt;=0,"",IFERROR(I171/I142,"")))</f>
        <v/>
      </c>
      <c r="J172" s="15">
        <f>IF(OR(J171="",J142=""),"",IF(J142&lt;=0,"",IFERROR(J171/J142,"")))</f>
        <v/>
      </c>
      <c r="K172" s="15">
        <f>IF(OR(K171="",K142=""),"",IF(K142&lt;=0,"",IFERROR(K171/K142,"")))</f>
        <v/>
      </c>
      <c r="M172" s="15">
        <f>IF(OR(M171="",M142=""),"",IF(M142&lt;=0,"",IFERROR(M171/M142,"")))</f>
        <v/>
      </c>
      <c r="N172" s="15">
        <f>IF(OR(N171="",N142=""),"",IF(N142&lt;=0,"",IFERROR(N171/N142,"")))</f>
        <v/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IF(OR(G171="",C171=""),"",IF(C171&lt;=0,"",IFERROR(G171/C171-1,"")))</f>
        <v/>
      </c>
      <c r="I173" s="15">
        <f>IF(OR(I171="",E171=""),"",IF(E171&lt;=0,"",IFERROR(I171/E171-1,"")))</f>
        <v/>
      </c>
      <c r="J173" s="15">
        <f>IF(OR(J171="",F171=""),"",IF(F171&lt;=0,"",IFERROR(J171/F171-1,"")))</f>
        <v/>
      </c>
      <c r="K173" s="15">
        <f>IF(OR(K171="",G171=""),"",IF(G171&lt;=0,"",IFERROR(K171/G171-1,"")))</f>
        <v/>
      </c>
      <c r="M173" s="15">
        <f>IF(OR(M171="",I171=""),"",IF(I171&lt;=0,"",IFERROR(M171/I171-1,"")))</f>
        <v/>
      </c>
      <c r="N173" s="15">
        <f>IF(OR(N171="",J171=""),"",IF(J171&lt;=0,"",IFERROR(N171/J171-1,"")))</f>
        <v/>
      </c>
    </row>
    <row r="174">
      <c r="A174" s="18" t="inlineStr">
        <is>
          <t>기어 및 기어 장치 · 외부 고객 매출</t>
        </is>
      </c>
      <c r="E174" s="20" t="n">
        <v>1614.234</v>
      </c>
      <c r="I174" s="20" t="n">
        <v>1581.462</v>
      </c>
      <c r="M174" s="20" t="n">
        <v>1531.167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I175" s="15">
        <f>IF(OR(I174="",E174=""),"",IF(E174&lt;=0,"",IFERROR(I174/E174-1,"")))</f>
        <v/>
      </c>
      <c r="M175" s="15">
        <f>IF(OR(M174="",I174=""),"",IF(I174&lt;=0,"",IFERROR(M174/I174-1,"")))</f>
        <v/>
      </c>
    </row>
    <row r="176">
      <c r="A176" s="18" t="inlineStr">
        <is>
          <t>공사 · 외부 고객 매출</t>
        </is>
      </c>
      <c r="E176" s="20" t="n">
        <v>496.364</v>
      </c>
      <c r="I176" s="20" t="n">
        <v>487.716</v>
      </c>
      <c r="M176" s="20" t="n">
        <v>529.092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I177" s="15">
        <f>IF(OR(I176="",E176=""),"",IF(E176&lt;=0,"",IFERROR(I176/E176-1,"")))</f>
        <v/>
      </c>
      <c r="M177" s="15">
        <f>IF(OR(M176="",I176=""),"",IF(I176&lt;=0,"",IFERROR(M176/I176-1,"")))</f>
        <v/>
      </c>
    </row>
    <row r="179">
      <c r="A179" s="16" t="inlineStr">
        <is>
          <t>현금흐름표 · 전 항목</t>
        </is>
      </c>
      <c r="B179" s="42" t="inlineStr">
        <is>
          <t>분기 = 결산기 첫날부터 누계(공시 그대로)</t>
        </is>
      </c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</row>
    <row r="180">
      <c r="A180" s="5" t="inlineStr">
        <is>
          <t>항목</t>
        </is>
      </c>
      <c r="B180" s="5" t="inlineStr">
        <is>
          <t>참고</t>
        </is>
      </c>
      <c r="C180" s="5" t="inlineStr">
        <is>
          <t>2024.3Q</t>
        </is>
      </c>
      <c r="D180" s="5" t="inlineStr">
        <is>
          <t>2024.4Q</t>
        </is>
      </c>
      <c r="E180" s="5" t="inlineStr">
        <is>
          <t>2025.1Q</t>
        </is>
      </c>
      <c r="F180" s="5" t="inlineStr">
        <is>
          <t>2025.2Q</t>
        </is>
      </c>
      <c r="G180" s="5" t="inlineStr">
        <is>
          <t>2025.3Q</t>
        </is>
      </c>
      <c r="H180" s="5" t="inlineStr">
        <is>
          <t>2025.4Q</t>
        </is>
      </c>
      <c r="I180" s="5" t="inlineStr">
        <is>
          <t>2026.1Q</t>
        </is>
      </c>
      <c r="J180" s="5" t="inlineStr">
        <is>
          <t>2026.2Q</t>
        </is>
      </c>
      <c r="K180" s="5" t="inlineStr">
        <is>
          <t>2026.3Q</t>
        </is>
      </c>
      <c r="L180" s="5" t="inlineStr">
        <is>
          <t>2026.4Q</t>
        </is>
      </c>
      <c r="M180" s="5" t="inlineStr">
        <is>
          <t>2027.1Q</t>
        </is>
      </c>
      <c r="N180" s="5" t="inlineStr">
        <is>
          <t>2027.2Q</t>
        </is>
      </c>
      <c r="O180" s="5" t="inlineStr">
        <is>
          <t>2017</t>
        </is>
      </c>
      <c r="P180" s="5" t="inlineStr">
        <is>
          <t>2018</t>
        </is>
      </c>
      <c r="Q180" s="5" t="inlineStr">
        <is>
          <t>2019</t>
        </is>
      </c>
      <c r="R180" s="5" t="inlineStr">
        <is>
          <t>2020</t>
        </is>
      </c>
      <c r="S180" s="5" t="inlineStr">
        <is>
          <t>2021</t>
        </is>
      </c>
      <c r="T180" s="5" t="inlineStr">
        <is>
          <t>2022</t>
        </is>
      </c>
      <c r="U180" s="5" t="inlineStr">
        <is>
          <t>2023</t>
        </is>
      </c>
      <c r="V180" s="5" t="inlineStr">
        <is>
          <t>2024</t>
        </is>
      </c>
      <c r="W180" s="5" t="inlineStr">
        <is>
          <t>2025</t>
        </is>
      </c>
      <c r="X180" s="5" t="inlineStr">
        <is>
          <t>2026</t>
        </is>
      </c>
      <c r="Y180" s="5" t="inlineStr">
        <is>
          <t>2027(MW)</t>
        </is>
      </c>
      <c r="Z180" s="5" t="inlineStr">
        <is>
          <t>2028(MW)</t>
        </is>
      </c>
      <c r="AA180" s="5" t="inlineStr">
        <is>
          <t>2029(MW)</t>
        </is>
      </c>
      <c r="AB180" s="5" t="inlineStr">
        <is>
          <t>2030(MW)</t>
        </is>
      </c>
      <c r="AC180" s="5" t="inlineStr">
        <is>
          <t>2031(MW)</t>
        </is>
      </c>
    </row>
    <row r="181">
      <c r="A181" s="9" t="inlineStr">
        <is>
          <t>법인세차감전 순이익</t>
        </is>
      </c>
      <c r="D181" s="12" t="n">
        <v>2180.056</v>
      </c>
      <c r="F181" s="12" t="n">
        <v>919.2380000000001</v>
      </c>
      <c r="H181" s="12" t="n">
        <v>2281.444</v>
      </c>
      <c r="J181" s="12" t="n">
        <v>817.3</v>
      </c>
      <c r="L181" s="12" t="n">
        <v>2573.726</v>
      </c>
      <c r="N181" s="12" t="n">
        <v>1318.668</v>
      </c>
      <c r="O181" s="12" t="n">
        <v>1011.373</v>
      </c>
      <c r="P181" s="12" t="n">
        <v>359.702</v>
      </c>
      <c r="Q181" s="12" t="n">
        <v>484.463</v>
      </c>
      <c r="R181" s="12" t="n">
        <v>597.718</v>
      </c>
      <c r="S181" s="12" t="n">
        <v>448.716</v>
      </c>
      <c r="T181" s="12" t="n">
        <v>454.012</v>
      </c>
      <c r="U181" s="12" t="n">
        <v>1005.219</v>
      </c>
      <c r="V181" s="12" t="n">
        <v>2180.056</v>
      </c>
      <c r="W181" s="12" t="n">
        <v>2281.444</v>
      </c>
      <c r="X181" s="12" t="n">
        <v>2573.726</v>
      </c>
    </row>
    <row r="182">
      <c r="A182" s="18" t="inlineStr">
        <is>
          <t>감가상각비</t>
        </is>
      </c>
      <c r="D182" s="20" t="n">
        <v>185.518</v>
      </c>
      <c r="F182" s="20" t="n">
        <v>100.478</v>
      </c>
      <c r="H182" s="20" t="n">
        <v>234.151</v>
      </c>
      <c r="J182" s="20" t="n">
        <v>107.476</v>
      </c>
      <c r="L182" s="20" t="n">
        <v>238.549</v>
      </c>
      <c r="N182" s="20" t="n">
        <v>123.577</v>
      </c>
      <c r="O182" s="20" t="n">
        <v>256.114</v>
      </c>
      <c r="P182" s="20" t="n">
        <v>203.626</v>
      </c>
      <c r="Q182" s="20" t="n">
        <v>244.379</v>
      </c>
      <c r="R182" s="20" t="n">
        <v>273.624</v>
      </c>
      <c r="S182" s="20" t="n">
        <v>246.612</v>
      </c>
      <c r="T182" s="20" t="n">
        <v>218.991</v>
      </c>
      <c r="U182" s="20" t="n">
        <v>193.682</v>
      </c>
      <c r="V182" s="20" t="n">
        <v>185.518</v>
      </c>
      <c r="W182" s="20" t="n">
        <v>234.151</v>
      </c>
      <c r="X182" s="20" t="n">
        <v>238.549</v>
      </c>
    </row>
    <row r="183">
      <c r="A183" s="18" t="inlineStr">
        <is>
          <t>주식보상비용</t>
        </is>
      </c>
      <c r="O183" s="20" t="n">
        <v>2.971</v>
      </c>
      <c r="P183" s="20" t="n">
        <v>5.527</v>
      </c>
      <c r="Q183" s="20" t="n">
        <v>4.626</v>
      </c>
      <c r="R183" s="20" t="n">
        <v>2.191</v>
      </c>
      <c r="S183" s="20" t="n">
        <v>0</v>
      </c>
    </row>
    <row r="184">
      <c r="A184" s="18" t="inlineStr">
        <is>
          <t>이자·배당금 수익</t>
        </is>
      </c>
      <c r="D184" s="20" t="n">
        <v>-25.012</v>
      </c>
      <c r="F184" s="20" t="n">
        <v>-16.275</v>
      </c>
      <c r="H184" s="20" t="n">
        <v>-32.748</v>
      </c>
      <c r="J184" s="20" t="n">
        <v>-23.413</v>
      </c>
      <c r="L184" s="20" t="n">
        <v>-47.51</v>
      </c>
      <c r="N184" s="20" t="n">
        <v>-33.201</v>
      </c>
      <c r="O184" s="20" t="n">
        <v>-12.985</v>
      </c>
      <c r="P184" s="20" t="n">
        <v>-13.415</v>
      </c>
      <c r="Q184" s="20" t="n">
        <v>-14.406</v>
      </c>
      <c r="R184" s="20" t="n">
        <v>-17.337</v>
      </c>
      <c r="S184" s="20" t="n">
        <v>-15.937</v>
      </c>
      <c r="T184" s="20" t="n">
        <v>-17.386</v>
      </c>
      <c r="U184" s="20" t="n">
        <v>-21.223</v>
      </c>
      <c r="V184" s="20" t="n">
        <v>-25.012</v>
      </c>
      <c r="W184" s="20" t="n">
        <v>-32.748</v>
      </c>
      <c r="X184" s="20" t="n">
        <v>-47.51</v>
      </c>
    </row>
    <row r="185">
      <c r="A185" s="18" t="inlineStr">
        <is>
          <t>사채이자</t>
        </is>
      </c>
      <c r="O185" s="20" t="n">
        <v>0.23</v>
      </c>
      <c r="P185" s="20" t="n">
        <v>0</v>
      </c>
    </row>
    <row r="186">
      <c r="A186" s="18" t="inlineStr">
        <is>
          <t>유형자산 제각손실</t>
        </is>
      </c>
      <c r="D186" s="20" t="n">
        <v>0.31</v>
      </c>
      <c r="H186" s="20" t="n">
        <v>0</v>
      </c>
      <c r="L186" s="20" t="n">
        <v>0</v>
      </c>
      <c r="O186" s="20" t="n">
        <v>1.845</v>
      </c>
      <c r="P186" s="20" t="n">
        <v>0.008</v>
      </c>
      <c r="Q186" s="20" t="n">
        <v>0.31</v>
      </c>
      <c r="R186" s="20" t="n">
        <v>0.267</v>
      </c>
      <c r="S186" s="20" t="n">
        <v>8.022</v>
      </c>
      <c r="T186" s="20" t="n">
        <v>1.221</v>
      </c>
      <c r="U186" s="20" t="n">
        <v>0.227</v>
      </c>
      <c r="V186" s="20" t="n">
        <v>0.31</v>
      </c>
      <c r="W186" s="20" t="n">
        <v>0</v>
      </c>
      <c r="X186" s="20" t="n">
        <v>0</v>
      </c>
    </row>
    <row r="187">
      <c r="A187" s="18" t="inlineStr">
        <is>
          <t>무형자산 제각손실</t>
        </is>
      </c>
      <c r="H187" s="20" t="n">
        <v>0</v>
      </c>
      <c r="L187" s="20" t="n">
        <v>10</v>
      </c>
      <c r="W187" s="20" t="n">
        <v>0</v>
      </c>
      <c r="X187" s="20" t="n">
        <v>10</v>
      </c>
    </row>
    <row r="188">
      <c r="A188" s="18" t="inlineStr">
        <is>
          <t>이자비용</t>
        </is>
      </c>
      <c r="D188" s="20" t="n">
        <v>2.457</v>
      </c>
      <c r="F188" s="20" t="n">
        <v>1.033</v>
      </c>
      <c r="H188" s="20" t="n">
        <v>1.836</v>
      </c>
      <c r="J188" s="20" t="n">
        <v>0.302</v>
      </c>
      <c r="L188" s="20" t="n">
        <v>0.5669999999999999</v>
      </c>
      <c r="N188" s="20" t="n">
        <v>0.368</v>
      </c>
      <c r="O188" s="20" t="n">
        <v>15.395</v>
      </c>
      <c r="P188" s="20" t="n">
        <v>11.259</v>
      </c>
      <c r="Q188" s="20" t="n">
        <v>11.467</v>
      </c>
      <c r="R188" s="20" t="n">
        <v>10.547</v>
      </c>
      <c r="S188" s="20" t="n">
        <v>8.871</v>
      </c>
      <c r="T188" s="20" t="n">
        <v>7.94</v>
      </c>
      <c r="U188" s="20" t="n">
        <v>4.14</v>
      </c>
      <c r="V188" s="20" t="n">
        <v>2.457</v>
      </c>
      <c r="W188" s="20" t="n">
        <v>1.836</v>
      </c>
      <c r="X188" s="20" t="n">
        <v>0.5669999999999999</v>
      </c>
    </row>
    <row r="189">
      <c r="A189" s="18" t="inlineStr">
        <is>
          <t>외환차손익</t>
        </is>
      </c>
      <c r="D189" s="20" t="n">
        <v>-0.035</v>
      </c>
      <c r="F189" s="20" t="n">
        <v>0.017</v>
      </c>
      <c r="H189" s="20" t="n">
        <v>0.003</v>
      </c>
      <c r="J189" s="20" t="n">
        <v>0.001</v>
      </c>
      <c r="L189" s="20" t="n">
        <v>-0.021</v>
      </c>
      <c r="N189" s="20" t="n">
        <v>0.005</v>
      </c>
      <c r="O189" s="20" t="n">
        <v>0</v>
      </c>
      <c r="P189" s="20" t="n">
        <v>0.012</v>
      </c>
      <c r="Q189" s="20" t="n">
        <v>-0.008999999999999999</v>
      </c>
      <c r="R189" s="20" t="n">
        <v>0.004</v>
      </c>
      <c r="S189" s="20" t="n">
        <v>-0.003</v>
      </c>
      <c r="T189" s="20" t="n">
        <v>-0.023</v>
      </c>
      <c r="U189" s="20" t="n">
        <v>0.022</v>
      </c>
      <c r="V189" s="20" t="n">
        <v>-0.035</v>
      </c>
      <c r="W189" s="20" t="n">
        <v>0.003</v>
      </c>
      <c r="X189" s="20" t="n">
        <v>-0.021</v>
      </c>
    </row>
    <row r="190">
      <c r="A190" s="18" t="inlineStr">
        <is>
          <t>손상차손</t>
        </is>
      </c>
      <c r="R190" s="20" t="n">
        <v>0</v>
      </c>
      <c r="S190" s="20" t="n">
        <v>12.471</v>
      </c>
      <c r="T190" s="20" t="n">
        <v>0</v>
      </c>
    </row>
    <row r="191">
      <c r="A191" s="18" t="inlineStr">
        <is>
          <t>신주예약권 환입이익</t>
        </is>
      </c>
      <c r="D191" s="20" t="n">
        <v>0</v>
      </c>
      <c r="T191" s="20" t="n">
        <v>0</v>
      </c>
      <c r="U191" s="20" t="n">
        <v>-1.213</v>
      </c>
      <c r="V191" s="20" t="n">
        <v>0</v>
      </c>
    </row>
    <row r="192">
      <c r="A192" s="18" t="inlineStr">
        <is>
          <t>투자유가증권 매각손익</t>
        </is>
      </c>
      <c r="J192" s="20" t="n">
        <v>0</v>
      </c>
      <c r="N192" s="20" t="n">
        <v>-13.405</v>
      </c>
      <c r="O192" s="20" t="n">
        <v>0</v>
      </c>
      <c r="P192" s="20" t="n">
        <v>-3.2</v>
      </c>
      <c r="Q192" s="20" t="n">
        <v>0</v>
      </c>
      <c r="R192" s="20" t="n">
        <v>-0.5610000000000001</v>
      </c>
      <c r="S192" s="20" t="n">
        <v>0</v>
      </c>
    </row>
    <row r="193">
      <c r="A193" s="18" t="inlineStr">
        <is>
          <t>유형자산 매각손익</t>
        </is>
      </c>
      <c r="D193" s="20" t="n">
        <v>-0.099</v>
      </c>
      <c r="H193" s="20" t="n">
        <v>-9.08</v>
      </c>
      <c r="J193" s="20" t="n">
        <v>0</v>
      </c>
      <c r="L193" s="20" t="n">
        <v>-0.149</v>
      </c>
      <c r="N193" s="20" t="n">
        <v>-2.499</v>
      </c>
      <c r="O193" s="20" t="n">
        <v>-6.047</v>
      </c>
      <c r="P193" s="20" t="n">
        <v>-7.454</v>
      </c>
      <c r="Q193" s="20" t="n">
        <v>-3.539</v>
      </c>
      <c r="R193" s="20" t="n">
        <v>-0.299</v>
      </c>
      <c r="S193" s="20" t="n">
        <v>0</v>
      </c>
      <c r="T193" s="20" t="n">
        <v>0</v>
      </c>
      <c r="U193" s="20" t="n">
        <v>-1.899</v>
      </c>
      <c r="V193" s="20" t="n">
        <v>-0.099</v>
      </c>
      <c r="W193" s="20" t="n">
        <v>-9.08</v>
      </c>
      <c r="X193" s="20" t="n">
        <v>-0.149</v>
      </c>
    </row>
    <row r="194">
      <c r="A194" s="18" t="inlineStr">
        <is>
          <t>채무면제이익</t>
        </is>
      </c>
      <c r="D194" s="20" t="n">
        <v>0</v>
      </c>
      <c r="H194" s="20" t="n">
        <v>-53.411</v>
      </c>
      <c r="L194" s="20" t="n">
        <v>-1.337</v>
      </c>
      <c r="V194" s="20" t="n">
        <v>0</v>
      </c>
      <c r="W194" s="20" t="n">
        <v>-53.411</v>
      </c>
      <c r="X194" s="20" t="n">
        <v>-1.337</v>
      </c>
    </row>
    <row r="195">
      <c r="A195" s="18" t="inlineStr">
        <is>
          <t>계약 해지 손실</t>
        </is>
      </c>
      <c r="D195" s="20" t="n">
        <v>2.325</v>
      </c>
      <c r="F195" s="20" t="n">
        <v>0</v>
      </c>
      <c r="H195" s="20" t="n">
        <v>0</v>
      </c>
      <c r="T195" s="20" t="n">
        <v>0</v>
      </c>
      <c r="U195" s="20" t="n">
        <v>89.185</v>
      </c>
      <c r="V195" s="20" t="n">
        <v>2.325</v>
      </c>
      <c r="W195" s="20" t="n">
        <v>0</v>
      </c>
    </row>
    <row r="196">
      <c r="A196" s="18" t="inlineStr">
        <is>
          <t>보조금 수입</t>
        </is>
      </c>
      <c r="H196" s="20" t="n">
        <v>-89.76600000000001</v>
      </c>
      <c r="L196" s="20" t="n">
        <v>-309.013</v>
      </c>
      <c r="W196" s="20" t="n">
        <v>-89.76600000000001</v>
      </c>
      <c r="X196" s="20" t="n">
        <v>-309.013</v>
      </c>
    </row>
    <row r="197">
      <c r="A197" s="18" t="inlineStr">
        <is>
          <t>고정자산 압축손실</t>
        </is>
      </c>
      <c r="H197" s="20" t="n">
        <v>23.713</v>
      </c>
      <c r="L197" s="20" t="n">
        <v>327.681</v>
      </c>
      <c r="W197" s="20" t="n">
        <v>23.713</v>
      </c>
      <c r="X197" s="20" t="n">
        <v>327.681</v>
      </c>
    </row>
    <row r="198">
      <c r="A198" s="18" t="inlineStr">
        <is>
          <t>압축 미결제 특별계정 환입</t>
        </is>
      </c>
      <c r="H198" s="20" t="n">
        <v>0</v>
      </c>
      <c r="L198" s="20" t="n">
        <v>-93.09999999999999</v>
      </c>
      <c r="W198" s="20" t="n">
        <v>0</v>
      </c>
      <c r="X198" s="20" t="n">
        <v>-93.09999999999999</v>
      </c>
    </row>
    <row r="199">
      <c r="A199" s="18" t="inlineStr">
        <is>
          <t>대손충당금 증감</t>
        </is>
      </c>
      <c r="D199" s="20" t="n">
        <v>-0.233</v>
      </c>
      <c r="H199" s="20" t="n">
        <v>-0.334</v>
      </c>
      <c r="L199" s="20" t="n">
        <v>-0.304</v>
      </c>
      <c r="R199" s="20" t="n">
        <v>0</v>
      </c>
      <c r="S199" s="20" t="n">
        <v>-0.285</v>
      </c>
      <c r="T199" s="20" t="n">
        <v>-0.195</v>
      </c>
      <c r="U199" s="20" t="n">
        <v>-0.158</v>
      </c>
      <c r="V199" s="20" t="n">
        <v>-0.233</v>
      </c>
      <c r="W199" s="20" t="n">
        <v>-0.334</v>
      </c>
      <c r="X199" s="20" t="n">
        <v>-0.304</v>
      </c>
    </row>
    <row r="200">
      <c r="A200" s="18" t="inlineStr">
        <is>
          <t>상여충당금 증감</t>
        </is>
      </c>
      <c r="D200" s="20" t="n">
        <v>-4.363</v>
      </c>
      <c r="F200" s="20" t="n">
        <v>-1.039</v>
      </c>
      <c r="H200" s="20" t="n">
        <v>-11.201</v>
      </c>
      <c r="J200" s="20" t="n">
        <v>10.863</v>
      </c>
      <c r="L200" s="20" t="n">
        <v>-6.045</v>
      </c>
      <c r="N200" s="20" t="n">
        <v>0.248</v>
      </c>
      <c r="O200" s="20" t="n">
        <v>5.26</v>
      </c>
      <c r="P200" s="20" t="n">
        <v>-65.32299999999999</v>
      </c>
      <c r="Q200" s="20" t="n">
        <v>-22.716</v>
      </c>
      <c r="R200" s="20" t="n">
        <v>-4.748</v>
      </c>
      <c r="S200" s="20" t="n">
        <v>7.953</v>
      </c>
      <c r="T200" s="20" t="n">
        <v>-65.90000000000001</v>
      </c>
      <c r="U200" s="20" t="n">
        <v>43.796</v>
      </c>
      <c r="V200" s="20" t="n">
        <v>-4.363</v>
      </c>
      <c r="W200" s="20" t="n">
        <v>-11.201</v>
      </c>
      <c r="X200" s="20" t="n">
        <v>-6.045</v>
      </c>
    </row>
    <row r="201">
      <c r="A201" s="18" t="inlineStr">
        <is>
          <t>제품보증 충당금 증감</t>
        </is>
      </c>
      <c r="O201" s="20" t="n">
        <v>60.28</v>
      </c>
      <c r="P201" s="20" t="n">
        <v>-52.912</v>
      </c>
      <c r="Q201" s="20" t="n">
        <v>-7.368</v>
      </c>
      <c r="R201" s="20" t="n">
        <v>0</v>
      </c>
    </row>
    <row r="202">
      <c r="A202" s="18" t="inlineStr">
        <is>
          <t>환경대책 충당금 증감</t>
        </is>
      </c>
      <c r="O202" s="20" t="n">
        <v>0</v>
      </c>
      <c r="P202" s="20" t="n">
        <v>-20.041</v>
      </c>
      <c r="Q202" s="20" t="n">
        <v>-0.33</v>
      </c>
      <c r="R202" s="20" t="n">
        <v>-3.17</v>
      </c>
      <c r="S202" s="20" t="n">
        <v>0</v>
      </c>
    </row>
    <row r="203">
      <c r="A203" s="18" t="inlineStr">
        <is>
          <t>주주우대 충당금 증감</t>
        </is>
      </c>
      <c r="O203" s="20" t="n">
        <v>0</v>
      </c>
      <c r="P203" s="20" t="n">
        <v>38.059</v>
      </c>
      <c r="Q203" s="20" t="n">
        <v>-23.09</v>
      </c>
      <c r="R203" s="20" t="n">
        <v>-14.968</v>
      </c>
      <c r="S203" s="20" t="n">
        <v>0</v>
      </c>
    </row>
    <row r="204">
      <c r="A204" s="18" t="inlineStr">
        <is>
          <t>퇴직급여충당금 증감액</t>
        </is>
      </c>
      <c r="D204" s="20" t="n">
        <v>-0.116</v>
      </c>
      <c r="F204" s="20" t="n">
        <v>-0.258</v>
      </c>
      <c r="H204" s="20" t="n">
        <v>-0.258</v>
      </c>
      <c r="J204" s="20" t="n">
        <v>-0.1</v>
      </c>
      <c r="L204" s="20" t="n">
        <v>-0.1</v>
      </c>
      <c r="N204" s="20" t="n">
        <v>-0.116</v>
      </c>
      <c r="P204" s="20" t="n">
        <v>-0.349</v>
      </c>
      <c r="Q204" s="20" t="n">
        <v>-1.275</v>
      </c>
      <c r="R204" s="20" t="n">
        <v>-1.775</v>
      </c>
      <c r="S204" s="20" t="n">
        <v>-1.816</v>
      </c>
      <c r="T204" s="20" t="n">
        <v>-0.266</v>
      </c>
      <c r="U204" s="20" t="n">
        <v>-0.475</v>
      </c>
      <c r="V204" s="20" t="n">
        <v>-0.116</v>
      </c>
      <c r="W204" s="20" t="n">
        <v>-0.258</v>
      </c>
      <c r="X204" s="20" t="n">
        <v>-0.1</v>
      </c>
    </row>
    <row r="205">
      <c r="A205" s="18" t="inlineStr">
        <is>
          <t>선급 연금비용 증감(△는 증가)</t>
        </is>
      </c>
      <c r="D205" s="20" t="n">
        <v>13.984</v>
      </c>
      <c r="F205" s="20" t="n">
        <v>-141.139</v>
      </c>
      <c r="H205" s="20" t="n">
        <v>-154.802</v>
      </c>
      <c r="J205" s="20" t="n">
        <v>28.759</v>
      </c>
      <c r="L205" s="20" t="n">
        <v>15.903</v>
      </c>
      <c r="N205" s="20" t="n">
        <v>-46.625</v>
      </c>
      <c r="O205" s="20" t="n">
        <v>-158.333</v>
      </c>
      <c r="P205" s="20" t="n">
        <v>-124.407</v>
      </c>
      <c r="Q205" s="20" t="n">
        <v>-20.458</v>
      </c>
      <c r="R205" s="20" t="n">
        <v>-103.347</v>
      </c>
      <c r="S205" s="20" t="n">
        <v>-43</v>
      </c>
      <c r="T205" s="20" t="n">
        <v>-301.113</v>
      </c>
      <c r="U205" s="20" t="n">
        <v>-83.59099999999999</v>
      </c>
      <c r="V205" s="20" t="n">
        <v>13.984</v>
      </c>
      <c r="W205" s="20" t="n">
        <v>-154.802</v>
      </c>
      <c r="X205" s="20" t="n">
        <v>15.903</v>
      </c>
    </row>
    <row r="206">
      <c r="A206" s="18" t="inlineStr">
        <is>
          <t>매출채권 증감</t>
        </is>
      </c>
      <c r="D206" s="20" t="n">
        <v>-1022.759</v>
      </c>
      <c r="F206" s="20" t="n">
        <v>1116.896</v>
      </c>
      <c r="H206" s="20" t="n">
        <v>376.381</v>
      </c>
      <c r="J206" s="20" t="n">
        <v>755.787</v>
      </c>
      <c r="L206" s="20" t="n">
        <v>-136.913</v>
      </c>
      <c r="N206" s="20" t="n">
        <v>1567.32</v>
      </c>
      <c r="O206" s="20" t="n">
        <v>-366.584</v>
      </c>
      <c r="P206" s="20" t="n">
        <v>404.612</v>
      </c>
      <c r="Q206" s="20" t="n">
        <v>-332.757</v>
      </c>
      <c r="R206" s="20" t="n">
        <v>282.762</v>
      </c>
      <c r="S206" s="20" t="n">
        <v>36.662</v>
      </c>
      <c r="T206" s="20" t="n">
        <v>126.522</v>
      </c>
      <c r="U206" s="20" t="n">
        <v>-199.137</v>
      </c>
      <c r="V206" s="20" t="n">
        <v>-1022.759</v>
      </c>
      <c r="W206" s="20" t="n">
        <v>376.381</v>
      </c>
      <c r="X206" s="20" t="n">
        <v>-136.913</v>
      </c>
    </row>
    <row r="207">
      <c r="A207" s="18" t="inlineStr">
        <is>
          <t>계약자산 증감액</t>
        </is>
      </c>
      <c r="D207" s="20" t="n">
        <v>-20.21</v>
      </c>
      <c r="F207" s="20" t="n">
        <v>-24.947</v>
      </c>
      <c r="H207" s="20" t="n">
        <v>-33.914</v>
      </c>
      <c r="J207" s="20" t="n">
        <v>-93.616</v>
      </c>
      <c r="L207" s="20" t="n">
        <v>10.76</v>
      </c>
      <c r="N207" s="20" t="n">
        <v>-109.062</v>
      </c>
      <c r="S207" s="20" t="n">
        <v>0</v>
      </c>
      <c r="T207" s="20" t="n">
        <v>-110.115</v>
      </c>
      <c r="U207" s="20" t="n">
        <v>67.02500000000001</v>
      </c>
      <c r="V207" s="20" t="n">
        <v>-20.21</v>
      </c>
      <c r="W207" s="20" t="n">
        <v>-33.914</v>
      </c>
      <c r="X207" s="20" t="n">
        <v>10.76</v>
      </c>
    </row>
    <row r="208">
      <c r="A208" s="18" t="inlineStr">
        <is>
          <t>재고자산 증감</t>
        </is>
      </c>
      <c r="D208" s="20" t="n">
        <v>-269.202</v>
      </c>
      <c r="F208" s="20" t="n">
        <v>-132.26</v>
      </c>
      <c r="H208" s="20" t="n">
        <v>21.346</v>
      </c>
      <c r="J208" s="20" t="n">
        <v>-74.404</v>
      </c>
      <c r="L208" s="20" t="n">
        <v>251.4</v>
      </c>
      <c r="N208" s="20" t="n">
        <v>-251.22</v>
      </c>
      <c r="O208" s="20" t="n">
        <v>70.45</v>
      </c>
      <c r="P208" s="20" t="n">
        <v>54.845</v>
      </c>
      <c r="Q208" s="20" t="n">
        <v>-358.445</v>
      </c>
      <c r="R208" s="20" t="n">
        <v>-557.651</v>
      </c>
      <c r="S208" s="20" t="n">
        <v>303.564</v>
      </c>
      <c r="T208" s="20" t="n">
        <v>737.59</v>
      </c>
      <c r="U208" s="20" t="n">
        <v>-312.439</v>
      </c>
      <c r="V208" s="20" t="n">
        <v>-269.202</v>
      </c>
      <c r="W208" s="20" t="n">
        <v>21.346</v>
      </c>
      <c r="X208" s="20" t="n">
        <v>251.4</v>
      </c>
    </row>
    <row r="209">
      <c r="A209" s="18" t="inlineStr">
        <is>
          <t>매입채무 증감</t>
        </is>
      </c>
      <c r="D209" s="20" t="n">
        <v>182.334</v>
      </c>
      <c r="F209" s="20" t="n">
        <v>-357.531</v>
      </c>
      <c r="H209" s="20" t="n">
        <v>-630.4349999999999</v>
      </c>
      <c r="J209" s="20" t="n">
        <v>-137.12</v>
      </c>
      <c r="L209" s="20" t="n">
        <v>-316.013</v>
      </c>
      <c r="N209" s="20" t="n">
        <v>-40.298</v>
      </c>
      <c r="O209" s="20" t="n">
        <v>25.532</v>
      </c>
      <c r="P209" s="20" t="n">
        <v>-380.328</v>
      </c>
      <c r="Q209" s="20" t="n">
        <v>357.491</v>
      </c>
      <c r="R209" s="20" t="n">
        <v>-239.323</v>
      </c>
      <c r="S209" s="20" t="n">
        <v>-119.904</v>
      </c>
      <c r="T209" s="20" t="n">
        <v>-16.987</v>
      </c>
      <c r="U209" s="20" t="n">
        <v>91.20099999999999</v>
      </c>
      <c r="V209" s="20" t="n">
        <v>182.334</v>
      </c>
      <c r="W209" s="20" t="n">
        <v>-630.4349999999999</v>
      </c>
      <c r="X209" s="20" t="n">
        <v>-316.013</v>
      </c>
    </row>
    <row r="210">
      <c r="A210" s="18" t="inlineStr">
        <is>
          <t>계약부채 증감</t>
        </is>
      </c>
      <c r="D210" s="20" t="n">
        <v>-185.305</v>
      </c>
      <c r="F210" s="20" t="n">
        <v>8.704000000000001</v>
      </c>
      <c r="H210" s="20" t="n">
        <v>-12.726</v>
      </c>
      <c r="J210" s="20" t="n">
        <v>11.2</v>
      </c>
      <c r="L210" s="20" t="n">
        <v>-23.909</v>
      </c>
      <c r="N210" s="20" t="n">
        <v>37.281</v>
      </c>
      <c r="V210" s="20" t="n">
        <v>-185.305</v>
      </c>
      <c r="W210" s="20" t="n">
        <v>-12.726</v>
      </c>
      <c r="X210" s="20" t="n">
        <v>-23.909</v>
      </c>
    </row>
    <row r="211">
      <c r="A211" s="18" t="inlineStr">
        <is>
          <t>미지급·미수 소비세 등 증감액</t>
        </is>
      </c>
      <c r="D211" s="20" t="n">
        <v>54.468</v>
      </c>
      <c r="F211" s="20" t="n">
        <v>-87.185</v>
      </c>
      <c r="H211" s="20" t="n">
        <v>-63.103</v>
      </c>
      <c r="J211" s="20" t="n">
        <v>-13.688</v>
      </c>
      <c r="L211" s="20" t="n">
        <v>51.473</v>
      </c>
      <c r="N211" s="20" t="n">
        <v>-74.119</v>
      </c>
      <c r="O211" s="20" t="n">
        <v>15.631</v>
      </c>
      <c r="P211" s="20" t="n">
        <v>-98.755</v>
      </c>
      <c r="Q211" s="20" t="n">
        <v>10.625</v>
      </c>
      <c r="R211" s="20" t="n">
        <v>108.056</v>
      </c>
      <c r="S211" s="20" t="n">
        <v>39.017</v>
      </c>
      <c r="T211" s="20" t="n">
        <v>-114.996</v>
      </c>
      <c r="U211" s="20" t="n">
        <v>58.06</v>
      </c>
      <c r="V211" s="20" t="n">
        <v>54.468</v>
      </c>
      <c r="W211" s="20" t="n">
        <v>-63.103</v>
      </c>
      <c r="X211" s="20" t="n">
        <v>51.473</v>
      </c>
    </row>
    <row r="212">
      <c r="A212" s="18" t="inlineStr">
        <is>
          <t>압축 미결산 특별계정 증감(△는 감소)</t>
        </is>
      </c>
      <c r="D212" s="20" t="n">
        <v>0</v>
      </c>
      <c r="H212" s="20" t="n">
        <v>193.3</v>
      </c>
      <c r="L212" s="20" t="n">
        <v>46.58</v>
      </c>
      <c r="V212" s="20" t="n">
        <v>0</v>
      </c>
      <c r="W212" s="20" t="n">
        <v>193.3</v>
      </c>
      <c r="X212" s="20" t="n">
        <v>46.58</v>
      </c>
    </row>
    <row r="213">
      <c r="A213" s="18" t="inlineStr">
        <is>
          <t>기타 자산 증감</t>
        </is>
      </c>
      <c r="D213" s="20" t="n">
        <v>-33.342</v>
      </c>
      <c r="H213" s="20" t="n">
        <v>-9.573</v>
      </c>
      <c r="L213" s="20" t="n">
        <v>1.149</v>
      </c>
      <c r="O213" s="20" t="n">
        <v>-60.263</v>
      </c>
      <c r="P213" s="20" t="n">
        <v>131.339</v>
      </c>
      <c r="Q213" s="20" t="n">
        <v>-4.153</v>
      </c>
      <c r="R213" s="20" t="n">
        <v>-13.945</v>
      </c>
      <c r="S213" s="20" t="n">
        <v>-4.173</v>
      </c>
      <c r="T213" s="20" t="n">
        <v>-5.227</v>
      </c>
      <c r="U213" s="20" t="n">
        <v>41.399</v>
      </c>
      <c r="V213" s="20" t="n">
        <v>-33.342</v>
      </c>
      <c r="W213" s="20" t="n">
        <v>-9.573</v>
      </c>
      <c r="X213" s="20" t="n">
        <v>1.149</v>
      </c>
    </row>
    <row r="214">
      <c r="A214" s="18" t="inlineStr">
        <is>
          <t>기타 부채 증감</t>
        </is>
      </c>
      <c r="D214" s="20" t="n">
        <v>102.373</v>
      </c>
      <c r="H214" s="20" t="n">
        <v>-59.988</v>
      </c>
      <c r="L214" s="20" t="n">
        <v>165.443</v>
      </c>
      <c r="O214" s="20" t="n">
        <v>-14.708</v>
      </c>
      <c r="P214" s="20" t="n">
        <v>31.603</v>
      </c>
      <c r="Q214" s="20" t="n">
        <v>59.553</v>
      </c>
      <c r="R214" s="20" t="n">
        <v>1.309</v>
      </c>
      <c r="S214" s="20" t="n">
        <v>-22.899</v>
      </c>
      <c r="T214" s="20" t="n">
        <v>-38.795</v>
      </c>
      <c r="U214" s="20" t="n">
        <v>284.699</v>
      </c>
      <c r="V214" s="20" t="n">
        <v>102.373</v>
      </c>
      <c r="W214" s="20" t="n">
        <v>-59.988</v>
      </c>
      <c r="X214" s="20" t="n">
        <v>165.443</v>
      </c>
    </row>
    <row r="215">
      <c r="A215" s="18" t="inlineStr">
        <is>
          <t>기타</t>
        </is>
      </c>
      <c r="D215" s="20" t="n">
        <v>15.589</v>
      </c>
      <c r="F215" s="20" t="n">
        <v>-149.101</v>
      </c>
      <c r="H215" s="20" t="n">
        <v>0.184</v>
      </c>
      <c r="J215" s="20" t="n">
        <v>36.945</v>
      </c>
      <c r="L215" s="20" t="n">
        <v>1.188</v>
      </c>
      <c r="N215" s="20" t="n">
        <v>-205.713</v>
      </c>
      <c r="O215" s="20" t="n">
        <v>0</v>
      </c>
      <c r="P215" s="20" t="n">
        <v>2.386</v>
      </c>
      <c r="Q215" s="20" t="n">
        <v>0.162</v>
      </c>
      <c r="R215" s="20" t="n">
        <v>0.166</v>
      </c>
      <c r="S215" s="20" t="n">
        <v>0.169</v>
      </c>
      <c r="T215" s="20" t="n">
        <v>0.888</v>
      </c>
      <c r="U215" s="20" t="n">
        <v>-0.38</v>
      </c>
      <c r="V215" s="20" t="n">
        <v>15.589</v>
      </c>
      <c r="W215" s="20" t="n">
        <v>0.184</v>
      </c>
      <c r="X215" s="20" t="n">
        <v>1.188</v>
      </c>
    </row>
    <row r="216">
      <c r="A216" s="18" t="inlineStr">
        <is>
          <t>소계</t>
        </is>
      </c>
      <c r="D216" s="20" t="n">
        <v>1178.736</v>
      </c>
      <c r="F216" s="20" t="n">
        <v>1236.628</v>
      </c>
      <c r="H216" s="20" t="n">
        <v>1971.015</v>
      </c>
      <c r="J216" s="20" t="n">
        <v>1426.294</v>
      </c>
      <c r="L216" s="20" t="n">
        <v>2760.005</v>
      </c>
      <c r="N216" s="20" t="n">
        <v>2271.208</v>
      </c>
      <c r="O216" s="20" t="n">
        <v>846.164</v>
      </c>
      <c r="P216" s="20" t="n">
        <v>476.794</v>
      </c>
      <c r="Q216" s="20" t="n">
        <v>384.53</v>
      </c>
      <c r="R216" s="20" t="n">
        <v>319.521</v>
      </c>
      <c r="S216" s="20" t="n">
        <v>904.04</v>
      </c>
      <c r="T216" s="20" t="n">
        <v>876.157</v>
      </c>
      <c r="U216" s="20" t="n">
        <v>1258.142</v>
      </c>
      <c r="V216" s="20" t="n">
        <v>1178.736</v>
      </c>
      <c r="W216" s="20" t="n">
        <v>1971.015</v>
      </c>
      <c r="X216" s="20" t="n">
        <v>2760.005</v>
      </c>
    </row>
    <row r="217">
      <c r="A217" s="18" t="inlineStr">
        <is>
          <t>이자·배당금 수취</t>
        </is>
      </c>
      <c r="D217" s="20" t="n">
        <v>25.012</v>
      </c>
      <c r="F217" s="20" t="n">
        <v>16.275</v>
      </c>
      <c r="H217" s="20" t="n">
        <v>32.748</v>
      </c>
      <c r="J217" s="20" t="n">
        <v>23.413</v>
      </c>
      <c r="L217" s="20" t="n">
        <v>47.51</v>
      </c>
      <c r="N217" s="20" t="n">
        <v>33.201</v>
      </c>
      <c r="O217" s="20" t="n">
        <v>12.985</v>
      </c>
      <c r="P217" s="20" t="n">
        <v>13.415</v>
      </c>
      <c r="Q217" s="20" t="n">
        <v>14.406</v>
      </c>
      <c r="R217" s="20" t="n">
        <v>17.337</v>
      </c>
      <c r="S217" s="20" t="n">
        <v>15.937</v>
      </c>
      <c r="T217" s="20" t="n">
        <v>17.386</v>
      </c>
      <c r="U217" s="20" t="n">
        <v>21.223</v>
      </c>
      <c r="V217" s="20" t="n">
        <v>25.012</v>
      </c>
      <c r="W217" s="20" t="n">
        <v>32.748</v>
      </c>
      <c r="X217" s="20" t="n">
        <v>47.51</v>
      </c>
    </row>
    <row r="218">
      <c r="A218" s="18" t="inlineStr">
        <is>
          <t>이자 지급</t>
        </is>
      </c>
      <c r="D218" s="20" t="n">
        <v>-2.34</v>
      </c>
      <c r="F218" s="20" t="n">
        <v>-1.115</v>
      </c>
      <c r="H218" s="20" t="n">
        <v>-1.805</v>
      </c>
      <c r="J218" s="20" t="n">
        <v>-0.181</v>
      </c>
      <c r="L218" s="20" t="n">
        <v>-0.548</v>
      </c>
      <c r="N218" s="20" t="n">
        <v>-0.362</v>
      </c>
      <c r="O218" s="20" t="n">
        <v>-15.386</v>
      </c>
      <c r="P218" s="20" t="n">
        <v>-11.244</v>
      </c>
      <c r="Q218" s="20" t="n">
        <v>-11.245</v>
      </c>
      <c r="R218" s="20" t="n">
        <v>-10.778</v>
      </c>
      <c r="S218" s="20" t="n">
        <v>-8.832000000000001</v>
      </c>
      <c r="T218" s="20" t="n">
        <v>-7.899</v>
      </c>
      <c r="U218" s="20" t="n">
        <v>-4.193</v>
      </c>
      <c r="V218" s="20" t="n">
        <v>-2.34</v>
      </c>
      <c r="W218" s="20" t="n">
        <v>-1.805</v>
      </c>
      <c r="X218" s="20" t="n">
        <v>-0.548</v>
      </c>
    </row>
    <row r="219">
      <c r="A219" s="18" t="inlineStr">
        <is>
          <t>법인세 납부</t>
        </is>
      </c>
      <c r="O219" s="20" t="n">
        <v>-300.598</v>
      </c>
      <c r="P219" s="20" t="n">
        <v>-359.587</v>
      </c>
    </row>
    <row r="220">
      <c r="A220" s="18" t="inlineStr">
        <is>
          <t>법인세 납부·환급</t>
        </is>
      </c>
      <c r="D220" s="20" t="n">
        <v>-452.465</v>
      </c>
      <c r="F220" s="20" t="n">
        <v>-466.199</v>
      </c>
      <c r="H220" s="20" t="n">
        <v>-778.0890000000001</v>
      </c>
      <c r="J220" s="20" t="n">
        <v>-357.504</v>
      </c>
      <c r="L220" s="20" t="n">
        <v>-692.84</v>
      </c>
      <c r="N220" s="20" t="n">
        <v>-512.658</v>
      </c>
      <c r="P220" s="20" t="n">
        <v>-359.587</v>
      </c>
      <c r="Q220" s="20" t="n">
        <v>59.492</v>
      </c>
      <c r="R220" s="20" t="n">
        <v>-220.051</v>
      </c>
      <c r="S220" s="20" t="n">
        <v>-189.674</v>
      </c>
      <c r="T220" s="20" t="n">
        <v>-81.773</v>
      </c>
      <c r="U220" s="20" t="n">
        <v>-1.338</v>
      </c>
      <c r="V220" s="20" t="n">
        <v>-452.465</v>
      </c>
      <c r="W220" s="20" t="n">
        <v>-778.0890000000001</v>
      </c>
      <c r="X220" s="20" t="n">
        <v>-692.84</v>
      </c>
    </row>
    <row r="221">
      <c r="A221" s="18" t="inlineStr">
        <is>
          <t>보조금 수취</t>
        </is>
      </c>
      <c r="H221" s="20" t="n">
        <v>89.76600000000001</v>
      </c>
      <c r="L221" s="20" t="n">
        <v>309.013</v>
      </c>
      <c r="W221" s="20" t="n">
        <v>89.76600000000001</v>
      </c>
      <c r="X221" s="20" t="n">
        <v>309.013</v>
      </c>
    </row>
    <row r="222">
      <c r="A222" s="9" t="inlineStr">
        <is>
          <t>영업활동 현금흐름</t>
        </is>
      </c>
      <c r="D222" s="12" t="n">
        <v>748.942</v>
      </c>
      <c r="F222" s="12" t="n">
        <v>785.5890000000001</v>
      </c>
      <c r="H222" s="12" t="n">
        <v>1313.635</v>
      </c>
      <c r="J222" s="12" t="n">
        <v>1092.021</v>
      </c>
      <c r="L222" s="12" t="n">
        <v>2423.141</v>
      </c>
      <c r="N222" s="12" t="n">
        <v>1791.389</v>
      </c>
      <c r="O222" s="12" t="n">
        <v>543.164</v>
      </c>
      <c r="P222" s="12" t="n">
        <v>119.377</v>
      </c>
      <c r="Q222" s="12" t="n">
        <v>447.184</v>
      </c>
      <c r="R222" s="12" t="n">
        <v>106.028</v>
      </c>
      <c r="S222" s="12" t="n">
        <v>721.471</v>
      </c>
      <c r="T222" s="12" t="n">
        <v>803.869</v>
      </c>
      <c r="U222" s="12" t="n">
        <v>1273.834</v>
      </c>
      <c r="V222" s="12" t="n">
        <v>748.942</v>
      </c>
      <c r="W222" s="12" t="n">
        <v>1313.635</v>
      </c>
      <c r="X222" s="12" t="n">
        <v>2423.141</v>
      </c>
    </row>
    <row r="223">
      <c r="A223" s="18" t="inlineStr">
        <is>
          <t>유형자산 취득(설비투자)</t>
        </is>
      </c>
      <c r="D223" s="20" t="n">
        <v>-293.516</v>
      </c>
      <c r="F223" s="20" t="n">
        <v>-187.384</v>
      </c>
      <c r="H223" s="20" t="n">
        <v>-512.721</v>
      </c>
      <c r="J223" s="20" t="n">
        <v>-329.796</v>
      </c>
      <c r="L223" s="20" t="n">
        <v>-614.558</v>
      </c>
      <c r="N223" s="20" t="n">
        <v>-84.569</v>
      </c>
      <c r="O223" s="20" t="n">
        <v>-80.565</v>
      </c>
      <c r="P223" s="20" t="n">
        <v>-371.851</v>
      </c>
      <c r="Q223" s="20" t="n">
        <v>-121.084</v>
      </c>
      <c r="R223" s="20" t="n">
        <v>-40.904</v>
      </c>
      <c r="S223" s="20" t="n">
        <v>-106.487</v>
      </c>
      <c r="T223" s="20" t="n">
        <v>-70.79000000000001</v>
      </c>
      <c r="U223" s="20" t="n">
        <v>-244.153</v>
      </c>
      <c r="V223" s="20" t="n">
        <v>-293.516</v>
      </c>
      <c r="W223" s="20" t="n">
        <v>-512.721</v>
      </c>
      <c r="X223" s="20" t="n">
        <v>-614.558</v>
      </c>
    </row>
    <row r="224">
      <c r="A224" s="18" t="inlineStr">
        <is>
          <t>자산복구부채 이행 지출</t>
        </is>
      </c>
      <c r="O224" s="20" t="n">
        <v>-10.76</v>
      </c>
      <c r="P224" s="20" t="n">
        <v>-6.5</v>
      </c>
      <c r="Q224" s="20" t="n">
        <v>0</v>
      </c>
    </row>
    <row r="225">
      <c r="A225" s="18" t="inlineStr">
        <is>
          <t>유형자산 매각</t>
        </is>
      </c>
      <c r="D225" s="20" t="n">
        <v>0.1</v>
      </c>
      <c r="F225" s="20" t="n">
        <v>0</v>
      </c>
      <c r="H225" s="20" t="n">
        <v>10.781</v>
      </c>
      <c r="J225" s="20" t="n">
        <v>0</v>
      </c>
      <c r="L225" s="20" t="n">
        <v>0.15</v>
      </c>
      <c r="N225" s="20" t="n">
        <v>2.5</v>
      </c>
      <c r="O225" s="20" t="n">
        <v>7.25</v>
      </c>
      <c r="P225" s="20" t="n">
        <v>7.455</v>
      </c>
      <c r="Q225" s="20" t="n">
        <v>3.54</v>
      </c>
      <c r="R225" s="20" t="n">
        <v>0.299</v>
      </c>
      <c r="S225" s="20" t="n">
        <v>0</v>
      </c>
      <c r="T225" s="20" t="n">
        <v>0</v>
      </c>
      <c r="U225" s="20" t="n">
        <v>1.9</v>
      </c>
      <c r="V225" s="20" t="n">
        <v>0.1</v>
      </c>
      <c r="W225" s="20" t="n">
        <v>10.781</v>
      </c>
      <c r="X225" s="20" t="n">
        <v>0.15</v>
      </c>
    </row>
    <row r="226">
      <c r="A226" s="18" t="inlineStr">
        <is>
          <t>무형자산 취득</t>
        </is>
      </c>
      <c r="D226" s="20" t="n">
        <v>-33.748</v>
      </c>
      <c r="F226" s="20" t="n">
        <v>-23.3</v>
      </c>
      <c r="H226" s="20" t="n">
        <v>-101.067</v>
      </c>
      <c r="J226" s="20" t="n">
        <v>-3.215</v>
      </c>
      <c r="L226" s="20" t="n">
        <v>-21.305</v>
      </c>
      <c r="N226" s="20" t="n">
        <v>-23.852</v>
      </c>
      <c r="O226" s="20" t="n">
        <v>-8.288</v>
      </c>
      <c r="P226" s="20" t="n">
        <v>-172.009</v>
      </c>
      <c r="Q226" s="20" t="n">
        <v>-35.52</v>
      </c>
      <c r="R226" s="20" t="n">
        <v>-2.23</v>
      </c>
      <c r="S226" s="20" t="n">
        <v>-24.259</v>
      </c>
      <c r="T226" s="20" t="n">
        <v>-26.908</v>
      </c>
      <c r="U226" s="20" t="n">
        <v>-52.224</v>
      </c>
      <c r="V226" s="20" t="n">
        <v>-33.748</v>
      </c>
      <c r="W226" s="20" t="n">
        <v>-101.067</v>
      </c>
      <c r="X226" s="20" t="n">
        <v>-21.305</v>
      </c>
    </row>
    <row r="227">
      <c r="A227" s="18" t="inlineStr">
        <is>
          <t>투자유가증권 취득</t>
        </is>
      </c>
      <c r="D227" s="20" t="n">
        <v>-4.833</v>
      </c>
      <c r="F227" s="20" t="n">
        <v>-3.017</v>
      </c>
      <c r="H227" s="20" t="n">
        <v>-5.883</v>
      </c>
      <c r="J227" s="20" t="n">
        <v>-3.221</v>
      </c>
      <c r="L227" s="20" t="n">
        <v>-6.2</v>
      </c>
      <c r="N227" s="20" t="n">
        <v>-3.255</v>
      </c>
      <c r="O227" s="20" t="n">
        <v>-18.776</v>
      </c>
      <c r="P227" s="20" t="n">
        <v>-18.874</v>
      </c>
      <c r="Q227" s="20" t="n">
        <v>-52.44</v>
      </c>
      <c r="R227" s="20" t="n">
        <v>-3.198</v>
      </c>
      <c r="S227" s="20" t="n">
        <v>-3.257</v>
      </c>
      <c r="T227" s="20" t="n">
        <v>-3.32</v>
      </c>
      <c r="U227" s="20" t="n">
        <v>-4.272</v>
      </c>
      <c r="V227" s="20" t="n">
        <v>-4.833</v>
      </c>
      <c r="W227" s="20" t="n">
        <v>-5.883</v>
      </c>
      <c r="X227" s="20" t="n">
        <v>-6.2</v>
      </c>
    </row>
    <row r="228">
      <c r="A228" s="18" t="inlineStr">
        <is>
          <t>투자유가증권 매각</t>
        </is>
      </c>
      <c r="D228" s="20" t="n">
        <v>0</v>
      </c>
      <c r="J228" s="20" t="n">
        <v>0</v>
      </c>
      <c r="N228" s="20" t="n">
        <v>13.405</v>
      </c>
      <c r="O228" s="20" t="n">
        <v>0</v>
      </c>
      <c r="P228" s="20" t="n">
        <v>19.2</v>
      </c>
      <c r="Q228" s="20" t="n">
        <v>0</v>
      </c>
      <c r="R228" s="20" t="n">
        <v>50.061</v>
      </c>
      <c r="S228" s="20" t="n">
        <v>0</v>
      </c>
      <c r="T228" s="20" t="n">
        <v>0</v>
      </c>
      <c r="U228" s="20" t="n">
        <v>0.82</v>
      </c>
      <c r="V228" s="20" t="n">
        <v>0</v>
      </c>
    </row>
    <row r="229">
      <c r="A229" s="18" t="inlineStr">
        <is>
          <t>임차보증금·보증금 납입</t>
        </is>
      </c>
      <c r="D229" s="20" t="n">
        <v>-0.261</v>
      </c>
      <c r="F229" s="20" t="n">
        <v>-0.496</v>
      </c>
      <c r="H229" s="20" t="n">
        <v>-1.149</v>
      </c>
      <c r="J229" s="20" t="n">
        <v>-0.723</v>
      </c>
      <c r="L229" s="20" t="n">
        <v>-0.793</v>
      </c>
      <c r="N229" s="20" t="n">
        <v>-0.077</v>
      </c>
      <c r="R229" s="20" t="n">
        <v>0</v>
      </c>
      <c r="S229" s="20" t="n">
        <v>-35.759</v>
      </c>
      <c r="T229" s="20" t="n">
        <v>-0.313</v>
      </c>
      <c r="U229" s="20" t="n">
        <v>-0.244</v>
      </c>
      <c r="V229" s="20" t="n">
        <v>-0.261</v>
      </c>
      <c r="W229" s="20" t="n">
        <v>-1.149</v>
      </c>
      <c r="X229" s="20" t="n">
        <v>-0.793</v>
      </c>
    </row>
    <row r="230">
      <c r="A230" s="18" t="inlineStr">
        <is>
          <t>정기예금 예입</t>
        </is>
      </c>
      <c r="D230" s="20" t="n">
        <v>0</v>
      </c>
      <c r="H230" s="20" t="n">
        <v>-300</v>
      </c>
      <c r="L230" s="20" t="n">
        <v>0</v>
      </c>
      <c r="V230" s="20" t="n">
        <v>0</v>
      </c>
      <c r="W230" s="20" t="n">
        <v>-300</v>
      </c>
      <c r="X230" s="20" t="n">
        <v>0</v>
      </c>
    </row>
    <row r="231">
      <c r="A231" s="18" t="inlineStr">
        <is>
          <t>투자 및 기타자산 증감액</t>
        </is>
      </c>
      <c r="D231" s="20" t="n">
        <v>0.645</v>
      </c>
      <c r="H231" s="20" t="n">
        <v>1.403</v>
      </c>
      <c r="L231" s="20" t="n">
        <v>0.79</v>
      </c>
      <c r="O231" s="20" t="n">
        <v>2.701</v>
      </c>
      <c r="P231" s="20" t="n">
        <v>0.304</v>
      </c>
      <c r="Q231" s="20" t="n">
        <v>0.423</v>
      </c>
      <c r="R231" s="20" t="n">
        <v>-17.751</v>
      </c>
      <c r="S231" s="20" t="n">
        <v>0.586</v>
      </c>
      <c r="T231" s="20" t="n">
        <v>1.069</v>
      </c>
      <c r="U231" s="20" t="n">
        <v>0.466</v>
      </c>
      <c r="V231" s="20" t="n">
        <v>0.645</v>
      </c>
      <c r="W231" s="20" t="n">
        <v>1.403</v>
      </c>
      <c r="X231" s="20" t="n">
        <v>0.79</v>
      </c>
    </row>
    <row r="232">
      <c r="A232" s="18" t="inlineStr">
        <is>
          <t>기타</t>
        </is>
      </c>
      <c r="F232" s="20" t="n">
        <v>0.384</v>
      </c>
      <c r="J232" s="20" t="n">
        <v>0.324</v>
      </c>
      <c r="N232" s="20" t="n">
        <v>0.882</v>
      </c>
      <c r="Q232" s="20" t="n">
        <v>0</v>
      </c>
      <c r="R232" s="20" t="n">
        <v>-17.41</v>
      </c>
    </row>
    <row r="233">
      <c r="A233" s="9" t="inlineStr">
        <is>
          <t>투자활동 현금흐름</t>
        </is>
      </c>
      <c r="D233" s="12" t="n">
        <v>-331.614</v>
      </c>
      <c r="F233" s="12" t="n">
        <v>-213.813</v>
      </c>
      <c r="H233" s="12" t="n">
        <v>-908.635</v>
      </c>
      <c r="J233" s="12" t="n">
        <v>-336.632</v>
      </c>
      <c r="L233" s="12" t="n">
        <v>-641.918</v>
      </c>
      <c r="N233" s="12" t="n">
        <v>-94.96599999999999</v>
      </c>
      <c r="O233" s="12" t="n">
        <v>-108.439</v>
      </c>
      <c r="P233" s="12" t="n">
        <v>-542.276</v>
      </c>
      <c r="Q233" s="12" t="n">
        <v>-205.082</v>
      </c>
      <c r="R233" s="12" t="n">
        <v>-13.725</v>
      </c>
      <c r="S233" s="12" t="n">
        <v>-169.177</v>
      </c>
      <c r="T233" s="12" t="n">
        <v>-100.264</v>
      </c>
      <c r="U233" s="12" t="n">
        <v>-297.709</v>
      </c>
      <c r="V233" s="12" t="n">
        <v>-331.614</v>
      </c>
      <c r="W233" s="12" t="n">
        <v>-908.635</v>
      </c>
      <c r="X233" s="12" t="n">
        <v>-641.918</v>
      </c>
    </row>
    <row r="234">
      <c r="A234" s="18" t="inlineStr">
        <is>
          <t>단기차입금 순증감</t>
        </is>
      </c>
      <c r="O234" s="20" t="n">
        <v>0</v>
      </c>
      <c r="P234" s="20" t="n">
        <v>280</v>
      </c>
      <c r="Q234" s="20" t="n">
        <v>-280</v>
      </c>
      <c r="R234" s="20" t="n">
        <v>0</v>
      </c>
    </row>
    <row r="235">
      <c r="A235" s="18" t="inlineStr">
        <is>
          <t>장기차입</t>
        </is>
      </c>
      <c r="D235" s="20" t="n">
        <v>0</v>
      </c>
      <c r="O235" s="20" t="n">
        <v>0</v>
      </c>
      <c r="P235" s="20" t="n">
        <v>370</v>
      </c>
      <c r="Q235" s="20" t="n">
        <v>460</v>
      </c>
      <c r="R235" s="20" t="n">
        <v>300</v>
      </c>
      <c r="S235" s="20" t="n">
        <v>0</v>
      </c>
      <c r="T235" s="20" t="n">
        <v>280</v>
      </c>
      <c r="U235" s="20" t="n">
        <v>250</v>
      </c>
      <c r="V235" s="20" t="n">
        <v>0</v>
      </c>
    </row>
    <row r="236">
      <c r="A236" s="18" t="inlineStr">
        <is>
          <t>장기차입금 상환</t>
        </is>
      </c>
      <c r="D236" s="20" t="n">
        <v>-142.877</v>
      </c>
      <c r="F236" s="20" t="n">
        <v>-76.14100000000001</v>
      </c>
      <c r="H236" s="20" t="n">
        <v>-256.669</v>
      </c>
      <c r="J236" s="20" t="n">
        <v>-18.81</v>
      </c>
      <c r="L236" s="20" t="n">
        <v>-37.62</v>
      </c>
      <c r="N236" s="20" t="n">
        <v>-18.81</v>
      </c>
      <c r="O236" s="20" t="n">
        <v>-221.6</v>
      </c>
      <c r="P236" s="20" t="n">
        <v>-232.6</v>
      </c>
      <c r="Q236" s="20" t="n">
        <v>-205.347</v>
      </c>
      <c r="R236" s="20" t="n">
        <v>-235.284</v>
      </c>
      <c r="S236" s="20" t="n">
        <v>-179.216</v>
      </c>
      <c r="T236" s="20" t="n">
        <v>-342.561</v>
      </c>
      <c r="U236" s="20" t="n">
        <v>-391.251</v>
      </c>
      <c r="V236" s="20" t="n">
        <v>-142.877</v>
      </c>
      <c r="W236" s="20" t="n">
        <v>-256.669</v>
      </c>
      <c r="X236" s="20" t="n">
        <v>-37.62</v>
      </c>
    </row>
    <row r="237">
      <c r="A237" s="18" t="inlineStr">
        <is>
          <t>리스부채 상환</t>
        </is>
      </c>
      <c r="D237" s="20" t="n">
        <v>-2.582</v>
      </c>
      <c r="F237" s="20" t="n">
        <v>0</v>
      </c>
      <c r="H237" s="20" t="n">
        <v>0</v>
      </c>
      <c r="O237" s="20" t="n">
        <v>-85.229</v>
      </c>
      <c r="P237" s="20" t="n">
        <v>-71.44199999999999</v>
      </c>
      <c r="Q237" s="20" t="n">
        <v>-58.096</v>
      </c>
      <c r="R237" s="20" t="n">
        <v>-42.23</v>
      </c>
      <c r="S237" s="20" t="n">
        <v>-23.835</v>
      </c>
      <c r="T237" s="20" t="n">
        <v>-5.55</v>
      </c>
      <c r="U237" s="20" t="n">
        <v>-3.164</v>
      </c>
      <c r="V237" s="20" t="n">
        <v>-2.582</v>
      </c>
      <c r="W237" s="20" t="n">
        <v>0</v>
      </c>
    </row>
    <row r="238">
      <c r="A238" s="18" t="inlineStr">
        <is>
          <t>자기주식 취득</t>
        </is>
      </c>
      <c r="D238" s="20" t="n">
        <v>-0.068</v>
      </c>
      <c r="F238" s="20" t="n">
        <v>-0.032</v>
      </c>
      <c r="H238" s="20" t="n">
        <v>-0.057</v>
      </c>
      <c r="J238" s="20" t="n">
        <v>-0.068</v>
      </c>
      <c r="L238" s="20" t="n">
        <v>-0.236</v>
      </c>
      <c r="N238" s="20" t="n">
        <v>-0.152</v>
      </c>
      <c r="O238" s="20" t="n">
        <v>-0.095</v>
      </c>
      <c r="P238" s="20" t="n">
        <v>-0.184</v>
      </c>
      <c r="Q238" s="20" t="n">
        <v>-0.141</v>
      </c>
      <c r="R238" s="20" t="n">
        <v>-0.134</v>
      </c>
      <c r="S238" s="20" t="n">
        <v>-0.051</v>
      </c>
      <c r="T238" s="20" t="n">
        <v>-0.032</v>
      </c>
      <c r="U238" s="20" t="n">
        <v>-0.139</v>
      </c>
      <c r="V238" s="20" t="n">
        <v>-0.068</v>
      </c>
      <c r="W238" s="20" t="n">
        <v>-0.057</v>
      </c>
      <c r="X238" s="20" t="n">
        <v>-0.236</v>
      </c>
    </row>
    <row r="239">
      <c r="A239" s="18" t="inlineStr">
        <is>
          <t>신주예약권 발행</t>
        </is>
      </c>
      <c r="Q239" s="20" t="n">
        <v>0</v>
      </c>
      <c r="R239" s="20" t="n">
        <v>0.048</v>
      </c>
    </row>
    <row r="240">
      <c r="A240" s="18" t="inlineStr">
        <is>
          <t>신주예약권 행사 자기주식 처분</t>
        </is>
      </c>
      <c r="R240" s="20" t="n">
        <v>0.048</v>
      </c>
      <c r="S240" s="20" t="n">
        <v>0</v>
      </c>
      <c r="T240" s="20" t="n">
        <v>0</v>
      </c>
    </row>
    <row r="241">
      <c r="A241" s="18" t="inlineStr">
        <is>
          <t>배당금 지급</t>
        </is>
      </c>
      <c r="D241" s="20" t="n">
        <v>-99.521</v>
      </c>
      <c r="F241" s="20" t="n">
        <v>-70.538</v>
      </c>
      <c r="H241" s="20" t="n">
        <v>-127.578</v>
      </c>
      <c r="J241" s="20" t="n">
        <v>-56.881</v>
      </c>
      <c r="L241" s="20" t="n">
        <v>-113.937</v>
      </c>
      <c r="N241" s="20" t="n">
        <v>-84.989</v>
      </c>
      <c r="O241" s="20" t="n">
        <v>-84.175</v>
      </c>
      <c r="P241" s="20" t="n">
        <v>-71.43600000000001</v>
      </c>
      <c r="Q241" s="20" t="n">
        <v>-56.92</v>
      </c>
      <c r="R241" s="20" t="n">
        <v>-57.065</v>
      </c>
      <c r="S241" s="20" t="n">
        <v>-71.387</v>
      </c>
      <c r="T241" s="20" t="n">
        <v>-56.962</v>
      </c>
      <c r="U241" s="20" t="n">
        <v>-56.625</v>
      </c>
      <c r="V241" s="20" t="n">
        <v>-99.521</v>
      </c>
      <c r="W241" s="20" t="n">
        <v>-127.578</v>
      </c>
      <c r="X241" s="20" t="n">
        <v>-113.937</v>
      </c>
    </row>
    <row r="242">
      <c r="A242" s="18" t="inlineStr">
        <is>
          <t>사채 상환</t>
        </is>
      </c>
      <c r="O242" s="20" t="n">
        <v>-40</v>
      </c>
      <c r="P242" s="20" t="n">
        <v>0</v>
      </c>
    </row>
    <row r="243">
      <c r="A243" s="9" t="inlineStr">
        <is>
          <t>재무활동 현금흐름</t>
        </is>
      </c>
      <c r="D243" s="12" t="n">
        <v>-245.049</v>
      </c>
      <c r="F243" s="12" t="n">
        <v>-146.712</v>
      </c>
      <c r="H243" s="12" t="n">
        <v>-384.305</v>
      </c>
      <c r="J243" s="12" t="n">
        <v>-75.76000000000001</v>
      </c>
      <c r="L243" s="12" t="n">
        <v>-151.794</v>
      </c>
      <c r="N243" s="12" t="n">
        <v>-103.952</v>
      </c>
      <c r="O243" s="12" t="n">
        <v>-431.1</v>
      </c>
      <c r="P243" s="12" t="n">
        <v>274.335</v>
      </c>
      <c r="Q243" s="12" t="n">
        <v>-140.505</v>
      </c>
      <c r="R243" s="12" t="n">
        <v>-34.665</v>
      </c>
      <c r="S243" s="12" t="n">
        <v>-274.49</v>
      </c>
      <c r="T243" s="12" t="n">
        <v>-125.105</v>
      </c>
      <c r="U243" s="12" t="n">
        <v>-201.179</v>
      </c>
      <c r="V243" s="12" t="n">
        <v>-245.049</v>
      </c>
      <c r="W243" s="12" t="n">
        <v>-384.305</v>
      </c>
      <c r="X243" s="12" t="n">
        <v>-151.794</v>
      </c>
    </row>
    <row r="244">
      <c r="A244" s="18" t="inlineStr">
        <is>
          <t>현금성자산 환산차이</t>
        </is>
      </c>
      <c r="D244" s="20" t="n">
        <v>0.035</v>
      </c>
      <c r="F244" s="20" t="n">
        <v>-0.017</v>
      </c>
      <c r="H244" s="20" t="n">
        <v>-0.003</v>
      </c>
      <c r="J244" s="20" t="n">
        <v>-0.001</v>
      </c>
      <c r="L244" s="20" t="n">
        <v>0.021</v>
      </c>
      <c r="N244" s="20" t="n">
        <v>-0.005</v>
      </c>
      <c r="O244" s="20" t="n">
        <v>-0</v>
      </c>
      <c r="P244" s="20" t="n">
        <v>-0.012</v>
      </c>
      <c r="Q244" s="20" t="n">
        <v>0.008999999999999999</v>
      </c>
      <c r="R244" s="20" t="n">
        <v>-0.004</v>
      </c>
      <c r="S244" s="20" t="n">
        <v>0.003</v>
      </c>
      <c r="T244" s="20" t="n">
        <v>0.023</v>
      </c>
      <c r="U244" s="20" t="n">
        <v>-0.022</v>
      </c>
      <c r="V244" s="20" t="n">
        <v>0.035</v>
      </c>
      <c r="W244" s="20" t="n">
        <v>-0.003</v>
      </c>
      <c r="X244" s="20" t="n">
        <v>0.021</v>
      </c>
    </row>
    <row r="245">
      <c r="A245" s="18" t="inlineStr">
        <is>
          <t>현금성자산 증감</t>
        </is>
      </c>
      <c r="D245" s="20" t="n">
        <v>172.314</v>
      </c>
      <c r="F245" s="20" t="n">
        <v>425.046</v>
      </c>
      <c r="H245" s="20" t="n">
        <v>20.69</v>
      </c>
      <c r="J245" s="20" t="n">
        <v>679.626</v>
      </c>
      <c r="L245" s="20" t="n">
        <v>1629.449</v>
      </c>
      <c r="N245" s="20" t="n">
        <v>1592.465</v>
      </c>
      <c r="O245" s="20" t="n">
        <v>3.624</v>
      </c>
      <c r="P245" s="20" t="n">
        <v>-148.575</v>
      </c>
      <c r="Q245" s="20" t="n">
        <v>101.605</v>
      </c>
      <c r="R245" s="20" t="n">
        <v>57.633</v>
      </c>
      <c r="S245" s="20" t="n">
        <v>277.807</v>
      </c>
      <c r="T245" s="20" t="n">
        <v>578.524</v>
      </c>
      <c r="U245" s="20" t="n">
        <v>774.922</v>
      </c>
      <c r="V245" s="20" t="n">
        <v>172.314</v>
      </c>
      <c r="W245" s="20" t="n">
        <v>20.69</v>
      </c>
      <c r="X245" s="20" t="n">
        <v>1629.449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6356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10558.138</v>
      </c>
      <c r="D5" s="12" t="n">
        <v>10886.04</v>
      </c>
      <c r="E5" s="12" t="n">
        <v>11990.951</v>
      </c>
      <c r="F5" s="12" t="n">
        <v>11719.741</v>
      </c>
      <c r="G5" s="12" t="n">
        <v>12372.309</v>
      </c>
      <c r="H5" s="11" t="n">
        <v>8169.649</v>
      </c>
      <c r="I5" s="12" t="n">
        <v>9309.17</v>
      </c>
      <c r="J5" s="12" t="n">
        <v>10829.407</v>
      </c>
      <c r="K5" s="12" t="n">
        <v>10483.231</v>
      </c>
      <c r="L5" s="12" t="n">
        <v>11990.951</v>
      </c>
    </row>
    <row r="6">
      <c r="A6" s="18" t="inlineStr">
        <is>
          <t>현금및현금성자산</t>
        </is>
      </c>
      <c r="B6" s="10" t="n"/>
      <c r="C6" s="19" t="n">
        <v>5175.924</v>
      </c>
      <c r="D6" s="20" t="n">
        <v>5035.041</v>
      </c>
      <c r="E6" s="20" t="n">
        <v>6125.746</v>
      </c>
      <c r="F6" s="20" t="n">
        <v>6829.4</v>
      </c>
      <c r="G6" s="20" t="n">
        <v>7718.212</v>
      </c>
      <c r="H6" s="19" t="n">
        <v>3528.37</v>
      </c>
      <c r="I6" s="20" t="n">
        <v>4303.292</v>
      </c>
      <c r="J6" s="20" t="n">
        <v>4475.606</v>
      </c>
      <c r="K6" s="20" t="n">
        <v>4496.297</v>
      </c>
      <c r="L6" s="20" t="n">
        <v>6125.746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1883.801</v>
      </c>
      <c r="D8" s="20" t="n">
        <v>2146.13</v>
      </c>
      <c r="E8" s="20" t="n">
        <v>2455.437</v>
      </c>
      <c r="F8" s="20" t="n">
        <v>1823.128</v>
      </c>
      <c r="G8" s="20" t="n">
        <v>1393.288</v>
      </c>
      <c r="H8" s="19" t="n">
        <v>2874.622</v>
      </c>
      <c r="I8" s="20" t="n">
        <v>1986.193</v>
      </c>
      <c r="J8" s="20" t="n">
        <v>2256.035</v>
      </c>
      <c r="K8" s="20" t="n">
        <v>2491.303</v>
      </c>
      <c r="L8" s="20" t="n">
        <v>2455.437</v>
      </c>
    </row>
    <row r="9">
      <c r="A9" s="18" t="inlineStr">
        <is>
          <t>재고자산</t>
        </is>
      </c>
      <c r="B9" s="10" t="n"/>
      <c r="C9" s="19" t="n">
        <v>2259.27</v>
      </c>
      <c r="D9" s="20" t="n">
        <v>2208.275</v>
      </c>
      <c r="E9" s="20" t="n">
        <v>1933.464</v>
      </c>
      <c r="F9" s="20" t="n">
        <v>2093.166</v>
      </c>
      <c r="G9" s="20" t="n">
        <v>2184.685</v>
      </c>
      <c r="H9" s="19" t="n">
        <v>1624.568</v>
      </c>
      <c r="I9" s="20" t="n">
        <v>1937.008</v>
      </c>
      <c r="J9" s="20" t="n">
        <v>2206.212</v>
      </c>
      <c r="K9" s="20" t="n">
        <v>2184.865</v>
      </c>
      <c r="L9" s="20" t="n">
        <v>1933.464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5099.522</v>
      </c>
      <c r="D11" s="12" t="n">
        <v>5264.078</v>
      </c>
      <c r="E11" s="12" t="n">
        <v>5210.176</v>
      </c>
      <c r="F11" s="12" t="n">
        <v>5497.936</v>
      </c>
      <c r="G11" s="12" t="n">
        <v>5676.557</v>
      </c>
      <c r="H11" s="11" t="n">
        <v>3195.578</v>
      </c>
      <c r="I11" s="12" t="n">
        <v>3407.024</v>
      </c>
      <c r="J11" s="12" t="n">
        <v>3847.819</v>
      </c>
      <c r="K11" s="12" t="n">
        <v>4750.514</v>
      </c>
      <c r="L11" s="12" t="n">
        <v>5210.176</v>
      </c>
    </row>
    <row r="12">
      <c r="A12" s="18" t="inlineStr">
        <is>
          <t>유형자산</t>
        </is>
      </c>
      <c r="B12" s="10" t="n"/>
      <c r="C12" s="19" t="n">
        <v>2299.096</v>
      </c>
      <c r="D12" s="20" t="n">
        <v>2297.206</v>
      </c>
      <c r="E12" s="20" t="n">
        <v>2166.659</v>
      </c>
      <c r="F12" s="20" t="n">
        <v>2131.386</v>
      </c>
      <c r="G12" s="20" t="n">
        <v>2143.474</v>
      </c>
      <c r="H12" s="19" t="n">
        <v>1525.654</v>
      </c>
      <c r="I12" s="20" t="n">
        <v>1624.597</v>
      </c>
      <c r="J12" s="20" t="n">
        <v>1768.723</v>
      </c>
      <c r="K12" s="20" t="n">
        <v>2058.133</v>
      </c>
      <c r="L12" s="20" t="n">
        <v>2166.659</v>
      </c>
    </row>
    <row r="13">
      <c r="A13" s="18" t="inlineStr">
        <is>
          <t>무형자산</t>
        </is>
      </c>
      <c r="B13" s="10" t="n"/>
      <c r="C13" s="19" t="n">
        <v>170.366</v>
      </c>
      <c r="D13" s="20" t="n">
        <v>167.931</v>
      </c>
      <c r="E13" s="20" t="n">
        <v>137.296</v>
      </c>
      <c r="F13" s="20" t="n">
        <v>135.514</v>
      </c>
      <c r="G13" s="20" t="n">
        <v>142.335</v>
      </c>
      <c r="H13" s="19" t="n">
        <v>117.685</v>
      </c>
      <c r="I13" s="20" t="n">
        <v>119.319</v>
      </c>
      <c r="J13" s="20" t="n">
        <v>115.951</v>
      </c>
      <c r="K13" s="20" t="n">
        <v>184.248</v>
      </c>
      <c r="L13" s="20" t="n">
        <v>137.296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15657.66</v>
      </c>
      <c r="D16" s="12" t="n">
        <v>16150.118</v>
      </c>
      <c r="E16" s="12" t="n">
        <v>17201.128</v>
      </c>
      <c r="F16" s="12" t="n">
        <v>17217.678</v>
      </c>
      <c r="G16" s="12" t="n">
        <v>18048.867</v>
      </c>
      <c r="H16" s="11" t="n">
        <v>11365.227</v>
      </c>
      <c r="I16" s="12" t="n">
        <v>12716.194</v>
      </c>
      <c r="J16" s="12" t="n">
        <v>14677.227</v>
      </c>
      <c r="K16" s="12" t="n">
        <v>15233.746</v>
      </c>
      <c r="L16" s="12" t="n">
        <v>17201.128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1812.172</v>
      </c>
      <c r="D18" s="12" t="n">
        <v>1773.167</v>
      </c>
      <c r="E18" s="12" t="n">
        <v>2016.585</v>
      </c>
      <c r="F18" s="12" t="n">
        <v>1492.668</v>
      </c>
      <c r="G18" s="12" t="n">
        <v>1642.869</v>
      </c>
      <c r="H18" s="11" t="n">
        <v>1712.07</v>
      </c>
      <c r="I18" s="12" t="n">
        <v>2541.466</v>
      </c>
      <c r="J18" s="12" t="n">
        <v>2877.411</v>
      </c>
      <c r="K18" s="12" t="n">
        <v>2016.983</v>
      </c>
      <c r="L18" s="12" t="n">
        <v>2016.585</v>
      </c>
    </row>
    <row r="19">
      <c r="A19" s="18" t="inlineStr">
        <is>
          <t>매입채무</t>
        </is>
      </c>
      <c r="B19" s="10" t="n"/>
      <c r="C19" s="19" t="n">
        <v>247.194</v>
      </c>
      <c r="D19" s="20" t="n">
        <v>322.258</v>
      </c>
      <c r="E19" s="20" t="n">
        <v>276.556</v>
      </c>
      <c r="F19" s="20" t="n">
        <v>352.154</v>
      </c>
      <c r="G19" s="20" t="n">
        <v>298.488</v>
      </c>
      <c r="H19" s="19" t="n">
        <v>347.285</v>
      </c>
      <c r="I19" s="20" t="n">
        <v>388.316</v>
      </c>
      <c r="J19" s="20" t="n">
        <v>482.645</v>
      </c>
      <c r="K19" s="20" t="n">
        <v>323.351</v>
      </c>
      <c r="L19" s="20" t="n">
        <v>276.556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>
        <v>37.62</v>
      </c>
      <c r="D21" s="20" t="n">
        <v>37.62</v>
      </c>
      <c r="E21" s="20" t="n">
        <v>37.62</v>
      </c>
      <c r="F21" s="20" t="n">
        <v>37.62</v>
      </c>
      <c r="G21" s="20" t="n">
        <v>37.62</v>
      </c>
      <c r="H21" s="19" t="n">
        <v>150.416</v>
      </c>
      <c r="I21" s="20" t="n">
        <v>142.877</v>
      </c>
      <c r="J21" s="20" t="n">
        <v>144.147</v>
      </c>
      <c r="K21" s="20" t="n">
        <v>37.62</v>
      </c>
      <c r="L21" s="20" t="n">
        <v>37.62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683.371</v>
      </c>
      <c r="D23" s="12" t="n">
        <v>705.591</v>
      </c>
      <c r="E23" s="12" t="n">
        <v>703.389</v>
      </c>
      <c r="F23" s="12" t="n">
        <v>783.349</v>
      </c>
      <c r="G23" s="12" t="n">
        <v>822.326</v>
      </c>
      <c r="H23" s="11" t="n">
        <v>859.069</v>
      </c>
      <c r="I23" s="12" t="n">
        <v>734.831</v>
      </c>
      <c r="J23" s="12" t="n">
        <v>703.643</v>
      </c>
      <c r="K23" s="12" t="n">
        <v>655.182</v>
      </c>
      <c r="L23" s="12" t="n">
        <v>703.389</v>
      </c>
    </row>
    <row r="24">
      <c r="A24" s="18" t="inlineStr">
        <is>
          <t>장기차입금</t>
        </is>
      </c>
      <c r="B24" s="10" t="n"/>
      <c r="C24" s="19" t="n">
        <v>53.365</v>
      </c>
      <c r="D24" s="20" t="n">
        <v>47.095</v>
      </c>
      <c r="E24" s="20" t="n">
        <v>34.555</v>
      </c>
      <c r="F24" s="20" t="n">
        <v>25.15</v>
      </c>
      <c r="G24" s="20" t="n">
        <v>15.745</v>
      </c>
      <c r="H24" s="19" t="n">
        <v>500.176</v>
      </c>
      <c r="I24" s="20" t="n">
        <v>366.464</v>
      </c>
      <c r="J24" s="20" t="n">
        <v>222.317</v>
      </c>
      <c r="K24" s="20" t="n">
        <v>72.175</v>
      </c>
      <c r="L24" s="20" t="n">
        <v>34.555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2495.544</v>
      </c>
      <c r="D27" s="12" t="n">
        <v>2478.758</v>
      </c>
      <c r="E27" s="12" t="n">
        <v>2719.975</v>
      </c>
      <c r="F27" s="12" t="n">
        <v>2276.017</v>
      </c>
      <c r="G27" s="12" t="n">
        <v>2465.196</v>
      </c>
      <c r="H27" s="11" t="n">
        <v>2571.139</v>
      </c>
      <c r="I27" s="12" t="n">
        <v>3276.297</v>
      </c>
      <c r="J27" s="12" t="n">
        <v>3581.055</v>
      </c>
      <c r="K27" s="12" t="n">
        <v>2672.166</v>
      </c>
      <c r="L27" s="12" t="n">
        <v>2719.975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13162.116</v>
      </c>
      <c r="D31" s="12" t="n">
        <v>13671.36</v>
      </c>
      <c r="E31" s="12" t="n">
        <v>14481.153</v>
      </c>
      <c r="F31" s="12" t="n">
        <v>14941.66</v>
      </c>
      <c r="G31" s="12" t="n">
        <v>15583.67</v>
      </c>
      <c r="H31" s="11" t="n">
        <v>8792.875</v>
      </c>
      <c r="I31" s="12" t="n">
        <v>9439.896000000001</v>
      </c>
      <c r="J31" s="12" t="n">
        <v>11096.171</v>
      </c>
      <c r="K31" s="12" t="n">
        <v>12561.58</v>
      </c>
      <c r="L31" s="12" t="n">
        <v>14481.153</v>
      </c>
    </row>
    <row r="32">
      <c r="A32" s="18" t="inlineStr">
        <is>
          <t>자본금</t>
        </is>
      </c>
      <c r="B32" s="10" t="n"/>
      <c r="C32" s="19" t="n">
        <v>1388.8</v>
      </c>
      <c r="D32" s="20" t="n">
        <v>1388.8</v>
      </c>
      <c r="E32" s="20" t="n">
        <v>1388.8</v>
      </c>
      <c r="F32" s="20" t="n">
        <v>1388.8</v>
      </c>
      <c r="G32" s="20" t="n">
        <v>1388.8</v>
      </c>
      <c r="H32" s="19" t="n">
        <v>1388.8</v>
      </c>
      <c r="I32" s="20" t="n">
        <v>1388.8</v>
      </c>
      <c r="J32" s="20" t="n">
        <v>1388.8</v>
      </c>
      <c r="K32" s="20" t="n">
        <v>1388.8</v>
      </c>
      <c r="L32" s="20" t="n">
        <v>1388.8</v>
      </c>
    </row>
    <row r="33">
      <c r="A33" s="18" t="inlineStr">
        <is>
          <t>이익잉여금</t>
        </is>
      </c>
      <c r="B33" s="10" t="n"/>
      <c r="C33" s="19" t="n">
        <v>10333.277</v>
      </c>
      <c r="D33" s="20" t="n">
        <v>10731.982</v>
      </c>
      <c r="E33" s="20" t="n">
        <v>11472.338</v>
      </c>
      <c r="F33" s="20" t="n">
        <v>11738.169</v>
      </c>
      <c r="G33" s="20" t="n">
        <v>12275.056</v>
      </c>
      <c r="H33" s="19" t="n">
        <v>6344.731</v>
      </c>
      <c r="I33" s="20" t="n">
        <v>6972.91</v>
      </c>
      <c r="J33" s="20" t="n">
        <v>8412.713</v>
      </c>
      <c r="K33" s="20" t="n">
        <v>9834.977999999999</v>
      </c>
      <c r="L33" s="20" t="n">
        <v>11472.338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13162.116</v>
      </c>
      <c r="D35" s="12" t="n">
        <v>13671.36</v>
      </c>
      <c r="E35" s="12" t="n">
        <v>14481.153</v>
      </c>
      <c r="F35" s="12" t="n">
        <v>14941.66</v>
      </c>
      <c r="G35" s="12" t="n">
        <v>15583.67</v>
      </c>
      <c r="H35" s="11" t="n">
        <v>8794.088</v>
      </c>
      <c r="I35" s="12" t="n">
        <v>9439.896000000001</v>
      </c>
      <c r="J35" s="12" t="n">
        <v>11096.171</v>
      </c>
      <c r="K35" s="12" t="n">
        <v>12561.58</v>
      </c>
      <c r="L35" s="12" t="n">
        <v>14481.153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1620.067</v>
      </c>
      <c r="D37" s="12" t="n"/>
      <c r="E37" s="12" t="n">
        <v>2423.141</v>
      </c>
      <c r="F37" s="12" t="n"/>
      <c r="G37" s="12" t="n">
        <v>3122.509</v>
      </c>
      <c r="H37" s="11" t="n">
        <v>803.869</v>
      </c>
      <c r="I37" s="12" t="n">
        <v>1273.834</v>
      </c>
      <c r="J37" s="12" t="n">
        <v>748.942</v>
      </c>
      <c r="K37" s="12" t="n">
        <v>1313.635</v>
      </c>
      <c r="L37" s="12" t="n">
        <v>2423.141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736.115</v>
      </c>
      <c r="D38" s="20" t="n"/>
      <c r="E38" s="20" t="n">
        <v>635.8630000000001</v>
      </c>
      <c r="F38" s="20" t="n"/>
      <c r="G38" s="20" t="n">
        <v>411.273</v>
      </c>
      <c r="H38" s="19" t="n">
        <v>97.69799999999999</v>
      </c>
      <c r="I38" s="20" t="n">
        <v>296.377</v>
      </c>
      <c r="J38" s="20" t="n">
        <v>327.264</v>
      </c>
      <c r="K38" s="20" t="n">
        <v>613.788</v>
      </c>
      <c r="L38" s="20" t="n">
        <v>635.8630000000001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113.921</v>
      </c>
      <c r="D40" s="20" t="n"/>
      <c r="E40" s="20" t="n">
        <v>113.937</v>
      </c>
      <c r="F40" s="20" t="n"/>
      <c r="G40" s="20" t="n">
        <v>142.045</v>
      </c>
      <c r="H40" s="19" t="n">
        <v>56.962</v>
      </c>
      <c r="I40" s="20" t="n">
        <v>56.625</v>
      </c>
      <c r="J40" s="20" t="n">
        <v>99.521</v>
      </c>
      <c r="K40" s="20" t="n">
        <v>127.578</v>
      </c>
      <c r="L40" s="20" t="n">
        <v>113.937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5175.924</v>
      </c>
      <c r="D71" s="20" t="n">
        <v>5035.041</v>
      </c>
      <c r="E71" s="20" t="n">
        <v>6125.746</v>
      </c>
      <c r="F71" s="20" t="n">
        <v>6829.4</v>
      </c>
      <c r="G71" s="20" t="n">
        <v>7718.212</v>
      </c>
      <c r="H71" s="20" t="n">
        <v>3528.37</v>
      </c>
      <c r="I71" s="20" t="n">
        <v>4303.292</v>
      </c>
      <c r="J71" s="20" t="n">
        <v>4475.606</v>
      </c>
      <c r="K71" s="20" t="n">
        <v>4496.297</v>
      </c>
      <c r="L71" s="20" t="n">
        <v>6125.746</v>
      </c>
    </row>
    <row r="72">
      <c r="A72" s="18" t="inlineStr">
        <is>
          <t>받을어음</t>
        </is>
      </c>
      <c r="E72" s="20" t="n">
        <v>14.927</v>
      </c>
      <c r="H72" s="20" t="n">
        <v>583.826</v>
      </c>
      <c r="I72" s="20" t="n">
        <v>419.371</v>
      </c>
      <c r="J72" s="20" t="n">
        <v>210.479</v>
      </c>
      <c r="K72" s="20" t="n">
        <v>101.929</v>
      </c>
      <c r="L72" s="20" t="n">
        <v>14.927</v>
      </c>
    </row>
    <row r="73">
      <c r="A73" s="18" t="inlineStr">
        <is>
          <t>받을어음·매출채권·계약자산</t>
        </is>
      </c>
      <c r="C73" s="20" t="n">
        <v>1883.801</v>
      </c>
      <c r="D73" s="20" t="n">
        <v>2146.13</v>
      </c>
      <c r="E73" s="20" t="n">
        <v>2455.437</v>
      </c>
      <c r="F73" s="20" t="n">
        <v>1823.128</v>
      </c>
      <c r="G73" s="20" t="n">
        <v>1393.288</v>
      </c>
      <c r="H73" s="20" t="n">
        <v>2874.622</v>
      </c>
      <c r="I73" s="20" t="n">
        <v>1986.193</v>
      </c>
      <c r="J73" s="20" t="n">
        <v>2256.035</v>
      </c>
      <c r="K73" s="20" t="n">
        <v>2491.303</v>
      </c>
      <c r="L73" s="20" t="n">
        <v>2455.437</v>
      </c>
    </row>
    <row r="74">
      <c r="A74" s="18" t="inlineStr">
        <is>
          <t>전자기록채권</t>
        </is>
      </c>
      <c r="C74" s="20" t="n">
        <v>1161.265</v>
      </c>
      <c r="D74" s="20" t="n">
        <v>1394.792</v>
      </c>
      <c r="E74" s="20" t="n">
        <v>1377.952</v>
      </c>
      <c r="F74" s="20" t="n">
        <v>891.585</v>
      </c>
      <c r="G74" s="20" t="n">
        <v>981.843</v>
      </c>
      <c r="H74" s="20" t="n">
        <v>575.599</v>
      </c>
      <c r="I74" s="20" t="n">
        <v>1020.541</v>
      </c>
      <c r="J74" s="20" t="n">
        <v>1793.668</v>
      </c>
      <c r="K74" s="20" t="n">
        <v>1215.934</v>
      </c>
      <c r="L74" s="20" t="n">
        <v>1377.952</v>
      </c>
    </row>
    <row r="75">
      <c r="A75" s="18" t="inlineStr">
        <is>
          <t>매출채권</t>
        </is>
      </c>
      <c r="E75" s="20" t="n">
        <v>2354.055</v>
      </c>
      <c r="H75" s="20" t="n">
        <v>1605.079</v>
      </c>
      <c r="I75" s="20" t="n">
        <v>1523.731</v>
      </c>
      <c r="J75" s="20" t="n">
        <v>1982.256</v>
      </c>
      <c r="K75" s="20" t="n">
        <v>2292.159</v>
      </c>
      <c r="L75" s="20" t="n">
        <v>2354.055</v>
      </c>
    </row>
    <row r="76">
      <c r="A76" s="18" t="inlineStr">
        <is>
          <t>계약자산</t>
        </is>
      </c>
      <c r="E76" s="20" t="n">
        <v>86.453</v>
      </c>
      <c r="H76" s="20" t="n">
        <v>110.115</v>
      </c>
      <c r="I76" s="20" t="n">
        <v>43.089</v>
      </c>
      <c r="J76" s="20" t="n">
        <v>63.3</v>
      </c>
      <c r="K76" s="20" t="n">
        <v>97.214</v>
      </c>
      <c r="L76" s="20" t="n">
        <v>86.453</v>
      </c>
    </row>
    <row r="77">
      <c r="A77" s="18" t="inlineStr">
        <is>
          <t>상품·제품</t>
        </is>
      </c>
      <c r="C77" s="20" t="n">
        <v>261.685</v>
      </c>
      <c r="D77" s="20" t="n">
        <v>200.016</v>
      </c>
      <c r="E77" s="20" t="n">
        <v>199.75</v>
      </c>
      <c r="F77" s="20" t="n">
        <v>251.473</v>
      </c>
      <c r="G77" s="20" t="n">
        <v>238.542</v>
      </c>
      <c r="H77" s="20" t="n">
        <v>124.066</v>
      </c>
      <c r="I77" s="20" t="n">
        <v>262.63</v>
      </c>
      <c r="J77" s="20" t="n">
        <v>210.639</v>
      </c>
      <c r="K77" s="20" t="n">
        <v>204.089</v>
      </c>
      <c r="L77" s="20" t="n">
        <v>199.75</v>
      </c>
    </row>
    <row r="78">
      <c r="A78" s="18" t="inlineStr">
        <is>
          <t>재공품</t>
        </is>
      </c>
      <c r="C78" s="20" t="n">
        <v>401.613</v>
      </c>
      <c r="D78" s="20" t="n">
        <v>333.216</v>
      </c>
      <c r="E78" s="20" t="n">
        <v>313.273</v>
      </c>
      <c r="F78" s="20" t="n">
        <v>295.216</v>
      </c>
      <c r="G78" s="20" t="n">
        <v>393.794</v>
      </c>
      <c r="H78" s="20" t="n">
        <v>258.135</v>
      </c>
      <c r="I78" s="20" t="n">
        <v>397.811</v>
      </c>
      <c r="J78" s="20" t="n">
        <v>576.718</v>
      </c>
      <c r="K78" s="20" t="n">
        <v>390.387</v>
      </c>
      <c r="L78" s="20" t="n">
        <v>313.273</v>
      </c>
    </row>
    <row r="79">
      <c r="A79" s="18" t="inlineStr">
        <is>
          <t>원재료·저장품</t>
        </is>
      </c>
      <c r="C79" s="20" t="n">
        <v>1595.972</v>
      </c>
      <c r="D79" s="20" t="n">
        <v>1675.043</v>
      </c>
      <c r="E79" s="20" t="n">
        <v>1420.441</v>
      </c>
      <c r="F79" s="20" t="n">
        <v>1546.477</v>
      </c>
      <c r="G79" s="20" t="n">
        <v>1552.349</v>
      </c>
      <c r="H79" s="20" t="n">
        <v>1242.367</v>
      </c>
      <c r="I79" s="20" t="n">
        <v>1276.567</v>
      </c>
      <c r="J79" s="20" t="n">
        <v>1418.855</v>
      </c>
      <c r="K79" s="20" t="n">
        <v>1590.389</v>
      </c>
      <c r="L79" s="20" t="n">
        <v>1420.441</v>
      </c>
    </row>
    <row r="80">
      <c r="A80" s="18" t="inlineStr">
        <is>
          <t>선급비용</t>
        </is>
      </c>
      <c r="E80" s="20" t="n">
        <v>38.99</v>
      </c>
      <c r="H80" s="20" t="n">
        <v>35.097</v>
      </c>
      <c r="I80" s="20" t="n">
        <v>34.106</v>
      </c>
      <c r="J80" s="20" t="n">
        <v>34.966</v>
      </c>
      <c r="K80" s="20" t="n">
        <v>45.933</v>
      </c>
      <c r="L80" s="20" t="n">
        <v>38.99</v>
      </c>
    </row>
    <row r="81">
      <c r="A81" s="18" t="inlineStr">
        <is>
          <t>선급금</t>
        </is>
      </c>
      <c r="E81" s="20" t="n">
        <v>12.14</v>
      </c>
      <c r="H81" s="20" t="n">
        <v>59.498</v>
      </c>
      <c r="I81" s="20" t="n">
        <v>7.827</v>
      </c>
      <c r="J81" s="20" t="n">
        <v>28.283</v>
      </c>
      <c r="K81" s="20" t="n">
        <v>18.283</v>
      </c>
      <c r="L81" s="20" t="n">
        <v>12.14</v>
      </c>
    </row>
    <row r="82">
      <c r="A82" s="18" t="inlineStr">
        <is>
          <t>기타</t>
        </is>
      </c>
      <c r="C82" s="20" t="n">
        <v>77.876</v>
      </c>
      <c r="D82" s="20" t="n">
        <v>101.797</v>
      </c>
      <c r="E82" s="20" t="n">
        <v>98.349</v>
      </c>
      <c r="F82" s="20" t="n">
        <v>82.459</v>
      </c>
      <c r="G82" s="20" t="n">
        <v>94.279</v>
      </c>
      <c r="H82" s="20" t="n">
        <v>47.489</v>
      </c>
      <c r="I82" s="20" t="n">
        <v>20.199</v>
      </c>
      <c r="J82" s="20" t="n">
        <v>34.634</v>
      </c>
      <c r="K82" s="20" t="n">
        <v>30.613</v>
      </c>
      <c r="L82" s="20" t="n">
        <v>98.349</v>
      </c>
    </row>
    <row r="83">
      <c r="A83" s="9" t="inlineStr">
        <is>
          <t>유동자산 합계</t>
        </is>
      </c>
      <c r="C83" s="12" t="n">
        <v>10558.138</v>
      </c>
      <c r="D83" s="12" t="n">
        <v>10886.04</v>
      </c>
      <c r="E83" s="12" t="n">
        <v>11990.951</v>
      </c>
      <c r="F83" s="12" t="n">
        <v>11719.741</v>
      </c>
      <c r="G83" s="12" t="n">
        <v>12372.309</v>
      </c>
      <c r="H83" s="12" t="n">
        <v>8169.649</v>
      </c>
      <c r="I83" s="12" t="n">
        <v>9309.17</v>
      </c>
      <c r="J83" s="12" t="n">
        <v>10829.407</v>
      </c>
      <c r="K83" s="12" t="n">
        <v>10483.231</v>
      </c>
      <c r="L83" s="12" t="n">
        <v>11990.951</v>
      </c>
    </row>
    <row r="84">
      <c r="A84" s="18" t="inlineStr">
        <is>
          <t>건물</t>
        </is>
      </c>
      <c r="E84" s="20" t="n">
        <v>2055.155</v>
      </c>
      <c r="H84" s="20" t="n">
        <v>2053.127</v>
      </c>
      <c r="I84" s="20" t="n">
        <v>2060.991</v>
      </c>
      <c r="J84" s="20" t="n">
        <v>2064.601</v>
      </c>
      <c r="K84" s="20" t="n">
        <v>2067.645</v>
      </c>
      <c r="L84" s="20" t="n">
        <v>2055.155</v>
      </c>
    </row>
    <row r="85">
      <c r="A85" s="18" t="inlineStr">
        <is>
          <t>감가상각누계액</t>
        </is>
      </c>
      <c r="E85" s="20" t="n">
        <v>-1894.917</v>
      </c>
      <c r="H85" s="20" t="n">
        <v>-1831.245</v>
      </c>
      <c r="I85" s="20" t="n">
        <v>-1852.598</v>
      </c>
      <c r="J85" s="20" t="n">
        <v>-1873.968</v>
      </c>
      <c r="K85" s="20" t="n">
        <v>-1894.369</v>
      </c>
      <c r="L85" s="20" t="n">
        <v>-1894.917</v>
      </c>
    </row>
    <row r="86">
      <c r="A86" s="18" t="inlineStr">
        <is>
          <t>건물(순액)</t>
        </is>
      </c>
      <c r="E86" s="20" t="n">
        <v>160.237</v>
      </c>
      <c r="H86" s="20" t="n">
        <v>221.881</v>
      </c>
      <c r="I86" s="20" t="n">
        <v>208.392</v>
      </c>
      <c r="J86" s="20" t="n">
        <v>190.632</v>
      </c>
      <c r="K86" s="20" t="n">
        <v>173.275</v>
      </c>
      <c r="L86" s="20" t="n">
        <v>160.237</v>
      </c>
    </row>
    <row r="87">
      <c r="A87" s="18" t="inlineStr">
        <is>
          <t>구축물</t>
        </is>
      </c>
      <c r="E87" s="20" t="n">
        <v>136.976</v>
      </c>
      <c r="H87" s="20" t="n">
        <v>133.886</v>
      </c>
      <c r="I87" s="20" t="n">
        <v>127.879</v>
      </c>
      <c r="J87" s="20" t="n">
        <v>128.331</v>
      </c>
      <c r="K87" s="20" t="n">
        <v>136.976</v>
      </c>
      <c r="L87" s="20" t="n">
        <v>136.976</v>
      </c>
    </row>
    <row r="88">
      <c r="A88" s="18" t="inlineStr">
        <is>
          <t>감가상각누계액</t>
        </is>
      </c>
      <c r="E88" s="20" t="n">
        <v>-124.634</v>
      </c>
      <c r="H88" s="20" t="n">
        <v>-122.868</v>
      </c>
      <c r="I88" s="20" t="n">
        <v>-118.797</v>
      </c>
      <c r="J88" s="20" t="n">
        <v>-119.622</v>
      </c>
      <c r="K88" s="20" t="n">
        <v>-121.536</v>
      </c>
      <c r="L88" s="20" t="n">
        <v>-124.634</v>
      </c>
    </row>
    <row r="89">
      <c r="A89" s="18" t="inlineStr">
        <is>
          <t>구축물(순액)</t>
        </is>
      </c>
      <c r="E89" s="20" t="n">
        <v>12.341</v>
      </c>
      <c r="H89" s="20" t="n">
        <v>11.017</v>
      </c>
      <c r="I89" s="20" t="n">
        <v>9.081</v>
      </c>
      <c r="J89" s="20" t="n">
        <v>8.709</v>
      </c>
      <c r="K89" s="20" t="n">
        <v>15.44</v>
      </c>
      <c r="L89" s="20" t="n">
        <v>12.341</v>
      </c>
    </row>
    <row r="90">
      <c r="A90" s="18" t="inlineStr">
        <is>
          <t>기계장치</t>
        </is>
      </c>
      <c r="E90" s="20" t="n">
        <v>4071.736</v>
      </c>
      <c r="H90" s="20" t="n">
        <v>3592.99</v>
      </c>
      <c r="I90" s="20" t="n">
        <v>3517.536</v>
      </c>
      <c r="J90" s="20" t="n">
        <v>3792.587</v>
      </c>
      <c r="K90" s="20" t="n">
        <v>3813.181</v>
      </c>
      <c r="L90" s="20" t="n">
        <v>4071.736</v>
      </c>
    </row>
    <row r="91">
      <c r="A91" s="18" t="inlineStr">
        <is>
          <t>감가상각누계액</t>
        </is>
      </c>
      <c r="E91" s="20" t="n">
        <v>-3433.057</v>
      </c>
      <c r="H91" s="20" t="n">
        <v>-3377.002</v>
      </c>
      <c r="I91" s="20" t="n">
        <v>-3276.036</v>
      </c>
      <c r="J91" s="20" t="n">
        <v>-3323.155</v>
      </c>
      <c r="K91" s="20" t="n">
        <v>-3353.342</v>
      </c>
      <c r="L91" s="20" t="n">
        <v>-3433.057</v>
      </c>
    </row>
    <row r="92">
      <c r="A92" s="18" t="inlineStr">
        <is>
          <t>기계장치(순액)</t>
        </is>
      </c>
      <c r="E92" s="20" t="n">
        <v>638.679</v>
      </c>
      <c r="H92" s="20" t="n">
        <v>215.988</v>
      </c>
      <c r="I92" s="20" t="n">
        <v>241.499</v>
      </c>
      <c r="J92" s="20" t="n">
        <v>469.432</v>
      </c>
      <c r="K92" s="20" t="n">
        <v>459.838</v>
      </c>
      <c r="L92" s="20" t="n">
        <v>638.679</v>
      </c>
    </row>
    <row r="93">
      <c r="A93" s="18" t="inlineStr">
        <is>
          <t>차량운반구</t>
        </is>
      </c>
      <c r="E93" s="20" t="n">
        <v>7.343</v>
      </c>
      <c r="H93" s="20" t="n">
        <v>1.128</v>
      </c>
      <c r="I93" s="20" t="n">
        <v>1.128</v>
      </c>
      <c r="J93" s="20" t="n">
        <v>1.378</v>
      </c>
      <c r="K93" s="20" t="n">
        <v>4.358</v>
      </c>
      <c r="L93" s="20" t="n">
        <v>7.343</v>
      </c>
    </row>
    <row r="94">
      <c r="A94" s="18" t="inlineStr">
        <is>
          <t>감가상각누계액</t>
        </is>
      </c>
      <c r="E94" s="20" t="n">
        <v>-3.739</v>
      </c>
      <c r="H94" s="20" t="n">
        <v>-1.127</v>
      </c>
      <c r="I94" s="20" t="n">
        <v>-1.127</v>
      </c>
      <c r="J94" s="20" t="n">
        <v>-1.138</v>
      </c>
      <c r="K94" s="20" t="n">
        <v>-2.399</v>
      </c>
      <c r="L94" s="20" t="n">
        <v>-3.739</v>
      </c>
    </row>
    <row r="95">
      <c r="A95" s="18" t="inlineStr">
        <is>
          <t>차량운반구(순액)</t>
        </is>
      </c>
      <c r="E95" s="20" t="n">
        <v>3.603</v>
      </c>
      <c r="H95" s="20" t="n">
        <v>0</v>
      </c>
      <c r="I95" s="20" t="n">
        <v>0</v>
      </c>
      <c r="J95" s="20" t="n">
        <v>0.239</v>
      </c>
      <c r="K95" s="20" t="n">
        <v>1.958</v>
      </c>
      <c r="L95" s="20" t="n">
        <v>3.603</v>
      </c>
    </row>
    <row r="96">
      <c r="A96" s="18" t="inlineStr">
        <is>
          <t>공구·기구·비품</t>
        </is>
      </c>
      <c r="E96" s="20" t="n">
        <v>1237.598</v>
      </c>
      <c r="H96" s="20" t="n">
        <v>1361.075</v>
      </c>
      <c r="I96" s="20" t="n">
        <v>1341.271</v>
      </c>
      <c r="J96" s="20" t="n">
        <v>1399.199</v>
      </c>
      <c r="K96" s="20" t="n">
        <v>1460.815</v>
      </c>
      <c r="L96" s="20" t="n">
        <v>1237.598</v>
      </c>
    </row>
    <row r="97">
      <c r="A97" s="18" t="inlineStr">
        <is>
          <t>감가상각누계액</t>
        </is>
      </c>
      <c r="E97" s="20" t="n">
        <v>-1185.24</v>
      </c>
      <c r="H97" s="20" t="n">
        <v>-1324.685</v>
      </c>
      <c r="I97" s="20" t="n">
        <v>-1289.066</v>
      </c>
      <c r="J97" s="20" t="n">
        <v>-1349.236</v>
      </c>
      <c r="K97" s="20" t="n">
        <v>-1410.024</v>
      </c>
      <c r="L97" s="20" t="n">
        <v>-1185.24</v>
      </c>
    </row>
    <row r="98">
      <c r="A98" s="18" t="inlineStr">
        <is>
          <t>공구·기구·비품(순액)</t>
        </is>
      </c>
      <c r="E98" s="20" t="n">
        <v>52.358</v>
      </c>
      <c r="H98" s="20" t="n">
        <v>36.389</v>
      </c>
      <c r="I98" s="20" t="n">
        <v>52.204</v>
      </c>
      <c r="J98" s="20" t="n">
        <v>49.962</v>
      </c>
      <c r="K98" s="20" t="n">
        <v>50.791</v>
      </c>
      <c r="L98" s="20" t="n">
        <v>52.358</v>
      </c>
    </row>
    <row r="99">
      <c r="A99" s="18" t="inlineStr">
        <is>
          <t>토지</t>
        </is>
      </c>
      <c r="C99" s="20" t="n">
        <v>1013.291</v>
      </c>
      <c r="D99" s="20" t="n">
        <v>1013.291</v>
      </c>
      <c r="E99" s="20" t="n">
        <v>1013.291</v>
      </c>
      <c r="F99" s="20" t="n">
        <v>1013.291</v>
      </c>
      <c r="G99" s="20" t="n">
        <v>1013.291</v>
      </c>
      <c r="H99" s="20" t="n">
        <v>1013.291</v>
      </c>
      <c r="I99" s="20" t="n">
        <v>1013.291</v>
      </c>
      <c r="J99" s="20" t="n">
        <v>1013.291</v>
      </c>
      <c r="K99" s="20" t="n">
        <v>1013.291</v>
      </c>
      <c r="L99" s="20" t="n">
        <v>1013.291</v>
      </c>
    </row>
    <row r="100">
      <c r="A100" s="18" t="inlineStr">
        <is>
          <t>리스자산</t>
        </is>
      </c>
      <c r="E100" s="20" t="n">
        <v>465.363</v>
      </c>
      <c r="H100" s="20" t="n">
        <v>533.8579999999999</v>
      </c>
      <c r="I100" s="20" t="n">
        <v>484.881</v>
      </c>
      <c r="J100" s="20" t="n">
        <v>484.881</v>
      </c>
      <c r="K100" s="20" t="n">
        <v>465.363</v>
      </c>
      <c r="L100" s="20" t="n">
        <v>465.363</v>
      </c>
    </row>
    <row r="101">
      <c r="A101" s="18" t="inlineStr">
        <is>
          <t>감가상각누계액</t>
        </is>
      </c>
      <c r="E101" s="20" t="n">
        <v>-465.363</v>
      </c>
      <c r="H101" s="20" t="n">
        <v>-526.772</v>
      </c>
      <c r="I101" s="20" t="n">
        <v>-482.626</v>
      </c>
      <c r="J101" s="20" t="n">
        <v>-484.881</v>
      </c>
      <c r="K101" s="20" t="n">
        <v>-465.363</v>
      </c>
      <c r="L101" s="20" t="n">
        <v>-465.363</v>
      </c>
    </row>
    <row r="102">
      <c r="A102" s="18" t="inlineStr">
        <is>
          <t>리스자산(순액)</t>
        </is>
      </c>
      <c r="E102" s="20" t="n">
        <v>0</v>
      </c>
      <c r="H102" s="20" t="n">
        <v>7.086</v>
      </c>
      <c r="I102" s="20" t="n">
        <v>2.255</v>
      </c>
      <c r="J102" s="20" t="n">
        <v>0</v>
      </c>
      <c r="K102" s="20" t="n">
        <v>0</v>
      </c>
      <c r="L102" s="20" t="n">
        <v>0</v>
      </c>
    </row>
    <row r="103">
      <c r="A103" s="18" t="inlineStr">
        <is>
          <t>건설중인자산</t>
        </is>
      </c>
      <c r="E103" s="20" t="n">
        <v>286.148</v>
      </c>
      <c r="H103" s="20" t="n">
        <v>20</v>
      </c>
      <c r="I103" s="20" t="n">
        <v>97.871</v>
      </c>
      <c r="J103" s="20" t="n">
        <v>36.455</v>
      </c>
      <c r="K103" s="20" t="n">
        <v>343.538</v>
      </c>
      <c r="L103" s="20" t="n">
        <v>286.148</v>
      </c>
    </row>
    <row r="104">
      <c r="A104" s="18" t="inlineStr">
        <is>
          <t>기타(순액)</t>
        </is>
      </c>
      <c r="C104" s="20" t="n">
        <v>1285.805</v>
      </c>
      <c r="D104" s="20" t="n">
        <v>1283.915</v>
      </c>
      <c r="E104" s="20" t="n">
        <v>1153.368</v>
      </c>
      <c r="F104" s="20" t="n">
        <v>1118.094</v>
      </c>
      <c r="G104" s="20" t="n">
        <v>1130.183</v>
      </c>
      <c r="H104" s="20" t="n">
        <v>512.3630000000001</v>
      </c>
      <c r="I104" s="20" t="n">
        <v>611.306</v>
      </c>
      <c r="J104" s="20" t="n">
        <v>755.432</v>
      </c>
      <c r="K104" s="20" t="n">
        <v>1044.842</v>
      </c>
      <c r="L104" s="20" t="n">
        <v>1153.368</v>
      </c>
    </row>
    <row r="105">
      <c r="A105" s="18" t="inlineStr">
        <is>
          <t>유형자산 합계</t>
        </is>
      </c>
      <c r="C105" s="20" t="n">
        <v>2299.096</v>
      </c>
      <c r="D105" s="20" t="n">
        <v>2297.206</v>
      </c>
      <c r="E105" s="20" t="n">
        <v>2166.659</v>
      </c>
      <c r="F105" s="20" t="n">
        <v>2131.386</v>
      </c>
      <c r="G105" s="20" t="n">
        <v>2143.474</v>
      </c>
      <c r="H105" s="20" t="n">
        <v>1525.654</v>
      </c>
      <c r="I105" s="20" t="n">
        <v>1624.597</v>
      </c>
      <c r="J105" s="20" t="n">
        <v>1768.723</v>
      </c>
      <c r="K105" s="20" t="n">
        <v>2058.133</v>
      </c>
      <c r="L105" s="20" t="n">
        <v>2166.659</v>
      </c>
    </row>
    <row r="106">
      <c r="A106" s="18" t="inlineStr">
        <is>
          <t>전화가입권</t>
        </is>
      </c>
      <c r="H106" s="20" t="n">
        <v>6.779</v>
      </c>
    </row>
    <row r="107">
      <c r="A107" s="18" t="inlineStr">
        <is>
          <t>소프트웨어</t>
        </is>
      </c>
      <c r="E107" s="20" t="n">
        <v>109.469</v>
      </c>
      <c r="H107" s="20" t="n">
        <v>69.446</v>
      </c>
      <c r="I107" s="20" t="n">
        <v>68.72499999999999</v>
      </c>
      <c r="J107" s="20" t="n">
        <v>72.681</v>
      </c>
      <c r="K107" s="20" t="n">
        <v>101.421</v>
      </c>
      <c r="L107" s="20" t="n">
        <v>109.469</v>
      </c>
    </row>
    <row r="108">
      <c r="A108" s="18" t="inlineStr">
        <is>
          <t>개발 중 소프트웨어</t>
        </is>
      </c>
      <c r="E108" s="20" t="n">
        <v>0</v>
      </c>
      <c r="H108" s="20" t="n">
        <v>20.162</v>
      </c>
      <c r="I108" s="20" t="n">
        <v>22.609</v>
      </c>
      <c r="J108" s="20" t="n">
        <v>15.4</v>
      </c>
      <c r="K108" s="20" t="n">
        <v>55</v>
      </c>
      <c r="L108" s="20" t="n">
        <v>0</v>
      </c>
    </row>
    <row r="109">
      <c r="A109" s="18" t="inlineStr">
        <is>
          <t>차지권</t>
        </is>
      </c>
      <c r="E109" s="20" t="n">
        <v>21.047</v>
      </c>
      <c r="H109" s="20" t="n">
        <v>21.047</v>
      </c>
      <c r="I109" s="20" t="n">
        <v>21.047</v>
      </c>
      <c r="J109" s="20" t="n">
        <v>21.047</v>
      </c>
      <c r="K109" s="20" t="n">
        <v>21.047</v>
      </c>
      <c r="L109" s="20" t="n">
        <v>21.047</v>
      </c>
    </row>
    <row r="110">
      <c r="A110" s="18" t="inlineStr">
        <is>
          <t>기타</t>
        </is>
      </c>
      <c r="E110" s="20" t="n">
        <v>6.779</v>
      </c>
      <c r="H110" s="20" t="n">
        <v>7.028</v>
      </c>
      <c r="I110" s="20" t="n">
        <v>6.937</v>
      </c>
      <c r="J110" s="20" t="n">
        <v>6.822</v>
      </c>
      <c r="K110" s="20" t="n">
        <v>6.779</v>
      </c>
      <c r="L110" s="20" t="n">
        <v>6.779</v>
      </c>
    </row>
    <row r="111">
      <c r="A111" s="18" t="inlineStr">
        <is>
          <t>무형자산</t>
        </is>
      </c>
      <c r="C111" s="20" t="n">
        <v>170.366</v>
      </c>
      <c r="D111" s="20" t="n">
        <v>167.931</v>
      </c>
      <c r="E111" s="20" t="n">
        <v>137.296</v>
      </c>
      <c r="F111" s="20" t="n">
        <v>135.514</v>
      </c>
      <c r="G111" s="20" t="n">
        <v>142.335</v>
      </c>
      <c r="H111" s="20" t="n">
        <v>117.685</v>
      </c>
      <c r="I111" s="20" t="n">
        <v>119.319</v>
      </c>
      <c r="J111" s="20" t="n">
        <v>115.951</v>
      </c>
      <c r="K111" s="20" t="n">
        <v>184.248</v>
      </c>
      <c r="L111" s="20" t="n">
        <v>137.296</v>
      </c>
    </row>
    <row r="112">
      <c r="A112" s="18" t="inlineStr">
        <is>
          <t>투자유가증권</t>
        </is>
      </c>
      <c r="C112" s="20" t="n">
        <v>1212.848</v>
      </c>
      <c r="D112" s="20" t="n">
        <v>1376.472</v>
      </c>
      <c r="E112" s="20" t="n">
        <v>1478.687</v>
      </c>
      <c r="F112" s="20" t="n">
        <v>1765.445</v>
      </c>
      <c r="G112" s="20" t="n">
        <v>1919.662</v>
      </c>
      <c r="H112" s="20" t="n">
        <v>634.895</v>
      </c>
      <c r="I112" s="20" t="n">
        <v>666.109</v>
      </c>
      <c r="J112" s="20" t="n">
        <v>982.806</v>
      </c>
      <c r="K112" s="20" t="n">
        <v>1060.316</v>
      </c>
      <c r="L112" s="20" t="n">
        <v>1478.687</v>
      </c>
    </row>
    <row r="113">
      <c r="A113" s="18" t="inlineStr">
        <is>
          <t>시설 이용 회원권</t>
        </is>
      </c>
      <c r="E113" s="20" t="n">
        <v>3.687</v>
      </c>
      <c r="H113" s="20" t="n">
        <v>4.718</v>
      </c>
      <c r="I113" s="20" t="n">
        <v>4.56</v>
      </c>
      <c r="J113" s="20" t="n">
        <v>4.326</v>
      </c>
      <c r="K113" s="20" t="n">
        <v>3.992</v>
      </c>
      <c r="L113" s="20" t="n">
        <v>3.687</v>
      </c>
    </row>
    <row r="114">
      <c r="A114" s="18" t="inlineStr">
        <is>
          <t>장기선급비용</t>
        </is>
      </c>
      <c r="E114" s="20" t="n">
        <v>9.601000000000001</v>
      </c>
      <c r="H114" s="20" t="n">
        <v>4.302</v>
      </c>
      <c r="I114" s="20" t="n">
        <v>1.434</v>
      </c>
      <c r="J114" s="20" t="n">
        <v>0</v>
      </c>
      <c r="K114" s="20" t="n">
        <v>13.441</v>
      </c>
      <c r="L114" s="20" t="n">
        <v>9.601000000000001</v>
      </c>
    </row>
    <row r="115">
      <c r="A115" s="18" t="inlineStr">
        <is>
          <t>선급연금비용</t>
        </is>
      </c>
      <c r="C115" s="20" t="n">
        <v>1034.205</v>
      </c>
      <c r="D115" s="20" t="n">
        <v>1040.633</v>
      </c>
      <c r="E115" s="20" t="n">
        <v>1047.061</v>
      </c>
      <c r="F115" s="20" t="n">
        <v>1086.213</v>
      </c>
      <c r="G115" s="20" t="n">
        <v>1093.686</v>
      </c>
      <c r="H115" s="20" t="n">
        <v>838.5549999999999</v>
      </c>
      <c r="I115" s="20" t="n">
        <v>922.146</v>
      </c>
      <c r="J115" s="20" t="n">
        <v>908.1609999999999</v>
      </c>
      <c r="K115" s="20" t="n">
        <v>1062.964</v>
      </c>
      <c r="L115" s="20" t="n">
        <v>1047.061</v>
      </c>
    </row>
    <row r="116">
      <c r="A116" s="18" t="inlineStr">
        <is>
          <t>장기예금</t>
        </is>
      </c>
      <c r="C116" s="20" t="n">
        <v>300</v>
      </c>
      <c r="D116" s="20" t="n">
        <v>300</v>
      </c>
      <c r="E116" s="20" t="n">
        <v>300</v>
      </c>
      <c r="F116" s="20" t="n">
        <v>300</v>
      </c>
      <c r="G116" s="20" t="n">
        <v>300</v>
      </c>
      <c r="K116" s="20" t="n">
        <v>300</v>
      </c>
      <c r="L116" s="20" t="n">
        <v>300</v>
      </c>
    </row>
    <row r="117">
      <c r="A117" s="18" t="inlineStr">
        <is>
          <t>기타</t>
        </is>
      </c>
      <c r="C117" s="20" t="n">
        <v>86.899</v>
      </c>
      <c r="D117" s="20" t="n">
        <v>85.521</v>
      </c>
      <c r="E117" s="20" t="n">
        <v>84.15900000000001</v>
      </c>
      <c r="F117" s="20" t="n">
        <v>83.029</v>
      </c>
      <c r="G117" s="20" t="n">
        <v>81.01000000000001</v>
      </c>
      <c r="H117" s="20" t="n">
        <v>74.485</v>
      </c>
      <c r="I117" s="20" t="n">
        <v>73.417</v>
      </c>
      <c r="J117" s="20" t="n">
        <v>72.175</v>
      </c>
      <c r="K117" s="20" t="n">
        <v>71.40900000000001</v>
      </c>
      <c r="L117" s="20" t="n">
        <v>84.15900000000001</v>
      </c>
    </row>
    <row r="118">
      <c r="A118" s="18" t="inlineStr">
        <is>
          <t>대손충당금</t>
        </is>
      </c>
      <c r="C118" s="20" t="n">
        <v>-3.893</v>
      </c>
      <c r="D118" s="20" t="n">
        <v>-3.687</v>
      </c>
      <c r="E118" s="20" t="n">
        <v>-3.687</v>
      </c>
      <c r="F118" s="20" t="n">
        <v>-3.652</v>
      </c>
      <c r="G118" s="20" t="n">
        <v>-3.612</v>
      </c>
      <c r="H118" s="20" t="n">
        <v>-4.718</v>
      </c>
      <c r="I118" s="20" t="n">
        <v>-4.56</v>
      </c>
      <c r="J118" s="20" t="n">
        <v>-4.326</v>
      </c>
      <c r="K118" s="20" t="n">
        <v>-3.992</v>
      </c>
      <c r="L118" s="20" t="n">
        <v>-3.687</v>
      </c>
    </row>
    <row r="119">
      <c r="A119" s="18" t="inlineStr">
        <is>
          <t>투자 및 기타자산 합계</t>
        </is>
      </c>
      <c r="C119" s="20" t="n">
        <v>2630.059</v>
      </c>
      <c r="D119" s="20" t="n">
        <v>2798.94</v>
      </c>
      <c r="E119" s="20" t="n">
        <v>2906.22</v>
      </c>
      <c r="F119" s="20" t="n">
        <v>3231.035</v>
      </c>
      <c r="G119" s="20" t="n">
        <v>3390.746</v>
      </c>
      <c r="H119" s="20" t="n">
        <v>1552.238</v>
      </c>
      <c r="I119" s="20" t="n">
        <v>1663.107</v>
      </c>
      <c r="J119" s="20" t="n">
        <v>1963.144</v>
      </c>
      <c r="K119" s="20" t="n">
        <v>2508.132</v>
      </c>
      <c r="L119" s="20" t="n">
        <v>2906.22</v>
      </c>
    </row>
    <row r="120">
      <c r="A120" s="9" t="inlineStr">
        <is>
          <t>비유동자산 합계</t>
        </is>
      </c>
      <c r="C120" s="12" t="n">
        <v>5099.522</v>
      </c>
      <c r="D120" s="12" t="n">
        <v>5264.078</v>
      </c>
      <c r="E120" s="12" t="n">
        <v>5210.176</v>
      </c>
      <c r="F120" s="12" t="n">
        <v>5497.936</v>
      </c>
      <c r="G120" s="12" t="n">
        <v>5676.557</v>
      </c>
      <c r="H120" s="12" t="n">
        <v>3195.578</v>
      </c>
      <c r="I120" s="12" t="n">
        <v>3407.024</v>
      </c>
      <c r="J120" s="12" t="n">
        <v>3847.819</v>
      </c>
      <c r="K120" s="12" t="n">
        <v>4750.514</v>
      </c>
      <c r="L120" s="12" t="n">
        <v>5210.176</v>
      </c>
    </row>
    <row r="121">
      <c r="A121" s="9" t="inlineStr">
        <is>
          <t>자산 합계</t>
        </is>
      </c>
      <c r="C121" s="12" t="n">
        <v>15657.66</v>
      </c>
      <c r="D121" s="12" t="n">
        <v>16150.118</v>
      </c>
      <c r="E121" s="12" t="n">
        <v>17201.128</v>
      </c>
      <c r="F121" s="12" t="n">
        <v>17217.678</v>
      </c>
      <c r="G121" s="12" t="n">
        <v>18048.867</v>
      </c>
      <c r="H121" s="12" t="n">
        <v>11365.227</v>
      </c>
      <c r="I121" s="12" t="n">
        <v>12716.194</v>
      </c>
      <c r="J121" s="12" t="n">
        <v>14677.227</v>
      </c>
      <c r="K121" s="12" t="n">
        <v>15233.746</v>
      </c>
      <c r="L121" s="12" t="n">
        <v>17201.128</v>
      </c>
    </row>
    <row r="122">
      <c r="A122" s="18" t="inlineStr">
        <is>
          <t>지급어음·매입채무</t>
        </is>
      </c>
      <c r="H122" s="20" t="n">
        <v>1092.331</v>
      </c>
      <c r="I122" s="20" t="n">
        <v>420.7</v>
      </c>
    </row>
    <row r="123">
      <c r="A123" s="18" t="inlineStr">
        <is>
          <t>지급어음</t>
        </is>
      </c>
      <c r="H123" s="20" t="n">
        <v>175.995</v>
      </c>
      <c r="I123" s="20" t="n">
        <v>32.384</v>
      </c>
      <c r="J123" s="20" t="n">
        <v>0</v>
      </c>
    </row>
    <row r="124">
      <c r="A124" s="18" t="inlineStr">
        <is>
          <t>매입채무</t>
        </is>
      </c>
      <c r="C124" s="20" t="n">
        <v>247.194</v>
      </c>
      <c r="D124" s="20" t="n">
        <v>322.258</v>
      </c>
      <c r="E124" s="20" t="n">
        <v>276.556</v>
      </c>
      <c r="F124" s="20" t="n">
        <v>352.154</v>
      </c>
      <c r="G124" s="20" t="n">
        <v>298.488</v>
      </c>
      <c r="H124" s="20" t="n">
        <v>347.285</v>
      </c>
      <c r="I124" s="20" t="n">
        <v>388.316</v>
      </c>
      <c r="J124" s="20" t="n">
        <v>482.645</v>
      </c>
      <c r="K124" s="20" t="n">
        <v>323.351</v>
      </c>
      <c r="L124" s="20" t="n">
        <v>276.556</v>
      </c>
    </row>
    <row r="125">
      <c r="A125" s="18" t="inlineStr">
        <is>
          <t>전자기록채무</t>
        </is>
      </c>
      <c r="C125" s="20" t="n">
        <v>370.878</v>
      </c>
      <c r="D125" s="20" t="n">
        <v>423.467</v>
      </c>
      <c r="E125" s="20" t="n">
        <v>164.019</v>
      </c>
      <c r="F125" s="20" t="n">
        <v>83.089</v>
      </c>
      <c r="G125" s="20" t="n">
        <v>98.79900000000001</v>
      </c>
      <c r="H125" s="20" t="n">
        <v>569.05</v>
      </c>
      <c r="I125" s="20" t="n">
        <v>762.832</v>
      </c>
      <c r="J125" s="20" t="n">
        <v>897.954</v>
      </c>
      <c r="K125" s="20" t="n">
        <v>430.296</v>
      </c>
      <c r="L125" s="20" t="n">
        <v>164.019</v>
      </c>
    </row>
    <row r="126">
      <c r="A126" s="18" t="inlineStr">
        <is>
          <t>1년 내 상환 장기차입금</t>
        </is>
      </c>
      <c r="C126" s="20" t="n">
        <v>37.62</v>
      </c>
      <c r="D126" s="20" t="n">
        <v>37.62</v>
      </c>
      <c r="E126" s="20" t="n">
        <v>37.62</v>
      </c>
      <c r="F126" s="20" t="n">
        <v>37.62</v>
      </c>
      <c r="G126" s="20" t="n">
        <v>37.62</v>
      </c>
      <c r="H126" s="20" t="n">
        <v>150.416</v>
      </c>
      <c r="I126" s="20" t="n">
        <v>142.877</v>
      </c>
      <c r="J126" s="20" t="n">
        <v>144.147</v>
      </c>
      <c r="K126" s="20" t="n">
        <v>37.62</v>
      </c>
      <c r="L126" s="20" t="n">
        <v>37.62</v>
      </c>
    </row>
    <row r="127">
      <c r="A127" s="18" t="inlineStr">
        <is>
          <t>리스부채</t>
        </is>
      </c>
      <c r="H127" s="20" t="n">
        <v>3.199</v>
      </c>
      <c r="I127" s="20" t="n">
        <v>2.582</v>
      </c>
      <c r="J127" s="20" t="n">
        <v>0</v>
      </c>
    </row>
    <row r="128">
      <c r="A128" s="18" t="inlineStr">
        <is>
          <t>미지급금</t>
        </is>
      </c>
      <c r="E128" s="20" t="n">
        <v>585.452</v>
      </c>
      <c r="H128" s="20" t="n">
        <v>172.968</v>
      </c>
      <c r="I128" s="20" t="n">
        <v>368.982</v>
      </c>
      <c r="J128" s="20" t="n">
        <v>446.207</v>
      </c>
      <c r="K128" s="20" t="n">
        <v>290.141</v>
      </c>
      <c r="L128" s="20" t="n">
        <v>585.452</v>
      </c>
    </row>
    <row r="129">
      <c r="A129" s="18" t="inlineStr">
        <is>
          <t>미지급비용</t>
        </is>
      </c>
      <c r="E129" s="20" t="n">
        <v>47.153</v>
      </c>
      <c r="H129" s="20" t="n">
        <v>37.797</v>
      </c>
      <c r="I129" s="20" t="n">
        <v>39.044</v>
      </c>
      <c r="J129" s="20" t="n">
        <v>69.968</v>
      </c>
      <c r="K129" s="20" t="n">
        <v>68.34699999999999</v>
      </c>
      <c r="L129" s="20" t="n">
        <v>47.153</v>
      </c>
    </row>
    <row r="130">
      <c r="A130" s="18" t="inlineStr">
        <is>
          <t>미지급법인세</t>
        </is>
      </c>
      <c r="C130" s="20" t="n">
        <v>289.959</v>
      </c>
      <c r="D130" s="20" t="n">
        <v>150.875</v>
      </c>
      <c r="E130" s="20" t="n">
        <v>543.2809999999999</v>
      </c>
      <c r="F130" s="20" t="n">
        <v>185.861</v>
      </c>
      <c r="G130" s="20" t="n">
        <v>457.255</v>
      </c>
      <c r="H130" s="20" t="n">
        <v>0</v>
      </c>
      <c r="I130" s="20" t="n">
        <v>322.238</v>
      </c>
      <c r="J130" s="20" t="n">
        <v>501.956</v>
      </c>
      <c r="K130" s="20" t="n">
        <v>384.281</v>
      </c>
      <c r="L130" s="20" t="n">
        <v>543.2809999999999</v>
      </c>
    </row>
    <row r="131">
      <c r="A131" s="18" t="inlineStr">
        <is>
          <t>선수금</t>
        </is>
      </c>
      <c r="H131" s="20" t="n">
        <v>0</v>
      </c>
    </row>
    <row r="132">
      <c r="A132" s="18" t="inlineStr">
        <is>
          <t>상여충당금</t>
        </is>
      </c>
      <c r="C132" s="20" t="n">
        <v>204.696</v>
      </c>
      <c r="D132" s="20" t="n">
        <v>96.898</v>
      </c>
      <c r="E132" s="20" t="n">
        <v>187.787</v>
      </c>
      <c r="F132" s="20" t="n">
        <v>93.73699999999999</v>
      </c>
      <c r="G132" s="20" t="n">
        <v>188.036</v>
      </c>
      <c r="H132" s="20" t="n">
        <v>165.601</v>
      </c>
      <c r="I132" s="20" t="n">
        <v>209.398</v>
      </c>
      <c r="J132" s="20" t="n">
        <v>205.034</v>
      </c>
      <c r="K132" s="20" t="n">
        <v>193.832</v>
      </c>
      <c r="L132" s="20" t="n">
        <v>187.787</v>
      </c>
    </row>
    <row r="133">
      <c r="A133" s="18" t="inlineStr">
        <is>
          <t>계약부채</t>
        </is>
      </c>
      <c r="C133" s="20" t="n">
        <v>46.692</v>
      </c>
      <c r="D133" s="20" t="n">
        <v>37.633</v>
      </c>
      <c r="E133" s="20" t="n">
        <v>11.582</v>
      </c>
      <c r="F133" s="20" t="n">
        <v>110.527</v>
      </c>
      <c r="G133" s="20" t="n">
        <v>48.864</v>
      </c>
      <c r="H133" s="20" t="n">
        <v>72.619</v>
      </c>
      <c r="I133" s="20" t="n">
        <v>233.524</v>
      </c>
      <c r="J133" s="20" t="n">
        <v>48.219</v>
      </c>
      <c r="K133" s="20" t="n">
        <v>35.492</v>
      </c>
      <c r="L133" s="20" t="n">
        <v>11.582</v>
      </c>
    </row>
    <row r="134">
      <c r="A134" s="18" t="inlineStr">
        <is>
          <t>압축 미결산 특별계정</t>
        </is>
      </c>
      <c r="C134" s="20" t="n">
        <v>193.3</v>
      </c>
      <c r="D134" s="20" t="n">
        <v>193.3</v>
      </c>
      <c r="E134" s="20" t="n">
        <v>146.78</v>
      </c>
      <c r="F134" s="20" t="n">
        <v>146.78</v>
      </c>
      <c r="G134" s="20" t="n">
        <v>146.78</v>
      </c>
      <c r="J134" s="20" t="n">
        <v>0</v>
      </c>
      <c r="K134" s="20" t="n">
        <v>193.3</v>
      </c>
      <c r="L134" s="20" t="n">
        <v>146.78</v>
      </c>
    </row>
    <row r="135">
      <c r="A135" s="18" t="inlineStr">
        <is>
          <t>예수금</t>
        </is>
      </c>
      <c r="E135" s="20" t="n">
        <v>16.351</v>
      </c>
      <c r="H135" s="20" t="n">
        <v>17.136</v>
      </c>
      <c r="I135" s="20" t="n">
        <v>39.285</v>
      </c>
      <c r="J135" s="20" t="n">
        <v>81.27800000000001</v>
      </c>
      <c r="K135" s="20" t="n">
        <v>60.319</v>
      </c>
      <c r="L135" s="20" t="n">
        <v>16.351</v>
      </c>
    </row>
    <row r="136">
      <c r="A136" s="18" t="inlineStr">
        <is>
          <t>기타</t>
        </is>
      </c>
      <c r="C136" s="20" t="n">
        <v>421.83</v>
      </c>
      <c r="D136" s="20" t="n">
        <v>511.114</v>
      </c>
      <c r="E136" s="20" t="n">
        <v>648.958</v>
      </c>
      <c r="F136" s="20" t="n">
        <v>482.898</v>
      </c>
      <c r="G136" s="20" t="n">
        <v>367.026</v>
      </c>
      <c r="H136" s="20" t="n">
        <v>303.721</v>
      </c>
      <c r="I136" s="20" t="n">
        <v>683.42</v>
      </c>
      <c r="J136" s="20" t="n">
        <v>645.674</v>
      </c>
      <c r="K136" s="20" t="n">
        <v>418.808</v>
      </c>
      <c r="L136" s="20" t="n">
        <v>648.958</v>
      </c>
    </row>
    <row r="137">
      <c r="A137" s="9" t="inlineStr">
        <is>
          <t>유동부채 합계</t>
        </is>
      </c>
      <c r="C137" s="12" t="n">
        <v>1812.172</v>
      </c>
      <c r="D137" s="12" t="n">
        <v>1773.167</v>
      </c>
      <c r="E137" s="12" t="n">
        <v>2016.585</v>
      </c>
      <c r="F137" s="12" t="n">
        <v>1492.668</v>
      </c>
      <c r="G137" s="12" t="n">
        <v>1642.869</v>
      </c>
      <c r="H137" s="12" t="n">
        <v>1712.07</v>
      </c>
      <c r="I137" s="12" t="n">
        <v>2541.466</v>
      </c>
      <c r="J137" s="12" t="n">
        <v>2877.411</v>
      </c>
      <c r="K137" s="12" t="n">
        <v>2016.983</v>
      </c>
      <c r="L137" s="12" t="n">
        <v>2016.585</v>
      </c>
    </row>
    <row r="138">
      <c r="A138" s="18" t="inlineStr">
        <is>
          <t>장기차입금</t>
        </is>
      </c>
      <c r="C138" s="20" t="n">
        <v>53.365</v>
      </c>
      <c r="D138" s="20" t="n">
        <v>47.095</v>
      </c>
      <c r="E138" s="20" t="n">
        <v>34.555</v>
      </c>
      <c r="F138" s="20" t="n">
        <v>25.15</v>
      </c>
      <c r="G138" s="20" t="n">
        <v>15.745</v>
      </c>
      <c r="H138" s="20" t="n">
        <v>500.176</v>
      </c>
      <c r="I138" s="20" t="n">
        <v>366.464</v>
      </c>
      <c r="J138" s="20" t="n">
        <v>222.317</v>
      </c>
      <c r="K138" s="20" t="n">
        <v>72.175</v>
      </c>
      <c r="L138" s="20" t="n">
        <v>34.555</v>
      </c>
    </row>
    <row r="139">
      <c r="A139" s="18" t="inlineStr">
        <is>
          <t>장기 예수금</t>
        </is>
      </c>
      <c r="E139" s="20" t="n">
        <v>5</v>
      </c>
      <c r="H139" s="20" t="n">
        <v>5</v>
      </c>
      <c r="I139" s="20" t="n">
        <v>5</v>
      </c>
      <c r="J139" s="20" t="n">
        <v>5</v>
      </c>
      <c r="K139" s="20" t="n">
        <v>5</v>
      </c>
      <c r="L139" s="20" t="n">
        <v>5</v>
      </c>
    </row>
    <row r="140">
      <c r="A140" s="18" t="inlineStr">
        <is>
          <t>리스부채</t>
        </is>
      </c>
      <c r="H140" s="20" t="n">
        <v>4.574</v>
      </c>
      <c r="I140" s="20" t="n">
        <v>0</v>
      </c>
    </row>
    <row r="141">
      <c r="A141" s="18" t="inlineStr">
        <is>
          <t>퇴직급여충당금</t>
        </is>
      </c>
      <c r="C141" s="20" t="n">
        <v>1</v>
      </c>
      <c r="D141" s="20" t="n">
        <v>1</v>
      </c>
      <c r="E141" s="20" t="n">
        <v>1</v>
      </c>
      <c r="F141" s="20" t="n">
        <v>0.883</v>
      </c>
      <c r="G141" s="20" t="n">
        <v>0.883</v>
      </c>
      <c r="H141" s="20" t="n">
        <v>1.95</v>
      </c>
      <c r="I141" s="20" t="n">
        <v>1.475</v>
      </c>
      <c r="J141" s="20" t="n">
        <v>1.358</v>
      </c>
      <c r="K141" s="20" t="n">
        <v>1.1</v>
      </c>
      <c r="L141" s="20" t="n">
        <v>1</v>
      </c>
    </row>
    <row r="142">
      <c r="A142" s="18" t="inlineStr">
        <is>
          <t>자산복구부채</t>
        </is>
      </c>
      <c r="C142" s="20" t="n">
        <v>167.501</v>
      </c>
      <c r="D142" s="20" t="n">
        <v>167.548</v>
      </c>
      <c r="E142" s="20" t="n">
        <v>167.596</v>
      </c>
      <c r="F142" s="20" t="n">
        <v>167.644</v>
      </c>
      <c r="G142" s="20" t="n">
        <v>167.692</v>
      </c>
      <c r="H142" s="20" t="n">
        <v>166.864</v>
      </c>
      <c r="I142" s="20" t="n">
        <v>167.042</v>
      </c>
      <c r="J142" s="20" t="n">
        <v>167.222</v>
      </c>
      <c r="K142" s="20" t="n">
        <v>167.407</v>
      </c>
      <c r="L142" s="20" t="n">
        <v>167.596</v>
      </c>
    </row>
    <row r="143">
      <c r="A143" s="18" t="inlineStr">
        <is>
          <t>장기미지급금</t>
        </is>
      </c>
      <c r="E143" s="20" t="n">
        <v>0</v>
      </c>
      <c r="J143" s="20" t="n">
        <v>0</v>
      </c>
      <c r="K143" s="20" t="n">
        <v>22.337</v>
      </c>
      <c r="L143" s="20" t="n">
        <v>0</v>
      </c>
    </row>
    <row r="144">
      <c r="A144" s="18" t="inlineStr">
        <is>
          <t>이연법인세부채</t>
        </is>
      </c>
      <c r="E144" s="20" t="n">
        <v>493.063</v>
      </c>
      <c r="H144" s="20" t="n">
        <v>178.328</v>
      </c>
      <c r="I144" s="20" t="n">
        <v>192.674</v>
      </c>
      <c r="J144" s="20" t="n">
        <v>305.57</v>
      </c>
      <c r="K144" s="20" t="n">
        <v>384.987</v>
      </c>
      <c r="L144" s="20" t="n">
        <v>493.063</v>
      </c>
    </row>
    <row r="145">
      <c r="A145" s="18" t="inlineStr">
        <is>
          <t>기타</t>
        </is>
      </c>
      <c r="C145" s="20" t="n">
        <v>461.505</v>
      </c>
      <c r="D145" s="20" t="n">
        <v>489.947</v>
      </c>
      <c r="E145" s="20" t="n">
        <v>500.238</v>
      </c>
      <c r="F145" s="20" t="n">
        <v>589.671</v>
      </c>
      <c r="G145" s="20" t="n">
        <v>638.005</v>
      </c>
      <c r="H145" s="20" t="n">
        <v>2.175</v>
      </c>
      <c r="I145" s="20" t="n">
        <v>2.175</v>
      </c>
      <c r="J145" s="20" t="n">
        <v>2.175</v>
      </c>
      <c r="K145" s="20" t="n">
        <v>2.175</v>
      </c>
      <c r="L145" s="20" t="n">
        <v>500.238</v>
      </c>
    </row>
    <row r="146">
      <c r="A146" s="9" t="inlineStr">
        <is>
          <t>비유동부채 합계</t>
        </is>
      </c>
      <c r="C146" s="12" t="n">
        <v>683.371</v>
      </c>
      <c r="D146" s="12" t="n">
        <v>705.591</v>
      </c>
      <c r="E146" s="12" t="n">
        <v>703.389</v>
      </c>
      <c r="F146" s="12" t="n">
        <v>783.349</v>
      </c>
      <c r="G146" s="12" t="n">
        <v>822.326</v>
      </c>
      <c r="H146" s="12" t="n">
        <v>859.069</v>
      </c>
      <c r="I146" s="12" t="n">
        <v>734.831</v>
      </c>
      <c r="J146" s="12" t="n">
        <v>703.643</v>
      </c>
      <c r="K146" s="12" t="n">
        <v>655.182</v>
      </c>
      <c r="L146" s="12" t="n">
        <v>703.389</v>
      </c>
    </row>
    <row r="147">
      <c r="A147" s="9" t="inlineStr">
        <is>
          <t>부채 합계</t>
        </is>
      </c>
      <c r="C147" s="12" t="n">
        <v>2495.544</v>
      </c>
      <c r="D147" s="12" t="n">
        <v>2478.758</v>
      </c>
      <c r="E147" s="12" t="n">
        <v>2719.975</v>
      </c>
      <c r="F147" s="12" t="n">
        <v>2276.017</v>
      </c>
      <c r="G147" s="12" t="n">
        <v>2465.196</v>
      </c>
      <c r="H147" s="12" t="n">
        <v>2571.139</v>
      </c>
      <c r="I147" s="12" t="n">
        <v>3276.297</v>
      </c>
      <c r="J147" s="12" t="n">
        <v>3581.055</v>
      </c>
      <c r="K147" s="12" t="n">
        <v>2672.166</v>
      </c>
      <c r="L147" s="12" t="n">
        <v>2719.975</v>
      </c>
    </row>
    <row r="148">
      <c r="A148" s="18" t="inlineStr">
        <is>
          <t>자본금</t>
        </is>
      </c>
      <c r="C148" s="20" t="n">
        <v>1388.8</v>
      </c>
      <c r="D148" s="20" t="n">
        <v>1388.8</v>
      </c>
      <c r="E148" s="20" t="n">
        <v>1388.8</v>
      </c>
      <c r="F148" s="20" t="n">
        <v>1388.8</v>
      </c>
      <c r="G148" s="20" t="n">
        <v>1388.8</v>
      </c>
      <c r="H148" s="20" t="n">
        <v>1388.8</v>
      </c>
      <c r="I148" s="20" t="n">
        <v>1388.8</v>
      </c>
      <c r="J148" s="20" t="n">
        <v>1388.8</v>
      </c>
      <c r="K148" s="20" t="n">
        <v>1388.8</v>
      </c>
      <c r="L148" s="20" t="n">
        <v>1388.8</v>
      </c>
    </row>
    <row r="149">
      <c r="A149" s="18" t="inlineStr">
        <is>
          <t>자본준비금</t>
        </is>
      </c>
      <c r="E149" s="20" t="n">
        <v>448.348</v>
      </c>
      <c r="H149" s="20" t="n">
        <v>448.348</v>
      </c>
      <c r="I149" s="20" t="n">
        <v>448.348</v>
      </c>
      <c r="J149" s="20" t="n">
        <v>448.348</v>
      </c>
      <c r="K149" s="20" t="n">
        <v>448.348</v>
      </c>
      <c r="L149" s="20" t="n">
        <v>448.348</v>
      </c>
    </row>
    <row r="150">
      <c r="A150" s="18" t="inlineStr">
        <is>
          <t>기타자본잉여금</t>
        </is>
      </c>
      <c r="E150" s="20" t="n">
        <v>396.193</v>
      </c>
      <c r="H150" s="20" t="n">
        <v>396.193</v>
      </c>
      <c r="I150" s="20" t="n">
        <v>396.193</v>
      </c>
      <c r="J150" s="20" t="n">
        <v>396.193</v>
      </c>
      <c r="K150" s="20" t="n">
        <v>396.193</v>
      </c>
      <c r="L150" s="20" t="n">
        <v>396.193</v>
      </c>
    </row>
    <row r="151">
      <c r="A151" s="18" t="inlineStr">
        <is>
          <t>자본잉여금</t>
        </is>
      </c>
      <c r="C151" s="20" t="n">
        <v>844.542</v>
      </c>
      <c r="D151" s="20" t="n">
        <v>844.542</v>
      </c>
      <c r="E151" s="20" t="n">
        <v>844.542</v>
      </c>
      <c r="F151" s="20" t="n">
        <v>844.542</v>
      </c>
      <c r="G151" s="20" t="n">
        <v>844.542</v>
      </c>
      <c r="H151" s="20" t="n">
        <v>844.542</v>
      </c>
      <c r="I151" s="20" t="n">
        <v>844.542</v>
      </c>
      <c r="J151" s="20" t="n">
        <v>844.542</v>
      </c>
      <c r="K151" s="20" t="n">
        <v>844.542</v>
      </c>
      <c r="L151" s="20" t="n">
        <v>844.542</v>
      </c>
    </row>
    <row r="152">
      <c r="A152" s="18" t="inlineStr">
        <is>
          <t>이익준비금</t>
        </is>
      </c>
      <c r="E152" s="20" t="n">
        <v>24.075</v>
      </c>
      <c r="H152" s="20" t="n">
        <v>24.075</v>
      </c>
      <c r="I152" s="20" t="n">
        <v>24.075</v>
      </c>
      <c r="J152" s="20" t="n">
        <v>24.075</v>
      </c>
      <c r="K152" s="20" t="n">
        <v>24.075</v>
      </c>
      <c r="L152" s="20" t="n">
        <v>24.075</v>
      </c>
    </row>
    <row r="153">
      <c r="A153" s="18" t="inlineStr">
        <is>
          <t>별도적립금</t>
        </is>
      </c>
      <c r="E153" s="20" t="n">
        <v>1600</v>
      </c>
      <c r="H153" s="20" t="n">
        <v>1600</v>
      </c>
      <c r="I153" s="20" t="n">
        <v>1600</v>
      </c>
      <c r="J153" s="20" t="n">
        <v>1600</v>
      </c>
      <c r="K153" s="20" t="n">
        <v>1600</v>
      </c>
      <c r="L153" s="20" t="n">
        <v>1600</v>
      </c>
    </row>
    <row r="154">
      <c r="A154" s="18" t="inlineStr">
        <is>
          <t>이월이익잉여금</t>
        </is>
      </c>
      <c r="E154" s="20" t="n">
        <v>9848.263000000001</v>
      </c>
      <c r="H154" s="20" t="n">
        <v>4720.656</v>
      </c>
      <c r="I154" s="20" t="n">
        <v>5348.835</v>
      </c>
      <c r="J154" s="20" t="n">
        <v>6788.638</v>
      </c>
      <c r="K154" s="20" t="n">
        <v>8210.903</v>
      </c>
      <c r="L154" s="20" t="n">
        <v>9848.263000000001</v>
      </c>
    </row>
    <row r="155">
      <c r="A155" s="18" t="inlineStr">
        <is>
          <t>이익잉여금</t>
        </is>
      </c>
      <c r="C155" s="20" t="n">
        <v>10333.277</v>
      </c>
      <c r="D155" s="20" t="n">
        <v>10731.982</v>
      </c>
      <c r="E155" s="20" t="n">
        <v>11472.338</v>
      </c>
      <c r="F155" s="20" t="n">
        <v>11738.169</v>
      </c>
      <c r="G155" s="20" t="n">
        <v>12275.056</v>
      </c>
      <c r="H155" s="20" t="n">
        <v>6344.731</v>
      </c>
      <c r="I155" s="20" t="n">
        <v>6972.91</v>
      </c>
      <c r="J155" s="20" t="n">
        <v>8412.713</v>
      </c>
      <c r="K155" s="20" t="n">
        <v>9834.977999999999</v>
      </c>
      <c r="L155" s="20" t="n">
        <v>11472.338</v>
      </c>
    </row>
    <row r="156">
      <c r="A156" s="18" t="inlineStr">
        <is>
          <t>자기주식</t>
        </is>
      </c>
      <c r="C156" s="20" t="n">
        <v>-15.833</v>
      </c>
      <c r="D156" s="20" t="n">
        <v>-15.919</v>
      </c>
      <c r="E156" s="20" t="n">
        <v>-16.001</v>
      </c>
      <c r="F156" s="20" t="n">
        <v>-16.085</v>
      </c>
      <c r="G156" s="20" t="n">
        <v>-16.154</v>
      </c>
      <c r="H156" s="20" t="n">
        <v>-15.499</v>
      </c>
      <c r="I156" s="20" t="n">
        <v>-15.638</v>
      </c>
      <c r="J156" s="20" t="n">
        <v>-15.707</v>
      </c>
      <c r="K156" s="20" t="n">
        <v>-15.764</v>
      </c>
      <c r="L156" s="20" t="n">
        <v>-16.001</v>
      </c>
    </row>
    <row r="157">
      <c r="A157" s="9" t="inlineStr">
        <is>
          <t>주주자본 합계</t>
        </is>
      </c>
      <c r="C157" s="12" t="n">
        <v>12550.786</v>
      </c>
      <c r="D157" s="12" t="n">
        <v>12949.404</v>
      </c>
      <c r="E157" s="12" t="n">
        <v>13689.678</v>
      </c>
      <c r="F157" s="12" t="n">
        <v>13955.426</v>
      </c>
      <c r="G157" s="12" t="n">
        <v>14492.244</v>
      </c>
      <c r="H157" s="12" t="n">
        <v>8562.574000000001</v>
      </c>
      <c r="I157" s="12" t="n">
        <v>9190.614</v>
      </c>
      <c r="J157" s="12" t="n">
        <v>10630.348</v>
      </c>
      <c r="K157" s="12" t="n">
        <v>12052.555</v>
      </c>
      <c r="L157" s="12" t="n">
        <v>13689.678</v>
      </c>
    </row>
    <row r="158">
      <c r="A158" s="18" t="inlineStr">
        <is>
          <t>기타유가증권 평가차액</t>
        </is>
      </c>
      <c r="C158" s="20" t="n">
        <v>611.33</v>
      </c>
      <c r="D158" s="20" t="n">
        <v>721.955</v>
      </c>
      <c r="E158" s="20" t="n">
        <v>791.474</v>
      </c>
      <c r="F158" s="20" t="n">
        <v>986.234</v>
      </c>
      <c r="G158" s="20" t="n">
        <v>1091.426</v>
      </c>
      <c r="H158" s="20" t="n">
        <v>230.3</v>
      </c>
      <c r="I158" s="20" t="n">
        <v>249.282</v>
      </c>
      <c r="J158" s="20" t="n">
        <v>465.823</v>
      </c>
      <c r="K158" s="20" t="n">
        <v>509.024</v>
      </c>
      <c r="L158" s="20" t="n">
        <v>791.474</v>
      </c>
    </row>
    <row r="159">
      <c r="A159" s="18" t="inlineStr">
        <is>
          <t>평가·환산차액 합계</t>
        </is>
      </c>
      <c r="C159" s="20" t="n">
        <v>611.33</v>
      </c>
      <c r="D159" s="20" t="n">
        <v>721.955</v>
      </c>
      <c r="E159" s="20" t="n">
        <v>791.474</v>
      </c>
      <c r="F159" s="20" t="n">
        <v>986.234</v>
      </c>
      <c r="G159" s="20" t="n">
        <v>1091.426</v>
      </c>
      <c r="H159" s="20" t="n">
        <v>230.3</v>
      </c>
      <c r="I159" s="20" t="n">
        <v>249.282</v>
      </c>
      <c r="J159" s="20" t="n">
        <v>465.823</v>
      </c>
      <c r="K159" s="20" t="n">
        <v>509.024</v>
      </c>
      <c r="L159" s="20" t="n">
        <v>791.474</v>
      </c>
    </row>
    <row r="160">
      <c r="A160" s="18" t="inlineStr">
        <is>
          <t>신주예약권</t>
        </is>
      </c>
      <c r="H160" s="20" t="n">
        <v>1.213</v>
      </c>
      <c r="I160" s="20" t="n">
        <v>0</v>
      </c>
    </row>
    <row r="161">
      <c r="A161" s="9" t="inlineStr">
        <is>
          <t>순자산 합계</t>
        </is>
      </c>
      <c r="C161" s="12" t="n">
        <v>13162.116</v>
      </c>
      <c r="D161" s="12" t="n">
        <v>13671.36</v>
      </c>
      <c r="E161" s="12" t="n">
        <v>14481.153</v>
      </c>
      <c r="F161" s="12" t="n">
        <v>14941.66</v>
      </c>
      <c r="G161" s="12" t="n">
        <v>15583.67</v>
      </c>
      <c r="H161" s="12" t="n">
        <v>8794.088</v>
      </c>
      <c r="I161" s="12" t="n">
        <v>9439.896000000001</v>
      </c>
      <c r="J161" s="12" t="n">
        <v>11096.171</v>
      </c>
      <c r="K161" s="12" t="n">
        <v>12561.58</v>
      </c>
      <c r="L161" s="12" t="n">
        <v>14481.153</v>
      </c>
    </row>
    <row r="162">
      <c r="A162" s="9" t="inlineStr">
        <is>
          <t>부채·순자산 합계</t>
        </is>
      </c>
      <c r="C162" s="12" t="n">
        <v>15657.66</v>
      </c>
      <c r="D162" s="12" t="n">
        <v>16150.118</v>
      </c>
      <c r="E162" s="12" t="n">
        <v>17201.128</v>
      </c>
      <c r="F162" s="12" t="n">
        <v>17217.678</v>
      </c>
      <c r="G162" s="12" t="n">
        <v>18048.867</v>
      </c>
      <c r="H162" s="12" t="n">
        <v>11365.227</v>
      </c>
      <c r="I162" s="12" t="n">
        <v>12716.194</v>
      </c>
      <c r="J162" s="12" t="n">
        <v>14677.227</v>
      </c>
      <c r="K162" s="12" t="n">
        <v>15233.746</v>
      </c>
      <c r="L162" s="12" t="n">
        <v>17201.128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6356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값</t>
        </is>
      </c>
      <c r="G5" s="53" t="inlineStr">
        <is>
          <t>출처</t>
        </is>
      </c>
    </row>
    <row r="6">
      <c r="A6" s="54" t="inlineStr">
        <is>
          <t>수주 상반기</t>
        </is>
      </c>
      <c r="B6" s="55" t="n">
        <v>72.64</v>
      </c>
      <c r="G6" s="56" t="inlineStr">
        <is>
          <t>2단계 보고서 자료(회사 설명회 자료·공시)</t>
        </is>
      </c>
    </row>
    <row r="7">
      <c r="A7" s="54" t="inlineStr">
        <is>
          <t>수주 YoY</t>
        </is>
      </c>
      <c r="B7" s="55" t="n">
        <v>20.5</v>
      </c>
    </row>
    <row r="8">
      <c r="A8" s="54" t="inlineStr">
        <is>
          <t>수주잔고</t>
        </is>
      </c>
      <c r="B8" s="55" t="n">
        <v>85.16</v>
      </c>
    </row>
    <row r="9">
      <c r="A9" s="54" t="inlineStr">
        <is>
          <t>수주잔고 vs fyend %</t>
        </is>
      </c>
      <c r="B9" s="55" t="n">
        <v>49.3</v>
      </c>
    </row>
    <row r="10">
      <c r="A10" s="54" t="inlineStr">
        <is>
          <t>수주잔고 fy26 end calc</t>
        </is>
      </c>
      <c r="B10" s="55" t="n">
        <v>57.04</v>
      </c>
    </row>
    <row r="12">
      <c r="A12" s="52" t="inlineStr">
        <is>
          <t>this results · 2Q standalone</t>
        </is>
      </c>
      <c r="B12" s="52" t="n"/>
      <c r="C12" s="52" t="n"/>
      <c r="D12" s="52" t="n"/>
      <c r="E12" s="52" t="n"/>
      <c r="F12" s="52" t="n"/>
      <c r="G12" s="52" t="n"/>
    </row>
    <row r="13">
      <c r="A13" s="53" t="inlineStr">
        <is>
          <t>항목</t>
        </is>
      </c>
      <c r="B13" s="53" t="inlineStr">
        <is>
          <t>값</t>
        </is>
      </c>
      <c r="G13" s="53" t="inlineStr">
        <is>
          <t>출처</t>
        </is>
      </c>
    </row>
    <row r="14">
      <c r="A14" s="54" t="inlineStr">
        <is>
          <t>매출</t>
        </is>
      </c>
      <c r="B14" s="55" t="n">
        <v>23.9</v>
      </c>
      <c r="G14" s="56" t="inlineStr">
        <is>
          <t>2단계 보고서 자료(회사 설명회 자료·공시)</t>
        </is>
      </c>
    </row>
    <row r="15">
      <c r="A15" s="54" t="inlineStr">
        <is>
          <t>gp</t>
        </is>
      </c>
      <c r="B15" s="55" t="n">
        <v>13.1</v>
      </c>
    </row>
    <row r="16">
      <c r="A16" s="54" t="inlineStr">
        <is>
          <t>sga</t>
        </is>
      </c>
      <c r="B16" s="55" t="n">
        <v>5.4</v>
      </c>
    </row>
    <row r="17">
      <c r="A17" s="54" t="inlineStr">
        <is>
          <t>영업이익</t>
        </is>
      </c>
      <c r="B17" s="55" t="n">
        <v>7.7</v>
      </c>
    </row>
    <row r="18">
      <c r="A18" s="54" t="inlineStr">
        <is>
          <t>ordinary</t>
        </is>
      </c>
      <c r="B18" s="55" t="n">
        <v>7.8</v>
      </c>
    </row>
    <row r="19">
      <c r="A19" s="54" t="inlineStr">
        <is>
          <t>순이익</t>
        </is>
      </c>
      <c r="B19" s="55" t="n">
        <v>5.4</v>
      </c>
    </row>
    <row r="20">
      <c r="A20" s="54" t="inlineStr">
        <is>
          <t>EPS</t>
        </is>
      </c>
      <c r="B20" s="55" t="n">
        <v>37.71</v>
      </c>
    </row>
    <row r="22">
      <c r="A22" s="52" t="inlineStr">
        <is>
          <t>this results · 상반기 cum</t>
        </is>
      </c>
      <c r="B22" s="52" t="n"/>
      <c r="C22" s="52" t="n"/>
      <c r="D22" s="52" t="n"/>
      <c r="E22" s="52" t="n"/>
      <c r="F22" s="52" t="n"/>
      <c r="G22" s="52" t="n"/>
    </row>
    <row r="23">
      <c r="A23" s="53" t="inlineStr">
        <is>
          <t>항목</t>
        </is>
      </c>
      <c r="B23" s="53" t="inlineStr">
        <is>
          <t>값</t>
        </is>
      </c>
      <c r="G23" s="53" t="inlineStr">
        <is>
          <t>출처</t>
        </is>
      </c>
    </row>
    <row r="24">
      <c r="A24" s="54" t="inlineStr">
        <is>
          <t>매출</t>
        </is>
      </c>
      <c r="B24" s="55" t="n">
        <v>44.51</v>
      </c>
      <c r="G24" s="56" t="inlineStr">
        <is>
          <t>2단계 보고서 자료(회사 설명회 자료·공시)</t>
        </is>
      </c>
    </row>
    <row r="25">
      <c r="A25" s="54" t="inlineStr">
        <is>
          <t>YoY 매출</t>
        </is>
      </c>
      <c r="B25" s="55" t="n">
        <v>5.7</v>
      </c>
    </row>
    <row r="26">
      <c r="A26" s="54" t="inlineStr">
        <is>
          <t>cogs</t>
        </is>
      </c>
      <c r="B26" s="55" t="n">
        <v>21.41</v>
      </c>
    </row>
    <row r="27">
      <c r="A27" s="54" t="inlineStr">
        <is>
          <t>gp</t>
        </is>
      </c>
      <c r="B27" s="55" t="n">
        <v>23.1</v>
      </c>
    </row>
    <row r="28">
      <c r="A28" s="54" t="inlineStr">
        <is>
          <t>sga</t>
        </is>
      </c>
      <c r="B28" s="55" t="n">
        <v>10.44</v>
      </c>
    </row>
    <row r="29">
      <c r="A29" s="54" t="inlineStr">
        <is>
          <t>영업이익</t>
        </is>
      </c>
      <c r="B29" s="55" t="n">
        <v>12.66</v>
      </c>
    </row>
    <row r="30">
      <c r="A30" s="54" t="inlineStr">
        <is>
          <t>YoY 영업이익</t>
        </is>
      </c>
      <c r="B30" s="55" t="n">
        <v>59.9</v>
      </c>
    </row>
    <row r="31">
      <c r="A31" s="54" t="inlineStr">
        <is>
          <t>ordinary</t>
        </is>
      </c>
      <c r="B31" s="55" t="n">
        <v>13.03</v>
      </c>
    </row>
    <row r="32">
      <c r="A32" s="54" t="inlineStr">
        <is>
          <t>pbt</t>
        </is>
      </c>
      <c r="B32" s="55" t="n">
        <v>13.19</v>
      </c>
    </row>
    <row r="33">
      <c r="A33" s="54" t="inlineStr">
        <is>
          <t>tax</t>
        </is>
      </c>
      <c r="B33" s="55" t="n">
        <v>4.31</v>
      </c>
    </row>
    <row r="34">
      <c r="A34" s="54" t="inlineStr">
        <is>
          <t>순이익</t>
        </is>
      </c>
      <c r="B34" s="55" t="n">
        <v>8.880000000000001</v>
      </c>
    </row>
    <row r="35">
      <c r="A35" s="54" t="inlineStr">
        <is>
          <t>EPS</t>
        </is>
      </c>
      <c r="B35" s="55" t="n">
        <v>62.38</v>
      </c>
    </row>
    <row r="37">
      <c r="A37" s="52" t="inlineStr">
        <is>
          <t>this results · 상반기 가이던스 initial 2026 05 13</t>
        </is>
      </c>
      <c r="B37" s="52" t="n"/>
      <c r="C37" s="52" t="n"/>
      <c r="D37" s="52" t="n"/>
      <c r="E37" s="52" t="n"/>
      <c r="F37" s="52" t="n"/>
      <c r="G37" s="52" t="n"/>
    </row>
    <row r="38">
      <c r="A38" s="53" t="inlineStr">
        <is>
          <t>항목</t>
        </is>
      </c>
      <c r="B38" s="53" t="inlineStr">
        <is>
          <t>값</t>
        </is>
      </c>
      <c r="G38" s="53" t="inlineStr">
        <is>
          <t>출처</t>
        </is>
      </c>
    </row>
    <row r="39">
      <c r="A39" s="54" t="inlineStr">
        <is>
          <t>매출</t>
        </is>
      </c>
      <c r="B39" s="55" t="n">
        <v>41</v>
      </c>
      <c r="G39" s="56" t="inlineStr">
        <is>
          <t>2단계 보고서 자료(회사 설명회 자료·공시)</t>
        </is>
      </c>
    </row>
    <row r="40">
      <c r="A40" s="54" t="inlineStr">
        <is>
          <t>영업이익</t>
        </is>
      </c>
      <c r="B40" s="55" t="n">
        <v>9</v>
      </c>
    </row>
    <row r="41">
      <c r="A41" s="54" t="inlineStr">
        <is>
          <t>ordinary</t>
        </is>
      </c>
      <c r="B41" s="55" t="n">
        <v>9.300000000000001</v>
      </c>
    </row>
    <row r="42">
      <c r="A42" s="54" t="inlineStr">
        <is>
          <t>순이익</t>
        </is>
      </c>
      <c r="B42" s="55" t="n">
        <v>6.4</v>
      </c>
    </row>
    <row r="43">
      <c r="A43" s="54" t="inlineStr">
        <is>
          <t>EPS</t>
        </is>
      </c>
      <c r="B43" s="55" t="n">
        <v>44.95</v>
      </c>
    </row>
    <row r="45">
      <c r="A45" s="52" t="inlineStr">
        <is>
          <t>this results · 상반기 vs 가이던스 %</t>
        </is>
      </c>
      <c r="B45" s="52" t="n"/>
      <c r="C45" s="52" t="n"/>
      <c r="D45" s="52" t="n"/>
      <c r="E45" s="52" t="n"/>
      <c r="F45" s="52" t="n"/>
      <c r="G45" s="52" t="n"/>
    </row>
    <row r="46">
      <c r="A46" s="53" t="inlineStr">
        <is>
          <t>항목</t>
        </is>
      </c>
      <c r="B46" s="53" t="inlineStr">
        <is>
          <t>값</t>
        </is>
      </c>
      <c r="G46" s="53" t="inlineStr">
        <is>
          <t>출처</t>
        </is>
      </c>
    </row>
    <row r="47">
      <c r="A47" s="54" t="inlineStr">
        <is>
          <t>매출</t>
        </is>
      </c>
      <c r="B47" s="55" t="n">
        <v>8.6</v>
      </c>
      <c r="G47" s="56" t="inlineStr">
        <is>
          <t>2단계 보고서 자료(회사 설명회 자료·공시)</t>
        </is>
      </c>
    </row>
    <row r="48">
      <c r="A48" s="54" t="inlineStr">
        <is>
          <t>영업이익</t>
        </is>
      </c>
      <c r="B48" s="55" t="n">
        <v>40.7</v>
      </c>
    </row>
    <row r="49">
      <c r="A49" s="54" t="inlineStr">
        <is>
          <t>순이익</t>
        </is>
      </c>
      <c r="B49" s="55" t="n">
        <v>38.8</v>
      </c>
    </row>
    <row r="51">
      <c r="A51" s="52" t="inlineStr">
        <is>
          <t>this results · FY 가이던스</t>
        </is>
      </c>
      <c r="B51" s="52" t="n"/>
      <c r="C51" s="52" t="n"/>
      <c r="D51" s="52" t="n"/>
      <c r="E51" s="52" t="n"/>
      <c r="F51" s="52" t="n"/>
      <c r="G51" s="52" t="n"/>
    </row>
    <row r="52">
      <c r="A52" s="53" t="inlineStr">
        <is>
          <t>항목</t>
        </is>
      </c>
      <c r="B52" s="53" t="inlineStr">
        <is>
          <t>값</t>
        </is>
      </c>
      <c r="G52" s="53" t="inlineStr">
        <is>
          <t>출처</t>
        </is>
      </c>
    </row>
    <row r="53">
      <c r="A53" s="54" t="inlineStr">
        <is>
          <t>매출</t>
        </is>
      </c>
      <c r="B53" s="55" t="n">
        <v>100</v>
      </c>
      <c r="G53" s="56" t="inlineStr">
        <is>
          <t>2단계 보고서 자료(회사 설명회 자료·공시)</t>
        </is>
      </c>
    </row>
    <row r="54">
      <c r="A54" s="54" t="inlineStr">
        <is>
          <t>영업이익</t>
        </is>
      </c>
      <c r="B54" s="55" t="n">
        <v>25</v>
      </c>
    </row>
    <row r="55">
      <c r="A55" s="54" t="inlineStr">
        <is>
          <t>ordinary</t>
        </is>
      </c>
      <c r="B55" s="55" t="n">
        <v>25.6</v>
      </c>
    </row>
    <row r="56">
      <c r="A56" s="54" t="inlineStr">
        <is>
          <t>순이익</t>
        </is>
      </c>
      <c r="B56" s="55" t="n">
        <v>17.6</v>
      </c>
    </row>
    <row r="57">
      <c r="A57" s="54" t="inlineStr">
        <is>
          <t>EPS</t>
        </is>
      </c>
      <c r="B57" s="55" t="n">
        <v>123.62</v>
      </c>
    </row>
    <row r="58">
      <c r="A58" s="54" t="inlineStr">
        <is>
          <t>dps</t>
        </is>
      </c>
      <c r="B58" s="57" t="n">
        <v>10</v>
      </c>
    </row>
    <row r="59">
      <c r="A59" s="54" t="inlineStr">
        <is>
          <t>revised</t>
        </is>
      </c>
      <c r="B59" s="57" t="b">
        <v>0</v>
      </c>
    </row>
    <row r="61">
      <c r="A61" s="52" t="inlineStr">
        <is>
          <t>this results · implied 하반기</t>
        </is>
      </c>
      <c r="B61" s="52" t="n"/>
      <c r="C61" s="52" t="n"/>
      <c r="D61" s="52" t="n"/>
      <c r="E61" s="52" t="n"/>
      <c r="F61" s="52" t="n"/>
      <c r="G61" s="52" t="n"/>
    </row>
    <row r="62">
      <c r="A62" s="53" t="inlineStr">
        <is>
          <t>항목</t>
        </is>
      </c>
      <c r="B62" s="53" t="inlineStr">
        <is>
          <t>값</t>
        </is>
      </c>
      <c r="G62" s="53" t="inlineStr">
        <is>
          <t>출처</t>
        </is>
      </c>
    </row>
    <row r="63">
      <c r="A63" s="54" t="inlineStr">
        <is>
          <t>매출</t>
        </is>
      </c>
      <c r="B63" s="55" t="n">
        <v>55.49</v>
      </c>
      <c r="G63" s="56" t="inlineStr">
        <is>
          <t>2단계 보고서 자료(회사 설명회 자료·공시)</t>
        </is>
      </c>
    </row>
    <row r="64">
      <c r="A64" s="54" t="inlineStr">
        <is>
          <t>영업이익</t>
        </is>
      </c>
      <c r="B64" s="55" t="n">
        <v>12.34</v>
      </c>
    </row>
    <row r="66">
      <c r="A66" s="52" t="inlineStr">
        <is>
          <t>this results · 부문별 1Q 2027</t>
        </is>
      </c>
      <c r="B66" s="52" t="n"/>
      <c r="C66" s="52" t="n"/>
      <c r="D66" s="52" t="n"/>
      <c r="E66" s="52" t="n"/>
      <c r="F66" s="52" t="n"/>
      <c r="G66" s="52" t="n"/>
    </row>
    <row r="67">
      <c r="A67" s="53" t="inlineStr">
        <is>
          <t>항목</t>
        </is>
      </c>
      <c r="B67" s="53" t="inlineStr">
        <is>
          <t>값</t>
        </is>
      </c>
      <c r="G67" s="53" t="inlineStr">
        <is>
          <t>출처</t>
        </is>
      </c>
    </row>
    <row r="68">
      <c r="A68" s="54" t="inlineStr">
        <is>
          <t>기어·기어장치</t>
        </is>
      </c>
      <c r="B68" s="55" t="n">
        <v>15.3</v>
      </c>
      <c r="G68" s="56" t="inlineStr">
        <is>
          <t>2단계 보고서 자료(회사 설명회 자료·공시)</t>
        </is>
      </c>
    </row>
    <row r="69">
      <c r="A69" s="54" t="inlineStr">
        <is>
          <t>공사</t>
        </is>
      </c>
      <c r="B69" s="55" t="n">
        <v>5.3</v>
      </c>
    </row>
    <row r="71">
      <c r="A71" s="52" t="inlineStr">
        <is>
          <t>this results · 부문별 1Q 2026</t>
        </is>
      </c>
      <c r="B71" s="52" t="n"/>
      <c r="C71" s="52" t="n"/>
      <c r="D71" s="52" t="n"/>
      <c r="E71" s="52" t="n"/>
      <c r="F71" s="52" t="n"/>
      <c r="G71" s="52" t="n"/>
    </row>
    <row r="72">
      <c r="A72" s="53" t="inlineStr">
        <is>
          <t>항목</t>
        </is>
      </c>
      <c r="B72" s="53" t="inlineStr">
        <is>
          <t>값</t>
        </is>
      </c>
      <c r="G72" s="53" t="inlineStr">
        <is>
          <t>출처</t>
        </is>
      </c>
    </row>
    <row r="73">
      <c r="A73" s="54" t="inlineStr">
        <is>
          <t>기어·기어장치</t>
        </is>
      </c>
      <c r="B73" s="55" t="n">
        <v>15.8</v>
      </c>
      <c r="G73" s="56" t="inlineStr">
        <is>
          <t>2단계 보고서 자료(회사 설명회 자료·공시)</t>
        </is>
      </c>
    </row>
    <row r="74">
      <c r="A74" s="54" t="inlineStr">
        <is>
          <t>공사</t>
        </is>
      </c>
      <c r="B74" s="55" t="n">
        <v>4.9</v>
      </c>
    </row>
    <row r="76">
      <c r="A76" s="52" t="inlineStr">
        <is>
          <t>this results · 부문별 2Q standalone calc</t>
        </is>
      </c>
      <c r="B76" s="52" t="n"/>
      <c r="C76" s="52" t="n"/>
      <c r="D76" s="52" t="n"/>
      <c r="E76" s="52" t="n"/>
      <c r="F76" s="52" t="n"/>
      <c r="G76" s="52" t="n"/>
    </row>
    <row r="77">
      <c r="A77" s="53" t="inlineStr">
        <is>
          <t>항목</t>
        </is>
      </c>
      <c r="B77" s="53" t="inlineStr">
        <is>
          <t>값</t>
        </is>
      </c>
      <c r="G77" s="53" t="inlineStr">
        <is>
          <t>출처</t>
        </is>
      </c>
    </row>
    <row r="78">
      <c r="A78" s="54" t="inlineStr">
        <is>
          <t>기어·기어장치</t>
        </is>
      </c>
      <c r="B78" s="55" t="n">
        <v>19.4</v>
      </c>
      <c r="G78" s="56" t="inlineStr">
        <is>
          <t>2단계 보고서 자료(회사 설명회 자료·공시)</t>
        </is>
      </c>
    </row>
    <row r="79">
      <c r="A79" s="54" t="inlineStr">
        <is>
          <t>공사</t>
        </is>
      </c>
      <c r="B79" s="55" t="n">
        <v>4.5</v>
      </c>
    </row>
    <row r="80">
      <c r="A80" s="54" t="inlineStr">
        <is>
          <t>prev_기어</t>
        </is>
      </c>
      <c r="B80" s="55" t="n">
        <v>16.1</v>
      </c>
    </row>
    <row r="81">
      <c r="A81" s="54" t="inlineStr">
        <is>
          <t>prev_공사</t>
        </is>
      </c>
      <c r="B81" s="55" t="n">
        <v>5.4</v>
      </c>
    </row>
    <row r="83">
      <c r="A83" s="52" t="inlineStr">
        <is>
          <t>this results · nonop 상반기</t>
        </is>
      </c>
      <c r="B83" s="52" t="n"/>
      <c r="C83" s="52" t="n"/>
      <c r="D83" s="52" t="n"/>
      <c r="E83" s="52" t="n"/>
      <c r="F83" s="52" t="n"/>
      <c r="G83" s="52" t="n"/>
    </row>
    <row r="84">
      <c r="A84" s="53" t="inlineStr">
        <is>
          <t>항목</t>
        </is>
      </c>
      <c r="B84" s="53" t="inlineStr">
        <is>
          <t>값</t>
        </is>
      </c>
      <c r="G84" s="53" t="inlineStr">
        <is>
          <t>출처</t>
        </is>
      </c>
    </row>
    <row r="85">
      <c r="A85" s="54" t="inlineStr">
        <is>
          <t>이자수익</t>
        </is>
      </c>
      <c r="B85" s="55" t="n">
        <v>0.12</v>
      </c>
      <c r="G85" s="56" t="inlineStr">
        <is>
          <t>2단계 보고서 자료(회사 설명회 자료·공시)</t>
        </is>
      </c>
    </row>
    <row r="86">
      <c r="A86" s="54" t="inlineStr">
        <is>
          <t>배당수익</t>
        </is>
      </c>
      <c r="B86" s="55" t="n">
        <v>0.21</v>
      </c>
    </row>
    <row r="87">
      <c r="A87" s="54" t="inlineStr">
        <is>
          <t>기타수익</t>
        </is>
      </c>
      <c r="B87" s="55" t="n">
        <v>0.04</v>
      </c>
    </row>
    <row r="88">
      <c r="A88" s="54" t="inlineStr">
        <is>
          <t>영업외수익</t>
        </is>
      </c>
      <c r="B88" s="55" t="n">
        <v>0.375</v>
      </c>
    </row>
    <row r="89">
      <c r="A89" s="54" t="inlineStr">
        <is>
          <t>지급이자</t>
        </is>
      </c>
      <c r="B89" s="55" t="n">
        <v>0.004</v>
      </c>
    </row>
    <row r="90">
      <c r="A90" s="54" t="inlineStr">
        <is>
          <t>환차손</t>
        </is>
      </c>
      <c r="B90" s="55" t="n">
        <v>0.004</v>
      </c>
    </row>
    <row r="91">
      <c r="A91" s="54" t="inlineStr">
        <is>
          <t>영업외비용</t>
        </is>
      </c>
      <c r="B91" s="55" t="n">
        <v>0.01</v>
      </c>
    </row>
    <row r="92">
      <c r="A92" s="54" t="inlineStr">
        <is>
          <t>특별이익</t>
        </is>
      </c>
      <c r="B92" s="55" t="n">
        <v>0.159</v>
      </c>
    </row>
    <row r="93">
      <c r="A93" s="54" t="inlineStr">
        <is>
          <t>법인세</t>
        </is>
      </c>
      <c r="B93" s="55" t="n">
        <v>4.31</v>
      </c>
    </row>
    <row r="95">
      <c r="A95" s="52" t="inlineStr">
        <is>
          <t>this results · bs 2026 09</t>
        </is>
      </c>
      <c r="B95" s="52" t="n"/>
      <c r="C95" s="52" t="n"/>
      <c r="D95" s="52" t="n"/>
      <c r="E95" s="52" t="n"/>
      <c r="F95" s="52" t="n"/>
      <c r="G95" s="52" t="n"/>
    </row>
    <row r="96">
      <c r="A96" s="53" t="inlineStr">
        <is>
          <t>항목</t>
        </is>
      </c>
      <c r="B96" s="53" t="inlineStr">
        <is>
          <t>값</t>
        </is>
      </c>
      <c r="G96" s="53" t="inlineStr">
        <is>
          <t>출처</t>
        </is>
      </c>
    </row>
    <row r="97">
      <c r="A97" s="54" t="inlineStr">
        <is>
          <t>cash</t>
        </is>
      </c>
      <c r="B97" s="55" t="n">
        <v>77.18000000000001</v>
      </c>
      <c r="G97" s="56" t="inlineStr">
        <is>
          <t>2단계 보고서 자료(회사 설명회 자료·공시)</t>
        </is>
      </c>
    </row>
    <row r="98">
      <c r="A98" s="54" t="inlineStr">
        <is>
          <t>investment securities</t>
        </is>
      </c>
      <c r="B98" s="55" t="n">
        <v>19.2</v>
      </c>
    </row>
    <row r="99">
      <c r="A99" s="54" t="inlineStr">
        <is>
          <t>long deposit</t>
        </is>
      </c>
      <c r="B99" s="55" t="n">
        <v>3</v>
      </c>
    </row>
    <row r="100">
      <c r="A100" s="54" t="inlineStr">
        <is>
          <t>합계 assets</t>
        </is>
      </c>
      <c r="B100" s="55" t="n">
        <v>180.49</v>
      </c>
    </row>
    <row r="101">
      <c r="A101" s="54" t="inlineStr">
        <is>
          <t>equity</t>
        </is>
      </c>
      <c r="B101" s="55" t="n">
        <v>155.84</v>
      </c>
    </row>
    <row r="102">
      <c r="A102" s="54" t="inlineStr">
        <is>
          <t>equity ratio</t>
        </is>
      </c>
      <c r="B102" s="55" t="n">
        <v>86.3</v>
      </c>
    </row>
    <row r="103">
      <c r="A103" s="54" t="inlineStr">
        <is>
          <t>bps</t>
        </is>
      </c>
      <c r="B103" s="55" t="n">
        <v>1094.6</v>
      </c>
    </row>
    <row r="104">
      <c r="A104" s="54" t="inlineStr">
        <is>
          <t>lt debt incl current</t>
        </is>
      </c>
      <c r="B104" s="55" t="n">
        <v>0.53</v>
      </c>
    </row>
    <row r="105">
      <c r="A105" s="54" t="inlineStr">
        <is>
          <t>inventory</t>
        </is>
      </c>
      <c r="B105" s="55" t="n">
        <v>21.85</v>
      </c>
    </row>
    <row r="106">
      <c r="A106" s="54" t="inlineStr">
        <is>
          <t>contract liab</t>
        </is>
      </c>
      <c r="B106" s="55" t="n">
        <v>0.49</v>
      </c>
    </row>
    <row r="108">
      <c r="A108" s="52" t="inlineStr">
        <is>
          <t>this results · cf 상반기</t>
        </is>
      </c>
      <c r="B108" s="52" t="n"/>
      <c r="C108" s="52" t="n"/>
      <c r="D108" s="52" t="n"/>
      <c r="E108" s="52" t="n"/>
      <c r="F108" s="52" t="n"/>
      <c r="G108" s="52" t="n"/>
    </row>
    <row r="109">
      <c r="A109" s="53" t="inlineStr">
        <is>
          <t>항목</t>
        </is>
      </c>
      <c r="B109" s="53" t="inlineStr">
        <is>
          <t>값</t>
        </is>
      </c>
      <c r="G109" s="53" t="inlineStr">
        <is>
          <t>출처</t>
        </is>
      </c>
    </row>
    <row r="110">
      <c r="A110" s="54" t="inlineStr">
        <is>
          <t>ocf</t>
        </is>
      </c>
      <c r="B110" s="55" t="n">
        <v>17.91</v>
      </c>
      <c r="G110" s="56" t="inlineStr">
        <is>
          <t>2단계 보고서 자료(회사 설명회 자료·공시)</t>
        </is>
      </c>
    </row>
    <row r="111">
      <c r="A111" s="54" t="inlineStr">
        <is>
          <t>설비투자</t>
        </is>
      </c>
      <c r="B111" s="55" t="n">
        <v>0.85</v>
      </c>
    </row>
    <row r="112">
      <c r="A112" s="54" t="inlineStr">
        <is>
          <t>dividends</t>
        </is>
      </c>
      <c r="B112" s="55" t="n">
        <v>0.85</v>
      </c>
    </row>
    <row r="114">
      <c r="A114" s="52" t="inlineStr">
        <is>
          <t>this results · shares</t>
        </is>
      </c>
      <c r="B114" s="52" t="n"/>
      <c r="C114" s="52" t="n"/>
      <c r="D114" s="52" t="n"/>
      <c r="E114" s="52" t="n"/>
      <c r="F114" s="52" t="n"/>
      <c r="G114" s="52" t="n"/>
    </row>
    <row r="115">
      <c r="A115" s="53" t="inlineStr">
        <is>
          <t>항목</t>
        </is>
      </c>
      <c r="B115" s="53" t="inlineStr">
        <is>
          <t>값</t>
        </is>
      </c>
      <c r="G115" s="53" t="inlineStr">
        <is>
          <t>출처</t>
        </is>
      </c>
    </row>
    <row r="116">
      <c r="A116" s="54" t="inlineStr">
        <is>
          <t>issued</t>
        </is>
      </c>
      <c r="B116" s="57" t="n">
        <v>14280000</v>
      </c>
      <c r="G116" s="56" t="inlineStr">
        <is>
          <t>2단계 보고서 자료(회사 설명회 자료·공시)</t>
        </is>
      </c>
    </row>
    <row r="117">
      <c r="A117" s="54" t="inlineStr">
        <is>
          <t>treasury</t>
        </is>
      </c>
      <c r="B117" s="57" t="n">
        <v>43177</v>
      </c>
    </row>
    <row r="118">
      <c r="A118" s="54" t="inlineStr">
        <is>
          <t>outstanding</t>
        </is>
      </c>
      <c r="B118" s="57" t="n">
        <v>14236823</v>
      </c>
    </row>
    <row r="120">
      <c r="A120" s="52" t="inlineStr">
        <is>
          <t>fy26 results 2026 05 13</t>
        </is>
      </c>
      <c r="B120" s="52" t="n"/>
      <c r="C120" s="52" t="n"/>
      <c r="D120" s="52" t="n"/>
      <c r="E120" s="52" t="n"/>
      <c r="F120" s="52" t="n"/>
      <c r="G120" s="52" t="n"/>
    </row>
    <row r="121">
      <c r="A121" s="53" t="inlineStr">
        <is>
          <t>항목</t>
        </is>
      </c>
      <c r="B121" s="53" t="inlineStr">
        <is>
          <t>값</t>
        </is>
      </c>
      <c r="G121" s="53" t="inlineStr">
        <is>
          <t>출처</t>
        </is>
      </c>
    </row>
    <row r="122">
      <c r="A122" s="54" t="inlineStr">
        <is>
          <t>수주</t>
        </is>
      </c>
      <c r="B122" s="55" t="n">
        <v>109.84</v>
      </c>
      <c r="G122" s="56" t="inlineStr">
        <is>
          <t>2단계 보고서 자료(회사 설명회 자료·공시)</t>
        </is>
      </c>
    </row>
    <row r="123">
      <c r="A123" s="54" t="inlineStr">
        <is>
          <t>수주 YoY</t>
        </is>
      </c>
      <c r="B123" s="55" t="n">
        <v>14.5</v>
      </c>
    </row>
    <row r="124">
      <c r="A124" s="54" t="inlineStr">
        <is>
          <t>매출</t>
        </is>
      </c>
      <c r="B124" s="55" t="n">
        <v>98.83</v>
      </c>
    </row>
    <row r="125">
      <c r="A125" s="54" t="inlineStr">
        <is>
          <t>영업이익</t>
        </is>
      </c>
      <c r="B125" s="55" t="n">
        <v>24.57</v>
      </c>
    </row>
    <row r="126">
      <c r="A126" s="54" t="inlineStr">
        <is>
          <t>순이익</t>
        </is>
      </c>
      <c r="B126" s="55" t="n">
        <v>17.51</v>
      </c>
    </row>
    <row r="127">
      <c r="A127" s="54" t="inlineStr">
        <is>
          <t>EPS</t>
        </is>
      </c>
      <c r="B127" s="55" t="n">
        <v>123.01</v>
      </c>
    </row>
    <row r="128">
      <c r="A128" s="54" t="inlineStr">
        <is>
          <t>dps</t>
        </is>
      </c>
      <c r="B128" s="57" t="n">
        <v>10</v>
      </c>
    </row>
    <row r="130">
      <c r="A130" s="52" t="inlineStr">
        <is>
          <t>bs annual</t>
        </is>
      </c>
      <c r="B130" s="52" t="n"/>
      <c r="C130" s="52" t="n"/>
      <c r="D130" s="52" t="n"/>
      <c r="E130" s="52" t="n"/>
      <c r="F130" s="52" t="n"/>
      <c r="G130" s="52" t="n"/>
    </row>
    <row r="131">
      <c r="A131" s="53" t="inlineStr">
        <is>
          <t>항목</t>
        </is>
      </c>
      <c r="B131" s="53" t="inlineStr">
        <is>
          <t>2022</t>
        </is>
      </c>
      <c r="C131" s="53" t="inlineStr">
        <is>
          <t>2023</t>
        </is>
      </c>
      <c r="D131" s="53" t="inlineStr">
        <is>
          <t>2024</t>
        </is>
      </c>
      <c r="E131" s="53" t="inlineStr">
        <is>
          <t>2025</t>
        </is>
      </c>
      <c r="F131" s="53" t="inlineStr">
        <is>
          <t>2026</t>
        </is>
      </c>
      <c r="G131" s="53" t="inlineStr">
        <is>
          <t>출처</t>
        </is>
      </c>
    </row>
    <row r="132">
      <c r="A132" s="54" t="inlineStr">
        <is>
          <t>labels</t>
        </is>
      </c>
      <c r="B132" s="57" t="n">
        <v>2022</v>
      </c>
      <c r="C132" s="57" t="n">
        <v>2023</v>
      </c>
      <c r="D132" s="57" t="n">
        <v>2024</v>
      </c>
      <c r="E132" s="57" t="n">
        <v>2025</v>
      </c>
      <c r="F132" s="57" t="n">
        <v>2026</v>
      </c>
      <c r="G132" s="56" t="inlineStr">
        <is>
          <t>2단계 보고서 자료(회사 설명회 자료·공시)</t>
        </is>
      </c>
    </row>
    <row r="133">
      <c r="A133" s="54" t="inlineStr">
        <is>
          <t>current assets</t>
        </is>
      </c>
      <c r="B133" s="55" t="n">
        <v>81.7</v>
      </c>
      <c r="C133" s="55" t="n">
        <v>93.09999999999999</v>
      </c>
      <c r="D133" s="55" t="n">
        <v>108.3</v>
      </c>
      <c r="E133" s="55" t="n">
        <v>104.8</v>
      </c>
      <c r="F133" s="55" t="n">
        <v>119.9</v>
      </c>
    </row>
    <row r="134">
      <c r="A134" s="54" t="inlineStr">
        <is>
          <t>cash</t>
        </is>
      </c>
      <c r="B134" s="55" t="n">
        <v>35.3</v>
      </c>
      <c r="C134" s="55" t="n">
        <v>43</v>
      </c>
      <c r="D134" s="55" t="n">
        <v>44.8</v>
      </c>
      <c r="E134" s="55" t="n">
        <v>45</v>
      </c>
      <c r="F134" s="55" t="n">
        <v>61.3</v>
      </c>
    </row>
    <row r="135">
      <c r="A135" s="54" t="inlineStr">
        <is>
          <t>st fin</t>
        </is>
      </c>
      <c r="B135" s="58" t="n"/>
      <c r="C135" s="58" t="n"/>
      <c r="D135" s="58" t="n"/>
      <c r="E135" s="58" t="n"/>
      <c r="F135" s="58" t="n"/>
    </row>
    <row r="136">
      <c r="A136" s="54" t="inlineStr">
        <is>
          <t>receivables</t>
        </is>
      </c>
      <c r="B136" s="55" t="n">
        <v>28.7</v>
      </c>
      <c r="C136" s="55" t="n">
        <v>19.9</v>
      </c>
      <c r="D136" s="55" t="n">
        <v>22.6</v>
      </c>
      <c r="E136" s="55" t="n">
        <v>24.9</v>
      </c>
      <c r="F136" s="55" t="n">
        <v>24.6</v>
      </c>
    </row>
    <row r="137">
      <c r="A137" s="54" t="inlineStr">
        <is>
          <t>inventory</t>
        </is>
      </c>
      <c r="B137" s="55" t="n">
        <v>16.2</v>
      </c>
      <c r="C137" s="55" t="n">
        <v>19.4</v>
      </c>
      <c r="D137" s="55" t="n">
        <v>22.1</v>
      </c>
      <c r="E137" s="55" t="n">
        <v>21.8</v>
      </c>
      <c r="F137" s="55" t="n">
        <v>19.3</v>
      </c>
    </row>
    <row r="138">
      <c r="A138" s="54" t="inlineStr">
        <is>
          <t>noncurrent assets</t>
        </is>
      </c>
      <c r="B138" s="55" t="n">
        <v>32</v>
      </c>
      <c r="C138" s="55" t="n">
        <v>34.1</v>
      </c>
      <c r="D138" s="55" t="n">
        <v>38.5</v>
      </c>
      <c r="E138" s="55" t="n">
        <v>47.5</v>
      </c>
      <c r="F138" s="55" t="n">
        <v>52.1</v>
      </c>
    </row>
    <row r="139">
      <c r="A139" s="54" t="inlineStr">
        <is>
          <t>ppe</t>
        </is>
      </c>
      <c r="B139" s="55" t="n">
        <v>15.3</v>
      </c>
      <c r="C139" s="55" t="n">
        <v>16.2</v>
      </c>
      <c r="D139" s="55" t="n">
        <v>17.7</v>
      </c>
      <c r="E139" s="55" t="n">
        <v>20.6</v>
      </c>
      <c r="F139" s="55" t="n">
        <v>21.7</v>
      </c>
    </row>
    <row r="140">
      <c r="A140" s="54" t="inlineStr">
        <is>
          <t>intangibles</t>
        </is>
      </c>
      <c r="B140" s="55" t="n">
        <v>1.2</v>
      </c>
      <c r="C140" s="55" t="n">
        <v>1.2</v>
      </c>
      <c r="D140" s="55" t="n">
        <v>1.2</v>
      </c>
      <c r="E140" s="55" t="n">
        <v>1.8</v>
      </c>
      <c r="F140" s="55" t="n">
        <v>1.4</v>
      </c>
    </row>
    <row r="141">
      <c r="A141" s="54" t="inlineStr">
        <is>
          <t>inv property</t>
        </is>
      </c>
      <c r="B141" s="58" t="n"/>
      <c r="C141" s="58" t="n"/>
      <c r="D141" s="58" t="n"/>
      <c r="E141" s="58" t="n"/>
      <c r="F141" s="58" t="n"/>
    </row>
    <row r="142">
      <c r="A142" s="54" t="inlineStr">
        <is>
          <t>합계 assets</t>
        </is>
      </c>
      <c r="B142" s="55" t="n">
        <v>113.7</v>
      </c>
      <c r="C142" s="55" t="n">
        <v>127.2</v>
      </c>
      <c r="D142" s="55" t="n">
        <v>146.8</v>
      </c>
      <c r="E142" s="55" t="n">
        <v>152.3</v>
      </c>
      <c r="F142" s="55" t="n">
        <v>172</v>
      </c>
    </row>
    <row r="143">
      <c r="A143" s="54" t="inlineStr">
        <is>
          <t>current liab</t>
        </is>
      </c>
      <c r="B143" s="55" t="n">
        <v>17.1</v>
      </c>
      <c r="C143" s="55" t="n">
        <v>25.4</v>
      </c>
      <c r="D143" s="55" t="n">
        <v>28.8</v>
      </c>
      <c r="E143" s="55" t="n">
        <v>20.2</v>
      </c>
      <c r="F143" s="55" t="n">
        <v>20.2</v>
      </c>
    </row>
    <row r="144">
      <c r="A144" s="54" t="inlineStr">
        <is>
          <t>payables</t>
        </is>
      </c>
      <c r="B144" s="55" t="n">
        <v>3.5</v>
      </c>
      <c r="C144" s="55" t="n">
        <v>3.9</v>
      </c>
      <c r="D144" s="55" t="n">
        <v>4.8</v>
      </c>
      <c r="E144" s="55" t="n">
        <v>3.2</v>
      </c>
      <c r="F144" s="55" t="n">
        <v>2.8</v>
      </c>
    </row>
    <row r="145">
      <c r="A145" s="54" t="inlineStr">
        <is>
          <t>st debt</t>
        </is>
      </c>
      <c r="B145" s="58" t="n"/>
      <c r="C145" s="58" t="n"/>
      <c r="D145" s="58" t="n"/>
      <c r="E145" s="58" t="n"/>
      <c r="F145" s="58" t="n"/>
    </row>
    <row r="146">
      <c r="A146" s="54" t="inlineStr">
        <is>
          <t>noncurrent liab</t>
        </is>
      </c>
      <c r="B146" s="55" t="n">
        <v>8.6</v>
      </c>
      <c r="C146" s="55" t="n">
        <v>7.3</v>
      </c>
      <c r="D146" s="55" t="n">
        <v>7</v>
      </c>
      <c r="E146" s="55" t="n">
        <v>6.6</v>
      </c>
      <c r="F146" s="55" t="n">
        <v>7</v>
      </c>
    </row>
    <row r="147">
      <c r="A147" s="54" t="inlineStr">
        <is>
          <t>lt debt</t>
        </is>
      </c>
      <c r="B147" s="55" t="n">
        <v>5</v>
      </c>
      <c r="C147" s="55" t="n">
        <v>3.7</v>
      </c>
      <c r="D147" s="55" t="n">
        <v>2.2</v>
      </c>
      <c r="E147" s="55" t="n">
        <v>0.7</v>
      </c>
      <c r="F147" s="55" t="n">
        <v>0.3</v>
      </c>
    </row>
    <row r="148">
      <c r="A148" s="54" t="inlineStr">
        <is>
          <t>bonds</t>
        </is>
      </c>
      <c r="B148" s="58" t="n"/>
      <c r="C148" s="58" t="n"/>
      <c r="D148" s="58" t="n"/>
      <c r="E148" s="58" t="n"/>
      <c r="F148" s="58" t="n"/>
    </row>
    <row r="149">
      <c r="A149" s="54" t="inlineStr">
        <is>
          <t>합계 liab</t>
        </is>
      </c>
      <c r="B149" s="55" t="n">
        <v>25.7</v>
      </c>
      <c r="C149" s="55" t="n">
        <v>32.8</v>
      </c>
      <c r="D149" s="55" t="n">
        <v>35.8</v>
      </c>
      <c r="E149" s="55" t="n">
        <v>26.7</v>
      </c>
      <c r="F149" s="55" t="n">
        <v>27.2</v>
      </c>
    </row>
    <row r="150">
      <c r="A150" s="54" t="inlineStr">
        <is>
          <t>capital stock</t>
        </is>
      </c>
      <c r="B150" s="55" t="n">
        <v>13.9</v>
      </c>
      <c r="C150" s="55" t="n">
        <v>13.9</v>
      </c>
      <c r="D150" s="55" t="n">
        <v>13.9</v>
      </c>
      <c r="E150" s="55" t="n">
        <v>13.9</v>
      </c>
      <c r="F150" s="55" t="n">
        <v>13.9</v>
      </c>
    </row>
    <row r="151">
      <c r="A151" s="54" t="inlineStr">
        <is>
          <t>retained</t>
        </is>
      </c>
      <c r="B151" s="55" t="n">
        <v>63.4</v>
      </c>
      <c r="C151" s="55" t="n">
        <v>69.7</v>
      </c>
      <c r="D151" s="55" t="n">
        <v>84.09999999999999</v>
      </c>
      <c r="E151" s="55" t="n">
        <v>98.3</v>
      </c>
      <c r="F151" s="55" t="n">
        <v>114.7</v>
      </c>
    </row>
    <row r="152">
      <c r="A152" s="54" t="inlineStr">
        <is>
          <t>nci</t>
        </is>
      </c>
      <c r="B152" s="58" t="n"/>
      <c r="C152" s="58" t="n"/>
      <c r="D152" s="58" t="n"/>
      <c r="E152" s="58" t="n"/>
      <c r="F152" s="58" t="n"/>
    </row>
    <row r="153">
      <c r="A153" s="54" t="inlineStr">
        <is>
          <t>합계 equity</t>
        </is>
      </c>
      <c r="B153" s="55" t="n">
        <v>87.90000000000001</v>
      </c>
      <c r="C153" s="55" t="n">
        <v>94.40000000000001</v>
      </c>
      <c r="D153" s="55" t="n">
        <v>111</v>
      </c>
      <c r="E153" s="55" t="n">
        <v>125.6</v>
      </c>
      <c r="F153" s="55" t="n">
        <v>144.8</v>
      </c>
    </row>
    <row r="154">
      <c r="A154" s="54" t="inlineStr">
        <is>
          <t>current ltd</t>
        </is>
      </c>
      <c r="B154" s="55" t="n">
        <v>1.5</v>
      </c>
      <c r="C154" s="55" t="n">
        <v>1.4</v>
      </c>
      <c r="D154" s="55" t="n">
        <v>1.4</v>
      </c>
      <c r="E154" s="55" t="n">
        <v>0.4</v>
      </c>
      <c r="F154" s="55" t="n">
        <v>0.4</v>
      </c>
    </row>
    <row r="155">
      <c r="A155" s="54" t="inlineStr">
        <is>
          <t>equity owner</t>
        </is>
      </c>
      <c r="B155" s="55" t="n">
        <v>87.90000000000001</v>
      </c>
      <c r="C155" s="55" t="n">
        <v>94.40000000000001</v>
      </c>
      <c r="D155" s="55" t="n">
        <v>111</v>
      </c>
      <c r="E155" s="55" t="n">
        <v>125.6</v>
      </c>
      <c r="F155" s="55" t="n">
        <v>144.8</v>
      </c>
    </row>
    <row r="157">
      <c r="A157" s="52" t="inlineStr">
        <is>
          <t>cf annual</t>
        </is>
      </c>
      <c r="B157" s="52" t="n"/>
      <c r="C157" s="52" t="n"/>
      <c r="D157" s="52" t="n"/>
      <c r="E157" s="52" t="n"/>
      <c r="F157" s="52" t="n"/>
      <c r="G157" s="52" t="n"/>
    </row>
    <row r="158">
      <c r="A158" s="53" t="inlineStr">
        <is>
          <t>항목</t>
        </is>
      </c>
      <c r="B158" s="53" t="inlineStr">
        <is>
          <t>2022</t>
        </is>
      </c>
      <c r="C158" s="53" t="inlineStr">
        <is>
          <t>2023</t>
        </is>
      </c>
      <c r="D158" s="53" t="inlineStr">
        <is>
          <t>2024</t>
        </is>
      </c>
      <c r="E158" s="53" t="inlineStr">
        <is>
          <t>2025</t>
        </is>
      </c>
      <c r="F158" s="53" t="inlineStr">
        <is>
          <t>2026</t>
        </is>
      </c>
      <c r="G158" s="53" t="inlineStr">
        <is>
          <t>출처</t>
        </is>
      </c>
    </row>
    <row r="159">
      <c r="A159" s="54" t="inlineStr">
        <is>
          <t>labels</t>
        </is>
      </c>
      <c r="B159" s="57" t="n">
        <v>2022</v>
      </c>
      <c r="C159" s="57" t="n">
        <v>2023</v>
      </c>
      <c r="D159" s="57" t="n">
        <v>2024</v>
      </c>
      <c r="E159" s="57" t="n">
        <v>2025</v>
      </c>
      <c r="F159" s="57" t="n">
        <v>2026</v>
      </c>
      <c r="G159" s="56" t="inlineStr">
        <is>
          <t>2단계 보고서 자료(회사 설명회 자료·공시)</t>
        </is>
      </c>
    </row>
    <row r="160">
      <c r="A160" s="54" t="inlineStr">
        <is>
          <t>ocf</t>
        </is>
      </c>
      <c r="B160" s="55" t="n">
        <v>8</v>
      </c>
      <c r="C160" s="55" t="n">
        <v>12.7</v>
      </c>
      <c r="D160" s="55" t="n">
        <v>7.5</v>
      </c>
      <c r="E160" s="55" t="n">
        <v>13.1</v>
      </c>
      <c r="F160" s="55" t="n">
        <v>24.2</v>
      </c>
    </row>
    <row r="161">
      <c r="A161" s="54" t="inlineStr">
        <is>
          <t>설비투자</t>
        </is>
      </c>
      <c r="B161" s="55" t="n">
        <v>1</v>
      </c>
      <c r="C161" s="55" t="n">
        <v>3</v>
      </c>
      <c r="D161" s="55" t="n">
        <v>3.3</v>
      </c>
      <c r="E161" s="55" t="n">
        <v>6.1</v>
      </c>
      <c r="F161" s="55" t="n">
        <v>6.4</v>
      </c>
    </row>
    <row r="162">
      <c r="A162" s="54" t="inlineStr">
        <is>
          <t>dividends</t>
        </is>
      </c>
      <c r="B162" s="55" t="n">
        <v>0.6</v>
      </c>
      <c r="C162" s="55" t="n">
        <v>0.6</v>
      </c>
      <c r="D162" s="55" t="n">
        <v>1</v>
      </c>
      <c r="E162" s="55" t="n">
        <v>1.3</v>
      </c>
      <c r="F162" s="55" t="n">
        <v>1.1</v>
      </c>
    </row>
    <row r="164">
      <c r="A164" s="52" t="inlineStr">
        <is>
          <t>밸류에이션 now</t>
        </is>
      </c>
      <c r="B164" s="52" t="n"/>
      <c r="C164" s="52" t="n"/>
      <c r="D164" s="52" t="n"/>
      <c r="E164" s="52" t="n"/>
      <c r="F164" s="52" t="n"/>
      <c r="G164" s="52" t="n"/>
    </row>
    <row r="165">
      <c r="A165" s="53" t="inlineStr">
        <is>
          <t>항목</t>
        </is>
      </c>
      <c r="B165" s="53" t="inlineStr">
        <is>
          <t>값</t>
        </is>
      </c>
      <c r="G165" s="53" t="inlineStr">
        <is>
          <t>출처</t>
        </is>
      </c>
    </row>
    <row r="166">
      <c r="A166" s="54" t="inlineStr">
        <is>
          <t>가격</t>
        </is>
      </c>
      <c r="B166" s="57" t="n">
        <v>1180</v>
      </c>
      <c r="G166" s="56" t="inlineStr">
        <is>
          <t>2단계 보고서 자료(회사 설명회 자료·공시)</t>
        </is>
      </c>
    </row>
    <row r="167">
      <c r="A167" s="54" t="inlineStr">
        <is>
          <t>mcap oku</t>
        </is>
      </c>
      <c r="B167" s="55" t="n">
        <v>168</v>
      </c>
    </row>
    <row r="168">
      <c r="A168" s="54" t="inlineStr">
        <is>
          <t>PER 가이던스</t>
        </is>
      </c>
      <c r="B168" s="55" t="n">
        <v>9.550000000000001</v>
      </c>
    </row>
    <row r="169">
      <c r="A169" s="54" t="inlineStr">
        <is>
          <t>PBR</t>
        </is>
      </c>
      <c r="B169" s="55" t="n">
        <v>1.08</v>
      </c>
    </row>
    <row r="170">
      <c r="A170" s="54" t="inlineStr">
        <is>
          <t>div yield %</t>
        </is>
      </c>
      <c r="B170" s="55" t="n">
        <v>0.85</v>
      </c>
    </row>
    <row r="171">
      <c r="A171" s="54" t="inlineStr">
        <is>
          <t>net cash plus securities oku</t>
        </is>
      </c>
      <c r="B171" s="55" t="n">
        <v>98.90000000000001</v>
      </c>
    </row>
    <row r="173">
      <c r="A173" s="52" t="inlineStr">
        <is>
          <t>filings</t>
        </is>
      </c>
      <c r="B173" s="52" t="n"/>
      <c r="C173" s="52" t="n"/>
      <c r="D173" s="52" t="n"/>
      <c r="E173" s="52" t="n"/>
      <c r="F173" s="52" t="n"/>
      <c r="G173" s="52" t="n"/>
    </row>
    <row r="174">
      <c r="A174" s="53" t="inlineStr">
        <is>
          <t>항목</t>
        </is>
      </c>
      <c r="B174" s="53" t="inlineStr">
        <is>
          <t>title</t>
        </is>
      </c>
      <c r="C174" s="53" t="inlineStr">
        <is>
          <t>doc</t>
        </is>
      </c>
      <c r="G174" s="53" t="inlineStr">
        <is>
          <t>출처</t>
        </is>
      </c>
    </row>
    <row r="175">
      <c r="A175" s="54" t="inlineStr">
        <is>
          <t>2026-10-30</t>
        </is>
      </c>
      <c r="B175" s="58" t="inlineStr">
        <is>
          <t>2027年３月期第２四半期（中間期）決算短信［日本基準］（非連結）</t>
        </is>
      </c>
      <c r="C175" s="58" t="inlineStr">
        <is>
          <t>140120261030560412</t>
        </is>
      </c>
      <c r="G175" s="56" t="inlineStr">
        <is>
          <t>2단계 보고서 자료(회사 설명회 자료·공시)</t>
        </is>
      </c>
    </row>
    <row r="176">
      <c r="A176" s="54" t="inlineStr">
        <is>
          <t>2026-07-31</t>
        </is>
      </c>
      <c r="B176" s="58" t="inlineStr">
        <is>
          <t>2027年３月期　第１四半期決算短信［日本基準］（非連結）</t>
        </is>
      </c>
      <c r="C176" s="58" t="inlineStr">
        <is>
          <t>140120260731504891</t>
        </is>
      </c>
    </row>
    <row r="177">
      <c r="A177" s="54" t="inlineStr">
        <is>
          <t>2026-05-13</t>
        </is>
      </c>
      <c r="B177" s="58" t="inlineStr">
        <is>
          <t>2026年３月期　決算短信［日本基準］（非連結）</t>
        </is>
      </c>
      <c r="C177" s="58" t="inlineStr">
        <is>
          <t>140120260513528667</t>
        </is>
      </c>
    </row>
    <row r="178">
      <c r="A178" s="54" t="inlineStr">
        <is>
          <t>2026-01-29</t>
        </is>
      </c>
      <c r="B178" s="58" t="inlineStr">
        <is>
          <t>2026年３月期　第３四半期決算短信〔日本基準〕（非連結）</t>
        </is>
      </c>
      <c r="C178" s="58" t="inlineStr">
        <is>
          <t>140120260129540878</t>
        </is>
      </c>
    </row>
    <row r="179">
      <c r="A179" s="54" t="inlineStr">
        <is>
          <t>2025-10-31</t>
        </is>
      </c>
      <c r="B179" s="58" t="inlineStr">
        <is>
          <t>2026年３月期第２四半期（中間期）決算短信〔日本基準〕（非連結）</t>
        </is>
      </c>
      <c r="C179" s="58" t="inlineStr">
        <is>
          <t>140120251031584054</t>
        </is>
      </c>
    </row>
    <row r="180">
      <c r="A180" s="54" t="inlineStr">
        <is>
          <t>2025-07-31</t>
        </is>
      </c>
      <c r="B180" s="58" t="inlineStr">
        <is>
          <t>2026年３月期　第１四半期決算短信〔日本基準〕（非連結）</t>
        </is>
      </c>
      <c r="C180" s="58" t="inlineStr">
        <is>
          <t>140120250731525522</t>
        </is>
      </c>
    </row>
    <row r="181">
      <c r="A181" s="54" t="inlineStr">
        <is>
          <t>2025-05-13</t>
        </is>
      </c>
      <c r="B181" s="58" t="inlineStr">
        <is>
          <t>2025年３月期　決算短信〔日本基準〕（非連結）</t>
        </is>
      </c>
      <c r="C181" s="58" t="inlineStr">
        <is>
          <t>140120250513545186</t>
        </is>
      </c>
    </row>
    <row r="182">
      <c r="A182" s="54" t="inlineStr">
        <is>
          <t>2025-01-31</t>
        </is>
      </c>
      <c r="B182" s="58" t="inlineStr">
        <is>
          <t>2025年３月期　第３四半期決算短信〔日本基準〕（非連結）</t>
        </is>
      </c>
      <c r="C182" s="58" t="inlineStr">
        <is>
          <t>140120250131559716</t>
        </is>
      </c>
    </row>
    <row r="183">
      <c r="A183" s="54" t="inlineStr">
        <is>
          <t>2024-10-31</t>
        </is>
      </c>
      <c r="B183" s="58" t="inlineStr">
        <is>
          <t>2025年３月期　第２四半期（中間期）決算短信　〔日本基準〕（非連結）</t>
        </is>
      </c>
      <c r="C183" s="58" t="inlineStr">
        <is>
          <t>140120241031507017</t>
        </is>
      </c>
    </row>
    <row r="184">
      <c r="A184" s="54" t="inlineStr">
        <is>
          <t>2024-07-31</t>
        </is>
      </c>
      <c r="B184" s="58" t="inlineStr">
        <is>
          <t>2025年３月期　第１四半期決算短信〔日本基準〕（非連結）</t>
        </is>
      </c>
      <c r="C184" s="58" t="inlineStr">
        <is>
          <t>140120240731558843</t>
        </is>
      </c>
    </row>
    <row r="185">
      <c r="A185" s="54" t="inlineStr">
        <is>
          <t>2024-05-13</t>
        </is>
      </c>
      <c r="B185" s="58" t="inlineStr">
        <is>
          <t>2024年３月期　決算短信　〔日本基準〕（非連結）</t>
        </is>
      </c>
      <c r="C185" s="58" t="inlineStr">
        <is>
          <t>140120240513591085</t>
        </is>
      </c>
    </row>
    <row r="186">
      <c r="A186" s="54" t="inlineStr">
        <is>
          <t>2024-01-30</t>
        </is>
      </c>
      <c r="B186" s="58" t="inlineStr">
        <is>
          <t>2024年３月期第３四半期決算短信〔日本基準〕（非連結）</t>
        </is>
      </c>
      <c r="C186" s="58" t="inlineStr">
        <is>
          <t>140120240130521465</t>
        </is>
      </c>
    </row>
    <row r="187">
      <c r="A187" s="54" t="inlineStr">
        <is>
          <t>2023-10-30</t>
        </is>
      </c>
      <c r="B187" s="58" t="inlineStr">
        <is>
          <t>2024年３月期　第２四半期決算短信〔日本基準〕（非連結）</t>
        </is>
      </c>
      <c r="C187" s="58" t="inlineStr">
        <is>
          <t>140120231030574342</t>
        </is>
      </c>
    </row>
    <row r="188">
      <c r="A188" s="54" t="inlineStr">
        <is>
          <t>2023-07-31</t>
        </is>
      </c>
      <c r="B188" s="58" t="inlineStr">
        <is>
          <t>2024年3月期　第１四半期決算短信〔日本基準〕（非連結）</t>
        </is>
      </c>
      <c r="C188" s="58" t="inlineStr">
        <is>
          <t>140120230731530213</t>
        </is>
      </c>
    </row>
    <row r="189">
      <c r="A189" s="54" t="inlineStr">
        <is>
          <t>2023-05-12</t>
        </is>
      </c>
      <c r="B189" s="58" t="inlineStr">
        <is>
          <t>2023年3月期　決算短信　〔日本基準〕（非連結）</t>
        </is>
      </c>
      <c r="C189" s="58" t="inlineStr">
        <is>
          <t>140120230512568730</t>
        </is>
      </c>
    </row>
    <row r="190">
      <c r="A190" s="54" t="inlineStr">
        <is>
          <t>2023-01-30</t>
        </is>
      </c>
      <c r="B190" s="58" t="inlineStr">
        <is>
          <t>2023年３月期　第３四半期決算短信〔日本基準〕（非連結）</t>
        </is>
      </c>
      <c r="C190" s="58" t="inlineStr">
        <is>
          <t>140120230130595783</t>
        </is>
      </c>
    </row>
    <row r="191">
      <c r="A191" s="54" t="inlineStr">
        <is>
          <t>2022-05-13</t>
        </is>
      </c>
      <c r="B191" s="58" t="inlineStr">
        <is>
          <t>2022年3月期　決算短信　[日本基準]　（非連結）</t>
        </is>
      </c>
      <c r="C191" s="58" t="inlineStr">
        <is>
          <t>140120220513546033</t>
        </is>
      </c>
    </row>
    <row r="192">
      <c r="A192" s="54" t="inlineStr">
        <is>
          <t>2021-05-12</t>
        </is>
      </c>
      <c r="B192" s="58" t="inlineStr">
        <is>
          <t>2021年3月期　決算短信〔日本基準〕（非連結）</t>
        </is>
      </c>
      <c r="C192" s="58" t="inlineStr">
        <is>
          <t>140120210512412785</t>
        </is>
      </c>
    </row>
    <row r="193">
      <c r="A193" s="54" t="inlineStr">
        <is>
          <t>2020-05-11</t>
        </is>
      </c>
      <c r="B193" s="58" t="inlineStr">
        <is>
          <t>2020年3月期決算短信　［日本基準］（非連結）</t>
        </is>
      </c>
      <c r="C193" s="58" t="inlineStr">
        <is>
          <t>140120200511408282</t>
        </is>
      </c>
    </row>
    <row r="194">
      <c r="A194" s="54" t="inlineStr">
        <is>
          <t>2019-05-10</t>
        </is>
      </c>
      <c r="B194" s="58" t="inlineStr">
        <is>
          <t>2019年３月期決算短信〔日本基準〕（非連結）</t>
        </is>
      </c>
      <c r="C194" s="58" t="inlineStr">
        <is>
          <t>140120190510420384</t>
        </is>
      </c>
    </row>
    <row r="195">
      <c r="A195" s="54" t="inlineStr">
        <is>
          <t>2018-05-11</t>
        </is>
      </c>
      <c r="B195" s="58" t="inlineStr">
        <is>
          <t>平成30年３月期　決算短信〔日本基準〕（非連結）</t>
        </is>
      </c>
      <c r="C195" s="58" t="inlineStr">
        <is>
          <t>140120180510433458</t>
        </is>
      </c>
    </row>
    <row r="197">
      <c r="A197" s="52" t="inlineStr">
        <is>
          <t>reactions next day</t>
        </is>
      </c>
      <c r="B197" s="52" t="n"/>
      <c r="C197" s="52" t="n"/>
      <c r="D197" s="52" t="n"/>
      <c r="E197" s="52" t="n"/>
      <c r="F197" s="52" t="n"/>
      <c r="G197" s="52" t="n"/>
    </row>
    <row r="198">
      <c r="A198" s="53" t="inlineStr">
        <is>
          <t>항목</t>
        </is>
      </c>
      <c r="B198" s="53" t="inlineStr">
        <is>
          <t>기준일</t>
        </is>
      </c>
      <c r="C198" s="53" t="inlineStr">
        <is>
          <t>다음날</t>
        </is>
      </c>
      <c r="D198" s="53" t="inlineStr">
        <is>
          <t>등락%</t>
        </is>
      </c>
      <c r="G198" s="53" t="inlineStr">
        <is>
          <t>출처</t>
        </is>
      </c>
    </row>
    <row r="199">
      <c r="A199" s="54" t="inlineStr">
        <is>
          <t>2025-01-31</t>
        </is>
      </c>
      <c r="B199" s="58" t="inlineStr">
        <is>
          <t>2025-01-31</t>
        </is>
      </c>
      <c r="C199" s="58" t="inlineStr">
        <is>
          <t>2025-02-03</t>
        </is>
      </c>
      <c r="D199" s="55" t="n">
        <v>-2.1</v>
      </c>
      <c r="G199" s="56" t="inlineStr">
        <is>
          <t>2단계 보고서 자료(회사 설명회 자료·공시)</t>
        </is>
      </c>
    </row>
    <row r="200">
      <c r="A200" s="54" t="inlineStr">
        <is>
          <t>2025-05-13</t>
        </is>
      </c>
      <c r="B200" s="58" t="inlineStr">
        <is>
          <t>2025-05-13</t>
        </is>
      </c>
      <c r="C200" s="58" t="inlineStr">
        <is>
          <t>2025-05-14</t>
        </is>
      </c>
      <c r="D200" s="55" t="n">
        <v>3.2</v>
      </c>
    </row>
    <row r="201">
      <c r="A201" s="54" t="inlineStr">
        <is>
          <t>2025-07-31</t>
        </is>
      </c>
      <c r="B201" s="58" t="inlineStr">
        <is>
          <t>2025-07-31</t>
        </is>
      </c>
      <c r="C201" s="58" t="inlineStr">
        <is>
          <t>2025-08-01</t>
        </is>
      </c>
      <c r="D201" s="55" t="n">
        <v>1.9</v>
      </c>
    </row>
    <row r="202">
      <c r="A202" s="54" t="inlineStr">
        <is>
          <t>2025-10-31</t>
        </is>
      </c>
      <c r="B202" s="58" t="inlineStr">
        <is>
          <t>2025-10-31</t>
        </is>
      </c>
      <c r="C202" s="58" t="inlineStr">
        <is>
          <t>2025-11-04</t>
        </is>
      </c>
      <c r="D202" s="55" t="n">
        <v>-5.8</v>
      </c>
    </row>
    <row r="203">
      <c r="A203" s="54" t="inlineStr">
        <is>
          <t>2026-01-29</t>
        </is>
      </c>
      <c r="B203" s="58" t="inlineStr">
        <is>
          <t>2026-01-29</t>
        </is>
      </c>
      <c r="C203" s="58" t="inlineStr">
        <is>
          <t>2026-01-30</t>
        </is>
      </c>
      <c r="D203" s="55" t="n">
        <v>2.5</v>
      </c>
    </row>
    <row r="204">
      <c r="A204" s="54" t="inlineStr">
        <is>
          <t>2026-05-13</t>
        </is>
      </c>
      <c r="B204" s="58" t="inlineStr">
        <is>
          <t>2026-05-13</t>
        </is>
      </c>
      <c r="C204" s="58" t="inlineStr">
        <is>
          <t>2026-05-14</t>
        </is>
      </c>
      <c r="D204" s="55" t="n">
        <v>2.5</v>
      </c>
    </row>
    <row r="205">
      <c r="A205" s="54" t="inlineStr">
        <is>
          <t>2026-07-31</t>
        </is>
      </c>
      <c r="B205" s="58" t="inlineStr">
        <is>
          <t>2026-07-31</t>
        </is>
      </c>
      <c r="C205" s="58" t="inlineStr">
        <is>
          <t>2026-08-03</t>
        </is>
      </c>
      <c r="D205" s="55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２분기 결산단신</t>
        </is>
      </c>
      <c r="C4" t="inlineStr">
        <is>
          <t>https://www2.jpx.co.jp/disc/63560/140120261030560412.pdf</t>
        </is>
      </c>
    </row>
    <row r="5">
      <c r="A5" t="inlineStr">
        <is>
          <t>2026-07-31</t>
        </is>
      </c>
      <c r="B5" t="inlineStr">
        <is>
          <t>2027년 3월 결산기 １분기 결산단신</t>
        </is>
      </c>
      <c r="C5" t="inlineStr">
        <is>
          <t>https://www2.jpx.co.jp/disc/63560/140120260731504891.pdf</t>
        </is>
      </c>
    </row>
    <row r="6">
      <c r="A6" t="inlineStr">
        <is>
          <t>2026-05-13</t>
        </is>
      </c>
      <c r="B6" t="inlineStr">
        <is>
          <t>2026년 3월 결산기 연간 결산단신</t>
        </is>
      </c>
      <c r="C6" t="inlineStr">
        <is>
          <t>https://www2.jpx.co.jp/disc/63560/140120260513528667.pdf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https://www2.jpx.co.jp/disc/63560/140120260129540878.pdf</t>
        </is>
      </c>
    </row>
    <row r="8">
      <c r="A8" t="inlineStr">
        <is>
          <t>2025-10-31</t>
        </is>
      </c>
      <c r="B8" t="inlineStr">
        <is>
          <t>2026년 3월 결산기 ２분기 결산단신</t>
        </is>
      </c>
      <c r="C8" t="inlineStr">
        <is>
          <t>https://www2.jpx.co.jp/disc/63560/140120251031584054.pdf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https://www2.jpx.co.jp/disc/63560/140120250731525522.pdf</t>
        </is>
      </c>
    </row>
    <row r="10">
      <c r="A10" t="inlineStr">
        <is>
          <t>2025-05-13</t>
        </is>
      </c>
      <c r="B10" t="inlineStr">
        <is>
          <t>2025년 3월 결산기 연간 결산단신</t>
        </is>
      </c>
      <c r="C10" t="inlineStr">
        <is>
          <t>https://www2.jpx.co.jp/disc/63560/140120250513545186.pdf</t>
        </is>
      </c>
    </row>
    <row r="11">
      <c r="A11" t="inlineStr">
        <is>
          <t>2025-01-31</t>
        </is>
      </c>
      <c r="B11" t="inlineStr">
        <is>
          <t>2025년 3월 결산기 ３분기 결산단신</t>
        </is>
      </c>
      <c r="C11" t="inlineStr">
        <is>
          <t>https://www2.jpx.co.jp/disc/63560/140120250131559716.pdf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https://www2.jpx.co.jp/disc/63560/140120241031507017.pdf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https://www2.jpx.co.jp/disc/63560/140120240731558843.pdf</t>
        </is>
      </c>
    </row>
    <row r="14">
      <c r="A14" t="inlineStr">
        <is>
          <t>2024-05-13</t>
        </is>
      </c>
      <c r="B14" t="inlineStr">
        <is>
          <t>2024년 3월 결산기 연간 결산단신</t>
        </is>
      </c>
      <c r="C14" t="inlineStr">
        <is>
          <t>https://www2.jpx.co.jp/disc/63560/140120240513591085.pdf</t>
        </is>
      </c>
    </row>
    <row r="15">
      <c r="A15" t="inlineStr">
        <is>
          <t>2024-01-30</t>
        </is>
      </c>
      <c r="B15" t="inlineStr">
        <is>
          <t>2024년 3월 결산기 ３분기 결산단신</t>
        </is>
      </c>
      <c r="C15" t="inlineStr">
        <is>
          <t>https://www2.jpx.co.jp/disc/63560/140120240130521465.pdf</t>
        </is>
      </c>
    </row>
    <row r="16">
      <c r="A16" t="inlineStr">
        <is>
          <t>2023-10-30</t>
        </is>
      </c>
      <c r="B16" t="inlineStr">
        <is>
          <t>2024년 3월 결산기 ２분기 결산단신</t>
        </is>
      </c>
      <c r="C16" t="inlineStr">
        <is>
          <t>https://www2.jpx.co.jp/disc/63560/140120231030574342.pdf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https://www2.jpx.co.jp/disc/63560/140120230731530213.pdf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https://www2.jpx.co.jp/disc/63560/140120230512568730.pdf</t>
        </is>
      </c>
    </row>
    <row r="19">
      <c r="A19" t="inlineStr">
        <is>
          <t>2023-01-30</t>
        </is>
      </c>
      <c r="B19" t="inlineStr">
        <is>
          <t>2023년 3월 결산기 ３분기 결산단신</t>
        </is>
      </c>
      <c r="C19" t="inlineStr">
        <is>
          <t>https://www2.jpx.co.jp/disc/63560/140120230130595783.pdf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https://www2.jpx.co.jp/disc/63560/140120220513546033.pdf</t>
        </is>
      </c>
    </row>
    <row r="21">
      <c r="A21" t="inlineStr">
        <is>
          <t>2021-05-12</t>
        </is>
      </c>
      <c r="B21" t="inlineStr">
        <is>
          <t>2021년 3월 결산기 연간 결산단신</t>
        </is>
      </c>
      <c r="C21" t="inlineStr">
        <is>
          <t>https://www2.jpx.co.jp/disc/63560/140120210512412785.pdf</t>
        </is>
      </c>
    </row>
    <row r="22">
      <c r="A22" t="inlineStr">
        <is>
          <t>2020-05-11</t>
        </is>
      </c>
      <c r="B22" t="inlineStr">
        <is>
          <t>2020년 3월 결산기 연간 결산단신</t>
        </is>
      </c>
      <c r="C22" t="inlineStr">
        <is>
          <t>https://www2.jpx.co.jp/disc/63560/140120200511408282.pdf</t>
        </is>
      </c>
    </row>
    <row r="23">
      <c r="A23" t="inlineStr">
        <is>
          <t>2019-05-10</t>
        </is>
      </c>
      <c r="B23" t="inlineStr">
        <is>
          <t>2019년 3월 결산기 연간 결산단신</t>
        </is>
      </c>
      <c r="C23" t="inlineStr">
        <is>
          <t>https://www2.jpx.co.jp/disc/63560/140120190510420384.pdf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https://www2.jpx.co.jp/disc/63560/140120180510433458.pdf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6356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36건(2018-01-31~2026-10-30).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24.7</v>
      </c>
      <c r="D5" s="65" t="n">
        <v>17</v>
      </c>
      <c r="E5" s="65" t="n">
        <v>15.2</v>
      </c>
      <c r="F5" s="65" t="n">
        <v>20.5</v>
      </c>
      <c r="G5" s="65" t="n">
        <v>21.2</v>
      </c>
      <c r="H5" s="65" t="n">
        <v>14.3</v>
      </c>
      <c r="I5" s="65" t="n">
        <v>17.1</v>
      </c>
      <c r="J5" s="65" t="n">
        <v>20.1</v>
      </c>
      <c r="K5" s="65" t="n">
        <v>22.3</v>
      </c>
      <c r="L5" s="65" t="n">
        <v>16.8</v>
      </c>
      <c r="M5" s="65" t="n">
        <v>18.7</v>
      </c>
      <c r="N5" s="65" t="n">
        <v>18.8</v>
      </c>
      <c r="O5" s="65" t="n">
        <v>21.6</v>
      </c>
      <c r="P5" s="65" t="n">
        <v>18.8</v>
      </c>
      <c r="Q5" s="65" t="n">
        <v>18.7</v>
      </c>
      <c r="R5" s="65" t="n">
        <v>19.1</v>
      </c>
      <c r="S5" s="65" t="n">
        <v>20.6</v>
      </c>
      <c r="T5" s="65" t="n">
        <v>15.7</v>
      </c>
      <c r="U5" s="65" t="n">
        <v>17.9</v>
      </c>
      <c r="V5" s="65" t="n">
        <v>18.6</v>
      </c>
      <c r="W5" s="65" t="n">
        <v>23.5</v>
      </c>
      <c r="X5" s="65" t="n">
        <v>16.5</v>
      </c>
      <c r="Y5" s="65" t="n">
        <v>15.3</v>
      </c>
      <c r="Z5" s="65" t="n">
        <v>21.4</v>
      </c>
      <c r="AA5" s="65" t="n">
        <v>22</v>
      </c>
      <c r="AB5" s="65" t="n">
        <v>21.6</v>
      </c>
      <c r="AC5" s="65" t="n">
        <v>20.1</v>
      </c>
      <c r="AD5" s="65" t="n">
        <v>28.4</v>
      </c>
      <c r="AE5" s="65" t="n">
        <v>26.2</v>
      </c>
      <c r="AF5" s="65" t="n">
        <v>21.1</v>
      </c>
      <c r="AG5" s="65" t="n">
        <v>21.3</v>
      </c>
      <c r="AH5" s="65" t="n">
        <v>25.4</v>
      </c>
      <c r="AI5" s="65" t="n">
        <v>27.8</v>
      </c>
      <c r="AJ5" s="65" t="n">
        <v>20.7</v>
      </c>
      <c r="AK5" s="65" t="n">
        <v>21.4</v>
      </c>
      <c r="AL5" s="65" t="n">
        <v>24.9</v>
      </c>
      <c r="AM5" s="65" t="n">
        <v>31.8</v>
      </c>
      <c r="AN5" s="65" t="n">
        <v>20.6</v>
      </c>
      <c r="AO5" s="65" t="n">
        <v>23.9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-14.2</v>
      </c>
      <c r="H6" s="66" t="n">
        <v>-15.9</v>
      </c>
      <c r="I6" s="66" t="n">
        <v>12.5</v>
      </c>
      <c r="J6" s="66" t="n">
        <v>-2</v>
      </c>
      <c r="K6" s="66" t="n">
        <v>5.2</v>
      </c>
      <c r="L6" s="66" t="n">
        <v>17.5</v>
      </c>
      <c r="M6" s="66" t="n">
        <v>9.4</v>
      </c>
      <c r="N6" s="66" t="n">
        <v>-6.5</v>
      </c>
      <c r="O6" s="66" t="n">
        <v>-3.1</v>
      </c>
      <c r="P6" s="66" t="n">
        <v>11.9</v>
      </c>
      <c r="Q6" s="66" t="n">
        <v>0</v>
      </c>
      <c r="R6" s="66" t="n">
        <v>1.6</v>
      </c>
      <c r="S6" s="66" t="n">
        <v>-4.6</v>
      </c>
      <c r="T6" s="66" t="n">
        <v>-16.5</v>
      </c>
      <c r="U6" s="66" t="n">
        <v>-4.3</v>
      </c>
      <c r="V6" s="66" t="n">
        <v>-2.6</v>
      </c>
      <c r="W6" s="66" t="n">
        <v>14.1</v>
      </c>
      <c r="X6" s="66" t="n">
        <v>5.1</v>
      </c>
      <c r="Y6" s="66" t="n">
        <v>-14.5</v>
      </c>
      <c r="Z6" s="66" t="n">
        <v>15.1</v>
      </c>
      <c r="AA6" s="66" t="n">
        <v>-6.4</v>
      </c>
      <c r="AB6" s="66" t="n">
        <v>30.9</v>
      </c>
      <c r="AC6" s="66" t="n">
        <v>31.4</v>
      </c>
      <c r="AD6" s="66" t="n">
        <v>32.7</v>
      </c>
      <c r="AE6" s="66" t="n">
        <v>19.1</v>
      </c>
      <c r="AF6" s="66" t="n">
        <v>-2.3</v>
      </c>
      <c r="AG6" s="66" t="n">
        <v>6</v>
      </c>
      <c r="AH6" s="66" t="n">
        <v>-10.6</v>
      </c>
      <c r="AI6" s="66" t="n">
        <v>6.1</v>
      </c>
      <c r="AJ6" s="66" t="n">
        <v>-1.9</v>
      </c>
      <c r="AK6" s="66" t="n">
        <v>0.5</v>
      </c>
      <c r="AL6" s="66" t="n">
        <v>-2</v>
      </c>
      <c r="AM6" s="66" t="n">
        <v>14.4</v>
      </c>
      <c r="AN6" s="66" t="n">
        <v>-0.5</v>
      </c>
      <c r="AO6" s="66" t="n">
        <v>11.7</v>
      </c>
    </row>
    <row r="7">
      <c r="A7" s="64" t="inlineStr">
        <is>
          <t>영업이익</t>
        </is>
      </c>
      <c r="B7" s="65" t="n"/>
      <c r="C7" s="65" t="n">
        <v>3.4</v>
      </c>
      <c r="D7" s="65" t="n">
        <v>0.3</v>
      </c>
      <c r="E7" s="65" t="n">
        <v>-1</v>
      </c>
      <c r="F7" s="65" t="n">
        <v>1.7</v>
      </c>
      <c r="G7" s="65" t="n">
        <v>1.9</v>
      </c>
      <c r="H7" s="65" t="n">
        <v>0.3</v>
      </c>
      <c r="I7" s="65" t="n">
        <v>-0.8</v>
      </c>
      <c r="J7" s="65" t="n">
        <v>2.5</v>
      </c>
      <c r="K7" s="65" t="n">
        <v>2.6</v>
      </c>
      <c r="L7" s="65" t="n">
        <v>0.8</v>
      </c>
      <c r="M7" s="65" t="n">
        <v>0.1</v>
      </c>
      <c r="N7" s="65" t="n">
        <v>2.4</v>
      </c>
      <c r="O7" s="65" t="n">
        <v>2.4</v>
      </c>
      <c r="P7" s="65" t="n">
        <v>1.9</v>
      </c>
      <c r="Q7" s="65" t="n">
        <v>0.7</v>
      </c>
      <c r="R7" s="65" t="n">
        <v>1.2</v>
      </c>
      <c r="S7" s="65" t="n">
        <v>0.3</v>
      </c>
      <c r="T7" s="65" t="n">
        <v>-1</v>
      </c>
      <c r="U7" s="65" t="n">
        <v>-0.7</v>
      </c>
      <c r="V7" s="65" t="n">
        <v>-0.8</v>
      </c>
      <c r="W7" s="65" t="n">
        <v>3.8</v>
      </c>
      <c r="X7" s="65" t="n">
        <v>2.1</v>
      </c>
      <c r="Y7" s="65" t="n">
        <v>0</v>
      </c>
      <c r="Z7" s="65" t="n">
        <v>4.4</v>
      </c>
      <c r="AA7" s="65" t="n">
        <v>3</v>
      </c>
      <c r="AB7" s="65" t="n">
        <v>4.5</v>
      </c>
      <c r="AC7" s="65" t="n">
        <v>3.6</v>
      </c>
      <c r="AD7" s="65" t="n">
        <v>8.300000000000001</v>
      </c>
      <c r="AE7" s="65" t="n">
        <v>5</v>
      </c>
      <c r="AF7" s="65" t="n">
        <v>5.2</v>
      </c>
      <c r="AG7" s="65" t="n">
        <v>3.7</v>
      </c>
      <c r="AH7" s="65" t="n">
        <v>6.4</v>
      </c>
      <c r="AI7" s="65" t="n">
        <v>5.7</v>
      </c>
      <c r="AJ7" s="65" t="n">
        <v>3.8</v>
      </c>
      <c r="AK7" s="65" t="n">
        <v>4.1</v>
      </c>
      <c r="AL7" s="65" t="n">
        <v>6.5</v>
      </c>
      <c r="AM7" s="65" t="n">
        <v>10.2</v>
      </c>
      <c r="AN7" s="65" t="n">
        <v>5</v>
      </c>
      <c r="AO7" s="65" t="n">
        <v>7.7</v>
      </c>
    </row>
    <row r="8">
      <c r="A8" s="64" t="inlineStr">
        <is>
          <t>영업이익률</t>
        </is>
      </c>
      <c r="B8" s="66" t="n"/>
      <c r="C8" s="66" t="n">
        <v>13.8</v>
      </c>
      <c r="D8" s="66" t="n">
        <v>1.8</v>
      </c>
      <c r="E8" s="66" t="n">
        <v>-6.6</v>
      </c>
      <c r="F8" s="66" t="n">
        <v>8.300000000000001</v>
      </c>
      <c r="G8" s="66" t="n">
        <v>9</v>
      </c>
      <c r="H8" s="66" t="n">
        <v>2.1</v>
      </c>
      <c r="I8" s="66" t="n">
        <v>-4.7</v>
      </c>
      <c r="J8" s="66" t="n">
        <v>12.4</v>
      </c>
      <c r="K8" s="66" t="n">
        <v>11.7</v>
      </c>
      <c r="L8" s="66" t="n">
        <v>4.8</v>
      </c>
      <c r="M8" s="66" t="n">
        <v>0.5</v>
      </c>
      <c r="N8" s="66" t="n">
        <v>12.8</v>
      </c>
      <c r="O8" s="66" t="n">
        <v>11.1</v>
      </c>
      <c r="P8" s="66" t="n">
        <v>10.1</v>
      </c>
      <c r="Q8" s="66" t="n">
        <v>3.7</v>
      </c>
      <c r="R8" s="66" t="n">
        <v>6.3</v>
      </c>
      <c r="S8" s="66" t="n">
        <v>1.5</v>
      </c>
      <c r="T8" s="66" t="n">
        <v>-6.4</v>
      </c>
      <c r="U8" s="66" t="n">
        <v>-3.9</v>
      </c>
      <c r="V8" s="66" t="n">
        <v>-4.3</v>
      </c>
      <c r="W8" s="66" t="n">
        <v>16.2</v>
      </c>
      <c r="X8" s="66" t="n">
        <v>12.7</v>
      </c>
      <c r="Y8" s="66" t="n">
        <v>0</v>
      </c>
      <c r="Z8" s="66" t="n">
        <v>20.6</v>
      </c>
      <c r="AA8" s="66" t="n">
        <v>13.6</v>
      </c>
      <c r="AB8" s="66" t="n">
        <v>20.8</v>
      </c>
      <c r="AC8" s="66" t="n">
        <v>17.9</v>
      </c>
      <c r="AD8" s="66" t="n">
        <v>29.2</v>
      </c>
      <c r="AE8" s="66" t="n">
        <v>19.1</v>
      </c>
      <c r="AF8" s="66" t="n">
        <v>24.6</v>
      </c>
      <c r="AG8" s="66" t="n">
        <v>17.4</v>
      </c>
      <c r="AH8" s="66" t="n">
        <v>25.2</v>
      </c>
      <c r="AI8" s="66" t="n">
        <v>20.5</v>
      </c>
      <c r="AJ8" s="66" t="n">
        <v>18.4</v>
      </c>
      <c r="AK8" s="66" t="n">
        <v>19.2</v>
      </c>
      <c r="AL8" s="66" t="n">
        <v>26.1</v>
      </c>
      <c r="AM8" s="66" t="n">
        <v>32.1</v>
      </c>
      <c r="AN8" s="66" t="n">
        <v>24.3</v>
      </c>
      <c r="AO8" s="66" t="n">
        <v>32.2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-44.1</v>
      </c>
      <c r="H9" s="66" t="n">
        <v>0</v>
      </c>
      <c r="I9" s="66" t="n"/>
      <c r="J9" s="66" t="n">
        <v>47.1</v>
      </c>
      <c r="K9" s="66" t="n">
        <v>36.8</v>
      </c>
      <c r="L9" s="66" t="n">
        <v>166.7</v>
      </c>
      <c r="M9" s="66" t="n"/>
      <c r="N9" s="66" t="n">
        <v>-4</v>
      </c>
      <c r="O9" s="66" t="n">
        <v>-7.7</v>
      </c>
      <c r="P9" s="66" t="n">
        <v>137.5</v>
      </c>
      <c r="Q9" s="66" t="n">
        <v>600</v>
      </c>
      <c r="R9" s="66" t="n">
        <v>-50</v>
      </c>
      <c r="S9" s="66" t="n">
        <v>-87.5</v>
      </c>
      <c r="T9" s="66" t="n">
        <v>-152.6</v>
      </c>
      <c r="U9" s="66" t="n">
        <v>-200</v>
      </c>
      <c r="V9" s="66" t="n">
        <v>-166.7</v>
      </c>
      <c r="W9" s="66" t="n">
        <v>1166.7</v>
      </c>
      <c r="X9" s="66" t="n"/>
      <c r="Y9" s="66" t="n"/>
      <c r="Z9" s="66" t="n"/>
      <c r="AA9" s="66" t="n">
        <v>-21.1</v>
      </c>
      <c r="AB9" s="66" t="n">
        <v>114.3</v>
      </c>
      <c r="AC9" s="66" t="n"/>
      <c r="AD9" s="66" t="n">
        <v>88.59999999999999</v>
      </c>
      <c r="AE9" s="66" t="n">
        <v>66.7</v>
      </c>
      <c r="AF9" s="66" t="n">
        <v>15.6</v>
      </c>
      <c r="AG9" s="66" t="n">
        <v>2.8</v>
      </c>
      <c r="AH9" s="66" t="n">
        <v>-22.9</v>
      </c>
      <c r="AI9" s="66" t="n">
        <v>14</v>
      </c>
      <c r="AJ9" s="66" t="n">
        <v>-26.9</v>
      </c>
      <c r="AK9" s="66" t="n">
        <v>10.8</v>
      </c>
      <c r="AL9" s="66" t="n">
        <v>1.6</v>
      </c>
      <c r="AM9" s="66" t="n">
        <v>78.90000000000001</v>
      </c>
      <c r="AN9" s="66" t="n">
        <v>31.6</v>
      </c>
      <c r="AO9" s="66" t="n">
        <v>87.8</v>
      </c>
    </row>
    <row r="10">
      <c r="A10" s="64" t="inlineStr">
        <is>
          <t>유동자산</t>
        </is>
      </c>
      <c r="B10" s="65" t="n"/>
      <c r="C10" s="65" t="n">
        <v>81.2</v>
      </c>
      <c r="D10" s="65" t="n"/>
      <c r="E10" s="65" t="n"/>
      <c r="F10" s="65" t="n">
        <v>71.90000000000001</v>
      </c>
      <c r="G10" s="65" t="n">
        <v>73.3</v>
      </c>
      <c r="H10" s="65" t="n">
        <v>73.5</v>
      </c>
      <c r="I10" s="65" t="n">
        <v>72.7</v>
      </c>
      <c r="J10" s="65" t="n">
        <v>76.2</v>
      </c>
      <c r="K10" s="65" t="n">
        <v>80.3</v>
      </c>
      <c r="L10" s="65" t="n">
        <v>80.09999999999999</v>
      </c>
      <c r="M10" s="65" t="n">
        <v>79</v>
      </c>
      <c r="N10" s="65" t="n">
        <v>80.59999999999999</v>
      </c>
      <c r="O10" s="65" t="n">
        <v>83.59999999999999</v>
      </c>
      <c r="P10" s="65" t="n">
        <v>83.40000000000001</v>
      </c>
      <c r="Q10" s="65" t="n">
        <v>83</v>
      </c>
      <c r="R10" s="65" t="n">
        <v>82.5</v>
      </c>
      <c r="S10" s="65" t="n">
        <v>83.2</v>
      </c>
      <c r="T10" s="65" t="n">
        <v>80.90000000000001</v>
      </c>
      <c r="U10" s="65" t="n">
        <v>78.7</v>
      </c>
      <c r="V10" s="65" t="n">
        <v>78.09999999999999</v>
      </c>
      <c r="W10" s="65" t="n">
        <v>81.7</v>
      </c>
      <c r="X10" s="65" t="n">
        <v>85.8</v>
      </c>
      <c r="Y10" s="65" t="n">
        <v>85.40000000000001</v>
      </c>
      <c r="Z10" s="65" t="n">
        <v>90.8</v>
      </c>
      <c r="AA10" s="65" t="n">
        <v>93.09999999999999</v>
      </c>
      <c r="AB10" s="65" t="n">
        <v>92.5</v>
      </c>
      <c r="AC10" s="65" t="n">
        <v>96.7</v>
      </c>
      <c r="AD10" s="65" t="n">
        <v>104.9</v>
      </c>
      <c r="AE10" s="65" t="n">
        <v>108.3</v>
      </c>
      <c r="AF10" s="65" t="n">
        <v>104.3</v>
      </c>
      <c r="AG10" s="65" t="n">
        <v>103</v>
      </c>
      <c r="AH10" s="65" t="n">
        <v>104.9</v>
      </c>
      <c r="AI10" s="65" t="n">
        <v>104.8</v>
      </c>
      <c r="AJ10" s="65" t="n">
        <v>103.7</v>
      </c>
      <c r="AK10" s="65" t="n">
        <v>105.6</v>
      </c>
      <c r="AL10" s="65" t="n">
        <v>108.9</v>
      </c>
      <c r="AM10" s="65" t="n">
        <v>119.9</v>
      </c>
      <c r="AN10" s="65" t="n">
        <v>117.2</v>
      </c>
      <c r="AO10" s="65" t="n">
        <v>123.7</v>
      </c>
    </row>
    <row r="11">
      <c r="A11" s="64" t="inlineStr">
        <is>
          <t>유동부채</t>
        </is>
      </c>
      <c r="B11" s="65" t="n"/>
      <c r="C11" s="65" t="n">
        <v>26.9</v>
      </c>
      <c r="D11" s="65" t="n"/>
      <c r="E11" s="65" t="n"/>
      <c r="F11" s="65" t="n">
        <v>20.5</v>
      </c>
      <c r="G11" s="65" t="n">
        <v>21.5</v>
      </c>
      <c r="H11" s="65" t="n">
        <v>18.5</v>
      </c>
      <c r="I11" s="65" t="n">
        <v>19.4</v>
      </c>
      <c r="J11" s="65" t="n">
        <v>22.2</v>
      </c>
      <c r="K11" s="65" t="n">
        <v>24.6</v>
      </c>
      <c r="L11" s="65" t="n">
        <v>24.3</v>
      </c>
      <c r="M11" s="65" t="n">
        <v>22.6</v>
      </c>
      <c r="N11" s="65" t="n">
        <v>21.2</v>
      </c>
      <c r="O11" s="65" t="n">
        <v>22.2</v>
      </c>
      <c r="P11" s="65" t="n">
        <v>21.3</v>
      </c>
      <c r="Q11" s="65" t="n">
        <v>20.7</v>
      </c>
      <c r="R11" s="65" t="n">
        <v>19.8</v>
      </c>
      <c r="S11" s="65" t="n">
        <v>20.1</v>
      </c>
      <c r="T11" s="65" t="n">
        <v>18.7</v>
      </c>
      <c r="U11" s="65" t="n">
        <v>17.4</v>
      </c>
      <c r="V11" s="65" t="n">
        <v>17.7</v>
      </c>
      <c r="W11" s="65" t="n">
        <v>17.1</v>
      </c>
      <c r="X11" s="65" t="n">
        <v>19</v>
      </c>
      <c r="Y11" s="65" t="n">
        <v>18.9</v>
      </c>
      <c r="Z11" s="65" t="n">
        <v>22.9</v>
      </c>
      <c r="AA11" s="65" t="n">
        <v>25.4</v>
      </c>
      <c r="AB11" s="65" t="n">
        <v>22.2</v>
      </c>
      <c r="AC11" s="65" t="n">
        <v>24.4</v>
      </c>
      <c r="AD11" s="65" t="n">
        <v>28.2</v>
      </c>
      <c r="AE11" s="65" t="n">
        <v>28.8</v>
      </c>
      <c r="AF11" s="65" t="n">
        <v>23</v>
      </c>
      <c r="AG11" s="65" t="n">
        <v>21</v>
      </c>
      <c r="AH11" s="65" t="n">
        <v>20.6</v>
      </c>
      <c r="AI11" s="65" t="n">
        <v>20.2</v>
      </c>
      <c r="AJ11" s="65" t="n">
        <v>16.4</v>
      </c>
      <c r="AK11" s="65" t="n">
        <v>18.1</v>
      </c>
      <c r="AL11" s="65" t="n">
        <v>17.7</v>
      </c>
      <c r="AM11" s="65" t="n">
        <v>20.2</v>
      </c>
      <c r="AN11" s="65" t="n">
        <v>14.9</v>
      </c>
      <c r="AO11" s="65" t="n">
        <v>16.4</v>
      </c>
    </row>
    <row r="12">
      <c r="A12" s="64" t="inlineStr">
        <is>
          <t>부채총계</t>
        </is>
      </c>
      <c r="B12" s="65" t="n"/>
      <c r="C12" s="65" t="n">
        <v>33.2</v>
      </c>
      <c r="D12" s="65" t="n"/>
      <c r="E12" s="65" t="n"/>
      <c r="F12" s="65" t="n">
        <v>25.7</v>
      </c>
      <c r="G12" s="65" t="n">
        <v>28.6</v>
      </c>
      <c r="H12" s="65" t="n">
        <v>28.6</v>
      </c>
      <c r="I12" s="65" t="n">
        <v>28.8</v>
      </c>
      <c r="J12" s="65" t="n">
        <v>30.9</v>
      </c>
      <c r="K12" s="65" t="n">
        <v>32.7</v>
      </c>
      <c r="L12" s="65" t="n">
        <v>32.1</v>
      </c>
      <c r="M12" s="65" t="n">
        <v>30.1</v>
      </c>
      <c r="N12" s="65" t="n">
        <v>30</v>
      </c>
      <c r="O12" s="65" t="n">
        <v>31.2</v>
      </c>
      <c r="P12" s="65" t="n">
        <v>29.8</v>
      </c>
      <c r="Q12" s="65" t="n">
        <v>28.8</v>
      </c>
      <c r="R12" s="65" t="n">
        <v>27.6</v>
      </c>
      <c r="S12" s="65" t="n">
        <v>27.9</v>
      </c>
      <c r="T12" s="65" t="n">
        <v>27.1</v>
      </c>
      <c r="U12" s="65" t="n">
        <v>25.6</v>
      </c>
      <c r="V12" s="65" t="n">
        <v>25.5</v>
      </c>
      <c r="W12" s="65" t="n">
        <v>25.7</v>
      </c>
      <c r="X12" s="65" t="n">
        <v>29.1</v>
      </c>
      <c r="Y12" s="65" t="n">
        <v>28.6</v>
      </c>
      <c r="Z12" s="65" t="n">
        <v>32.2</v>
      </c>
      <c r="AA12" s="65" t="n">
        <v>32.8</v>
      </c>
      <c r="AB12" s="65" t="n">
        <v>29.6</v>
      </c>
      <c r="AC12" s="65" t="n">
        <v>31.6</v>
      </c>
      <c r="AD12" s="65" t="n">
        <v>35.2</v>
      </c>
      <c r="AE12" s="65" t="n">
        <v>35.8</v>
      </c>
      <c r="AF12" s="65" t="n">
        <v>30.2</v>
      </c>
      <c r="AG12" s="65" t="n">
        <v>27.5</v>
      </c>
      <c r="AH12" s="65" t="n">
        <v>27.3</v>
      </c>
      <c r="AI12" s="65" t="n">
        <v>26.7</v>
      </c>
      <c r="AJ12" s="65" t="n">
        <v>22.9</v>
      </c>
      <c r="AK12" s="65" t="n">
        <v>25</v>
      </c>
      <c r="AL12" s="65" t="n">
        <v>24.8</v>
      </c>
      <c r="AM12" s="65" t="n">
        <v>27.2</v>
      </c>
      <c r="AN12" s="65" t="n">
        <v>22.8</v>
      </c>
      <c r="AO12" s="65" t="n">
        <v>24.7</v>
      </c>
    </row>
    <row r="13">
      <c r="A13" s="64" t="inlineStr">
        <is>
          <t>자기자본</t>
        </is>
      </c>
      <c r="B13" s="66" t="n"/>
      <c r="C13" s="66" t="n">
        <v>75</v>
      </c>
      <c r="D13" s="66" t="n"/>
      <c r="E13" s="66" t="n"/>
      <c r="F13" s="66" t="n">
        <v>76.09999999999999</v>
      </c>
      <c r="G13" s="66" t="n">
        <v>77</v>
      </c>
      <c r="H13" s="66" t="n">
        <v>76.8</v>
      </c>
      <c r="I13" s="66" t="n">
        <v>76.40000000000001</v>
      </c>
      <c r="J13" s="66" t="n">
        <v>76.7</v>
      </c>
      <c r="K13" s="66" t="n">
        <v>78.7</v>
      </c>
      <c r="L13" s="66" t="n">
        <v>79.09999999999999</v>
      </c>
      <c r="M13" s="66" t="n">
        <v>79.2</v>
      </c>
      <c r="N13" s="66" t="n">
        <v>80.90000000000001</v>
      </c>
      <c r="O13" s="66" t="n">
        <v>81.8</v>
      </c>
      <c r="P13" s="66" t="n">
        <v>83</v>
      </c>
      <c r="Q13" s="66" t="n">
        <v>83.59999999999999</v>
      </c>
      <c r="R13" s="66" t="n">
        <v>84.40000000000001</v>
      </c>
      <c r="S13" s="66" t="n">
        <v>85.5</v>
      </c>
      <c r="T13" s="66" t="n">
        <v>86.2</v>
      </c>
      <c r="U13" s="66" t="n">
        <v>86</v>
      </c>
      <c r="V13" s="66" t="n">
        <v>85.09999999999999</v>
      </c>
      <c r="W13" s="66" t="n">
        <v>87.90000000000001</v>
      </c>
      <c r="X13" s="66" t="n">
        <v>89.3</v>
      </c>
      <c r="Y13" s="66" t="n">
        <v>89.2</v>
      </c>
      <c r="Z13" s="66" t="n">
        <v>92.3</v>
      </c>
      <c r="AA13" s="66" t="n">
        <v>94.40000000000001</v>
      </c>
      <c r="AB13" s="66" t="n">
        <v>97.40000000000001</v>
      </c>
      <c r="AC13" s="66" t="n">
        <v>100.4</v>
      </c>
      <c r="AD13" s="66" t="n">
        <v>105.8</v>
      </c>
      <c r="AE13" s="66" t="n">
        <v>111</v>
      </c>
      <c r="AF13" s="66" t="n">
        <v>114.8</v>
      </c>
      <c r="AG13" s="66" t="n">
        <v>116.5</v>
      </c>
      <c r="AH13" s="66" t="n">
        <v>121</v>
      </c>
      <c r="AI13" s="66" t="n">
        <v>125.6</v>
      </c>
      <c r="AJ13" s="66" t="n">
        <v>127.8</v>
      </c>
      <c r="AK13" s="66" t="n">
        <v>131.6</v>
      </c>
      <c r="AL13" s="66" t="n">
        <v>136.7</v>
      </c>
      <c r="AM13" s="66" t="n">
        <v>144.8</v>
      </c>
      <c r="AN13" s="66" t="n">
        <v>149.4</v>
      </c>
      <c r="AO13" s="66" t="n">
        <v>155.8</v>
      </c>
    </row>
    <row r="14">
      <c r="A14" s="64" t="inlineStr">
        <is>
          <t>유동비율</t>
        </is>
      </c>
      <c r="B14" s="66" t="n"/>
      <c r="C14" s="66" t="n">
        <v>301.9</v>
      </c>
      <c r="D14" s="66" t="n"/>
      <c r="E14" s="66" t="n"/>
      <c r="F14" s="66" t="n">
        <v>350.7</v>
      </c>
      <c r="G14" s="66" t="n">
        <v>340.9</v>
      </c>
      <c r="H14" s="66" t="n">
        <v>397.3</v>
      </c>
      <c r="I14" s="66" t="n">
        <v>374.7</v>
      </c>
      <c r="J14" s="66" t="n">
        <v>343.2</v>
      </c>
      <c r="K14" s="66" t="n">
        <v>326.4</v>
      </c>
      <c r="L14" s="66" t="n">
        <v>329.6</v>
      </c>
      <c r="M14" s="66" t="n">
        <v>349.6</v>
      </c>
      <c r="N14" s="66" t="n">
        <v>380.2</v>
      </c>
      <c r="O14" s="66" t="n">
        <v>376.6</v>
      </c>
      <c r="P14" s="66" t="n">
        <v>391.5</v>
      </c>
      <c r="Q14" s="66" t="n">
        <v>401</v>
      </c>
      <c r="R14" s="66" t="n">
        <v>416.7</v>
      </c>
      <c r="S14" s="66" t="n">
        <v>413.9</v>
      </c>
      <c r="T14" s="66" t="n">
        <v>432.6</v>
      </c>
      <c r="U14" s="66" t="n">
        <v>452.3</v>
      </c>
      <c r="V14" s="66" t="n">
        <v>441.2</v>
      </c>
      <c r="W14" s="66" t="n">
        <v>477.8</v>
      </c>
      <c r="X14" s="66" t="n">
        <v>451.6</v>
      </c>
      <c r="Y14" s="66" t="n">
        <v>451.9</v>
      </c>
      <c r="Z14" s="66" t="n">
        <v>396.5</v>
      </c>
      <c r="AA14" s="66" t="n">
        <v>366.5</v>
      </c>
      <c r="AB14" s="66" t="n">
        <v>416.7</v>
      </c>
      <c r="AC14" s="66" t="n">
        <v>396.3</v>
      </c>
      <c r="AD14" s="66" t="n">
        <v>372</v>
      </c>
      <c r="AE14" s="66" t="n">
        <v>376</v>
      </c>
      <c r="AF14" s="66" t="n">
        <v>453.5</v>
      </c>
      <c r="AG14" s="66" t="n">
        <v>490.5</v>
      </c>
      <c r="AH14" s="66" t="n">
        <v>509.2</v>
      </c>
      <c r="AI14" s="66" t="n">
        <v>518.8</v>
      </c>
      <c r="AJ14" s="66" t="n">
        <v>632.3</v>
      </c>
      <c r="AK14" s="66" t="n">
        <v>583.4</v>
      </c>
      <c r="AL14" s="66" t="n">
        <v>615.3</v>
      </c>
      <c r="AM14" s="66" t="n">
        <v>593.6</v>
      </c>
      <c r="AN14" s="66" t="n">
        <v>786.6</v>
      </c>
      <c r="AO14" s="66" t="n">
        <v>754.3</v>
      </c>
    </row>
    <row r="15">
      <c r="A15" s="64" t="inlineStr">
        <is>
          <t>부채비율</t>
        </is>
      </c>
      <c r="B15" s="66" t="n"/>
      <c r="C15" s="66" t="n">
        <v>44.3</v>
      </c>
      <c r="D15" s="66" t="n"/>
      <c r="E15" s="66" t="n"/>
      <c r="F15" s="66" t="n">
        <v>33.8</v>
      </c>
      <c r="G15" s="66" t="n">
        <v>37.1</v>
      </c>
      <c r="H15" s="66" t="n">
        <v>37.2</v>
      </c>
      <c r="I15" s="66" t="n">
        <v>37.7</v>
      </c>
      <c r="J15" s="66" t="n">
        <v>40.3</v>
      </c>
      <c r="K15" s="66" t="n">
        <v>41.6</v>
      </c>
      <c r="L15" s="66" t="n">
        <v>40.6</v>
      </c>
      <c r="M15" s="66" t="n">
        <v>38</v>
      </c>
      <c r="N15" s="66" t="n">
        <v>37.1</v>
      </c>
      <c r="O15" s="66" t="n">
        <v>38.1</v>
      </c>
      <c r="P15" s="66" t="n">
        <v>35.9</v>
      </c>
      <c r="Q15" s="66" t="n">
        <v>34.4</v>
      </c>
      <c r="R15" s="66" t="n">
        <v>32.7</v>
      </c>
      <c r="S15" s="66" t="n">
        <v>32.6</v>
      </c>
      <c r="T15" s="66" t="n">
        <v>31.4</v>
      </c>
      <c r="U15" s="66" t="n">
        <v>29.8</v>
      </c>
      <c r="V15" s="66" t="n">
        <v>30</v>
      </c>
      <c r="W15" s="66" t="n">
        <v>29.2</v>
      </c>
      <c r="X15" s="66" t="n">
        <v>32.6</v>
      </c>
      <c r="Y15" s="66" t="n">
        <v>32.1</v>
      </c>
      <c r="Z15" s="66" t="n">
        <v>34.9</v>
      </c>
      <c r="AA15" s="66" t="n">
        <v>34.7</v>
      </c>
      <c r="AB15" s="66" t="n">
        <v>30.4</v>
      </c>
      <c r="AC15" s="66" t="n">
        <v>31.5</v>
      </c>
      <c r="AD15" s="66" t="n">
        <v>33.3</v>
      </c>
      <c r="AE15" s="66" t="n">
        <v>32.3</v>
      </c>
      <c r="AF15" s="66" t="n">
        <v>26.3</v>
      </c>
      <c r="AG15" s="66" t="n">
        <v>23.6</v>
      </c>
      <c r="AH15" s="66" t="n">
        <v>22.6</v>
      </c>
      <c r="AI15" s="66" t="n">
        <v>21.3</v>
      </c>
      <c r="AJ15" s="66" t="n">
        <v>17.9</v>
      </c>
      <c r="AK15" s="66" t="n">
        <v>19</v>
      </c>
      <c r="AL15" s="66" t="n">
        <v>18.1</v>
      </c>
      <c r="AM15" s="66" t="n">
        <v>18.8</v>
      </c>
      <c r="AN15" s="66" t="n">
        <v>15.3</v>
      </c>
      <c r="AO15" s="66" t="n">
        <v>15.9</v>
      </c>
    </row>
    <row r="16">
      <c r="A16" s="64" t="inlineStr">
        <is>
          <t>순차입금/자기자본</t>
        </is>
      </c>
      <c r="B16" s="66" t="n"/>
      <c r="C16" s="66" t="n">
        <v>-26.9</v>
      </c>
      <c r="D16" s="66" t="n"/>
      <c r="E16" s="66" t="n"/>
      <c r="F16" s="66" t="n">
        <v>-22.9</v>
      </c>
      <c r="G16" s="66" t="n">
        <v>-19.7</v>
      </c>
      <c r="H16" s="66" t="n">
        <v>-25</v>
      </c>
      <c r="I16" s="66" t="n">
        <v>-27.4</v>
      </c>
      <c r="J16" s="66" t="n">
        <v>-23.2</v>
      </c>
      <c r="K16" s="66" t="n">
        <v>-21.6</v>
      </c>
      <c r="L16" s="66" t="n">
        <v>-25.3</v>
      </c>
      <c r="M16" s="66" t="n">
        <v>-28.8</v>
      </c>
      <c r="N16" s="66" t="n">
        <v>-22.2</v>
      </c>
      <c r="O16" s="66" t="n">
        <v>-21.4</v>
      </c>
      <c r="P16" s="66" t="n">
        <v>-22.5</v>
      </c>
      <c r="Q16" s="66" t="n">
        <v>-27.4</v>
      </c>
      <c r="R16" s="66" t="n">
        <v>-22.5</v>
      </c>
      <c r="S16" s="66" t="n">
        <v>-26</v>
      </c>
      <c r="T16" s="66" t="n">
        <v>-27.8</v>
      </c>
      <c r="U16" s="66" t="n">
        <v>-29.3</v>
      </c>
      <c r="V16" s="66" t="n">
        <v>-27.4</v>
      </c>
      <c r="W16" s="66" t="n">
        <v>-32.8</v>
      </c>
      <c r="X16" s="66" t="n">
        <v>-36.5</v>
      </c>
      <c r="Y16" s="66" t="n">
        <v>-38.1</v>
      </c>
      <c r="Z16" s="66" t="n">
        <v>-34.8</v>
      </c>
      <c r="AA16" s="66" t="n">
        <v>-40.1</v>
      </c>
      <c r="AB16" s="66" t="n">
        <v>-36.8</v>
      </c>
      <c r="AC16" s="66" t="n">
        <v>-41.8</v>
      </c>
      <c r="AD16" s="66" t="n">
        <v>-40</v>
      </c>
      <c r="AE16" s="66" t="n">
        <v>-37.1</v>
      </c>
      <c r="AF16" s="66" t="n">
        <v>-36.8</v>
      </c>
      <c r="AG16" s="66" t="n">
        <v>-39.6</v>
      </c>
      <c r="AH16" s="66" t="n">
        <v>-37.5</v>
      </c>
      <c r="AI16" s="66" t="n">
        <v>-35</v>
      </c>
      <c r="AJ16" s="66" t="n">
        <v>-39.1</v>
      </c>
      <c r="AK16" s="66" t="n">
        <v>-38.7</v>
      </c>
      <c r="AL16" s="66" t="n">
        <v>-36.2</v>
      </c>
      <c r="AM16" s="66" t="n">
        <v>-41.9</v>
      </c>
      <c r="AN16" s="66" t="n">
        <v>-45.2</v>
      </c>
      <c r="AO16" s="66" t="n">
        <v>-49.2</v>
      </c>
    </row>
    <row r="17">
      <c r="A17" s="64" t="inlineStr">
        <is>
          <t>재고자산</t>
        </is>
      </c>
      <c r="B17" s="65" t="n"/>
      <c r="C17" s="65" t="n">
        <v>18.1</v>
      </c>
      <c r="D17" s="65" t="n"/>
      <c r="E17" s="65" t="n"/>
      <c r="F17" s="65" t="n">
        <v>20</v>
      </c>
      <c r="G17" s="65" t="n">
        <v>17.5</v>
      </c>
      <c r="H17" s="65" t="n">
        <v>20</v>
      </c>
      <c r="I17" s="65" t="n">
        <v>19.7</v>
      </c>
      <c r="J17" s="65" t="n">
        <v>21.6</v>
      </c>
      <c r="K17" s="65" t="n">
        <v>21.1</v>
      </c>
      <c r="L17" s="65" t="n">
        <v>25.3</v>
      </c>
      <c r="M17" s="65" t="n">
        <v>25.3</v>
      </c>
      <c r="N17" s="65" t="n">
        <v>27.6</v>
      </c>
      <c r="O17" s="65" t="n">
        <v>26.6</v>
      </c>
      <c r="P17" s="65" t="n">
        <v>28</v>
      </c>
      <c r="Q17" s="65" t="n">
        <v>26.1</v>
      </c>
      <c r="R17" s="65" t="n">
        <v>26.6</v>
      </c>
      <c r="S17" s="65" t="n">
        <v>23.7</v>
      </c>
      <c r="T17" s="65" t="n">
        <v>23.7</v>
      </c>
      <c r="U17" s="65" t="n">
        <v>21.7</v>
      </c>
      <c r="V17" s="65" t="n">
        <v>20.1</v>
      </c>
      <c r="W17" s="65" t="n">
        <v>16.2</v>
      </c>
      <c r="X17" s="65" t="n">
        <v>17.8</v>
      </c>
      <c r="Y17" s="65" t="n">
        <v>18.1</v>
      </c>
      <c r="Z17" s="65" t="n">
        <v>19.3</v>
      </c>
      <c r="AA17" s="65" t="n">
        <v>19.4</v>
      </c>
      <c r="AB17" s="65" t="n">
        <v>20.2</v>
      </c>
      <c r="AC17" s="65" t="n">
        <v>21.5</v>
      </c>
      <c r="AD17" s="65" t="n">
        <v>22</v>
      </c>
      <c r="AE17" s="65" t="n">
        <v>22.1</v>
      </c>
      <c r="AF17" s="65" t="n">
        <v>23.4</v>
      </c>
      <c r="AG17" s="65" t="n">
        <v>23.4</v>
      </c>
      <c r="AH17" s="65" t="n">
        <v>23.3</v>
      </c>
      <c r="AI17" s="65" t="n">
        <v>21.8</v>
      </c>
      <c r="AJ17" s="65" t="n">
        <v>22.9</v>
      </c>
      <c r="AK17" s="65" t="n">
        <v>22.6</v>
      </c>
      <c r="AL17" s="65" t="n">
        <v>22.1</v>
      </c>
      <c r="AM17" s="65" t="n">
        <v>19.3</v>
      </c>
      <c r="AN17" s="65" t="n">
        <v>21</v>
      </c>
      <c r="AO17" s="65" t="n">
        <v>21.8</v>
      </c>
    </row>
    <row r="18">
      <c r="A18" s="64" t="inlineStr">
        <is>
          <t>재고자산 회전일수</t>
        </is>
      </c>
      <c r="B18" s="65" t="n"/>
      <c r="C18" s="65" t="n"/>
      <c r="D18" s="65" t="n"/>
      <c r="E18" s="65" t="n"/>
      <c r="F18" s="65" t="n">
        <v>134</v>
      </c>
      <c r="G18" s="65" t="n"/>
      <c r="H18" s="65" t="n">
        <v>186</v>
      </c>
      <c r="I18" s="65" t="n">
        <v>132</v>
      </c>
      <c r="J18" s="65" t="n">
        <v>148</v>
      </c>
      <c r="K18" s="65" t="n"/>
      <c r="L18" s="65" t="n">
        <v>197</v>
      </c>
      <c r="M18" s="65" t="n">
        <v>161</v>
      </c>
      <c r="N18" s="65" t="n">
        <v>208</v>
      </c>
      <c r="O18" s="65" t="n"/>
      <c r="P18" s="65" t="n">
        <v>201</v>
      </c>
      <c r="Q18" s="65" t="n">
        <v>175</v>
      </c>
      <c r="R18" s="65" t="n">
        <v>183</v>
      </c>
      <c r="S18" s="65" t="n"/>
      <c r="T18" s="65" t="n">
        <v>191</v>
      </c>
      <c r="U18" s="65" t="n">
        <v>148</v>
      </c>
      <c r="V18" s="65" t="n">
        <v>134</v>
      </c>
      <c r="W18" s="65" t="n"/>
      <c r="X18" s="65" t="n">
        <v>176</v>
      </c>
      <c r="Y18" s="65" t="n">
        <v>161</v>
      </c>
      <c r="Z18" s="65" t="n">
        <v>150</v>
      </c>
      <c r="AA18" s="65" t="n"/>
      <c r="AB18" s="65" t="n">
        <v>157</v>
      </c>
      <c r="AC18" s="65" t="n">
        <v>179</v>
      </c>
      <c r="AD18" s="65" t="n">
        <v>140</v>
      </c>
      <c r="AE18" s="65" t="n"/>
      <c r="AF18" s="65" t="n">
        <v>182</v>
      </c>
      <c r="AG18" s="65" t="n">
        <v>172</v>
      </c>
      <c r="AH18" s="65" t="n">
        <v>159</v>
      </c>
      <c r="AI18" s="65" t="n"/>
      <c r="AJ18" s="65" t="n">
        <v>195</v>
      </c>
      <c r="AK18" s="65" t="n">
        <v>174</v>
      </c>
      <c r="AL18" s="65" t="n">
        <v>155</v>
      </c>
      <c r="AM18" s="65" t="n"/>
      <c r="AN18" s="65" t="n">
        <v>180</v>
      </c>
      <c r="AO18" s="65" t="n">
        <v>184</v>
      </c>
    </row>
    <row r="19">
      <c r="A19" s="64" t="inlineStr">
        <is>
          <t>매출채권 회전일수</t>
        </is>
      </c>
      <c r="B19" s="65" t="n"/>
      <c r="C19" s="65" t="n">
        <v>59</v>
      </c>
      <c r="D19" s="65" t="n"/>
      <c r="E19" s="65" t="n"/>
      <c r="F19" s="65" t="n">
        <v>116</v>
      </c>
      <c r="G19" s="65" t="n">
        <v>71</v>
      </c>
      <c r="H19" s="65" t="n">
        <v>146</v>
      </c>
      <c r="I19" s="65" t="n">
        <v>119</v>
      </c>
      <c r="J19" s="65" t="n">
        <v>122</v>
      </c>
      <c r="K19" s="65" t="n">
        <v>68</v>
      </c>
      <c r="L19" s="65" t="n">
        <v>142</v>
      </c>
      <c r="M19" s="65" t="n">
        <v>112</v>
      </c>
      <c r="N19" s="65" t="n">
        <v>122</v>
      </c>
      <c r="O19" s="65" t="n">
        <v>71</v>
      </c>
      <c r="P19" s="65" t="n">
        <v>133</v>
      </c>
      <c r="Q19" s="65" t="n">
        <v>122</v>
      </c>
      <c r="R19" s="65" t="n">
        <v>132</v>
      </c>
      <c r="S19" s="65" t="n">
        <v>0</v>
      </c>
      <c r="T19" s="65" t="n">
        <v>140</v>
      </c>
      <c r="U19" s="65" t="n">
        <v>119</v>
      </c>
      <c r="V19" s="65" t="n">
        <v>128</v>
      </c>
      <c r="W19" s="65" t="n">
        <v>111</v>
      </c>
      <c r="X19" s="65" t="n">
        <v>140</v>
      </c>
      <c r="Y19" s="65" t="n">
        <v>144</v>
      </c>
      <c r="Z19" s="65" t="n">
        <v>131</v>
      </c>
      <c r="AA19" s="65" t="n">
        <v>82</v>
      </c>
      <c r="AB19" s="65" t="n">
        <v>86</v>
      </c>
      <c r="AC19" s="65" t="n">
        <v>79</v>
      </c>
      <c r="AD19" s="65" t="n">
        <v>72</v>
      </c>
      <c r="AE19" s="65" t="n">
        <v>78</v>
      </c>
      <c r="AF19" s="65" t="n">
        <v>88</v>
      </c>
      <c r="AG19" s="65" t="n">
        <v>76</v>
      </c>
      <c r="AH19" s="65" t="n">
        <v>70</v>
      </c>
      <c r="AI19" s="65" t="n">
        <v>82</v>
      </c>
      <c r="AJ19" s="65" t="n">
        <v>76</v>
      </c>
      <c r="AK19" s="65" t="n">
        <v>80</v>
      </c>
      <c r="AL19" s="65" t="n">
        <v>79</v>
      </c>
      <c r="AM19" s="65" t="n">
        <v>70</v>
      </c>
      <c r="AN19" s="65" t="n">
        <v>80</v>
      </c>
      <c r="AO19" s="65" t="n">
        <v>53</v>
      </c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>
        <v>76</v>
      </c>
      <c r="G20" s="65" t="n"/>
      <c r="H20" s="65" t="n">
        <v>96</v>
      </c>
      <c r="I20" s="65" t="n">
        <v>73</v>
      </c>
      <c r="J20" s="65" t="n">
        <v>96</v>
      </c>
      <c r="K20" s="65" t="n"/>
      <c r="L20" s="65" t="n">
        <v>125</v>
      </c>
      <c r="M20" s="65" t="n">
        <v>95</v>
      </c>
      <c r="N20" s="65" t="n">
        <v>102</v>
      </c>
      <c r="O20" s="65" t="n"/>
      <c r="P20" s="65" t="n">
        <v>90</v>
      </c>
      <c r="Q20" s="65" t="n">
        <v>76</v>
      </c>
      <c r="R20" s="65" t="n">
        <v>77</v>
      </c>
      <c r="S20" s="65" t="n"/>
      <c r="T20" s="65" t="n">
        <v>89</v>
      </c>
      <c r="U20" s="65" t="n">
        <v>70</v>
      </c>
      <c r="V20" s="65" t="n">
        <v>74</v>
      </c>
      <c r="W20" s="65" t="n"/>
      <c r="X20" s="65" t="n">
        <v>107</v>
      </c>
      <c r="Y20" s="65" t="n">
        <v>90</v>
      </c>
      <c r="Z20" s="65" t="n">
        <v>95</v>
      </c>
      <c r="AA20" s="65" t="n"/>
      <c r="AB20" s="65" t="n">
        <v>40</v>
      </c>
      <c r="AC20" s="65" t="n">
        <v>39</v>
      </c>
      <c r="AD20" s="65" t="n">
        <v>38</v>
      </c>
      <c r="AE20" s="65" t="n"/>
      <c r="AF20" s="65" t="n">
        <v>34</v>
      </c>
      <c r="AG20" s="65" t="n">
        <v>28</v>
      </c>
      <c r="AH20" s="65" t="n">
        <v>25</v>
      </c>
      <c r="AI20" s="65" t="n"/>
      <c r="AJ20" s="65" t="n">
        <v>28</v>
      </c>
      <c r="AK20" s="65" t="n">
        <v>19</v>
      </c>
      <c r="AL20" s="65" t="n">
        <v>22</v>
      </c>
      <c r="AM20" s="65" t="n"/>
      <c r="AN20" s="65" t="n">
        <v>30</v>
      </c>
      <c r="AO20" s="65" t="n">
        <v>25</v>
      </c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>
        <v>174</v>
      </c>
      <c r="G21" s="65" t="n"/>
      <c r="H21" s="65" t="n">
        <v>236</v>
      </c>
      <c r="I21" s="65" t="n">
        <v>178</v>
      </c>
      <c r="J21" s="65" t="n">
        <v>174</v>
      </c>
      <c r="K21" s="65" t="n"/>
      <c r="L21" s="65" t="n">
        <v>214</v>
      </c>
      <c r="M21" s="65" t="n">
        <v>178</v>
      </c>
      <c r="N21" s="65" t="n">
        <v>228</v>
      </c>
      <c r="O21" s="65" t="n"/>
      <c r="P21" s="65" t="n">
        <v>244</v>
      </c>
      <c r="Q21" s="65" t="n">
        <v>221</v>
      </c>
      <c r="R21" s="65" t="n">
        <v>238</v>
      </c>
      <c r="S21" s="65" t="n"/>
      <c r="T21" s="65" t="n">
        <v>242</v>
      </c>
      <c r="U21" s="65" t="n">
        <v>197</v>
      </c>
      <c r="V21" s="65" t="n">
        <v>188</v>
      </c>
      <c r="W21" s="65" t="n"/>
      <c r="X21" s="65" t="n">
        <v>209</v>
      </c>
      <c r="Y21" s="65" t="n">
        <v>215</v>
      </c>
      <c r="Z21" s="65" t="n">
        <v>186</v>
      </c>
      <c r="AA21" s="65" t="n"/>
      <c r="AB21" s="65" t="n">
        <v>203</v>
      </c>
      <c r="AC21" s="65" t="n">
        <v>219</v>
      </c>
      <c r="AD21" s="65" t="n">
        <v>174</v>
      </c>
      <c r="AE21" s="65" t="n"/>
      <c r="AF21" s="65" t="n">
        <v>236</v>
      </c>
      <c r="AG21" s="65" t="n">
        <v>220</v>
      </c>
      <c r="AH21" s="65" t="n">
        <v>204</v>
      </c>
      <c r="AI21" s="65" t="n"/>
      <c r="AJ21" s="65" t="n">
        <v>243</v>
      </c>
      <c r="AK21" s="65" t="n">
        <v>235</v>
      </c>
      <c r="AL21" s="65" t="n">
        <v>212</v>
      </c>
      <c r="AM21" s="65" t="n"/>
      <c r="AN21" s="65" t="n">
        <v>230</v>
      </c>
      <c r="AO21" s="65" t="n">
        <v>212</v>
      </c>
    </row>
    <row r="22">
      <c r="A22" s="64" t="inlineStr">
        <is>
          <t>총 차입금</t>
        </is>
      </c>
      <c r="B22" s="65" t="n"/>
      <c r="C22" s="65" t="n">
        <v>6.399999999999999</v>
      </c>
      <c r="D22" s="65" t="n"/>
      <c r="E22" s="65" t="n"/>
      <c r="F22" s="65" t="n">
        <v>3.8</v>
      </c>
      <c r="G22" s="65" t="n">
        <v>9.9</v>
      </c>
      <c r="H22" s="65" t="n">
        <v>10</v>
      </c>
      <c r="I22" s="65" t="n">
        <v>9.4</v>
      </c>
      <c r="J22" s="65" t="n">
        <v>8.800000000000001</v>
      </c>
      <c r="K22" s="65" t="n">
        <v>9.1</v>
      </c>
      <c r="L22" s="65" t="n">
        <v>7.6</v>
      </c>
      <c r="M22" s="65" t="n">
        <v>6.9</v>
      </c>
      <c r="N22" s="65" t="n">
        <v>8.6</v>
      </c>
      <c r="O22" s="65" t="n">
        <v>9.199999999999999</v>
      </c>
      <c r="P22" s="65" t="n">
        <v>8.5</v>
      </c>
      <c r="Q22" s="65" t="n">
        <v>8</v>
      </c>
      <c r="R22" s="65" t="n">
        <v>7.7</v>
      </c>
      <c r="S22" s="65" t="n">
        <v>7.3</v>
      </c>
      <c r="T22" s="65" t="n">
        <v>7.899999999999999</v>
      </c>
      <c r="U22" s="65" t="n">
        <v>7.4</v>
      </c>
      <c r="V22" s="65" t="n">
        <v>7</v>
      </c>
      <c r="W22" s="65" t="n">
        <v>6.5</v>
      </c>
      <c r="X22" s="65" t="n">
        <v>8.6</v>
      </c>
      <c r="Y22" s="65" t="n">
        <v>8.1</v>
      </c>
      <c r="Z22" s="65" t="n">
        <v>7.699999999999999</v>
      </c>
      <c r="AA22" s="65" t="n">
        <v>5.1</v>
      </c>
      <c r="AB22" s="65" t="n">
        <v>4.699999999999999</v>
      </c>
      <c r="AC22" s="65" t="n">
        <v>4.4</v>
      </c>
      <c r="AD22" s="65" t="n">
        <v>4.1</v>
      </c>
      <c r="AE22" s="65" t="n">
        <v>3.6</v>
      </c>
      <c r="AF22" s="65" t="n">
        <v>3.3</v>
      </c>
      <c r="AG22" s="65" t="n">
        <v>2.9</v>
      </c>
      <c r="AH22" s="65" t="n">
        <v>2.6</v>
      </c>
      <c r="AI22" s="65" t="n">
        <v>1.1</v>
      </c>
      <c r="AJ22" s="65" t="n">
        <v>1</v>
      </c>
      <c r="AK22" s="65" t="n">
        <v>0.9</v>
      </c>
      <c r="AL22" s="65" t="n">
        <v>0.9</v>
      </c>
      <c r="AM22" s="65" t="n">
        <v>0.7</v>
      </c>
      <c r="AN22" s="65" t="n">
        <v>0.7</v>
      </c>
      <c r="AO22" s="65" t="n">
        <v>0.6000000000000001</v>
      </c>
    </row>
    <row r="23">
      <c r="A23" s="64" t="inlineStr">
        <is>
          <t>현금</t>
        </is>
      </c>
      <c r="B23" s="65" t="n"/>
      <c r="C23" s="65" t="n">
        <v>26.6</v>
      </c>
      <c r="D23" s="65" t="n"/>
      <c r="E23" s="65" t="n"/>
      <c r="F23" s="65" t="n">
        <v>21.2</v>
      </c>
      <c r="G23" s="65" t="n">
        <v>25.1</v>
      </c>
      <c r="H23" s="65" t="n">
        <v>29.2</v>
      </c>
      <c r="I23" s="65" t="n">
        <v>30.3</v>
      </c>
      <c r="J23" s="65" t="n">
        <v>26.6</v>
      </c>
      <c r="K23" s="65" t="n">
        <v>26.1</v>
      </c>
      <c r="L23" s="65" t="n">
        <v>27.6</v>
      </c>
      <c r="M23" s="65" t="n">
        <v>29.7</v>
      </c>
      <c r="N23" s="65" t="n">
        <v>26.6</v>
      </c>
      <c r="O23" s="65" t="n">
        <v>26.7</v>
      </c>
      <c r="P23" s="65" t="n">
        <v>27.2</v>
      </c>
      <c r="Q23" s="65" t="n">
        <v>30.9</v>
      </c>
      <c r="R23" s="65" t="n">
        <v>26.7</v>
      </c>
      <c r="S23" s="65" t="n">
        <v>29.5</v>
      </c>
      <c r="T23" s="65" t="n">
        <v>31.9</v>
      </c>
      <c r="U23" s="65" t="n">
        <v>32.6</v>
      </c>
      <c r="V23" s="65" t="n">
        <v>30.3</v>
      </c>
      <c r="W23" s="65" t="n">
        <v>35.3</v>
      </c>
      <c r="X23" s="65" t="n">
        <v>41.2</v>
      </c>
      <c r="Y23" s="65" t="n">
        <v>42.1</v>
      </c>
      <c r="Z23" s="65" t="n">
        <v>39.8</v>
      </c>
      <c r="AA23" s="65" t="n">
        <v>43</v>
      </c>
      <c r="AB23" s="65" t="n">
        <v>40.5</v>
      </c>
      <c r="AC23" s="65" t="n">
        <v>46.4</v>
      </c>
      <c r="AD23" s="65" t="n">
        <v>46.4</v>
      </c>
      <c r="AE23" s="65" t="n">
        <v>44.8</v>
      </c>
      <c r="AF23" s="65" t="n">
        <v>45.6</v>
      </c>
      <c r="AG23" s="65" t="n">
        <v>49</v>
      </c>
      <c r="AH23" s="65" t="n">
        <v>48</v>
      </c>
      <c r="AI23" s="65" t="n">
        <v>45</v>
      </c>
      <c r="AJ23" s="65" t="n">
        <v>51</v>
      </c>
      <c r="AK23" s="65" t="n">
        <v>51.8</v>
      </c>
      <c r="AL23" s="65" t="n">
        <v>50.4</v>
      </c>
      <c r="AM23" s="65" t="n">
        <v>61.3</v>
      </c>
      <c r="AN23" s="65" t="n">
        <v>68.3</v>
      </c>
      <c r="AO23" s="65" t="n">
        <v>77.2</v>
      </c>
    </row>
    <row r="24">
      <c r="A24" s="64" t="inlineStr">
        <is>
          <t>부문별 매출 · 歯車及び歯車装置、報告セグメント [メンバー]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16.3</v>
      </c>
      <c r="AC24" s="65" t="n"/>
      <c r="AD24" s="65" t="n"/>
      <c r="AE24" s="65" t="n"/>
      <c r="AF24" s="65" t="n">
        <v>16.1</v>
      </c>
      <c r="AG24" s="65" t="n"/>
      <c r="AH24" s="65" t="n"/>
      <c r="AI24" s="65" t="n"/>
      <c r="AJ24" s="65" t="n">
        <v>15.8</v>
      </c>
      <c r="AK24" s="65" t="n"/>
      <c r="AL24" s="65" t="n"/>
      <c r="AM24" s="65" t="n"/>
      <c r="AN24" s="65" t="n">
        <v>15.3</v>
      </c>
      <c r="AO24" s="65" t="n"/>
      <c r="AP24" s="61" t="inlineStr">
        <is>
          <t>결산단신 부문 정보(외부 고객 매출)</t>
        </is>
      </c>
    </row>
    <row r="25">
      <c r="A25" s="64" t="inlineStr">
        <is>
          <t>부문별 매출 · 工事、報告セグメント [メンバー]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>
        <v>5.3</v>
      </c>
      <c r="AC25" s="65" t="n"/>
      <c r="AD25" s="65" t="n"/>
      <c r="AE25" s="65" t="n"/>
      <c r="AF25" s="65" t="n">
        <v>5</v>
      </c>
      <c r="AG25" s="65" t="n"/>
      <c r="AH25" s="65" t="n"/>
      <c r="AI25" s="65" t="n"/>
      <c r="AJ25" s="65" t="n">
        <v>4.9</v>
      </c>
      <c r="AK25" s="65" t="n"/>
      <c r="AL25" s="65" t="n"/>
      <c r="AM25" s="65" t="n"/>
      <c r="AN25" s="65" t="n">
        <v>5.3</v>
      </c>
      <c r="AO25" s="65" t="n"/>
      <c r="AP25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2026-10-30T07:50:50Z</dcterms:created>
  <dcterms:modified xmlns:dcterms="http://purl.org/dc/terms/" xmlns:xsi="http://www.w3.org/2001/XMLSchema-instance" xsi:type="dcterms:W3CDTF">2026-10-30T07:51:14Z</dcterms:modified>
</cp:coreProperties>
</file>