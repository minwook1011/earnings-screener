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오픈그룹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1569.326</v>
      </c>
      <c r="D4" s="12" t="n">
        <v>1683.163</v>
      </c>
      <c r="E4" s="12" t="n">
        <v>1783.669</v>
      </c>
      <c r="F4" s="12" t="n">
        <v>1682.389</v>
      </c>
      <c r="G4" s="12" t="n">
        <v>1808.681</v>
      </c>
      <c r="H4" s="12" t="n">
        <v>1949.706</v>
      </c>
      <c r="I4" s="12" t="n">
        <v>1960.829</v>
      </c>
      <c r="J4" s="12" t="n">
        <v>1904.09</v>
      </c>
      <c r="K4" s="12" t="n">
        <v>2040.947</v>
      </c>
      <c r="L4" s="12" t="n">
        <v>2242.222</v>
      </c>
      <c r="M4" s="12" t="n">
        <v>2328.693</v>
      </c>
      <c r="N4" s="12" t="n">
        <v>2286.719</v>
      </c>
      <c r="O4" s="11" t="n">
        <v>2644.627</v>
      </c>
      <c r="P4" s="12" t="n">
        <v>4188.747</v>
      </c>
      <c r="Q4" s="12" t="n">
        <v>8185.555</v>
      </c>
      <c r="R4" s="12" t="n">
        <v>10070.53</v>
      </c>
      <c r="S4" s="12" t="n">
        <v>11206.457</v>
      </c>
      <c r="T4" s="12" t="n">
        <v>5904.674</v>
      </c>
      <c r="U4" s="12" t="n">
        <v>5957.823</v>
      </c>
      <c r="V4" s="12" t="n">
        <v>6165.703</v>
      </c>
      <c r="W4" s="12" t="n">
        <v>7224.445</v>
      </c>
      <c r="X4" s="12" t="n">
        <v>8148.088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인텔리전트 오토메이션 사업</t>
        </is>
      </c>
      <c r="B7" s="10" t="n"/>
      <c r="C7" s="19" t="n">
        <v>1084.466</v>
      </c>
      <c r="D7" s="20" t="n">
        <v>1163.199</v>
      </c>
      <c r="E7" s="20" t="n">
        <v>1146.564</v>
      </c>
      <c r="F7" s="20" t="n">
        <v>1124.745</v>
      </c>
      <c r="G7" s="20" t="n">
        <v>1215.229</v>
      </c>
      <c r="H7" s="20" t="n">
        <v>1285.098</v>
      </c>
      <c r="I7" s="20" t="n">
        <v>1284.079</v>
      </c>
      <c r="J7" s="20" t="n">
        <v>1355.997</v>
      </c>
      <c r="K7" s="20" t="n">
        <v>1459.837</v>
      </c>
      <c r="L7" s="20" t="n">
        <v>1538.574</v>
      </c>
      <c r="M7" s="20" t="n">
        <v>1471.326</v>
      </c>
      <c r="N7" s="20" t="n">
        <v>1420.798</v>
      </c>
      <c r="O7" s="19" t="n"/>
      <c r="P7" s="20" t="n"/>
      <c r="Q7" s="20" t="n"/>
      <c r="R7" s="20" t="n"/>
      <c r="S7" s="20" t="n"/>
      <c r="T7" s="20" t="n"/>
      <c r="U7" s="20" t="n"/>
      <c r="V7" s="20" t="n">
        <v>4214.528</v>
      </c>
      <c r="W7" s="20" t="n">
        <v>4771.636</v>
      </c>
      <c r="X7" s="20" t="n">
        <v>5638.487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애드 오토메이션 사업</t>
        </is>
      </c>
      <c r="B10" s="10" t="n"/>
      <c r="C10" s="19" t="n">
        <v>372.812</v>
      </c>
      <c r="D10" s="20" t="n">
        <v>431.397</v>
      </c>
      <c r="E10" s="20" t="n">
        <v>437.874</v>
      </c>
      <c r="F10" s="20" t="n">
        <v>350.066</v>
      </c>
      <c r="G10" s="20" t="n">
        <v>332.1</v>
      </c>
      <c r="H10" s="20" t="n">
        <v>371.542</v>
      </c>
      <c r="I10" s="20" t="n">
        <v>366.799</v>
      </c>
      <c r="J10" s="20" t="n">
        <v>273.705</v>
      </c>
      <c r="K10" s="20" t="n">
        <v>318.354</v>
      </c>
      <c r="L10" s="20" t="n">
        <v>358.166</v>
      </c>
      <c r="M10" s="20" t="n">
        <v>457.641</v>
      </c>
      <c r="N10" s="20" t="n">
        <v>418.485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1611.363</v>
      </c>
      <c r="W10" s="20" t="n">
        <v>1491.582</v>
      </c>
      <c r="X10" s="20" t="n">
        <v>1317.024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112.049</v>
      </c>
      <c r="D13" s="20" t="n">
        <v>88.566</v>
      </c>
      <c r="E13" s="20" t="n">
        <v>199.23</v>
      </c>
      <c r="F13" s="20" t="n">
        <v>207.578</v>
      </c>
      <c r="G13" s="20" t="n">
        <v>261.351</v>
      </c>
      <c r="H13" s="20" t="n">
        <v>293.068</v>
      </c>
      <c r="I13" s="20" t="n">
        <v>309.95</v>
      </c>
      <c r="J13" s="20" t="n">
        <v>274.388</v>
      </c>
      <c r="K13" s="20" t="n">
        <v>262.756</v>
      </c>
      <c r="L13" s="20" t="n">
        <v>345.483</v>
      </c>
      <c r="M13" s="20" t="n">
        <v>399.725</v>
      </c>
      <c r="N13" s="20" t="n">
        <v>447.437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339.811</v>
      </c>
      <c r="W13" s="20" t="n">
        <v>961.227</v>
      </c>
      <c r="X13" s="20" t="n">
        <v>1192.577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549.384</v>
      </c>
      <c r="D17" s="20" t="n">
        <v>641.302</v>
      </c>
      <c r="E17" s="20" t="n">
        <v>656.078</v>
      </c>
      <c r="F17" s="20" t="n">
        <v>608.862</v>
      </c>
      <c r="G17" s="20" t="n">
        <v>676.472</v>
      </c>
      <c r="H17" s="20" t="n">
        <v>664.415</v>
      </c>
      <c r="I17" s="20" t="n">
        <v>624.746</v>
      </c>
      <c r="J17" s="20" t="n">
        <v>604.63</v>
      </c>
      <c r="K17" s="20" t="n">
        <v>614.176</v>
      </c>
      <c r="L17" s="20" t="n">
        <v>642.737</v>
      </c>
      <c r="M17" s="20" t="n">
        <v>668.973</v>
      </c>
      <c r="N17" s="20" t="n">
        <v>670.0599999999999</v>
      </c>
      <c r="O17" s="19" t="n">
        <v>1681.14</v>
      </c>
      <c r="P17" s="20" t="n">
        <v>2657.639</v>
      </c>
      <c r="Q17" s="20" t="n">
        <v>5095.363</v>
      </c>
      <c r="R17" s="20" t="n">
        <v>6700.808</v>
      </c>
      <c r="S17" s="20" t="n">
        <v>7591.163</v>
      </c>
      <c r="T17" s="20" t="n">
        <v>2184.669</v>
      </c>
      <c r="U17" s="20" t="n">
        <v>2268.622</v>
      </c>
      <c r="V17" s="20" t="n">
        <v>2217.2</v>
      </c>
      <c r="W17" s="20" t="n">
        <v>2605.827</v>
      </c>
      <c r="X17" s="20" t="n">
        <v>2486.289</v>
      </c>
      <c r="Y17" s="19" t="n"/>
      <c r="Z17" s="20" t="n"/>
      <c r="AA17" s="20" t="n"/>
      <c r="AB17" s="20" t="n"/>
      <c r="AC17" s="20" t="n"/>
    </row>
    <row r="18">
      <c r="A18" s="18" t="inlineStr">
        <is>
          <t>매출총이익</t>
        </is>
      </c>
      <c r="B18" s="10" t="n"/>
      <c r="C18" s="19">
        <f>IF(OR(C4="",C17=""),"",IFERROR(C4-C17,""))</f>
        <v/>
      </c>
      <c r="D18" s="20">
        <f>IF(OR(D4="",D17=""),"",IFERROR(D4-D17,""))</f>
        <v/>
      </c>
      <c r="E18" s="20">
        <f>IF(OR(E4="",E17=""),"",IFERROR(E4-E17,""))</f>
        <v/>
      </c>
      <c r="F18" s="20">
        <f>IF(OR(F4="",F17=""),"",IFERROR(F4-F17,""))</f>
        <v/>
      </c>
      <c r="G18" s="20">
        <f>IF(OR(G4="",G17=""),"",IFERROR(G4-G17,""))</f>
        <v/>
      </c>
      <c r="H18" s="20">
        <f>IF(OR(H4="",H17=""),"",IFERROR(H4-H17,""))</f>
        <v/>
      </c>
      <c r="I18" s="20">
        <f>IF(OR(I4="",I17=""),"",IFERROR(I4-I17,""))</f>
        <v/>
      </c>
      <c r="J18" s="20">
        <f>IF(OR(J4="",J17=""),"",IFERROR(J4-J17,""))</f>
        <v/>
      </c>
      <c r="K18" s="20">
        <f>IF(OR(K4="",K17=""),"",IFERROR(K4-K17,""))</f>
        <v/>
      </c>
      <c r="L18" s="20">
        <f>IF(OR(L4="",L17=""),"",IFERROR(L4-L17,""))</f>
        <v/>
      </c>
      <c r="M18" s="20">
        <f>IF(OR(M4="",M17=""),"",IFERROR(M4-M17,""))</f>
        <v/>
      </c>
      <c r="N18" s="20">
        <f>IF(OR(N4="",N17=""),"",IFERROR(N4-N17,""))</f>
        <v/>
      </c>
      <c r="O18" s="19">
        <f>IF(OR(O4="",O17=""),"",IFERROR(O4-O17,""))</f>
        <v/>
      </c>
      <c r="P18" s="20">
        <f>IF(OR(P4="",P17=""),"",IFERROR(P4-P17,""))</f>
        <v/>
      </c>
      <c r="Q18" s="20">
        <f>IF(OR(Q4="",Q17=""),"",IFERROR(Q4-Q17,""))</f>
        <v/>
      </c>
      <c r="R18" s="20">
        <f>IF(OR(R4="",R17=""),"",IFERROR(R4-R17,""))</f>
        <v/>
      </c>
      <c r="S18" s="20">
        <f>IF(OR(S4="",S17=""),"",IFERROR(S4-S17,""))</f>
        <v/>
      </c>
      <c r="T18" s="20">
        <f>IF(OR(T4="",T17=""),"",IFERROR(T4-T17,""))</f>
        <v/>
      </c>
      <c r="U18" s="20">
        <f>IF(OR(U4="",U17=""),"",IFERROR(U4-U17,""))</f>
        <v/>
      </c>
      <c r="V18" s="20">
        <f>IF(OR(V4="",V17=""),"",IFERROR(V4-V17,""))</f>
        <v/>
      </c>
      <c r="W18" s="20">
        <f>IF(OR(W4="",W17=""),"",IFERROR(W4-W17,""))</f>
        <v/>
      </c>
      <c r="X18" s="20">
        <f>IF(OR(X4="",X17=""),"",IFERROR(X4-X17,""))</f>
        <v/>
      </c>
      <c r="Y18" s="19" t="n"/>
      <c r="Z18" s="20" t="n"/>
      <c r="AA18" s="20" t="n"/>
      <c r="AB18" s="20" t="n"/>
      <c r="AC18" s="20" t="n"/>
    </row>
    <row r="19">
      <c r="A19" s="13" t="inlineStr">
        <is>
          <t>GPM</t>
        </is>
      </c>
      <c r="B19" s="10" t="n"/>
      <c r="C19" s="14">
        <f>IF(OR(C18="",C4=""),"",IFERROR(C18/C4,""))</f>
        <v/>
      </c>
      <c r="D19" s="15">
        <f>IF(OR(D18="",D4=""),"",IFERROR(D18/D4,""))</f>
        <v/>
      </c>
      <c r="E19" s="15">
        <f>IF(OR(E18="",E4=""),"",IFERROR(E18/E4,""))</f>
        <v/>
      </c>
      <c r="F19" s="15">
        <f>IF(OR(F18="",F4=""),"",IFERROR(F18/F4,""))</f>
        <v/>
      </c>
      <c r="G19" s="15">
        <f>IF(OR(G18="",G4=""),"",IFERROR(G18/G4,""))</f>
        <v/>
      </c>
      <c r="H19" s="15">
        <f>IF(OR(H18="",H4=""),"",IFERROR(H18/H4,""))</f>
        <v/>
      </c>
      <c r="I19" s="15">
        <f>IF(OR(I18="",I4=""),"",IFERROR(I18/I4,""))</f>
        <v/>
      </c>
      <c r="J19" s="15">
        <f>IF(OR(J18="",J4=""),"",IFERROR(J18/J4,""))</f>
        <v/>
      </c>
      <c r="K19" s="15">
        <f>IF(OR(K18="",K4=""),"",IFERROR(K18/K4,""))</f>
        <v/>
      </c>
      <c r="L19" s="15">
        <f>IF(OR(L18="",L4=""),"",IFERROR(L18/L4,""))</f>
        <v/>
      </c>
      <c r="M19" s="15">
        <f>IF(OR(M18="",M4=""),"",IFERROR(M18/M4,""))</f>
        <v/>
      </c>
      <c r="N19" s="15">
        <f>IF(OR(N18="",N4=""),"",IFERROR(N18/N4,""))</f>
        <v/>
      </c>
      <c r="O19" s="14">
        <f>IF(OR(O18="",O4=""),"",IFERROR(O18/O4,""))</f>
        <v/>
      </c>
      <c r="P19" s="15">
        <f>IF(OR(P18="",P4=""),"",IFERROR(P18/P4,""))</f>
        <v/>
      </c>
      <c r="Q19" s="15">
        <f>IF(OR(Q18="",Q4=""),"",IFERROR(Q18/Q4,""))</f>
        <v/>
      </c>
      <c r="R19" s="15">
        <f>IF(OR(R18="",R4=""),"",IFERROR(R18/R4,""))</f>
        <v/>
      </c>
      <c r="S19" s="15">
        <f>IF(OR(S18="",S4=""),"",IFERROR(S18/S4,""))</f>
        <v/>
      </c>
      <c r="T19" s="15">
        <f>IF(OR(T18="",T4=""),"",IFERROR(T18/T4,""))</f>
        <v/>
      </c>
      <c r="U19" s="15">
        <f>IF(OR(U18="",U4=""),"",IFERROR(U18/U4,""))</f>
        <v/>
      </c>
      <c r="V19" s="15">
        <f>IF(OR(V18="",V4=""),"",IFERROR(V18/V4,""))</f>
        <v/>
      </c>
      <c r="W19" s="15">
        <f>IF(OR(W18="",W4=""),"",IFERROR(W18/W4,""))</f>
        <v/>
      </c>
      <c r="X19" s="15">
        <f>IF(OR(X18="",X4=""),"",IFERROR(X18/X4,""))</f>
        <v/>
      </c>
      <c r="Y19" s="14">
        <f>IF(OR(Y18="",Y4=""),"",IFERROR(Y18/Y4,""))</f>
        <v/>
      </c>
      <c r="Z19" s="15">
        <f>IF(OR(Z18="",Z4=""),"",IFERROR(Z18/Z4,""))</f>
        <v/>
      </c>
      <c r="AA19" s="15">
        <f>IF(OR(AA18="",AA4=""),"",IFERROR(AA18/AA4,""))</f>
        <v/>
      </c>
      <c r="AB19" s="15">
        <f>IF(OR(AB18="",AB4=""),"",IFERROR(AB18/AB4,""))</f>
        <v/>
      </c>
      <c r="AC19" s="15">
        <f>IF(OR(AC18="",AC4=""),"",IFERROR(AC18/AC4,""))</f>
        <v/>
      </c>
    </row>
    <row r="20">
      <c r="A20" s="23" t="inlineStr">
        <is>
          <t>판매관리비</t>
        </is>
      </c>
      <c r="B20" s="23" t="n"/>
      <c r="C20" s="2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</row>
    <row r="21">
      <c r="A21" s="18" t="inlineStr">
        <is>
          <t>전체 판관비</t>
        </is>
      </c>
      <c r="B21" s="10" t="n"/>
      <c r="C21" s="19" t="n">
        <v>869.045</v>
      </c>
      <c r="D21" s="20" t="n">
        <v>862.9829999999999</v>
      </c>
      <c r="E21" s="20" t="n">
        <v>962.821</v>
      </c>
      <c r="F21" s="20" t="n">
        <v>958.977</v>
      </c>
      <c r="G21" s="20" t="n">
        <v>1076.895</v>
      </c>
      <c r="H21" s="20" t="n">
        <v>966.252</v>
      </c>
      <c r="I21" s="20" t="n">
        <v>1120.554</v>
      </c>
      <c r="J21" s="20" t="n">
        <v>1096.651</v>
      </c>
      <c r="K21" s="20" t="n">
        <v>1140.093</v>
      </c>
      <c r="L21" s="20" t="n">
        <v>1299.738</v>
      </c>
      <c r="M21" s="20" t="n">
        <v>1257.354</v>
      </c>
      <c r="N21" s="20" t="n">
        <v>1367.896</v>
      </c>
      <c r="O21" s="19" t="n">
        <v>796.518</v>
      </c>
      <c r="P21" s="20" t="n">
        <v>1065.724</v>
      </c>
      <c r="Q21" s="20" t="n">
        <v>2135.386</v>
      </c>
      <c r="R21" s="20" t="n">
        <v>2898.626</v>
      </c>
      <c r="S21" s="20" t="n">
        <v>3082.889</v>
      </c>
      <c r="T21" s="20" t="n">
        <v>3365.353</v>
      </c>
      <c r="U21" s="20" t="n">
        <v>3383.351</v>
      </c>
      <c r="V21" s="20" t="n">
        <v>3428.426</v>
      </c>
      <c r="W21" s="20" t="n">
        <v>3964.945</v>
      </c>
      <c r="X21" s="20" t="n">
        <v>4657.036</v>
      </c>
      <c r="Y21" s="19" t="n"/>
      <c r="Z21" s="20" t="n"/>
      <c r="AA21" s="20" t="n"/>
      <c r="AB21" s="20" t="n"/>
      <c r="AC21" s="20" t="n"/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150.897</v>
      </c>
      <c r="D22" s="12" t="n">
        <v>178.878</v>
      </c>
      <c r="E22" s="12" t="n">
        <v>164.769</v>
      </c>
      <c r="F22" s="12" t="n">
        <v>114.549</v>
      </c>
      <c r="G22" s="12" t="n">
        <v>55.315</v>
      </c>
      <c r="H22" s="12" t="n">
        <v>319.04</v>
      </c>
      <c r="I22" s="12" t="n">
        <v>215.528</v>
      </c>
      <c r="J22" s="12" t="n">
        <v>202.809</v>
      </c>
      <c r="K22" s="12" t="n">
        <v>286.677</v>
      </c>
      <c r="L22" s="12" t="n">
        <v>299.748</v>
      </c>
      <c r="M22" s="12" t="n">
        <v>402.365</v>
      </c>
      <c r="N22" s="12" t="n">
        <v>248.763</v>
      </c>
      <c r="O22" s="11" t="n">
        <v>166.968</v>
      </c>
      <c r="P22" s="12" t="n">
        <v>465.383</v>
      </c>
      <c r="Q22" s="12" t="n">
        <v>954.804</v>
      </c>
      <c r="R22" s="12" t="n">
        <v>471.095</v>
      </c>
      <c r="S22" s="12" t="n">
        <v>532.403</v>
      </c>
      <c r="T22" s="12" t="n">
        <v>354.651</v>
      </c>
      <c r="U22" s="12" t="n">
        <v>305.849</v>
      </c>
      <c r="V22" s="12" t="n">
        <v>520.076</v>
      </c>
      <c r="W22" s="12" t="n">
        <v>653.673</v>
      </c>
      <c r="X22" s="12" t="n">
        <v>1004.762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IF(O21="","",O21)</f>
        <v/>
      </c>
      <c r="P26" s="12">
        <f>IF(P21="","",P21)</f>
        <v/>
      </c>
      <c r="Q26" s="12">
        <f>IF(Q21="","",Q21)</f>
        <v/>
      </c>
      <c r="R26" s="12">
        <f>IF(R21="","",R21)</f>
        <v/>
      </c>
      <c r="S26" s="12">
        <f>IF(S21="","",S21)</f>
        <v/>
      </c>
      <c r="T26" s="12">
        <f>IF(T21="","",T21)</f>
        <v/>
      </c>
      <c r="U26" s="12">
        <f>IF(U21="","",U21)</f>
        <v/>
      </c>
      <c r="V26" s="12">
        <f>IF(V21="","",V21)</f>
        <v/>
      </c>
      <c r="W26" s="12">
        <f>IF(W21="","",W21)</f>
        <v/>
      </c>
      <c r="X26" s="12">
        <f>IF(X21="","",X21)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>
        <v>195.149</v>
      </c>
      <c r="P27" s="20" t="n">
        <v>298.002</v>
      </c>
      <c r="Q27" s="20" t="n">
        <v>571.822</v>
      </c>
      <c r="R27" s="20" t="n">
        <v>743.852</v>
      </c>
      <c r="S27" s="20" t="n">
        <v>799.7190000000001</v>
      </c>
      <c r="T27" s="20" t="n">
        <v>813.124</v>
      </c>
      <c r="U27" s="20" t="n">
        <v>795.872</v>
      </c>
      <c r="V27" s="20" t="n">
        <v>824.186</v>
      </c>
      <c r="W27" s="20" t="n">
        <v>1094.226</v>
      </c>
      <c r="X27" s="20" t="n">
        <v>1226.135</v>
      </c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>
        <v>35</v>
      </c>
      <c r="D38" s="20" t="n">
        <v>51.182</v>
      </c>
      <c r="E38" s="20" t="n">
        <v>0</v>
      </c>
      <c r="F38" s="20" t="n">
        <v>0</v>
      </c>
      <c r="G38" s="20" t="n">
        <v>0</v>
      </c>
      <c r="H38" s="20" t="n">
        <v>157.2</v>
      </c>
      <c r="I38" s="20" t="n"/>
      <c r="J38" s="20" t="n"/>
      <c r="K38" s="20" t="n"/>
      <c r="L38" s="20" t="n"/>
      <c r="M38" s="20" t="n"/>
      <c r="N38" s="20" t="n"/>
      <c r="O38" s="19" t="n">
        <v>61.999</v>
      </c>
      <c r="P38" s="20" t="n">
        <v>0</v>
      </c>
      <c r="Q38" s="20" t="n"/>
      <c r="R38" s="20" t="n"/>
      <c r="S38" s="20" t="n">
        <v>0</v>
      </c>
      <c r="T38" s="20" t="n">
        <v>40</v>
      </c>
      <c r="U38" s="20" t="n">
        <v>466.46</v>
      </c>
      <c r="V38" s="20" t="n">
        <v>396.434</v>
      </c>
      <c r="W38" s="20" t="n">
        <v>157.2</v>
      </c>
      <c r="X38" s="20" t="n">
        <v>19.298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55.632</v>
      </c>
      <c r="D40" s="20" t="n">
        <v>317.473</v>
      </c>
      <c r="E40" s="20" t="n">
        <v>0</v>
      </c>
      <c r="F40" s="20" t="n">
        <v>13.999</v>
      </c>
      <c r="G40" s="20" t="n">
        <v>83.61</v>
      </c>
      <c r="H40" s="20" t="n">
        <v>49.97</v>
      </c>
      <c r="I40" s="20" t="n"/>
      <c r="J40" s="20" t="n"/>
      <c r="K40" s="20" t="n">
        <v>0</v>
      </c>
      <c r="L40" s="20" t="n">
        <v>145.061</v>
      </c>
      <c r="M40" s="20" t="n"/>
      <c r="N40" s="20" t="n"/>
      <c r="O40" s="19" t="n">
        <v>0</v>
      </c>
      <c r="P40" s="20" t="n">
        <v>0.128</v>
      </c>
      <c r="Q40" s="20" t="n">
        <v>0</v>
      </c>
      <c r="R40" s="20" t="n">
        <v>78.533</v>
      </c>
      <c r="S40" s="20" t="n">
        <v>167.542</v>
      </c>
      <c r="T40" s="20" t="n">
        <v>1250.953</v>
      </c>
      <c r="U40" s="20" t="n">
        <v>182.462</v>
      </c>
      <c r="V40" s="20" t="n">
        <v>383.085</v>
      </c>
      <c r="W40" s="20" t="n">
        <v>147.579</v>
      </c>
      <c r="X40" s="20" t="n">
        <v>186.217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1.125</v>
      </c>
      <c r="D42" s="20" t="n">
        <v>-0.171</v>
      </c>
      <c r="E42" s="20" t="n">
        <v>8.723000000000001</v>
      </c>
      <c r="F42" s="20" t="n">
        <v>15.97</v>
      </c>
      <c r="G42" s="20" t="n">
        <v>0.646</v>
      </c>
      <c r="H42" s="20" t="n">
        <v>14.359</v>
      </c>
      <c r="I42" s="20" t="n">
        <v>0.407</v>
      </c>
      <c r="J42" s="20" t="n">
        <v>70.67100000000001</v>
      </c>
      <c r="K42" s="20" t="n">
        <v>47.577</v>
      </c>
      <c r="L42" s="20" t="n">
        <v>70.66200000000001</v>
      </c>
      <c r="M42" s="20" t="n">
        <v>55.785</v>
      </c>
      <c r="N42" s="20" t="n">
        <v>33.974</v>
      </c>
      <c r="O42" s="19" t="n">
        <v>0.255</v>
      </c>
      <c r="P42" s="20" t="n">
        <v>0.87</v>
      </c>
      <c r="Q42" s="20" t="n">
        <v>0.902</v>
      </c>
      <c r="R42" s="20" t="n">
        <v>1.036</v>
      </c>
      <c r="S42" s="20" t="n">
        <v>23.975</v>
      </c>
      <c r="T42" s="20" t="n">
        <v>3.821</v>
      </c>
      <c r="U42" s="20" t="n">
        <v>5.611</v>
      </c>
      <c r="V42" s="20" t="n">
        <v>3.757</v>
      </c>
      <c r="W42" s="20" t="n">
        <v>39.698</v>
      </c>
      <c r="X42" s="20" t="n">
        <v>189.317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77.746</v>
      </c>
      <c r="D44" s="20" t="n">
        <v>39.121</v>
      </c>
      <c r="E44" s="20" t="n">
        <v>129.14</v>
      </c>
      <c r="F44" s="20" t="n">
        <v>175.775</v>
      </c>
      <c r="G44" s="20" t="n">
        <v>78.652</v>
      </c>
      <c r="H44" s="20" t="n">
        <v>75.087</v>
      </c>
      <c r="I44" s="20" t="n">
        <v>26.493</v>
      </c>
      <c r="J44" s="20" t="n">
        <v>63.921</v>
      </c>
      <c r="K44" s="20" t="n">
        <v>27.183</v>
      </c>
      <c r="L44" s="20" t="n">
        <v>127.379</v>
      </c>
      <c r="M44" s="20" t="n">
        <v>14.773</v>
      </c>
      <c r="N44" s="20" t="n">
        <v>26.155</v>
      </c>
      <c r="O44" s="19" t="n">
        <v>8.891999999999999</v>
      </c>
      <c r="P44" s="20" t="n">
        <v>15.853</v>
      </c>
      <c r="Q44" s="20" t="n">
        <v>47.594</v>
      </c>
      <c r="R44" s="20" t="n">
        <v>90.048</v>
      </c>
      <c r="S44" s="20" t="n">
        <v>34.446</v>
      </c>
      <c r="T44" s="20" t="n">
        <v>58.284</v>
      </c>
      <c r="U44" s="20" t="n">
        <v>230.857</v>
      </c>
      <c r="V44" s="20" t="n">
        <v>260.559</v>
      </c>
      <c r="W44" s="20" t="n">
        <v>458.654</v>
      </c>
      <c r="X44" s="20" t="n">
        <v>244.976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53.645</v>
      </c>
      <c r="D46" s="12" t="n">
        <v>-126.706</v>
      </c>
      <c r="E46" s="12" t="n">
        <v>44.353</v>
      </c>
      <c r="F46" s="12" t="n">
        <v>-59.256</v>
      </c>
      <c r="G46" s="12" t="n">
        <v>-106.301</v>
      </c>
      <c r="H46" s="12" t="n">
        <v>365.542</v>
      </c>
      <c r="I46" s="12" t="n">
        <v>189.442</v>
      </c>
      <c r="J46" s="12" t="n">
        <v>168.402</v>
      </c>
      <c r="K46" s="12" t="n">
        <v>307.071</v>
      </c>
      <c r="L46" s="12" t="n">
        <v>117.269</v>
      </c>
      <c r="M46" s="12" t="n">
        <v>443.377</v>
      </c>
      <c r="N46" s="12" t="n">
        <v>264.246</v>
      </c>
      <c r="O46" s="11" t="n">
        <v>220.33</v>
      </c>
      <c r="P46" s="12" t="n">
        <v>450.272</v>
      </c>
      <c r="Q46" s="12" t="n">
        <v>908.111</v>
      </c>
      <c r="R46" s="12" t="n">
        <v>303.549</v>
      </c>
      <c r="S46" s="12" t="n">
        <v>354.389</v>
      </c>
      <c r="T46" s="12" t="n">
        <v>-910.764</v>
      </c>
      <c r="U46" s="12" t="n">
        <v>364.601</v>
      </c>
      <c r="V46" s="12" t="n">
        <v>276.623</v>
      </c>
      <c r="W46" s="12" t="n">
        <v>244.338</v>
      </c>
      <c r="X46" s="12" t="n">
        <v>782.184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8" t="inlineStr">
        <is>
          <t>법인세비용(수익)</t>
        </is>
      </c>
      <c r="B47" s="10" t="n"/>
      <c r="C47" s="19" t="n">
        <v>67.557</v>
      </c>
      <c r="D47" s="20" t="n">
        <v>-2.301</v>
      </c>
      <c r="E47" s="20" t="n">
        <v>24.823</v>
      </c>
      <c r="F47" s="20" t="n">
        <v>-288.316</v>
      </c>
      <c r="G47" s="20" t="n">
        <v>16.36</v>
      </c>
      <c r="H47" s="20" t="n">
        <v>55.366</v>
      </c>
      <c r="I47" s="20" t="n">
        <v>47.236</v>
      </c>
      <c r="J47" s="20" t="n">
        <v>54.099</v>
      </c>
      <c r="K47" s="20" t="n">
        <v>34.299</v>
      </c>
      <c r="L47" s="20" t="n">
        <v>3.413</v>
      </c>
      <c r="M47" s="20" t="n">
        <v>164.911</v>
      </c>
      <c r="N47" s="20" t="n">
        <v>87.008</v>
      </c>
      <c r="O47" s="19" t="n">
        <v>64.384</v>
      </c>
      <c r="P47" s="20" t="n">
        <v>157.077</v>
      </c>
      <c r="Q47" s="20" t="n">
        <v>349.005</v>
      </c>
      <c r="R47" s="20" t="n">
        <v>286.185</v>
      </c>
      <c r="S47" s="20" t="n">
        <v>333.359</v>
      </c>
      <c r="T47" s="20" t="n">
        <v>281.099</v>
      </c>
      <c r="U47" s="20" t="n">
        <v>293.475</v>
      </c>
      <c r="V47" s="20" t="n">
        <v>106.635</v>
      </c>
      <c r="W47" s="20" t="n">
        <v>-191.767</v>
      </c>
      <c r="X47" s="20" t="n">
        <v>139.047</v>
      </c>
      <c r="Y47" s="19">
        <f>IF(OR(Y46="",Y48=""),"",IFERROR(MAX(Y46,0)*Y48,""))</f>
        <v/>
      </c>
      <c r="Z47" s="20">
        <f>IF(OR(Z46="",Z48=""),"",IFERROR(MAX(Z46,0)*Z48,""))</f>
        <v/>
      </c>
      <c r="AA47" s="20">
        <f>IF(OR(AA46="",AA48=""),"",IFERROR(MAX(AA46,0)*AA48,""))</f>
        <v/>
      </c>
      <c r="AB47" s="20">
        <f>IF(OR(AB46="",AB48=""),"",IFERROR(MAX(AB46,0)*AB48,""))</f>
        <v/>
      </c>
      <c r="AC47" s="20">
        <f>IF(OR(AC46="",AC48=""),"",IFERROR(MAX(AC46,0)*AC48,""))</f>
        <v/>
      </c>
    </row>
    <row r="48">
      <c r="A48" s="13" t="inlineStr">
        <is>
          <t>법인세율</t>
        </is>
      </c>
      <c r="B48" s="10" t="inlineStr">
        <is>
          <t>MW 기본 30%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0.3</v>
      </c>
      <c r="Z48" s="26" t="n">
        <v>0.3</v>
      </c>
      <c r="AA48" s="26" t="n">
        <v>0.3</v>
      </c>
      <c r="AB48" s="26" t="n">
        <v>0.3</v>
      </c>
      <c r="AC48" s="26" t="n">
        <v>0.3</v>
      </c>
    </row>
    <row r="49">
      <c r="A49" s="9" t="inlineStr">
        <is>
          <t>당기순이익(손실)</t>
        </is>
      </c>
      <c r="B49" s="10" t="n"/>
      <c r="C49" s="11" t="n">
        <v>-13.913</v>
      </c>
      <c r="D49" s="12" t="n">
        <v>-124.404</v>
      </c>
      <c r="E49" s="12" t="n">
        <v>19.529</v>
      </c>
      <c r="F49" s="12" t="n">
        <v>229.06</v>
      </c>
      <c r="G49" s="12" t="n">
        <v>-122.66</v>
      </c>
      <c r="H49" s="12" t="n">
        <v>310.177</v>
      </c>
      <c r="I49" s="12" t="n">
        <v>142.206</v>
      </c>
      <c r="J49" s="12" t="n">
        <v>114.303</v>
      </c>
      <c r="K49" s="12" t="n">
        <v>272.772</v>
      </c>
      <c r="L49" s="12" t="n">
        <v>113.855</v>
      </c>
      <c r="M49" s="12" t="n">
        <v>278.466</v>
      </c>
      <c r="N49" s="12" t="n">
        <v>177.237</v>
      </c>
      <c r="O49" s="11" t="n">
        <v>155.945</v>
      </c>
      <c r="P49" s="12" t="n">
        <v>293.195</v>
      </c>
      <c r="Q49" s="12" t="n">
        <v>559.106</v>
      </c>
      <c r="R49" s="12" t="n">
        <v>17.363</v>
      </c>
      <c r="S49" s="12" t="n">
        <v>21.03</v>
      </c>
      <c r="T49" s="12" t="n">
        <v>-1191.864</v>
      </c>
      <c r="U49" s="12" t="n">
        <v>71.126</v>
      </c>
      <c r="V49" s="12" t="n">
        <v>169.988</v>
      </c>
      <c r="W49" s="12" t="n">
        <v>436.106</v>
      </c>
      <c r="X49" s="12" t="n">
        <v>643.136</v>
      </c>
      <c r="Y49" s="11">
        <f>IF(OR(Y46=""),"",IFERROR(Y46-Y47,""))</f>
        <v/>
      </c>
      <c r="Z49" s="12">
        <f>IF(OR(Z46=""),"",IFERROR(Z46-Z47,""))</f>
        <v/>
      </c>
      <c r="AA49" s="12">
        <f>IF(OR(AA46=""),"",IFERROR(AA46-AA47,""))</f>
        <v/>
      </c>
      <c r="AB49" s="12">
        <f>IF(OR(AB46=""),"",IFERROR(AB46-AB47,""))</f>
        <v/>
      </c>
      <c r="AC49" s="12">
        <f>IF(OR(AC46=""),"",IFERROR(AC46-AC47,""))</f>
        <v/>
      </c>
    </row>
    <row r="50">
      <c r="A50" s="9" t="inlineStr">
        <is>
          <t>지배주주 순이익</t>
        </is>
      </c>
      <c r="B50" s="10" t="n"/>
      <c r="C50" s="11" t="n">
        <v>-13.912</v>
      </c>
      <c r="D50" s="12" t="n">
        <v>-124.405</v>
      </c>
      <c r="E50" s="12" t="n">
        <v>20.372</v>
      </c>
      <c r="F50" s="12" t="n">
        <v>230.75</v>
      </c>
      <c r="G50" s="12" t="n">
        <v>-119.164</v>
      </c>
      <c r="H50" s="12" t="n">
        <v>303.498</v>
      </c>
      <c r="I50" s="12" t="n">
        <v>137.493</v>
      </c>
      <c r="J50" s="12" t="n">
        <v>116.926</v>
      </c>
      <c r="K50" s="12" t="n">
        <v>272.593</v>
      </c>
      <c r="L50" s="12" t="n">
        <v>112.204</v>
      </c>
      <c r="M50" s="12" t="n">
        <v>278.146</v>
      </c>
      <c r="N50" s="12" t="n">
        <v>177.141</v>
      </c>
      <c r="O50" s="11" t="n">
        <v>155.945</v>
      </c>
      <c r="P50" s="12" t="n">
        <v>293.195</v>
      </c>
      <c r="Q50" s="12" t="n">
        <v>559.106</v>
      </c>
      <c r="R50" s="12" t="n">
        <v>17.363</v>
      </c>
      <c r="S50" s="12" t="n">
        <v>21.03</v>
      </c>
      <c r="T50" s="12" t="n">
        <v>-1186.603</v>
      </c>
      <c r="U50" s="12" t="n">
        <v>64.51900000000001</v>
      </c>
      <c r="V50" s="12" t="n">
        <v>166.023</v>
      </c>
      <c r="W50" s="12" t="n">
        <v>435.456</v>
      </c>
      <c r="X50" s="12" t="n">
        <v>639.216</v>
      </c>
      <c r="Y50" s="11">
        <f>IF(OR(Y49="",Y51=""),"",IFERROR(Y49*Y51,""))</f>
        <v/>
      </c>
      <c r="Z50" s="12">
        <f>IF(OR(Z49="",Z51=""),"",IFERROR(Z49*Z51,""))</f>
        <v/>
      </c>
      <c r="AA50" s="12">
        <f>IF(OR(AA49="",AA51=""),"",IFERROR(AA49*AA51,""))</f>
        <v/>
      </c>
      <c r="AB50" s="12">
        <f>IF(OR(AB49="",AB51=""),"",IFERROR(AB49*AB51,""))</f>
        <v/>
      </c>
      <c r="AC50" s="12">
        <f>IF(OR(AC49="",AC51=""),"",IFERROR(AC49*AC51,""))</f>
        <v/>
      </c>
    </row>
    <row r="51">
      <c r="A51" s="13" t="inlineStr">
        <is>
          <t>지배주주 순이익률</t>
        </is>
      </c>
      <c r="B51" s="10" t="inlineStr">
        <is>
          <t>MW 기본 100%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1</v>
      </c>
      <c r="Z51" s="26" t="n">
        <v>1</v>
      </c>
      <c r="AA51" s="26" t="n">
        <v>1</v>
      </c>
      <c r="AB51" s="26" t="n">
        <v>1</v>
      </c>
      <c r="AC51" s="26" t="n">
        <v>1</v>
      </c>
    </row>
    <row r="52">
      <c r="A52" s="16" t="inlineStr">
        <is>
          <t>목표주가 산출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현재 주가 ()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8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8" t="n"/>
      <c r="Z53" s="29" t="n"/>
      <c r="AA53" s="29" t="n"/>
      <c r="AB53" s="29" t="n"/>
      <c r="AC53" s="29" t="n"/>
    </row>
    <row r="54">
      <c r="A54" s="18" t="inlineStr">
        <is>
          <t>발행주식수 (보통주)</t>
        </is>
      </c>
      <c r="B54" s="27" t="n"/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8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8" t="n"/>
      <c r="Z54" s="29" t="n"/>
      <c r="AA54" s="29" t="n"/>
      <c r="AB54" s="29" t="n"/>
      <c r="AC54" s="29" t="n"/>
    </row>
    <row r="55">
      <c r="A55" s="18" t="inlineStr">
        <is>
          <t>시가총액 (백만엔)</t>
        </is>
      </c>
      <c r="B55" s="12">
        <f>IF(OR(B53="",B54=""),"",B53*B54/1000000.0)</f>
        <v/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OPM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IF(O23="","",O23)</f>
        <v/>
      </c>
      <c r="P56" s="15">
        <f>IF(P23="","",P23)</f>
        <v/>
      </c>
      <c r="Q56" s="15">
        <f>IF(Q23="","",Q23)</f>
        <v/>
      </c>
      <c r="R56" s="15">
        <f>IF(R23="","",R23)</f>
        <v/>
      </c>
      <c r="S56" s="15">
        <f>IF(S23="","",S23)</f>
        <v/>
      </c>
      <c r="T56" s="15">
        <f>IF(T23="","",T23)</f>
        <v/>
      </c>
      <c r="U56" s="15">
        <f>IF(U23="","",U23)</f>
        <v/>
      </c>
      <c r="V56" s="15">
        <f>IF(V23="","",V23)</f>
        <v/>
      </c>
      <c r="W56" s="15">
        <f>IF(W23="","",W23)</f>
        <v/>
      </c>
      <c r="X56" s="15">
        <f>IF(X23="","",X23)</f>
        <v/>
      </c>
      <c r="Y56" s="14">
        <f>IF(Y23="","",Y23)</f>
        <v/>
      </c>
      <c r="Z56" s="15">
        <f>IF(Z23="","",Z23)</f>
        <v/>
      </c>
      <c r="AA56" s="15">
        <f>IF(AA23="","",AA23)</f>
        <v/>
      </c>
      <c r="AB56" s="15">
        <f>IF(AB23="","",AB23)</f>
        <v/>
      </c>
      <c r="AC56" s="15">
        <f>IF(AC23="","",AC23)</f>
        <v/>
      </c>
    </row>
    <row r="57">
      <c r="A57" s="13" t="inlineStr">
        <is>
          <t>지배주주 순이익 증가율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 t="n"/>
      <c r="P57" s="15">
        <f>IF(OR(P50="",O50=""),"",IFERROR(P50/O50-1,""))</f>
        <v/>
      </c>
      <c r="Q57" s="15">
        <f>IF(OR(Q50="",P50=""),"",IFERROR(Q50/P50-1,""))</f>
        <v/>
      </c>
      <c r="R57" s="15">
        <f>IF(OR(R50="",Q50=""),"",IFERROR(R50/Q50-1,""))</f>
        <v/>
      </c>
      <c r="S57" s="15">
        <f>IF(OR(S50="",R50=""),"",IFERROR(S50/R50-1,""))</f>
        <v/>
      </c>
      <c r="T57" s="15">
        <f>IF(OR(T50="",S50=""),"",IFERROR(T50/S50-1,""))</f>
        <v/>
      </c>
      <c r="U57" s="15">
        <f>IF(OR(U50="",T50=""),"",IFERROR(U50/T50-1,""))</f>
        <v/>
      </c>
      <c r="V57" s="15">
        <f>IF(OR(V50="",U50=""),"",IFERROR(V50/U50-1,""))</f>
        <v/>
      </c>
      <c r="W57" s="15">
        <f>IF(OR(W50="",V50=""),"",IFERROR(W50/V50-1,""))</f>
        <v/>
      </c>
      <c r="X57" s="15">
        <f>IF(OR(X50="",W50=""),"",IFERROR(X50/W50-1,""))</f>
        <v/>
      </c>
      <c r="Y57" s="14">
        <f>IF(OR(Y50="",X50=""),"",IFERROR(Y50/X50-1,""))</f>
        <v/>
      </c>
      <c r="Z57" s="15">
        <f>IF(OR(Z50="",Y50=""),"",IFERROR(Z50/Y50-1,""))</f>
        <v/>
      </c>
      <c r="AA57" s="15">
        <f>IF(OR(AA50="",Z50=""),"",IFERROR(AA50/Z50-1,""))</f>
        <v/>
      </c>
      <c r="AB57" s="15">
        <f>IF(OR(AB50="",AA50=""),"",IFERROR(AB50/AA50-1,""))</f>
        <v/>
      </c>
      <c r="AC57" s="15">
        <f>IF(OR(AC50="",AB50=""),"",IFERROR(AC50/AB50-1,""))</f>
        <v/>
      </c>
    </row>
    <row r="58">
      <c r="A58" s="18" t="inlineStr">
        <is>
          <t>P/E (현재 주가)</t>
        </is>
      </c>
      <c r="B58" s="10" t="inlineStr">
        <is>
          <t>시총 ÷ 지배순이익</t>
        </is>
      </c>
      <c r="C58" s="30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0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>
        <f>IF(OR($B$55="",X50=""),"",IFERROR($B$55/X50,""))</f>
        <v/>
      </c>
      <c r="Y58" s="30">
        <f>IF(OR($B$55="",Y50=""),"",IFERROR($B$55/Y50,""))</f>
        <v/>
      </c>
      <c r="Z58" s="31">
        <f>IF(OR($B$55="",Z50=""),"",IFERROR($B$55/Z50,""))</f>
        <v/>
      </c>
      <c r="AA58" s="31">
        <f>IF(OR($B$55="",AA50=""),"",IFERROR($B$55/AA50,""))</f>
        <v/>
      </c>
      <c r="AB58" s="31">
        <f>IF(OR($B$55="",AB50=""),"",IFERROR($B$55/AB50,""))</f>
        <v/>
      </c>
      <c r="AC58" s="31">
        <f>IF(OR($B$55="",AC50=""),"",IFERROR($B$55/AC50,""))</f>
        <v/>
      </c>
    </row>
    <row r="59">
      <c r="A59" s="18" t="inlineStr">
        <is>
          <t>Target P/E</t>
        </is>
      </c>
      <c r="B59" s="10" t="inlineStr">
        <is>
          <t>직접 입력</t>
        </is>
      </c>
      <c r="C59" s="30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0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2" t="n"/>
      <c r="Z59" s="33" t="n"/>
      <c r="AA59" s="33" t="n"/>
      <c r="AB59" s="33" t="n"/>
      <c r="AC59" s="33" t="n"/>
    </row>
    <row r="60">
      <c r="A60" s="18" t="inlineStr">
        <is>
          <t>EPS</t>
        </is>
      </c>
      <c r="B60" s="10" t="inlineStr">
        <is>
          <t>지배순이익 ÷ 주식수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>
        <f>IF(OR(O50="",$B$54=""),"",IFERROR(O50*1000000.0/$B$54,""))</f>
        <v/>
      </c>
      <c r="P60" s="29">
        <f>IF(OR(P50="",$B$54=""),"",IFERROR(P50*1000000.0/$B$54,""))</f>
        <v/>
      </c>
      <c r="Q60" s="29">
        <f>IF(OR(Q50="",$B$54=""),"",IFERROR(Q50*1000000.0/$B$54,""))</f>
        <v/>
      </c>
      <c r="R60" s="29">
        <f>IF(OR(R50="",$B$54=""),"",IFERROR(R50*1000000.0/$B$54,""))</f>
        <v/>
      </c>
      <c r="S60" s="29">
        <f>IF(OR(S50="",$B$54=""),"",IFERROR(S50*1000000.0/$B$54,""))</f>
        <v/>
      </c>
      <c r="T60" s="29">
        <f>IF(OR(T50="",$B$54=""),"",IFERROR(T50*1000000.0/$B$54,""))</f>
        <v/>
      </c>
      <c r="U60" s="29">
        <f>IF(OR(U50="",$B$54=""),"",IFERROR(U50*1000000.0/$B$54,""))</f>
        <v/>
      </c>
      <c r="V60" s="29">
        <f>IF(OR(V50="",$B$54=""),"",IFERROR(V50*1000000.0/$B$54,""))</f>
        <v/>
      </c>
      <c r="W60" s="29">
        <f>IF(OR(W50="",$B$54=""),"",IFERROR(W50*1000000.0/$B$54,""))</f>
        <v/>
      </c>
      <c r="X60" s="29">
        <f>IF(OR(X50="",$B$54=""),"",IFERROR(X50*1000000.0/$B$54,""))</f>
        <v/>
      </c>
      <c r="Y60" s="28">
        <f>IF(OR(Y50="",$B$54=""),"",IFERROR(Y50*1000000.0/$B$54,""))</f>
        <v/>
      </c>
      <c r="Z60" s="29">
        <f>IF(OR(Z50="",$B$54=""),"",IFERROR(Z50*1000000.0/$B$54,""))</f>
        <v/>
      </c>
      <c r="AA60" s="29">
        <f>IF(OR(AA50="",$B$54=""),"",IFERROR(AA50*1000000.0/$B$54,""))</f>
        <v/>
      </c>
      <c r="AB60" s="29">
        <f>IF(OR(AB50="",$B$54=""),"",IFERROR(AB50*1000000.0/$B$54,""))</f>
        <v/>
      </c>
      <c r="AC60" s="29">
        <f>IF(OR(AC50="",$B$54=""),"",IFERROR(AC50*1000000.0/$B$54,""))</f>
        <v/>
      </c>
    </row>
    <row r="61">
      <c r="A61" s="9" t="inlineStr">
        <is>
          <t>목표주가</t>
        </is>
      </c>
      <c r="B61" s="10" t="n"/>
      <c r="C61" s="34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34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34">
        <f>IF(OR(Y60="",Y59=""),"",IFERROR(Y60*Y59,""))</f>
        <v/>
      </c>
      <c r="Z61" s="27">
        <f>IF(OR(Z60="",Z59=""),"",IFERROR(Z60*Z59,""))</f>
        <v/>
      </c>
      <c r="AA61" s="27">
        <f>IF(OR(AA60="",AA59=""),"",IFERROR(AA60*AA59,""))</f>
        <v/>
      </c>
      <c r="AB61" s="27">
        <f>IF(OR(AB60="",AB59=""),"",IFERROR(AB60*AB59,""))</f>
        <v/>
      </c>
      <c r="AC61" s="27">
        <f>IF(OR(AC60="",AC59=""),"",IFERROR(AC60*AC59,""))</f>
        <v/>
      </c>
    </row>
    <row r="62">
      <c r="A62" s="18" t="inlineStr">
        <is>
          <t>상승여력</t>
        </is>
      </c>
      <c r="B62" s="10" t="n"/>
      <c r="C62" s="35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5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7">
        <f>IF(OR(Y61="",$B$53=""),"",IFERROR(Y61/$B$53-1,""))</f>
        <v/>
      </c>
      <c r="Z62" s="38">
        <f>IF(OR(Z61="",$B$53=""),"",IFERROR(Z61/$B$53-1,""))</f>
        <v/>
      </c>
      <c r="AA62" s="38">
        <f>IF(OR(AA61="",$B$53=""),"",IFERROR(AA61/$B$53-1,""))</f>
        <v/>
      </c>
      <c r="AB62" s="38">
        <f>IF(OR(AB61="",$B$53=""),"",IFERROR(AB61/$B$53-1,""))</f>
        <v/>
      </c>
      <c r="AC62" s="38">
        <f>IF(OR(AC61="",$B$53=""),"",IFERROR(AC61/$B$53-1,""))</f>
        <v/>
      </c>
    </row>
    <row r="63">
      <c r="A63" s="16" t="inlineStr">
        <is>
          <t>자산가치 산출</t>
        </is>
      </c>
      <c r="B63" s="16" t="inlineStr">
        <is>
          <t>최신 분기 BS</t>
        </is>
      </c>
      <c r="C63" s="17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7" t="n"/>
      <c r="Z63" s="16" t="n"/>
      <c r="AA63" s="16" t="n"/>
      <c r="AB63" s="16" t="n"/>
      <c r="AC63" s="16" t="n"/>
    </row>
    <row r="64">
      <c r="A64" s="18" t="inlineStr">
        <is>
          <t>현금및현금성자산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'재무상태표'!G6</f>
        <v/>
      </c>
      <c r="Y64" s="19">
        <f>'재무상태표'!G6</f>
        <v/>
      </c>
      <c r="Z64" s="20">
        <f>'재무상태표'!G6</f>
        <v/>
      </c>
      <c r="AA64" s="20">
        <f>'재무상태표'!G6</f>
        <v/>
      </c>
      <c r="AB64" s="20">
        <f>'재무상태표'!G6</f>
        <v/>
      </c>
      <c r="AC64" s="20">
        <f>'재무상태표'!G6</f>
        <v/>
      </c>
    </row>
    <row r="65">
      <c r="A65" s="18" t="inlineStr">
        <is>
          <t>단기금융상품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'재무상태표'!G7</f>
        <v/>
      </c>
      <c r="Y65" s="19">
        <f>'재무상태표'!G7</f>
        <v/>
      </c>
      <c r="Z65" s="20">
        <f>'재무상태표'!G7</f>
        <v/>
      </c>
      <c r="AA65" s="20">
        <f>'재무상태표'!G7</f>
        <v/>
      </c>
      <c r="AB65" s="20">
        <f>'재무상태표'!G7</f>
        <v/>
      </c>
      <c r="AC65" s="20">
        <f>'재무상태표'!G7</f>
        <v/>
      </c>
    </row>
    <row r="66">
      <c r="A66" s="18" t="inlineStr">
        <is>
          <t>투자부동산</t>
        </is>
      </c>
      <c r="B66" s="10" t="n"/>
      <c r="C66" s="19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19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>
        <f>'재무상태표'!G14</f>
        <v/>
      </c>
      <c r="Y66" s="19">
        <f>'재무상태표'!G14</f>
        <v/>
      </c>
      <c r="Z66" s="20">
        <f>'재무상태표'!G14</f>
        <v/>
      </c>
      <c r="AA66" s="20">
        <f>'재무상태표'!G14</f>
        <v/>
      </c>
      <c r="AB66" s="20">
        <f>'재무상태표'!G14</f>
        <v/>
      </c>
      <c r="AC66" s="20">
        <f>'재무상태표'!G14</f>
        <v/>
      </c>
    </row>
    <row r="67">
      <c r="A67" s="18" t="inlineStr">
        <is>
          <t>지배자본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'재무상태표'!G31</f>
        <v/>
      </c>
      <c r="Y67" s="19">
        <f>'재무상태표'!G31</f>
        <v/>
      </c>
      <c r="Z67" s="20">
        <f>'재무상태표'!G31</f>
        <v/>
      </c>
      <c r="AA67" s="20">
        <f>'재무상태표'!G31</f>
        <v/>
      </c>
      <c r="AB67" s="20">
        <f>'재무상태표'!G31</f>
        <v/>
      </c>
      <c r="AC67" s="20">
        <f>'재무상태표'!G31</f>
        <v/>
      </c>
    </row>
    <row r="68">
      <c r="A68" s="18" t="inlineStr">
        <is>
          <t>부채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'재무상태표'!G27</f>
        <v/>
      </c>
      <c r="Y68" s="19">
        <f>'재무상태표'!G27</f>
        <v/>
      </c>
      <c r="Z68" s="20">
        <f>'재무상태표'!G27</f>
        <v/>
      </c>
      <c r="AA68" s="20">
        <f>'재무상태표'!G27</f>
        <v/>
      </c>
      <c r="AB68" s="20">
        <f>'재무상태표'!G27</f>
        <v/>
      </c>
      <c r="AC68" s="20">
        <f>'재무상태표'!G27</f>
        <v/>
      </c>
    </row>
    <row r="69">
      <c r="A69" s="13" t="inlineStr">
        <is>
          <t>부채비율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>
        <f>IF(OR(X68="",X67=""),"",IFERROR(X68/X67,""))</f>
        <v/>
      </c>
      <c r="Y69" s="14">
        <f>IF(OR(Y68="",Y67=""),"",IFERROR(Y68/Y67,""))</f>
        <v/>
      </c>
      <c r="Z69" s="15">
        <f>IF(OR(Z68="",Z67=""),"",IFERROR(Z68/Z67,""))</f>
        <v/>
      </c>
      <c r="AA69" s="15">
        <f>IF(OR(AA68="",AA67=""),"",IFERROR(AA68/AA67,""))</f>
        <v/>
      </c>
      <c r="AB69" s="15">
        <f>IF(OR(AB68="",AB67=""),"",IFERROR(AB68/AB67,""))</f>
        <v/>
      </c>
      <c r="AC69" s="15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6" t="inlineStr">
        <is>
          <t>기업가치 산출</t>
        </is>
      </c>
      <c r="B71" s="16" t="n"/>
      <c r="C71" s="17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7" t="n"/>
      <c r="Z71" s="16" t="n"/>
      <c r="AA71" s="16" t="n"/>
      <c r="AB71" s="16" t="n"/>
      <c r="AC71" s="16" t="n"/>
    </row>
    <row r="72">
      <c r="A72" s="18" t="inlineStr">
        <is>
          <t>목표 시가총액 (P/E)</t>
        </is>
      </c>
      <c r="B72" s="10" t="inlineStr">
        <is>
          <t>지배순이익 × Target P/E</t>
        </is>
      </c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19">
        <f>IF(OR(Y50="",Y59=""),"",IFERROR(Y50*Y59,""))</f>
        <v/>
      </c>
      <c r="Z72" s="20">
        <f>IF(OR(Z50="",Z59=""),"",IFERROR(Z50*Z59,""))</f>
        <v/>
      </c>
      <c r="AA72" s="20">
        <f>IF(OR(AA50="",AA59=""),"",IFERROR(AA50*AA59,""))</f>
        <v/>
      </c>
      <c r="AB72" s="20">
        <f>IF(OR(AB50="",AB59=""),"",IFERROR(AB50*AB59,""))</f>
        <v/>
      </c>
      <c r="AC72" s="20">
        <f>IF(OR(AC50="",AC59=""),"",IFERROR(AC50*AC59,""))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18" t="inlineStr">
        <is>
          <t>현재 시가총액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19">
        <f>$B$55</f>
        <v/>
      </c>
      <c r="Z74" s="20">
        <f>$B$55</f>
        <v/>
      </c>
      <c r="AA74" s="20">
        <f>$B$55</f>
        <v/>
      </c>
      <c r="AB74" s="20">
        <f>$B$55</f>
        <v/>
      </c>
      <c r="AC74" s="20">
        <f>$B$55</f>
        <v/>
      </c>
    </row>
    <row r="75">
      <c r="A75" s="18" t="inlineStr">
        <is>
          <t>상승여력</t>
        </is>
      </c>
      <c r="B75" s="10" t="n"/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5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7">
        <f>IF(OR(Y73="",Y74=""),"",IFERROR(Y73/Y74-1,""))</f>
        <v/>
      </c>
      <c r="Z75" s="38">
        <f>IF(OR(Z73="",Z74=""),"",IFERROR(Z73/Z74-1,""))</f>
        <v/>
      </c>
      <c r="AA75" s="38">
        <f>IF(OR(AA73="",AA74=""),"",IFERROR(AA73/AA74-1,""))</f>
        <v/>
      </c>
      <c r="AB75" s="38">
        <f>IF(OR(AB73="",AB74=""),"",IFERROR(AB73/AB74-1,""))</f>
        <v/>
      </c>
      <c r="AC75" s="38">
        <f>IF(OR(AC73="",AC74=""),"",IFERROR(AC73/AC74-1,""))</f>
        <v/>
      </c>
    </row>
    <row r="76">
      <c r="C76" s="39" t="n"/>
      <c r="O76" s="39" t="n"/>
      <c r="Y76" s="39" t="n"/>
    </row>
    <row r="77">
      <c r="A77" s="40" t="inlineStr">
        <is>
          <t>출처</t>
        </is>
      </c>
      <c r="C77" s="39" t="n"/>
      <c r="O77" s="39" t="n"/>
      <c r="Y77" s="39" t="n"/>
    </row>
    <row r="78">
      <c r="A78" s="41" t="inlineStr">
        <is>
          <t>결산단신 XBRL(TDnet·JPX 보관소) — 쓴 문서는 '출처' 시트</t>
        </is>
      </c>
      <c r="C78" s="39" t="n"/>
      <c r="O78" s="39" t="n"/>
      <c r="Y78" s="39" t="n"/>
    </row>
    <row r="79">
      <c r="A79" s="41" t="inlineStr">
        <is>
          <t>분기 = 누계에서 앞 분기를 뺀 3개월 값</t>
        </is>
      </c>
      <c r="C79" s="39" t="n"/>
      <c r="O79" s="39" t="n"/>
      <c r="Y79" s="39" t="n"/>
    </row>
    <row r="80">
      <c r="A80" s="41" t="inlineStr">
        <is>
          <t>주가: 야후 파이낸스 일봉</t>
        </is>
      </c>
      <c r="C80" s="39" t="n"/>
      <c r="O80" s="39" t="n"/>
      <c r="Y80" s="39" t="n"/>
    </row>
    <row r="82">
      <c r="A82" s="16" t="inlineStr">
        <is>
          <t>손익계산서 · 전 항목</t>
        </is>
      </c>
      <c r="B82" s="42" t="inlineStr">
        <is>
          <t>분기 = 3개월 단독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1569.326</v>
      </c>
      <c r="D84" s="12" t="n">
        <v>1683.163</v>
      </c>
      <c r="E84" s="12" t="n">
        <v>1783.669</v>
      </c>
      <c r="F84" s="12" t="n">
        <v>1682.389</v>
      </c>
      <c r="G84" s="12" t="n">
        <v>1808.681</v>
      </c>
      <c r="H84" s="12" t="n">
        <v>1949.706</v>
      </c>
      <c r="I84" s="12" t="n">
        <v>1960.829</v>
      </c>
      <c r="J84" s="12" t="n">
        <v>1904.09</v>
      </c>
      <c r="K84" s="12" t="n">
        <v>2040.947</v>
      </c>
      <c r="L84" s="12" t="n">
        <v>2242.222</v>
      </c>
      <c r="M84" s="12" t="n">
        <v>2328.693</v>
      </c>
      <c r="N84" s="12" t="n">
        <v>2286.719</v>
      </c>
      <c r="T84" s="12" t="n">
        <v>1499.027</v>
      </c>
      <c r="U84" s="12" t="n">
        <v>1521.682</v>
      </c>
      <c r="V84" s="12" t="n">
        <v>1683.163</v>
      </c>
      <c r="W84" s="12" t="n">
        <v>1949.706</v>
      </c>
      <c r="X84" s="12" t="n">
        <v>2242.222</v>
      </c>
    </row>
    <row r="85">
      <c r="A85" s="43" t="inlineStr">
        <is>
          <t>YoY</t>
        </is>
      </c>
      <c r="B85" s="3" t="inlineStr">
        <is>
          <t>전년 같은 분기·전년 대비</t>
        </is>
      </c>
      <c r="G85" s="15">
        <f>IF(OR(G84="",C84=""),"",IF(C84&lt;=0,"",IFERROR(G84/C84-1,"")))</f>
        <v/>
      </c>
      <c r="H85" s="15">
        <f>IF(OR(H84="",D84=""),"",IF(D84&lt;=0,"",IFERROR(H84/D84-1,"")))</f>
        <v/>
      </c>
      <c r="I85" s="15">
        <f>IF(OR(I84="",E84=""),"",IF(E84&lt;=0,"",IFERROR(I84/E84-1,"")))</f>
        <v/>
      </c>
      <c r="J85" s="15">
        <f>IF(OR(J84="",F84=""),"",IF(F84&lt;=0,"",IFERROR(J84/F84-1,"")))</f>
        <v/>
      </c>
      <c r="K85" s="15">
        <f>IF(OR(K84="",G84=""),"",IF(G84&lt;=0,"",IFERROR(K84/G84-1,"")))</f>
        <v/>
      </c>
      <c r="L85" s="15">
        <f>IF(OR(L84="",H84=""),"",IF(H84&lt;=0,"",IFERROR(L84/H84-1,"")))</f>
        <v/>
      </c>
      <c r="M85" s="15">
        <f>IF(OR(M84="",I84=""),"",IF(I84&lt;=0,"",IFERROR(M84/I84-1,"")))</f>
        <v/>
      </c>
      <c r="N85" s="15">
        <f>IF(OR(N84="",J84=""),"",IF(J84&lt;=0,"",IFERROR(N84/J84-1,"")))</f>
        <v/>
      </c>
      <c r="T85" s="15">
        <f>IF(OR(T84="",S84=""),"",IF(S84&lt;=0,"",IFERROR(T84/S84-1,"")))</f>
        <v/>
      </c>
      <c r="U85" s="15">
        <f>IF(OR(U84="",T84=""),"",IF(T84&lt;=0,"",IFERROR(U84/T84-1,"")))</f>
        <v/>
      </c>
      <c r="V85" s="15">
        <f>IF(OR(V84="",U84=""),"",IF(U84&lt;=0,"",IFERROR(V84/U84-1,"")))</f>
        <v/>
      </c>
      <c r="W85" s="15">
        <f>IF(OR(W84="",V84=""),"",IF(V84&lt;=0,"",IFERROR(W84/V84-1,"")))</f>
        <v/>
      </c>
      <c r="X85" s="15">
        <f>IF(OR(X84="",W84=""),"",IF(W84&lt;=0,"",IFERROR(X84/W84-1,"")))</f>
        <v/>
      </c>
    </row>
    <row r="86">
      <c r="A86" s="18" t="inlineStr">
        <is>
          <t>매출원가</t>
        </is>
      </c>
      <c r="C86" s="20" t="n">
        <v>549.384</v>
      </c>
      <c r="D86" s="20" t="n">
        <v>641.302</v>
      </c>
      <c r="E86" s="20" t="n">
        <v>656.078</v>
      </c>
      <c r="F86" s="20" t="n">
        <v>608.862</v>
      </c>
      <c r="G86" s="20" t="n">
        <v>676.472</v>
      </c>
      <c r="H86" s="20" t="n">
        <v>664.415</v>
      </c>
      <c r="I86" s="20" t="n">
        <v>624.746</v>
      </c>
      <c r="J86" s="20" t="n">
        <v>604.63</v>
      </c>
      <c r="K86" s="20" t="n">
        <v>614.176</v>
      </c>
      <c r="L86" s="20" t="n">
        <v>642.737</v>
      </c>
      <c r="M86" s="20" t="n">
        <v>668.973</v>
      </c>
      <c r="N86" s="20" t="n">
        <v>670.0599999999999</v>
      </c>
      <c r="T86" s="20" t="n">
        <v>570.515</v>
      </c>
      <c r="U86" s="20" t="n">
        <v>556.125</v>
      </c>
      <c r="V86" s="20" t="n">
        <v>641.302</v>
      </c>
      <c r="W86" s="20" t="n">
        <v>664.415</v>
      </c>
      <c r="X86" s="20" t="n">
        <v>642.737</v>
      </c>
    </row>
    <row r="87">
      <c r="A87" s="9" t="inlineStr">
        <is>
          <t>매출총이익</t>
        </is>
      </c>
      <c r="C87" s="12" t="n">
        <v>1019.941</v>
      </c>
      <c r="D87" s="12" t="n">
        <v>1041.861</v>
      </c>
      <c r="E87" s="12" t="n">
        <v>1127.591</v>
      </c>
      <c r="F87" s="12" t="n">
        <v>1073.526</v>
      </c>
      <c r="G87" s="12" t="n">
        <v>1132.209</v>
      </c>
      <c r="H87" s="12" t="n">
        <v>1285.292</v>
      </c>
      <c r="I87" s="12" t="n">
        <v>1336.082</v>
      </c>
      <c r="J87" s="12" t="n">
        <v>1299.461</v>
      </c>
      <c r="K87" s="12" t="n">
        <v>1426.77</v>
      </c>
      <c r="L87" s="12" t="n">
        <v>1599.486</v>
      </c>
      <c r="M87" s="12" t="n">
        <v>1659.72</v>
      </c>
      <c r="N87" s="12" t="n">
        <v>1616.659</v>
      </c>
      <c r="T87" s="12" t="n">
        <v>928.513</v>
      </c>
      <c r="U87" s="12" t="n">
        <v>965.556</v>
      </c>
      <c r="V87" s="12" t="n">
        <v>1041.861</v>
      </c>
      <c r="W87" s="12" t="n">
        <v>1285.292</v>
      </c>
      <c r="X87" s="12" t="n">
        <v>1599.486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판매비와 관리비</t>
        </is>
      </c>
      <c r="C89" s="20" t="n">
        <v>869.045</v>
      </c>
      <c r="D89" s="20" t="n">
        <v>862.9829999999999</v>
      </c>
      <c r="E89" s="20" t="n">
        <v>962.821</v>
      </c>
      <c r="F89" s="20" t="n">
        <v>958.977</v>
      </c>
      <c r="G89" s="20" t="n">
        <v>1076.895</v>
      </c>
      <c r="H89" s="20" t="n">
        <v>966.252</v>
      </c>
      <c r="I89" s="20" t="n">
        <v>1120.554</v>
      </c>
      <c r="J89" s="20" t="n">
        <v>1096.651</v>
      </c>
      <c r="K89" s="20" t="n">
        <v>1140.093</v>
      </c>
      <c r="L89" s="20" t="n">
        <v>1299.738</v>
      </c>
      <c r="M89" s="20" t="n">
        <v>1257.354</v>
      </c>
      <c r="N89" s="20" t="n">
        <v>1367.896</v>
      </c>
      <c r="T89" s="20" t="n">
        <v>863.059</v>
      </c>
      <c r="U89" s="20" t="n">
        <v>849.992</v>
      </c>
      <c r="V89" s="20" t="n">
        <v>862.9829999999999</v>
      </c>
      <c r="W89" s="20" t="n">
        <v>966.252</v>
      </c>
      <c r="X89" s="20" t="n">
        <v>1299.738</v>
      </c>
    </row>
    <row r="90">
      <c r="A90" s="9" t="inlineStr">
        <is>
          <t>영업이익</t>
        </is>
      </c>
      <c r="C90" s="12" t="n">
        <v>150.897</v>
      </c>
      <c r="D90" s="12" t="n">
        <v>178.878</v>
      </c>
      <c r="E90" s="12" t="n">
        <v>164.769</v>
      </c>
      <c r="F90" s="12" t="n">
        <v>114.549</v>
      </c>
      <c r="G90" s="12" t="n">
        <v>55.315</v>
      </c>
      <c r="H90" s="12" t="n">
        <v>319.04</v>
      </c>
      <c r="I90" s="12" t="n">
        <v>215.528</v>
      </c>
      <c r="J90" s="12" t="n">
        <v>202.809</v>
      </c>
      <c r="K90" s="12" t="n">
        <v>286.677</v>
      </c>
      <c r="L90" s="12" t="n">
        <v>299.748</v>
      </c>
      <c r="M90" s="12" t="n">
        <v>402.365</v>
      </c>
      <c r="N90" s="12" t="n">
        <v>248.763</v>
      </c>
      <c r="T90" s="12" t="n">
        <v>65.453</v>
      </c>
      <c r="U90" s="12" t="n">
        <v>115.565</v>
      </c>
      <c r="V90" s="12" t="n">
        <v>178.878</v>
      </c>
      <c r="W90" s="12" t="n">
        <v>319.04</v>
      </c>
      <c r="X90" s="12" t="n">
        <v>299.748</v>
      </c>
    </row>
    <row r="91">
      <c r="A91" s="43" t="inlineStr">
        <is>
          <t>OPM</t>
        </is>
      </c>
      <c r="B91" s="3" t="inlineStr">
        <is>
          <t>영업이익 ÷ 매출</t>
        </is>
      </c>
      <c r="C91" s="15">
        <f>IF(OR(C90="",C84=""),"",IF(C84&lt;=0,"",IFERROR(C90/C84,"")))</f>
        <v/>
      </c>
      <c r="D91" s="15">
        <f>IF(OR(D90="",D84=""),"",IF(D84&lt;=0,"",IFERROR(D90/D84,"")))</f>
        <v/>
      </c>
      <c r="E91" s="15">
        <f>IF(OR(E90="",E84=""),"",IF(E84&lt;=0,"",IFERROR(E90/E84,"")))</f>
        <v/>
      </c>
      <c r="F91" s="15">
        <f>IF(OR(F90="",F84=""),"",IF(F84&lt;=0,"",IFERROR(F90/F84,"")))</f>
        <v/>
      </c>
      <c r="G91" s="15">
        <f>IF(OR(G90="",G84=""),"",IF(G84&lt;=0,"",IFERROR(G90/G84,"")))</f>
        <v/>
      </c>
      <c r="H91" s="15">
        <f>IF(OR(H90="",H84=""),"",IF(H84&lt;=0,"",IFERROR(H90/H84,"")))</f>
        <v/>
      </c>
      <c r="I91" s="15">
        <f>IF(OR(I90="",I84=""),"",IF(I84&lt;=0,"",IFERROR(I90/I84,"")))</f>
        <v/>
      </c>
      <c r="J91" s="15">
        <f>IF(OR(J90="",J84=""),"",IF(J84&lt;=0,"",IFERROR(J90/J84,"")))</f>
        <v/>
      </c>
      <c r="K91" s="15">
        <f>IF(OR(K90="",K84=""),"",IF(K84&lt;=0,"",IFERROR(K90/K84,"")))</f>
        <v/>
      </c>
      <c r="L91" s="15">
        <f>IF(OR(L90="",L84=""),"",IF(L84&lt;=0,"",IFERROR(L90/L84,"")))</f>
        <v/>
      </c>
      <c r="M91" s="15">
        <f>IF(OR(M90="",M84=""),"",IF(M84&lt;=0,"",IFERROR(M90/M84,"")))</f>
        <v/>
      </c>
      <c r="N91" s="15">
        <f>IF(OR(N90="",N84=""),"",IF(N84&lt;=0,"",IFERROR(N90/N84,"")))</f>
        <v/>
      </c>
      <c r="T91" s="15">
        <f>IF(OR(T90="",T84=""),"",IF(T84&lt;=0,"",IFERROR(T90/T84,"")))</f>
        <v/>
      </c>
      <c r="U91" s="15">
        <f>IF(OR(U90="",U84=""),"",IF(U84&lt;=0,"",IFERROR(U90/U84,"")))</f>
        <v/>
      </c>
      <c r="V91" s="15">
        <f>IF(OR(V90="",V84=""),"",IF(V84&lt;=0,"",IFERROR(V90/V84,"")))</f>
        <v/>
      </c>
      <c r="W91" s="15">
        <f>IF(OR(W90="",W84=""),"",IF(W84&lt;=0,"",IFERROR(W90/W84,"")))</f>
        <v/>
      </c>
      <c r="X91" s="15">
        <f>IF(OR(X90="",X84=""),"",IF(X84&lt;=0,"",IFERROR(X90/X84,"")))</f>
        <v/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IF(OR(G90="",C90=""),"",IF(C90&lt;=0,"",IFERROR(G90/C90-1,"")))</f>
        <v/>
      </c>
      <c r="H92" s="15">
        <f>IF(OR(H90="",D90=""),"",IF(D90&lt;=0,"",IFERROR(H90/D90-1,"")))</f>
        <v/>
      </c>
      <c r="I92" s="15">
        <f>IF(OR(I90="",E90=""),"",IF(E90&lt;=0,"",IFERROR(I90/E90-1,"")))</f>
        <v/>
      </c>
      <c r="J92" s="15">
        <f>IF(OR(J90="",F90=""),"",IF(F90&lt;=0,"",IFERROR(J90/F90-1,"")))</f>
        <v/>
      </c>
      <c r="K92" s="15">
        <f>IF(OR(K90="",G90=""),"",IF(G90&lt;=0,"",IFERROR(K90/G90-1,"")))</f>
        <v/>
      </c>
      <c r="L92" s="15">
        <f>IF(OR(L90="",H90=""),"",IF(H90&lt;=0,"",IFERROR(L90/H90-1,"")))</f>
        <v/>
      </c>
      <c r="M92" s="15">
        <f>IF(OR(M90="",I90=""),"",IF(I90&lt;=0,"",IFERROR(M90/I90-1,"")))</f>
        <v/>
      </c>
      <c r="N92" s="15">
        <f>IF(OR(N90="",J90=""),"",IF(J90&lt;=0,"",IFERROR(N90/J90-1,"")))</f>
        <v/>
      </c>
      <c r="T92" s="15">
        <f>IF(OR(T90="",S90=""),"",IF(S90&lt;=0,"",IFERROR(T90/S90-1,"")))</f>
        <v/>
      </c>
      <c r="U92" s="15">
        <f>IF(OR(U90="",T90=""),"",IF(T90&lt;=0,"",IFERROR(U90/T90-1,"")))</f>
        <v/>
      </c>
      <c r="V92" s="15">
        <f>IF(OR(V90="",U90=""),"",IF(U90&lt;=0,"",IFERROR(V90/U90-1,"")))</f>
        <v/>
      </c>
      <c r="W92" s="15">
        <f>IF(OR(W90="",V90=""),"",IF(V90&lt;=0,"",IFERROR(W90/V90-1,"")))</f>
        <v/>
      </c>
      <c r="X92" s="15">
        <f>IF(OR(X90="",W90=""),"",IF(W90&lt;=0,"",IFERROR(X90/W90-1,"")))</f>
        <v/>
      </c>
    </row>
    <row r="93">
      <c r="A93" s="18" t="inlineStr">
        <is>
          <t>이자수익</t>
        </is>
      </c>
      <c r="C93" s="20" t="n">
        <v>0</v>
      </c>
      <c r="D93" s="20" t="n">
        <v>0.64</v>
      </c>
      <c r="G93" s="20" t="n">
        <v>0.017</v>
      </c>
      <c r="H93" s="20" t="n">
        <v>5.242</v>
      </c>
      <c r="K93" s="20" t="n">
        <v>0.276</v>
      </c>
      <c r="L93" s="20" t="n">
        <v>12.173</v>
      </c>
      <c r="V93" s="20" t="n">
        <v>0.64</v>
      </c>
      <c r="W93" s="20" t="n">
        <v>5.242</v>
      </c>
      <c r="X93" s="20" t="n">
        <v>12.173</v>
      </c>
    </row>
    <row r="94">
      <c r="A94" s="18" t="inlineStr">
        <is>
          <t>보험금 수익</t>
        </is>
      </c>
      <c r="C94" s="20" t="n">
        <v>0</v>
      </c>
      <c r="D94" s="20" t="n">
        <v>0</v>
      </c>
      <c r="G94" s="20" t="n">
        <v>0</v>
      </c>
      <c r="H94" s="20" t="n">
        <v>0</v>
      </c>
      <c r="K94" s="20" t="n">
        <v>0</v>
      </c>
      <c r="L94" s="20" t="n">
        <v>0</v>
      </c>
      <c r="V94" s="20" t="n">
        <v>0</v>
      </c>
      <c r="W94" s="20" t="n">
        <v>0</v>
      </c>
      <c r="X94" s="20" t="n">
        <v>0</v>
      </c>
    </row>
    <row r="95">
      <c r="A95" s="18" t="inlineStr">
        <is>
          <t>수수료 수익</t>
        </is>
      </c>
      <c r="C95" s="20" t="n">
        <v>0</v>
      </c>
      <c r="D95" s="20" t="n">
        <v>0</v>
      </c>
      <c r="E95" s="20" t="n">
        <v>3.989</v>
      </c>
      <c r="F95" s="20" t="n">
        <v>0</v>
      </c>
      <c r="G95" s="20" t="n">
        <v>0</v>
      </c>
      <c r="H95" s="20" t="n">
        <v>4.5</v>
      </c>
      <c r="I95" s="20" t="n">
        <v>0</v>
      </c>
      <c r="J95" s="20" t="n">
        <v>59.9</v>
      </c>
      <c r="K95" s="20" t="n">
        <v>45.314</v>
      </c>
      <c r="L95" s="20" t="n">
        <v>59.595</v>
      </c>
      <c r="M95" s="20" t="n">
        <v>15.242</v>
      </c>
      <c r="N95" s="20" t="n">
        <v>42.542</v>
      </c>
      <c r="V95" s="20" t="n">
        <v>0</v>
      </c>
      <c r="W95" s="20" t="n">
        <v>4.5</v>
      </c>
      <c r="X95" s="20" t="n">
        <v>59.595</v>
      </c>
    </row>
    <row r="96">
      <c r="A96" s="18" t="inlineStr">
        <is>
          <t>외환차익</t>
        </is>
      </c>
      <c r="C96" s="20" t="n">
        <v>0.018</v>
      </c>
      <c r="D96" s="20" t="n">
        <v>-0.967</v>
      </c>
      <c r="E96" s="20" t="n">
        <v>0</v>
      </c>
      <c r="F96" s="20" t="n">
        <v>0</v>
      </c>
      <c r="G96" s="20" t="n">
        <v>0</v>
      </c>
      <c r="H96" s="20" t="n">
        <v>4.041</v>
      </c>
      <c r="I96" s="20" t="n">
        <v>0</v>
      </c>
      <c r="J96" s="20" t="n">
        <v>0</v>
      </c>
      <c r="K96" s="20" t="n">
        <v>0.474</v>
      </c>
      <c r="L96" s="20" t="n">
        <v>-0.157</v>
      </c>
      <c r="M96" s="20" t="n">
        <v>0.33</v>
      </c>
      <c r="N96" s="20" t="n">
        <v>0.006</v>
      </c>
      <c r="T96" s="20" t="n">
        <v>0.098</v>
      </c>
      <c r="U96" s="20" t="n">
        <v>-0.27</v>
      </c>
      <c r="V96" s="20" t="n">
        <v>-0.967</v>
      </c>
      <c r="W96" s="20" t="n">
        <v>4.041</v>
      </c>
      <c r="X96" s="20" t="n">
        <v>-0.157</v>
      </c>
    </row>
    <row r="97">
      <c r="A97" s="18" t="inlineStr">
        <is>
          <t>투자사업조합 운용 이익</t>
        </is>
      </c>
      <c r="I97" s="20" t="n">
        <v>0</v>
      </c>
      <c r="M97" s="20" t="n">
        <v>39.47</v>
      </c>
      <c r="T97" s="20" t="n">
        <v>-0.975</v>
      </c>
    </row>
    <row r="98">
      <c r="A98" s="18" t="inlineStr">
        <is>
          <t>기타</t>
        </is>
      </c>
      <c r="C98" s="20" t="n">
        <v>1.107</v>
      </c>
      <c r="D98" s="20" t="n">
        <v>0.156</v>
      </c>
      <c r="E98" s="20" t="n">
        <v>4.734</v>
      </c>
      <c r="F98" s="20" t="n">
        <v>-0.49</v>
      </c>
      <c r="G98" s="20" t="n">
        <v>0.63</v>
      </c>
      <c r="H98" s="20" t="n">
        <v>0.577</v>
      </c>
      <c r="I98" s="20" t="n">
        <v>0.407</v>
      </c>
      <c r="J98" s="20" t="n">
        <v>2.777</v>
      </c>
      <c r="K98" s="20" t="n">
        <v>1.513</v>
      </c>
      <c r="L98" s="20" t="n">
        <v>-0.95</v>
      </c>
      <c r="M98" s="20" t="n">
        <v>0.741</v>
      </c>
      <c r="N98" s="20" t="n">
        <v>15.856</v>
      </c>
      <c r="T98" s="20" t="n">
        <v>0.388</v>
      </c>
      <c r="U98" s="20" t="n">
        <v>0.158</v>
      </c>
      <c r="V98" s="20" t="n">
        <v>0.156</v>
      </c>
      <c r="W98" s="20" t="n">
        <v>0.577</v>
      </c>
      <c r="X98" s="20" t="n">
        <v>-0.95</v>
      </c>
    </row>
    <row r="99">
      <c r="A99" s="18" t="inlineStr">
        <is>
          <t>영업외수익 합계</t>
        </is>
      </c>
      <c r="C99" s="20" t="n">
        <v>1.125</v>
      </c>
      <c r="D99" s="20" t="n">
        <v>-0.171</v>
      </c>
      <c r="E99" s="20" t="n">
        <v>8.723000000000001</v>
      </c>
      <c r="F99" s="20" t="n">
        <v>15.97</v>
      </c>
      <c r="G99" s="20" t="n">
        <v>0.646</v>
      </c>
      <c r="H99" s="20" t="n">
        <v>14.359</v>
      </c>
      <c r="I99" s="20" t="n">
        <v>0.407</v>
      </c>
      <c r="J99" s="20" t="n">
        <v>70.67100000000001</v>
      </c>
      <c r="K99" s="20" t="n">
        <v>47.577</v>
      </c>
      <c r="L99" s="20" t="n">
        <v>70.66200000000001</v>
      </c>
      <c r="M99" s="20" t="n">
        <v>55.785</v>
      </c>
      <c r="N99" s="20" t="n">
        <v>33.974</v>
      </c>
      <c r="T99" s="20" t="n">
        <v>1.789</v>
      </c>
      <c r="U99" s="20" t="n">
        <v>3.164</v>
      </c>
      <c r="V99" s="20" t="n">
        <v>-0.171</v>
      </c>
      <c r="W99" s="20" t="n">
        <v>14.359</v>
      </c>
      <c r="X99" s="20" t="n">
        <v>70.66200000000001</v>
      </c>
    </row>
    <row r="100">
      <c r="A100" s="18" t="inlineStr">
        <is>
          <t>이자비용</t>
        </is>
      </c>
      <c r="C100" s="20" t="n">
        <v>1.34</v>
      </c>
      <c r="D100" s="20" t="n">
        <v>4.793</v>
      </c>
      <c r="E100" s="20" t="n">
        <v>2.486</v>
      </c>
      <c r="F100" s="20" t="n">
        <v>8.885</v>
      </c>
      <c r="G100" s="20" t="n">
        <v>0.487</v>
      </c>
      <c r="H100" s="20" t="n">
        <v>11.967</v>
      </c>
      <c r="I100" s="20" t="n">
        <v>5.059</v>
      </c>
      <c r="J100" s="20" t="n">
        <v>8.119</v>
      </c>
      <c r="K100" s="20" t="n">
        <v>14.654</v>
      </c>
      <c r="L100" s="20" t="n">
        <v>15.207</v>
      </c>
      <c r="M100" s="20" t="n">
        <v>13.394</v>
      </c>
      <c r="N100" s="20" t="n">
        <v>10.108</v>
      </c>
      <c r="T100" s="20" t="n">
        <v>5.241</v>
      </c>
      <c r="U100" s="20" t="n">
        <v>2.716</v>
      </c>
      <c r="V100" s="20" t="n">
        <v>4.793</v>
      </c>
      <c r="W100" s="20" t="n">
        <v>11.967</v>
      </c>
      <c r="X100" s="20" t="n">
        <v>15.207</v>
      </c>
    </row>
    <row r="101">
      <c r="A101" s="18" t="inlineStr">
        <is>
          <t>지급수수료</t>
        </is>
      </c>
      <c r="C101" s="20" t="n">
        <v>1.043</v>
      </c>
      <c r="D101" s="20" t="n">
        <v>0</v>
      </c>
      <c r="E101" s="20" t="n">
        <v>11.405</v>
      </c>
      <c r="F101" s="20" t="n">
        <v>0</v>
      </c>
      <c r="G101" s="20" t="n">
        <v>2.747</v>
      </c>
      <c r="H101" s="20" t="n">
        <v>1.285</v>
      </c>
      <c r="I101" s="20" t="n">
        <v>6.611</v>
      </c>
      <c r="J101" s="20" t="n">
        <v>3.147</v>
      </c>
      <c r="K101" s="20" t="n">
        <v>10.253</v>
      </c>
      <c r="L101" s="20" t="n">
        <v>24.857</v>
      </c>
      <c r="M101" s="20" t="n">
        <v>0.317</v>
      </c>
      <c r="N101" s="20" t="n">
        <v>0</v>
      </c>
      <c r="T101" s="20" t="n">
        <v>0.643</v>
      </c>
      <c r="U101" s="20" t="n">
        <v>0</v>
      </c>
      <c r="V101" s="20" t="n">
        <v>0</v>
      </c>
      <c r="W101" s="20" t="n">
        <v>1.285</v>
      </c>
      <c r="X101" s="20" t="n">
        <v>24.857</v>
      </c>
    </row>
    <row r="102">
      <c r="A102" s="18" t="inlineStr">
        <is>
          <t>외환차손</t>
        </is>
      </c>
      <c r="C102" s="20" t="n">
        <v>0</v>
      </c>
      <c r="D102" s="20" t="n">
        <v>1.706</v>
      </c>
      <c r="E102" s="20" t="n">
        <v>1.131</v>
      </c>
      <c r="F102" s="20" t="n">
        <v>2.251</v>
      </c>
      <c r="G102" s="20" t="n">
        <v>-0.419</v>
      </c>
      <c r="H102" s="20" t="n">
        <v>-2.963</v>
      </c>
      <c r="I102" s="20" t="n">
        <v>0.888</v>
      </c>
      <c r="J102" s="20" t="n">
        <v>-0.285</v>
      </c>
      <c r="K102" s="20" t="n">
        <v>-0.603</v>
      </c>
      <c r="M102" s="20" t="n">
        <v>0</v>
      </c>
      <c r="N102" s="20" t="n">
        <v>0</v>
      </c>
      <c r="V102" s="20" t="n">
        <v>1.706</v>
      </c>
      <c r="W102" s="20" t="n">
        <v>-2.963</v>
      </c>
    </row>
    <row r="103">
      <c r="A103" s="18" t="inlineStr">
        <is>
          <t>투자조합 운용손실</t>
        </is>
      </c>
      <c r="C103" s="20" t="n">
        <v>5.569</v>
      </c>
      <c r="D103" s="20" t="n">
        <v>37.192</v>
      </c>
      <c r="E103" s="20" t="n">
        <v>5.343</v>
      </c>
      <c r="F103" s="20" t="n">
        <v>29.865</v>
      </c>
      <c r="G103" s="20" t="n">
        <v>5.094</v>
      </c>
      <c r="H103" s="20" t="n">
        <v>52.258</v>
      </c>
      <c r="I103" s="20" t="n">
        <v>0.728</v>
      </c>
      <c r="J103" s="20" t="n">
        <v>41.755</v>
      </c>
      <c r="K103" s="20" t="n">
        <v>1.574</v>
      </c>
      <c r="L103" s="20" t="n">
        <v>63.874</v>
      </c>
      <c r="M103" s="20" t="n">
        <v>0</v>
      </c>
      <c r="N103" s="20" t="n">
        <v>12.548</v>
      </c>
      <c r="T103" s="20" t="n">
        <v>19.648</v>
      </c>
      <c r="U103" s="20" t="n">
        <v>28.958</v>
      </c>
      <c r="V103" s="20" t="n">
        <v>37.192</v>
      </c>
      <c r="W103" s="20" t="n">
        <v>52.258</v>
      </c>
      <c r="X103" s="20" t="n">
        <v>63.874</v>
      </c>
    </row>
    <row r="104">
      <c r="A104" s="18" t="inlineStr">
        <is>
          <t>지분법손실</t>
        </is>
      </c>
      <c r="C104" s="20" t="n">
        <v>61.777</v>
      </c>
      <c r="D104" s="20" t="n">
        <v>-6.047</v>
      </c>
      <c r="E104" s="20" t="n">
        <v>106.24</v>
      </c>
      <c r="F104" s="20" t="n">
        <v>133.435</v>
      </c>
      <c r="G104" s="20" t="n">
        <v>58.404</v>
      </c>
      <c r="H104" s="20" t="n">
        <v>10.164</v>
      </c>
      <c r="I104" s="20" t="n">
        <v>11.415</v>
      </c>
      <c r="J104" s="20" t="n">
        <v>9.794</v>
      </c>
      <c r="K104" s="20" t="n">
        <v>0</v>
      </c>
      <c r="L104" s="20" t="n">
        <v>5.307</v>
      </c>
      <c r="M104" s="20" t="n">
        <v>0</v>
      </c>
      <c r="N104" s="20" t="n">
        <v>0</v>
      </c>
      <c r="T104" s="20" t="n">
        <v>5.255</v>
      </c>
      <c r="U104" s="20" t="n">
        <v>111.791</v>
      </c>
      <c r="V104" s="20" t="n">
        <v>-6.047</v>
      </c>
      <c r="W104" s="20" t="n">
        <v>10.164</v>
      </c>
      <c r="X104" s="20" t="n">
        <v>5.307</v>
      </c>
    </row>
    <row r="105">
      <c r="A105" s="18" t="inlineStr">
        <is>
          <t>사채발행비</t>
        </is>
      </c>
      <c r="D105" s="20" t="n">
        <v>0</v>
      </c>
      <c r="H105" s="20" t="n">
        <v>0</v>
      </c>
      <c r="L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  <c r="X105" s="20" t="n">
        <v>0</v>
      </c>
    </row>
    <row r="106">
      <c r="A106" s="18" t="inlineStr">
        <is>
          <t>기타</t>
        </is>
      </c>
      <c r="C106" s="20" t="n">
        <v>1.339</v>
      </c>
      <c r="D106" s="20" t="n">
        <v>1.477</v>
      </c>
      <c r="E106" s="20" t="n">
        <v>2.532</v>
      </c>
      <c r="F106" s="20" t="n">
        <v>1.34</v>
      </c>
      <c r="G106" s="20" t="n">
        <v>1.549</v>
      </c>
      <c r="H106" s="20" t="n">
        <v>2.376</v>
      </c>
      <c r="I106" s="20" t="n">
        <v>1.79</v>
      </c>
      <c r="J106" s="20" t="n">
        <v>1.391</v>
      </c>
      <c r="K106" s="20" t="n">
        <v>1.304</v>
      </c>
      <c r="L106" s="20" t="n">
        <v>18.135</v>
      </c>
      <c r="M106" s="20" t="n">
        <v>1.061</v>
      </c>
      <c r="N106" s="20" t="n">
        <v>3.498</v>
      </c>
      <c r="T106" s="20" t="n">
        <v>1.355</v>
      </c>
      <c r="U106" s="20" t="n">
        <v>4.267</v>
      </c>
      <c r="V106" s="20" t="n">
        <v>1.477</v>
      </c>
      <c r="W106" s="20" t="n">
        <v>2.376</v>
      </c>
      <c r="X106" s="20" t="n">
        <v>18.135</v>
      </c>
    </row>
    <row r="107">
      <c r="A107" s="18" t="inlineStr">
        <is>
          <t>영업외비용 합계</t>
        </is>
      </c>
      <c r="C107" s="20" t="n">
        <v>77.746</v>
      </c>
      <c r="D107" s="20" t="n">
        <v>39.121</v>
      </c>
      <c r="E107" s="20" t="n">
        <v>129.14</v>
      </c>
      <c r="F107" s="20" t="n">
        <v>175.775</v>
      </c>
      <c r="G107" s="20" t="n">
        <v>78.652</v>
      </c>
      <c r="H107" s="20" t="n">
        <v>75.087</v>
      </c>
      <c r="I107" s="20" t="n">
        <v>26.493</v>
      </c>
      <c r="J107" s="20" t="n">
        <v>63.921</v>
      </c>
      <c r="K107" s="20" t="n">
        <v>27.183</v>
      </c>
      <c r="L107" s="20" t="n">
        <v>127.379</v>
      </c>
      <c r="M107" s="20" t="n">
        <v>14.773</v>
      </c>
      <c r="N107" s="20" t="n">
        <v>26.155</v>
      </c>
      <c r="T107" s="20" t="n">
        <v>32.143</v>
      </c>
      <c r="U107" s="20" t="n">
        <v>147.734</v>
      </c>
      <c r="V107" s="20" t="n">
        <v>39.121</v>
      </c>
      <c r="W107" s="20" t="n">
        <v>75.087</v>
      </c>
      <c r="X107" s="20" t="n">
        <v>127.379</v>
      </c>
    </row>
    <row r="108">
      <c r="A108" s="9" t="inlineStr">
        <is>
          <t>경상이익</t>
        </is>
      </c>
      <c r="C108" s="12" t="n">
        <v>74.27800000000001</v>
      </c>
      <c r="D108" s="12" t="n">
        <v>139.585</v>
      </c>
      <c r="E108" s="12" t="n">
        <v>44.353</v>
      </c>
      <c r="F108" s="12" t="n">
        <v>-45.256</v>
      </c>
      <c r="G108" s="12" t="n">
        <v>-22.691</v>
      </c>
      <c r="H108" s="12" t="n">
        <v>258.311</v>
      </c>
      <c r="I108" s="12" t="n">
        <v>189.442</v>
      </c>
      <c r="J108" s="12" t="n">
        <v>209.559</v>
      </c>
      <c r="K108" s="12" t="n">
        <v>307.071</v>
      </c>
      <c r="L108" s="12" t="n">
        <v>243.031</v>
      </c>
      <c r="M108" s="12" t="n">
        <v>443.377</v>
      </c>
      <c r="N108" s="12" t="n">
        <v>256.583</v>
      </c>
      <c r="T108" s="12" t="n">
        <v>35.098</v>
      </c>
      <c r="U108" s="12" t="n">
        <v>-29.005</v>
      </c>
      <c r="V108" s="12" t="n">
        <v>139.585</v>
      </c>
      <c r="W108" s="12" t="n">
        <v>258.311</v>
      </c>
      <c r="X108" s="12" t="n">
        <v>243.031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IF(OR(G108="",C108=""),"",IF(C108&lt;=0,"",IFERROR(G108/C108-1,"")))</f>
        <v/>
      </c>
      <c r="H109" s="15">
        <f>IF(OR(H108="",D108=""),"",IF(D108&lt;=0,"",IFERROR(H108/D108-1,"")))</f>
        <v/>
      </c>
      <c r="I109" s="15">
        <f>IF(OR(I108="",E108=""),"",IF(E108&lt;=0,"",IFERROR(I108/E108-1,"")))</f>
        <v/>
      </c>
      <c r="J109" s="15">
        <f>IF(OR(J108="",F108=""),"",IF(F108&lt;=0,"",IFERROR(J108/F108-1,"")))</f>
        <v/>
      </c>
      <c r="K109" s="15">
        <f>IF(OR(K108="",G108=""),"",IF(G108&lt;=0,"",IFERROR(K108/G108-1,"")))</f>
        <v/>
      </c>
      <c r="L109" s="15">
        <f>IF(OR(L108="",H108=""),"",IF(H108&lt;=0,"",IFERROR(L108/H108-1,"")))</f>
        <v/>
      </c>
      <c r="M109" s="15">
        <f>IF(OR(M108="",I108=""),"",IF(I108&lt;=0,"",IFERROR(M108/I108-1,"")))</f>
        <v/>
      </c>
      <c r="N109" s="15">
        <f>IF(OR(N108="",J108=""),"",IF(J108&lt;=0,"",IFERROR(N108/J108-1,"")))</f>
        <v/>
      </c>
      <c r="T109" s="15">
        <f>IF(OR(T108="",S108=""),"",IF(S108&lt;=0,"",IFERROR(T108/S108-1,"")))</f>
        <v/>
      </c>
      <c r="U109" s="15">
        <f>IF(OR(U108="",T108=""),"",IF(T108&lt;=0,"",IFERROR(U108/T108-1,"")))</f>
        <v/>
      </c>
      <c r="V109" s="15">
        <f>IF(OR(V108="",U108=""),"",IF(U108&lt;=0,"",IFERROR(V108/U108-1,"")))</f>
        <v/>
      </c>
      <c r="W109" s="15">
        <f>IF(OR(W108="",V108=""),"",IF(V108&lt;=0,"",IFERROR(W108/V108-1,"")))</f>
        <v/>
      </c>
      <c r="X109" s="15">
        <f>IF(OR(X108="",W108=""),"",IF(W108&lt;=0,"",IFERROR(X108/W108-1,"")))</f>
        <v/>
      </c>
    </row>
    <row r="110">
      <c r="A110" s="18" t="inlineStr">
        <is>
          <t>사업 양도 이익</t>
        </is>
      </c>
      <c r="C110" s="20" t="n">
        <v>35</v>
      </c>
      <c r="D110" s="20" t="n">
        <v>51.181</v>
      </c>
      <c r="E110" s="20" t="n">
        <v>0</v>
      </c>
      <c r="F110" s="20" t="n">
        <v>0</v>
      </c>
      <c r="G110" s="20" t="n">
        <v>0</v>
      </c>
      <c r="H110" s="20" t="n">
        <v>0</v>
      </c>
      <c r="T110" s="20" t="n">
        <v>0</v>
      </c>
      <c r="U110" s="20" t="n">
        <v>0</v>
      </c>
      <c r="V110" s="20" t="n">
        <v>51.181</v>
      </c>
      <c r="W110" s="20" t="n">
        <v>0</v>
      </c>
    </row>
    <row r="111">
      <c r="A111" s="18" t="inlineStr">
        <is>
          <t>투자유가증권 매각이익</t>
        </is>
      </c>
      <c r="C111" s="20" t="n">
        <v>0</v>
      </c>
      <c r="D111" s="20" t="n">
        <v>0</v>
      </c>
      <c r="E111" s="20" t="n">
        <v>0</v>
      </c>
      <c r="F111" s="20" t="n">
        <v>0</v>
      </c>
      <c r="G111" s="20" t="n">
        <v>0</v>
      </c>
      <c r="H111" s="20" t="n">
        <v>146.7</v>
      </c>
      <c r="U111" s="20" t="n">
        <v>0</v>
      </c>
      <c r="V111" s="20" t="n">
        <v>0</v>
      </c>
      <c r="W111" s="20" t="n">
        <v>146.7</v>
      </c>
    </row>
    <row r="112">
      <c r="A112" s="18" t="inlineStr">
        <is>
          <t>관계회사 주식 매각이익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10.5</v>
      </c>
      <c r="U112" s="20" t="n">
        <v>0</v>
      </c>
      <c r="V112" s="20" t="n">
        <v>0</v>
      </c>
      <c r="W112" s="20" t="n">
        <v>10.5</v>
      </c>
    </row>
    <row r="113">
      <c r="A113" s="18" t="inlineStr">
        <is>
          <t>특별이익 합계</t>
        </is>
      </c>
      <c r="C113" s="20" t="n">
        <v>35</v>
      </c>
      <c r="D113" s="20" t="n">
        <v>51.182</v>
      </c>
      <c r="E113" s="20" t="n">
        <v>0</v>
      </c>
      <c r="F113" s="20" t="n">
        <v>0</v>
      </c>
      <c r="G113" s="20" t="n">
        <v>0</v>
      </c>
      <c r="H113" s="20" t="n">
        <v>157.2</v>
      </c>
      <c r="T113" s="20" t="n">
        <v>0</v>
      </c>
      <c r="U113" s="20" t="n">
        <v>466.46</v>
      </c>
      <c r="V113" s="20" t="n">
        <v>51.182</v>
      </c>
      <c r="W113" s="20" t="n">
        <v>157.2</v>
      </c>
    </row>
    <row r="114">
      <c r="A114" s="18" t="inlineStr">
        <is>
          <t>손상차손</t>
        </is>
      </c>
      <c r="T114" s="20" t="n">
        <v>446.801</v>
      </c>
      <c r="U114" s="20" t="n">
        <v>132.462</v>
      </c>
    </row>
    <row r="115">
      <c r="A115" s="18" t="inlineStr">
        <is>
          <t>투자유가증권 평가손실</t>
        </is>
      </c>
      <c r="C115" s="20" t="n">
        <v>0</v>
      </c>
      <c r="D115" s="20" t="n">
        <v>0</v>
      </c>
      <c r="E115" s="20" t="n">
        <v>0</v>
      </c>
      <c r="F115" s="20" t="n">
        <v>13.999</v>
      </c>
      <c r="G115" s="20" t="n">
        <v>0</v>
      </c>
      <c r="H115" s="20" t="n">
        <v>0</v>
      </c>
      <c r="K115" s="20" t="n">
        <v>0</v>
      </c>
      <c r="L115" s="20" t="n">
        <v>0</v>
      </c>
      <c r="T115" s="20" t="n">
        <v>9.988</v>
      </c>
      <c r="U115" s="20" t="n">
        <v>49.999</v>
      </c>
      <c r="V115" s="20" t="n">
        <v>0</v>
      </c>
      <c r="W115" s="20" t="n">
        <v>0</v>
      </c>
      <c r="X115" s="20" t="n">
        <v>0</v>
      </c>
    </row>
    <row r="116">
      <c r="A116" s="18" t="inlineStr">
        <is>
          <t>신탁형 스톡옵션 관련 손실</t>
        </is>
      </c>
      <c r="D116" s="20" t="n">
        <v>0</v>
      </c>
      <c r="H116" s="20" t="n">
        <v>0</v>
      </c>
      <c r="U116" s="20" t="n">
        <v>0</v>
      </c>
      <c r="V116" s="20" t="n">
        <v>0</v>
      </c>
      <c r="W116" s="20" t="n">
        <v>0</v>
      </c>
    </row>
    <row r="117">
      <c r="A117" s="18" t="inlineStr">
        <is>
          <t>본사 이전 비용</t>
        </is>
      </c>
      <c r="D117" s="20" t="n">
        <v>0</v>
      </c>
      <c r="H117" s="20" t="n">
        <v>49.97</v>
      </c>
      <c r="L117" s="20" t="n">
        <v>0</v>
      </c>
      <c r="V117" s="20" t="n">
        <v>0</v>
      </c>
      <c r="W117" s="20" t="n">
        <v>49.97</v>
      </c>
      <c r="X117" s="20" t="n">
        <v>0</v>
      </c>
    </row>
    <row r="118">
      <c r="A118" s="18" t="inlineStr">
        <is>
          <t>특별손실 합계</t>
        </is>
      </c>
      <c r="C118" s="20" t="n">
        <v>55.632</v>
      </c>
      <c r="D118" s="20" t="n">
        <v>317.473</v>
      </c>
      <c r="E118" s="20" t="n">
        <v>0</v>
      </c>
      <c r="F118" s="20" t="n">
        <v>13.999</v>
      </c>
      <c r="G118" s="20" t="n">
        <v>83.61</v>
      </c>
      <c r="H118" s="20" t="n">
        <v>49.97</v>
      </c>
      <c r="K118" s="20" t="n">
        <v>0</v>
      </c>
      <c r="L118" s="20" t="n">
        <v>145.061</v>
      </c>
      <c r="T118" s="20" t="n">
        <v>456.79</v>
      </c>
      <c r="U118" s="20" t="n">
        <v>182.462</v>
      </c>
      <c r="V118" s="20" t="n">
        <v>317.473</v>
      </c>
      <c r="W118" s="20" t="n">
        <v>49.97</v>
      </c>
      <c r="X118" s="20" t="n">
        <v>145.061</v>
      </c>
    </row>
    <row r="119">
      <c r="A119" s="9" t="inlineStr">
        <is>
          <t>법인세차감전 순이익</t>
        </is>
      </c>
      <c r="C119" s="12" t="n">
        <v>53.645</v>
      </c>
      <c r="D119" s="12" t="n">
        <v>-126.706</v>
      </c>
      <c r="E119" s="12" t="n">
        <v>44.353</v>
      </c>
      <c r="F119" s="12" t="n">
        <v>-59.256</v>
      </c>
      <c r="G119" s="12" t="n">
        <v>-106.301</v>
      </c>
      <c r="H119" s="12" t="n">
        <v>365.542</v>
      </c>
      <c r="I119" s="12" t="n">
        <v>189.442</v>
      </c>
      <c r="J119" s="12" t="n">
        <v>168.402</v>
      </c>
      <c r="K119" s="12" t="n">
        <v>307.071</v>
      </c>
      <c r="L119" s="12" t="n">
        <v>117.269</v>
      </c>
      <c r="M119" s="12" t="n">
        <v>443.377</v>
      </c>
      <c r="N119" s="12" t="n">
        <v>264.246</v>
      </c>
      <c r="T119" s="12" t="n">
        <v>-421.691</v>
      </c>
      <c r="U119" s="12" t="n">
        <v>254.993</v>
      </c>
      <c r="V119" s="12" t="n">
        <v>-126.706</v>
      </c>
      <c r="W119" s="12" t="n">
        <v>365.542</v>
      </c>
      <c r="X119" s="12" t="n">
        <v>117.269</v>
      </c>
    </row>
    <row r="120">
      <c r="A120" s="18" t="inlineStr">
        <is>
          <t>법인세 등</t>
        </is>
      </c>
      <c r="C120" s="20" t="n">
        <v>67.557</v>
      </c>
      <c r="D120" s="20" t="n">
        <v>-2.301</v>
      </c>
      <c r="E120" s="20" t="n">
        <v>24.823</v>
      </c>
      <c r="F120" s="20" t="n">
        <v>-288.316</v>
      </c>
      <c r="G120" s="20" t="n">
        <v>16.36</v>
      </c>
      <c r="H120" s="20" t="n">
        <v>55.366</v>
      </c>
      <c r="I120" s="20" t="n">
        <v>47.236</v>
      </c>
      <c r="J120" s="20" t="n">
        <v>54.099</v>
      </c>
      <c r="K120" s="20" t="n">
        <v>34.299</v>
      </c>
      <c r="L120" s="20" t="n">
        <v>3.413</v>
      </c>
      <c r="M120" s="20" t="n">
        <v>164.911</v>
      </c>
      <c r="N120" s="20" t="n">
        <v>87.008</v>
      </c>
      <c r="T120" s="20" t="n">
        <v>-15.197</v>
      </c>
      <c r="U120" s="20" t="n">
        <v>112.757</v>
      </c>
      <c r="V120" s="20" t="n">
        <v>-2.301</v>
      </c>
      <c r="W120" s="20" t="n">
        <v>55.366</v>
      </c>
      <c r="X120" s="20" t="n">
        <v>3.413</v>
      </c>
    </row>
    <row r="121">
      <c r="A121" s="9" t="inlineStr">
        <is>
          <t>순이익</t>
        </is>
      </c>
      <c r="C121" s="12" t="n">
        <v>-13.913</v>
      </c>
      <c r="D121" s="12" t="n">
        <v>-124.404</v>
      </c>
      <c r="E121" s="12" t="n">
        <v>19.529</v>
      </c>
      <c r="F121" s="12" t="n">
        <v>229.06</v>
      </c>
      <c r="G121" s="12" t="n">
        <v>-122.66</v>
      </c>
      <c r="H121" s="12" t="n">
        <v>310.177</v>
      </c>
      <c r="I121" s="12" t="n">
        <v>142.206</v>
      </c>
      <c r="J121" s="12" t="n">
        <v>114.303</v>
      </c>
      <c r="K121" s="12" t="n">
        <v>272.772</v>
      </c>
      <c r="L121" s="12" t="n">
        <v>113.855</v>
      </c>
      <c r="M121" s="12" t="n">
        <v>278.466</v>
      </c>
      <c r="N121" s="12" t="n">
        <v>177.237</v>
      </c>
      <c r="T121" s="12" t="n">
        <v>-406.494</v>
      </c>
      <c r="U121" s="12" t="n">
        <v>142.236</v>
      </c>
      <c r="V121" s="12" t="n">
        <v>-124.404</v>
      </c>
      <c r="W121" s="12" t="n">
        <v>310.177</v>
      </c>
      <c r="X121" s="12" t="n">
        <v>113.855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9" t="inlineStr">
        <is>
          <t>비지배주주 순이익</t>
        </is>
      </c>
      <c r="C123" s="12" t="n">
        <v>0</v>
      </c>
      <c r="D123" s="12" t="n">
        <v>0</v>
      </c>
      <c r="E123" s="12" t="n">
        <v>-0.842</v>
      </c>
      <c r="F123" s="12" t="n">
        <v>-1.691</v>
      </c>
      <c r="G123" s="12" t="n">
        <v>-3.496</v>
      </c>
      <c r="H123" s="12" t="n">
        <v>6.678</v>
      </c>
      <c r="I123" s="12" t="n">
        <v>4.713</v>
      </c>
      <c r="J123" s="12" t="n">
        <v>-2.623</v>
      </c>
      <c r="K123" s="12" t="n">
        <v>0.178</v>
      </c>
      <c r="L123" s="12" t="n">
        <v>1.652</v>
      </c>
      <c r="M123" s="12" t="n">
        <v>0.32</v>
      </c>
      <c r="N123" s="12" t="n">
        <v>0.096</v>
      </c>
      <c r="T123" s="12" t="n">
        <v>-3.964</v>
      </c>
      <c r="U123" s="12" t="n">
        <v>2.859</v>
      </c>
      <c r="V123" s="12" t="n">
        <v>0</v>
      </c>
      <c r="W123" s="12" t="n">
        <v>6.678</v>
      </c>
      <c r="X123" s="12" t="n">
        <v>1.652</v>
      </c>
    </row>
    <row r="124">
      <c r="A124" s="9" t="inlineStr">
        <is>
          <t>지배주주 순이익</t>
        </is>
      </c>
      <c r="C124" s="12" t="n">
        <v>-13.912</v>
      </c>
      <c r="D124" s="12" t="n">
        <v>-124.405</v>
      </c>
      <c r="E124" s="12" t="n">
        <v>20.372</v>
      </c>
      <c r="F124" s="12" t="n">
        <v>230.75</v>
      </c>
      <c r="G124" s="12" t="n">
        <v>-119.164</v>
      </c>
      <c r="H124" s="12" t="n">
        <v>303.498</v>
      </c>
      <c r="I124" s="12" t="n">
        <v>137.493</v>
      </c>
      <c r="J124" s="12" t="n">
        <v>116.926</v>
      </c>
      <c r="K124" s="12" t="n">
        <v>272.593</v>
      </c>
      <c r="L124" s="12" t="n">
        <v>112.204</v>
      </c>
      <c r="M124" s="12" t="n">
        <v>278.146</v>
      </c>
      <c r="N124" s="12" t="n">
        <v>177.141</v>
      </c>
      <c r="T124" s="12" t="n">
        <v>-402.531</v>
      </c>
      <c r="U124" s="12" t="n">
        <v>139.377</v>
      </c>
      <c r="V124" s="12" t="n">
        <v>-124.405</v>
      </c>
      <c r="W124" s="12" t="n">
        <v>303.498</v>
      </c>
      <c r="X124" s="12" t="n">
        <v>112.204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IF(OR(G124="",C124=""),"",IF(C124&lt;=0,"",IFERROR(G124/C124-1,"")))</f>
        <v/>
      </c>
      <c r="H125" s="15">
        <f>IF(OR(H124="",D124=""),"",IF(D124&lt;=0,"",IFERROR(H124/D124-1,"")))</f>
        <v/>
      </c>
      <c r="I125" s="15">
        <f>IF(OR(I124="",E124=""),"",IF(E124&lt;=0,"",IFERROR(I124/E124-1,"")))</f>
        <v/>
      </c>
      <c r="J125" s="15">
        <f>IF(OR(J124="",F124=""),"",IF(F124&lt;=0,"",IFERROR(J124/F124-1,"")))</f>
        <v/>
      </c>
      <c r="K125" s="15">
        <f>IF(OR(K124="",G124=""),"",IF(G124&lt;=0,"",IFERROR(K124/G124-1,"")))</f>
        <v/>
      </c>
      <c r="L125" s="15">
        <f>IF(OR(L124="",H124=""),"",IF(H124&lt;=0,"",IFERROR(L124/H124-1,"")))</f>
        <v/>
      </c>
      <c r="M125" s="15">
        <f>IF(OR(M124="",I124=""),"",IF(I124&lt;=0,"",IFERROR(M124/I124-1,"")))</f>
        <v/>
      </c>
      <c r="N125" s="15">
        <f>IF(OR(N124="",J124=""),"",IF(J124&lt;=0,"",IFERROR(N124/J124-1,"")))</f>
        <v/>
      </c>
      <c r="T125" s="15">
        <f>IF(OR(T124="",S124=""),"",IF(S124&lt;=0,"",IFERROR(T124/S124-1,"")))</f>
        <v/>
      </c>
      <c r="U125" s="15">
        <f>IF(OR(U124="",T124=""),"",IF(T124&lt;=0,"",IFERROR(U124/T124-1,"")))</f>
        <v/>
      </c>
      <c r="V125" s="15">
        <f>IF(OR(V124="",U124=""),"",IF(U124&lt;=0,"",IFERROR(V124/U124-1,"")))</f>
        <v/>
      </c>
      <c r="W125" s="15">
        <f>IF(OR(W124="",V124=""),"",IF(V124&lt;=0,"",IFERROR(W124/V124-1,"")))</f>
        <v/>
      </c>
      <c r="X125" s="15">
        <f>IF(OR(X124="",W124=""),"",IF(W124&lt;=0,"",IFERROR(X124/W124-1,"")))</f>
        <v/>
      </c>
    </row>
    <row r="127">
      <c r="A127" s="16" t="inlineStr">
        <is>
          <t>포괄손익 · 전 항목</t>
        </is>
      </c>
      <c r="B127" s="42" t="inlineStr">
        <is>
          <t>분기 = 3개월 단독</t>
        </is>
      </c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</row>
    <row r="128">
      <c r="A128" s="5" t="inlineStr">
        <is>
          <t>항목</t>
        </is>
      </c>
      <c r="B128" s="5" t="inlineStr">
        <is>
          <t>참고</t>
        </is>
      </c>
      <c r="C128" s="5" t="inlineStr">
        <is>
          <t>2024.3Q</t>
        </is>
      </c>
      <c r="D128" s="5" t="inlineStr">
        <is>
          <t>2024.4Q</t>
        </is>
      </c>
      <c r="E128" s="5" t="inlineStr">
        <is>
          <t>2025.1Q</t>
        </is>
      </c>
      <c r="F128" s="5" t="inlineStr">
        <is>
          <t>2025.2Q</t>
        </is>
      </c>
      <c r="G128" s="5" t="inlineStr">
        <is>
          <t>2025.3Q</t>
        </is>
      </c>
      <c r="H128" s="5" t="inlineStr">
        <is>
          <t>2025.4Q</t>
        </is>
      </c>
      <c r="I128" s="5" t="inlineStr">
        <is>
          <t>2026.1Q</t>
        </is>
      </c>
      <c r="J128" s="5" t="inlineStr">
        <is>
          <t>2026.2Q</t>
        </is>
      </c>
      <c r="K128" s="5" t="inlineStr">
        <is>
          <t>2026.3Q</t>
        </is>
      </c>
      <c r="L128" s="5" t="inlineStr">
        <is>
          <t>2026.4Q</t>
        </is>
      </c>
      <c r="M128" s="5" t="inlineStr">
        <is>
          <t>2027.1Q</t>
        </is>
      </c>
      <c r="N128" s="5" t="inlineStr">
        <is>
          <t>2027.2Q</t>
        </is>
      </c>
      <c r="O128" s="5" t="inlineStr">
        <is>
          <t>2017</t>
        </is>
      </c>
      <c r="P128" s="5" t="inlineStr">
        <is>
          <t>2018</t>
        </is>
      </c>
      <c r="Q128" s="5" t="inlineStr">
        <is>
          <t>2019</t>
        </is>
      </c>
      <c r="R128" s="5" t="inlineStr">
        <is>
          <t>2020</t>
        </is>
      </c>
      <c r="S128" s="5" t="inlineStr">
        <is>
          <t>2021</t>
        </is>
      </c>
      <c r="T128" s="5" t="inlineStr">
        <is>
          <t>2022</t>
        </is>
      </c>
      <c r="U128" s="5" t="inlineStr">
        <is>
          <t>2023</t>
        </is>
      </c>
      <c r="V128" s="5" t="inlineStr">
        <is>
          <t>2024</t>
        </is>
      </c>
      <c r="W128" s="5" t="inlineStr">
        <is>
          <t>2025</t>
        </is>
      </c>
      <c r="X128" s="5" t="inlineStr">
        <is>
          <t>2026</t>
        </is>
      </c>
      <c r="Y128" s="5" t="inlineStr">
        <is>
          <t>2027(MW)</t>
        </is>
      </c>
      <c r="Z128" s="5" t="inlineStr">
        <is>
          <t>2028(MW)</t>
        </is>
      </c>
      <c r="AA128" s="5" t="inlineStr">
        <is>
          <t>2029(MW)</t>
        </is>
      </c>
      <c r="AB128" s="5" t="inlineStr">
        <is>
          <t>2030(MW)</t>
        </is>
      </c>
      <c r="AC128" s="5" t="inlineStr">
        <is>
          <t>2031(MW)</t>
        </is>
      </c>
    </row>
    <row r="129">
      <c r="A129" s="9" t="inlineStr">
        <is>
          <t>순이익</t>
        </is>
      </c>
      <c r="C129" s="12" t="n">
        <v>-13.913</v>
      </c>
      <c r="D129" s="12" t="n">
        <v>-124.404</v>
      </c>
      <c r="E129" s="12" t="n">
        <v>19.529</v>
      </c>
      <c r="F129" s="12" t="n">
        <v>229.06</v>
      </c>
      <c r="G129" s="12" t="n">
        <v>-122.66</v>
      </c>
      <c r="H129" s="12" t="n">
        <v>310.177</v>
      </c>
      <c r="I129" s="12" t="n">
        <v>142.206</v>
      </c>
      <c r="J129" s="12" t="n">
        <v>114.303</v>
      </c>
      <c r="K129" s="12" t="n">
        <v>272.772</v>
      </c>
      <c r="L129" s="12" t="n">
        <v>113.855</v>
      </c>
      <c r="M129" s="12" t="n">
        <v>278.466</v>
      </c>
      <c r="N129" s="12" t="n">
        <v>177.237</v>
      </c>
      <c r="T129" s="12" t="n">
        <v>-406.494</v>
      </c>
      <c r="U129" s="12" t="n">
        <v>142.236</v>
      </c>
      <c r="V129" s="12" t="n">
        <v>-124.404</v>
      </c>
      <c r="W129" s="12" t="n">
        <v>310.177</v>
      </c>
      <c r="X129" s="12" t="n">
        <v>113.855</v>
      </c>
    </row>
    <row r="130">
      <c r="A130" s="18" t="inlineStr">
        <is>
          <t>기타유가증권 평가차액</t>
        </is>
      </c>
      <c r="C130" s="20" t="n">
        <v>0.126</v>
      </c>
      <c r="D130" s="20" t="n">
        <v>1.703</v>
      </c>
      <c r="E130" s="20" t="n">
        <v>-0.037</v>
      </c>
      <c r="F130" s="20" t="n">
        <v>-0.199</v>
      </c>
      <c r="G130" s="20" t="n">
        <v>15.183</v>
      </c>
      <c r="H130" s="20" t="n">
        <v>-11.791</v>
      </c>
      <c r="I130" s="20" t="n">
        <v>5.173</v>
      </c>
      <c r="J130" s="20" t="n">
        <v>6.507</v>
      </c>
      <c r="K130" s="20" t="n">
        <v>-0.194</v>
      </c>
      <c r="L130" s="20" t="n">
        <v>7.873</v>
      </c>
      <c r="M130" s="20" t="n">
        <v>1.204</v>
      </c>
      <c r="N130" s="20" t="n">
        <v>1.439</v>
      </c>
      <c r="T130" s="20" t="n">
        <v>0</v>
      </c>
      <c r="U130" s="20" t="n">
        <v>2.149</v>
      </c>
      <c r="V130" s="20" t="n">
        <v>1.703</v>
      </c>
      <c r="W130" s="20" t="n">
        <v>-11.791</v>
      </c>
      <c r="X130" s="20" t="n">
        <v>7.873</v>
      </c>
    </row>
    <row r="131">
      <c r="A131" s="18" t="inlineStr">
        <is>
          <t>기타포괄손익 합계</t>
        </is>
      </c>
      <c r="C131" s="20" t="n">
        <v>0.126</v>
      </c>
      <c r="D131" s="20" t="n">
        <v>1.703</v>
      </c>
      <c r="E131" s="20" t="n">
        <v>-0.037</v>
      </c>
      <c r="F131" s="20" t="n">
        <v>-0.199</v>
      </c>
      <c r="G131" s="20" t="n">
        <v>15.183</v>
      </c>
      <c r="H131" s="20" t="n">
        <v>-11.791</v>
      </c>
      <c r="I131" s="20" t="n">
        <v>5.173</v>
      </c>
      <c r="J131" s="20" t="n">
        <v>6.507</v>
      </c>
      <c r="K131" s="20" t="n">
        <v>-0.194</v>
      </c>
      <c r="L131" s="20" t="n">
        <v>7.873</v>
      </c>
      <c r="M131" s="20" t="n">
        <v>1.204</v>
      </c>
      <c r="N131" s="20" t="n">
        <v>1.439</v>
      </c>
      <c r="T131" s="20" t="n">
        <v>0</v>
      </c>
      <c r="U131" s="20" t="n">
        <v>2.149</v>
      </c>
      <c r="V131" s="20" t="n">
        <v>1.703</v>
      </c>
      <c r="W131" s="20" t="n">
        <v>-11.791</v>
      </c>
      <c r="X131" s="20" t="n">
        <v>7.873</v>
      </c>
    </row>
    <row r="132">
      <c r="A132" s="9" t="inlineStr">
        <is>
          <t>포괄이익</t>
        </is>
      </c>
      <c r="C132" s="12" t="n">
        <v>-13.787</v>
      </c>
      <c r="D132" s="12" t="n">
        <v>-122.701</v>
      </c>
      <c r="E132" s="12" t="n">
        <v>19.492</v>
      </c>
      <c r="F132" s="12" t="n">
        <v>228.861</v>
      </c>
      <c r="G132" s="12" t="n">
        <v>-107.477</v>
      </c>
      <c r="H132" s="12" t="n">
        <v>298.386</v>
      </c>
      <c r="I132" s="12" t="n">
        <v>147.38</v>
      </c>
      <c r="J132" s="12" t="n">
        <v>120.809</v>
      </c>
      <c r="K132" s="12" t="n">
        <v>272.578</v>
      </c>
      <c r="L132" s="12" t="n">
        <v>121.729</v>
      </c>
      <c r="M132" s="12" t="n">
        <v>279.67</v>
      </c>
      <c r="N132" s="12" t="n">
        <v>178.676</v>
      </c>
      <c r="T132" s="12" t="n">
        <v>-406.494</v>
      </c>
      <c r="U132" s="12" t="n">
        <v>144.385</v>
      </c>
      <c r="V132" s="12" t="n">
        <v>-122.701</v>
      </c>
      <c r="W132" s="12" t="n">
        <v>298.386</v>
      </c>
      <c r="X132" s="12" t="n">
        <v>121.729</v>
      </c>
    </row>
    <row r="133">
      <c r="A133" s="9" t="inlineStr">
        <is>
          <t>지배주주 포괄이익</t>
        </is>
      </c>
      <c r="C133" s="12" t="n">
        <v>-13.787</v>
      </c>
      <c r="D133" s="12" t="n">
        <v>-122.701</v>
      </c>
      <c r="E133" s="12" t="n">
        <v>20.334</v>
      </c>
      <c r="F133" s="12" t="n">
        <v>230.552</v>
      </c>
      <c r="G133" s="12" t="n">
        <v>-103.98</v>
      </c>
      <c r="H133" s="12" t="n">
        <v>291.707</v>
      </c>
      <c r="I133" s="12" t="n">
        <v>142.667</v>
      </c>
      <c r="J133" s="12" t="n">
        <v>123.432</v>
      </c>
      <c r="K133" s="12" t="n">
        <v>272.4</v>
      </c>
      <c r="L133" s="12" t="n">
        <v>120.077</v>
      </c>
      <c r="M133" s="12" t="n">
        <v>279.35</v>
      </c>
      <c r="N133" s="12" t="n">
        <v>178.58</v>
      </c>
      <c r="T133" s="12" t="n">
        <v>-402.531</v>
      </c>
      <c r="U133" s="12" t="n">
        <v>141.526</v>
      </c>
      <c r="V133" s="12" t="n">
        <v>-122.701</v>
      </c>
      <c r="W133" s="12" t="n">
        <v>291.707</v>
      </c>
      <c r="X133" s="12" t="n">
        <v>120.077</v>
      </c>
    </row>
    <row r="134">
      <c r="A134" s="9" t="inlineStr">
        <is>
          <t>비지배주주 포괄이익</t>
        </is>
      </c>
      <c r="C134" s="12" t="n">
        <v>0</v>
      </c>
      <c r="D134" s="12" t="n">
        <v>0</v>
      </c>
      <c r="E134" s="12" t="n">
        <v>-0.842</v>
      </c>
      <c r="F134" s="12" t="n">
        <v>-1.691</v>
      </c>
      <c r="G134" s="12" t="n">
        <v>-3.496</v>
      </c>
      <c r="H134" s="12" t="n">
        <v>6.678</v>
      </c>
      <c r="I134" s="12" t="n">
        <v>4.713</v>
      </c>
      <c r="J134" s="12" t="n">
        <v>-2.623</v>
      </c>
      <c r="K134" s="12" t="n">
        <v>0.178</v>
      </c>
      <c r="L134" s="12" t="n">
        <v>1.652</v>
      </c>
      <c r="M134" s="12" t="n">
        <v>0.32</v>
      </c>
      <c r="N134" s="12" t="n">
        <v>0.096</v>
      </c>
      <c r="T134" s="12" t="n">
        <v>-3.964</v>
      </c>
      <c r="U134" s="12" t="n">
        <v>2.859</v>
      </c>
      <c r="V134" s="12" t="n">
        <v>0</v>
      </c>
      <c r="W134" s="12" t="n">
        <v>6.678</v>
      </c>
      <c r="X134" s="12" t="n">
        <v>1.652</v>
      </c>
    </row>
    <row r="136">
      <c r="A136" s="16" t="inlineStr">
        <is>
          <t>부문 · 전 항목</t>
        </is>
      </c>
      <c r="B136" s="42" t="inlineStr">
        <is>
          <t>부문 · 항목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2024.3Q</t>
        </is>
      </c>
      <c r="D137" s="5" t="inlineStr">
        <is>
          <t>2024.4Q</t>
        </is>
      </c>
      <c r="E137" s="5" t="inlineStr">
        <is>
          <t>2025.1Q</t>
        </is>
      </c>
      <c r="F137" s="5" t="inlineStr">
        <is>
          <t>2025.2Q</t>
        </is>
      </c>
      <c r="G137" s="5" t="inlineStr">
        <is>
          <t>2025.3Q</t>
        </is>
      </c>
      <c r="H137" s="5" t="inlineStr">
        <is>
          <t>2025.4Q</t>
        </is>
      </c>
      <c r="I137" s="5" t="inlineStr">
        <is>
          <t>2026.1Q</t>
        </is>
      </c>
      <c r="J137" s="5" t="inlineStr">
        <is>
          <t>2026.2Q</t>
        </is>
      </c>
      <c r="K137" s="5" t="inlineStr">
        <is>
          <t>2026.3Q</t>
        </is>
      </c>
      <c r="L137" s="5" t="inlineStr">
        <is>
          <t>2026.4Q</t>
        </is>
      </c>
      <c r="M137" s="5" t="inlineStr">
        <is>
          <t>2027.1Q</t>
        </is>
      </c>
      <c r="N137" s="5" t="inlineStr">
        <is>
          <t>2027.2Q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18" t="inlineStr">
        <is>
          <t>인텔리전트 오토메이션 사업 · 외부 고객 매출</t>
        </is>
      </c>
      <c r="C138" s="20" t="n">
        <v>1084.466</v>
      </c>
      <c r="D138" s="20" t="n">
        <v>1163.199</v>
      </c>
      <c r="E138" s="20" t="n">
        <v>1146.564</v>
      </c>
      <c r="F138" s="20" t="n">
        <v>1124.745</v>
      </c>
      <c r="G138" s="20" t="n">
        <v>1215.229</v>
      </c>
      <c r="H138" s="20" t="n">
        <v>1285.098</v>
      </c>
      <c r="I138" s="20" t="n">
        <v>1284.079</v>
      </c>
      <c r="J138" s="20" t="n">
        <v>1355.997</v>
      </c>
      <c r="K138" s="20" t="n">
        <v>1459.837</v>
      </c>
      <c r="L138" s="20" t="n">
        <v>1538.574</v>
      </c>
      <c r="M138" s="20" t="n">
        <v>1471.326</v>
      </c>
      <c r="N138" s="20" t="n">
        <v>1420.798</v>
      </c>
      <c r="V138" s="20" t="n">
        <v>1163.199</v>
      </c>
      <c r="W138" s="20" t="n">
        <v>1285.098</v>
      </c>
      <c r="X138" s="20" t="n">
        <v>1538.574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18" t="inlineStr">
        <is>
          <t>애드 오토메이션 사업 · 외부 고객 매출</t>
        </is>
      </c>
      <c r="C140" s="20" t="n">
        <v>372.812</v>
      </c>
      <c r="D140" s="20" t="n">
        <v>431.397</v>
      </c>
      <c r="E140" s="20" t="n">
        <v>437.874</v>
      </c>
      <c r="F140" s="20" t="n">
        <v>350.066</v>
      </c>
      <c r="G140" s="20" t="n">
        <v>332.1</v>
      </c>
      <c r="H140" s="20" t="n">
        <v>371.542</v>
      </c>
      <c r="I140" s="20" t="n">
        <v>366.799</v>
      </c>
      <c r="J140" s="20" t="n">
        <v>273.705</v>
      </c>
      <c r="K140" s="20" t="n">
        <v>318.354</v>
      </c>
      <c r="L140" s="20" t="n">
        <v>358.166</v>
      </c>
      <c r="M140" s="20" t="n">
        <v>457.641</v>
      </c>
      <c r="N140" s="20" t="n">
        <v>418.485</v>
      </c>
      <c r="V140" s="20" t="n">
        <v>431.397</v>
      </c>
      <c r="W140" s="20" t="n">
        <v>371.542</v>
      </c>
      <c r="X140" s="20" t="n">
        <v>358.166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18" t="inlineStr">
        <is>
          <t>보고부문 합계 · 외부 고객 매출</t>
        </is>
      </c>
      <c r="C142" s="20" t="n">
        <v>1457.278</v>
      </c>
      <c r="D142" s="20" t="n">
        <v>1594.596</v>
      </c>
      <c r="E142" s="20" t="n">
        <v>1584.439</v>
      </c>
      <c r="F142" s="20" t="n">
        <v>1474.811</v>
      </c>
      <c r="G142" s="20" t="n">
        <v>1547.329</v>
      </c>
      <c r="H142" s="20" t="n">
        <v>1656.639</v>
      </c>
      <c r="I142" s="20" t="n">
        <v>1650.879</v>
      </c>
      <c r="J142" s="20" t="n">
        <v>1629.702</v>
      </c>
      <c r="K142" s="20" t="n">
        <v>1778.19</v>
      </c>
      <c r="L142" s="20" t="n">
        <v>1896.74</v>
      </c>
      <c r="M142" s="20" t="n">
        <v>1928.967</v>
      </c>
      <c r="N142" s="20" t="n">
        <v>1839.283</v>
      </c>
      <c r="V142" s="20" t="n">
        <v>1594.596</v>
      </c>
      <c r="W142" s="20" t="n">
        <v>1656.639</v>
      </c>
      <c r="X142" s="20" t="n">
        <v>1896.74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기타 · 외부 고객 매출</t>
        </is>
      </c>
      <c r="C144" s="20" t="n">
        <v>112.049</v>
      </c>
      <c r="D144" s="20" t="n">
        <v>88.566</v>
      </c>
      <c r="E144" s="20" t="n">
        <v>199.23</v>
      </c>
      <c r="F144" s="20" t="n">
        <v>207.578</v>
      </c>
      <c r="G144" s="20" t="n">
        <v>261.351</v>
      </c>
      <c r="H144" s="20" t="n">
        <v>293.068</v>
      </c>
      <c r="I144" s="20" t="n">
        <v>309.95</v>
      </c>
      <c r="J144" s="20" t="n">
        <v>274.388</v>
      </c>
      <c r="K144" s="20" t="n">
        <v>262.756</v>
      </c>
      <c r="L144" s="20" t="n">
        <v>345.483</v>
      </c>
      <c r="M144" s="20" t="n">
        <v>399.725</v>
      </c>
      <c r="N144" s="20" t="n">
        <v>447.437</v>
      </c>
      <c r="V144" s="20" t="n">
        <v>88.566</v>
      </c>
      <c r="W144" s="20" t="n">
        <v>293.068</v>
      </c>
      <c r="X144" s="20" t="n">
        <v>345.483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18" t="inlineStr">
        <is>
          <t>조정액 · 외부 고객 매출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</v>
      </c>
      <c r="K146" s="20" t="n">
        <v>0</v>
      </c>
      <c r="L146" s="20" t="n">
        <v>0</v>
      </c>
      <c r="M146" s="20" t="n">
        <v>0</v>
      </c>
      <c r="N146" s="20" t="n">
        <v>0</v>
      </c>
      <c r="V146" s="20" t="n">
        <v>0</v>
      </c>
      <c r="W146" s="20" t="n">
        <v>0</v>
      </c>
      <c r="X146" s="20" t="n">
        <v>0</v>
      </c>
    </row>
    <row r="147">
      <c r="A147" s="9" t="inlineStr">
        <is>
          <t>외부 고객 매출</t>
        </is>
      </c>
      <c r="C147" s="12" t="n">
        <v>1569.326</v>
      </c>
      <c r="D147" s="12" t="n">
        <v>1683.163</v>
      </c>
      <c r="E147" s="12" t="n">
        <v>1783.669</v>
      </c>
      <c r="F147" s="12" t="n">
        <v>1682.389</v>
      </c>
      <c r="G147" s="12" t="n">
        <v>1808.681</v>
      </c>
      <c r="H147" s="12" t="n">
        <v>1949.706</v>
      </c>
      <c r="I147" s="12" t="n">
        <v>1960.829</v>
      </c>
      <c r="J147" s="12" t="n">
        <v>1904.09</v>
      </c>
      <c r="K147" s="12" t="n">
        <v>2040.947</v>
      </c>
      <c r="L147" s="12" t="n">
        <v>2242.222</v>
      </c>
      <c r="M147" s="12" t="n">
        <v>2328.693</v>
      </c>
      <c r="N147" s="12" t="n">
        <v>2286.719</v>
      </c>
      <c r="V147" s="12" t="n">
        <v>1683.163</v>
      </c>
      <c r="W147" s="12" t="n">
        <v>1949.706</v>
      </c>
      <c r="X147" s="12" t="n">
        <v>2242.222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인텔리전트 오토메이션 사업 · 부문 간 내부매출·대체</t>
        </is>
      </c>
      <c r="C149" s="20" t="n">
        <v>5.19</v>
      </c>
      <c r="D149" s="20" t="n">
        <v>2.31</v>
      </c>
      <c r="E149" s="20" t="n">
        <v>2.31</v>
      </c>
      <c r="F149" s="20" t="n">
        <v>2.719</v>
      </c>
      <c r="G149" s="20" t="n">
        <v>2.748</v>
      </c>
      <c r="H149" s="20" t="n">
        <v>9.134</v>
      </c>
      <c r="I149" s="20" t="n">
        <v>21.796</v>
      </c>
      <c r="J149" s="20" t="n">
        <v>19.22</v>
      </c>
      <c r="K149" s="20" t="n">
        <v>27.018</v>
      </c>
      <c r="L149" s="20" t="n">
        <v>18.976</v>
      </c>
      <c r="M149" s="20" t="n">
        <v>8.613</v>
      </c>
      <c r="N149" s="20" t="n">
        <v>43.37</v>
      </c>
      <c r="V149" s="20" t="n">
        <v>2.31</v>
      </c>
      <c r="W149" s="20" t="n">
        <v>9.134</v>
      </c>
      <c r="X149" s="20" t="n">
        <v>18.976</v>
      </c>
    </row>
    <row r="150">
      <c r="A150" s="18" t="inlineStr">
        <is>
          <t>애드 오토메이션 사업 · 부문 간 내부매출·대체</t>
        </is>
      </c>
      <c r="C150" s="20" t="n">
        <v>7.916</v>
      </c>
      <c r="D150" s="20" t="n">
        <v>12.493</v>
      </c>
      <c r="E150" s="20" t="n">
        <v>5.728</v>
      </c>
      <c r="F150" s="20" t="n">
        <v>4.91</v>
      </c>
      <c r="G150" s="20" t="n">
        <v>6.303</v>
      </c>
      <c r="H150" s="20" t="n">
        <v>5.898</v>
      </c>
      <c r="I150" s="20" t="n">
        <v>4.714</v>
      </c>
      <c r="J150" s="20" t="n">
        <v>6.375</v>
      </c>
      <c r="K150" s="20" t="n">
        <v>7.749</v>
      </c>
      <c r="L150" s="20" t="n">
        <v>16.34</v>
      </c>
      <c r="M150" s="20" t="n">
        <v>13.198</v>
      </c>
      <c r="N150" s="20" t="n">
        <v>14.779</v>
      </c>
      <c r="V150" s="20" t="n">
        <v>12.493</v>
      </c>
      <c r="W150" s="20" t="n">
        <v>5.898</v>
      </c>
      <c r="X150" s="20" t="n">
        <v>16.34</v>
      </c>
    </row>
    <row r="151">
      <c r="A151" s="18" t="inlineStr">
        <is>
          <t>보고부문 합계 · 부문 간 내부매출·대체</t>
        </is>
      </c>
      <c r="C151" s="20" t="n">
        <v>13.106</v>
      </c>
      <c r="D151" s="20" t="n">
        <v>14.803</v>
      </c>
      <c r="E151" s="20" t="n">
        <v>8.038</v>
      </c>
      <c r="F151" s="20" t="n">
        <v>7.63</v>
      </c>
      <c r="G151" s="20" t="n">
        <v>9.050000000000001</v>
      </c>
      <c r="H151" s="20" t="n">
        <v>15.033</v>
      </c>
      <c r="I151" s="20" t="n">
        <v>26.51</v>
      </c>
      <c r="J151" s="20" t="n">
        <v>25.595</v>
      </c>
      <c r="K151" s="20" t="n">
        <v>34.767</v>
      </c>
      <c r="L151" s="20" t="n">
        <v>35.317</v>
      </c>
      <c r="M151" s="20" t="n">
        <v>21.811</v>
      </c>
      <c r="N151" s="20" t="n">
        <v>58.15</v>
      </c>
      <c r="V151" s="20" t="n">
        <v>14.803</v>
      </c>
      <c r="W151" s="20" t="n">
        <v>15.033</v>
      </c>
      <c r="X151" s="20" t="n">
        <v>35.317</v>
      </c>
    </row>
    <row r="152">
      <c r="A152" s="18" t="inlineStr">
        <is>
          <t>기타 · 부문 간 내부매출·대체</t>
        </is>
      </c>
      <c r="C152" s="20" t="n">
        <v>0.9</v>
      </c>
      <c r="D152" s="20" t="n">
        <v>0.9</v>
      </c>
      <c r="E152" s="20" t="n">
        <v>1.4</v>
      </c>
      <c r="F152" s="20" t="n">
        <v>2.381</v>
      </c>
      <c r="G152" s="20" t="n">
        <v>0.9</v>
      </c>
      <c r="H152" s="20" t="n">
        <v>1.157</v>
      </c>
      <c r="I152" s="20" t="n">
        <v>0.9</v>
      </c>
      <c r="J152" s="20" t="n">
        <v>0.908</v>
      </c>
      <c r="K152" s="20" t="n">
        <v>0.335</v>
      </c>
      <c r="L152" s="20" t="n">
        <v>0</v>
      </c>
      <c r="M152" s="20" t="n">
        <v>0.45</v>
      </c>
      <c r="N152" s="20" t="n">
        <v>0.868</v>
      </c>
      <c r="V152" s="20" t="n">
        <v>0.9</v>
      </c>
      <c r="W152" s="20" t="n">
        <v>1.157</v>
      </c>
      <c r="X152" s="20" t="n">
        <v>0</v>
      </c>
    </row>
    <row r="153">
      <c r="A153" s="18" t="inlineStr">
        <is>
          <t>조정액 · 부문 간 내부매출·대체</t>
        </is>
      </c>
      <c r="C153" s="20" t="n">
        <v>-14.006</v>
      </c>
      <c r="D153" s="20" t="n">
        <v>-15.703</v>
      </c>
      <c r="E153" s="20" t="n">
        <v>-9.438000000000001</v>
      </c>
      <c r="F153" s="20" t="n">
        <v>-10.011</v>
      </c>
      <c r="G153" s="20" t="n">
        <v>-9.949999999999999</v>
      </c>
      <c r="H153" s="20" t="n">
        <v>-16.19</v>
      </c>
      <c r="I153" s="20" t="n">
        <v>-27.41</v>
      </c>
      <c r="J153" s="20" t="n">
        <v>-26.504</v>
      </c>
      <c r="K153" s="20" t="n">
        <v>-35.102</v>
      </c>
      <c r="L153" s="20" t="n">
        <v>-35.317</v>
      </c>
      <c r="M153" s="20" t="n">
        <v>-22.261</v>
      </c>
      <c r="N153" s="20" t="n">
        <v>-59.018</v>
      </c>
      <c r="V153" s="20" t="n">
        <v>-15.703</v>
      </c>
      <c r="W153" s="20" t="n">
        <v>-16.19</v>
      </c>
      <c r="X153" s="20" t="n">
        <v>-35.317</v>
      </c>
    </row>
    <row r="154">
      <c r="A154" s="18" t="inlineStr">
        <is>
          <t>부문 간 내부매출·대체</t>
        </is>
      </c>
      <c r="C154" s="20" t="n">
        <v>0</v>
      </c>
      <c r="D154" s="20" t="n">
        <v>0</v>
      </c>
      <c r="E154" s="20" t="n">
        <v>0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0</v>
      </c>
      <c r="K154" s="20" t="n">
        <v>0</v>
      </c>
      <c r="L154" s="20" t="n">
        <v>0</v>
      </c>
      <c r="M154" s="20" t="n">
        <v>0</v>
      </c>
      <c r="N154" s="20" t="n">
        <v>0</v>
      </c>
      <c r="V154" s="20" t="n">
        <v>0</v>
      </c>
      <c r="W154" s="20" t="n">
        <v>0</v>
      </c>
      <c r="X154" s="20" t="n">
        <v>0</v>
      </c>
    </row>
    <row r="155">
      <c r="A155" s="18" t="inlineStr">
        <is>
          <t>인텔리전트 오토메이션 사업 · 계</t>
        </is>
      </c>
      <c r="C155" s="20" t="n">
        <v>1089.656</v>
      </c>
      <c r="D155" s="20" t="n">
        <v>1165.509</v>
      </c>
      <c r="E155" s="20" t="n">
        <v>1148.874</v>
      </c>
      <c r="F155" s="20" t="n">
        <v>1127.464</v>
      </c>
      <c r="G155" s="20" t="n">
        <v>1217.978</v>
      </c>
      <c r="H155" s="20" t="n">
        <v>1294.232</v>
      </c>
      <c r="I155" s="20" t="n">
        <v>1305.875</v>
      </c>
      <c r="J155" s="20" t="n">
        <v>1375.218</v>
      </c>
      <c r="K155" s="20" t="n">
        <v>1486.855</v>
      </c>
      <c r="L155" s="20" t="n">
        <v>1557.55</v>
      </c>
      <c r="M155" s="20" t="n">
        <v>1479.939</v>
      </c>
      <c r="N155" s="20" t="n">
        <v>1464.169</v>
      </c>
      <c r="V155" s="20" t="n">
        <v>1165.509</v>
      </c>
      <c r="W155" s="20" t="n">
        <v>1294.232</v>
      </c>
      <c r="X155" s="20" t="n">
        <v>1557.55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애드 오토메이션 사업 · 계</t>
        </is>
      </c>
      <c r="C157" s="20" t="n">
        <v>380.727</v>
      </c>
      <c r="D157" s="20" t="n">
        <v>443.891</v>
      </c>
      <c r="E157" s="20" t="n">
        <v>443.603</v>
      </c>
      <c r="F157" s="20" t="n">
        <v>354.976</v>
      </c>
      <c r="G157" s="20" t="n">
        <v>338.402</v>
      </c>
      <c r="H157" s="20" t="n">
        <v>377.44</v>
      </c>
      <c r="I157" s="20" t="n">
        <v>371.514</v>
      </c>
      <c r="J157" s="20" t="n">
        <v>280.079</v>
      </c>
      <c r="K157" s="20" t="n">
        <v>326.103</v>
      </c>
      <c r="L157" s="20" t="n">
        <v>374.506</v>
      </c>
      <c r="M157" s="20" t="n">
        <v>470.839</v>
      </c>
      <c r="N157" s="20" t="n">
        <v>433.265</v>
      </c>
      <c r="V157" s="20" t="n">
        <v>443.891</v>
      </c>
      <c r="W157" s="20" t="n">
        <v>377.44</v>
      </c>
      <c r="X157" s="20" t="n">
        <v>374.506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보고부문 합계 · 계</t>
        </is>
      </c>
      <c r="C159" s="20" t="n">
        <v>1470.383</v>
      </c>
      <c r="D159" s="20" t="n">
        <v>1609.4</v>
      </c>
      <c r="E159" s="20" t="n">
        <v>1592.478</v>
      </c>
      <c r="F159" s="20" t="n">
        <v>1482.44</v>
      </c>
      <c r="G159" s="20" t="n">
        <v>1556.379</v>
      </c>
      <c r="H159" s="20" t="n">
        <v>1671.672</v>
      </c>
      <c r="I159" s="20" t="n">
        <v>1677.39</v>
      </c>
      <c r="J159" s="20" t="n">
        <v>1655.297</v>
      </c>
      <c r="K159" s="20" t="n">
        <v>1812.957</v>
      </c>
      <c r="L159" s="20" t="n">
        <v>1932.056</v>
      </c>
      <c r="M159" s="20" t="n">
        <v>1950.779</v>
      </c>
      <c r="N159" s="20" t="n">
        <v>1897.433</v>
      </c>
      <c r="V159" s="20" t="n">
        <v>1609.4</v>
      </c>
      <c r="W159" s="20" t="n">
        <v>1671.672</v>
      </c>
      <c r="X159" s="20" t="n">
        <v>1932.056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기타 · 계</t>
        </is>
      </c>
      <c r="C161" s="20" t="n">
        <v>112.949</v>
      </c>
      <c r="D161" s="20" t="n">
        <v>89.46599999999999</v>
      </c>
      <c r="E161" s="20" t="n">
        <v>200.63</v>
      </c>
      <c r="F161" s="20" t="n">
        <v>209.959</v>
      </c>
      <c r="G161" s="20" t="n">
        <v>262.251</v>
      </c>
      <c r="H161" s="20" t="n">
        <v>294.225</v>
      </c>
      <c r="I161" s="20" t="n">
        <v>310.85</v>
      </c>
      <c r="J161" s="20" t="n">
        <v>275.296</v>
      </c>
      <c r="K161" s="20" t="n">
        <v>263.092</v>
      </c>
      <c r="L161" s="20" t="n">
        <v>345.483</v>
      </c>
      <c r="M161" s="20" t="n">
        <v>400.175</v>
      </c>
      <c r="N161" s="20" t="n">
        <v>448.305</v>
      </c>
      <c r="V161" s="20" t="n">
        <v>89.46599999999999</v>
      </c>
      <c r="W161" s="20" t="n">
        <v>294.225</v>
      </c>
      <c r="X161" s="20" t="n">
        <v>345.483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조정액 · 계</t>
        </is>
      </c>
      <c r="C163" s="20" t="n">
        <v>-14.006</v>
      </c>
      <c r="D163" s="20" t="n">
        <v>-15.703</v>
      </c>
      <c r="E163" s="20" t="n">
        <v>-9.438000000000001</v>
      </c>
      <c r="F163" s="20" t="n">
        <v>-10.011</v>
      </c>
      <c r="G163" s="20" t="n">
        <v>-9.949999999999999</v>
      </c>
      <c r="H163" s="20" t="n">
        <v>-16.19</v>
      </c>
      <c r="I163" s="20" t="n">
        <v>-27.41</v>
      </c>
      <c r="J163" s="20" t="n">
        <v>-26.504</v>
      </c>
      <c r="K163" s="20" t="n">
        <v>-35.102</v>
      </c>
      <c r="L163" s="20" t="n">
        <v>-35.317</v>
      </c>
      <c r="M163" s="20" t="n">
        <v>-22.261</v>
      </c>
      <c r="N163" s="20" t="n">
        <v>-59.018</v>
      </c>
      <c r="V163" s="20" t="n">
        <v>-15.703</v>
      </c>
      <c r="W163" s="20" t="n">
        <v>-16.19</v>
      </c>
      <c r="X163" s="20" t="n">
        <v>-35.317</v>
      </c>
    </row>
    <row r="164">
      <c r="A164" s="9" t="inlineStr">
        <is>
          <t>계</t>
        </is>
      </c>
      <c r="C164" s="12" t="n">
        <v>1569.326</v>
      </c>
      <c r="D164" s="12" t="n">
        <v>1683.163</v>
      </c>
      <c r="E164" s="12" t="n">
        <v>1783.669</v>
      </c>
      <c r="F164" s="12" t="n">
        <v>1682.389</v>
      </c>
      <c r="G164" s="12" t="n">
        <v>1808.681</v>
      </c>
      <c r="H164" s="12" t="n">
        <v>1949.706</v>
      </c>
      <c r="I164" s="12" t="n">
        <v>1960.829</v>
      </c>
      <c r="J164" s="12" t="n">
        <v>1904.09</v>
      </c>
      <c r="K164" s="12" t="n">
        <v>2040.947</v>
      </c>
      <c r="L164" s="12" t="n">
        <v>2242.222</v>
      </c>
      <c r="M164" s="12" t="n">
        <v>2328.693</v>
      </c>
      <c r="N164" s="12" t="n">
        <v>2286.719</v>
      </c>
      <c r="V164" s="12" t="n">
        <v>1683.163</v>
      </c>
      <c r="W164" s="12" t="n">
        <v>1949.706</v>
      </c>
      <c r="X164" s="12" t="n">
        <v>2242.222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인텔리전트 오토메이션 사업 · 부문 이익(손실)</t>
        </is>
      </c>
      <c r="C166" s="20" t="n">
        <v>69.691</v>
      </c>
      <c r="D166" s="20" t="n">
        <v>111.437</v>
      </c>
      <c r="E166" s="20" t="n">
        <v>108.365</v>
      </c>
      <c r="F166" s="20" t="n">
        <v>116.711</v>
      </c>
      <c r="G166" s="20" t="n">
        <v>72.181</v>
      </c>
      <c r="H166" s="20" t="n">
        <v>212.027</v>
      </c>
      <c r="I166" s="20" t="n">
        <v>191.562</v>
      </c>
      <c r="J166" s="20" t="n">
        <v>261.191</v>
      </c>
      <c r="K166" s="20" t="n">
        <v>211.989</v>
      </c>
      <c r="L166" s="20" t="n">
        <v>299.423</v>
      </c>
      <c r="M166" s="20" t="n">
        <v>310.902</v>
      </c>
      <c r="N166" s="20" t="n">
        <v>228.8</v>
      </c>
      <c r="V166" s="20" t="n">
        <v>111.437</v>
      </c>
      <c r="W166" s="20" t="n">
        <v>212.027</v>
      </c>
      <c r="X166" s="20" t="n">
        <v>299.423</v>
      </c>
    </row>
    <row r="167">
      <c r="A167" s="43" t="inlineStr">
        <is>
          <t>OPM</t>
        </is>
      </c>
      <c r="B167" s="3" t="inlineStr">
        <is>
          <t>영업이익 ÷ 매출</t>
        </is>
      </c>
      <c r="C167" s="15">
        <f>IF(OR(C166="",C155=""),"",IF(C155&lt;=0,"",IFERROR(C166/C155,"")))</f>
        <v/>
      </c>
      <c r="D167" s="15">
        <f>IF(OR(D166="",D155=""),"",IF(D155&lt;=0,"",IFERROR(D166/D155,"")))</f>
        <v/>
      </c>
      <c r="E167" s="15">
        <f>IF(OR(E166="",E155=""),"",IF(E155&lt;=0,"",IFERROR(E166/E155,"")))</f>
        <v/>
      </c>
      <c r="F167" s="15">
        <f>IF(OR(F166="",F155=""),"",IF(F155&lt;=0,"",IFERROR(F166/F155,"")))</f>
        <v/>
      </c>
      <c r="G167" s="15">
        <f>IF(OR(G166="",G155=""),"",IF(G155&lt;=0,"",IFERROR(G166/G155,"")))</f>
        <v/>
      </c>
      <c r="H167" s="15">
        <f>IF(OR(H166="",H155=""),"",IF(H155&lt;=0,"",IFERROR(H166/H155,"")))</f>
        <v/>
      </c>
      <c r="I167" s="15">
        <f>IF(OR(I166="",I155=""),"",IF(I155&lt;=0,"",IFERROR(I166/I155,"")))</f>
        <v/>
      </c>
      <c r="J167" s="15">
        <f>IF(OR(J166="",J155=""),"",IF(J155&lt;=0,"",IFERROR(J166/J155,"")))</f>
        <v/>
      </c>
      <c r="K167" s="15">
        <f>IF(OR(K166="",K155=""),"",IF(K155&lt;=0,"",IFERROR(K166/K155,"")))</f>
        <v/>
      </c>
      <c r="L167" s="15">
        <f>IF(OR(L166="",L155=""),"",IF(L155&lt;=0,"",IFERROR(L166/L155,"")))</f>
        <v/>
      </c>
      <c r="M167" s="15">
        <f>IF(OR(M166="",M155=""),"",IF(M155&lt;=0,"",IFERROR(M166/M155,"")))</f>
        <v/>
      </c>
      <c r="N167" s="15">
        <f>IF(OR(N166="",N155=""),"",IF(N155&lt;=0,"",IFERROR(N166/N155,"")))</f>
        <v/>
      </c>
      <c r="V167" s="15">
        <f>IF(OR(V166="",V155=""),"",IF(V155&lt;=0,"",IFERROR(V166/V155,"")))</f>
        <v/>
      </c>
      <c r="W167" s="15">
        <f>IF(OR(W166="",W155=""),"",IF(W155&lt;=0,"",IFERROR(W166/W155,"")))</f>
        <v/>
      </c>
      <c r="X167" s="15">
        <f>IF(OR(X166="",X155=""),"",IF(X155&lt;=0,"",IFERROR(X166/X155,"")))</f>
        <v/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IF(OR(G166="",C166=""),"",IF(C166&lt;=0,"",IFERROR(G166/C166-1,"")))</f>
        <v/>
      </c>
      <c r="H168" s="15">
        <f>IF(OR(H166="",D166=""),"",IF(D166&lt;=0,"",IFERROR(H166/D166-1,"")))</f>
        <v/>
      </c>
      <c r="I168" s="15">
        <f>IF(OR(I166="",E166=""),"",IF(E166&lt;=0,"",IFERROR(I166/E166-1,"")))</f>
        <v/>
      </c>
      <c r="J168" s="15">
        <f>IF(OR(J166="",F166=""),"",IF(F166&lt;=0,"",IFERROR(J166/F166-1,"")))</f>
        <v/>
      </c>
      <c r="K168" s="15">
        <f>IF(OR(K166="",G166=""),"",IF(G166&lt;=0,"",IFERROR(K166/G166-1,"")))</f>
        <v/>
      </c>
      <c r="L168" s="15">
        <f>IF(OR(L166="",H166=""),"",IF(H166&lt;=0,"",IFERROR(L166/H166-1,"")))</f>
        <v/>
      </c>
      <c r="M168" s="15">
        <f>IF(OR(M166="",I166=""),"",IF(I166&lt;=0,"",IFERROR(M166/I166-1,"")))</f>
        <v/>
      </c>
      <c r="N168" s="15">
        <f>IF(OR(N166="",J166=""),"",IF(J166&lt;=0,"",IFERROR(N166/J166-1,"")))</f>
        <v/>
      </c>
      <c r="V168" s="15">
        <f>IF(OR(V166="",U166=""),"",IF(U166&lt;=0,"",IFERROR(V166/U166-1,"")))</f>
        <v/>
      </c>
      <c r="W168" s="15">
        <f>IF(OR(W166="",V166=""),"",IF(V166&lt;=0,"",IFERROR(W166/V166-1,"")))</f>
        <v/>
      </c>
      <c r="X168" s="15">
        <f>IF(OR(X166="",W166=""),"",IF(W166&lt;=0,"",IFERROR(X166/W166-1,"")))</f>
        <v/>
      </c>
    </row>
    <row r="169">
      <c r="A169" s="18" t="inlineStr">
        <is>
          <t>애드 오토메이션 사업 · 부문 이익(손실)</t>
        </is>
      </c>
      <c r="C169" s="20" t="n">
        <v>101.225</v>
      </c>
      <c r="D169" s="20" t="n">
        <v>178.539</v>
      </c>
      <c r="E169" s="20" t="n">
        <v>160.222</v>
      </c>
      <c r="F169" s="20" t="n">
        <v>119.951</v>
      </c>
      <c r="G169" s="20" t="n">
        <v>104.382</v>
      </c>
      <c r="H169" s="20" t="n">
        <v>172.93</v>
      </c>
      <c r="I169" s="20" t="n">
        <v>203.536</v>
      </c>
      <c r="J169" s="20" t="n">
        <v>119.342</v>
      </c>
      <c r="K169" s="20" t="n">
        <v>167.932</v>
      </c>
      <c r="L169" s="20" t="n">
        <v>157.508</v>
      </c>
      <c r="M169" s="20" t="n">
        <v>271.117</v>
      </c>
      <c r="N169" s="20" t="n">
        <v>173.199</v>
      </c>
      <c r="V169" s="20" t="n">
        <v>178.539</v>
      </c>
      <c r="W169" s="20" t="n">
        <v>172.93</v>
      </c>
      <c r="X169" s="20" t="n">
        <v>157.508</v>
      </c>
    </row>
    <row r="170">
      <c r="A170" s="43" t="inlineStr">
        <is>
          <t>OPM</t>
        </is>
      </c>
      <c r="B170" s="3" t="inlineStr">
        <is>
          <t>영업이익 ÷ 매출</t>
        </is>
      </c>
      <c r="C170" s="15">
        <f>IF(OR(C169="",C157=""),"",IF(C157&lt;=0,"",IFERROR(C169/C157,"")))</f>
        <v/>
      </c>
      <c r="D170" s="15">
        <f>IF(OR(D169="",D157=""),"",IF(D157&lt;=0,"",IFERROR(D169/D157,"")))</f>
        <v/>
      </c>
      <c r="E170" s="15">
        <f>IF(OR(E169="",E157=""),"",IF(E157&lt;=0,"",IFERROR(E169/E157,"")))</f>
        <v/>
      </c>
      <c r="F170" s="15">
        <f>IF(OR(F169="",F157=""),"",IF(F157&lt;=0,"",IFERROR(F169/F157,"")))</f>
        <v/>
      </c>
      <c r="G170" s="15">
        <f>IF(OR(G169="",G157=""),"",IF(G157&lt;=0,"",IFERROR(G169/G157,"")))</f>
        <v/>
      </c>
      <c r="H170" s="15">
        <f>IF(OR(H169="",H157=""),"",IF(H157&lt;=0,"",IFERROR(H169/H157,"")))</f>
        <v/>
      </c>
      <c r="I170" s="15">
        <f>IF(OR(I169="",I157=""),"",IF(I157&lt;=0,"",IFERROR(I169/I157,"")))</f>
        <v/>
      </c>
      <c r="J170" s="15">
        <f>IF(OR(J169="",J157=""),"",IF(J157&lt;=0,"",IFERROR(J169/J157,"")))</f>
        <v/>
      </c>
      <c r="K170" s="15">
        <f>IF(OR(K169="",K157=""),"",IF(K157&lt;=0,"",IFERROR(K169/K157,"")))</f>
        <v/>
      </c>
      <c r="L170" s="15">
        <f>IF(OR(L169="",L157=""),"",IF(L157&lt;=0,"",IFERROR(L169/L157,"")))</f>
        <v/>
      </c>
      <c r="M170" s="15">
        <f>IF(OR(M169="",M157=""),"",IF(M157&lt;=0,"",IFERROR(M169/M157,"")))</f>
        <v/>
      </c>
      <c r="N170" s="15">
        <f>IF(OR(N169="",N157=""),"",IF(N157&lt;=0,"",IFERROR(N169/N157,"")))</f>
        <v/>
      </c>
      <c r="V170" s="15">
        <f>IF(OR(V169="",V157=""),"",IF(V157&lt;=0,"",IFERROR(V169/V157,"")))</f>
        <v/>
      </c>
      <c r="W170" s="15">
        <f>IF(OR(W169="",W157=""),"",IF(W157&lt;=0,"",IFERROR(W169/W157,"")))</f>
        <v/>
      </c>
      <c r="X170" s="15">
        <f>IF(OR(X169="",X157=""),"",IF(X157&lt;=0,"",IFERROR(X169/X157,"")))</f>
        <v/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IF(OR(G169="",C169=""),"",IF(C169&lt;=0,"",IFERROR(G169/C169-1,"")))</f>
        <v/>
      </c>
      <c r="H171" s="15">
        <f>IF(OR(H169="",D169=""),"",IF(D169&lt;=0,"",IFERROR(H169/D169-1,"")))</f>
        <v/>
      </c>
      <c r="I171" s="15">
        <f>IF(OR(I169="",E169=""),"",IF(E169&lt;=0,"",IFERROR(I169/E169-1,"")))</f>
        <v/>
      </c>
      <c r="J171" s="15">
        <f>IF(OR(J169="",F169=""),"",IF(F169&lt;=0,"",IFERROR(J169/F169-1,"")))</f>
        <v/>
      </c>
      <c r="K171" s="15">
        <f>IF(OR(K169="",G169=""),"",IF(G169&lt;=0,"",IFERROR(K169/G169-1,"")))</f>
        <v/>
      </c>
      <c r="L171" s="15">
        <f>IF(OR(L169="",H169=""),"",IF(H169&lt;=0,"",IFERROR(L169/H169-1,"")))</f>
        <v/>
      </c>
      <c r="M171" s="15">
        <f>IF(OR(M169="",I169=""),"",IF(I169&lt;=0,"",IFERROR(M169/I169-1,"")))</f>
        <v/>
      </c>
      <c r="N171" s="15">
        <f>IF(OR(N169="",J169=""),"",IF(J169&lt;=0,"",IFERROR(N169/J169-1,"")))</f>
        <v/>
      </c>
      <c r="V171" s="15">
        <f>IF(OR(V169="",U169=""),"",IF(U169&lt;=0,"",IFERROR(V169/U169-1,"")))</f>
        <v/>
      </c>
      <c r="W171" s="15">
        <f>IF(OR(W169="",V169=""),"",IF(V169&lt;=0,"",IFERROR(W169/V169-1,"")))</f>
        <v/>
      </c>
      <c r="X171" s="15">
        <f>IF(OR(X169="",W169=""),"",IF(W169&lt;=0,"",IFERROR(X169/W169-1,"")))</f>
        <v/>
      </c>
    </row>
    <row r="172">
      <c r="A172" s="18" t="inlineStr">
        <is>
          <t>보고부문 합계 · 부문 이익(손실)</t>
        </is>
      </c>
      <c r="C172" s="20" t="n">
        <v>170.917</v>
      </c>
      <c r="D172" s="20" t="n">
        <v>289.976</v>
      </c>
      <c r="E172" s="20" t="n">
        <v>268.587</v>
      </c>
      <c r="F172" s="20" t="n">
        <v>236.663</v>
      </c>
      <c r="G172" s="20" t="n">
        <v>176.562</v>
      </c>
      <c r="H172" s="20" t="n">
        <v>384.957</v>
      </c>
      <c r="I172" s="20" t="n">
        <v>395.098</v>
      </c>
      <c r="J172" s="20" t="n">
        <v>380.534</v>
      </c>
      <c r="K172" s="20" t="n">
        <v>379.92</v>
      </c>
      <c r="L172" s="20" t="n">
        <v>456.931</v>
      </c>
      <c r="M172" s="20" t="n">
        <v>582.02</v>
      </c>
      <c r="N172" s="20" t="n">
        <v>401.998</v>
      </c>
      <c r="V172" s="20" t="n">
        <v>289.976</v>
      </c>
      <c r="W172" s="20" t="n">
        <v>384.957</v>
      </c>
      <c r="X172" s="20" t="n">
        <v>456.931</v>
      </c>
    </row>
    <row r="173">
      <c r="A173" s="43" t="inlineStr">
        <is>
          <t>OPM</t>
        </is>
      </c>
      <c r="B173" s="3" t="inlineStr">
        <is>
          <t>영업이익 ÷ 매출</t>
        </is>
      </c>
      <c r="C173" s="15">
        <f>IF(OR(C172="",C159=""),"",IF(C159&lt;=0,"",IFERROR(C172/C159,"")))</f>
        <v/>
      </c>
      <c r="D173" s="15">
        <f>IF(OR(D172="",D159=""),"",IF(D159&lt;=0,"",IFERROR(D172/D159,"")))</f>
        <v/>
      </c>
      <c r="E173" s="15">
        <f>IF(OR(E172="",E159=""),"",IF(E159&lt;=0,"",IFERROR(E172/E159,"")))</f>
        <v/>
      </c>
      <c r="F173" s="15">
        <f>IF(OR(F172="",F159=""),"",IF(F159&lt;=0,"",IFERROR(F172/F159,"")))</f>
        <v/>
      </c>
      <c r="G173" s="15">
        <f>IF(OR(G172="",G159=""),"",IF(G159&lt;=0,"",IFERROR(G172/G159,"")))</f>
        <v/>
      </c>
      <c r="H173" s="15">
        <f>IF(OR(H172="",H159=""),"",IF(H159&lt;=0,"",IFERROR(H172/H159,"")))</f>
        <v/>
      </c>
      <c r="I173" s="15">
        <f>IF(OR(I172="",I159=""),"",IF(I159&lt;=0,"",IFERROR(I172/I159,"")))</f>
        <v/>
      </c>
      <c r="J173" s="15">
        <f>IF(OR(J172="",J159=""),"",IF(J159&lt;=0,"",IFERROR(J172/J159,"")))</f>
        <v/>
      </c>
      <c r="K173" s="15">
        <f>IF(OR(K172="",K159=""),"",IF(K159&lt;=0,"",IFERROR(K172/K159,"")))</f>
        <v/>
      </c>
      <c r="L173" s="15">
        <f>IF(OR(L172="",L159=""),"",IF(L159&lt;=0,"",IFERROR(L172/L159,"")))</f>
        <v/>
      </c>
      <c r="M173" s="15">
        <f>IF(OR(M172="",M159=""),"",IF(M159&lt;=0,"",IFERROR(M172/M159,"")))</f>
        <v/>
      </c>
      <c r="N173" s="15">
        <f>IF(OR(N172="",N159=""),"",IF(N159&lt;=0,"",IFERROR(N172/N159,"")))</f>
        <v/>
      </c>
      <c r="V173" s="15">
        <f>IF(OR(V172="",V159=""),"",IF(V159&lt;=0,"",IFERROR(V172/V159,"")))</f>
        <v/>
      </c>
      <c r="W173" s="15">
        <f>IF(OR(W172="",W159=""),"",IF(W159&lt;=0,"",IFERROR(W172/W159,"")))</f>
        <v/>
      </c>
      <c r="X173" s="15">
        <f>IF(OR(X172="",X159=""),"",IF(X159&lt;=0,"",IFERROR(X172/X159,"")))</f>
        <v/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IF(OR(G172="",C172=""),"",IF(C172&lt;=0,"",IFERROR(G172/C172-1,"")))</f>
        <v/>
      </c>
      <c r="H174" s="15">
        <f>IF(OR(H172="",D172=""),"",IF(D172&lt;=0,"",IFERROR(H172/D172-1,"")))</f>
        <v/>
      </c>
      <c r="I174" s="15">
        <f>IF(OR(I172="",E172=""),"",IF(E172&lt;=0,"",IFERROR(I172/E172-1,"")))</f>
        <v/>
      </c>
      <c r="J174" s="15">
        <f>IF(OR(J172="",F172=""),"",IF(F172&lt;=0,"",IFERROR(J172/F172-1,"")))</f>
        <v/>
      </c>
      <c r="K174" s="15">
        <f>IF(OR(K172="",G172=""),"",IF(G172&lt;=0,"",IFERROR(K172/G172-1,"")))</f>
        <v/>
      </c>
      <c r="L174" s="15">
        <f>IF(OR(L172="",H172=""),"",IF(H172&lt;=0,"",IFERROR(L172/H172-1,"")))</f>
        <v/>
      </c>
      <c r="M174" s="15">
        <f>IF(OR(M172="",I172=""),"",IF(I172&lt;=0,"",IFERROR(M172/I172-1,"")))</f>
        <v/>
      </c>
      <c r="N174" s="15">
        <f>IF(OR(N172="",J172=""),"",IF(J172&lt;=0,"",IFERROR(N172/J172-1,"")))</f>
        <v/>
      </c>
      <c r="V174" s="15">
        <f>IF(OR(V172="",U172=""),"",IF(U172&lt;=0,"",IFERROR(V172/U172-1,"")))</f>
        <v/>
      </c>
      <c r="W174" s="15">
        <f>IF(OR(W172="",V172=""),"",IF(V172&lt;=0,"",IFERROR(W172/V172-1,"")))</f>
        <v/>
      </c>
      <c r="X174" s="15">
        <f>IF(OR(X172="",W172=""),"",IF(W172&lt;=0,"",IFERROR(X172/W172-1,"")))</f>
        <v/>
      </c>
    </row>
    <row r="175">
      <c r="A175" s="18" t="inlineStr">
        <is>
          <t>기타 · 부문 이익(손실)</t>
        </is>
      </c>
      <c r="C175" s="20" t="n">
        <v>35.317</v>
      </c>
      <c r="D175" s="20" t="n">
        <v>21.371</v>
      </c>
      <c r="E175" s="20" t="n">
        <v>2.283</v>
      </c>
      <c r="F175" s="20" t="n">
        <v>-21.379</v>
      </c>
      <c r="G175" s="20" t="n">
        <v>-0.869</v>
      </c>
      <c r="H175" s="20" t="n">
        <v>35.651</v>
      </c>
      <c r="I175" s="20" t="n">
        <v>-40.035</v>
      </c>
      <c r="J175" s="20" t="n">
        <v>-60.531</v>
      </c>
      <c r="K175" s="20" t="n">
        <v>95.54000000000001</v>
      </c>
      <c r="L175" s="20" t="n">
        <v>47.763</v>
      </c>
      <c r="M175" s="20" t="n">
        <v>-69.855</v>
      </c>
      <c r="N175" s="20" t="n">
        <v>-93.295</v>
      </c>
      <c r="V175" s="20" t="n">
        <v>21.371</v>
      </c>
      <c r="W175" s="20" t="n">
        <v>35.651</v>
      </c>
      <c r="X175" s="20" t="n">
        <v>47.763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IF(OR(C175="",C161=""),"",IF(C161&lt;=0,"",IFERROR(C175/C161,"")))</f>
        <v/>
      </c>
      <c r="D176" s="15">
        <f>IF(OR(D175="",D161=""),"",IF(D161&lt;=0,"",IFERROR(D175/D161,"")))</f>
        <v/>
      </c>
      <c r="E176" s="15">
        <f>IF(OR(E175="",E161=""),"",IF(E161&lt;=0,"",IFERROR(E175/E161,"")))</f>
        <v/>
      </c>
      <c r="F176" s="15">
        <f>IF(OR(F175="",F161=""),"",IF(F161&lt;=0,"",IFERROR(F175/F161,"")))</f>
        <v/>
      </c>
      <c r="G176" s="15">
        <f>IF(OR(G175="",G161=""),"",IF(G161&lt;=0,"",IFERROR(G175/G161,"")))</f>
        <v/>
      </c>
      <c r="H176" s="15">
        <f>IF(OR(H175="",H161=""),"",IF(H161&lt;=0,"",IFERROR(H175/H161,"")))</f>
        <v/>
      </c>
      <c r="I176" s="15">
        <f>IF(OR(I175="",I161=""),"",IF(I161&lt;=0,"",IFERROR(I175/I161,"")))</f>
        <v/>
      </c>
      <c r="J176" s="15">
        <f>IF(OR(J175="",J161=""),"",IF(J161&lt;=0,"",IFERROR(J175/J161,"")))</f>
        <v/>
      </c>
      <c r="K176" s="15">
        <f>IF(OR(K175="",K161=""),"",IF(K161&lt;=0,"",IFERROR(K175/K161,"")))</f>
        <v/>
      </c>
      <c r="L176" s="15">
        <f>IF(OR(L175="",L161=""),"",IF(L161&lt;=0,"",IFERROR(L175/L161,"")))</f>
        <v/>
      </c>
      <c r="M176" s="15">
        <f>IF(OR(M175="",M161=""),"",IF(M161&lt;=0,"",IFERROR(M175/M161,"")))</f>
        <v/>
      </c>
      <c r="N176" s="15">
        <f>IF(OR(N175="",N161=""),"",IF(N161&lt;=0,"",IFERROR(N175/N161,"")))</f>
        <v/>
      </c>
      <c r="V176" s="15">
        <f>IF(OR(V175="",V161=""),"",IF(V161&lt;=0,"",IFERROR(V175/V161,"")))</f>
        <v/>
      </c>
      <c r="W176" s="15">
        <f>IF(OR(W175="",W161=""),"",IF(W161&lt;=0,"",IFERROR(W175/W161,"")))</f>
        <v/>
      </c>
      <c r="X176" s="15">
        <f>IF(OR(X175="",X161=""),"",IF(X161&lt;=0,"",IFERROR(X175/X161,"")))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M177" s="15">
        <f>IF(OR(M175="",I175=""),"",IF(I175&lt;=0,"",IFERROR(M175/I175-1,"")))</f>
        <v/>
      </c>
      <c r="N177" s="15">
        <f>IF(OR(N175="",J175=""),"",IF(J175&lt;=0,"",IFERROR(N175/J175-1,"")))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조정액 · 부문 이익(손실)</t>
        </is>
      </c>
      <c r="C178" s="20" t="n">
        <v>-55.337</v>
      </c>
      <c r="D178" s="20" t="n">
        <v>-132.47</v>
      </c>
      <c r="E178" s="20" t="n">
        <v>-106.101</v>
      </c>
      <c r="F178" s="20" t="n">
        <v>-100.733</v>
      </c>
      <c r="G178" s="20" t="n">
        <v>-120.379</v>
      </c>
      <c r="H178" s="20" t="n">
        <v>-101.569</v>
      </c>
      <c r="I178" s="20" t="n">
        <v>-139.534</v>
      </c>
      <c r="J178" s="20" t="n">
        <v>-117.194</v>
      </c>
      <c r="K178" s="20" t="n">
        <v>-188.783</v>
      </c>
      <c r="L178" s="20" t="n">
        <v>-204.946</v>
      </c>
      <c r="M178" s="20" t="n">
        <v>-109.799</v>
      </c>
      <c r="N178" s="20" t="n">
        <v>-59.94</v>
      </c>
      <c r="V178" s="20" t="n">
        <v>-132.47</v>
      </c>
      <c r="W178" s="20" t="n">
        <v>-101.569</v>
      </c>
      <c r="X178" s="20" t="n">
        <v>-204.946</v>
      </c>
    </row>
    <row r="179">
      <c r="A179" s="9" t="inlineStr">
        <is>
          <t>부문 이익(손실)</t>
        </is>
      </c>
      <c r="C179" s="12" t="n">
        <v>150.897</v>
      </c>
      <c r="D179" s="12" t="n">
        <v>178.878</v>
      </c>
      <c r="E179" s="12" t="n">
        <v>164.769</v>
      </c>
      <c r="F179" s="12" t="n">
        <v>114.549</v>
      </c>
      <c r="G179" s="12" t="n">
        <v>55.315</v>
      </c>
      <c r="H179" s="12" t="n">
        <v>319.04</v>
      </c>
      <c r="I179" s="12" t="n">
        <v>215.528</v>
      </c>
      <c r="J179" s="12" t="n">
        <v>202.809</v>
      </c>
      <c r="K179" s="12" t="n">
        <v>286.677</v>
      </c>
      <c r="L179" s="12" t="n">
        <v>299.748</v>
      </c>
      <c r="M179" s="12" t="n">
        <v>402.365</v>
      </c>
      <c r="N179" s="12" t="n">
        <v>248.763</v>
      </c>
      <c r="V179" s="12" t="n">
        <v>178.878</v>
      </c>
      <c r="W179" s="12" t="n">
        <v>319.04</v>
      </c>
      <c r="X179" s="12" t="n">
        <v>299.748</v>
      </c>
    </row>
    <row r="180">
      <c r="A180" s="43" t="inlineStr">
        <is>
          <t>OPM</t>
        </is>
      </c>
      <c r="B180" s="3" t="inlineStr">
        <is>
          <t>영업이익 ÷ 매출</t>
        </is>
      </c>
      <c r="C180" s="15">
        <f>IF(OR(C179="",C147=""),"",IF(C147&lt;=0,"",IFERROR(C179/C147,"")))</f>
        <v/>
      </c>
      <c r="D180" s="15">
        <f>IF(OR(D179="",D147=""),"",IF(D147&lt;=0,"",IFERROR(D179/D147,"")))</f>
        <v/>
      </c>
      <c r="E180" s="15">
        <f>IF(OR(E179="",E147=""),"",IF(E147&lt;=0,"",IFERROR(E179/E147,"")))</f>
        <v/>
      </c>
      <c r="F180" s="15">
        <f>IF(OR(F179="",F147=""),"",IF(F147&lt;=0,"",IFERROR(F179/F147,"")))</f>
        <v/>
      </c>
      <c r="G180" s="15">
        <f>IF(OR(G179="",G147=""),"",IF(G147&lt;=0,"",IFERROR(G179/G147,"")))</f>
        <v/>
      </c>
      <c r="H180" s="15">
        <f>IF(OR(H179="",H147=""),"",IF(H147&lt;=0,"",IFERROR(H179/H147,"")))</f>
        <v/>
      </c>
      <c r="I180" s="15">
        <f>IF(OR(I179="",I147=""),"",IF(I147&lt;=0,"",IFERROR(I179/I147,"")))</f>
        <v/>
      </c>
      <c r="J180" s="15">
        <f>IF(OR(J179="",J147=""),"",IF(J147&lt;=0,"",IFERROR(J179/J147,"")))</f>
        <v/>
      </c>
      <c r="K180" s="15">
        <f>IF(OR(K179="",K147=""),"",IF(K147&lt;=0,"",IFERROR(K179/K147,"")))</f>
        <v/>
      </c>
      <c r="L180" s="15">
        <f>IF(OR(L179="",L147=""),"",IF(L147&lt;=0,"",IFERROR(L179/L147,"")))</f>
        <v/>
      </c>
      <c r="M180" s="15">
        <f>IF(OR(M179="",M147=""),"",IF(M147&lt;=0,"",IFERROR(M179/M147,"")))</f>
        <v/>
      </c>
      <c r="N180" s="15">
        <f>IF(OR(N179="",N147=""),"",IF(N147&lt;=0,"",IFERROR(N179/N147,"")))</f>
        <v/>
      </c>
      <c r="V180" s="15">
        <f>IF(OR(V179="",V147=""),"",IF(V147&lt;=0,"",IFERROR(V179/V147,"")))</f>
        <v/>
      </c>
      <c r="W180" s="15">
        <f>IF(OR(W179="",W147=""),"",IF(W147&lt;=0,"",IFERROR(W179/W147,"")))</f>
        <v/>
      </c>
      <c r="X180" s="15">
        <f>IF(OR(X179="",X147=""),"",IF(X147&lt;=0,"",IFERROR(X179/X147,"")))</f>
        <v/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IF(OR(G179="",C179=""),"",IF(C179&lt;=0,"",IFERROR(G179/C179-1,"")))</f>
        <v/>
      </c>
      <c r="H181" s="15">
        <f>IF(OR(H179="",D179=""),"",IF(D179&lt;=0,"",IFERROR(H179/D179-1,"")))</f>
        <v/>
      </c>
      <c r="I181" s="15">
        <f>IF(OR(I179="",E179=""),"",IF(E179&lt;=0,"",IFERROR(I179/E179-1,"")))</f>
        <v/>
      </c>
      <c r="J181" s="15">
        <f>IF(OR(J179="",F179=""),"",IF(F179&lt;=0,"",IFERROR(J179/F179-1,"")))</f>
        <v/>
      </c>
      <c r="K181" s="15">
        <f>IF(OR(K179="",G179=""),"",IF(G179&lt;=0,"",IFERROR(K179/G179-1,"")))</f>
        <v/>
      </c>
      <c r="L181" s="15">
        <f>IF(OR(L179="",H179=""),"",IF(H179&lt;=0,"",IFERROR(L179/H179-1,"")))</f>
        <v/>
      </c>
      <c r="M181" s="15">
        <f>IF(OR(M179="",I179=""),"",IF(I179&lt;=0,"",IFERROR(M179/I179-1,"")))</f>
        <v/>
      </c>
      <c r="N181" s="15">
        <f>IF(OR(N179="",J179=""),"",IF(J179&lt;=0,"",IFERROR(N179/J179-1,"")))</f>
        <v/>
      </c>
      <c r="V181" s="15">
        <f>IF(OR(V179="",U179=""),"",IF(U179&lt;=0,"",IFERROR(V179/U179-1,"")))</f>
        <v/>
      </c>
      <c r="W181" s="15">
        <f>IF(OR(W179="",V179=""),"",IF(V179&lt;=0,"",IFERROR(W179/V179-1,"")))</f>
        <v/>
      </c>
      <c r="X181" s="15">
        <f>IF(OR(X179="",W179=""),"",IF(W179&lt;=0,"",IFERROR(X179/W179-1,"")))</f>
        <v/>
      </c>
    </row>
    <row r="183">
      <c r="A183" s="16" t="inlineStr">
        <is>
          <t>현금흐름표 · 전 항목</t>
        </is>
      </c>
      <c r="B183" s="42" t="inlineStr">
        <is>
          <t>분기 = 결산기 첫날부터 누계(공시 그대로)</t>
        </is>
      </c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</row>
    <row r="184">
      <c r="A184" s="5" t="inlineStr">
        <is>
          <t>항목</t>
        </is>
      </c>
      <c r="B184" s="5" t="inlineStr">
        <is>
          <t>참고</t>
        </is>
      </c>
      <c r="C184" s="5" t="inlineStr">
        <is>
          <t>2024.3Q</t>
        </is>
      </c>
      <c r="D184" s="5" t="inlineStr">
        <is>
          <t>2024.4Q</t>
        </is>
      </c>
      <c r="E184" s="5" t="inlineStr">
        <is>
          <t>2025.1Q</t>
        </is>
      </c>
      <c r="F184" s="5" t="inlineStr">
        <is>
          <t>2025.2Q</t>
        </is>
      </c>
      <c r="G184" s="5" t="inlineStr">
        <is>
          <t>2025.3Q</t>
        </is>
      </c>
      <c r="H184" s="5" t="inlineStr">
        <is>
          <t>2025.4Q</t>
        </is>
      </c>
      <c r="I184" s="5" t="inlineStr">
        <is>
          <t>2026.1Q</t>
        </is>
      </c>
      <c r="J184" s="5" t="inlineStr">
        <is>
          <t>2026.2Q</t>
        </is>
      </c>
      <c r="K184" s="5" t="inlineStr">
        <is>
          <t>2026.3Q</t>
        </is>
      </c>
      <c r="L184" s="5" t="inlineStr">
        <is>
          <t>2026.4Q</t>
        </is>
      </c>
      <c r="M184" s="5" t="inlineStr">
        <is>
          <t>2027.1Q</t>
        </is>
      </c>
      <c r="N184" s="5" t="inlineStr">
        <is>
          <t>2027.2Q</t>
        </is>
      </c>
      <c r="O184" s="5" t="inlineStr">
        <is>
          <t>2017</t>
        </is>
      </c>
      <c r="P184" s="5" t="inlineStr">
        <is>
          <t>2018</t>
        </is>
      </c>
      <c r="Q184" s="5" t="inlineStr">
        <is>
          <t>2019</t>
        </is>
      </c>
      <c r="R184" s="5" t="inlineStr">
        <is>
          <t>2020</t>
        </is>
      </c>
      <c r="S184" s="5" t="inlineStr">
        <is>
          <t>2021</t>
        </is>
      </c>
      <c r="T184" s="5" t="inlineStr">
        <is>
          <t>2022</t>
        </is>
      </c>
      <c r="U184" s="5" t="inlineStr">
        <is>
          <t>2023</t>
        </is>
      </c>
      <c r="V184" s="5" t="inlineStr">
        <is>
          <t>2024</t>
        </is>
      </c>
      <c r="W184" s="5" t="inlineStr">
        <is>
          <t>2025</t>
        </is>
      </c>
      <c r="X184" s="5" t="inlineStr">
        <is>
          <t>2026</t>
        </is>
      </c>
      <c r="Y184" s="5" t="inlineStr">
        <is>
          <t>2027(MW)</t>
        </is>
      </c>
      <c r="Z184" s="5" t="inlineStr">
        <is>
          <t>2028(MW)</t>
        </is>
      </c>
      <c r="AA184" s="5" t="inlineStr">
        <is>
          <t>2029(MW)</t>
        </is>
      </c>
      <c r="AB184" s="5" t="inlineStr">
        <is>
          <t>2030(MW)</t>
        </is>
      </c>
      <c r="AC184" s="5" t="inlineStr">
        <is>
          <t>2031(MW)</t>
        </is>
      </c>
    </row>
    <row r="185">
      <c r="A185" s="9" t="inlineStr">
        <is>
          <t>법인세차감전 순이익</t>
        </is>
      </c>
      <c r="D185" s="12" t="n">
        <v>276.623</v>
      </c>
      <c r="F185" s="12" t="n">
        <v>-14.903</v>
      </c>
      <c r="H185" s="12" t="n">
        <v>244.338</v>
      </c>
      <c r="J185" s="12" t="n">
        <v>357.844</v>
      </c>
      <c r="L185" s="12" t="n">
        <v>782.184</v>
      </c>
      <c r="N185" s="12" t="n">
        <v>707.623</v>
      </c>
      <c r="O185" s="12" t="n">
        <v>220.33</v>
      </c>
      <c r="P185" s="12" t="n">
        <v>450.272</v>
      </c>
      <c r="Q185" s="12" t="n">
        <v>908.111</v>
      </c>
      <c r="R185" s="12" t="n">
        <v>303.549</v>
      </c>
      <c r="S185" s="12" t="n">
        <v>354.389</v>
      </c>
      <c r="T185" s="12" t="n">
        <v>-910.764</v>
      </c>
      <c r="U185" s="12" t="n">
        <v>364.601</v>
      </c>
      <c r="V185" s="12" t="n">
        <v>276.623</v>
      </c>
      <c r="W185" s="12" t="n">
        <v>244.338</v>
      </c>
      <c r="X185" s="12" t="n">
        <v>782.184</v>
      </c>
    </row>
    <row r="186">
      <c r="A186" s="18" t="inlineStr">
        <is>
          <t>감가상각비</t>
        </is>
      </c>
      <c r="D186" s="20" t="n">
        <v>307.308</v>
      </c>
      <c r="F186" s="20" t="n">
        <v>168.731</v>
      </c>
      <c r="H186" s="20" t="n">
        <v>341.076</v>
      </c>
      <c r="J186" s="20" t="n">
        <v>156.176</v>
      </c>
      <c r="L186" s="20" t="n">
        <v>312.954</v>
      </c>
      <c r="N186" s="20" t="n">
        <v>139.408</v>
      </c>
      <c r="O186" s="20" t="n">
        <v>44.899</v>
      </c>
      <c r="P186" s="20" t="n">
        <v>96.102</v>
      </c>
      <c r="Q186" s="20" t="n">
        <v>183.093</v>
      </c>
      <c r="R186" s="20" t="n">
        <v>273.347</v>
      </c>
      <c r="S186" s="20" t="n">
        <v>422.245</v>
      </c>
      <c r="T186" s="20" t="n">
        <v>372.503</v>
      </c>
      <c r="U186" s="20" t="n">
        <v>384.268</v>
      </c>
      <c r="V186" s="20" t="n">
        <v>307.308</v>
      </c>
      <c r="W186" s="20" t="n">
        <v>341.076</v>
      </c>
      <c r="X186" s="20" t="n">
        <v>312.954</v>
      </c>
    </row>
    <row r="187">
      <c r="A187" s="18" t="inlineStr">
        <is>
          <t>영업권 상각</t>
        </is>
      </c>
      <c r="D187" s="20" t="n">
        <v>133.282</v>
      </c>
      <c r="F187" s="20" t="n">
        <v>18.647</v>
      </c>
      <c r="H187" s="20" t="n">
        <v>72.503</v>
      </c>
      <c r="J187" s="20" t="n">
        <v>57.223</v>
      </c>
      <c r="L187" s="20" t="n">
        <v>138.785</v>
      </c>
      <c r="N187" s="20" t="n">
        <v>87.64</v>
      </c>
      <c r="O187" s="20" t="n">
        <v>2.822</v>
      </c>
      <c r="P187" s="20" t="n">
        <v>2.822</v>
      </c>
      <c r="Q187" s="20" t="n">
        <v>110.207</v>
      </c>
      <c r="R187" s="20" t="n">
        <v>335.266</v>
      </c>
      <c r="S187" s="20" t="n">
        <v>381.554</v>
      </c>
      <c r="T187" s="20" t="n">
        <v>405.383</v>
      </c>
      <c r="U187" s="20" t="n">
        <v>195.062</v>
      </c>
      <c r="V187" s="20" t="n">
        <v>133.282</v>
      </c>
      <c r="W187" s="20" t="n">
        <v>72.503</v>
      </c>
      <c r="X187" s="20" t="n">
        <v>138.785</v>
      </c>
    </row>
    <row r="188">
      <c r="A188" s="18" t="inlineStr">
        <is>
          <t>고정자산 매각손익</t>
        </is>
      </c>
      <c r="O188" s="20" t="n">
        <v>0</v>
      </c>
      <c r="P188" s="20" t="n">
        <v>0.128</v>
      </c>
      <c r="Q188" s="20" t="n">
        <v>0</v>
      </c>
    </row>
    <row r="189">
      <c r="A189" s="18" t="inlineStr">
        <is>
          <t>사업양도 손익</t>
        </is>
      </c>
      <c r="D189" s="20" t="n">
        <v>-162.181</v>
      </c>
      <c r="F189" s="20" t="n">
        <v>0</v>
      </c>
      <c r="H189" s="20" t="n">
        <v>0</v>
      </c>
      <c r="U189" s="20" t="n">
        <v>0</v>
      </c>
      <c r="V189" s="20" t="n">
        <v>-162.181</v>
      </c>
      <c r="W189" s="20" t="n">
        <v>0</v>
      </c>
    </row>
    <row r="190">
      <c r="A190" s="18" t="inlineStr">
        <is>
          <t>손상차손</t>
        </is>
      </c>
      <c r="D190" s="20" t="n">
        <v>317.472</v>
      </c>
      <c r="H190" s="20" t="n">
        <v>0</v>
      </c>
      <c r="L190" s="20" t="n">
        <v>145.06</v>
      </c>
      <c r="Q190" s="20" t="n">
        <v>0</v>
      </c>
      <c r="R190" s="20" t="n">
        <v>78.042</v>
      </c>
      <c r="S190" s="20" t="n">
        <v>167.542</v>
      </c>
      <c r="T190" s="20" t="n">
        <v>649.847</v>
      </c>
      <c r="U190" s="20" t="n">
        <v>132.462</v>
      </c>
      <c r="V190" s="20" t="n">
        <v>317.472</v>
      </c>
      <c r="W190" s="20" t="n">
        <v>0</v>
      </c>
      <c r="X190" s="20" t="n">
        <v>145.06</v>
      </c>
    </row>
    <row r="191">
      <c r="A191" s="18" t="inlineStr">
        <is>
          <t>본사 이전 비용</t>
        </is>
      </c>
      <c r="D191" s="20" t="n">
        <v>0</v>
      </c>
      <c r="H191" s="20" t="n">
        <v>133.579</v>
      </c>
      <c r="V191" s="20" t="n">
        <v>0</v>
      </c>
      <c r="W191" s="20" t="n">
        <v>133.579</v>
      </c>
    </row>
    <row r="192">
      <c r="A192" s="18" t="inlineStr">
        <is>
          <t>본사 이전 비용</t>
        </is>
      </c>
      <c r="H192" s="20" t="n">
        <v>133.579</v>
      </c>
      <c r="L192" s="20" t="n">
        <v>0</v>
      </c>
      <c r="W192" s="20" t="n">
        <v>133.579</v>
      </c>
      <c r="X192" s="20" t="n">
        <v>0</v>
      </c>
    </row>
    <row r="193">
      <c r="A193" s="18" t="inlineStr">
        <is>
          <t>투자유가증권 평가손익</t>
        </is>
      </c>
      <c r="D193" s="20" t="n">
        <v>9.98</v>
      </c>
      <c r="F193" s="20" t="n">
        <v>13.999</v>
      </c>
      <c r="H193" s="20" t="n">
        <v>13.999</v>
      </c>
      <c r="J193" s="20" t="n">
        <v>41.156</v>
      </c>
      <c r="L193" s="20" t="n">
        <v>41.156</v>
      </c>
      <c r="N193" s="20" t="n">
        <v>0</v>
      </c>
      <c r="S193" s="20" t="n">
        <v>0</v>
      </c>
      <c r="T193" s="20" t="n">
        <v>601.105</v>
      </c>
      <c r="U193" s="20" t="n">
        <v>49.999</v>
      </c>
      <c r="V193" s="20" t="n">
        <v>9.98</v>
      </c>
      <c r="W193" s="20" t="n">
        <v>13.999</v>
      </c>
      <c r="X193" s="20" t="n">
        <v>41.156</v>
      </c>
    </row>
    <row r="194">
      <c r="A194" s="18" t="inlineStr">
        <is>
          <t>신탁형 스톡옵션 관련 손실</t>
        </is>
      </c>
      <c r="D194" s="20" t="n">
        <v>55.632</v>
      </c>
      <c r="H194" s="20" t="n">
        <v>0</v>
      </c>
      <c r="U194" s="20" t="n">
        <v>0</v>
      </c>
      <c r="V194" s="20" t="n">
        <v>55.632</v>
      </c>
      <c r="W194" s="20" t="n">
        <v>0</v>
      </c>
    </row>
    <row r="195">
      <c r="A195" s="18" t="inlineStr">
        <is>
          <t>대손충당금 증감</t>
        </is>
      </c>
      <c r="J195" s="20" t="n">
        <v>0</v>
      </c>
      <c r="N195" s="20" t="n">
        <v>33.535</v>
      </c>
      <c r="O195" s="20" t="n">
        <v>-1.906</v>
      </c>
      <c r="P195" s="20" t="n">
        <v>0.624</v>
      </c>
      <c r="Q195" s="20" t="n">
        <v>0.036</v>
      </c>
      <c r="R195" s="20" t="n">
        <v>0.434</v>
      </c>
      <c r="S195" s="20" t="n">
        <v>-1.094</v>
      </c>
      <c r="T195" s="20" t="n">
        <v>0</v>
      </c>
    </row>
    <row r="196">
      <c r="A196" s="18" t="inlineStr">
        <is>
          <t>상여충당금 증감</t>
        </is>
      </c>
      <c r="D196" s="20" t="n">
        <v>17.578</v>
      </c>
      <c r="F196" s="20" t="n">
        <v>10.238</v>
      </c>
      <c r="H196" s="20" t="n">
        <v>24.522</v>
      </c>
      <c r="J196" s="20" t="n">
        <v>78.923</v>
      </c>
      <c r="L196" s="20" t="n">
        <v>114.397</v>
      </c>
      <c r="N196" s="20" t="n">
        <v>-70.455</v>
      </c>
      <c r="O196" s="20" t="n">
        <v>25.001</v>
      </c>
      <c r="P196" s="20" t="n">
        <v>21.522</v>
      </c>
      <c r="Q196" s="20" t="n">
        <v>16.775</v>
      </c>
      <c r="R196" s="20" t="n">
        <v>-11.255</v>
      </c>
      <c r="S196" s="20" t="n">
        <v>15.989</v>
      </c>
      <c r="T196" s="20" t="n">
        <v>-15.05</v>
      </c>
      <c r="U196" s="20" t="n">
        <v>21.482</v>
      </c>
      <c r="V196" s="20" t="n">
        <v>17.578</v>
      </c>
      <c r="W196" s="20" t="n">
        <v>24.522</v>
      </c>
      <c r="X196" s="20" t="n">
        <v>114.397</v>
      </c>
    </row>
    <row r="197">
      <c r="A197" s="18" t="inlineStr">
        <is>
          <t>변동보수 충당금 증감액</t>
        </is>
      </c>
      <c r="P197" s="20" t="n">
        <v>0</v>
      </c>
      <c r="Q197" s="20" t="n">
        <v>124.886</v>
      </c>
    </row>
    <row r="198">
      <c r="A198" s="18" t="inlineStr">
        <is>
          <t>변동보수 충당금 증감액</t>
        </is>
      </c>
      <c r="Q198" s="20" t="n">
        <v>124.886</v>
      </c>
      <c r="R198" s="20" t="n">
        <v>8.236000000000001</v>
      </c>
      <c r="S198" s="20" t="n">
        <v>-60.537</v>
      </c>
      <c r="T198" s="20" t="n">
        <v>-72.58499999999999</v>
      </c>
      <c r="U198" s="20" t="n">
        <v>0</v>
      </c>
    </row>
    <row r="199">
      <c r="A199" s="18" t="inlineStr">
        <is>
          <t>이자수익</t>
        </is>
      </c>
      <c r="D199" s="20" t="n">
        <v>-0.6870000000000001</v>
      </c>
      <c r="H199" s="20" t="n">
        <v>-10.195</v>
      </c>
      <c r="L199" s="20" t="n">
        <v>-20.442</v>
      </c>
      <c r="S199" s="20" t="n">
        <v>-0.129</v>
      </c>
      <c r="T199" s="20" t="n">
        <v>-2.332</v>
      </c>
      <c r="U199" s="20" t="n">
        <v>-0.122</v>
      </c>
      <c r="V199" s="20" t="n">
        <v>-0.6870000000000001</v>
      </c>
      <c r="W199" s="20" t="n">
        <v>-10.195</v>
      </c>
      <c r="X199" s="20" t="n">
        <v>-20.442</v>
      </c>
    </row>
    <row r="200">
      <c r="A200" s="18" t="inlineStr">
        <is>
          <t>이자수익</t>
        </is>
      </c>
      <c r="F200" s="20" t="n">
        <v>-4.936</v>
      </c>
      <c r="J200" s="20" t="n">
        <v>-7.993</v>
      </c>
      <c r="N200" s="20" t="n">
        <v>-13.583</v>
      </c>
      <c r="O200" s="20" t="n">
        <v>-0.022</v>
      </c>
      <c r="P200" s="20" t="n">
        <v>-0.113</v>
      </c>
      <c r="Q200" s="20" t="n">
        <v>-0.065</v>
      </c>
      <c r="R200" s="20" t="n">
        <v>-0.132</v>
      </c>
      <c r="S200" s="20" t="n">
        <v>-0.129</v>
      </c>
    </row>
    <row r="201">
      <c r="A201" s="18" t="inlineStr">
        <is>
          <t>수수료 수익</t>
        </is>
      </c>
      <c r="H201" s="20" t="n">
        <v>-8.489000000000001</v>
      </c>
      <c r="J201" s="20" t="n">
        <v>0</v>
      </c>
      <c r="L201" s="20" t="n">
        <v>-164.809</v>
      </c>
      <c r="N201" s="20" t="n">
        <v>-57.784</v>
      </c>
      <c r="W201" s="20" t="n">
        <v>-8.489000000000001</v>
      </c>
      <c r="X201" s="20" t="n">
        <v>-164.809</v>
      </c>
    </row>
    <row r="202">
      <c r="A202" s="18" t="inlineStr">
        <is>
          <t>이자비용</t>
        </is>
      </c>
      <c r="D202" s="20" t="n">
        <v>14.541</v>
      </c>
      <c r="F202" s="20" t="n">
        <v>11.371</v>
      </c>
      <c r="H202" s="20" t="n">
        <v>23.825</v>
      </c>
      <c r="J202" s="20" t="n">
        <v>13.178</v>
      </c>
      <c r="L202" s="20" t="n">
        <v>43.039</v>
      </c>
      <c r="N202" s="20" t="n">
        <v>23.502</v>
      </c>
      <c r="O202" s="20" t="n">
        <v>4.57</v>
      </c>
      <c r="P202" s="20" t="n">
        <v>3.816</v>
      </c>
      <c r="Q202" s="20" t="n">
        <v>9.048999999999999</v>
      </c>
      <c r="R202" s="20" t="n">
        <v>23.892</v>
      </c>
      <c r="S202" s="20" t="n">
        <v>20.44</v>
      </c>
      <c r="T202" s="20" t="n">
        <v>21.378</v>
      </c>
      <c r="U202" s="20" t="n">
        <v>17.514</v>
      </c>
      <c r="V202" s="20" t="n">
        <v>14.541</v>
      </c>
      <c r="W202" s="20" t="n">
        <v>23.825</v>
      </c>
      <c r="X202" s="20" t="n">
        <v>43.039</v>
      </c>
    </row>
    <row r="203">
      <c r="A203" s="18" t="inlineStr">
        <is>
          <t>사채발행비</t>
        </is>
      </c>
      <c r="D203" s="20" t="n">
        <v>6.678</v>
      </c>
      <c r="H203" s="20" t="n">
        <v>10.789</v>
      </c>
      <c r="L203" s="20" t="n">
        <v>0</v>
      </c>
      <c r="Q203" s="20" t="n">
        <v>0</v>
      </c>
      <c r="R203" s="20" t="n">
        <v>8.568</v>
      </c>
      <c r="S203" s="20" t="n">
        <v>4.198</v>
      </c>
      <c r="T203" s="20" t="n">
        <v>7.632</v>
      </c>
      <c r="U203" s="20" t="n">
        <v>12.264</v>
      </c>
      <c r="V203" s="20" t="n">
        <v>6.678</v>
      </c>
      <c r="W203" s="20" t="n">
        <v>10.789</v>
      </c>
      <c r="X203" s="20" t="n">
        <v>0</v>
      </c>
    </row>
    <row r="204">
      <c r="A204" s="18" t="inlineStr">
        <is>
          <t>주식교부비</t>
        </is>
      </c>
      <c r="O204" s="20" t="n">
        <v>0</v>
      </c>
      <c r="P204" s="20" t="n">
        <v>3.718</v>
      </c>
      <c r="Q204" s="20" t="n">
        <v>14.02</v>
      </c>
      <c r="R204" s="20" t="n">
        <v>26.139</v>
      </c>
      <c r="S204" s="20" t="n">
        <v>0</v>
      </c>
    </row>
    <row r="205">
      <c r="A205" s="18" t="inlineStr">
        <is>
          <t>상장비용</t>
        </is>
      </c>
      <c r="O205" s="20" t="n">
        <v>0</v>
      </c>
      <c r="P205" s="20" t="n">
        <v>6.317</v>
      </c>
      <c r="Q205" s="20" t="n">
        <v>1.356</v>
      </c>
      <c r="R205" s="20" t="n">
        <v>0</v>
      </c>
    </row>
    <row r="206">
      <c r="A206" s="18" t="inlineStr">
        <is>
          <t>외환차손익</t>
        </is>
      </c>
      <c r="D206" s="20" t="n">
        <v>1.706</v>
      </c>
      <c r="F206" s="20" t="n">
        <v>3.382</v>
      </c>
      <c r="H206" s="20" t="n">
        <v>-4.041</v>
      </c>
      <c r="J206" s="20" t="n">
        <v>0.603</v>
      </c>
      <c r="L206" s="20" t="n">
        <v>-0.317</v>
      </c>
      <c r="N206" s="20" t="n">
        <v>-0.336</v>
      </c>
      <c r="O206" s="20" t="n">
        <v>-0.08500000000000001</v>
      </c>
      <c r="P206" s="20" t="n">
        <v>0.374</v>
      </c>
      <c r="Q206" s="20" t="n">
        <v>-0.338</v>
      </c>
      <c r="R206" s="20" t="n">
        <v>0.264</v>
      </c>
      <c r="S206" s="20" t="n">
        <v>0.272</v>
      </c>
      <c r="T206" s="20" t="n">
        <v>-0.84</v>
      </c>
      <c r="U206" s="20" t="n">
        <v>-1.214</v>
      </c>
      <c r="V206" s="20" t="n">
        <v>1.706</v>
      </c>
      <c r="W206" s="20" t="n">
        <v>-4.041</v>
      </c>
      <c r="X206" s="20" t="n">
        <v>-0.317</v>
      </c>
    </row>
    <row r="207">
      <c r="A207" s="18" t="inlineStr">
        <is>
          <t>익명조합 청산 손익</t>
        </is>
      </c>
      <c r="O207" s="20" t="n">
        <v>-61.999</v>
      </c>
      <c r="P207" s="20" t="n">
        <v>0</v>
      </c>
    </row>
    <row r="208">
      <c r="A208" s="18" t="inlineStr">
        <is>
          <t>지분법손익</t>
        </is>
      </c>
      <c r="D208" s="20" t="n">
        <v>145.978</v>
      </c>
      <c r="F208" s="20" t="n">
        <v>239.675</v>
      </c>
      <c r="H208" s="20" t="n">
        <v>308.243</v>
      </c>
      <c r="J208" s="20" t="n">
        <v>21.209</v>
      </c>
      <c r="L208" s="20" t="n">
        <v>26.516</v>
      </c>
      <c r="N208" s="20" t="n">
        <v>-1.458</v>
      </c>
      <c r="S208" s="20" t="n">
        <v>0</v>
      </c>
      <c r="T208" s="20" t="n">
        <v>5.255</v>
      </c>
      <c r="U208" s="20" t="n">
        <v>122.496</v>
      </c>
      <c r="V208" s="20" t="n">
        <v>145.978</v>
      </c>
      <c r="W208" s="20" t="n">
        <v>308.243</v>
      </c>
      <c r="X208" s="20" t="n">
        <v>26.516</v>
      </c>
    </row>
    <row r="209">
      <c r="A209" s="18" t="inlineStr">
        <is>
          <t>투자사업조합 운용 손익(△는 이익)</t>
        </is>
      </c>
      <c r="D209" s="20" t="n">
        <v>81.73699999999999</v>
      </c>
      <c r="F209" s="20" t="n">
        <v>35.208</v>
      </c>
      <c r="H209" s="20" t="n">
        <v>92.56</v>
      </c>
      <c r="J209" s="20" t="n">
        <v>42.483</v>
      </c>
      <c r="L209" s="20" t="n">
        <v>107.931</v>
      </c>
      <c r="N209" s="20" t="n">
        <v>12.548</v>
      </c>
      <c r="P209" s="20" t="n">
        <v>0</v>
      </c>
      <c r="Q209" s="20" t="n">
        <v>3.782</v>
      </c>
      <c r="R209" s="20" t="n">
        <v>4.188</v>
      </c>
      <c r="S209" s="20" t="n">
        <v>-3.114</v>
      </c>
      <c r="T209" s="20" t="n">
        <v>19.648</v>
      </c>
      <c r="U209" s="20" t="n">
        <v>65.084</v>
      </c>
      <c r="V209" s="20" t="n">
        <v>81.73699999999999</v>
      </c>
      <c r="W209" s="20" t="n">
        <v>92.56</v>
      </c>
      <c r="X209" s="20" t="n">
        <v>107.931</v>
      </c>
    </row>
    <row r="210">
      <c r="A210" s="18" t="inlineStr">
        <is>
          <t>관계회사 청산손익</t>
        </is>
      </c>
      <c r="Q210" s="20" t="n">
        <v>0</v>
      </c>
      <c r="R210" s="20" t="n">
        <v>0.491</v>
      </c>
      <c r="S210" s="20" t="n">
        <v>0</v>
      </c>
    </row>
    <row r="211">
      <c r="A211" s="18" t="inlineStr">
        <is>
          <t>지분변동손익</t>
        </is>
      </c>
      <c r="D211" s="20" t="n">
        <v>0</v>
      </c>
      <c r="H211" s="20" t="n">
        <v>0</v>
      </c>
      <c r="L211" s="20" t="n">
        <v>-19.298</v>
      </c>
      <c r="T211" s="20" t="n">
        <v>0</v>
      </c>
      <c r="U211" s="20" t="n">
        <v>-466.46</v>
      </c>
      <c r="V211" s="20" t="n">
        <v>0</v>
      </c>
      <c r="W211" s="20" t="n">
        <v>0</v>
      </c>
      <c r="X211" s="20" t="n">
        <v>-19.298</v>
      </c>
    </row>
    <row r="212">
      <c r="A212" s="18" t="inlineStr">
        <is>
          <t>관계회사 주식 매각손익</t>
        </is>
      </c>
      <c r="D212" s="20" t="n">
        <v>-34</v>
      </c>
      <c r="F212" s="20" t="n">
        <v>0</v>
      </c>
      <c r="H212" s="20" t="n">
        <v>-10.5</v>
      </c>
      <c r="J212" s="20" t="n">
        <v>0</v>
      </c>
      <c r="L212" s="20" t="n">
        <v>0</v>
      </c>
      <c r="N212" s="20" t="n">
        <v>-7.662</v>
      </c>
      <c r="U212" s="20" t="n">
        <v>0</v>
      </c>
      <c r="V212" s="20" t="n">
        <v>-34</v>
      </c>
      <c r="W212" s="20" t="n">
        <v>-10.5</v>
      </c>
      <c r="X212" s="20" t="n">
        <v>0</v>
      </c>
    </row>
    <row r="213">
      <c r="A213" s="18" t="inlineStr">
        <is>
          <t>투자유가증권 매각손익</t>
        </is>
      </c>
      <c r="D213" s="20" t="n">
        <v>-200.252</v>
      </c>
      <c r="F213" s="20" t="n">
        <v>0</v>
      </c>
      <c r="H213" s="20" t="n">
        <v>-146.7</v>
      </c>
      <c r="L213" s="20" t="n">
        <v>0</v>
      </c>
      <c r="U213" s="20" t="n">
        <v>0</v>
      </c>
      <c r="V213" s="20" t="n">
        <v>-200.252</v>
      </c>
      <c r="W213" s="20" t="n">
        <v>-146.7</v>
      </c>
      <c r="X213" s="20" t="n">
        <v>0</v>
      </c>
    </row>
    <row r="214">
      <c r="A214" s="18" t="inlineStr">
        <is>
          <t>매출채권 증감</t>
        </is>
      </c>
      <c r="D214" s="20" t="n">
        <v>65.116</v>
      </c>
      <c r="F214" s="20" t="n">
        <v>131.651</v>
      </c>
      <c r="H214" s="20" t="n">
        <v>-65.67</v>
      </c>
      <c r="J214" s="20" t="n">
        <v>301.586</v>
      </c>
      <c r="L214" s="20" t="n">
        <v>-285.094</v>
      </c>
      <c r="N214" s="20" t="n">
        <v>162.958</v>
      </c>
      <c r="O214" s="20" t="n">
        <v>-121.755</v>
      </c>
      <c r="P214" s="20" t="n">
        <v>-300.574</v>
      </c>
      <c r="Q214" s="20" t="n">
        <v>-564.403</v>
      </c>
      <c r="R214" s="20" t="n">
        <v>103.405</v>
      </c>
      <c r="S214" s="20" t="n">
        <v>-156.49</v>
      </c>
      <c r="T214" s="20" t="n">
        <v>-278.809</v>
      </c>
      <c r="U214" s="20" t="n">
        <v>-672.401</v>
      </c>
      <c r="V214" s="20" t="n">
        <v>65.116</v>
      </c>
      <c r="W214" s="20" t="n">
        <v>-65.67</v>
      </c>
      <c r="X214" s="20" t="n">
        <v>-285.094</v>
      </c>
    </row>
    <row r="215">
      <c r="A215" s="18" t="inlineStr">
        <is>
          <t>미수금 증감</t>
        </is>
      </c>
      <c r="F215" s="20" t="n">
        <v>0.671</v>
      </c>
      <c r="H215" s="20" t="n">
        <v>16.671</v>
      </c>
      <c r="J215" s="20" t="n">
        <v>-689.577</v>
      </c>
      <c r="L215" s="20" t="n">
        <v>-609.931</v>
      </c>
      <c r="N215" s="20" t="n">
        <v>9.231999999999999</v>
      </c>
      <c r="W215" s="20" t="n">
        <v>16.671</v>
      </c>
      <c r="X215" s="20" t="n">
        <v>-609.931</v>
      </c>
    </row>
    <row r="216">
      <c r="A216" s="18" t="inlineStr">
        <is>
          <t>재고자산 증감</t>
        </is>
      </c>
      <c r="D216" s="20" t="n">
        <v>-2.106</v>
      </c>
      <c r="F216" s="20" t="n">
        <v>-0.063</v>
      </c>
      <c r="H216" s="20" t="n">
        <v>1.055</v>
      </c>
      <c r="J216" s="20" t="n">
        <v>-1.013</v>
      </c>
      <c r="L216" s="20" t="n">
        <v>-28.768</v>
      </c>
      <c r="N216" s="20" t="n">
        <v>8.247</v>
      </c>
      <c r="O216" s="20" t="n">
        <v>-4.171</v>
      </c>
      <c r="P216" s="20" t="n">
        <v>5.296</v>
      </c>
      <c r="Q216" s="20" t="n">
        <v>-3.702</v>
      </c>
      <c r="R216" s="20" t="n">
        <v>5.754</v>
      </c>
      <c r="S216" s="20" t="n">
        <v>-9.018000000000001</v>
      </c>
      <c r="T216" s="20" t="n">
        <v>-2.363</v>
      </c>
      <c r="U216" s="20" t="n">
        <v>-1.704</v>
      </c>
      <c r="V216" s="20" t="n">
        <v>-2.106</v>
      </c>
      <c r="W216" s="20" t="n">
        <v>1.055</v>
      </c>
      <c r="X216" s="20" t="n">
        <v>-28.768</v>
      </c>
    </row>
    <row r="217">
      <c r="A217" s="18" t="inlineStr">
        <is>
          <t>선급비용 증감</t>
        </is>
      </c>
      <c r="D217" s="20" t="n">
        <v>-49.959</v>
      </c>
      <c r="F217" s="20" t="n">
        <v>-389.182</v>
      </c>
      <c r="H217" s="20" t="n">
        <v>-558.6950000000001</v>
      </c>
      <c r="J217" s="20" t="n">
        <v>-47.776</v>
      </c>
      <c r="L217" s="20" t="n">
        <v>-351.066</v>
      </c>
      <c r="N217" s="20" t="n">
        <v>148.913</v>
      </c>
      <c r="V217" s="20" t="n">
        <v>-49.959</v>
      </c>
      <c r="W217" s="20" t="n">
        <v>-558.6950000000001</v>
      </c>
      <c r="X217" s="20" t="n">
        <v>-351.066</v>
      </c>
    </row>
    <row r="218">
      <c r="A218" s="18" t="inlineStr">
        <is>
          <t>매입채무 증감</t>
        </is>
      </c>
      <c r="D218" s="20" t="n">
        <v>-78.021</v>
      </c>
      <c r="F218" s="20" t="n">
        <v>-158.307</v>
      </c>
      <c r="H218" s="20" t="n">
        <v>136.446</v>
      </c>
      <c r="J218" s="20" t="n">
        <v>-368.595</v>
      </c>
      <c r="L218" s="20" t="n">
        <v>-40.629</v>
      </c>
      <c r="N218" s="20" t="n">
        <v>-126.094</v>
      </c>
      <c r="O218" s="20" t="n">
        <v>60.696</v>
      </c>
      <c r="P218" s="20" t="n">
        <v>261.706</v>
      </c>
      <c r="Q218" s="20" t="n">
        <v>149.513</v>
      </c>
      <c r="R218" s="20" t="n">
        <v>178.229</v>
      </c>
      <c r="S218" s="20" t="n">
        <v>158.271</v>
      </c>
      <c r="T218" s="20" t="n">
        <v>319.799</v>
      </c>
      <c r="U218" s="20" t="n">
        <v>546.441</v>
      </c>
      <c r="V218" s="20" t="n">
        <v>-78.021</v>
      </c>
      <c r="W218" s="20" t="n">
        <v>136.446</v>
      </c>
      <c r="X218" s="20" t="n">
        <v>-40.629</v>
      </c>
    </row>
    <row r="219">
      <c r="A219" s="18" t="inlineStr">
        <is>
          <t>미지급금 증감</t>
        </is>
      </c>
      <c r="D219" s="20" t="n">
        <v>-37.547</v>
      </c>
      <c r="F219" s="20" t="n">
        <v>96.402</v>
      </c>
      <c r="H219" s="20" t="n">
        <v>-36.326</v>
      </c>
      <c r="J219" s="20" t="n">
        <v>389.01</v>
      </c>
      <c r="L219" s="20" t="n">
        <v>489.461</v>
      </c>
      <c r="N219" s="20" t="n">
        <v>-115.014</v>
      </c>
      <c r="O219" s="20" t="n">
        <v>21.312</v>
      </c>
      <c r="P219" s="20" t="n">
        <v>52.962</v>
      </c>
      <c r="Q219" s="20" t="n">
        <v>60.337</v>
      </c>
      <c r="R219" s="20" t="n">
        <v>-6.896</v>
      </c>
      <c r="S219" s="20" t="n">
        <v>-76.346</v>
      </c>
      <c r="T219" s="20" t="n">
        <v>35.366</v>
      </c>
      <c r="U219" s="20" t="n">
        <v>33.918</v>
      </c>
      <c r="V219" s="20" t="n">
        <v>-37.547</v>
      </c>
      <c r="W219" s="20" t="n">
        <v>-36.326</v>
      </c>
      <c r="X219" s="20" t="n">
        <v>489.461</v>
      </c>
    </row>
    <row r="220">
      <c r="A220" s="18" t="inlineStr">
        <is>
          <t>계약부채 증감</t>
        </is>
      </c>
      <c r="F220" s="20" t="n">
        <v>339.502</v>
      </c>
      <c r="H220" s="20" t="n">
        <v>151.186</v>
      </c>
      <c r="J220" s="20" t="n">
        <v>247.58</v>
      </c>
      <c r="L220" s="20" t="n">
        <v>-21.358</v>
      </c>
      <c r="N220" s="20" t="n">
        <v>431.73</v>
      </c>
      <c r="W220" s="20" t="n">
        <v>151.186</v>
      </c>
      <c r="X220" s="20" t="n">
        <v>-21.358</v>
      </c>
    </row>
    <row r="221">
      <c r="A221" s="18" t="inlineStr">
        <is>
          <t>기타</t>
        </is>
      </c>
      <c r="D221" s="20" t="n">
        <v>367.661</v>
      </c>
      <c r="F221" s="20" t="n">
        <v>-46.834</v>
      </c>
      <c r="H221" s="20" t="n">
        <v>-60.313</v>
      </c>
      <c r="J221" s="20" t="n">
        <v>99.42100000000001</v>
      </c>
      <c r="L221" s="20" t="n">
        <v>182.526</v>
      </c>
      <c r="N221" s="20" t="n">
        <v>-101.435</v>
      </c>
      <c r="O221" s="20" t="n">
        <v>25.57</v>
      </c>
      <c r="P221" s="20" t="n">
        <v>41.552</v>
      </c>
      <c r="Q221" s="20" t="n">
        <v>176.554</v>
      </c>
      <c r="R221" s="20" t="n">
        <v>-326.434</v>
      </c>
      <c r="S221" s="20" t="n">
        <v>495.618</v>
      </c>
      <c r="T221" s="20" t="n">
        <v>-4.457</v>
      </c>
      <c r="U221" s="20" t="n">
        <v>133.586</v>
      </c>
      <c r="V221" s="20" t="n">
        <v>367.661</v>
      </c>
      <c r="W221" s="20" t="n">
        <v>-60.313</v>
      </c>
      <c r="X221" s="20" t="n">
        <v>182.526</v>
      </c>
    </row>
    <row r="222">
      <c r="A222" s="18" t="inlineStr">
        <is>
          <t>소계</t>
        </is>
      </c>
      <c r="D222" s="20" t="n">
        <v>1236.542</v>
      </c>
      <c r="F222" s="20" t="n">
        <v>455.255</v>
      </c>
      <c r="H222" s="20" t="n">
        <v>669.867</v>
      </c>
      <c r="J222" s="20" t="n">
        <v>691.442</v>
      </c>
      <c r="L222" s="20" t="n">
        <v>842.297</v>
      </c>
      <c r="N222" s="20" t="n">
        <v>1271.514</v>
      </c>
      <c r="O222" s="20" t="n">
        <v>215.263</v>
      </c>
      <c r="P222" s="20" t="n">
        <v>646.528</v>
      </c>
      <c r="Q222" s="20" t="n">
        <v>1189.216</v>
      </c>
      <c r="R222" s="20" t="n">
        <v>1005.093</v>
      </c>
      <c r="S222" s="20" t="n">
        <v>1713.79</v>
      </c>
      <c r="T222" s="20" t="n">
        <v>1150.717</v>
      </c>
      <c r="U222" s="20" t="n">
        <v>937.28</v>
      </c>
      <c r="V222" s="20" t="n">
        <v>1236.542</v>
      </c>
      <c r="W222" s="20" t="n">
        <v>669.867</v>
      </c>
      <c r="X222" s="20" t="n">
        <v>842.297</v>
      </c>
    </row>
    <row r="223">
      <c r="A223" s="18" t="inlineStr">
        <is>
          <t>수수료 수령액</t>
        </is>
      </c>
      <c r="H223" s="20" t="n">
        <v>0</v>
      </c>
      <c r="J223" s="20" t="n">
        <v>0</v>
      </c>
      <c r="L223" s="20" t="n">
        <v>120.386</v>
      </c>
      <c r="N223" s="20" t="n">
        <v>58.267</v>
      </c>
      <c r="W223" s="20" t="n">
        <v>0</v>
      </c>
      <c r="X223" s="20" t="n">
        <v>120.386</v>
      </c>
    </row>
    <row r="224">
      <c r="A224" s="18" t="inlineStr">
        <is>
          <t>이자 수취</t>
        </is>
      </c>
      <c r="D224" s="20" t="n">
        <v>0.6870000000000001</v>
      </c>
      <c r="F224" s="20" t="n">
        <v>4.936</v>
      </c>
      <c r="H224" s="20" t="n">
        <v>10.195</v>
      </c>
      <c r="J224" s="20" t="n">
        <v>7.993</v>
      </c>
      <c r="L224" s="20" t="n">
        <v>20.442</v>
      </c>
      <c r="N224" s="20" t="n">
        <v>13.583</v>
      </c>
      <c r="O224" s="20" t="n">
        <v>0.022</v>
      </c>
      <c r="P224" s="20" t="n">
        <v>0.113</v>
      </c>
      <c r="Q224" s="20" t="n">
        <v>0.065</v>
      </c>
      <c r="R224" s="20" t="n">
        <v>0.132</v>
      </c>
      <c r="S224" s="20" t="n">
        <v>0.129</v>
      </c>
      <c r="T224" s="20" t="n">
        <v>2.332</v>
      </c>
      <c r="U224" s="20" t="n">
        <v>0.122</v>
      </c>
      <c r="V224" s="20" t="n">
        <v>0.6870000000000001</v>
      </c>
      <c r="W224" s="20" t="n">
        <v>10.195</v>
      </c>
      <c r="X224" s="20" t="n">
        <v>20.442</v>
      </c>
    </row>
    <row r="225">
      <c r="A225" s="18" t="inlineStr">
        <is>
          <t>이자 지급</t>
        </is>
      </c>
      <c r="D225" s="20" t="n">
        <v>-13.92</v>
      </c>
      <c r="F225" s="20" t="n">
        <v>-8.196</v>
      </c>
      <c r="H225" s="20" t="n">
        <v>-19.841</v>
      </c>
      <c r="J225" s="20" t="n">
        <v>-15.641</v>
      </c>
      <c r="L225" s="20" t="n">
        <v>-44.142</v>
      </c>
      <c r="N225" s="20" t="n">
        <v>-25.906</v>
      </c>
      <c r="O225" s="20" t="n">
        <v>-4.57</v>
      </c>
      <c r="P225" s="20" t="n">
        <v>-3.816</v>
      </c>
      <c r="Q225" s="20" t="n">
        <v>-9.048999999999999</v>
      </c>
      <c r="R225" s="20" t="n">
        <v>-20.846</v>
      </c>
      <c r="S225" s="20" t="n">
        <v>-20.525</v>
      </c>
      <c r="T225" s="20" t="n">
        <v>-20.667</v>
      </c>
      <c r="U225" s="20" t="n">
        <v>-17.697</v>
      </c>
      <c r="V225" s="20" t="n">
        <v>-13.92</v>
      </c>
      <c r="W225" s="20" t="n">
        <v>-19.841</v>
      </c>
      <c r="X225" s="20" t="n">
        <v>-44.142</v>
      </c>
    </row>
    <row r="226">
      <c r="A226" s="18" t="inlineStr">
        <is>
          <t>법인세 납부</t>
        </is>
      </c>
      <c r="D226" s="20" t="n">
        <v>-300.206</v>
      </c>
      <c r="F226" s="20" t="n">
        <v>-286.072</v>
      </c>
      <c r="H226" s="20" t="n">
        <v>-377.506</v>
      </c>
      <c r="J226" s="20" t="n">
        <v>-51.057</v>
      </c>
      <c r="L226" s="20" t="n">
        <v>-108.282</v>
      </c>
      <c r="N226" s="20" t="n">
        <v>-257.661</v>
      </c>
      <c r="O226" s="20" t="n">
        <v>-44.826</v>
      </c>
      <c r="P226" s="20" t="n">
        <v>-97.932</v>
      </c>
      <c r="Q226" s="20" t="n">
        <v>-342.451</v>
      </c>
      <c r="R226" s="20" t="n">
        <v>-923.366</v>
      </c>
      <c r="S226" s="20" t="n">
        <v>-371.073</v>
      </c>
      <c r="T226" s="20" t="n">
        <v>-620.303</v>
      </c>
      <c r="U226" s="20" t="n">
        <v>-354.74</v>
      </c>
      <c r="V226" s="20" t="n">
        <v>-300.206</v>
      </c>
      <c r="W226" s="20" t="n">
        <v>-377.506</v>
      </c>
      <c r="X226" s="20" t="n">
        <v>-108.282</v>
      </c>
    </row>
    <row r="227">
      <c r="A227" s="18" t="inlineStr">
        <is>
          <t>법인세 환급</t>
        </is>
      </c>
      <c r="D227" s="20" t="n">
        <v>101.181</v>
      </c>
      <c r="F227" s="20" t="n">
        <v>58.443</v>
      </c>
      <c r="H227" s="20" t="n">
        <v>58.444</v>
      </c>
      <c r="J227" s="20" t="n">
        <v>66.42100000000001</v>
      </c>
      <c r="L227" s="20" t="n">
        <v>66.453</v>
      </c>
      <c r="N227" s="20" t="n">
        <v>5.161</v>
      </c>
      <c r="O227" s="20" t="n">
        <v>0</v>
      </c>
      <c r="P227" s="20" t="n">
        <v>23.336</v>
      </c>
      <c r="Q227" s="20" t="n">
        <v>21.982</v>
      </c>
      <c r="R227" s="20" t="n">
        <v>65.843</v>
      </c>
      <c r="S227" s="20" t="n">
        <v>257.484</v>
      </c>
      <c r="T227" s="20" t="n">
        <v>95.789</v>
      </c>
      <c r="U227" s="20" t="n">
        <v>195.757</v>
      </c>
      <c r="V227" s="20" t="n">
        <v>101.181</v>
      </c>
      <c r="W227" s="20" t="n">
        <v>58.444</v>
      </c>
      <c r="X227" s="20" t="n">
        <v>66.453</v>
      </c>
    </row>
    <row r="228">
      <c r="A228" s="9" t="inlineStr">
        <is>
          <t>영업활동 현금흐름</t>
        </is>
      </c>
      <c r="D228" s="12" t="n">
        <v>1024.285</v>
      </c>
      <c r="F228" s="12" t="n">
        <v>224.366</v>
      </c>
      <c r="H228" s="12" t="n">
        <v>341.158</v>
      </c>
      <c r="J228" s="12" t="n">
        <v>699.158</v>
      </c>
      <c r="L228" s="12" t="n">
        <v>897.155</v>
      </c>
      <c r="N228" s="12" t="n">
        <v>1064.96</v>
      </c>
      <c r="O228" s="12" t="n">
        <v>165.887</v>
      </c>
      <c r="P228" s="12" t="n">
        <v>568.23</v>
      </c>
      <c r="Q228" s="12" t="n">
        <v>859.7619999999999</v>
      </c>
      <c r="R228" s="12" t="n">
        <v>126.856</v>
      </c>
      <c r="S228" s="12" t="n">
        <v>1579.805</v>
      </c>
      <c r="T228" s="12" t="n">
        <v>607.8680000000001</v>
      </c>
      <c r="U228" s="12" t="n">
        <v>760.723</v>
      </c>
      <c r="V228" s="12" t="n">
        <v>1024.285</v>
      </c>
      <c r="W228" s="12" t="n">
        <v>341.158</v>
      </c>
      <c r="X228" s="12" t="n">
        <v>897.155</v>
      </c>
    </row>
    <row r="229">
      <c r="A229" s="18" t="inlineStr">
        <is>
          <t>유형자산 취득(설비투자)</t>
        </is>
      </c>
      <c r="D229" s="20" t="n">
        <v>-3.056</v>
      </c>
      <c r="F229" s="20" t="n">
        <v>-1.317</v>
      </c>
      <c r="H229" s="20" t="n">
        <v>-148.83</v>
      </c>
      <c r="J229" s="20" t="n">
        <v>-4.047</v>
      </c>
      <c r="L229" s="20" t="n">
        <v>-10.199</v>
      </c>
      <c r="N229" s="20" t="n">
        <v>-12.862</v>
      </c>
      <c r="O229" s="20" t="n">
        <v>-5.749</v>
      </c>
      <c r="P229" s="20" t="n">
        <v>0</v>
      </c>
      <c r="Q229" s="20" t="n">
        <v>-66.524</v>
      </c>
      <c r="R229" s="20" t="n">
        <v>-4.243</v>
      </c>
      <c r="S229" s="20" t="n">
        <v>-139.542</v>
      </c>
      <c r="T229" s="20" t="n">
        <v>-10.738</v>
      </c>
      <c r="U229" s="20" t="n">
        <v>-16.885</v>
      </c>
      <c r="V229" s="20" t="n">
        <v>-3.056</v>
      </c>
      <c r="W229" s="20" t="n">
        <v>-148.83</v>
      </c>
      <c r="X229" s="20" t="n">
        <v>-10.199</v>
      </c>
    </row>
    <row r="230">
      <c r="A230" s="18" t="inlineStr">
        <is>
          <t>유형자산 매각</t>
        </is>
      </c>
      <c r="O230" s="20" t="n">
        <v>0</v>
      </c>
      <c r="P230" s="20" t="n">
        <v>0.871</v>
      </c>
      <c r="Q230" s="20" t="n">
        <v>0</v>
      </c>
    </row>
    <row r="231">
      <c r="A231" s="18" t="inlineStr">
        <is>
          <t>무형자산 취득</t>
        </is>
      </c>
      <c r="D231" s="20" t="n">
        <v>-432.918</v>
      </c>
      <c r="F231" s="20" t="n">
        <v>-125.987</v>
      </c>
      <c r="H231" s="20" t="n">
        <v>-260.715</v>
      </c>
      <c r="J231" s="20" t="n">
        <v>-117.066</v>
      </c>
      <c r="L231" s="20" t="n">
        <v>-250.222</v>
      </c>
      <c r="N231" s="20" t="n">
        <v>-154.868</v>
      </c>
      <c r="O231" s="20" t="n">
        <v>-130.323</v>
      </c>
      <c r="P231" s="20" t="n">
        <v>-217.832</v>
      </c>
      <c r="Q231" s="20" t="n">
        <v>-352.653</v>
      </c>
      <c r="R231" s="20" t="n">
        <v>-802.072</v>
      </c>
      <c r="S231" s="20" t="n">
        <v>-280.593</v>
      </c>
      <c r="T231" s="20" t="n">
        <v>-417.421</v>
      </c>
      <c r="U231" s="20" t="n">
        <v>-385.453</v>
      </c>
      <c r="V231" s="20" t="n">
        <v>-432.918</v>
      </c>
      <c r="W231" s="20" t="n">
        <v>-260.715</v>
      </c>
      <c r="X231" s="20" t="n">
        <v>-250.222</v>
      </c>
    </row>
    <row r="232">
      <c r="A232" s="18" t="inlineStr">
        <is>
          <t>투자유가증권 취득</t>
        </is>
      </c>
      <c r="D232" s="20" t="n">
        <v>-604.701</v>
      </c>
      <c r="F232" s="20" t="n">
        <v>-143.466</v>
      </c>
      <c r="H232" s="20" t="n">
        <v>-537.982</v>
      </c>
      <c r="J232" s="20" t="n">
        <v>-71.419</v>
      </c>
      <c r="L232" s="20" t="n">
        <v>-71.419</v>
      </c>
      <c r="N232" s="20" t="n">
        <v>-116.477</v>
      </c>
      <c r="O232" s="20" t="n">
        <v>-5</v>
      </c>
      <c r="P232" s="20" t="n">
        <v>-9.999000000000001</v>
      </c>
      <c r="Q232" s="20" t="n">
        <v>-70</v>
      </c>
      <c r="R232" s="20" t="n">
        <v>-726.6079999999999</v>
      </c>
      <c r="S232" s="20" t="n">
        <v>-30</v>
      </c>
      <c r="T232" s="20" t="n">
        <v>-924.399</v>
      </c>
      <c r="U232" s="20" t="n">
        <v>-2164.138</v>
      </c>
      <c r="V232" s="20" t="n">
        <v>-604.701</v>
      </c>
      <c r="W232" s="20" t="n">
        <v>-537.982</v>
      </c>
      <c r="X232" s="20" t="n">
        <v>-71.419</v>
      </c>
    </row>
    <row r="233">
      <c r="A233" s="18" t="inlineStr">
        <is>
          <t>익명조합 분배 수입</t>
        </is>
      </c>
      <c r="O233" s="20" t="n">
        <v>63.199</v>
      </c>
      <c r="P233" s="20" t="n">
        <v>0</v>
      </c>
    </row>
    <row r="234">
      <c r="A234" s="18" t="inlineStr">
        <is>
          <t>투자유가증권 매각</t>
        </is>
      </c>
      <c r="D234" s="20" t="n">
        <v>216.468</v>
      </c>
      <c r="F234" s="20" t="n">
        <v>0</v>
      </c>
      <c r="H234" s="20" t="n">
        <v>1661.2</v>
      </c>
      <c r="L234" s="20" t="n">
        <v>0</v>
      </c>
      <c r="S234" s="20" t="n">
        <v>0</v>
      </c>
      <c r="T234" s="20" t="n">
        <v>801.904</v>
      </c>
      <c r="U234" s="20" t="n">
        <v>6.206</v>
      </c>
      <c r="V234" s="20" t="n">
        <v>216.468</v>
      </c>
      <c r="W234" s="20" t="n">
        <v>1661.2</v>
      </c>
      <c r="X234" s="20" t="n">
        <v>0</v>
      </c>
    </row>
    <row r="235">
      <c r="A235" s="18" t="inlineStr">
        <is>
          <t>관계회사 주식 취득</t>
        </is>
      </c>
      <c r="D235" s="20" t="n">
        <v>0</v>
      </c>
      <c r="S235" s="20" t="n">
        <v>0</v>
      </c>
      <c r="T235" s="20" t="n">
        <v>-74.5</v>
      </c>
      <c r="U235" s="20" t="n">
        <v>-100</v>
      </c>
      <c r="V235" s="20" t="n">
        <v>0</v>
      </c>
    </row>
    <row r="236">
      <c r="A236" s="18" t="inlineStr">
        <is>
          <t>연결범위 변경 자회사 주식 취득</t>
        </is>
      </c>
      <c r="D236" s="20" t="n">
        <v>-244.319</v>
      </c>
      <c r="F236" s="20" t="n">
        <v>-482.653</v>
      </c>
      <c r="H236" s="20" t="n">
        <v>-573.2430000000001</v>
      </c>
      <c r="J236" s="20" t="n">
        <v>-47.648</v>
      </c>
      <c r="L236" s="20" t="n">
        <v>-521.513</v>
      </c>
      <c r="N236" s="20" t="n">
        <v>0</v>
      </c>
      <c r="P236" s="20" t="n">
        <v>0</v>
      </c>
      <c r="Q236" s="20" t="n">
        <v>-1264.893</v>
      </c>
      <c r="R236" s="20" t="n">
        <v>0</v>
      </c>
      <c r="S236" s="20" t="n">
        <v>-203.09</v>
      </c>
      <c r="T236" s="20" t="n">
        <v>-348.039</v>
      </c>
      <c r="U236" s="20" t="n">
        <v>0</v>
      </c>
      <c r="V236" s="20" t="n">
        <v>-244.319</v>
      </c>
      <c r="W236" s="20" t="n">
        <v>-573.2430000000001</v>
      </c>
      <c r="X236" s="20" t="n">
        <v>-521.513</v>
      </c>
    </row>
    <row r="237">
      <c r="A237" s="18" t="inlineStr">
        <is>
          <t>연결범위 변경 자회사 주식 매각</t>
        </is>
      </c>
      <c r="D237" s="20" t="n">
        <v>0</v>
      </c>
      <c r="F237" s="20" t="n">
        <v>17.574</v>
      </c>
      <c r="H237" s="20" t="n">
        <v>17.574</v>
      </c>
      <c r="J237" s="20" t="n">
        <v>0</v>
      </c>
      <c r="L237" s="20" t="n">
        <v>0</v>
      </c>
      <c r="V237" s="20" t="n">
        <v>0</v>
      </c>
      <c r="W237" s="20" t="n">
        <v>17.574</v>
      </c>
      <c r="X237" s="20" t="n">
        <v>0</v>
      </c>
    </row>
    <row r="238">
      <c r="A238" s="18" t="inlineStr">
        <is>
          <t>사업양수 지출</t>
        </is>
      </c>
      <c r="D238" s="20" t="n">
        <v>-19.464</v>
      </c>
      <c r="H238" s="20" t="n">
        <v>0</v>
      </c>
      <c r="Q238" s="20" t="n">
        <v>0</v>
      </c>
      <c r="R238" s="20" t="n">
        <v>-500</v>
      </c>
      <c r="S238" s="20" t="n">
        <v>0</v>
      </c>
      <c r="U238" s="20" t="n">
        <v>0</v>
      </c>
      <c r="V238" s="20" t="n">
        <v>-19.464</v>
      </c>
      <c r="W238" s="20" t="n">
        <v>0</v>
      </c>
    </row>
    <row r="239">
      <c r="A239" s="18" t="inlineStr">
        <is>
          <t>사업양도 수입</t>
        </is>
      </c>
      <c r="D239" s="20" t="n">
        <v>162.181</v>
      </c>
      <c r="F239" s="20" t="n">
        <v>0</v>
      </c>
      <c r="H239" s="20" t="n">
        <v>0</v>
      </c>
      <c r="U239" s="20" t="n">
        <v>0</v>
      </c>
      <c r="V239" s="20" t="n">
        <v>162.181</v>
      </c>
      <c r="W239" s="20" t="n">
        <v>0</v>
      </c>
    </row>
    <row r="240">
      <c r="A240" s="18" t="inlineStr">
        <is>
          <t>연결범위 변경 자회사 주식 취득(수입)</t>
        </is>
      </c>
      <c r="J240" s="20" t="n">
        <v>0</v>
      </c>
      <c r="N240" s="20" t="n">
        <v>0.027</v>
      </c>
    </row>
    <row r="241">
      <c r="A241" s="18" t="inlineStr">
        <is>
          <t>관계회사 주식 매각</t>
        </is>
      </c>
      <c r="D241" s="20" t="n">
        <v>34</v>
      </c>
      <c r="F241" s="20" t="n">
        <v>0</v>
      </c>
      <c r="H241" s="20" t="n">
        <v>10.5</v>
      </c>
      <c r="J241" s="20" t="n">
        <v>0</v>
      </c>
      <c r="L241" s="20" t="n">
        <v>0</v>
      </c>
      <c r="N241" s="20" t="n">
        <v>20</v>
      </c>
      <c r="R241" s="20" t="n">
        <v>0</v>
      </c>
      <c r="S241" s="20" t="n">
        <v>10</v>
      </c>
      <c r="T241" s="20" t="n">
        <v>0</v>
      </c>
      <c r="U241" s="20" t="n">
        <v>0</v>
      </c>
      <c r="V241" s="20" t="n">
        <v>34</v>
      </c>
      <c r="W241" s="20" t="n">
        <v>10.5</v>
      </c>
      <c r="X241" s="20" t="n">
        <v>0</v>
      </c>
    </row>
    <row r="242">
      <c r="A242" s="18" t="inlineStr">
        <is>
          <t>관계회사 정리 수입</t>
        </is>
      </c>
      <c r="Q242" s="20" t="n">
        <v>0</v>
      </c>
      <c r="R242" s="20" t="n">
        <v>4.508</v>
      </c>
      <c r="S242" s="20" t="n">
        <v>0</v>
      </c>
    </row>
    <row r="243">
      <c r="A243" s="18" t="inlineStr">
        <is>
          <t>투자조합 분배 수입</t>
        </is>
      </c>
      <c r="D243" s="20" t="n">
        <v>16.378</v>
      </c>
      <c r="F243" s="20" t="n">
        <v>12.637</v>
      </c>
      <c r="H243" s="20" t="n">
        <v>95.18899999999999</v>
      </c>
      <c r="J243" s="20" t="n">
        <v>15.78</v>
      </c>
      <c r="L243" s="20" t="n">
        <v>78.444</v>
      </c>
      <c r="N243" s="20" t="n">
        <v>55.824</v>
      </c>
      <c r="T243" s="20" t="n">
        <v>0</v>
      </c>
      <c r="U243" s="20" t="n">
        <v>14.143</v>
      </c>
      <c r="V243" s="20" t="n">
        <v>16.378</v>
      </c>
      <c r="W243" s="20" t="n">
        <v>95.18899999999999</v>
      </c>
      <c r="X243" s="20" t="n">
        <v>78.444</v>
      </c>
    </row>
    <row r="244">
      <c r="A244" s="18" t="inlineStr">
        <is>
          <t>임차보증금 납입</t>
        </is>
      </c>
      <c r="D244" s="20" t="n">
        <v>-4.353</v>
      </c>
      <c r="F244" s="20" t="n">
        <v>-70.48399999999999</v>
      </c>
      <c r="H244" s="20" t="n">
        <v>-71.68300000000001</v>
      </c>
      <c r="J244" s="20" t="n">
        <v>-1.896</v>
      </c>
      <c r="L244" s="20" t="n">
        <v>-2.791</v>
      </c>
      <c r="N244" s="20" t="n">
        <v>-3.174</v>
      </c>
      <c r="O244" s="20" t="n">
        <v>-2.501</v>
      </c>
      <c r="P244" s="20" t="n">
        <v>-12.919</v>
      </c>
      <c r="Q244" s="20" t="n">
        <v>-61</v>
      </c>
      <c r="R244" s="20" t="n">
        <v>-239.068</v>
      </c>
      <c r="S244" s="20" t="n">
        <v>-1.28</v>
      </c>
      <c r="T244" s="20" t="n">
        <v>-1.688</v>
      </c>
      <c r="U244" s="20" t="n">
        <v>-1.444</v>
      </c>
      <c r="V244" s="20" t="n">
        <v>-4.353</v>
      </c>
      <c r="W244" s="20" t="n">
        <v>-71.68300000000001</v>
      </c>
      <c r="X244" s="20" t="n">
        <v>-2.791</v>
      </c>
    </row>
    <row r="245">
      <c r="A245" s="18" t="inlineStr">
        <is>
          <t>임차보증금 회수</t>
        </is>
      </c>
      <c r="D245" s="20" t="n">
        <v>14.351</v>
      </c>
      <c r="F245" s="20" t="n">
        <v>0.702</v>
      </c>
      <c r="H245" s="20" t="n">
        <v>179.631</v>
      </c>
      <c r="J245" s="20" t="n">
        <v>0.499</v>
      </c>
      <c r="L245" s="20" t="n">
        <v>2.873</v>
      </c>
      <c r="N245" s="20" t="n">
        <v>0.215</v>
      </c>
      <c r="O245" s="20" t="n">
        <v>3.542</v>
      </c>
      <c r="P245" s="20" t="n">
        <v>0.47</v>
      </c>
      <c r="Q245" s="20" t="n">
        <v>12.309</v>
      </c>
      <c r="R245" s="20" t="n">
        <v>1.162</v>
      </c>
      <c r="S245" s="20" t="n">
        <v>90.80500000000001</v>
      </c>
      <c r="T245" s="20" t="n">
        <v>1.514</v>
      </c>
      <c r="U245" s="20" t="n">
        <v>0.879</v>
      </c>
      <c r="V245" s="20" t="n">
        <v>14.351</v>
      </c>
      <c r="W245" s="20" t="n">
        <v>179.631</v>
      </c>
      <c r="X245" s="20" t="n">
        <v>2.873</v>
      </c>
    </row>
    <row r="246">
      <c r="A246" s="18" t="inlineStr">
        <is>
          <t>기타</t>
        </is>
      </c>
      <c r="F246" s="20" t="n">
        <v>0</v>
      </c>
      <c r="H246" s="20" t="n">
        <v>0</v>
      </c>
      <c r="J246" s="20" t="n">
        <v>-20</v>
      </c>
      <c r="L246" s="20" t="n">
        <v>-18.088</v>
      </c>
      <c r="N246" s="20" t="n">
        <v>54.13</v>
      </c>
      <c r="P246" s="20" t="n">
        <v>0</v>
      </c>
      <c r="Q246" s="20" t="n">
        <v>-0.18</v>
      </c>
      <c r="R246" s="20" t="n">
        <v>0</v>
      </c>
      <c r="W246" s="20" t="n">
        <v>0</v>
      </c>
      <c r="X246" s="20" t="n">
        <v>-18.088</v>
      </c>
    </row>
    <row r="247">
      <c r="A247" s="9" t="inlineStr">
        <is>
          <t>투자활동 현금흐름</t>
        </is>
      </c>
      <c r="D247" s="12" t="n">
        <v>-865.433</v>
      </c>
      <c r="F247" s="12" t="n">
        <v>-792.996</v>
      </c>
      <c r="H247" s="12" t="n">
        <v>371.639</v>
      </c>
      <c r="J247" s="12" t="n">
        <v>-245.798</v>
      </c>
      <c r="L247" s="12" t="n">
        <v>-792.9160000000001</v>
      </c>
      <c r="N247" s="12" t="n">
        <v>-157.185</v>
      </c>
      <c r="O247" s="12" t="n">
        <v>-76.831</v>
      </c>
      <c r="P247" s="12" t="n">
        <v>-239.409</v>
      </c>
      <c r="Q247" s="12" t="n">
        <v>-1802.942</v>
      </c>
      <c r="R247" s="12" t="n">
        <v>-2266.324</v>
      </c>
      <c r="S247" s="12" t="n">
        <v>-553.701</v>
      </c>
      <c r="T247" s="12" t="n">
        <v>-973.37</v>
      </c>
      <c r="U247" s="12" t="n">
        <v>-2646.692</v>
      </c>
      <c r="V247" s="12" t="n">
        <v>-865.433</v>
      </c>
      <c r="W247" s="12" t="n">
        <v>371.639</v>
      </c>
      <c r="X247" s="12" t="n">
        <v>-792.9160000000001</v>
      </c>
    </row>
    <row r="248">
      <c r="A248" s="18" t="inlineStr">
        <is>
          <t>단기차입금 순증감</t>
        </is>
      </c>
      <c r="O248" s="20" t="n">
        <v>-100</v>
      </c>
      <c r="P248" s="20" t="n">
        <v>0</v>
      </c>
      <c r="Q248" s="20" t="n">
        <v>200</v>
      </c>
      <c r="R248" s="20" t="n">
        <v>800</v>
      </c>
      <c r="S248" s="20" t="n">
        <v>0</v>
      </c>
      <c r="T248" s="20" t="n">
        <v>500</v>
      </c>
      <c r="U248" s="20" t="n">
        <v>0</v>
      </c>
    </row>
    <row r="249">
      <c r="A249" s="18" t="inlineStr">
        <is>
          <t>단기차입금 증감</t>
        </is>
      </c>
      <c r="H249" s="20" t="n">
        <v>0</v>
      </c>
      <c r="L249" s="20" t="n">
        <v>-35</v>
      </c>
      <c r="W249" s="20" t="n">
        <v>0</v>
      </c>
      <c r="X249" s="20" t="n">
        <v>-35</v>
      </c>
    </row>
    <row r="250">
      <c r="A250" s="18" t="inlineStr">
        <is>
          <t>사채 발행</t>
        </is>
      </c>
      <c r="D250" s="20" t="n">
        <v>343.321</v>
      </c>
      <c r="H250" s="20" t="n">
        <v>489.21</v>
      </c>
      <c r="L250" s="20" t="n">
        <v>0</v>
      </c>
      <c r="Q250" s="20" t="n">
        <v>0</v>
      </c>
      <c r="R250" s="20" t="n">
        <v>991.431</v>
      </c>
      <c r="S250" s="20" t="n">
        <v>215.801</v>
      </c>
      <c r="T250" s="20" t="n">
        <v>392.367</v>
      </c>
      <c r="U250" s="20" t="n">
        <v>787.735</v>
      </c>
      <c r="V250" s="20" t="n">
        <v>343.321</v>
      </c>
      <c r="W250" s="20" t="n">
        <v>489.21</v>
      </c>
      <c r="X250" s="20" t="n">
        <v>0</v>
      </c>
    </row>
    <row r="251">
      <c r="A251" s="18" t="inlineStr">
        <is>
          <t>장기차입금 상환</t>
        </is>
      </c>
      <c r="D251" s="20" t="n">
        <v>-289.296</v>
      </c>
      <c r="F251" s="20" t="n">
        <v>-177.339</v>
      </c>
      <c r="H251" s="20" t="n">
        <v>-481.944</v>
      </c>
      <c r="J251" s="20" t="n">
        <v>-220.197</v>
      </c>
      <c r="L251" s="20" t="n">
        <v>-595.495</v>
      </c>
      <c r="N251" s="20" t="n">
        <v>-198.906</v>
      </c>
      <c r="O251" s="20" t="n">
        <v>-312.6</v>
      </c>
      <c r="P251" s="20" t="n">
        <v>-140.376</v>
      </c>
      <c r="Q251" s="20" t="n">
        <v>-237.268</v>
      </c>
      <c r="R251" s="20" t="n">
        <v>-449.106</v>
      </c>
      <c r="S251" s="20" t="n">
        <v>-252.882</v>
      </c>
      <c r="T251" s="20" t="n">
        <v>-289.029</v>
      </c>
      <c r="U251" s="20" t="n">
        <v>-287.196</v>
      </c>
      <c r="V251" s="20" t="n">
        <v>-289.296</v>
      </c>
      <c r="W251" s="20" t="n">
        <v>-481.944</v>
      </c>
      <c r="X251" s="20" t="n">
        <v>-595.495</v>
      </c>
    </row>
    <row r="252">
      <c r="A252" s="18" t="inlineStr">
        <is>
          <t>사채 상환</t>
        </is>
      </c>
      <c r="D252" s="20" t="n">
        <v>-424</v>
      </c>
      <c r="F252" s="20" t="n">
        <v>-247</v>
      </c>
      <c r="H252" s="20" t="n">
        <v>-394</v>
      </c>
      <c r="J252" s="20" t="n">
        <v>-197</v>
      </c>
      <c r="L252" s="20" t="n">
        <v>-394</v>
      </c>
      <c r="N252" s="20" t="n">
        <v>-175</v>
      </c>
      <c r="Q252" s="20" t="n">
        <v>0</v>
      </c>
      <c r="R252" s="20" t="n">
        <v>-100</v>
      </c>
      <c r="S252" s="20" t="n">
        <v>-200</v>
      </c>
      <c r="T252" s="20" t="n">
        <v>-244</v>
      </c>
      <c r="U252" s="20" t="n">
        <v>-324</v>
      </c>
      <c r="V252" s="20" t="n">
        <v>-424</v>
      </c>
      <c r="W252" s="20" t="n">
        <v>-394</v>
      </c>
      <c r="X252" s="20" t="n">
        <v>-394</v>
      </c>
    </row>
    <row r="253">
      <c r="A253" s="18" t="inlineStr">
        <is>
          <t>장기차입</t>
        </is>
      </c>
      <c r="D253" s="20" t="n">
        <v>538</v>
      </c>
      <c r="H253" s="20" t="n">
        <v>600</v>
      </c>
      <c r="L253" s="20" t="n">
        <v>950</v>
      </c>
      <c r="O253" s="20" t="n">
        <v>300</v>
      </c>
      <c r="P253" s="20" t="n">
        <v>200</v>
      </c>
      <c r="Q253" s="20" t="n">
        <v>1644</v>
      </c>
      <c r="R253" s="20" t="n">
        <v>0</v>
      </c>
      <c r="S253" s="20" t="n">
        <v>210</v>
      </c>
      <c r="T253" s="20" t="n">
        <v>0</v>
      </c>
      <c r="U253" s="20" t="n">
        <v>0</v>
      </c>
      <c r="V253" s="20" t="n">
        <v>538</v>
      </c>
      <c r="W253" s="20" t="n">
        <v>600</v>
      </c>
      <c r="X253" s="20" t="n">
        <v>950</v>
      </c>
    </row>
    <row r="254">
      <c r="A254" s="18" t="inlineStr">
        <is>
          <t>연결범위 변경 없는 자회사 주식 취득</t>
        </is>
      </c>
      <c r="D254" s="20" t="n">
        <v>-50</v>
      </c>
      <c r="H254" s="20" t="n">
        <v>0</v>
      </c>
      <c r="J254" s="20" t="n">
        <v>0</v>
      </c>
      <c r="L254" s="20" t="n">
        <v>-7.5</v>
      </c>
      <c r="N254" s="20" t="n">
        <v>-10.428</v>
      </c>
      <c r="T254" s="20" t="n">
        <v>0</v>
      </c>
      <c r="U254" s="20" t="n">
        <v>-0.49</v>
      </c>
      <c r="V254" s="20" t="n">
        <v>-50</v>
      </c>
      <c r="W254" s="20" t="n">
        <v>0</v>
      </c>
      <c r="X254" s="20" t="n">
        <v>-7.5</v>
      </c>
    </row>
    <row r="255">
      <c r="A255" s="18" t="inlineStr">
        <is>
          <t>주식 발행</t>
        </is>
      </c>
      <c r="D255" s="20" t="n">
        <v>24.3</v>
      </c>
      <c r="F255" s="20" t="n">
        <v>5.32</v>
      </c>
      <c r="H255" s="20" t="n">
        <v>23.02</v>
      </c>
      <c r="J255" s="20" t="n">
        <v>0</v>
      </c>
      <c r="L255" s="20" t="n">
        <v>0</v>
      </c>
      <c r="O255" s="20" t="n">
        <v>0</v>
      </c>
      <c r="P255" s="20" t="n">
        <v>997.381</v>
      </c>
      <c r="Q255" s="20" t="n">
        <v>3202.926</v>
      </c>
      <c r="R255" s="20" t="n">
        <v>7415.962</v>
      </c>
      <c r="S255" s="20" t="n">
        <v>14.28</v>
      </c>
      <c r="T255" s="20" t="n">
        <v>23.01</v>
      </c>
      <c r="U255" s="20" t="n">
        <v>3.9</v>
      </c>
      <c r="V255" s="20" t="n">
        <v>24.3</v>
      </c>
      <c r="W255" s="20" t="n">
        <v>23.02</v>
      </c>
      <c r="X255" s="20" t="n">
        <v>0</v>
      </c>
    </row>
    <row r="256">
      <c r="A256" s="18" t="inlineStr">
        <is>
          <t>자기주식 취득</t>
        </is>
      </c>
      <c r="D256" s="20" t="n">
        <v>0</v>
      </c>
      <c r="F256" s="20" t="n">
        <v>0</v>
      </c>
      <c r="H256" s="20" t="n">
        <v>-213.971</v>
      </c>
      <c r="J256" s="20" t="n">
        <v>-1075.698</v>
      </c>
      <c r="L256" s="20" t="n">
        <v>-1797.038</v>
      </c>
      <c r="N256" s="20" t="n">
        <v>0</v>
      </c>
      <c r="S256" s="20" t="n">
        <v>0</v>
      </c>
      <c r="T256" s="20" t="n">
        <v>-321.967</v>
      </c>
      <c r="U256" s="20" t="n">
        <v>-183.936</v>
      </c>
      <c r="V256" s="20" t="n">
        <v>0</v>
      </c>
      <c r="W256" s="20" t="n">
        <v>-213.971</v>
      </c>
      <c r="X256" s="20" t="n">
        <v>-1797.038</v>
      </c>
    </row>
    <row r="257">
      <c r="A257" s="18" t="inlineStr">
        <is>
          <t>기타</t>
        </is>
      </c>
      <c r="O257" s="20" t="n">
        <v>0</v>
      </c>
      <c r="P257" s="20" t="n">
        <v>-2.144</v>
      </c>
      <c r="Q257" s="20" t="n">
        <v>-12.33</v>
      </c>
      <c r="R257" s="20" t="n">
        <v>0</v>
      </c>
      <c r="S257" s="20" t="n">
        <v>-2.272</v>
      </c>
      <c r="T257" s="20" t="n">
        <v>0</v>
      </c>
    </row>
    <row r="258">
      <c r="A258" s="18" t="inlineStr">
        <is>
          <t>자기주식 처분</t>
        </is>
      </c>
      <c r="F258" s="20" t="n">
        <v>0</v>
      </c>
      <c r="H258" s="20" t="n">
        <v>0</v>
      </c>
      <c r="J258" s="20" t="n">
        <v>85.404</v>
      </c>
      <c r="L258" s="20" t="n">
        <v>85.404</v>
      </c>
      <c r="N258" s="20" t="n">
        <v>0</v>
      </c>
      <c r="O258" s="20" t="n">
        <v>198</v>
      </c>
      <c r="P258" s="20" t="n">
        <v>0</v>
      </c>
      <c r="Q258" s="20" t="n">
        <v>131.376</v>
      </c>
      <c r="R258" s="20" t="n">
        <v>0</v>
      </c>
      <c r="W258" s="20" t="n">
        <v>0</v>
      </c>
      <c r="X258" s="20" t="n">
        <v>85.404</v>
      </c>
    </row>
    <row r="259">
      <c r="A259" s="18" t="inlineStr">
        <is>
          <t>신주예약권 발행</t>
        </is>
      </c>
      <c r="H259" s="20" t="n">
        <v>0</v>
      </c>
      <c r="L259" s="20" t="n">
        <v>4.804</v>
      </c>
      <c r="O259" s="20" t="n">
        <v>0</v>
      </c>
      <c r="P259" s="20" t="n">
        <v>5.263</v>
      </c>
      <c r="Q259" s="20" t="n">
        <v>43.444</v>
      </c>
      <c r="R259" s="20" t="n">
        <v>0</v>
      </c>
      <c r="W259" s="20" t="n">
        <v>0</v>
      </c>
      <c r="X259" s="20" t="n">
        <v>4.804</v>
      </c>
    </row>
    <row r="260">
      <c r="A260" s="18" t="inlineStr">
        <is>
          <t>신주예약권 행사에 따른 주식 발행</t>
        </is>
      </c>
      <c r="H260" s="20" t="n">
        <v>0</v>
      </c>
      <c r="J260" s="20" t="n">
        <v>0</v>
      </c>
      <c r="L260" s="20" t="n">
        <v>31.499</v>
      </c>
      <c r="N260" s="20" t="n">
        <v>11.7</v>
      </c>
      <c r="W260" s="20" t="n">
        <v>0</v>
      </c>
      <c r="X260" s="20" t="n">
        <v>31.499</v>
      </c>
    </row>
    <row r="261">
      <c r="A261" s="18" t="inlineStr">
        <is>
          <t>비지배주주 납입</t>
        </is>
      </c>
      <c r="D261" s="20" t="n">
        <v>0</v>
      </c>
      <c r="F261" s="20" t="n">
        <v>44.3</v>
      </c>
      <c r="H261" s="20" t="n">
        <v>44.3</v>
      </c>
      <c r="J261" s="20" t="n">
        <v>0</v>
      </c>
      <c r="L261" s="20" t="n">
        <v>0</v>
      </c>
      <c r="S261" s="20" t="n">
        <v>0</v>
      </c>
      <c r="T261" s="20" t="n">
        <v>0.49</v>
      </c>
      <c r="U261" s="20" t="n">
        <v>0</v>
      </c>
      <c r="V261" s="20" t="n">
        <v>0</v>
      </c>
      <c r="W261" s="20" t="n">
        <v>44.3</v>
      </c>
      <c r="X261" s="20" t="n">
        <v>0</v>
      </c>
    </row>
    <row r="262">
      <c r="A262" s="18" t="inlineStr">
        <is>
          <t>배당금 지급</t>
        </is>
      </c>
      <c r="F262" s="20" t="n">
        <v>0</v>
      </c>
      <c r="H262" s="20" t="n">
        <v>0</v>
      </c>
      <c r="J262" s="20" t="n">
        <v>-331.586</v>
      </c>
      <c r="L262" s="20" t="n">
        <v>-331.77</v>
      </c>
      <c r="N262" s="20" t="n">
        <v>-273.037</v>
      </c>
      <c r="W262" s="20" t="n">
        <v>0</v>
      </c>
      <c r="X262" s="20" t="n">
        <v>-331.77</v>
      </c>
    </row>
    <row r="263">
      <c r="A263" s="9" t="inlineStr">
        <is>
          <t>재무활동 현금흐름</t>
        </is>
      </c>
      <c r="D263" s="12" t="n">
        <v>142.325</v>
      </c>
      <c r="F263" s="12" t="n">
        <v>-374.719</v>
      </c>
      <c r="H263" s="12" t="n">
        <v>66.614</v>
      </c>
      <c r="J263" s="12" t="n">
        <v>-1739.077</v>
      </c>
      <c r="L263" s="12" t="n">
        <v>-2089.096</v>
      </c>
      <c r="N263" s="12" t="n">
        <v>-645.672</v>
      </c>
      <c r="O263" s="12" t="n">
        <v>85.399</v>
      </c>
      <c r="P263" s="12" t="n">
        <v>1060.124</v>
      </c>
      <c r="Q263" s="12" t="n">
        <v>4972.147</v>
      </c>
      <c r="R263" s="12" t="n">
        <v>8658.288</v>
      </c>
      <c r="S263" s="12" t="n">
        <v>-15.073</v>
      </c>
      <c r="T263" s="12" t="n">
        <v>60.871</v>
      </c>
      <c r="U263" s="12" t="n">
        <v>-3.987</v>
      </c>
      <c r="V263" s="12" t="n">
        <v>142.325</v>
      </c>
      <c r="W263" s="12" t="n">
        <v>66.614</v>
      </c>
      <c r="X263" s="12" t="n">
        <v>-2089.096</v>
      </c>
    </row>
    <row r="264">
      <c r="A264" s="18" t="inlineStr">
        <is>
          <t>현금성자산 환산차이</t>
        </is>
      </c>
      <c r="D264" s="20" t="n">
        <v>1.625</v>
      </c>
      <c r="F264" s="20" t="n">
        <v>0.513</v>
      </c>
      <c r="H264" s="20" t="n">
        <v>0.139</v>
      </c>
      <c r="J264" s="20" t="n">
        <v>-0.073</v>
      </c>
      <c r="L264" s="20" t="n">
        <v>1.006</v>
      </c>
      <c r="N264" s="20" t="n">
        <v>0.448</v>
      </c>
      <c r="O264" s="20" t="n">
        <v>0.08500000000000001</v>
      </c>
      <c r="P264" s="20" t="n">
        <v>-0.374</v>
      </c>
      <c r="Q264" s="20" t="n">
        <v>0.338</v>
      </c>
      <c r="R264" s="20" t="n">
        <v>-0.264</v>
      </c>
      <c r="S264" s="20" t="n">
        <v>-0.272</v>
      </c>
      <c r="T264" s="20" t="n">
        <v>0.954</v>
      </c>
      <c r="U264" s="20" t="n">
        <v>2.36</v>
      </c>
      <c r="V264" s="20" t="n">
        <v>1.625</v>
      </c>
      <c r="W264" s="20" t="n">
        <v>0.139</v>
      </c>
      <c r="X264" s="20" t="n">
        <v>1.006</v>
      </c>
    </row>
    <row r="265">
      <c r="A265" s="18" t="inlineStr">
        <is>
          <t>현금성자산 증감</t>
        </is>
      </c>
      <c r="D265" s="20" t="n">
        <v>302.803</v>
      </c>
      <c r="F265" s="20" t="n">
        <v>-942.835</v>
      </c>
      <c r="H265" s="20" t="n">
        <v>779.552</v>
      </c>
      <c r="J265" s="20" t="n">
        <v>-1285.79</v>
      </c>
      <c r="L265" s="20" t="n">
        <v>-1983.851</v>
      </c>
      <c r="N265" s="20" t="n">
        <v>262.551</v>
      </c>
      <c r="O265" s="20" t="n">
        <v>174.541</v>
      </c>
      <c r="P265" s="20" t="n">
        <v>1388.57</v>
      </c>
      <c r="Q265" s="20" t="n">
        <v>4029.305</v>
      </c>
      <c r="R265" s="20" t="n">
        <v>6518.554</v>
      </c>
      <c r="S265" s="20" t="n">
        <v>1010.758</v>
      </c>
      <c r="T265" s="20" t="n">
        <v>-303.675</v>
      </c>
      <c r="U265" s="20" t="n">
        <v>-1887.596</v>
      </c>
      <c r="V265" s="20" t="n">
        <v>302.803</v>
      </c>
      <c r="W265" s="20" t="n">
        <v>779.552</v>
      </c>
      <c r="X265" s="20" t="n">
        <v>-1983.851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오픈그룹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14398.888</v>
      </c>
      <c r="D5" s="12" t="n">
        <v>14482.188</v>
      </c>
      <c r="E5" s="12" t="n">
        <v>14690.006</v>
      </c>
      <c r="F5" s="12" t="n">
        <v>14369.061</v>
      </c>
      <c r="G5" s="12" t="n">
        <v>14602.763</v>
      </c>
      <c r="H5" s="11" t="n">
        <v>15396.652</v>
      </c>
      <c r="I5" s="12" t="n">
        <v>14078.295</v>
      </c>
      <c r="J5" s="12" t="n">
        <v>14372.824</v>
      </c>
      <c r="K5" s="12" t="n">
        <v>15577.862</v>
      </c>
      <c r="L5" s="12" t="n">
        <v>14690.006</v>
      </c>
    </row>
    <row r="6">
      <c r="A6" s="18" t="inlineStr">
        <is>
          <t>현금및현금성자산</t>
        </is>
      </c>
      <c r="B6" s="10" t="n"/>
      <c r="C6" s="19" t="n">
        <v>10299.332</v>
      </c>
      <c r="D6" s="20" t="n">
        <v>10430.429</v>
      </c>
      <c r="E6" s="20" t="n">
        <v>10312.431</v>
      </c>
      <c r="F6" s="20" t="n">
        <v>10766.645</v>
      </c>
      <c r="G6" s="20" t="n">
        <v>10574.982</v>
      </c>
      <c r="H6" s="19" t="n">
        <v>12623.491</v>
      </c>
      <c r="I6" s="20" t="n">
        <v>11213.927</v>
      </c>
      <c r="J6" s="20" t="n">
        <v>11516.731</v>
      </c>
      <c r="K6" s="20" t="n">
        <v>10510.244</v>
      </c>
      <c r="L6" s="20" t="n">
        <v>10312.431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2191.054</v>
      </c>
      <c r="D8" s="20" t="n">
        <v>2290.993</v>
      </c>
      <c r="E8" s="20" t="n">
        <v>2858.885</v>
      </c>
      <c r="F8" s="20" t="n">
        <v>2706.788</v>
      </c>
      <c r="G8" s="20" t="n">
        <v>2697.898</v>
      </c>
      <c r="H8" s="19" t="n">
        <v>1771.357</v>
      </c>
      <c r="I8" s="20" t="n">
        <v>2443.758</v>
      </c>
      <c r="J8" s="20" t="n">
        <v>2420.159</v>
      </c>
      <c r="K8" s="20" t="n">
        <v>2488.758</v>
      </c>
      <c r="L8" s="20" t="n">
        <v>2858.885</v>
      </c>
    </row>
    <row r="9">
      <c r="A9" s="18" t="inlineStr">
        <is>
          <t>재고자산</t>
        </is>
      </c>
      <c r="B9" s="10" t="n"/>
      <c r="C9" s="19" t="n">
        <v>15.783</v>
      </c>
      <c r="D9" s="20" t="n">
        <v>54.578</v>
      </c>
      <c r="E9" s="20" t="n">
        <v>43.538</v>
      </c>
      <c r="F9" s="20" t="n">
        <v>14.754</v>
      </c>
      <c r="G9" s="20" t="n">
        <v>35.291</v>
      </c>
      <c r="H9" s="19" t="n">
        <v>12.016</v>
      </c>
      <c r="I9" s="20" t="n">
        <v>13.72</v>
      </c>
      <c r="J9" s="20" t="n">
        <v>15.826</v>
      </c>
      <c r="K9" s="20" t="n">
        <v>14.77</v>
      </c>
      <c r="L9" s="20" t="n">
        <v>43.538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4576.367</v>
      </c>
      <c r="D11" s="12" t="n">
        <v>5008.494</v>
      </c>
      <c r="E11" s="12" t="n">
        <v>4918.401</v>
      </c>
      <c r="F11" s="12" t="n">
        <v>5015.878</v>
      </c>
      <c r="G11" s="12" t="n">
        <v>4873.395</v>
      </c>
      <c r="H11" s="11" t="n">
        <v>2324.28</v>
      </c>
      <c r="I11" s="12" t="n">
        <v>4389.273</v>
      </c>
      <c r="J11" s="12" t="n">
        <v>4870.718</v>
      </c>
      <c r="K11" s="12" t="n">
        <v>4389.41</v>
      </c>
      <c r="L11" s="12" t="n">
        <v>4918.401</v>
      </c>
    </row>
    <row r="12">
      <c r="A12" s="18" t="inlineStr">
        <is>
          <t>유형자산</t>
        </is>
      </c>
      <c r="B12" s="10" t="n"/>
      <c r="C12" s="19" t="n">
        <v>159.402</v>
      </c>
      <c r="D12" s="20" t="n">
        <v>189.698</v>
      </c>
      <c r="E12" s="20" t="n">
        <v>177.824</v>
      </c>
      <c r="F12" s="20" t="n">
        <v>176.438</v>
      </c>
      <c r="G12" s="20" t="n">
        <v>172.59</v>
      </c>
      <c r="H12" s="19" t="n">
        <v>118.978</v>
      </c>
      <c r="I12" s="20" t="n">
        <v>108.418</v>
      </c>
      <c r="J12" s="20" t="n">
        <v>86.108</v>
      </c>
      <c r="K12" s="20" t="n">
        <v>167.653</v>
      </c>
      <c r="L12" s="20" t="n">
        <v>177.824</v>
      </c>
    </row>
    <row r="13">
      <c r="A13" s="18" t="inlineStr">
        <is>
          <t>무형자산</t>
        </is>
      </c>
      <c r="B13" s="10" t="n"/>
      <c r="C13" s="19" t="n">
        <v>1536.327</v>
      </c>
      <c r="D13" s="20" t="n">
        <v>1930.879</v>
      </c>
      <c r="E13" s="20" t="n">
        <v>1978.242</v>
      </c>
      <c r="F13" s="20" t="n">
        <v>1968.645</v>
      </c>
      <c r="G13" s="20" t="n">
        <v>1932.204</v>
      </c>
      <c r="H13" s="19" t="n">
        <v>1299.193</v>
      </c>
      <c r="I13" s="20" t="n">
        <v>996.514</v>
      </c>
      <c r="J13" s="20" t="n">
        <v>960.268</v>
      </c>
      <c r="K13" s="20" t="n">
        <v>1576.459</v>
      </c>
      <c r="L13" s="20" t="n">
        <v>1978.242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18975.256</v>
      </c>
      <c r="D16" s="12" t="n">
        <v>19490.682</v>
      </c>
      <c r="E16" s="12" t="n">
        <v>19608.407</v>
      </c>
      <c r="F16" s="12" t="n">
        <v>19384.94</v>
      </c>
      <c r="G16" s="12" t="n">
        <v>19476.158</v>
      </c>
      <c r="H16" s="11" t="n">
        <v>17720.933</v>
      </c>
      <c r="I16" s="12" t="n">
        <v>18467.569</v>
      </c>
      <c r="J16" s="12" t="n">
        <v>19243.542</v>
      </c>
      <c r="K16" s="12" t="n">
        <v>19967.272</v>
      </c>
      <c r="L16" s="12" t="n">
        <v>19608.407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6322.968</v>
      </c>
      <c r="D18" s="12" t="n">
        <v>6387.771</v>
      </c>
      <c r="E18" s="12" t="n">
        <v>6722.164</v>
      </c>
      <c r="F18" s="12" t="n">
        <v>6746.689</v>
      </c>
      <c r="G18" s="12" t="n">
        <v>6731.501</v>
      </c>
      <c r="H18" s="11" t="n">
        <v>4628.304</v>
      </c>
      <c r="I18" s="12" t="n">
        <v>5363.781</v>
      </c>
      <c r="J18" s="12" t="n">
        <v>5826.394</v>
      </c>
      <c r="K18" s="12" t="n">
        <v>5978.803</v>
      </c>
      <c r="L18" s="12" t="n">
        <v>6722.164</v>
      </c>
    </row>
    <row r="19">
      <c r="A19" s="18" t="inlineStr">
        <is>
          <t>매입채무</t>
        </is>
      </c>
      <c r="B19" s="10" t="n"/>
      <c r="C19" s="19" t="n">
        <v>1571.002</v>
      </c>
      <c r="D19" s="20" t="n">
        <v>1702.016</v>
      </c>
      <c r="E19" s="20" t="n">
        <v>1895.013</v>
      </c>
      <c r="F19" s="20" t="n">
        <v>1867.425</v>
      </c>
      <c r="G19" s="20" t="n">
        <v>1771.096</v>
      </c>
      <c r="H19" s="19" t="n">
        <v>1342.354</v>
      </c>
      <c r="I19" s="20" t="n">
        <v>1885.011</v>
      </c>
      <c r="J19" s="20" t="n">
        <v>1796.076</v>
      </c>
      <c r="K19" s="20" t="n">
        <v>1942.371</v>
      </c>
      <c r="L19" s="20" t="n">
        <v>1895.013</v>
      </c>
    </row>
    <row r="20">
      <c r="A20" s="18" t="inlineStr">
        <is>
          <t>단기차입금</t>
        </is>
      </c>
      <c r="B20" s="10" t="n"/>
      <c r="C20" s="19" t="n">
        <v>1500</v>
      </c>
      <c r="D20" s="20" t="n">
        <v>1500</v>
      </c>
      <c r="E20" s="20" t="n">
        <v>1500</v>
      </c>
      <c r="F20" s="20" t="n">
        <v>1500</v>
      </c>
      <c r="G20" s="20" t="n">
        <v>1500</v>
      </c>
      <c r="H20" s="19" t="n">
        <v>1500</v>
      </c>
      <c r="I20" s="20" t="n">
        <v>1500</v>
      </c>
      <c r="J20" s="20" t="n">
        <v>1500</v>
      </c>
      <c r="K20" s="20" t="n">
        <v>1500</v>
      </c>
      <c r="L20" s="20" t="n">
        <v>1500</v>
      </c>
    </row>
    <row r="21">
      <c r="A21" s="18" t="inlineStr">
        <is>
          <t>유동성장기부채</t>
        </is>
      </c>
      <c r="B21" s="10" t="n"/>
      <c r="C21" s="19" t="n">
        <v>643.75</v>
      </c>
      <c r="D21" s="20" t="n">
        <v>723.5</v>
      </c>
      <c r="E21" s="20" t="n">
        <v>701.9</v>
      </c>
      <c r="F21" s="20" t="n">
        <v>665.742</v>
      </c>
      <c r="G21" s="20" t="n">
        <v>649.169</v>
      </c>
      <c r="H21" s="19" t="n">
        <v>611.196</v>
      </c>
      <c r="I21" s="20" t="n">
        <v>703.296</v>
      </c>
      <c r="J21" s="20" t="n">
        <v>752.3440000000001</v>
      </c>
      <c r="K21" s="20" t="n">
        <v>790.915</v>
      </c>
      <c r="L21" s="20" t="n">
        <v>701.9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1717.841</v>
      </c>
      <c r="D23" s="12" t="n">
        <v>2418.871</v>
      </c>
      <c r="E23" s="12" t="n">
        <v>2246.081</v>
      </c>
      <c r="F23" s="12" t="n">
        <v>1981.965</v>
      </c>
      <c r="G23" s="12" t="n">
        <v>1893.891</v>
      </c>
      <c r="H23" s="11" t="n">
        <v>1492.143</v>
      </c>
      <c r="I23" s="12" t="n">
        <v>1588.847</v>
      </c>
      <c r="J23" s="12" t="n">
        <v>1749.351</v>
      </c>
      <c r="K23" s="12" t="n">
        <v>2005.697</v>
      </c>
      <c r="L23" s="12" t="n">
        <v>2246.081</v>
      </c>
    </row>
    <row r="24">
      <c r="A24" s="18" t="inlineStr">
        <is>
          <t>장기차입금</t>
        </is>
      </c>
      <c r="B24" s="10" t="n"/>
      <c r="C24" s="19" t="n">
        <v>702.841</v>
      </c>
      <c r="D24" s="20" t="n">
        <v>1539.991</v>
      </c>
      <c r="E24" s="20" t="n">
        <v>1367.201</v>
      </c>
      <c r="F24" s="20" t="n">
        <v>1276.965</v>
      </c>
      <c r="G24" s="20" t="n">
        <v>1188.891</v>
      </c>
      <c r="H24" s="19" t="n">
        <v>740.143</v>
      </c>
      <c r="I24" s="20" t="n">
        <v>460.847</v>
      </c>
      <c r="J24" s="20" t="n">
        <v>630.503</v>
      </c>
      <c r="K24" s="20" t="n">
        <v>797.873</v>
      </c>
      <c r="L24" s="20" t="n">
        <v>1367.201</v>
      </c>
    </row>
    <row r="25">
      <c r="A25" s="18" t="inlineStr">
        <is>
          <t>사채</t>
        </is>
      </c>
      <c r="B25" s="10" t="n"/>
      <c r="C25" s="19" t="n">
        <v>1015</v>
      </c>
      <c r="D25" s="20" t="n">
        <v>840</v>
      </c>
      <c r="E25" s="20" t="n">
        <v>840</v>
      </c>
      <c r="F25" s="20" t="n">
        <v>705</v>
      </c>
      <c r="G25" s="20" t="n">
        <v>705</v>
      </c>
      <c r="H25" s="19" t="n">
        <v>752</v>
      </c>
      <c r="I25" s="20" t="n">
        <v>1128</v>
      </c>
      <c r="J25" s="20" t="n">
        <v>1084</v>
      </c>
      <c r="K25" s="20" t="n">
        <v>1190</v>
      </c>
      <c r="L25" s="20" t="n">
        <v>840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8040.809</v>
      </c>
      <c r="D27" s="12" t="n">
        <v>8806.643</v>
      </c>
      <c r="E27" s="12" t="n">
        <v>8968.245000000001</v>
      </c>
      <c r="F27" s="12" t="n">
        <v>8728.655000000001</v>
      </c>
      <c r="G27" s="12" t="n">
        <v>8625.393</v>
      </c>
      <c r="H27" s="11" t="n">
        <v>6120.447</v>
      </c>
      <c r="I27" s="12" t="n">
        <v>6952.628</v>
      </c>
      <c r="J27" s="12" t="n">
        <v>7575.745</v>
      </c>
      <c r="K27" s="12" t="n">
        <v>7984.5</v>
      </c>
      <c r="L27" s="12" t="n">
        <v>8968.245000000001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10923.577</v>
      </c>
      <c r="D31" s="12" t="n">
        <v>10672.992</v>
      </c>
      <c r="E31" s="12" t="n">
        <v>10627.845</v>
      </c>
      <c r="F31" s="12" t="n">
        <v>10645.856</v>
      </c>
      <c r="G31" s="12" t="n">
        <v>10843.71</v>
      </c>
      <c r="H31" s="11" t="n">
        <v>11583.093</v>
      </c>
      <c r="I31" s="12" t="n">
        <v>11492.347</v>
      </c>
      <c r="J31" s="12" t="n">
        <v>11662.686</v>
      </c>
      <c r="K31" s="12" t="n">
        <v>11978.236</v>
      </c>
      <c r="L31" s="12" t="n">
        <v>10627.845</v>
      </c>
    </row>
    <row r="32">
      <c r="A32" s="18" t="inlineStr">
        <is>
          <t>자본금</t>
        </is>
      </c>
      <c r="B32" s="10" t="n"/>
      <c r="C32" s="19" t="n">
        <v>5926.16</v>
      </c>
      <c r="D32" s="20" t="n">
        <v>5926.16</v>
      </c>
      <c r="E32" s="20" t="n">
        <v>5941.91</v>
      </c>
      <c r="F32" s="20" t="n">
        <v>5947.76</v>
      </c>
      <c r="G32" s="20" t="n">
        <v>5947.76</v>
      </c>
      <c r="H32" s="19" t="n">
        <v>5900.441</v>
      </c>
      <c r="I32" s="20" t="n">
        <v>5902.391</v>
      </c>
      <c r="J32" s="20" t="n">
        <v>5914.618</v>
      </c>
      <c r="K32" s="20" t="n">
        <v>5926.16</v>
      </c>
      <c r="L32" s="20" t="n">
        <v>5941.91</v>
      </c>
    </row>
    <row r="33">
      <c r="A33" s="18" t="inlineStr">
        <is>
          <t>이익잉여금</t>
        </is>
      </c>
      <c r="B33" s="10" t="n"/>
      <c r="C33" s="19" t="n">
        <v>569.665</v>
      </c>
      <c r="D33" s="20" t="n">
        <v>842.273</v>
      </c>
      <c r="E33" s="20" t="n">
        <v>954.462</v>
      </c>
      <c r="F33" s="20" t="n">
        <v>959.5700000000001</v>
      </c>
      <c r="G33" s="20" t="n">
        <v>1136.711</v>
      </c>
      <c r="H33" s="19" t="n">
        <v>-32.648</v>
      </c>
      <c r="I33" s="20" t="n">
        <v>31.87</v>
      </c>
      <c r="J33" s="20" t="n">
        <v>211.894</v>
      </c>
      <c r="K33" s="20" t="n">
        <v>647.351</v>
      </c>
      <c r="L33" s="20" t="n">
        <v>954.462</v>
      </c>
    </row>
    <row r="34">
      <c r="A34" s="18" t="inlineStr">
        <is>
          <t>비지배지분</t>
        </is>
      </c>
      <c r="B34" s="10" t="n"/>
      <c r="C34" s="19" t="n">
        <v>6.409</v>
      </c>
      <c r="D34" s="20" t="n">
        <v>6.587</v>
      </c>
      <c r="E34" s="20" t="n">
        <v>3.052</v>
      </c>
      <c r="F34" s="20" t="n">
        <v>3.373</v>
      </c>
      <c r="G34" s="20" t="n">
        <v>0</v>
      </c>
      <c r="H34" s="19" t="n">
        <v>12.129</v>
      </c>
      <c r="I34" s="20" t="n">
        <v>17.33</v>
      </c>
      <c r="J34" s="20" t="n">
        <v>0</v>
      </c>
      <c r="K34" s="20" t="n">
        <v>0.076</v>
      </c>
      <c r="L34" s="20" t="n">
        <v>3.052</v>
      </c>
    </row>
    <row r="35">
      <c r="A35" s="9" t="inlineStr">
        <is>
          <t>자본총계</t>
        </is>
      </c>
      <c r="B35" s="10" t="n"/>
      <c r="C35" s="11" t="n">
        <v>10934.446</v>
      </c>
      <c r="D35" s="12" t="n">
        <v>10684.039</v>
      </c>
      <c r="E35" s="12" t="n">
        <v>10640.162</v>
      </c>
      <c r="F35" s="12" t="n">
        <v>10656.284</v>
      </c>
      <c r="G35" s="12" t="n">
        <v>10850.765</v>
      </c>
      <c r="H35" s="11" t="n">
        <v>11600.485</v>
      </c>
      <c r="I35" s="12" t="n">
        <v>11514.94</v>
      </c>
      <c r="J35" s="12" t="n">
        <v>11667.796</v>
      </c>
      <c r="K35" s="12" t="n">
        <v>11982.772</v>
      </c>
      <c r="L35" s="12" t="n">
        <v>10640.162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815.95</v>
      </c>
      <c r="D37" s="12" t="n"/>
      <c r="E37" s="12" t="n">
        <v>897.155</v>
      </c>
      <c r="F37" s="12" t="n"/>
      <c r="G37" s="12" t="n">
        <v>1262.957</v>
      </c>
      <c r="H37" s="11" t="n">
        <v>607.8680000000001</v>
      </c>
      <c r="I37" s="12" t="n">
        <v>760.723</v>
      </c>
      <c r="J37" s="12" t="n">
        <v>1024.285</v>
      </c>
      <c r="K37" s="12" t="n">
        <v>341.158</v>
      </c>
      <c r="L37" s="12" t="n">
        <v>897.155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403.354</v>
      </c>
      <c r="D38" s="20" t="n"/>
      <c r="E38" s="20" t="n">
        <v>260.421</v>
      </c>
      <c r="F38" s="20" t="n"/>
      <c r="G38" s="20" t="n">
        <v>307.038</v>
      </c>
      <c r="H38" s="19" t="n">
        <v>428.159</v>
      </c>
      <c r="I38" s="20" t="n">
        <v>402.338</v>
      </c>
      <c r="J38" s="20" t="n">
        <v>435.974</v>
      </c>
      <c r="K38" s="20" t="n">
        <v>409.545</v>
      </c>
      <c r="L38" s="20" t="n">
        <v>260.421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331.586</v>
      </c>
      <c r="D40" s="20" t="n"/>
      <c r="E40" s="20" t="n">
        <v>331.77</v>
      </c>
      <c r="F40" s="20" t="n"/>
      <c r="G40" s="20" t="n">
        <v>273.221</v>
      </c>
      <c r="H40" s="19" t="n"/>
      <c r="I40" s="20" t="n"/>
      <c r="J40" s="20" t="n"/>
      <c r="K40" s="20" t="n">
        <v>0</v>
      </c>
      <c r="L40" s="20" t="n">
        <v>331.77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IFERROR(IF((IF(COUNT('연간'!G50:J50)&lt;4,"",SUM('연간'!G50:J50)))&lt;=0,"적자",C28/(IF(COUNT('연간'!G50:J50)&lt;4,"",SUM('연간'!G50:J50)))),"")</f>
        <v/>
      </c>
      <c r="D49" s="47">
        <f>IFERROR(IF((IF(COUNT('연간'!H50:K50)&lt;4,"",SUM('연간'!H50:K50)))&lt;=0,"적자",D28/(IF(COUNT('연간'!H50:K50)&lt;4,"",SUM('연간'!H50:K50)))),"")</f>
        <v/>
      </c>
      <c r="E49" s="47">
        <f>IFERROR(IF((IF(COUNT('연간'!I50:L50)&lt;4,"",SUM('연간'!I50:L50)))&lt;=0,"적자",E28/(IF(COUNT('연간'!I50:L50)&lt;4,"",SUM('연간'!I50:L50)))),"")</f>
        <v/>
      </c>
      <c r="F49" s="47">
        <f>IFERROR(IF((IF(COUNT('연간'!J50:M50)&lt;4,"",SUM('연간'!J50:M50)))&lt;=0,"적자",F28/(IF(COUNT('연간'!J50:M50)&lt;4,"",SUM('연간'!J50:M50)))),"")</f>
        <v/>
      </c>
      <c r="G49" s="47">
        <f>IFERROR(IF((IF(COUNT('연간'!K50:N50)&lt;4,"",SUM('연간'!K50:N50)))&lt;=0,"적자",G28/(IF(COUNT('연간'!K50:N50)&lt;4,"",SUM('연간'!K50:N50)))),"")</f>
        <v/>
      </c>
      <c r="H49" s="46">
        <f>IFERROR(IF(('연간'!T50)&lt;=0,"적자",H28/('연간'!T50)),"")</f>
        <v/>
      </c>
      <c r="I49" s="47">
        <f>IFERROR(IF(('연간'!U50)&lt;=0,"적자",I28/('연간'!U50)),"")</f>
        <v/>
      </c>
      <c r="J49" s="47">
        <f>IFERROR(IF(('연간'!V50)&lt;=0,"적자",J28/('연간'!V50)),"")</f>
        <v/>
      </c>
      <c r="K49" s="47">
        <f>IFERROR(IF(('연간'!W50)&lt;=0,"적자",K28/('연간'!W50)),"")</f>
        <v/>
      </c>
      <c r="L49" s="47">
        <f>IFERROR(IF(('연간'!X50)&lt;=0,"적자",L28/('연간'!X50)),"")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IFERROR((IF(COUNT('연간'!G50:J50)&lt;4,"",SUM('연간'!G50:J50)))/C31,"")</f>
        <v/>
      </c>
      <c r="D51" s="36">
        <f>IFERROR((IF(COUNT('연간'!H50:K50)&lt;4,"",SUM('연간'!H50:K50)))/D31,"")</f>
        <v/>
      </c>
      <c r="E51" s="36">
        <f>IFERROR((IF(COUNT('연간'!I50:L50)&lt;4,"",SUM('연간'!I50:L50)))/E31,"")</f>
        <v/>
      </c>
      <c r="F51" s="36">
        <f>IFERROR((IF(COUNT('연간'!J50:M50)&lt;4,"",SUM('연간'!J50:M50)))/F31,"")</f>
        <v/>
      </c>
      <c r="G51" s="36">
        <f>IFERROR((IF(COUNT('연간'!K50:N50)&lt;4,"",SUM('연간'!K50:N50)))/G31,"")</f>
        <v/>
      </c>
      <c r="H51" s="35">
        <f>IFERROR(('연간'!T50)/H31,"")</f>
        <v/>
      </c>
      <c r="I51" s="36">
        <f>IFERROR(('연간'!U50)/I31,"")</f>
        <v/>
      </c>
      <c r="J51" s="36">
        <f>IFERROR(('연간'!V50)/J31,"")</f>
        <v/>
      </c>
      <c r="K51" s="36">
        <f>IFERROR(('연간'!W50)/K31,"")</f>
        <v/>
      </c>
      <c r="L51" s="36">
        <f>IFERROR(('연간'!X50)/L31,"")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IFERROR((IF(COUNT('연간'!G49:J49)&lt;4,"",SUM('연간'!G49:J49)))/C16,"")</f>
        <v/>
      </c>
      <c r="D52" s="36">
        <f>IFERROR((IF(COUNT('연간'!H49:K49)&lt;4,"",SUM('연간'!H49:K49)))/D16,"")</f>
        <v/>
      </c>
      <c r="E52" s="36">
        <f>IFERROR((IF(COUNT('연간'!I49:L49)&lt;4,"",SUM('연간'!I49:L49)))/E16,"")</f>
        <v/>
      </c>
      <c r="F52" s="36">
        <f>IFERROR((IF(COUNT('연간'!J49:M49)&lt;4,"",SUM('연간'!J49:M49)))/F16,"")</f>
        <v/>
      </c>
      <c r="G52" s="36">
        <f>IFERROR((IF(COUNT('연간'!K49:N49)&lt;4,"",SUM('연간'!K49:N49)))/G16,"")</f>
        <v/>
      </c>
      <c r="H52" s="35">
        <f>IFERROR(('연간'!T49)/H16,"")</f>
        <v/>
      </c>
      <c r="I52" s="36">
        <f>IFERROR(('연간'!U49)/I16,"")</f>
        <v/>
      </c>
      <c r="J52" s="36">
        <f>IFERROR(('연간'!V49)/J16,"")</f>
        <v/>
      </c>
      <c r="K52" s="36">
        <f>IFERROR(('연간'!W49)/K16,"")</f>
        <v/>
      </c>
      <c r="L52" s="36">
        <f>IFERROR(('연간'!X49)/L16,"")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IFERROR((IF(COUNT('연간'!G18:J18)&lt;4,"",SUM('연간'!G18:J18)))/(IF(COUNT('연간'!G4:J4)&lt;4,"",SUM('연간'!G4:J4))),"")</f>
        <v/>
      </c>
      <c r="D54" s="36">
        <f>IFERROR((IF(COUNT('연간'!H18:K18)&lt;4,"",SUM('연간'!H18:K18)))/(IF(COUNT('연간'!H4:K4)&lt;4,"",SUM('연간'!H4:K4))),"")</f>
        <v/>
      </c>
      <c r="E54" s="36">
        <f>IFERROR((IF(COUNT('연간'!I18:L18)&lt;4,"",SUM('연간'!I18:L18)))/(IF(COUNT('연간'!I4:L4)&lt;4,"",SUM('연간'!I4:L4))),"")</f>
        <v/>
      </c>
      <c r="F54" s="36">
        <f>IFERROR((IF(COUNT('연간'!J18:M18)&lt;4,"",SUM('연간'!J18:M18)))/(IF(COUNT('연간'!J4:M4)&lt;4,"",SUM('연간'!J4:M4))),"")</f>
        <v/>
      </c>
      <c r="G54" s="36">
        <f>IFERROR((IF(COUNT('연간'!K18:N18)&lt;4,"",SUM('연간'!K18:N18)))/(IF(COUNT('연간'!K4:N4)&lt;4,"",SUM('연간'!K4:N4))),"")</f>
        <v/>
      </c>
      <c r="H54" s="35">
        <f>IFERROR(('연간'!T18)/('연간'!T4),"")</f>
        <v/>
      </c>
      <c r="I54" s="36">
        <f>IFERROR(('연간'!U18)/('연간'!U4),"")</f>
        <v/>
      </c>
      <c r="J54" s="36">
        <f>IFERROR(('연간'!V18)/('연간'!V4),"")</f>
        <v/>
      </c>
      <c r="K54" s="36">
        <f>IFERROR(('연간'!W18)/('연간'!W4),"")</f>
        <v/>
      </c>
      <c r="L54" s="36">
        <f>IFERROR(('연간'!X18)/('연간'!X4),"")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IFERROR((IF(COUNT('연간'!G49:J49)&lt;4,"",SUM('연간'!G49:J49)))/(IF(COUNT('연간'!G4:J4)&lt;4,"",SUM('연간'!G4:J4))),"")</f>
        <v/>
      </c>
      <c r="D56" s="36">
        <f>IFERROR((IF(COUNT('연간'!H49:K49)&lt;4,"",SUM('연간'!H49:K49)))/(IF(COUNT('연간'!H4:K4)&lt;4,"",SUM('연간'!H4:K4))),"")</f>
        <v/>
      </c>
      <c r="E56" s="36">
        <f>IFERROR((IF(COUNT('연간'!I49:L49)&lt;4,"",SUM('연간'!I49:L49)))/(IF(COUNT('연간'!I4:L4)&lt;4,"",SUM('연간'!I4:L4))),"")</f>
        <v/>
      </c>
      <c r="F56" s="36">
        <f>IFERROR((IF(COUNT('연간'!J49:M49)&lt;4,"",SUM('연간'!J49:M49)))/(IF(COUNT('연간'!J4:M4)&lt;4,"",SUM('연간'!J4:M4))),"")</f>
        <v/>
      </c>
      <c r="G56" s="36">
        <f>IFERROR((IF(COUNT('연간'!K49:N49)&lt;4,"",SUM('연간'!K49:N49)))/(IF(COUNT('연간'!K4:N4)&lt;4,"",SUM('연간'!K4:N4))),"")</f>
        <v/>
      </c>
      <c r="H56" s="35">
        <f>IFERROR(('연간'!T49)/('연간'!T4),"")</f>
        <v/>
      </c>
      <c r="I56" s="36">
        <f>IFERROR(('연간'!U49)/('연간'!U4),"")</f>
        <v/>
      </c>
      <c r="J56" s="36">
        <f>IFERROR(('연간'!V49)/('연간'!V4),"")</f>
        <v/>
      </c>
      <c r="K56" s="36">
        <f>IFERROR(('연간'!W49)/('연간'!W4),"")</f>
        <v/>
      </c>
      <c r="L56" s="36">
        <f>IFERROR(('연간'!X49)/('연간'!X4),"")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IF(C37="","",IFERROR(C37/(IF(COUNT('연간'!G49:J49)&lt;4,"",SUM('연간'!G49:J49))),""))</f>
        <v/>
      </c>
      <c r="D64" s="31">
        <f>IF(D37="","",IFERROR(D37/(IF(COUNT('연간'!H49:K49)&lt;4,"",SUM('연간'!H49:K49))),""))</f>
        <v/>
      </c>
      <c r="E64" s="31">
        <f>IF(E37="","",IFERROR(E37/(IF(COUNT('연간'!I49:L49)&lt;4,"",SUM('연간'!I49:L49))),""))</f>
        <v/>
      </c>
      <c r="F64" s="31">
        <f>IF(F37="","",IFERROR(F37/(IF(COUNT('연간'!J49:M49)&lt;4,"",SUM('연간'!J49:M49))),""))</f>
        <v/>
      </c>
      <c r="G64" s="31">
        <f>IF(G37="","",IFERROR(G37/(IF(COUNT('연간'!K49:N49)&lt;4,"",SUM('연간'!K49:N49))),""))</f>
        <v/>
      </c>
      <c r="H64" s="30">
        <f>IF(H37="","",IFERROR(H37/('연간'!T49),""))</f>
        <v/>
      </c>
      <c r="I64" s="31">
        <f>IF(I37="","",IFERROR(I37/('연간'!U49),""))</f>
        <v/>
      </c>
      <c r="J64" s="31">
        <f>IF(J37="","",IFERROR(J37/('연간'!V49),""))</f>
        <v/>
      </c>
      <c r="K64" s="31">
        <f>IF(K37="","",IFERROR(K37/('연간'!W49),""))</f>
        <v/>
      </c>
      <c r="L64" s="31">
        <f>IF(L37="","",IFERROR(L37/('연간'!X49),""))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IF(C40="","",IFERROR(C40/(IF(COUNT('연간'!G50:J50)&lt;4,"",SUM('연간'!G50:J50))),""))</f>
        <v/>
      </c>
      <c r="D67" s="36">
        <f>IF(D40="","",IFERROR(D40/(IF(COUNT('연간'!H50:K50)&lt;4,"",SUM('연간'!H50:K50))),""))</f>
        <v/>
      </c>
      <c r="E67" s="36">
        <f>IF(E40="","",IFERROR(E40/(IF(COUNT('연간'!I50:L50)&lt;4,"",SUM('연간'!I50:L50))),""))</f>
        <v/>
      </c>
      <c r="F67" s="36">
        <f>IF(F40="","",IFERROR(F40/(IF(COUNT('연간'!J50:M50)&lt;4,"",SUM('연간'!J50:M50))),""))</f>
        <v/>
      </c>
      <c r="G67" s="36">
        <f>IF(G40="","",IFERROR(G40/(IF(COUNT('연간'!K50:N50)&lt;4,"",SUM('연간'!K50:N50))),""))</f>
        <v/>
      </c>
      <c r="H67" s="35">
        <f>IF(H40="","",IFERROR(H40/('연간'!T50),""))</f>
        <v/>
      </c>
      <c r="I67" s="36">
        <f>IF(I40="","",IFERROR(I40/('연간'!U50),""))</f>
        <v/>
      </c>
      <c r="J67" s="36">
        <f>IF(J40="","",IFERROR(J40/('연간'!V50),""))</f>
        <v/>
      </c>
      <c r="K67" s="36">
        <f>IF(K40="","",IFERROR(K40/('연간'!W50),""))</f>
        <v/>
      </c>
      <c r="L67" s="36">
        <f>IF(L40="","",IFERROR(L40/('연간'!X50),""))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10299.332</v>
      </c>
      <c r="D71" s="20" t="n">
        <v>10430.429</v>
      </c>
      <c r="E71" s="20" t="n">
        <v>10312.431</v>
      </c>
      <c r="F71" s="20" t="n">
        <v>10766.645</v>
      </c>
      <c r="G71" s="20" t="n">
        <v>10574.982</v>
      </c>
      <c r="H71" s="20" t="n">
        <v>12623.491</v>
      </c>
      <c r="I71" s="20" t="n">
        <v>11213.927</v>
      </c>
      <c r="J71" s="20" t="n">
        <v>11516.731</v>
      </c>
      <c r="K71" s="20" t="n">
        <v>10510.244</v>
      </c>
      <c r="L71" s="20" t="n">
        <v>10312.431</v>
      </c>
    </row>
    <row r="72">
      <c r="A72" s="18" t="inlineStr">
        <is>
          <t>받을어음·매출채권</t>
        </is>
      </c>
      <c r="H72" s="20" t="n">
        <v>1771.357</v>
      </c>
    </row>
    <row r="73">
      <c r="A73" s="18" t="inlineStr">
        <is>
          <t>매출채권</t>
        </is>
      </c>
      <c r="C73" s="20" t="n">
        <v>2191.054</v>
      </c>
      <c r="D73" s="20" t="n">
        <v>2290.993</v>
      </c>
      <c r="E73" s="20" t="n">
        <v>2858.885</v>
      </c>
      <c r="F73" s="20" t="n">
        <v>2706.788</v>
      </c>
      <c r="G73" s="20" t="n">
        <v>2697.898</v>
      </c>
      <c r="H73" s="20" t="n">
        <v>1771.357</v>
      </c>
      <c r="I73" s="20" t="n">
        <v>2443.758</v>
      </c>
      <c r="J73" s="20" t="n">
        <v>2420.159</v>
      </c>
      <c r="K73" s="20" t="n">
        <v>2488.758</v>
      </c>
      <c r="L73" s="20" t="n">
        <v>2858.885</v>
      </c>
    </row>
    <row r="74">
      <c r="A74" s="18" t="inlineStr">
        <is>
          <t>재공품</t>
        </is>
      </c>
      <c r="C74" s="20" t="n">
        <v>15.783</v>
      </c>
      <c r="D74" s="20" t="n">
        <v>54.578</v>
      </c>
      <c r="E74" s="20" t="n">
        <v>43.538</v>
      </c>
      <c r="F74" s="20" t="n">
        <v>14.754</v>
      </c>
      <c r="G74" s="20" t="n">
        <v>35.291</v>
      </c>
      <c r="H74" s="20" t="n">
        <v>12.016</v>
      </c>
      <c r="I74" s="20" t="n">
        <v>13.72</v>
      </c>
      <c r="J74" s="20" t="n">
        <v>15.826</v>
      </c>
      <c r="K74" s="20" t="n">
        <v>14.77</v>
      </c>
      <c r="L74" s="20" t="n">
        <v>43.538</v>
      </c>
    </row>
    <row r="75">
      <c r="A75" s="18" t="inlineStr">
        <is>
          <t>미수금</t>
        </is>
      </c>
      <c r="E75" s="20" t="n">
        <v>656.549</v>
      </c>
      <c r="K75" s="20" t="n">
        <v>15.645</v>
      </c>
      <c r="L75" s="20" t="n">
        <v>656.549</v>
      </c>
    </row>
    <row r="76">
      <c r="A76" s="18" t="inlineStr">
        <is>
          <t>선급비용</t>
        </is>
      </c>
      <c r="E76" s="20" t="n">
        <v>788.5650000000001</v>
      </c>
      <c r="H76" s="20" t="n">
        <v>201.412</v>
      </c>
      <c r="I76" s="20" t="n">
        <v>180.812</v>
      </c>
      <c r="J76" s="20" t="n">
        <v>231.174</v>
      </c>
      <c r="K76" s="20" t="n">
        <v>641.755</v>
      </c>
      <c r="L76" s="20" t="n">
        <v>788.5650000000001</v>
      </c>
    </row>
    <row r="77">
      <c r="A77" s="18" t="inlineStr">
        <is>
          <t>예치금</t>
        </is>
      </c>
      <c r="C77" s="20" t="n">
        <v>711.16</v>
      </c>
      <c r="D77" s="20" t="n">
        <v>185.16</v>
      </c>
      <c r="E77" s="20" t="n">
        <v>0.63</v>
      </c>
      <c r="J77" s="20" t="n">
        <v>6.51</v>
      </c>
      <c r="K77" s="20" t="n">
        <v>1786.038</v>
      </c>
      <c r="L77" s="20" t="n">
        <v>0.63</v>
      </c>
    </row>
    <row r="78">
      <c r="A78" s="18" t="inlineStr">
        <is>
          <t>기타</t>
        </is>
      </c>
      <c r="C78" s="20" t="n">
        <v>1183.577</v>
      </c>
      <c r="D78" s="20" t="n">
        <v>1523.42</v>
      </c>
      <c r="E78" s="20" t="n">
        <v>1477.403</v>
      </c>
      <c r="F78" s="20" t="n">
        <v>883.125</v>
      </c>
      <c r="G78" s="20" t="n">
        <v>1330.379</v>
      </c>
      <c r="H78" s="20" t="n">
        <v>788.375</v>
      </c>
      <c r="I78" s="20" t="n">
        <v>226.076</v>
      </c>
      <c r="J78" s="20" t="n">
        <v>182.423</v>
      </c>
      <c r="K78" s="20" t="n">
        <v>122.67</v>
      </c>
      <c r="L78" s="20" t="n">
        <v>1477.403</v>
      </c>
    </row>
    <row r="79">
      <c r="A79" s="18" t="inlineStr">
        <is>
          <t>대손충당금</t>
        </is>
      </c>
      <c r="C79" s="20" t="n">
        <v>-2.021</v>
      </c>
      <c r="D79" s="20" t="n">
        <v>-2.393</v>
      </c>
      <c r="E79" s="20" t="n">
        <v>-2.252</v>
      </c>
      <c r="F79" s="20" t="n">
        <v>-2.252</v>
      </c>
      <c r="G79" s="20" t="n">
        <v>-35.788</v>
      </c>
      <c r="J79" s="20" t="n">
        <v>0</v>
      </c>
      <c r="K79" s="20" t="n">
        <v>-2.021</v>
      </c>
      <c r="L79" s="20" t="n">
        <v>-2.252</v>
      </c>
    </row>
    <row r="80">
      <c r="A80" s="9" t="inlineStr">
        <is>
          <t>유동자산 합계</t>
        </is>
      </c>
      <c r="C80" s="12" t="n">
        <v>14398.888</v>
      </c>
      <c r="D80" s="12" t="n">
        <v>14482.188</v>
      </c>
      <c r="E80" s="12" t="n">
        <v>14690.006</v>
      </c>
      <c r="F80" s="12" t="n">
        <v>14369.061</v>
      </c>
      <c r="G80" s="12" t="n">
        <v>14602.763</v>
      </c>
      <c r="H80" s="12" t="n">
        <v>15396.652</v>
      </c>
      <c r="I80" s="12" t="n">
        <v>14078.295</v>
      </c>
      <c r="J80" s="12" t="n">
        <v>14372.824</v>
      </c>
      <c r="K80" s="12" t="n">
        <v>15577.862</v>
      </c>
      <c r="L80" s="12" t="n">
        <v>14690.006</v>
      </c>
    </row>
    <row r="81">
      <c r="A81" s="18" t="inlineStr">
        <is>
          <t>건물</t>
        </is>
      </c>
      <c r="E81" s="20" t="n">
        <v>105.627</v>
      </c>
      <c r="H81" s="20" t="n">
        <v>56.624</v>
      </c>
      <c r="I81" s="20" t="n">
        <v>56.624</v>
      </c>
      <c r="J81" s="20" t="n">
        <v>56.624</v>
      </c>
      <c r="K81" s="20" t="n">
        <v>85.94799999999999</v>
      </c>
      <c r="L81" s="20" t="n">
        <v>105.627</v>
      </c>
    </row>
    <row r="82">
      <c r="A82" s="18" t="inlineStr">
        <is>
          <t>감가상각누계액</t>
        </is>
      </c>
      <c r="E82" s="20" t="n">
        <v>-10.817</v>
      </c>
      <c r="H82" s="20" t="n">
        <v>-9.401</v>
      </c>
      <c r="I82" s="20" t="n">
        <v>-14.307</v>
      </c>
      <c r="J82" s="20" t="n">
        <v>-19.212</v>
      </c>
      <c r="K82" s="20" t="n">
        <v>-2.528</v>
      </c>
      <c r="L82" s="20" t="n">
        <v>-10.817</v>
      </c>
    </row>
    <row r="83">
      <c r="A83" s="18" t="inlineStr">
        <is>
          <t>건물(순액)</t>
        </is>
      </c>
      <c r="E83" s="20" t="n">
        <v>94.809</v>
      </c>
      <c r="H83" s="20" t="n">
        <v>47.222</v>
      </c>
      <c r="I83" s="20" t="n">
        <v>42.317</v>
      </c>
      <c r="J83" s="20" t="n">
        <v>37.411</v>
      </c>
      <c r="K83" s="20" t="n">
        <v>83.419</v>
      </c>
      <c r="L83" s="20" t="n">
        <v>94.809</v>
      </c>
    </row>
    <row r="84">
      <c r="A84" s="18" t="inlineStr">
        <is>
          <t>공구·기구·비품</t>
        </is>
      </c>
      <c r="E84" s="20" t="n">
        <v>180.723</v>
      </c>
      <c r="H84" s="20" t="n">
        <v>126.937</v>
      </c>
      <c r="I84" s="20" t="n">
        <v>143.823</v>
      </c>
      <c r="J84" s="20" t="n">
        <v>146.879</v>
      </c>
      <c r="K84" s="20" t="n">
        <v>161.912</v>
      </c>
      <c r="L84" s="20" t="n">
        <v>180.723</v>
      </c>
    </row>
    <row r="85">
      <c r="A85" s="18" t="inlineStr">
        <is>
          <t>감가상각누계액</t>
        </is>
      </c>
      <c r="E85" s="20" t="n">
        <v>-97.708</v>
      </c>
      <c r="H85" s="20" t="n">
        <v>-55.181</v>
      </c>
      <c r="I85" s="20" t="n">
        <v>-77.721</v>
      </c>
      <c r="J85" s="20" t="n">
        <v>-98.18300000000001</v>
      </c>
      <c r="K85" s="20" t="n">
        <v>-77.678</v>
      </c>
      <c r="L85" s="20" t="n">
        <v>-97.708</v>
      </c>
    </row>
    <row r="86">
      <c r="A86" s="18" t="inlineStr">
        <is>
          <t>공구·기구·비품(순액)</t>
        </is>
      </c>
      <c r="E86" s="20" t="n">
        <v>83.015</v>
      </c>
      <c r="H86" s="20" t="n">
        <v>71.756</v>
      </c>
      <c r="I86" s="20" t="n">
        <v>66.101</v>
      </c>
      <c r="J86" s="20" t="n">
        <v>48.696</v>
      </c>
      <c r="K86" s="20" t="n">
        <v>84.233</v>
      </c>
      <c r="L86" s="20" t="n">
        <v>83.015</v>
      </c>
    </row>
    <row r="87">
      <c r="A87" s="18" t="inlineStr">
        <is>
          <t>유형자산</t>
        </is>
      </c>
      <c r="C87" s="20" t="n">
        <v>159.402</v>
      </c>
      <c r="D87" s="20" t="n">
        <v>189.698</v>
      </c>
      <c r="E87" s="20" t="n">
        <v>177.824</v>
      </c>
      <c r="F87" s="20" t="n">
        <v>176.438</v>
      </c>
      <c r="G87" s="20" t="n">
        <v>172.59</v>
      </c>
      <c r="H87" s="20" t="n">
        <v>118.978</v>
      </c>
      <c r="I87" s="20" t="n">
        <v>108.418</v>
      </c>
      <c r="J87" s="20" t="n">
        <v>86.108</v>
      </c>
      <c r="K87" s="20" t="n">
        <v>167.653</v>
      </c>
      <c r="L87" s="20" t="n">
        <v>177.824</v>
      </c>
    </row>
    <row r="88">
      <c r="A88" s="18" t="inlineStr">
        <is>
          <t>영업권</t>
        </is>
      </c>
      <c r="C88" s="20" t="n">
        <v>931.939</v>
      </c>
      <c r="D88" s="20" t="n">
        <v>1329.658</v>
      </c>
      <c r="E88" s="20" t="n">
        <v>1402.065</v>
      </c>
      <c r="F88" s="20" t="n">
        <v>1368.341</v>
      </c>
      <c r="G88" s="20" t="n">
        <v>1324.831</v>
      </c>
      <c r="H88" s="20" t="n">
        <v>570.397</v>
      </c>
      <c r="I88" s="20" t="n">
        <v>363.222</v>
      </c>
      <c r="J88" s="20" t="n">
        <v>266.739</v>
      </c>
      <c r="K88" s="20" t="n">
        <v>942.346</v>
      </c>
      <c r="L88" s="20" t="n">
        <v>1402.065</v>
      </c>
    </row>
    <row r="89">
      <c r="A89" s="18" t="inlineStr">
        <is>
          <t>소프트웨어</t>
        </is>
      </c>
      <c r="C89" s="20" t="n">
        <v>530.174</v>
      </c>
      <c r="D89" s="20" t="n">
        <v>395.822</v>
      </c>
      <c r="E89" s="20" t="n">
        <v>457.647</v>
      </c>
      <c r="F89" s="20" t="n">
        <v>442.394</v>
      </c>
      <c r="G89" s="20" t="n">
        <v>487.144</v>
      </c>
      <c r="H89" s="20" t="n">
        <v>659.772</v>
      </c>
      <c r="I89" s="20" t="n">
        <v>487.415</v>
      </c>
      <c r="J89" s="20" t="n">
        <v>641.415</v>
      </c>
      <c r="K89" s="20" t="n">
        <v>480.388</v>
      </c>
      <c r="L89" s="20" t="n">
        <v>457.647</v>
      </c>
    </row>
    <row r="90">
      <c r="A90" s="18" t="inlineStr">
        <is>
          <t>개발 중 소프트웨어</t>
        </is>
      </c>
      <c r="C90" s="20" t="n">
        <v>74.14</v>
      </c>
      <c r="D90" s="20" t="n">
        <v>205.326</v>
      </c>
      <c r="E90" s="20" t="n">
        <v>118.456</v>
      </c>
      <c r="F90" s="20" t="n">
        <v>157.836</v>
      </c>
      <c r="G90" s="20" t="n">
        <v>120.155</v>
      </c>
      <c r="H90" s="20" t="n">
        <v>68.95099999999999</v>
      </c>
      <c r="I90" s="20" t="n">
        <v>145.803</v>
      </c>
      <c r="J90" s="20" t="n">
        <v>52.041</v>
      </c>
      <c r="K90" s="20" t="n">
        <v>153.651</v>
      </c>
      <c r="L90" s="20" t="n">
        <v>118.456</v>
      </c>
    </row>
    <row r="91">
      <c r="A91" s="18" t="inlineStr">
        <is>
          <t>기타</t>
        </is>
      </c>
      <c r="C91" s="20" t="n">
        <v>0.07199999999999999</v>
      </c>
      <c r="D91" s="20" t="n">
        <v>0.07199999999999999</v>
      </c>
      <c r="E91" s="20" t="n">
        <v>0.07199999999999999</v>
      </c>
      <c r="F91" s="20" t="n">
        <v>0.07199999999999999</v>
      </c>
      <c r="G91" s="20" t="n">
        <v>0.07199999999999999</v>
      </c>
      <c r="H91" s="20" t="n">
        <v>0.07199999999999999</v>
      </c>
      <c r="I91" s="20" t="n">
        <v>0.07199999999999999</v>
      </c>
      <c r="J91" s="20" t="n">
        <v>0.07199999999999999</v>
      </c>
      <c r="K91" s="20" t="n">
        <v>0.07199999999999999</v>
      </c>
      <c r="L91" s="20" t="n">
        <v>0.07199999999999999</v>
      </c>
    </row>
    <row r="92">
      <c r="A92" s="18" t="inlineStr">
        <is>
          <t>무형자산 합계</t>
        </is>
      </c>
      <c r="C92" s="20" t="n">
        <v>1536.327</v>
      </c>
      <c r="D92" s="20" t="n">
        <v>1930.879</v>
      </c>
      <c r="E92" s="20" t="n">
        <v>1978.242</v>
      </c>
      <c r="F92" s="20" t="n">
        <v>1968.645</v>
      </c>
      <c r="G92" s="20" t="n">
        <v>1932.204</v>
      </c>
      <c r="H92" s="20" t="n">
        <v>1299.193</v>
      </c>
      <c r="I92" s="20" t="n">
        <v>996.514</v>
      </c>
      <c r="J92" s="20" t="n">
        <v>960.268</v>
      </c>
      <c r="K92" s="20" t="n">
        <v>1576.459</v>
      </c>
      <c r="L92" s="20" t="n">
        <v>1978.242</v>
      </c>
    </row>
    <row r="93">
      <c r="A93" s="18" t="inlineStr">
        <is>
          <t>투자유가증권</t>
        </is>
      </c>
      <c r="C93" s="20" t="n">
        <v>1714.211</v>
      </c>
      <c r="D93" s="20" t="n">
        <v>1712.357</v>
      </c>
      <c r="E93" s="20" t="n">
        <v>1611.744</v>
      </c>
      <c r="F93" s="20" t="n">
        <v>1702.286</v>
      </c>
      <c r="G93" s="20" t="n">
        <v>1651.071</v>
      </c>
      <c r="H93" s="20" t="n">
        <v>392.241</v>
      </c>
      <c r="I93" s="20" t="n">
        <v>2886.933</v>
      </c>
      <c r="J93" s="20" t="n">
        <v>3228.547</v>
      </c>
      <c r="K93" s="20" t="n">
        <v>1746.585</v>
      </c>
      <c r="L93" s="20" t="n">
        <v>1611.744</v>
      </c>
    </row>
    <row r="94">
      <c r="A94" s="18" t="inlineStr">
        <is>
          <t>임차보증금</t>
        </is>
      </c>
      <c r="E94" s="20" t="n">
        <v>83.298</v>
      </c>
      <c r="H94" s="20" t="n">
        <v>227.645</v>
      </c>
      <c r="I94" s="20" t="n">
        <v>211.886</v>
      </c>
      <c r="J94" s="20" t="n">
        <v>208.876</v>
      </c>
      <c r="K94" s="20" t="n">
        <v>80.81</v>
      </c>
      <c r="L94" s="20" t="n">
        <v>83.298</v>
      </c>
    </row>
    <row r="95">
      <c r="A95" s="18" t="inlineStr">
        <is>
          <t>이연법인세자산</t>
        </is>
      </c>
      <c r="E95" s="20" t="n">
        <v>759.349</v>
      </c>
      <c r="H95" s="20" t="n">
        <v>286.22</v>
      </c>
      <c r="I95" s="20" t="n">
        <v>185.52</v>
      </c>
      <c r="J95" s="20" t="n">
        <v>386.917</v>
      </c>
      <c r="K95" s="20" t="n">
        <v>657.909</v>
      </c>
      <c r="L95" s="20" t="n">
        <v>759.349</v>
      </c>
    </row>
    <row r="96">
      <c r="A96" s="18" t="inlineStr">
        <is>
          <t>기타</t>
        </is>
      </c>
      <c r="C96" s="20" t="n">
        <v>1166.427</v>
      </c>
      <c r="D96" s="20" t="n">
        <v>1175.558</v>
      </c>
      <c r="E96" s="20" t="n">
        <v>1150.589</v>
      </c>
      <c r="F96" s="20" t="n">
        <v>1168.508</v>
      </c>
      <c r="G96" s="20" t="n">
        <v>1117.529</v>
      </c>
      <c r="I96" s="20" t="n">
        <v>397.406</v>
      </c>
      <c r="J96" s="20" t="n">
        <v>0</v>
      </c>
      <c r="K96" s="20" t="n">
        <v>159.991</v>
      </c>
      <c r="L96" s="20" t="n">
        <v>1150.589</v>
      </c>
    </row>
    <row r="97">
      <c r="A97" s="18" t="inlineStr">
        <is>
          <t>투자 및 기타자산 합계</t>
        </is>
      </c>
      <c r="C97" s="20" t="n">
        <v>2880.638</v>
      </c>
      <c r="D97" s="20" t="n">
        <v>2887.916</v>
      </c>
      <c r="E97" s="20" t="n">
        <v>2762.333</v>
      </c>
      <c r="F97" s="20" t="n">
        <v>2870.794</v>
      </c>
      <c r="G97" s="20" t="n">
        <v>2768.6</v>
      </c>
      <c r="H97" s="20" t="n">
        <v>906.107</v>
      </c>
      <c r="I97" s="20" t="n">
        <v>3284.34</v>
      </c>
      <c r="J97" s="20" t="n">
        <v>3824.341</v>
      </c>
      <c r="K97" s="20" t="n">
        <v>2645.298</v>
      </c>
      <c r="L97" s="20" t="n">
        <v>2762.333</v>
      </c>
    </row>
    <row r="98">
      <c r="A98" s="9" t="inlineStr">
        <is>
          <t>비유동자산 합계</t>
        </is>
      </c>
      <c r="C98" s="12" t="n">
        <v>4576.367</v>
      </c>
      <c r="D98" s="12" t="n">
        <v>5008.494</v>
      </c>
      <c r="E98" s="12" t="n">
        <v>4918.401</v>
      </c>
      <c r="F98" s="12" t="n">
        <v>5015.878</v>
      </c>
      <c r="G98" s="12" t="n">
        <v>4873.395</v>
      </c>
      <c r="H98" s="12" t="n">
        <v>2324.28</v>
      </c>
      <c r="I98" s="12" t="n">
        <v>4389.273</v>
      </c>
      <c r="J98" s="12" t="n">
        <v>4870.718</v>
      </c>
      <c r="K98" s="12" t="n">
        <v>4389.41</v>
      </c>
      <c r="L98" s="12" t="n">
        <v>4918.401</v>
      </c>
    </row>
    <row r="99">
      <c r="A99" s="9" t="inlineStr">
        <is>
          <t>자산 합계</t>
        </is>
      </c>
      <c r="C99" s="12" t="n">
        <v>18975.256</v>
      </c>
      <c r="D99" s="12" t="n">
        <v>19490.682</v>
      </c>
      <c r="E99" s="12" t="n">
        <v>19608.407</v>
      </c>
      <c r="F99" s="12" t="n">
        <v>19384.94</v>
      </c>
      <c r="G99" s="12" t="n">
        <v>19476.158</v>
      </c>
      <c r="H99" s="12" t="n">
        <v>17720.933</v>
      </c>
      <c r="I99" s="12" t="n">
        <v>18467.569</v>
      </c>
      <c r="J99" s="12" t="n">
        <v>19243.542</v>
      </c>
      <c r="K99" s="12" t="n">
        <v>19967.272</v>
      </c>
      <c r="L99" s="12" t="n">
        <v>19608.407</v>
      </c>
    </row>
    <row r="100">
      <c r="A100" s="18" t="inlineStr">
        <is>
          <t>매입채무</t>
        </is>
      </c>
      <c r="C100" s="20" t="n">
        <v>1571.002</v>
      </c>
      <c r="D100" s="20" t="n">
        <v>1702.016</v>
      </c>
      <c r="E100" s="20" t="n">
        <v>1895.013</v>
      </c>
      <c r="F100" s="20" t="n">
        <v>1867.425</v>
      </c>
      <c r="G100" s="20" t="n">
        <v>1771.096</v>
      </c>
      <c r="H100" s="20" t="n">
        <v>1342.354</v>
      </c>
      <c r="I100" s="20" t="n">
        <v>1885.011</v>
      </c>
      <c r="J100" s="20" t="n">
        <v>1796.076</v>
      </c>
      <c r="K100" s="20" t="n">
        <v>1942.371</v>
      </c>
      <c r="L100" s="20" t="n">
        <v>1895.013</v>
      </c>
    </row>
    <row r="101">
      <c r="A101" s="18" t="inlineStr">
        <is>
          <t>단기차입금</t>
        </is>
      </c>
      <c r="C101" s="20" t="n">
        <v>1500</v>
      </c>
      <c r="D101" s="20" t="n">
        <v>1500</v>
      </c>
      <c r="E101" s="20" t="n">
        <v>1500</v>
      </c>
      <c r="F101" s="20" t="n">
        <v>1500</v>
      </c>
      <c r="G101" s="20" t="n">
        <v>1500</v>
      </c>
      <c r="H101" s="20" t="n">
        <v>1500</v>
      </c>
      <c r="I101" s="20" t="n">
        <v>1500</v>
      </c>
      <c r="J101" s="20" t="n">
        <v>1500</v>
      </c>
      <c r="K101" s="20" t="n">
        <v>1500</v>
      </c>
      <c r="L101" s="20" t="n">
        <v>1500</v>
      </c>
    </row>
    <row r="102">
      <c r="A102" s="18" t="inlineStr">
        <is>
          <t>1년 내 상환 사채</t>
        </is>
      </c>
      <c r="C102" s="20" t="n">
        <v>372</v>
      </c>
      <c r="D102" s="20" t="n">
        <v>372</v>
      </c>
      <c r="E102" s="20" t="n">
        <v>350</v>
      </c>
      <c r="F102" s="20" t="n">
        <v>310</v>
      </c>
      <c r="G102" s="20" t="n">
        <v>310</v>
      </c>
      <c r="H102" s="20" t="n">
        <v>324</v>
      </c>
      <c r="I102" s="20" t="n">
        <v>424</v>
      </c>
      <c r="J102" s="20" t="n">
        <v>394</v>
      </c>
      <c r="K102" s="20" t="n">
        <v>394</v>
      </c>
      <c r="L102" s="20" t="n">
        <v>350</v>
      </c>
    </row>
    <row r="103">
      <c r="A103" s="18" t="inlineStr">
        <is>
          <t>1년 내 상환 장기차입금</t>
        </is>
      </c>
      <c r="C103" s="20" t="n">
        <v>271.75</v>
      </c>
      <c r="D103" s="20" t="n">
        <v>351.5</v>
      </c>
      <c r="E103" s="20" t="n">
        <v>351.9</v>
      </c>
      <c r="F103" s="20" t="n">
        <v>355.742</v>
      </c>
      <c r="G103" s="20" t="n">
        <v>339.169</v>
      </c>
      <c r="H103" s="20" t="n">
        <v>287.196</v>
      </c>
      <c r="I103" s="20" t="n">
        <v>279.296</v>
      </c>
      <c r="J103" s="20" t="n">
        <v>358.344</v>
      </c>
      <c r="K103" s="20" t="n">
        <v>396.915</v>
      </c>
      <c r="L103" s="20" t="n">
        <v>351.9</v>
      </c>
    </row>
    <row r="104">
      <c r="A104" s="18" t="inlineStr">
        <is>
          <t>미지급금</t>
        </is>
      </c>
      <c r="E104" s="20" t="n">
        <v>728.87</v>
      </c>
      <c r="H104" s="20" t="n">
        <v>193.701</v>
      </c>
      <c r="I104" s="20" t="n">
        <v>227.619</v>
      </c>
      <c r="J104" s="20" t="n">
        <v>267.473</v>
      </c>
      <c r="K104" s="20" t="n">
        <v>227.628</v>
      </c>
      <c r="L104" s="20" t="n">
        <v>728.87</v>
      </c>
    </row>
    <row r="105">
      <c r="A105" s="18" t="inlineStr">
        <is>
          <t>미지급법인세</t>
        </is>
      </c>
      <c r="C105" s="20" t="n">
        <v>140.046</v>
      </c>
      <c r="D105" s="20" t="n">
        <v>139.599</v>
      </c>
      <c r="E105" s="20" t="n">
        <v>258.993</v>
      </c>
      <c r="F105" s="20" t="n">
        <v>188.811</v>
      </c>
      <c r="G105" s="20" t="n">
        <v>294.077</v>
      </c>
      <c r="H105" s="20" t="n">
        <v>185.388</v>
      </c>
      <c r="I105" s="20" t="n">
        <v>154.083</v>
      </c>
      <c r="J105" s="20" t="n">
        <v>248.353</v>
      </c>
      <c r="K105" s="20" t="n">
        <v>51.219</v>
      </c>
      <c r="L105" s="20" t="n">
        <v>258.993</v>
      </c>
    </row>
    <row r="106">
      <c r="A106" s="18" t="inlineStr">
        <is>
          <t>계약부채</t>
        </is>
      </c>
      <c r="C106" s="20" t="n">
        <v>1423.113</v>
      </c>
      <c r="D106" s="20" t="n">
        <v>1297.901</v>
      </c>
      <c r="E106" s="20" t="n">
        <v>1137.91</v>
      </c>
      <c r="F106" s="20" t="n">
        <v>1692.342</v>
      </c>
      <c r="G106" s="20" t="n">
        <v>1569.64</v>
      </c>
      <c r="J106" s="20" t="n">
        <v>930.082</v>
      </c>
      <c r="K106" s="20" t="n">
        <v>1175.532</v>
      </c>
      <c r="L106" s="20" t="n">
        <v>1137.91</v>
      </c>
    </row>
    <row r="107">
      <c r="A107" s="18" t="inlineStr">
        <is>
          <t>상여충당금</t>
        </is>
      </c>
      <c r="C107" s="20" t="n">
        <v>211.265</v>
      </c>
      <c r="D107" s="20" t="n">
        <v>112.917</v>
      </c>
      <c r="E107" s="20" t="n">
        <v>246.739</v>
      </c>
      <c r="F107" s="20" t="n">
        <v>97.124</v>
      </c>
      <c r="G107" s="20" t="n">
        <v>176.284</v>
      </c>
      <c r="H107" s="20" t="n">
        <v>68.218</v>
      </c>
      <c r="I107" s="20" t="n">
        <v>89.7</v>
      </c>
      <c r="J107" s="20" t="n">
        <v>107.819</v>
      </c>
      <c r="K107" s="20" t="n">
        <v>132.341</v>
      </c>
      <c r="L107" s="20" t="n">
        <v>246.739</v>
      </c>
    </row>
    <row r="108">
      <c r="A108" s="18" t="inlineStr">
        <is>
          <t>신탁형 스톡옵션 관련 손실 충당금</t>
        </is>
      </c>
      <c r="I108" s="20" t="n">
        <v>0</v>
      </c>
      <c r="J108" s="20" t="n">
        <v>17.424</v>
      </c>
      <c r="K108" s="20" t="n">
        <v>17.424</v>
      </c>
    </row>
    <row r="109">
      <c r="A109" s="18" t="inlineStr">
        <is>
          <t>변동보수 충당금</t>
        </is>
      </c>
      <c r="D109" s="20" t="n">
        <v>30.435</v>
      </c>
      <c r="H109" s="20" t="n">
        <v>0</v>
      </c>
      <c r="K109" s="20" t="n">
        <v>0</v>
      </c>
    </row>
    <row r="110">
      <c r="A110" s="18" t="inlineStr">
        <is>
          <t>신탁형 스톡옵션 관련 손실 충당금</t>
        </is>
      </c>
      <c r="C110" s="20" t="n">
        <v>17.824</v>
      </c>
      <c r="D110" s="20" t="n">
        <v>17.824</v>
      </c>
      <c r="E110" s="20" t="n">
        <v>17.824</v>
      </c>
      <c r="F110" s="20" t="n">
        <v>0</v>
      </c>
      <c r="G110" s="20" t="n">
        <v>0</v>
      </c>
      <c r="K110" s="20" t="n">
        <v>17.424</v>
      </c>
      <c r="L110" s="20" t="n">
        <v>17.824</v>
      </c>
    </row>
    <row r="111">
      <c r="A111" s="18" t="inlineStr">
        <is>
          <t>기타</t>
        </is>
      </c>
      <c r="C111" s="20" t="n">
        <v>815.967</v>
      </c>
      <c r="D111" s="20" t="n">
        <v>863.578</v>
      </c>
      <c r="E111" s="20" t="n">
        <v>963.783</v>
      </c>
      <c r="F111" s="20" t="n">
        <v>735.242</v>
      </c>
      <c r="G111" s="20" t="n">
        <v>771.2329999999999</v>
      </c>
      <c r="H111" s="20" t="n">
        <v>727.446</v>
      </c>
      <c r="I111" s="20" t="n">
        <v>804.0700000000001</v>
      </c>
      <c r="J111" s="20" t="n">
        <v>206.822</v>
      </c>
      <c r="K111" s="20" t="n">
        <v>141.37</v>
      </c>
      <c r="L111" s="20" t="n">
        <v>963.783</v>
      </c>
    </row>
    <row r="112">
      <c r="A112" s="9" t="inlineStr">
        <is>
          <t>유동부채 합계</t>
        </is>
      </c>
      <c r="C112" s="12" t="n">
        <v>6322.968</v>
      </c>
      <c r="D112" s="12" t="n">
        <v>6387.771</v>
      </c>
      <c r="E112" s="12" t="n">
        <v>6722.164</v>
      </c>
      <c r="F112" s="12" t="n">
        <v>6746.689</v>
      </c>
      <c r="G112" s="12" t="n">
        <v>6731.501</v>
      </c>
      <c r="H112" s="12" t="n">
        <v>4628.304</v>
      </c>
      <c r="I112" s="12" t="n">
        <v>5363.781</v>
      </c>
      <c r="J112" s="12" t="n">
        <v>5826.394</v>
      </c>
      <c r="K112" s="12" t="n">
        <v>5978.803</v>
      </c>
      <c r="L112" s="12" t="n">
        <v>6722.164</v>
      </c>
    </row>
    <row r="113">
      <c r="A113" s="18" t="inlineStr">
        <is>
          <t>사채</t>
        </is>
      </c>
      <c r="C113" s="20" t="n">
        <v>1015</v>
      </c>
      <c r="D113" s="20" t="n">
        <v>840</v>
      </c>
      <c r="E113" s="20" t="n">
        <v>840</v>
      </c>
      <c r="F113" s="20" t="n">
        <v>705</v>
      </c>
      <c r="G113" s="20" t="n">
        <v>705</v>
      </c>
      <c r="H113" s="20" t="n">
        <v>752</v>
      </c>
      <c r="I113" s="20" t="n">
        <v>1128</v>
      </c>
      <c r="J113" s="20" t="n">
        <v>1084</v>
      </c>
      <c r="K113" s="20" t="n">
        <v>1190</v>
      </c>
      <c r="L113" s="20" t="n">
        <v>840</v>
      </c>
    </row>
    <row r="114">
      <c r="A114" s="18" t="inlineStr">
        <is>
          <t>장기차입금</t>
        </is>
      </c>
      <c r="C114" s="20" t="n">
        <v>702.841</v>
      </c>
      <c r="D114" s="20" t="n">
        <v>1539.991</v>
      </c>
      <c r="E114" s="20" t="n">
        <v>1367.201</v>
      </c>
      <c r="F114" s="20" t="n">
        <v>1276.965</v>
      </c>
      <c r="G114" s="20" t="n">
        <v>1188.891</v>
      </c>
      <c r="H114" s="20" t="n">
        <v>740.143</v>
      </c>
      <c r="I114" s="20" t="n">
        <v>460.847</v>
      </c>
      <c r="J114" s="20" t="n">
        <v>630.503</v>
      </c>
      <c r="K114" s="20" t="n">
        <v>797.873</v>
      </c>
      <c r="L114" s="20" t="n">
        <v>1367.201</v>
      </c>
    </row>
    <row r="115">
      <c r="A115" s="18" t="inlineStr">
        <is>
          <t>신탁형 스톡옵션 관련 손실 충당금</t>
        </is>
      </c>
      <c r="I115" s="20" t="n">
        <v>0</v>
      </c>
      <c r="J115" s="20" t="n">
        <v>34.848</v>
      </c>
      <c r="K115" s="20" t="n">
        <v>17.824</v>
      </c>
    </row>
    <row r="116">
      <c r="A116" s="18" t="inlineStr">
        <is>
          <t>임원 퇴직위로 충당금</t>
        </is>
      </c>
      <c r="D116" s="20" t="n">
        <v>38.88</v>
      </c>
      <c r="E116" s="20" t="n">
        <v>38.88</v>
      </c>
      <c r="F116" s="20" t="n">
        <v>0</v>
      </c>
      <c r="G116" s="20" t="n">
        <v>0</v>
      </c>
      <c r="K116" s="20" t="n">
        <v>0</v>
      </c>
      <c r="L116" s="20" t="n">
        <v>38.88</v>
      </c>
    </row>
    <row r="117">
      <c r="A117" s="18" t="inlineStr">
        <is>
          <t>신탁형 스톡옵션 관련 손실 충당금</t>
        </is>
      </c>
      <c r="C117" s="20" t="n">
        <v>0</v>
      </c>
      <c r="D117" s="20" t="n">
        <v>0</v>
      </c>
      <c r="E117" s="20" t="n">
        <v>0</v>
      </c>
      <c r="K117" s="20" t="n">
        <v>17.824</v>
      </c>
      <c r="L117" s="20" t="n">
        <v>0</v>
      </c>
    </row>
    <row r="118">
      <c r="A118" s="9" t="inlineStr">
        <is>
          <t>비유동부채 합계</t>
        </is>
      </c>
      <c r="C118" s="12" t="n">
        <v>1717.841</v>
      </c>
      <c r="D118" s="12" t="n">
        <v>2418.871</v>
      </c>
      <c r="E118" s="12" t="n">
        <v>2246.081</v>
      </c>
      <c r="F118" s="12" t="n">
        <v>1981.965</v>
      </c>
      <c r="G118" s="12" t="n">
        <v>1893.891</v>
      </c>
      <c r="H118" s="12" t="n">
        <v>1492.143</v>
      </c>
      <c r="I118" s="12" t="n">
        <v>1588.847</v>
      </c>
      <c r="J118" s="12" t="n">
        <v>1749.351</v>
      </c>
      <c r="K118" s="12" t="n">
        <v>2005.697</v>
      </c>
      <c r="L118" s="12" t="n">
        <v>2246.081</v>
      </c>
    </row>
    <row r="119">
      <c r="A119" s="9" t="inlineStr">
        <is>
          <t>부채 합계</t>
        </is>
      </c>
      <c r="C119" s="12" t="n">
        <v>8040.809</v>
      </c>
      <c r="D119" s="12" t="n">
        <v>8806.643</v>
      </c>
      <c r="E119" s="12" t="n">
        <v>8968.245000000001</v>
      </c>
      <c r="F119" s="12" t="n">
        <v>8728.655000000001</v>
      </c>
      <c r="G119" s="12" t="n">
        <v>8625.393</v>
      </c>
      <c r="H119" s="12" t="n">
        <v>6120.447</v>
      </c>
      <c r="I119" s="12" t="n">
        <v>6952.628</v>
      </c>
      <c r="J119" s="12" t="n">
        <v>7575.745</v>
      </c>
      <c r="K119" s="12" t="n">
        <v>7984.5</v>
      </c>
      <c r="L119" s="12" t="n">
        <v>8968.245000000001</v>
      </c>
    </row>
    <row r="120">
      <c r="A120" s="18" t="inlineStr">
        <is>
          <t>자본금</t>
        </is>
      </c>
      <c r="C120" s="20" t="n">
        <v>5926.16</v>
      </c>
      <c r="D120" s="20" t="n">
        <v>5926.16</v>
      </c>
      <c r="E120" s="20" t="n">
        <v>5941.91</v>
      </c>
      <c r="F120" s="20" t="n">
        <v>5947.76</v>
      </c>
      <c r="G120" s="20" t="n">
        <v>5947.76</v>
      </c>
      <c r="H120" s="20" t="n">
        <v>5900.441</v>
      </c>
      <c r="I120" s="20" t="n">
        <v>5902.391</v>
      </c>
      <c r="J120" s="20" t="n">
        <v>5914.618</v>
      </c>
      <c r="K120" s="20" t="n">
        <v>5926.16</v>
      </c>
      <c r="L120" s="20" t="n">
        <v>5941.91</v>
      </c>
    </row>
    <row r="121">
      <c r="A121" s="18" t="inlineStr">
        <is>
          <t>자본잉여금</t>
        </is>
      </c>
      <c r="C121" s="20" t="n">
        <v>6058.614</v>
      </c>
      <c r="D121" s="20" t="n">
        <v>6058.614</v>
      </c>
      <c r="E121" s="20" t="n">
        <v>6072.051</v>
      </c>
      <c r="F121" s="20" t="n">
        <v>6077.901</v>
      </c>
      <c r="G121" s="20" t="n">
        <v>6054.728</v>
      </c>
      <c r="H121" s="20" t="n">
        <v>6036.56</v>
      </c>
      <c r="I121" s="20" t="n">
        <v>6038.918</v>
      </c>
      <c r="J121" s="20" t="n">
        <v>6022.725</v>
      </c>
      <c r="K121" s="20" t="n">
        <v>6071.957</v>
      </c>
      <c r="L121" s="20" t="n">
        <v>6072.051</v>
      </c>
    </row>
    <row r="122">
      <c r="A122" s="18" t="inlineStr">
        <is>
          <t>이익잉여금</t>
        </is>
      </c>
      <c r="C122" s="20" t="n">
        <v>569.665</v>
      </c>
      <c r="D122" s="20" t="n">
        <v>842.273</v>
      </c>
      <c r="E122" s="20" t="n">
        <v>954.462</v>
      </c>
      <c r="F122" s="20" t="n">
        <v>959.5700000000001</v>
      </c>
      <c r="G122" s="20" t="n">
        <v>1136.711</v>
      </c>
      <c r="H122" s="20" t="n">
        <v>-32.648</v>
      </c>
      <c r="I122" s="20" t="n">
        <v>31.87</v>
      </c>
      <c r="J122" s="20" t="n">
        <v>211.894</v>
      </c>
      <c r="K122" s="20" t="n">
        <v>647.351</v>
      </c>
      <c r="L122" s="20" t="n">
        <v>954.462</v>
      </c>
    </row>
    <row r="123">
      <c r="A123" s="18" t="inlineStr">
        <is>
          <t>자기주식</t>
        </is>
      </c>
      <c r="C123" s="20" t="n">
        <v>-1654.046</v>
      </c>
      <c r="D123" s="20" t="n">
        <v>-2177.046</v>
      </c>
      <c r="E123" s="20" t="n">
        <v>-2371.441</v>
      </c>
      <c r="F123" s="20" t="n">
        <v>-2371.441</v>
      </c>
      <c r="G123" s="20" t="n">
        <v>-2328.995</v>
      </c>
      <c r="H123" s="20" t="n">
        <v>-321.26</v>
      </c>
      <c r="I123" s="20" t="n">
        <v>-499.65</v>
      </c>
      <c r="J123" s="20" t="n">
        <v>-494.897</v>
      </c>
      <c r="K123" s="20" t="n">
        <v>-678.737</v>
      </c>
      <c r="L123" s="20" t="n">
        <v>-2371.441</v>
      </c>
    </row>
    <row r="124">
      <c r="A124" s="9" t="inlineStr">
        <is>
          <t>주주자본 합계</t>
        </is>
      </c>
      <c r="C124" s="12" t="n">
        <v>10900.393</v>
      </c>
      <c r="D124" s="12" t="n">
        <v>10650.002</v>
      </c>
      <c r="E124" s="12" t="n">
        <v>10596.981</v>
      </c>
      <c r="F124" s="12" t="n">
        <v>10613.79</v>
      </c>
      <c r="G124" s="12" t="n">
        <v>10810.204</v>
      </c>
      <c r="H124" s="12" t="n">
        <v>11583.093</v>
      </c>
      <c r="I124" s="12" t="n">
        <v>11473.53</v>
      </c>
      <c r="J124" s="12" t="n">
        <v>11654.34</v>
      </c>
      <c r="K124" s="12" t="n">
        <v>11966.732</v>
      </c>
      <c r="L124" s="12" t="n">
        <v>10596.981</v>
      </c>
    </row>
    <row r="125">
      <c r="A125" s="18" t="inlineStr">
        <is>
          <t>기타유가증권 평가차액</t>
        </is>
      </c>
      <c r="C125" s="20" t="n">
        <v>23.182</v>
      </c>
      <c r="D125" s="20" t="n">
        <v>22.988</v>
      </c>
      <c r="E125" s="20" t="n">
        <v>30.862</v>
      </c>
      <c r="F125" s="20" t="n">
        <v>32.066</v>
      </c>
      <c r="G125" s="20" t="n">
        <v>33.505</v>
      </c>
      <c r="H125" s="20" t="n">
        <v>0</v>
      </c>
      <c r="I125" s="20" t="n">
        <v>18.816</v>
      </c>
      <c r="J125" s="20" t="n">
        <v>8.345000000000001</v>
      </c>
      <c r="K125" s="20" t="n">
        <v>11.502</v>
      </c>
      <c r="L125" s="20" t="n">
        <v>30.862</v>
      </c>
    </row>
    <row r="126">
      <c r="A126" s="18" t="inlineStr">
        <is>
          <t>기타포괄손익누계액 합계</t>
        </is>
      </c>
      <c r="C126" s="20" t="n">
        <v>23.182</v>
      </c>
      <c r="D126" s="20" t="n">
        <v>22.988</v>
      </c>
      <c r="E126" s="20" t="n">
        <v>30.862</v>
      </c>
      <c r="F126" s="20" t="n">
        <v>32.066</v>
      </c>
      <c r="G126" s="20" t="n">
        <v>33.505</v>
      </c>
      <c r="H126" s="20" t="n">
        <v>0</v>
      </c>
      <c r="I126" s="20" t="n">
        <v>18.816</v>
      </c>
      <c r="J126" s="20" t="n">
        <v>8.345000000000001</v>
      </c>
      <c r="K126" s="20" t="n">
        <v>11.502</v>
      </c>
      <c r="L126" s="20" t="n">
        <v>30.862</v>
      </c>
    </row>
    <row r="127">
      <c r="A127" s="18" t="inlineStr">
        <is>
          <t>신주예약권</t>
        </is>
      </c>
      <c r="C127" s="20" t="n">
        <v>4.46</v>
      </c>
      <c r="D127" s="20" t="n">
        <v>4.46</v>
      </c>
      <c r="E127" s="20" t="n">
        <v>9.265000000000001</v>
      </c>
      <c r="F127" s="20" t="n">
        <v>7.055</v>
      </c>
      <c r="G127" s="20" t="n">
        <v>7.055</v>
      </c>
      <c r="H127" s="20" t="n">
        <v>5.263</v>
      </c>
      <c r="I127" s="20" t="n">
        <v>5.263</v>
      </c>
      <c r="J127" s="20" t="n">
        <v>5.11</v>
      </c>
      <c r="K127" s="20" t="n">
        <v>4.46</v>
      </c>
      <c r="L127" s="20" t="n">
        <v>9.265000000000001</v>
      </c>
    </row>
    <row r="128">
      <c r="A128" s="18" t="inlineStr">
        <is>
          <t>비지배지분</t>
        </is>
      </c>
      <c r="C128" s="20" t="n">
        <v>6.409</v>
      </c>
      <c r="D128" s="20" t="n">
        <v>6.587</v>
      </c>
      <c r="E128" s="20" t="n">
        <v>3.052</v>
      </c>
      <c r="F128" s="20" t="n">
        <v>3.373</v>
      </c>
      <c r="G128" s="20" t="n">
        <v>0</v>
      </c>
      <c r="H128" s="20" t="n">
        <v>12.129</v>
      </c>
      <c r="I128" s="20" t="n">
        <v>17.33</v>
      </c>
      <c r="J128" s="20" t="n">
        <v>0</v>
      </c>
      <c r="K128" s="20" t="n">
        <v>0.076</v>
      </c>
      <c r="L128" s="20" t="n">
        <v>3.052</v>
      </c>
    </row>
    <row r="129">
      <c r="A129" s="9" t="inlineStr">
        <is>
          <t>순자산 합계</t>
        </is>
      </c>
      <c r="C129" s="12" t="n">
        <v>10934.446</v>
      </c>
      <c r="D129" s="12" t="n">
        <v>10684.039</v>
      </c>
      <c r="E129" s="12" t="n">
        <v>10640.162</v>
      </c>
      <c r="F129" s="12" t="n">
        <v>10656.284</v>
      </c>
      <c r="G129" s="12" t="n">
        <v>10850.765</v>
      </c>
      <c r="H129" s="12" t="n">
        <v>11600.485</v>
      </c>
      <c r="I129" s="12" t="n">
        <v>11514.94</v>
      </c>
      <c r="J129" s="12" t="n">
        <v>11667.796</v>
      </c>
      <c r="K129" s="12" t="n">
        <v>11982.772</v>
      </c>
      <c r="L129" s="12" t="n">
        <v>10640.162</v>
      </c>
    </row>
    <row r="130">
      <c r="A130" s="9" t="inlineStr">
        <is>
          <t>부채·순자산 합계</t>
        </is>
      </c>
      <c r="C130" s="12" t="n">
        <v>18975.256</v>
      </c>
      <c r="D130" s="12" t="n">
        <v>19490.682</v>
      </c>
      <c r="E130" s="12" t="n">
        <v>19608.407</v>
      </c>
      <c r="F130" s="12" t="n">
        <v>19384.94</v>
      </c>
      <c r="G130" s="12" t="n">
        <v>19476.158</v>
      </c>
      <c r="H130" s="12" t="n">
        <v>17720.933</v>
      </c>
      <c r="I130" s="12" t="n">
        <v>18467.569</v>
      </c>
      <c r="J130" s="12" t="n">
        <v>19243.542</v>
      </c>
      <c r="K130" s="12" t="n">
        <v>19967.272</v>
      </c>
      <c r="L130" s="12" t="n">
        <v>19608.407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오픈그룹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상반기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46.15</v>
      </c>
      <c r="G6" s="56" t="inlineStr">
        <is>
          <t>2단계 보고서 자료(회사 설명회 자료·공시)</t>
        </is>
      </c>
    </row>
    <row r="7">
      <c r="A7" s="54" t="inlineStr">
        <is>
          <t>매출 YoY</t>
        </is>
      </c>
      <c r="B7" s="55" t="n">
        <v>19.4</v>
      </c>
    </row>
    <row r="8">
      <c r="A8" s="54" t="inlineStr">
        <is>
          <t>영업이익</t>
        </is>
      </c>
      <c r="B8" s="55" t="n">
        <v>6.51</v>
      </c>
    </row>
    <row r="9">
      <c r="A9" s="54" t="inlineStr">
        <is>
          <t>영업이익 YoY</t>
        </is>
      </c>
      <c r="B9" s="55" t="n">
        <v>55.6</v>
      </c>
    </row>
    <row r="10">
      <c r="A10" s="54" t="inlineStr">
        <is>
          <t>ord</t>
        </is>
      </c>
      <c r="B10" s="55" t="n">
        <v>7</v>
      </c>
    </row>
    <row r="11">
      <c r="A11" s="54" t="inlineStr">
        <is>
          <t>ord YoY</t>
        </is>
      </c>
      <c r="B11" s="55" t="n">
        <v>75.40000000000001</v>
      </c>
    </row>
    <row r="12">
      <c r="A12" s="54" t="inlineStr">
        <is>
          <t>순이익</t>
        </is>
      </c>
      <c r="B12" s="55" t="n">
        <v>4.55</v>
      </c>
    </row>
    <row r="13">
      <c r="A13" s="54" t="inlineStr">
        <is>
          <t>순이익 YoY</t>
        </is>
      </c>
      <c r="B13" s="55" t="n">
        <v>79</v>
      </c>
    </row>
    <row r="14">
      <c r="A14" s="54" t="inlineStr">
        <is>
          <t>EPS</t>
        </is>
      </c>
      <c r="B14" s="55" t="n">
        <v>8.140000000000001</v>
      </c>
    </row>
    <row r="16">
      <c r="A16" s="52" t="inlineStr">
        <is>
          <t>this results · 상반기 직전</t>
        </is>
      </c>
      <c r="B16" s="52" t="n"/>
      <c r="C16" s="52" t="n"/>
      <c r="D16" s="52" t="n"/>
      <c r="E16" s="52" t="n"/>
      <c r="F16" s="52" t="n"/>
      <c r="G16" s="52" t="n"/>
    </row>
    <row r="17">
      <c r="A17" s="53" t="inlineStr">
        <is>
          <t>항목</t>
        </is>
      </c>
      <c r="B17" s="53" t="inlineStr">
        <is>
          <t>값</t>
        </is>
      </c>
      <c r="G17" s="53" t="inlineStr">
        <is>
          <t>출처</t>
        </is>
      </c>
    </row>
    <row r="18">
      <c r="A18" s="54" t="inlineStr">
        <is>
          <t>매출</t>
        </is>
      </c>
      <c r="B18" s="55" t="n">
        <v>38.65</v>
      </c>
      <c r="G18" s="56" t="inlineStr">
        <is>
          <t>2단계 보고서 자료(회사 설명회 자료·공시)</t>
        </is>
      </c>
    </row>
    <row r="19">
      <c r="A19" s="54" t="inlineStr">
        <is>
          <t>영업이익</t>
        </is>
      </c>
      <c r="B19" s="55" t="n">
        <v>4.18</v>
      </c>
    </row>
    <row r="20">
      <c r="A20" s="54" t="inlineStr">
        <is>
          <t>ord</t>
        </is>
      </c>
      <c r="B20" s="55" t="n">
        <v>3.99</v>
      </c>
    </row>
    <row r="21">
      <c r="A21" s="54" t="inlineStr">
        <is>
          <t>순이익</t>
        </is>
      </c>
      <c r="B21" s="55" t="n">
        <v>2.54</v>
      </c>
    </row>
    <row r="23">
      <c r="A23" s="52" t="inlineStr">
        <is>
          <t>this results · 2Q standalone</t>
        </is>
      </c>
      <c r="B23" s="52" t="n"/>
      <c r="C23" s="52" t="n"/>
      <c r="D23" s="52" t="n"/>
      <c r="E23" s="52" t="n"/>
      <c r="F23" s="52" t="n"/>
      <c r="G23" s="52" t="n"/>
    </row>
    <row r="24">
      <c r="A24" s="53" t="inlineStr">
        <is>
          <t>항목</t>
        </is>
      </c>
      <c r="B24" s="53" t="inlineStr">
        <is>
          <t>값</t>
        </is>
      </c>
      <c r="G24" s="53" t="inlineStr">
        <is>
          <t>출처</t>
        </is>
      </c>
    </row>
    <row r="25">
      <c r="A25" s="54" t="inlineStr">
        <is>
          <t>매출</t>
        </is>
      </c>
      <c r="B25" s="55" t="n">
        <v>22.9</v>
      </c>
      <c r="G25" s="56" t="inlineStr">
        <is>
          <t>2단계 보고서 자료(회사 설명회 자료·공시)</t>
        </is>
      </c>
    </row>
    <row r="26">
      <c r="A26" s="54" t="inlineStr">
        <is>
          <t>영업이익</t>
        </is>
      </c>
      <c r="B26" s="55" t="n">
        <v>2.5</v>
      </c>
    </row>
    <row r="28">
      <c r="A28" s="52" t="inlineStr">
        <is>
          <t>this results · 가이던스 fy2 27</t>
        </is>
      </c>
      <c r="B28" s="52" t="n"/>
      <c r="C28" s="52" t="n"/>
      <c r="D28" s="52" t="n"/>
      <c r="E28" s="52" t="n"/>
      <c r="F28" s="52" t="n"/>
      <c r="G28" s="52" t="n"/>
    </row>
    <row r="29">
      <c r="A29" s="53" t="inlineStr">
        <is>
          <t>항목</t>
        </is>
      </c>
      <c r="B29" s="53" t="inlineStr">
        <is>
          <t>값</t>
        </is>
      </c>
      <c r="G29" s="53" t="inlineStr">
        <is>
          <t>출처</t>
        </is>
      </c>
    </row>
    <row r="30">
      <c r="A30" s="54" t="inlineStr">
        <is>
          <t>매출</t>
        </is>
      </c>
      <c r="B30" s="55" t="n">
        <v>98</v>
      </c>
      <c r="G30" s="56" t="inlineStr">
        <is>
          <t>2단계 보고서 자료(회사 설명회 자료·공시)</t>
        </is>
      </c>
    </row>
    <row r="31">
      <c r="A31" s="54" t="inlineStr">
        <is>
          <t>매출 YoY</t>
        </is>
      </c>
      <c r="B31" s="55" t="n">
        <v>20.3</v>
      </c>
    </row>
    <row r="32">
      <c r="A32" s="54" t="inlineStr">
        <is>
          <t>영업이익</t>
        </is>
      </c>
      <c r="B32" s="55" t="n">
        <v>11</v>
      </c>
    </row>
    <row r="33">
      <c r="A33" s="54" t="inlineStr">
        <is>
          <t>영업이익 YoY</t>
        </is>
      </c>
      <c r="B33" s="55" t="n">
        <v>9.5</v>
      </c>
    </row>
    <row r="34">
      <c r="A34" s="54" t="inlineStr">
        <is>
          <t>ord</t>
        </is>
      </c>
      <c r="B34" s="55" t="n">
        <v>10.8</v>
      </c>
    </row>
    <row r="35">
      <c r="A35" s="54" t="inlineStr">
        <is>
          <t>순이익</t>
        </is>
      </c>
      <c r="B35" s="55" t="n">
        <v>6.5</v>
      </c>
    </row>
    <row r="36">
      <c r="A36" s="54" t="inlineStr">
        <is>
          <t>EPS</t>
        </is>
      </c>
      <c r="B36" s="55" t="n">
        <v>11.67</v>
      </c>
    </row>
    <row r="37">
      <c r="A37" s="54" t="inlineStr">
        <is>
          <t>dps</t>
        </is>
      </c>
      <c r="B37" s="55" t="n">
        <v>6.5</v>
      </c>
    </row>
    <row r="39">
      <c r="A39" s="52" t="inlineStr">
        <is>
          <t>this results · progress</t>
        </is>
      </c>
      <c r="B39" s="52" t="n"/>
      <c r="C39" s="52" t="n"/>
      <c r="D39" s="52" t="n"/>
      <c r="E39" s="52" t="n"/>
      <c r="F39" s="52" t="n"/>
      <c r="G39" s="52" t="n"/>
    </row>
    <row r="40">
      <c r="A40" s="53" t="inlineStr">
        <is>
          <t>항목</t>
        </is>
      </c>
      <c r="B40" s="53" t="inlineStr">
        <is>
          <t>값</t>
        </is>
      </c>
      <c r="G40" s="53" t="inlineStr">
        <is>
          <t>출처</t>
        </is>
      </c>
    </row>
    <row r="41">
      <c r="A41" s="54" t="inlineStr">
        <is>
          <t>매출</t>
        </is>
      </c>
      <c r="B41" s="55" t="n">
        <v>47.1</v>
      </c>
      <c r="G41" s="56" t="inlineStr">
        <is>
          <t>2단계 보고서 자료(회사 설명회 자료·공시)</t>
        </is>
      </c>
    </row>
    <row r="42">
      <c r="A42" s="54" t="inlineStr">
        <is>
          <t>영업이익</t>
        </is>
      </c>
      <c r="B42" s="55" t="n">
        <v>59.2</v>
      </c>
    </row>
    <row r="44">
      <c r="A44" s="52" t="inlineStr">
        <is>
          <t>this results · implied 하반기</t>
        </is>
      </c>
      <c r="B44" s="52" t="n"/>
      <c r="C44" s="52" t="n"/>
      <c r="D44" s="52" t="n"/>
      <c r="E44" s="52" t="n"/>
      <c r="F44" s="52" t="n"/>
      <c r="G44" s="52" t="n"/>
    </row>
    <row r="45">
      <c r="A45" s="53" t="inlineStr">
        <is>
          <t>항목</t>
        </is>
      </c>
      <c r="B45" s="53" t="inlineStr">
        <is>
          <t>값</t>
        </is>
      </c>
      <c r="G45" s="53" t="inlineStr">
        <is>
          <t>출처</t>
        </is>
      </c>
    </row>
    <row r="46">
      <c r="A46" s="54" t="inlineStr">
        <is>
          <t>매출</t>
        </is>
      </c>
      <c r="B46" s="55" t="n">
        <v>51.85</v>
      </c>
      <c r="G46" s="56" t="inlineStr">
        <is>
          <t>2단계 보고서 자료(회사 설명회 자료·공시)</t>
        </is>
      </c>
    </row>
    <row r="47">
      <c r="A47" s="54" t="inlineStr">
        <is>
          <t>영업이익</t>
        </is>
      </c>
      <c r="B47" s="55" t="n">
        <v>4.49</v>
      </c>
    </row>
    <row r="48">
      <c r="A48" s="54" t="inlineStr">
        <is>
          <t>직전 하반기 영업이익</t>
        </is>
      </c>
      <c r="B48" s="55" t="n">
        <v>5.82</v>
      </c>
    </row>
    <row r="50">
      <c r="A50" s="52" t="inlineStr">
        <is>
          <t>this results · bs 2Q</t>
        </is>
      </c>
      <c r="B50" s="52" t="n"/>
      <c r="C50" s="52" t="n"/>
      <c r="D50" s="52" t="n"/>
      <c r="E50" s="52" t="n"/>
      <c r="F50" s="52" t="n"/>
      <c r="G50" s="52" t="n"/>
    </row>
    <row r="51">
      <c r="A51" s="53" t="inlineStr">
        <is>
          <t>항목</t>
        </is>
      </c>
      <c r="B51" s="53" t="inlineStr">
        <is>
          <t>값</t>
        </is>
      </c>
      <c r="G51" s="53" t="inlineStr">
        <is>
          <t>출처</t>
        </is>
      </c>
    </row>
    <row r="52">
      <c r="A52" s="54" t="inlineStr">
        <is>
          <t>cash</t>
        </is>
      </c>
      <c r="B52" s="55" t="n">
        <v>105.7</v>
      </c>
      <c r="G52" s="56" t="inlineStr">
        <is>
          <t>2단계 보고서 자료(회사 설명회 자료·공시)</t>
        </is>
      </c>
    </row>
    <row r="53">
      <c r="A53" s="54" t="inlineStr">
        <is>
          <t>contract liab</t>
        </is>
      </c>
      <c r="B53" s="55" t="n">
        <v>15.7</v>
      </c>
    </row>
    <row r="54">
      <c r="A54" s="54" t="inlineStr">
        <is>
          <t>contract liab 직전 fyend</t>
        </is>
      </c>
      <c r="B54" s="55" t="n">
        <v>11.4</v>
      </c>
    </row>
    <row r="55">
      <c r="A55" s="54" t="inlineStr">
        <is>
          <t>goodwill</t>
        </is>
      </c>
      <c r="B55" s="55" t="n">
        <v>13.2</v>
      </c>
    </row>
    <row r="56">
      <c r="A56" s="54" t="inlineStr">
        <is>
          <t>debt 합계</t>
        </is>
      </c>
      <c r="B56" s="55" t="n">
        <v>40.4</v>
      </c>
    </row>
    <row r="57">
      <c r="A57" s="54" t="inlineStr">
        <is>
          <t>equity</t>
        </is>
      </c>
      <c r="B57" s="55" t="n">
        <v>108.4</v>
      </c>
    </row>
    <row r="58">
      <c r="A58" s="54" t="inlineStr">
        <is>
          <t>equity ratio</t>
        </is>
      </c>
      <c r="B58" s="55" t="n">
        <v>55.7</v>
      </c>
    </row>
    <row r="60">
      <c r="A60" s="52" t="inlineStr">
        <is>
          <t>this results · cf 상반기</t>
        </is>
      </c>
      <c r="B60" s="52" t="n"/>
      <c r="C60" s="52" t="n"/>
      <c r="D60" s="52" t="n"/>
      <c r="E60" s="52" t="n"/>
      <c r="F60" s="52" t="n"/>
      <c r="G60" s="52" t="n"/>
    </row>
    <row r="61">
      <c r="A61" s="53" t="inlineStr">
        <is>
          <t>항목</t>
        </is>
      </c>
      <c r="B61" s="53" t="inlineStr">
        <is>
          <t>값</t>
        </is>
      </c>
      <c r="G61" s="53" t="inlineStr">
        <is>
          <t>출처</t>
        </is>
      </c>
    </row>
    <row r="62">
      <c r="A62" s="54" t="inlineStr">
        <is>
          <t>ocf</t>
        </is>
      </c>
      <c r="B62" s="55" t="n">
        <v>10.6</v>
      </c>
      <c r="G62" s="56" t="inlineStr">
        <is>
          <t>2단계 보고서 자료(회사 설명회 자료·공시)</t>
        </is>
      </c>
    </row>
    <row r="63">
      <c r="A63" s="54" t="inlineStr">
        <is>
          <t>설비투자 intangible</t>
        </is>
      </c>
      <c r="B63" s="55" t="n">
        <v>1.5</v>
      </c>
    </row>
    <row r="64">
      <c r="A64" s="54" t="inlineStr">
        <is>
          <t>dividend paid</t>
        </is>
      </c>
      <c r="B64" s="55" t="n">
        <v>2.7</v>
      </c>
    </row>
    <row r="66">
      <c r="A66" s="52" t="inlineStr">
        <is>
          <t>shares</t>
        </is>
      </c>
      <c r="B66" s="52" t="n"/>
      <c r="C66" s="52" t="n"/>
      <c r="D66" s="52" t="n"/>
      <c r="E66" s="52" t="n"/>
      <c r="F66" s="52" t="n"/>
      <c r="G66" s="52" t="n"/>
    </row>
    <row r="67">
      <c r="A67" s="53" t="inlineStr">
        <is>
          <t>항목</t>
        </is>
      </c>
      <c r="B67" s="53" t="inlineStr">
        <is>
          <t>값</t>
        </is>
      </c>
      <c r="G67" s="53" t="inlineStr">
        <is>
          <t>출처</t>
        </is>
      </c>
    </row>
    <row r="68">
      <c r="A68" s="54" t="inlineStr">
        <is>
          <t>issued</t>
        </is>
      </c>
      <c r="B68" s="57" t="n">
        <v>63268990</v>
      </c>
      <c r="G68" s="56" t="inlineStr">
        <is>
          <t>2단계 보고서 자료(회사 설명회 자료·공시)</t>
        </is>
      </c>
    </row>
    <row r="69">
      <c r="A69" s="54" t="inlineStr">
        <is>
          <t>treasury</t>
        </is>
      </c>
      <c r="B69" s="57" t="n">
        <v>7220239</v>
      </c>
    </row>
    <row r="70">
      <c r="A70" s="54" t="inlineStr">
        <is>
          <t>outstanding</t>
        </is>
      </c>
      <c r="B70" s="57" t="n">
        <v>56048751</v>
      </c>
    </row>
    <row r="72">
      <c r="A72" s="52" t="inlineStr">
        <is>
          <t>bs annual</t>
        </is>
      </c>
      <c r="B72" s="52" t="n"/>
      <c r="C72" s="52" t="n"/>
      <c r="D72" s="52" t="n"/>
      <c r="E72" s="52" t="n"/>
      <c r="F72" s="52" t="n"/>
      <c r="G72" s="52" t="n"/>
    </row>
    <row r="73">
      <c r="A73" s="53" t="inlineStr">
        <is>
          <t>항목</t>
        </is>
      </c>
      <c r="B73" s="53" t="inlineStr">
        <is>
          <t>2022</t>
        </is>
      </c>
      <c r="C73" s="53" t="inlineStr">
        <is>
          <t>2023</t>
        </is>
      </c>
      <c r="D73" s="53" t="inlineStr">
        <is>
          <t>2024</t>
        </is>
      </c>
      <c r="E73" s="53" t="inlineStr">
        <is>
          <t>2025</t>
        </is>
      </c>
      <c r="F73" s="53" t="inlineStr">
        <is>
          <t>2026</t>
        </is>
      </c>
      <c r="G73" s="53" t="inlineStr">
        <is>
          <t>출처</t>
        </is>
      </c>
    </row>
    <row r="74">
      <c r="A74" s="54" t="inlineStr">
        <is>
          <t>labels</t>
        </is>
      </c>
      <c r="B74" s="57" t="n">
        <v>2022</v>
      </c>
      <c r="C74" s="57" t="n">
        <v>2023</v>
      </c>
      <c r="D74" s="57" t="n">
        <v>2024</v>
      </c>
      <c r="E74" s="57" t="n">
        <v>2025</v>
      </c>
      <c r="F74" s="57" t="n">
        <v>2026</v>
      </c>
      <c r="G74" s="56" t="inlineStr">
        <is>
          <t>2단계 보고서 자료(회사 설명회 자료·공시)</t>
        </is>
      </c>
    </row>
    <row r="75">
      <c r="A75" s="54" t="inlineStr">
        <is>
          <t>current assets</t>
        </is>
      </c>
      <c r="B75" s="55" t="n">
        <v>154</v>
      </c>
      <c r="C75" s="55" t="n">
        <v>140.8</v>
      </c>
      <c r="D75" s="55" t="n">
        <v>143.7</v>
      </c>
      <c r="E75" s="55" t="n">
        <v>155.8</v>
      </c>
      <c r="F75" s="55" t="n">
        <v>146.9</v>
      </c>
    </row>
    <row r="76">
      <c r="A76" s="54" t="inlineStr">
        <is>
          <t>cash</t>
        </is>
      </c>
      <c r="B76" s="55" t="n">
        <v>126.2</v>
      </c>
      <c r="C76" s="55" t="n">
        <v>112.1</v>
      </c>
      <c r="D76" s="55" t="n">
        <v>115.2</v>
      </c>
      <c r="E76" s="55" t="n">
        <v>105.1</v>
      </c>
      <c r="F76" s="55" t="n">
        <v>103.1</v>
      </c>
    </row>
    <row r="77">
      <c r="A77" s="54" t="inlineStr">
        <is>
          <t>st fin</t>
        </is>
      </c>
      <c r="B77" s="58" t="n"/>
      <c r="C77" s="58" t="n"/>
      <c r="D77" s="58" t="n"/>
      <c r="E77" s="58" t="n"/>
      <c r="F77" s="58" t="n"/>
    </row>
    <row r="78">
      <c r="A78" s="54" t="inlineStr">
        <is>
          <t>receivables</t>
        </is>
      </c>
      <c r="B78" s="55" t="n">
        <v>17.7</v>
      </c>
      <c r="C78" s="55" t="n">
        <v>24.4</v>
      </c>
      <c r="D78" s="55" t="n">
        <v>24.2</v>
      </c>
      <c r="E78" s="55" t="n">
        <v>24.9</v>
      </c>
      <c r="F78" s="55" t="n">
        <v>28.6</v>
      </c>
    </row>
    <row r="79">
      <c r="A79" s="54" t="inlineStr">
        <is>
          <t>inventory</t>
        </is>
      </c>
      <c r="B79" s="55" t="n">
        <v>0.1</v>
      </c>
      <c r="C79" s="55" t="n">
        <v>0.1</v>
      </c>
      <c r="D79" s="55" t="n">
        <v>0.2</v>
      </c>
      <c r="E79" s="55" t="n">
        <v>0.1</v>
      </c>
      <c r="F79" s="55" t="n">
        <v>0.4</v>
      </c>
    </row>
    <row r="80">
      <c r="A80" s="54" t="inlineStr">
        <is>
          <t>noncurrent assets</t>
        </is>
      </c>
      <c r="B80" s="55" t="n">
        <v>23.2</v>
      </c>
      <c r="C80" s="55" t="n">
        <v>43.9</v>
      </c>
      <c r="D80" s="55" t="n">
        <v>48.7</v>
      </c>
      <c r="E80" s="55" t="n">
        <v>43.9</v>
      </c>
      <c r="F80" s="55" t="n">
        <v>49.2</v>
      </c>
    </row>
    <row r="81">
      <c r="A81" s="54" t="inlineStr">
        <is>
          <t>ppe</t>
        </is>
      </c>
      <c r="B81" s="55" t="n">
        <v>1.2</v>
      </c>
      <c r="C81" s="55" t="n">
        <v>1.1</v>
      </c>
      <c r="D81" s="55" t="n">
        <v>0.9</v>
      </c>
      <c r="E81" s="55" t="n">
        <v>1.7</v>
      </c>
      <c r="F81" s="55" t="n">
        <v>1.8</v>
      </c>
    </row>
    <row r="82">
      <c r="A82" s="54" t="inlineStr">
        <is>
          <t>intangibles</t>
        </is>
      </c>
      <c r="B82" s="55" t="n">
        <v>13</v>
      </c>
      <c r="C82" s="55" t="n">
        <v>10</v>
      </c>
      <c r="D82" s="55" t="n">
        <v>9.6</v>
      </c>
      <c r="E82" s="55" t="n">
        <v>15.8</v>
      </c>
      <c r="F82" s="55" t="n">
        <v>19.8</v>
      </c>
    </row>
    <row r="83">
      <c r="A83" s="54" t="inlineStr">
        <is>
          <t>inv property</t>
        </is>
      </c>
      <c r="B83" s="58" t="n"/>
      <c r="C83" s="58" t="n"/>
      <c r="D83" s="58" t="n"/>
      <c r="E83" s="58" t="n"/>
      <c r="F83" s="58" t="n"/>
    </row>
    <row r="84">
      <c r="A84" s="54" t="inlineStr">
        <is>
          <t>합계 assets</t>
        </is>
      </c>
      <c r="B84" s="55" t="n">
        <v>177.2</v>
      </c>
      <c r="C84" s="55" t="n">
        <v>184.7</v>
      </c>
      <c r="D84" s="55" t="n">
        <v>192.4</v>
      </c>
      <c r="E84" s="55" t="n">
        <v>199.7</v>
      </c>
      <c r="F84" s="55" t="n">
        <v>196.1</v>
      </c>
    </row>
    <row r="85">
      <c r="A85" s="54" t="inlineStr">
        <is>
          <t>current liab</t>
        </is>
      </c>
      <c r="B85" s="55" t="n">
        <v>46.3</v>
      </c>
      <c r="C85" s="55" t="n">
        <v>53.6</v>
      </c>
      <c r="D85" s="55" t="n">
        <v>58.3</v>
      </c>
      <c r="E85" s="55" t="n">
        <v>59.8</v>
      </c>
      <c r="F85" s="55" t="n">
        <v>67.2</v>
      </c>
    </row>
    <row r="86">
      <c r="A86" s="54" t="inlineStr">
        <is>
          <t>payables</t>
        </is>
      </c>
      <c r="B86" s="55" t="n">
        <v>13.4</v>
      </c>
      <c r="C86" s="55" t="n">
        <v>18.9</v>
      </c>
      <c r="D86" s="55" t="n">
        <v>18</v>
      </c>
      <c r="E86" s="55" t="n">
        <v>19.4</v>
      </c>
      <c r="F86" s="55" t="n">
        <v>19</v>
      </c>
    </row>
    <row r="87">
      <c r="A87" s="54" t="inlineStr">
        <is>
          <t>st debt</t>
        </is>
      </c>
      <c r="B87" s="55" t="n">
        <v>15</v>
      </c>
      <c r="C87" s="55" t="n">
        <v>15</v>
      </c>
      <c r="D87" s="55" t="n">
        <v>15</v>
      </c>
      <c r="E87" s="55" t="n">
        <v>15</v>
      </c>
      <c r="F87" s="55" t="n">
        <v>15</v>
      </c>
    </row>
    <row r="88">
      <c r="A88" s="54" t="inlineStr">
        <is>
          <t>noncurrent liab</t>
        </is>
      </c>
      <c r="B88" s="55" t="n">
        <v>14.9</v>
      </c>
      <c r="C88" s="55" t="n">
        <v>15.9</v>
      </c>
      <c r="D88" s="55" t="n">
        <v>17.5</v>
      </c>
      <c r="E88" s="55" t="n">
        <v>20.1</v>
      </c>
      <c r="F88" s="55" t="n">
        <v>22.5</v>
      </c>
    </row>
    <row r="89">
      <c r="A89" s="54" t="inlineStr">
        <is>
          <t>lt debt</t>
        </is>
      </c>
      <c r="B89" s="55" t="n">
        <v>7.4</v>
      </c>
      <c r="C89" s="55" t="n">
        <v>4.6</v>
      </c>
      <c r="D89" s="55" t="n">
        <v>6.3</v>
      </c>
      <c r="E89" s="55" t="n">
        <v>8</v>
      </c>
      <c r="F89" s="55" t="n">
        <v>13.7</v>
      </c>
    </row>
    <row r="90">
      <c r="A90" s="54" t="inlineStr">
        <is>
          <t>bonds</t>
        </is>
      </c>
      <c r="B90" s="55" t="n">
        <v>7.5</v>
      </c>
      <c r="C90" s="55" t="n">
        <v>11.3</v>
      </c>
      <c r="D90" s="55" t="n">
        <v>10.8</v>
      </c>
      <c r="E90" s="55" t="n">
        <v>11.9</v>
      </c>
      <c r="F90" s="55" t="n">
        <v>8.4</v>
      </c>
    </row>
    <row r="91">
      <c r="A91" s="54" t="inlineStr">
        <is>
          <t>합계 liab</t>
        </is>
      </c>
      <c r="B91" s="55" t="n">
        <v>61.2</v>
      </c>
      <c r="C91" s="55" t="n">
        <v>69.5</v>
      </c>
      <c r="D91" s="55" t="n">
        <v>75.8</v>
      </c>
      <c r="E91" s="55" t="n">
        <v>79.8</v>
      </c>
      <c r="F91" s="55" t="n">
        <v>89.7</v>
      </c>
    </row>
    <row r="92">
      <c r="A92" s="54" t="inlineStr">
        <is>
          <t>capital stock</t>
        </is>
      </c>
      <c r="B92" s="55" t="n">
        <v>59</v>
      </c>
      <c r="C92" s="55" t="n">
        <v>59</v>
      </c>
      <c r="D92" s="55" t="n">
        <v>59.1</v>
      </c>
      <c r="E92" s="55" t="n">
        <v>59.3</v>
      </c>
      <c r="F92" s="55" t="n">
        <v>59.4</v>
      </c>
    </row>
    <row r="93">
      <c r="A93" s="54" t="inlineStr">
        <is>
          <t>retained</t>
        </is>
      </c>
      <c r="B93" s="55" t="n">
        <v>-0.3</v>
      </c>
      <c r="C93" s="55" t="n">
        <v>0.3</v>
      </c>
      <c r="D93" s="55" t="n">
        <v>2.1</v>
      </c>
      <c r="E93" s="55" t="n">
        <v>6.5</v>
      </c>
      <c r="F93" s="55" t="n">
        <v>9.5</v>
      </c>
    </row>
    <row r="94">
      <c r="A94" s="54" t="inlineStr">
        <is>
          <t>nci</t>
        </is>
      </c>
      <c r="B94" s="55" t="n">
        <v>0.1</v>
      </c>
      <c r="C94" s="55" t="n">
        <v>0.2</v>
      </c>
      <c r="D94" s="55" t="n">
        <v>0</v>
      </c>
      <c r="E94" s="55" t="n">
        <v>0</v>
      </c>
      <c r="F94" s="55" t="n">
        <v>0</v>
      </c>
    </row>
    <row r="95">
      <c r="A95" s="54" t="inlineStr">
        <is>
          <t>합계 equity</t>
        </is>
      </c>
      <c r="B95" s="55" t="n">
        <v>116</v>
      </c>
      <c r="C95" s="55" t="n">
        <v>115.1</v>
      </c>
      <c r="D95" s="55" t="n">
        <v>116.7</v>
      </c>
      <c r="E95" s="55" t="n">
        <v>119.8</v>
      </c>
      <c r="F95" s="55" t="n">
        <v>106.4</v>
      </c>
    </row>
    <row r="96">
      <c r="A96" s="54" t="inlineStr">
        <is>
          <t>current ltd</t>
        </is>
      </c>
      <c r="B96" s="55" t="n">
        <v>6.1</v>
      </c>
      <c r="C96" s="55" t="n">
        <v>7</v>
      </c>
      <c r="D96" s="55" t="n">
        <v>7.5</v>
      </c>
      <c r="E96" s="55" t="n">
        <v>7.9</v>
      </c>
      <c r="F96" s="55" t="n">
        <v>7</v>
      </c>
    </row>
    <row r="97">
      <c r="A97" s="54" t="inlineStr">
        <is>
          <t>equity owner</t>
        </is>
      </c>
      <c r="B97" s="55" t="n">
        <v>115.8</v>
      </c>
      <c r="C97" s="55" t="n">
        <v>114.9</v>
      </c>
      <c r="D97" s="55" t="n">
        <v>116.6</v>
      </c>
      <c r="E97" s="55" t="n">
        <v>119.8</v>
      </c>
      <c r="F97" s="55" t="n">
        <v>106.3</v>
      </c>
    </row>
    <row r="99">
      <c r="A99" s="52" t="inlineStr">
        <is>
          <t>cf annual</t>
        </is>
      </c>
      <c r="B99" s="52" t="n"/>
      <c r="C99" s="52" t="n"/>
      <c r="D99" s="52" t="n"/>
      <c r="E99" s="52" t="n"/>
      <c r="F99" s="52" t="n"/>
      <c r="G99" s="52" t="n"/>
    </row>
    <row r="100">
      <c r="A100" s="53" t="inlineStr">
        <is>
          <t>항목</t>
        </is>
      </c>
      <c r="B100" s="53" t="inlineStr">
        <is>
          <t>2022</t>
        </is>
      </c>
      <c r="C100" s="53" t="inlineStr">
        <is>
          <t>2023</t>
        </is>
      </c>
      <c r="D100" s="53" t="inlineStr">
        <is>
          <t>2024</t>
        </is>
      </c>
      <c r="E100" s="53" t="inlineStr">
        <is>
          <t>2025</t>
        </is>
      </c>
      <c r="F100" s="53" t="inlineStr">
        <is>
          <t>2026</t>
        </is>
      </c>
      <c r="G100" s="53" t="inlineStr">
        <is>
          <t>출처</t>
        </is>
      </c>
    </row>
    <row r="101">
      <c r="A101" s="54" t="inlineStr">
        <is>
          <t>labels</t>
        </is>
      </c>
      <c r="B101" s="57" t="n">
        <v>2022</v>
      </c>
      <c r="C101" s="57" t="n">
        <v>2023</v>
      </c>
      <c r="D101" s="57" t="n">
        <v>2024</v>
      </c>
      <c r="E101" s="57" t="n">
        <v>2025</v>
      </c>
      <c r="F101" s="57" t="n">
        <v>2026</v>
      </c>
      <c r="G101" s="56" t="inlineStr">
        <is>
          <t>2단계 보고서 자료(회사 설명회 자료·공시)</t>
        </is>
      </c>
    </row>
    <row r="102">
      <c r="A102" s="54" t="inlineStr">
        <is>
          <t>ocf</t>
        </is>
      </c>
      <c r="B102" s="55" t="n">
        <v>6.1</v>
      </c>
      <c r="C102" s="55" t="n">
        <v>7.6</v>
      </c>
      <c r="D102" s="55" t="n">
        <v>10.2</v>
      </c>
      <c r="E102" s="55" t="n">
        <v>3.4</v>
      </c>
      <c r="F102" s="55" t="n">
        <v>9</v>
      </c>
    </row>
    <row r="103">
      <c r="A103" s="54" t="inlineStr">
        <is>
          <t>설비투자</t>
        </is>
      </c>
      <c r="B103" s="55" t="n">
        <v>4.3</v>
      </c>
      <c r="C103" s="55" t="n">
        <v>4</v>
      </c>
      <c r="D103" s="55" t="n">
        <v>4.4</v>
      </c>
      <c r="E103" s="55" t="n">
        <v>4.1</v>
      </c>
      <c r="F103" s="55" t="n">
        <v>2.6</v>
      </c>
    </row>
    <row r="104">
      <c r="A104" s="54" t="inlineStr">
        <is>
          <t>dividends</t>
        </is>
      </c>
      <c r="B104" s="58" t="n"/>
      <c r="C104" s="58" t="n"/>
      <c r="D104" s="58" t="n"/>
      <c r="E104" s="55" t="n">
        <v>0</v>
      </c>
      <c r="F104" s="55" t="n">
        <v>3.3</v>
      </c>
    </row>
    <row r="106">
      <c r="A106" s="52" t="inlineStr">
        <is>
          <t>filings</t>
        </is>
      </c>
      <c r="B106" s="52" t="n"/>
      <c r="C106" s="52" t="n"/>
      <c r="D106" s="52" t="n"/>
      <c r="E106" s="52" t="n"/>
      <c r="F106" s="52" t="n"/>
      <c r="G106" s="52" t="n"/>
    </row>
    <row r="107">
      <c r="A107" s="53" t="inlineStr">
        <is>
          <t>항목</t>
        </is>
      </c>
      <c r="B107" s="53" t="inlineStr">
        <is>
          <t>title</t>
        </is>
      </c>
      <c r="C107" s="53" t="inlineStr">
        <is>
          <t>doc</t>
        </is>
      </c>
      <c r="G107" s="53" t="inlineStr">
        <is>
          <t>출처</t>
        </is>
      </c>
    </row>
    <row r="108">
      <c r="A108" s="54" t="inlineStr">
        <is>
          <t>2026-10-15</t>
        </is>
      </c>
      <c r="B108" s="58" t="inlineStr">
        <is>
          <t>2027年２月期 第２四半期（中間期）決算短信〔日本基準〕（連結）</t>
        </is>
      </c>
      <c r="C108" s="58" t="inlineStr">
        <is>
          <t>140120261015551119</t>
        </is>
      </c>
      <c r="G108" s="56" t="inlineStr">
        <is>
          <t>2단계 보고서 자료(회사 설명회 자료·공시)</t>
        </is>
      </c>
    </row>
    <row r="109">
      <c r="A109" s="54" t="inlineStr">
        <is>
          <t>2026-07-15</t>
        </is>
      </c>
      <c r="B109" s="58" t="inlineStr">
        <is>
          <t>2027年２月期 第１四半期決算短信〔日本基準〕（連結）</t>
        </is>
      </c>
      <c r="C109" s="58" t="inlineStr">
        <is>
          <t>140120260715593989</t>
        </is>
      </c>
    </row>
    <row r="110">
      <c r="A110" s="54" t="inlineStr">
        <is>
          <t>2026-04-14</t>
        </is>
      </c>
      <c r="B110" s="58" t="inlineStr">
        <is>
          <t>2026年２月期  決算短信〔日本基準〕（連結）</t>
        </is>
      </c>
      <c r="C110" s="58" t="inlineStr">
        <is>
          <t>140120260414503847</t>
        </is>
      </c>
    </row>
    <row r="111">
      <c r="A111" s="54" t="inlineStr">
        <is>
          <t>2026-01-14</t>
        </is>
      </c>
      <c r="B111" s="58" t="inlineStr">
        <is>
          <t>2026年２月期 第３四半期決算短信〔日本基準〕（連結）</t>
        </is>
      </c>
      <c r="C111" s="58" t="inlineStr">
        <is>
          <t>140120260114533253</t>
        </is>
      </c>
    </row>
    <row r="112">
      <c r="A112" s="54" t="inlineStr">
        <is>
          <t>2025-10-15</t>
        </is>
      </c>
      <c r="B112" s="58" t="inlineStr">
        <is>
          <t>2026年２月期 第２四半期（中間期）決算短信〔日本基準〕（連結）</t>
        </is>
      </c>
      <c r="C112" s="58" t="inlineStr">
        <is>
          <t>140120251015573802</t>
        </is>
      </c>
    </row>
    <row r="113">
      <c r="A113" s="54" t="inlineStr">
        <is>
          <t>2025-07-15</t>
        </is>
      </c>
      <c r="B113" s="58" t="inlineStr">
        <is>
          <t>2026年２月期 第１四半期決算短信〔日本基準〕（連結）</t>
        </is>
      </c>
      <c r="C113" s="58" t="inlineStr">
        <is>
          <t>140120250715514839</t>
        </is>
      </c>
    </row>
    <row r="114">
      <c r="A114" s="54" t="inlineStr">
        <is>
          <t>2025-04-14</t>
        </is>
      </c>
      <c r="B114" s="58" t="inlineStr">
        <is>
          <t>2025年２月期 決算短信〔日本基準〕（連結）</t>
        </is>
      </c>
      <c r="C114" s="58" t="inlineStr">
        <is>
          <t>140120250414515397</t>
        </is>
      </c>
    </row>
    <row r="115">
      <c r="A115" s="54" t="inlineStr">
        <is>
          <t>2025-01-14</t>
        </is>
      </c>
      <c r="B115" s="58" t="inlineStr">
        <is>
          <t>2025年２月期 第３四半期決算短信〔日本基準〕（連結）</t>
        </is>
      </c>
      <c r="C115" s="58" t="inlineStr">
        <is>
          <t>140120250114550557</t>
        </is>
      </c>
    </row>
    <row r="116">
      <c r="A116" s="54" t="inlineStr">
        <is>
          <t>2024-10-15</t>
        </is>
      </c>
      <c r="B116" s="58" t="inlineStr">
        <is>
          <t>2025年２月期 第２四半期（中間期）決算短信〔日本基準〕（連結）</t>
        </is>
      </c>
      <c r="C116" s="58" t="inlineStr">
        <is>
          <t>140120241015598423</t>
        </is>
      </c>
    </row>
    <row r="118">
      <c r="A118" s="52" t="inlineStr">
        <is>
          <t>reactions</t>
        </is>
      </c>
      <c r="B118" s="52" t="n"/>
      <c r="C118" s="52" t="n"/>
      <c r="D118" s="52" t="n"/>
      <c r="E118" s="52" t="n"/>
      <c r="F118" s="52" t="n"/>
      <c r="G118" s="52" t="n"/>
    </row>
    <row r="119">
      <c r="A119" s="53" t="inlineStr">
        <is>
          <t>항목</t>
        </is>
      </c>
      <c r="B119" s="53" t="inlineStr">
        <is>
          <t>기준일</t>
        </is>
      </c>
      <c r="C119" s="53" t="inlineStr">
        <is>
          <t>다음날</t>
        </is>
      </c>
      <c r="D119" s="53" t="inlineStr">
        <is>
          <t>등락%</t>
        </is>
      </c>
      <c r="G119" s="53" t="inlineStr">
        <is>
          <t>출처</t>
        </is>
      </c>
    </row>
    <row r="120">
      <c r="A120" s="54" t="inlineStr">
        <is>
          <t>2025-01-14</t>
        </is>
      </c>
      <c r="B120" s="58" t="inlineStr">
        <is>
          <t>2025-01-14</t>
        </is>
      </c>
      <c r="C120" s="58" t="inlineStr">
        <is>
          <t>2025-01-15</t>
        </is>
      </c>
      <c r="D120" s="55" t="n">
        <v>18.3</v>
      </c>
      <c r="G120" s="56" t="inlineStr">
        <is>
          <t>2단계 보고서 자료(회사 설명회 자료·공시)</t>
        </is>
      </c>
    </row>
    <row r="121">
      <c r="A121" s="54" t="inlineStr">
        <is>
          <t>2025-04-14</t>
        </is>
      </c>
      <c r="B121" s="58" t="inlineStr">
        <is>
          <t>2025-04-14</t>
        </is>
      </c>
      <c r="C121" s="58" t="inlineStr">
        <is>
          <t>2025-04-15</t>
        </is>
      </c>
      <c r="D121" s="55" t="n">
        <v>7</v>
      </c>
    </row>
    <row r="122">
      <c r="A122" s="54" t="inlineStr">
        <is>
          <t>2025-07-15</t>
        </is>
      </c>
      <c r="B122" s="58" t="inlineStr">
        <is>
          <t>2025-07-15</t>
        </is>
      </c>
      <c r="C122" s="58" t="inlineStr">
        <is>
          <t>2025-07-16</t>
        </is>
      </c>
      <c r="D122" s="55" t="n">
        <v>9.699999999999999</v>
      </c>
    </row>
    <row r="123">
      <c r="A123" s="54" t="inlineStr">
        <is>
          <t>2025-10-15</t>
        </is>
      </c>
      <c r="B123" s="58" t="inlineStr">
        <is>
          <t>2025-10-15</t>
        </is>
      </c>
      <c r="C123" s="58" t="inlineStr">
        <is>
          <t>2025-10-16</t>
        </is>
      </c>
      <c r="D123" s="55" t="n">
        <v>-0.5</v>
      </c>
    </row>
    <row r="124">
      <c r="A124" s="54" t="inlineStr">
        <is>
          <t>2026-01-14</t>
        </is>
      </c>
      <c r="B124" s="58" t="inlineStr">
        <is>
          <t>2026-01-14</t>
        </is>
      </c>
      <c r="C124" s="58" t="inlineStr">
        <is>
          <t>2026-01-15</t>
        </is>
      </c>
      <c r="D124" s="55" t="n">
        <v>3.4</v>
      </c>
    </row>
    <row r="125">
      <c r="A125" s="54" t="inlineStr">
        <is>
          <t>2026-04-14</t>
        </is>
      </c>
      <c r="B125" s="58" t="inlineStr">
        <is>
          <t>2026-04-14</t>
        </is>
      </c>
      <c r="C125" s="58" t="inlineStr">
        <is>
          <t>2026-04-15</t>
        </is>
      </c>
      <c r="D125" s="55" t="n">
        <v>0.5</v>
      </c>
    </row>
    <row r="126">
      <c r="A126" s="54" t="inlineStr">
        <is>
          <t>2026-07-15</t>
        </is>
      </c>
      <c r="B126" s="58" t="inlineStr">
        <is>
          <t>2026-07-15</t>
        </is>
      </c>
      <c r="C126" s="58" t="inlineStr">
        <is>
          <t>2026-07-16</t>
        </is>
      </c>
      <c r="D126" s="55" t="n">
        <v>17.7</v>
      </c>
    </row>
    <row r="127">
      <c r="A127" s="54" t="inlineStr">
        <is>
          <t>2026-10-15</t>
        </is>
      </c>
      <c r="B127" s="58" t="inlineStr">
        <is>
          <t>2026-10-15</t>
        </is>
      </c>
      <c r="C127" s="58" t="inlineStr">
        <is>
          <t>2026-10-16</t>
        </is>
      </c>
      <c r="D127" s="55" t="n">
        <v>-3.5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https://www2.jpx.co.jp/disc/65720/140120261015551119.pdf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https://www2.jpx.co.jp/disc/65720/140120260715593989.pdf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https://www2.jpx.co.jp/disc/65720/140120260414503847.pdf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https://www2.jpx.co.jp/disc/65720/140120260114533253.pdf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https://www2.jpx.co.jp/disc/65720/140120251015573802.pdf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https://www2.jpx.co.jp/disc/65720/140120250715514839.pdf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https://www2.jpx.co.jp/disc/65720/140120250414515397.pdf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https://www2.jpx.co.jp/disc/65720/140120250114550557.pdf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https://www2.jpx.co.jp/disc/65720/140120241015598423.pdf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https://www2.jpx.co.jp/disc/65720/140120240712548919.pdf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https://www2.jpx.co.jp/disc/65720/140120240412570197.pdf</t>
        </is>
      </c>
    </row>
    <row r="15">
      <c r="A15" t="inlineStr">
        <is>
          <t>2024-01-12</t>
        </is>
      </c>
      <c r="B15" t="inlineStr">
        <is>
          <t>2024년 2월 결산기 ３분기 결산단신</t>
        </is>
      </c>
      <c r="C15" t="inlineStr">
        <is>
          <t>https://www2.jpx.co.jp/disc/65720/140120240112514471.pdf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https://www2.jpx.co.jp/disc/65720/140120231013566768.pdf</t>
        </is>
      </c>
    </row>
    <row r="17">
      <c r="A17" t="inlineStr">
        <is>
          <t>2023-07-14</t>
        </is>
      </c>
      <c r="B17" t="inlineStr">
        <is>
          <t>2024년 2월 결산기 １분기 결산단신</t>
        </is>
      </c>
      <c r="C17" t="inlineStr">
        <is>
          <t>https://www2.jpx.co.jp/disc/65720/140120230714522700.pdf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https://www2.jpx.co.jp/disc/65720/140120230414547751.pdf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https://www2.jpx.co.jp/disc/65720/140120230113589125.pdf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https://www2.jpx.co.jp/disc/65720/140120220414521925.pdf</t>
        </is>
      </c>
    </row>
    <row r="21">
      <c r="A21" t="inlineStr">
        <is>
          <t>2021-04-14</t>
        </is>
      </c>
      <c r="B21" t="inlineStr">
        <is>
          <t>2021년 2월 결산기 연간 결산단신</t>
        </is>
      </c>
      <c r="C21" t="inlineStr">
        <is>
          <t>https://www2.jpx.co.jp/disc/65720/140120210414494412.pdf</t>
        </is>
      </c>
    </row>
    <row r="22">
      <c r="A22" t="inlineStr">
        <is>
          <t>2020-04-14</t>
        </is>
      </c>
      <c r="B22" t="inlineStr">
        <is>
          <t>2020년 2월 결산기 연간 결산단신</t>
        </is>
      </c>
      <c r="C22" t="inlineStr">
        <is>
          <t>https://www2.jpx.co.jp/disc/65720/140120200414493837.pdf</t>
        </is>
      </c>
    </row>
    <row r="23">
      <c r="A23" t="inlineStr">
        <is>
          <t>2019-04-15</t>
        </is>
      </c>
      <c r="B23" t="inlineStr">
        <is>
          <t>2019년 2월 결산기 연간 결산단신</t>
        </is>
      </c>
      <c r="C23" t="inlineStr">
        <is>
          <t>https://www2.jpx.co.jp/disc/65720/140120190415404635.pdf</t>
        </is>
      </c>
    </row>
    <row r="24">
      <c r="A24" t="inlineStr">
        <is>
          <t>2018-04-13</t>
        </is>
      </c>
      <c r="B24" t="inlineStr">
        <is>
          <t>연간 결산단신</t>
        </is>
      </c>
      <c r="C24" t="inlineStr">
        <is>
          <t>https://www2.jpx.co.jp/disc/65720/140120180413410718.pdf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2026-10-27T05:17:45Z</dcterms:created>
  <dcterms:modified xmlns:dcterms="http://purl.org/dc/terms/" xmlns:xsi="http://www.w3.org/2001/XMLSchema-instance" xsi:type="dcterms:W3CDTF">2026-10-27T05:17:46Z</dcterms:modified>
</cp:coreProperties>
</file>