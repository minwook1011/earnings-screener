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  <sheet xmlns:r="http://schemas.openxmlformats.org/officeDocument/2006/relationships" name="재무제표 한눈에 보기" sheetId="5" state="visible" r:id="rId5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  <numFmt numFmtId="170" formatCode="0.0&quot;%&quot;"/>
  </numFmts>
  <fonts count="25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  <font>
      <name val="맑은 고딕"/>
      <b val="1"/>
      <sz val="12"/>
    </font>
    <font>
      <name val="맑은 고딕"/>
      <color rgb="00666666"/>
      <sz val="8"/>
    </font>
    <font>
      <name val="맑은 고딕"/>
      <b val="1"/>
      <sz val="9"/>
    </font>
    <font>
      <name val="맑은 고딕"/>
      <sz val="9"/>
    </font>
  </fonts>
  <fills count="9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  <fill>
      <patternFill patternType="solid">
        <fgColor rgb="00D9E1F2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  <xf numFmtId="0" fontId="21" fillId="0" borderId="0" pivotButton="0" quotePrefix="0" xfId="0"/>
    <xf numFmtId="0" fontId="22" fillId="0" borderId="0" pivotButton="0" quotePrefix="0" xfId="0"/>
    <xf numFmtId="0" fontId="23" fillId="0" borderId="0" pivotButton="0" quotePrefix="0" xfId="0"/>
    <xf numFmtId="0" fontId="23" fillId="8" borderId="0" applyAlignment="1" pivotButton="0" quotePrefix="0" xfId="0">
      <alignment horizontal="center"/>
    </xf>
    <xf numFmtId="0" fontId="24" fillId="0" borderId="0" pivotButton="0" quotePrefix="0" xfId="0"/>
    <xf numFmtId="3" fontId="24" fillId="0" borderId="0" pivotButton="0" quotePrefix="0" xfId="0"/>
    <xf numFmtId="170" fontId="24" fillId="0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매출액 (억 엔) · 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보기'!A5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보기'!$B$5:$AO$5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보기'!A6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보기'!$B$6:$AO$6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부문별 매출 (억 엔)</a:t>
            </a:r>
          </a:p>
        </rich>
      </tx>
    </title>
    <plotArea>
      <lineChart>
        <grouping val="standard"/>
        <varyColors val="0"/>
        <ser>
          <idx val="0"/>
          <order val="0"/>
          <tx>
            <strRef>
              <f>'재무제표 한눈에 보기'!A24</f>
            </strRef>
          </tx>
          <spPr>
            <a:ln xmlns:a="http://schemas.openxmlformats.org/drawingml/2006/main" w="22000">
              <a:solidFill>
                <a:srgbClr val="4472C4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4472C4"/>
              </a:solidFill>
              <a:ln xmlns:a="http://schemas.openxmlformats.org/drawingml/2006/main">
                <a:solidFill>
                  <a:srgbClr val="4472C4"/>
                </a:solidFill>
                <a:prstDash val="solid"/>
              </a:ln>
            </spPr>
          </marker>
          <cat>
            <numRef>
              <f>'재무제표 한눈에 보기'!$B$4:$AO$4</f>
            </numRef>
          </cat>
          <val>
            <numRef>
              <f>'재무제표 한눈에 보기'!$B$24:$AO$24</f>
            </numRef>
          </val>
          <smooth val="0"/>
        </ser>
        <dLbls>
          <numFmt formatCode="#,##0"/>
          <dLblPos val="t"/>
          <showLegendKey val="0"/>
          <showVal val="1"/>
          <showCatName val="0"/>
          <showSerName val="0"/>
        </dLbls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영업이익 (억 엔) · OPM·YoY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보기'!A7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보기'!$B$7:$AO$7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1"/>
          <order val="1"/>
          <tx>
            <strRef>
              <f>'재무제표 한눈에 보기'!A8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ED7D31"/>
              </a:solidFill>
              <a:ln xmlns:a="http://schemas.openxmlformats.org/drawingml/2006/main">
                <a:solidFill>
                  <a:srgbClr val="ED7D31"/>
                </a:solidFill>
                <a:prstDash val="solid"/>
              </a:ln>
            </spPr>
          </marker>
          <val>
            <numRef>
              <f>'재무제표 한눈에 보기'!$B$8:$AO$8</f>
            </numRef>
          </val>
          <smooth val="0"/>
        </ser>
        <ser>
          <idx val="2"/>
          <order val="2"/>
          <tx>
            <strRef>
              <f>'재무제표 한눈에 보기'!A9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보기'!$B$9:$AO$9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재무 안정성 — 총 차입금·현금 (억 엔) · 부채비율 (%)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strRef>
              <f>'재무제표 한눈에 보기'!A22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solidFill>
                <a:srgbClr val="4472C4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보기'!$B$22:$AO$22</f>
            </numRef>
          </val>
        </ser>
        <ser>
          <idx val="1"/>
          <order val="1"/>
          <tx>
            <strRef>
              <f>'재무제표 한눈에 보기'!A23</f>
            </strRef>
          </tx>
          <spPr>
            <a:solidFill xmlns:a="http://schemas.openxmlformats.org/drawingml/2006/main">
              <a:srgbClr val="ED7D31"/>
            </a:solidFill>
            <a:ln xmlns:a="http://schemas.openxmlformats.org/drawingml/2006/main">
              <a:solidFill>
                <a:srgbClr val="ED7D31"/>
              </a:solidFill>
              <a:prstDash val="solid"/>
            </a:ln>
          </spPr>
          <cat>
            <numRef>
              <f>'재무제표 한눈에 보기'!$B$4:$AO$4</f>
            </numRef>
          </cat>
          <val>
            <numRef>
              <f>'재무제표 한눈에 보기'!$B$23:$AO$23</f>
            </numRef>
          </val>
        </ser>
        <dLbls>
          <numFmt formatCode="#,##0"/>
          <dLblPos val="outEnd"/>
          <showLegendKey val="0"/>
          <showVal val="1"/>
          <showCatName val="0"/>
          <showSerName val="0"/>
        </dLbls>
        <gapWidth val="40"/>
        <axId val="10"/>
        <axId val="100"/>
      </barChart>
      <lineChart>
        <grouping val="standard"/>
        <ser>
          <idx val="2"/>
          <order val="2"/>
          <tx>
            <strRef>
              <f>'재무제표 한눈에 보기'!A15</f>
            </strRef>
          </tx>
          <spPr>
            <a:ln xmlns:a="http://schemas.openxmlformats.org/drawingml/2006/main">
              <a:solidFill>
                <a:srgbClr val="A5A5A5"/>
              </a:solidFill>
              <a:prstDash val="solid"/>
            </a:ln>
          </spPr>
          <marker>
            <symbol val="circle"/>
            <size val="5"/>
            <spPr>
              <a:solidFill xmlns:a="http://schemas.openxmlformats.org/drawingml/2006/main">
                <a:srgbClr val="A5A5A5"/>
              </a:solidFill>
              <a:ln xmlns:a="http://schemas.openxmlformats.org/drawingml/2006/main">
                <a:solidFill>
                  <a:srgbClr val="A5A5A5"/>
                </a:solidFill>
                <a:prstDash val="solid"/>
              </a:ln>
            </spPr>
          </marker>
          <val>
            <numRef>
              <f>'재무제표 한눈에 보기'!$B$15:$AO$15</f>
            </numRef>
          </val>
          <smooth val="0"/>
        </ser>
        <dLbls>
          <numFmt formatCode="0&quot;%&quot;"/>
          <dLblPos val="t"/>
          <showLegendKey val="0"/>
          <showVal val="1"/>
          <showCatName val="0"/>
          <showSerName val="0"/>
        </dLbls>
        <axId val="10"/>
        <axId val="200"/>
      </lineChart>
      <catAx>
        <axId val="10"/>
        <scaling>
          <orientation val="minMax"/>
        </scaling>
        <delete val="0"/>
        <axPos val="l"/>
        <majorTickMark val="none"/>
        <minorTickMark val="none"/>
        <tickLblPos val="low"/>
        <crossAx val="100"/>
        <lblOffset val="100"/>
      </catAx>
      <valAx>
        <axId val="100"/>
        <scaling>
          <orientation val="minMax"/>
        </scaling>
        <delete val="0"/>
        <axPos val="l"/>
        <majorTickMark val="none"/>
        <minorTickMark val="none"/>
        <crossAx val="10"/>
      </valAx>
      <valAx>
        <axId val="20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</a:t>
                </a:r>
              </a:p>
            </rich>
          </tx>
        </title>
        <majorTickMark val="none"/>
        <minorTickMark val="none"/>
        <crossAx val="10"/>
        <crosses val="max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26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22</col>
      <colOff>0</colOff>
      <row>26</row>
      <rowOff>0</rowOff>
    </from>
    <ext cx="86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45</row>
      <rowOff>0</rowOff>
    </from>
    <ext cx="8640000" cy="32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22</col>
      <colOff>0</colOff>
      <row>45</row>
      <rowOff>0</rowOff>
    </from>
    <ext cx="8640000" cy="32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4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1941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48601</v>
      </c>
      <c r="D4" s="12" t="n">
        <v>25847</v>
      </c>
      <c r="E4" s="12" t="n">
        <v>45650</v>
      </c>
      <c r="F4" s="12" t="n">
        <v>52589</v>
      </c>
      <c r="G4" s="12" t="n">
        <v>55157</v>
      </c>
      <c r="H4" s="12" t="n">
        <v>68489</v>
      </c>
      <c r="I4" s="12" t="n">
        <v>44422</v>
      </c>
      <c r="J4" s="12" t="n">
        <v>51332</v>
      </c>
      <c r="K4" s="12" t="n">
        <v>53814</v>
      </c>
      <c r="L4" s="12" t="n">
        <v>78282</v>
      </c>
      <c r="M4" s="12" t="n">
        <v>50333</v>
      </c>
      <c r="N4" s="12" t="n">
        <v>56043</v>
      </c>
      <c r="O4" s="11" t="n">
        <v>132512</v>
      </c>
      <c r="P4" s="12" t="n">
        <v>131809</v>
      </c>
      <c r="Q4" s="12" t="n">
        <v>153322</v>
      </c>
      <c r="R4" s="12" t="n">
        <v>149347</v>
      </c>
      <c r="S4" s="12" t="n">
        <v>148443</v>
      </c>
      <c r="T4" s="12" t="n">
        <v>190690</v>
      </c>
      <c r="U4" s="12" t="n">
        <v>189032</v>
      </c>
      <c r="V4" s="12" t="n">
        <v>157147</v>
      </c>
      <c r="W4" s="12" t="n">
        <v>221885</v>
      </c>
      <c r="X4" s="12" t="n">
        <v>227850</v>
      </c>
      <c r="Y4" s="11">
        <f>IF(COUNT(Y7,Y10,Y13)=0,"",SUM(Y7,Y10,Y13))</f>
        <v/>
      </c>
      <c r="Z4" s="12">
        <f>IF(COUNT(Z7,Z10,Z13)=0,"",SUM(Z7,Z10,Z13))</f>
        <v/>
      </c>
      <c r="AA4" s="12">
        <f>IF(COUNT(AA7,AA10,AA13)=0,"",SUM(AA7,AA10,AA13))</f>
        <v/>
      </c>
      <c r="AB4" s="12">
        <f>IF(COUNT(AB7,AB10,AB13)=0,"",SUM(AB7,AB10,AB13))</f>
        <v/>
      </c>
      <c r="AC4" s="12">
        <f>IF(COUNT(AC7,AC10,AC13)=0,"",SUM(AC7,AC10,AC13))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EquipmentInstallationReportableSegmentMember</t>
        </is>
      </c>
      <c r="B7" s="10" t="n"/>
      <c r="C7" s="19" t="n"/>
      <c r="D7" s="20" t="n">
        <v>63588</v>
      </c>
      <c r="E7" s="20" t="n">
        <v>40356</v>
      </c>
      <c r="F7" s="20" t="n"/>
      <c r="G7" s="20" t="n"/>
      <c r="H7" s="20" t="n">
        <v>61803</v>
      </c>
      <c r="I7" s="20" t="n">
        <v>39400</v>
      </c>
      <c r="J7" s="20" t="n"/>
      <c r="K7" s="20" t="n"/>
      <c r="L7" s="20" t="n">
        <v>71467</v>
      </c>
      <c r="M7" s="20" t="n">
        <v>45029</v>
      </c>
      <c r="N7" s="20" t="n"/>
      <c r="O7" s="19" t="n"/>
      <c r="P7" s="20" t="n"/>
      <c r="Q7" s="20" t="n"/>
      <c r="R7" s="20" t="n"/>
      <c r="S7" s="20" t="n"/>
      <c r="T7" s="20" t="n"/>
      <c r="U7" s="20" t="n"/>
      <c r="V7" s="20" t="n">
        <v>178378</v>
      </c>
      <c r="W7" s="20" t="n">
        <v>198098</v>
      </c>
      <c r="X7" s="20" t="n">
        <v>204448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기타</t>
        </is>
      </c>
      <c r="B10" s="10" t="n"/>
      <c r="C10" s="19" t="n"/>
      <c r="D10" s="20" t="n">
        <v>6137</v>
      </c>
      <c r="E10" s="20" t="n">
        <v>5294</v>
      </c>
      <c r="F10" s="20" t="n"/>
      <c r="G10" s="20" t="n"/>
      <c r="H10" s="20" t="n">
        <v>6687</v>
      </c>
      <c r="I10" s="20" t="n">
        <v>5022</v>
      </c>
      <c r="J10" s="20" t="n"/>
      <c r="K10" s="20" t="n"/>
      <c r="L10" s="20" t="n">
        <v>6815</v>
      </c>
      <c r="M10" s="20" t="n">
        <v>5304</v>
      </c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>
        <v>22646</v>
      </c>
      <c r="W10" s="20" t="n">
        <v>23787</v>
      </c>
      <c r="X10" s="20" t="n">
        <v>23401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EntityTotalMember</t>
        </is>
      </c>
      <c r="B13" s="10" t="n"/>
      <c r="C13" s="19" t="n"/>
      <c r="D13" s="20" t="n"/>
      <c r="E13" s="20" t="n">
        <v>45650</v>
      </c>
      <c r="F13" s="20" t="n"/>
      <c r="G13" s="20" t="n"/>
      <c r="H13" s="20" t="n"/>
      <c r="I13" s="20" t="n">
        <v>44422</v>
      </c>
      <c r="J13" s="20" t="n"/>
      <c r="K13" s="20" t="n"/>
      <c r="L13" s="20" t="n"/>
      <c r="M13" s="20" t="n">
        <v>50333</v>
      </c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6" t="inlineStr">
        <is>
          <t>매출원가</t>
        </is>
      </c>
      <c r="B16" s="16" t="n"/>
      <c r="C16" s="17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7" t="n"/>
      <c r="P16" s="16" t="n"/>
      <c r="Q16" s="16" t="n"/>
      <c r="R16" s="16" t="n"/>
      <c r="S16" s="16" t="n"/>
      <c r="T16" s="16" t="n"/>
      <c r="U16" s="16" t="n"/>
      <c r="V16" s="16" t="n"/>
      <c r="W16" s="16" t="n"/>
      <c r="X16" s="16" t="n"/>
      <c r="Y16" s="17" t="n"/>
      <c r="Z16" s="16" t="n"/>
      <c r="AA16" s="16" t="n"/>
      <c r="AB16" s="16" t="n"/>
      <c r="AC16" s="16" t="n"/>
    </row>
    <row r="17">
      <c r="A17" s="18" t="inlineStr">
        <is>
          <t>전체 매출원가</t>
        </is>
      </c>
      <c r="B17" s="10" t="n"/>
      <c r="C17" s="19" t="n">
        <v>41576</v>
      </c>
      <c r="D17" s="20" t="n">
        <v>23719</v>
      </c>
      <c r="E17" s="20" t="n">
        <v>38773</v>
      </c>
      <c r="F17" s="20" t="n">
        <v>43248</v>
      </c>
      <c r="G17" s="20" t="n">
        <v>44642</v>
      </c>
      <c r="H17" s="20" t="n">
        <v>56294</v>
      </c>
      <c r="I17" s="20" t="n">
        <v>35816</v>
      </c>
      <c r="J17" s="20" t="n">
        <v>40814</v>
      </c>
      <c r="K17" s="20" t="n">
        <v>42728</v>
      </c>
      <c r="L17" s="20" t="n">
        <v>63694</v>
      </c>
      <c r="M17" s="20" t="n">
        <v>40706</v>
      </c>
      <c r="N17" s="20" t="n">
        <v>43630</v>
      </c>
      <c r="O17" s="19" t="n">
        <v>114718</v>
      </c>
      <c r="P17" s="20" t="n">
        <v>115058</v>
      </c>
      <c r="Q17" s="20" t="n">
        <v>133986</v>
      </c>
      <c r="R17" s="20" t="n">
        <v>132698</v>
      </c>
      <c r="S17" s="20" t="n">
        <v>131555</v>
      </c>
      <c r="T17" s="20" t="n">
        <v>164450</v>
      </c>
      <c r="U17" s="20" t="n">
        <v>165044</v>
      </c>
      <c r="V17" s="20" t="n">
        <v>138560</v>
      </c>
      <c r="W17" s="20" t="n">
        <v>182957</v>
      </c>
      <c r="X17" s="20" t="n">
        <v>183052</v>
      </c>
      <c r="Y17" s="19" t="n"/>
      <c r="Z17" s="20" t="n"/>
      <c r="AA17" s="20" t="n"/>
      <c r="AB17" s="20" t="n"/>
      <c r="AC17" s="20" t="n"/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IF(OR(G17="",C17=""),"",IF(C17&lt;=0,"",IFERROR(G17/C17-1,"")))</f>
        <v/>
      </c>
      <c r="H18" s="15">
        <f>IF(OR(H17="",D17=""),"",IF(D17&lt;=0,"",IFERROR(H17/D17-1,"")))</f>
        <v/>
      </c>
      <c r="I18" s="15">
        <f>IF(OR(I17="",E17=""),"",IF(E17&lt;=0,"",IFERROR(I17/E17-1,"")))</f>
        <v/>
      </c>
      <c r="J18" s="15">
        <f>IF(OR(J17="",F17=""),"",IF(F17&lt;=0,"",IFERROR(J17/F17-1,"")))</f>
        <v/>
      </c>
      <c r="K18" s="15">
        <f>IF(OR(K17="",G17=""),"",IF(G17&lt;=0,"",IFERROR(K17/G17-1,"")))</f>
        <v/>
      </c>
      <c r="L18" s="15">
        <f>IF(OR(L17="",H17=""),"",IF(H17&lt;=0,"",IFERROR(L17/H17-1,"")))</f>
        <v/>
      </c>
      <c r="M18" s="15">
        <f>IF(OR(M17="",I17=""),"",IF(I17&lt;=0,"",IFERROR(M17/I17-1,"")))</f>
        <v/>
      </c>
      <c r="N18" s="15">
        <f>IF(OR(N17="",J17=""),"",IF(J17&lt;=0,"",IFERROR(N17/J17-1,"")))</f>
        <v/>
      </c>
      <c r="O18" s="14" t="n"/>
      <c r="P18" s="15">
        <f>IF(OR(P17="",O17=""),"",IF(O17&lt;=0,"",IFERROR(P17/O17-1,"")))</f>
        <v/>
      </c>
      <c r="Q18" s="15">
        <f>IF(OR(Q17="",P17=""),"",IF(P17&lt;=0,"",IFERROR(Q17/P17-1,"")))</f>
        <v/>
      </c>
      <c r="R18" s="15">
        <f>IF(OR(R17="",Q17=""),"",IF(Q17&lt;=0,"",IFERROR(R17/Q17-1,"")))</f>
        <v/>
      </c>
      <c r="S18" s="15">
        <f>IF(OR(S17="",R17=""),"",IF(R17&lt;=0,"",IFERROR(S17/R17-1,"")))</f>
        <v/>
      </c>
      <c r="T18" s="15">
        <f>IF(OR(T17="",S17=""),"",IF(S17&lt;=0,"",IFERROR(T17/S17-1,"")))</f>
        <v/>
      </c>
      <c r="U18" s="15">
        <f>IF(OR(U17="",T17=""),"",IF(T17&lt;=0,"",IFERROR(U17/T17-1,"")))</f>
        <v/>
      </c>
      <c r="V18" s="15">
        <f>IF(OR(V17="",U17=""),"",IF(U17&lt;=0,"",IFERROR(V17/U17-1,"")))</f>
        <v/>
      </c>
      <c r="W18" s="15">
        <f>IF(OR(W17="",V17=""),"",IF(V17&lt;=0,"",IFERROR(W17/V17-1,"")))</f>
        <v/>
      </c>
      <c r="X18" s="15">
        <f>IF(OR(X17="",W17=""),"",IF(W17&lt;=0,"",IFERROR(X17/W17-1,"")))</f>
        <v/>
      </c>
      <c r="Y18" s="14">
        <f>IF(OR(Y17="",X17=""),"",IF(X17&lt;=0,"",IFERROR(Y17/X17-1,"")))</f>
        <v/>
      </c>
      <c r="Z18" s="15">
        <f>IF(OR(Z17="",Y17=""),"",IF(Y17&lt;=0,"",IFERROR(Z17/Y17-1,"")))</f>
        <v/>
      </c>
      <c r="AA18" s="15">
        <f>IF(OR(AA17="",Z17=""),"",IF(Z17&lt;=0,"",IFERROR(AA17/Z17-1,"")))</f>
        <v/>
      </c>
      <c r="AB18" s="15">
        <f>IF(OR(AB17="",AA17=""),"",IF(AA17&lt;=0,"",IFERROR(AB17/AA17-1,"")))</f>
        <v/>
      </c>
      <c r="AC18" s="15">
        <f>IF(OR(AC17="",AB17=""),"",IF(AB17&lt;=0,"",IFERROR(AC17/AB17-1,"")))</f>
        <v/>
      </c>
    </row>
    <row r="19">
      <c r="A19" s="18" t="inlineStr">
        <is>
          <t>매출총이익</t>
        </is>
      </c>
      <c r="B19" s="10" t="n"/>
      <c r="C19" s="19">
        <f>IF(OR(C4="",C17=""),"",IFERROR(C4-C17,""))</f>
        <v/>
      </c>
      <c r="D19" s="20">
        <f>IF(OR(D4="",D17=""),"",IFERROR(D4-D17,""))</f>
        <v/>
      </c>
      <c r="E19" s="20">
        <f>IF(OR(E4="",E17=""),"",IFERROR(E4-E17,""))</f>
        <v/>
      </c>
      <c r="F19" s="20">
        <f>IF(OR(F4="",F17=""),"",IFERROR(F4-F17,""))</f>
        <v/>
      </c>
      <c r="G19" s="20">
        <f>IF(OR(G4="",G17=""),"",IFERROR(G4-G17,""))</f>
        <v/>
      </c>
      <c r="H19" s="20">
        <f>IF(OR(H4="",H17=""),"",IFERROR(H4-H17,""))</f>
        <v/>
      </c>
      <c r="I19" s="20">
        <f>IF(OR(I4="",I17=""),"",IFERROR(I4-I17,""))</f>
        <v/>
      </c>
      <c r="J19" s="20">
        <f>IF(OR(J4="",J17=""),"",IFERROR(J4-J17,""))</f>
        <v/>
      </c>
      <c r="K19" s="20">
        <f>IF(OR(K4="",K17=""),"",IFERROR(K4-K17,""))</f>
        <v/>
      </c>
      <c r="L19" s="20">
        <f>IF(OR(L4="",L17=""),"",IFERROR(L4-L17,""))</f>
        <v/>
      </c>
      <c r="M19" s="20">
        <f>IF(OR(M4="",M17=""),"",IFERROR(M4-M17,""))</f>
        <v/>
      </c>
      <c r="N19" s="20">
        <f>IF(OR(N4="",N17=""),"",IFERROR(N4-N17,""))</f>
        <v/>
      </c>
      <c r="O19" s="19">
        <f>IF(OR(O4="",O17=""),"",IFERROR(O4-O17,""))</f>
        <v/>
      </c>
      <c r="P19" s="20">
        <f>IF(OR(P4="",P17=""),"",IFERROR(P4-P17,""))</f>
        <v/>
      </c>
      <c r="Q19" s="20">
        <f>IF(OR(Q4="",Q17=""),"",IFERROR(Q4-Q17,""))</f>
        <v/>
      </c>
      <c r="R19" s="20">
        <f>IF(OR(R4="",R17=""),"",IFERROR(R4-R17,""))</f>
        <v/>
      </c>
      <c r="S19" s="20">
        <f>IF(OR(S4="",S17=""),"",IFERROR(S4-S17,""))</f>
        <v/>
      </c>
      <c r="T19" s="20">
        <f>IF(OR(T4="",T17=""),"",IFERROR(T4-T17,""))</f>
        <v/>
      </c>
      <c r="U19" s="20">
        <f>IF(OR(U4="",U17=""),"",IFERROR(U4-U17,""))</f>
        <v/>
      </c>
      <c r="V19" s="20">
        <f>IF(OR(V4="",V17=""),"",IFERROR(V4-V17,""))</f>
        <v/>
      </c>
      <c r="W19" s="20">
        <f>IF(OR(W4="",W17=""),"",IFERROR(W4-W17,""))</f>
        <v/>
      </c>
      <c r="X19" s="20">
        <f>IF(OR(X4="",X17=""),"",IFERROR(X4-X17,""))</f>
        <v/>
      </c>
      <c r="Y19" s="19" t="n"/>
      <c r="Z19" s="20" t="n"/>
      <c r="AA19" s="20" t="n"/>
      <c r="AB19" s="20" t="n"/>
      <c r="AC19" s="20" t="n"/>
    </row>
    <row r="20">
      <c r="A20" s="13" t="inlineStr">
        <is>
          <t>GPM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IF(OR(G19="",C19=""),"",IF(C19&lt;=0,"",IFERROR(G19/C19-1,"")))</f>
        <v/>
      </c>
      <c r="H21" s="15">
        <f>IF(OR(H19="",D19=""),"",IF(D19&lt;=0,"",IFERROR(H19/D19-1,"")))</f>
        <v/>
      </c>
      <c r="I21" s="15">
        <f>IF(OR(I19="",E19=""),"",IF(E19&lt;=0,"",IFERROR(I19/E19-1,"")))</f>
        <v/>
      </c>
      <c r="J21" s="15">
        <f>IF(OR(J19="",F19=""),"",IF(F19&lt;=0,"",IFERROR(J19/F19-1,"")))</f>
        <v/>
      </c>
      <c r="K21" s="15">
        <f>IF(OR(K19="",G19=""),"",IF(G19&lt;=0,"",IFERROR(K19/G19-1,"")))</f>
        <v/>
      </c>
      <c r="L21" s="15">
        <f>IF(OR(L19="",H19=""),"",IF(H19&lt;=0,"",IFERROR(L19/H19-1,"")))</f>
        <v/>
      </c>
      <c r="M21" s="15">
        <f>IF(OR(M19="",I19=""),"",IF(I19&lt;=0,"",IFERROR(M19/I19-1,"")))</f>
        <v/>
      </c>
      <c r="N21" s="15">
        <f>IF(OR(N19="",J19=""),"",IF(J19&lt;=0,"",IFERROR(N19/J19-1,"")))</f>
        <v/>
      </c>
      <c r="O21" s="14" t="n"/>
      <c r="P21" s="15">
        <f>IF(OR(P19="",O19=""),"",IF(O19&lt;=0,"",IFERROR(P19/O19-1,"")))</f>
        <v/>
      </c>
      <c r="Q21" s="15">
        <f>IF(OR(Q19="",P19=""),"",IF(P19&lt;=0,"",IFERROR(Q19/P19-1,"")))</f>
        <v/>
      </c>
      <c r="R21" s="15">
        <f>IF(OR(R19="",Q19=""),"",IF(Q19&lt;=0,"",IFERROR(R19/Q19-1,"")))</f>
        <v/>
      </c>
      <c r="S21" s="15">
        <f>IF(OR(S19="",R19=""),"",IF(R19&lt;=0,"",IFERROR(S19/R19-1,"")))</f>
        <v/>
      </c>
      <c r="T21" s="15">
        <f>IF(OR(T19="",S19=""),"",IF(S19&lt;=0,"",IFERROR(T19/S19-1,"")))</f>
        <v/>
      </c>
      <c r="U21" s="15">
        <f>IF(OR(U19="",T19=""),"",IF(T19&lt;=0,"",IFERROR(U19/T19-1,"")))</f>
        <v/>
      </c>
      <c r="V21" s="15">
        <f>IF(OR(V19="",U19=""),"",IF(U19&lt;=0,"",IFERROR(V19/U19-1,"")))</f>
        <v/>
      </c>
      <c r="W21" s="15">
        <f>IF(OR(W19="",V19=""),"",IF(V19&lt;=0,"",IFERROR(W19/V19-1,"")))</f>
        <v/>
      </c>
      <c r="X21" s="15">
        <f>IF(OR(X19="",W19=""),"",IF(W19&lt;=0,"",IFERROR(X19/W19-1,"")))</f>
        <v/>
      </c>
      <c r="Y21" s="14">
        <f>IF(OR(Y19="",X19=""),"",IF(X19&lt;=0,"",IFERROR(Y19/X19-1,"")))</f>
        <v/>
      </c>
      <c r="Z21" s="15">
        <f>IF(OR(Z19="",Y19=""),"",IF(Y19&lt;=0,"",IFERROR(Z19/Y19-1,"")))</f>
        <v/>
      </c>
      <c r="AA21" s="15">
        <f>IF(OR(AA19="",Z19=""),"",IF(Z19&lt;=0,"",IFERROR(AA19/Z19-1,"")))</f>
        <v/>
      </c>
      <c r="AB21" s="15">
        <f>IF(OR(AB19="",AA19=""),"",IF(AA19&lt;=0,"",IFERROR(AB19/AA19-1,"")))</f>
        <v/>
      </c>
      <c r="AC21" s="15">
        <f>IF(OR(AC19="",AB19=""),"",IF(AB19&lt;=0,"",IFERROR(AC19/AB19-1,"")))</f>
        <v/>
      </c>
    </row>
    <row r="22">
      <c r="A22" s="23" t="inlineStr">
        <is>
          <t>판매관리비</t>
        </is>
      </c>
      <c r="B22" s="23" t="n"/>
      <c r="C22" s="24" t="n"/>
      <c r="D22" s="23" t="n"/>
      <c r="E22" s="23" t="n"/>
      <c r="F22" s="23" t="n"/>
      <c r="G22" s="23" t="n"/>
      <c r="H22" s="23" t="n"/>
      <c r="I22" s="23" t="n"/>
      <c r="J22" s="23" t="n"/>
      <c r="K22" s="23" t="n"/>
      <c r="L22" s="23" t="n"/>
      <c r="M22" s="23" t="n"/>
      <c r="N22" s="23" t="n"/>
      <c r="O22" s="24" t="n"/>
      <c r="P22" s="23" t="n"/>
      <c r="Q22" s="23" t="n"/>
      <c r="R22" s="23" t="n"/>
      <c r="S22" s="23" t="n"/>
      <c r="T22" s="23" t="n"/>
      <c r="U22" s="23" t="n"/>
      <c r="V22" s="23" t="n"/>
      <c r="W22" s="23" t="n"/>
      <c r="X22" s="23" t="n"/>
      <c r="Y22" s="24" t="n"/>
      <c r="Z22" s="23" t="n"/>
      <c r="AA22" s="23" t="n"/>
      <c r="AB22" s="23" t="n"/>
      <c r="AC22" s="23" t="n"/>
    </row>
    <row r="23">
      <c r="A23" s="18" t="inlineStr">
        <is>
          <t>전체 판관비</t>
        </is>
      </c>
      <c r="B23" s="10" t="n"/>
      <c r="C23" s="19" t="n">
        <v>3823</v>
      </c>
      <c r="D23" s="20" t="n">
        <v>-3009</v>
      </c>
      <c r="E23" s="20" t="n">
        <v>4022</v>
      </c>
      <c r="F23" s="20" t="n">
        <v>4019</v>
      </c>
      <c r="G23" s="20" t="n">
        <v>3895</v>
      </c>
      <c r="H23" s="20" t="n">
        <v>5293</v>
      </c>
      <c r="I23" s="20" t="n">
        <v>4335</v>
      </c>
      <c r="J23" s="20" t="n">
        <v>4206</v>
      </c>
      <c r="K23" s="20" t="n">
        <v>4106</v>
      </c>
      <c r="L23" s="20" t="n">
        <v>5970</v>
      </c>
      <c r="M23" s="20" t="n">
        <v>4438</v>
      </c>
      <c r="N23" s="20" t="n">
        <v>4404</v>
      </c>
      <c r="O23" s="19" t="n">
        <v>8862</v>
      </c>
      <c r="P23" s="20" t="n">
        <v>8835</v>
      </c>
      <c r="Q23" s="20" t="n">
        <v>12848</v>
      </c>
      <c r="R23" s="20" t="n">
        <v>8748</v>
      </c>
      <c r="S23" s="20" t="n">
        <v>8756</v>
      </c>
      <c r="T23" s="20" t="n">
        <v>15813</v>
      </c>
      <c r="U23" s="20" t="n">
        <v>15625</v>
      </c>
      <c r="V23" s="20" t="n">
        <v>8767</v>
      </c>
      <c r="W23" s="20" t="n">
        <v>17229</v>
      </c>
      <c r="X23" s="20" t="n">
        <v>18617</v>
      </c>
      <c r="Y23" s="19" t="n"/>
      <c r="Z23" s="20" t="n"/>
      <c r="AA23" s="20" t="n"/>
      <c r="AB23" s="20" t="n"/>
      <c r="AC23" s="20" t="n"/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IF(OR(G23="",C23=""),"",IF(C23&lt;=0,"",IFERROR(G23/C23-1,"")))</f>
        <v/>
      </c>
      <c r="H24" s="15">
        <f>IF(OR(H23="",D23=""),"",IF(D23&lt;=0,"",IFERROR(H23/D23-1,"")))</f>
        <v/>
      </c>
      <c r="I24" s="15">
        <f>IF(OR(I23="",E23=""),"",IF(E23&lt;=0,"",IFERROR(I23/E23-1,"")))</f>
        <v/>
      </c>
      <c r="J24" s="15">
        <f>IF(OR(J23="",F23=""),"",IF(F23&lt;=0,"",IFERROR(J23/F23-1,"")))</f>
        <v/>
      </c>
      <c r="K24" s="15">
        <f>IF(OR(K23="",G23=""),"",IF(G23&lt;=0,"",IFERROR(K23/G23-1,"")))</f>
        <v/>
      </c>
      <c r="L24" s="15">
        <f>IF(OR(L23="",H23=""),"",IF(H23&lt;=0,"",IFERROR(L23/H23-1,"")))</f>
        <v/>
      </c>
      <c r="M24" s="15">
        <f>IF(OR(M23="",I23=""),"",IF(I23&lt;=0,"",IFERROR(M23/I23-1,"")))</f>
        <v/>
      </c>
      <c r="N24" s="15">
        <f>IF(OR(N23="",J23=""),"",IF(J23&lt;=0,"",IFERROR(N23/J23-1,"")))</f>
        <v/>
      </c>
      <c r="O24" s="14" t="n"/>
      <c r="P24" s="15">
        <f>IF(OR(P23="",O23=""),"",IF(O23&lt;=0,"",IFERROR(P23/O23-1,"")))</f>
        <v/>
      </c>
      <c r="Q24" s="15">
        <f>IF(OR(Q23="",P23=""),"",IF(P23&lt;=0,"",IFERROR(Q23/P23-1,"")))</f>
        <v/>
      </c>
      <c r="R24" s="15">
        <f>IF(OR(R23="",Q23=""),"",IF(Q23&lt;=0,"",IFERROR(R23/Q23-1,"")))</f>
        <v/>
      </c>
      <c r="S24" s="15">
        <f>IF(OR(S23="",R23=""),"",IF(R23&lt;=0,"",IFERROR(S23/R23-1,"")))</f>
        <v/>
      </c>
      <c r="T24" s="15">
        <f>IF(OR(T23="",S23=""),"",IF(S23&lt;=0,"",IFERROR(T23/S23-1,"")))</f>
        <v/>
      </c>
      <c r="U24" s="15">
        <f>IF(OR(U23="",T23=""),"",IF(T23&lt;=0,"",IFERROR(U23/T23-1,"")))</f>
        <v/>
      </c>
      <c r="V24" s="15">
        <f>IF(OR(V23="",U23=""),"",IF(U23&lt;=0,"",IFERROR(V23/U23-1,"")))</f>
        <v/>
      </c>
      <c r="W24" s="15">
        <f>IF(OR(W23="",V23=""),"",IF(V23&lt;=0,"",IFERROR(W23/V23-1,"")))</f>
        <v/>
      </c>
      <c r="X24" s="15">
        <f>IF(OR(X23="",W23=""),"",IF(W23&lt;=0,"",IFERROR(X23/W23-1,"")))</f>
        <v/>
      </c>
      <c r="Y24" s="14">
        <f>IF(OR(Y23="",X23=""),"",IF(X23&lt;=0,"",IFERROR(Y23/X23-1,"")))</f>
        <v/>
      </c>
      <c r="Z24" s="15">
        <f>IF(OR(Z23="",Y23=""),"",IF(Y23&lt;=0,"",IFERROR(Z23/Y23-1,"")))</f>
        <v/>
      </c>
      <c r="AA24" s="15">
        <f>IF(OR(AA23="",Z23=""),"",IF(Z23&lt;=0,"",IFERROR(AA23/Z23-1,"")))</f>
        <v/>
      </c>
      <c r="AB24" s="15">
        <f>IF(OR(AB23="",AA23=""),"",IF(AA23&lt;=0,"",IFERROR(AB23/AA23-1,"")))</f>
        <v/>
      </c>
      <c r="AC24" s="15">
        <f>IF(OR(AC23="",AB23=""),"",IF(AB23&lt;=0,"",IFERROR(AC23/AB23-1,"")))</f>
        <v/>
      </c>
    </row>
    <row r="25">
      <c r="A25" s="9" t="inlineStr">
        <is>
          <t>영업이익</t>
        </is>
      </c>
      <c r="B25" s="10" t="inlineStr">
        <is>
          <t>MW = 매출 × OPM</t>
        </is>
      </c>
      <c r="C25" s="11" t="n">
        <v>3202</v>
      </c>
      <c r="D25" s="12" t="n">
        <v>5138</v>
      </c>
      <c r="E25" s="12" t="n">
        <v>2854</v>
      </c>
      <c r="F25" s="12" t="n">
        <v>5322</v>
      </c>
      <c r="G25" s="12" t="n">
        <v>6620</v>
      </c>
      <c r="H25" s="12" t="n">
        <v>6902</v>
      </c>
      <c r="I25" s="12" t="n">
        <v>4271</v>
      </c>
      <c r="J25" s="12" t="n">
        <v>6311</v>
      </c>
      <c r="K25" s="12" t="n">
        <v>6980</v>
      </c>
      <c r="L25" s="12" t="n">
        <v>8618</v>
      </c>
      <c r="M25" s="12" t="n">
        <v>5189</v>
      </c>
      <c r="N25" s="12" t="n">
        <v>8008</v>
      </c>
      <c r="O25" s="11" t="n">
        <v>8931</v>
      </c>
      <c r="P25" s="12" t="n">
        <v>7915</v>
      </c>
      <c r="Q25" s="12" t="n">
        <v>6486</v>
      </c>
      <c r="R25" s="12" t="n">
        <v>7900</v>
      </c>
      <c r="S25" s="12" t="n">
        <v>8131</v>
      </c>
      <c r="T25" s="12" t="n">
        <v>10425</v>
      </c>
      <c r="U25" s="12" t="n">
        <v>8361</v>
      </c>
      <c r="V25" s="12" t="n">
        <v>9819</v>
      </c>
      <c r="W25" s="12" t="n">
        <v>21698</v>
      </c>
      <c r="X25" s="12" t="n">
        <v>26180</v>
      </c>
      <c r="Y25" s="11">
        <f>IF(OR(Y4="",Y26=""),"",IFERROR(Y4*Y26,""))</f>
        <v/>
      </c>
      <c r="Z25" s="12">
        <f>IF(OR(Z4="",Z26=""),"",IFERROR(Z4*Z26,""))</f>
        <v/>
      </c>
      <c r="AA25" s="12">
        <f>IF(OR(AA4="",AA26=""),"",IFERROR(AA4*AA26,""))</f>
        <v/>
      </c>
      <c r="AB25" s="12">
        <f>IF(OR(AB4="",AB26=""),"",IFERROR(AB4*AB26,""))</f>
        <v/>
      </c>
      <c r="AC25" s="12">
        <f>IF(OR(AC4="",AC26=""),"",IFERROR(AC4*AC26,""))</f>
        <v/>
      </c>
    </row>
    <row r="26">
      <c r="A26" s="13" t="inlineStr">
        <is>
          <t>OPM</t>
        </is>
      </c>
      <c r="B26" s="10" t="inlineStr">
        <is>
          <t>MW 입력</t>
        </is>
      </c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25" t="n"/>
      <c r="Z26" s="26" t="n"/>
      <c r="AA26" s="26" t="n"/>
      <c r="AB26" s="26" t="n"/>
      <c r="AC26" s="26" t="n"/>
    </row>
    <row r="27">
      <c r="A27" s="13" t="inlineStr">
        <is>
          <t>증가율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비용의 성격별 분류</t>
        </is>
      </c>
      <c r="B28" s="16" t="inlineStr">
        <is>
          <t>참고 데이터</t>
        </is>
      </c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9" t="inlineStr">
        <is>
          <t>총 판관비</t>
        </is>
      </c>
      <c r="B29" s="10" t="n"/>
      <c r="C29" s="11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1">
        <f>IF(O23="","",O23)</f>
        <v/>
      </c>
      <c r="P29" s="12">
        <f>IF(P23="","",P23)</f>
        <v/>
      </c>
      <c r="Q29" s="12">
        <f>IF(Q23="","",Q23)</f>
        <v/>
      </c>
      <c r="R29" s="12">
        <f>IF(R23="","",R23)</f>
        <v/>
      </c>
      <c r="S29" s="12">
        <f>IF(S23="","",S23)</f>
        <v/>
      </c>
      <c r="T29" s="12">
        <f>IF(T23="","",T23)</f>
        <v/>
      </c>
      <c r="U29" s="12">
        <f>IF(U23="","",U23)</f>
        <v/>
      </c>
      <c r="V29" s="12">
        <f>IF(V23="","",V23)</f>
        <v/>
      </c>
      <c r="W29" s="12">
        <f>IF(W23="","",W23)</f>
        <v/>
      </c>
      <c r="X29" s="12">
        <f>IF(X23="","",X23)</f>
        <v/>
      </c>
      <c r="Y29" s="11" t="n"/>
      <c r="Z29" s="12" t="n"/>
      <c r="AA29" s="12" t="n"/>
      <c r="AB29" s="12" t="n"/>
      <c r="AC29" s="12" t="n"/>
    </row>
    <row r="30">
      <c r="A30" s="18" t="inlineStr">
        <is>
          <t>급여</t>
        </is>
      </c>
      <c r="B30" s="10" t="inlineStr">
        <is>
          <t>고정비</t>
        </is>
      </c>
      <c r="C30" s="19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19" t="n"/>
      <c r="P30" s="20" t="n"/>
      <c r="Q30" s="20" t="n"/>
      <c r="R30" s="20" t="n"/>
      <c r="S30" s="20" t="n"/>
      <c r="T30" s="20" t="n"/>
      <c r="U30" s="20" t="n"/>
      <c r="V30" s="20" t="n"/>
      <c r="W30" s="20" t="n"/>
      <c r="X30" s="20" t="n"/>
      <c r="Y30" s="19" t="n"/>
      <c r="Z30" s="20" t="n"/>
      <c r="AA30" s="20" t="n"/>
      <c r="AB30" s="20" t="n"/>
      <c r="AC30" s="20" t="n"/>
    </row>
    <row r="31">
      <c r="A31" s="13" t="inlineStr">
        <is>
          <t>% of Sales</t>
        </is>
      </c>
      <c r="B31" s="10" t="n"/>
      <c r="C31" s="14" t="n"/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4">
        <f>IF(OR(O30="",O4=""),"",IFERROR(O30/O4,""))</f>
        <v/>
      </c>
      <c r="P31" s="15">
        <f>IF(OR(P30="",P4=""),"",IFERROR(P30/P4,""))</f>
        <v/>
      </c>
      <c r="Q31" s="15">
        <f>IF(OR(Q30="",Q4=""),"",IFERROR(Q30/Q4,""))</f>
        <v/>
      </c>
      <c r="R31" s="15">
        <f>IF(OR(R30="",R4=""),"",IFERROR(R30/R4,""))</f>
        <v/>
      </c>
      <c r="S31" s="15">
        <f>IF(OR(S30="",S4=""),"",IFERROR(S30/S4,""))</f>
        <v/>
      </c>
      <c r="T31" s="15">
        <f>IF(OR(T30="",T4=""),"",IFERROR(T30/T4,""))</f>
        <v/>
      </c>
      <c r="U31" s="15">
        <f>IF(OR(U30="",U4=""),"",IFERROR(U30/U4,""))</f>
        <v/>
      </c>
      <c r="V31" s="15">
        <f>IF(OR(V30="",V4=""),"",IFERROR(V30/V4,""))</f>
        <v/>
      </c>
      <c r="W31" s="15">
        <f>IF(OR(W30="",W4=""),"",IFERROR(W30/W4,""))</f>
        <v/>
      </c>
      <c r="X31" s="15">
        <f>IF(OR(X30="",X4=""),"",IFERROR(X30/X4,""))</f>
        <v/>
      </c>
      <c r="Y31" s="14" t="n"/>
      <c r="Z31" s="15" t="n"/>
      <c r="AA31" s="15" t="n"/>
      <c r="AB31" s="15" t="n"/>
      <c r="AC31" s="15" t="n"/>
    </row>
    <row r="32">
      <c r="A32" s="18" t="inlineStr">
        <is>
          <t>감가상각비</t>
        </is>
      </c>
      <c r="B32" s="10" t="inlineStr">
        <is>
          <t>고정비</t>
        </is>
      </c>
      <c r="C32" s="19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19" t="n">
        <v>412</v>
      </c>
      <c r="P32" s="20" t="n">
        <v>388</v>
      </c>
      <c r="Q32" s="20" t="n">
        <v>353</v>
      </c>
      <c r="R32" s="20" t="n">
        <v>331</v>
      </c>
      <c r="S32" s="20" t="n">
        <v>307</v>
      </c>
      <c r="T32" s="20" t="n">
        <v>298</v>
      </c>
      <c r="U32" s="20" t="n">
        <v>250</v>
      </c>
      <c r="V32" s="20" t="n">
        <v>242</v>
      </c>
      <c r="W32" s="20" t="n">
        <v>270</v>
      </c>
      <c r="X32" s="20" t="n">
        <v>298</v>
      </c>
      <c r="Y32" s="19" t="n"/>
      <c r="Z32" s="20" t="n"/>
      <c r="AA32" s="20" t="n"/>
      <c r="AB32" s="20" t="n"/>
      <c r="AC32" s="20" t="n"/>
    </row>
    <row r="33">
      <c r="A33" s="13" t="inlineStr">
        <is>
          <t>% of Sales</t>
        </is>
      </c>
      <c r="B33" s="10" t="n"/>
      <c r="C33" s="14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4">
        <f>IF(OR(O32="",O4=""),"",IFERROR(O32/O4,""))</f>
        <v/>
      </c>
      <c r="P33" s="15">
        <f>IF(OR(P32="",P4=""),"",IFERROR(P32/P4,""))</f>
        <v/>
      </c>
      <c r="Q33" s="15">
        <f>IF(OR(Q32="",Q4=""),"",IFERROR(Q32/Q4,""))</f>
        <v/>
      </c>
      <c r="R33" s="15">
        <f>IF(OR(R32="",R4=""),"",IFERROR(R32/R4,""))</f>
        <v/>
      </c>
      <c r="S33" s="15">
        <f>IF(OR(S32="",S4=""),"",IFERROR(S32/S4,""))</f>
        <v/>
      </c>
      <c r="T33" s="15">
        <f>IF(OR(T32="",T4=""),"",IFERROR(T32/T4,""))</f>
        <v/>
      </c>
      <c r="U33" s="15">
        <f>IF(OR(U32="",U4=""),"",IFERROR(U32/U4,""))</f>
        <v/>
      </c>
      <c r="V33" s="15">
        <f>IF(OR(V32="",V4=""),"",IFERROR(V32/V4,""))</f>
        <v/>
      </c>
      <c r="W33" s="15">
        <f>IF(OR(W32="",W4=""),"",IFERROR(W32/W4,""))</f>
        <v/>
      </c>
      <c r="X33" s="15">
        <f>IF(OR(X32="",X4=""),"",IFERROR(X32/X4,""))</f>
        <v/>
      </c>
      <c r="Y33" s="14" t="n"/>
      <c r="Z33" s="15" t="n"/>
      <c r="AA33" s="15" t="n"/>
      <c r="AB33" s="15" t="n"/>
      <c r="AC33" s="15" t="n"/>
    </row>
    <row r="34">
      <c r="A34" s="18" t="inlineStr">
        <is>
          <t>지급수수료</t>
        </is>
      </c>
      <c r="B34" s="10" t="inlineStr">
        <is>
          <t>고정비</t>
        </is>
      </c>
      <c r="C34" s="19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19" t="n"/>
      <c r="P34" s="20" t="n"/>
      <c r="Q34" s="20" t="n"/>
      <c r="R34" s="20" t="n"/>
      <c r="S34" s="20" t="n"/>
      <c r="T34" s="20" t="n"/>
      <c r="U34" s="20" t="n"/>
      <c r="V34" s="20" t="n"/>
      <c r="W34" s="20" t="n"/>
      <c r="X34" s="20" t="n"/>
      <c r="Y34" s="19" t="n"/>
      <c r="Z34" s="20" t="n"/>
      <c r="AA34" s="20" t="n"/>
      <c r="AB34" s="20" t="n"/>
      <c r="AC34" s="20" t="n"/>
    </row>
    <row r="35">
      <c r="A35" s="13" t="inlineStr">
        <is>
          <t>% of Sales</t>
        </is>
      </c>
      <c r="B35" s="10" t="n"/>
      <c r="C35" s="14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14" t="n"/>
      <c r="Z35" s="15" t="n"/>
      <c r="AA35" s="15" t="n"/>
      <c r="AB35" s="15" t="n"/>
      <c r="AC35" s="15" t="n"/>
    </row>
    <row r="36">
      <c r="A36" s="18" t="inlineStr">
        <is>
          <t>연구개발비</t>
        </is>
      </c>
      <c r="B36" s="10" t="inlineStr">
        <is>
          <t>변동비</t>
        </is>
      </c>
      <c r="C36" s="19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19" t="n"/>
      <c r="P36" s="20" t="n"/>
      <c r="Q36" s="20" t="n"/>
      <c r="R36" s="20" t="n"/>
      <c r="S36" s="20" t="n"/>
      <c r="T36" s="20" t="n"/>
      <c r="U36" s="20" t="n"/>
      <c r="V36" s="20" t="n"/>
      <c r="W36" s="20" t="n"/>
      <c r="X36" s="20" t="n"/>
      <c r="Y36" s="19" t="n"/>
      <c r="Z36" s="20" t="n"/>
      <c r="AA36" s="20" t="n"/>
      <c r="AB36" s="20" t="n"/>
      <c r="AC36" s="20" t="n"/>
    </row>
    <row r="37">
      <c r="A37" s="13" t="inlineStr">
        <is>
          <t>% of Sales</t>
        </is>
      </c>
      <c r="B37" s="10" t="n"/>
      <c r="C37" s="14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4">
        <f>IF(OR(O36="",O4=""),"",IFERROR(O36/O4,""))</f>
        <v/>
      </c>
      <c r="P37" s="15">
        <f>IF(OR(P36="",P4=""),"",IFERROR(P36/P4,""))</f>
        <v/>
      </c>
      <c r="Q37" s="15">
        <f>IF(OR(Q36="",Q4=""),"",IFERROR(Q36/Q4,""))</f>
        <v/>
      </c>
      <c r="R37" s="15">
        <f>IF(OR(R36="",R4=""),"",IFERROR(R36/R4,""))</f>
        <v/>
      </c>
      <c r="S37" s="15">
        <f>IF(OR(S36="",S4=""),"",IFERROR(S36/S4,""))</f>
        <v/>
      </c>
      <c r="T37" s="15">
        <f>IF(OR(T36="",T4=""),"",IFERROR(T36/T4,""))</f>
        <v/>
      </c>
      <c r="U37" s="15">
        <f>IF(OR(U36="",U4=""),"",IFERROR(U36/U4,""))</f>
        <v/>
      </c>
      <c r="V37" s="15">
        <f>IF(OR(V36="",V4=""),"",IFERROR(V36/V4,""))</f>
        <v/>
      </c>
      <c r="W37" s="15">
        <f>IF(OR(W36="",W4=""),"",IFERROR(W36/W4,""))</f>
        <v/>
      </c>
      <c r="X37" s="15">
        <f>IF(OR(X36="",X4=""),"",IFERROR(X36/X4,""))</f>
        <v/>
      </c>
      <c r="Y37" s="14" t="n"/>
      <c r="Z37" s="15" t="n"/>
      <c r="AA37" s="15" t="n"/>
      <c r="AB37" s="15" t="n"/>
      <c r="AC37" s="15" t="n"/>
    </row>
    <row r="38">
      <c r="A38" s="18" t="inlineStr">
        <is>
          <t>기타비용</t>
        </is>
      </c>
      <c r="B38" s="10" t="inlineStr">
        <is>
          <t>변동비</t>
        </is>
      </c>
      <c r="C38" s="19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19">
        <f>IF(OR(O29="",O30="",O32="",O34="",O36=""),"",IFERROR(O29-O30-O32-O34-O36,""))</f>
        <v/>
      </c>
      <c r="P38" s="20">
        <f>IF(OR(P29="",P30="",P32="",P34="",P36=""),"",IFERROR(P29-P30-P32-P34-P36,""))</f>
        <v/>
      </c>
      <c r="Q38" s="20">
        <f>IF(OR(Q29="",Q30="",Q32="",Q34="",Q36=""),"",IFERROR(Q29-Q30-Q32-Q34-Q36,""))</f>
        <v/>
      </c>
      <c r="R38" s="20">
        <f>IF(OR(R29="",R30="",R32="",R34="",R36=""),"",IFERROR(R29-R30-R32-R34-R36,""))</f>
        <v/>
      </c>
      <c r="S38" s="20">
        <f>IF(OR(S29="",S30="",S32="",S34="",S36=""),"",IFERROR(S29-S30-S32-S34-S36,""))</f>
        <v/>
      </c>
      <c r="T38" s="20">
        <f>IF(OR(T29="",T30="",T32="",T34="",T36=""),"",IFERROR(T29-T30-T32-T34-T36,""))</f>
        <v/>
      </c>
      <c r="U38" s="20">
        <f>IF(OR(U29="",U30="",U32="",U34="",U36=""),"",IFERROR(U29-U30-U32-U34-U36,""))</f>
        <v/>
      </c>
      <c r="V38" s="20">
        <f>IF(OR(V29="",V30="",V32="",V34="",V36=""),"",IFERROR(V29-V30-V32-V34-V36,""))</f>
        <v/>
      </c>
      <c r="W38" s="20">
        <f>IF(OR(W29="",W30="",W32="",W34="",W36=""),"",IFERROR(W29-W30-W32-W34-W36,""))</f>
        <v/>
      </c>
      <c r="X38" s="20">
        <f>IF(OR(X29="",X30="",X32="",X34="",X36=""),"",IFERROR(X29-X30-X32-X34-X36,""))</f>
        <v/>
      </c>
      <c r="Y38" s="19" t="n"/>
      <c r="Z38" s="20" t="n"/>
      <c r="AA38" s="20" t="n"/>
      <c r="AB38" s="20" t="n"/>
      <c r="AC38" s="20" t="n"/>
    </row>
    <row r="39">
      <c r="A39" s="13" t="inlineStr">
        <is>
          <t>% of Sales</t>
        </is>
      </c>
      <c r="B39" s="10" t="n"/>
      <c r="C39" s="14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4">
        <f>IF(OR(O38="",O4=""),"",IFERROR(O38/O4,""))</f>
        <v/>
      </c>
      <c r="P39" s="15">
        <f>IF(OR(P38="",P4=""),"",IFERROR(P38/P4,""))</f>
        <v/>
      </c>
      <c r="Q39" s="15">
        <f>IF(OR(Q38="",Q4=""),"",IFERROR(Q38/Q4,""))</f>
        <v/>
      </c>
      <c r="R39" s="15">
        <f>IF(OR(R38="",R4=""),"",IFERROR(R38/R4,""))</f>
        <v/>
      </c>
      <c r="S39" s="15">
        <f>IF(OR(S38="",S4=""),"",IFERROR(S38/S4,""))</f>
        <v/>
      </c>
      <c r="T39" s="15">
        <f>IF(OR(T38="",T4=""),"",IFERROR(T38/T4,""))</f>
        <v/>
      </c>
      <c r="U39" s="15">
        <f>IF(OR(U38="",U4=""),"",IFERROR(U38/U4,""))</f>
        <v/>
      </c>
      <c r="V39" s="15">
        <f>IF(OR(V38="",V4=""),"",IFERROR(V38/V4,""))</f>
        <v/>
      </c>
      <c r="W39" s="15">
        <f>IF(OR(W38="",W4=""),"",IFERROR(W38/W4,""))</f>
        <v/>
      </c>
      <c r="X39" s="15">
        <f>IF(OR(X38="",X4=""),"",IFERROR(X38/X4,""))</f>
        <v/>
      </c>
      <c r="Y39" s="14" t="n"/>
      <c r="Z39" s="15" t="n"/>
      <c r="AA39" s="15" t="n"/>
      <c r="AB39" s="15" t="n"/>
      <c r="AC39" s="15" t="n"/>
    </row>
    <row r="40">
      <c r="A40" s="16" t="inlineStr">
        <is>
          <t>당기순이익 추정</t>
        </is>
      </c>
      <c r="B40" s="16" t="n"/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18" t="inlineStr">
        <is>
          <t>특별이익</t>
        </is>
      </c>
      <c r="B41" s="10" t="n"/>
      <c r="C41" s="19" t="n">
        <v>0</v>
      </c>
      <c r="D41" s="20" t="n">
        <v>517</v>
      </c>
      <c r="E41" s="20" t="n">
        <v>0</v>
      </c>
      <c r="F41" s="20" t="n">
        <v>20</v>
      </c>
      <c r="G41" s="20" t="n">
        <v>13</v>
      </c>
      <c r="H41" s="20" t="n">
        <v>0</v>
      </c>
      <c r="I41" s="20" t="n">
        <v>12</v>
      </c>
      <c r="J41" s="20" t="n">
        <v>48</v>
      </c>
      <c r="K41" s="20" t="n">
        <v>0</v>
      </c>
      <c r="L41" s="20" t="n">
        <v>1108</v>
      </c>
      <c r="M41" s="20" t="n">
        <v>0</v>
      </c>
      <c r="N41" s="20" t="n">
        <v>10</v>
      </c>
      <c r="O41" s="19" t="n">
        <v>1660</v>
      </c>
      <c r="P41" s="20" t="n">
        <v>94</v>
      </c>
      <c r="Q41" s="20" t="n">
        <v>1837</v>
      </c>
      <c r="R41" s="20" t="n">
        <v>1240</v>
      </c>
      <c r="S41" s="20" t="n">
        <v>1000</v>
      </c>
      <c r="T41" s="20" t="n">
        <v>42</v>
      </c>
      <c r="U41" s="20" t="n">
        <v>170</v>
      </c>
      <c r="V41" s="20" t="n">
        <v>519</v>
      </c>
      <c r="W41" s="20" t="n">
        <v>33</v>
      </c>
      <c r="X41" s="20" t="n">
        <v>1168</v>
      </c>
      <c r="Y41" s="19">
        <f>IF(OR(Y4="",Y42=""),"",IFERROR(Y4*Y42,""))</f>
        <v/>
      </c>
      <c r="Z41" s="20">
        <f>IF(OR(Z4="",Z42=""),"",IFERROR(Z4*Z42,""))</f>
        <v/>
      </c>
      <c r="AA41" s="20">
        <f>IF(OR(AA4="",AA42=""),"",IFERROR(AA4*AA42,""))</f>
        <v/>
      </c>
      <c r="AB41" s="20">
        <f>IF(OR(AB4="",AB42=""),"",IFERROR(AB4*AB42,""))</f>
        <v/>
      </c>
      <c r="AC41" s="20">
        <f>IF(OR(AC4="",AC42=""),"",IFERROR(AC4*AC42,""))</f>
        <v/>
      </c>
    </row>
    <row r="42">
      <c r="A42" s="13" t="inlineStr">
        <is>
          <t>% of Sales</t>
        </is>
      </c>
      <c r="B42" s="10" t="inlineStr">
        <is>
          <t>MW = 최근 3년 평균</t>
        </is>
      </c>
      <c r="C42" s="14">
        <f>IF(OR(C41="",C4=""),"",IFERROR(C41/C4,""))</f>
        <v/>
      </c>
      <c r="D42" s="15">
        <f>IF(OR(D41="",D4=""),"",IFERROR(D41/D4,""))</f>
        <v/>
      </c>
      <c r="E42" s="15">
        <f>IF(OR(E41="",E4=""),"",IFERROR(E41/E4,""))</f>
        <v/>
      </c>
      <c r="F42" s="15">
        <f>IF(OR(F41="",F4=""),"",IFERROR(F41/F4,""))</f>
        <v/>
      </c>
      <c r="G42" s="15">
        <f>IF(OR(G41="",G4=""),"",IFERROR(G41/G4,""))</f>
        <v/>
      </c>
      <c r="H42" s="15">
        <f>IF(OR(H41="",H4=""),"",IFERROR(H41/H4,""))</f>
        <v/>
      </c>
      <c r="I42" s="15">
        <f>IF(OR(I41="",I4=""),"",IFERROR(I41/I4,""))</f>
        <v/>
      </c>
      <c r="J42" s="15">
        <f>IF(OR(J41="",J4=""),"",IFERROR(J41/J4,""))</f>
        <v/>
      </c>
      <c r="K42" s="15">
        <f>IF(OR(K41="",K4=""),"",IFERROR(K41/K4,""))</f>
        <v/>
      </c>
      <c r="L42" s="15">
        <f>IF(OR(L41="",L4=""),"",IFERROR(L41/L4,""))</f>
        <v/>
      </c>
      <c r="M42" s="15">
        <f>IF(OR(M41="",M4=""),"",IFERROR(M41/M4,""))</f>
        <v/>
      </c>
      <c r="N42" s="15">
        <f>IF(OR(N41="",N4=""),"",IFERROR(N41/N4,""))</f>
        <v/>
      </c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25">
        <f>IFERROR(AVERAGE(V42,W42,X42),"")</f>
        <v/>
      </c>
      <c r="Z42" s="26">
        <f>Y42</f>
        <v/>
      </c>
      <c r="AA42" s="26">
        <f>Z42</f>
        <v/>
      </c>
      <c r="AB42" s="26">
        <f>AA42</f>
        <v/>
      </c>
      <c r="AC42" s="26">
        <f>AB42</f>
        <v/>
      </c>
    </row>
    <row r="43">
      <c r="A43" s="18" t="inlineStr">
        <is>
          <t>특별손실</t>
        </is>
      </c>
      <c r="B43" s="10" t="n"/>
      <c r="C43" s="19" t="n">
        <v>25</v>
      </c>
      <c r="D43" s="20" t="n">
        <v>15</v>
      </c>
      <c r="E43" s="20" t="n">
        <v>47</v>
      </c>
      <c r="F43" s="20" t="n">
        <v>60</v>
      </c>
      <c r="G43" s="20" t="n">
        <v>2</v>
      </c>
      <c r="H43" s="20" t="n">
        <v>773</v>
      </c>
      <c r="I43" s="20" t="n">
        <v>12</v>
      </c>
      <c r="J43" s="20" t="n">
        <v>10</v>
      </c>
      <c r="K43" s="20" t="n">
        <v>66</v>
      </c>
      <c r="L43" s="20" t="n">
        <v>1750</v>
      </c>
      <c r="M43" s="20" t="n">
        <v>58</v>
      </c>
      <c r="N43" s="20" t="n">
        <v>112</v>
      </c>
      <c r="O43" s="19" t="n">
        <v>274</v>
      </c>
      <c r="P43" s="20" t="n">
        <v>204</v>
      </c>
      <c r="Q43" s="20" t="n">
        <v>911</v>
      </c>
      <c r="R43" s="20" t="n">
        <v>4878</v>
      </c>
      <c r="S43" s="20" t="n">
        <v>179</v>
      </c>
      <c r="T43" s="20" t="n">
        <v>881</v>
      </c>
      <c r="U43" s="20" t="n">
        <v>1438</v>
      </c>
      <c r="V43" s="20" t="n">
        <v>171</v>
      </c>
      <c r="W43" s="20" t="n">
        <v>882</v>
      </c>
      <c r="X43" s="20" t="n">
        <v>1838</v>
      </c>
      <c r="Y43" s="19">
        <f>IF(OR(Y4="",Y44=""),"",IFERROR(Y4*Y44,""))</f>
        <v/>
      </c>
      <c r="Z43" s="20">
        <f>IF(OR(Z4="",Z44=""),"",IFERROR(Z4*Z44,""))</f>
        <v/>
      </c>
      <c r="AA43" s="20">
        <f>IF(OR(AA4="",AA44=""),"",IFERROR(AA4*AA44,""))</f>
        <v/>
      </c>
      <c r="AB43" s="20">
        <f>IF(OR(AB4="",AB44=""),"",IFERROR(AB4*AB44,""))</f>
        <v/>
      </c>
      <c r="AC43" s="20">
        <f>IF(OR(AC4="",AC44=""),"",IFERROR(AC4*AC44,""))</f>
        <v/>
      </c>
    </row>
    <row r="44">
      <c r="A44" s="13" t="inlineStr">
        <is>
          <t>% of Sales</t>
        </is>
      </c>
      <c r="B44" s="10" t="n"/>
      <c r="C44" s="14">
        <f>IF(OR(C43="",C4=""),"",IFERROR(C43/C4,""))</f>
        <v/>
      </c>
      <c r="D44" s="15">
        <f>IF(OR(D43="",D4=""),"",IFERROR(D43/D4,""))</f>
        <v/>
      </c>
      <c r="E44" s="15">
        <f>IF(OR(E43="",E4=""),"",IFERROR(E43/E4,""))</f>
        <v/>
      </c>
      <c r="F44" s="15">
        <f>IF(OR(F43="",F4=""),"",IFERROR(F43/F4,""))</f>
        <v/>
      </c>
      <c r="G44" s="15">
        <f>IF(OR(G43="",G4=""),"",IFERROR(G43/G4,""))</f>
        <v/>
      </c>
      <c r="H44" s="15">
        <f>IF(OR(H43="",H4=""),"",IFERROR(H43/H4,""))</f>
        <v/>
      </c>
      <c r="I44" s="15">
        <f>IF(OR(I43="",I4=""),"",IFERROR(I43/I4,""))</f>
        <v/>
      </c>
      <c r="J44" s="15">
        <f>IF(OR(J43="",J4=""),"",IFERROR(J43/J4,""))</f>
        <v/>
      </c>
      <c r="K44" s="15">
        <f>IF(OR(K43="",K4=""),"",IFERROR(K43/K4,""))</f>
        <v/>
      </c>
      <c r="L44" s="15">
        <f>IF(OR(L43="",L4=""),"",IFERROR(L43/L4,""))</f>
        <v/>
      </c>
      <c r="M44" s="15">
        <f>IF(OR(M43="",M4=""),"",IFERROR(M43/M4,""))</f>
        <v/>
      </c>
      <c r="N44" s="15">
        <f>IF(OR(N43="",N4=""),"",IFERROR(N43/N4,""))</f>
        <v/>
      </c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25">
        <f>IFERROR(AVERAGE(V44,W44,X44),"")</f>
        <v/>
      </c>
      <c r="Z44" s="26">
        <f>Y44</f>
        <v/>
      </c>
      <c r="AA44" s="26">
        <f>Z44</f>
        <v/>
      </c>
      <c r="AB44" s="26">
        <f>AA44</f>
        <v/>
      </c>
      <c r="AC44" s="26">
        <f>AB44</f>
        <v/>
      </c>
    </row>
    <row r="45">
      <c r="A45" s="18" t="inlineStr">
        <is>
          <t>영업외수익</t>
        </is>
      </c>
      <c r="B45" s="10" t="n"/>
      <c r="C45" s="19" t="n">
        <v>590</v>
      </c>
      <c r="D45" s="20" t="n">
        <v>447</v>
      </c>
      <c r="E45" s="20" t="n">
        <v>769</v>
      </c>
      <c r="F45" s="20" t="n">
        <v>256</v>
      </c>
      <c r="G45" s="20" t="n">
        <v>658</v>
      </c>
      <c r="H45" s="20" t="n">
        <v>407</v>
      </c>
      <c r="I45" s="20" t="n">
        <v>766</v>
      </c>
      <c r="J45" s="20" t="n">
        <v>336</v>
      </c>
      <c r="K45" s="20" t="n">
        <v>845</v>
      </c>
      <c r="L45" s="20" t="n">
        <v>547</v>
      </c>
      <c r="M45" s="20" t="n">
        <v>895</v>
      </c>
      <c r="N45" s="20" t="n">
        <v>509</v>
      </c>
      <c r="O45" s="19" t="n">
        <v>2219</v>
      </c>
      <c r="P45" s="20" t="n">
        <v>3259</v>
      </c>
      <c r="Q45" s="20" t="n">
        <v>2504</v>
      </c>
      <c r="R45" s="20" t="n">
        <v>2967</v>
      </c>
      <c r="S45" s="20" t="n">
        <v>2448</v>
      </c>
      <c r="T45" s="20" t="n">
        <v>1947</v>
      </c>
      <c r="U45" s="20" t="n">
        <v>2399</v>
      </c>
      <c r="V45" s="20" t="n">
        <v>1921</v>
      </c>
      <c r="W45" s="20" t="n">
        <v>2090</v>
      </c>
      <c r="X45" s="20" t="n">
        <v>2494</v>
      </c>
      <c r="Y45" s="19">
        <f>IF(OR(Y4="",Y46=""),"",IFERROR(Y4*Y46,""))</f>
        <v/>
      </c>
      <c r="Z45" s="20">
        <f>IF(OR(Z4="",Z46=""),"",IFERROR(Z4*Z46,""))</f>
        <v/>
      </c>
      <c r="AA45" s="20">
        <f>IF(OR(AA4="",AA46=""),"",IFERROR(AA4*AA46,""))</f>
        <v/>
      </c>
      <c r="AB45" s="20">
        <f>IF(OR(AB4="",AB46=""),"",IFERROR(AB4*AB46,""))</f>
        <v/>
      </c>
      <c r="AC45" s="20">
        <f>IF(OR(AC4="",AC46=""),"",IFERROR(AC4*AC46,""))</f>
        <v/>
      </c>
    </row>
    <row r="46">
      <c r="A46" s="13" t="inlineStr">
        <is>
          <t>% of Sales</t>
        </is>
      </c>
      <c r="B46" s="10" t="n"/>
      <c r="C46" s="14">
        <f>IF(OR(C45="",C4=""),"",IFERROR(C45/C4,""))</f>
        <v/>
      </c>
      <c r="D46" s="15">
        <f>IF(OR(D45="",D4=""),"",IFERROR(D45/D4,""))</f>
        <v/>
      </c>
      <c r="E46" s="15">
        <f>IF(OR(E45="",E4=""),"",IFERROR(E45/E4,""))</f>
        <v/>
      </c>
      <c r="F46" s="15">
        <f>IF(OR(F45="",F4=""),"",IFERROR(F45/F4,""))</f>
        <v/>
      </c>
      <c r="G46" s="15">
        <f>IF(OR(G45="",G4=""),"",IFERROR(G45/G4,""))</f>
        <v/>
      </c>
      <c r="H46" s="15">
        <f>IF(OR(H45="",H4=""),"",IFERROR(H45/H4,""))</f>
        <v/>
      </c>
      <c r="I46" s="15">
        <f>IF(OR(I45="",I4=""),"",IFERROR(I45/I4,""))</f>
        <v/>
      </c>
      <c r="J46" s="15">
        <f>IF(OR(J45="",J4=""),"",IFERROR(J45/J4,""))</f>
        <v/>
      </c>
      <c r="K46" s="15">
        <f>IF(OR(K45="",K4=""),"",IFERROR(K45/K4,""))</f>
        <v/>
      </c>
      <c r="L46" s="15">
        <f>IF(OR(L45="",L4=""),"",IFERROR(L45/L4,""))</f>
        <v/>
      </c>
      <c r="M46" s="15">
        <f>IF(OR(M45="",M4=""),"",IFERROR(M45/M4,""))</f>
        <v/>
      </c>
      <c r="N46" s="15">
        <f>IF(OR(N45="",N4=""),"",IFERROR(N45/N4,""))</f>
        <v/>
      </c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25">
        <f>IFERROR(AVERAGE(V46,W46,X46),"")</f>
        <v/>
      </c>
      <c r="Z46" s="26">
        <f>Y46</f>
        <v/>
      </c>
      <c r="AA46" s="26">
        <f>Z46</f>
        <v/>
      </c>
      <c r="AB46" s="26">
        <f>AA46</f>
        <v/>
      </c>
      <c r="AC46" s="26">
        <f>AB46</f>
        <v/>
      </c>
    </row>
    <row r="47">
      <c r="A47" s="18" t="inlineStr">
        <is>
          <t>영업외비용</t>
        </is>
      </c>
      <c r="B47" s="10" t="n"/>
      <c r="C47" s="19" t="n">
        <v>40</v>
      </c>
      <c r="D47" s="20" t="n">
        <v>-228</v>
      </c>
      <c r="E47" s="20" t="n">
        <v>20</v>
      </c>
      <c r="F47" s="20" t="n">
        <v>28</v>
      </c>
      <c r="G47" s="20" t="n">
        <v>292</v>
      </c>
      <c r="H47" s="20" t="n">
        <v>14</v>
      </c>
      <c r="I47" s="20" t="n">
        <v>50</v>
      </c>
      <c r="J47" s="20" t="n">
        <v>679</v>
      </c>
      <c r="K47" s="20" t="n">
        <v>297</v>
      </c>
      <c r="L47" s="20" t="n">
        <v>173</v>
      </c>
      <c r="M47" s="20" t="n">
        <v>472</v>
      </c>
      <c r="N47" s="20" t="n">
        <v>283</v>
      </c>
      <c r="O47" s="19" t="n">
        <v>70</v>
      </c>
      <c r="P47" s="20" t="n">
        <v>75</v>
      </c>
      <c r="Q47" s="20" t="n">
        <v>69</v>
      </c>
      <c r="R47" s="20" t="n">
        <v>87</v>
      </c>
      <c r="S47" s="20" t="n">
        <v>41</v>
      </c>
      <c r="T47" s="20" t="n">
        <v>413</v>
      </c>
      <c r="U47" s="20" t="n">
        <v>12666</v>
      </c>
      <c r="V47" s="20" t="n">
        <v>725</v>
      </c>
      <c r="W47" s="20" t="n">
        <v>354</v>
      </c>
      <c r="X47" s="20" t="n">
        <v>1199</v>
      </c>
      <c r="Y47" s="19">
        <f>IF(OR(Y4="",Y48=""),"",IFERROR(Y4*Y48,""))</f>
        <v/>
      </c>
      <c r="Z47" s="20">
        <f>IF(OR(Z4="",Z48=""),"",IFERROR(Z4*Z48,""))</f>
        <v/>
      </c>
      <c r="AA47" s="20">
        <f>IF(OR(AA4="",AA48=""),"",IFERROR(AA4*AA48,""))</f>
        <v/>
      </c>
      <c r="AB47" s="20">
        <f>IF(OR(AB4="",AB48=""),"",IFERROR(AB4*AB48,""))</f>
        <v/>
      </c>
      <c r="AC47" s="20">
        <f>IF(OR(AC4="",AC48=""),"",IFERROR(AC4*AC48,""))</f>
        <v/>
      </c>
    </row>
    <row r="48">
      <c r="A48" s="13" t="inlineStr">
        <is>
          <t>% of Sales</t>
        </is>
      </c>
      <c r="B48" s="10" t="n"/>
      <c r="C48" s="14">
        <f>IF(OR(C47="",C4=""),"",IFERROR(C47/C4,""))</f>
        <v/>
      </c>
      <c r="D48" s="15">
        <f>IF(OR(D47="",D4=""),"",IFERROR(D47/D4,""))</f>
        <v/>
      </c>
      <c r="E48" s="15">
        <f>IF(OR(E47="",E4=""),"",IFERROR(E47/E4,""))</f>
        <v/>
      </c>
      <c r="F48" s="15">
        <f>IF(OR(F47="",F4=""),"",IFERROR(F47/F4,""))</f>
        <v/>
      </c>
      <c r="G48" s="15">
        <f>IF(OR(G47="",G4=""),"",IFERROR(G47/G4,""))</f>
        <v/>
      </c>
      <c r="H48" s="15">
        <f>IF(OR(H47="",H4=""),"",IFERROR(H47/H4,""))</f>
        <v/>
      </c>
      <c r="I48" s="15">
        <f>IF(OR(I47="",I4=""),"",IFERROR(I47/I4,""))</f>
        <v/>
      </c>
      <c r="J48" s="15">
        <f>IF(OR(J47="",J4=""),"",IFERROR(J47/J4,""))</f>
        <v/>
      </c>
      <c r="K48" s="15">
        <f>IF(OR(K47="",K4=""),"",IFERROR(K47/K4,""))</f>
        <v/>
      </c>
      <c r="L48" s="15">
        <f>IF(OR(L47="",L4=""),"",IFERROR(L47/L4,""))</f>
        <v/>
      </c>
      <c r="M48" s="15">
        <f>IF(OR(M47="",M4=""),"",IFERROR(M47/M4,""))</f>
        <v/>
      </c>
      <c r="N48" s="15">
        <f>IF(OR(N47="",N4=""),"",IFERROR(N47/N4,""))</f>
        <v/>
      </c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25">
        <f>IFERROR(AVERAGE(V48,W48,X48),"")</f>
        <v/>
      </c>
      <c r="Z48" s="26">
        <f>Y48</f>
        <v/>
      </c>
      <c r="AA48" s="26">
        <f>Z48</f>
        <v/>
      </c>
      <c r="AB48" s="26">
        <f>AA48</f>
        <v/>
      </c>
      <c r="AC48" s="26">
        <f>AB48</f>
        <v/>
      </c>
    </row>
    <row r="49">
      <c r="A49" s="9" t="inlineStr">
        <is>
          <t>법인세비용차감전순이익(손실)</t>
        </is>
      </c>
      <c r="B49" s="10" t="n"/>
      <c r="C49" s="11" t="n">
        <v>3727</v>
      </c>
      <c r="D49" s="12" t="n">
        <v>6312</v>
      </c>
      <c r="E49" s="12" t="n">
        <v>3556</v>
      </c>
      <c r="F49" s="12" t="n">
        <v>5509</v>
      </c>
      <c r="G49" s="12" t="n">
        <v>6998</v>
      </c>
      <c r="H49" s="12" t="n">
        <v>6522</v>
      </c>
      <c r="I49" s="12" t="n">
        <v>4987</v>
      </c>
      <c r="J49" s="12" t="n">
        <v>6005</v>
      </c>
      <c r="K49" s="12" t="n">
        <v>7463</v>
      </c>
      <c r="L49" s="12" t="n">
        <v>8349</v>
      </c>
      <c r="M49" s="12" t="n">
        <v>5553</v>
      </c>
      <c r="N49" s="12" t="n">
        <v>8133</v>
      </c>
      <c r="O49" s="11" t="n">
        <v>12465</v>
      </c>
      <c r="P49" s="12" t="n">
        <v>10990</v>
      </c>
      <c r="Q49" s="12" t="n">
        <v>9848</v>
      </c>
      <c r="R49" s="12" t="n">
        <v>7142</v>
      </c>
      <c r="S49" s="12" t="n">
        <v>11359</v>
      </c>
      <c r="T49" s="12" t="n">
        <v>11119</v>
      </c>
      <c r="U49" s="12" t="n">
        <v>-3173</v>
      </c>
      <c r="V49" s="12" t="n">
        <v>11361</v>
      </c>
      <c r="W49" s="12" t="n">
        <v>22585</v>
      </c>
      <c r="X49" s="12" t="n">
        <v>26804</v>
      </c>
      <c r="Y49" s="11">
        <f>IF(OR(Y25=""),"",IFERROR(Y25+N(Y41)-N(Y43)+N(Y45)-N(Y47),""))</f>
        <v/>
      </c>
      <c r="Z49" s="12">
        <f>IF(OR(Z25=""),"",IFERROR(Z25+N(Z41)-N(Z43)+N(Z45)-N(Z47),""))</f>
        <v/>
      </c>
      <c r="AA49" s="12">
        <f>IF(OR(AA25=""),"",IFERROR(AA25+N(AA41)-N(AA43)+N(AA45)-N(AA47),""))</f>
        <v/>
      </c>
      <c r="AB49" s="12">
        <f>IF(OR(AB25=""),"",IFERROR(AB25+N(AB41)-N(AB43)+N(AB45)-N(AB47),""))</f>
        <v/>
      </c>
      <c r="AC49" s="12">
        <f>IF(OR(AC25=""),"",IFERROR(AC25+N(AC41)-N(AC43)+N(AC45)-N(AC47),""))</f>
        <v/>
      </c>
    </row>
    <row r="50">
      <c r="A50" s="13" t="inlineStr">
        <is>
          <t>YoY</t>
        </is>
      </c>
      <c r="B50" s="10" t="n"/>
      <c r="C50" s="14" t="n"/>
      <c r="D50" s="15" t="n"/>
      <c r="E50" s="15" t="n"/>
      <c r="F50" s="15" t="n"/>
      <c r="G50" s="15">
        <f>IF(OR(G49="",C49=""),"",IF(C49&lt;=0,"",IFERROR(G49/C49-1,"")))</f>
        <v/>
      </c>
      <c r="H50" s="15">
        <f>IF(OR(H49="",D49=""),"",IF(D49&lt;=0,"",IFERROR(H49/D49-1,"")))</f>
        <v/>
      </c>
      <c r="I50" s="15">
        <f>IF(OR(I49="",E49=""),"",IF(E49&lt;=0,"",IFERROR(I49/E49-1,"")))</f>
        <v/>
      </c>
      <c r="J50" s="15">
        <f>IF(OR(J49="",F49=""),"",IF(F49&lt;=0,"",IFERROR(J49/F49-1,"")))</f>
        <v/>
      </c>
      <c r="K50" s="15">
        <f>IF(OR(K49="",G49=""),"",IF(G49&lt;=0,"",IFERROR(K49/G49-1,"")))</f>
        <v/>
      </c>
      <c r="L50" s="15">
        <f>IF(OR(L49="",H49=""),"",IF(H49&lt;=0,"",IFERROR(L49/H49-1,"")))</f>
        <v/>
      </c>
      <c r="M50" s="15">
        <f>IF(OR(M49="",I49=""),"",IF(I49&lt;=0,"",IFERROR(M49/I49-1,"")))</f>
        <v/>
      </c>
      <c r="N50" s="15">
        <f>IF(OR(N49="",J49=""),"",IF(J49&lt;=0,"",IFERROR(N49/J49-1,"")))</f>
        <v/>
      </c>
      <c r="O50" s="14" t="n"/>
      <c r="P50" s="15">
        <f>IF(OR(P49="",O49=""),"",IF(O49&lt;=0,"",IFERROR(P49/O49-1,"")))</f>
        <v/>
      </c>
      <c r="Q50" s="15">
        <f>IF(OR(Q49="",P49=""),"",IF(P49&lt;=0,"",IFERROR(Q49/P49-1,"")))</f>
        <v/>
      </c>
      <c r="R50" s="15">
        <f>IF(OR(R49="",Q49=""),"",IF(Q49&lt;=0,"",IFERROR(R49/Q49-1,"")))</f>
        <v/>
      </c>
      <c r="S50" s="15">
        <f>IF(OR(S49="",R49=""),"",IF(R49&lt;=0,"",IFERROR(S49/R49-1,"")))</f>
        <v/>
      </c>
      <c r="T50" s="15">
        <f>IF(OR(T49="",S49=""),"",IF(S49&lt;=0,"",IFERROR(T49/S49-1,"")))</f>
        <v/>
      </c>
      <c r="U50" s="15">
        <f>IF(OR(U49="",T49=""),"",IF(T49&lt;=0,"",IFERROR(U49/T49-1,"")))</f>
        <v/>
      </c>
      <c r="V50" s="15">
        <f>IF(OR(V49="",U49=""),"",IF(U49&lt;=0,"",IFERROR(V49/U49-1,"")))</f>
        <v/>
      </c>
      <c r="W50" s="15">
        <f>IF(OR(W49="",V49=""),"",IF(V49&lt;=0,"",IFERROR(W49/V49-1,"")))</f>
        <v/>
      </c>
      <c r="X50" s="15">
        <f>IF(OR(X49="",W49=""),"",IF(W49&lt;=0,"",IFERROR(X49/W49-1,"")))</f>
        <v/>
      </c>
      <c r="Y50" s="14">
        <f>IF(OR(Y49="",X49=""),"",IF(X49&lt;=0,"",IFERROR(Y49/X49-1,"")))</f>
        <v/>
      </c>
      <c r="Z50" s="15">
        <f>IF(OR(Z49="",Y49=""),"",IF(Y49&lt;=0,"",IFERROR(Z49/Y49-1,"")))</f>
        <v/>
      </c>
      <c r="AA50" s="15">
        <f>IF(OR(AA49="",Z49=""),"",IF(Z49&lt;=0,"",IFERROR(AA49/Z49-1,"")))</f>
        <v/>
      </c>
      <c r="AB50" s="15">
        <f>IF(OR(AB49="",AA49=""),"",IF(AA49&lt;=0,"",IFERROR(AB49/AA49-1,"")))</f>
        <v/>
      </c>
      <c r="AC50" s="15">
        <f>IF(OR(AC49="",AB49=""),"",IF(AB49&lt;=0,"",IFERROR(AC49/AB49-1,"")))</f>
        <v/>
      </c>
    </row>
    <row r="51">
      <c r="A51" s="18" t="inlineStr">
        <is>
          <t>법인세비용(수익)</t>
        </is>
      </c>
      <c r="B51" s="10" t="n"/>
      <c r="C51" s="19" t="n">
        <v>1469</v>
      </c>
      <c r="D51" s="20" t="n">
        <v>1313</v>
      </c>
      <c r="E51" s="20" t="n">
        <v>1356</v>
      </c>
      <c r="F51" s="20" t="n">
        <v>1697</v>
      </c>
      <c r="G51" s="20" t="n">
        <v>-2073</v>
      </c>
      <c r="H51" s="20" t="n">
        <v>1516</v>
      </c>
      <c r="I51" s="20" t="n">
        <v>1614</v>
      </c>
      <c r="J51" s="20" t="n">
        <v>2030</v>
      </c>
      <c r="K51" s="20" t="n">
        <v>2411</v>
      </c>
      <c r="L51" s="20" t="n">
        <v>1989</v>
      </c>
      <c r="M51" s="20" t="n">
        <v>2074</v>
      </c>
      <c r="N51" s="20" t="n">
        <v>2800</v>
      </c>
      <c r="O51" s="19" t="n">
        <v>3459</v>
      </c>
      <c r="P51" s="20" t="n">
        <v>3198</v>
      </c>
      <c r="Q51" s="20" t="n">
        <v>3509</v>
      </c>
      <c r="R51" s="20" t="n">
        <v>3622</v>
      </c>
      <c r="S51" s="20" t="n">
        <v>3542</v>
      </c>
      <c r="T51" s="20" t="n">
        <v>4024</v>
      </c>
      <c r="U51" s="20" t="n">
        <v>3498</v>
      </c>
      <c r="V51" s="20" t="n">
        <v>3520</v>
      </c>
      <c r="W51" s="20" t="n">
        <v>2496</v>
      </c>
      <c r="X51" s="20" t="n">
        <v>8044</v>
      </c>
      <c r="Y51" s="19">
        <f>IF(OR(Y49="",Y52=""),"",IFERROR(MAX(Y49,0)*Y52,""))</f>
        <v/>
      </c>
      <c r="Z51" s="20">
        <f>IF(OR(Z49="",Z52=""),"",IFERROR(MAX(Z49,0)*Z52,""))</f>
        <v/>
      </c>
      <c r="AA51" s="20">
        <f>IF(OR(AA49="",AA52=""),"",IFERROR(MAX(AA49,0)*AA52,""))</f>
        <v/>
      </c>
      <c r="AB51" s="20">
        <f>IF(OR(AB49="",AB52=""),"",IFERROR(MAX(AB49,0)*AB52,""))</f>
        <v/>
      </c>
      <c r="AC51" s="20">
        <f>IF(OR(AC49="",AC52=""),"",IFERROR(MAX(AC49,0)*AC52,""))</f>
        <v/>
      </c>
    </row>
    <row r="52">
      <c r="A52" s="13" t="inlineStr">
        <is>
          <t>법인세율</t>
        </is>
      </c>
      <c r="B52" s="10" t="inlineStr">
        <is>
          <t>MW 기본 30%</t>
        </is>
      </c>
      <c r="C52" s="14">
        <f>IF(OR(C51="",C49=""),"",IFERROR(C51/C49,""))</f>
        <v/>
      </c>
      <c r="D52" s="15">
        <f>IF(OR(D51="",D49=""),"",IFERROR(D51/D49,""))</f>
        <v/>
      </c>
      <c r="E52" s="15">
        <f>IF(OR(E51="",E49=""),"",IFERROR(E51/E49,""))</f>
        <v/>
      </c>
      <c r="F52" s="15">
        <f>IF(OR(F51="",F49=""),"",IFERROR(F51/F49,""))</f>
        <v/>
      </c>
      <c r="G52" s="15">
        <f>IF(OR(G51="",G49=""),"",IFERROR(G51/G49,""))</f>
        <v/>
      </c>
      <c r="H52" s="15">
        <f>IF(OR(H51="",H49=""),"",IFERROR(H51/H49,""))</f>
        <v/>
      </c>
      <c r="I52" s="15">
        <f>IF(OR(I51="",I49=""),"",IFERROR(I51/I49,""))</f>
        <v/>
      </c>
      <c r="J52" s="15">
        <f>IF(OR(J51="",J49=""),"",IFERROR(J51/J49,""))</f>
        <v/>
      </c>
      <c r="K52" s="15">
        <f>IF(OR(K51="",K49=""),"",IFERROR(K51/K49,""))</f>
        <v/>
      </c>
      <c r="L52" s="15">
        <f>IF(OR(L51="",L49=""),"",IFERROR(L51/L49,""))</f>
        <v/>
      </c>
      <c r="M52" s="15">
        <f>IF(OR(M51="",M49=""),"",IFERROR(M51/M49,""))</f>
        <v/>
      </c>
      <c r="N52" s="15">
        <f>IF(OR(N51="",N49=""),"",IFERROR(N51/N49,""))</f>
        <v/>
      </c>
      <c r="O52" s="14">
        <f>IF(OR(O51="",O49=""),"",IFERROR(O51/O49,""))</f>
        <v/>
      </c>
      <c r="P52" s="15">
        <f>IF(OR(P51="",P49=""),"",IFERROR(P51/P49,""))</f>
        <v/>
      </c>
      <c r="Q52" s="15">
        <f>IF(OR(Q51="",Q49=""),"",IFERROR(Q51/Q49,""))</f>
        <v/>
      </c>
      <c r="R52" s="15">
        <f>IF(OR(R51="",R49=""),"",IFERROR(R51/R49,""))</f>
        <v/>
      </c>
      <c r="S52" s="15">
        <f>IF(OR(S51="",S49=""),"",IFERROR(S51/S49,""))</f>
        <v/>
      </c>
      <c r="T52" s="15">
        <f>IF(OR(T51="",T49=""),"",IFERROR(T51/T49,""))</f>
        <v/>
      </c>
      <c r="U52" s="15">
        <f>IF(OR(U51="",U49=""),"",IFERROR(U51/U49,""))</f>
        <v/>
      </c>
      <c r="V52" s="15">
        <f>IF(OR(V51="",V49=""),"",IFERROR(V51/V49,""))</f>
        <v/>
      </c>
      <c r="W52" s="15">
        <f>IF(OR(W51="",W49=""),"",IFERROR(W51/W49,""))</f>
        <v/>
      </c>
      <c r="X52" s="15">
        <f>IF(OR(X51="",X49=""),"",IFERROR(X51/X49,""))</f>
        <v/>
      </c>
      <c r="Y52" s="25" t="n">
        <v>0.3</v>
      </c>
      <c r="Z52" s="26" t="n">
        <v>0.3</v>
      </c>
      <c r="AA52" s="26" t="n">
        <v>0.3</v>
      </c>
      <c r="AB52" s="26" t="n">
        <v>0.3</v>
      </c>
      <c r="AC52" s="26" t="n">
        <v>0.3</v>
      </c>
    </row>
    <row r="53">
      <c r="A53" s="9" t="inlineStr">
        <is>
          <t>당기순이익(손실)</t>
        </is>
      </c>
      <c r="B53" s="10" t="n"/>
      <c r="C53" s="11" t="n">
        <v>2258</v>
      </c>
      <c r="D53" s="12" t="n">
        <v>4999</v>
      </c>
      <c r="E53" s="12" t="n">
        <v>2199</v>
      </c>
      <c r="F53" s="12" t="n">
        <v>3813</v>
      </c>
      <c r="G53" s="12" t="n">
        <v>9070</v>
      </c>
      <c r="H53" s="12" t="n">
        <v>5006</v>
      </c>
      <c r="I53" s="12" t="n">
        <v>3372</v>
      </c>
      <c r="J53" s="12" t="n">
        <v>3975</v>
      </c>
      <c r="K53" s="12" t="n">
        <v>5053</v>
      </c>
      <c r="L53" s="12" t="n">
        <v>6360</v>
      </c>
      <c r="M53" s="12" t="n">
        <v>3479</v>
      </c>
      <c r="N53" s="12" t="n">
        <v>5332</v>
      </c>
      <c r="O53" s="11" t="n">
        <v>9005</v>
      </c>
      <c r="P53" s="12" t="n">
        <v>7792</v>
      </c>
      <c r="Q53" s="12" t="n">
        <v>6338</v>
      </c>
      <c r="R53" s="12" t="n">
        <v>3520</v>
      </c>
      <c r="S53" s="12" t="n">
        <v>7816</v>
      </c>
      <c r="T53" s="12" t="n">
        <v>7095</v>
      </c>
      <c r="U53" s="12" t="n">
        <v>-6671</v>
      </c>
      <c r="V53" s="12" t="n">
        <v>7841</v>
      </c>
      <c r="W53" s="12" t="n">
        <v>20088</v>
      </c>
      <c r="X53" s="12" t="n">
        <v>18760</v>
      </c>
      <c r="Y53" s="11">
        <f>IF(OR(Y49=""),"",IFERROR(Y49-Y51,""))</f>
        <v/>
      </c>
      <c r="Z53" s="12">
        <f>IF(OR(Z49=""),"",IFERROR(Z49-Z51,""))</f>
        <v/>
      </c>
      <c r="AA53" s="12">
        <f>IF(OR(AA49=""),"",IFERROR(AA49-AA51,""))</f>
        <v/>
      </c>
      <c r="AB53" s="12">
        <f>IF(OR(AB49=""),"",IFERROR(AB49-AB51,""))</f>
        <v/>
      </c>
      <c r="AC53" s="12">
        <f>IF(OR(AC49=""),"",IFERROR(AC49-AC51,""))</f>
        <v/>
      </c>
    </row>
    <row r="54">
      <c r="A54" s="13" t="inlineStr">
        <is>
          <t>YoY</t>
        </is>
      </c>
      <c r="B54" s="10" t="n"/>
      <c r="C54" s="14" t="n"/>
      <c r="D54" s="15" t="n"/>
      <c r="E54" s="15" t="n"/>
      <c r="F54" s="15" t="n"/>
      <c r="G54" s="15">
        <f>IF(OR(G53="",C53=""),"",IF(C53&lt;=0,"",IFERROR(G53/C53-1,"")))</f>
        <v/>
      </c>
      <c r="H54" s="15">
        <f>IF(OR(H53="",D53=""),"",IF(D53&lt;=0,"",IFERROR(H53/D53-1,"")))</f>
        <v/>
      </c>
      <c r="I54" s="15">
        <f>IF(OR(I53="",E53=""),"",IF(E53&lt;=0,"",IFERROR(I53/E53-1,"")))</f>
        <v/>
      </c>
      <c r="J54" s="15">
        <f>IF(OR(J53="",F53=""),"",IF(F53&lt;=0,"",IFERROR(J53/F53-1,"")))</f>
        <v/>
      </c>
      <c r="K54" s="15">
        <f>IF(OR(K53="",G53=""),"",IF(G53&lt;=0,"",IFERROR(K53/G53-1,"")))</f>
        <v/>
      </c>
      <c r="L54" s="15">
        <f>IF(OR(L53="",H53=""),"",IF(H53&lt;=0,"",IFERROR(L53/H53-1,"")))</f>
        <v/>
      </c>
      <c r="M54" s="15">
        <f>IF(OR(M53="",I53=""),"",IF(I53&lt;=0,"",IFERROR(M53/I53-1,"")))</f>
        <v/>
      </c>
      <c r="N54" s="15">
        <f>IF(OR(N53="",J53=""),"",IF(J53&lt;=0,"",IFERROR(N53/J53-1,"")))</f>
        <v/>
      </c>
      <c r="O54" s="14" t="n"/>
      <c r="P54" s="15">
        <f>IF(OR(P53="",O53=""),"",IF(O53&lt;=0,"",IFERROR(P53/O53-1,"")))</f>
        <v/>
      </c>
      <c r="Q54" s="15">
        <f>IF(OR(Q53="",P53=""),"",IF(P53&lt;=0,"",IFERROR(Q53/P53-1,"")))</f>
        <v/>
      </c>
      <c r="R54" s="15">
        <f>IF(OR(R53="",Q53=""),"",IF(Q53&lt;=0,"",IFERROR(R53/Q53-1,"")))</f>
        <v/>
      </c>
      <c r="S54" s="15">
        <f>IF(OR(S53="",R53=""),"",IF(R53&lt;=0,"",IFERROR(S53/R53-1,"")))</f>
        <v/>
      </c>
      <c r="T54" s="15">
        <f>IF(OR(T53="",S53=""),"",IF(S53&lt;=0,"",IFERROR(T53/S53-1,"")))</f>
        <v/>
      </c>
      <c r="U54" s="15">
        <f>IF(OR(U53="",T53=""),"",IF(T53&lt;=0,"",IFERROR(U53/T53-1,"")))</f>
        <v/>
      </c>
      <c r="V54" s="15">
        <f>IF(OR(V53="",U53=""),"",IF(U53&lt;=0,"",IFERROR(V53/U53-1,"")))</f>
        <v/>
      </c>
      <c r="W54" s="15">
        <f>IF(OR(W53="",V53=""),"",IF(V53&lt;=0,"",IFERROR(W53/V53-1,"")))</f>
        <v/>
      </c>
      <c r="X54" s="15">
        <f>IF(OR(X53="",W53=""),"",IF(W53&lt;=0,"",IFERROR(X53/W53-1,"")))</f>
        <v/>
      </c>
      <c r="Y54" s="14">
        <f>IF(OR(Y53="",X53=""),"",IF(X53&lt;=0,"",IFERROR(Y53/X53-1,"")))</f>
        <v/>
      </c>
      <c r="Z54" s="15">
        <f>IF(OR(Z53="",Y53=""),"",IF(Y53&lt;=0,"",IFERROR(Z53/Y53-1,"")))</f>
        <v/>
      </c>
      <c r="AA54" s="15">
        <f>IF(OR(AA53="",Z53=""),"",IF(Z53&lt;=0,"",IFERROR(AA53/Z53-1,"")))</f>
        <v/>
      </c>
      <c r="AB54" s="15">
        <f>IF(OR(AB53="",AA53=""),"",IF(AA53&lt;=0,"",IFERROR(AB53/AA53-1,"")))</f>
        <v/>
      </c>
      <c r="AC54" s="15">
        <f>IF(OR(AC53="",AB53=""),"",IF(AB53&lt;=0,"",IFERROR(AC53/AB53-1,"")))</f>
        <v/>
      </c>
    </row>
    <row r="55">
      <c r="A55" s="9" t="inlineStr">
        <is>
          <t>지배주주 순이익</t>
        </is>
      </c>
      <c r="B55" s="10" t="n"/>
      <c r="C55" s="11" t="n">
        <v>2202</v>
      </c>
      <c r="D55" s="12" t="n">
        <v>5158</v>
      </c>
      <c r="E55" s="12" t="n">
        <v>2203</v>
      </c>
      <c r="F55" s="12" t="n">
        <v>3784</v>
      </c>
      <c r="G55" s="12" t="n">
        <v>9019</v>
      </c>
      <c r="H55" s="12" t="n">
        <v>4889</v>
      </c>
      <c r="I55" s="12" t="n">
        <v>3345</v>
      </c>
      <c r="J55" s="12" t="n">
        <v>3945</v>
      </c>
      <c r="K55" s="12" t="n">
        <v>4991</v>
      </c>
      <c r="L55" s="12" t="n">
        <v>6201</v>
      </c>
      <c r="M55" s="12" t="n">
        <v>3470</v>
      </c>
      <c r="N55" s="12" t="n">
        <v>5301</v>
      </c>
      <c r="O55" s="11" t="n">
        <v>9273</v>
      </c>
      <c r="P55" s="12" t="n">
        <v>7809</v>
      </c>
      <c r="Q55" s="12" t="n">
        <v>6160</v>
      </c>
      <c r="R55" s="12" t="n">
        <v>4795</v>
      </c>
      <c r="S55" s="12" t="n">
        <v>8119</v>
      </c>
      <c r="T55" s="12" t="n">
        <v>6682</v>
      </c>
      <c r="U55" s="12" t="n">
        <v>-6913</v>
      </c>
      <c r="V55" s="12" t="n">
        <v>7937</v>
      </c>
      <c r="W55" s="12" t="n">
        <v>19895</v>
      </c>
      <c r="X55" s="12" t="n">
        <v>18482</v>
      </c>
      <c r="Y55" s="11">
        <f>IF(OR(Y53="",Y56=""),"",IFERROR(Y53*Y56,""))</f>
        <v/>
      </c>
      <c r="Z55" s="12">
        <f>IF(OR(Z53="",Z56=""),"",IFERROR(Z53*Z56,""))</f>
        <v/>
      </c>
      <c r="AA55" s="12">
        <f>IF(OR(AA53="",AA56=""),"",IFERROR(AA53*AA56,""))</f>
        <v/>
      </c>
      <c r="AB55" s="12">
        <f>IF(OR(AB53="",AB56=""),"",IFERROR(AB53*AB56,""))</f>
        <v/>
      </c>
      <c r="AC55" s="12">
        <f>IF(OR(AC53="",AC56=""),"",IFERROR(AC53*AC56,""))</f>
        <v/>
      </c>
    </row>
    <row r="56">
      <c r="A56" s="13" t="inlineStr">
        <is>
          <t>지배주주 순이익률</t>
        </is>
      </c>
      <c r="B56" s="10" t="inlineStr">
        <is>
          <t>MW 기본 100%</t>
        </is>
      </c>
      <c r="C56" s="14">
        <f>IF(OR(C55="",C53=""),"",IFERROR(C55/C53,""))</f>
        <v/>
      </c>
      <c r="D56" s="15">
        <f>IF(OR(D55="",D53=""),"",IFERROR(D55/D53,""))</f>
        <v/>
      </c>
      <c r="E56" s="15">
        <f>IF(OR(E55="",E53=""),"",IFERROR(E55/E53,""))</f>
        <v/>
      </c>
      <c r="F56" s="15">
        <f>IF(OR(F55="",F53=""),"",IFERROR(F55/F53,""))</f>
        <v/>
      </c>
      <c r="G56" s="15">
        <f>IF(OR(G55="",G53=""),"",IFERROR(G55/G53,""))</f>
        <v/>
      </c>
      <c r="H56" s="15">
        <f>IF(OR(H55="",H53=""),"",IFERROR(H55/H53,""))</f>
        <v/>
      </c>
      <c r="I56" s="15">
        <f>IF(OR(I55="",I53=""),"",IFERROR(I55/I53,""))</f>
        <v/>
      </c>
      <c r="J56" s="15">
        <f>IF(OR(J55="",J53=""),"",IFERROR(J55/J53,""))</f>
        <v/>
      </c>
      <c r="K56" s="15">
        <f>IF(OR(K55="",K53=""),"",IFERROR(K55/K53,""))</f>
        <v/>
      </c>
      <c r="L56" s="15">
        <f>IF(OR(L55="",L53=""),"",IFERROR(L55/L53,""))</f>
        <v/>
      </c>
      <c r="M56" s="15">
        <f>IF(OR(M55="",M53=""),"",IFERROR(M55/M53,""))</f>
        <v/>
      </c>
      <c r="N56" s="15">
        <f>IF(OR(N55="",N53=""),"",IFERROR(N55/N53,""))</f>
        <v/>
      </c>
      <c r="O56" s="14">
        <f>IF(OR(O55="",O53=""),"",IFERROR(O55/O53,""))</f>
        <v/>
      </c>
      <c r="P56" s="15">
        <f>IF(OR(P55="",P53=""),"",IFERROR(P55/P53,""))</f>
        <v/>
      </c>
      <c r="Q56" s="15">
        <f>IF(OR(Q55="",Q53=""),"",IFERROR(Q55/Q53,""))</f>
        <v/>
      </c>
      <c r="R56" s="15">
        <f>IF(OR(R55="",R53=""),"",IFERROR(R55/R53,""))</f>
        <v/>
      </c>
      <c r="S56" s="15">
        <f>IF(OR(S55="",S53=""),"",IFERROR(S55/S53,""))</f>
        <v/>
      </c>
      <c r="T56" s="15">
        <f>IF(OR(T55="",T53=""),"",IFERROR(T55/T53,""))</f>
        <v/>
      </c>
      <c r="U56" s="15">
        <f>IF(OR(U55="",U53=""),"",IFERROR(U55/U53,""))</f>
        <v/>
      </c>
      <c r="V56" s="15">
        <f>IF(OR(V55="",V53=""),"",IFERROR(V55/V53,""))</f>
        <v/>
      </c>
      <c r="W56" s="15">
        <f>IF(OR(W55="",W53=""),"",IFERROR(W55/W53,""))</f>
        <v/>
      </c>
      <c r="X56" s="15">
        <f>IF(OR(X55="",X53=""),"",IFERROR(X55/X53,""))</f>
        <v/>
      </c>
      <c r="Y56" s="25" t="n">
        <v>1</v>
      </c>
      <c r="Z56" s="26" t="n">
        <v>1</v>
      </c>
      <c r="AA56" s="26" t="n">
        <v>1</v>
      </c>
      <c r="AB56" s="26" t="n">
        <v>1</v>
      </c>
      <c r="AC56" s="26" t="n">
        <v>1</v>
      </c>
    </row>
    <row r="57">
      <c r="A57" s="13" t="inlineStr">
        <is>
          <t>지배주주 순이익 YoY</t>
        </is>
      </c>
      <c r="B57" s="10" t="n"/>
      <c r="C57" s="14" t="n"/>
      <c r="D57" s="15" t="n"/>
      <c r="E57" s="15" t="n"/>
      <c r="F57" s="15" t="n"/>
      <c r="G57" s="15">
        <f>IF(OR(G55="",C55=""),"",IF(C55&lt;=0,"",IFERROR(G55/C55-1,"")))</f>
        <v/>
      </c>
      <c r="H57" s="15">
        <f>IF(OR(H55="",D55=""),"",IF(D55&lt;=0,"",IFERROR(H55/D55-1,"")))</f>
        <v/>
      </c>
      <c r="I57" s="15">
        <f>IF(OR(I55="",E55=""),"",IF(E55&lt;=0,"",IFERROR(I55/E55-1,"")))</f>
        <v/>
      </c>
      <c r="J57" s="15">
        <f>IF(OR(J55="",F55=""),"",IF(F55&lt;=0,"",IFERROR(J55/F55-1,"")))</f>
        <v/>
      </c>
      <c r="K57" s="15">
        <f>IF(OR(K55="",G55=""),"",IF(G55&lt;=0,"",IFERROR(K55/G55-1,"")))</f>
        <v/>
      </c>
      <c r="L57" s="15">
        <f>IF(OR(L55="",H55=""),"",IF(H55&lt;=0,"",IFERROR(L55/H55-1,"")))</f>
        <v/>
      </c>
      <c r="M57" s="15">
        <f>IF(OR(M55="",I55=""),"",IF(I55&lt;=0,"",IFERROR(M55/I55-1,"")))</f>
        <v/>
      </c>
      <c r="N57" s="15">
        <f>IF(OR(N55="",J55=""),"",IF(J55&lt;=0,"",IFERROR(N55/J55-1,"")))</f>
        <v/>
      </c>
      <c r="O57" s="14" t="n"/>
      <c r="P57" s="15">
        <f>IF(OR(P55="",O55=""),"",IF(O55&lt;=0,"",IFERROR(P55/O55-1,"")))</f>
        <v/>
      </c>
      <c r="Q57" s="15">
        <f>IF(OR(Q55="",P55=""),"",IF(P55&lt;=0,"",IFERROR(Q55/P55-1,"")))</f>
        <v/>
      </c>
      <c r="R57" s="15">
        <f>IF(OR(R55="",Q55=""),"",IF(Q55&lt;=0,"",IFERROR(R55/Q55-1,"")))</f>
        <v/>
      </c>
      <c r="S57" s="15">
        <f>IF(OR(S55="",R55=""),"",IF(R55&lt;=0,"",IFERROR(S55/R55-1,"")))</f>
        <v/>
      </c>
      <c r="T57" s="15">
        <f>IF(OR(T55="",S55=""),"",IF(S55&lt;=0,"",IFERROR(T55/S55-1,"")))</f>
        <v/>
      </c>
      <c r="U57" s="15">
        <f>IF(OR(U55="",T55=""),"",IF(T55&lt;=0,"",IFERROR(U55/T55-1,"")))</f>
        <v/>
      </c>
      <c r="V57" s="15">
        <f>IF(OR(V55="",U55=""),"",IF(U55&lt;=0,"",IFERROR(V55/U55-1,"")))</f>
        <v/>
      </c>
      <c r="W57" s="15">
        <f>IF(OR(W55="",V55=""),"",IF(V55&lt;=0,"",IFERROR(W55/V55-1,"")))</f>
        <v/>
      </c>
      <c r="X57" s="15">
        <f>IF(OR(X55="",W55=""),"",IF(W55&lt;=0,"",IFERROR(X55/W55-1,"")))</f>
        <v/>
      </c>
      <c r="Y57" s="14">
        <f>IF(OR(Y55="",X55=""),"",IF(X55&lt;=0,"",IFERROR(Y55/X55-1,"")))</f>
        <v/>
      </c>
      <c r="Z57" s="15">
        <f>IF(OR(Z55="",Y55=""),"",IF(Y55&lt;=0,"",IFERROR(Z55/Y55-1,"")))</f>
        <v/>
      </c>
      <c r="AA57" s="15">
        <f>IF(OR(AA55="",Z55=""),"",IF(Z55&lt;=0,"",IFERROR(AA55/Z55-1,"")))</f>
        <v/>
      </c>
      <c r="AB57" s="15">
        <f>IF(OR(AB55="",AA55=""),"",IF(AA55&lt;=0,"",IFERROR(AB55/AA55-1,"")))</f>
        <v/>
      </c>
      <c r="AC57" s="15">
        <f>IF(OR(AC55="",AB55=""),"",IF(AB55&lt;=0,"",IFERROR(AC55/AB55-1,"")))</f>
        <v/>
      </c>
    </row>
    <row r="58">
      <c r="A58" s="16" t="inlineStr">
        <is>
          <t>목표주가 산출</t>
        </is>
      </c>
      <c r="B58" s="16" t="n"/>
      <c r="C58" s="17" t="n"/>
      <c r="D58" s="16" t="n"/>
      <c r="E58" s="16" t="n"/>
      <c r="F58" s="16" t="n"/>
      <c r="G58" s="16" t="n"/>
      <c r="H58" s="16" t="n"/>
      <c r="I58" s="16" t="n"/>
      <c r="J58" s="16" t="n"/>
      <c r="K58" s="16" t="n"/>
      <c r="L58" s="16" t="n"/>
      <c r="M58" s="16" t="n"/>
      <c r="N58" s="16" t="n"/>
      <c r="O58" s="17" t="n"/>
      <c r="P58" s="16" t="n"/>
      <c r="Q58" s="16" t="n"/>
      <c r="R58" s="16" t="n"/>
      <c r="S58" s="16" t="n"/>
      <c r="T58" s="16" t="n"/>
      <c r="U58" s="16" t="n"/>
      <c r="V58" s="16" t="n"/>
      <c r="W58" s="16" t="n"/>
      <c r="X58" s="16" t="n"/>
      <c r="Y58" s="17" t="n"/>
      <c r="Z58" s="16" t="n"/>
      <c r="AA58" s="16" t="n"/>
      <c r="AB58" s="16" t="n"/>
      <c r="AC58" s="16" t="n"/>
    </row>
    <row r="59">
      <c r="A59" s="18" t="inlineStr">
        <is>
          <t>현재 주가 ()</t>
        </is>
      </c>
      <c r="B59" s="27" t="n"/>
      <c r="C59" s="28" t="n"/>
      <c r="D59" s="29" t="n"/>
      <c r="E59" s="29" t="n"/>
      <c r="F59" s="29" t="n"/>
      <c r="G59" s="29" t="n"/>
      <c r="H59" s="29" t="n"/>
      <c r="I59" s="29" t="n"/>
      <c r="J59" s="29" t="n"/>
      <c r="K59" s="29" t="n"/>
      <c r="L59" s="29" t="n"/>
      <c r="M59" s="29" t="n"/>
      <c r="N59" s="29" t="n"/>
      <c r="O59" s="28" t="n"/>
      <c r="P59" s="29" t="n"/>
      <c r="Q59" s="29" t="n"/>
      <c r="R59" s="29" t="n"/>
      <c r="S59" s="29" t="n"/>
      <c r="T59" s="29" t="n"/>
      <c r="U59" s="29" t="n"/>
      <c r="V59" s="29" t="n"/>
      <c r="W59" s="29" t="n"/>
      <c r="X59" s="29" t="n"/>
      <c r="Y59" s="28" t="n"/>
      <c r="Z59" s="29" t="n"/>
      <c r="AA59" s="29" t="n"/>
      <c r="AB59" s="29" t="n"/>
      <c r="AC59" s="29" t="n"/>
    </row>
    <row r="60">
      <c r="A60" s="18" t="inlineStr">
        <is>
          <t>발행주식수 (보통주)</t>
        </is>
      </c>
      <c r="B60" s="27" t="n"/>
      <c r="C60" s="28" t="n"/>
      <c r="D60" s="29" t="n"/>
      <c r="E60" s="29" t="n"/>
      <c r="F60" s="29" t="n"/>
      <c r="G60" s="29" t="n"/>
      <c r="H60" s="29" t="n"/>
      <c r="I60" s="29" t="n"/>
      <c r="J60" s="29" t="n"/>
      <c r="K60" s="29" t="n"/>
      <c r="L60" s="29" t="n"/>
      <c r="M60" s="29" t="n"/>
      <c r="N60" s="29" t="n"/>
      <c r="O60" s="28" t="n"/>
      <c r="P60" s="29" t="n"/>
      <c r="Q60" s="29" t="n"/>
      <c r="R60" s="29" t="n"/>
      <c r="S60" s="29" t="n"/>
      <c r="T60" s="29" t="n"/>
      <c r="U60" s="29" t="n"/>
      <c r="V60" s="29" t="n"/>
      <c r="W60" s="29" t="n"/>
      <c r="X60" s="29" t="n"/>
      <c r="Y60" s="28" t="n"/>
      <c r="Z60" s="29" t="n"/>
      <c r="AA60" s="29" t="n"/>
      <c r="AB60" s="29" t="n"/>
      <c r="AC60" s="29" t="n"/>
    </row>
    <row r="61">
      <c r="A61" s="18" t="inlineStr">
        <is>
          <t>시가총액 (백만엔)</t>
        </is>
      </c>
      <c r="B61" s="12">
        <f>IF(OR(B59="",B60=""),"",B59*B60/1000000.0)</f>
        <v/>
      </c>
      <c r="C61" s="19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19" t="n"/>
      <c r="P61" s="20" t="n"/>
      <c r="Q61" s="20" t="n"/>
      <c r="R61" s="20" t="n"/>
      <c r="S61" s="20" t="n"/>
      <c r="T61" s="20" t="n"/>
      <c r="U61" s="20" t="n"/>
      <c r="V61" s="20" t="n"/>
      <c r="W61" s="20" t="n"/>
      <c r="X61" s="20" t="n"/>
      <c r="Y61" s="19" t="n"/>
      <c r="Z61" s="20" t="n"/>
      <c r="AA61" s="20" t="n"/>
      <c r="AB61" s="20" t="n"/>
      <c r="AC61" s="20" t="n"/>
    </row>
    <row r="62">
      <c r="A62" s="13" t="inlineStr">
        <is>
          <t>OPM</t>
        </is>
      </c>
      <c r="B62" s="10" t="n"/>
      <c r="C62" s="14" t="n"/>
      <c r="D62" s="15" t="n"/>
      <c r="E62" s="15" t="n"/>
      <c r="F62" s="15" t="n"/>
      <c r="G62" s="15" t="n"/>
      <c r="H62" s="15" t="n"/>
      <c r="I62" s="15" t="n"/>
      <c r="J62" s="15" t="n"/>
      <c r="K62" s="15" t="n"/>
      <c r="L62" s="15" t="n"/>
      <c r="M62" s="15" t="n"/>
      <c r="N62" s="15" t="n"/>
      <c r="O62" s="14">
        <f>IF(O26="","",O26)</f>
        <v/>
      </c>
      <c r="P62" s="15">
        <f>IF(P26="","",P26)</f>
        <v/>
      </c>
      <c r="Q62" s="15">
        <f>IF(Q26="","",Q26)</f>
        <v/>
      </c>
      <c r="R62" s="15">
        <f>IF(R26="","",R26)</f>
        <v/>
      </c>
      <c r="S62" s="15">
        <f>IF(S26="","",S26)</f>
        <v/>
      </c>
      <c r="T62" s="15">
        <f>IF(T26="","",T26)</f>
        <v/>
      </c>
      <c r="U62" s="15">
        <f>IF(U26="","",U26)</f>
        <v/>
      </c>
      <c r="V62" s="15">
        <f>IF(V26="","",V26)</f>
        <v/>
      </c>
      <c r="W62" s="15">
        <f>IF(W26="","",W26)</f>
        <v/>
      </c>
      <c r="X62" s="15">
        <f>IF(X26="","",X26)</f>
        <v/>
      </c>
      <c r="Y62" s="14">
        <f>IF(Y26="","",Y26)</f>
        <v/>
      </c>
      <c r="Z62" s="15">
        <f>IF(Z26="","",Z26)</f>
        <v/>
      </c>
      <c r="AA62" s="15">
        <f>IF(AA26="","",AA26)</f>
        <v/>
      </c>
      <c r="AB62" s="15">
        <f>IF(AB26="","",AB26)</f>
        <v/>
      </c>
      <c r="AC62" s="15">
        <f>IF(AC26="","",AC26)</f>
        <v/>
      </c>
    </row>
    <row r="63">
      <c r="A63" s="13" t="inlineStr">
        <is>
          <t>지배주주 순이익 증가율</t>
        </is>
      </c>
      <c r="B63" s="10" t="n"/>
      <c r="C63" s="14" t="n"/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4" t="n"/>
      <c r="P63" s="15">
        <f>IF(OR(P55="",O55=""),"",IFERROR(P55/O55-1,""))</f>
        <v/>
      </c>
      <c r="Q63" s="15">
        <f>IF(OR(Q55="",P55=""),"",IFERROR(Q55/P55-1,""))</f>
        <v/>
      </c>
      <c r="R63" s="15">
        <f>IF(OR(R55="",Q55=""),"",IFERROR(R55/Q55-1,""))</f>
        <v/>
      </c>
      <c r="S63" s="15">
        <f>IF(OR(S55="",R55=""),"",IFERROR(S55/R55-1,""))</f>
        <v/>
      </c>
      <c r="T63" s="15">
        <f>IF(OR(T55="",S55=""),"",IFERROR(T55/S55-1,""))</f>
        <v/>
      </c>
      <c r="U63" s="15">
        <f>IF(OR(U55="",T55=""),"",IFERROR(U55/T55-1,""))</f>
        <v/>
      </c>
      <c r="V63" s="15">
        <f>IF(OR(V55="",U55=""),"",IFERROR(V55/U55-1,""))</f>
        <v/>
      </c>
      <c r="W63" s="15">
        <f>IF(OR(W55="",V55=""),"",IFERROR(W55/V55-1,""))</f>
        <v/>
      </c>
      <c r="X63" s="15">
        <f>IF(OR(X55="",W55=""),"",IFERROR(X55/W55-1,""))</f>
        <v/>
      </c>
      <c r="Y63" s="14">
        <f>IF(OR(Y55="",X55=""),"",IFERROR(Y55/X55-1,""))</f>
        <v/>
      </c>
      <c r="Z63" s="15">
        <f>IF(OR(Z55="",Y55=""),"",IFERROR(Z55/Y55-1,""))</f>
        <v/>
      </c>
      <c r="AA63" s="15">
        <f>IF(OR(AA55="",Z55=""),"",IFERROR(AA55/Z55-1,""))</f>
        <v/>
      </c>
      <c r="AB63" s="15">
        <f>IF(OR(AB55="",AA55=""),"",IFERROR(AB55/AA55-1,""))</f>
        <v/>
      </c>
      <c r="AC63" s="15">
        <f>IF(OR(AC55="",AB55=""),"",IFERROR(AC55/AB55-1,""))</f>
        <v/>
      </c>
    </row>
    <row r="64">
      <c r="A64" s="18" t="inlineStr">
        <is>
          <t>P/E (현재 주가)</t>
        </is>
      </c>
      <c r="B64" s="10" t="inlineStr">
        <is>
          <t>시총 ÷ 지배순이익</t>
        </is>
      </c>
      <c r="C64" s="30" t="n"/>
      <c r="D64" s="31" t="n"/>
      <c r="E64" s="31" t="n"/>
      <c r="F64" s="31" t="n"/>
      <c r="G64" s="31" t="n"/>
      <c r="H64" s="31" t="n"/>
      <c r="I64" s="31" t="n"/>
      <c r="J64" s="31" t="n"/>
      <c r="K64" s="31" t="n"/>
      <c r="L64" s="31" t="n"/>
      <c r="M64" s="31" t="n"/>
      <c r="N64" s="31" t="n"/>
      <c r="O64" s="30" t="n"/>
      <c r="P64" s="31" t="n"/>
      <c r="Q64" s="31" t="n"/>
      <c r="R64" s="31" t="n"/>
      <c r="S64" s="31" t="n"/>
      <c r="T64" s="31" t="n"/>
      <c r="U64" s="31" t="n"/>
      <c r="V64" s="31" t="n"/>
      <c r="W64" s="31" t="n"/>
      <c r="X64" s="31">
        <f>IF(OR($B$61="",X55=""),"",IFERROR($B$61/X55,""))</f>
        <v/>
      </c>
      <c r="Y64" s="30">
        <f>IF(OR($B$61="",Y55=""),"",IFERROR($B$61/Y55,""))</f>
        <v/>
      </c>
      <c r="Z64" s="31">
        <f>IF(OR($B$61="",Z55=""),"",IFERROR($B$61/Z55,""))</f>
        <v/>
      </c>
      <c r="AA64" s="31">
        <f>IF(OR($B$61="",AA55=""),"",IFERROR($B$61/AA55,""))</f>
        <v/>
      </c>
      <c r="AB64" s="31">
        <f>IF(OR($B$61="",AB55=""),"",IFERROR($B$61/AB55,""))</f>
        <v/>
      </c>
      <c r="AC64" s="31">
        <f>IF(OR($B$61="",AC55=""),"",IFERROR($B$61/AC55,""))</f>
        <v/>
      </c>
    </row>
    <row r="65">
      <c r="A65" s="18" t="inlineStr">
        <is>
          <t>Target P/E</t>
        </is>
      </c>
      <c r="B65" s="10" t="inlineStr">
        <is>
          <t>직접 입력</t>
        </is>
      </c>
      <c r="C65" s="30" t="n"/>
      <c r="D65" s="31" t="n"/>
      <c r="E65" s="31" t="n"/>
      <c r="F65" s="31" t="n"/>
      <c r="G65" s="31" t="n"/>
      <c r="H65" s="31" t="n"/>
      <c r="I65" s="31" t="n"/>
      <c r="J65" s="31" t="n"/>
      <c r="K65" s="31" t="n"/>
      <c r="L65" s="31" t="n"/>
      <c r="M65" s="31" t="n"/>
      <c r="N65" s="31" t="n"/>
      <c r="O65" s="30" t="n"/>
      <c r="P65" s="31" t="n"/>
      <c r="Q65" s="31" t="n"/>
      <c r="R65" s="31" t="n"/>
      <c r="S65" s="31" t="n"/>
      <c r="T65" s="31" t="n"/>
      <c r="U65" s="31" t="n"/>
      <c r="V65" s="31" t="n"/>
      <c r="W65" s="31" t="n"/>
      <c r="X65" s="31" t="n"/>
      <c r="Y65" s="32" t="n"/>
      <c r="Z65" s="33" t="n"/>
      <c r="AA65" s="33" t="n"/>
      <c r="AB65" s="33" t="n"/>
      <c r="AC65" s="33" t="n"/>
    </row>
    <row r="66">
      <c r="A66" s="18" t="inlineStr">
        <is>
          <t>EPS</t>
        </is>
      </c>
      <c r="B66" s="10" t="inlineStr">
        <is>
          <t>지배순이익 ÷ 주식수</t>
        </is>
      </c>
      <c r="C66" s="28" t="n"/>
      <c r="D66" s="29" t="n"/>
      <c r="E66" s="29" t="n"/>
      <c r="F66" s="29" t="n"/>
      <c r="G66" s="29" t="n"/>
      <c r="H66" s="29" t="n"/>
      <c r="I66" s="29" t="n"/>
      <c r="J66" s="29" t="n"/>
      <c r="K66" s="29" t="n"/>
      <c r="L66" s="29" t="n"/>
      <c r="M66" s="29" t="n"/>
      <c r="N66" s="29" t="n"/>
      <c r="O66" s="28">
        <f>IF(OR(O55="",$B$60=""),"",IFERROR(O55*1000000.0/$B$60,""))</f>
        <v/>
      </c>
      <c r="P66" s="29">
        <f>IF(OR(P55="",$B$60=""),"",IFERROR(P55*1000000.0/$B$60,""))</f>
        <v/>
      </c>
      <c r="Q66" s="29">
        <f>IF(OR(Q55="",$B$60=""),"",IFERROR(Q55*1000000.0/$B$60,""))</f>
        <v/>
      </c>
      <c r="R66" s="29">
        <f>IF(OR(R55="",$B$60=""),"",IFERROR(R55*1000000.0/$B$60,""))</f>
        <v/>
      </c>
      <c r="S66" s="29">
        <f>IF(OR(S55="",$B$60=""),"",IFERROR(S55*1000000.0/$B$60,""))</f>
        <v/>
      </c>
      <c r="T66" s="29">
        <f>IF(OR(T55="",$B$60=""),"",IFERROR(T55*1000000.0/$B$60,""))</f>
        <v/>
      </c>
      <c r="U66" s="29">
        <f>IF(OR(U55="",$B$60=""),"",IFERROR(U55*1000000.0/$B$60,""))</f>
        <v/>
      </c>
      <c r="V66" s="29">
        <f>IF(OR(V55="",$B$60=""),"",IFERROR(V55*1000000.0/$B$60,""))</f>
        <v/>
      </c>
      <c r="W66" s="29">
        <f>IF(OR(W55="",$B$60=""),"",IFERROR(W55*1000000.0/$B$60,""))</f>
        <v/>
      </c>
      <c r="X66" s="29">
        <f>IF(OR(X55="",$B$60=""),"",IFERROR(X55*1000000.0/$B$60,""))</f>
        <v/>
      </c>
      <c r="Y66" s="28">
        <f>IF(OR(Y55="",$B$60=""),"",IFERROR(Y55*1000000.0/$B$60,""))</f>
        <v/>
      </c>
      <c r="Z66" s="29">
        <f>IF(OR(Z55="",$B$60=""),"",IFERROR(Z55*1000000.0/$B$60,""))</f>
        <v/>
      </c>
      <c r="AA66" s="29">
        <f>IF(OR(AA55="",$B$60=""),"",IFERROR(AA55*1000000.0/$B$60,""))</f>
        <v/>
      </c>
      <c r="AB66" s="29">
        <f>IF(OR(AB55="",$B$60=""),"",IFERROR(AB55*1000000.0/$B$60,""))</f>
        <v/>
      </c>
      <c r="AC66" s="29">
        <f>IF(OR(AC55="",$B$60=""),"",IFERROR(AC55*1000000.0/$B$60,""))</f>
        <v/>
      </c>
    </row>
    <row r="67">
      <c r="A67" s="9" t="inlineStr">
        <is>
          <t>목표주가</t>
        </is>
      </c>
      <c r="B67" s="10" t="n"/>
      <c r="C67" s="34" t="n"/>
      <c r="D67" s="27" t="n"/>
      <c r="E67" s="27" t="n"/>
      <c r="F67" s="27" t="n"/>
      <c r="G67" s="27" t="n"/>
      <c r="H67" s="27" t="n"/>
      <c r="I67" s="27" t="n"/>
      <c r="J67" s="27" t="n"/>
      <c r="K67" s="27" t="n"/>
      <c r="L67" s="27" t="n"/>
      <c r="M67" s="27" t="n"/>
      <c r="N67" s="27" t="n"/>
      <c r="O67" s="34" t="n"/>
      <c r="P67" s="27" t="n"/>
      <c r="Q67" s="27" t="n"/>
      <c r="R67" s="27" t="n"/>
      <c r="S67" s="27" t="n"/>
      <c r="T67" s="27" t="n"/>
      <c r="U67" s="27" t="n"/>
      <c r="V67" s="27" t="n"/>
      <c r="W67" s="27" t="n"/>
      <c r="X67" s="27" t="n"/>
      <c r="Y67" s="34">
        <f>IF(OR(Y66="",Y65=""),"",IFERROR(Y66*Y65,""))</f>
        <v/>
      </c>
      <c r="Z67" s="27">
        <f>IF(OR(Z66="",Z65=""),"",IFERROR(Z66*Z65,""))</f>
        <v/>
      </c>
      <c r="AA67" s="27">
        <f>IF(OR(AA66="",AA65=""),"",IFERROR(AA66*AA65,""))</f>
        <v/>
      </c>
      <c r="AB67" s="27">
        <f>IF(OR(AB66="",AB65=""),"",IFERROR(AB66*AB65,""))</f>
        <v/>
      </c>
      <c r="AC67" s="27">
        <f>IF(OR(AC66="",AC65=""),"",IFERROR(AC66*AC65,""))</f>
        <v/>
      </c>
    </row>
    <row r="68">
      <c r="A68" s="18" t="inlineStr">
        <is>
          <t>상승여력</t>
        </is>
      </c>
      <c r="B68" s="10" t="n"/>
      <c r="C68" s="35" t="n"/>
      <c r="D68" s="36" t="n"/>
      <c r="E68" s="36" t="n"/>
      <c r="F68" s="36" t="n"/>
      <c r="G68" s="36" t="n"/>
      <c r="H68" s="36" t="n"/>
      <c r="I68" s="36" t="n"/>
      <c r="J68" s="36" t="n"/>
      <c r="K68" s="36" t="n"/>
      <c r="L68" s="36" t="n"/>
      <c r="M68" s="36" t="n"/>
      <c r="N68" s="36" t="n"/>
      <c r="O68" s="35" t="n"/>
      <c r="P68" s="36" t="n"/>
      <c r="Q68" s="36" t="n"/>
      <c r="R68" s="36" t="n"/>
      <c r="S68" s="36" t="n"/>
      <c r="T68" s="36" t="n"/>
      <c r="U68" s="36" t="n"/>
      <c r="V68" s="36" t="n"/>
      <c r="W68" s="36" t="n"/>
      <c r="X68" s="36" t="n"/>
      <c r="Y68" s="37">
        <f>IF(OR(Y67="",$B$59=""),"",IFERROR(Y67/$B$59-1,""))</f>
        <v/>
      </c>
      <c r="Z68" s="38">
        <f>IF(OR(Z67="",$B$59=""),"",IFERROR(Z67/$B$59-1,""))</f>
        <v/>
      </c>
      <c r="AA68" s="38">
        <f>IF(OR(AA67="",$B$59=""),"",IFERROR(AA67/$B$59-1,""))</f>
        <v/>
      </c>
      <c r="AB68" s="38">
        <f>IF(OR(AB67="",$B$59=""),"",IFERROR(AB67/$B$59-1,""))</f>
        <v/>
      </c>
      <c r="AC68" s="38">
        <f>IF(OR(AC67="",$B$59=""),"",IFERROR(AC67/$B$59-1,""))</f>
        <v/>
      </c>
    </row>
    <row r="69">
      <c r="A69" s="16" t="inlineStr">
        <is>
          <t>자산가치 산출</t>
        </is>
      </c>
      <c r="B69" s="16" t="inlineStr">
        <is>
          <t>최신 분기 BS</t>
        </is>
      </c>
      <c r="C69" s="17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  <c r="M69" s="16" t="n"/>
      <c r="N69" s="16" t="n"/>
      <c r="O69" s="17" t="n"/>
      <c r="P69" s="16" t="n"/>
      <c r="Q69" s="16" t="n"/>
      <c r="R69" s="16" t="n"/>
      <c r="S69" s="16" t="n"/>
      <c r="T69" s="16" t="n"/>
      <c r="U69" s="16" t="n"/>
      <c r="V69" s="16" t="n"/>
      <c r="W69" s="16" t="n"/>
      <c r="X69" s="16" t="n"/>
      <c r="Y69" s="17" t="n"/>
      <c r="Z69" s="16" t="n"/>
      <c r="AA69" s="16" t="n"/>
      <c r="AB69" s="16" t="n"/>
      <c r="AC69" s="16" t="n"/>
    </row>
    <row r="70">
      <c r="A70" s="18" t="inlineStr">
        <is>
          <t>현금및현금성자산</t>
        </is>
      </c>
      <c r="B70" s="10" t="n"/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>
        <f>'재무상태표'!G6</f>
        <v/>
      </c>
      <c r="Y70" s="19">
        <f>'재무상태표'!G6</f>
        <v/>
      </c>
      <c r="Z70" s="20">
        <f>'재무상태표'!G6</f>
        <v/>
      </c>
      <c r="AA70" s="20">
        <f>'재무상태표'!G6</f>
        <v/>
      </c>
      <c r="AB70" s="20">
        <f>'재무상태표'!G6</f>
        <v/>
      </c>
      <c r="AC70" s="20">
        <f>'재무상태표'!G6</f>
        <v/>
      </c>
    </row>
    <row r="71">
      <c r="A71" s="18" t="inlineStr">
        <is>
          <t>단기금융상품</t>
        </is>
      </c>
      <c r="B71" s="10" t="n"/>
      <c r="C71" s="19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19" t="n"/>
      <c r="P71" s="20" t="n"/>
      <c r="Q71" s="20" t="n"/>
      <c r="R71" s="20" t="n"/>
      <c r="S71" s="20" t="n"/>
      <c r="T71" s="20" t="n"/>
      <c r="U71" s="20" t="n"/>
      <c r="V71" s="20" t="n"/>
      <c r="W71" s="20" t="n"/>
      <c r="X71" s="20">
        <f>'재무상태표'!G7</f>
        <v/>
      </c>
      <c r="Y71" s="19">
        <f>'재무상태표'!G7</f>
        <v/>
      </c>
      <c r="Z71" s="20">
        <f>'재무상태표'!G7</f>
        <v/>
      </c>
      <c r="AA71" s="20">
        <f>'재무상태표'!G7</f>
        <v/>
      </c>
      <c r="AB71" s="20">
        <f>'재무상태표'!G7</f>
        <v/>
      </c>
      <c r="AC71" s="20">
        <f>'재무상태표'!G7</f>
        <v/>
      </c>
    </row>
    <row r="72">
      <c r="A72" s="18" t="inlineStr">
        <is>
          <t>투자부동산</t>
        </is>
      </c>
      <c r="B72" s="10" t="n"/>
      <c r="C72" s="19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19" t="n"/>
      <c r="P72" s="20" t="n"/>
      <c r="Q72" s="20" t="n"/>
      <c r="R72" s="20" t="n"/>
      <c r="S72" s="20" t="n"/>
      <c r="T72" s="20" t="n"/>
      <c r="U72" s="20" t="n"/>
      <c r="V72" s="20" t="n"/>
      <c r="W72" s="20" t="n"/>
      <c r="X72" s="20">
        <f>'재무상태표'!G14</f>
        <v/>
      </c>
      <c r="Y72" s="19">
        <f>'재무상태표'!G14</f>
        <v/>
      </c>
      <c r="Z72" s="20">
        <f>'재무상태표'!G14</f>
        <v/>
      </c>
      <c r="AA72" s="20">
        <f>'재무상태표'!G14</f>
        <v/>
      </c>
      <c r="AB72" s="20">
        <f>'재무상태표'!G14</f>
        <v/>
      </c>
      <c r="AC72" s="20">
        <f>'재무상태표'!G14</f>
        <v/>
      </c>
    </row>
    <row r="73">
      <c r="A73" s="18" t="inlineStr">
        <is>
          <t>지배자본</t>
        </is>
      </c>
      <c r="B73" s="10" t="n"/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>
        <f>'재무상태표'!G31</f>
        <v/>
      </c>
      <c r="Y73" s="19">
        <f>'재무상태표'!G31</f>
        <v/>
      </c>
      <c r="Z73" s="20">
        <f>'재무상태표'!G31</f>
        <v/>
      </c>
      <c r="AA73" s="20">
        <f>'재무상태표'!G31</f>
        <v/>
      </c>
      <c r="AB73" s="20">
        <f>'재무상태표'!G31</f>
        <v/>
      </c>
      <c r="AC73" s="20">
        <f>'재무상태표'!G31</f>
        <v/>
      </c>
    </row>
    <row r="74">
      <c r="A74" s="18" t="inlineStr">
        <is>
          <t>부채</t>
        </is>
      </c>
      <c r="B74" s="10" t="n"/>
      <c r="C74" s="19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19" t="n"/>
      <c r="P74" s="20" t="n"/>
      <c r="Q74" s="20" t="n"/>
      <c r="R74" s="20" t="n"/>
      <c r="S74" s="20" t="n"/>
      <c r="T74" s="20" t="n"/>
      <c r="U74" s="20" t="n"/>
      <c r="V74" s="20" t="n"/>
      <c r="W74" s="20" t="n"/>
      <c r="X74" s="20">
        <f>'재무상태표'!G27</f>
        <v/>
      </c>
      <c r="Y74" s="19">
        <f>'재무상태표'!G27</f>
        <v/>
      </c>
      <c r="Z74" s="20">
        <f>'재무상태표'!G27</f>
        <v/>
      </c>
      <c r="AA74" s="20">
        <f>'재무상태표'!G27</f>
        <v/>
      </c>
      <c r="AB74" s="20">
        <f>'재무상태표'!G27</f>
        <v/>
      </c>
      <c r="AC74" s="20">
        <f>'재무상태표'!G27</f>
        <v/>
      </c>
    </row>
    <row r="75">
      <c r="A75" s="13" t="inlineStr">
        <is>
          <t>부채비율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>
        <f>IF(OR(X74="",X73=""),"",IFERROR(X74/X73,""))</f>
        <v/>
      </c>
      <c r="Y75" s="14">
        <f>IF(OR(Y74="",Y73=""),"",IFERROR(Y74/Y73,""))</f>
        <v/>
      </c>
      <c r="Z75" s="15">
        <f>IF(OR(Z74="",Z73=""),"",IFERROR(Z74/Z73,""))</f>
        <v/>
      </c>
      <c r="AA75" s="15">
        <f>IF(OR(AA74="",AA73=""),"",IFERROR(AA74/AA73,""))</f>
        <v/>
      </c>
      <c r="AB75" s="15">
        <f>IF(OR(AB74="",AB73=""),"",IFERROR(AB74/AB73,""))</f>
        <v/>
      </c>
      <c r="AC75" s="15">
        <f>IF(OR(AC74="",AC73=""),"",IFERROR(AC74/AC73,""))</f>
        <v/>
      </c>
    </row>
    <row r="76">
      <c r="A76" s="9" t="inlineStr">
        <is>
          <t>자산가치</t>
        </is>
      </c>
      <c r="B76" s="10" t="inlineStr">
        <is>
          <t>현금+단기금융+투자부동산</t>
        </is>
      </c>
      <c r="C76" s="11" t="n"/>
      <c r="D76" s="12" t="n"/>
      <c r="E76" s="12" t="n"/>
      <c r="F76" s="12" t="n"/>
      <c r="G76" s="12" t="n"/>
      <c r="H76" s="12" t="n"/>
      <c r="I76" s="12" t="n"/>
      <c r="J76" s="12" t="n"/>
      <c r="K76" s="12" t="n"/>
      <c r="L76" s="12" t="n"/>
      <c r="M76" s="12" t="n"/>
      <c r="N76" s="12" t="n"/>
      <c r="O76" s="11" t="n"/>
      <c r="P76" s="12" t="n"/>
      <c r="Q76" s="12" t="n"/>
      <c r="R76" s="12" t="n"/>
      <c r="S76" s="12" t="n"/>
      <c r="T76" s="12" t="n"/>
      <c r="U76" s="12" t="n"/>
      <c r="V76" s="12" t="n"/>
      <c r="W76" s="12" t="n"/>
      <c r="X76" s="12">
        <f>SUM(X70,X71,X72)</f>
        <v/>
      </c>
      <c r="Y76" s="11">
        <f>SUM(Y70,Y71,Y72)</f>
        <v/>
      </c>
      <c r="Z76" s="12">
        <f>SUM(Z70,Z71,Z72)</f>
        <v/>
      </c>
      <c r="AA76" s="12">
        <f>SUM(AA70,AA71,AA72)</f>
        <v/>
      </c>
      <c r="AB76" s="12">
        <f>SUM(AB70,AB71,AB72)</f>
        <v/>
      </c>
      <c r="AC76" s="12">
        <f>SUM(AC70,AC71,AC72)</f>
        <v/>
      </c>
    </row>
    <row r="77">
      <c r="A77" s="16" t="inlineStr">
        <is>
          <t>기업가치 산출</t>
        </is>
      </c>
      <c r="B77" s="16" t="n"/>
      <c r="C77" s="17" t="n"/>
      <c r="D77" s="16" t="n"/>
      <c r="E77" s="16" t="n"/>
      <c r="F77" s="16" t="n"/>
      <c r="G77" s="16" t="n"/>
      <c r="H77" s="16" t="n"/>
      <c r="I77" s="16" t="n"/>
      <c r="J77" s="16" t="n"/>
      <c r="K77" s="16" t="n"/>
      <c r="L77" s="16" t="n"/>
      <c r="M77" s="16" t="n"/>
      <c r="N77" s="16" t="n"/>
      <c r="O77" s="17" t="n"/>
      <c r="P77" s="16" t="n"/>
      <c r="Q77" s="16" t="n"/>
      <c r="R77" s="16" t="n"/>
      <c r="S77" s="16" t="n"/>
      <c r="T77" s="16" t="n"/>
      <c r="U77" s="16" t="n"/>
      <c r="V77" s="16" t="n"/>
      <c r="W77" s="16" t="n"/>
      <c r="X77" s="16" t="n"/>
      <c r="Y77" s="17" t="n"/>
      <c r="Z77" s="16" t="n"/>
      <c r="AA77" s="16" t="n"/>
      <c r="AB77" s="16" t="n"/>
      <c r="AC77" s="16" t="n"/>
    </row>
    <row r="78">
      <c r="A78" s="18" t="inlineStr">
        <is>
          <t>목표 시가총액 (P/E)</t>
        </is>
      </c>
      <c r="B78" s="10" t="inlineStr">
        <is>
          <t>지배순이익 × Target P/E</t>
        </is>
      </c>
      <c r="C78" s="19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19" t="n"/>
      <c r="P78" s="20" t="n"/>
      <c r="Q78" s="20" t="n"/>
      <c r="R78" s="20" t="n"/>
      <c r="S78" s="20" t="n"/>
      <c r="T78" s="20" t="n"/>
      <c r="U78" s="20" t="n"/>
      <c r="V78" s="20" t="n"/>
      <c r="W78" s="20" t="n"/>
      <c r="X78" s="20" t="n"/>
      <c r="Y78" s="19">
        <f>IF(OR(Y55="",Y65=""),"",IFERROR(Y55*Y65,""))</f>
        <v/>
      </c>
      <c r="Z78" s="20">
        <f>IF(OR(Z55="",Z65=""),"",IFERROR(Z55*Z65,""))</f>
        <v/>
      </c>
      <c r="AA78" s="20">
        <f>IF(OR(AA55="",AA65=""),"",IFERROR(AA55*AA65,""))</f>
        <v/>
      </c>
      <c r="AB78" s="20">
        <f>IF(OR(AB55="",AB65=""),"",IFERROR(AB55*AB65,""))</f>
        <v/>
      </c>
      <c r="AC78" s="20">
        <f>IF(OR(AC55="",AC65=""),"",IFERROR(AC55*AC65,""))</f>
        <v/>
      </c>
    </row>
    <row r="79">
      <c r="A79" s="9" t="inlineStr">
        <is>
          <t>기업가치</t>
        </is>
      </c>
      <c r="B79" s="10" t="inlineStr">
        <is>
          <t>목표시총 + 자산가치</t>
        </is>
      </c>
      <c r="C79" s="11" t="n"/>
      <c r="D79" s="12" t="n"/>
      <c r="E79" s="12" t="n"/>
      <c r="F79" s="12" t="n"/>
      <c r="G79" s="12" t="n"/>
      <c r="H79" s="12" t="n"/>
      <c r="I79" s="12" t="n"/>
      <c r="J79" s="12" t="n"/>
      <c r="K79" s="12" t="n"/>
      <c r="L79" s="12" t="n"/>
      <c r="M79" s="12" t="n"/>
      <c r="N79" s="12" t="n"/>
      <c r="O79" s="11" t="n"/>
      <c r="P79" s="12" t="n"/>
      <c r="Q79" s="12" t="n"/>
      <c r="R79" s="12" t="n"/>
      <c r="S79" s="12" t="n"/>
      <c r="T79" s="12" t="n"/>
      <c r="U79" s="12" t="n"/>
      <c r="V79" s="12" t="n"/>
      <c r="W79" s="12" t="n"/>
      <c r="X79" s="12" t="n"/>
      <c r="Y79" s="11">
        <f>IF(OR(Y78=""),"",IFERROR(Y78+Y76,""))</f>
        <v/>
      </c>
      <c r="Z79" s="12">
        <f>IF(OR(Z78=""),"",IFERROR(Z78+Z76,""))</f>
        <v/>
      </c>
      <c r="AA79" s="12">
        <f>IF(OR(AA78=""),"",IFERROR(AA78+AA76,""))</f>
        <v/>
      </c>
      <c r="AB79" s="12">
        <f>IF(OR(AB78=""),"",IFERROR(AB78+AB76,""))</f>
        <v/>
      </c>
      <c r="AC79" s="12">
        <f>IF(OR(AC78=""),"",IFERROR(AC78+AC76,""))</f>
        <v/>
      </c>
    </row>
    <row r="80">
      <c r="A80" s="18" t="inlineStr">
        <is>
          <t>현재 시가총액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 t="n"/>
      <c r="Y80" s="19">
        <f>$B$61</f>
        <v/>
      </c>
      <c r="Z80" s="20">
        <f>$B$61</f>
        <v/>
      </c>
      <c r="AA80" s="20">
        <f>$B$61</f>
        <v/>
      </c>
      <c r="AB80" s="20">
        <f>$B$61</f>
        <v/>
      </c>
      <c r="AC80" s="20">
        <f>$B$61</f>
        <v/>
      </c>
    </row>
    <row r="81">
      <c r="A81" s="18" t="inlineStr">
        <is>
          <t>상승여력</t>
        </is>
      </c>
      <c r="B81" s="10" t="n"/>
      <c r="C81" s="35" t="n"/>
      <c r="D81" s="36" t="n"/>
      <c r="E81" s="36" t="n"/>
      <c r="F81" s="36" t="n"/>
      <c r="G81" s="36" t="n"/>
      <c r="H81" s="36" t="n"/>
      <c r="I81" s="36" t="n"/>
      <c r="J81" s="36" t="n"/>
      <c r="K81" s="36" t="n"/>
      <c r="L81" s="36" t="n"/>
      <c r="M81" s="36" t="n"/>
      <c r="N81" s="36" t="n"/>
      <c r="O81" s="35" t="n"/>
      <c r="P81" s="36" t="n"/>
      <c r="Q81" s="36" t="n"/>
      <c r="R81" s="36" t="n"/>
      <c r="S81" s="36" t="n"/>
      <c r="T81" s="36" t="n"/>
      <c r="U81" s="36" t="n"/>
      <c r="V81" s="36" t="n"/>
      <c r="W81" s="36" t="n"/>
      <c r="X81" s="36" t="n"/>
      <c r="Y81" s="37">
        <f>IF(OR(Y79="",Y80=""),"",IFERROR(Y79/Y80-1,""))</f>
        <v/>
      </c>
      <c r="Z81" s="38">
        <f>IF(OR(Z79="",Z80=""),"",IFERROR(Z79/Z80-1,""))</f>
        <v/>
      </c>
      <c r="AA81" s="38">
        <f>IF(OR(AA79="",AA80=""),"",IFERROR(AA79/AA80-1,""))</f>
        <v/>
      </c>
      <c r="AB81" s="38">
        <f>IF(OR(AB79="",AB80=""),"",IFERROR(AB79/AB80-1,""))</f>
        <v/>
      </c>
      <c r="AC81" s="38">
        <f>IF(OR(AC79="",AC80=""),"",IFERROR(AC79/AC80-1,""))</f>
        <v/>
      </c>
    </row>
    <row r="82">
      <c r="C82" s="39" t="n"/>
      <c r="O82" s="39" t="n"/>
      <c r="Y82" s="39" t="n"/>
    </row>
    <row r="83">
      <c r="A83" s="40" t="inlineStr">
        <is>
          <t>출처</t>
        </is>
      </c>
      <c r="C83" s="39" t="n"/>
      <c r="O83" s="39" t="n"/>
      <c r="Y83" s="39" t="n"/>
    </row>
    <row r="84">
      <c r="A84" s="41" t="inlineStr">
        <is>
          <t>결산단신 XBRL(TDnet·JPX 보관소) — 쓴 문서는 '출처' 시트</t>
        </is>
      </c>
      <c r="C84" s="39" t="n"/>
      <c r="O84" s="39" t="n"/>
      <c r="Y84" s="39" t="n"/>
    </row>
    <row r="85">
      <c r="A85" s="41" t="inlineStr">
        <is>
          <t>분기 = 누계에서 앞 분기를 뺀 3개월 값</t>
        </is>
      </c>
      <c r="C85" s="39" t="n"/>
      <c r="O85" s="39" t="n"/>
      <c r="Y85" s="39" t="n"/>
    </row>
    <row r="86">
      <c r="A86" s="41" t="inlineStr">
        <is>
          <t>주가: 야후 파이낸스 일봉</t>
        </is>
      </c>
      <c r="C86" s="39" t="n"/>
      <c r="O86" s="39" t="n"/>
      <c r="Y86" s="39" t="n"/>
    </row>
    <row r="88">
      <c r="A88" s="16" t="inlineStr">
        <is>
          <t>손익계산서 · 전 항목</t>
        </is>
      </c>
      <c r="B88" s="42" t="inlineStr">
        <is>
          <t>분기 = 3개월 단독</t>
        </is>
      </c>
      <c r="C88" s="16" t="n"/>
      <c r="D88" s="16" t="n"/>
      <c r="E88" s="16" t="n"/>
      <c r="F88" s="16" t="n"/>
      <c r="G88" s="16" t="n"/>
      <c r="H88" s="16" t="n"/>
      <c r="I88" s="16" t="n"/>
      <c r="J88" s="16" t="n"/>
      <c r="K88" s="16" t="n"/>
      <c r="L88" s="16" t="n"/>
      <c r="M88" s="16" t="n"/>
      <c r="N88" s="16" t="n"/>
      <c r="O88" s="16" t="n"/>
      <c r="P88" s="16" t="n"/>
      <c r="Q88" s="16" t="n"/>
      <c r="R88" s="16" t="n"/>
      <c r="S88" s="16" t="n"/>
      <c r="T88" s="16" t="n"/>
      <c r="U88" s="16" t="n"/>
      <c r="V88" s="16" t="n"/>
      <c r="W88" s="16" t="n"/>
      <c r="X88" s="16" t="n"/>
      <c r="Y88" s="16" t="n"/>
      <c r="Z88" s="16" t="n"/>
      <c r="AA88" s="16" t="n"/>
      <c r="AB88" s="16" t="n"/>
      <c r="AC88" s="16" t="n"/>
    </row>
    <row r="89">
      <c r="A89" s="5" t="inlineStr">
        <is>
          <t>항목</t>
        </is>
      </c>
      <c r="B89" s="5" t="inlineStr">
        <is>
          <t>참고</t>
        </is>
      </c>
      <c r="C89" s="5" t="inlineStr">
        <is>
          <t>2024.3Q</t>
        </is>
      </c>
      <c r="D89" s="5" t="inlineStr">
        <is>
          <t>2024.4Q</t>
        </is>
      </c>
      <c r="E89" s="5" t="inlineStr">
        <is>
          <t>2025.1Q</t>
        </is>
      </c>
      <c r="F89" s="5" t="inlineStr">
        <is>
          <t>2025.2Q</t>
        </is>
      </c>
      <c r="G89" s="5" t="inlineStr">
        <is>
          <t>2025.3Q</t>
        </is>
      </c>
      <c r="H89" s="5" t="inlineStr">
        <is>
          <t>2025.4Q</t>
        </is>
      </c>
      <c r="I89" s="5" t="inlineStr">
        <is>
          <t>2026.1Q</t>
        </is>
      </c>
      <c r="J89" s="5" t="inlineStr">
        <is>
          <t>2026.2Q</t>
        </is>
      </c>
      <c r="K89" s="5" t="inlineStr">
        <is>
          <t>2026.3Q</t>
        </is>
      </c>
      <c r="L89" s="5" t="inlineStr">
        <is>
          <t>2026.4Q</t>
        </is>
      </c>
      <c r="M89" s="5" t="inlineStr">
        <is>
          <t>2027.1Q</t>
        </is>
      </c>
      <c r="N89" s="5" t="inlineStr">
        <is>
          <t>2027.2Q</t>
        </is>
      </c>
      <c r="O89" s="5" t="inlineStr">
        <is>
          <t>2017</t>
        </is>
      </c>
      <c r="P89" s="5" t="inlineStr">
        <is>
          <t>2018</t>
        </is>
      </c>
      <c r="Q89" s="5" t="inlineStr">
        <is>
          <t>2019</t>
        </is>
      </c>
      <c r="R89" s="5" t="inlineStr">
        <is>
          <t>2020</t>
        </is>
      </c>
      <c r="S89" s="5" t="inlineStr">
        <is>
          <t>2021</t>
        </is>
      </c>
      <c r="T89" s="5" t="inlineStr">
        <is>
          <t>2022</t>
        </is>
      </c>
      <c r="U89" s="5" t="inlineStr">
        <is>
          <t>2023</t>
        </is>
      </c>
      <c r="V89" s="5" t="inlineStr">
        <is>
          <t>2024</t>
        </is>
      </c>
      <c r="W89" s="5" t="inlineStr">
        <is>
          <t>2025</t>
        </is>
      </c>
      <c r="X89" s="5" t="inlineStr">
        <is>
          <t>2026</t>
        </is>
      </c>
      <c r="Y89" s="5" t="inlineStr">
        <is>
          <t>2027(MW)</t>
        </is>
      </c>
      <c r="Z89" s="5" t="inlineStr">
        <is>
          <t>2028(MW)</t>
        </is>
      </c>
      <c r="AA89" s="5" t="inlineStr">
        <is>
          <t>2029(MW)</t>
        </is>
      </c>
      <c r="AB89" s="5" t="inlineStr">
        <is>
          <t>2030(MW)</t>
        </is>
      </c>
      <c r="AC89" s="5" t="inlineStr">
        <is>
          <t>2031(MW)</t>
        </is>
      </c>
    </row>
    <row r="90">
      <c r="A90" s="9" t="inlineStr">
        <is>
          <t>매출액</t>
        </is>
      </c>
      <c r="C90" s="12" t="n">
        <v>48601</v>
      </c>
      <c r="D90" s="12" t="n">
        <v>25847</v>
      </c>
      <c r="E90" s="12" t="n">
        <v>45650</v>
      </c>
      <c r="F90" s="12" t="n">
        <v>52589</v>
      </c>
      <c r="G90" s="12" t="n">
        <v>55157</v>
      </c>
      <c r="H90" s="12" t="n">
        <v>68489</v>
      </c>
      <c r="I90" s="12" t="n">
        <v>44422</v>
      </c>
      <c r="J90" s="12" t="n">
        <v>51332</v>
      </c>
      <c r="K90" s="12" t="n">
        <v>53814</v>
      </c>
      <c r="L90" s="12" t="n">
        <v>78282</v>
      </c>
      <c r="M90" s="12" t="n">
        <v>50333</v>
      </c>
      <c r="N90" s="12" t="n">
        <v>56043</v>
      </c>
      <c r="T90" s="12" t="n">
        <v>67841</v>
      </c>
      <c r="U90" s="12" t="n">
        <v>64669</v>
      </c>
      <c r="V90" s="12" t="n">
        <v>25847</v>
      </c>
      <c r="W90" s="12" t="n">
        <v>68489</v>
      </c>
      <c r="X90" s="12" t="n">
        <v>78282</v>
      </c>
    </row>
    <row r="91">
      <c r="A91" s="43" t="inlineStr">
        <is>
          <t>YoY</t>
        </is>
      </c>
      <c r="B91" s="3" t="inlineStr">
        <is>
          <t>전년 같은 분기·전년 대비</t>
        </is>
      </c>
      <c r="G91" s="15">
        <f>IF(OR(G90="",C90=""),"",IF(C90&lt;=0,"",IFERROR(G90/C90-1,"")))</f>
        <v/>
      </c>
      <c r="H91" s="15">
        <f>IF(OR(H90="",D90=""),"",IF(D90&lt;=0,"",IFERROR(H90/D90-1,"")))</f>
        <v/>
      </c>
      <c r="I91" s="15">
        <f>IF(OR(I90="",E90=""),"",IF(E90&lt;=0,"",IFERROR(I90/E90-1,"")))</f>
        <v/>
      </c>
      <c r="J91" s="15">
        <f>IF(OR(J90="",F90=""),"",IF(F90&lt;=0,"",IFERROR(J90/F90-1,"")))</f>
        <v/>
      </c>
      <c r="K91" s="15">
        <f>IF(OR(K90="",G90=""),"",IF(G90&lt;=0,"",IFERROR(K90/G90-1,"")))</f>
        <v/>
      </c>
      <c r="L91" s="15">
        <f>IF(OR(L90="",H90=""),"",IF(H90&lt;=0,"",IFERROR(L90/H90-1,"")))</f>
        <v/>
      </c>
      <c r="M91" s="15">
        <f>IF(OR(M90="",I90=""),"",IF(I90&lt;=0,"",IFERROR(M90/I90-1,"")))</f>
        <v/>
      </c>
      <c r="N91" s="15">
        <f>IF(OR(N90="",J90=""),"",IF(J90&lt;=0,"",IFERROR(N90/J90-1,"")))</f>
        <v/>
      </c>
      <c r="T91" s="15">
        <f>IF(OR(T90="",S90=""),"",IF(S90&lt;=0,"",IFERROR(T90/S90-1,"")))</f>
        <v/>
      </c>
      <c r="U91" s="15">
        <f>IF(OR(U90="",T90=""),"",IF(T90&lt;=0,"",IFERROR(U90/T90-1,"")))</f>
        <v/>
      </c>
      <c r="V91" s="15">
        <f>IF(OR(V90="",U90=""),"",IF(U90&lt;=0,"",IFERROR(V90/U90-1,"")))</f>
        <v/>
      </c>
      <c r="W91" s="15">
        <f>IF(OR(W90="",V90=""),"",IF(V90&lt;=0,"",IFERROR(W90/V90-1,"")))</f>
        <v/>
      </c>
      <c r="X91" s="15">
        <f>IF(OR(X90="",W90=""),"",IF(W90&lt;=0,"",IFERROR(X90/W90-1,"")))</f>
        <v/>
      </c>
    </row>
    <row r="92">
      <c r="A92" s="18" t="inlineStr">
        <is>
          <t>매출원가</t>
        </is>
      </c>
      <c r="C92" s="20" t="n">
        <v>41576</v>
      </c>
      <c r="D92" s="20" t="n">
        <v>23719</v>
      </c>
      <c r="E92" s="20" t="n">
        <v>38773</v>
      </c>
      <c r="F92" s="20" t="n">
        <v>43248</v>
      </c>
      <c r="G92" s="20" t="n">
        <v>44642</v>
      </c>
      <c r="H92" s="20" t="n">
        <v>56294</v>
      </c>
      <c r="I92" s="20" t="n">
        <v>35816</v>
      </c>
      <c r="J92" s="20" t="n">
        <v>40814</v>
      </c>
      <c r="K92" s="20" t="n">
        <v>42728</v>
      </c>
      <c r="L92" s="20" t="n">
        <v>63694</v>
      </c>
      <c r="M92" s="20" t="n">
        <v>40706</v>
      </c>
      <c r="N92" s="20" t="n">
        <v>43630</v>
      </c>
      <c r="T92" s="20" t="n">
        <v>57810</v>
      </c>
      <c r="U92" s="20" t="n">
        <v>54717</v>
      </c>
      <c r="V92" s="20" t="n">
        <v>23719</v>
      </c>
      <c r="W92" s="20" t="n">
        <v>56294</v>
      </c>
      <c r="X92" s="20" t="n">
        <v>63694</v>
      </c>
    </row>
    <row r="93">
      <c r="A93" s="43" t="inlineStr">
        <is>
          <t>YoY</t>
        </is>
      </c>
      <c r="B93" s="3" t="inlineStr">
        <is>
          <t>전년 같은 분기·전년 대비</t>
        </is>
      </c>
      <c r="G93" s="15">
        <f>IF(OR(G92="",C92=""),"",IF(G92*C92&lt;=0,"",IFERROR(G92/C92-1,"")))</f>
        <v/>
      </c>
      <c r="H93" s="15">
        <f>IF(OR(H92="",D92=""),"",IF(H92*D92&lt;=0,"",IFERROR(H92/D92-1,"")))</f>
        <v/>
      </c>
      <c r="I93" s="15">
        <f>IF(OR(I92="",E92=""),"",IF(I92*E92&lt;=0,"",IFERROR(I92/E92-1,"")))</f>
        <v/>
      </c>
      <c r="J93" s="15">
        <f>IF(OR(J92="",F92=""),"",IF(J92*F92&lt;=0,"",IFERROR(J92/F92-1,"")))</f>
        <v/>
      </c>
      <c r="K93" s="15">
        <f>IF(OR(K92="",G92=""),"",IF(K92*G92&lt;=0,"",IFERROR(K92/G92-1,"")))</f>
        <v/>
      </c>
      <c r="L93" s="15">
        <f>IF(OR(L92="",H92=""),"",IF(L92*H92&lt;=0,"",IFERROR(L92/H92-1,"")))</f>
        <v/>
      </c>
      <c r="M93" s="15">
        <f>IF(OR(M92="",I92=""),"",IF(M92*I92&lt;=0,"",IFERROR(M92/I92-1,"")))</f>
        <v/>
      </c>
      <c r="N93" s="15">
        <f>IF(OR(N92="",J92=""),"",IF(N92*J92&lt;=0,"",IFERROR(N92/J92-1,"")))</f>
        <v/>
      </c>
      <c r="T93" s="15">
        <f>IF(OR(T92="",S92=""),"",IF(T92*S92&lt;=0,"",IFERROR(T92/S92-1,"")))</f>
        <v/>
      </c>
      <c r="U93" s="15">
        <f>IF(OR(U92="",T92=""),"",IF(U92*T92&lt;=0,"",IFERROR(U92/T92-1,"")))</f>
        <v/>
      </c>
      <c r="V93" s="15">
        <f>IF(OR(V92="",U92=""),"",IF(V92*U92&lt;=0,"",IFERROR(V92/U92-1,"")))</f>
        <v/>
      </c>
      <c r="W93" s="15">
        <f>IF(OR(W92="",V92=""),"",IF(W92*V92&lt;=0,"",IFERROR(W92/V92-1,"")))</f>
        <v/>
      </c>
      <c r="X93" s="15">
        <f>IF(OR(X92="",W92=""),"",IF(X92*W92&lt;=0,"",IFERROR(X92/W92-1,"")))</f>
        <v/>
      </c>
    </row>
    <row r="94">
      <c r="A94" s="9" t="inlineStr">
        <is>
          <t>매출총이익</t>
        </is>
      </c>
      <c r="C94" s="12" t="n">
        <v>7025</v>
      </c>
      <c r="D94" s="12" t="n">
        <v>2128</v>
      </c>
      <c r="E94" s="12" t="n">
        <v>6877</v>
      </c>
      <c r="F94" s="12" t="n">
        <v>9340</v>
      </c>
      <c r="G94" s="12" t="n">
        <v>10516</v>
      </c>
      <c r="H94" s="12" t="n">
        <v>12195</v>
      </c>
      <c r="I94" s="12" t="n">
        <v>8606</v>
      </c>
      <c r="J94" s="12" t="n">
        <v>10518</v>
      </c>
      <c r="K94" s="12" t="n">
        <v>11085</v>
      </c>
      <c r="L94" s="12" t="n">
        <v>14588</v>
      </c>
      <c r="M94" s="12" t="n">
        <v>9627</v>
      </c>
      <c r="N94" s="12" t="n">
        <v>12412</v>
      </c>
      <c r="T94" s="12" t="n">
        <v>10031</v>
      </c>
      <c r="U94" s="12" t="n">
        <v>9952</v>
      </c>
      <c r="V94" s="12" t="n">
        <v>2128</v>
      </c>
      <c r="W94" s="12" t="n">
        <v>12195</v>
      </c>
      <c r="X94" s="12" t="n">
        <v>14588</v>
      </c>
    </row>
    <row r="95">
      <c r="A95" s="43" t="inlineStr">
        <is>
          <t>YoY</t>
        </is>
      </c>
      <c r="B95" s="3" t="inlineStr">
        <is>
          <t>전년 같은 분기·전년 대비</t>
        </is>
      </c>
      <c r="G95" s="15">
        <f>IF(OR(G94="",C94=""),"",IF(C94&lt;=0,"",IFERROR(G94/C94-1,"")))</f>
        <v/>
      </c>
      <c r="H95" s="15">
        <f>IF(OR(H94="",D94=""),"",IF(D94&lt;=0,"",IFERROR(H94/D94-1,"")))</f>
        <v/>
      </c>
      <c r="I95" s="15">
        <f>IF(OR(I94="",E94=""),"",IF(E94&lt;=0,"",IFERROR(I94/E94-1,"")))</f>
        <v/>
      </c>
      <c r="J95" s="15">
        <f>IF(OR(J94="",F94=""),"",IF(F94&lt;=0,"",IFERROR(J94/F94-1,"")))</f>
        <v/>
      </c>
      <c r="K95" s="15">
        <f>IF(OR(K94="",G94=""),"",IF(G94&lt;=0,"",IFERROR(K94/G94-1,"")))</f>
        <v/>
      </c>
      <c r="L95" s="15">
        <f>IF(OR(L94="",H94=""),"",IF(H94&lt;=0,"",IFERROR(L94/H94-1,"")))</f>
        <v/>
      </c>
      <c r="M95" s="15">
        <f>IF(OR(M94="",I94=""),"",IF(I94&lt;=0,"",IFERROR(M94/I94-1,"")))</f>
        <v/>
      </c>
      <c r="N95" s="15">
        <f>IF(OR(N94="",J94=""),"",IF(J94&lt;=0,"",IFERROR(N94/J94-1,"")))</f>
        <v/>
      </c>
      <c r="T95" s="15">
        <f>IF(OR(T94="",S94=""),"",IF(S94&lt;=0,"",IFERROR(T94/S94-1,"")))</f>
        <v/>
      </c>
      <c r="U95" s="15">
        <f>IF(OR(U94="",T94=""),"",IF(T94&lt;=0,"",IFERROR(U94/T94-1,"")))</f>
        <v/>
      </c>
      <c r="V95" s="15">
        <f>IF(OR(V94="",U94=""),"",IF(U94&lt;=0,"",IFERROR(V94/U94-1,"")))</f>
        <v/>
      </c>
      <c r="W95" s="15">
        <f>IF(OR(W94="",V94=""),"",IF(V94&lt;=0,"",IFERROR(W94/V94-1,"")))</f>
        <v/>
      </c>
      <c r="X95" s="15">
        <f>IF(OR(X94="",W94=""),"",IF(W94&lt;=0,"",IFERROR(X94/W94-1,"")))</f>
        <v/>
      </c>
    </row>
    <row r="96">
      <c r="A96" s="18" t="inlineStr">
        <is>
          <t>판매비와 관리비</t>
        </is>
      </c>
      <c r="C96" s="20" t="n">
        <v>3823</v>
      </c>
      <c r="D96" s="20" t="n">
        <v>-3009</v>
      </c>
      <c r="E96" s="20" t="n">
        <v>4022</v>
      </c>
      <c r="F96" s="20" t="n">
        <v>4019</v>
      </c>
      <c r="G96" s="20" t="n">
        <v>3895</v>
      </c>
      <c r="H96" s="20" t="n">
        <v>5293</v>
      </c>
      <c r="I96" s="20" t="n">
        <v>4335</v>
      </c>
      <c r="J96" s="20" t="n">
        <v>4206</v>
      </c>
      <c r="K96" s="20" t="n">
        <v>4106</v>
      </c>
      <c r="L96" s="20" t="n">
        <v>5970</v>
      </c>
      <c r="M96" s="20" t="n">
        <v>4438</v>
      </c>
      <c r="N96" s="20" t="n">
        <v>4404</v>
      </c>
      <c r="T96" s="20" t="n">
        <v>4539</v>
      </c>
      <c r="U96" s="20" t="n">
        <v>4376</v>
      </c>
      <c r="V96" s="20" t="n">
        <v>-3009</v>
      </c>
      <c r="W96" s="20" t="n">
        <v>5293</v>
      </c>
      <c r="X96" s="20" t="n">
        <v>5970</v>
      </c>
    </row>
    <row r="97">
      <c r="A97" s="43" t="inlineStr">
        <is>
          <t>YoY</t>
        </is>
      </c>
      <c r="B97" s="3" t="inlineStr">
        <is>
          <t>전년 같은 분기·전년 대비</t>
        </is>
      </c>
      <c r="G97" s="15">
        <f>IF(OR(G96="",C96=""),"",IF(G96*C96&lt;=0,"",IFERROR(G96/C96-1,"")))</f>
        <v/>
      </c>
      <c r="H97" s="15">
        <f>IF(OR(H96="",D96=""),"",IF(H96*D96&lt;=0,"",IFERROR(H96/D96-1,"")))</f>
        <v/>
      </c>
      <c r="I97" s="15">
        <f>IF(OR(I96="",E96=""),"",IF(I96*E96&lt;=0,"",IFERROR(I96/E96-1,"")))</f>
        <v/>
      </c>
      <c r="J97" s="15">
        <f>IF(OR(J96="",F96=""),"",IF(J96*F96&lt;=0,"",IFERROR(J96/F96-1,"")))</f>
        <v/>
      </c>
      <c r="K97" s="15">
        <f>IF(OR(K96="",G96=""),"",IF(K96*G96&lt;=0,"",IFERROR(K96/G96-1,"")))</f>
        <v/>
      </c>
      <c r="L97" s="15">
        <f>IF(OR(L96="",H96=""),"",IF(L96*H96&lt;=0,"",IFERROR(L96/H96-1,"")))</f>
        <v/>
      </c>
      <c r="M97" s="15">
        <f>IF(OR(M96="",I96=""),"",IF(M96*I96&lt;=0,"",IFERROR(M96/I96-1,"")))</f>
        <v/>
      </c>
      <c r="N97" s="15">
        <f>IF(OR(N96="",J96=""),"",IF(N96*J96&lt;=0,"",IFERROR(N96/J96-1,"")))</f>
        <v/>
      </c>
      <c r="T97" s="15">
        <f>IF(OR(T96="",S96=""),"",IF(T96*S96&lt;=0,"",IFERROR(T96/S96-1,"")))</f>
        <v/>
      </c>
      <c r="U97" s="15">
        <f>IF(OR(U96="",T96=""),"",IF(U96*T96&lt;=0,"",IFERROR(U96/T96-1,"")))</f>
        <v/>
      </c>
      <c r="V97" s="15">
        <f>IF(OR(V96="",U96=""),"",IF(V96*U96&lt;=0,"",IFERROR(V96/U96-1,"")))</f>
        <v/>
      </c>
      <c r="W97" s="15">
        <f>IF(OR(W96="",V96=""),"",IF(W96*V96&lt;=0,"",IFERROR(W96/V96-1,"")))</f>
        <v/>
      </c>
      <c r="X97" s="15">
        <f>IF(OR(X96="",W96=""),"",IF(X96*W96&lt;=0,"",IFERROR(X96/W96-1,"")))</f>
        <v/>
      </c>
    </row>
    <row r="98">
      <c r="A98" s="9" t="inlineStr">
        <is>
          <t>영업이익</t>
        </is>
      </c>
      <c r="C98" s="12" t="n">
        <v>3202</v>
      </c>
      <c r="D98" s="12" t="n">
        <v>5138</v>
      </c>
      <c r="E98" s="12" t="n">
        <v>2854</v>
      </c>
      <c r="F98" s="12" t="n">
        <v>5322</v>
      </c>
      <c r="G98" s="12" t="n">
        <v>6620</v>
      </c>
      <c r="H98" s="12" t="n">
        <v>6902</v>
      </c>
      <c r="I98" s="12" t="n">
        <v>4271</v>
      </c>
      <c r="J98" s="12" t="n">
        <v>6311</v>
      </c>
      <c r="K98" s="12" t="n">
        <v>6980</v>
      </c>
      <c r="L98" s="12" t="n">
        <v>8618</v>
      </c>
      <c r="M98" s="12" t="n">
        <v>5189</v>
      </c>
      <c r="N98" s="12" t="n">
        <v>8008</v>
      </c>
      <c r="T98" s="12" t="n">
        <v>5492</v>
      </c>
      <c r="U98" s="12" t="n">
        <v>5575</v>
      </c>
      <c r="V98" s="12" t="n">
        <v>5138</v>
      </c>
      <c r="W98" s="12" t="n">
        <v>6902</v>
      </c>
      <c r="X98" s="12" t="n">
        <v>8618</v>
      </c>
    </row>
    <row r="99">
      <c r="A99" s="43" t="inlineStr">
        <is>
          <t>OPM</t>
        </is>
      </c>
      <c r="B99" s="3" t="inlineStr">
        <is>
          <t>영업이익 ÷ 매출</t>
        </is>
      </c>
      <c r="C99" s="15">
        <f>IF(OR(C98="",C90=""),"",IF(C90&lt;=0,"",IFERROR(C98/C90,"")))</f>
        <v/>
      </c>
      <c r="D99" s="15">
        <f>IF(OR(D98="",D90=""),"",IF(D90&lt;=0,"",IFERROR(D98/D90,"")))</f>
        <v/>
      </c>
      <c r="E99" s="15">
        <f>IF(OR(E98="",E90=""),"",IF(E90&lt;=0,"",IFERROR(E98/E90,"")))</f>
        <v/>
      </c>
      <c r="F99" s="15">
        <f>IF(OR(F98="",F90=""),"",IF(F90&lt;=0,"",IFERROR(F98/F90,"")))</f>
        <v/>
      </c>
      <c r="G99" s="15">
        <f>IF(OR(G98="",G90=""),"",IF(G90&lt;=0,"",IFERROR(G98/G90,"")))</f>
        <v/>
      </c>
      <c r="H99" s="15">
        <f>IF(OR(H98="",H90=""),"",IF(H90&lt;=0,"",IFERROR(H98/H90,"")))</f>
        <v/>
      </c>
      <c r="I99" s="15">
        <f>IF(OR(I98="",I90=""),"",IF(I90&lt;=0,"",IFERROR(I98/I90,"")))</f>
        <v/>
      </c>
      <c r="J99" s="15">
        <f>IF(OR(J98="",J90=""),"",IF(J90&lt;=0,"",IFERROR(J98/J90,"")))</f>
        <v/>
      </c>
      <c r="K99" s="15">
        <f>IF(OR(K98="",K90=""),"",IF(K90&lt;=0,"",IFERROR(K98/K90,"")))</f>
        <v/>
      </c>
      <c r="L99" s="15">
        <f>IF(OR(L98="",L90=""),"",IF(L90&lt;=0,"",IFERROR(L98/L90,"")))</f>
        <v/>
      </c>
      <c r="M99" s="15">
        <f>IF(OR(M98="",M90=""),"",IF(M90&lt;=0,"",IFERROR(M98/M90,"")))</f>
        <v/>
      </c>
      <c r="N99" s="15">
        <f>IF(OR(N98="",N90=""),"",IF(N90&lt;=0,"",IFERROR(N98/N90,"")))</f>
        <v/>
      </c>
      <c r="T99" s="15">
        <f>IF(OR(T98="",T90=""),"",IF(T90&lt;=0,"",IFERROR(T98/T90,"")))</f>
        <v/>
      </c>
      <c r="U99" s="15">
        <f>IF(OR(U98="",U90=""),"",IF(U90&lt;=0,"",IFERROR(U98/U90,"")))</f>
        <v/>
      </c>
      <c r="V99" s="15">
        <f>IF(OR(V98="",V90=""),"",IF(V90&lt;=0,"",IFERROR(V98/V90,"")))</f>
        <v/>
      </c>
      <c r="W99" s="15">
        <f>IF(OR(W98="",W90=""),"",IF(W90&lt;=0,"",IFERROR(W98/W90,"")))</f>
        <v/>
      </c>
      <c r="X99" s="15">
        <f>IF(OR(X98="",X90=""),"",IF(X90&lt;=0,"",IFERROR(X98/X90,"")))</f>
        <v/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IF(OR(G98="",C98=""),"",IF(C98&lt;=0,"",IFERROR(G98/C98-1,"")))</f>
        <v/>
      </c>
      <c r="H100" s="15">
        <f>IF(OR(H98="",D98=""),"",IF(D98&lt;=0,"",IFERROR(H98/D98-1,"")))</f>
        <v/>
      </c>
      <c r="I100" s="15">
        <f>IF(OR(I98="",E98=""),"",IF(E98&lt;=0,"",IFERROR(I98/E98-1,"")))</f>
        <v/>
      </c>
      <c r="J100" s="15">
        <f>IF(OR(J98="",F98=""),"",IF(F98&lt;=0,"",IFERROR(J98/F98-1,"")))</f>
        <v/>
      </c>
      <c r="K100" s="15">
        <f>IF(OR(K98="",G98=""),"",IF(G98&lt;=0,"",IFERROR(K98/G98-1,"")))</f>
        <v/>
      </c>
      <c r="L100" s="15">
        <f>IF(OR(L98="",H98=""),"",IF(H98&lt;=0,"",IFERROR(L98/H98-1,"")))</f>
        <v/>
      </c>
      <c r="M100" s="15">
        <f>IF(OR(M98="",I98=""),"",IF(I98&lt;=0,"",IFERROR(M98/I98-1,"")))</f>
        <v/>
      </c>
      <c r="N100" s="15">
        <f>IF(OR(N98="",J98=""),"",IF(J98&lt;=0,"",IFERROR(N98/J98-1,"")))</f>
        <v/>
      </c>
      <c r="T100" s="15">
        <f>IF(OR(T98="",S98=""),"",IF(S98&lt;=0,"",IFERROR(T98/S98-1,"")))</f>
        <v/>
      </c>
      <c r="U100" s="15">
        <f>IF(OR(U98="",T98=""),"",IF(T98&lt;=0,"",IFERROR(U98/T98-1,"")))</f>
        <v/>
      </c>
      <c r="V100" s="15">
        <f>IF(OR(V98="",U98=""),"",IF(U98&lt;=0,"",IFERROR(V98/U98-1,"")))</f>
        <v/>
      </c>
      <c r="W100" s="15">
        <f>IF(OR(W98="",V98=""),"",IF(V98&lt;=0,"",IFERROR(W98/V98-1,"")))</f>
        <v/>
      </c>
      <c r="X100" s="15">
        <f>IF(OR(X98="",W98=""),"",IF(W98&lt;=0,"",IFERROR(X98/W98-1,"")))</f>
        <v/>
      </c>
    </row>
    <row r="101">
      <c r="A101" s="18" t="inlineStr">
        <is>
          <t>이자수익</t>
        </is>
      </c>
      <c r="C101" s="20" t="n">
        <v>91</v>
      </c>
      <c r="D101" s="20" t="n">
        <v>-237</v>
      </c>
      <c r="E101" s="20" t="n">
        <v>84</v>
      </c>
      <c r="F101" s="20" t="n">
        <v>90</v>
      </c>
      <c r="G101" s="20" t="n">
        <v>81</v>
      </c>
      <c r="H101" s="20" t="n">
        <v>84</v>
      </c>
      <c r="I101" s="20" t="n">
        <v>114</v>
      </c>
      <c r="J101" s="20" t="n">
        <v>152</v>
      </c>
      <c r="K101" s="20" t="n">
        <v>138</v>
      </c>
      <c r="L101" s="20" t="n">
        <v>178</v>
      </c>
      <c r="M101" s="20" t="n">
        <v>216</v>
      </c>
      <c r="N101" s="20" t="n">
        <v>246</v>
      </c>
      <c r="T101" s="20" t="n">
        <v>126</v>
      </c>
      <c r="U101" s="20" t="n">
        <v>87</v>
      </c>
      <c r="V101" s="20" t="n">
        <v>-237</v>
      </c>
      <c r="W101" s="20" t="n">
        <v>84</v>
      </c>
      <c r="X101" s="20" t="n">
        <v>178</v>
      </c>
    </row>
    <row r="102">
      <c r="A102" s="18" t="inlineStr">
        <is>
          <t>배당금수익</t>
        </is>
      </c>
      <c r="C102" s="20" t="n">
        <v>301</v>
      </c>
      <c r="D102" s="20" t="n">
        <v>259</v>
      </c>
      <c r="E102" s="20" t="n">
        <v>384</v>
      </c>
      <c r="F102" s="20" t="n">
        <v>20</v>
      </c>
      <c r="G102" s="20" t="n">
        <v>376</v>
      </c>
      <c r="H102" s="20" t="n">
        <v>44</v>
      </c>
      <c r="I102" s="20" t="n">
        <v>430</v>
      </c>
      <c r="J102" s="20" t="n">
        <v>21</v>
      </c>
      <c r="K102" s="20" t="n">
        <v>421</v>
      </c>
      <c r="L102" s="20" t="n">
        <v>56</v>
      </c>
      <c r="M102" s="20" t="n">
        <v>496</v>
      </c>
      <c r="N102" s="20" t="n">
        <v>22</v>
      </c>
      <c r="T102" s="20" t="n">
        <v>30</v>
      </c>
      <c r="U102" s="20" t="n">
        <v>10</v>
      </c>
      <c r="V102" s="20" t="n">
        <v>259</v>
      </c>
      <c r="W102" s="20" t="n">
        <v>44</v>
      </c>
      <c r="X102" s="20" t="n">
        <v>56</v>
      </c>
    </row>
    <row r="103">
      <c r="A103" s="18" t="inlineStr">
        <is>
          <t>외환차익</t>
        </is>
      </c>
      <c r="C103" s="20" t="n">
        <v>0</v>
      </c>
      <c r="D103" s="20" t="n">
        <v>0</v>
      </c>
      <c r="E103" s="20" t="n">
        <v>106</v>
      </c>
      <c r="F103" s="20" t="n">
        <v>11</v>
      </c>
      <c r="G103" s="20" t="n">
        <v>-1</v>
      </c>
      <c r="H103" s="20" t="n">
        <v>-18</v>
      </c>
      <c r="T103" s="20" t="n">
        <v>6</v>
      </c>
      <c r="U103" s="20" t="n">
        <v>-17</v>
      </c>
      <c r="V103" s="20" t="n">
        <v>0</v>
      </c>
      <c r="W103" s="20" t="n">
        <v>-18</v>
      </c>
    </row>
    <row r="104">
      <c r="A104" s="18" t="inlineStr">
        <is>
          <t>기타</t>
        </is>
      </c>
      <c r="C104" s="20" t="n">
        <v>198</v>
      </c>
      <c r="D104" s="20" t="n">
        <v>119</v>
      </c>
      <c r="E104" s="20" t="n">
        <v>300</v>
      </c>
      <c r="F104" s="20" t="n">
        <v>147</v>
      </c>
      <c r="G104" s="20" t="n">
        <v>200</v>
      </c>
      <c r="H104" s="20" t="n">
        <v>279</v>
      </c>
      <c r="I104" s="20" t="n">
        <v>221</v>
      </c>
      <c r="J104" s="20" t="n">
        <v>162</v>
      </c>
      <c r="K104" s="20" t="n">
        <v>286</v>
      </c>
      <c r="L104" s="20" t="n">
        <v>314</v>
      </c>
      <c r="M104" s="20" t="n">
        <v>182</v>
      </c>
      <c r="N104" s="20" t="n">
        <v>241</v>
      </c>
      <c r="T104" s="20" t="n">
        <v>283</v>
      </c>
      <c r="U104" s="20" t="n">
        <v>281</v>
      </c>
      <c r="V104" s="20" t="n">
        <v>119</v>
      </c>
      <c r="W104" s="20" t="n">
        <v>279</v>
      </c>
      <c r="X104" s="20" t="n">
        <v>314</v>
      </c>
    </row>
    <row r="105">
      <c r="A105" s="18" t="inlineStr">
        <is>
          <t>영업외수익 합계</t>
        </is>
      </c>
      <c r="C105" s="20" t="n">
        <v>590</v>
      </c>
      <c r="D105" s="20" t="n">
        <v>447</v>
      </c>
      <c r="E105" s="20" t="n">
        <v>769</v>
      </c>
      <c r="F105" s="20" t="n">
        <v>256</v>
      </c>
      <c r="G105" s="20" t="n">
        <v>658</v>
      </c>
      <c r="H105" s="20" t="n">
        <v>407</v>
      </c>
      <c r="I105" s="20" t="n">
        <v>766</v>
      </c>
      <c r="J105" s="20" t="n">
        <v>336</v>
      </c>
      <c r="K105" s="20" t="n">
        <v>845</v>
      </c>
      <c r="L105" s="20" t="n">
        <v>547</v>
      </c>
      <c r="M105" s="20" t="n">
        <v>895</v>
      </c>
      <c r="N105" s="20" t="n">
        <v>509</v>
      </c>
      <c r="T105" s="20" t="n">
        <v>444</v>
      </c>
      <c r="U105" s="20" t="n">
        <v>362</v>
      </c>
      <c r="V105" s="20" t="n">
        <v>447</v>
      </c>
      <c r="W105" s="20" t="n">
        <v>407</v>
      </c>
      <c r="X105" s="20" t="n">
        <v>547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T106" s="15">
        <f>IF(OR(T105="",S105=""),"",IF(T105*S105&lt;=0,"",IFERROR(T105/S105-1,"")))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18" t="inlineStr">
        <is>
          <t>투자유가증권 상환손실</t>
        </is>
      </c>
      <c r="D107" s="20" t="n">
        <v>0</v>
      </c>
      <c r="H107" s="20" t="n">
        <v>0</v>
      </c>
      <c r="V107" s="20" t="n">
        <v>0</v>
      </c>
      <c r="W107" s="20" t="n">
        <v>0</v>
      </c>
    </row>
    <row r="108">
      <c r="A108" s="18" t="inlineStr">
        <is>
          <t>외환차손</t>
        </is>
      </c>
      <c r="C108" s="20" t="n">
        <v>4</v>
      </c>
      <c r="D108" s="20" t="n">
        <v>21</v>
      </c>
      <c r="E108" s="20" t="n">
        <v>0</v>
      </c>
      <c r="F108" s="20" t="n">
        <v>0</v>
      </c>
      <c r="G108" s="20" t="n">
        <v>0</v>
      </c>
      <c r="H108" s="20" t="n">
        <v>0</v>
      </c>
      <c r="U108" s="20" t="n">
        <v>0</v>
      </c>
      <c r="V108" s="20" t="n">
        <v>21</v>
      </c>
      <c r="W108" s="20" t="n">
        <v>0</v>
      </c>
    </row>
    <row r="109">
      <c r="A109" s="18" t="inlineStr">
        <is>
          <t>이자비용</t>
        </is>
      </c>
      <c r="C109" s="20" t="n">
        <v>0</v>
      </c>
      <c r="D109" s="20" t="n">
        <v>0</v>
      </c>
      <c r="E109" s="20" t="n">
        <v>0</v>
      </c>
      <c r="F109" s="20" t="n">
        <v>0</v>
      </c>
      <c r="G109" s="20" t="n">
        <v>0</v>
      </c>
      <c r="H109" s="20" t="n">
        <v>0</v>
      </c>
      <c r="T109" s="20" t="n">
        <v>0</v>
      </c>
      <c r="U109" s="20" t="n">
        <v>7</v>
      </c>
      <c r="V109" s="20" t="n">
        <v>0</v>
      </c>
      <c r="W109" s="20" t="n">
        <v>0</v>
      </c>
    </row>
    <row r="110">
      <c r="A110" s="18" t="inlineStr">
        <is>
          <t>지분법손실</t>
        </is>
      </c>
      <c r="C110" s="20" t="n">
        <v>7</v>
      </c>
      <c r="D110" s="20" t="n">
        <v>53</v>
      </c>
      <c r="E110" s="20" t="n">
        <v>14</v>
      </c>
      <c r="F110" s="20" t="n">
        <v>16</v>
      </c>
      <c r="G110" s="20" t="n">
        <v>159</v>
      </c>
      <c r="H110" s="20" t="n">
        <v>7</v>
      </c>
      <c r="I110" s="20" t="n">
        <v>29</v>
      </c>
      <c r="J110" s="20" t="n">
        <v>653</v>
      </c>
      <c r="K110" s="20" t="n">
        <v>285</v>
      </c>
      <c r="L110" s="20" t="n">
        <v>81</v>
      </c>
      <c r="M110" s="20" t="n">
        <v>396</v>
      </c>
      <c r="N110" s="20" t="n">
        <v>222</v>
      </c>
      <c r="T110" s="20" t="n">
        <v>50</v>
      </c>
      <c r="U110" s="20" t="n">
        <v>12487</v>
      </c>
      <c r="V110" s="20" t="n">
        <v>53</v>
      </c>
      <c r="W110" s="20" t="n">
        <v>7</v>
      </c>
      <c r="X110" s="20" t="n">
        <v>81</v>
      </c>
    </row>
    <row r="111">
      <c r="A111" s="18" t="inlineStr">
        <is>
          <t>주식보상비용</t>
        </is>
      </c>
      <c r="E111" s="20" t="n">
        <v>0</v>
      </c>
      <c r="I111" s="20" t="n">
        <v>10</v>
      </c>
    </row>
    <row r="112">
      <c r="A112" s="18" t="inlineStr">
        <is>
          <t>기타</t>
        </is>
      </c>
      <c r="C112" s="20" t="n">
        <v>28</v>
      </c>
      <c r="D112" s="20" t="n">
        <v>-6</v>
      </c>
      <c r="E112" s="20" t="n">
        <v>5</v>
      </c>
      <c r="F112" s="20" t="n">
        <v>13</v>
      </c>
      <c r="G112" s="20" t="n">
        <v>133</v>
      </c>
      <c r="H112" s="20" t="n">
        <v>6</v>
      </c>
      <c r="I112" s="20" t="n">
        <v>21</v>
      </c>
      <c r="J112" s="20" t="n">
        <v>26</v>
      </c>
      <c r="K112" s="20" t="n">
        <v>11</v>
      </c>
      <c r="L112" s="20" t="n">
        <v>93</v>
      </c>
      <c r="M112" s="20" t="n">
        <v>76</v>
      </c>
      <c r="N112" s="20" t="n">
        <v>60</v>
      </c>
      <c r="T112" s="20" t="n">
        <v>47</v>
      </c>
      <c r="U112" s="20" t="n">
        <v>33</v>
      </c>
      <c r="V112" s="20" t="n">
        <v>-6</v>
      </c>
      <c r="W112" s="20" t="n">
        <v>6</v>
      </c>
      <c r="X112" s="20" t="n">
        <v>93</v>
      </c>
    </row>
    <row r="113">
      <c r="A113" s="18" t="inlineStr">
        <is>
          <t>영업외비용 합계</t>
        </is>
      </c>
      <c r="C113" s="20" t="n">
        <v>40</v>
      </c>
      <c r="D113" s="20" t="n">
        <v>-228</v>
      </c>
      <c r="E113" s="20" t="n">
        <v>20</v>
      </c>
      <c r="F113" s="20" t="n">
        <v>28</v>
      </c>
      <c r="G113" s="20" t="n">
        <v>292</v>
      </c>
      <c r="H113" s="20" t="n">
        <v>14</v>
      </c>
      <c r="I113" s="20" t="n">
        <v>50</v>
      </c>
      <c r="J113" s="20" t="n">
        <v>679</v>
      </c>
      <c r="K113" s="20" t="n">
        <v>297</v>
      </c>
      <c r="L113" s="20" t="n">
        <v>173</v>
      </c>
      <c r="M113" s="20" t="n">
        <v>472</v>
      </c>
      <c r="N113" s="20" t="n">
        <v>283</v>
      </c>
      <c r="T113" s="20" t="n">
        <v>97</v>
      </c>
      <c r="U113" s="20" t="n">
        <v>12527</v>
      </c>
      <c r="V113" s="20" t="n">
        <v>-228</v>
      </c>
      <c r="W113" s="20" t="n">
        <v>14</v>
      </c>
      <c r="X113" s="20" t="n">
        <v>173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IF(OR(G113="",C113=""),"",IF(G113*C113&lt;=0,"",IFERROR(G113/C113-1,"")))</f>
        <v/>
      </c>
      <c r="H114" s="15">
        <f>IF(OR(H113="",D113=""),"",IF(H113*D113&lt;=0,"",IFERROR(H113/D113-1,"")))</f>
        <v/>
      </c>
      <c r="I114" s="15">
        <f>IF(OR(I113="",E113=""),"",IF(I113*E113&lt;=0,"",IFERROR(I113/E113-1,"")))</f>
        <v/>
      </c>
      <c r="J114" s="15">
        <f>IF(OR(J113="",F113=""),"",IF(J113*F113&lt;=0,"",IFERROR(J113/F113-1,"")))</f>
        <v/>
      </c>
      <c r="K114" s="15">
        <f>IF(OR(K113="",G113=""),"",IF(K113*G113&lt;=0,"",IFERROR(K113/G113-1,"")))</f>
        <v/>
      </c>
      <c r="L114" s="15">
        <f>IF(OR(L113="",H113=""),"",IF(L113*H113&lt;=0,"",IFERROR(L113/H113-1,"")))</f>
        <v/>
      </c>
      <c r="M114" s="15">
        <f>IF(OR(M113="",I113=""),"",IF(M113*I113&lt;=0,"",IFERROR(M113/I113-1,"")))</f>
        <v/>
      </c>
      <c r="N114" s="15">
        <f>IF(OR(N113="",J113=""),"",IF(N113*J113&lt;=0,"",IFERROR(N113/J113-1,"")))</f>
        <v/>
      </c>
      <c r="T114" s="15">
        <f>IF(OR(T113="",S113=""),"",IF(T113*S113&lt;=0,"",IFERROR(T113/S113-1,"")))</f>
        <v/>
      </c>
      <c r="U114" s="15">
        <f>IF(OR(U113="",T113=""),"",IF(U113*T113&lt;=0,"",IFERROR(U113/T113-1,"")))</f>
        <v/>
      </c>
      <c r="V114" s="15">
        <f>IF(OR(V113="",U113=""),"",IF(V113*U113&lt;=0,"",IFERROR(V113/U113-1,"")))</f>
        <v/>
      </c>
      <c r="W114" s="15">
        <f>IF(OR(W113="",V113=""),"",IF(W113*V113&lt;=0,"",IFERROR(W113/V113-1,"")))</f>
        <v/>
      </c>
      <c r="X114" s="15">
        <f>IF(OR(X113="",W113=""),"",IF(X113*W113&lt;=0,"",IFERROR(X113/W113-1,"")))</f>
        <v/>
      </c>
    </row>
    <row r="115">
      <c r="A115" s="9" t="inlineStr">
        <is>
          <t>경상이익</t>
        </is>
      </c>
      <c r="C115" s="12" t="n">
        <v>3752</v>
      </c>
      <c r="D115" s="12" t="n">
        <v>5811</v>
      </c>
      <c r="E115" s="12" t="n">
        <v>3604</v>
      </c>
      <c r="F115" s="12" t="n">
        <v>5549</v>
      </c>
      <c r="G115" s="12" t="n">
        <v>6986</v>
      </c>
      <c r="H115" s="12" t="n">
        <v>7295</v>
      </c>
      <c r="I115" s="12" t="n">
        <v>4987</v>
      </c>
      <c r="J115" s="12" t="n">
        <v>5968</v>
      </c>
      <c r="K115" s="12" t="n">
        <v>7529</v>
      </c>
      <c r="L115" s="12" t="n">
        <v>8990</v>
      </c>
      <c r="M115" s="12" t="n">
        <v>5612</v>
      </c>
      <c r="N115" s="12" t="n">
        <v>8234</v>
      </c>
      <c r="T115" s="12" t="n">
        <v>5838</v>
      </c>
      <c r="U115" s="12" t="n">
        <v>-6589</v>
      </c>
      <c r="V115" s="12" t="n">
        <v>5811</v>
      </c>
      <c r="W115" s="12" t="n">
        <v>7295</v>
      </c>
      <c r="X115" s="12" t="n">
        <v>8990</v>
      </c>
    </row>
    <row r="116">
      <c r="A116" s="43" t="inlineStr">
        <is>
          <t>YoY</t>
        </is>
      </c>
      <c r="B116" s="3" t="inlineStr">
        <is>
          <t>전년 같은 분기·전년 대비</t>
        </is>
      </c>
      <c r="G116" s="15">
        <f>IF(OR(G115="",C115=""),"",IF(C115&lt;=0,"",IFERROR(G115/C115-1,"")))</f>
        <v/>
      </c>
      <c r="H116" s="15">
        <f>IF(OR(H115="",D115=""),"",IF(D115&lt;=0,"",IFERROR(H115/D115-1,"")))</f>
        <v/>
      </c>
      <c r="I116" s="15">
        <f>IF(OR(I115="",E115=""),"",IF(E115&lt;=0,"",IFERROR(I115/E115-1,"")))</f>
        <v/>
      </c>
      <c r="J116" s="15">
        <f>IF(OR(J115="",F115=""),"",IF(F115&lt;=0,"",IFERROR(J115/F115-1,"")))</f>
        <v/>
      </c>
      <c r="K116" s="15">
        <f>IF(OR(K115="",G115=""),"",IF(G115&lt;=0,"",IFERROR(K115/G115-1,"")))</f>
        <v/>
      </c>
      <c r="L116" s="15">
        <f>IF(OR(L115="",H115=""),"",IF(H115&lt;=0,"",IFERROR(L115/H115-1,"")))</f>
        <v/>
      </c>
      <c r="M116" s="15">
        <f>IF(OR(M115="",I115=""),"",IF(I115&lt;=0,"",IFERROR(M115/I115-1,"")))</f>
        <v/>
      </c>
      <c r="N116" s="15">
        <f>IF(OR(N115="",J115=""),"",IF(J115&lt;=0,"",IFERROR(N115/J115-1,"")))</f>
        <v/>
      </c>
      <c r="T116" s="15">
        <f>IF(OR(T115="",S115=""),"",IF(S115&lt;=0,"",IFERROR(T115/S115-1,"")))</f>
        <v/>
      </c>
      <c r="U116" s="15">
        <f>IF(OR(U115="",T115=""),"",IF(T115&lt;=0,"",IFERROR(U115/T115-1,"")))</f>
        <v/>
      </c>
      <c r="V116" s="15">
        <f>IF(OR(V115="",U115=""),"",IF(U115&lt;=0,"",IFERROR(V115/U115-1,"")))</f>
        <v/>
      </c>
      <c r="W116" s="15">
        <f>IF(OR(W115="",V115=""),"",IF(V115&lt;=0,"",IFERROR(W115/V115-1,"")))</f>
        <v/>
      </c>
      <c r="X116" s="15">
        <f>IF(OR(X115="",W115=""),"",IF(W115&lt;=0,"",IFERROR(X115/W115-1,"")))</f>
        <v/>
      </c>
    </row>
    <row r="117">
      <c r="A117" s="18" t="inlineStr">
        <is>
          <t>고정자산 처분이익</t>
        </is>
      </c>
      <c r="C117" s="20" t="n">
        <v>0</v>
      </c>
      <c r="D117" s="20" t="n">
        <v>0</v>
      </c>
      <c r="E117" s="20" t="n">
        <v>0</v>
      </c>
      <c r="F117" s="20" t="n">
        <v>3</v>
      </c>
      <c r="G117" s="20" t="n">
        <v>0</v>
      </c>
      <c r="H117" s="20" t="n">
        <v>0</v>
      </c>
      <c r="I117" s="20" t="n">
        <v>12</v>
      </c>
      <c r="J117" s="20" t="n">
        <v>0</v>
      </c>
      <c r="K117" s="20" t="n">
        <v>0</v>
      </c>
      <c r="L117" s="20" t="n">
        <v>0</v>
      </c>
      <c r="M117" s="20" t="n">
        <v>0</v>
      </c>
      <c r="N117" s="20" t="n">
        <v>10</v>
      </c>
      <c r="T117" s="20" t="n">
        <v>0</v>
      </c>
      <c r="U117" s="20" t="n">
        <v>0</v>
      </c>
      <c r="V117" s="20" t="n">
        <v>0</v>
      </c>
      <c r="W117" s="20" t="n">
        <v>0</v>
      </c>
      <c r="X117" s="20" t="n">
        <v>0</v>
      </c>
    </row>
    <row r="118">
      <c r="A118" s="18" t="inlineStr">
        <is>
          <t>투자유가증권 매각이익</t>
        </is>
      </c>
      <c r="C118" s="20" t="n">
        <v>0</v>
      </c>
      <c r="D118" s="20" t="n">
        <v>0</v>
      </c>
      <c r="G118" s="20" t="n">
        <v>13</v>
      </c>
      <c r="H118" s="20" t="n">
        <v>0</v>
      </c>
      <c r="K118" s="20" t="n">
        <v>0</v>
      </c>
      <c r="L118" s="20" t="n">
        <v>1108</v>
      </c>
      <c r="T118" s="20" t="n">
        <v>0</v>
      </c>
      <c r="U118" s="20" t="n">
        <v>0</v>
      </c>
      <c r="V118" s="20" t="n">
        <v>0</v>
      </c>
      <c r="W118" s="20" t="n">
        <v>0</v>
      </c>
      <c r="X118" s="20" t="n">
        <v>1108</v>
      </c>
    </row>
    <row r="119">
      <c r="A119" s="18" t="inlineStr">
        <is>
          <t>특별이익 합계</t>
        </is>
      </c>
      <c r="C119" s="20" t="n">
        <v>0</v>
      </c>
      <c r="D119" s="20" t="n">
        <v>517</v>
      </c>
      <c r="E119" s="20" t="n">
        <v>0</v>
      </c>
      <c r="F119" s="20" t="n">
        <v>20</v>
      </c>
      <c r="G119" s="20" t="n">
        <v>13</v>
      </c>
      <c r="H119" s="20" t="n">
        <v>0</v>
      </c>
      <c r="I119" s="20" t="n">
        <v>12</v>
      </c>
      <c r="J119" s="20" t="n">
        <v>48</v>
      </c>
      <c r="K119" s="20" t="n">
        <v>0</v>
      </c>
      <c r="L119" s="20" t="n">
        <v>1108</v>
      </c>
      <c r="M119" s="20" t="n">
        <v>0</v>
      </c>
      <c r="N119" s="20" t="n">
        <v>10</v>
      </c>
      <c r="T119" s="20" t="n">
        <v>0</v>
      </c>
      <c r="U119" s="20" t="n">
        <v>0</v>
      </c>
      <c r="V119" s="20" t="n">
        <v>517</v>
      </c>
      <c r="W119" s="20" t="n">
        <v>0</v>
      </c>
      <c r="X119" s="20" t="n">
        <v>1108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18" t="inlineStr">
        <is>
          <t>고정자산 처분손실</t>
        </is>
      </c>
      <c r="C121" s="20" t="n">
        <v>25</v>
      </c>
      <c r="D121" s="20" t="n">
        <v>16</v>
      </c>
      <c r="E121" s="20" t="n">
        <v>31</v>
      </c>
      <c r="F121" s="20" t="n">
        <v>60</v>
      </c>
      <c r="G121" s="20" t="n">
        <v>1</v>
      </c>
      <c r="H121" s="20" t="n">
        <v>116</v>
      </c>
      <c r="I121" s="20" t="n">
        <v>12</v>
      </c>
      <c r="J121" s="20" t="n">
        <v>1</v>
      </c>
      <c r="K121" s="20" t="n">
        <v>66</v>
      </c>
      <c r="L121" s="20" t="n">
        <v>41</v>
      </c>
      <c r="M121" s="20" t="n">
        <v>58</v>
      </c>
      <c r="N121" s="20" t="n">
        <v>19</v>
      </c>
      <c r="T121" s="20" t="n">
        <v>1</v>
      </c>
      <c r="U121" s="20" t="n">
        <v>1</v>
      </c>
      <c r="V121" s="20" t="n">
        <v>16</v>
      </c>
      <c r="W121" s="20" t="n">
        <v>116</v>
      </c>
      <c r="X121" s="20" t="n">
        <v>41</v>
      </c>
    </row>
    <row r="122">
      <c r="A122" s="18" t="inlineStr">
        <is>
          <t>투자유가증권 매각손실</t>
        </is>
      </c>
      <c r="C122" s="20" t="n">
        <v>0</v>
      </c>
      <c r="D122" s="20" t="n">
        <v>0</v>
      </c>
      <c r="E122" s="20" t="n">
        <v>11</v>
      </c>
      <c r="F122" s="20" t="n">
        <v>0</v>
      </c>
      <c r="G122" s="20" t="n">
        <v>1</v>
      </c>
      <c r="H122" s="20" t="n">
        <v>0</v>
      </c>
      <c r="I122" s="20" t="n">
        <v>0</v>
      </c>
      <c r="J122" s="20" t="n">
        <v>9</v>
      </c>
      <c r="K122" s="20" t="n">
        <v>0</v>
      </c>
      <c r="L122" s="20" t="n">
        <v>832</v>
      </c>
      <c r="T122" s="20" t="n">
        <v>0</v>
      </c>
      <c r="U122" s="20" t="n">
        <v>0</v>
      </c>
      <c r="V122" s="20" t="n">
        <v>0</v>
      </c>
      <c r="W122" s="20" t="n">
        <v>0</v>
      </c>
      <c r="X122" s="20" t="n">
        <v>832</v>
      </c>
    </row>
    <row r="123">
      <c r="A123" s="18" t="inlineStr">
        <is>
          <t>투자유가증권 평가손실</t>
        </is>
      </c>
      <c r="C123" s="20" t="n">
        <v>0</v>
      </c>
      <c r="D123" s="20" t="n">
        <v>0</v>
      </c>
      <c r="E123" s="20" t="n">
        <v>4</v>
      </c>
      <c r="F123" s="20" t="n">
        <v>0</v>
      </c>
      <c r="G123" s="20" t="n">
        <v>0</v>
      </c>
      <c r="H123" s="20" t="n">
        <v>48</v>
      </c>
      <c r="I123" s="20" t="n">
        <v>0</v>
      </c>
      <c r="J123" s="20" t="n">
        <v>0</v>
      </c>
      <c r="K123" s="20" t="n">
        <v>0</v>
      </c>
      <c r="L123" s="20" t="n">
        <v>877</v>
      </c>
      <c r="V123" s="20" t="n">
        <v>0</v>
      </c>
      <c r="W123" s="20" t="n">
        <v>48</v>
      </c>
      <c r="X123" s="20" t="n">
        <v>877</v>
      </c>
    </row>
    <row r="124">
      <c r="A124" s="18" t="inlineStr">
        <is>
          <t>관계회사 주식 평가손실</t>
        </is>
      </c>
      <c r="C124" s="20" t="n">
        <v>0</v>
      </c>
      <c r="D124" s="20" t="n">
        <v>0</v>
      </c>
      <c r="G124" s="20" t="n">
        <v>0</v>
      </c>
      <c r="H124" s="20" t="n">
        <v>211</v>
      </c>
      <c r="T124" s="20" t="n">
        <v>495</v>
      </c>
      <c r="U124" s="20" t="n">
        <v>261</v>
      </c>
      <c r="V124" s="20" t="n">
        <v>0</v>
      </c>
      <c r="W124" s="20" t="n">
        <v>211</v>
      </c>
    </row>
    <row r="125">
      <c r="A125" s="18" t="inlineStr">
        <is>
          <t>특별손실 합계</t>
        </is>
      </c>
      <c r="C125" s="20" t="n">
        <v>25</v>
      </c>
      <c r="D125" s="20" t="n">
        <v>15</v>
      </c>
      <c r="E125" s="20" t="n">
        <v>47</v>
      </c>
      <c r="F125" s="20" t="n">
        <v>60</v>
      </c>
      <c r="G125" s="20" t="n">
        <v>2</v>
      </c>
      <c r="H125" s="20" t="n">
        <v>773</v>
      </c>
      <c r="I125" s="20" t="n">
        <v>12</v>
      </c>
      <c r="J125" s="20" t="n">
        <v>10</v>
      </c>
      <c r="K125" s="20" t="n">
        <v>66</v>
      </c>
      <c r="L125" s="20" t="n">
        <v>1750</v>
      </c>
      <c r="M125" s="20" t="n">
        <v>58</v>
      </c>
      <c r="N125" s="20" t="n">
        <v>112</v>
      </c>
      <c r="T125" s="20" t="n">
        <v>527</v>
      </c>
      <c r="U125" s="20" t="n">
        <v>1090</v>
      </c>
      <c r="V125" s="20" t="n">
        <v>15</v>
      </c>
      <c r="W125" s="20" t="n">
        <v>773</v>
      </c>
      <c r="X125" s="20" t="n">
        <v>1750</v>
      </c>
    </row>
    <row r="126">
      <c r="A126" s="43" t="inlineStr">
        <is>
          <t>YoY</t>
        </is>
      </c>
      <c r="B126" s="3" t="inlineStr">
        <is>
          <t>전년 같은 분기·전년 대비</t>
        </is>
      </c>
      <c r="G126" s="15">
        <f>IF(OR(G125="",C125=""),"",IF(G125*C125&lt;=0,"",IFERROR(G125/C125-1,"")))</f>
        <v/>
      </c>
      <c r="H126" s="15">
        <f>IF(OR(H125="",D125=""),"",IF(H125*D125&lt;=0,"",IFERROR(H125/D125-1,"")))</f>
        <v/>
      </c>
      <c r="I126" s="15">
        <f>IF(OR(I125="",E125=""),"",IF(I125*E125&lt;=0,"",IFERROR(I125/E125-1,"")))</f>
        <v/>
      </c>
      <c r="J126" s="15">
        <f>IF(OR(J125="",F125=""),"",IF(J125*F125&lt;=0,"",IFERROR(J125/F125-1,"")))</f>
        <v/>
      </c>
      <c r="K126" s="15">
        <f>IF(OR(K125="",G125=""),"",IF(K125*G125&lt;=0,"",IFERROR(K125/G125-1,"")))</f>
        <v/>
      </c>
      <c r="L126" s="15">
        <f>IF(OR(L125="",H125=""),"",IF(L125*H125&lt;=0,"",IFERROR(L125/H125-1,"")))</f>
        <v/>
      </c>
      <c r="M126" s="15">
        <f>IF(OR(M125="",I125=""),"",IF(M125*I125&lt;=0,"",IFERROR(M125/I125-1,"")))</f>
        <v/>
      </c>
      <c r="N126" s="15">
        <f>IF(OR(N125="",J125=""),"",IF(N125*J125&lt;=0,"",IFERROR(N125/J125-1,"")))</f>
        <v/>
      </c>
      <c r="T126" s="15">
        <f>IF(OR(T125="",S125=""),"",IF(T125*S125&lt;=0,"",IFERROR(T125/S125-1,"")))</f>
        <v/>
      </c>
      <c r="U126" s="15">
        <f>IF(OR(U125="",T125=""),"",IF(U125*T125&lt;=0,"",IFERROR(U125/T125-1,"")))</f>
        <v/>
      </c>
      <c r="V126" s="15">
        <f>IF(OR(V125="",U125=""),"",IF(V125*U125&lt;=0,"",IFERROR(V125/U125-1,"")))</f>
        <v/>
      </c>
      <c r="W126" s="15">
        <f>IF(OR(W125="",V125=""),"",IF(W125*V125&lt;=0,"",IFERROR(W125/V125-1,"")))</f>
        <v/>
      </c>
      <c r="X126" s="15">
        <f>IF(OR(X125="",W125=""),"",IF(X125*W125&lt;=0,"",IFERROR(X125/W125-1,"")))</f>
        <v/>
      </c>
    </row>
    <row r="127">
      <c r="A127" s="9" t="inlineStr">
        <is>
          <t>법인세차감전 순이익</t>
        </is>
      </c>
      <c r="C127" s="12" t="n">
        <v>3727</v>
      </c>
      <c r="D127" s="12" t="n">
        <v>6312</v>
      </c>
      <c r="E127" s="12" t="n">
        <v>3556</v>
      </c>
      <c r="F127" s="12" t="n">
        <v>5509</v>
      </c>
      <c r="G127" s="12" t="n">
        <v>6998</v>
      </c>
      <c r="H127" s="12" t="n">
        <v>6522</v>
      </c>
      <c r="I127" s="12" t="n">
        <v>4987</v>
      </c>
      <c r="J127" s="12" t="n">
        <v>6005</v>
      </c>
      <c r="K127" s="12" t="n">
        <v>7463</v>
      </c>
      <c r="L127" s="12" t="n">
        <v>8349</v>
      </c>
      <c r="M127" s="12" t="n">
        <v>5553</v>
      </c>
      <c r="N127" s="12" t="n">
        <v>8133</v>
      </c>
      <c r="T127" s="12" t="n">
        <v>5310</v>
      </c>
      <c r="U127" s="12" t="n">
        <v>-7678</v>
      </c>
      <c r="V127" s="12" t="n">
        <v>6312</v>
      </c>
      <c r="W127" s="12" t="n">
        <v>6522</v>
      </c>
      <c r="X127" s="12" t="n">
        <v>8349</v>
      </c>
    </row>
    <row r="128">
      <c r="A128" s="43" t="inlineStr">
        <is>
          <t>YoY</t>
        </is>
      </c>
      <c r="B128" s="3" t="inlineStr">
        <is>
          <t>전년 같은 분기·전년 대비</t>
        </is>
      </c>
      <c r="G128" s="15">
        <f>IF(OR(G127="",C127=""),"",IF(C127&lt;=0,"",IFERROR(G127/C127-1,"")))</f>
        <v/>
      </c>
      <c r="H128" s="15">
        <f>IF(OR(H127="",D127=""),"",IF(D127&lt;=0,"",IFERROR(H127/D127-1,"")))</f>
        <v/>
      </c>
      <c r="I128" s="15">
        <f>IF(OR(I127="",E127=""),"",IF(E127&lt;=0,"",IFERROR(I127/E127-1,"")))</f>
        <v/>
      </c>
      <c r="J128" s="15">
        <f>IF(OR(J127="",F127=""),"",IF(F127&lt;=0,"",IFERROR(J127/F127-1,"")))</f>
        <v/>
      </c>
      <c r="K128" s="15">
        <f>IF(OR(K127="",G127=""),"",IF(G127&lt;=0,"",IFERROR(K127/G127-1,"")))</f>
        <v/>
      </c>
      <c r="L128" s="15">
        <f>IF(OR(L127="",H127=""),"",IF(H127&lt;=0,"",IFERROR(L127/H127-1,"")))</f>
        <v/>
      </c>
      <c r="M128" s="15">
        <f>IF(OR(M127="",I127=""),"",IF(I127&lt;=0,"",IFERROR(M127/I127-1,"")))</f>
        <v/>
      </c>
      <c r="N128" s="15">
        <f>IF(OR(N127="",J127=""),"",IF(J127&lt;=0,"",IFERROR(N127/J127-1,"")))</f>
        <v/>
      </c>
      <c r="T128" s="15">
        <f>IF(OR(T127="",S127=""),"",IF(S127&lt;=0,"",IFERROR(T127/S127-1,"")))</f>
        <v/>
      </c>
      <c r="U128" s="15">
        <f>IF(OR(U127="",T127=""),"",IF(T127&lt;=0,"",IFERROR(U127/T127-1,"")))</f>
        <v/>
      </c>
      <c r="V128" s="15">
        <f>IF(OR(V127="",U127=""),"",IF(U127&lt;=0,"",IFERROR(V127/U127-1,"")))</f>
        <v/>
      </c>
      <c r="W128" s="15">
        <f>IF(OR(W127="",V127=""),"",IF(V127&lt;=0,"",IFERROR(W127/V127-1,"")))</f>
        <v/>
      </c>
      <c r="X128" s="15">
        <f>IF(OR(X127="",W127=""),"",IF(W127&lt;=0,"",IFERROR(X127/W127-1,"")))</f>
        <v/>
      </c>
    </row>
    <row r="129">
      <c r="A129" s="18" t="inlineStr">
        <is>
          <t>법인세 등</t>
        </is>
      </c>
      <c r="C129" s="20" t="n">
        <v>1469</v>
      </c>
      <c r="D129" s="20" t="n">
        <v>1313</v>
      </c>
      <c r="E129" s="20" t="n">
        <v>1356</v>
      </c>
      <c r="F129" s="20" t="n">
        <v>1697</v>
      </c>
      <c r="G129" s="20" t="n">
        <v>-2073</v>
      </c>
      <c r="H129" s="20" t="n">
        <v>1516</v>
      </c>
      <c r="I129" s="20" t="n">
        <v>1614</v>
      </c>
      <c r="J129" s="20" t="n">
        <v>2030</v>
      </c>
      <c r="K129" s="20" t="n">
        <v>2411</v>
      </c>
      <c r="L129" s="20" t="n">
        <v>1989</v>
      </c>
      <c r="M129" s="20" t="n">
        <v>2074</v>
      </c>
      <c r="N129" s="20" t="n">
        <v>2800</v>
      </c>
      <c r="T129" s="20" t="n">
        <v>1864</v>
      </c>
      <c r="U129" s="20" t="n">
        <v>1856</v>
      </c>
      <c r="V129" s="20" t="n">
        <v>1313</v>
      </c>
      <c r="W129" s="20" t="n">
        <v>1516</v>
      </c>
      <c r="X129" s="20" t="n">
        <v>1989</v>
      </c>
    </row>
    <row r="130">
      <c r="A130" s="43" t="inlineStr">
        <is>
          <t>YoY</t>
        </is>
      </c>
      <c r="B130" s="3" t="inlineStr">
        <is>
          <t>전년 같은 분기·전년 대비</t>
        </is>
      </c>
      <c r="G130" s="15">
        <f>IF(OR(G129="",C129=""),"",IF(G129*C129&lt;=0,"",IFERROR(G129/C129-1,"")))</f>
        <v/>
      </c>
      <c r="H130" s="15">
        <f>IF(OR(H129="",D129=""),"",IF(H129*D129&lt;=0,"",IFERROR(H129/D129-1,"")))</f>
        <v/>
      </c>
      <c r="I130" s="15">
        <f>IF(OR(I129="",E129=""),"",IF(I129*E129&lt;=0,"",IFERROR(I129/E129-1,"")))</f>
        <v/>
      </c>
      <c r="J130" s="15">
        <f>IF(OR(J129="",F129=""),"",IF(J129*F129&lt;=0,"",IFERROR(J129/F129-1,"")))</f>
        <v/>
      </c>
      <c r="K130" s="15">
        <f>IF(OR(K129="",G129=""),"",IF(K129*G129&lt;=0,"",IFERROR(K129/G129-1,"")))</f>
        <v/>
      </c>
      <c r="L130" s="15">
        <f>IF(OR(L129="",H129=""),"",IF(L129*H129&lt;=0,"",IFERROR(L129/H129-1,"")))</f>
        <v/>
      </c>
      <c r="M130" s="15">
        <f>IF(OR(M129="",I129=""),"",IF(M129*I129&lt;=0,"",IFERROR(M129/I129-1,"")))</f>
        <v/>
      </c>
      <c r="N130" s="15">
        <f>IF(OR(N129="",J129=""),"",IF(N129*J129&lt;=0,"",IFERROR(N129/J129-1,"")))</f>
        <v/>
      </c>
      <c r="T130" s="15">
        <f>IF(OR(T129="",S129=""),"",IF(T129*S129&lt;=0,"",IFERROR(T129/S129-1,"")))</f>
        <v/>
      </c>
      <c r="U130" s="15">
        <f>IF(OR(U129="",T129=""),"",IF(U129*T129&lt;=0,"",IFERROR(U129/T129-1,"")))</f>
        <v/>
      </c>
      <c r="V130" s="15">
        <f>IF(OR(V129="",U129=""),"",IF(V129*U129&lt;=0,"",IFERROR(V129/U129-1,"")))</f>
        <v/>
      </c>
      <c r="W130" s="15">
        <f>IF(OR(W129="",V129=""),"",IF(W129*V129&lt;=0,"",IFERROR(W129/V129-1,"")))</f>
        <v/>
      </c>
      <c r="X130" s="15">
        <f>IF(OR(X129="",W129=""),"",IF(X129*W129&lt;=0,"",IFERROR(X129/W129-1,"")))</f>
        <v/>
      </c>
    </row>
    <row r="131">
      <c r="A131" s="9" t="inlineStr">
        <is>
          <t>순이익</t>
        </is>
      </c>
      <c r="C131" s="12" t="n">
        <v>2258</v>
      </c>
      <c r="D131" s="12" t="n">
        <v>4999</v>
      </c>
      <c r="E131" s="12" t="n">
        <v>2199</v>
      </c>
      <c r="F131" s="12" t="n">
        <v>3813</v>
      </c>
      <c r="G131" s="12" t="n">
        <v>9070</v>
      </c>
      <c r="H131" s="12" t="n">
        <v>5006</v>
      </c>
      <c r="I131" s="12" t="n">
        <v>3372</v>
      </c>
      <c r="J131" s="12" t="n">
        <v>3975</v>
      </c>
      <c r="K131" s="12" t="n">
        <v>5053</v>
      </c>
      <c r="L131" s="12" t="n">
        <v>6360</v>
      </c>
      <c r="M131" s="12" t="n">
        <v>3479</v>
      </c>
      <c r="N131" s="12" t="n">
        <v>5332</v>
      </c>
      <c r="T131" s="12" t="n">
        <v>3447</v>
      </c>
      <c r="U131" s="12" t="n">
        <v>-9534</v>
      </c>
      <c r="V131" s="12" t="n">
        <v>4999</v>
      </c>
      <c r="W131" s="12" t="n">
        <v>5006</v>
      </c>
      <c r="X131" s="12" t="n">
        <v>6360</v>
      </c>
    </row>
    <row r="132">
      <c r="A132" s="43" t="inlineStr">
        <is>
          <t>YoY</t>
        </is>
      </c>
      <c r="B132" s="3" t="inlineStr">
        <is>
          <t>전년 같은 분기·전년 대비</t>
        </is>
      </c>
      <c r="G132" s="15">
        <f>IF(OR(G131="",C131=""),"",IF(C131&lt;=0,"",IFERROR(G131/C131-1,"")))</f>
        <v/>
      </c>
      <c r="H132" s="15">
        <f>IF(OR(H131="",D131=""),"",IF(D131&lt;=0,"",IFERROR(H131/D131-1,"")))</f>
        <v/>
      </c>
      <c r="I132" s="15">
        <f>IF(OR(I131="",E131=""),"",IF(E131&lt;=0,"",IFERROR(I131/E131-1,"")))</f>
        <v/>
      </c>
      <c r="J132" s="15">
        <f>IF(OR(J131="",F131=""),"",IF(F131&lt;=0,"",IFERROR(J131/F131-1,"")))</f>
        <v/>
      </c>
      <c r="K132" s="15">
        <f>IF(OR(K131="",G131=""),"",IF(G131&lt;=0,"",IFERROR(K131/G131-1,"")))</f>
        <v/>
      </c>
      <c r="L132" s="15">
        <f>IF(OR(L131="",H131=""),"",IF(H131&lt;=0,"",IFERROR(L131/H131-1,"")))</f>
        <v/>
      </c>
      <c r="M132" s="15">
        <f>IF(OR(M131="",I131=""),"",IF(I131&lt;=0,"",IFERROR(M131/I131-1,"")))</f>
        <v/>
      </c>
      <c r="N132" s="15">
        <f>IF(OR(N131="",J131=""),"",IF(J131&lt;=0,"",IFERROR(N131/J131-1,"")))</f>
        <v/>
      </c>
      <c r="T132" s="15">
        <f>IF(OR(T131="",S131=""),"",IF(S131&lt;=0,"",IFERROR(T131/S131-1,"")))</f>
        <v/>
      </c>
      <c r="U132" s="15">
        <f>IF(OR(U131="",T131=""),"",IF(T131&lt;=0,"",IFERROR(U131/T131-1,"")))</f>
        <v/>
      </c>
      <c r="V132" s="15">
        <f>IF(OR(V131="",U131=""),"",IF(U131&lt;=0,"",IFERROR(V131/U131-1,"")))</f>
        <v/>
      </c>
      <c r="W132" s="15">
        <f>IF(OR(W131="",V131=""),"",IF(V131&lt;=0,"",IFERROR(W131/V131-1,"")))</f>
        <v/>
      </c>
      <c r="X132" s="15">
        <f>IF(OR(X131="",W131=""),"",IF(W131&lt;=0,"",IFERROR(X131/W131-1,"")))</f>
        <v/>
      </c>
    </row>
    <row r="133">
      <c r="A133" s="9" t="inlineStr">
        <is>
          <t>비지배주주 순이익</t>
        </is>
      </c>
      <c r="C133" s="12" t="n">
        <v>56</v>
      </c>
      <c r="D133" s="12" t="n">
        <v>108</v>
      </c>
      <c r="E133" s="12" t="n">
        <v>-4</v>
      </c>
      <c r="F133" s="12" t="n">
        <v>28</v>
      </c>
      <c r="G133" s="12" t="n">
        <v>52</v>
      </c>
      <c r="H133" s="12" t="n">
        <v>117</v>
      </c>
      <c r="I133" s="12" t="n">
        <v>27</v>
      </c>
      <c r="J133" s="12" t="n">
        <v>29</v>
      </c>
      <c r="K133" s="12" t="n">
        <v>63</v>
      </c>
      <c r="L133" s="12" t="n">
        <v>158</v>
      </c>
      <c r="M133" s="12" t="n">
        <v>8</v>
      </c>
      <c r="N133" s="12" t="n">
        <v>32</v>
      </c>
      <c r="T133" s="12" t="n">
        <v>169</v>
      </c>
      <c r="U133" s="12" t="n">
        <v>98</v>
      </c>
      <c r="V133" s="12" t="n">
        <v>108</v>
      </c>
      <c r="W133" s="12" t="n">
        <v>117</v>
      </c>
      <c r="X133" s="12" t="n">
        <v>158</v>
      </c>
    </row>
    <row r="134">
      <c r="A134" s="9" t="inlineStr">
        <is>
          <t>지배주주 순이익</t>
        </is>
      </c>
      <c r="C134" s="12" t="n">
        <v>2202</v>
      </c>
      <c r="D134" s="12" t="n">
        <v>5158</v>
      </c>
      <c r="E134" s="12" t="n">
        <v>2203</v>
      </c>
      <c r="F134" s="12" t="n">
        <v>3784</v>
      </c>
      <c r="G134" s="12" t="n">
        <v>9019</v>
      </c>
      <c r="H134" s="12" t="n">
        <v>4889</v>
      </c>
      <c r="I134" s="12" t="n">
        <v>3345</v>
      </c>
      <c r="J134" s="12" t="n">
        <v>3945</v>
      </c>
      <c r="K134" s="12" t="n">
        <v>4991</v>
      </c>
      <c r="L134" s="12" t="n">
        <v>6201</v>
      </c>
      <c r="M134" s="12" t="n">
        <v>3470</v>
      </c>
      <c r="N134" s="12" t="n">
        <v>5301</v>
      </c>
      <c r="T134" s="12" t="n">
        <v>3277</v>
      </c>
      <c r="U134" s="12" t="n">
        <v>-9633</v>
      </c>
      <c r="V134" s="12" t="n">
        <v>5158</v>
      </c>
      <c r="W134" s="12" t="n">
        <v>4889</v>
      </c>
      <c r="X134" s="12" t="n">
        <v>6201</v>
      </c>
    </row>
    <row r="135">
      <c r="A135" s="43" t="inlineStr">
        <is>
          <t>YoY</t>
        </is>
      </c>
      <c r="B135" s="3" t="inlineStr">
        <is>
          <t>전년 같은 분기·전년 대비</t>
        </is>
      </c>
      <c r="G135" s="15">
        <f>IF(OR(G134="",C134=""),"",IF(C134&lt;=0,"",IFERROR(G134/C134-1,"")))</f>
        <v/>
      </c>
      <c r="H135" s="15">
        <f>IF(OR(H134="",D134=""),"",IF(D134&lt;=0,"",IFERROR(H134/D134-1,"")))</f>
        <v/>
      </c>
      <c r="I135" s="15">
        <f>IF(OR(I134="",E134=""),"",IF(E134&lt;=0,"",IFERROR(I134/E134-1,"")))</f>
        <v/>
      </c>
      <c r="J135" s="15">
        <f>IF(OR(J134="",F134=""),"",IF(F134&lt;=0,"",IFERROR(J134/F134-1,"")))</f>
        <v/>
      </c>
      <c r="K135" s="15">
        <f>IF(OR(K134="",G134=""),"",IF(G134&lt;=0,"",IFERROR(K134/G134-1,"")))</f>
        <v/>
      </c>
      <c r="L135" s="15">
        <f>IF(OR(L134="",H134=""),"",IF(H134&lt;=0,"",IFERROR(L134/H134-1,"")))</f>
        <v/>
      </c>
      <c r="M135" s="15">
        <f>IF(OR(M134="",I134=""),"",IF(I134&lt;=0,"",IFERROR(M134/I134-1,"")))</f>
        <v/>
      </c>
      <c r="N135" s="15">
        <f>IF(OR(N134="",J134=""),"",IF(J134&lt;=0,"",IFERROR(N134/J134-1,"")))</f>
        <v/>
      </c>
      <c r="T135" s="15">
        <f>IF(OR(T134="",S134=""),"",IF(S134&lt;=0,"",IFERROR(T134/S134-1,"")))</f>
        <v/>
      </c>
      <c r="U135" s="15">
        <f>IF(OR(U134="",T134=""),"",IF(T134&lt;=0,"",IFERROR(U134/T134-1,"")))</f>
        <v/>
      </c>
      <c r="V135" s="15">
        <f>IF(OR(V134="",U134=""),"",IF(U134&lt;=0,"",IFERROR(V134/U134-1,"")))</f>
        <v/>
      </c>
      <c r="W135" s="15">
        <f>IF(OR(W134="",V134=""),"",IF(V134&lt;=0,"",IFERROR(W134/V134-1,"")))</f>
        <v/>
      </c>
      <c r="X135" s="15">
        <f>IF(OR(X134="",W134=""),"",IF(W134&lt;=0,"",IFERROR(X134/W134-1,"")))</f>
        <v/>
      </c>
    </row>
    <row r="137">
      <c r="A137" s="16" t="inlineStr">
        <is>
          <t>포괄손익 · 전 항목</t>
        </is>
      </c>
      <c r="B137" s="42" t="inlineStr">
        <is>
          <t>분기 = 3개월 단독</t>
        </is>
      </c>
      <c r="C137" s="16" t="n"/>
      <c r="D137" s="16" t="n"/>
      <c r="E137" s="16" t="n"/>
      <c r="F137" s="16" t="n"/>
      <c r="G137" s="16" t="n"/>
      <c r="H137" s="16" t="n"/>
      <c r="I137" s="16" t="n"/>
      <c r="J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  <c r="S137" s="16" t="n"/>
      <c r="T137" s="16" t="n"/>
      <c r="U137" s="16" t="n"/>
      <c r="V137" s="16" t="n"/>
      <c r="W137" s="16" t="n"/>
      <c r="X137" s="16" t="n"/>
      <c r="Y137" s="16" t="n"/>
      <c r="Z137" s="16" t="n"/>
      <c r="AA137" s="16" t="n"/>
      <c r="AB137" s="16" t="n"/>
      <c r="AC137" s="16" t="n"/>
    </row>
    <row r="138">
      <c r="A138" s="5" t="inlineStr">
        <is>
          <t>항목</t>
        </is>
      </c>
      <c r="B138" s="5" t="inlineStr">
        <is>
          <t>참고</t>
        </is>
      </c>
      <c r="C138" s="5" t="inlineStr">
        <is>
          <t>2024.3Q</t>
        </is>
      </c>
      <c r="D138" s="5" t="inlineStr">
        <is>
          <t>2024.4Q</t>
        </is>
      </c>
      <c r="E138" s="5" t="inlineStr">
        <is>
          <t>2025.1Q</t>
        </is>
      </c>
      <c r="F138" s="5" t="inlineStr">
        <is>
          <t>2025.2Q</t>
        </is>
      </c>
      <c r="G138" s="5" t="inlineStr">
        <is>
          <t>2025.3Q</t>
        </is>
      </c>
      <c r="H138" s="5" t="inlineStr">
        <is>
          <t>2025.4Q</t>
        </is>
      </c>
      <c r="I138" s="5" t="inlineStr">
        <is>
          <t>2026.1Q</t>
        </is>
      </c>
      <c r="J138" s="5" t="inlineStr">
        <is>
          <t>2026.2Q</t>
        </is>
      </c>
      <c r="K138" s="5" t="inlineStr">
        <is>
          <t>2026.3Q</t>
        </is>
      </c>
      <c r="L138" s="5" t="inlineStr">
        <is>
          <t>2026.4Q</t>
        </is>
      </c>
      <c r="M138" s="5" t="inlineStr">
        <is>
          <t>2027.1Q</t>
        </is>
      </c>
      <c r="N138" s="5" t="inlineStr">
        <is>
          <t>2027.2Q</t>
        </is>
      </c>
      <c r="O138" s="5" t="inlineStr">
        <is>
          <t>2017</t>
        </is>
      </c>
      <c r="P138" s="5" t="inlineStr">
        <is>
          <t>2018</t>
        </is>
      </c>
      <c r="Q138" s="5" t="inlineStr">
        <is>
          <t>2019</t>
        </is>
      </c>
      <c r="R138" s="5" t="inlineStr">
        <is>
          <t>2020</t>
        </is>
      </c>
      <c r="S138" s="5" t="inlineStr">
        <is>
          <t>2021</t>
        </is>
      </c>
      <c r="T138" s="5" t="inlineStr">
        <is>
          <t>2022</t>
        </is>
      </c>
      <c r="U138" s="5" t="inlineStr">
        <is>
          <t>2023</t>
        </is>
      </c>
      <c r="V138" s="5" t="inlineStr">
        <is>
          <t>2024</t>
        </is>
      </c>
      <c r="W138" s="5" t="inlineStr">
        <is>
          <t>2025</t>
        </is>
      </c>
      <c r="X138" s="5" t="inlineStr">
        <is>
          <t>2026</t>
        </is>
      </c>
      <c r="Y138" s="5" t="inlineStr">
        <is>
          <t>2027(MW)</t>
        </is>
      </c>
      <c r="Z138" s="5" t="inlineStr">
        <is>
          <t>2028(MW)</t>
        </is>
      </c>
      <c r="AA138" s="5" t="inlineStr">
        <is>
          <t>2029(MW)</t>
        </is>
      </c>
      <c r="AB138" s="5" t="inlineStr">
        <is>
          <t>2030(MW)</t>
        </is>
      </c>
      <c r="AC138" s="5" t="inlineStr">
        <is>
          <t>2031(MW)</t>
        </is>
      </c>
    </row>
    <row r="139">
      <c r="A139" s="9" t="inlineStr">
        <is>
          <t>순이익</t>
        </is>
      </c>
      <c r="C139" s="12" t="n">
        <v>2258</v>
      </c>
      <c r="D139" s="12" t="n">
        <v>5266</v>
      </c>
      <c r="E139" s="12" t="n">
        <v>2199</v>
      </c>
      <c r="F139" s="12" t="n">
        <v>3813</v>
      </c>
      <c r="G139" s="12" t="n">
        <v>9070</v>
      </c>
      <c r="H139" s="12" t="n">
        <v>5006</v>
      </c>
      <c r="I139" s="12" t="n">
        <v>3372</v>
      </c>
      <c r="J139" s="12" t="n">
        <v>3975</v>
      </c>
      <c r="K139" s="12" t="n">
        <v>5053</v>
      </c>
      <c r="L139" s="12" t="n">
        <v>6360</v>
      </c>
      <c r="M139" s="12" t="n">
        <v>3479</v>
      </c>
      <c r="N139" s="12" t="n">
        <v>5332</v>
      </c>
      <c r="T139" s="12" t="n">
        <v>3447</v>
      </c>
      <c r="U139" s="12" t="n">
        <v>-9534</v>
      </c>
      <c r="V139" s="12" t="n">
        <v>5266</v>
      </c>
      <c r="W139" s="12" t="n">
        <v>5006</v>
      </c>
      <c r="X139" s="12" t="n">
        <v>6360</v>
      </c>
    </row>
    <row r="140">
      <c r="A140" s="18" t="inlineStr">
        <is>
          <t>기타유가증권 평가차액</t>
        </is>
      </c>
      <c r="C140" s="20" t="n">
        <v>514</v>
      </c>
      <c r="D140" s="20" t="n">
        <v>3362</v>
      </c>
      <c r="E140" s="20" t="n">
        <v>395</v>
      </c>
      <c r="F140" s="20" t="n">
        <v>-2201</v>
      </c>
      <c r="G140" s="20" t="n">
        <v>1132</v>
      </c>
      <c r="H140" s="20" t="n">
        <v>-374</v>
      </c>
      <c r="I140" s="20" t="n">
        <v>-146</v>
      </c>
      <c r="J140" s="20" t="n">
        <v>3822</v>
      </c>
      <c r="K140" s="20" t="n">
        <v>3159</v>
      </c>
      <c r="L140" s="20" t="n">
        <v>288</v>
      </c>
      <c r="M140" s="20" t="n">
        <v>9046</v>
      </c>
      <c r="N140" s="20" t="n">
        <v>2686</v>
      </c>
      <c r="T140" s="20" t="n">
        <v>-1026</v>
      </c>
      <c r="U140" s="20" t="n">
        <v>976</v>
      </c>
      <c r="V140" s="20" t="n">
        <v>3362</v>
      </c>
      <c r="W140" s="20" t="n">
        <v>-374</v>
      </c>
      <c r="X140" s="20" t="n">
        <v>288</v>
      </c>
    </row>
    <row r="141">
      <c r="A141" s="18" t="inlineStr">
        <is>
          <t>해외사업환산조정</t>
        </is>
      </c>
      <c r="C141" s="20" t="n">
        <v>48</v>
      </c>
      <c r="D141" s="20" t="n">
        <v>-36</v>
      </c>
      <c r="E141" s="20" t="n">
        <v>96</v>
      </c>
      <c r="F141" s="20" t="n">
        <v>202</v>
      </c>
      <c r="G141" s="20" t="n">
        <v>-221</v>
      </c>
      <c r="H141" s="20" t="n">
        <v>201</v>
      </c>
      <c r="I141" s="20" t="n">
        <v>-165</v>
      </c>
      <c r="J141" s="20" t="n">
        <v>-31</v>
      </c>
      <c r="K141" s="20" t="n">
        <v>36</v>
      </c>
      <c r="L141" s="20" t="n">
        <v>252</v>
      </c>
      <c r="M141" s="20" t="n">
        <v>74</v>
      </c>
      <c r="N141" s="20" t="n">
        <v>70</v>
      </c>
      <c r="T141" s="20" t="n">
        <v>42</v>
      </c>
      <c r="U141" s="20" t="n">
        <v>-98</v>
      </c>
      <c r="V141" s="20" t="n">
        <v>-36</v>
      </c>
      <c r="W141" s="20" t="n">
        <v>201</v>
      </c>
      <c r="X141" s="20" t="n">
        <v>252</v>
      </c>
    </row>
    <row r="142">
      <c r="A142" s="18" t="inlineStr">
        <is>
          <t>퇴직급여 조정액</t>
        </is>
      </c>
      <c r="C142" s="20" t="n">
        <v>-15</v>
      </c>
      <c r="D142" s="20" t="n">
        <v>2933</v>
      </c>
      <c r="E142" s="20" t="n">
        <v>-66</v>
      </c>
      <c r="F142" s="20" t="n">
        <v>-66</v>
      </c>
      <c r="G142" s="20" t="n">
        <v>-66</v>
      </c>
      <c r="H142" s="20" t="n">
        <v>3196</v>
      </c>
      <c r="I142" s="20" t="n">
        <v>-99</v>
      </c>
      <c r="J142" s="20" t="n">
        <v>-100</v>
      </c>
      <c r="K142" s="20" t="n">
        <v>-100</v>
      </c>
      <c r="L142" s="20" t="n">
        <v>4440</v>
      </c>
      <c r="M142" s="20" t="n">
        <v>-264</v>
      </c>
      <c r="N142" s="20" t="n">
        <v>-264</v>
      </c>
      <c r="T142" s="20" t="n">
        <v>-352</v>
      </c>
      <c r="U142" s="20" t="n">
        <v>-27</v>
      </c>
      <c r="V142" s="20" t="n">
        <v>2933</v>
      </c>
      <c r="W142" s="20" t="n">
        <v>3196</v>
      </c>
      <c r="X142" s="20" t="n">
        <v>4440</v>
      </c>
    </row>
    <row r="143">
      <c r="A143" s="18" t="inlineStr">
        <is>
          <t>지분법 적용회사 지분 해당액</t>
        </is>
      </c>
      <c r="C143" s="20" t="n">
        <v>-6</v>
      </c>
      <c r="D143" s="20" t="n">
        <v>-10</v>
      </c>
      <c r="E143" s="20" t="n">
        <v>42</v>
      </c>
      <c r="F143" s="20" t="n">
        <v>67</v>
      </c>
      <c r="G143" s="20" t="n">
        <v>-350</v>
      </c>
      <c r="H143" s="20" t="n">
        <v>0</v>
      </c>
      <c r="I143" s="20" t="n">
        <v>-56</v>
      </c>
      <c r="J143" s="20" t="n">
        <v>-260</v>
      </c>
      <c r="K143" s="20" t="n">
        <v>328</v>
      </c>
      <c r="L143" s="20" t="n">
        <v>870</v>
      </c>
      <c r="M143" s="20" t="n">
        <v>237</v>
      </c>
      <c r="N143" s="20" t="n">
        <v>170</v>
      </c>
      <c r="T143" s="20" t="n">
        <v>275</v>
      </c>
      <c r="U143" s="20" t="n">
        <v>-122</v>
      </c>
      <c r="V143" s="20" t="n">
        <v>-10</v>
      </c>
      <c r="W143" s="20" t="n">
        <v>0</v>
      </c>
      <c r="X143" s="20" t="n">
        <v>870</v>
      </c>
    </row>
    <row r="144">
      <c r="A144" s="18" t="inlineStr">
        <is>
          <t>기타포괄손익 합계</t>
        </is>
      </c>
      <c r="C144" s="20" t="n">
        <v>540</v>
      </c>
      <c r="D144" s="20" t="n">
        <v>6250</v>
      </c>
      <c r="E144" s="20" t="n">
        <v>468</v>
      </c>
      <c r="F144" s="20" t="n">
        <v>-1998</v>
      </c>
      <c r="G144" s="20" t="n">
        <v>493</v>
      </c>
      <c r="H144" s="20" t="n">
        <v>3023</v>
      </c>
      <c r="I144" s="20" t="n">
        <v>-468</v>
      </c>
      <c r="J144" s="20" t="n">
        <v>3432</v>
      </c>
      <c r="K144" s="20" t="n">
        <v>3423</v>
      </c>
      <c r="L144" s="20" t="n">
        <v>5851</v>
      </c>
      <c r="M144" s="20" t="n">
        <v>9094</v>
      </c>
      <c r="N144" s="20" t="n">
        <v>2662</v>
      </c>
      <c r="T144" s="20" t="n">
        <v>-1061</v>
      </c>
      <c r="U144" s="20" t="n">
        <v>729</v>
      </c>
      <c r="V144" s="20" t="n">
        <v>6250</v>
      </c>
      <c r="W144" s="20" t="n">
        <v>3023</v>
      </c>
      <c r="X144" s="20" t="n">
        <v>5851</v>
      </c>
    </row>
    <row r="145">
      <c r="A145" s="9" t="inlineStr">
        <is>
          <t>포괄이익</t>
        </is>
      </c>
      <c r="C145" s="12" t="n">
        <v>2798</v>
      </c>
      <c r="D145" s="12" t="n">
        <v>11517</v>
      </c>
      <c r="E145" s="12" t="n">
        <v>2668</v>
      </c>
      <c r="F145" s="12" t="n">
        <v>1813</v>
      </c>
      <c r="G145" s="12" t="n">
        <v>9563</v>
      </c>
      <c r="H145" s="12" t="n">
        <v>8031</v>
      </c>
      <c r="I145" s="12" t="n">
        <v>2903</v>
      </c>
      <c r="J145" s="12" t="n">
        <v>7409</v>
      </c>
      <c r="K145" s="12" t="n">
        <v>8476</v>
      </c>
      <c r="L145" s="12" t="n">
        <v>12211</v>
      </c>
      <c r="M145" s="12" t="n">
        <v>12573</v>
      </c>
      <c r="N145" s="12" t="n">
        <v>7995</v>
      </c>
      <c r="T145" s="12" t="n">
        <v>2386</v>
      </c>
      <c r="U145" s="12" t="n">
        <v>-8804</v>
      </c>
      <c r="V145" s="12" t="n">
        <v>11517</v>
      </c>
      <c r="W145" s="12" t="n">
        <v>8031</v>
      </c>
      <c r="X145" s="12" t="n">
        <v>12211</v>
      </c>
    </row>
    <row r="146">
      <c r="A146" s="9" t="inlineStr">
        <is>
          <t>지배주주 포괄이익</t>
        </is>
      </c>
      <c r="C146" s="12" t="n">
        <v>2738</v>
      </c>
      <c r="D146" s="12" t="n">
        <v>11383</v>
      </c>
      <c r="E146" s="12" t="n">
        <v>2662</v>
      </c>
      <c r="F146" s="12" t="n">
        <v>1763</v>
      </c>
      <c r="G146" s="12" t="n">
        <v>9481</v>
      </c>
      <c r="H146" s="12" t="n">
        <v>7933</v>
      </c>
      <c r="I146" s="12" t="n">
        <v>2842</v>
      </c>
      <c r="J146" s="12" t="n">
        <v>7277</v>
      </c>
      <c r="K146" s="12" t="n">
        <v>8369</v>
      </c>
      <c r="L146" s="12" t="n">
        <v>11956</v>
      </c>
      <c r="M146" s="12" t="n">
        <v>12390</v>
      </c>
      <c r="N146" s="12" t="n">
        <v>8040</v>
      </c>
      <c r="T146" s="12" t="n">
        <v>2210</v>
      </c>
      <c r="U146" s="12" t="n">
        <v>-8840</v>
      </c>
      <c r="V146" s="12" t="n">
        <v>11383</v>
      </c>
      <c r="W146" s="12" t="n">
        <v>7933</v>
      </c>
      <c r="X146" s="12" t="n">
        <v>11956</v>
      </c>
    </row>
    <row r="147">
      <c r="A147" s="9" t="inlineStr">
        <is>
          <t>비지배주주 포괄이익</t>
        </is>
      </c>
      <c r="C147" s="12" t="n">
        <v>60</v>
      </c>
      <c r="D147" s="12" t="n">
        <v>134</v>
      </c>
      <c r="E147" s="12" t="n">
        <v>5</v>
      </c>
      <c r="F147" s="12" t="n">
        <v>51</v>
      </c>
      <c r="G147" s="12" t="n">
        <v>81</v>
      </c>
      <c r="H147" s="12" t="n">
        <v>98</v>
      </c>
      <c r="I147" s="12" t="n">
        <v>61</v>
      </c>
      <c r="J147" s="12" t="n">
        <v>131</v>
      </c>
      <c r="K147" s="12" t="n">
        <v>107</v>
      </c>
      <c r="L147" s="12" t="n">
        <v>255</v>
      </c>
      <c r="M147" s="12" t="n">
        <v>183</v>
      </c>
      <c r="N147" s="12" t="n">
        <v>-46</v>
      </c>
      <c r="T147" s="12" t="n">
        <v>177</v>
      </c>
      <c r="U147" s="12" t="n">
        <v>36</v>
      </c>
      <c r="V147" s="12" t="n">
        <v>134</v>
      </c>
      <c r="W147" s="12" t="n">
        <v>98</v>
      </c>
      <c r="X147" s="12" t="n">
        <v>255</v>
      </c>
    </row>
    <row r="149">
      <c r="A149" s="16" t="inlineStr">
        <is>
          <t>부문 · 전 항목</t>
        </is>
      </c>
      <c r="B149" s="42" t="inlineStr">
        <is>
          <t>부문 · 항목</t>
        </is>
      </c>
      <c r="C149" s="16" t="n"/>
      <c r="D149" s="16" t="n"/>
      <c r="E149" s="16" t="n"/>
      <c r="F149" s="16" t="n"/>
      <c r="G149" s="16" t="n"/>
      <c r="H149" s="16" t="n"/>
      <c r="I149" s="16" t="n"/>
      <c r="J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  <c r="S149" s="16" t="n"/>
      <c r="T149" s="16" t="n"/>
      <c r="U149" s="16" t="n"/>
      <c r="V149" s="16" t="n"/>
      <c r="W149" s="16" t="n"/>
      <c r="X149" s="16" t="n"/>
      <c r="Y149" s="16" t="n"/>
      <c r="Z149" s="16" t="n"/>
      <c r="AA149" s="16" t="n"/>
      <c r="AB149" s="16" t="n"/>
      <c r="AC149" s="16" t="n"/>
    </row>
    <row r="150">
      <c r="A150" s="5" t="inlineStr">
        <is>
          <t>항목</t>
        </is>
      </c>
      <c r="B150" s="5" t="inlineStr">
        <is>
          <t>참고</t>
        </is>
      </c>
      <c r="C150" s="5" t="inlineStr">
        <is>
          <t>2024.3Q</t>
        </is>
      </c>
      <c r="D150" s="5" t="inlineStr">
        <is>
          <t>2024.4Q</t>
        </is>
      </c>
      <c r="E150" s="5" t="inlineStr">
        <is>
          <t>2025.1Q</t>
        </is>
      </c>
      <c r="F150" s="5" t="inlineStr">
        <is>
          <t>2025.2Q</t>
        </is>
      </c>
      <c r="G150" s="5" t="inlineStr">
        <is>
          <t>2025.3Q</t>
        </is>
      </c>
      <c r="H150" s="5" t="inlineStr">
        <is>
          <t>2025.4Q</t>
        </is>
      </c>
      <c r="I150" s="5" t="inlineStr">
        <is>
          <t>2026.1Q</t>
        </is>
      </c>
      <c r="J150" s="5" t="inlineStr">
        <is>
          <t>2026.2Q</t>
        </is>
      </c>
      <c r="K150" s="5" t="inlineStr">
        <is>
          <t>2026.3Q</t>
        </is>
      </c>
      <c r="L150" s="5" t="inlineStr">
        <is>
          <t>2026.4Q</t>
        </is>
      </c>
      <c r="M150" s="5" t="inlineStr">
        <is>
          <t>2027.1Q</t>
        </is>
      </c>
      <c r="N150" s="5" t="inlineStr">
        <is>
          <t>2027.2Q</t>
        </is>
      </c>
      <c r="O150" s="5" t="inlineStr">
        <is>
          <t>2017</t>
        </is>
      </c>
      <c r="P150" s="5" t="inlineStr">
        <is>
          <t>2018</t>
        </is>
      </c>
      <c r="Q150" s="5" t="inlineStr">
        <is>
          <t>2019</t>
        </is>
      </c>
      <c r="R150" s="5" t="inlineStr">
        <is>
          <t>2020</t>
        </is>
      </c>
      <c r="S150" s="5" t="inlineStr">
        <is>
          <t>2021</t>
        </is>
      </c>
      <c r="T150" s="5" t="inlineStr">
        <is>
          <t>2022</t>
        </is>
      </c>
      <c r="U150" s="5" t="inlineStr">
        <is>
          <t>2023</t>
        </is>
      </c>
      <c r="V150" s="5" t="inlineStr">
        <is>
          <t>2024</t>
        </is>
      </c>
      <c r="W150" s="5" t="inlineStr">
        <is>
          <t>2025</t>
        </is>
      </c>
      <c r="X150" s="5" t="inlineStr">
        <is>
          <t>2026</t>
        </is>
      </c>
      <c r="Y150" s="5" t="inlineStr">
        <is>
          <t>2027(MW)</t>
        </is>
      </c>
      <c r="Z150" s="5" t="inlineStr">
        <is>
          <t>2028(MW)</t>
        </is>
      </c>
      <c r="AA150" s="5" t="inlineStr">
        <is>
          <t>2029(MW)</t>
        </is>
      </c>
      <c r="AB150" s="5" t="inlineStr">
        <is>
          <t>2030(MW)</t>
        </is>
      </c>
      <c r="AC150" s="5" t="inlineStr">
        <is>
          <t>2031(MW)</t>
        </is>
      </c>
    </row>
    <row r="151">
      <c r="A151" s="18" t="inlineStr">
        <is>
          <t>EquipmentInstallationReportableSegmentMember · 외부 고객 매출</t>
        </is>
      </c>
      <c r="D151" s="20" t="n">
        <v>63588</v>
      </c>
      <c r="E151" s="20" t="n">
        <v>40356</v>
      </c>
      <c r="H151" s="20" t="n">
        <v>61803</v>
      </c>
      <c r="I151" s="20" t="n">
        <v>39400</v>
      </c>
      <c r="L151" s="20" t="n">
        <v>71467</v>
      </c>
      <c r="M151" s="20" t="n">
        <v>45029</v>
      </c>
      <c r="V151" s="20" t="n">
        <v>63588</v>
      </c>
      <c r="W151" s="20" t="n">
        <v>61803</v>
      </c>
      <c r="X151" s="20" t="n">
        <v>71467</v>
      </c>
    </row>
    <row r="152">
      <c r="A152" s="43" t="inlineStr">
        <is>
          <t>YoY</t>
        </is>
      </c>
      <c r="B152" s="3" t="inlineStr">
        <is>
          <t>전년 같은 분기·전년 대비</t>
        </is>
      </c>
      <c r="H152" s="15">
        <f>IF(OR(H151="",D151=""),"",IF(D151&lt;=0,"",IFERROR(H151/D151-1,"")))</f>
        <v/>
      </c>
      <c r="I152" s="15">
        <f>IF(OR(I151="",E151=""),"",IF(E151&lt;=0,"",IFERROR(I151/E151-1,"")))</f>
        <v/>
      </c>
      <c r="L152" s="15">
        <f>IF(OR(L151="",H151=""),"",IF(H151&lt;=0,"",IFERROR(L151/H151-1,"")))</f>
        <v/>
      </c>
      <c r="M152" s="15">
        <f>IF(OR(M151="",I151=""),"",IF(I151&lt;=0,"",IFERROR(M151/I151-1,"")))</f>
        <v/>
      </c>
      <c r="V152" s="15">
        <f>IF(OR(V151="",U151=""),"",IF(U151&lt;=0,"",IFERROR(V151/U151-1,"")))</f>
        <v/>
      </c>
      <c r="W152" s="15">
        <f>IF(OR(W151="",V151=""),"",IF(V151&lt;=0,"",IFERROR(W151/V151-1,"")))</f>
        <v/>
      </c>
      <c r="X152" s="15">
        <f>IF(OR(X151="",W151=""),"",IF(W151&lt;=0,"",IFERROR(X151/W151-1,"")))</f>
        <v/>
      </c>
    </row>
    <row r="153">
      <c r="A153" s="18" t="inlineStr">
        <is>
          <t>기타 · 외부 고객 매출</t>
        </is>
      </c>
      <c r="D153" s="20" t="n">
        <v>6137</v>
      </c>
      <c r="E153" s="20" t="n">
        <v>5294</v>
      </c>
      <c r="H153" s="20" t="n">
        <v>6687</v>
      </c>
      <c r="I153" s="20" t="n">
        <v>5022</v>
      </c>
      <c r="L153" s="20" t="n">
        <v>6815</v>
      </c>
      <c r="M153" s="20" t="n">
        <v>5304</v>
      </c>
      <c r="V153" s="20" t="n">
        <v>6137</v>
      </c>
      <c r="W153" s="20" t="n">
        <v>6687</v>
      </c>
      <c r="X153" s="20" t="n">
        <v>6815</v>
      </c>
    </row>
    <row r="154">
      <c r="A154" s="43" t="inlineStr">
        <is>
          <t>YoY</t>
        </is>
      </c>
      <c r="B154" s="3" t="inlineStr">
        <is>
          <t>전년 같은 분기·전년 대비</t>
        </is>
      </c>
      <c r="H154" s="15">
        <f>IF(OR(H153="",D153=""),"",IF(D153&lt;=0,"",IFERROR(H153/D153-1,"")))</f>
        <v/>
      </c>
      <c r="I154" s="15">
        <f>IF(OR(I153="",E153=""),"",IF(E153&lt;=0,"",IFERROR(I153/E153-1,"")))</f>
        <v/>
      </c>
      <c r="L154" s="15">
        <f>IF(OR(L153="",H153=""),"",IF(H153&lt;=0,"",IFERROR(L153/H153-1,"")))</f>
        <v/>
      </c>
      <c r="M154" s="15">
        <f>IF(OR(M153="",I153=""),"",IF(I153&lt;=0,"",IFERROR(M153/I153-1,"")))</f>
        <v/>
      </c>
      <c r="V154" s="15">
        <f>IF(OR(V153="",U153=""),"",IF(U153&lt;=0,"",IFERROR(V153/U153-1,"")))</f>
        <v/>
      </c>
      <c r="W154" s="15">
        <f>IF(OR(W153="",V153=""),"",IF(V153&lt;=0,"",IFERROR(W153/V153-1,"")))</f>
        <v/>
      </c>
      <c r="X154" s="15">
        <f>IF(OR(X153="",W153=""),"",IF(W153&lt;=0,"",IFERROR(X153/W153-1,"")))</f>
        <v/>
      </c>
    </row>
    <row r="155">
      <c r="A155" s="18" t="inlineStr">
        <is>
          <t>합계 · 외부 고객 매출</t>
        </is>
      </c>
      <c r="D155" s="20" t="n">
        <v>69725</v>
      </c>
      <c r="E155" s="20" t="n">
        <v>45650</v>
      </c>
      <c r="H155" s="20" t="n">
        <v>68489</v>
      </c>
      <c r="I155" s="20" t="n">
        <v>44422</v>
      </c>
      <c r="L155" s="20" t="n">
        <v>78282</v>
      </c>
      <c r="M155" s="20" t="n">
        <v>50333</v>
      </c>
      <c r="V155" s="20" t="n">
        <v>69725</v>
      </c>
      <c r="W155" s="20" t="n">
        <v>68489</v>
      </c>
      <c r="X155" s="20" t="n">
        <v>78282</v>
      </c>
    </row>
    <row r="156">
      <c r="A156" s="43" t="inlineStr">
        <is>
          <t>YoY</t>
        </is>
      </c>
      <c r="B156" s="3" t="inlineStr">
        <is>
          <t>전년 같은 분기·전년 대비</t>
        </is>
      </c>
      <c r="H156" s="15">
        <f>IF(OR(H155="",D155=""),"",IF(D155&lt;=0,"",IFERROR(H155/D155-1,"")))</f>
        <v/>
      </c>
      <c r="I156" s="15">
        <f>IF(OR(I155="",E155=""),"",IF(E155&lt;=0,"",IFERROR(I155/E155-1,"")))</f>
        <v/>
      </c>
      <c r="L156" s="15">
        <f>IF(OR(L155="",H155=""),"",IF(H155&lt;=0,"",IFERROR(L155/H155-1,"")))</f>
        <v/>
      </c>
      <c r="M156" s="15">
        <f>IF(OR(M155="",I155=""),"",IF(I155&lt;=0,"",IFERROR(M155/I155-1,"")))</f>
        <v/>
      </c>
      <c r="V156" s="15">
        <f>IF(OR(V155="",U155=""),"",IF(U155&lt;=0,"",IFERROR(V155/U155-1,"")))</f>
        <v/>
      </c>
      <c r="W156" s="15">
        <f>IF(OR(W155="",V155=""),"",IF(V155&lt;=0,"",IFERROR(W155/V155-1,"")))</f>
        <v/>
      </c>
      <c r="X156" s="15">
        <f>IF(OR(X155="",W155=""),"",IF(W155&lt;=0,"",IFERROR(X155/W155-1,"")))</f>
        <v/>
      </c>
    </row>
    <row r="157">
      <c r="A157" s="18" t="inlineStr">
        <is>
          <t>조정액 · 외부 고객 매출</t>
        </is>
      </c>
      <c r="D157" s="20" t="n">
        <v>0</v>
      </c>
      <c r="E157" s="20" t="n">
        <v>0</v>
      </c>
      <c r="H157" s="20" t="n">
        <v>0</v>
      </c>
      <c r="I157" s="20" t="n">
        <v>0</v>
      </c>
      <c r="L157" s="20" t="n">
        <v>0</v>
      </c>
      <c r="M157" s="20" t="n">
        <v>0</v>
      </c>
      <c r="V157" s="20" t="n">
        <v>0</v>
      </c>
      <c r="W157" s="20" t="n">
        <v>0</v>
      </c>
      <c r="X157" s="20" t="n">
        <v>0</v>
      </c>
    </row>
    <row r="158">
      <c r="A158" s="9" t="inlineStr">
        <is>
          <t>외부 고객 매출</t>
        </is>
      </c>
      <c r="D158" s="12" t="n">
        <v>69725</v>
      </c>
      <c r="E158" s="12" t="n">
        <v>45650</v>
      </c>
      <c r="H158" s="12" t="n">
        <v>68489</v>
      </c>
      <c r="V158" s="12" t="n">
        <v>69725</v>
      </c>
      <c r="W158" s="12" t="n">
        <v>68489</v>
      </c>
    </row>
    <row r="159">
      <c r="A159" s="43" t="inlineStr">
        <is>
          <t>YoY</t>
        </is>
      </c>
      <c r="B159" s="3" t="inlineStr">
        <is>
          <t>전년 같은 분기·전년 대비</t>
        </is>
      </c>
      <c r="H159" s="15">
        <f>IF(OR(H158="",D158=""),"",IF(D158&lt;=0,"",IFERROR(H158/D158-1,"")))</f>
        <v/>
      </c>
      <c r="V159" s="15">
        <f>IF(OR(V158="",U158=""),"",IF(U158&lt;=0,"",IFERROR(V158/U158-1,"")))</f>
        <v/>
      </c>
      <c r="W159" s="15">
        <f>IF(OR(W158="",V158=""),"",IF(V158&lt;=0,"",IFERROR(W158/V158-1,"")))</f>
        <v/>
      </c>
    </row>
    <row r="160">
      <c r="A160" s="18" t="inlineStr">
        <is>
          <t>EntityTotalMember · 외부 고객 매출</t>
        </is>
      </c>
      <c r="E160" s="20" t="n">
        <v>45650</v>
      </c>
      <c r="I160" s="20" t="n">
        <v>44422</v>
      </c>
      <c r="M160" s="20" t="n">
        <v>50333</v>
      </c>
    </row>
    <row r="161">
      <c r="A161" s="18" t="inlineStr">
        <is>
          <t>EquipmentInstallationReportableSegmentMember · 부문 간 내부매출·대체</t>
        </is>
      </c>
      <c r="D161" s="20" t="n">
        <v>1</v>
      </c>
      <c r="E161" s="20" t="n">
        <v>1</v>
      </c>
      <c r="H161" s="20" t="n">
        <v>1</v>
      </c>
      <c r="I161" s="20" t="n">
        <v>1</v>
      </c>
      <c r="L161" s="20" t="n">
        <v>0</v>
      </c>
      <c r="M161" s="20" t="n">
        <v>0</v>
      </c>
      <c r="V161" s="20" t="n">
        <v>1</v>
      </c>
      <c r="W161" s="20" t="n">
        <v>1</v>
      </c>
      <c r="X161" s="20" t="n">
        <v>0</v>
      </c>
    </row>
    <row r="162">
      <c r="A162" s="18" t="inlineStr">
        <is>
          <t>기타 · 부문 간 내부매출·대체</t>
        </is>
      </c>
      <c r="D162" s="20" t="n">
        <v>423</v>
      </c>
      <c r="E162" s="20" t="n">
        <v>419</v>
      </c>
      <c r="H162" s="20" t="n">
        <v>489</v>
      </c>
      <c r="I162" s="20" t="n">
        <v>465</v>
      </c>
      <c r="L162" s="20" t="n">
        <v>568</v>
      </c>
      <c r="M162" s="20" t="n">
        <v>498</v>
      </c>
      <c r="V162" s="20" t="n">
        <v>423</v>
      </c>
      <c r="W162" s="20" t="n">
        <v>489</v>
      </c>
      <c r="X162" s="20" t="n">
        <v>568</v>
      </c>
    </row>
    <row r="163">
      <c r="A163" s="18" t="inlineStr">
        <is>
          <t>합계 · 부문 간 내부매출·대체</t>
        </is>
      </c>
      <c r="D163" s="20" t="n">
        <v>423</v>
      </c>
      <c r="E163" s="20" t="n">
        <v>420</v>
      </c>
      <c r="H163" s="20" t="n">
        <v>490</v>
      </c>
      <c r="I163" s="20" t="n">
        <v>466</v>
      </c>
      <c r="L163" s="20" t="n">
        <v>569</v>
      </c>
      <c r="M163" s="20" t="n">
        <v>499</v>
      </c>
      <c r="V163" s="20" t="n">
        <v>423</v>
      </c>
      <c r="W163" s="20" t="n">
        <v>490</v>
      </c>
      <c r="X163" s="20" t="n">
        <v>569</v>
      </c>
    </row>
    <row r="164">
      <c r="A164" s="18" t="inlineStr">
        <is>
          <t>조정액 · 부문 간 내부매출·대체</t>
        </is>
      </c>
      <c r="D164" s="20" t="n">
        <v>-423</v>
      </c>
      <c r="E164" s="20" t="n">
        <v>-420</v>
      </c>
      <c r="H164" s="20" t="n">
        <v>-490</v>
      </c>
      <c r="I164" s="20" t="n">
        <v>-466</v>
      </c>
      <c r="L164" s="20" t="n">
        <v>-569</v>
      </c>
      <c r="M164" s="20" t="n">
        <v>-499</v>
      </c>
      <c r="V164" s="20" t="n">
        <v>-423</v>
      </c>
      <c r="W164" s="20" t="n">
        <v>-490</v>
      </c>
      <c r="X164" s="20" t="n">
        <v>-569</v>
      </c>
    </row>
    <row r="165">
      <c r="A165" s="18" t="inlineStr">
        <is>
          <t>부문 간 내부매출·대체</t>
        </is>
      </c>
      <c r="D165" s="20" t="n">
        <v>0</v>
      </c>
      <c r="E165" s="20" t="n">
        <v>0</v>
      </c>
      <c r="H165" s="20" t="n">
        <v>0</v>
      </c>
      <c r="V165" s="20" t="n">
        <v>0</v>
      </c>
      <c r="W165" s="20" t="n">
        <v>0</v>
      </c>
    </row>
    <row r="166">
      <c r="A166" s="18" t="inlineStr">
        <is>
          <t>EntityTotalMember · 부문 간 내부매출·대체</t>
        </is>
      </c>
      <c r="E166" s="20" t="n">
        <v>0</v>
      </c>
      <c r="I166" s="20" t="n">
        <v>0</v>
      </c>
      <c r="M166" s="20" t="n">
        <v>0</v>
      </c>
    </row>
    <row r="167">
      <c r="A167" s="18" t="inlineStr">
        <is>
          <t>EquipmentInstallationReportableSegmentMember · 계</t>
        </is>
      </c>
      <c r="D167" s="20" t="n">
        <v>63589</v>
      </c>
      <c r="E167" s="20" t="n">
        <v>40358</v>
      </c>
      <c r="H167" s="20" t="n">
        <v>61805</v>
      </c>
      <c r="I167" s="20" t="n">
        <v>39402</v>
      </c>
      <c r="L167" s="20" t="n">
        <v>71468</v>
      </c>
      <c r="M167" s="20" t="n">
        <v>45030</v>
      </c>
      <c r="V167" s="20" t="n">
        <v>63589</v>
      </c>
      <c r="W167" s="20" t="n">
        <v>61805</v>
      </c>
      <c r="X167" s="20" t="n">
        <v>71468</v>
      </c>
    </row>
    <row r="168">
      <c r="A168" s="43" t="inlineStr">
        <is>
          <t>YoY</t>
        </is>
      </c>
      <c r="B168" s="3" t="inlineStr">
        <is>
          <t>전년 같은 분기·전년 대비</t>
        </is>
      </c>
      <c r="H168" s="15">
        <f>IF(OR(H167="",D167=""),"",IF(D167&lt;=0,"",IFERROR(H167/D167-1,"")))</f>
        <v/>
      </c>
      <c r="I168" s="15">
        <f>IF(OR(I167="",E167=""),"",IF(E167&lt;=0,"",IFERROR(I167/E167-1,"")))</f>
        <v/>
      </c>
      <c r="L168" s="15">
        <f>IF(OR(L167="",H167=""),"",IF(H167&lt;=0,"",IFERROR(L167/H167-1,"")))</f>
        <v/>
      </c>
      <c r="M168" s="15">
        <f>IF(OR(M167="",I167=""),"",IF(I167&lt;=0,"",IFERROR(M167/I167-1,"")))</f>
        <v/>
      </c>
      <c r="V168" s="15">
        <f>IF(OR(V167="",U167=""),"",IF(U167&lt;=0,"",IFERROR(V167/U167-1,"")))</f>
        <v/>
      </c>
      <c r="W168" s="15">
        <f>IF(OR(W167="",V167=""),"",IF(V167&lt;=0,"",IFERROR(W167/V167-1,"")))</f>
        <v/>
      </c>
      <c r="X168" s="15">
        <f>IF(OR(X167="",W167=""),"",IF(W167&lt;=0,"",IFERROR(X167/W167-1,"")))</f>
        <v/>
      </c>
    </row>
    <row r="169">
      <c r="A169" s="18" t="inlineStr">
        <is>
          <t>기타 · 계</t>
        </is>
      </c>
      <c r="D169" s="20" t="n">
        <v>6559</v>
      </c>
      <c r="E169" s="20" t="n">
        <v>5713</v>
      </c>
      <c r="H169" s="20" t="n">
        <v>7176</v>
      </c>
      <c r="I169" s="20" t="n">
        <v>5487</v>
      </c>
      <c r="L169" s="20" t="n">
        <v>7383</v>
      </c>
      <c r="M169" s="20" t="n">
        <v>5803</v>
      </c>
      <c r="V169" s="20" t="n">
        <v>6559</v>
      </c>
      <c r="W169" s="20" t="n">
        <v>7176</v>
      </c>
      <c r="X169" s="20" t="n">
        <v>7383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합계 · 계</t>
        </is>
      </c>
      <c r="D171" s="20" t="n">
        <v>70148</v>
      </c>
      <c r="E171" s="20" t="n">
        <v>46071</v>
      </c>
      <c r="H171" s="20" t="n">
        <v>68980</v>
      </c>
      <c r="I171" s="20" t="n">
        <v>44889</v>
      </c>
      <c r="L171" s="20" t="n">
        <v>78851</v>
      </c>
      <c r="M171" s="20" t="n">
        <v>50833</v>
      </c>
      <c r="V171" s="20" t="n">
        <v>70148</v>
      </c>
      <c r="W171" s="20" t="n">
        <v>68980</v>
      </c>
      <c r="X171" s="20" t="n">
        <v>78851</v>
      </c>
    </row>
    <row r="172">
      <c r="A172" s="43" t="inlineStr">
        <is>
          <t>YoY</t>
        </is>
      </c>
      <c r="B172" s="3" t="inlineStr">
        <is>
          <t>전년 같은 분기·전년 대비</t>
        </is>
      </c>
      <c r="H172" s="15">
        <f>IF(OR(H171="",D171=""),"",IF(D171&lt;=0,"",IFERROR(H171/D171-1,"")))</f>
        <v/>
      </c>
      <c r="I172" s="15">
        <f>IF(OR(I171="",E171=""),"",IF(E171&lt;=0,"",IFERROR(I171/E171-1,"")))</f>
        <v/>
      </c>
      <c r="L172" s="15">
        <f>IF(OR(L171="",H171=""),"",IF(H171&lt;=0,"",IFERROR(L171/H171-1,"")))</f>
        <v/>
      </c>
      <c r="M172" s="15">
        <f>IF(OR(M171="",I171=""),"",IF(I171&lt;=0,"",IFERROR(M171/I171-1,"")))</f>
        <v/>
      </c>
      <c r="V172" s="15">
        <f>IF(OR(V171="",U171=""),"",IF(U171&lt;=0,"",IFERROR(V171/U171-1,"")))</f>
        <v/>
      </c>
      <c r="W172" s="15">
        <f>IF(OR(W171="",V171=""),"",IF(V171&lt;=0,"",IFERROR(W171/V171-1,"")))</f>
        <v/>
      </c>
      <c r="X172" s="15">
        <f>IF(OR(X171="",W171=""),"",IF(W171&lt;=0,"",IFERROR(X171/W171-1,"")))</f>
        <v/>
      </c>
    </row>
    <row r="173">
      <c r="A173" s="18" t="inlineStr">
        <is>
          <t>조정액 · 계</t>
        </is>
      </c>
      <c r="D173" s="20" t="n">
        <v>-423</v>
      </c>
      <c r="E173" s="20" t="n">
        <v>-420</v>
      </c>
      <c r="H173" s="20" t="n">
        <v>-490</v>
      </c>
      <c r="I173" s="20" t="n">
        <v>-466</v>
      </c>
      <c r="L173" s="20" t="n">
        <v>-569</v>
      </c>
      <c r="M173" s="20" t="n">
        <v>-499</v>
      </c>
      <c r="V173" s="20" t="n">
        <v>-423</v>
      </c>
      <c r="W173" s="20" t="n">
        <v>-490</v>
      </c>
      <c r="X173" s="20" t="n">
        <v>-569</v>
      </c>
    </row>
    <row r="174">
      <c r="A174" s="9" t="inlineStr">
        <is>
          <t>계</t>
        </is>
      </c>
      <c r="D174" s="12" t="n">
        <v>69725</v>
      </c>
      <c r="E174" s="12" t="n">
        <v>45650</v>
      </c>
      <c r="H174" s="12" t="n">
        <v>68489</v>
      </c>
      <c r="V174" s="12" t="n">
        <v>69725</v>
      </c>
      <c r="W174" s="12" t="n">
        <v>68489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H175" s="15">
        <f>IF(OR(H174="",D174=""),"",IF(D174&lt;=0,"",IFERROR(H174/D174-1,"")))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</row>
    <row r="176">
      <c r="A176" s="18" t="inlineStr">
        <is>
          <t>EntityTotalMember · 계</t>
        </is>
      </c>
      <c r="E176" s="20" t="n">
        <v>45650</v>
      </c>
      <c r="I176" s="20" t="n">
        <v>44422</v>
      </c>
      <c r="M176" s="20" t="n">
        <v>50333</v>
      </c>
    </row>
    <row r="177">
      <c r="A177" s="18" t="inlineStr">
        <is>
          <t>EquipmentInstallationReportableSegmentMember · 부문 이익</t>
        </is>
      </c>
      <c r="D177" s="20" t="n">
        <v>7153</v>
      </c>
      <c r="E177" s="20" t="n">
        <v>2659</v>
      </c>
      <c r="H177" s="20" t="n">
        <v>6885</v>
      </c>
      <c r="I177" s="20" t="n">
        <v>4226</v>
      </c>
      <c r="L177" s="20" t="n">
        <v>8469</v>
      </c>
      <c r="M177" s="20" t="n">
        <v>5156</v>
      </c>
      <c r="V177" s="20" t="n">
        <v>7153</v>
      </c>
      <c r="W177" s="20" t="n">
        <v>6885</v>
      </c>
      <c r="X177" s="20" t="n">
        <v>8469</v>
      </c>
    </row>
    <row r="178">
      <c r="A178" s="43" t="inlineStr">
        <is>
          <t>OPM</t>
        </is>
      </c>
      <c r="B178" s="3" t="inlineStr">
        <is>
          <t>영업이익 ÷ 매출</t>
        </is>
      </c>
      <c r="D178" s="15">
        <f>IF(OR(D177="",D167=""),"",IF(D167&lt;=0,"",IFERROR(D177/D167,"")))</f>
        <v/>
      </c>
      <c r="E178" s="15">
        <f>IF(OR(E177="",E167=""),"",IF(E167&lt;=0,"",IFERROR(E177/E167,"")))</f>
        <v/>
      </c>
      <c r="H178" s="15">
        <f>IF(OR(H177="",H167=""),"",IF(H167&lt;=0,"",IFERROR(H177/H167,"")))</f>
        <v/>
      </c>
      <c r="I178" s="15">
        <f>IF(OR(I177="",I167=""),"",IF(I167&lt;=0,"",IFERROR(I177/I167,"")))</f>
        <v/>
      </c>
      <c r="L178" s="15">
        <f>IF(OR(L177="",L167=""),"",IF(L167&lt;=0,"",IFERROR(L177/L167,"")))</f>
        <v/>
      </c>
      <c r="M178" s="15">
        <f>IF(OR(M177="",M167=""),"",IF(M167&lt;=0,"",IFERROR(M177/M167,"")))</f>
        <v/>
      </c>
      <c r="V178" s="15">
        <f>IF(OR(V177="",V167=""),"",IF(V167&lt;=0,"",IFERROR(V177/V167,"")))</f>
        <v/>
      </c>
      <c r="W178" s="15">
        <f>IF(OR(W177="",W167=""),"",IF(W167&lt;=0,"",IFERROR(W177/W167,"")))</f>
        <v/>
      </c>
      <c r="X178" s="15">
        <f>IF(OR(X177="",X167=""),"",IF(X167&lt;=0,"",IFERROR(X177/X167,"")))</f>
        <v/>
      </c>
    </row>
    <row r="179">
      <c r="A179" s="43" t="inlineStr">
        <is>
          <t>YoY</t>
        </is>
      </c>
      <c r="B179" s="3" t="inlineStr">
        <is>
          <t>전년 같은 분기·전년 대비</t>
        </is>
      </c>
      <c r="H179" s="15">
        <f>IF(OR(H177="",D177=""),"",IF(D177&lt;=0,"",IFERROR(H177/D177-1,"")))</f>
        <v/>
      </c>
      <c r="I179" s="15">
        <f>IF(OR(I177="",E177=""),"",IF(E177&lt;=0,"",IFERROR(I177/E177-1,"")))</f>
        <v/>
      </c>
      <c r="L179" s="15">
        <f>IF(OR(L177="",H177=""),"",IF(H177&lt;=0,"",IFERROR(L177/H177-1,"")))</f>
        <v/>
      </c>
      <c r="M179" s="15">
        <f>IF(OR(M177="",I177=""),"",IF(I177&lt;=0,"",IFERROR(M177/I177-1,"")))</f>
        <v/>
      </c>
      <c r="V179" s="15">
        <f>IF(OR(V177="",U177=""),"",IF(U177&lt;=0,"",IFERROR(V177/U177-1,"")))</f>
        <v/>
      </c>
      <c r="W179" s="15">
        <f>IF(OR(W177="",V177=""),"",IF(V177&lt;=0,"",IFERROR(W177/V177-1,"")))</f>
        <v/>
      </c>
      <c r="X179" s="15">
        <f>IF(OR(X177="",W177=""),"",IF(W177&lt;=0,"",IFERROR(X177/W177-1,"")))</f>
        <v/>
      </c>
    </row>
    <row r="180">
      <c r="A180" s="18" t="inlineStr">
        <is>
          <t>기타 · 부문 이익</t>
        </is>
      </c>
      <c r="D180" s="20" t="n">
        <v>151</v>
      </c>
      <c r="E180" s="20" t="n">
        <v>200</v>
      </c>
      <c r="H180" s="20" t="n">
        <v>107</v>
      </c>
      <c r="I180" s="20" t="n">
        <v>69</v>
      </c>
      <c r="L180" s="20" t="n">
        <v>162</v>
      </c>
      <c r="M180" s="20" t="n">
        <v>114</v>
      </c>
      <c r="V180" s="20" t="n">
        <v>151</v>
      </c>
      <c r="W180" s="20" t="n">
        <v>107</v>
      </c>
      <c r="X180" s="20" t="n">
        <v>162</v>
      </c>
    </row>
    <row r="181">
      <c r="A181" s="43" t="inlineStr">
        <is>
          <t>OPM</t>
        </is>
      </c>
      <c r="B181" s="3" t="inlineStr">
        <is>
          <t>영업이익 ÷ 매출</t>
        </is>
      </c>
      <c r="D181" s="15">
        <f>IF(OR(D180="",D169=""),"",IF(D169&lt;=0,"",IFERROR(D180/D169,"")))</f>
        <v/>
      </c>
      <c r="E181" s="15">
        <f>IF(OR(E180="",E169=""),"",IF(E169&lt;=0,"",IFERROR(E180/E169,"")))</f>
        <v/>
      </c>
      <c r="H181" s="15">
        <f>IF(OR(H180="",H169=""),"",IF(H169&lt;=0,"",IFERROR(H180/H169,"")))</f>
        <v/>
      </c>
      <c r="I181" s="15">
        <f>IF(OR(I180="",I169=""),"",IF(I169&lt;=0,"",IFERROR(I180/I169,"")))</f>
        <v/>
      </c>
      <c r="L181" s="15">
        <f>IF(OR(L180="",L169=""),"",IF(L169&lt;=0,"",IFERROR(L180/L169,"")))</f>
        <v/>
      </c>
      <c r="M181" s="15">
        <f>IF(OR(M180="",M169=""),"",IF(M169&lt;=0,"",IFERROR(M180/M169,"")))</f>
        <v/>
      </c>
      <c r="V181" s="15">
        <f>IF(OR(V180="",V169=""),"",IF(V169&lt;=0,"",IFERROR(V180/V169,"")))</f>
        <v/>
      </c>
      <c r="W181" s="15">
        <f>IF(OR(W180="",W169=""),"",IF(W169&lt;=0,"",IFERROR(W180/W169,"")))</f>
        <v/>
      </c>
      <c r="X181" s="15">
        <f>IF(OR(X180="",X169=""),"",IF(X169&lt;=0,"",IFERROR(X180/X169,"")))</f>
        <v/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H182" s="15">
        <f>IF(OR(H180="",D180=""),"",IF(D180&lt;=0,"",IFERROR(H180/D180-1,"")))</f>
        <v/>
      </c>
      <c r="I182" s="15">
        <f>IF(OR(I180="",E180=""),"",IF(E180&lt;=0,"",IFERROR(I180/E180-1,"")))</f>
        <v/>
      </c>
      <c r="L182" s="15">
        <f>IF(OR(L180="",H180=""),"",IF(H180&lt;=0,"",IFERROR(L180/H180-1,"")))</f>
        <v/>
      </c>
      <c r="M182" s="15">
        <f>IF(OR(M180="",I180=""),"",IF(I180&lt;=0,"",IFERROR(M180/I180-1,"")))</f>
        <v/>
      </c>
      <c r="V182" s="15">
        <f>IF(OR(V180="",U180=""),"",IF(U180&lt;=0,"",IFERROR(V180/U180-1,"")))</f>
        <v/>
      </c>
      <c r="W182" s="15">
        <f>IF(OR(W180="",V180=""),"",IF(V180&lt;=0,"",IFERROR(W180/V180-1,"")))</f>
        <v/>
      </c>
      <c r="X182" s="15">
        <f>IF(OR(X180="",W180=""),"",IF(W180&lt;=0,"",IFERROR(X180/W180-1,"")))</f>
        <v/>
      </c>
    </row>
    <row r="183">
      <c r="A183" s="18" t="inlineStr">
        <is>
          <t>합계 · 부문 이익</t>
        </is>
      </c>
      <c r="D183" s="20" t="n">
        <v>7303</v>
      </c>
      <c r="E183" s="20" t="n">
        <v>2860</v>
      </c>
      <c r="H183" s="20" t="n">
        <v>6993</v>
      </c>
      <c r="I183" s="20" t="n">
        <v>4296</v>
      </c>
      <c r="L183" s="20" t="n">
        <v>8630</v>
      </c>
      <c r="M183" s="20" t="n">
        <v>5271</v>
      </c>
      <c r="V183" s="20" t="n">
        <v>7303</v>
      </c>
      <c r="W183" s="20" t="n">
        <v>6993</v>
      </c>
      <c r="X183" s="20" t="n">
        <v>8630</v>
      </c>
    </row>
    <row r="184">
      <c r="A184" s="43" t="inlineStr">
        <is>
          <t>OPM</t>
        </is>
      </c>
      <c r="B184" s="3" t="inlineStr">
        <is>
          <t>영업이익 ÷ 매출</t>
        </is>
      </c>
      <c r="D184" s="15">
        <f>IF(OR(D183="",D171=""),"",IF(D171&lt;=0,"",IFERROR(D183/D171,"")))</f>
        <v/>
      </c>
      <c r="E184" s="15">
        <f>IF(OR(E183="",E171=""),"",IF(E171&lt;=0,"",IFERROR(E183/E171,"")))</f>
        <v/>
      </c>
      <c r="H184" s="15">
        <f>IF(OR(H183="",H171=""),"",IF(H171&lt;=0,"",IFERROR(H183/H171,"")))</f>
        <v/>
      </c>
      <c r="I184" s="15">
        <f>IF(OR(I183="",I171=""),"",IF(I171&lt;=0,"",IFERROR(I183/I171,"")))</f>
        <v/>
      </c>
      <c r="L184" s="15">
        <f>IF(OR(L183="",L171=""),"",IF(L171&lt;=0,"",IFERROR(L183/L171,"")))</f>
        <v/>
      </c>
      <c r="M184" s="15">
        <f>IF(OR(M183="",M171=""),"",IF(M171&lt;=0,"",IFERROR(M183/M171,"")))</f>
        <v/>
      </c>
      <c r="V184" s="15">
        <f>IF(OR(V183="",V171=""),"",IF(V171&lt;=0,"",IFERROR(V183/V171,"")))</f>
        <v/>
      </c>
      <c r="W184" s="15">
        <f>IF(OR(W183="",W171=""),"",IF(W171&lt;=0,"",IFERROR(W183/W171,"")))</f>
        <v/>
      </c>
      <c r="X184" s="15">
        <f>IF(OR(X183="",X171=""),"",IF(X171&lt;=0,"",IFERROR(X183/X171,"")))</f>
        <v/>
      </c>
    </row>
    <row r="185">
      <c r="A185" s="43" t="inlineStr">
        <is>
          <t>YoY</t>
        </is>
      </c>
      <c r="B185" s="3" t="inlineStr">
        <is>
          <t>전년 같은 분기·전년 대비</t>
        </is>
      </c>
      <c r="H185" s="15">
        <f>IF(OR(H183="",D183=""),"",IF(D183&lt;=0,"",IFERROR(H183/D183-1,"")))</f>
        <v/>
      </c>
      <c r="I185" s="15">
        <f>IF(OR(I183="",E183=""),"",IF(E183&lt;=0,"",IFERROR(I183/E183-1,"")))</f>
        <v/>
      </c>
      <c r="L185" s="15">
        <f>IF(OR(L183="",H183=""),"",IF(H183&lt;=0,"",IFERROR(L183/H183-1,"")))</f>
        <v/>
      </c>
      <c r="M185" s="15">
        <f>IF(OR(M183="",I183=""),"",IF(I183&lt;=0,"",IFERROR(M183/I183-1,"")))</f>
        <v/>
      </c>
      <c r="V185" s="15">
        <f>IF(OR(V183="",U183=""),"",IF(U183&lt;=0,"",IFERROR(V183/U183-1,"")))</f>
        <v/>
      </c>
      <c r="W185" s="15">
        <f>IF(OR(W183="",V183=""),"",IF(V183&lt;=0,"",IFERROR(W183/V183-1,"")))</f>
        <v/>
      </c>
      <c r="X185" s="15">
        <f>IF(OR(X183="",W183=""),"",IF(W183&lt;=0,"",IFERROR(X183/W183-1,"")))</f>
        <v/>
      </c>
    </row>
    <row r="186">
      <c r="A186" s="18" t="inlineStr">
        <is>
          <t>조정액 · 부문 이익</t>
        </is>
      </c>
      <c r="D186" s="20" t="n">
        <v>-37</v>
      </c>
      <c r="E186" s="20" t="n">
        <v>-5</v>
      </c>
      <c r="H186" s="20" t="n">
        <v>-91</v>
      </c>
      <c r="I186" s="20" t="n">
        <v>-24</v>
      </c>
      <c r="L186" s="20" t="n">
        <v>-13</v>
      </c>
      <c r="M186" s="20" t="n">
        <v>-82</v>
      </c>
      <c r="V186" s="20" t="n">
        <v>-37</v>
      </c>
      <c r="W186" s="20" t="n">
        <v>-91</v>
      </c>
      <c r="X186" s="20" t="n">
        <v>-13</v>
      </c>
    </row>
    <row r="187">
      <c r="A187" s="9" t="inlineStr">
        <is>
          <t>부문 이익</t>
        </is>
      </c>
      <c r="D187" s="12" t="n">
        <v>7266</v>
      </c>
      <c r="E187" s="12" t="n">
        <v>2854</v>
      </c>
      <c r="H187" s="12" t="n">
        <v>6902</v>
      </c>
      <c r="V187" s="12" t="n">
        <v>7266</v>
      </c>
      <c r="W187" s="12" t="n">
        <v>6902</v>
      </c>
    </row>
    <row r="188">
      <c r="A188" s="43" t="inlineStr">
        <is>
          <t>OPM</t>
        </is>
      </c>
      <c r="B188" s="3" t="inlineStr">
        <is>
          <t>영업이익 ÷ 매출</t>
        </is>
      </c>
      <c r="D188" s="15">
        <f>IF(OR(D187="",D158=""),"",IF(D158&lt;=0,"",IFERROR(D187/D158,"")))</f>
        <v/>
      </c>
      <c r="E188" s="15">
        <f>IF(OR(E187="",E158=""),"",IF(E158&lt;=0,"",IFERROR(E187/E158,"")))</f>
        <v/>
      </c>
      <c r="H188" s="15">
        <f>IF(OR(H187="",H158=""),"",IF(H158&lt;=0,"",IFERROR(H187/H158,"")))</f>
        <v/>
      </c>
      <c r="V188" s="15">
        <f>IF(OR(V187="",V158=""),"",IF(V158&lt;=0,"",IFERROR(V187/V158,"")))</f>
        <v/>
      </c>
      <c r="W188" s="15">
        <f>IF(OR(W187="",W158=""),"",IF(W158&lt;=0,"",IFERROR(W187/W158,"")))</f>
        <v/>
      </c>
    </row>
    <row r="189">
      <c r="A189" s="43" t="inlineStr">
        <is>
          <t>YoY</t>
        </is>
      </c>
      <c r="B189" s="3" t="inlineStr">
        <is>
          <t>전년 같은 분기·전년 대비</t>
        </is>
      </c>
      <c r="H189" s="15">
        <f>IF(OR(H187="",D187=""),"",IF(D187&lt;=0,"",IFERROR(H187/D187-1,"")))</f>
        <v/>
      </c>
      <c r="V189" s="15">
        <f>IF(OR(V187="",U187=""),"",IF(U187&lt;=0,"",IFERROR(V187/U187-1,"")))</f>
        <v/>
      </c>
      <c r="W189" s="15">
        <f>IF(OR(W187="",V187=""),"",IF(V187&lt;=0,"",IFERROR(W187/V187-1,"")))</f>
        <v/>
      </c>
    </row>
    <row r="190">
      <c r="A190" s="18" t="inlineStr">
        <is>
          <t>EntityTotalMember · 부문 이익</t>
        </is>
      </c>
      <c r="E190" s="20" t="n">
        <v>2854</v>
      </c>
      <c r="I190" s="20" t="n">
        <v>4271</v>
      </c>
      <c r="M190" s="20" t="n">
        <v>5189</v>
      </c>
    </row>
    <row r="192">
      <c r="A192" s="16" t="inlineStr">
        <is>
          <t>현금흐름표 · 전 항목</t>
        </is>
      </c>
      <c r="B192" s="42" t="inlineStr">
        <is>
          <t>분기 = 결산기 첫날부터 누계(공시 그대로)</t>
        </is>
      </c>
      <c r="C192" s="16" t="n"/>
      <c r="D192" s="16" t="n"/>
      <c r="E192" s="16" t="n"/>
      <c r="F192" s="16" t="n"/>
      <c r="G192" s="16" t="n"/>
      <c r="H192" s="16" t="n"/>
      <c r="I192" s="16" t="n"/>
      <c r="J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  <c r="S192" s="16" t="n"/>
      <c r="T192" s="16" t="n"/>
      <c r="U192" s="16" t="n"/>
      <c r="V192" s="16" t="n"/>
      <c r="W192" s="16" t="n"/>
      <c r="X192" s="16" t="n"/>
      <c r="Y192" s="16" t="n"/>
      <c r="Z192" s="16" t="n"/>
      <c r="AA192" s="16" t="n"/>
      <c r="AB192" s="16" t="n"/>
      <c r="AC192" s="16" t="n"/>
    </row>
    <row r="193">
      <c r="A193" s="5" t="inlineStr">
        <is>
          <t>항목</t>
        </is>
      </c>
      <c r="B193" s="5" t="inlineStr">
        <is>
          <t>참고</t>
        </is>
      </c>
      <c r="C193" s="5" t="inlineStr">
        <is>
          <t>2024.3Q</t>
        </is>
      </c>
      <c r="D193" s="5" t="inlineStr">
        <is>
          <t>2024.4Q</t>
        </is>
      </c>
      <c r="E193" s="5" t="inlineStr">
        <is>
          <t>2025.1Q</t>
        </is>
      </c>
      <c r="F193" s="5" t="inlineStr">
        <is>
          <t>2025.2Q</t>
        </is>
      </c>
      <c r="G193" s="5" t="inlineStr">
        <is>
          <t>2025.3Q</t>
        </is>
      </c>
      <c r="H193" s="5" t="inlineStr">
        <is>
          <t>2025.4Q</t>
        </is>
      </c>
      <c r="I193" s="5" t="inlineStr">
        <is>
          <t>2026.1Q</t>
        </is>
      </c>
      <c r="J193" s="5" t="inlineStr">
        <is>
          <t>2026.2Q</t>
        </is>
      </c>
      <c r="K193" s="5" t="inlineStr">
        <is>
          <t>2026.3Q</t>
        </is>
      </c>
      <c r="L193" s="5" t="inlineStr">
        <is>
          <t>2026.4Q</t>
        </is>
      </c>
      <c r="M193" s="5" t="inlineStr">
        <is>
          <t>2027.1Q</t>
        </is>
      </c>
      <c r="N193" s="5" t="inlineStr">
        <is>
          <t>2027.2Q</t>
        </is>
      </c>
      <c r="O193" s="5" t="inlineStr">
        <is>
          <t>2017</t>
        </is>
      </c>
      <c r="P193" s="5" t="inlineStr">
        <is>
          <t>2018</t>
        </is>
      </c>
      <c r="Q193" s="5" t="inlineStr">
        <is>
          <t>2019</t>
        </is>
      </c>
      <c r="R193" s="5" t="inlineStr">
        <is>
          <t>2020</t>
        </is>
      </c>
      <c r="S193" s="5" t="inlineStr">
        <is>
          <t>2021</t>
        </is>
      </c>
      <c r="T193" s="5" t="inlineStr">
        <is>
          <t>2022</t>
        </is>
      </c>
      <c r="U193" s="5" t="inlineStr">
        <is>
          <t>2023</t>
        </is>
      </c>
      <c r="V193" s="5" t="inlineStr">
        <is>
          <t>2024</t>
        </is>
      </c>
      <c r="W193" s="5" t="inlineStr">
        <is>
          <t>2025</t>
        </is>
      </c>
      <c r="X193" s="5" t="inlineStr">
        <is>
          <t>2026</t>
        </is>
      </c>
      <c r="Y193" s="5" t="inlineStr">
        <is>
          <t>2027(MW)</t>
        </is>
      </c>
      <c r="Z193" s="5" t="inlineStr">
        <is>
          <t>2028(MW)</t>
        </is>
      </c>
      <c r="AA193" s="5" t="inlineStr">
        <is>
          <t>2029(MW)</t>
        </is>
      </c>
      <c r="AB193" s="5" t="inlineStr">
        <is>
          <t>2030(MW)</t>
        </is>
      </c>
      <c r="AC193" s="5" t="inlineStr">
        <is>
          <t>2031(MW)</t>
        </is>
      </c>
    </row>
    <row r="194">
      <c r="A194" s="9" t="inlineStr">
        <is>
          <t>법인세차감전 순이익</t>
        </is>
      </c>
      <c r="D194" s="12" t="n">
        <v>12572</v>
      </c>
      <c r="H194" s="12" t="n">
        <v>22585</v>
      </c>
      <c r="L194" s="12" t="n">
        <v>26804</v>
      </c>
      <c r="O194" s="12" t="n">
        <v>13246</v>
      </c>
      <c r="P194" s="12" t="n">
        <v>11632</v>
      </c>
      <c r="Q194" s="12" t="n">
        <v>9848</v>
      </c>
      <c r="R194" s="12" t="n">
        <v>9136</v>
      </c>
      <c r="S194" s="12" t="n">
        <v>12818</v>
      </c>
      <c r="T194" s="12" t="n">
        <v>11119</v>
      </c>
      <c r="U194" s="12" t="n">
        <v>-3173</v>
      </c>
      <c r="V194" s="12" t="n">
        <v>12572</v>
      </c>
      <c r="W194" s="12" t="n">
        <v>22585</v>
      </c>
      <c r="X194" s="12" t="n">
        <v>26804</v>
      </c>
    </row>
    <row r="195">
      <c r="A195" s="18" t="inlineStr">
        <is>
          <t>감가상각비</t>
        </is>
      </c>
      <c r="D195" s="20" t="n">
        <v>3358</v>
      </c>
      <c r="H195" s="20" t="n">
        <v>3629</v>
      </c>
      <c r="L195" s="20" t="n">
        <v>3886</v>
      </c>
      <c r="O195" s="20" t="n">
        <v>2790</v>
      </c>
      <c r="P195" s="20" t="n">
        <v>2862</v>
      </c>
      <c r="Q195" s="20" t="n">
        <v>2960</v>
      </c>
      <c r="R195" s="20" t="n">
        <v>2776</v>
      </c>
      <c r="S195" s="20" t="n">
        <v>2839</v>
      </c>
      <c r="T195" s="20" t="n">
        <v>2823</v>
      </c>
      <c r="U195" s="20" t="n">
        <v>2951</v>
      </c>
      <c r="V195" s="20" t="n">
        <v>3358</v>
      </c>
      <c r="W195" s="20" t="n">
        <v>3629</v>
      </c>
      <c r="X195" s="20" t="n">
        <v>3886</v>
      </c>
    </row>
    <row r="196">
      <c r="A196" s="18" t="inlineStr">
        <is>
          <t>손상차손</t>
        </is>
      </c>
      <c r="D196" s="20" t="n">
        <v>0</v>
      </c>
      <c r="H196" s="20" t="n">
        <v>609</v>
      </c>
      <c r="L196" s="20" t="n">
        <v>0</v>
      </c>
      <c r="O196" s="20" t="n">
        <v>0</v>
      </c>
      <c r="P196" s="20" t="n">
        <v>46</v>
      </c>
      <c r="Q196" s="20" t="n">
        <v>0</v>
      </c>
      <c r="R196" s="20" t="n">
        <v>1746</v>
      </c>
      <c r="S196" s="20" t="n">
        <v>0</v>
      </c>
      <c r="V196" s="20" t="n">
        <v>0</v>
      </c>
      <c r="W196" s="20" t="n">
        <v>609</v>
      </c>
      <c r="X196" s="20" t="n">
        <v>0</v>
      </c>
    </row>
    <row r="197">
      <c r="A197" s="18" t="inlineStr">
        <is>
          <t>영업권 상각</t>
        </is>
      </c>
      <c r="D197" s="20" t="n">
        <v>640</v>
      </c>
      <c r="H197" s="20" t="n">
        <v>646</v>
      </c>
      <c r="L197" s="20" t="n">
        <v>646</v>
      </c>
      <c r="P197" s="20" t="n">
        <v>333</v>
      </c>
      <c r="Q197" s="20" t="n">
        <v>790</v>
      </c>
      <c r="R197" s="20" t="n">
        <v>645</v>
      </c>
      <c r="S197" s="20" t="n">
        <v>831</v>
      </c>
      <c r="T197" s="20" t="n">
        <v>741</v>
      </c>
      <c r="U197" s="20" t="n">
        <v>644</v>
      </c>
      <c r="V197" s="20" t="n">
        <v>640</v>
      </c>
      <c r="W197" s="20" t="n">
        <v>646</v>
      </c>
      <c r="X197" s="20" t="n">
        <v>646</v>
      </c>
    </row>
    <row r="198">
      <c r="A198" s="18" t="inlineStr">
        <is>
          <t>대손충당금 증감</t>
        </is>
      </c>
      <c r="D198" s="20" t="n">
        <v>6</v>
      </c>
      <c r="H198" s="20" t="n">
        <v>-20</v>
      </c>
      <c r="L198" s="20" t="n">
        <v>39</v>
      </c>
      <c r="O198" s="20" t="n">
        <v>-13</v>
      </c>
      <c r="P198" s="20" t="n">
        <v>-14</v>
      </c>
      <c r="Q198" s="20" t="n">
        <v>8</v>
      </c>
      <c r="R198" s="20" t="n">
        <v>40</v>
      </c>
      <c r="S198" s="20" t="n">
        <v>-52</v>
      </c>
      <c r="T198" s="20" t="n">
        <v>7</v>
      </c>
      <c r="U198" s="20" t="n">
        <v>-37</v>
      </c>
      <c r="V198" s="20" t="n">
        <v>6</v>
      </c>
      <c r="W198" s="20" t="n">
        <v>-20</v>
      </c>
      <c r="X198" s="20" t="n">
        <v>39</v>
      </c>
    </row>
    <row r="199">
      <c r="A199" s="18" t="inlineStr">
        <is>
          <t>Increase Decrease In Net Defined Benefit Asset And Liability Ope CF</t>
        </is>
      </c>
      <c r="D199" s="20" t="n">
        <v>532</v>
      </c>
      <c r="H199" s="20" t="n">
        <v>473</v>
      </c>
      <c r="L199" s="20" t="n">
        <v>-22</v>
      </c>
      <c r="O199" s="20" t="n">
        <v>1344</v>
      </c>
      <c r="P199" s="20" t="n">
        <v>1525</v>
      </c>
      <c r="Q199" s="20" t="n">
        <v>672</v>
      </c>
      <c r="R199" s="20" t="n">
        <v>511</v>
      </c>
      <c r="S199" s="20" t="n">
        <v>519</v>
      </c>
      <c r="T199" s="20" t="n">
        <v>204</v>
      </c>
      <c r="U199" s="20" t="n">
        <v>341</v>
      </c>
      <c r="V199" s="20" t="n">
        <v>532</v>
      </c>
      <c r="W199" s="20" t="n">
        <v>473</v>
      </c>
      <c r="X199" s="20" t="n">
        <v>-22</v>
      </c>
    </row>
    <row r="200">
      <c r="A200" s="18" t="inlineStr">
        <is>
          <t>관계회사 사업손실충당금 증감액(△는 감소)</t>
        </is>
      </c>
      <c r="D200" s="20" t="n">
        <v>0</v>
      </c>
      <c r="S200" s="20" t="n">
        <v>0</v>
      </c>
      <c r="T200" s="20" t="n">
        <v>31</v>
      </c>
      <c r="U200" s="20" t="n">
        <v>795</v>
      </c>
      <c r="V200" s="20" t="n">
        <v>0</v>
      </c>
    </row>
    <row r="201">
      <c r="A201" s="18" t="inlineStr">
        <is>
          <t>기타 충당금 증감</t>
        </is>
      </c>
      <c r="D201" s="20" t="n">
        <v>-243</v>
      </c>
      <c r="H201" s="20" t="n">
        <v>-20</v>
      </c>
      <c r="L201" s="20" t="n">
        <v>-106</v>
      </c>
      <c r="O201" s="20" t="n">
        <v>156</v>
      </c>
      <c r="P201" s="20" t="n">
        <v>-124</v>
      </c>
      <c r="Q201" s="20" t="n">
        <v>-55</v>
      </c>
      <c r="R201" s="20" t="n">
        <v>148</v>
      </c>
      <c r="S201" s="20" t="n">
        <v>-117</v>
      </c>
      <c r="T201" s="20" t="n">
        <v>65</v>
      </c>
      <c r="U201" s="20" t="n">
        <v>240</v>
      </c>
      <c r="V201" s="20" t="n">
        <v>-243</v>
      </c>
      <c r="W201" s="20" t="n">
        <v>-20</v>
      </c>
      <c r="X201" s="20" t="n">
        <v>-106</v>
      </c>
    </row>
    <row r="202">
      <c r="A202" s="18" t="inlineStr">
        <is>
          <t>이자·배당금 수익</t>
        </is>
      </c>
      <c r="D202" s="20" t="n">
        <v>-978</v>
      </c>
      <c r="H202" s="20" t="n">
        <v>-1163</v>
      </c>
      <c r="L202" s="20" t="n">
        <v>-1511</v>
      </c>
      <c r="O202" s="20" t="n">
        <v>-1213</v>
      </c>
      <c r="P202" s="20" t="n">
        <v>-1297</v>
      </c>
      <c r="Q202" s="20" t="n">
        <v>-1343</v>
      </c>
      <c r="R202" s="20" t="n">
        <v>-1818</v>
      </c>
      <c r="S202" s="20" t="n">
        <v>-1195</v>
      </c>
      <c r="T202" s="20" t="n">
        <v>-1118</v>
      </c>
      <c r="U202" s="20" t="n">
        <v>-957</v>
      </c>
      <c r="V202" s="20" t="n">
        <v>-978</v>
      </c>
      <c r="W202" s="20" t="n">
        <v>-1163</v>
      </c>
      <c r="X202" s="20" t="n">
        <v>-1511</v>
      </c>
    </row>
    <row r="203">
      <c r="A203" s="18" t="inlineStr">
        <is>
          <t>이자비용</t>
        </is>
      </c>
      <c r="D203" s="20" t="n">
        <v>0</v>
      </c>
      <c r="H203" s="20" t="n">
        <v>0</v>
      </c>
      <c r="L203" s="20" t="n">
        <v>0</v>
      </c>
      <c r="O203" s="20" t="n">
        <v>0</v>
      </c>
      <c r="P203" s="20" t="n">
        <v>1</v>
      </c>
      <c r="Q203" s="20" t="n">
        <v>3</v>
      </c>
      <c r="R203" s="20" t="n">
        <v>0</v>
      </c>
      <c r="S203" s="20" t="n">
        <v>0</v>
      </c>
      <c r="T203" s="20" t="n">
        <v>0</v>
      </c>
      <c r="U203" s="20" t="n">
        <v>7</v>
      </c>
      <c r="V203" s="20" t="n">
        <v>0</v>
      </c>
      <c r="W203" s="20" t="n">
        <v>0</v>
      </c>
      <c r="X203" s="20" t="n">
        <v>0</v>
      </c>
    </row>
    <row r="204">
      <c r="A204" s="18" t="inlineStr">
        <is>
          <t>외환차손익</t>
        </is>
      </c>
      <c r="D204" s="20" t="n">
        <v>635</v>
      </c>
      <c r="H204" s="20" t="n">
        <v>-112</v>
      </c>
      <c r="T204" s="20" t="n">
        <v>-12</v>
      </c>
      <c r="U204" s="20" t="n">
        <v>-610</v>
      </c>
      <c r="V204" s="20" t="n">
        <v>635</v>
      </c>
      <c r="W204" s="20" t="n">
        <v>-112</v>
      </c>
    </row>
    <row r="205">
      <c r="A205" s="18" t="inlineStr">
        <is>
          <t>지분법손익</t>
        </is>
      </c>
      <c r="D205" s="20" t="n">
        <v>294</v>
      </c>
      <c r="H205" s="20" t="n">
        <v>196</v>
      </c>
      <c r="L205" s="20" t="n">
        <v>1048</v>
      </c>
      <c r="R205" s="20" t="n">
        <v>1</v>
      </c>
      <c r="S205" s="20" t="n">
        <v>79</v>
      </c>
      <c r="T205" s="20" t="n">
        <v>151</v>
      </c>
      <c r="U205" s="20" t="n">
        <v>12565</v>
      </c>
      <c r="V205" s="20" t="n">
        <v>294</v>
      </c>
      <c r="W205" s="20" t="n">
        <v>196</v>
      </c>
      <c r="X205" s="20" t="n">
        <v>1048</v>
      </c>
    </row>
    <row r="206">
      <c r="A206" s="18" t="inlineStr">
        <is>
          <t>투자유가증권 매각손익</t>
        </is>
      </c>
      <c r="D206" s="20" t="n">
        <v>-2</v>
      </c>
      <c r="H206" s="20" t="n">
        <v>-17</v>
      </c>
      <c r="L206" s="20" t="n">
        <v>-314</v>
      </c>
      <c r="O206" s="20" t="n">
        <v>-431</v>
      </c>
      <c r="P206" s="20" t="n">
        <v>-65</v>
      </c>
      <c r="Q206" s="20" t="n">
        <v>-1829</v>
      </c>
      <c r="R206" s="20" t="n">
        <v>-1240</v>
      </c>
      <c r="S206" s="20" t="n">
        <v>-795</v>
      </c>
      <c r="T206" s="20" t="n">
        <v>-9</v>
      </c>
      <c r="U206" s="20" t="n">
        <v>-81</v>
      </c>
      <c r="V206" s="20" t="n">
        <v>-2</v>
      </c>
      <c r="W206" s="20" t="n">
        <v>-17</v>
      </c>
      <c r="X206" s="20" t="n">
        <v>-314</v>
      </c>
    </row>
    <row r="207">
      <c r="A207" s="18" t="inlineStr">
        <is>
          <t>투자유가증권 상환손익</t>
        </is>
      </c>
      <c r="D207" s="20" t="n">
        <v>0</v>
      </c>
      <c r="H207" s="20" t="n">
        <v>119</v>
      </c>
      <c r="O207" s="20" t="n">
        <v>0</v>
      </c>
      <c r="P207" s="20" t="n">
        <v>-942</v>
      </c>
      <c r="Q207" s="20" t="n">
        <v>0</v>
      </c>
      <c r="V207" s="20" t="n">
        <v>0</v>
      </c>
      <c r="W207" s="20" t="n">
        <v>119</v>
      </c>
    </row>
    <row r="208">
      <c r="A208" s="18" t="inlineStr">
        <is>
          <t>투자유가증권 평가손익</t>
        </is>
      </c>
      <c r="D208" s="20" t="n">
        <v>0</v>
      </c>
      <c r="H208" s="20" t="n">
        <v>52</v>
      </c>
      <c r="L208" s="20" t="n">
        <v>877</v>
      </c>
      <c r="O208" s="20" t="n">
        <v>1</v>
      </c>
      <c r="P208" s="20" t="n">
        <v>0</v>
      </c>
      <c r="Q208" s="20" t="n">
        <v>478</v>
      </c>
      <c r="R208" s="20" t="n">
        <v>1374</v>
      </c>
      <c r="S208" s="20" t="n">
        <v>63</v>
      </c>
      <c r="T208" s="20" t="n">
        <v>0</v>
      </c>
      <c r="V208" s="20" t="n">
        <v>0</v>
      </c>
      <c r="W208" s="20" t="n">
        <v>52</v>
      </c>
      <c r="X208" s="20" t="n">
        <v>877</v>
      </c>
    </row>
    <row r="209">
      <c r="A209" s="18" t="inlineStr">
        <is>
          <t>관계회사 주식 평가손실</t>
        </is>
      </c>
      <c r="D209" s="20" t="n">
        <v>114</v>
      </c>
      <c r="H209" s="20" t="n">
        <v>0</v>
      </c>
      <c r="O209" s="20" t="n">
        <v>0</v>
      </c>
      <c r="P209" s="20" t="n">
        <v>67</v>
      </c>
      <c r="Q209" s="20" t="n">
        <v>0</v>
      </c>
      <c r="S209" s="20" t="n">
        <v>0</v>
      </c>
      <c r="T209" s="20" t="n">
        <v>816</v>
      </c>
      <c r="U209" s="20" t="n">
        <v>487</v>
      </c>
      <c r="V209" s="20" t="n">
        <v>114</v>
      </c>
      <c r="W209" s="20" t="n">
        <v>0</v>
      </c>
    </row>
    <row r="210">
      <c r="A210" s="18" t="inlineStr">
        <is>
          <t>유형자산 처분손익</t>
        </is>
      </c>
      <c r="O210" s="20" t="n">
        <v>-952</v>
      </c>
      <c r="P210" s="20" t="n">
        <v>95</v>
      </c>
    </row>
    <row r="211">
      <c r="A211" s="18" t="inlineStr">
        <is>
          <t>고정자산 처분손익</t>
        </is>
      </c>
      <c r="D211" s="20" t="n">
        <v>56</v>
      </c>
      <c r="H211" s="20" t="n">
        <v>199</v>
      </c>
      <c r="L211" s="20" t="n">
        <v>81</v>
      </c>
      <c r="P211" s="20" t="n">
        <v>95</v>
      </c>
      <c r="Q211" s="20" t="n">
        <v>396</v>
      </c>
      <c r="R211" s="20" t="n">
        <v>177</v>
      </c>
      <c r="S211" s="20" t="n">
        <v>15</v>
      </c>
      <c r="T211" s="20" t="n">
        <v>1</v>
      </c>
      <c r="U211" s="20" t="n">
        <v>36</v>
      </c>
      <c r="V211" s="20" t="n">
        <v>56</v>
      </c>
      <c r="W211" s="20" t="n">
        <v>199</v>
      </c>
      <c r="X211" s="20" t="n">
        <v>81</v>
      </c>
    </row>
    <row r="212">
      <c r="A212" s="18" t="inlineStr">
        <is>
          <t>화해금 수령</t>
        </is>
      </c>
      <c r="R212" s="20" t="n">
        <v>0</v>
      </c>
      <c r="S212" s="20" t="n">
        <v>-200</v>
      </c>
      <c r="T212" s="20" t="n">
        <v>0</v>
      </c>
    </row>
    <row r="213">
      <c r="A213" s="18" t="inlineStr">
        <is>
          <t>매출채권 증감</t>
        </is>
      </c>
      <c r="D213" s="20" t="n">
        <v>-4129</v>
      </c>
      <c r="H213" s="20" t="n">
        <v>-543</v>
      </c>
      <c r="L213" s="20" t="n">
        <v>-1197</v>
      </c>
      <c r="O213" s="20" t="n">
        <v>-266</v>
      </c>
      <c r="P213" s="20" t="n">
        <v>-3819</v>
      </c>
      <c r="Q213" s="20" t="n">
        <v>-499</v>
      </c>
      <c r="R213" s="20" t="n">
        <v>-1950</v>
      </c>
      <c r="S213" s="20" t="n">
        <v>1390</v>
      </c>
      <c r="T213" s="20" t="n">
        <v>-8622</v>
      </c>
      <c r="U213" s="20" t="n">
        <v>-518</v>
      </c>
      <c r="V213" s="20" t="n">
        <v>-4129</v>
      </c>
      <c r="W213" s="20" t="n">
        <v>-543</v>
      </c>
      <c r="X213" s="20" t="n">
        <v>-1197</v>
      </c>
    </row>
    <row r="214">
      <c r="A214" s="18" t="inlineStr">
        <is>
          <t>미성공사 지출금 증감액</t>
        </is>
      </c>
      <c r="D214" s="20" t="n">
        <v>1141</v>
      </c>
      <c r="H214" s="20" t="n">
        <v>-195</v>
      </c>
      <c r="L214" s="20" t="n">
        <v>388</v>
      </c>
      <c r="O214" s="20" t="n">
        <v>-1332</v>
      </c>
      <c r="P214" s="20" t="n">
        <v>-1506</v>
      </c>
      <c r="Q214" s="20" t="n">
        <v>2273</v>
      </c>
      <c r="R214" s="20" t="n">
        <v>-192</v>
      </c>
      <c r="S214" s="20" t="n">
        <v>-338</v>
      </c>
      <c r="T214" s="20" t="n">
        <v>-804</v>
      </c>
      <c r="U214" s="20" t="n">
        <v>-1013</v>
      </c>
      <c r="V214" s="20" t="n">
        <v>1141</v>
      </c>
      <c r="W214" s="20" t="n">
        <v>-195</v>
      </c>
      <c r="X214" s="20" t="n">
        <v>388</v>
      </c>
    </row>
    <row r="215">
      <c r="A215" s="18" t="inlineStr">
        <is>
          <t>매입채무 증감</t>
        </is>
      </c>
      <c r="D215" s="20" t="n">
        <v>2521</v>
      </c>
      <c r="H215" s="20" t="n">
        <v>-715</v>
      </c>
      <c r="L215" s="20" t="n">
        <v>-2204</v>
      </c>
      <c r="O215" s="20" t="n">
        <v>-745</v>
      </c>
      <c r="P215" s="20" t="n">
        <v>-1515</v>
      </c>
      <c r="Q215" s="20" t="n">
        <v>-559</v>
      </c>
      <c r="R215" s="20" t="n">
        <v>3791</v>
      </c>
      <c r="S215" s="20" t="n">
        <v>-1666</v>
      </c>
      <c r="T215" s="20" t="n">
        <v>4638</v>
      </c>
      <c r="U215" s="20" t="n">
        <v>-2886</v>
      </c>
      <c r="V215" s="20" t="n">
        <v>2521</v>
      </c>
      <c r="W215" s="20" t="n">
        <v>-715</v>
      </c>
      <c r="X215" s="20" t="n">
        <v>-2204</v>
      </c>
    </row>
    <row r="216">
      <c r="A216" s="18" t="inlineStr">
        <is>
          <t>미성공사 선수금 증감(△는 감소)</t>
        </is>
      </c>
      <c r="D216" s="20" t="n">
        <v>-594</v>
      </c>
      <c r="H216" s="20" t="n">
        <v>818</v>
      </c>
      <c r="L216" s="20" t="n">
        <v>1136</v>
      </c>
      <c r="O216" s="20" t="n">
        <v>-28</v>
      </c>
      <c r="P216" s="20" t="n">
        <v>1953</v>
      </c>
      <c r="Q216" s="20" t="n">
        <v>-1348</v>
      </c>
      <c r="R216" s="20" t="n">
        <v>-390</v>
      </c>
      <c r="S216" s="20" t="n">
        <v>-81</v>
      </c>
      <c r="T216" s="20" t="n">
        <v>-214</v>
      </c>
      <c r="U216" s="20" t="n">
        <v>2006</v>
      </c>
      <c r="V216" s="20" t="n">
        <v>-594</v>
      </c>
      <c r="W216" s="20" t="n">
        <v>818</v>
      </c>
      <c r="X216" s="20" t="n">
        <v>1136</v>
      </c>
    </row>
    <row r="217">
      <c r="A217" s="18" t="inlineStr">
        <is>
          <t>기타</t>
        </is>
      </c>
      <c r="D217" s="20" t="n">
        <v>297</v>
      </c>
      <c r="H217" s="20" t="n">
        <v>653</v>
      </c>
      <c r="L217" s="20" t="n">
        <v>107</v>
      </c>
      <c r="O217" s="20" t="n">
        <v>216</v>
      </c>
      <c r="P217" s="20" t="n">
        <v>-284</v>
      </c>
      <c r="Q217" s="20" t="n">
        <v>325</v>
      </c>
      <c r="R217" s="20" t="n">
        <v>-654</v>
      </c>
      <c r="S217" s="20" t="n">
        <v>-890</v>
      </c>
      <c r="T217" s="20" t="n">
        <v>1047</v>
      </c>
      <c r="U217" s="20" t="n">
        <v>-1809</v>
      </c>
      <c r="V217" s="20" t="n">
        <v>297</v>
      </c>
      <c r="W217" s="20" t="n">
        <v>653</v>
      </c>
      <c r="X217" s="20" t="n">
        <v>107</v>
      </c>
    </row>
    <row r="218">
      <c r="A218" s="18" t="inlineStr">
        <is>
          <t>소계</t>
        </is>
      </c>
      <c r="D218" s="20" t="n">
        <v>16224</v>
      </c>
      <c r="H218" s="20" t="n">
        <v>27189</v>
      </c>
      <c r="L218" s="20" t="n">
        <v>29660</v>
      </c>
      <c r="O218" s="20" t="n">
        <v>12773</v>
      </c>
      <c r="P218" s="20" t="n">
        <v>8947</v>
      </c>
      <c r="Q218" s="20" t="n">
        <v>12121</v>
      </c>
      <c r="R218" s="20" t="n">
        <v>14102</v>
      </c>
      <c r="S218" s="20" t="n">
        <v>13218</v>
      </c>
      <c r="T218" s="20" t="n">
        <v>10868</v>
      </c>
      <c r="U218" s="20" t="n">
        <v>8988</v>
      </c>
      <c r="V218" s="20" t="n">
        <v>16224</v>
      </c>
      <c r="W218" s="20" t="n">
        <v>27189</v>
      </c>
      <c r="X218" s="20" t="n">
        <v>29660</v>
      </c>
    </row>
    <row r="219">
      <c r="A219" s="18" t="inlineStr">
        <is>
          <t>이자·배당금 수취</t>
        </is>
      </c>
      <c r="D219" s="20" t="n">
        <v>1099</v>
      </c>
      <c r="H219" s="20" t="n">
        <v>1258</v>
      </c>
      <c r="L219" s="20" t="n">
        <v>1403</v>
      </c>
      <c r="O219" s="20" t="n">
        <v>1381</v>
      </c>
      <c r="P219" s="20" t="n">
        <v>1478</v>
      </c>
      <c r="Q219" s="20" t="n">
        <v>1492</v>
      </c>
      <c r="R219" s="20" t="n">
        <v>1961</v>
      </c>
      <c r="S219" s="20" t="n">
        <v>1388</v>
      </c>
      <c r="T219" s="20" t="n">
        <v>1277</v>
      </c>
      <c r="U219" s="20" t="n">
        <v>1111</v>
      </c>
      <c r="V219" s="20" t="n">
        <v>1099</v>
      </c>
      <c r="W219" s="20" t="n">
        <v>1258</v>
      </c>
      <c r="X219" s="20" t="n">
        <v>1403</v>
      </c>
    </row>
    <row r="220">
      <c r="A220" s="18" t="inlineStr">
        <is>
          <t>이자 지급</t>
        </is>
      </c>
      <c r="D220" s="20" t="n">
        <v>-0</v>
      </c>
      <c r="H220" s="20" t="n">
        <v>-0</v>
      </c>
      <c r="L220" s="20" t="n">
        <v>0</v>
      </c>
      <c r="O220" s="20" t="n">
        <v>-0</v>
      </c>
      <c r="P220" s="20" t="n">
        <v>-1</v>
      </c>
      <c r="Q220" s="20" t="n">
        <v>-3</v>
      </c>
      <c r="R220" s="20" t="n">
        <v>-0</v>
      </c>
      <c r="S220" s="20" t="n">
        <v>-0</v>
      </c>
      <c r="T220" s="20" t="n">
        <v>-0</v>
      </c>
      <c r="U220" s="20" t="n">
        <v>-7</v>
      </c>
      <c r="V220" s="20" t="n">
        <v>-0</v>
      </c>
      <c r="W220" s="20" t="n">
        <v>-0</v>
      </c>
      <c r="X220" s="20" t="n">
        <v>0</v>
      </c>
    </row>
    <row r="221">
      <c r="A221" s="18" t="inlineStr">
        <is>
          <t>화해금 수취액</t>
        </is>
      </c>
      <c r="R221" s="20" t="n">
        <v>0</v>
      </c>
      <c r="S221" s="20" t="n">
        <v>200</v>
      </c>
      <c r="T221" s="20" t="n">
        <v>0</v>
      </c>
    </row>
    <row r="222">
      <c r="A222" s="18" t="inlineStr">
        <is>
          <t>법인세 납부</t>
        </is>
      </c>
      <c r="D222" s="20" t="n">
        <v>-3602</v>
      </c>
      <c r="H222" s="20" t="n">
        <v>-5692</v>
      </c>
      <c r="L222" s="20" t="n">
        <v>-1917</v>
      </c>
      <c r="O222" s="20" t="n">
        <v>-3435</v>
      </c>
      <c r="P222" s="20" t="n">
        <v>-3724</v>
      </c>
      <c r="Q222" s="20" t="n">
        <v>-3484</v>
      </c>
      <c r="R222" s="20" t="n">
        <v>-4227</v>
      </c>
      <c r="S222" s="20" t="n">
        <v>-5690</v>
      </c>
      <c r="T222" s="20" t="n">
        <v>-4177</v>
      </c>
      <c r="U222" s="20" t="n">
        <v>-3910</v>
      </c>
      <c r="V222" s="20" t="n">
        <v>-3602</v>
      </c>
      <c r="W222" s="20" t="n">
        <v>-5692</v>
      </c>
      <c r="X222" s="20" t="n">
        <v>-1917</v>
      </c>
    </row>
    <row r="223">
      <c r="A223" s="9" t="inlineStr">
        <is>
          <t>영업활동 현금흐름</t>
        </is>
      </c>
      <c r="D223" s="12" t="n">
        <v>13721</v>
      </c>
      <c r="H223" s="12" t="n">
        <v>22754</v>
      </c>
      <c r="L223" s="12" t="n">
        <v>29146</v>
      </c>
      <c r="O223" s="12" t="n">
        <v>10719</v>
      </c>
      <c r="P223" s="12" t="n">
        <v>6700</v>
      </c>
      <c r="Q223" s="12" t="n">
        <v>10126</v>
      </c>
      <c r="R223" s="12" t="n">
        <v>11835</v>
      </c>
      <c r="S223" s="12" t="n">
        <v>9116</v>
      </c>
      <c r="T223" s="12" t="n">
        <v>7968</v>
      </c>
      <c r="U223" s="12" t="n">
        <v>6181</v>
      </c>
      <c r="V223" s="12" t="n">
        <v>13721</v>
      </c>
      <c r="W223" s="12" t="n">
        <v>22754</v>
      </c>
      <c r="X223" s="12" t="n">
        <v>29146</v>
      </c>
    </row>
    <row r="224">
      <c r="A224" s="18" t="inlineStr">
        <is>
          <t>정기예금 예입</t>
        </is>
      </c>
      <c r="D224" s="20" t="n">
        <v>-209</v>
      </c>
      <c r="H224" s="20" t="n">
        <v>-702</v>
      </c>
      <c r="L224" s="20" t="n">
        <v>-403</v>
      </c>
      <c r="O224" s="20" t="n">
        <v>-1831</v>
      </c>
      <c r="P224" s="20" t="n">
        <v>-157</v>
      </c>
      <c r="Q224" s="20" t="n">
        <v>-199</v>
      </c>
      <c r="R224" s="20" t="n">
        <v>-1106</v>
      </c>
      <c r="S224" s="20" t="n">
        <v>-378</v>
      </c>
      <c r="T224" s="20" t="n">
        <v>-768</v>
      </c>
      <c r="U224" s="20" t="n">
        <v>-419</v>
      </c>
      <c r="V224" s="20" t="n">
        <v>-209</v>
      </c>
      <c r="W224" s="20" t="n">
        <v>-702</v>
      </c>
      <c r="X224" s="20" t="n">
        <v>-403</v>
      </c>
    </row>
    <row r="225">
      <c r="A225" s="18" t="inlineStr">
        <is>
          <t>정기예금 인출</t>
        </is>
      </c>
      <c r="D225" s="20" t="n">
        <v>317</v>
      </c>
      <c r="H225" s="20" t="n">
        <v>675</v>
      </c>
      <c r="L225" s="20" t="n">
        <v>138</v>
      </c>
      <c r="O225" s="20" t="n">
        <v>4927</v>
      </c>
      <c r="P225" s="20" t="n">
        <v>1533</v>
      </c>
      <c r="Q225" s="20" t="n">
        <v>179</v>
      </c>
      <c r="R225" s="20" t="n">
        <v>688</v>
      </c>
      <c r="S225" s="20" t="n">
        <v>120</v>
      </c>
      <c r="T225" s="20" t="n">
        <v>985</v>
      </c>
      <c r="U225" s="20" t="n">
        <v>978</v>
      </c>
      <c r="V225" s="20" t="n">
        <v>317</v>
      </c>
      <c r="W225" s="20" t="n">
        <v>675</v>
      </c>
      <c r="X225" s="20" t="n">
        <v>138</v>
      </c>
    </row>
    <row r="226">
      <c r="A226" s="18" t="inlineStr">
        <is>
          <t>유형자산 취득(설비투자)</t>
        </is>
      </c>
      <c r="D226" s="20" t="n">
        <v>-3377</v>
      </c>
      <c r="H226" s="20" t="n">
        <v>-5534</v>
      </c>
      <c r="L226" s="20" t="n">
        <v>-4537</v>
      </c>
      <c r="O226" s="20" t="n">
        <v>-2672</v>
      </c>
      <c r="P226" s="20" t="n">
        <v>-3735</v>
      </c>
      <c r="Q226" s="20" t="n">
        <v>-2810</v>
      </c>
      <c r="R226" s="20" t="n">
        <v>-2147</v>
      </c>
      <c r="S226" s="20" t="n">
        <v>-1470</v>
      </c>
      <c r="T226" s="20" t="n">
        <v>-1666</v>
      </c>
      <c r="U226" s="20" t="n">
        <v>-4080</v>
      </c>
      <c r="V226" s="20" t="n">
        <v>-3377</v>
      </c>
      <c r="W226" s="20" t="n">
        <v>-5534</v>
      </c>
      <c r="X226" s="20" t="n">
        <v>-4537</v>
      </c>
    </row>
    <row r="227">
      <c r="A227" s="18" t="inlineStr">
        <is>
          <t>유형자산 매각</t>
        </is>
      </c>
      <c r="D227" s="20" t="n">
        <v>5</v>
      </c>
      <c r="H227" s="20" t="n">
        <v>177</v>
      </c>
      <c r="L227" s="20" t="n">
        <v>70</v>
      </c>
      <c r="O227" s="20" t="n">
        <v>1080</v>
      </c>
      <c r="P227" s="20" t="n">
        <v>378</v>
      </c>
      <c r="Q227" s="20" t="n">
        <v>69</v>
      </c>
      <c r="R227" s="20" t="n">
        <v>46</v>
      </c>
      <c r="S227" s="20" t="n">
        <v>18</v>
      </c>
      <c r="T227" s="20" t="n">
        <v>37</v>
      </c>
      <c r="U227" s="20" t="n">
        <v>27</v>
      </c>
      <c r="V227" s="20" t="n">
        <v>5</v>
      </c>
      <c r="W227" s="20" t="n">
        <v>177</v>
      </c>
      <c r="X227" s="20" t="n">
        <v>70</v>
      </c>
    </row>
    <row r="228">
      <c r="A228" s="18" t="inlineStr">
        <is>
          <t>투자유가증권 취득</t>
        </is>
      </c>
      <c r="D228" s="20" t="n">
        <v>-9496</v>
      </c>
      <c r="H228" s="20" t="n">
        <v>-12723</v>
      </c>
      <c r="L228" s="20" t="n">
        <v>-7493</v>
      </c>
      <c r="O228" s="20" t="n">
        <v>-12782</v>
      </c>
      <c r="P228" s="20" t="n">
        <v>-13979</v>
      </c>
      <c r="Q228" s="20" t="n">
        <v>-37041</v>
      </c>
      <c r="R228" s="20" t="n">
        <v>-20627</v>
      </c>
      <c r="S228" s="20" t="n">
        <v>-905</v>
      </c>
      <c r="T228" s="20" t="n">
        <v>-7348</v>
      </c>
      <c r="U228" s="20" t="n">
        <v>-2242</v>
      </c>
      <c r="V228" s="20" t="n">
        <v>-9496</v>
      </c>
      <c r="W228" s="20" t="n">
        <v>-12723</v>
      </c>
      <c r="X228" s="20" t="n">
        <v>-7493</v>
      </c>
    </row>
    <row r="229">
      <c r="A229" s="18" t="inlineStr">
        <is>
          <t>투자유가증권 매각·상환 수입</t>
        </is>
      </c>
      <c r="D229" s="20" t="n">
        <v>7370</v>
      </c>
      <c r="H229" s="20" t="n">
        <v>7102</v>
      </c>
      <c r="L229" s="20" t="n">
        <v>13709</v>
      </c>
      <c r="O229" s="20" t="n">
        <v>11555</v>
      </c>
      <c r="P229" s="20" t="n">
        <v>12092</v>
      </c>
      <c r="Q229" s="20" t="n">
        <v>13443</v>
      </c>
      <c r="R229" s="20" t="n">
        <v>19692</v>
      </c>
      <c r="S229" s="20" t="n">
        <v>9537</v>
      </c>
      <c r="T229" s="20" t="n">
        <v>5453</v>
      </c>
      <c r="U229" s="20" t="n">
        <v>11800</v>
      </c>
      <c r="V229" s="20" t="n">
        <v>7370</v>
      </c>
      <c r="W229" s="20" t="n">
        <v>7102</v>
      </c>
      <c r="X229" s="20" t="n">
        <v>13709</v>
      </c>
    </row>
    <row r="230">
      <c r="A230" s="18" t="inlineStr">
        <is>
          <t>Proceeds From Sales Of Money Held In Trust Inv CF</t>
        </is>
      </c>
      <c r="P230" s="20" t="n">
        <v>0</v>
      </c>
      <c r="Q230" s="20" t="n">
        <v>983</v>
      </c>
      <c r="R230" s="20" t="n">
        <v>0</v>
      </c>
    </row>
    <row r="231">
      <c r="A231" s="18" t="inlineStr">
        <is>
          <t>연결범위 변경 자회사 주식 취득</t>
        </is>
      </c>
      <c r="O231" s="20" t="n">
        <v>-1306</v>
      </c>
      <c r="P231" s="20" t="n">
        <v>-2384</v>
      </c>
      <c r="Q231" s="20" t="n">
        <v>0</v>
      </c>
      <c r="R231" s="20" t="n">
        <v>-11625</v>
      </c>
      <c r="S231" s="20" t="n">
        <v>0</v>
      </c>
    </row>
    <row r="232">
      <c r="A232" s="18" t="inlineStr">
        <is>
          <t>대여</t>
        </is>
      </c>
      <c r="D232" s="20" t="n">
        <v>-2</v>
      </c>
      <c r="H232" s="20" t="n">
        <v>-7</v>
      </c>
      <c r="L232" s="20" t="n">
        <v>-7946</v>
      </c>
      <c r="O232" s="20" t="n">
        <v>-17</v>
      </c>
      <c r="P232" s="20" t="n">
        <v>-10</v>
      </c>
      <c r="Q232" s="20" t="n">
        <v>-7</v>
      </c>
      <c r="R232" s="20" t="n">
        <v>-5006</v>
      </c>
      <c r="S232" s="20" t="n">
        <v>-4</v>
      </c>
      <c r="T232" s="20" t="n">
        <v>-36</v>
      </c>
      <c r="U232" s="20" t="n">
        <v>-2</v>
      </c>
      <c r="V232" s="20" t="n">
        <v>-2</v>
      </c>
      <c r="W232" s="20" t="n">
        <v>-7</v>
      </c>
      <c r="X232" s="20" t="n">
        <v>-7946</v>
      </c>
    </row>
    <row r="233">
      <c r="A233" s="18" t="inlineStr">
        <is>
          <t>대여금 회수</t>
        </is>
      </c>
      <c r="D233" s="20" t="n">
        <v>3</v>
      </c>
      <c r="H233" s="20" t="n">
        <v>6</v>
      </c>
      <c r="L233" s="20" t="n">
        <v>8</v>
      </c>
      <c r="O233" s="20" t="n">
        <v>193</v>
      </c>
      <c r="P233" s="20" t="n">
        <v>192</v>
      </c>
      <c r="Q233" s="20" t="n">
        <v>429</v>
      </c>
      <c r="R233" s="20" t="n">
        <v>5012</v>
      </c>
      <c r="S233" s="20" t="n">
        <v>15</v>
      </c>
      <c r="T233" s="20" t="n">
        <v>8</v>
      </c>
      <c r="U233" s="20" t="n">
        <v>17</v>
      </c>
      <c r="V233" s="20" t="n">
        <v>3</v>
      </c>
      <c r="W233" s="20" t="n">
        <v>6</v>
      </c>
      <c r="X233" s="20" t="n">
        <v>8</v>
      </c>
    </row>
    <row r="234">
      <c r="A234" s="18" t="inlineStr">
        <is>
          <t>기타</t>
        </is>
      </c>
      <c r="D234" s="20" t="n">
        <v>-709</v>
      </c>
      <c r="H234" s="20" t="n">
        <v>-517</v>
      </c>
      <c r="L234" s="20" t="n">
        <v>-632</v>
      </c>
      <c r="O234" s="20" t="n">
        <v>-378</v>
      </c>
      <c r="P234" s="20" t="n">
        <v>-428</v>
      </c>
      <c r="Q234" s="20" t="n">
        <v>-606</v>
      </c>
      <c r="R234" s="20" t="n">
        <v>-651</v>
      </c>
      <c r="S234" s="20" t="n">
        <v>-589</v>
      </c>
      <c r="T234" s="20" t="n">
        <v>-992</v>
      </c>
      <c r="U234" s="20" t="n">
        <v>-1235</v>
      </c>
      <c r="V234" s="20" t="n">
        <v>-709</v>
      </c>
      <c r="W234" s="20" t="n">
        <v>-517</v>
      </c>
      <c r="X234" s="20" t="n">
        <v>-632</v>
      </c>
    </row>
    <row r="235">
      <c r="A235" s="9" t="inlineStr">
        <is>
          <t>투자활동 현금흐름</t>
        </is>
      </c>
      <c r="D235" s="12" t="n">
        <v>-6098</v>
      </c>
      <c r="H235" s="12" t="n">
        <v>-11525</v>
      </c>
      <c r="L235" s="12" t="n">
        <v>-7086</v>
      </c>
      <c r="O235" s="12" t="n">
        <v>-1231</v>
      </c>
      <c r="P235" s="12" t="n">
        <v>-6499</v>
      </c>
      <c r="Q235" s="12" t="n">
        <v>-25559</v>
      </c>
      <c r="R235" s="12" t="n">
        <v>-15725</v>
      </c>
      <c r="S235" s="12" t="n">
        <v>6344</v>
      </c>
      <c r="T235" s="12" t="n">
        <v>-4326</v>
      </c>
      <c r="U235" s="12" t="n">
        <v>4843</v>
      </c>
      <c r="V235" s="12" t="n">
        <v>-6098</v>
      </c>
      <c r="W235" s="12" t="n">
        <v>-11525</v>
      </c>
      <c r="X235" s="12" t="n">
        <v>-7086</v>
      </c>
    </row>
    <row r="236">
      <c r="A236" s="18" t="inlineStr">
        <is>
          <t>단기차입금 순증감</t>
        </is>
      </c>
      <c r="O236" s="20" t="n">
        <v>-43</v>
      </c>
      <c r="P236" s="20" t="n">
        <v>-17</v>
      </c>
      <c r="Q236" s="20" t="n">
        <v>1500</v>
      </c>
      <c r="R236" s="20" t="n">
        <v>-1387</v>
      </c>
      <c r="S236" s="20" t="n">
        <v>-130</v>
      </c>
      <c r="T236" s="20" t="n">
        <v>0</v>
      </c>
    </row>
    <row r="237">
      <c r="A237" s="18" t="inlineStr">
        <is>
          <t>장기차입</t>
        </is>
      </c>
      <c r="O237" s="20" t="n">
        <v>600</v>
      </c>
      <c r="P237" s="20" t="n">
        <v>0</v>
      </c>
      <c r="Q237" s="20" t="n">
        <v>0</v>
      </c>
      <c r="R237" s="20" t="n">
        <v>900</v>
      </c>
      <c r="S237" s="20" t="n">
        <v>0</v>
      </c>
    </row>
    <row r="238">
      <c r="A238" s="18" t="inlineStr">
        <is>
          <t>장기차입금 상환</t>
        </is>
      </c>
      <c r="D238" s="20" t="n">
        <v>0</v>
      </c>
      <c r="O238" s="20" t="n">
        <v>-188</v>
      </c>
      <c r="P238" s="20" t="n">
        <v>-350</v>
      </c>
      <c r="Q238" s="20" t="n">
        <v>-353</v>
      </c>
      <c r="R238" s="20" t="n">
        <v>-21</v>
      </c>
      <c r="S238" s="20" t="n">
        <v>-353</v>
      </c>
      <c r="T238" s="20" t="n">
        <v>-399</v>
      </c>
      <c r="U238" s="20" t="n">
        <v>-133</v>
      </c>
      <c r="V238" s="20" t="n">
        <v>0</v>
      </c>
    </row>
    <row r="239">
      <c r="A239" s="18" t="inlineStr">
        <is>
          <t>리스부채 상환</t>
        </is>
      </c>
      <c r="D239" s="20" t="n">
        <v>-125</v>
      </c>
      <c r="H239" s="20" t="n">
        <v>-125</v>
      </c>
      <c r="L239" s="20" t="n">
        <v>-162</v>
      </c>
      <c r="O239" s="20" t="n">
        <v>-242</v>
      </c>
      <c r="P239" s="20" t="n">
        <v>-223</v>
      </c>
      <c r="Q239" s="20" t="n">
        <v>-210</v>
      </c>
      <c r="R239" s="20" t="n">
        <v>-184</v>
      </c>
      <c r="S239" s="20" t="n">
        <v>-177</v>
      </c>
      <c r="T239" s="20" t="n">
        <v>-162</v>
      </c>
      <c r="U239" s="20" t="n">
        <v>-151</v>
      </c>
      <c r="V239" s="20" t="n">
        <v>-125</v>
      </c>
      <c r="W239" s="20" t="n">
        <v>-125</v>
      </c>
      <c r="X239" s="20" t="n">
        <v>-162</v>
      </c>
    </row>
    <row r="240">
      <c r="A240" s="18" t="inlineStr">
        <is>
          <t>자기주식 취득</t>
        </is>
      </c>
      <c r="D240" s="20" t="n">
        <v>-1462</v>
      </c>
      <c r="H240" s="20" t="n">
        <v>-1416</v>
      </c>
      <c r="L240" s="20" t="n">
        <v>-6029</v>
      </c>
      <c r="O240" s="20" t="n">
        <v>-5526</v>
      </c>
      <c r="P240" s="20" t="n">
        <v>-19</v>
      </c>
      <c r="Q240" s="20" t="n">
        <v>-1329</v>
      </c>
      <c r="R240" s="20" t="n">
        <v>-901</v>
      </c>
      <c r="S240" s="20" t="n">
        <v>-981</v>
      </c>
      <c r="T240" s="20" t="n">
        <v>-1359</v>
      </c>
      <c r="U240" s="20" t="n">
        <v>-830</v>
      </c>
      <c r="V240" s="20" t="n">
        <v>-1462</v>
      </c>
      <c r="W240" s="20" t="n">
        <v>-1416</v>
      </c>
      <c r="X240" s="20" t="n">
        <v>-6029</v>
      </c>
    </row>
    <row r="241">
      <c r="A241" s="18" t="inlineStr">
        <is>
          <t>자기주식 매각</t>
        </is>
      </c>
      <c r="D241" s="20" t="n">
        <v>0</v>
      </c>
      <c r="H241" s="20" t="n">
        <v>0</v>
      </c>
      <c r="L241" s="20" t="n">
        <v>0</v>
      </c>
      <c r="O241" s="20" t="n">
        <v>705</v>
      </c>
      <c r="P241" s="20" t="n">
        <v>231</v>
      </c>
      <c r="Q241" s="20" t="n">
        <v>286</v>
      </c>
      <c r="R241" s="20" t="n">
        <v>1021</v>
      </c>
      <c r="S241" s="20" t="n">
        <v>322</v>
      </c>
      <c r="T241" s="20" t="n">
        <v>382</v>
      </c>
      <c r="U241" s="20" t="n">
        <v>119</v>
      </c>
      <c r="V241" s="20" t="n">
        <v>0</v>
      </c>
      <c r="W241" s="20" t="n">
        <v>0</v>
      </c>
      <c r="X241" s="20" t="n">
        <v>0</v>
      </c>
    </row>
    <row r="242">
      <c r="A242" s="18" t="inlineStr">
        <is>
          <t>배당금 지급</t>
        </is>
      </c>
      <c r="D242" s="20" t="n">
        <v>-5699</v>
      </c>
      <c r="H242" s="20" t="n">
        <v>-6072</v>
      </c>
      <c r="L242" s="20" t="n">
        <v>-6769</v>
      </c>
      <c r="O242" s="20" t="n">
        <v>-4494</v>
      </c>
      <c r="P242" s="20" t="n">
        <v>-4659</v>
      </c>
      <c r="Q242" s="20" t="n">
        <v>-5560</v>
      </c>
      <c r="R242" s="20" t="n">
        <v>-5790</v>
      </c>
      <c r="S242" s="20" t="n">
        <v>-5812</v>
      </c>
      <c r="T242" s="20" t="n">
        <v>-5764</v>
      </c>
      <c r="U242" s="20" t="n">
        <v>-5737</v>
      </c>
      <c r="V242" s="20" t="n">
        <v>-5699</v>
      </c>
      <c r="W242" s="20" t="n">
        <v>-6072</v>
      </c>
      <c r="X242" s="20" t="n">
        <v>-6769</v>
      </c>
    </row>
    <row r="243">
      <c r="A243" s="18" t="inlineStr">
        <is>
          <t>비지배주주 배당금 지급</t>
        </is>
      </c>
      <c r="D243" s="20" t="n">
        <v>-28</v>
      </c>
      <c r="H243" s="20" t="n">
        <v>-28</v>
      </c>
      <c r="L243" s="20" t="n">
        <v>-32</v>
      </c>
      <c r="O243" s="20" t="n">
        <v>-18</v>
      </c>
      <c r="P243" s="20" t="n">
        <v>-18</v>
      </c>
      <c r="Q243" s="20" t="n">
        <v>-45</v>
      </c>
      <c r="R243" s="20" t="n">
        <v>-73</v>
      </c>
      <c r="S243" s="20" t="n">
        <v>-48</v>
      </c>
      <c r="T243" s="20" t="n">
        <v>-28</v>
      </c>
      <c r="U243" s="20" t="n">
        <v>-28</v>
      </c>
      <c r="V243" s="20" t="n">
        <v>-28</v>
      </c>
      <c r="W243" s="20" t="n">
        <v>-28</v>
      </c>
      <c r="X243" s="20" t="n">
        <v>-32</v>
      </c>
    </row>
    <row r="244">
      <c r="A244" s="18" t="inlineStr">
        <is>
          <t>연결범위 변경 없는 자회사 주식 취득</t>
        </is>
      </c>
      <c r="D244" s="20" t="n">
        <v>0</v>
      </c>
      <c r="S244" s="20" t="n">
        <v>0</v>
      </c>
      <c r="T244" s="20" t="n">
        <v>-1185</v>
      </c>
      <c r="U244" s="20" t="n">
        <v>-750</v>
      </c>
      <c r="V244" s="20" t="n">
        <v>0</v>
      </c>
    </row>
    <row r="245">
      <c r="A245" s="9" t="inlineStr">
        <is>
          <t>재무활동 현금흐름</t>
        </is>
      </c>
      <c r="D245" s="12" t="n">
        <v>-7316</v>
      </c>
      <c r="H245" s="12" t="n">
        <v>-7643</v>
      </c>
      <c r="L245" s="12" t="n">
        <v>-12993</v>
      </c>
      <c r="O245" s="12" t="n">
        <v>-9207</v>
      </c>
      <c r="P245" s="12" t="n">
        <v>-5055</v>
      </c>
      <c r="Q245" s="12" t="n">
        <v>-5712</v>
      </c>
      <c r="R245" s="12" t="n">
        <v>-6438</v>
      </c>
      <c r="S245" s="12" t="n">
        <v>-7182</v>
      </c>
      <c r="T245" s="12" t="n">
        <v>-8516</v>
      </c>
      <c r="U245" s="12" t="n">
        <v>-7512</v>
      </c>
      <c r="V245" s="12" t="n">
        <v>-7316</v>
      </c>
      <c r="W245" s="12" t="n">
        <v>-7643</v>
      </c>
      <c r="X245" s="12" t="n">
        <v>-12993</v>
      </c>
    </row>
    <row r="246">
      <c r="A246" s="18" t="inlineStr">
        <is>
          <t>현금성자산 환산차이</t>
        </is>
      </c>
      <c r="D246" s="20" t="n">
        <v>135</v>
      </c>
      <c r="H246" s="20" t="n">
        <v>231</v>
      </c>
      <c r="L246" s="20" t="n">
        <v>103</v>
      </c>
      <c r="O246" s="20" t="n">
        <v>-14</v>
      </c>
      <c r="P246" s="20" t="n">
        <v>14</v>
      </c>
      <c r="Q246" s="20" t="n">
        <v>-28</v>
      </c>
      <c r="R246" s="20" t="n">
        <v>3</v>
      </c>
      <c r="S246" s="20" t="n">
        <v>-43</v>
      </c>
      <c r="T246" s="20" t="n">
        <v>76</v>
      </c>
      <c r="U246" s="20" t="n">
        <v>186</v>
      </c>
      <c r="V246" s="20" t="n">
        <v>135</v>
      </c>
      <c r="W246" s="20" t="n">
        <v>231</v>
      </c>
      <c r="X246" s="20" t="n">
        <v>103</v>
      </c>
    </row>
    <row r="247">
      <c r="A247" s="18" t="inlineStr">
        <is>
          <t>현금성자산 증감</t>
        </is>
      </c>
      <c r="D247" s="20" t="n">
        <v>442</v>
      </c>
      <c r="H247" s="20" t="n">
        <v>3817</v>
      </c>
      <c r="L247" s="20" t="n">
        <v>9170</v>
      </c>
      <c r="O247" s="20" t="n">
        <v>266</v>
      </c>
      <c r="P247" s="20" t="n">
        <v>-4839</v>
      </c>
      <c r="Q247" s="20" t="n">
        <v>-21174</v>
      </c>
      <c r="R247" s="20" t="n">
        <v>-10324</v>
      </c>
      <c r="S247" s="20" t="n">
        <v>8235</v>
      </c>
      <c r="T247" s="20" t="n">
        <v>-4797</v>
      </c>
      <c r="U247" s="20" t="n">
        <v>3699</v>
      </c>
      <c r="V247" s="20" t="n">
        <v>442</v>
      </c>
      <c r="W247" s="20" t="n">
        <v>3817</v>
      </c>
      <c r="X247" s="20" t="n">
        <v>9170</v>
      </c>
    </row>
    <row r="248">
      <c r="A248" s="18" t="inlineStr">
        <is>
          <t>신규 연결 현금성자산 증가</t>
        </is>
      </c>
      <c r="D248" s="20" t="n">
        <v>0</v>
      </c>
      <c r="H248" s="20" t="n">
        <v>771</v>
      </c>
      <c r="L248" s="20" t="n">
        <v>0</v>
      </c>
      <c r="T248" s="20" t="n">
        <v>0</v>
      </c>
      <c r="U248" s="20" t="n">
        <v>24</v>
      </c>
      <c r="V248" s="20" t="n">
        <v>0</v>
      </c>
      <c r="W248" s="20" t="n">
        <v>771</v>
      </c>
      <c r="X248" s="20" t="n">
        <v>0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8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1941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123663</v>
      </c>
      <c r="D5" s="12" t="n">
        <v>130231</v>
      </c>
      <c r="E5" s="12" t="n">
        <v>142101</v>
      </c>
      <c r="F5" s="12" t="n">
        <v>135377</v>
      </c>
      <c r="G5" s="12" t="n">
        <v>149668</v>
      </c>
      <c r="H5" s="11" t="n">
        <v>114941</v>
      </c>
      <c r="I5" s="12" t="n">
        <v>118961</v>
      </c>
      <c r="J5" s="12" t="n">
        <v>95112</v>
      </c>
      <c r="K5" s="12" t="n">
        <v>98058</v>
      </c>
      <c r="L5" s="12" t="n">
        <v>142101</v>
      </c>
    </row>
    <row r="6">
      <c r="A6" s="18" t="inlineStr">
        <is>
          <t>현금및현금성자산</t>
        </is>
      </c>
      <c r="B6" s="10" t="n"/>
      <c r="C6" s="19" t="n">
        <v>28374</v>
      </c>
      <c r="D6" s="20" t="n">
        <v>26682</v>
      </c>
      <c r="E6" s="20" t="n">
        <v>30179</v>
      </c>
      <c r="F6" s="20" t="n">
        <v>35445</v>
      </c>
      <c r="G6" s="20" t="n">
        <v>45652</v>
      </c>
      <c r="H6" s="19" t="n">
        <v>24617</v>
      </c>
      <c r="I6" s="20" t="n">
        <v>18793</v>
      </c>
      <c r="J6" s="20" t="n">
        <v>8909</v>
      </c>
      <c r="K6" s="20" t="n">
        <v>11261</v>
      </c>
      <c r="L6" s="20" t="n">
        <v>30179</v>
      </c>
    </row>
    <row r="7">
      <c r="A7" s="18" t="inlineStr">
        <is>
          <t>단기금융상품</t>
        </is>
      </c>
      <c r="B7" s="10" t="n"/>
      <c r="C7" s="19" t="n">
        <v>17869</v>
      </c>
      <c r="D7" s="20" t="n">
        <v>19069</v>
      </c>
      <c r="E7" s="20" t="n">
        <v>23069</v>
      </c>
      <c r="F7" s="20" t="n">
        <v>22362</v>
      </c>
      <c r="G7" s="20" t="n">
        <v>20810</v>
      </c>
      <c r="H7" s="19" t="n">
        <v>10441</v>
      </c>
      <c r="I7" s="20" t="n">
        <v>18237</v>
      </c>
      <c r="J7" s="20" t="n">
        <v>13208</v>
      </c>
      <c r="K7" s="20" t="n">
        <v>14593</v>
      </c>
      <c r="L7" s="20" t="n">
        <v>23069</v>
      </c>
    </row>
    <row r="8">
      <c r="A8" s="18" t="inlineStr">
        <is>
          <t>매출채권</t>
        </is>
      </c>
      <c r="B8" s="10" t="n"/>
      <c r="C8" s="19" t="n"/>
      <c r="D8" s="20" t="n"/>
      <c r="E8" s="20" t="n"/>
      <c r="F8" s="20" t="n"/>
      <c r="G8" s="20" t="n"/>
      <c r="H8" s="19" t="n"/>
      <c r="I8" s="20" t="n"/>
      <c r="J8" s="20" t="n"/>
      <c r="K8" s="20" t="n"/>
      <c r="L8" s="20" t="n"/>
    </row>
    <row r="9">
      <c r="A9" s="18" t="inlineStr">
        <is>
          <t>재고자산</t>
        </is>
      </c>
      <c r="B9" s="10" t="n"/>
      <c r="C9" s="19" t="n">
        <v>2871</v>
      </c>
      <c r="D9" s="20" t="n">
        <v>3724</v>
      </c>
      <c r="E9" s="20" t="n">
        <v>2548</v>
      </c>
      <c r="F9" s="20" t="n">
        <v>3152</v>
      </c>
      <c r="G9" s="20" t="n">
        <v>3171</v>
      </c>
      <c r="H9" s="19" t="n">
        <v>2055</v>
      </c>
      <c r="I9" s="20" t="n">
        <v>2461</v>
      </c>
      <c r="J9" s="20" t="n">
        <v>2741</v>
      </c>
      <c r="K9" s="20" t="n">
        <v>2482</v>
      </c>
      <c r="L9" s="20" t="n">
        <v>2548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170005</v>
      </c>
      <c r="D11" s="12" t="n">
        <v>173035</v>
      </c>
      <c r="E11" s="12" t="n">
        <v>175717</v>
      </c>
      <c r="F11" s="12" t="n">
        <v>177868</v>
      </c>
      <c r="G11" s="12" t="n">
        <v>177820</v>
      </c>
      <c r="H11" s="11" t="n">
        <v>164784</v>
      </c>
      <c r="I11" s="12" t="n">
        <v>153552</v>
      </c>
      <c r="J11" s="12" t="n">
        <v>160016</v>
      </c>
      <c r="K11" s="12" t="n">
        <v>168577</v>
      </c>
      <c r="L11" s="12" t="n">
        <v>175717</v>
      </c>
    </row>
    <row r="12">
      <c r="A12" s="18" t="inlineStr">
        <is>
          <t>유형자산</t>
        </is>
      </c>
      <c r="B12" s="10" t="n"/>
      <c r="C12" s="19" t="n">
        <v>41118</v>
      </c>
      <c r="D12" s="20" t="n">
        <v>41717</v>
      </c>
      <c r="E12" s="20" t="n">
        <v>42360</v>
      </c>
      <c r="F12" s="20" t="n">
        <v>42775</v>
      </c>
      <c r="G12" s="20" t="n">
        <v>43721</v>
      </c>
      <c r="H12" s="19" t="n">
        <v>35444</v>
      </c>
      <c r="I12" s="20" t="n">
        <v>37915</v>
      </c>
      <c r="J12" s="20" t="n">
        <v>34500</v>
      </c>
      <c r="K12" s="20" t="n">
        <v>36318</v>
      </c>
      <c r="L12" s="20" t="n">
        <v>42360</v>
      </c>
    </row>
    <row r="13">
      <c r="A13" s="18" t="inlineStr">
        <is>
          <t>무형자산</t>
        </is>
      </c>
      <c r="B13" s="10" t="n"/>
      <c r="C13" s="19" t="n">
        <v>5513</v>
      </c>
      <c r="D13" s="20" t="n">
        <v>5312</v>
      </c>
      <c r="E13" s="20" t="n">
        <v>5341</v>
      </c>
      <c r="F13" s="20" t="n">
        <v>5153</v>
      </c>
      <c r="G13" s="20" t="n">
        <v>5004</v>
      </c>
      <c r="H13" s="19" t="n">
        <v>8084</v>
      </c>
      <c r="I13" s="20" t="n">
        <v>7478</v>
      </c>
      <c r="J13" s="20" t="n">
        <v>1718</v>
      </c>
      <c r="K13" s="20" t="n">
        <v>1736</v>
      </c>
      <c r="L13" s="20" t="n">
        <v>5341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293668</v>
      </c>
      <c r="D16" s="12" t="n">
        <v>303267</v>
      </c>
      <c r="E16" s="12" t="n">
        <v>317819</v>
      </c>
      <c r="F16" s="12" t="n">
        <v>313245</v>
      </c>
      <c r="G16" s="12" t="n">
        <v>327488</v>
      </c>
      <c r="H16" s="11" t="n">
        <v>279725</v>
      </c>
      <c r="I16" s="12" t="n">
        <v>272514</v>
      </c>
      <c r="J16" s="12" t="n">
        <v>255129</v>
      </c>
      <c r="K16" s="12" t="n">
        <v>266636</v>
      </c>
      <c r="L16" s="12" t="n">
        <v>317819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42966</v>
      </c>
      <c r="D18" s="12" t="n">
        <v>46472</v>
      </c>
      <c r="E18" s="12" t="n">
        <v>57982</v>
      </c>
      <c r="F18" s="12" t="n">
        <v>40666</v>
      </c>
      <c r="G18" s="12" t="n">
        <v>45499</v>
      </c>
      <c r="H18" s="11" t="n">
        <v>48831</v>
      </c>
      <c r="I18" s="12" t="n">
        <v>47358</v>
      </c>
      <c r="J18" s="12" t="n">
        <v>38571</v>
      </c>
      <c r="K18" s="12" t="n">
        <v>36706</v>
      </c>
      <c r="L18" s="12" t="n">
        <v>57982</v>
      </c>
    </row>
    <row r="19">
      <c r="A19" s="18" t="inlineStr">
        <is>
          <t>매입채무</t>
        </is>
      </c>
      <c r="B19" s="10" t="n"/>
      <c r="C19" s="19" t="n"/>
      <c r="D19" s="20" t="n"/>
      <c r="E19" s="20" t="n"/>
      <c r="F19" s="20" t="n"/>
      <c r="G19" s="20" t="n"/>
      <c r="H19" s="19" t="n"/>
      <c r="I19" s="20" t="n"/>
      <c r="J19" s="20" t="n"/>
      <c r="K19" s="20" t="n"/>
      <c r="L19" s="20" t="n"/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>
        <v>133</v>
      </c>
      <c r="I20" s="20" t="n">
        <v>0</v>
      </c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/>
      <c r="I21" s="20" t="n"/>
      <c r="J21" s="20" t="n"/>
      <c r="K21" s="20" t="n"/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14015</v>
      </c>
      <c r="D23" s="12" t="n">
        <v>15153</v>
      </c>
      <c r="E23" s="12" t="n">
        <v>12013</v>
      </c>
      <c r="F23" s="12" t="n">
        <v>15916</v>
      </c>
      <c r="G23" s="12" t="n">
        <v>17236</v>
      </c>
      <c r="H23" s="11" t="n">
        <v>14564</v>
      </c>
      <c r="I23" s="12" t="n">
        <v>23085</v>
      </c>
      <c r="J23" s="12" t="n">
        <v>14794</v>
      </c>
      <c r="K23" s="12" t="n">
        <v>16592</v>
      </c>
      <c r="L23" s="12" t="n">
        <v>12013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>
        <v>0</v>
      </c>
      <c r="I24" s="20" t="n"/>
      <c r="J24" s="20" t="n"/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56982</v>
      </c>
      <c r="D27" s="12" t="n">
        <v>61626</v>
      </c>
      <c r="E27" s="12" t="n">
        <v>69995</v>
      </c>
      <c r="F27" s="12" t="n">
        <v>56583</v>
      </c>
      <c r="G27" s="12" t="n">
        <v>62736</v>
      </c>
      <c r="H27" s="11" t="n">
        <v>63396</v>
      </c>
      <c r="I27" s="12" t="n">
        <v>70444</v>
      </c>
      <c r="J27" s="12" t="n">
        <v>53365</v>
      </c>
      <c r="K27" s="12" t="n">
        <v>53298</v>
      </c>
      <c r="L27" s="12" t="n">
        <v>69995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233473</v>
      </c>
      <c r="D31" s="12" t="n">
        <v>238319</v>
      </c>
      <c r="E31" s="12" t="n">
        <v>244247</v>
      </c>
      <c r="F31" s="12" t="n">
        <v>252932</v>
      </c>
      <c r="G31" s="12" t="n">
        <v>261068</v>
      </c>
      <c r="H31" s="11" t="n">
        <v>213121</v>
      </c>
      <c r="I31" s="12" t="n">
        <v>199375</v>
      </c>
      <c r="J31" s="12" t="n">
        <v>198879</v>
      </c>
      <c r="K31" s="12" t="n">
        <v>210260</v>
      </c>
      <c r="L31" s="12" t="n">
        <v>244247</v>
      </c>
    </row>
    <row r="32">
      <c r="A32" s="18" t="inlineStr">
        <is>
          <t>자본금</t>
        </is>
      </c>
      <c r="B32" s="10" t="n"/>
      <c r="C32" s="19" t="n">
        <v>3481</v>
      </c>
      <c r="D32" s="20" t="n">
        <v>3481</v>
      </c>
      <c r="E32" s="20" t="n">
        <v>3481</v>
      </c>
      <c r="F32" s="20" t="n">
        <v>3481</v>
      </c>
      <c r="G32" s="20" t="n">
        <v>3481</v>
      </c>
      <c r="H32" s="19" t="n">
        <v>3481</v>
      </c>
      <c r="I32" s="20" t="n">
        <v>3481</v>
      </c>
      <c r="J32" s="20" t="n">
        <v>3481</v>
      </c>
      <c r="K32" s="20" t="n">
        <v>3481</v>
      </c>
      <c r="L32" s="20" t="n">
        <v>3481</v>
      </c>
    </row>
    <row r="33">
      <c r="A33" s="18" t="inlineStr">
        <is>
          <t>이익잉여금</t>
        </is>
      </c>
      <c r="B33" s="10" t="n"/>
      <c r="C33" s="19" t="n">
        <v>215660</v>
      </c>
      <c r="D33" s="20" t="n">
        <v>217130</v>
      </c>
      <c r="E33" s="20" t="n">
        <v>223331</v>
      </c>
      <c r="F33" s="20" t="n">
        <v>223096</v>
      </c>
      <c r="G33" s="20" t="n">
        <v>228397</v>
      </c>
      <c r="H33" s="19" t="n">
        <v>208268</v>
      </c>
      <c r="I33" s="20" t="n">
        <v>195580</v>
      </c>
      <c r="J33" s="20" t="n">
        <v>191687</v>
      </c>
      <c r="K33" s="20" t="n">
        <v>204675</v>
      </c>
      <c r="L33" s="20" t="n">
        <v>223331</v>
      </c>
    </row>
    <row r="34">
      <c r="A34" s="18" t="inlineStr">
        <is>
          <t>비지배지분</t>
        </is>
      </c>
      <c r="B34" s="10" t="n"/>
      <c r="C34" s="19" t="n">
        <v>3188</v>
      </c>
      <c r="D34" s="20" t="n">
        <v>3296</v>
      </c>
      <c r="E34" s="20" t="n">
        <v>3551</v>
      </c>
      <c r="F34" s="20" t="n">
        <v>3705</v>
      </c>
      <c r="G34" s="20" t="n">
        <v>3659</v>
      </c>
      <c r="H34" s="19" t="n">
        <v>3102</v>
      </c>
      <c r="I34" s="20" t="n">
        <v>2631</v>
      </c>
      <c r="J34" s="20" t="n">
        <v>2821</v>
      </c>
      <c r="K34" s="20" t="n">
        <v>3028</v>
      </c>
      <c r="L34" s="20" t="n">
        <v>3551</v>
      </c>
    </row>
    <row r="35">
      <c r="A35" s="9" t="inlineStr">
        <is>
          <t>자본총계</t>
        </is>
      </c>
      <c r="B35" s="10" t="n"/>
      <c r="C35" s="11" t="n">
        <v>236686</v>
      </c>
      <c r="D35" s="12" t="n">
        <v>241640</v>
      </c>
      <c r="E35" s="12" t="n">
        <v>247823</v>
      </c>
      <c r="F35" s="12" t="n">
        <v>256662</v>
      </c>
      <c r="G35" s="12" t="n">
        <v>264752</v>
      </c>
      <c r="H35" s="11" t="n">
        <v>216329</v>
      </c>
      <c r="I35" s="12" t="n">
        <v>202069</v>
      </c>
      <c r="J35" s="12" t="n">
        <v>201763</v>
      </c>
      <c r="K35" s="12" t="n">
        <v>213337</v>
      </c>
      <c r="L35" s="12" t="n">
        <v>247823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29146</v>
      </c>
      <c r="F37" s="12" t="n"/>
      <c r="G37" s="12" t="n"/>
      <c r="H37" s="11" t="n">
        <v>7968</v>
      </c>
      <c r="I37" s="12" t="n">
        <v>6181</v>
      </c>
      <c r="J37" s="12" t="n">
        <v>13721</v>
      </c>
      <c r="K37" s="12" t="n">
        <v>22754</v>
      </c>
      <c r="L37" s="12" t="n">
        <v>29146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>
        <v>4537</v>
      </c>
      <c r="F38" s="20" t="n"/>
      <c r="G38" s="20" t="n"/>
      <c r="H38" s="19" t="n">
        <v>1666</v>
      </c>
      <c r="I38" s="20" t="n">
        <v>4080</v>
      </c>
      <c r="J38" s="20" t="n">
        <v>3377</v>
      </c>
      <c r="K38" s="20" t="n">
        <v>5534</v>
      </c>
      <c r="L38" s="20" t="n">
        <v>4537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/>
      <c r="E40" s="20" t="n">
        <v>6769</v>
      </c>
      <c r="F40" s="20" t="n"/>
      <c r="G40" s="20" t="n"/>
      <c r="H40" s="19" t="n">
        <v>5764</v>
      </c>
      <c r="I40" s="20" t="n">
        <v>5737</v>
      </c>
      <c r="J40" s="20" t="n">
        <v>5699</v>
      </c>
      <c r="K40" s="20" t="n">
        <v>6072</v>
      </c>
      <c r="L40" s="20" t="n">
        <v>6769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IFERROR((IF(COUNT('연간'!G25:J25)&lt;4,"",SUM('연간'!G25:J25)))/(IF(COUNT('연간'!G47:J47)&lt;4,"",SUM('연간'!G47:J47))),"")</f>
        <v/>
      </c>
      <c r="D48" s="31">
        <f>IFERROR((IF(COUNT('연간'!H25:K25)&lt;4,"",SUM('연간'!H25:K25)))/(IF(COUNT('연간'!H47:K47)&lt;4,"",SUM('연간'!H47:K47))),"")</f>
        <v/>
      </c>
      <c r="E48" s="31">
        <f>IFERROR((IF(COUNT('연간'!I25:L25)&lt;4,"",SUM('연간'!I25:L25)))/(IF(COUNT('연간'!I47:L47)&lt;4,"",SUM('연간'!I47:L47))),"")</f>
        <v/>
      </c>
      <c r="F48" s="31">
        <f>IFERROR((IF(COUNT('연간'!J25:M25)&lt;4,"",SUM('연간'!J25:M25)))/(IF(COUNT('연간'!J47:M47)&lt;4,"",SUM('연간'!J47:M47))),"")</f>
        <v/>
      </c>
      <c r="G48" s="31">
        <f>IFERROR((IF(COUNT('연간'!K25:N25)&lt;4,"",SUM('연간'!K25:N25)))/(IF(COUNT('연간'!K47:N47)&lt;4,"",SUM('연간'!K47:N47))),"")</f>
        <v/>
      </c>
      <c r="H48" s="30">
        <f>IFERROR(('연간'!T25)/('연간'!T47),"")</f>
        <v/>
      </c>
      <c r="I48" s="31">
        <f>IFERROR(('연간'!U25)/('연간'!U47),"")</f>
        <v/>
      </c>
      <c r="J48" s="31">
        <f>IFERROR(('연간'!V25)/('연간'!V47),"")</f>
        <v/>
      </c>
      <c r="K48" s="31">
        <f>IFERROR(('연간'!W25)/('연간'!W47),"")</f>
        <v/>
      </c>
      <c r="L48" s="31">
        <f>IFERROR(('연간'!X25)/('연간'!X47),"")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IFERROR(IF((IF(COUNT('연간'!G55:J55)&lt;4,"",SUM('연간'!G55:J55)))&lt;=0,"적자",C28/(IF(COUNT('연간'!G55:J55)&lt;4,"",SUM('연간'!G55:J55)))),"")</f>
        <v/>
      </c>
      <c r="D49" s="47">
        <f>IFERROR(IF((IF(COUNT('연간'!H55:K55)&lt;4,"",SUM('연간'!H55:K55)))&lt;=0,"적자",D28/(IF(COUNT('연간'!H55:K55)&lt;4,"",SUM('연간'!H55:K55)))),"")</f>
        <v/>
      </c>
      <c r="E49" s="47">
        <f>IFERROR(IF((IF(COUNT('연간'!I55:L55)&lt;4,"",SUM('연간'!I55:L55)))&lt;=0,"적자",E28/(IF(COUNT('연간'!I55:L55)&lt;4,"",SUM('연간'!I55:L55)))),"")</f>
        <v/>
      </c>
      <c r="F49" s="47">
        <f>IFERROR(IF((IF(COUNT('연간'!J55:M55)&lt;4,"",SUM('연간'!J55:M55)))&lt;=0,"적자",F28/(IF(COUNT('연간'!J55:M55)&lt;4,"",SUM('연간'!J55:M55)))),"")</f>
        <v/>
      </c>
      <c r="G49" s="47">
        <f>IFERROR(IF((IF(COUNT('연간'!K55:N55)&lt;4,"",SUM('연간'!K55:N55)))&lt;=0,"적자",G28/(IF(COUNT('연간'!K55:N55)&lt;4,"",SUM('연간'!K55:N55)))),"")</f>
        <v/>
      </c>
      <c r="H49" s="46">
        <f>IFERROR(IF(('연간'!T55)&lt;=0,"적자",H28/('연간'!T55)),"")</f>
        <v/>
      </c>
      <c r="I49" s="47">
        <f>IFERROR(IF(('연간'!U55)&lt;=0,"적자",I28/('연간'!U55)),"")</f>
        <v/>
      </c>
      <c r="J49" s="47">
        <f>IFERROR(IF(('연간'!V55)&lt;=0,"적자",J28/('연간'!V55)),"")</f>
        <v/>
      </c>
      <c r="K49" s="47">
        <f>IFERROR(IF(('연간'!W55)&lt;=0,"적자",K28/('연간'!W55)),"")</f>
        <v/>
      </c>
      <c r="L49" s="47">
        <f>IFERROR(IF(('연간'!X55)&lt;=0,"적자",L28/('연간'!X55)),"")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IFERROR((IF(COUNT('연간'!G55:J55)&lt;4,"",SUM('연간'!G55:J55)))/C31,"")</f>
        <v/>
      </c>
      <c r="D51" s="36">
        <f>IFERROR((IF(COUNT('연간'!H55:K55)&lt;4,"",SUM('연간'!H55:K55)))/D31,"")</f>
        <v/>
      </c>
      <c r="E51" s="36">
        <f>IFERROR((IF(COUNT('연간'!I55:L55)&lt;4,"",SUM('연간'!I55:L55)))/E31,"")</f>
        <v/>
      </c>
      <c r="F51" s="36">
        <f>IFERROR((IF(COUNT('연간'!J55:M55)&lt;4,"",SUM('연간'!J55:M55)))/F31,"")</f>
        <v/>
      </c>
      <c r="G51" s="36">
        <f>IFERROR((IF(COUNT('연간'!K55:N55)&lt;4,"",SUM('연간'!K55:N55)))/G31,"")</f>
        <v/>
      </c>
      <c r="H51" s="35">
        <f>IFERROR(('연간'!T55)/H31,"")</f>
        <v/>
      </c>
      <c r="I51" s="36">
        <f>IFERROR(('연간'!U55)/I31,"")</f>
        <v/>
      </c>
      <c r="J51" s="36">
        <f>IFERROR(('연간'!V55)/J31,"")</f>
        <v/>
      </c>
      <c r="K51" s="36">
        <f>IFERROR(('연간'!W55)/K31,"")</f>
        <v/>
      </c>
      <c r="L51" s="36">
        <f>IFERROR(('연간'!X55)/L31,"")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IFERROR((IF(COUNT('연간'!G53:J53)&lt;4,"",SUM('연간'!G53:J53)))/C16,"")</f>
        <v/>
      </c>
      <c r="D52" s="36">
        <f>IFERROR((IF(COUNT('연간'!H53:K53)&lt;4,"",SUM('연간'!H53:K53)))/D16,"")</f>
        <v/>
      </c>
      <c r="E52" s="36">
        <f>IFERROR((IF(COUNT('연간'!I53:L53)&lt;4,"",SUM('연간'!I53:L53)))/E16,"")</f>
        <v/>
      </c>
      <c r="F52" s="36">
        <f>IFERROR((IF(COUNT('연간'!J53:M53)&lt;4,"",SUM('연간'!J53:M53)))/F16,"")</f>
        <v/>
      </c>
      <c r="G52" s="36">
        <f>IFERROR((IF(COUNT('연간'!K53:N53)&lt;4,"",SUM('연간'!K53:N53)))/G16,"")</f>
        <v/>
      </c>
      <c r="H52" s="35">
        <f>IFERROR(('연간'!T53)/H16,"")</f>
        <v/>
      </c>
      <c r="I52" s="36">
        <f>IFERROR(('연간'!U53)/I16,"")</f>
        <v/>
      </c>
      <c r="J52" s="36">
        <f>IFERROR(('연간'!V53)/J16,"")</f>
        <v/>
      </c>
      <c r="K52" s="36">
        <f>IFERROR(('연간'!W53)/K16,"")</f>
        <v/>
      </c>
      <c r="L52" s="36">
        <f>IFERROR(('연간'!X53)/L16,"")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IFERROR((IF(COUNT('연간'!G25:J25)&lt;4,"",SUM('연간'!G25:J25)))*(1-0.3)/(C35+C29),"")</f>
        <v/>
      </c>
      <c r="D53" s="36">
        <f>IFERROR((IF(COUNT('연간'!H25:K25)&lt;4,"",SUM('연간'!H25:K25)))*(1-0.3)/(D35+D29),"")</f>
        <v/>
      </c>
      <c r="E53" s="36">
        <f>IFERROR((IF(COUNT('연간'!I25:L25)&lt;4,"",SUM('연간'!I25:L25)))*(1-0.3)/(E35+E29),"")</f>
        <v/>
      </c>
      <c r="F53" s="36">
        <f>IFERROR((IF(COUNT('연간'!J25:M25)&lt;4,"",SUM('연간'!J25:M25)))*(1-0.3)/(F35+F29),"")</f>
        <v/>
      </c>
      <c r="G53" s="36">
        <f>IFERROR((IF(COUNT('연간'!K25:N25)&lt;4,"",SUM('연간'!K25:N25)))*(1-0.3)/(G35+G29),"")</f>
        <v/>
      </c>
      <c r="H53" s="35">
        <f>IFERROR(('연간'!T25)*(1-0.3)/(H35+H29),"")</f>
        <v/>
      </c>
      <c r="I53" s="36">
        <f>IFERROR(('연간'!U25)*(1-0.3)/(I35+I29),"")</f>
        <v/>
      </c>
      <c r="J53" s="36">
        <f>IFERROR(('연간'!V25)*(1-0.3)/(J35+J29),"")</f>
        <v/>
      </c>
      <c r="K53" s="36">
        <f>IFERROR(('연간'!W25)*(1-0.3)/(K35+K29),"")</f>
        <v/>
      </c>
      <c r="L53" s="36">
        <f>IFERROR(('연간'!X25)*(1-0.3)/(L35+L29),"")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IFERROR((IF(COUNT('연간'!G19:J19)&lt;4,"",SUM('연간'!G19:J19)))/(IF(COUNT('연간'!G4:J4)&lt;4,"",SUM('연간'!G4:J4))),"")</f>
        <v/>
      </c>
      <c r="D54" s="36">
        <f>IFERROR((IF(COUNT('연간'!H19:K19)&lt;4,"",SUM('연간'!H19:K19)))/(IF(COUNT('연간'!H4:K4)&lt;4,"",SUM('연간'!H4:K4))),"")</f>
        <v/>
      </c>
      <c r="E54" s="36">
        <f>IFERROR((IF(COUNT('연간'!I19:L19)&lt;4,"",SUM('연간'!I19:L19)))/(IF(COUNT('연간'!I4:L4)&lt;4,"",SUM('연간'!I4:L4))),"")</f>
        <v/>
      </c>
      <c r="F54" s="36">
        <f>IFERROR((IF(COUNT('연간'!J19:M19)&lt;4,"",SUM('연간'!J19:M19)))/(IF(COUNT('연간'!J4:M4)&lt;4,"",SUM('연간'!J4:M4))),"")</f>
        <v/>
      </c>
      <c r="G54" s="36">
        <f>IFERROR((IF(COUNT('연간'!K19:N19)&lt;4,"",SUM('연간'!K19:N19)))/(IF(COUNT('연간'!K4:N4)&lt;4,"",SUM('연간'!K4:N4))),"")</f>
        <v/>
      </c>
      <c r="H54" s="35">
        <f>IFERROR(('연간'!T19)/('연간'!T4),"")</f>
        <v/>
      </c>
      <c r="I54" s="36">
        <f>IFERROR(('연간'!U19)/('연간'!U4),"")</f>
        <v/>
      </c>
      <c r="J54" s="36">
        <f>IFERROR(('연간'!V19)/('연간'!V4),"")</f>
        <v/>
      </c>
      <c r="K54" s="36">
        <f>IFERROR(('연간'!W19)/('연간'!W4),"")</f>
        <v/>
      </c>
      <c r="L54" s="36">
        <f>IFERROR(('연간'!X19)/('연간'!X4),"")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IFERROR((IF(COUNT('연간'!G25:J25)&lt;4,"",SUM('연간'!G25:J25)))/(IF(COUNT('연간'!G4:J4)&lt;4,"",SUM('연간'!G4:J4))),"")</f>
        <v/>
      </c>
      <c r="D55" s="36">
        <f>IFERROR((IF(COUNT('연간'!H25:K25)&lt;4,"",SUM('연간'!H25:K25)))/(IF(COUNT('연간'!H4:K4)&lt;4,"",SUM('연간'!H4:K4))),"")</f>
        <v/>
      </c>
      <c r="E55" s="36">
        <f>IFERROR((IF(COUNT('연간'!I25:L25)&lt;4,"",SUM('연간'!I25:L25)))/(IF(COUNT('연간'!I4:L4)&lt;4,"",SUM('연간'!I4:L4))),"")</f>
        <v/>
      </c>
      <c r="F55" s="36">
        <f>IFERROR((IF(COUNT('연간'!J25:M25)&lt;4,"",SUM('연간'!J25:M25)))/(IF(COUNT('연간'!J4:M4)&lt;4,"",SUM('연간'!J4:M4))),"")</f>
        <v/>
      </c>
      <c r="G55" s="36">
        <f>IFERROR((IF(COUNT('연간'!K25:N25)&lt;4,"",SUM('연간'!K25:N25)))/(IF(COUNT('연간'!K4:N4)&lt;4,"",SUM('연간'!K4:N4))),"")</f>
        <v/>
      </c>
      <c r="H55" s="35">
        <f>IFERROR(('연간'!T25)/('연간'!T4),"")</f>
        <v/>
      </c>
      <c r="I55" s="36">
        <f>IFERROR(('연간'!U25)/('연간'!U4),"")</f>
        <v/>
      </c>
      <c r="J55" s="36">
        <f>IFERROR(('연간'!V25)/('연간'!V4),"")</f>
        <v/>
      </c>
      <c r="K55" s="36">
        <f>IFERROR(('연간'!W25)/('연간'!W4),"")</f>
        <v/>
      </c>
      <c r="L55" s="36">
        <f>IFERROR(('연간'!X25)/('연간'!X4),"")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IFERROR((IF(COUNT('연간'!G53:J53)&lt;4,"",SUM('연간'!G53:J53)))/(IF(COUNT('연간'!G4:J4)&lt;4,"",SUM('연간'!G4:J4))),"")</f>
        <v/>
      </c>
      <c r="D56" s="36">
        <f>IFERROR((IF(COUNT('연간'!H53:K53)&lt;4,"",SUM('연간'!H53:K53)))/(IF(COUNT('연간'!H4:K4)&lt;4,"",SUM('연간'!H4:K4))),"")</f>
        <v/>
      </c>
      <c r="E56" s="36">
        <f>IFERROR((IF(COUNT('연간'!I53:L53)&lt;4,"",SUM('연간'!I53:L53)))/(IF(COUNT('연간'!I4:L4)&lt;4,"",SUM('연간'!I4:L4))),"")</f>
        <v/>
      </c>
      <c r="F56" s="36">
        <f>IFERROR((IF(COUNT('연간'!J53:M53)&lt;4,"",SUM('연간'!J53:M53)))/(IF(COUNT('연간'!J4:M4)&lt;4,"",SUM('연간'!J4:M4))),"")</f>
        <v/>
      </c>
      <c r="G56" s="36">
        <f>IFERROR((IF(COUNT('연간'!K53:N53)&lt;4,"",SUM('연간'!K53:N53)))/(IF(COUNT('연간'!K4:N4)&lt;4,"",SUM('연간'!K4:N4))),"")</f>
        <v/>
      </c>
      <c r="H56" s="35">
        <f>IFERROR(('연간'!T53)/('연간'!T4),"")</f>
        <v/>
      </c>
      <c r="I56" s="36">
        <f>IFERROR(('연간'!U53)/('연간'!U4),"")</f>
        <v/>
      </c>
      <c r="J56" s="36">
        <f>IFERROR(('연간'!V53)/('연간'!V4),"")</f>
        <v/>
      </c>
      <c r="K56" s="36">
        <f>IFERROR(('연간'!W53)/('연간'!W4),"")</f>
        <v/>
      </c>
      <c r="L56" s="36">
        <f>IFERROR(('연간'!X53)/('연간'!X4),"")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IFERROR(C9/(IF(COUNT('연간'!G17:J17)&lt;4,"",SUM('연간'!G17:J17)))*365,"")</f>
        <v/>
      </c>
      <c r="D60" s="49">
        <f>IFERROR(D9/(IF(COUNT('연간'!H17:K17)&lt;4,"",SUM('연간'!H17:K17)))*365,"")</f>
        <v/>
      </c>
      <c r="E60" s="49">
        <f>IFERROR(E9/(IF(COUNT('연간'!I17:L17)&lt;4,"",SUM('연간'!I17:L17)))*365,"")</f>
        <v/>
      </c>
      <c r="F60" s="49">
        <f>IFERROR(F9/(IF(COUNT('연간'!J17:M17)&lt;4,"",SUM('연간'!J17:M17)))*365,"")</f>
        <v/>
      </c>
      <c r="G60" s="49">
        <f>IFERROR(G9/(IF(COUNT('연간'!K17:N17)&lt;4,"",SUM('연간'!K17:N17)))*365,"")</f>
        <v/>
      </c>
      <c r="H60" s="48">
        <f>IFERROR(H9/('연간'!T17)*365,"")</f>
        <v/>
      </c>
      <c r="I60" s="49">
        <f>IFERROR(I9/('연간'!U17)*365,"")</f>
        <v/>
      </c>
      <c r="J60" s="49">
        <f>IFERROR(J9/('연간'!V17)*365,"")</f>
        <v/>
      </c>
      <c r="K60" s="49">
        <f>IFERROR(K9/('연간'!W17)*365,"")</f>
        <v/>
      </c>
      <c r="L60" s="49">
        <f>IFERROR(L9/('연간'!X17)*365,"")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IFERROR(C19/(IF(COUNT('연간'!G17:J17)&lt;4,"",SUM('연간'!G17:J17)))*365,"")</f>
        <v/>
      </c>
      <c r="D61" s="49">
        <f>IFERROR(D19/(IF(COUNT('연간'!H17:K17)&lt;4,"",SUM('연간'!H17:K17)))*365,"")</f>
        <v/>
      </c>
      <c r="E61" s="49">
        <f>IFERROR(E19/(IF(COUNT('연간'!I17:L17)&lt;4,"",SUM('연간'!I17:L17)))*365,"")</f>
        <v/>
      </c>
      <c r="F61" s="49">
        <f>IFERROR(F19/(IF(COUNT('연간'!J17:M17)&lt;4,"",SUM('연간'!J17:M17)))*365,"")</f>
        <v/>
      </c>
      <c r="G61" s="49">
        <f>IFERROR(G19/(IF(COUNT('연간'!K17:N17)&lt;4,"",SUM('연간'!K17:N17)))*365,"")</f>
        <v/>
      </c>
      <c r="H61" s="48">
        <f>IFERROR(H19/('연간'!T17)*365,"")</f>
        <v/>
      </c>
      <c r="I61" s="49">
        <f>IFERROR(I19/('연간'!U17)*365,"")</f>
        <v/>
      </c>
      <c r="J61" s="49">
        <f>IFERROR(J19/('연간'!V17)*365,"")</f>
        <v/>
      </c>
      <c r="K61" s="49">
        <f>IFERROR(K19/('연간'!W17)*365,"")</f>
        <v/>
      </c>
      <c r="L61" s="49">
        <f>IFERROR(L19/('연간'!X17)*365,"")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IF(C37="","",IFERROR(C37/(IF(COUNT('연간'!G53:J53)&lt;4,"",SUM('연간'!G53:J53))),""))</f>
        <v/>
      </c>
      <c r="D64" s="31">
        <f>IF(D37="","",IFERROR(D37/(IF(COUNT('연간'!H53:K53)&lt;4,"",SUM('연간'!H53:K53))),""))</f>
        <v/>
      </c>
      <c r="E64" s="31">
        <f>IF(E37="","",IFERROR(E37/(IF(COUNT('연간'!I53:L53)&lt;4,"",SUM('연간'!I53:L53))),""))</f>
        <v/>
      </c>
      <c r="F64" s="31">
        <f>IF(F37="","",IFERROR(F37/(IF(COUNT('연간'!J53:M53)&lt;4,"",SUM('연간'!J53:M53))),""))</f>
        <v/>
      </c>
      <c r="G64" s="31">
        <f>IF(G37="","",IFERROR(G37/(IF(COUNT('연간'!K53:N53)&lt;4,"",SUM('연간'!K53:N53))),""))</f>
        <v/>
      </c>
      <c r="H64" s="30">
        <f>IF(H37="","",IFERROR(H37/('연간'!T53),""))</f>
        <v/>
      </c>
      <c r="I64" s="31">
        <f>IF(I37="","",IFERROR(I37/('연간'!U53),""))</f>
        <v/>
      </c>
      <c r="J64" s="31">
        <f>IF(J37="","",IFERROR(J37/('연간'!V53),""))</f>
        <v/>
      </c>
      <c r="K64" s="31">
        <f>IF(K37="","",IFERROR(K37/('연간'!W53),""))</f>
        <v/>
      </c>
      <c r="L64" s="31">
        <f>IF(L37="","",IFERROR(L37/('연간'!X53),""))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IF(C40="","",IFERROR(C40/(IF(COUNT('연간'!G55:J55)&lt;4,"",SUM('연간'!G55:J55))),""))</f>
        <v/>
      </c>
      <c r="D67" s="36">
        <f>IF(D40="","",IFERROR(D40/(IF(COUNT('연간'!H55:K55)&lt;4,"",SUM('연간'!H55:K55))),""))</f>
        <v/>
      </c>
      <c r="E67" s="36">
        <f>IF(E40="","",IFERROR(E40/(IF(COUNT('연간'!I55:L55)&lt;4,"",SUM('연간'!I55:L55))),""))</f>
        <v/>
      </c>
      <c r="F67" s="36">
        <f>IF(F40="","",IFERROR(F40/(IF(COUNT('연간'!J55:M55)&lt;4,"",SUM('연간'!J55:M55))),""))</f>
        <v/>
      </c>
      <c r="G67" s="36">
        <f>IF(G40="","",IFERROR(G40/(IF(COUNT('연간'!K55:N55)&lt;4,"",SUM('연간'!K55:N55))),""))</f>
        <v/>
      </c>
      <c r="H67" s="35">
        <f>IF(H40="","",IFERROR(H40/('연간'!T55),""))</f>
        <v/>
      </c>
      <c r="I67" s="36">
        <f>IF(I40="","",IFERROR(I40/('연간'!U55),""))</f>
        <v/>
      </c>
      <c r="J67" s="36">
        <f>IF(J40="","",IFERROR(J40/('연간'!V55),""))</f>
        <v/>
      </c>
      <c r="K67" s="36">
        <f>IF(K40="","",IFERROR(K40/('연간'!W55),""))</f>
        <v/>
      </c>
      <c r="L67" s="36">
        <f>IF(L40="","",IFERROR(L40/('연간'!X55),""))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현금예금</t>
        </is>
      </c>
      <c r="C71" s="20" t="n">
        <v>28374</v>
      </c>
      <c r="D71" s="20" t="n">
        <v>26682</v>
      </c>
      <c r="E71" s="20" t="n">
        <v>30179</v>
      </c>
      <c r="F71" s="20" t="n">
        <v>35445</v>
      </c>
      <c r="G71" s="20" t="n">
        <v>45652</v>
      </c>
      <c r="H71" s="20" t="n">
        <v>24617</v>
      </c>
      <c r="I71" s="20" t="n">
        <v>18793</v>
      </c>
      <c r="J71" s="20" t="n">
        <v>8909</v>
      </c>
      <c r="K71" s="20" t="n">
        <v>11261</v>
      </c>
      <c r="L71" s="20" t="n">
        <v>30179</v>
      </c>
    </row>
    <row r="72">
      <c r="A72" s="18" t="inlineStr">
        <is>
          <t>받을어음</t>
        </is>
      </c>
      <c r="E72" s="20" t="n">
        <v>609</v>
      </c>
      <c r="H72" s="20" t="n">
        <v>3701</v>
      </c>
      <c r="I72" s="20" t="n">
        <v>1685</v>
      </c>
      <c r="J72" s="20" t="n">
        <v>2057</v>
      </c>
      <c r="K72" s="20" t="n">
        <v>471</v>
      </c>
      <c r="L72" s="20" t="n">
        <v>609</v>
      </c>
    </row>
    <row r="73">
      <c r="A73" s="18" t="inlineStr">
        <is>
          <t>전자기록채권</t>
        </is>
      </c>
      <c r="E73" s="20" t="n">
        <v>6464</v>
      </c>
      <c r="H73" s="20" t="n">
        <v>4687</v>
      </c>
      <c r="I73" s="20" t="n">
        <v>5801</v>
      </c>
      <c r="J73" s="20" t="n">
        <v>6048</v>
      </c>
      <c r="K73" s="20" t="n">
        <v>6124</v>
      </c>
      <c r="L73" s="20" t="n">
        <v>6464</v>
      </c>
    </row>
    <row r="74">
      <c r="A74" s="18" t="inlineStr">
        <is>
          <t>완성공사 미수금</t>
        </is>
      </c>
      <c r="E74" s="20" t="n">
        <v>53390</v>
      </c>
      <c r="H74" s="20" t="n">
        <v>44910</v>
      </c>
      <c r="I74" s="20" t="n">
        <v>45658</v>
      </c>
      <c r="J74" s="20" t="n">
        <v>49649</v>
      </c>
      <c r="K74" s="20" t="n">
        <v>52207</v>
      </c>
      <c r="L74" s="20" t="n">
        <v>53390</v>
      </c>
    </row>
    <row r="75">
      <c r="A75" s="18" t="inlineStr">
        <is>
          <t>리스투자자산</t>
        </is>
      </c>
      <c r="E75" s="20" t="n">
        <v>3</v>
      </c>
      <c r="K75" s="20" t="n">
        <v>0</v>
      </c>
      <c r="L75" s="20" t="n">
        <v>3</v>
      </c>
    </row>
    <row r="76">
      <c r="A76" s="18" t="inlineStr">
        <is>
          <t>받을어음·완성공사 미수금 등</t>
        </is>
      </c>
      <c r="C76" s="20" t="n">
        <v>55598</v>
      </c>
      <c r="D76" s="20" t="n">
        <v>60395</v>
      </c>
      <c r="E76" s="20" t="n">
        <v>72598</v>
      </c>
      <c r="F76" s="20" t="n">
        <v>50634</v>
      </c>
      <c r="G76" s="20" t="n">
        <v>53776</v>
      </c>
      <c r="H76" s="20" t="n">
        <v>65822</v>
      </c>
      <c r="I76" s="20" t="n">
        <v>66453</v>
      </c>
      <c r="J76" s="20" t="n">
        <v>70664</v>
      </c>
      <c r="K76" s="20" t="n">
        <v>71282</v>
      </c>
      <c r="L76" s="20" t="n">
        <v>72598</v>
      </c>
    </row>
    <row r="77">
      <c r="A77" s="18" t="inlineStr">
        <is>
          <t>유가증권</t>
        </is>
      </c>
      <c r="C77" s="20" t="n">
        <v>17869</v>
      </c>
      <c r="D77" s="20" t="n">
        <v>19069</v>
      </c>
      <c r="E77" s="20" t="n">
        <v>23069</v>
      </c>
      <c r="F77" s="20" t="n">
        <v>22362</v>
      </c>
      <c r="G77" s="20" t="n">
        <v>20810</v>
      </c>
      <c r="H77" s="20" t="n">
        <v>10441</v>
      </c>
      <c r="I77" s="20" t="n">
        <v>18237</v>
      </c>
      <c r="J77" s="20" t="n">
        <v>13208</v>
      </c>
      <c r="K77" s="20" t="n">
        <v>14593</v>
      </c>
      <c r="L77" s="20" t="n">
        <v>23069</v>
      </c>
    </row>
    <row r="78">
      <c r="A78" s="18" t="inlineStr">
        <is>
          <t>Affiliated Corporate Bonds Scheduled To Be Redeemed Within One Year CA</t>
        </is>
      </c>
      <c r="H78" s="20" t="n">
        <v>502</v>
      </c>
      <c r="I78" s="20" t="n">
        <v>0</v>
      </c>
    </row>
    <row r="79">
      <c r="A79" s="18" t="inlineStr">
        <is>
          <t>미성공사 지출금</t>
        </is>
      </c>
      <c r="C79" s="20" t="n">
        <v>11713</v>
      </c>
      <c r="D79" s="20" t="n">
        <v>14095</v>
      </c>
      <c r="E79" s="20" t="n">
        <v>7995</v>
      </c>
      <c r="F79" s="20" t="n">
        <v>10343</v>
      </c>
      <c r="G79" s="20" t="n">
        <v>12134</v>
      </c>
      <c r="H79" s="20" t="n">
        <v>8316</v>
      </c>
      <c r="I79" s="20" t="n">
        <v>9329</v>
      </c>
      <c r="J79" s="20" t="n">
        <v>6493</v>
      </c>
      <c r="K79" s="20" t="n">
        <v>6782</v>
      </c>
      <c r="L79" s="20" t="n">
        <v>7995</v>
      </c>
    </row>
    <row r="80">
      <c r="A80" s="18" t="inlineStr">
        <is>
          <t>재료·저장품</t>
        </is>
      </c>
      <c r="C80" s="20" t="n">
        <v>1682</v>
      </c>
      <c r="D80" s="20" t="n">
        <v>1547</v>
      </c>
      <c r="E80" s="20" t="n">
        <v>1770</v>
      </c>
      <c r="F80" s="20" t="n">
        <v>1626</v>
      </c>
      <c r="G80" s="20" t="n">
        <v>1893</v>
      </c>
      <c r="H80" s="20" t="n">
        <v>1373</v>
      </c>
      <c r="I80" s="20" t="n">
        <v>1416</v>
      </c>
      <c r="J80" s="20" t="n">
        <v>1340</v>
      </c>
      <c r="K80" s="20" t="n">
        <v>1448</v>
      </c>
      <c r="L80" s="20" t="n">
        <v>1770</v>
      </c>
    </row>
    <row r="81">
      <c r="A81" s="18" t="inlineStr">
        <is>
          <t>단기대여금</t>
        </is>
      </c>
      <c r="E81" s="20" t="n">
        <v>0</v>
      </c>
      <c r="H81" s="20" t="n">
        <v>0</v>
      </c>
      <c r="I81" s="20" t="n">
        <v>1600</v>
      </c>
      <c r="J81" s="20" t="n">
        <v>4300</v>
      </c>
      <c r="K81" s="20" t="n">
        <v>1600</v>
      </c>
      <c r="L81" s="20" t="n">
        <v>0</v>
      </c>
    </row>
    <row r="82">
      <c r="A82" s="18" t="inlineStr">
        <is>
          <t>선급비용</t>
        </is>
      </c>
      <c r="E82" s="20" t="n">
        <v>386</v>
      </c>
      <c r="H82" s="20" t="n">
        <v>33</v>
      </c>
      <c r="I82" s="20" t="n">
        <v>19</v>
      </c>
      <c r="J82" s="20" t="n">
        <v>21</v>
      </c>
      <c r="K82" s="20" t="n">
        <v>402</v>
      </c>
      <c r="L82" s="20" t="n">
        <v>386</v>
      </c>
    </row>
    <row r="83">
      <c r="A83" s="18" t="inlineStr">
        <is>
          <t>상품·제품</t>
        </is>
      </c>
      <c r="C83" s="20" t="n">
        <v>2871</v>
      </c>
      <c r="D83" s="20" t="n">
        <v>3724</v>
      </c>
      <c r="E83" s="20" t="n">
        <v>2548</v>
      </c>
      <c r="F83" s="20" t="n">
        <v>3152</v>
      </c>
      <c r="G83" s="20" t="n">
        <v>3171</v>
      </c>
      <c r="H83" s="20" t="n">
        <v>2055</v>
      </c>
      <c r="I83" s="20" t="n">
        <v>2461</v>
      </c>
      <c r="J83" s="20" t="n">
        <v>2741</v>
      </c>
      <c r="K83" s="20" t="n">
        <v>2482</v>
      </c>
      <c r="L83" s="20" t="n">
        <v>2548</v>
      </c>
    </row>
    <row r="84">
      <c r="A84" s="18" t="inlineStr">
        <is>
          <t>기타</t>
        </is>
      </c>
      <c r="C84" s="20" t="n">
        <v>5581</v>
      </c>
      <c r="D84" s="20" t="n">
        <v>4749</v>
      </c>
      <c r="E84" s="20" t="n">
        <v>3976</v>
      </c>
      <c r="F84" s="20" t="n">
        <v>11834</v>
      </c>
      <c r="G84" s="20" t="n">
        <v>12257</v>
      </c>
      <c r="H84" s="20" t="n">
        <v>2408</v>
      </c>
      <c r="I84" s="20" t="n">
        <v>2327</v>
      </c>
      <c r="J84" s="20" t="n">
        <v>3105</v>
      </c>
      <c r="K84" s="20" t="n">
        <v>3175</v>
      </c>
      <c r="L84" s="20" t="n">
        <v>3976</v>
      </c>
    </row>
    <row r="85">
      <c r="A85" s="18" t="inlineStr">
        <is>
          <t>대손충당금</t>
        </is>
      </c>
      <c r="C85" s="20" t="n">
        <v>-28</v>
      </c>
      <c r="D85" s="20" t="n">
        <v>-32</v>
      </c>
      <c r="E85" s="20" t="n">
        <v>-36</v>
      </c>
      <c r="F85" s="20" t="n">
        <v>-22</v>
      </c>
      <c r="G85" s="20" t="n">
        <v>-28</v>
      </c>
      <c r="H85" s="20" t="n">
        <v>-94</v>
      </c>
      <c r="I85" s="20" t="n">
        <v>-58</v>
      </c>
      <c r="J85" s="20" t="n">
        <v>-23</v>
      </c>
      <c r="K85" s="20" t="n">
        <v>-10</v>
      </c>
      <c r="L85" s="20" t="n">
        <v>-36</v>
      </c>
    </row>
    <row r="86">
      <c r="A86" s="9" t="inlineStr">
        <is>
          <t>유동자산 합계</t>
        </is>
      </c>
      <c r="C86" s="12" t="n">
        <v>123663</v>
      </c>
      <c r="D86" s="12" t="n">
        <v>130231</v>
      </c>
      <c r="E86" s="12" t="n">
        <v>142101</v>
      </c>
      <c r="F86" s="12" t="n">
        <v>135377</v>
      </c>
      <c r="G86" s="12" t="n">
        <v>149668</v>
      </c>
      <c r="H86" s="12" t="n">
        <v>114941</v>
      </c>
      <c r="I86" s="12" t="n">
        <v>118961</v>
      </c>
      <c r="J86" s="12" t="n">
        <v>95112</v>
      </c>
      <c r="K86" s="12" t="n">
        <v>98058</v>
      </c>
      <c r="L86" s="12" t="n">
        <v>142101</v>
      </c>
    </row>
    <row r="87">
      <c r="A87" s="18" t="inlineStr">
        <is>
          <t>건물·구축물</t>
        </is>
      </c>
      <c r="E87" s="20" t="n">
        <v>47346</v>
      </c>
      <c r="H87" s="20" t="n">
        <v>45157</v>
      </c>
      <c r="I87" s="20" t="n">
        <v>45669</v>
      </c>
      <c r="J87" s="20" t="n">
        <v>46199</v>
      </c>
      <c r="K87" s="20" t="n">
        <v>47112</v>
      </c>
      <c r="L87" s="20" t="n">
        <v>47346</v>
      </c>
    </row>
    <row r="88">
      <c r="A88" s="18" t="inlineStr">
        <is>
          <t>기계·운반구·공구기구비품</t>
        </is>
      </c>
      <c r="E88" s="20" t="n">
        <v>20532</v>
      </c>
      <c r="H88" s="20" t="n">
        <v>12494</v>
      </c>
      <c r="I88" s="20" t="n">
        <v>14239</v>
      </c>
      <c r="J88" s="20" t="n">
        <v>16120</v>
      </c>
      <c r="K88" s="20" t="n">
        <v>18040</v>
      </c>
      <c r="L88" s="20" t="n">
        <v>20532</v>
      </c>
    </row>
    <row r="89">
      <c r="A89" s="18" t="inlineStr">
        <is>
          <t>건물</t>
        </is>
      </c>
      <c r="E89" s="20" t="n">
        <v>37460</v>
      </c>
      <c r="H89" s="20" t="n">
        <v>36391</v>
      </c>
      <c r="I89" s="20" t="n">
        <v>36530</v>
      </c>
      <c r="J89" s="20" t="n">
        <v>36902</v>
      </c>
      <c r="K89" s="20" t="n">
        <v>37226</v>
      </c>
      <c r="L89" s="20" t="n">
        <v>37460</v>
      </c>
    </row>
    <row r="90">
      <c r="A90" s="18" t="inlineStr">
        <is>
          <t>감가상각누계액</t>
        </is>
      </c>
      <c r="E90" s="20" t="n">
        <v>-25235</v>
      </c>
      <c r="H90" s="20" t="n">
        <v>-23117</v>
      </c>
      <c r="I90" s="20" t="n">
        <v>-23767</v>
      </c>
      <c r="J90" s="20" t="n">
        <v>-24389</v>
      </c>
      <c r="K90" s="20" t="n">
        <v>-24818</v>
      </c>
      <c r="L90" s="20" t="n">
        <v>-25235</v>
      </c>
    </row>
    <row r="91">
      <c r="A91" s="18" t="inlineStr">
        <is>
          <t>건물(순액)</t>
        </is>
      </c>
      <c r="E91" s="20" t="n">
        <v>12225</v>
      </c>
      <c r="H91" s="20" t="n">
        <v>13274</v>
      </c>
      <c r="I91" s="20" t="n">
        <v>12762</v>
      </c>
      <c r="J91" s="20" t="n">
        <v>12512</v>
      </c>
      <c r="K91" s="20" t="n">
        <v>12408</v>
      </c>
      <c r="L91" s="20" t="n">
        <v>12225</v>
      </c>
    </row>
    <row r="92">
      <c r="A92" s="18" t="inlineStr">
        <is>
          <t>구축물</t>
        </is>
      </c>
      <c r="E92" s="20" t="n">
        <v>5134</v>
      </c>
      <c r="H92" s="20" t="n">
        <v>4956</v>
      </c>
      <c r="I92" s="20" t="n">
        <v>4958</v>
      </c>
      <c r="J92" s="20" t="n">
        <v>5105</v>
      </c>
      <c r="K92" s="20" t="n">
        <v>5154</v>
      </c>
      <c r="L92" s="20" t="n">
        <v>5134</v>
      </c>
    </row>
    <row r="93">
      <c r="A93" s="18" t="inlineStr">
        <is>
          <t>감가상각누계액</t>
        </is>
      </c>
      <c r="E93" s="20" t="n">
        <v>-3803</v>
      </c>
      <c r="H93" s="20" t="n">
        <v>-3478</v>
      </c>
      <c r="I93" s="20" t="n">
        <v>-3590</v>
      </c>
      <c r="J93" s="20" t="n">
        <v>-3694</v>
      </c>
      <c r="K93" s="20" t="n">
        <v>-3743</v>
      </c>
      <c r="L93" s="20" t="n">
        <v>-3803</v>
      </c>
    </row>
    <row r="94">
      <c r="A94" s="18" t="inlineStr">
        <is>
          <t>구축물(순액)</t>
        </is>
      </c>
      <c r="E94" s="20" t="n">
        <v>1331</v>
      </c>
      <c r="H94" s="20" t="n">
        <v>1478</v>
      </c>
      <c r="I94" s="20" t="n">
        <v>1367</v>
      </c>
      <c r="J94" s="20" t="n">
        <v>1410</v>
      </c>
      <c r="K94" s="20" t="n">
        <v>1410</v>
      </c>
      <c r="L94" s="20" t="n">
        <v>1331</v>
      </c>
    </row>
    <row r="95">
      <c r="A95" s="18" t="inlineStr">
        <is>
          <t>기계장치</t>
        </is>
      </c>
      <c r="E95" s="20" t="n">
        <v>6049</v>
      </c>
      <c r="H95" s="20" t="n">
        <v>998</v>
      </c>
      <c r="I95" s="20" t="n">
        <v>2556</v>
      </c>
      <c r="J95" s="20" t="n">
        <v>4022</v>
      </c>
      <c r="K95" s="20" t="n">
        <v>4881</v>
      </c>
      <c r="L95" s="20" t="n">
        <v>6049</v>
      </c>
    </row>
    <row r="96">
      <c r="A96" s="18" t="inlineStr">
        <is>
          <t>감가상각누계액</t>
        </is>
      </c>
      <c r="E96" s="20" t="n">
        <v>-1534</v>
      </c>
      <c r="H96" s="20" t="n">
        <v>-874</v>
      </c>
      <c r="I96" s="20" t="n">
        <v>-876</v>
      </c>
      <c r="J96" s="20" t="n">
        <v>-1070</v>
      </c>
      <c r="K96" s="20" t="n">
        <v>-1254</v>
      </c>
      <c r="L96" s="20" t="n">
        <v>-1534</v>
      </c>
    </row>
    <row r="97">
      <c r="A97" s="18" t="inlineStr">
        <is>
          <t>기계장치(순액)</t>
        </is>
      </c>
      <c r="E97" s="20" t="n">
        <v>4515</v>
      </c>
      <c r="H97" s="20" t="n">
        <v>124</v>
      </c>
      <c r="I97" s="20" t="n">
        <v>1680</v>
      </c>
      <c r="J97" s="20" t="n">
        <v>2951</v>
      </c>
      <c r="K97" s="20" t="n">
        <v>3627</v>
      </c>
      <c r="L97" s="20" t="n">
        <v>4515</v>
      </c>
    </row>
    <row r="98">
      <c r="A98" s="18" t="inlineStr">
        <is>
          <t>차량운반구</t>
        </is>
      </c>
      <c r="E98" s="20" t="n">
        <v>79</v>
      </c>
      <c r="H98" s="20" t="n">
        <v>76</v>
      </c>
      <c r="I98" s="20" t="n">
        <v>76</v>
      </c>
      <c r="J98" s="20" t="n">
        <v>79</v>
      </c>
      <c r="K98" s="20" t="n">
        <v>79</v>
      </c>
      <c r="L98" s="20" t="n">
        <v>79</v>
      </c>
    </row>
    <row r="99">
      <c r="A99" s="18" t="inlineStr">
        <is>
          <t>감가상각누계액</t>
        </is>
      </c>
      <c r="E99" s="20" t="n">
        <v>-73</v>
      </c>
      <c r="H99" s="20" t="n">
        <v>-74</v>
      </c>
      <c r="I99" s="20" t="n">
        <v>-75</v>
      </c>
      <c r="J99" s="20" t="n">
        <v>-73</v>
      </c>
      <c r="K99" s="20" t="n">
        <v>-71</v>
      </c>
      <c r="L99" s="20" t="n">
        <v>-73</v>
      </c>
    </row>
    <row r="100">
      <c r="A100" s="18" t="inlineStr">
        <is>
          <t>차량운반구(순액)</t>
        </is>
      </c>
      <c r="E100" s="20" t="n">
        <v>5</v>
      </c>
      <c r="H100" s="20" t="n">
        <v>2</v>
      </c>
      <c r="I100" s="20" t="n">
        <v>0</v>
      </c>
      <c r="J100" s="20" t="n">
        <v>6</v>
      </c>
      <c r="K100" s="20" t="n">
        <v>8</v>
      </c>
      <c r="L100" s="20" t="n">
        <v>5</v>
      </c>
    </row>
    <row r="101">
      <c r="A101" s="18" t="inlineStr">
        <is>
          <t>Tools Furniture And Fixtures</t>
        </is>
      </c>
      <c r="E101" s="20" t="n">
        <v>7533</v>
      </c>
      <c r="H101" s="20" t="n">
        <v>6537</v>
      </c>
      <c r="I101" s="20" t="n">
        <v>6706</v>
      </c>
      <c r="J101" s="20" t="n">
        <v>7002</v>
      </c>
      <c r="K101" s="20" t="n">
        <v>7348</v>
      </c>
      <c r="L101" s="20" t="n">
        <v>7533</v>
      </c>
    </row>
    <row r="102">
      <c r="A102" s="18" t="inlineStr">
        <is>
          <t>감가상각누계액</t>
        </is>
      </c>
      <c r="E102" s="20" t="n">
        <v>-6562</v>
      </c>
      <c r="H102" s="20" t="n">
        <v>-5959</v>
      </c>
      <c r="I102" s="20" t="n">
        <v>-6028</v>
      </c>
      <c r="J102" s="20" t="n">
        <v>-6291</v>
      </c>
      <c r="K102" s="20" t="n">
        <v>-6519</v>
      </c>
      <c r="L102" s="20" t="n">
        <v>-6562</v>
      </c>
    </row>
    <row r="103">
      <c r="A103" s="18" t="inlineStr">
        <is>
          <t>Tools Furniture And Fixtures Net</t>
        </is>
      </c>
      <c r="E103" s="20" t="n">
        <v>971</v>
      </c>
      <c r="H103" s="20" t="n">
        <v>578</v>
      </c>
      <c r="I103" s="20" t="n">
        <v>677</v>
      </c>
      <c r="J103" s="20" t="n">
        <v>711</v>
      </c>
      <c r="K103" s="20" t="n">
        <v>829</v>
      </c>
      <c r="L103" s="20" t="n">
        <v>971</v>
      </c>
    </row>
    <row r="104">
      <c r="A104" s="18" t="inlineStr">
        <is>
          <t>건물·구축물(순액)</t>
        </is>
      </c>
      <c r="C104" s="20" t="n">
        <v>15827</v>
      </c>
      <c r="D104" s="20" t="n">
        <v>15663</v>
      </c>
      <c r="E104" s="20" t="n">
        <v>15862</v>
      </c>
      <c r="F104" s="20" t="n">
        <v>16298</v>
      </c>
      <c r="G104" s="20" t="n">
        <v>16125</v>
      </c>
      <c r="H104" s="20" t="n">
        <v>16593</v>
      </c>
      <c r="I104" s="20" t="n">
        <v>16231</v>
      </c>
      <c r="J104" s="20" t="n">
        <v>15918</v>
      </c>
      <c r="K104" s="20" t="n">
        <v>16236</v>
      </c>
      <c r="L104" s="20" t="n">
        <v>15862</v>
      </c>
    </row>
    <row r="105">
      <c r="A105" s="18" t="inlineStr">
        <is>
          <t>토지</t>
        </is>
      </c>
      <c r="C105" s="20" t="n">
        <v>17115</v>
      </c>
      <c r="D105" s="20" t="n">
        <v>17131</v>
      </c>
      <c r="E105" s="20" t="n">
        <v>17131</v>
      </c>
      <c r="F105" s="20" t="n">
        <v>17131</v>
      </c>
      <c r="G105" s="20" t="n">
        <v>17117</v>
      </c>
      <c r="H105" s="20" t="n">
        <v>16141</v>
      </c>
      <c r="I105" s="20" t="n">
        <v>16620</v>
      </c>
      <c r="J105" s="20" t="n">
        <v>14054</v>
      </c>
      <c r="K105" s="20" t="n">
        <v>14407</v>
      </c>
      <c r="L105" s="20" t="n">
        <v>17131</v>
      </c>
    </row>
    <row r="106">
      <c r="A106" s="18" t="inlineStr">
        <is>
          <t>리스자산</t>
        </is>
      </c>
      <c r="E106" s="20" t="n">
        <v>6535</v>
      </c>
      <c r="H106" s="20" t="n">
        <v>871</v>
      </c>
      <c r="I106" s="20" t="n">
        <v>733</v>
      </c>
      <c r="J106" s="20" t="n">
        <v>3854</v>
      </c>
      <c r="K106" s="20" t="n">
        <v>5105</v>
      </c>
      <c r="L106" s="20" t="n">
        <v>6535</v>
      </c>
    </row>
    <row r="107">
      <c r="A107" s="18" t="inlineStr">
        <is>
          <t>감가상각누계액</t>
        </is>
      </c>
      <c r="E107" s="20" t="n">
        <v>-2327</v>
      </c>
      <c r="H107" s="20" t="n">
        <v>-2162</v>
      </c>
      <c r="I107" s="20" t="n">
        <v>-1720</v>
      </c>
      <c r="J107" s="20" t="n">
        <v>-1474</v>
      </c>
      <c r="K107" s="20" t="n">
        <v>-1741</v>
      </c>
      <c r="L107" s="20" t="n">
        <v>-2327</v>
      </c>
    </row>
    <row r="108">
      <c r="A108" s="18" t="inlineStr">
        <is>
          <t>리스자산(순액)</t>
        </is>
      </c>
      <c r="E108" s="20" t="n">
        <v>4208</v>
      </c>
      <c r="H108" s="20" t="n">
        <v>1734</v>
      </c>
      <c r="I108" s="20" t="n">
        <v>1942</v>
      </c>
      <c r="J108" s="20" t="n">
        <v>2379</v>
      </c>
      <c r="K108" s="20" t="n">
        <v>3364</v>
      </c>
      <c r="L108" s="20" t="n">
        <v>4208</v>
      </c>
    </row>
    <row r="109">
      <c r="A109" s="18" t="inlineStr">
        <is>
          <t>건설중인자산</t>
        </is>
      </c>
      <c r="E109" s="20" t="n">
        <v>635</v>
      </c>
      <c r="H109" s="20" t="n">
        <v>225</v>
      </c>
      <c r="I109" s="20" t="n">
        <v>742</v>
      </c>
      <c r="J109" s="20" t="n">
        <v>474</v>
      </c>
      <c r="K109" s="20" t="n">
        <v>263</v>
      </c>
      <c r="L109" s="20" t="n">
        <v>635</v>
      </c>
    </row>
    <row r="110">
      <c r="A110" s="18" t="inlineStr">
        <is>
          <t>감가상각누계액</t>
        </is>
      </c>
      <c r="E110" s="20" t="n">
        <v>-44284</v>
      </c>
      <c r="H110" s="20" t="n">
        <v>-39445</v>
      </c>
      <c r="I110" s="20" t="n">
        <v>-40089</v>
      </c>
      <c r="J110" s="20" t="n">
        <v>-41361</v>
      </c>
      <c r="K110" s="20" t="n">
        <v>-42736</v>
      </c>
      <c r="L110" s="20" t="n">
        <v>-44284</v>
      </c>
    </row>
    <row r="111">
      <c r="A111" s="18" t="inlineStr">
        <is>
          <t>기타(순액)</t>
        </is>
      </c>
      <c r="C111" s="20" t="n">
        <v>8175</v>
      </c>
      <c r="D111" s="20" t="n">
        <v>8922</v>
      </c>
      <c r="E111" s="20" t="n">
        <v>9366</v>
      </c>
      <c r="F111" s="20" t="n">
        <v>9345</v>
      </c>
      <c r="G111" s="20" t="n">
        <v>10477</v>
      </c>
      <c r="H111" s="20" t="n">
        <v>2710</v>
      </c>
      <c r="I111" s="20" t="n">
        <v>5063</v>
      </c>
      <c r="J111" s="20" t="n">
        <v>6147</v>
      </c>
      <c r="K111" s="20" t="n">
        <v>7228</v>
      </c>
      <c r="L111" s="20" t="n">
        <v>9366</v>
      </c>
    </row>
    <row r="112">
      <c r="A112" s="18" t="inlineStr">
        <is>
          <t>유형자산 합계</t>
        </is>
      </c>
      <c r="C112" s="20" t="n">
        <v>41118</v>
      </c>
      <c r="D112" s="20" t="n">
        <v>41717</v>
      </c>
      <c r="E112" s="20" t="n">
        <v>42360</v>
      </c>
      <c r="F112" s="20" t="n">
        <v>42775</v>
      </c>
      <c r="G112" s="20" t="n">
        <v>43721</v>
      </c>
      <c r="H112" s="20" t="n">
        <v>35444</v>
      </c>
      <c r="I112" s="20" t="n">
        <v>37915</v>
      </c>
      <c r="J112" s="20" t="n">
        <v>34500</v>
      </c>
      <c r="K112" s="20" t="n">
        <v>36318</v>
      </c>
      <c r="L112" s="20" t="n">
        <v>42360</v>
      </c>
    </row>
    <row r="113">
      <c r="A113" s="18" t="inlineStr">
        <is>
          <t>영업권</t>
        </is>
      </c>
      <c r="C113" s="20" t="n">
        <v>1182</v>
      </c>
      <c r="D113" s="20" t="n">
        <v>1020</v>
      </c>
      <c r="E113" s="20" t="n">
        <v>859</v>
      </c>
      <c r="F113" s="20" t="n">
        <v>697</v>
      </c>
      <c r="G113" s="20" t="n">
        <v>535</v>
      </c>
      <c r="H113" s="20" t="n">
        <v>3137</v>
      </c>
      <c r="I113" s="20" t="n">
        <v>2792</v>
      </c>
      <c r="J113" s="20" t="n">
        <v>281</v>
      </c>
      <c r="K113" s="20" t="n">
        <v>258</v>
      </c>
      <c r="L113" s="20" t="n">
        <v>859</v>
      </c>
    </row>
    <row r="114">
      <c r="A114" s="18" t="inlineStr">
        <is>
          <t>소프트웨어</t>
        </is>
      </c>
      <c r="E114" s="20" t="n">
        <v>1614</v>
      </c>
      <c r="H114" s="20" t="n">
        <v>1138</v>
      </c>
      <c r="I114" s="20" t="n">
        <v>1160</v>
      </c>
      <c r="J114" s="20" t="n">
        <v>1385</v>
      </c>
      <c r="K114" s="20" t="n">
        <v>1468</v>
      </c>
      <c r="L114" s="20" t="n">
        <v>1614</v>
      </c>
    </row>
    <row r="115">
      <c r="A115" s="18" t="inlineStr">
        <is>
          <t>리스자산</t>
        </is>
      </c>
      <c r="H115" s="20" t="n">
        <v>4</v>
      </c>
      <c r="I115" s="20" t="n">
        <v>1</v>
      </c>
      <c r="J115" s="20" t="n">
        <v>0</v>
      </c>
    </row>
    <row r="116">
      <c r="A116" s="18" t="inlineStr">
        <is>
          <t>기타</t>
        </is>
      </c>
      <c r="C116" s="20" t="n">
        <v>4331</v>
      </c>
      <c r="D116" s="20" t="n">
        <v>4291</v>
      </c>
      <c r="E116" s="20" t="n">
        <v>4481</v>
      </c>
      <c r="F116" s="20" t="n">
        <v>4456</v>
      </c>
      <c r="G116" s="20" t="n">
        <v>4468</v>
      </c>
      <c r="H116" s="20" t="n">
        <v>4946</v>
      </c>
      <c r="I116" s="20" t="n">
        <v>4685</v>
      </c>
      <c r="J116" s="20" t="n">
        <v>50</v>
      </c>
      <c r="K116" s="20" t="n">
        <v>9</v>
      </c>
      <c r="L116" s="20" t="n">
        <v>4481</v>
      </c>
    </row>
    <row r="117">
      <c r="A117" s="18" t="inlineStr">
        <is>
          <t>무형자산 합계</t>
        </is>
      </c>
      <c r="C117" s="20" t="n">
        <v>5513</v>
      </c>
      <c r="D117" s="20" t="n">
        <v>5312</v>
      </c>
      <c r="E117" s="20" t="n">
        <v>5341</v>
      </c>
      <c r="F117" s="20" t="n">
        <v>5153</v>
      </c>
      <c r="G117" s="20" t="n">
        <v>5004</v>
      </c>
      <c r="H117" s="20" t="n">
        <v>8084</v>
      </c>
      <c r="I117" s="20" t="n">
        <v>7478</v>
      </c>
      <c r="J117" s="20" t="n">
        <v>1718</v>
      </c>
      <c r="K117" s="20" t="n">
        <v>1736</v>
      </c>
      <c r="L117" s="20" t="n">
        <v>5341</v>
      </c>
    </row>
    <row r="118">
      <c r="A118" s="18" t="inlineStr">
        <is>
          <t>투자유가증권</t>
        </is>
      </c>
      <c r="C118" s="20" t="n">
        <v>101609</v>
      </c>
      <c r="D118" s="20" t="n">
        <v>105090</v>
      </c>
      <c r="E118" s="20" t="n">
        <v>104807</v>
      </c>
      <c r="F118" s="20" t="n">
        <v>115150</v>
      </c>
      <c r="G118" s="20" t="n">
        <v>114143</v>
      </c>
      <c r="H118" s="20" t="n">
        <v>109243</v>
      </c>
      <c r="I118" s="20" t="n">
        <v>95210</v>
      </c>
      <c r="J118" s="20" t="n">
        <v>97343</v>
      </c>
      <c r="K118" s="20" t="n">
        <v>90198</v>
      </c>
      <c r="L118" s="20" t="n">
        <v>104807</v>
      </c>
    </row>
    <row r="119">
      <c r="A119" s="18" t="inlineStr">
        <is>
          <t>장기대여금</t>
        </is>
      </c>
      <c r="E119" s="20" t="n">
        <v>12946</v>
      </c>
      <c r="H119" s="20" t="n">
        <v>5010</v>
      </c>
      <c r="I119" s="20" t="n">
        <v>5007</v>
      </c>
      <c r="J119" s="20" t="n">
        <v>5006</v>
      </c>
      <c r="K119" s="20" t="n">
        <v>5007</v>
      </c>
      <c r="L119" s="20" t="n">
        <v>12946</v>
      </c>
    </row>
    <row r="120">
      <c r="A120" s="18" t="inlineStr">
        <is>
          <t>관계회사 주식</t>
        </is>
      </c>
      <c r="E120" s="20" t="n">
        <v>27523</v>
      </c>
      <c r="H120" s="20" t="n">
        <v>20146</v>
      </c>
      <c r="I120" s="20" t="n">
        <v>17104</v>
      </c>
      <c r="J120" s="20" t="n">
        <v>17910</v>
      </c>
      <c r="K120" s="20" t="n">
        <v>27431</v>
      </c>
      <c r="L120" s="20" t="n">
        <v>27523</v>
      </c>
    </row>
    <row r="121">
      <c r="A121" s="18" t="inlineStr">
        <is>
          <t>Bonds Of Subsidiaries And Affiliates</t>
        </is>
      </c>
      <c r="H121" s="20" t="n">
        <v>0</v>
      </c>
    </row>
    <row r="122">
      <c r="A122" s="18" t="inlineStr">
        <is>
          <t>기타 관계회사 유가증권</t>
        </is>
      </c>
      <c r="E122" s="20" t="n">
        <v>319</v>
      </c>
      <c r="H122" s="20" t="n">
        <v>326</v>
      </c>
      <c r="I122" s="20" t="n">
        <v>341</v>
      </c>
      <c r="J122" s="20" t="n">
        <v>339</v>
      </c>
      <c r="K122" s="20" t="n">
        <v>348</v>
      </c>
      <c r="L122" s="20" t="n">
        <v>319</v>
      </c>
    </row>
    <row r="123">
      <c r="A123" s="18" t="inlineStr">
        <is>
          <t>종업원 장기대여금</t>
        </is>
      </c>
      <c r="E123" s="20" t="n">
        <v>6</v>
      </c>
      <c r="H123" s="20" t="n">
        <v>8</v>
      </c>
      <c r="I123" s="20" t="n">
        <v>5</v>
      </c>
      <c r="J123" s="20" t="n">
        <v>5</v>
      </c>
      <c r="K123" s="20" t="n">
        <v>6</v>
      </c>
      <c r="L123" s="20" t="n">
        <v>6</v>
      </c>
    </row>
    <row r="124">
      <c r="A124" s="18" t="inlineStr">
        <is>
          <t>관계회사 장기대여금</t>
        </is>
      </c>
      <c r="E124" s="20" t="n">
        <v>18438</v>
      </c>
      <c r="H124" s="20" t="n">
        <v>9600</v>
      </c>
      <c r="I124" s="20" t="n">
        <v>8000</v>
      </c>
      <c r="J124" s="20" t="n">
        <v>5000</v>
      </c>
      <c r="K124" s="20" t="n">
        <v>7500</v>
      </c>
      <c r="L124" s="20" t="n">
        <v>18438</v>
      </c>
    </row>
    <row r="125">
      <c r="A125" s="18" t="inlineStr">
        <is>
          <t>파산갱생채권 등</t>
        </is>
      </c>
      <c r="E125" s="20" t="n">
        <v>44</v>
      </c>
      <c r="K125" s="20" t="n">
        <v>0</v>
      </c>
      <c r="L125" s="20" t="n">
        <v>44</v>
      </c>
    </row>
    <row r="126">
      <c r="A126" s="18" t="inlineStr">
        <is>
          <t>장기선급비용</t>
        </is>
      </c>
      <c r="E126" s="20" t="n">
        <v>634</v>
      </c>
      <c r="H126" s="20" t="n">
        <v>128</v>
      </c>
      <c r="I126" s="20" t="n">
        <v>98</v>
      </c>
      <c r="J126" s="20" t="n">
        <v>141</v>
      </c>
      <c r="K126" s="20" t="n">
        <v>925</v>
      </c>
      <c r="L126" s="20" t="n">
        <v>634</v>
      </c>
    </row>
    <row r="127">
      <c r="A127" s="18" t="inlineStr">
        <is>
          <t>선급연금비용</t>
        </is>
      </c>
      <c r="E127" s="20" t="n">
        <v>1359</v>
      </c>
      <c r="I127" s="20" t="n">
        <v>0</v>
      </c>
      <c r="J127" s="20" t="n">
        <v>306</v>
      </c>
      <c r="K127" s="20" t="n">
        <v>800</v>
      </c>
      <c r="L127" s="20" t="n">
        <v>1359</v>
      </c>
    </row>
    <row r="128">
      <c r="A128" s="18" t="inlineStr">
        <is>
          <t>이연법인세자산</t>
        </is>
      </c>
      <c r="E128" s="20" t="n">
        <v>295</v>
      </c>
      <c r="H128" s="20" t="n">
        <v>4054</v>
      </c>
      <c r="I128" s="20" t="n">
        <v>4771</v>
      </c>
      <c r="J128" s="20" t="n">
        <v>1496</v>
      </c>
      <c r="K128" s="20" t="n">
        <v>2008</v>
      </c>
      <c r="L128" s="20" t="n">
        <v>295</v>
      </c>
    </row>
    <row r="129">
      <c r="A129" s="18" t="inlineStr">
        <is>
          <t>보험적립금</t>
        </is>
      </c>
      <c r="E129" s="20" t="n">
        <v>1089</v>
      </c>
      <c r="H129" s="20" t="n">
        <v>1347</v>
      </c>
      <c r="I129" s="20" t="n">
        <v>1061</v>
      </c>
      <c r="J129" s="20" t="n">
        <v>998</v>
      </c>
      <c r="K129" s="20" t="n">
        <v>1035</v>
      </c>
      <c r="L129" s="20" t="n">
        <v>1089</v>
      </c>
    </row>
    <row r="130">
      <c r="A130" s="18" t="inlineStr">
        <is>
          <t>퇴직급여자산</t>
        </is>
      </c>
      <c r="C130" s="20" t="n">
        <v>4274</v>
      </c>
      <c r="D130" s="20" t="n">
        <v>4121</v>
      </c>
      <c r="E130" s="20" t="n">
        <v>5932</v>
      </c>
      <c r="F130" s="20" t="n">
        <v>5804</v>
      </c>
      <c r="G130" s="20" t="n">
        <v>6240</v>
      </c>
      <c r="H130" s="20" t="n">
        <v>495</v>
      </c>
      <c r="I130" s="20" t="n">
        <v>583</v>
      </c>
      <c r="J130" s="20" t="n">
        <v>1777</v>
      </c>
      <c r="K130" s="20" t="n">
        <v>3739</v>
      </c>
      <c r="L130" s="20" t="n">
        <v>5932</v>
      </c>
    </row>
    <row r="131">
      <c r="A131" s="18" t="inlineStr">
        <is>
          <t>기타</t>
        </is>
      </c>
      <c r="C131" s="20" t="n">
        <v>17593</v>
      </c>
      <c r="D131" s="20" t="n">
        <v>16933</v>
      </c>
      <c r="E131" s="20" t="n">
        <v>17415</v>
      </c>
      <c r="F131" s="20" t="n">
        <v>9111</v>
      </c>
      <c r="G131" s="20" t="n">
        <v>8847</v>
      </c>
      <c r="H131" s="20" t="n">
        <v>2543</v>
      </c>
      <c r="I131" s="20" t="n">
        <v>2677</v>
      </c>
      <c r="J131" s="20" t="n">
        <v>316</v>
      </c>
      <c r="K131" s="20" t="n">
        <v>324</v>
      </c>
      <c r="L131" s="20" t="n">
        <v>17415</v>
      </c>
    </row>
    <row r="132">
      <c r="A132" s="18" t="inlineStr">
        <is>
          <t>대손충당금</t>
        </is>
      </c>
      <c r="C132" s="20" t="n">
        <v>-102</v>
      </c>
      <c r="D132" s="20" t="n">
        <v>-138</v>
      </c>
      <c r="E132" s="20" t="n">
        <v>-137</v>
      </c>
      <c r="F132" s="20" t="n">
        <v>-126</v>
      </c>
      <c r="G132" s="20" t="n">
        <v>-136</v>
      </c>
      <c r="H132" s="20" t="n">
        <v>-92</v>
      </c>
      <c r="I132" s="20" t="n">
        <v>-90</v>
      </c>
      <c r="J132" s="20" t="n">
        <v>-59</v>
      </c>
      <c r="K132" s="20" t="n">
        <v>-57</v>
      </c>
      <c r="L132" s="20" t="n">
        <v>-137</v>
      </c>
    </row>
    <row r="133">
      <c r="A133" s="18" t="inlineStr">
        <is>
          <t>투자 및 기타자산 합계</t>
        </is>
      </c>
      <c r="C133" s="20" t="n">
        <v>123373</v>
      </c>
      <c r="D133" s="20" t="n">
        <v>126005</v>
      </c>
      <c r="E133" s="20" t="n">
        <v>128016</v>
      </c>
      <c r="F133" s="20" t="n">
        <v>129939</v>
      </c>
      <c r="G133" s="20" t="n">
        <v>129094</v>
      </c>
      <c r="H133" s="20" t="n">
        <v>121255</v>
      </c>
      <c r="I133" s="20" t="n">
        <v>108159</v>
      </c>
      <c r="J133" s="20" t="n">
        <v>123797</v>
      </c>
      <c r="K133" s="20" t="n">
        <v>130521</v>
      </c>
      <c r="L133" s="20" t="n">
        <v>128016</v>
      </c>
    </row>
    <row r="134">
      <c r="A134" s="9" t="inlineStr">
        <is>
          <t>비유동자산 합계</t>
        </is>
      </c>
      <c r="C134" s="12" t="n">
        <v>170005</v>
      </c>
      <c r="D134" s="12" t="n">
        <v>173035</v>
      </c>
      <c r="E134" s="12" t="n">
        <v>175717</v>
      </c>
      <c r="F134" s="12" t="n">
        <v>177868</v>
      </c>
      <c r="G134" s="12" t="n">
        <v>177820</v>
      </c>
      <c r="H134" s="12" t="n">
        <v>164784</v>
      </c>
      <c r="I134" s="12" t="n">
        <v>153552</v>
      </c>
      <c r="J134" s="12" t="n">
        <v>160016</v>
      </c>
      <c r="K134" s="12" t="n">
        <v>168577</v>
      </c>
      <c r="L134" s="12" t="n">
        <v>175717</v>
      </c>
    </row>
    <row r="135">
      <c r="A135" s="9" t="inlineStr">
        <is>
          <t>자산 합계</t>
        </is>
      </c>
      <c r="C135" s="12" t="n">
        <v>293668</v>
      </c>
      <c r="D135" s="12" t="n">
        <v>303267</v>
      </c>
      <c r="E135" s="12" t="n">
        <v>317819</v>
      </c>
      <c r="F135" s="12" t="n">
        <v>313245</v>
      </c>
      <c r="G135" s="12" t="n">
        <v>327488</v>
      </c>
      <c r="H135" s="12" t="n">
        <v>279725</v>
      </c>
      <c r="I135" s="12" t="n">
        <v>272514</v>
      </c>
      <c r="J135" s="12" t="n">
        <v>255129</v>
      </c>
      <c r="K135" s="12" t="n">
        <v>266636</v>
      </c>
      <c r="L135" s="12" t="n">
        <v>317819</v>
      </c>
    </row>
    <row r="136">
      <c r="A136" s="18" t="inlineStr">
        <is>
          <t>공사 미지급금</t>
        </is>
      </c>
      <c r="E136" s="20" t="n">
        <v>24376</v>
      </c>
      <c r="H136" s="20" t="n">
        <v>26153</v>
      </c>
      <c r="I136" s="20" t="n">
        <v>24340</v>
      </c>
      <c r="J136" s="20" t="n">
        <v>26655</v>
      </c>
      <c r="K136" s="20" t="n">
        <v>25949</v>
      </c>
      <c r="L136" s="20" t="n">
        <v>24376</v>
      </c>
    </row>
    <row r="137">
      <c r="A137" s="18" t="inlineStr">
        <is>
          <t>리스부채</t>
        </is>
      </c>
      <c r="E137" s="20" t="n">
        <v>1000</v>
      </c>
      <c r="H137" s="20" t="n">
        <v>144</v>
      </c>
      <c r="I137" s="20" t="n">
        <v>122</v>
      </c>
      <c r="J137" s="20" t="n">
        <v>624</v>
      </c>
      <c r="K137" s="20" t="n">
        <v>812</v>
      </c>
      <c r="L137" s="20" t="n">
        <v>1000</v>
      </c>
    </row>
    <row r="138">
      <c r="A138" s="18" t="inlineStr">
        <is>
          <t>미지급금</t>
        </is>
      </c>
      <c r="E138" s="20" t="n">
        <v>3065</v>
      </c>
      <c r="H138" s="20" t="n">
        <v>1638</v>
      </c>
      <c r="I138" s="20" t="n">
        <v>1710</v>
      </c>
      <c r="J138" s="20" t="n">
        <v>2708</v>
      </c>
      <c r="K138" s="20" t="n">
        <v>2991</v>
      </c>
      <c r="L138" s="20" t="n">
        <v>3065</v>
      </c>
    </row>
    <row r="139">
      <c r="A139" s="18" t="inlineStr">
        <is>
          <t>미지급비용</t>
        </is>
      </c>
      <c r="E139" s="20" t="n">
        <v>1766</v>
      </c>
      <c r="H139" s="20" t="n">
        <v>1005</v>
      </c>
      <c r="I139" s="20" t="n">
        <v>807</v>
      </c>
      <c r="J139" s="20" t="n">
        <v>1146</v>
      </c>
      <c r="K139" s="20" t="n">
        <v>1365</v>
      </c>
      <c r="L139" s="20" t="n">
        <v>1766</v>
      </c>
    </row>
    <row r="140">
      <c r="A140" s="18" t="inlineStr">
        <is>
          <t>지급어음·공사 미지급금 등</t>
        </is>
      </c>
      <c r="C140" s="20" t="n">
        <v>26236</v>
      </c>
      <c r="D140" s="20" t="n">
        <v>27863</v>
      </c>
      <c r="E140" s="20" t="n">
        <v>34108</v>
      </c>
      <c r="F140" s="20" t="n">
        <v>22198</v>
      </c>
      <c r="G140" s="20" t="n">
        <v>24651</v>
      </c>
      <c r="H140" s="20" t="n">
        <v>37272</v>
      </c>
      <c r="I140" s="20" t="n">
        <v>34423</v>
      </c>
      <c r="J140" s="20" t="n">
        <v>36973</v>
      </c>
      <c r="K140" s="20" t="n">
        <v>36283</v>
      </c>
      <c r="L140" s="20" t="n">
        <v>34108</v>
      </c>
    </row>
    <row r="141">
      <c r="A141" s="18" t="inlineStr">
        <is>
          <t>단기차입금</t>
        </is>
      </c>
      <c r="H141" s="20" t="n">
        <v>133</v>
      </c>
      <c r="I141" s="20" t="n">
        <v>0</v>
      </c>
    </row>
    <row r="142">
      <c r="A142" s="18" t="inlineStr">
        <is>
          <t>미지급법인세</t>
        </is>
      </c>
      <c r="C142" s="20" t="n">
        <v>4005</v>
      </c>
      <c r="D142" s="20" t="n">
        <v>5049</v>
      </c>
      <c r="E142" s="20" t="n">
        <v>8628</v>
      </c>
      <c r="F142" s="20" t="n">
        <v>2165</v>
      </c>
      <c r="G142" s="20" t="n">
        <v>5116</v>
      </c>
      <c r="H142" s="20" t="n">
        <v>2078</v>
      </c>
      <c r="I142" s="20" t="n">
        <v>1831</v>
      </c>
      <c r="J142" s="20" t="n">
        <v>2683</v>
      </c>
      <c r="K142" s="20" t="n">
        <v>152</v>
      </c>
      <c r="L142" s="20" t="n">
        <v>8628</v>
      </c>
    </row>
    <row r="143">
      <c r="A143" s="18" t="inlineStr">
        <is>
          <t>미성공사 선수금</t>
        </is>
      </c>
      <c r="C143" s="20" t="n">
        <v>8480</v>
      </c>
      <c r="D143" s="20" t="n">
        <v>9144</v>
      </c>
      <c r="E143" s="20" t="n">
        <v>7568</v>
      </c>
      <c r="F143" s="20" t="n">
        <v>9043</v>
      </c>
      <c r="G143" s="20" t="n">
        <v>9940</v>
      </c>
      <c r="H143" s="20" t="n">
        <v>4135</v>
      </c>
      <c r="I143" s="20" t="n">
        <v>6156</v>
      </c>
      <c r="J143" s="20" t="n">
        <v>4236</v>
      </c>
      <c r="K143" s="20" t="n">
        <v>4995</v>
      </c>
      <c r="L143" s="20" t="n">
        <v>7568</v>
      </c>
    </row>
    <row r="144">
      <c r="A144" s="18" t="inlineStr">
        <is>
          <t>예수금</t>
        </is>
      </c>
      <c r="E144" s="20" t="n">
        <v>203</v>
      </c>
      <c r="H144" s="20" t="n">
        <v>176</v>
      </c>
      <c r="I144" s="20" t="n">
        <v>178</v>
      </c>
      <c r="J144" s="20" t="n">
        <v>328</v>
      </c>
      <c r="K144" s="20" t="n">
        <v>186</v>
      </c>
      <c r="L144" s="20" t="n">
        <v>203</v>
      </c>
    </row>
    <row r="145">
      <c r="A145" s="18" t="inlineStr">
        <is>
          <t>선수수익</t>
        </is>
      </c>
      <c r="E145" s="20" t="n">
        <v>2</v>
      </c>
      <c r="H145" s="20" t="n">
        <v>12</v>
      </c>
      <c r="I145" s="20" t="n">
        <v>2</v>
      </c>
      <c r="J145" s="20" t="n">
        <v>2</v>
      </c>
      <c r="K145" s="20" t="n">
        <v>2</v>
      </c>
      <c r="L145" s="20" t="n">
        <v>2</v>
      </c>
    </row>
    <row r="146">
      <c r="A146" s="18" t="inlineStr">
        <is>
          <t>완성공사 보증 충당금</t>
        </is>
      </c>
      <c r="C146" s="20" t="n">
        <v>49</v>
      </c>
      <c r="D146" s="20" t="n">
        <v>49</v>
      </c>
      <c r="E146" s="20" t="n">
        <v>52</v>
      </c>
      <c r="F146" s="20" t="n">
        <v>49</v>
      </c>
      <c r="G146" s="20" t="n">
        <v>51</v>
      </c>
      <c r="H146" s="20" t="n">
        <v>59</v>
      </c>
      <c r="I146" s="20" t="n">
        <v>52</v>
      </c>
      <c r="J146" s="20" t="n">
        <v>52</v>
      </c>
      <c r="K146" s="20" t="n">
        <v>55</v>
      </c>
      <c r="L146" s="20" t="n">
        <v>52</v>
      </c>
    </row>
    <row r="147">
      <c r="A147" s="18" t="inlineStr">
        <is>
          <t>공사손실충당금</t>
        </is>
      </c>
      <c r="C147" s="20" t="n">
        <v>22</v>
      </c>
      <c r="D147" s="20" t="n">
        <v>22</v>
      </c>
      <c r="E147" s="20" t="n">
        <v>19</v>
      </c>
      <c r="F147" s="20" t="n">
        <v>7</v>
      </c>
      <c r="G147" s="20" t="n">
        <v>10</v>
      </c>
      <c r="H147" s="20" t="n">
        <v>115</v>
      </c>
      <c r="I147" s="20" t="n">
        <v>344</v>
      </c>
      <c r="J147" s="20" t="n">
        <v>64</v>
      </c>
      <c r="K147" s="20" t="n">
        <v>36</v>
      </c>
      <c r="L147" s="20" t="n">
        <v>19</v>
      </c>
    </row>
    <row r="148">
      <c r="A148" s="18" t="inlineStr">
        <is>
          <t>임원 상여충당금</t>
        </is>
      </c>
      <c r="C148" s="20" t="n">
        <v>0</v>
      </c>
      <c r="D148" s="20" t="n">
        <v>0</v>
      </c>
      <c r="E148" s="20" t="n">
        <v>73</v>
      </c>
      <c r="F148" s="20" t="n">
        <v>0</v>
      </c>
      <c r="G148" s="20" t="n">
        <v>0</v>
      </c>
      <c r="H148" s="20" t="n">
        <v>81</v>
      </c>
      <c r="I148" s="20" t="n">
        <v>72</v>
      </c>
      <c r="J148" s="20" t="n">
        <v>72</v>
      </c>
      <c r="K148" s="20" t="n">
        <v>81</v>
      </c>
      <c r="L148" s="20" t="n">
        <v>73</v>
      </c>
    </row>
    <row r="149">
      <c r="A149" s="18" t="inlineStr">
        <is>
          <t>기타</t>
        </is>
      </c>
      <c r="C149" s="20" t="n">
        <v>4172</v>
      </c>
      <c r="D149" s="20" t="n">
        <v>4342</v>
      </c>
      <c r="E149" s="20" t="n">
        <v>7531</v>
      </c>
      <c r="F149" s="20" t="n">
        <v>7201</v>
      </c>
      <c r="G149" s="20" t="n">
        <v>5729</v>
      </c>
      <c r="H149" s="20" t="n">
        <v>4808</v>
      </c>
      <c r="I149" s="20" t="n">
        <v>4355</v>
      </c>
      <c r="J149" s="20" t="n">
        <v>69</v>
      </c>
      <c r="K149" s="20" t="n">
        <v>159</v>
      </c>
      <c r="L149" s="20" t="n">
        <v>7531</v>
      </c>
    </row>
    <row r="150">
      <c r="A150" s="9" t="inlineStr">
        <is>
          <t>유동부채 합계</t>
        </is>
      </c>
      <c r="C150" s="12" t="n">
        <v>42966</v>
      </c>
      <c r="D150" s="12" t="n">
        <v>46472</v>
      </c>
      <c r="E150" s="12" t="n">
        <v>57982</v>
      </c>
      <c r="F150" s="12" t="n">
        <v>40666</v>
      </c>
      <c r="G150" s="12" t="n">
        <v>45499</v>
      </c>
      <c r="H150" s="12" t="n">
        <v>48831</v>
      </c>
      <c r="I150" s="12" t="n">
        <v>47358</v>
      </c>
      <c r="J150" s="12" t="n">
        <v>38571</v>
      </c>
      <c r="K150" s="12" t="n">
        <v>36706</v>
      </c>
      <c r="L150" s="12" t="n">
        <v>57982</v>
      </c>
    </row>
    <row r="151">
      <c r="A151" s="18" t="inlineStr">
        <is>
          <t>장기차입금</t>
        </is>
      </c>
      <c r="H151" s="20" t="n">
        <v>0</v>
      </c>
    </row>
    <row r="152">
      <c r="A152" s="18" t="inlineStr">
        <is>
          <t>리스부채</t>
        </is>
      </c>
      <c r="E152" s="20" t="n">
        <v>3650</v>
      </c>
      <c r="H152" s="20" t="n">
        <v>267</v>
      </c>
      <c r="I152" s="20" t="n">
        <v>260</v>
      </c>
      <c r="J152" s="20" t="n">
        <v>2006</v>
      </c>
      <c r="K152" s="20" t="n">
        <v>2904</v>
      </c>
      <c r="L152" s="20" t="n">
        <v>3650</v>
      </c>
    </row>
    <row r="153">
      <c r="A153" s="18" t="inlineStr">
        <is>
          <t>이연법인세부채</t>
        </is>
      </c>
      <c r="E153" s="20" t="n">
        <v>5496</v>
      </c>
      <c r="H153" s="20" t="n">
        <v>1092</v>
      </c>
      <c r="I153" s="20" t="n">
        <v>1003</v>
      </c>
      <c r="J153" s="20" t="n">
        <v>2035</v>
      </c>
      <c r="K153" s="20" t="n">
        <v>3397</v>
      </c>
      <c r="L153" s="20" t="n">
        <v>5496</v>
      </c>
    </row>
    <row r="154">
      <c r="A154" s="18" t="inlineStr">
        <is>
          <t>퇴직급여충당금</t>
        </is>
      </c>
      <c r="E154" s="20" t="n">
        <v>13990</v>
      </c>
      <c r="H154" s="20" t="n">
        <v>11504</v>
      </c>
      <c r="I154" s="20" t="n">
        <v>11790</v>
      </c>
      <c r="J154" s="20" t="n">
        <v>12620</v>
      </c>
      <c r="K154" s="20" t="n">
        <v>13507</v>
      </c>
      <c r="L154" s="20" t="n">
        <v>13990</v>
      </c>
    </row>
    <row r="155">
      <c r="A155" s="18" t="inlineStr">
        <is>
          <t>자산복구부채</t>
        </is>
      </c>
      <c r="E155" s="20" t="n">
        <v>212</v>
      </c>
      <c r="H155" s="20" t="n">
        <v>0</v>
      </c>
      <c r="I155" s="20" t="n">
        <v>116</v>
      </c>
      <c r="J155" s="20" t="n">
        <v>163</v>
      </c>
      <c r="K155" s="20" t="n">
        <v>175</v>
      </c>
      <c r="L155" s="20" t="n">
        <v>212</v>
      </c>
    </row>
    <row r="156">
      <c r="A156" s="18" t="inlineStr">
        <is>
          <t>Provision For Loss On Guarantees</t>
        </is>
      </c>
      <c r="H156" s="20" t="n">
        <v>0</v>
      </c>
      <c r="I156" s="20" t="n">
        <v>7286</v>
      </c>
      <c r="J156" s="20" t="n">
        <v>0</v>
      </c>
    </row>
    <row r="157">
      <c r="A157" s="18" t="inlineStr">
        <is>
          <t>임원 퇴직위로 충당금</t>
        </is>
      </c>
      <c r="C157" s="20" t="n">
        <v>180</v>
      </c>
      <c r="D157" s="20" t="n">
        <v>192</v>
      </c>
      <c r="E157" s="20" t="n">
        <v>203</v>
      </c>
      <c r="F157" s="20" t="n">
        <v>115</v>
      </c>
      <c r="G157" s="20" t="n">
        <v>126</v>
      </c>
      <c r="H157" s="20" t="n">
        <v>221</v>
      </c>
      <c r="I157" s="20" t="n">
        <v>249</v>
      </c>
      <c r="J157" s="20" t="n">
        <v>284</v>
      </c>
      <c r="K157" s="20" t="n">
        <v>271</v>
      </c>
      <c r="L157" s="20" t="n">
        <v>203</v>
      </c>
    </row>
    <row r="158">
      <c r="A158" s="18" t="inlineStr">
        <is>
          <t>퇴직급여부채</t>
        </is>
      </c>
      <c r="C158" s="20" t="n">
        <v>9714</v>
      </c>
      <c r="D158" s="20" t="n">
        <v>9935</v>
      </c>
      <c r="E158" s="20" t="n">
        <v>5444</v>
      </c>
      <c r="F158" s="20" t="n">
        <v>5742</v>
      </c>
      <c r="G158" s="20" t="n">
        <v>6036</v>
      </c>
      <c r="H158" s="20" t="n">
        <v>12866</v>
      </c>
      <c r="I158" s="20" t="n">
        <v>13715</v>
      </c>
      <c r="J158" s="20" t="n">
        <v>11289</v>
      </c>
      <c r="K158" s="20" t="n">
        <v>9307</v>
      </c>
      <c r="L158" s="20" t="n">
        <v>5444</v>
      </c>
    </row>
    <row r="159">
      <c r="A159" s="18" t="inlineStr">
        <is>
          <t>관계회사 사업손실충당금</t>
        </is>
      </c>
      <c r="H159" s="20" t="n">
        <v>31</v>
      </c>
      <c r="I159" s="20" t="n">
        <v>827</v>
      </c>
      <c r="J159" s="20" t="n">
        <v>0</v>
      </c>
    </row>
    <row r="160">
      <c r="A160" s="18" t="inlineStr">
        <is>
          <t>지분법 적용 관련 부채</t>
        </is>
      </c>
      <c r="H160" s="20" t="n">
        <v>0</v>
      </c>
      <c r="I160" s="20" t="n">
        <v>6835</v>
      </c>
      <c r="J160" s="20" t="n">
        <v>0</v>
      </c>
    </row>
    <row r="161">
      <c r="A161" s="18" t="inlineStr">
        <is>
          <t>기타</t>
        </is>
      </c>
      <c r="C161" s="20" t="n">
        <v>4120</v>
      </c>
      <c r="D161" s="20" t="n">
        <v>5026</v>
      </c>
      <c r="E161" s="20" t="n">
        <v>6365</v>
      </c>
      <c r="F161" s="20" t="n">
        <v>10059</v>
      </c>
      <c r="G161" s="20" t="n">
        <v>11073</v>
      </c>
      <c r="H161" s="20" t="n">
        <v>85</v>
      </c>
      <c r="I161" s="20" t="n">
        <v>193</v>
      </c>
      <c r="J161" s="20" t="n">
        <v>4</v>
      </c>
      <c r="K161" s="20" t="n">
        <v>4</v>
      </c>
      <c r="L161" s="20" t="n">
        <v>6365</v>
      </c>
    </row>
    <row r="162">
      <c r="A162" s="9" t="inlineStr">
        <is>
          <t>비유동부채 합계</t>
        </is>
      </c>
      <c r="C162" s="12" t="n">
        <v>14015</v>
      </c>
      <c r="D162" s="12" t="n">
        <v>15153</v>
      </c>
      <c r="E162" s="12" t="n">
        <v>12013</v>
      </c>
      <c r="F162" s="12" t="n">
        <v>15916</v>
      </c>
      <c r="G162" s="12" t="n">
        <v>17236</v>
      </c>
      <c r="H162" s="12" t="n">
        <v>14564</v>
      </c>
      <c r="I162" s="12" t="n">
        <v>23085</v>
      </c>
      <c r="J162" s="12" t="n">
        <v>14794</v>
      </c>
      <c r="K162" s="12" t="n">
        <v>16592</v>
      </c>
      <c r="L162" s="12" t="n">
        <v>12013</v>
      </c>
    </row>
    <row r="163">
      <c r="A163" s="9" t="inlineStr">
        <is>
          <t>부채 합계</t>
        </is>
      </c>
      <c r="C163" s="12" t="n">
        <v>56982</v>
      </c>
      <c r="D163" s="12" t="n">
        <v>61626</v>
      </c>
      <c r="E163" s="12" t="n">
        <v>69995</v>
      </c>
      <c r="F163" s="12" t="n">
        <v>56583</v>
      </c>
      <c r="G163" s="12" t="n">
        <v>62736</v>
      </c>
      <c r="H163" s="12" t="n">
        <v>63396</v>
      </c>
      <c r="I163" s="12" t="n">
        <v>70444</v>
      </c>
      <c r="J163" s="12" t="n">
        <v>53365</v>
      </c>
      <c r="K163" s="12" t="n">
        <v>53298</v>
      </c>
      <c r="L163" s="12" t="n">
        <v>69995</v>
      </c>
    </row>
    <row r="164">
      <c r="A164" s="18" t="inlineStr">
        <is>
          <t>자본금</t>
        </is>
      </c>
      <c r="C164" s="20" t="n">
        <v>3481</v>
      </c>
      <c r="D164" s="20" t="n">
        <v>3481</v>
      </c>
      <c r="E164" s="20" t="n">
        <v>3481</v>
      </c>
      <c r="F164" s="20" t="n">
        <v>3481</v>
      </c>
      <c r="G164" s="20" t="n">
        <v>3481</v>
      </c>
      <c r="H164" s="20" t="n">
        <v>3481</v>
      </c>
      <c r="I164" s="20" t="n">
        <v>3481</v>
      </c>
      <c r="J164" s="20" t="n">
        <v>3481</v>
      </c>
      <c r="K164" s="20" t="n">
        <v>3481</v>
      </c>
      <c r="L164" s="20" t="n">
        <v>3481</v>
      </c>
    </row>
    <row r="165">
      <c r="A165" s="18" t="inlineStr">
        <is>
          <t>자본준비금</t>
        </is>
      </c>
      <c r="E165" s="20" t="n">
        <v>25</v>
      </c>
      <c r="H165" s="20" t="n">
        <v>25</v>
      </c>
      <c r="I165" s="20" t="n">
        <v>25</v>
      </c>
      <c r="J165" s="20" t="n">
        <v>25</v>
      </c>
      <c r="K165" s="20" t="n">
        <v>25</v>
      </c>
      <c r="L165" s="20" t="n">
        <v>25</v>
      </c>
    </row>
    <row r="166">
      <c r="A166" s="18" t="inlineStr">
        <is>
          <t>기타자본잉여금</t>
        </is>
      </c>
      <c r="E166" s="20" t="n">
        <v>615</v>
      </c>
      <c r="H166" s="20" t="n">
        <v>189</v>
      </c>
      <c r="I166" s="20" t="n">
        <v>193</v>
      </c>
      <c r="J166" s="20" t="n">
        <v>199</v>
      </c>
      <c r="K166" s="20" t="n">
        <v>598</v>
      </c>
      <c r="L166" s="20" t="n">
        <v>615</v>
      </c>
    </row>
    <row r="167">
      <c r="A167" s="18" t="inlineStr">
        <is>
          <t>자본잉여금</t>
        </is>
      </c>
      <c r="C167" s="20" t="n">
        <v>640</v>
      </c>
      <c r="D167" s="20" t="n">
        <v>640</v>
      </c>
      <c r="E167" s="20" t="n">
        <v>640</v>
      </c>
      <c r="F167" s="20" t="n">
        <v>640</v>
      </c>
      <c r="G167" s="20" t="n">
        <v>687</v>
      </c>
      <c r="H167" s="20" t="n">
        <v>214</v>
      </c>
      <c r="I167" s="20" t="n">
        <v>219</v>
      </c>
      <c r="J167" s="20" t="n">
        <v>224</v>
      </c>
      <c r="K167" s="20" t="n">
        <v>623</v>
      </c>
      <c r="L167" s="20" t="n">
        <v>640</v>
      </c>
    </row>
    <row r="168">
      <c r="A168" s="18" t="inlineStr">
        <is>
          <t>이익준비금</t>
        </is>
      </c>
      <c r="E168" s="20" t="n">
        <v>870</v>
      </c>
      <c r="H168" s="20" t="n">
        <v>870</v>
      </c>
      <c r="I168" s="20" t="n">
        <v>870</v>
      </c>
      <c r="J168" s="20" t="n">
        <v>870</v>
      </c>
      <c r="K168" s="20" t="n">
        <v>870</v>
      </c>
      <c r="L168" s="20" t="n">
        <v>870</v>
      </c>
    </row>
    <row r="169">
      <c r="A169" s="18" t="inlineStr">
        <is>
          <t>고정자산 압축적립금</t>
        </is>
      </c>
      <c r="E169" s="20" t="n">
        <v>2263</v>
      </c>
      <c r="H169" s="20" t="n">
        <v>2416</v>
      </c>
      <c r="I169" s="20" t="n">
        <v>2384</v>
      </c>
      <c r="J169" s="20" t="n">
        <v>2351</v>
      </c>
      <c r="K169" s="20" t="n">
        <v>2316</v>
      </c>
      <c r="L169" s="20" t="n">
        <v>2263</v>
      </c>
    </row>
    <row r="170">
      <c r="A170" s="18" t="inlineStr">
        <is>
          <t>별도적립금</t>
        </is>
      </c>
      <c r="E170" s="20" t="n">
        <v>173400</v>
      </c>
      <c r="H170" s="20" t="n">
        <v>173400</v>
      </c>
      <c r="I170" s="20" t="n">
        <v>173400</v>
      </c>
      <c r="J170" s="20" t="n">
        <v>173400</v>
      </c>
      <c r="K170" s="20" t="n">
        <v>173400</v>
      </c>
      <c r="L170" s="20" t="n">
        <v>173400</v>
      </c>
    </row>
    <row r="171">
      <c r="A171" s="18" t="inlineStr">
        <is>
          <t>이월이익잉여금</t>
        </is>
      </c>
      <c r="E171" s="20" t="n">
        <v>39951</v>
      </c>
      <c r="H171" s="20" t="n">
        <v>26564</v>
      </c>
      <c r="I171" s="20" t="n">
        <v>12891</v>
      </c>
      <c r="J171" s="20" t="n">
        <v>15066</v>
      </c>
      <c r="K171" s="20" t="n">
        <v>28088</v>
      </c>
      <c r="L171" s="20" t="n">
        <v>39951</v>
      </c>
    </row>
    <row r="172">
      <c r="A172" s="18" t="inlineStr">
        <is>
          <t>이익잉여금</t>
        </is>
      </c>
      <c r="C172" s="20" t="n">
        <v>215660</v>
      </c>
      <c r="D172" s="20" t="n">
        <v>217130</v>
      </c>
      <c r="E172" s="20" t="n">
        <v>223331</v>
      </c>
      <c r="F172" s="20" t="n">
        <v>223096</v>
      </c>
      <c r="G172" s="20" t="n">
        <v>228397</v>
      </c>
      <c r="H172" s="20" t="n">
        <v>208268</v>
      </c>
      <c r="I172" s="20" t="n">
        <v>195580</v>
      </c>
      <c r="J172" s="20" t="n">
        <v>191687</v>
      </c>
      <c r="K172" s="20" t="n">
        <v>204675</v>
      </c>
      <c r="L172" s="20" t="n">
        <v>223331</v>
      </c>
    </row>
    <row r="173">
      <c r="A173" s="18" t="inlineStr">
        <is>
          <t>자기주식</t>
        </is>
      </c>
      <c r="C173" s="20" t="n">
        <v>-8743</v>
      </c>
      <c r="D173" s="20" t="n">
        <v>-8744</v>
      </c>
      <c r="E173" s="20" t="n">
        <v>-14772</v>
      </c>
      <c r="F173" s="20" t="n">
        <v>-14773</v>
      </c>
      <c r="G173" s="20" t="n">
        <v>-14723</v>
      </c>
      <c r="H173" s="20" t="n">
        <v>-6125</v>
      </c>
      <c r="I173" s="20" t="n">
        <v>-6729</v>
      </c>
      <c r="J173" s="20" t="n">
        <v>-8147</v>
      </c>
      <c r="K173" s="20" t="n">
        <v>-8803</v>
      </c>
      <c r="L173" s="20" t="n">
        <v>-14772</v>
      </c>
    </row>
    <row r="174">
      <c r="A174" s="9" t="inlineStr">
        <is>
          <t>주주자본 합계</t>
        </is>
      </c>
      <c r="C174" s="12" t="n">
        <v>211039</v>
      </c>
      <c r="D174" s="12" t="n">
        <v>212508</v>
      </c>
      <c r="E174" s="12" t="n">
        <v>212681</v>
      </c>
      <c r="F174" s="12" t="n">
        <v>212445</v>
      </c>
      <c r="G174" s="12" t="n">
        <v>217842</v>
      </c>
      <c r="H174" s="12" t="n">
        <v>205840</v>
      </c>
      <c r="I174" s="12" t="n">
        <v>192551</v>
      </c>
      <c r="J174" s="12" t="n">
        <v>187246</v>
      </c>
      <c r="K174" s="12" t="n">
        <v>199977</v>
      </c>
      <c r="L174" s="12" t="n">
        <v>212681</v>
      </c>
    </row>
    <row r="175">
      <c r="A175" s="18" t="inlineStr">
        <is>
          <t>기타유가증권 평가차액</t>
        </is>
      </c>
      <c r="C175" s="20" t="n">
        <v>17069</v>
      </c>
      <c r="D175" s="20" t="n">
        <v>20183</v>
      </c>
      <c r="E175" s="20" t="n">
        <v>20374</v>
      </c>
      <c r="F175" s="20" t="n">
        <v>29246</v>
      </c>
      <c r="G175" s="20" t="n">
        <v>32009</v>
      </c>
      <c r="H175" s="20" t="n">
        <v>7032</v>
      </c>
      <c r="I175" s="20" t="n">
        <v>6755</v>
      </c>
      <c r="J175" s="20" t="n">
        <v>14453</v>
      </c>
      <c r="K175" s="20" t="n">
        <v>13311</v>
      </c>
      <c r="L175" s="20" t="n">
        <v>20374</v>
      </c>
    </row>
    <row r="176">
      <c r="A176" s="18" t="inlineStr">
        <is>
          <t>이연헤지손익</t>
        </is>
      </c>
      <c r="H176" s="20" t="n">
        <v>-198</v>
      </c>
      <c r="I176" s="20" t="n">
        <v>0</v>
      </c>
    </row>
    <row r="177">
      <c r="A177" s="18" t="inlineStr">
        <is>
          <t>해외사업환산조정</t>
        </is>
      </c>
      <c r="C177" s="20" t="n">
        <v>65</v>
      </c>
      <c r="D177" s="20" t="n">
        <v>429</v>
      </c>
      <c r="E177" s="20" t="n">
        <v>1552</v>
      </c>
      <c r="F177" s="20" t="n">
        <v>1864</v>
      </c>
      <c r="G177" s="20" t="n">
        <v>2103</v>
      </c>
      <c r="H177" s="20" t="n">
        <v>543</v>
      </c>
      <c r="I177" s="20" t="n">
        <v>455</v>
      </c>
      <c r="J177" s="20" t="n">
        <v>541</v>
      </c>
      <c r="K177" s="20" t="n">
        <v>577</v>
      </c>
      <c r="L177" s="20" t="n">
        <v>1552</v>
      </c>
    </row>
    <row r="178">
      <c r="A178" s="18" t="inlineStr">
        <is>
          <t>퇴직급여 조정누계액</t>
        </is>
      </c>
      <c r="C178" s="20" t="n">
        <v>5298</v>
      </c>
      <c r="D178" s="20" t="n">
        <v>5198</v>
      </c>
      <c r="E178" s="20" t="n">
        <v>9639</v>
      </c>
      <c r="F178" s="20" t="n">
        <v>9374</v>
      </c>
      <c r="G178" s="20" t="n">
        <v>9110</v>
      </c>
      <c r="H178" s="20" t="n">
        <v>-96</v>
      </c>
      <c r="I178" s="20" t="n">
        <v>-388</v>
      </c>
      <c r="J178" s="20" t="n">
        <v>2498</v>
      </c>
      <c r="K178" s="20" t="n">
        <v>5497</v>
      </c>
      <c r="L178" s="20" t="n">
        <v>9639</v>
      </c>
    </row>
    <row r="179">
      <c r="A179" s="18" t="inlineStr">
        <is>
          <t>기타포괄손익누계액 합계</t>
        </is>
      </c>
      <c r="C179" s="20" t="n">
        <v>22432</v>
      </c>
      <c r="D179" s="20" t="n">
        <v>25810</v>
      </c>
      <c r="E179" s="20" t="n">
        <v>31565</v>
      </c>
      <c r="F179" s="20" t="n">
        <v>40484</v>
      </c>
      <c r="G179" s="20" t="n">
        <v>43224</v>
      </c>
      <c r="H179" s="20" t="n">
        <v>7279</v>
      </c>
      <c r="I179" s="20" t="n">
        <v>6822</v>
      </c>
      <c r="J179" s="20" t="n">
        <v>14453</v>
      </c>
      <c r="K179" s="20" t="n">
        <v>13311</v>
      </c>
      <c r="L179" s="20" t="n">
        <v>31565</v>
      </c>
    </row>
    <row r="180">
      <c r="A180" s="18" t="inlineStr">
        <is>
          <t>신주예약권</t>
        </is>
      </c>
      <c r="C180" s="20" t="n">
        <v>25</v>
      </c>
      <c r="D180" s="20" t="n">
        <v>25</v>
      </c>
      <c r="E180" s="20" t="n">
        <v>25</v>
      </c>
      <c r="F180" s="20" t="n">
        <v>25</v>
      </c>
      <c r="G180" s="20" t="n">
        <v>25</v>
      </c>
      <c r="H180" s="20" t="n">
        <v>106</v>
      </c>
      <c r="I180" s="20" t="n">
        <v>63</v>
      </c>
      <c r="J180" s="20" t="n">
        <v>63</v>
      </c>
      <c r="K180" s="20" t="n">
        <v>49</v>
      </c>
      <c r="L180" s="20" t="n">
        <v>25</v>
      </c>
    </row>
    <row r="181">
      <c r="A181" s="18" t="inlineStr">
        <is>
          <t>비지배지분</t>
        </is>
      </c>
      <c r="C181" s="20" t="n">
        <v>3188</v>
      </c>
      <c r="D181" s="20" t="n">
        <v>3296</v>
      </c>
      <c r="E181" s="20" t="n">
        <v>3551</v>
      </c>
      <c r="F181" s="20" t="n">
        <v>3705</v>
      </c>
      <c r="G181" s="20" t="n">
        <v>3659</v>
      </c>
      <c r="H181" s="20" t="n">
        <v>3102</v>
      </c>
      <c r="I181" s="20" t="n">
        <v>2631</v>
      </c>
      <c r="J181" s="20" t="n">
        <v>2821</v>
      </c>
      <c r="K181" s="20" t="n">
        <v>3028</v>
      </c>
      <c r="L181" s="20" t="n">
        <v>3551</v>
      </c>
    </row>
    <row r="182">
      <c r="A182" s="9" t="inlineStr">
        <is>
          <t>순자산 합계</t>
        </is>
      </c>
      <c r="C182" s="12" t="n">
        <v>236686</v>
      </c>
      <c r="D182" s="12" t="n">
        <v>241640</v>
      </c>
      <c r="E182" s="12" t="n">
        <v>247823</v>
      </c>
      <c r="F182" s="12" t="n">
        <v>256662</v>
      </c>
      <c r="G182" s="12" t="n">
        <v>264752</v>
      </c>
      <c r="H182" s="12" t="n">
        <v>216329</v>
      </c>
      <c r="I182" s="12" t="n">
        <v>202069</v>
      </c>
      <c r="J182" s="12" t="n">
        <v>201763</v>
      </c>
      <c r="K182" s="12" t="n">
        <v>213337</v>
      </c>
      <c r="L182" s="12" t="n">
        <v>247823</v>
      </c>
    </row>
    <row r="183">
      <c r="A183" s="9" t="inlineStr">
        <is>
          <t>부채·순자산 합계</t>
        </is>
      </c>
      <c r="C183" s="12" t="n">
        <v>293668</v>
      </c>
      <c r="D183" s="12" t="n">
        <v>303267</v>
      </c>
      <c r="E183" s="12" t="n">
        <v>317819</v>
      </c>
      <c r="F183" s="12" t="n">
        <v>313245</v>
      </c>
      <c r="G183" s="12" t="n">
        <v>327488</v>
      </c>
      <c r="H183" s="12" t="n">
        <v>279725</v>
      </c>
      <c r="I183" s="12" t="n">
        <v>272514</v>
      </c>
      <c r="J183" s="12" t="n">
        <v>255129</v>
      </c>
      <c r="K183" s="12" t="n">
        <v>266636</v>
      </c>
      <c r="L183" s="12" t="n">
        <v>317819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0" t="inlineStr">
        <is>
          <t>1941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컨센서스</t>
        </is>
      </c>
      <c r="B4" s="52" t="n"/>
      <c r="C4" s="52" t="n"/>
      <c r="D4" s="52" t="n"/>
      <c r="E4" s="52" t="n"/>
    </row>
    <row r="5">
      <c r="A5" s="53" t="inlineStr">
        <is>
          <t>항목</t>
        </is>
      </c>
      <c r="B5" s="53" t="inlineStr">
        <is>
          <t>값</t>
        </is>
      </c>
      <c r="E5" s="53" t="inlineStr">
        <is>
          <t>출처</t>
        </is>
      </c>
    </row>
    <row r="6">
      <c r="A6" s="54" t="inlineStr">
        <is>
          <t>FY27 매출</t>
        </is>
      </c>
      <c r="B6" s="55" t="n">
        <v>2478</v>
      </c>
      <c r="E6" s="56" t="inlineStr">
        <is>
          <t>2단계 보고서 자료(회사 설명회 자료·공시)</t>
        </is>
      </c>
    </row>
    <row r="7">
      <c r="A7" s="54" t="inlineStr">
        <is>
          <t>FY27 EPS</t>
        </is>
      </c>
      <c r="B7" s="57" t="n">
        <v>387.2</v>
      </c>
    </row>
    <row r="8">
      <c r="A8" s="54" t="inlineStr">
        <is>
          <t>FY28 EPS</t>
        </is>
      </c>
      <c r="B8" s="57" t="n">
        <v>441.35</v>
      </c>
    </row>
    <row r="9">
      <c r="A9" s="54" t="inlineStr">
        <is>
          <t>2Q 매출 추정</t>
        </is>
      </c>
      <c r="B9" s="57" t="n">
        <v>566.67</v>
      </c>
    </row>
    <row r="10">
      <c r="A10" s="54" t="inlineStr">
        <is>
          <t>3Q 매출 추정</t>
        </is>
      </c>
      <c r="B10" s="55" t="n">
        <v>580</v>
      </c>
    </row>
    <row r="12">
      <c r="A12" s="52" t="inlineStr">
        <is>
          <t>deck map</t>
        </is>
      </c>
      <c r="B12" s="52" t="n"/>
      <c r="C12" s="52" t="n"/>
      <c r="D12" s="52" t="n"/>
      <c r="E12" s="52" t="n"/>
    </row>
    <row r="13">
      <c r="A13" s="53" t="inlineStr">
        <is>
          <t>항목</t>
        </is>
      </c>
      <c r="B13" s="53" t="inlineStr">
        <is>
          <t>제목</t>
        </is>
      </c>
      <c r="C13" s="53" t="inlineStr">
        <is>
          <t>핵심숫자</t>
        </is>
      </c>
      <c r="D13" s="53" t="inlineStr">
        <is>
          <t>소제목</t>
        </is>
      </c>
      <c r="E13" s="53" t="inlineStr">
        <is>
          <t>출처</t>
        </is>
      </c>
    </row>
    <row r="14">
      <c r="A14" s="54" t="inlineStr">
        <is>
          <t>1</t>
        </is>
      </c>
      <c r="B14" s="58" t="inlineStr">
        <is>
          <t>표지·목차</t>
        </is>
      </c>
      <c r="C14" s="58" t="inlineStr">
        <is>
          <t>–</t>
        </is>
      </c>
      <c r="D14" s="58" t="inlineStr">
        <is>
          <t>뺌: 표지·목차</t>
        </is>
      </c>
      <c r="E14" s="56" t="inlineStr">
        <is>
          <t>2단계 보고서 자료(회사 설명회 자료·공시)</t>
        </is>
      </c>
    </row>
    <row r="15">
      <c r="A15" s="54" t="inlineStr">
        <is>
          <t>2</t>
        </is>
      </c>
      <c r="B15" s="58" t="inlineStr">
        <is>
          <t>간지</t>
        </is>
      </c>
      <c r="C15" s="58" t="inlineStr">
        <is>
          <t>–</t>
        </is>
      </c>
      <c r="D15" s="58" t="inlineStr">
        <is>
          <t>뺌: 목차성 간지</t>
        </is>
      </c>
    </row>
    <row r="16">
      <c r="A16" s="54" t="inlineStr">
        <is>
          <t>3</t>
        </is>
      </c>
      <c r="B16" s="58" t="inlineStr">
        <is>
          <t>연결 실적</t>
        </is>
      </c>
      <c r="C16" s="58" t="inlineStr">
        <is>
          <t>매출 1,063억·GPM 20.7%·판관비 88억·OPM 12.4%</t>
        </is>
      </c>
      <c r="D16" s="58" t="inlineStr">
        <is>
          <t>① 연결 실적</t>
        </is>
      </c>
    </row>
    <row r="17">
      <c r="A17" s="54" t="inlineStr">
        <is>
          <t>4</t>
        </is>
      </c>
      <c r="B17" s="58" t="inlineStr">
        <is>
          <t>연결 2Q 누계 추이</t>
        </is>
      </c>
      <c r="C17" s="58" t="inlineStr">
        <is>
          <t>매출 826/982/957/1063, 영업 14/81/105/131</t>
        </is>
      </c>
      <c r="D17" s="58" t="inlineStr">
        <is>
          <t>① 연결 실적</t>
        </is>
      </c>
    </row>
    <row r="18">
      <c r="A18" s="54" t="inlineStr">
        <is>
          <t>5</t>
        </is>
      </c>
      <c r="B18" s="58" t="inlineStr">
        <is>
          <t>매출 증감</t>
        </is>
      </c>
      <c r="C18" s="58" t="inlineStr">
        <is>
          <t>+106: 개별 +90, 자회사 +15</t>
        </is>
      </c>
      <c r="D18" s="58" t="inlineStr">
        <is>
          <t>① 연결 실적</t>
        </is>
      </c>
    </row>
    <row r="19">
      <c r="A19" s="54" t="inlineStr">
        <is>
          <t>6</t>
        </is>
      </c>
      <c r="B19" s="58" t="inlineStr">
        <is>
          <t>영업이익 증감</t>
        </is>
      </c>
      <c r="C19" s="58" t="inlineStr">
        <is>
          <t>+26: 일반공사 +26</t>
        </is>
      </c>
      <c r="D19" s="58" t="inlineStr">
        <is>
          <t>① 연결 실적</t>
        </is>
      </c>
    </row>
    <row r="20">
      <c r="A20" s="54" t="inlineStr">
        <is>
          <t>7</t>
        </is>
      </c>
      <c r="B20" s="58" t="inlineStr">
        <is>
          <t>순이익 증감</t>
        </is>
      </c>
      <c r="C20" s="58" t="inlineStr">
        <is>
          <t>+14: 세금 ▲12</t>
        </is>
      </c>
      <c r="D20" s="58" t="inlineStr">
        <is>
          <t>① 연결 실적</t>
        </is>
      </c>
    </row>
    <row r="21">
      <c r="A21" s="54" t="inlineStr">
        <is>
          <t>8</t>
        </is>
      </c>
      <c r="B21" s="58" t="inlineStr">
        <is>
          <t>개별 실적</t>
        </is>
      </c>
      <c r="C21" s="58" t="inlineStr">
        <is>
          <t>수주 1,427, OPM 15.0%</t>
        </is>
      </c>
      <c r="D21" s="58" t="inlineStr">
        <is>
          <t>② 개별 일반공사</t>
        </is>
      </c>
    </row>
    <row r="22">
      <c r="A22" s="54" t="inlineStr">
        <is>
          <t>9</t>
        </is>
      </c>
      <c r="B22" s="58" t="inlineStr">
        <is>
          <t>개별 추이</t>
        </is>
      </c>
      <c r="C22" s="58" t="inlineStr">
        <is>
          <t>수주 1042/905/1095/1427</t>
        </is>
      </c>
      <c r="D22" s="58" t="inlineStr">
        <is>
          <t>② 개별 일반공사</t>
        </is>
      </c>
    </row>
    <row r="23">
      <c r="A23" s="54" t="inlineStr">
        <is>
          <t>10</t>
        </is>
      </c>
      <c r="B23" s="58" t="inlineStr">
        <is>
          <t>부문별 수주·매출</t>
        </is>
      </c>
      <c r="C23" s="58" t="inlineStr">
        <is>
          <t>수주 +332, 매출 +90</t>
        </is>
      </c>
      <c r="D23" s="58" t="inlineStr">
        <is>
          <t>② 개별 일반공사</t>
        </is>
      </c>
    </row>
    <row r="24">
      <c r="A24" s="54" t="inlineStr">
        <is>
          <t>11</t>
        </is>
      </c>
      <c r="B24" s="58" t="inlineStr">
        <is>
          <t>일반공사 매출</t>
        </is>
      </c>
      <c r="C24" s="58" t="inlineStr">
        <is>
          <t>447/621/571/646</t>
        </is>
      </c>
      <c r="D24" s="58" t="inlineStr">
        <is>
          <t>② 개별 일반공사</t>
        </is>
      </c>
    </row>
    <row r="25">
      <c r="A25" s="54" t="inlineStr">
        <is>
          <t>12</t>
        </is>
      </c>
      <c r="B25" s="58" t="inlineStr">
        <is>
          <t>진행 기준 비율</t>
        </is>
      </c>
      <c r="C25" s="58" t="inlineStr">
        <is>
          <t>62/73/70/75%</t>
        </is>
      </c>
      <c r="D25" s="58" t="inlineStr">
        <is>
          <t>② 개별 일반공사</t>
        </is>
      </c>
    </row>
    <row r="26">
      <c r="A26" s="54" t="inlineStr">
        <is>
          <t>13</t>
        </is>
      </c>
      <c r="B26" s="58" t="inlineStr">
        <is>
          <t>전력공사 매출</t>
        </is>
      </c>
      <c r="C26" s="58" t="inlineStr">
        <is>
          <t>184/173/189/205</t>
        </is>
      </c>
      <c r="D26" s="58" t="inlineStr">
        <is>
          <t>③ 전력공사</t>
        </is>
      </c>
    </row>
    <row r="27">
      <c r="A27" s="54" t="inlineStr">
        <is>
          <t>14</t>
        </is>
      </c>
      <c r="B27" s="58" t="inlineStr">
        <is>
          <t>지역별</t>
        </is>
      </c>
      <c r="C27" s="58" t="inlineStr">
        <is>
          <t>도시권 수주 비중 21→29%</t>
        </is>
      </c>
      <c r="D27" s="58" t="inlineStr">
        <is>
          <t>④ 지역</t>
        </is>
      </c>
    </row>
    <row r="28">
      <c r="A28" s="54" t="inlineStr">
        <is>
          <t>15</t>
        </is>
      </c>
      <c r="B28" s="58" t="inlineStr">
        <is>
          <t>이월잔고</t>
        </is>
      </c>
      <c r="C28" s="58" t="inlineStr">
        <is>
          <t>1570/1532/1843/2495</t>
        </is>
      </c>
      <c r="D28" s="58" t="inlineStr">
        <is>
          <t>⑤ 이월잔고</t>
        </is>
      </c>
    </row>
    <row r="29">
      <c r="A29" s="54" t="inlineStr">
        <is>
          <t>16</t>
        </is>
      </c>
      <c r="B29" s="58" t="inlineStr">
        <is>
          <t>재무상태표</t>
        </is>
      </c>
      <c r="C29" s="58" t="inlineStr">
        <is>
          <t>현금 +154, 채권 ▲188, 자기자본비율 79.7%</t>
        </is>
      </c>
      <c r="D29" s="58" t="inlineStr">
        <is>
          <t>⑥ 재무상태</t>
        </is>
      </c>
    </row>
    <row r="30">
      <c r="A30" s="54" t="inlineStr">
        <is>
          <t>17</t>
        </is>
      </c>
      <c r="B30" s="58" t="inlineStr">
        <is>
          <t>간지</t>
        </is>
      </c>
      <c r="C30" s="58" t="inlineStr">
        <is>
          <t>–</t>
        </is>
      </c>
      <c r="D30" s="58" t="inlineStr">
        <is>
          <t>뺌: 목차성 간지</t>
        </is>
      </c>
    </row>
    <row r="31">
      <c r="A31" s="54" t="inlineStr">
        <is>
          <t>18</t>
        </is>
      </c>
      <c r="B31" s="58" t="inlineStr">
        <is>
          <t>연결 예상</t>
        </is>
      </c>
      <c r="C31" s="58" t="inlineStr">
        <is>
          <t>2,570/310/343/228</t>
        </is>
      </c>
      <c r="D31" s="58" t="inlineStr">
        <is>
          <t>⑦ 연간 예상 상향</t>
        </is>
      </c>
    </row>
    <row r="32">
      <c r="A32" s="54" t="inlineStr">
        <is>
          <t>19</t>
        </is>
      </c>
      <c r="B32" s="58" t="inlineStr">
        <is>
          <t>매출·총이익 추이</t>
        </is>
      </c>
      <c r="C32" s="58" t="inlineStr">
        <is>
          <t>GP 507, GPM 19.7, 분기 GP 표</t>
        </is>
      </c>
      <c r="D32" s="58" t="inlineStr">
        <is>
          <t>⑦ 연간 예상 상향·재무분석 그림</t>
        </is>
      </c>
    </row>
    <row r="33">
      <c r="A33" s="54" t="inlineStr">
        <is>
          <t>20</t>
        </is>
      </c>
      <c r="B33" s="58" t="inlineStr">
        <is>
          <t>개별 예상</t>
        </is>
      </c>
      <c r="C33" s="58" t="inlineStr">
        <is>
          <t>수주 2,270, 매출 2,070, OP 280</t>
        </is>
      </c>
      <c r="D33" s="58" t="inlineStr">
        <is>
          <t>⑦ 연간 예상 상향</t>
        </is>
      </c>
    </row>
    <row r="34">
      <c r="A34" s="54" t="inlineStr">
        <is>
          <t>21</t>
        </is>
      </c>
      <c r="B34" s="58" t="inlineStr">
        <is>
          <t>부문별 예상</t>
        </is>
      </c>
      <c r="C34" s="58" t="inlineStr">
        <is>
          <t>옥내 1172/1110 등</t>
        </is>
      </c>
      <c r="D34" s="58" t="inlineStr">
        <is>
          <t>⑦ 연간 예상 상향</t>
        </is>
      </c>
    </row>
    <row r="35">
      <c r="A35" s="54" t="inlineStr">
        <is>
          <t>22</t>
        </is>
      </c>
      <c r="B35" s="58" t="inlineStr">
        <is>
          <t>간지</t>
        </is>
      </c>
      <c r="C35" s="58" t="inlineStr">
        <is>
          <t>–</t>
        </is>
      </c>
      <c r="D35" s="58" t="inlineStr">
        <is>
          <t>뺌: 목차성 간지</t>
        </is>
      </c>
    </row>
    <row r="36">
      <c r="A36" s="54" t="inlineStr">
        <is>
          <t>23</t>
        </is>
      </c>
      <c r="B36" s="58" t="inlineStr">
        <is>
          <t>배당</t>
        </is>
      </c>
      <c r="C36" s="58" t="inlineStr">
        <is>
          <t>연 150엔, DOE 3.43%, 성향 34.8%</t>
        </is>
      </c>
      <c r="D36" s="58" t="inlineStr">
        <is>
          <t>⑧ 주주환원</t>
        </is>
      </c>
    </row>
    <row r="37">
      <c r="A37" s="54" t="inlineStr">
        <is>
          <t>24</t>
        </is>
      </c>
      <c r="B37" s="58" t="inlineStr">
        <is>
          <t>자사주</t>
        </is>
      </c>
      <c r="C37" s="58" t="inlineStr">
        <is>
          <t>중기 180억, 공개매수 693만 주</t>
        </is>
      </c>
      <c r="D37" s="58" t="inlineStr">
        <is>
          <t>⑧ 주주환원</t>
        </is>
      </c>
    </row>
    <row r="38">
      <c r="A38" s="54" t="inlineStr">
        <is>
          <t>25</t>
        </is>
      </c>
      <c r="B38" s="58" t="inlineStr">
        <is>
          <t>면책</t>
        </is>
      </c>
      <c r="C38" s="58" t="inlineStr">
        <is>
          <t>–</t>
        </is>
      </c>
      <c r="D38" s="58" t="inlineStr">
        <is>
          <t>뺌: 면책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2026-10-30</t>
        </is>
      </c>
      <c r="B4" t="inlineStr">
        <is>
          <t>2027년 3월 결산기 2분기 결산단신</t>
        </is>
      </c>
      <c r="C4" t="inlineStr">
        <is>
          <t>https://www2.jpx.co.jp/disc/19410/140120261029559180.pdf</t>
        </is>
      </c>
    </row>
    <row r="5">
      <c r="A5" t="inlineStr">
        <is>
          <t>2026-07-31</t>
        </is>
      </c>
      <c r="B5" t="inlineStr">
        <is>
          <t>2027년 3월 결산기 1분기 결산단신</t>
        </is>
      </c>
      <c r="C5" t="inlineStr">
        <is>
          <t>https://www2.jpx.co.jp/disc/19410/140120260729501964.pdf</t>
        </is>
      </c>
    </row>
    <row r="6">
      <c r="A6" t="inlineStr">
        <is>
          <t>2026-04-28</t>
        </is>
      </c>
      <c r="B6" t="inlineStr">
        <is>
          <t>2026년 3월 결산기 연간 결산단신</t>
        </is>
      </c>
      <c r="C6" t="inlineStr">
        <is>
          <t>https://www2.jpx.co.jp/disc/19410/140120260423509202.pdf</t>
        </is>
      </c>
    </row>
    <row r="7">
      <c r="A7" t="inlineStr">
        <is>
          <t>2026-01-30</t>
        </is>
      </c>
      <c r="B7" t="inlineStr">
        <is>
          <t>2026년 3월 결산기 3분기 결산단신</t>
        </is>
      </c>
      <c r="C7" t="inlineStr">
        <is>
          <t>https://www2.jpx.co.jp/disc/19410/140120260129541555.pdf</t>
        </is>
      </c>
    </row>
    <row r="8">
      <c r="A8" t="inlineStr">
        <is>
          <t>2025-10-31</t>
        </is>
      </c>
      <c r="B8" t="inlineStr">
        <is>
          <t>2026년 3월 결산기 2분기 결산단신</t>
        </is>
      </c>
      <c r="C8" t="inlineStr">
        <is>
          <t>https://www2.jpx.co.jp/disc/19410/140120251030583556.pdf</t>
        </is>
      </c>
    </row>
    <row r="9">
      <c r="A9" t="inlineStr">
        <is>
          <t>2025-07-31</t>
        </is>
      </c>
      <c r="B9" t="inlineStr">
        <is>
          <t>2026년 3월 결산기 1분기 결산단신</t>
        </is>
      </c>
      <c r="C9" t="inlineStr">
        <is>
          <t>https://www2.jpx.co.jp/disc/19410/140120250730523349.pdf</t>
        </is>
      </c>
    </row>
    <row r="10">
      <c r="A10" t="inlineStr">
        <is>
          <t>2025-04-28</t>
        </is>
      </c>
      <c r="B10" t="inlineStr">
        <is>
          <t>2025년 3월 결산기 연간 결산단신</t>
        </is>
      </c>
      <c r="C10" t="inlineStr">
        <is>
          <t>https://www2.jpx.co.jp/disc/19410/140120250425524373.pdf</t>
        </is>
      </c>
    </row>
    <row r="11">
      <c r="A11" t="inlineStr">
        <is>
          <t>2025-01-31</t>
        </is>
      </c>
      <c r="B11" t="inlineStr">
        <is>
          <t>2025년 3월 결산기 3분기 결산단신</t>
        </is>
      </c>
      <c r="C11" t="inlineStr">
        <is>
          <t>https://www2.jpx.co.jp/disc/19410/140120250127555613.pdf</t>
        </is>
      </c>
    </row>
    <row r="12">
      <c r="A12" t="inlineStr">
        <is>
          <t>2024-10-31</t>
        </is>
      </c>
      <c r="B12" t="inlineStr">
        <is>
          <t>2025년 3월 결산기 2분기 결산단신</t>
        </is>
      </c>
      <c r="C12" t="inlineStr">
        <is>
          <t>https://www2.jpx.co.jp/disc/19410/140120241023501578.pdf</t>
        </is>
      </c>
    </row>
    <row r="13">
      <c r="A13" t="inlineStr">
        <is>
          <t>2024-07-31</t>
        </is>
      </c>
      <c r="B13" t="inlineStr">
        <is>
          <t>2025년 3월 결산기 1분기 결산단신</t>
        </is>
      </c>
      <c r="C13" t="inlineStr">
        <is>
          <t>https://www2.jpx.co.jp/disc/19410/140120240729556456.pdf</t>
        </is>
      </c>
    </row>
    <row r="14">
      <c r="A14" t="inlineStr">
        <is>
          <t>2024-04-26</t>
        </is>
      </c>
      <c r="B14" t="inlineStr">
        <is>
          <t>2024년 3월 결산기 연간 결산단신</t>
        </is>
      </c>
      <c r="C14" t="inlineStr">
        <is>
          <t>https://www2.jpx.co.jp/disc/19410/140120240425576782.pdf</t>
        </is>
      </c>
    </row>
    <row r="15">
      <c r="A15" t="inlineStr">
        <is>
          <t>2024-01-31</t>
        </is>
      </c>
      <c r="B15" t="inlineStr">
        <is>
          <t>2024년 3월 결산기 3분기 결산단신</t>
        </is>
      </c>
      <c r="C15" t="inlineStr">
        <is>
          <t>https://www2.jpx.co.jp/disc/19410/140120240126519669.pdf</t>
        </is>
      </c>
    </row>
    <row r="16">
      <c r="A16" t="inlineStr">
        <is>
          <t>2023-10-31</t>
        </is>
      </c>
      <c r="B16" t="inlineStr">
        <is>
          <t>2024년 3월 결산기 2분기 결산단신</t>
        </is>
      </c>
      <c r="C16" t="inlineStr">
        <is>
          <t>https://www2.jpx.co.jp/disc/19410/140120231026572590.pdf</t>
        </is>
      </c>
    </row>
    <row r="17">
      <c r="A17" t="inlineStr">
        <is>
          <t>2023-07-28</t>
        </is>
      </c>
      <c r="B17" t="inlineStr">
        <is>
          <t>2024년 3월 결산기 1분기 결산단신</t>
        </is>
      </c>
      <c r="C17" t="inlineStr">
        <is>
          <t>https://www2.jpx.co.jp/disc/19410/140120230724525918.pdf</t>
        </is>
      </c>
    </row>
    <row r="18">
      <c r="A18" t="inlineStr">
        <is>
          <t>2023-04-28</t>
        </is>
      </c>
      <c r="B18" t="inlineStr">
        <is>
          <t>2023년 3월 결산기 연간 결산단신</t>
        </is>
      </c>
      <c r="C18" t="inlineStr">
        <is>
          <t>https://www2.jpx.co.jp/disc/19410/140120230426553725.pdf</t>
        </is>
      </c>
    </row>
    <row r="19">
      <c r="A19" t="inlineStr">
        <is>
          <t>2023-01-31</t>
        </is>
      </c>
      <c r="B19" t="inlineStr">
        <is>
          <t>2023년 3월 결산기 3분기 결산단신</t>
        </is>
      </c>
      <c r="C19" t="inlineStr">
        <is>
          <t>https://www2.jpx.co.jp/disc/19410/140120230125593421.pdf</t>
        </is>
      </c>
    </row>
    <row r="20">
      <c r="A20" t="inlineStr">
        <is>
          <t>2022-04-28</t>
        </is>
      </c>
      <c r="B20" t="inlineStr">
        <is>
          <t>2022년 3월 결산기 연간 결산단신</t>
        </is>
      </c>
      <c r="C20" t="inlineStr">
        <is>
          <t>https://www2.jpx.co.jp/disc/19410/140120220426528652.pdf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https://www2.jpx.co.jp/disc/19410/140120210427401491.pdf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https://www2.jpx.co.jp/disc/19410/140120200416495242.pdf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https://www2.jpx.co.jp/disc/19410/140120190410402887.pdf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https://www2.jpx.co.jp/disc/19410/140120180419415199.pdf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7.5" customWidth="1" min="2" max="2"/>
    <col width="7.5" customWidth="1" min="3" max="3"/>
    <col width="7.5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  <col width="7.5" customWidth="1" min="22" max="22"/>
    <col width="7.5" customWidth="1" min="23" max="23"/>
    <col width="7.5" customWidth="1" min="24" max="24"/>
    <col width="7.5" customWidth="1" min="25" max="25"/>
    <col width="7.5" customWidth="1" min="26" max="26"/>
    <col width="7.5" customWidth="1" min="27" max="27"/>
    <col width="7.5" customWidth="1" min="28" max="28"/>
    <col width="7.5" customWidth="1" min="29" max="29"/>
    <col width="7.5" customWidth="1" min="30" max="30"/>
    <col width="7.5" customWidth="1" min="31" max="31"/>
    <col width="7.5" customWidth="1" min="32" max="32"/>
    <col width="7.5" customWidth="1" min="33" max="33"/>
    <col width="7.5" customWidth="1" min="34" max="34"/>
    <col width="7.5" customWidth="1" min="35" max="35"/>
    <col width="7.5" customWidth="1" min="36" max="36"/>
    <col width="7.5" customWidth="1" min="37" max="37"/>
    <col width="7.5" customWidth="1" min="38" max="38"/>
    <col width="7.5" customWidth="1" min="39" max="39"/>
    <col width="7.5" customWidth="1" min="40" max="40"/>
    <col width="7.5" customWidth="1" min="41" max="41"/>
  </cols>
  <sheetData>
    <row r="1">
      <c r="A1" s="60" t="inlineStr">
        <is>
          <t>1941 재무제표 한눈에 보기 — 최근 40개 분기(달력 분기, 3Q26 = 26.7~9) · 단위 억 엔</t>
        </is>
      </c>
    </row>
    <row r="2">
      <c r="A2" s="61" t="inlineStr">
        <is>
          <t>출처: 매출·영업이익 결산단신 XBRL · 재무상태표 등 결산단신 XBRL 36건(2018-01-30~2026-10-30). 부문·지역·수주·수출은 있을 때만(출처는 줄 끝). 총 차입금 = 이자 붙는 부채 전부(단기·장기 차입금, CP, 사채·전환사채, 리스부채)</t>
        </is>
      </c>
    </row>
    <row r="4">
      <c r="A4" s="62" t="inlineStr">
        <is>
          <t>항목</t>
        </is>
      </c>
      <c r="B4" s="63" t="inlineStr">
        <is>
          <t>4Q16</t>
        </is>
      </c>
      <c r="C4" s="63" t="inlineStr">
        <is>
          <t>1Q17</t>
        </is>
      </c>
      <c r="D4" s="63" t="inlineStr">
        <is>
          <t>2Q17</t>
        </is>
      </c>
      <c r="E4" s="63" t="inlineStr">
        <is>
          <t>3Q17</t>
        </is>
      </c>
      <c r="F4" s="63" t="inlineStr">
        <is>
          <t>4Q17</t>
        </is>
      </c>
      <c r="G4" s="63" t="inlineStr">
        <is>
          <t>1Q18</t>
        </is>
      </c>
      <c r="H4" s="63" t="inlineStr">
        <is>
          <t>2Q18</t>
        </is>
      </c>
      <c r="I4" s="63" t="inlineStr">
        <is>
          <t>3Q18</t>
        </is>
      </c>
      <c r="J4" s="63" t="inlineStr">
        <is>
          <t>4Q18</t>
        </is>
      </c>
      <c r="K4" s="63" t="inlineStr">
        <is>
          <t>1Q19</t>
        </is>
      </c>
      <c r="L4" s="63" t="inlineStr">
        <is>
          <t>2Q19</t>
        </is>
      </c>
      <c r="M4" s="63" t="inlineStr">
        <is>
          <t>3Q19</t>
        </is>
      </c>
      <c r="N4" s="63" t="inlineStr">
        <is>
          <t>4Q19</t>
        </is>
      </c>
      <c r="O4" s="63" t="inlineStr">
        <is>
          <t>1Q20</t>
        </is>
      </c>
      <c r="P4" s="63" t="inlineStr">
        <is>
          <t>2Q20</t>
        </is>
      </c>
      <c r="Q4" s="63" t="inlineStr">
        <is>
          <t>3Q20</t>
        </is>
      </c>
      <c r="R4" s="63" t="inlineStr">
        <is>
          <t>4Q20</t>
        </is>
      </c>
      <c r="S4" s="63" t="inlineStr">
        <is>
          <t>1Q21</t>
        </is>
      </c>
      <c r="T4" s="63" t="inlineStr">
        <is>
          <t>2Q21</t>
        </is>
      </c>
      <c r="U4" s="63" t="inlineStr">
        <is>
          <t>3Q21</t>
        </is>
      </c>
      <c r="V4" s="63" t="inlineStr">
        <is>
          <t>4Q21</t>
        </is>
      </c>
      <c r="W4" s="63" t="inlineStr">
        <is>
          <t>1Q22</t>
        </is>
      </c>
      <c r="X4" s="63" t="inlineStr">
        <is>
          <t>2Q22</t>
        </is>
      </c>
      <c r="Y4" s="63" t="inlineStr">
        <is>
          <t>3Q22</t>
        </is>
      </c>
      <c r="Z4" s="63" t="inlineStr">
        <is>
          <t>4Q22</t>
        </is>
      </c>
      <c r="AA4" s="63" t="inlineStr">
        <is>
          <t>1Q23</t>
        </is>
      </c>
      <c r="AB4" s="63" t="inlineStr">
        <is>
          <t>2Q23</t>
        </is>
      </c>
      <c r="AC4" s="63" t="inlineStr">
        <is>
          <t>3Q23</t>
        </is>
      </c>
      <c r="AD4" s="63" t="inlineStr">
        <is>
          <t>4Q23</t>
        </is>
      </c>
      <c r="AE4" s="63" t="inlineStr">
        <is>
          <t>1Q24</t>
        </is>
      </c>
      <c r="AF4" s="63" t="inlineStr">
        <is>
          <t>2Q24</t>
        </is>
      </c>
      <c r="AG4" s="63" t="inlineStr">
        <is>
          <t>3Q24</t>
        </is>
      </c>
      <c r="AH4" s="63" t="inlineStr">
        <is>
          <t>4Q24</t>
        </is>
      </c>
      <c r="AI4" s="63" t="inlineStr">
        <is>
          <t>1Q25</t>
        </is>
      </c>
      <c r="AJ4" s="63" t="inlineStr">
        <is>
          <t>2Q25</t>
        </is>
      </c>
      <c r="AK4" s="63" t="inlineStr">
        <is>
          <t>3Q25</t>
        </is>
      </c>
      <c r="AL4" s="63" t="inlineStr">
        <is>
          <t>4Q25</t>
        </is>
      </c>
      <c r="AM4" s="63" t="inlineStr">
        <is>
          <t>1Q26</t>
        </is>
      </c>
      <c r="AN4" s="63" t="inlineStr">
        <is>
          <t>2Q26</t>
        </is>
      </c>
      <c r="AO4" s="63" t="inlineStr">
        <is>
          <t>3Q26</t>
        </is>
      </c>
      <c r="AP4" s="62" t="inlineStr">
        <is>
          <t>출처</t>
        </is>
      </c>
    </row>
    <row r="5">
      <c r="A5" s="64" t="inlineStr">
        <is>
          <t>매출액</t>
        </is>
      </c>
      <c r="B5" s="65" t="n"/>
      <c r="C5" s="65" t="n">
        <v>348.9</v>
      </c>
      <c r="D5" s="65" t="n">
        <v>308.3</v>
      </c>
      <c r="E5" s="65" t="n">
        <v>330.4</v>
      </c>
      <c r="F5" s="65" t="n">
        <v>353.1</v>
      </c>
      <c r="G5" s="65" t="n">
        <v>326.4</v>
      </c>
      <c r="H5" s="65" t="n">
        <v>282</v>
      </c>
      <c r="I5" s="65" t="n">
        <v>347.7</v>
      </c>
      <c r="J5" s="65" t="n">
        <v>357.6</v>
      </c>
      <c r="K5" s="65" t="n">
        <v>545.9</v>
      </c>
      <c r="L5" s="65" t="n">
        <v>323.6</v>
      </c>
      <c r="M5" s="65" t="n">
        <v>427.1</v>
      </c>
      <c r="N5" s="65" t="n">
        <v>362.9</v>
      </c>
      <c r="O5" s="65" t="n">
        <v>379.8</v>
      </c>
      <c r="P5" s="65" t="n">
        <v>380.3</v>
      </c>
      <c r="Q5" s="65" t="n">
        <v>440.5</v>
      </c>
      <c r="R5" s="65" t="n">
        <v>427.5</v>
      </c>
      <c r="S5" s="65" t="n">
        <v>236.1</v>
      </c>
      <c r="T5" s="65" t="n">
        <v>339.9</v>
      </c>
      <c r="U5" s="65" t="n">
        <v>431.7</v>
      </c>
      <c r="V5" s="65" t="n">
        <v>456.9</v>
      </c>
      <c r="W5" s="65" t="n">
        <v>678.4</v>
      </c>
      <c r="X5" s="65" t="n">
        <v>355.3</v>
      </c>
      <c r="Y5" s="65" t="n">
        <v>439.9</v>
      </c>
      <c r="Z5" s="65" t="n">
        <v>448.5</v>
      </c>
      <c r="AA5" s="65" t="n">
        <v>646.7</v>
      </c>
      <c r="AB5" s="65" t="n">
        <v>376.8</v>
      </c>
      <c r="AC5" s="65" t="n">
        <v>450.2</v>
      </c>
      <c r="AD5" s="65" t="n">
        <v>486</v>
      </c>
      <c r="AE5" s="65" t="n">
        <v>258.5</v>
      </c>
      <c r="AF5" s="65" t="n">
        <v>456.5</v>
      </c>
      <c r="AG5" s="65" t="n">
        <v>525.9</v>
      </c>
      <c r="AH5" s="65" t="n">
        <v>551.6</v>
      </c>
      <c r="AI5" s="65" t="n">
        <v>684.9</v>
      </c>
      <c r="AJ5" s="65" t="n">
        <v>444.2</v>
      </c>
      <c r="AK5" s="65" t="n">
        <v>513.3</v>
      </c>
      <c r="AL5" s="65" t="n">
        <v>538.1</v>
      </c>
      <c r="AM5" s="65" t="n">
        <v>782.8</v>
      </c>
      <c r="AN5" s="65" t="n">
        <v>503.3</v>
      </c>
      <c r="AO5" s="65" t="n">
        <v>560.4</v>
      </c>
    </row>
    <row r="6">
      <c r="A6" s="64" t="inlineStr">
        <is>
          <t>매출액 YoY</t>
        </is>
      </c>
      <c r="B6" s="66" t="n"/>
      <c r="C6" s="66" t="n"/>
      <c r="D6" s="66" t="n"/>
      <c r="E6" s="66" t="n"/>
      <c r="F6" s="66" t="n"/>
      <c r="G6" s="66" t="n">
        <v>-6.4</v>
      </c>
      <c r="H6" s="66" t="n">
        <v>-8.5</v>
      </c>
      <c r="I6" s="66" t="n">
        <v>5.2</v>
      </c>
      <c r="J6" s="66" t="n">
        <v>1.3</v>
      </c>
      <c r="K6" s="66" t="n">
        <v>67.2</v>
      </c>
      <c r="L6" s="66" t="n">
        <v>14.8</v>
      </c>
      <c r="M6" s="66" t="n">
        <v>22.8</v>
      </c>
      <c r="N6" s="66" t="n">
        <v>1.5</v>
      </c>
      <c r="O6" s="66" t="n">
        <v>-30.4</v>
      </c>
      <c r="P6" s="66" t="n">
        <v>17.5</v>
      </c>
      <c r="Q6" s="66" t="n">
        <v>3.1</v>
      </c>
      <c r="R6" s="66" t="n">
        <v>17.8</v>
      </c>
      <c r="S6" s="66" t="n">
        <v>-37.8</v>
      </c>
      <c r="T6" s="66" t="n">
        <v>-10.6</v>
      </c>
      <c r="U6" s="66" t="n">
        <v>-2</v>
      </c>
      <c r="V6" s="66" t="n">
        <v>6.9</v>
      </c>
      <c r="W6" s="66" t="n">
        <v>187.3</v>
      </c>
      <c r="X6" s="66" t="n">
        <v>4.5</v>
      </c>
      <c r="Y6" s="66" t="n">
        <v>1.9</v>
      </c>
      <c r="Z6" s="66" t="n">
        <v>-1.8</v>
      </c>
      <c r="AA6" s="66" t="n">
        <v>-4.7</v>
      </c>
      <c r="AB6" s="66" t="n">
        <v>6.1</v>
      </c>
      <c r="AC6" s="66" t="n">
        <v>2.3</v>
      </c>
      <c r="AD6" s="66" t="n">
        <v>8.4</v>
      </c>
      <c r="AE6" s="66" t="n">
        <v>-60</v>
      </c>
      <c r="AF6" s="66" t="n">
        <v>21.2</v>
      </c>
      <c r="AG6" s="66" t="n">
        <v>16.8</v>
      </c>
      <c r="AH6" s="66" t="n">
        <v>13.5</v>
      </c>
      <c r="AI6" s="66" t="n">
        <v>165</v>
      </c>
      <c r="AJ6" s="66" t="n">
        <v>-2.7</v>
      </c>
      <c r="AK6" s="66" t="n">
        <v>-2.4</v>
      </c>
      <c r="AL6" s="66" t="n">
        <v>-2.4</v>
      </c>
      <c r="AM6" s="66" t="n">
        <v>14.3</v>
      </c>
      <c r="AN6" s="66" t="n">
        <v>13.3</v>
      </c>
      <c r="AO6" s="66" t="n">
        <v>9.199999999999999</v>
      </c>
    </row>
    <row r="7">
      <c r="A7" s="64" t="inlineStr">
        <is>
          <t>영업이익</t>
        </is>
      </c>
      <c r="B7" s="65" t="n"/>
      <c r="C7" s="65" t="n">
        <v>29.5</v>
      </c>
      <c r="D7" s="65" t="n">
        <v>16.4</v>
      </c>
      <c r="E7" s="65" t="n">
        <v>15.6</v>
      </c>
      <c r="F7" s="65" t="n">
        <v>23.4</v>
      </c>
      <c r="G7" s="65" t="n">
        <v>23.8</v>
      </c>
      <c r="H7" s="65" t="n">
        <v>3.1</v>
      </c>
      <c r="I7" s="65" t="n">
        <v>11</v>
      </c>
      <c r="J7" s="65" t="n">
        <v>13.5</v>
      </c>
      <c r="K7" s="65" t="n">
        <v>37.3</v>
      </c>
      <c r="L7" s="65" t="n">
        <v>-0.6</v>
      </c>
      <c r="M7" s="65" t="n">
        <v>26.8</v>
      </c>
      <c r="N7" s="65" t="n">
        <v>10.2</v>
      </c>
      <c r="O7" s="65" t="n">
        <v>42.6</v>
      </c>
      <c r="P7" s="65" t="n">
        <v>9.1</v>
      </c>
      <c r="Q7" s="65" t="n">
        <v>23.6</v>
      </c>
      <c r="R7" s="65" t="n">
        <v>25.2</v>
      </c>
      <c r="S7" s="65" t="n">
        <v>23.4</v>
      </c>
      <c r="T7" s="65" t="n">
        <v>2.8</v>
      </c>
      <c r="U7" s="65" t="n">
        <v>23.6</v>
      </c>
      <c r="V7" s="65" t="n">
        <v>22.9</v>
      </c>
      <c r="W7" s="65" t="n">
        <v>54.9</v>
      </c>
      <c r="X7" s="65" t="n">
        <v>1.2</v>
      </c>
      <c r="Y7" s="65" t="n">
        <v>9.699999999999999</v>
      </c>
      <c r="Z7" s="65" t="n">
        <v>17</v>
      </c>
      <c r="AA7" s="65" t="n">
        <v>55.8</v>
      </c>
      <c r="AB7" s="65" t="n">
        <v>-5.9</v>
      </c>
      <c r="AC7" s="65" t="n">
        <v>20.7</v>
      </c>
      <c r="AD7" s="65" t="n">
        <v>32</v>
      </c>
      <c r="AE7" s="65" t="n">
        <v>51.4</v>
      </c>
      <c r="AF7" s="65" t="n">
        <v>28.5</v>
      </c>
      <c r="AG7" s="65" t="n">
        <v>53.2</v>
      </c>
      <c r="AH7" s="65" t="n">
        <v>66.2</v>
      </c>
      <c r="AI7" s="65" t="n">
        <v>69</v>
      </c>
      <c r="AJ7" s="65" t="n">
        <v>42.7</v>
      </c>
      <c r="AK7" s="65" t="n">
        <v>63.1</v>
      </c>
      <c r="AL7" s="65" t="n">
        <v>69.8</v>
      </c>
      <c r="AM7" s="65" t="n">
        <v>86.2</v>
      </c>
      <c r="AN7" s="65" t="n">
        <v>51.9</v>
      </c>
      <c r="AO7" s="65" t="n">
        <v>80.09999999999999</v>
      </c>
    </row>
    <row r="8">
      <c r="A8" s="64" t="inlineStr">
        <is>
          <t>영업이익률</t>
        </is>
      </c>
      <c r="B8" s="66" t="n"/>
      <c r="C8" s="66" t="n">
        <v>8.5</v>
      </c>
      <c r="D8" s="66" t="n">
        <v>5.3</v>
      </c>
      <c r="E8" s="66" t="n">
        <v>4.7</v>
      </c>
      <c r="F8" s="66" t="n">
        <v>6.6</v>
      </c>
      <c r="G8" s="66" t="n">
        <v>7.3</v>
      </c>
      <c r="H8" s="66" t="n">
        <v>1.1</v>
      </c>
      <c r="I8" s="66" t="n">
        <v>3.2</v>
      </c>
      <c r="J8" s="66" t="n">
        <v>3.8</v>
      </c>
      <c r="K8" s="66" t="n">
        <v>6.8</v>
      </c>
      <c r="L8" s="66" t="n">
        <v>-0.2</v>
      </c>
      <c r="M8" s="66" t="n">
        <v>6.3</v>
      </c>
      <c r="N8" s="66" t="n">
        <v>2.8</v>
      </c>
      <c r="O8" s="66" t="n">
        <v>11.2</v>
      </c>
      <c r="P8" s="66" t="n">
        <v>2.4</v>
      </c>
      <c r="Q8" s="66" t="n">
        <v>5.4</v>
      </c>
      <c r="R8" s="66" t="n">
        <v>5.9</v>
      </c>
      <c r="S8" s="66" t="n">
        <v>9.9</v>
      </c>
      <c r="T8" s="66" t="n">
        <v>0.8</v>
      </c>
      <c r="U8" s="66" t="n">
        <v>5.5</v>
      </c>
      <c r="V8" s="66" t="n">
        <v>5</v>
      </c>
      <c r="W8" s="66" t="n">
        <v>8.1</v>
      </c>
      <c r="X8" s="66" t="n">
        <v>0.3</v>
      </c>
      <c r="Y8" s="66" t="n">
        <v>2.2</v>
      </c>
      <c r="Z8" s="66" t="n">
        <v>3.8</v>
      </c>
      <c r="AA8" s="66" t="n">
        <v>8.6</v>
      </c>
      <c r="AB8" s="66" t="n">
        <v>-1.6</v>
      </c>
      <c r="AC8" s="66" t="n">
        <v>4.6</v>
      </c>
      <c r="AD8" s="66" t="n">
        <v>6.6</v>
      </c>
      <c r="AE8" s="66" t="n">
        <v>19.9</v>
      </c>
      <c r="AF8" s="66" t="n">
        <v>6.2</v>
      </c>
      <c r="AG8" s="66" t="n">
        <v>10.1</v>
      </c>
      <c r="AH8" s="66" t="n">
        <v>12</v>
      </c>
      <c r="AI8" s="66" t="n">
        <v>10.1</v>
      </c>
      <c r="AJ8" s="66" t="n">
        <v>9.6</v>
      </c>
      <c r="AK8" s="66" t="n">
        <v>12.3</v>
      </c>
      <c r="AL8" s="66" t="n">
        <v>13</v>
      </c>
      <c r="AM8" s="66" t="n">
        <v>11</v>
      </c>
      <c r="AN8" s="66" t="n">
        <v>10.3</v>
      </c>
      <c r="AO8" s="66" t="n">
        <v>14.3</v>
      </c>
    </row>
    <row r="9">
      <c r="A9" s="64" t="inlineStr">
        <is>
          <t>영업이익 YoY</t>
        </is>
      </c>
      <c r="B9" s="66" t="n"/>
      <c r="C9" s="66" t="n"/>
      <c r="D9" s="66" t="n"/>
      <c r="E9" s="66" t="n"/>
      <c r="F9" s="66" t="n"/>
      <c r="G9" s="66" t="n">
        <v>-19.3</v>
      </c>
      <c r="H9" s="66" t="n">
        <v>-81.09999999999999</v>
      </c>
      <c r="I9" s="66" t="n">
        <v>-29.5</v>
      </c>
      <c r="J9" s="66" t="n">
        <v>-42.3</v>
      </c>
      <c r="K9" s="66" t="n">
        <v>56.7</v>
      </c>
      <c r="L9" s="66" t="n">
        <v>-119.4</v>
      </c>
      <c r="M9" s="66" t="n">
        <v>143.6</v>
      </c>
      <c r="N9" s="66" t="n">
        <v>-24.4</v>
      </c>
      <c r="O9" s="66" t="n">
        <v>14.2</v>
      </c>
      <c r="P9" s="66" t="n"/>
      <c r="Q9" s="66" t="n">
        <v>-11.9</v>
      </c>
      <c r="R9" s="66" t="n">
        <v>147.1</v>
      </c>
      <c r="S9" s="66" t="n">
        <v>-45.1</v>
      </c>
      <c r="T9" s="66" t="n">
        <v>-69.2</v>
      </c>
      <c r="U9" s="66" t="n">
        <v>0</v>
      </c>
      <c r="V9" s="66" t="n">
        <v>-9.1</v>
      </c>
      <c r="W9" s="66" t="n">
        <v>134.6</v>
      </c>
      <c r="X9" s="66" t="n">
        <v>-57.1</v>
      </c>
      <c r="Y9" s="66" t="n">
        <v>-58.9</v>
      </c>
      <c r="Z9" s="66" t="n">
        <v>-25.8</v>
      </c>
      <c r="AA9" s="66" t="n">
        <v>1.6</v>
      </c>
      <c r="AB9" s="66" t="n">
        <v>-591.7</v>
      </c>
      <c r="AC9" s="66" t="n">
        <v>113.4</v>
      </c>
      <c r="AD9" s="66" t="n">
        <v>88.2</v>
      </c>
      <c r="AE9" s="66" t="n">
        <v>-7.9</v>
      </c>
      <c r="AF9" s="66" t="n"/>
      <c r="AG9" s="66" t="n">
        <v>157</v>
      </c>
      <c r="AH9" s="66" t="n">
        <v>106.9</v>
      </c>
      <c r="AI9" s="66" t="n">
        <v>34.2</v>
      </c>
      <c r="AJ9" s="66" t="n">
        <v>49.8</v>
      </c>
      <c r="AK9" s="66" t="n">
        <v>18.6</v>
      </c>
      <c r="AL9" s="66" t="n">
        <v>5.4</v>
      </c>
      <c r="AM9" s="66" t="n">
        <v>24.9</v>
      </c>
      <c r="AN9" s="66" t="n">
        <v>21.5</v>
      </c>
      <c r="AO9" s="66" t="n">
        <v>26.9</v>
      </c>
    </row>
    <row r="10">
      <c r="A10" s="64" t="inlineStr">
        <is>
          <t>유동자산</t>
        </is>
      </c>
      <c r="B10" s="65" t="n"/>
      <c r="C10" s="65" t="n">
        <v>1279.9</v>
      </c>
      <c r="D10" s="65" t="n"/>
      <c r="E10" s="65" t="n"/>
      <c r="F10" s="65" t="n">
        <v>1192.5</v>
      </c>
      <c r="G10" s="65" t="n">
        <v>1128.1</v>
      </c>
      <c r="H10" s="65" t="n">
        <v>1165.9</v>
      </c>
      <c r="I10" s="65" t="n">
        <v>1149.7</v>
      </c>
      <c r="J10" s="65" t="n">
        <v>1126.2</v>
      </c>
      <c r="K10" s="65" t="n">
        <v>949.1</v>
      </c>
      <c r="L10" s="65" t="n">
        <v>947.6</v>
      </c>
      <c r="M10" s="65" t="n">
        <v>936.5</v>
      </c>
      <c r="N10" s="65" t="n">
        <v>902</v>
      </c>
      <c r="O10" s="65" t="n">
        <v>781.5</v>
      </c>
      <c r="P10" s="65" t="n">
        <v>921.6</v>
      </c>
      <c r="Q10" s="65" t="n">
        <v>925.7</v>
      </c>
      <c r="R10" s="65" t="n">
        <v>959.2</v>
      </c>
      <c r="S10" s="65" t="n">
        <v>1082.5</v>
      </c>
      <c r="T10" s="65" t="n">
        <v>982.9</v>
      </c>
      <c r="U10" s="65" t="n">
        <v>979</v>
      </c>
      <c r="V10" s="65" t="n">
        <v>1009.8</v>
      </c>
      <c r="W10" s="65" t="n">
        <v>1149.4</v>
      </c>
      <c r="X10" s="65" t="n">
        <v>1073</v>
      </c>
      <c r="Y10" s="65" t="n">
        <v>1089.2</v>
      </c>
      <c r="Z10" s="65" t="n">
        <v>1060.1</v>
      </c>
      <c r="AA10" s="65" t="n">
        <v>1189.6</v>
      </c>
      <c r="AB10" s="65" t="n">
        <v>1071.3</v>
      </c>
      <c r="AC10" s="65" t="n">
        <v>1036.2</v>
      </c>
      <c r="AD10" s="65" t="n">
        <v>1056</v>
      </c>
      <c r="AE10" s="65" t="n">
        <v>951.1</v>
      </c>
      <c r="AF10" s="65" t="n">
        <v>1158.2</v>
      </c>
      <c r="AG10" s="65" t="n">
        <v>1221.2</v>
      </c>
      <c r="AH10" s="65" t="n">
        <v>1166.7</v>
      </c>
      <c r="AI10" s="65" t="n">
        <v>980.6</v>
      </c>
      <c r="AJ10" s="65" t="n">
        <v>1162</v>
      </c>
      <c r="AK10" s="65" t="n">
        <v>1236.6</v>
      </c>
      <c r="AL10" s="65" t="n">
        <v>1302.3</v>
      </c>
      <c r="AM10" s="65" t="n">
        <v>1421</v>
      </c>
      <c r="AN10" s="65" t="n">
        <v>1353.8</v>
      </c>
      <c r="AO10" s="65" t="n">
        <v>1496.7</v>
      </c>
    </row>
    <row r="11">
      <c r="A11" s="64" t="inlineStr">
        <is>
          <t>유동부채</t>
        </is>
      </c>
      <c r="B11" s="65" t="n"/>
      <c r="C11" s="65" t="n">
        <v>383.1</v>
      </c>
      <c r="D11" s="65" t="n"/>
      <c r="E11" s="65" t="n"/>
      <c r="F11" s="65" t="n">
        <v>326.7</v>
      </c>
      <c r="G11" s="65" t="n">
        <v>309.7</v>
      </c>
      <c r="H11" s="65" t="n">
        <v>319.8</v>
      </c>
      <c r="I11" s="65" t="n">
        <v>318.6</v>
      </c>
      <c r="J11" s="65" t="n">
        <v>347.7</v>
      </c>
      <c r="K11" s="65" t="n">
        <v>319.2</v>
      </c>
      <c r="L11" s="65" t="n">
        <v>337.4</v>
      </c>
      <c r="M11" s="65" t="n">
        <v>339.9</v>
      </c>
      <c r="N11" s="65" t="n">
        <v>327.5</v>
      </c>
      <c r="O11" s="65" t="n">
        <v>347</v>
      </c>
      <c r="P11" s="65" t="n">
        <v>393.9</v>
      </c>
      <c r="Q11" s="65" t="n">
        <v>374.5</v>
      </c>
      <c r="R11" s="65" t="n">
        <v>373.8</v>
      </c>
      <c r="S11" s="65" t="n">
        <v>440</v>
      </c>
      <c r="T11" s="65" t="n">
        <v>373.5</v>
      </c>
      <c r="U11" s="65" t="n">
        <v>378</v>
      </c>
      <c r="V11" s="65" t="n">
        <v>399.7</v>
      </c>
      <c r="W11" s="65" t="n">
        <v>488.3</v>
      </c>
      <c r="X11" s="65" t="n">
        <v>390.5</v>
      </c>
      <c r="Y11" s="65" t="n">
        <v>394.7</v>
      </c>
      <c r="Z11" s="65" t="n">
        <v>391.5</v>
      </c>
      <c r="AA11" s="65" t="n">
        <v>473.6</v>
      </c>
      <c r="AB11" s="65" t="n">
        <v>385.9</v>
      </c>
      <c r="AC11" s="65" t="n">
        <v>397.4</v>
      </c>
      <c r="AD11" s="65" t="n">
        <v>416.7</v>
      </c>
      <c r="AE11" s="65" t="n">
        <v>385.7</v>
      </c>
      <c r="AF11" s="65" t="n">
        <v>452.3</v>
      </c>
      <c r="AG11" s="65" t="n">
        <v>452.3</v>
      </c>
      <c r="AH11" s="65" t="n">
        <v>448.7</v>
      </c>
      <c r="AI11" s="65" t="n">
        <v>367.1</v>
      </c>
      <c r="AJ11" s="65" t="n">
        <v>447.3</v>
      </c>
      <c r="AK11" s="65" t="n">
        <v>429.7</v>
      </c>
      <c r="AL11" s="65" t="n">
        <v>464.7</v>
      </c>
      <c r="AM11" s="65" t="n">
        <v>579.8</v>
      </c>
      <c r="AN11" s="65" t="n">
        <v>406.7</v>
      </c>
      <c r="AO11" s="65" t="n">
        <v>455</v>
      </c>
    </row>
    <row r="12">
      <c r="A12" s="64" t="inlineStr">
        <is>
          <t>부채총계</t>
        </is>
      </c>
      <c r="B12" s="65" t="n"/>
      <c r="C12" s="65" t="n">
        <v>466.1</v>
      </c>
      <c r="D12" s="65" t="n"/>
      <c r="E12" s="65" t="n"/>
      <c r="F12" s="65" t="n">
        <v>422.1</v>
      </c>
      <c r="G12" s="65" t="n">
        <v>431.4</v>
      </c>
      <c r="H12" s="65" t="n">
        <v>398.1</v>
      </c>
      <c r="I12" s="65" t="n">
        <v>393.3</v>
      </c>
      <c r="J12" s="65" t="n">
        <v>426.7</v>
      </c>
      <c r="K12" s="65" t="n">
        <v>439.7</v>
      </c>
      <c r="L12" s="65" t="n">
        <v>431.6</v>
      </c>
      <c r="M12" s="65" t="n">
        <v>431.4</v>
      </c>
      <c r="N12" s="65" t="n">
        <v>423.8</v>
      </c>
      <c r="O12" s="65" t="n">
        <v>478.1</v>
      </c>
      <c r="P12" s="65" t="n">
        <v>548.5</v>
      </c>
      <c r="Q12" s="65" t="n">
        <v>522.4</v>
      </c>
      <c r="R12" s="65" t="n">
        <v>525.8</v>
      </c>
      <c r="S12" s="65" t="n">
        <v>577.7</v>
      </c>
      <c r="T12" s="65" t="n">
        <v>514.1</v>
      </c>
      <c r="U12" s="65" t="n">
        <v>518</v>
      </c>
      <c r="V12" s="65" t="n">
        <v>542.3</v>
      </c>
      <c r="W12" s="65" t="n">
        <v>634</v>
      </c>
      <c r="X12" s="65" t="n">
        <v>538</v>
      </c>
      <c r="Y12" s="65" t="n">
        <v>546.5</v>
      </c>
      <c r="Z12" s="65" t="n">
        <v>544.8</v>
      </c>
      <c r="AA12" s="65" t="n">
        <v>704.4</v>
      </c>
      <c r="AB12" s="65" t="n">
        <v>619.8</v>
      </c>
      <c r="AC12" s="65" t="n">
        <v>554.8</v>
      </c>
      <c r="AD12" s="65" t="n">
        <v>576.9</v>
      </c>
      <c r="AE12" s="65" t="n">
        <v>533.6</v>
      </c>
      <c r="AF12" s="65" t="n">
        <v>595</v>
      </c>
      <c r="AG12" s="65" t="n">
        <v>598.1</v>
      </c>
      <c r="AH12" s="65" t="n">
        <v>597.7</v>
      </c>
      <c r="AI12" s="65" t="n">
        <v>533</v>
      </c>
      <c r="AJ12" s="65" t="n">
        <v>585.6</v>
      </c>
      <c r="AK12" s="65" t="n">
        <v>569.8</v>
      </c>
      <c r="AL12" s="65" t="n">
        <v>616.3</v>
      </c>
      <c r="AM12" s="65" t="n">
        <v>700</v>
      </c>
      <c r="AN12" s="65" t="n">
        <v>565.8</v>
      </c>
      <c r="AO12" s="65" t="n">
        <v>627.4</v>
      </c>
    </row>
    <row r="13">
      <c r="A13" s="64" t="inlineStr">
        <is>
          <t>자기자본</t>
        </is>
      </c>
      <c r="B13" s="66" t="n"/>
      <c r="C13" s="66" t="n">
        <v>2170.1</v>
      </c>
      <c r="D13" s="66" t="n"/>
      <c r="E13" s="66" t="n"/>
      <c r="F13" s="66" t="n">
        <v>2199.3</v>
      </c>
      <c r="G13" s="66" t="n">
        <v>2130.8</v>
      </c>
      <c r="H13" s="66" t="n">
        <v>2209.1</v>
      </c>
      <c r="I13" s="66" t="n">
        <v>2215.6</v>
      </c>
      <c r="J13" s="66" t="n">
        <v>2151.7</v>
      </c>
      <c r="K13" s="66" t="n">
        <v>2100.6</v>
      </c>
      <c r="L13" s="66" t="n">
        <v>2145.4</v>
      </c>
      <c r="M13" s="66" t="n">
        <v>2168.1</v>
      </c>
      <c r="N13" s="66" t="n">
        <v>2133.6</v>
      </c>
      <c r="O13" s="66" t="n">
        <v>2045.4</v>
      </c>
      <c r="P13" s="66" t="n">
        <v>2113.8</v>
      </c>
      <c r="Q13" s="66" t="n">
        <v>2134.6</v>
      </c>
      <c r="R13" s="66" t="n">
        <v>2131.8</v>
      </c>
      <c r="S13" s="66" t="n">
        <v>2187.5</v>
      </c>
      <c r="T13" s="66" t="n">
        <v>2142.3</v>
      </c>
      <c r="U13" s="66" t="n">
        <v>2153.2</v>
      </c>
      <c r="V13" s="66" t="n">
        <v>2138.8</v>
      </c>
      <c r="W13" s="66" t="n">
        <v>2163.3</v>
      </c>
      <c r="X13" s="66" t="n">
        <v>2135.8</v>
      </c>
      <c r="Y13" s="66" t="n">
        <v>2137.5</v>
      </c>
      <c r="Z13" s="66" t="n">
        <v>2108.4</v>
      </c>
      <c r="AA13" s="66" t="n">
        <v>2020.7</v>
      </c>
      <c r="AB13" s="66" t="n">
        <v>2009.5</v>
      </c>
      <c r="AC13" s="66" t="n">
        <v>2039.2</v>
      </c>
      <c r="AD13" s="66" t="n">
        <v>2024</v>
      </c>
      <c r="AE13" s="66" t="n">
        <v>2017.6</v>
      </c>
      <c r="AF13" s="66" t="n">
        <v>2137.4</v>
      </c>
      <c r="AG13" s="66" t="n">
        <v>2155.8</v>
      </c>
      <c r="AH13" s="66" t="n">
        <v>2215.7</v>
      </c>
      <c r="AI13" s="66" t="n">
        <v>2133.4</v>
      </c>
      <c r="AJ13" s="66" t="n">
        <v>2292.2</v>
      </c>
      <c r="AK13" s="66" t="n">
        <v>2366.9</v>
      </c>
      <c r="AL13" s="66" t="n">
        <v>2416.4</v>
      </c>
      <c r="AM13" s="66" t="n">
        <v>2478.2</v>
      </c>
      <c r="AN13" s="66" t="n">
        <v>2566.6</v>
      </c>
      <c r="AO13" s="66" t="n">
        <v>2647.5</v>
      </c>
    </row>
    <row r="14">
      <c r="A14" s="64" t="inlineStr">
        <is>
          <t>유동비율</t>
        </is>
      </c>
      <c r="B14" s="66" t="n"/>
      <c r="C14" s="66" t="n">
        <v>334.1</v>
      </c>
      <c r="D14" s="66" t="n"/>
      <c r="E14" s="66" t="n"/>
      <c r="F14" s="66" t="n">
        <v>365</v>
      </c>
      <c r="G14" s="66" t="n">
        <v>364.3</v>
      </c>
      <c r="H14" s="66" t="n">
        <v>364.6</v>
      </c>
      <c r="I14" s="66" t="n">
        <v>360.9</v>
      </c>
      <c r="J14" s="66" t="n">
        <v>323.9</v>
      </c>
      <c r="K14" s="66" t="n">
        <v>297.3</v>
      </c>
      <c r="L14" s="66" t="n">
        <v>280.9</v>
      </c>
      <c r="M14" s="66" t="n">
        <v>275.5</v>
      </c>
      <c r="N14" s="66" t="n">
        <v>275.4</v>
      </c>
      <c r="O14" s="66" t="n">
        <v>225.2</v>
      </c>
      <c r="P14" s="66" t="n">
        <v>234</v>
      </c>
      <c r="Q14" s="66" t="n">
        <v>247.2</v>
      </c>
      <c r="R14" s="66" t="n">
        <v>256.6</v>
      </c>
      <c r="S14" s="66" t="n">
        <v>246</v>
      </c>
      <c r="T14" s="66" t="n">
        <v>263.2</v>
      </c>
      <c r="U14" s="66" t="n">
        <v>259</v>
      </c>
      <c r="V14" s="66" t="n">
        <v>252.6</v>
      </c>
      <c r="W14" s="66" t="n">
        <v>235.4</v>
      </c>
      <c r="X14" s="66" t="n">
        <v>274.8</v>
      </c>
      <c r="Y14" s="66" t="n">
        <v>276</v>
      </c>
      <c r="Z14" s="66" t="n">
        <v>270.8</v>
      </c>
      <c r="AA14" s="66" t="n">
        <v>251.2</v>
      </c>
      <c r="AB14" s="66" t="n">
        <v>277.6</v>
      </c>
      <c r="AC14" s="66" t="n">
        <v>260.7</v>
      </c>
      <c r="AD14" s="66" t="n">
        <v>253.4</v>
      </c>
      <c r="AE14" s="66" t="n">
        <v>246.6</v>
      </c>
      <c r="AF14" s="66" t="n">
        <v>256.1</v>
      </c>
      <c r="AG14" s="66" t="n">
        <v>270</v>
      </c>
      <c r="AH14" s="66" t="n">
        <v>260</v>
      </c>
      <c r="AI14" s="66" t="n">
        <v>267.1</v>
      </c>
      <c r="AJ14" s="66" t="n">
        <v>259.8</v>
      </c>
      <c r="AK14" s="66" t="n">
        <v>287.8</v>
      </c>
      <c r="AL14" s="66" t="n">
        <v>280.2</v>
      </c>
      <c r="AM14" s="66" t="n">
        <v>245.1</v>
      </c>
      <c r="AN14" s="66" t="n">
        <v>332.9</v>
      </c>
      <c r="AO14" s="66" t="n">
        <v>328.9</v>
      </c>
    </row>
    <row r="15">
      <c r="A15" s="64" t="inlineStr">
        <is>
          <t>부채비율</t>
        </is>
      </c>
      <c r="B15" s="66" t="n"/>
      <c r="C15" s="66" t="n">
        <v>21.5</v>
      </c>
      <c r="D15" s="66" t="n"/>
      <c r="E15" s="66" t="n"/>
      <c r="F15" s="66" t="n">
        <v>19.2</v>
      </c>
      <c r="G15" s="66" t="n">
        <v>20.2</v>
      </c>
      <c r="H15" s="66" t="n">
        <v>18</v>
      </c>
      <c r="I15" s="66" t="n">
        <v>17.8</v>
      </c>
      <c r="J15" s="66" t="n">
        <v>19.8</v>
      </c>
      <c r="K15" s="66" t="n">
        <v>20.9</v>
      </c>
      <c r="L15" s="66" t="n">
        <v>20.1</v>
      </c>
      <c r="M15" s="66" t="n">
        <v>19.9</v>
      </c>
      <c r="N15" s="66" t="n">
        <v>19.9</v>
      </c>
      <c r="O15" s="66" t="n">
        <v>23.4</v>
      </c>
      <c r="P15" s="66" t="n">
        <v>25.9</v>
      </c>
      <c r="Q15" s="66" t="n">
        <v>24.5</v>
      </c>
      <c r="R15" s="66" t="n">
        <v>24.7</v>
      </c>
      <c r="S15" s="66" t="n">
        <v>26.4</v>
      </c>
      <c r="T15" s="66" t="n">
        <v>24</v>
      </c>
      <c r="U15" s="66" t="n">
        <v>24.1</v>
      </c>
      <c r="V15" s="66" t="n">
        <v>25.4</v>
      </c>
      <c r="W15" s="66" t="n">
        <v>29.3</v>
      </c>
      <c r="X15" s="66" t="n">
        <v>25.2</v>
      </c>
      <c r="Y15" s="66" t="n">
        <v>25.6</v>
      </c>
      <c r="Z15" s="66" t="n">
        <v>25.8</v>
      </c>
      <c r="AA15" s="66" t="n">
        <v>34.9</v>
      </c>
      <c r="AB15" s="66" t="n">
        <v>30.8</v>
      </c>
      <c r="AC15" s="66" t="n">
        <v>27.2</v>
      </c>
      <c r="AD15" s="66" t="n">
        <v>28.5</v>
      </c>
      <c r="AE15" s="66" t="n">
        <v>26.4</v>
      </c>
      <c r="AF15" s="66" t="n">
        <v>27.8</v>
      </c>
      <c r="AG15" s="66" t="n">
        <v>27.7</v>
      </c>
      <c r="AH15" s="66" t="n">
        <v>27</v>
      </c>
      <c r="AI15" s="66" t="n">
        <v>25</v>
      </c>
      <c r="AJ15" s="66" t="n">
        <v>25.5</v>
      </c>
      <c r="AK15" s="66" t="n">
        <v>24.1</v>
      </c>
      <c r="AL15" s="66" t="n">
        <v>25.5</v>
      </c>
      <c r="AM15" s="66" t="n">
        <v>28.2</v>
      </c>
      <c r="AN15" s="66" t="n">
        <v>22</v>
      </c>
      <c r="AO15" s="66" t="n">
        <v>23.7</v>
      </c>
    </row>
    <row r="16">
      <c r="A16" s="64" t="inlineStr">
        <is>
          <t>순차입금/자기자본</t>
        </is>
      </c>
      <c r="B16" s="66" t="n"/>
      <c r="C16" s="66" t="n">
        <v>-8</v>
      </c>
      <c r="D16" s="66" t="n"/>
      <c r="E16" s="66" t="n"/>
      <c r="F16" s="66" t="n">
        <v>-13.5</v>
      </c>
      <c r="G16" s="66" t="n">
        <v>-4.9</v>
      </c>
      <c r="H16" s="66" t="n">
        <v>-10.9</v>
      </c>
      <c r="I16" s="66" t="n">
        <v>-8</v>
      </c>
      <c r="J16" s="66" t="n">
        <v>-11.5</v>
      </c>
      <c r="K16" s="66" t="n">
        <v>-4.6</v>
      </c>
      <c r="L16" s="66" t="n">
        <v>-12.9</v>
      </c>
      <c r="M16" s="66" t="n">
        <v>-9.9</v>
      </c>
      <c r="N16" s="66" t="n">
        <v>-9.9</v>
      </c>
      <c r="O16" s="66" t="n">
        <v>-4.9</v>
      </c>
      <c r="P16" s="66" t="n">
        <v>-10.5</v>
      </c>
      <c r="Q16" s="66" t="n">
        <v>-7.6</v>
      </c>
      <c r="R16" s="66" t="n">
        <v>-9</v>
      </c>
      <c r="S16" s="66" t="n">
        <v>-8.1</v>
      </c>
      <c r="T16" s="66" t="n">
        <v>-9</v>
      </c>
      <c r="U16" s="66" t="n">
        <v>-9.1</v>
      </c>
      <c r="V16" s="66" t="n">
        <v>-9.300000000000001</v>
      </c>
      <c r="W16" s="66" t="n">
        <v>-11.1</v>
      </c>
      <c r="X16" s="66" t="n">
        <v>-9.4</v>
      </c>
      <c r="Y16" s="66" t="n">
        <v>-10.1</v>
      </c>
      <c r="Z16" s="66" t="n">
        <v>-9.4</v>
      </c>
      <c r="AA16" s="66" t="n">
        <v>-9.1</v>
      </c>
      <c r="AB16" s="66" t="n">
        <v>-9.300000000000001</v>
      </c>
      <c r="AC16" s="66" t="n">
        <v>-10.2</v>
      </c>
      <c r="AD16" s="66" t="n">
        <v>-10.4</v>
      </c>
      <c r="AE16" s="66" t="n">
        <v>-3.1</v>
      </c>
      <c r="AF16" s="66" t="n">
        <v>-12.6</v>
      </c>
      <c r="AG16" s="66" t="n">
        <v>-11.6</v>
      </c>
      <c r="AH16" s="66" t="n">
        <v>-10.5</v>
      </c>
      <c r="AI16" s="66" t="n">
        <v>-3.5</v>
      </c>
      <c r="AJ16" s="66" t="n">
        <v>-12.6</v>
      </c>
      <c r="AK16" s="66" t="n">
        <v>-12</v>
      </c>
      <c r="AL16" s="66" t="n">
        <v>-11</v>
      </c>
      <c r="AM16" s="66" t="n">
        <v>-10.3</v>
      </c>
      <c r="AN16" s="66" t="n">
        <v>-13.8</v>
      </c>
      <c r="AO16" s="66" t="n">
        <v>-17.2</v>
      </c>
    </row>
    <row r="17">
      <c r="A17" s="64" t="inlineStr">
        <is>
          <t>재고자산</t>
        </is>
      </c>
      <c r="B17" s="65" t="n"/>
      <c r="C17" s="65" t="n">
        <v>8.9</v>
      </c>
      <c r="D17" s="65" t="n"/>
      <c r="E17" s="65" t="n"/>
      <c r="F17" s="65" t="n">
        <v>13.6</v>
      </c>
      <c r="G17" s="65" t="n">
        <v>7.8</v>
      </c>
      <c r="H17" s="65" t="n">
        <v>11.8</v>
      </c>
      <c r="I17" s="65" t="n">
        <v>10.7</v>
      </c>
      <c r="J17" s="65" t="n">
        <v>14.1</v>
      </c>
      <c r="K17" s="65" t="n">
        <v>15.2</v>
      </c>
      <c r="L17" s="65" t="n">
        <v>10.2</v>
      </c>
      <c r="M17" s="65" t="n">
        <v>7.2</v>
      </c>
      <c r="N17" s="65" t="n">
        <v>14.1</v>
      </c>
      <c r="O17" s="65" t="n">
        <v>20.4</v>
      </c>
      <c r="P17" s="65" t="n">
        <v>24.4</v>
      </c>
      <c r="Q17" s="65" t="n">
        <v>22.5</v>
      </c>
      <c r="R17" s="65" t="n">
        <v>28</v>
      </c>
      <c r="S17" s="65" t="n">
        <v>19.6</v>
      </c>
      <c r="T17" s="65" t="n">
        <v>23.6</v>
      </c>
      <c r="U17" s="65" t="n">
        <v>22.5</v>
      </c>
      <c r="V17" s="65" t="n">
        <v>30.1</v>
      </c>
      <c r="W17" s="65" t="n">
        <v>20.6</v>
      </c>
      <c r="X17" s="65" t="n">
        <v>28.8</v>
      </c>
      <c r="Y17" s="65" t="n">
        <v>28.8</v>
      </c>
      <c r="Z17" s="65" t="n">
        <v>36.5</v>
      </c>
      <c r="AA17" s="65" t="n">
        <v>24.6</v>
      </c>
      <c r="AB17" s="65" t="n">
        <v>29.6</v>
      </c>
      <c r="AC17" s="65" t="n">
        <v>28.3</v>
      </c>
      <c r="AD17" s="65" t="n">
        <v>33.5</v>
      </c>
      <c r="AE17" s="65" t="n">
        <v>27.4</v>
      </c>
      <c r="AF17" s="65" t="n">
        <v>31.6</v>
      </c>
      <c r="AG17" s="65" t="n">
        <v>29</v>
      </c>
      <c r="AH17" s="65" t="n">
        <v>34.6</v>
      </c>
      <c r="AI17" s="65" t="n">
        <v>24.8</v>
      </c>
      <c r="AJ17" s="65" t="n">
        <v>27</v>
      </c>
      <c r="AK17" s="65" t="n">
        <v>28.7</v>
      </c>
      <c r="AL17" s="65" t="n">
        <v>37.2</v>
      </c>
      <c r="AM17" s="65" t="n">
        <v>25.5</v>
      </c>
      <c r="AN17" s="65" t="n">
        <v>31.5</v>
      </c>
      <c r="AO17" s="65" t="n">
        <v>31.7</v>
      </c>
    </row>
    <row r="18">
      <c r="A18" s="64" t="inlineStr">
        <is>
          <t>재고자산 회전일수</t>
        </is>
      </c>
      <c r="B18" s="65" t="n"/>
      <c r="C18" s="65" t="n">
        <v>3</v>
      </c>
      <c r="D18" s="65" t="n"/>
      <c r="E18" s="65" t="n"/>
      <c r="F18" s="65" t="n">
        <v>4</v>
      </c>
      <c r="G18" s="65" t="n">
        <v>2</v>
      </c>
      <c r="H18" s="65" t="n">
        <v>4</v>
      </c>
      <c r="I18" s="65" t="n">
        <v>3</v>
      </c>
      <c r="J18" s="65" t="n">
        <v>4</v>
      </c>
      <c r="K18" s="65" t="n">
        <v>3</v>
      </c>
      <c r="L18" s="65" t="n">
        <v>3</v>
      </c>
      <c r="M18" s="65" t="n">
        <v>2</v>
      </c>
      <c r="N18" s="65" t="n">
        <v>4</v>
      </c>
      <c r="O18" s="65" t="n">
        <v>5</v>
      </c>
      <c r="P18" s="65" t="n">
        <v>7</v>
      </c>
      <c r="Q18" s="65" t="n">
        <v>5</v>
      </c>
      <c r="R18" s="65" t="n">
        <v>7</v>
      </c>
      <c r="S18" s="65" t="n">
        <v>7</v>
      </c>
      <c r="T18" s="65" t="n">
        <v>7</v>
      </c>
      <c r="U18" s="65" t="n">
        <v>6</v>
      </c>
      <c r="V18" s="65" t="n">
        <v>7</v>
      </c>
      <c r="W18" s="65" t="n">
        <v>3</v>
      </c>
      <c r="X18" s="65" t="n">
        <v>8</v>
      </c>
      <c r="Y18" s="65" t="n">
        <v>7</v>
      </c>
      <c r="Z18" s="65" t="n">
        <v>8</v>
      </c>
      <c r="AA18" s="65" t="n">
        <v>4</v>
      </c>
      <c r="AB18" s="65" t="n">
        <v>8</v>
      </c>
      <c r="AC18" s="65" t="n">
        <v>7</v>
      </c>
      <c r="AD18" s="65" t="n">
        <v>7</v>
      </c>
      <c r="AE18" s="65" t="n">
        <v>11</v>
      </c>
      <c r="AF18" s="65" t="n">
        <v>7</v>
      </c>
      <c r="AG18" s="65" t="n">
        <v>6</v>
      </c>
      <c r="AH18" s="65" t="n">
        <v>7</v>
      </c>
      <c r="AI18" s="65" t="n">
        <v>4</v>
      </c>
      <c r="AJ18" s="65" t="n">
        <v>7</v>
      </c>
      <c r="AK18" s="65" t="n">
        <v>6</v>
      </c>
      <c r="AL18" s="65" t="n">
        <v>8</v>
      </c>
      <c r="AM18" s="65" t="n">
        <v>4</v>
      </c>
      <c r="AN18" s="65" t="n">
        <v>7</v>
      </c>
      <c r="AO18" s="65" t="n">
        <v>7</v>
      </c>
    </row>
    <row r="19">
      <c r="A19" s="64" t="inlineStr">
        <is>
          <t>매출채권 회전일수</t>
        </is>
      </c>
      <c r="B19" s="65" t="n"/>
      <c r="C19" s="65" t="n"/>
      <c r="D19" s="65" t="n"/>
      <c r="E19" s="65" t="n"/>
      <c r="F19" s="65" t="n"/>
      <c r="G19" s="65" t="n"/>
      <c r="H19" s="65" t="n"/>
      <c r="I19" s="65" t="n"/>
      <c r="J19" s="65" t="n"/>
      <c r="K19" s="65" t="n"/>
      <c r="L19" s="65" t="n"/>
      <c r="M19" s="65" t="n"/>
      <c r="N19" s="65" t="n"/>
      <c r="O19" s="65" t="n"/>
      <c r="P19" s="65" t="n"/>
      <c r="Q19" s="65" t="n"/>
      <c r="R19" s="65" t="n"/>
      <c r="S19" s="65" t="n"/>
      <c r="T19" s="65" t="n"/>
      <c r="U19" s="65" t="n"/>
      <c r="V19" s="65" t="n"/>
      <c r="W19" s="65" t="n"/>
      <c r="X19" s="65" t="n"/>
      <c r="Y19" s="65" t="n"/>
      <c r="Z19" s="65" t="n"/>
      <c r="AA19" s="65" t="n"/>
      <c r="AB19" s="65" t="n"/>
      <c r="AC19" s="65" t="n"/>
      <c r="AD19" s="65" t="n"/>
      <c r="AE19" s="65" t="n"/>
      <c r="AF19" s="65" t="n"/>
      <c r="AG19" s="65" t="n"/>
      <c r="AH19" s="65" t="n"/>
      <c r="AI19" s="65" t="n"/>
      <c r="AJ19" s="65" t="n"/>
      <c r="AK19" s="65" t="n"/>
      <c r="AL19" s="65" t="n"/>
      <c r="AM19" s="65" t="n"/>
      <c r="AN19" s="65" t="n"/>
      <c r="AO19" s="65" t="n"/>
    </row>
    <row r="20">
      <c r="A20" s="64" t="inlineStr">
        <is>
          <t>매입채무 회전일수</t>
        </is>
      </c>
      <c r="B20" s="65" t="n"/>
      <c r="C20" s="65" t="n"/>
      <c r="D20" s="65" t="n"/>
      <c r="E20" s="65" t="n"/>
      <c r="F20" s="65" t="n"/>
      <c r="G20" s="65" t="n"/>
      <c r="H20" s="65" t="n"/>
      <c r="I20" s="65" t="n"/>
      <c r="J20" s="65" t="n"/>
      <c r="K20" s="65" t="n"/>
      <c r="L20" s="65" t="n"/>
      <c r="M20" s="65" t="n"/>
      <c r="N20" s="65" t="n"/>
      <c r="O20" s="65" t="n"/>
      <c r="P20" s="65" t="n"/>
      <c r="Q20" s="65" t="n"/>
      <c r="R20" s="65" t="n"/>
      <c r="S20" s="65" t="n"/>
      <c r="T20" s="65" t="n"/>
      <c r="U20" s="65" t="n"/>
      <c r="V20" s="65" t="n"/>
      <c r="W20" s="65" t="n"/>
      <c r="X20" s="65" t="n"/>
      <c r="Y20" s="65" t="n"/>
      <c r="Z20" s="65" t="n"/>
      <c r="AA20" s="65" t="n"/>
      <c r="AB20" s="65" t="n"/>
      <c r="AC20" s="65" t="n"/>
      <c r="AD20" s="65" t="n"/>
      <c r="AE20" s="65" t="n"/>
      <c r="AF20" s="65" t="n"/>
      <c r="AG20" s="65" t="n"/>
      <c r="AH20" s="65" t="n"/>
      <c r="AI20" s="65" t="n"/>
      <c r="AJ20" s="65" t="n"/>
      <c r="AK20" s="65" t="n"/>
      <c r="AL20" s="65" t="n"/>
      <c r="AM20" s="65" t="n"/>
      <c r="AN20" s="65" t="n"/>
      <c r="AO20" s="65" t="n"/>
    </row>
    <row r="21">
      <c r="A21" s="64" t="inlineStr">
        <is>
          <t>현금전환주기(CCC)</t>
        </is>
      </c>
      <c r="B21" s="65" t="n"/>
      <c r="C21" s="65" t="n"/>
      <c r="D21" s="65" t="n"/>
      <c r="E21" s="65" t="n"/>
      <c r="F21" s="65" t="n"/>
      <c r="G21" s="65" t="n"/>
      <c r="H21" s="65" t="n"/>
      <c r="I21" s="65" t="n"/>
      <c r="J21" s="65" t="n"/>
      <c r="K21" s="65" t="n"/>
      <c r="L21" s="65" t="n"/>
      <c r="M21" s="65" t="n"/>
      <c r="N21" s="65" t="n"/>
      <c r="O21" s="65" t="n"/>
      <c r="P21" s="65" t="n"/>
      <c r="Q21" s="65" t="n"/>
      <c r="R21" s="65" t="n"/>
      <c r="S21" s="65" t="n"/>
      <c r="T21" s="65" t="n"/>
      <c r="U21" s="65" t="n"/>
      <c r="V21" s="65" t="n"/>
      <c r="W21" s="65" t="n"/>
      <c r="X21" s="65" t="n"/>
      <c r="Y21" s="65" t="n"/>
      <c r="Z21" s="65" t="n"/>
      <c r="AA21" s="65" t="n"/>
      <c r="AB21" s="65" t="n"/>
      <c r="AC21" s="65" t="n"/>
      <c r="AD21" s="65" t="n"/>
      <c r="AE21" s="65" t="n"/>
      <c r="AF21" s="65" t="n"/>
      <c r="AG21" s="65" t="n"/>
      <c r="AH21" s="65" t="n"/>
      <c r="AI21" s="65" t="n"/>
      <c r="AJ21" s="65" t="n"/>
      <c r="AK21" s="65" t="n"/>
      <c r="AL21" s="65" t="n"/>
      <c r="AM21" s="65" t="n"/>
      <c r="AN21" s="65" t="n"/>
      <c r="AO21" s="65" t="n"/>
    </row>
    <row r="22">
      <c r="A22" s="64" t="inlineStr">
        <is>
          <t>총 차입금</t>
        </is>
      </c>
      <c r="B22" s="65" t="n"/>
      <c r="C22" s="65" t="n">
        <v>13.4</v>
      </c>
      <c r="D22" s="65" t="n"/>
      <c r="E22" s="65" t="n"/>
      <c r="F22" s="65" t="n">
        <v>7.199999999999999</v>
      </c>
      <c r="G22" s="65" t="n">
        <v>33.8</v>
      </c>
      <c r="H22" s="65" t="n">
        <v>10.9</v>
      </c>
      <c r="I22" s="65" t="n">
        <v>17</v>
      </c>
      <c r="J22" s="65" t="n">
        <v>16.9</v>
      </c>
      <c r="K22" s="65" t="n">
        <v>26.2</v>
      </c>
      <c r="L22" s="65" t="n">
        <v>1.2</v>
      </c>
      <c r="M22" s="65" t="n">
        <v>1.5</v>
      </c>
      <c r="N22" s="65" t="n">
        <v>1.1</v>
      </c>
      <c r="O22" s="65" t="n">
        <v>30.8</v>
      </c>
      <c r="P22" s="65" t="n">
        <v>9.700000000000001</v>
      </c>
      <c r="Q22" s="65" t="n">
        <v>7.699999999999999</v>
      </c>
      <c r="R22" s="65" t="n">
        <v>7.399999999999999</v>
      </c>
      <c r="S22" s="65" t="n">
        <v>10</v>
      </c>
      <c r="T22" s="65" t="n">
        <v>5.6</v>
      </c>
      <c r="U22" s="65" t="n">
        <v>5.1</v>
      </c>
      <c r="V22" s="65" t="n">
        <v>3.3</v>
      </c>
      <c r="W22" s="65" t="n">
        <v>5.4</v>
      </c>
      <c r="X22" s="65" t="n">
        <v>0</v>
      </c>
      <c r="Y22" s="65" t="n">
        <v>0</v>
      </c>
      <c r="Z22" s="65" t="n">
        <v>1</v>
      </c>
      <c r="AA22" s="65" t="n">
        <v>3.8</v>
      </c>
      <c r="AB22" s="65" t="n">
        <v>1.5</v>
      </c>
      <c r="AC22" s="65" t="n">
        <v>0</v>
      </c>
      <c r="AD22" s="65" t="n">
        <v>0.5</v>
      </c>
      <c r="AE22" s="65" t="n">
        <v>26.3</v>
      </c>
      <c r="AF22" s="65" t="n">
        <v>0</v>
      </c>
      <c r="AG22" s="65" t="n">
        <v>0</v>
      </c>
      <c r="AH22" s="65" t="n">
        <v>0</v>
      </c>
      <c r="AI22" s="65" t="n">
        <v>37.1</v>
      </c>
      <c r="AJ22" s="65" t="n">
        <v>0</v>
      </c>
      <c r="AK22" s="65" t="n">
        <v>0</v>
      </c>
      <c r="AL22" s="65" t="n">
        <v>0</v>
      </c>
      <c r="AM22" s="65" t="n">
        <v>46.5</v>
      </c>
      <c r="AN22" s="65" t="n">
        <v>0</v>
      </c>
      <c r="AO22" s="65" t="n">
        <v>0</v>
      </c>
    </row>
    <row r="23">
      <c r="A23" s="64" t="inlineStr">
        <is>
          <t>현금</t>
        </is>
      </c>
      <c r="B23" s="65" t="n"/>
      <c r="C23" s="65" t="n">
        <v>186.6</v>
      </c>
      <c r="D23" s="65" t="n"/>
      <c r="E23" s="65" t="n"/>
      <c r="F23" s="65" t="n">
        <v>305.1</v>
      </c>
      <c r="G23" s="65" t="n">
        <v>139.1</v>
      </c>
      <c r="H23" s="65" t="n">
        <v>250.9</v>
      </c>
      <c r="I23" s="65" t="n">
        <v>194</v>
      </c>
      <c r="J23" s="65" t="n">
        <v>263.6</v>
      </c>
      <c r="K23" s="65" t="n">
        <v>123.8</v>
      </c>
      <c r="L23" s="65" t="n">
        <v>277.9</v>
      </c>
      <c r="M23" s="65" t="n">
        <v>216.1</v>
      </c>
      <c r="N23" s="65" t="n">
        <v>211.8</v>
      </c>
      <c r="O23" s="65" t="n">
        <v>130.4</v>
      </c>
      <c r="P23" s="65" t="n">
        <v>232.5</v>
      </c>
      <c r="Q23" s="65" t="n">
        <v>169.1</v>
      </c>
      <c r="R23" s="65" t="n">
        <v>198.3</v>
      </c>
      <c r="S23" s="65" t="n">
        <v>186.2</v>
      </c>
      <c r="T23" s="65" t="n">
        <v>199.1</v>
      </c>
      <c r="U23" s="65" t="n">
        <v>201.1</v>
      </c>
      <c r="V23" s="65" t="n">
        <v>202.8</v>
      </c>
      <c r="W23" s="65" t="n">
        <v>246.2</v>
      </c>
      <c r="X23" s="65" t="n">
        <v>201.8</v>
      </c>
      <c r="Y23" s="65" t="n">
        <v>215.4</v>
      </c>
      <c r="Z23" s="65" t="n">
        <v>198.9</v>
      </c>
      <c r="AA23" s="65" t="n">
        <v>187.9</v>
      </c>
      <c r="AB23" s="65" t="n">
        <v>187.4</v>
      </c>
      <c r="AC23" s="65" t="n">
        <v>207.5</v>
      </c>
      <c r="AD23" s="65" t="n">
        <v>210.8</v>
      </c>
      <c r="AE23" s="65" t="n">
        <v>89.09999999999999</v>
      </c>
      <c r="AF23" s="65" t="n">
        <v>269.5</v>
      </c>
      <c r="AG23" s="65" t="n">
        <v>250.6</v>
      </c>
      <c r="AH23" s="65" t="n">
        <v>232.4</v>
      </c>
      <c r="AI23" s="65" t="n">
        <v>112.6</v>
      </c>
      <c r="AJ23" s="65" t="n">
        <v>288.8</v>
      </c>
      <c r="AK23" s="65" t="n">
        <v>283.7</v>
      </c>
      <c r="AL23" s="65" t="n">
        <v>266.8</v>
      </c>
      <c r="AM23" s="65" t="n">
        <v>301.8</v>
      </c>
      <c r="AN23" s="65" t="n">
        <v>354.4</v>
      </c>
      <c r="AO23" s="65" t="n">
        <v>456.5</v>
      </c>
    </row>
    <row r="24">
      <c r="A24" s="64" t="inlineStr">
        <is>
          <t>부문별 매출 · EquipmentInstallationReportableSegmentMember</t>
        </is>
      </c>
      <c r="B24" s="65" t="n"/>
      <c r="C24" s="65" t="n"/>
      <c r="D24" s="65" t="n"/>
      <c r="E24" s="65" t="n"/>
      <c r="F24" s="65" t="n"/>
      <c r="G24" s="65" t="n"/>
      <c r="H24" s="65" t="n"/>
      <c r="I24" s="65" t="n"/>
      <c r="J24" s="65" t="n"/>
      <c r="K24" s="65" t="n"/>
      <c r="L24" s="65" t="n"/>
      <c r="M24" s="65" t="n"/>
      <c r="N24" s="65" t="n"/>
      <c r="O24" s="65" t="n"/>
      <c r="P24" s="65" t="n"/>
      <c r="Q24" s="65" t="n"/>
      <c r="R24" s="65" t="n"/>
      <c r="S24" s="65" t="n"/>
      <c r="T24" s="65" t="n"/>
      <c r="U24" s="65" t="n"/>
      <c r="V24" s="65" t="n"/>
      <c r="W24" s="65" t="n"/>
      <c r="X24" s="65" t="n"/>
      <c r="Y24" s="65" t="n"/>
      <c r="Z24" s="65" t="n"/>
      <c r="AA24" s="65" t="n"/>
      <c r="AB24" s="65" t="n">
        <v>327.4</v>
      </c>
      <c r="AC24" s="65" t="n"/>
      <c r="AD24" s="65" t="n"/>
      <c r="AE24" s="65" t="n">
        <v>635.9</v>
      </c>
      <c r="AF24" s="65" t="n">
        <v>403.6</v>
      </c>
      <c r="AG24" s="65" t="n"/>
      <c r="AH24" s="65" t="n"/>
      <c r="AI24" s="65" t="n">
        <v>618</v>
      </c>
      <c r="AJ24" s="65" t="n">
        <v>394</v>
      </c>
      <c r="AK24" s="65" t="n"/>
      <c r="AL24" s="65" t="n"/>
      <c r="AM24" s="65" t="n">
        <v>714.7</v>
      </c>
      <c r="AN24" s="65" t="n">
        <v>450.3</v>
      </c>
      <c r="AO24" s="65" t="n"/>
      <c r="AP24" s="61" t="inlineStr">
        <is>
          <t>결산단신 부문 정보(외부 고객 매출)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2026-10-30T09:38:34Z</dcterms:created>
  <dcterms:modified xmlns:dcterms="http://purl.org/dc/terms/" xmlns:xsi="http://www.w3.org/2001/XMLSchema-instance" xsi:type="dcterms:W3CDTF">2026-10-30T09:39:43Z</dcterms:modified>
</cp:coreProperties>
</file>