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6946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5064</v>
      </c>
      <c r="D4" s="12" t="n">
        <v>4584</v>
      </c>
      <c r="E4" s="12" t="n">
        <v>4739</v>
      </c>
      <c r="F4" s="12" t="n">
        <v>4087</v>
      </c>
      <c r="G4" s="12" t="n">
        <v>5019</v>
      </c>
      <c r="H4" s="12" t="n">
        <v>4564</v>
      </c>
      <c r="I4" s="12" t="n">
        <v>6452</v>
      </c>
      <c r="J4" s="12" t="n">
        <v>5037</v>
      </c>
      <c r="K4" s="12" t="n">
        <v>7666</v>
      </c>
      <c r="L4" s="12" t="n">
        <v>7023</v>
      </c>
      <c r="M4" s="12" t="n">
        <v>9468</v>
      </c>
      <c r="N4" s="12" t="n">
        <v>8304</v>
      </c>
      <c r="O4" s="11" t="n">
        <v>21352</v>
      </c>
      <c r="P4" s="12" t="n">
        <v>18700</v>
      </c>
      <c r="Q4" s="12" t="n">
        <v>17460</v>
      </c>
      <c r="R4" s="12" t="n">
        <v>16798</v>
      </c>
      <c r="S4" s="12" t="n">
        <v>20195</v>
      </c>
      <c r="T4" s="12" t="n">
        <v>19230</v>
      </c>
      <c r="U4" s="12" t="n">
        <v>17700</v>
      </c>
      <c r="V4" s="12" t="n">
        <v>17992</v>
      </c>
      <c r="W4" s="12" t="n">
        <v>20122</v>
      </c>
      <c r="X4" s="12" t="n">
        <v>29194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Government Systems Reportable Segments</t>
        </is>
      </c>
      <c r="B7" s="10" t="n"/>
      <c r="C7" s="19" t="n">
        <v>4064</v>
      </c>
      <c r="D7" s="20" t="n">
        <v>3804</v>
      </c>
      <c r="E7" s="20" t="n"/>
      <c r="F7" s="20" t="n">
        <v>3341</v>
      </c>
      <c r="G7" s="20" t="n">
        <v>3729</v>
      </c>
      <c r="H7" s="20" t="n">
        <v>3860</v>
      </c>
      <c r="I7" s="20" t="n">
        <v>5101</v>
      </c>
      <c r="J7" s="20" t="n">
        <v>4019</v>
      </c>
      <c r="K7" s="20" t="n">
        <v>6139</v>
      </c>
      <c r="L7" s="20" t="n">
        <v>5844</v>
      </c>
      <c r="M7" s="20" t="n">
        <v>7856</v>
      </c>
      <c r="N7" s="20" t="n">
        <v>7240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16031</v>
      </c>
      <c r="X7" s="20" t="n">
        <v>23858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Industrial Electronic Products Reportable Segments</t>
        </is>
      </c>
      <c r="B10" s="10" t="n"/>
      <c r="C10" s="19" t="n">
        <v>1000</v>
      </c>
      <c r="D10" s="20" t="n">
        <v>779</v>
      </c>
      <c r="E10" s="20" t="n"/>
      <c r="F10" s="20" t="n">
        <v>745</v>
      </c>
      <c r="G10" s="20" t="n">
        <v>1290</v>
      </c>
      <c r="H10" s="20" t="n">
        <v>705</v>
      </c>
      <c r="I10" s="20" t="n">
        <v>1351</v>
      </c>
      <c r="J10" s="20" t="n">
        <v>1017</v>
      </c>
      <c r="K10" s="20" t="n">
        <v>1528</v>
      </c>
      <c r="L10" s="20" t="n">
        <v>1179</v>
      </c>
      <c r="M10" s="20" t="n">
        <v>1611</v>
      </c>
      <c r="N10" s="20" t="n">
        <v>1064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4091</v>
      </c>
      <c r="X10" s="20" t="n">
        <v>5335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3522</v>
      </c>
      <c r="D14" s="20" t="n">
        <v>3099</v>
      </c>
      <c r="E14" s="20" t="n">
        <v>3479</v>
      </c>
      <c r="F14" s="20" t="n">
        <v>2842</v>
      </c>
      <c r="G14" s="20" t="n">
        <v>3256</v>
      </c>
      <c r="H14" s="20" t="n">
        <v>3058</v>
      </c>
      <c r="I14" s="20" t="n">
        <v>4328</v>
      </c>
      <c r="J14" s="20" t="n">
        <v>3519</v>
      </c>
      <c r="K14" s="20" t="n">
        <v>5283</v>
      </c>
      <c r="L14" s="20" t="n">
        <v>4618</v>
      </c>
      <c r="M14" s="20" t="n">
        <v>6261</v>
      </c>
      <c r="N14" s="20" t="n">
        <v>5546</v>
      </c>
      <c r="O14" s="19" t="n">
        <v>16507</v>
      </c>
      <c r="P14" s="20" t="n">
        <v>14603</v>
      </c>
      <c r="Q14" s="20" t="n">
        <v>13580</v>
      </c>
      <c r="R14" s="20" t="n">
        <v>13030</v>
      </c>
      <c r="S14" s="20" t="n">
        <v>14840</v>
      </c>
      <c r="T14" s="20" t="n">
        <v>13188</v>
      </c>
      <c r="U14" s="20" t="n">
        <v>12044</v>
      </c>
      <c r="V14" s="20" t="n">
        <v>12586</v>
      </c>
      <c r="W14" s="20" t="n">
        <v>13484</v>
      </c>
      <c r="X14" s="20" t="n">
        <v>19681</v>
      </c>
      <c r="Y14" s="19" t="n"/>
      <c r="Z14" s="20" t="n"/>
      <c r="AA14" s="20" t="n"/>
      <c r="AB14" s="20" t="n"/>
      <c r="AC14" s="20" t="n"/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IF(OR(G14="",C14=""),"",IF(C14&lt;=0,"",IFERROR(G14/C14-1,"")))</f>
        <v/>
      </c>
      <c r="H15" s="15">
        <f>IF(OR(H14="",D14=""),"",IF(D14&lt;=0,"",IFERROR(H14/D14-1,"")))</f>
        <v/>
      </c>
      <c r="I15" s="15">
        <f>IF(OR(I14="",E14=""),"",IF(E14&lt;=0,"",IFERROR(I14/E14-1,"")))</f>
        <v/>
      </c>
      <c r="J15" s="15">
        <f>IF(OR(J14="",F14=""),"",IF(F14&lt;=0,"",IFERROR(J14/F14-1,"")))</f>
        <v/>
      </c>
      <c r="K15" s="15">
        <f>IF(OR(K14="",G14=""),"",IF(G14&lt;=0,"",IFERROR(K14/G14-1,"")))</f>
        <v/>
      </c>
      <c r="L15" s="15">
        <f>IF(OR(L14="",H14=""),"",IF(H14&lt;=0,"",IFERROR(L14/H14-1,"")))</f>
        <v/>
      </c>
      <c r="M15" s="15">
        <f>IF(OR(M14="",I14=""),"",IF(I14&lt;=0,"",IFERROR(M14/I14-1,"")))</f>
        <v/>
      </c>
      <c r="N15" s="15">
        <f>IF(OR(N14="",J14=""),"",IF(J14&lt;=0,"",IFERROR(N14/J14-1,"")))</f>
        <v/>
      </c>
      <c r="O15" s="14" t="n"/>
      <c r="P15" s="15">
        <f>IF(OR(P14="",O14=""),"",IF(O14&lt;=0,"",IFERROR(P14/O14-1,"")))</f>
        <v/>
      </c>
      <c r="Q15" s="15">
        <f>IF(OR(Q14="",P14=""),"",IF(P14&lt;=0,"",IFERROR(Q14/P14-1,"")))</f>
        <v/>
      </c>
      <c r="R15" s="15">
        <f>IF(OR(R14="",Q14=""),"",IF(Q14&lt;=0,"",IFERROR(R14/Q14-1,"")))</f>
        <v/>
      </c>
      <c r="S15" s="15">
        <f>IF(OR(S14="",R14=""),"",IF(R14&lt;=0,"",IFERROR(S14/R14-1,"")))</f>
        <v/>
      </c>
      <c r="T15" s="15">
        <f>IF(OR(T14="",S14=""),"",IF(S14&lt;=0,"",IFERROR(T14/S14-1,"")))</f>
        <v/>
      </c>
      <c r="U15" s="15">
        <f>IF(OR(U14="",T14=""),"",IF(T14&lt;=0,"",IFERROR(U14/T14-1,"")))</f>
        <v/>
      </c>
      <c r="V15" s="15">
        <f>IF(OR(V14="",U14=""),"",IF(U14&lt;=0,"",IFERROR(V14/U14-1,"")))</f>
        <v/>
      </c>
      <c r="W15" s="15">
        <f>IF(OR(W14="",V14=""),"",IF(V14&lt;=0,"",IFERROR(W14/V14-1,"")))</f>
        <v/>
      </c>
      <c r="X15" s="15">
        <f>IF(OR(X14="",W14=""),"",IF(W14&lt;=0,"",IFERROR(X14/W14-1,"")))</f>
        <v/>
      </c>
      <c r="Y15" s="14">
        <f>IF(OR(Y14="",X14=""),"",IF(X14&lt;=0,"",IFERROR(Y14/X14-1,"")))</f>
        <v/>
      </c>
      <c r="Z15" s="15">
        <f>IF(OR(Z14="",Y14=""),"",IF(Y14&lt;=0,"",IFERROR(Z14/Y14-1,"")))</f>
        <v/>
      </c>
      <c r="AA15" s="15">
        <f>IF(OR(AA14="",Z14=""),"",IF(Z14&lt;=0,"",IFERROR(AA14/Z14-1,"")))</f>
        <v/>
      </c>
      <c r="AB15" s="15">
        <f>IF(OR(AB14="",AA14=""),"",IF(AA14&lt;=0,"",IFERROR(AB14/AA14-1,"")))</f>
        <v/>
      </c>
      <c r="AC15" s="15">
        <f>IF(OR(AC14="",AB14=""),"",IF(AB14&lt;=0,"",IFERROR(AC14/AB14-1,"")))</f>
        <v/>
      </c>
    </row>
    <row r="16">
      <c r="A16" s="18" t="inlineStr">
        <is>
          <t>매출총이익</t>
        </is>
      </c>
      <c r="B16" s="10" t="n"/>
      <c r="C16" s="19">
        <f>IF(OR(C4="",C14=""),"",IFERROR(C4-C14,""))</f>
        <v/>
      </c>
      <c r="D16" s="20">
        <f>IF(OR(D4="",D14=""),"",IFERROR(D4-D14,""))</f>
        <v/>
      </c>
      <c r="E16" s="20">
        <f>IF(OR(E4="",E14=""),"",IFERROR(E4-E14,""))</f>
        <v/>
      </c>
      <c r="F16" s="20">
        <f>IF(OR(F4="",F14=""),"",IFERROR(F4-F14,""))</f>
        <v/>
      </c>
      <c r="G16" s="20">
        <f>IF(OR(G4="",G14=""),"",IFERROR(G4-G14,""))</f>
        <v/>
      </c>
      <c r="H16" s="20">
        <f>IF(OR(H4="",H14=""),"",IFERROR(H4-H14,""))</f>
        <v/>
      </c>
      <c r="I16" s="20">
        <f>IF(OR(I4="",I14=""),"",IFERROR(I4-I14,""))</f>
        <v/>
      </c>
      <c r="J16" s="20">
        <f>IF(OR(J4="",J14=""),"",IFERROR(J4-J14,""))</f>
        <v/>
      </c>
      <c r="K16" s="20">
        <f>IF(OR(K4="",K14=""),"",IFERROR(K4-K14,""))</f>
        <v/>
      </c>
      <c r="L16" s="20">
        <f>IF(OR(L4="",L14=""),"",IFERROR(L4-L14,""))</f>
        <v/>
      </c>
      <c r="M16" s="20">
        <f>IF(OR(M4="",M14=""),"",IFERROR(M4-M14,""))</f>
        <v/>
      </c>
      <c r="N16" s="20">
        <f>IF(OR(N4="",N14=""),"",IFERROR(N4-N14,""))</f>
        <v/>
      </c>
      <c r="O16" s="19">
        <f>IF(OR(O4="",O14=""),"",IFERROR(O4-O14,""))</f>
        <v/>
      </c>
      <c r="P16" s="20">
        <f>IF(OR(P4="",P14=""),"",IFERROR(P4-P14,""))</f>
        <v/>
      </c>
      <c r="Q16" s="20">
        <f>IF(OR(Q4="",Q14=""),"",IFERROR(Q4-Q14,""))</f>
        <v/>
      </c>
      <c r="R16" s="20">
        <f>IF(OR(R4="",R14=""),"",IFERROR(R4-R14,""))</f>
        <v/>
      </c>
      <c r="S16" s="20">
        <f>IF(OR(S4="",S14=""),"",IFERROR(S4-S14,""))</f>
        <v/>
      </c>
      <c r="T16" s="20">
        <f>IF(OR(T4="",T14=""),"",IFERROR(T4-T14,""))</f>
        <v/>
      </c>
      <c r="U16" s="20">
        <f>IF(OR(U4="",U14=""),"",IFERROR(U4-U14,""))</f>
        <v/>
      </c>
      <c r="V16" s="20">
        <f>IF(OR(V4="",V14=""),"",IFERROR(V4-V14,""))</f>
        <v/>
      </c>
      <c r="W16" s="20">
        <f>IF(OR(W4="",W14=""),"",IFERROR(W4-W14,""))</f>
        <v/>
      </c>
      <c r="X16" s="20">
        <f>IF(OR(X4="",X14=""),"",IFERROR(X4-X14,""))</f>
        <v/>
      </c>
      <c r="Y16" s="19" t="n"/>
      <c r="Z16" s="20" t="n"/>
      <c r="AA16" s="20" t="n"/>
      <c r="AB16" s="20" t="n"/>
      <c r="AC16" s="20" t="n"/>
    </row>
    <row r="17">
      <c r="A17" s="13" t="inlineStr">
        <is>
          <t>GPM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IF(OR(G16="",C16=""),"",IF(C16&lt;=0,"",IFERROR(G16/C16-1,"")))</f>
        <v/>
      </c>
      <c r="H18" s="15">
        <f>IF(OR(H16="",D16=""),"",IF(D16&lt;=0,"",IFERROR(H16/D16-1,"")))</f>
        <v/>
      </c>
      <c r="I18" s="15">
        <f>IF(OR(I16="",E16=""),"",IF(E16&lt;=0,"",IFERROR(I16/E16-1,"")))</f>
        <v/>
      </c>
      <c r="J18" s="15">
        <f>IF(OR(J16="",F16=""),"",IF(F16&lt;=0,"",IFERROR(J16/F16-1,"")))</f>
        <v/>
      </c>
      <c r="K18" s="15">
        <f>IF(OR(K16="",G16=""),"",IF(G16&lt;=0,"",IFERROR(K16/G16-1,"")))</f>
        <v/>
      </c>
      <c r="L18" s="15">
        <f>IF(OR(L16="",H16=""),"",IF(H16&lt;=0,"",IFERROR(L16/H16-1,"")))</f>
        <v/>
      </c>
      <c r="M18" s="15">
        <f>IF(OR(M16="",I16=""),"",IF(I16&lt;=0,"",IFERROR(M16/I16-1,"")))</f>
        <v/>
      </c>
      <c r="N18" s="15">
        <f>IF(OR(N16="",J16=""),"",IF(J16&lt;=0,"",IFERROR(N16/J16-1,"")))</f>
        <v/>
      </c>
      <c r="O18" s="14" t="n"/>
      <c r="P18" s="15">
        <f>IF(OR(P16="",O16=""),"",IF(O16&lt;=0,"",IFERROR(P16/O16-1,"")))</f>
        <v/>
      </c>
      <c r="Q18" s="15">
        <f>IF(OR(Q16="",P16=""),"",IF(P16&lt;=0,"",IFERROR(Q16/P16-1,"")))</f>
        <v/>
      </c>
      <c r="R18" s="15">
        <f>IF(OR(R16="",Q16=""),"",IF(Q16&lt;=0,"",IFERROR(R16/Q16-1,"")))</f>
        <v/>
      </c>
      <c r="S18" s="15">
        <f>IF(OR(S16="",R16=""),"",IF(R16&lt;=0,"",IFERROR(S16/R16-1,"")))</f>
        <v/>
      </c>
      <c r="T18" s="15">
        <f>IF(OR(T16="",S16=""),"",IF(S16&lt;=0,"",IFERROR(T16/S16-1,"")))</f>
        <v/>
      </c>
      <c r="U18" s="15">
        <f>IF(OR(U16="",T16=""),"",IF(T16&lt;=0,"",IFERROR(U16/T16-1,"")))</f>
        <v/>
      </c>
      <c r="V18" s="15">
        <f>IF(OR(V16="",U16=""),"",IF(U16&lt;=0,"",IFERROR(V16/U16-1,"")))</f>
        <v/>
      </c>
      <c r="W18" s="15">
        <f>IF(OR(W16="",V16=""),"",IF(V16&lt;=0,"",IFERROR(W16/V16-1,"")))</f>
        <v/>
      </c>
      <c r="X18" s="15">
        <f>IF(OR(X16="",W16=""),"",IF(W16&lt;=0,"",IFERROR(X16/W16-1,"")))</f>
        <v/>
      </c>
      <c r="Y18" s="14">
        <f>IF(OR(Y16="",X16=""),"",IF(X16&lt;=0,"",IFERROR(Y16/X16-1,"")))</f>
        <v/>
      </c>
      <c r="Z18" s="15">
        <f>IF(OR(Z16="",Y16=""),"",IF(Y16&lt;=0,"",IFERROR(Z16/Y16-1,"")))</f>
        <v/>
      </c>
      <c r="AA18" s="15">
        <f>IF(OR(AA16="",Z16=""),"",IF(Z16&lt;=0,"",IFERROR(AA16/Z16-1,"")))</f>
        <v/>
      </c>
      <c r="AB18" s="15">
        <f>IF(OR(AB16="",AA16=""),"",IF(AA16&lt;=0,"",IFERROR(AB16/AA16-1,"")))</f>
        <v/>
      </c>
      <c r="AC18" s="15">
        <f>IF(OR(AC16="",AB16=""),"",IF(AB16&lt;=0,"",IFERROR(AC16/AB16-1,"")))</f>
        <v/>
      </c>
    </row>
    <row r="19">
      <c r="A19" s="23" t="inlineStr">
        <is>
          <t>판매관리비</t>
        </is>
      </c>
      <c r="B19" s="23" t="n"/>
      <c r="C19" s="24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4" t="n"/>
      <c r="Z19" s="23" t="n"/>
      <c r="AA19" s="23" t="n"/>
      <c r="AB19" s="23" t="n"/>
      <c r="AC19" s="23" t="n"/>
    </row>
    <row r="20">
      <c r="A20" s="18" t="inlineStr">
        <is>
          <t>전체 판관비</t>
        </is>
      </c>
      <c r="B20" s="10" t="n"/>
      <c r="C20" s="19" t="n">
        <v>907</v>
      </c>
      <c r="D20" s="20" t="n">
        <v>886</v>
      </c>
      <c r="E20" s="20" t="n">
        <v>742</v>
      </c>
      <c r="F20" s="20" t="n">
        <v>920</v>
      </c>
      <c r="G20" s="20" t="n">
        <v>938</v>
      </c>
      <c r="H20" s="20" t="n">
        <v>990</v>
      </c>
      <c r="I20" s="20" t="n">
        <v>993</v>
      </c>
      <c r="J20" s="20" t="n">
        <v>935</v>
      </c>
      <c r="K20" s="20" t="n">
        <v>988</v>
      </c>
      <c r="L20" s="20" t="n">
        <v>1012</v>
      </c>
      <c r="M20" s="20" t="n">
        <v>1062</v>
      </c>
      <c r="N20" s="20" t="n">
        <v>1030</v>
      </c>
      <c r="O20" s="19" t="n">
        <v>4268</v>
      </c>
      <c r="P20" s="20" t="n">
        <v>4269</v>
      </c>
      <c r="Q20" s="20" t="n">
        <v>3950</v>
      </c>
      <c r="R20" s="20" t="n">
        <v>3716</v>
      </c>
      <c r="S20" s="20" t="n">
        <v>3990</v>
      </c>
      <c r="T20" s="20" t="n">
        <v>4191</v>
      </c>
      <c r="U20" s="20" t="n">
        <v>3645</v>
      </c>
      <c r="V20" s="20" t="n">
        <v>3378</v>
      </c>
      <c r="W20" s="20" t="n">
        <v>3841</v>
      </c>
      <c r="X20" s="20" t="n">
        <v>3997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635</v>
      </c>
      <c r="D22" s="12" t="n">
        <v>599</v>
      </c>
      <c r="E22" s="12" t="n">
        <v>518</v>
      </c>
      <c r="F22" s="12" t="n">
        <v>325</v>
      </c>
      <c r="G22" s="12" t="n">
        <v>823</v>
      </c>
      <c r="H22" s="12" t="n">
        <v>517</v>
      </c>
      <c r="I22" s="12" t="n">
        <v>1131</v>
      </c>
      <c r="J22" s="12" t="n">
        <v>582</v>
      </c>
      <c r="K22" s="12" t="n">
        <v>1395</v>
      </c>
      <c r="L22" s="12" t="n">
        <v>1394</v>
      </c>
      <c r="M22" s="12" t="n">
        <v>2144</v>
      </c>
      <c r="N22" s="12" t="n">
        <v>1727</v>
      </c>
      <c r="O22" s="11" t="n">
        <v>577</v>
      </c>
      <c r="P22" s="12" t="n">
        <v>-172</v>
      </c>
      <c r="Q22" s="12" t="n">
        <v>-70</v>
      </c>
      <c r="R22" s="12" t="n">
        <v>51</v>
      </c>
      <c r="S22" s="12" t="n">
        <v>1363</v>
      </c>
      <c r="T22" s="12" t="n">
        <v>1850</v>
      </c>
      <c r="U22" s="12" t="n">
        <v>2010</v>
      </c>
      <c r="V22" s="12" t="n">
        <v>2027</v>
      </c>
      <c r="W22" s="12" t="n">
        <v>2796</v>
      </c>
      <c r="X22" s="12" t="n">
        <v>5515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IF(O20="","",O20)</f>
        <v/>
      </c>
      <c r="P26" s="12">
        <f>IF(P20="","",P20)</f>
        <v/>
      </c>
      <c r="Q26" s="12">
        <f>IF(Q20="","",Q20)</f>
        <v/>
      </c>
      <c r="R26" s="12">
        <f>IF(R20="","",R20)</f>
        <v/>
      </c>
      <c r="S26" s="12">
        <f>IF(S20="","",S20)</f>
        <v/>
      </c>
      <c r="T26" s="12">
        <f>IF(T20="","",T20)</f>
        <v/>
      </c>
      <c r="U26" s="12">
        <f>IF(U20="","",U20)</f>
        <v/>
      </c>
      <c r="V26" s="12">
        <f>IF(V20="","",V20)</f>
        <v/>
      </c>
      <c r="W26" s="12">
        <f>IF(W20="","",W20)</f>
        <v/>
      </c>
      <c r="X26" s="12">
        <f>IF(X20="","",X20)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>
        <v>0</v>
      </c>
      <c r="D38" s="20" t="n">
        <v>0</v>
      </c>
      <c r="E38" s="20" t="n">
        <v>0</v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>
        <v>0</v>
      </c>
      <c r="P38" s="20" t="n">
        <v>119</v>
      </c>
      <c r="Q38" s="20" t="n">
        <v>2434</v>
      </c>
      <c r="R38" s="20" t="n">
        <v>58</v>
      </c>
      <c r="S38" s="20" t="n">
        <v>0</v>
      </c>
      <c r="T38" s="20" t="n">
        <v>0</v>
      </c>
      <c r="U38" s="20" t="n">
        <v>83</v>
      </c>
      <c r="V38" s="20" t="n">
        <v>0</v>
      </c>
      <c r="W38" s="20" t="n"/>
      <c r="X38" s="20" t="n"/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9</v>
      </c>
      <c r="K40" s="20" t="n">
        <v>0</v>
      </c>
      <c r="L40" s="20" t="n">
        <v>0</v>
      </c>
      <c r="M40" s="20" t="n">
        <v>0</v>
      </c>
      <c r="N40" s="20" t="n">
        <v>0</v>
      </c>
      <c r="O40" s="19" t="n">
        <v>1</v>
      </c>
      <c r="P40" s="20" t="n">
        <v>3</v>
      </c>
      <c r="Q40" s="20" t="n">
        <v>621</v>
      </c>
      <c r="R40" s="20" t="n">
        <v>20</v>
      </c>
      <c r="S40" s="20" t="n">
        <v>352</v>
      </c>
      <c r="T40" s="20" t="n">
        <v>24</v>
      </c>
      <c r="U40" s="20" t="n">
        <v>5</v>
      </c>
      <c r="V40" s="20" t="n">
        <v>0</v>
      </c>
      <c r="W40" s="20" t="n">
        <v>0</v>
      </c>
      <c r="X40" s="20" t="n">
        <v>9</v>
      </c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3</v>
      </c>
      <c r="D42" s="20" t="n">
        <v>3</v>
      </c>
      <c r="E42" s="20" t="n">
        <v>8</v>
      </c>
      <c r="F42" s="20" t="n">
        <v>6</v>
      </c>
      <c r="G42" s="20" t="n">
        <v>3</v>
      </c>
      <c r="H42" s="20" t="n">
        <v>5</v>
      </c>
      <c r="I42" s="20" t="n">
        <v>2</v>
      </c>
      <c r="J42" s="20" t="n">
        <v>5</v>
      </c>
      <c r="K42" s="20" t="n">
        <v>4</v>
      </c>
      <c r="L42" s="20" t="n">
        <v>3</v>
      </c>
      <c r="M42" s="20" t="n">
        <v>4</v>
      </c>
      <c r="N42" s="20" t="n">
        <v>8</v>
      </c>
      <c r="O42" s="19" t="n">
        <v>32</v>
      </c>
      <c r="P42" s="20" t="n">
        <v>33</v>
      </c>
      <c r="Q42" s="20" t="n">
        <v>53</v>
      </c>
      <c r="R42" s="20" t="n">
        <v>23</v>
      </c>
      <c r="S42" s="20" t="n">
        <v>18</v>
      </c>
      <c r="T42" s="20" t="n">
        <v>15</v>
      </c>
      <c r="U42" s="20" t="n">
        <v>14</v>
      </c>
      <c r="V42" s="20" t="n">
        <v>17</v>
      </c>
      <c r="W42" s="20" t="n">
        <v>16</v>
      </c>
      <c r="X42" s="20" t="n">
        <v>16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10</v>
      </c>
      <c r="D44" s="20" t="n">
        <v>8</v>
      </c>
      <c r="E44" s="20" t="n">
        <v>20</v>
      </c>
      <c r="F44" s="20" t="n">
        <v>22</v>
      </c>
      <c r="G44" s="20" t="n">
        <v>37</v>
      </c>
      <c r="H44" s="20" t="n">
        <v>22</v>
      </c>
      <c r="I44" s="20" t="n">
        <v>20</v>
      </c>
      <c r="J44" s="20" t="n">
        <v>23</v>
      </c>
      <c r="K44" s="20" t="n">
        <v>61</v>
      </c>
      <c r="L44" s="20" t="n">
        <v>36</v>
      </c>
      <c r="M44" s="20" t="n">
        <v>52</v>
      </c>
      <c r="N44" s="20" t="n">
        <v>52</v>
      </c>
      <c r="O44" s="19" t="n">
        <v>113</v>
      </c>
      <c r="P44" s="20" t="n">
        <v>112</v>
      </c>
      <c r="Q44" s="20" t="n">
        <v>138</v>
      </c>
      <c r="R44" s="20" t="n">
        <v>77</v>
      </c>
      <c r="S44" s="20" t="n">
        <v>91</v>
      </c>
      <c r="T44" s="20" t="n">
        <v>60</v>
      </c>
      <c r="U44" s="20" t="n">
        <v>42</v>
      </c>
      <c r="V44" s="20" t="n">
        <v>48</v>
      </c>
      <c r="W44" s="20" t="n">
        <v>101</v>
      </c>
      <c r="X44" s="20" t="n">
        <v>172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628</v>
      </c>
      <c r="D46" s="12" t="n">
        <v>594</v>
      </c>
      <c r="E46" s="12" t="n">
        <v>505</v>
      </c>
      <c r="F46" s="12" t="n">
        <v>308</v>
      </c>
      <c r="G46" s="12" t="n">
        <v>791</v>
      </c>
      <c r="H46" s="12" t="n">
        <v>498</v>
      </c>
      <c r="I46" s="12" t="n">
        <v>1113</v>
      </c>
      <c r="J46" s="12" t="n">
        <v>554</v>
      </c>
      <c r="K46" s="12" t="n">
        <v>1339</v>
      </c>
      <c r="L46" s="12" t="n">
        <v>1361</v>
      </c>
      <c r="M46" s="12" t="n">
        <v>2095</v>
      </c>
      <c r="N46" s="12" t="n">
        <v>1684</v>
      </c>
      <c r="O46" s="11" t="n">
        <v>494</v>
      </c>
      <c r="P46" s="12" t="n">
        <v>-134</v>
      </c>
      <c r="Q46" s="12" t="n">
        <v>1657</v>
      </c>
      <c r="R46" s="12" t="n">
        <v>35</v>
      </c>
      <c r="S46" s="12" t="n">
        <v>937</v>
      </c>
      <c r="T46" s="12" t="n">
        <v>1781</v>
      </c>
      <c r="U46" s="12" t="n">
        <v>2060</v>
      </c>
      <c r="V46" s="12" t="n">
        <v>1995</v>
      </c>
      <c r="W46" s="12" t="n">
        <v>2710</v>
      </c>
      <c r="X46" s="12" t="n">
        <v>5349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3" t="inlineStr">
        <is>
          <t>YoY</t>
        </is>
      </c>
      <c r="B47" s="10" t="n"/>
      <c r="C47" s="14" t="n"/>
      <c r="D47" s="15" t="n"/>
      <c r="E47" s="15" t="n"/>
      <c r="F47" s="15" t="n"/>
      <c r="G47" s="15">
        <f>IF(OR(G46="",C46=""),"",IF(C46&lt;=0,"",IFERROR(G46/C46-1,"")))</f>
        <v/>
      </c>
      <c r="H47" s="15">
        <f>IF(OR(H46="",D46=""),"",IF(D46&lt;=0,"",IFERROR(H46/D46-1,"")))</f>
        <v/>
      </c>
      <c r="I47" s="15">
        <f>IF(OR(I46="",E46=""),"",IF(E46&lt;=0,"",IFERROR(I46/E46-1,"")))</f>
        <v/>
      </c>
      <c r="J47" s="15">
        <f>IF(OR(J46="",F46=""),"",IF(F46&lt;=0,"",IFERROR(J46/F46-1,"")))</f>
        <v/>
      </c>
      <c r="K47" s="15">
        <f>IF(OR(K46="",G46=""),"",IF(G46&lt;=0,"",IFERROR(K46/G46-1,"")))</f>
        <v/>
      </c>
      <c r="L47" s="15">
        <f>IF(OR(L46="",H46=""),"",IF(H46&lt;=0,"",IFERROR(L46/H46-1,"")))</f>
        <v/>
      </c>
      <c r="M47" s="15">
        <f>IF(OR(M46="",I46=""),"",IF(I46&lt;=0,"",IFERROR(M46/I46-1,"")))</f>
        <v/>
      </c>
      <c r="N47" s="15">
        <f>IF(OR(N46="",J46=""),"",IF(J46&lt;=0,"",IFERROR(N46/J46-1,"")))</f>
        <v/>
      </c>
      <c r="O47" s="14" t="n"/>
      <c r="P47" s="15">
        <f>IF(OR(P46="",O46=""),"",IF(O46&lt;=0,"",IFERROR(P46/O46-1,"")))</f>
        <v/>
      </c>
      <c r="Q47" s="15">
        <f>IF(OR(Q46="",P46=""),"",IF(P46&lt;=0,"",IFERROR(Q46/P46-1,"")))</f>
        <v/>
      </c>
      <c r="R47" s="15">
        <f>IF(OR(R46="",Q46=""),"",IF(Q46&lt;=0,"",IFERROR(R46/Q46-1,"")))</f>
        <v/>
      </c>
      <c r="S47" s="15">
        <f>IF(OR(S46="",R46=""),"",IF(R46&lt;=0,"",IFERROR(S46/R46-1,"")))</f>
        <v/>
      </c>
      <c r="T47" s="15">
        <f>IF(OR(T46="",S46=""),"",IF(S46&lt;=0,"",IFERROR(T46/S46-1,"")))</f>
        <v/>
      </c>
      <c r="U47" s="15">
        <f>IF(OR(U46="",T46=""),"",IF(T46&lt;=0,"",IFERROR(U46/T46-1,"")))</f>
        <v/>
      </c>
      <c r="V47" s="15">
        <f>IF(OR(V46="",U46=""),"",IF(U46&lt;=0,"",IFERROR(V46/U46-1,"")))</f>
        <v/>
      </c>
      <c r="W47" s="15">
        <f>IF(OR(W46="",V46=""),"",IF(V46&lt;=0,"",IFERROR(W46/V46-1,"")))</f>
        <v/>
      </c>
      <c r="X47" s="15">
        <f>IF(OR(X46="",W46=""),"",IF(W46&lt;=0,"",IFERROR(X46/W46-1,"")))</f>
        <v/>
      </c>
      <c r="Y47" s="14">
        <f>IF(OR(Y46="",X46=""),"",IF(X46&lt;=0,"",IFERROR(Y46/X46-1,"")))</f>
        <v/>
      </c>
      <c r="Z47" s="15">
        <f>IF(OR(Z46="",Y46=""),"",IF(Y46&lt;=0,"",IFERROR(Z46/Y46-1,"")))</f>
        <v/>
      </c>
      <c r="AA47" s="15">
        <f>IF(OR(AA46="",Z46=""),"",IF(Z46&lt;=0,"",IFERROR(AA46/Z46-1,"")))</f>
        <v/>
      </c>
      <c r="AB47" s="15">
        <f>IF(OR(AB46="",AA46=""),"",IF(AA46&lt;=0,"",IFERROR(AB46/AA46-1,"")))</f>
        <v/>
      </c>
      <c r="AC47" s="15">
        <f>IF(OR(AC46="",AB46=""),"",IF(AB46&lt;=0,"",IFERROR(AC46/AB46-1,"")))</f>
        <v/>
      </c>
    </row>
    <row r="48">
      <c r="A48" s="18" t="inlineStr">
        <is>
          <t>법인세비용(수익)</t>
        </is>
      </c>
      <c r="B48" s="10" t="n"/>
      <c r="C48" s="19" t="n">
        <v>11</v>
      </c>
      <c r="D48" s="20" t="n">
        <v>173</v>
      </c>
      <c r="E48" s="20" t="n">
        <v>-251</v>
      </c>
      <c r="F48" s="20" t="n">
        <v>117</v>
      </c>
      <c r="G48" s="20" t="n">
        <v>247</v>
      </c>
      <c r="H48" s="20" t="n">
        <v>167</v>
      </c>
      <c r="I48" s="20" t="n">
        <v>215</v>
      </c>
      <c r="J48" s="20" t="n">
        <v>166</v>
      </c>
      <c r="K48" s="20" t="n">
        <v>427</v>
      </c>
      <c r="L48" s="20" t="n">
        <v>429</v>
      </c>
      <c r="M48" s="20" t="n">
        <v>507</v>
      </c>
      <c r="N48" s="20" t="n">
        <v>535</v>
      </c>
      <c r="O48" s="19" t="n">
        <v>-228</v>
      </c>
      <c r="P48" s="20" t="n">
        <v>-69</v>
      </c>
      <c r="Q48" s="20" t="n">
        <v>1635</v>
      </c>
      <c r="R48" s="20" t="n">
        <v>-32</v>
      </c>
      <c r="S48" s="20" t="n">
        <v>-93</v>
      </c>
      <c r="T48" s="20" t="n">
        <v>156</v>
      </c>
      <c r="U48" s="20" t="n">
        <v>181</v>
      </c>
      <c r="V48" s="20" t="n">
        <v>73</v>
      </c>
      <c r="W48" s="20" t="n">
        <v>746</v>
      </c>
      <c r="X48" s="20" t="n">
        <v>1529</v>
      </c>
      <c r="Y48" s="19">
        <f>IF(OR(Y46="",Y49=""),"",IFERROR(MAX(Y46,0)*Y49,""))</f>
        <v/>
      </c>
      <c r="Z48" s="20">
        <f>IF(OR(Z46="",Z49=""),"",IFERROR(MAX(Z46,0)*Z49,""))</f>
        <v/>
      </c>
      <c r="AA48" s="20">
        <f>IF(OR(AA46="",AA49=""),"",IFERROR(MAX(AA46,0)*AA49,""))</f>
        <v/>
      </c>
      <c r="AB48" s="20">
        <f>IF(OR(AB46="",AB49=""),"",IFERROR(MAX(AB46,0)*AB49,""))</f>
        <v/>
      </c>
      <c r="AC48" s="20">
        <f>IF(OR(AC46="",AC49=""),"",IFERROR(MAX(AC46,0)*AC49,""))</f>
        <v/>
      </c>
    </row>
    <row r="49">
      <c r="A49" s="13" t="inlineStr">
        <is>
          <t>법인세율</t>
        </is>
      </c>
      <c r="B49" s="10" t="inlineStr">
        <is>
          <t>MW 기본 30%</t>
        </is>
      </c>
      <c r="C49" s="14">
        <f>IF(OR(C48="",C46=""),"",IFERROR(C48/C46,""))</f>
        <v/>
      </c>
      <c r="D49" s="15">
        <f>IF(OR(D48="",D46=""),"",IFERROR(D48/D46,""))</f>
        <v/>
      </c>
      <c r="E49" s="15">
        <f>IF(OR(E48="",E46=""),"",IFERROR(E48/E46,""))</f>
        <v/>
      </c>
      <c r="F49" s="15">
        <f>IF(OR(F48="",F46=""),"",IFERROR(F48/F46,""))</f>
        <v/>
      </c>
      <c r="G49" s="15">
        <f>IF(OR(G48="",G46=""),"",IFERROR(G48/G46,""))</f>
        <v/>
      </c>
      <c r="H49" s="15">
        <f>IF(OR(H48="",H46=""),"",IFERROR(H48/H46,""))</f>
        <v/>
      </c>
      <c r="I49" s="15">
        <f>IF(OR(I48="",I46=""),"",IFERROR(I48/I46,""))</f>
        <v/>
      </c>
      <c r="J49" s="15">
        <f>IF(OR(J48="",J46=""),"",IFERROR(J48/J46,""))</f>
        <v/>
      </c>
      <c r="K49" s="15">
        <f>IF(OR(K48="",K46=""),"",IFERROR(K48/K46,""))</f>
        <v/>
      </c>
      <c r="L49" s="15">
        <f>IF(OR(L48="",L46=""),"",IFERROR(L48/L46,""))</f>
        <v/>
      </c>
      <c r="M49" s="15">
        <f>IF(OR(M48="",M46=""),"",IFERROR(M48/M46,""))</f>
        <v/>
      </c>
      <c r="N49" s="15">
        <f>IF(OR(N48="",N46=""),"",IFERROR(N48/N46,""))</f>
        <v/>
      </c>
      <c r="O49" s="14">
        <f>IF(OR(O48="",O46=""),"",IFERROR(O48/O46,""))</f>
        <v/>
      </c>
      <c r="P49" s="15">
        <f>IF(OR(P48="",P46=""),"",IFERROR(P48/P46,""))</f>
        <v/>
      </c>
      <c r="Q49" s="15">
        <f>IF(OR(Q48="",Q46=""),"",IFERROR(Q48/Q46,""))</f>
        <v/>
      </c>
      <c r="R49" s="15">
        <f>IF(OR(R48="",R46=""),"",IFERROR(R48/R46,""))</f>
        <v/>
      </c>
      <c r="S49" s="15">
        <f>IF(OR(S48="",S46=""),"",IFERROR(S48/S46,""))</f>
        <v/>
      </c>
      <c r="T49" s="15">
        <f>IF(OR(T48="",T46=""),"",IFERROR(T48/T46,""))</f>
        <v/>
      </c>
      <c r="U49" s="15">
        <f>IF(OR(U48="",U46=""),"",IFERROR(U48/U46,""))</f>
        <v/>
      </c>
      <c r="V49" s="15">
        <f>IF(OR(V48="",V46=""),"",IFERROR(V48/V46,""))</f>
        <v/>
      </c>
      <c r="W49" s="15">
        <f>IF(OR(W48="",W46=""),"",IFERROR(W48/W46,""))</f>
        <v/>
      </c>
      <c r="X49" s="15">
        <f>IF(OR(X48="",X46=""),"",IFERROR(X48/X46,""))</f>
        <v/>
      </c>
      <c r="Y49" s="25" t="n">
        <v>0.3</v>
      </c>
      <c r="Z49" s="26" t="n">
        <v>0.3</v>
      </c>
      <c r="AA49" s="26" t="n">
        <v>0.3</v>
      </c>
      <c r="AB49" s="26" t="n">
        <v>0.3</v>
      </c>
      <c r="AC49" s="26" t="n">
        <v>0.3</v>
      </c>
    </row>
    <row r="50">
      <c r="A50" s="9" t="inlineStr">
        <is>
          <t>당기순이익(손실)</t>
        </is>
      </c>
      <c r="B50" s="10" t="n"/>
      <c r="C50" s="11" t="n">
        <v>616</v>
      </c>
      <c r="D50" s="12" t="n">
        <v>422</v>
      </c>
      <c r="E50" s="12" t="n">
        <v>756</v>
      </c>
      <c r="F50" s="12" t="n">
        <v>191</v>
      </c>
      <c r="G50" s="12" t="n">
        <v>543</v>
      </c>
      <c r="H50" s="12" t="n">
        <v>331</v>
      </c>
      <c r="I50" s="12" t="n">
        <v>899</v>
      </c>
      <c r="J50" s="12" t="n">
        <v>388</v>
      </c>
      <c r="K50" s="12" t="n">
        <v>912</v>
      </c>
      <c r="L50" s="12" t="n">
        <v>931</v>
      </c>
      <c r="M50" s="12" t="n">
        <v>1589</v>
      </c>
      <c r="N50" s="12" t="n">
        <v>1148</v>
      </c>
      <c r="O50" s="11" t="n">
        <v>723</v>
      </c>
      <c r="P50" s="12" t="n">
        <v>-65</v>
      </c>
      <c r="Q50" s="12" t="n">
        <v>22</v>
      </c>
      <c r="R50" s="12" t="n">
        <v>68</v>
      </c>
      <c r="S50" s="12" t="n">
        <v>1030</v>
      </c>
      <c r="T50" s="12" t="n">
        <v>1625</v>
      </c>
      <c r="U50" s="12" t="n">
        <v>1879</v>
      </c>
      <c r="V50" s="12" t="n">
        <v>1922</v>
      </c>
      <c r="W50" s="12" t="n">
        <v>1964</v>
      </c>
      <c r="X50" s="12" t="n">
        <v>3820</v>
      </c>
      <c r="Y50" s="11">
        <f>IF(OR(Y46=""),"",IFERROR(Y46-Y48,""))</f>
        <v/>
      </c>
      <c r="Z50" s="12">
        <f>IF(OR(Z46=""),"",IFERROR(Z46-Z48,""))</f>
        <v/>
      </c>
      <c r="AA50" s="12">
        <f>IF(OR(AA46=""),"",IFERROR(AA46-AA48,""))</f>
        <v/>
      </c>
      <c r="AB50" s="12">
        <f>IF(OR(AB46=""),"",IFERROR(AB46-AB48,""))</f>
        <v/>
      </c>
      <c r="AC50" s="12">
        <f>IF(OR(AC46=""),"",IFERROR(AC46-AC48,""))</f>
        <v/>
      </c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IF(OR(G50="",C50=""),"",IF(C50&lt;=0,"",IFERROR(G50/C50-1,"")))</f>
        <v/>
      </c>
      <c r="H51" s="15">
        <f>IF(OR(H50="",D50=""),"",IF(D50&lt;=0,"",IFERROR(H50/D50-1,"")))</f>
        <v/>
      </c>
      <c r="I51" s="15">
        <f>IF(OR(I50="",E50=""),"",IF(E50&lt;=0,"",IFERROR(I50/E50-1,"")))</f>
        <v/>
      </c>
      <c r="J51" s="15">
        <f>IF(OR(J50="",F50=""),"",IF(F50&lt;=0,"",IFERROR(J50/F50-1,"")))</f>
        <v/>
      </c>
      <c r="K51" s="15">
        <f>IF(OR(K50="",G50=""),"",IF(G50&lt;=0,"",IFERROR(K50/G50-1,"")))</f>
        <v/>
      </c>
      <c r="L51" s="15">
        <f>IF(OR(L50="",H50=""),"",IF(H50&lt;=0,"",IFERROR(L50/H50-1,"")))</f>
        <v/>
      </c>
      <c r="M51" s="15">
        <f>IF(OR(M50="",I50=""),"",IF(I50&lt;=0,"",IFERROR(M50/I50-1,"")))</f>
        <v/>
      </c>
      <c r="N51" s="15">
        <f>IF(OR(N50="",J50=""),"",IF(J50&lt;=0,"",IFERROR(N50/J50-1,"")))</f>
        <v/>
      </c>
      <c r="O51" s="14" t="n"/>
      <c r="P51" s="15">
        <f>IF(OR(P50="",O50=""),"",IF(O50&lt;=0,"",IFERROR(P50/O50-1,"")))</f>
        <v/>
      </c>
      <c r="Q51" s="15">
        <f>IF(OR(Q50="",P50=""),"",IF(P50&lt;=0,"",IFERROR(Q50/P50-1,"")))</f>
        <v/>
      </c>
      <c r="R51" s="15">
        <f>IF(OR(R50="",Q50=""),"",IF(Q50&lt;=0,"",IFERROR(R50/Q50-1,"")))</f>
        <v/>
      </c>
      <c r="S51" s="15">
        <f>IF(OR(S50="",R50=""),"",IF(R50&lt;=0,"",IFERROR(S50/R50-1,"")))</f>
        <v/>
      </c>
      <c r="T51" s="15">
        <f>IF(OR(T50="",S50=""),"",IF(S50&lt;=0,"",IFERROR(T50/S50-1,"")))</f>
        <v/>
      </c>
      <c r="U51" s="15">
        <f>IF(OR(U50="",T50=""),"",IF(T50&lt;=0,"",IFERROR(U50/T50-1,"")))</f>
        <v/>
      </c>
      <c r="V51" s="15">
        <f>IF(OR(V50="",U50=""),"",IF(U50&lt;=0,"",IFERROR(V50/U50-1,"")))</f>
        <v/>
      </c>
      <c r="W51" s="15">
        <f>IF(OR(W50="",V50=""),"",IF(V50&lt;=0,"",IFERROR(W50/V50-1,"")))</f>
        <v/>
      </c>
      <c r="X51" s="15">
        <f>IF(OR(X50="",W50=""),"",IF(W50&lt;=0,"",IFERROR(X50/W50-1,"")))</f>
        <v/>
      </c>
      <c r="Y51" s="14">
        <f>IF(OR(Y50="",X50=""),"",IF(X50&lt;=0,"",IFERROR(Y50/X50-1,"")))</f>
        <v/>
      </c>
      <c r="Z51" s="15">
        <f>IF(OR(Z50="",Y50=""),"",IF(Y50&lt;=0,"",IFERROR(Z50/Y50-1,"")))</f>
        <v/>
      </c>
      <c r="AA51" s="15">
        <f>IF(OR(AA50="",Z50=""),"",IF(Z50&lt;=0,"",IFERROR(AA50/Z50-1,"")))</f>
        <v/>
      </c>
      <c r="AB51" s="15">
        <f>IF(OR(AB50="",AA50=""),"",IF(AA50&lt;=0,"",IFERROR(AB50/AA50-1,"")))</f>
        <v/>
      </c>
      <c r="AC51" s="15">
        <f>IF(OR(AC50="",AB50=""),"",IF(AB50&lt;=0,"",IFERROR(AC50/AB50-1,"")))</f>
        <v/>
      </c>
    </row>
    <row r="52">
      <c r="A52" s="9" t="inlineStr">
        <is>
          <t>지배주주 순이익</t>
        </is>
      </c>
      <c r="B52" s="10" t="n"/>
      <c r="C52" s="11" t="n">
        <v>616</v>
      </c>
      <c r="D52" s="12" t="n">
        <v>422</v>
      </c>
      <c r="E52" s="12" t="n">
        <v>983</v>
      </c>
      <c r="F52" s="12" t="n">
        <v>191</v>
      </c>
      <c r="G52" s="12" t="n">
        <v>543</v>
      </c>
      <c r="H52" s="12" t="n">
        <v>331</v>
      </c>
      <c r="I52" s="12" t="n">
        <v>899</v>
      </c>
      <c r="J52" s="12" t="n">
        <v>388</v>
      </c>
      <c r="K52" s="12" t="n">
        <v>912</v>
      </c>
      <c r="L52" s="12" t="n">
        <v>931</v>
      </c>
      <c r="M52" s="12" t="n">
        <v>1589</v>
      </c>
      <c r="N52" s="12" t="n">
        <v>1148</v>
      </c>
      <c r="O52" s="11" t="n">
        <v>1510</v>
      </c>
      <c r="P52" s="12" t="n">
        <v>606</v>
      </c>
      <c r="Q52" s="12" t="n">
        <v>22</v>
      </c>
      <c r="R52" s="12" t="n">
        <v>76</v>
      </c>
      <c r="S52" s="12" t="n">
        <v>1030</v>
      </c>
      <c r="T52" s="12" t="n">
        <v>1625</v>
      </c>
      <c r="U52" s="12" t="n">
        <v>1820</v>
      </c>
      <c r="V52" s="12" t="n">
        <v>2149</v>
      </c>
      <c r="W52" s="12" t="n">
        <v>1964</v>
      </c>
      <c r="X52" s="12" t="n">
        <v>3820</v>
      </c>
      <c r="Y52" s="11">
        <f>IF(OR(Y50="",Y53=""),"",IFERROR(Y50*Y53,""))</f>
        <v/>
      </c>
      <c r="Z52" s="12">
        <f>IF(OR(Z50="",Z53=""),"",IFERROR(Z50*Z53,""))</f>
        <v/>
      </c>
      <c r="AA52" s="12">
        <f>IF(OR(AA50="",AA53=""),"",IFERROR(AA50*AA53,""))</f>
        <v/>
      </c>
      <c r="AB52" s="12">
        <f>IF(OR(AB50="",AB53=""),"",IFERROR(AB50*AB53,""))</f>
        <v/>
      </c>
      <c r="AC52" s="12">
        <f>IF(OR(AC50="",AC53=""),"",IFERROR(AC50*AC53,""))</f>
        <v/>
      </c>
    </row>
    <row r="53">
      <c r="A53" s="13" t="inlineStr">
        <is>
          <t>지배주주 순이익률</t>
        </is>
      </c>
      <c r="B53" s="10" t="inlineStr">
        <is>
          <t>MW 기본 100%</t>
        </is>
      </c>
      <c r="C53" s="14">
        <f>IF(OR(C52="",C50=""),"",IFERROR(C52/C50,""))</f>
        <v/>
      </c>
      <c r="D53" s="15">
        <f>IF(OR(D52="",D50=""),"",IFERROR(D52/D50,""))</f>
        <v/>
      </c>
      <c r="E53" s="15">
        <f>IF(OR(E52="",E50=""),"",IFERROR(E52/E50,""))</f>
        <v/>
      </c>
      <c r="F53" s="15">
        <f>IF(OR(F52="",F50=""),"",IFERROR(F52/F50,""))</f>
        <v/>
      </c>
      <c r="G53" s="15">
        <f>IF(OR(G52="",G50=""),"",IFERROR(G52/G50,""))</f>
        <v/>
      </c>
      <c r="H53" s="15">
        <f>IF(OR(H52="",H50=""),"",IFERROR(H52/H50,""))</f>
        <v/>
      </c>
      <c r="I53" s="15">
        <f>IF(OR(I52="",I50=""),"",IFERROR(I52/I50,""))</f>
        <v/>
      </c>
      <c r="J53" s="15">
        <f>IF(OR(J52="",J50=""),"",IFERROR(J52/J50,""))</f>
        <v/>
      </c>
      <c r="K53" s="15">
        <f>IF(OR(K52="",K50=""),"",IFERROR(K52/K50,""))</f>
        <v/>
      </c>
      <c r="L53" s="15">
        <f>IF(OR(L52="",L50=""),"",IFERROR(L52/L50,""))</f>
        <v/>
      </c>
      <c r="M53" s="15">
        <f>IF(OR(M52="",M50=""),"",IFERROR(M52/M50,""))</f>
        <v/>
      </c>
      <c r="N53" s="15">
        <f>IF(OR(N52="",N50=""),"",IFERROR(N52/N50,""))</f>
        <v/>
      </c>
      <c r="O53" s="14">
        <f>IF(OR(O52="",O50=""),"",IFERROR(O52/O50,""))</f>
        <v/>
      </c>
      <c r="P53" s="15">
        <f>IF(OR(P52="",P50=""),"",IFERROR(P52/P50,""))</f>
        <v/>
      </c>
      <c r="Q53" s="15">
        <f>IF(OR(Q52="",Q50=""),"",IFERROR(Q52/Q50,""))</f>
        <v/>
      </c>
      <c r="R53" s="15">
        <f>IF(OR(R52="",R50=""),"",IFERROR(R52/R50,""))</f>
        <v/>
      </c>
      <c r="S53" s="15">
        <f>IF(OR(S52="",S50=""),"",IFERROR(S52/S50,""))</f>
        <v/>
      </c>
      <c r="T53" s="15">
        <f>IF(OR(T52="",T50=""),"",IFERROR(T52/T50,""))</f>
        <v/>
      </c>
      <c r="U53" s="15">
        <f>IF(OR(U52="",U50=""),"",IFERROR(U52/U50,""))</f>
        <v/>
      </c>
      <c r="V53" s="15">
        <f>IF(OR(V52="",V50=""),"",IFERROR(V52/V50,""))</f>
        <v/>
      </c>
      <c r="W53" s="15">
        <f>IF(OR(W52="",W50=""),"",IFERROR(W52/W50,""))</f>
        <v/>
      </c>
      <c r="X53" s="15">
        <f>IF(OR(X52="",X50=""),"",IFERROR(X52/X50,""))</f>
        <v/>
      </c>
      <c r="Y53" s="25" t="n">
        <v>1</v>
      </c>
      <c r="Z53" s="26" t="n">
        <v>1</v>
      </c>
      <c r="AA53" s="26" t="n">
        <v>1</v>
      </c>
      <c r="AB53" s="26" t="n">
        <v>1</v>
      </c>
      <c r="AC53" s="26" t="n">
        <v>1</v>
      </c>
    </row>
    <row r="54">
      <c r="A54" s="13" t="inlineStr">
        <is>
          <t>지배주주 순이익 YoY</t>
        </is>
      </c>
      <c r="B54" s="10" t="n"/>
      <c r="C54" s="14" t="n"/>
      <c r="D54" s="15" t="n"/>
      <c r="E54" s="15" t="n"/>
      <c r="F54" s="15" t="n"/>
      <c r="G54" s="15">
        <f>IF(OR(G52="",C52=""),"",IF(C52&lt;=0,"",IFERROR(G52/C52-1,"")))</f>
        <v/>
      </c>
      <c r="H54" s="15">
        <f>IF(OR(H52="",D52=""),"",IF(D52&lt;=0,"",IFERROR(H52/D52-1,"")))</f>
        <v/>
      </c>
      <c r="I54" s="15">
        <f>IF(OR(I52="",E52=""),"",IF(E52&lt;=0,"",IFERROR(I52/E52-1,"")))</f>
        <v/>
      </c>
      <c r="J54" s="15">
        <f>IF(OR(J52="",F52=""),"",IF(F52&lt;=0,"",IFERROR(J52/F52-1,"")))</f>
        <v/>
      </c>
      <c r="K54" s="15">
        <f>IF(OR(K52="",G52=""),"",IF(G52&lt;=0,"",IFERROR(K52/G52-1,"")))</f>
        <v/>
      </c>
      <c r="L54" s="15">
        <f>IF(OR(L52="",H52=""),"",IF(H52&lt;=0,"",IFERROR(L52/H52-1,"")))</f>
        <v/>
      </c>
      <c r="M54" s="15">
        <f>IF(OR(M52="",I52=""),"",IF(I52&lt;=0,"",IFERROR(M52/I52-1,"")))</f>
        <v/>
      </c>
      <c r="N54" s="15">
        <f>IF(OR(N52="",J52=""),"",IF(J52&lt;=0,"",IFERROR(N52/J52-1,"")))</f>
        <v/>
      </c>
      <c r="O54" s="14" t="n"/>
      <c r="P54" s="15">
        <f>IF(OR(P52="",O52=""),"",IF(O52&lt;=0,"",IFERROR(P52/O52-1,"")))</f>
        <v/>
      </c>
      <c r="Q54" s="15">
        <f>IF(OR(Q52="",P52=""),"",IF(P52&lt;=0,"",IFERROR(Q52/P52-1,"")))</f>
        <v/>
      </c>
      <c r="R54" s="15">
        <f>IF(OR(R52="",Q52=""),"",IF(Q52&lt;=0,"",IFERROR(R52/Q52-1,"")))</f>
        <v/>
      </c>
      <c r="S54" s="15">
        <f>IF(OR(S52="",R52=""),"",IF(R52&lt;=0,"",IFERROR(S52/R52-1,"")))</f>
        <v/>
      </c>
      <c r="T54" s="15">
        <f>IF(OR(T52="",S52=""),"",IF(S52&lt;=0,"",IFERROR(T52/S52-1,"")))</f>
        <v/>
      </c>
      <c r="U54" s="15">
        <f>IF(OR(U52="",T52=""),"",IF(T52&lt;=0,"",IFERROR(U52/T52-1,"")))</f>
        <v/>
      </c>
      <c r="V54" s="15">
        <f>IF(OR(V52="",U52=""),"",IF(U52&lt;=0,"",IFERROR(V52/U52-1,"")))</f>
        <v/>
      </c>
      <c r="W54" s="15">
        <f>IF(OR(W52="",V52=""),"",IF(V52&lt;=0,"",IFERROR(W52/V52-1,"")))</f>
        <v/>
      </c>
      <c r="X54" s="15">
        <f>IF(OR(X52="",W52=""),"",IF(W52&lt;=0,"",IFERROR(X52/W52-1,"")))</f>
        <v/>
      </c>
      <c r="Y54" s="14">
        <f>IF(OR(Y52="",X52=""),"",IF(X52&lt;=0,"",IFERROR(Y52/X52-1,"")))</f>
        <v/>
      </c>
      <c r="Z54" s="15">
        <f>IF(OR(Z52="",Y52=""),"",IF(Y52&lt;=0,"",IFERROR(Z52/Y52-1,"")))</f>
        <v/>
      </c>
      <c r="AA54" s="15">
        <f>IF(OR(AA52="",Z52=""),"",IF(Z52&lt;=0,"",IFERROR(AA52/Z52-1,"")))</f>
        <v/>
      </c>
      <c r="AB54" s="15">
        <f>IF(OR(AB52="",AA52=""),"",IF(AA52&lt;=0,"",IFERROR(AB52/AA52-1,"")))</f>
        <v/>
      </c>
      <c r="AC54" s="15">
        <f>IF(OR(AC52="",AB52=""),"",IF(AB52&lt;=0,"",IFERROR(AC52/AB52-1,"")))</f>
        <v/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(2026.10.28)</t>
        </is>
      </c>
      <c r="B56" s="27" t="n">
        <v>6700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16764810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IF(O23="","",O23)</f>
        <v/>
      </c>
      <c r="P59" s="15">
        <f>IF(P23="","",P23)</f>
        <v/>
      </c>
      <c r="Q59" s="15">
        <f>IF(Q23="","",Q23)</f>
        <v/>
      </c>
      <c r="R59" s="15">
        <f>IF(R23="","",R23)</f>
        <v/>
      </c>
      <c r="S59" s="15">
        <f>IF(S23="","",S23)</f>
        <v/>
      </c>
      <c r="T59" s="15">
        <f>IF(T23="","",T23)</f>
        <v/>
      </c>
      <c r="U59" s="15">
        <f>IF(U23="","",U23)</f>
        <v/>
      </c>
      <c r="V59" s="15">
        <f>IF(V23="","",V23)</f>
        <v/>
      </c>
      <c r="W59" s="15">
        <f>IF(W23="","",W23)</f>
        <v/>
      </c>
      <c r="X59" s="15">
        <f>IF(X23="","",X23)</f>
        <v/>
      </c>
      <c r="Y59" s="14">
        <f>IF(Y23="","",Y23)</f>
        <v/>
      </c>
      <c r="Z59" s="15">
        <f>IF(Z23="","",Z23)</f>
        <v/>
      </c>
      <c r="AA59" s="15">
        <f>IF(AA23="","",AA23)</f>
        <v/>
      </c>
      <c r="AB59" s="15">
        <f>IF(AB23="","",AB23)</f>
        <v/>
      </c>
      <c r="AC59" s="15">
        <f>IF(AC23="","",AC23)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IF(OR(P52="",O52=""),"",IFERROR(P52/O52-1,""))</f>
        <v/>
      </c>
      <c r="Q60" s="15">
        <f>IF(OR(Q52="",P52=""),"",IFERROR(Q52/P52-1,""))</f>
        <v/>
      </c>
      <c r="R60" s="15">
        <f>IF(OR(R52="",Q52=""),"",IFERROR(R52/Q52-1,""))</f>
        <v/>
      </c>
      <c r="S60" s="15">
        <f>IF(OR(S52="",R52=""),"",IFERROR(S52/R52-1,""))</f>
        <v/>
      </c>
      <c r="T60" s="15">
        <f>IF(OR(T52="",S52=""),"",IFERROR(T52/S52-1,""))</f>
        <v/>
      </c>
      <c r="U60" s="15">
        <f>IF(OR(U52="",T52=""),"",IFERROR(U52/T52-1,""))</f>
        <v/>
      </c>
      <c r="V60" s="15">
        <f>IF(OR(V52="",U52=""),"",IFERROR(V52/U52-1,""))</f>
        <v/>
      </c>
      <c r="W60" s="15">
        <f>IF(OR(W52="",V52=""),"",IFERROR(W52/V52-1,""))</f>
        <v/>
      </c>
      <c r="X60" s="15">
        <f>IF(OR(X52="",W52=""),"",IFERROR(X52/W52-1,""))</f>
        <v/>
      </c>
      <c r="Y60" s="14">
        <f>IF(OR(Y52="",X52=""),"",IFERROR(Y52/X52-1,""))</f>
        <v/>
      </c>
      <c r="Z60" s="15">
        <f>IF(OR(Z52="",Y52=""),"",IFERROR(Z52/Y52-1,""))</f>
        <v/>
      </c>
      <c r="AA60" s="15">
        <f>IF(OR(AA52="",Z52=""),"",IFERROR(AA52/Z52-1,""))</f>
        <v/>
      </c>
      <c r="AB60" s="15">
        <f>IF(OR(AB52="",AA52=""),"",IFERROR(AB52/AA52-1,""))</f>
        <v/>
      </c>
      <c r="AC60" s="15">
        <f>IF(OR(AC52="",AB52=""),"",IFERROR(AC52/AB52-1,""))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IF(OR($B$58="",X52=""),"",IFERROR($B$58/X52,""))</f>
        <v/>
      </c>
      <c r="Y61" s="30">
        <f>IF(OR($B$58="",Y52=""),"",IFERROR($B$58/Y52,""))</f>
        <v/>
      </c>
      <c r="Z61" s="31">
        <f>IF(OR($B$58="",Z52=""),"",IFERROR($B$58/Z52,""))</f>
        <v/>
      </c>
      <c r="AA61" s="31">
        <f>IF(OR($B$58="",AA52=""),"",IFERROR($B$58/AA52,""))</f>
        <v/>
      </c>
      <c r="AB61" s="31">
        <f>IF(OR($B$58="",AB52=""),"",IFERROR($B$58/AB52,""))</f>
        <v/>
      </c>
      <c r="AC61" s="31">
        <f>IF(OR($B$58="",AC52=""),"",IFERROR($B$58/AC52,""))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IF(OR(O52="",$B$57=""),"",IFERROR(O52*1000000.0/$B$57,""))</f>
        <v/>
      </c>
      <c r="P63" s="29">
        <f>IF(OR(P52="",$B$57=""),"",IFERROR(P52*1000000.0/$B$57,""))</f>
        <v/>
      </c>
      <c r="Q63" s="29">
        <f>IF(OR(Q52="",$B$57=""),"",IFERROR(Q52*1000000.0/$B$57,""))</f>
        <v/>
      </c>
      <c r="R63" s="29">
        <f>IF(OR(R52="",$B$57=""),"",IFERROR(R52*1000000.0/$B$57,""))</f>
        <v/>
      </c>
      <c r="S63" s="29">
        <f>IF(OR(S52="",$B$57=""),"",IFERROR(S52*1000000.0/$B$57,""))</f>
        <v/>
      </c>
      <c r="T63" s="29">
        <f>IF(OR(T52="",$B$57=""),"",IFERROR(T52*1000000.0/$B$57,""))</f>
        <v/>
      </c>
      <c r="U63" s="29">
        <f>IF(OR(U52="",$B$57=""),"",IFERROR(U52*1000000.0/$B$57,""))</f>
        <v/>
      </c>
      <c r="V63" s="29">
        <f>IF(OR(V52="",$B$57=""),"",IFERROR(V52*1000000.0/$B$57,""))</f>
        <v/>
      </c>
      <c r="W63" s="29">
        <f>IF(OR(W52="",$B$57=""),"",IFERROR(W52*1000000.0/$B$57,""))</f>
        <v/>
      </c>
      <c r="X63" s="29">
        <f>IF(OR(X52="",$B$57=""),"",IFERROR(X52*1000000.0/$B$57,""))</f>
        <v/>
      </c>
      <c r="Y63" s="28">
        <f>IF(OR(Y52="",$B$57=""),"",IFERROR(Y52*1000000.0/$B$57,""))</f>
        <v/>
      </c>
      <c r="Z63" s="29">
        <f>IF(OR(Z52="",$B$57=""),"",IFERROR(Z52*1000000.0/$B$57,""))</f>
        <v/>
      </c>
      <c r="AA63" s="29">
        <f>IF(OR(AA52="",$B$57=""),"",IFERROR(AA52*1000000.0/$B$57,""))</f>
        <v/>
      </c>
      <c r="AB63" s="29">
        <f>IF(OR(AB52="",$B$57=""),"",IFERROR(AB52*1000000.0/$B$57,""))</f>
        <v/>
      </c>
      <c r="AC63" s="29">
        <f>IF(OR(AC52="",$B$57=""),"",IFERROR(AC52*1000000.0/$B$57,""))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IF(OR(Y52="",Y62=""),"",IFERROR(Y52*Y62,""))</f>
        <v/>
      </c>
      <c r="Z75" s="20">
        <f>IF(OR(Z52="",Z62=""),"",IFERROR(Z52*Z62,""))</f>
        <v/>
      </c>
      <c r="AA75" s="20">
        <f>IF(OR(AA52="",AA62=""),"",IFERROR(AA52*AA62,""))</f>
        <v/>
      </c>
      <c r="AB75" s="20">
        <f>IF(OR(AB52="",AB62=""),"",IFERROR(AB52*AB62,""))</f>
        <v/>
      </c>
      <c r="AC75" s="20">
        <f>IF(OR(AC52="",AC62=""),"",IFERROR(AC52*AC62,""))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2026.10.28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5064</v>
      </c>
      <c r="D87" s="12" t="n">
        <v>4584</v>
      </c>
      <c r="E87" s="12" t="n">
        <v>4739</v>
      </c>
      <c r="F87" s="12" t="n">
        <v>4087</v>
      </c>
      <c r="G87" s="12" t="n">
        <v>5019</v>
      </c>
      <c r="H87" s="12" t="n">
        <v>4564</v>
      </c>
      <c r="I87" s="12" t="n">
        <v>6452</v>
      </c>
      <c r="J87" s="12" t="n">
        <v>5037</v>
      </c>
      <c r="K87" s="12" t="n">
        <v>7666</v>
      </c>
      <c r="L87" s="12" t="n">
        <v>7023</v>
      </c>
      <c r="M87" s="12" t="n">
        <v>9468</v>
      </c>
      <c r="N87" s="12" t="n">
        <v>8304</v>
      </c>
      <c r="T87" s="12" t="n">
        <v>5050</v>
      </c>
      <c r="U87" s="12" t="n">
        <v>5076</v>
      </c>
      <c r="V87" s="12" t="n">
        <v>4739</v>
      </c>
      <c r="W87" s="12" t="n">
        <v>6452</v>
      </c>
      <c r="X87" s="12" t="n">
        <v>9468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매출원가</t>
        </is>
      </c>
      <c r="C89" s="20" t="n">
        <v>3522</v>
      </c>
      <c r="D89" s="20" t="n">
        <v>3099</v>
      </c>
      <c r="E89" s="20" t="n">
        <v>3479</v>
      </c>
      <c r="F89" s="20" t="n">
        <v>2842</v>
      </c>
      <c r="G89" s="20" t="n">
        <v>3256</v>
      </c>
      <c r="H89" s="20" t="n">
        <v>3058</v>
      </c>
      <c r="I89" s="20" t="n">
        <v>4328</v>
      </c>
      <c r="J89" s="20" t="n">
        <v>3519</v>
      </c>
      <c r="K89" s="20" t="n">
        <v>5283</v>
      </c>
      <c r="L89" s="20" t="n">
        <v>4618</v>
      </c>
      <c r="M89" s="20" t="n">
        <v>6261</v>
      </c>
      <c r="N89" s="20" t="n">
        <v>5546</v>
      </c>
      <c r="T89" s="20" t="n">
        <v>3431</v>
      </c>
      <c r="U89" s="20" t="n">
        <v>3412</v>
      </c>
      <c r="V89" s="20" t="n">
        <v>3479</v>
      </c>
      <c r="W89" s="20" t="n">
        <v>4328</v>
      </c>
      <c r="X89" s="20" t="n">
        <v>6261</v>
      </c>
    </row>
    <row r="90">
      <c r="A90" s="43" t="inlineStr">
        <is>
          <t>YoY</t>
        </is>
      </c>
      <c r="B90" s="3" t="inlineStr">
        <is>
          <t>전년 같은 분기·전년 대비</t>
        </is>
      </c>
      <c r="G90" s="15">
        <f>IF(OR(G89="",C89=""),"",IF(G89*C89&lt;=0,"",IFERROR(G89/C89-1,"")))</f>
        <v/>
      </c>
      <c r="H90" s="15">
        <f>IF(OR(H89="",D89=""),"",IF(H89*D89&lt;=0,"",IFERROR(H89/D89-1,"")))</f>
        <v/>
      </c>
      <c r="I90" s="15">
        <f>IF(OR(I89="",E89=""),"",IF(I89*E89&lt;=0,"",IFERROR(I89/E89-1,"")))</f>
        <v/>
      </c>
      <c r="J90" s="15">
        <f>IF(OR(J89="",F89=""),"",IF(J89*F89&lt;=0,"",IFERROR(J89/F89-1,"")))</f>
        <v/>
      </c>
      <c r="K90" s="15">
        <f>IF(OR(K89="",G89=""),"",IF(K89*G89&lt;=0,"",IFERROR(K89/G89-1,"")))</f>
        <v/>
      </c>
      <c r="L90" s="15">
        <f>IF(OR(L89="",H89=""),"",IF(L89*H89&lt;=0,"",IFERROR(L89/H89-1,"")))</f>
        <v/>
      </c>
      <c r="M90" s="15">
        <f>IF(OR(M89="",I89=""),"",IF(M89*I89&lt;=0,"",IFERROR(M89/I89-1,"")))</f>
        <v/>
      </c>
      <c r="N90" s="15">
        <f>IF(OR(N89="",J89=""),"",IF(N89*J89&lt;=0,"",IFERROR(N89/J89-1,"")))</f>
        <v/>
      </c>
      <c r="T90" s="15">
        <f>IF(OR(T89="",S89=""),"",IF(T89*S89&lt;=0,"",IFERROR(T89/S89-1,"")))</f>
        <v/>
      </c>
      <c r="U90" s="15">
        <f>IF(OR(U89="",T89=""),"",IF(U89*T89&lt;=0,"",IFERROR(U89/T89-1,"")))</f>
        <v/>
      </c>
      <c r="V90" s="15">
        <f>IF(OR(V89="",U89=""),"",IF(V89*U89&lt;=0,"",IFERROR(V89/U89-1,"")))</f>
        <v/>
      </c>
      <c r="W90" s="15">
        <f>IF(OR(W89="",V89=""),"",IF(W89*V89&lt;=0,"",IFERROR(W89/V89-1,"")))</f>
        <v/>
      </c>
      <c r="X90" s="15">
        <f>IF(OR(X89="",W89=""),"",IF(X89*W89&lt;=0,"",IFERROR(X89/W89-1,"")))</f>
        <v/>
      </c>
    </row>
    <row r="91">
      <c r="A91" s="9" t="inlineStr">
        <is>
          <t>매출총이익</t>
        </is>
      </c>
      <c r="C91" s="12" t="n">
        <v>1541</v>
      </c>
      <c r="D91" s="12" t="n">
        <v>1485</v>
      </c>
      <c r="E91" s="12" t="n">
        <v>1261</v>
      </c>
      <c r="F91" s="12" t="n">
        <v>1245</v>
      </c>
      <c r="G91" s="12" t="n">
        <v>1762</v>
      </c>
      <c r="H91" s="12" t="n">
        <v>1506</v>
      </c>
      <c r="I91" s="12" t="n">
        <v>2124</v>
      </c>
      <c r="J91" s="12" t="n">
        <v>1517</v>
      </c>
      <c r="K91" s="12" t="n">
        <v>2384</v>
      </c>
      <c r="L91" s="12" t="n">
        <v>2405</v>
      </c>
      <c r="M91" s="12" t="n">
        <v>3206</v>
      </c>
      <c r="N91" s="12" t="n">
        <v>2758</v>
      </c>
      <c r="T91" s="12" t="n">
        <v>1620</v>
      </c>
      <c r="U91" s="12" t="n">
        <v>1664</v>
      </c>
      <c r="V91" s="12" t="n">
        <v>1261</v>
      </c>
      <c r="W91" s="12" t="n">
        <v>2124</v>
      </c>
      <c r="X91" s="12" t="n">
        <v>3206</v>
      </c>
    </row>
    <row r="92">
      <c r="A92" s="43" t="inlineStr">
        <is>
          <t>YoY</t>
        </is>
      </c>
      <c r="B92" s="3" t="inlineStr">
        <is>
          <t>전년 같은 분기·전년 대비</t>
        </is>
      </c>
      <c r="G92" s="15">
        <f>IF(OR(G91="",C91=""),"",IF(C91&lt;=0,"",IFERROR(G91/C91-1,"")))</f>
        <v/>
      </c>
      <c r="H92" s="15">
        <f>IF(OR(H91="",D91=""),"",IF(D91&lt;=0,"",IFERROR(H91/D91-1,"")))</f>
        <v/>
      </c>
      <c r="I92" s="15">
        <f>IF(OR(I91="",E91=""),"",IF(E91&lt;=0,"",IFERROR(I91/E91-1,"")))</f>
        <v/>
      </c>
      <c r="J92" s="15">
        <f>IF(OR(J91="",F91=""),"",IF(F91&lt;=0,"",IFERROR(J91/F91-1,"")))</f>
        <v/>
      </c>
      <c r="K92" s="15">
        <f>IF(OR(K91="",G91=""),"",IF(G91&lt;=0,"",IFERROR(K91/G91-1,"")))</f>
        <v/>
      </c>
      <c r="L92" s="15">
        <f>IF(OR(L91="",H91=""),"",IF(H91&lt;=0,"",IFERROR(L91/H91-1,"")))</f>
        <v/>
      </c>
      <c r="M92" s="15">
        <f>IF(OR(M91="",I91=""),"",IF(I91&lt;=0,"",IFERROR(M91/I91-1,"")))</f>
        <v/>
      </c>
      <c r="N92" s="15">
        <f>IF(OR(N91="",J91=""),"",IF(J91&lt;=0,"",IFERROR(N91/J91-1,"")))</f>
        <v/>
      </c>
      <c r="T92" s="15">
        <f>IF(OR(T91="",S91=""),"",IF(S91&lt;=0,"",IFERROR(T91/S91-1,"")))</f>
        <v/>
      </c>
      <c r="U92" s="15">
        <f>IF(OR(U91="",T91=""),"",IF(T91&lt;=0,"",IFERROR(U91/T91-1,"")))</f>
        <v/>
      </c>
      <c r="V92" s="15">
        <f>IF(OR(V91="",U91=""),"",IF(U91&lt;=0,"",IFERROR(V91/U91-1,"")))</f>
        <v/>
      </c>
      <c r="W92" s="15">
        <f>IF(OR(W91="",V91=""),"",IF(V91&lt;=0,"",IFERROR(W91/V91-1,"")))</f>
        <v/>
      </c>
      <c r="X92" s="15">
        <f>IF(OR(X91="",W91=""),"",IF(W91&lt;=0,"",IFERROR(X91/W91-1,"")))</f>
        <v/>
      </c>
    </row>
    <row r="93">
      <c r="A93" s="18" t="inlineStr">
        <is>
          <t>판매비와 관리비</t>
        </is>
      </c>
      <c r="C93" s="20" t="n">
        <v>907</v>
      </c>
      <c r="D93" s="20" t="n">
        <v>886</v>
      </c>
      <c r="E93" s="20" t="n">
        <v>742</v>
      </c>
      <c r="F93" s="20" t="n">
        <v>920</v>
      </c>
      <c r="G93" s="20" t="n">
        <v>938</v>
      </c>
      <c r="H93" s="20" t="n">
        <v>990</v>
      </c>
      <c r="I93" s="20" t="n">
        <v>993</v>
      </c>
      <c r="J93" s="20" t="n">
        <v>935</v>
      </c>
      <c r="K93" s="20" t="n">
        <v>988</v>
      </c>
      <c r="L93" s="20" t="n">
        <v>1012</v>
      </c>
      <c r="M93" s="20" t="n">
        <v>1062</v>
      </c>
      <c r="N93" s="20" t="n">
        <v>1030</v>
      </c>
      <c r="T93" s="20" t="n">
        <v>1092</v>
      </c>
      <c r="U93" s="20" t="n">
        <v>798</v>
      </c>
      <c r="V93" s="20" t="n">
        <v>742</v>
      </c>
      <c r="W93" s="20" t="n">
        <v>993</v>
      </c>
      <c r="X93" s="20" t="n">
        <v>1062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IF(OR(G93="",C93=""),"",IF(G93*C93&lt;=0,"",IFERROR(G93/C93-1,"")))</f>
        <v/>
      </c>
      <c r="H94" s="15">
        <f>IF(OR(H93="",D93=""),"",IF(H93*D93&lt;=0,"",IFERROR(H93/D93-1,"")))</f>
        <v/>
      </c>
      <c r="I94" s="15">
        <f>IF(OR(I93="",E93=""),"",IF(I93*E93&lt;=0,"",IFERROR(I93/E93-1,"")))</f>
        <v/>
      </c>
      <c r="J94" s="15">
        <f>IF(OR(J93="",F93=""),"",IF(J93*F93&lt;=0,"",IFERROR(J93/F93-1,"")))</f>
        <v/>
      </c>
      <c r="K94" s="15">
        <f>IF(OR(K93="",G93=""),"",IF(K93*G93&lt;=0,"",IFERROR(K93/G93-1,"")))</f>
        <v/>
      </c>
      <c r="L94" s="15">
        <f>IF(OR(L93="",H93=""),"",IF(L93*H93&lt;=0,"",IFERROR(L93/H93-1,"")))</f>
        <v/>
      </c>
      <c r="M94" s="15">
        <f>IF(OR(M93="",I93=""),"",IF(M93*I93&lt;=0,"",IFERROR(M93/I93-1,"")))</f>
        <v/>
      </c>
      <c r="N94" s="15">
        <f>IF(OR(N93="",J93=""),"",IF(N93*J93&lt;=0,"",IFERROR(N93/J93-1,"")))</f>
        <v/>
      </c>
      <c r="T94" s="15">
        <f>IF(OR(T93="",S93=""),"",IF(T93*S93&lt;=0,"",IFERROR(T93/S93-1,"")))</f>
        <v/>
      </c>
      <c r="U94" s="15">
        <f>IF(OR(U93="",T93=""),"",IF(U93*T93&lt;=0,"",IFERROR(U93/T93-1,"")))</f>
        <v/>
      </c>
      <c r="V94" s="15">
        <f>IF(OR(V93="",U93=""),"",IF(V93*U93&lt;=0,"",IFERROR(V93/U93-1,"")))</f>
        <v/>
      </c>
      <c r="W94" s="15">
        <f>IF(OR(W93="",V93=""),"",IF(W93*V93&lt;=0,"",IFERROR(W93/V93-1,"")))</f>
        <v/>
      </c>
      <c r="X94" s="15">
        <f>IF(OR(X93="",W93=""),"",IF(X93*W93&lt;=0,"",IFERROR(X93/W93-1,"")))</f>
        <v/>
      </c>
    </row>
    <row r="95">
      <c r="A95" s="9" t="inlineStr">
        <is>
          <t>영업이익</t>
        </is>
      </c>
      <c r="C95" s="12" t="n">
        <v>635</v>
      </c>
      <c r="D95" s="12" t="n">
        <v>599</v>
      </c>
      <c r="E95" s="12" t="n">
        <v>518</v>
      </c>
      <c r="F95" s="12" t="n">
        <v>325</v>
      </c>
      <c r="G95" s="12" t="n">
        <v>823</v>
      </c>
      <c r="H95" s="12" t="n">
        <v>517</v>
      </c>
      <c r="I95" s="12" t="n">
        <v>1131</v>
      </c>
      <c r="J95" s="12" t="n">
        <v>582</v>
      </c>
      <c r="K95" s="12" t="n">
        <v>1395</v>
      </c>
      <c r="L95" s="12" t="n">
        <v>1394</v>
      </c>
      <c r="M95" s="12" t="n">
        <v>2144</v>
      </c>
      <c r="N95" s="12" t="n">
        <v>1727</v>
      </c>
      <c r="T95" s="12" t="n">
        <v>528</v>
      </c>
      <c r="U95" s="12" t="n">
        <v>865</v>
      </c>
      <c r="V95" s="12" t="n">
        <v>518</v>
      </c>
      <c r="W95" s="12" t="n">
        <v>1131</v>
      </c>
      <c r="X95" s="12" t="n">
        <v>2144</v>
      </c>
    </row>
    <row r="96">
      <c r="A96" s="43" t="inlineStr">
        <is>
          <t>OPM</t>
        </is>
      </c>
      <c r="B96" s="3" t="inlineStr">
        <is>
          <t>영업이익 ÷ 매출</t>
        </is>
      </c>
      <c r="C96" s="15">
        <f>IF(OR(C95="",C87=""),"",IF(C87&lt;=0,"",IFERROR(C95/C87,"")))</f>
        <v/>
      </c>
      <c r="D96" s="15">
        <f>IF(OR(D95="",D87=""),"",IF(D87&lt;=0,"",IFERROR(D95/D87,"")))</f>
        <v/>
      </c>
      <c r="E96" s="15">
        <f>IF(OR(E95="",E87=""),"",IF(E87&lt;=0,"",IFERROR(E95/E87,"")))</f>
        <v/>
      </c>
      <c r="F96" s="15">
        <f>IF(OR(F95="",F87=""),"",IF(F87&lt;=0,"",IFERROR(F95/F87,"")))</f>
        <v/>
      </c>
      <c r="G96" s="15">
        <f>IF(OR(G95="",G87=""),"",IF(G87&lt;=0,"",IFERROR(G95/G87,"")))</f>
        <v/>
      </c>
      <c r="H96" s="15">
        <f>IF(OR(H95="",H87=""),"",IF(H87&lt;=0,"",IFERROR(H95/H87,"")))</f>
        <v/>
      </c>
      <c r="I96" s="15">
        <f>IF(OR(I95="",I87=""),"",IF(I87&lt;=0,"",IFERROR(I95/I87,"")))</f>
        <v/>
      </c>
      <c r="J96" s="15">
        <f>IF(OR(J95="",J87=""),"",IF(J87&lt;=0,"",IFERROR(J95/J87,"")))</f>
        <v/>
      </c>
      <c r="K96" s="15">
        <f>IF(OR(K95="",K87=""),"",IF(K87&lt;=0,"",IFERROR(K95/K87,"")))</f>
        <v/>
      </c>
      <c r="L96" s="15">
        <f>IF(OR(L95="",L87=""),"",IF(L87&lt;=0,"",IFERROR(L95/L87,"")))</f>
        <v/>
      </c>
      <c r="M96" s="15">
        <f>IF(OR(M95="",M87=""),"",IF(M87&lt;=0,"",IFERROR(M95/M87,"")))</f>
        <v/>
      </c>
      <c r="N96" s="15">
        <f>IF(OR(N95="",N87=""),"",IF(N87&lt;=0,"",IFERROR(N95/N87,"")))</f>
        <v/>
      </c>
      <c r="T96" s="15">
        <f>IF(OR(T95="",T87=""),"",IF(T87&lt;=0,"",IFERROR(T95/T87,"")))</f>
        <v/>
      </c>
      <c r="U96" s="15">
        <f>IF(OR(U95="",U87=""),"",IF(U87&lt;=0,"",IFERROR(U95/U87,"")))</f>
        <v/>
      </c>
      <c r="V96" s="15">
        <f>IF(OR(V95="",V87=""),"",IF(V87&lt;=0,"",IFERROR(V95/V87,"")))</f>
        <v/>
      </c>
      <c r="W96" s="15">
        <f>IF(OR(W95="",W87=""),"",IF(W87&lt;=0,"",IFERROR(W95/W87,"")))</f>
        <v/>
      </c>
      <c r="X96" s="15">
        <f>IF(OR(X95="",X87=""),"",IF(X87&lt;=0,"",IFERROR(X95/X87,"")))</f>
        <v/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IF(OR(G95="",C95=""),"",IF(C95&lt;=0,"",IFERROR(G95/C95-1,"")))</f>
        <v/>
      </c>
      <c r="H97" s="15">
        <f>IF(OR(H95="",D95=""),"",IF(D95&lt;=0,"",IFERROR(H95/D95-1,"")))</f>
        <v/>
      </c>
      <c r="I97" s="15">
        <f>IF(OR(I95="",E95=""),"",IF(E95&lt;=0,"",IFERROR(I95/E95-1,"")))</f>
        <v/>
      </c>
      <c r="J97" s="15">
        <f>IF(OR(J95="",F95=""),"",IF(F95&lt;=0,"",IFERROR(J95/F95-1,"")))</f>
        <v/>
      </c>
      <c r="K97" s="15">
        <f>IF(OR(K95="",G95=""),"",IF(G95&lt;=0,"",IFERROR(K95/G95-1,"")))</f>
        <v/>
      </c>
      <c r="L97" s="15">
        <f>IF(OR(L95="",H95=""),"",IF(H95&lt;=0,"",IFERROR(L95/H95-1,"")))</f>
        <v/>
      </c>
      <c r="M97" s="15">
        <f>IF(OR(M95="",I95=""),"",IF(I95&lt;=0,"",IFERROR(M95/I95-1,"")))</f>
        <v/>
      </c>
      <c r="N97" s="15">
        <f>IF(OR(N95="",J95=""),"",IF(J95&lt;=0,"",IFERROR(N95/J95-1,"")))</f>
        <v/>
      </c>
      <c r="T97" s="15">
        <f>IF(OR(T95="",S95=""),"",IF(S95&lt;=0,"",IFERROR(T95/S95-1,"")))</f>
        <v/>
      </c>
      <c r="U97" s="15">
        <f>IF(OR(U95="",T95=""),"",IF(T95&lt;=0,"",IFERROR(U95/T95-1,"")))</f>
        <v/>
      </c>
      <c r="V97" s="15">
        <f>IF(OR(V95="",U95=""),"",IF(U95&lt;=0,"",IFERROR(V95/U95-1,"")))</f>
        <v/>
      </c>
      <c r="W97" s="15">
        <f>IF(OR(W95="",V95=""),"",IF(V95&lt;=0,"",IFERROR(W95/V95-1,"")))</f>
        <v/>
      </c>
      <c r="X97" s="15">
        <f>IF(OR(X95="",W95=""),"",IF(W95&lt;=0,"",IFERROR(X95/W95-1,"")))</f>
        <v/>
      </c>
    </row>
    <row r="98">
      <c r="A98" s="18" t="inlineStr">
        <is>
          <t>수수료 수익</t>
        </is>
      </c>
      <c r="E98" s="20" t="n">
        <v>1</v>
      </c>
      <c r="T98" s="20" t="n">
        <v>1</v>
      </c>
      <c r="U98" s="20" t="n">
        <v>1</v>
      </c>
      <c r="V98" s="20" t="n">
        <v>1</v>
      </c>
    </row>
    <row r="99">
      <c r="A99" s="18" t="inlineStr">
        <is>
          <t>Technical Advisory Fee NOI</t>
        </is>
      </c>
      <c r="C99" s="20" t="n">
        <v>0</v>
      </c>
      <c r="D99" s="20" t="n">
        <v>1</v>
      </c>
      <c r="E99" s="20" t="n">
        <v>0</v>
      </c>
      <c r="F99" s="20" t="n">
        <v>4</v>
      </c>
      <c r="G99" s="20" t="n">
        <v>0</v>
      </c>
      <c r="H99" s="20" t="n">
        <v>3</v>
      </c>
      <c r="I99" s="20" t="n">
        <v>0</v>
      </c>
      <c r="J99" s="20" t="n">
        <v>3</v>
      </c>
      <c r="K99" s="20" t="n">
        <v>0</v>
      </c>
      <c r="L99" s="20" t="n">
        <v>2</v>
      </c>
      <c r="M99" s="20" t="n">
        <v>1</v>
      </c>
      <c r="N99" s="20" t="n">
        <v>5</v>
      </c>
      <c r="T99" s="20" t="n">
        <v>0</v>
      </c>
      <c r="U99" s="20" t="n">
        <v>0</v>
      </c>
      <c r="V99" s="20" t="n">
        <v>0</v>
      </c>
      <c r="W99" s="20" t="n">
        <v>0</v>
      </c>
      <c r="X99" s="20" t="n">
        <v>1</v>
      </c>
    </row>
    <row r="100">
      <c r="A100" s="18" t="inlineStr">
        <is>
          <t>기타</t>
        </is>
      </c>
      <c r="C100" s="20" t="n">
        <v>3</v>
      </c>
      <c r="D100" s="20" t="n">
        <v>1</v>
      </c>
      <c r="E100" s="20" t="n">
        <v>5</v>
      </c>
      <c r="F100" s="20" t="n">
        <v>1</v>
      </c>
      <c r="G100" s="20" t="n">
        <v>4</v>
      </c>
      <c r="H100" s="20" t="n">
        <v>1</v>
      </c>
      <c r="I100" s="20" t="n">
        <v>-1</v>
      </c>
      <c r="J100" s="20" t="n">
        <v>1</v>
      </c>
      <c r="K100" s="20" t="n">
        <v>4</v>
      </c>
      <c r="L100" s="20" t="n">
        <v>1</v>
      </c>
      <c r="M100" s="20" t="n">
        <v>0</v>
      </c>
      <c r="N100" s="20" t="n">
        <v>3</v>
      </c>
      <c r="T100" s="20" t="n">
        <v>4</v>
      </c>
      <c r="U100" s="20" t="n">
        <v>6</v>
      </c>
      <c r="V100" s="20" t="n">
        <v>5</v>
      </c>
      <c r="W100" s="20" t="n">
        <v>-1</v>
      </c>
      <c r="X100" s="20" t="n">
        <v>0</v>
      </c>
    </row>
    <row r="101">
      <c r="A101" s="18" t="inlineStr">
        <is>
          <t>영업외수익 합계</t>
        </is>
      </c>
      <c r="C101" s="20" t="n">
        <v>3</v>
      </c>
      <c r="D101" s="20" t="n">
        <v>3</v>
      </c>
      <c r="E101" s="20" t="n">
        <v>8</v>
      </c>
      <c r="F101" s="20" t="n">
        <v>6</v>
      </c>
      <c r="G101" s="20" t="n">
        <v>3</v>
      </c>
      <c r="H101" s="20" t="n">
        <v>5</v>
      </c>
      <c r="I101" s="20" t="n">
        <v>2</v>
      </c>
      <c r="J101" s="20" t="n">
        <v>5</v>
      </c>
      <c r="K101" s="20" t="n">
        <v>4</v>
      </c>
      <c r="L101" s="20" t="n">
        <v>3</v>
      </c>
      <c r="M101" s="20" t="n">
        <v>4</v>
      </c>
      <c r="N101" s="20" t="n">
        <v>8</v>
      </c>
      <c r="T101" s="20" t="n">
        <v>6</v>
      </c>
      <c r="U101" s="20" t="n">
        <v>6</v>
      </c>
      <c r="V101" s="20" t="n">
        <v>8</v>
      </c>
      <c r="W101" s="20" t="n">
        <v>2</v>
      </c>
      <c r="X101" s="20" t="n">
        <v>4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18" t="inlineStr">
        <is>
          <t>이자비용</t>
        </is>
      </c>
      <c r="C103" s="20" t="n">
        <v>7</v>
      </c>
      <c r="D103" s="20" t="n">
        <v>8</v>
      </c>
      <c r="E103" s="20" t="n">
        <v>19</v>
      </c>
      <c r="F103" s="20" t="n">
        <v>9</v>
      </c>
      <c r="G103" s="20" t="n">
        <v>12</v>
      </c>
      <c r="H103" s="20" t="n">
        <v>12</v>
      </c>
      <c r="I103" s="20" t="n">
        <v>14</v>
      </c>
      <c r="J103" s="20" t="n">
        <v>15</v>
      </c>
      <c r="K103" s="20" t="n">
        <v>20</v>
      </c>
      <c r="L103" s="20" t="n">
        <v>29</v>
      </c>
      <c r="M103" s="20" t="n">
        <v>40</v>
      </c>
      <c r="N103" s="20" t="n">
        <v>51</v>
      </c>
      <c r="T103" s="20" t="n">
        <v>9</v>
      </c>
      <c r="U103" s="20" t="n">
        <v>13</v>
      </c>
      <c r="V103" s="20" t="n">
        <v>19</v>
      </c>
      <c r="W103" s="20" t="n">
        <v>14</v>
      </c>
      <c r="X103" s="20" t="n">
        <v>40</v>
      </c>
    </row>
    <row r="104">
      <c r="A104" s="18" t="inlineStr">
        <is>
          <t>외환차손</t>
        </is>
      </c>
      <c r="C104" s="20" t="n">
        <v>-1</v>
      </c>
    </row>
    <row r="105">
      <c r="A105" s="18" t="inlineStr">
        <is>
          <t>자기주식 취득비용</t>
        </is>
      </c>
      <c r="D105" s="20" t="n">
        <v>0</v>
      </c>
      <c r="E105" s="20" t="n">
        <v>0</v>
      </c>
      <c r="H105" s="20" t="n">
        <v>0</v>
      </c>
      <c r="I105" s="20" t="n">
        <v>0</v>
      </c>
      <c r="L105" s="20" t="n">
        <v>0</v>
      </c>
      <c r="M105" s="20" t="n">
        <v>0</v>
      </c>
      <c r="V105" s="20" t="n">
        <v>0</v>
      </c>
      <c r="W105" s="20" t="n">
        <v>0</v>
      </c>
      <c r="X105" s="20" t="n">
        <v>0</v>
      </c>
    </row>
    <row r="106">
      <c r="A106" s="18" t="inlineStr">
        <is>
          <t>기타</t>
        </is>
      </c>
      <c r="C106" s="20" t="n">
        <v>3</v>
      </c>
      <c r="D106" s="20" t="n">
        <v>-1</v>
      </c>
      <c r="E106" s="20" t="n">
        <v>2</v>
      </c>
      <c r="F106" s="20" t="n">
        <v>12</v>
      </c>
      <c r="G106" s="20" t="n">
        <v>-2</v>
      </c>
      <c r="H106" s="20" t="n">
        <v>10</v>
      </c>
      <c r="I106" s="20" t="n">
        <v>6</v>
      </c>
      <c r="J106" s="20" t="n">
        <v>7</v>
      </c>
      <c r="K106" s="20" t="n">
        <v>10</v>
      </c>
      <c r="L106" s="20" t="n">
        <v>8</v>
      </c>
      <c r="M106" s="20" t="n">
        <v>12</v>
      </c>
      <c r="N106" s="20" t="n">
        <v>0</v>
      </c>
      <c r="T106" s="20" t="n">
        <v>16</v>
      </c>
      <c r="U106" s="20" t="n">
        <v>4</v>
      </c>
      <c r="V106" s="20" t="n">
        <v>2</v>
      </c>
      <c r="W106" s="20" t="n">
        <v>6</v>
      </c>
      <c r="X106" s="20" t="n">
        <v>12</v>
      </c>
    </row>
    <row r="107">
      <c r="A107" s="18" t="inlineStr">
        <is>
          <t>영업외비용 합계</t>
        </is>
      </c>
      <c r="C107" s="20" t="n">
        <v>10</v>
      </c>
      <c r="D107" s="20" t="n">
        <v>8</v>
      </c>
      <c r="E107" s="20" t="n">
        <v>20</v>
      </c>
      <c r="F107" s="20" t="n">
        <v>22</v>
      </c>
      <c r="G107" s="20" t="n">
        <v>37</v>
      </c>
      <c r="H107" s="20" t="n">
        <v>22</v>
      </c>
      <c r="I107" s="20" t="n">
        <v>20</v>
      </c>
      <c r="J107" s="20" t="n">
        <v>23</v>
      </c>
      <c r="K107" s="20" t="n">
        <v>61</v>
      </c>
      <c r="L107" s="20" t="n">
        <v>36</v>
      </c>
      <c r="M107" s="20" t="n">
        <v>52</v>
      </c>
      <c r="N107" s="20" t="n">
        <v>52</v>
      </c>
      <c r="T107" s="20" t="n">
        <v>25</v>
      </c>
      <c r="U107" s="20" t="n">
        <v>17</v>
      </c>
      <c r="V107" s="20" t="n">
        <v>20</v>
      </c>
      <c r="W107" s="20" t="n">
        <v>20</v>
      </c>
      <c r="X107" s="20" t="n">
        <v>52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9" t="inlineStr">
        <is>
          <t>경상이익</t>
        </is>
      </c>
      <c r="C109" s="12" t="n">
        <v>628</v>
      </c>
      <c r="D109" s="12" t="n">
        <v>594</v>
      </c>
      <c r="E109" s="12" t="n">
        <v>505</v>
      </c>
      <c r="F109" s="12" t="n">
        <v>308</v>
      </c>
      <c r="G109" s="12" t="n">
        <v>791</v>
      </c>
      <c r="H109" s="12" t="n">
        <v>499</v>
      </c>
      <c r="I109" s="12" t="n">
        <v>1113</v>
      </c>
      <c r="J109" s="12" t="n">
        <v>563</v>
      </c>
      <c r="K109" s="12" t="n">
        <v>1339</v>
      </c>
      <c r="L109" s="12" t="n">
        <v>1361</v>
      </c>
      <c r="M109" s="12" t="n">
        <v>2095</v>
      </c>
      <c r="N109" s="12" t="n">
        <v>1684</v>
      </c>
      <c r="T109" s="12" t="n">
        <v>508</v>
      </c>
      <c r="U109" s="12" t="n">
        <v>855</v>
      </c>
      <c r="V109" s="12" t="n">
        <v>505</v>
      </c>
      <c r="W109" s="12" t="n">
        <v>1113</v>
      </c>
      <c r="X109" s="12" t="n">
        <v>2095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IF(OR(G109="",C109=""),"",IF(C109&lt;=0,"",IFERROR(G109/C109-1,"")))</f>
        <v/>
      </c>
      <c r="H110" s="15">
        <f>IF(OR(H109="",D109=""),"",IF(D109&lt;=0,"",IFERROR(H109/D109-1,"")))</f>
        <v/>
      </c>
      <c r="I110" s="15">
        <f>IF(OR(I109="",E109=""),"",IF(E109&lt;=0,"",IFERROR(I109/E109-1,"")))</f>
        <v/>
      </c>
      <c r="J110" s="15">
        <f>IF(OR(J109="",F109=""),"",IF(F109&lt;=0,"",IFERROR(J109/F109-1,"")))</f>
        <v/>
      </c>
      <c r="K110" s="15">
        <f>IF(OR(K109="",G109=""),"",IF(G109&lt;=0,"",IFERROR(K109/G109-1,"")))</f>
        <v/>
      </c>
      <c r="L110" s="15">
        <f>IF(OR(L109="",H109=""),"",IF(H109&lt;=0,"",IFERROR(L109/H109-1,"")))</f>
        <v/>
      </c>
      <c r="M110" s="15">
        <f>IF(OR(M109="",I109=""),"",IF(I109&lt;=0,"",IFERROR(M109/I109-1,"")))</f>
        <v/>
      </c>
      <c r="N110" s="15">
        <f>IF(OR(N109="",J109=""),"",IF(J109&lt;=0,"",IFERROR(N109/J109-1,"")))</f>
        <v/>
      </c>
      <c r="T110" s="15">
        <f>IF(OR(T109="",S109=""),"",IF(S109&lt;=0,"",IFERROR(T109/S109-1,"")))</f>
        <v/>
      </c>
      <c r="U110" s="15">
        <f>IF(OR(U109="",T109=""),"",IF(T109&lt;=0,"",IFERROR(U109/T109-1,"")))</f>
        <v/>
      </c>
      <c r="V110" s="15">
        <f>IF(OR(V109="",U109=""),"",IF(U109&lt;=0,"",IFERROR(V109/U109-1,"")))</f>
        <v/>
      </c>
      <c r="W110" s="15">
        <f>IF(OR(W109="",V109=""),"",IF(V109&lt;=0,"",IFERROR(W109/V109-1,"")))</f>
        <v/>
      </c>
      <c r="X110" s="15">
        <f>IF(OR(X109="",W109=""),"",IF(W109&lt;=0,"",IFERROR(X109/W109-1,"")))</f>
        <v/>
      </c>
    </row>
    <row r="111">
      <c r="A111" s="18" t="inlineStr">
        <is>
          <t>Gain On Sales Of Land EI</t>
        </is>
      </c>
      <c r="C111" s="20" t="n">
        <v>0</v>
      </c>
      <c r="D111" s="20" t="n">
        <v>0</v>
      </c>
      <c r="E111" s="20" t="n">
        <v>0</v>
      </c>
      <c r="T111" s="20" t="n">
        <v>0</v>
      </c>
      <c r="U111" s="20" t="n">
        <v>0</v>
      </c>
      <c r="V111" s="20" t="n">
        <v>0</v>
      </c>
    </row>
    <row r="112">
      <c r="A112" s="18" t="inlineStr">
        <is>
          <t>특별이익 합계</t>
        </is>
      </c>
      <c r="C112" s="20" t="n">
        <v>0</v>
      </c>
      <c r="D112" s="20" t="n">
        <v>0</v>
      </c>
      <c r="E112" s="20" t="n">
        <v>0</v>
      </c>
      <c r="T112" s="20" t="n">
        <v>0</v>
      </c>
      <c r="U112" s="20" t="n">
        <v>0</v>
      </c>
      <c r="V112" s="20" t="n">
        <v>0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T113" s="15">
        <f>IF(OR(T112="",S112=""),"",IF(T112*S112&lt;=0,"",IFERROR(T112/S112-1,"")))</f>
        <v/>
      </c>
      <c r="U113" s="15">
        <f>IF(OR(U112="",T112=""),"",IF(U112*T112&lt;=0,"",IFERROR(U112/T112-1,"")))</f>
        <v/>
      </c>
      <c r="V113" s="15">
        <f>IF(OR(V112="",U112=""),"",IF(V112*U112&lt;=0,"",IFERROR(V112/U112-1,"")))</f>
        <v/>
      </c>
    </row>
    <row r="114">
      <c r="A114" s="18" t="inlineStr">
        <is>
          <t>고정자산 제각손실</t>
        </is>
      </c>
      <c r="C114" s="20" t="n">
        <v>0</v>
      </c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9</v>
      </c>
      <c r="K114" s="20" t="n">
        <v>0</v>
      </c>
      <c r="L114" s="20" t="n">
        <v>0</v>
      </c>
      <c r="M114" s="20" t="n">
        <v>0</v>
      </c>
      <c r="N114" s="20" t="n">
        <v>0</v>
      </c>
      <c r="T114" s="20" t="n">
        <v>0</v>
      </c>
      <c r="U114" s="20" t="n">
        <v>1</v>
      </c>
      <c r="V114" s="20" t="n">
        <v>0</v>
      </c>
      <c r="W114" s="20" t="n">
        <v>0</v>
      </c>
      <c r="X114" s="20" t="n">
        <v>0</v>
      </c>
    </row>
    <row r="115">
      <c r="A115" s="18" t="inlineStr">
        <is>
          <t>특별손실 합계</t>
        </is>
      </c>
      <c r="C115" s="20" t="n">
        <v>0</v>
      </c>
      <c r="D115" s="20" t="n">
        <v>0</v>
      </c>
      <c r="E115" s="20" t="n">
        <v>0</v>
      </c>
      <c r="F115" s="20" t="n">
        <v>0</v>
      </c>
      <c r="G115" s="20" t="n">
        <v>0</v>
      </c>
      <c r="H115" s="20" t="n">
        <v>0</v>
      </c>
      <c r="I115" s="20" t="n">
        <v>0</v>
      </c>
      <c r="J115" s="20" t="n">
        <v>9</v>
      </c>
      <c r="K115" s="20" t="n">
        <v>0</v>
      </c>
      <c r="L115" s="20" t="n">
        <v>0</v>
      </c>
      <c r="M115" s="20" t="n">
        <v>0</v>
      </c>
      <c r="N115" s="20" t="n">
        <v>0</v>
      </c>
      <c r="T115" s="20" t="n">
        <v>24</v>
      </c>
      <c r="U115" s="20" t="n">
        <v>1</v>
      </c>
      <c r="V115" s="20" t="n">
        <v>0</v>
      </c>
      <c r="W115" s="20" t="n">
        <v>0</v>
      </c>
      <c r="X115" s="20" t="n">
        <v>0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IF(OR(G115="",C115=""),"",IF(G115*C115&lt;=0,"",IFERROR(G115/C115-1,"")))</f>
        <v/>
      </c>
      <c r="H116" s="15">
        <f>IF(OR(H115="",D115=""),"",IF(H115*D115&lt;=0,"",IFERROR(H115/D115-1,"")))</f>
        <v/>
      </c>
      <c r="I116" s="15">
        <f>IF(OR(I115="",E115=""),"",IF(I115*E115&lt;=0,"",IFERROR(I115/E115-1,"")))</f>
        <v/>
      </c>
      <c r="J116" s="15">
        <f>IF(OR(J115="",F115=""),"",IF(J115*F115&lt;=0,"",IFERROR(J115/F115-1,"")))</f>
        <v/>
      </c>
      <c r="K116" s="15">
        <f>IF(OR(K115="",G115=""),"",IF(K115*G115&lt;=0,"",IFERROR(K115/G115-1,"")))</f>
        <v/>
      </c>
      <c r="L116" s="15">
        <f>IF(OR(L115="",H115=""),"",IF(L115*H115&lt;=0,"",IFERROR(L115/H115-1,"")))</f>
        <v/>
      </c>
      <c r="M116" s="15">
        <f>IF(OR(M115="",I115=""),"",IF(M115*I115&lt;=0,"",IFERROR(M115/I115-1,"")))</f>
        <v/>
      </c>
      <c r="N116" s="15">
        <f>IF(OR(N115="",J115=""),"",IF(N115*J115&lt;=0,"",IFERROR(N115/J115-1,"")))</f>
        <v/>
      </c>
      <c r="T116" s="15">
        <f>IF(OR(T115="",S115=""),"",IF(T115*S115&lt;=0,"",IFERROR(T115/S115-1,"")))</f>
        <v/>
      </c>
      <c r="U116" s="15">
        <f>IF(OR(U115="",T115=""),"",IF(U115*T115&lt;=0,"",IFERROR(U115/T115-1,"")))</f>
        <v/>
      </c>
      <c r="V116" s="15">
        <f>IF(OR(V115="",U115=""),"",IF(V115*U115&lt;=0,"",IFERROR(V115/U115-1,"")))</f>
        <v/>
      </c>
      <c r="W116" s="15">
        <f>IF(OR(W115="",V115=""),"",IF(W115*V115&lt;=0,"",IFERROR(W115/V115-1,"")))</f>
        <v/>
      </c>
      <c r="X116" s="15">
        <f>IF(OR(X115="",W115=""),"",IF(X115*W115&lt;=0,"",IFERROR(X115/W115-1,"")))</f>
        <v/>
      </c>
    </row>
    <row r="117">
      <c r="A117" s="9" t="inlineStr">
        <is>
          <t>법인세차감전 순이익</t>
        </is>
      </c>
      <c r="C117" s="12" t="n">
        <v>628</v>
      </c>
      <c r="D117" s="12" t="n">
        <v>594</v>
      </c>
      <c r="E117" s="12" t="n">
        <v>505</v>
      </c>
      <c r="F117" s="12" t="n">
        <v>308</v>
      </c>
      <c r="G117" s="12" t="n">
        <v>791</v>
      </c>
      <c r="H117" s="12" t="n">
        <v>498</v>
      </c>
      <c r="I117" s="12" t="n">
        <v>1113</v>
      </c>
      <c r="J117" s="12" t="n">
        <v>554</v>
      </c>
      <c r="K117" s="12" t="n">
        <v>1339</v>
      </c>
      <c r="L117" s="12" t="n">
        <v>1361</v>
      </c>
      <c r="M117" s="12" t="n">
        <v>2095</v>
      </c>
      <c r="N117" s="12" t="n">
        <v>1684</v>
      </c>
      <c r="T117" s="12" t="n">
        <v>484</v>
      </c>
      <c r="U117" s="12" t="n">
        <v>854</v>
      </c>
      <c r="V117" s="12" t="n">
        <v>505</v>
      </c>
      <c r="W117" s="12" t="n">
        <v>1113</v>
      </c>
      <c r="X117" s="12" t="n">
        <v>2095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IF(OR(G117="",C117=""),"",IF(C117&lt;=0,"",IFERROR(G117/C117-1,"")))</f>
        <v/>
      </c>
      <c r="H118" s="15">
        <f>IF(OR(H117="",D117=""),"",IF(D117&lt;=0,"",IFERROR(H117/D117-1,"")))</f>
        <v/>
      </c>
      <c r="I118" s="15">
        <f>IF(OR(I117="",E117=""),"",IF(E117&lt;=0,"",IFERROR(I117/E117-1,"")))</f>
        <v/>
      </c>
      <c r="J118" s="15">
        <f>IF(OR(J117="",F117=""),"",IF(F117&lt;=0,"",IFERROR(J117/F117-1,"")))</f>
        <v/>
      </c>
      <c r="K118" s="15">
        <f>IF(OR(K117="",G117=""),"",IF(G117&lt;=0,"",IFERROR(K117/G117-1,"")))</f>
        <v/>
      </c>
      <c r="L118" s="15">
        <f>IF(OR(L117="",H117=""),"",IF(H117&lt;=0,"",IFERROR(L117/H117-1,"")))</f>
        <v/>
      </c>
      <c r="M118" s="15">
        <f>IF(OR(M117="",I117=""),"",IF(I117&lt;=0,"",IFERROR(M117/I117-1,"")))</f>
        <v/>
      </c>
      <c r="N118" s="15">
        <f>IF(OR(N117="",J117=""),"",IF(J117&lt;=0,"",IFERROR(N117/J117-1,"")))</f>
        <v/>
      </c>
      <c r="T118" s="15">
        <f>IF(OR(T117="",S117=""),"",IF(S117&lt;=0,"",IFERROR(T117/S117-1,"")))</f>
        <v/>
      </c>
      <c r="U118" s="15">
        <f>IF(OR(U117="",T117=""),"",IF(T117&lt;=0,"",IFERROR(U117/T117-1,"")))</f>
        <v/>
      </c>
      <c r="V118" s="15">
        <f>IF(OR(V117="",U117=""),"",IF(U117&lt;=0,"",IFERROR(V117/U117-1,"")))</f>
        <v/>
      </c>
      <c r="W118" s="15">
        <f>IF(OR(W117="",V117=""),"",IF(V117&lt;=0,"",IFERROR(W117/V117-1,"")))</f>
        <v/>
      </c>
      <c r="X118" s="15">
        <f>IF(OR(X117="",W117=""),"",IF(W117&lt;=0,"",IFERROR(X117/W117-1,"")))</f>
        <v/>
      </c>
    </row>
    <row r="119">
      <c r="A119" s="18" t="inlineStr">
        <is>
          <t>법인세 등</t>
        </is>
      </c>
      <c r="C119" s="20" t="n">
        <v>11</v>
      </c>
      <c r="D119" s="20" t="n">
        <v>173</v>
      </c>
      <c r="E119" s="20" t="n">
        <v>-251</v>
      </c>
      <c r="F119" s="20" t="n">
        <v>117</v>
      </c>
      <c r="G119" s="20" t="n">
        <v>247</v>
      </c>
      <c r="H119" s="20" t="n">
        <v>167</v>
      </c>
      <c r="I119" s="20" t="n">
        <v>215</v>
      </c>
      <c r="J119" s="20" t="n">
        <v>166</v>
      </c>
      <c r="K119" s="20" t="n">
        <v>427</v>
      </c>
      <c r="L119" s="20" t="n">
        <v>429</v>
      </c>
      <c r="M119" s="20" t="n">
        <v>507</v>
      </c>
      <c r="N119" s="20" t="n">
        <v>535</v>
      </c>
      <c r="T119" s="20" t="n">
        <v>-15</v>
      </c>
      <c r="U119" s="20" t="n">
        <v>-60</v>
      </c>
      <c r="V119" s="20" t="n">
        <v>-251</v>
      </c>
      <c r="W119" s="20" t="n">
        <v>215</v>
      </c>
      <c r="X119" s="20" t="n">
        <v>507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순이익</t>
        </is>
      </c>
      <c r="C121" s="12" t="n">
        <v>616</v>
      </c>
      <c r="D121" s="12" t="n">
        <v>422</v>
      </c>
      <c r="E121" s="12" t="n">
        <v>756</v>
      </c>
      <c r="F121" s="12" t="n">
        <v>191</v>
      </c>
      <c r="G121" s="12" t="n">
        <v>543</v>
      </c>
      <c r="H121" s="12" t="n">
        <v>331</v>
      </c>
      <c r="I121" s="12" t="n">
        <v>899</v>
      </c>
      <c r="J121" s="12" t="n">
        <v>388</v>
      </c>
      <c r="K121" s="12" t="n">
        <v>912</v>
      </c>
      <c r="L121" s="12" t="n">
        <v>931</v>
      </c>
      <c r="M121" s="12" t="n">
        <v>1589</v>
      </c>
      <c r="N121" s="12" t="n">
        <v>1148</v>
      </c>
      <c r="T121" s="12" t="n">
        <v>500</v>
      </c>
      <c r="U121" s="12" t="n">
        <v>914</v>
      </c>
      <c r="V121" s="12" t="n">
        <v>756</v>
      </c>
      <c r="W121" s="12" t="n">
        <v>899</v>
      </c>
      <c r="X121" s="12" t="n">
        <v>1589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9" t="inlineStr">
        <is>
          <t>지배주주 순이익</t>
        </is>
      </c>
      <c r="C123" s="12" t="n">
        <v>616</v>
      </c>
      <c r="D123" s="12" t="n">
        <v>422</v>
      </c>
      <c r="E123" s="12" t="n">
        <v>983</v>
      </c>
      <c r="F123" s="12" t="n">
        <v>191</v>
      </c>
      <c r="G123" s="12" t="n">
        <v>543</v>
      </c>
      <c r="H123" s="12" t="n">
        <v>331</v>
      </c>
      <c r="I123" s="12" t="n">
        <v>899</v>
      </c>
      <c r="J123" s="12" t="n">
        <v>388</v>
      </c>
      <c r="K123" s="12" t="n">
        <v>912</v>
      </c>
      <c r="L123" s="12" t="n">
        <v>931</v>
      </c>
      <c r="M123" s="12" t="n">
        <v>1589</v>
      </c>
      <c r="N123" s="12" t="n">
        <v>1148</v>
      </c>
      <c r="T123" s="12" t="n">
        <v>500</v>
      </c>
      <c r="U123" s="12" t="n">
        <v>855</v>
      </c>
      <c r="V123" s="12" t="n">
        <v>983</v>
      </c>
      <c r="W123" s="12" t="n">
        <v>899</v>
      </c>
      <c r="X123" s="12" t="n">
        <v>1589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IF(OR(G123="",C123=""),"",IF(C123&lt;=0,"",IFERROR(G123/C123-1,"")))</f>
        <v/>
      </c>
      <c r="H124" s="15">
        <f>IF(OR(H123="",D123=""),"",IF(D123&lt;=0,"",IFERROR(H123/D123-1,"")))</f>
        <v/>
      </c>
      <c r="I124" s="15">
        <f>IF(OR(I123="",E123=""),"",IF(E123&lt;=0,"",IFERROR(I123/E123-1,"")))</f>
        <v/>
      </c>
      <c r="J124" s="15">
        <f>IF(OR(J123="",F123=""),"",IF(F123&lt;=0,"",IFERROR(J123/F123-1,"")))</f>
        <v/>
      </c>
      <c r="K124" s="15">
        <f>IF(OR(K123="",G123=""),"",IF(G123&lt;=0,"",IFERROR(K123/G123-1,"")))</f>
        <v/>
      </c>
      <c r="L124" s="15">
        <f>IF(OR(L123="",H123=""),"",IF(H123&lt;=0,"",IFERROR(L123/H123-1,"")))</f>
        <v/>
      </c>
      <c r="M124" s="15">
        <f>IF(OR(M123="",I123=""),"",IF(I123&lt;=0,"",IFERROR(M123/I123-1,"")))</f>
        <v/>
      </c>
      <c r="N124" s="15">
        <f>IF(OR(N123="",J123=""),"",IF(J123&lt;=0,"",IFERROR(N123/J123-1,"")))</f>
        <v/>
      </c>
      <c r="T124" s="15">
        <f>IF(OR(T123="",S123=""),"",IF(S123&lt;=0,"",IFERROR(T123/S123-1,"")))</f>
        <v/>
      </c>
      <c r="U124" s="15">
        <f>IF(OR(U123="",T123=""),"",IF(T123&lt;=0,"",IFERROR(U123/T123-1,"")))</f>
        <v/>
      </c>
      <c r="V124" s="15">
        <f>IF(OR(V123="",U123=""),"",IF(U123&lt;=0,"",IFERROR(V123/U123-1,"")))</f>
        <v/>
      </c>
      <c r="W124" s="15">
        <f>IF(OR(W123="",V123=""),"",IF(V123&lt;=0,"",IFERROR(W123/V123-1,"")))</f>
        <v/>
      </c>
      <c r="X124" s="15">
        <f>IF(OR(X123="",W123=""),"",IF(W123&lt;=0,"",IFERROR(X123/W123-1,"")))</f>
        <v/>
      </c>
    </row>
    <row r="126">
      <c r="A126" s="16" t="inlineStr">
        <is>
          <t>포괄손익 · 전 항목</t>
        </is>
      </c>
      <c r="B126" s="42" t="inlineStr">
        <is>
          <t>분기 = 3개월 단독</t>
        </is>
      </c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순이익</t>
        </is>
      </c>
      <c r="C128" s="12" t="n">
        <v>616</v>
      </c>
      <c r="D128" s="12" t="n">
        <v>422</v>
      </c>
      <c r="E128" s="12" t="n">
        <v>983</v>
      </c>
      <c r="F128" s="12" t="n">
        <v>191</v>
      </c>
      <c r="G128" s="12" t="n">
        <v>543</v>
      </c>
      <c r="H128" s="12" t="n">
        <v>331</v>
      </c>
      <c r="I128" s="12" t="n">
        <v>899</v>
      </c>
      <c r="J128" s="12" t="n">
        <v>388</v>
      </c>
      <c r="K128" s="12" t="n">
        <v>912</v>
      </c>
      <c r="L128" s="12" t="n">
        <v>931</v>
      </c>
      <c r="M128" s="12" t="n">
        <v>1589</v>
      </c>
      <c r="N128" s="12" t="n">
        <v>1148</v>
      </c>
      <c r="T128" s="12" t="n">
        <v>500</v>
      </c>
      <c r="U128" s="12" t="n">
        <v>855</v>
      </c>
      <c r="V128" s="12" t="n">
        <v>983</v>
      </c>
      <c r="W128" s="12" t="n">
        <v>899</v>
      </c>
      <c r="X128" s="12" t="n">
        <v>1589</v>
      </c>
    </row>
    <row r="129">
      <c r="A129" s="18" t="inlineStr">
        <is>
          <t>기타유가증권 평가차액</t>
        </is>
      </c>
      <c r="C129" s="20" t="n">
        <v>0</v>
      </c>
      <c r="D129" s="20" t="n">
        <v>-0</v>
      </c>
      <c r="E129" s="20" t="n">
        <v>1</v>
      </c>
      <c r="F129" s="20" t="n">
        <v>-0</v>
      </c>
      <c r="G129" s="20" t="n">
        <v>-1</v>
      </c>
      <c r="H129" s="20" t="n">
        <v>0</v>
      </c>
      <c r="I129" s="20" t="n">
        <v>0</v>
      </c>
      <c r="J129" s="20" t="n">
        <v>0</v>
      </c>
      <c r="K129" s="20" t="n">
        <v>0</v>
      </c>
      <c r="L129" s="20" t="n">
        <v>1</v>
      </c>
      <c r="M129" s="20" t="n">
        <v>0</v>
      </c>
      <c r="N129" s="20" t="n">
        <v>0</v>
      </c>
      <c r="T129" s="20" t="n">
        <v>0</v>
      </c>
      <c r="U129" s="20" t="n">
        <v>0</v>
      </c>
      <c r="V129" s="20" t="n">
        <v>1</v>
      </c>
      <c r="W129" s="20" t="n">
        <v>0</v>
      </c>
      <c r="X129" s="20" t="n">
        <v>0</v>
      </c>
    </row>
    <row r="130">
      <c r="A130" s="18" t="inlineStr">
        <is>
          <t>퇴직급여 조정액</t>
        </is>
      </c>
      <c r="C130" s="20" t="n">
        <v>-25</v>
      </c>
      <c r="D130" s="20" t="n">
        <v>-25</v>
      </c>
      <c r="E130" s="20" t="n">
        <v>202</v>
      </c>
      <c r="F130" s="20" t="n">
        <v>-11</v>
      </c>
      <c r="G130" s="20" t="n">
        <v>-11</v>
      </c>
      <c r="H130" s="20" t="n">
        <v>-12</v>
      </c>
      <c r="I130" s="20" t="n">
        <v>-161</v>
      </c>
      <c r="J130" s="20" t="n">
        <v>-15</v>
      </c>
      <c r="K130" s="20" t="n">
        <v>-15</v>
      </c>
      <c r="L130" s="20" t="n">
        <v>-13</v>
      </c>
      <c r="M130" s="20" t="n">
        <v>452</v>
      </c>
      <c r="N130" s="20" t="n">
        <v>-23</v>
      </c>
      <c r="T130" s="20" t="n">
        <v>-108</v>
      </c>
      <c r="U130" s="20" t="n">
        <v>-338</v>
      </c>
      <c r="V130" s="20" t="n">
        <v>202</v>
      </c>
      <c r="W130" s="20" t="n">
        <v>-161</v>
      </c>
      <c r="X130" s="20" t="n">
        <v>452</v>
      </c>
    </row>
    <row r="131">
      <c r="A131" s="18" t="inlineStr">
        <is>
          <t>기타포괄손익 합계</t>
        </is>
      </c>
      <c r="C131" s="20" t="n">
        <v>-25</v>
      </c>
      <c r="D131" s="20" t="n">
        <v>-25</v>
      </c>
      <c r="E131" s="20" t="n">
        <v>203</v>
      </c>
      <c r="F131" s="20" t="n">
        <v>-12</v>
      </c>
      <c r="G131" s="20" t="n">
        <v>-12</v>
      </c>
      <c r="H131" s="20" t="n">
        <v>-11</v>
      </c>
      <c r="I131" s="20" t="n">
        <v>-191</v>
      </c>
      <c r="J131" s="20" t="n">
        <v>-14</v>
      </c>
      <c r="K131" s="20" t="n">
        <v>-15</v>
      </c>
      <c r="L131" s="20" t="n">
        <v>-13</v>
      </c>
      <c r="M131" s="20" t="n">
        <v>453</v>
      </c>
      <c r="N131" s="20" t="n">
        <v>-22</v>
      </c>
      <c r="T131" s="20" t="n">
        <v>-107</v>
      </c>
      <c r="U131" s="20" t="n">
        <v>-337</v>
      </c>
      <c r="V131" s="20" t="n">
        <v>203</v>
      </c>
      <c r="W131" s="20" t="n">
        <v>-191</v>
      </c>
      <c r="X131" s="20" t="n">
        <v>453</v>
      </c>
    </row>
    <row r="132">
      <c r="A132" s="9" t="inlineStr">
        <is>
          <t>포괄이익</t>
        </is>
      </c>
      <c r="C132" s="12" t="n">
        <v>592</v>
      </c>
      <c r="D132" s="12" t="n">
        <v>396</v>
      </c>
      <c r="E132" s="12" t="n">
        <v>1188</v>
      </c>
      <c r="F132" s="12" t="n">
        <v>178</v>
      </c>
      <c r="G132" s="12" t="n">
        <v>532</v>
      </c>
      <c r="H132" s="12" t="n">
        <v>320</v>
      </c>
      <c r="I132" s="12" t="n">
        <v>707</v>
      </c>
      <c r="J132" s="12" t="n">
        <v>373</v>
      </c>
      <c r="K132" s="12" t="n">
        <v>897</v>
      </c>
      <c r="L132" s="12" t="n">
        <v>919</v>
      </c>
      <c r="M132" s="12" t="n">
        <v>2042</v>
      </c>
      <c r="N132" s="12" t="n">
        <v>1125</v>
      </c>
      <c r="T132" s="12" t="n">
        <v>392</v>
      </c>
      <c r="U132" s="12" t="n">
        <v>517</v>
      </c>
      <c r="V132" s="12" t="n">
        <v>1188</v>
      </c>
      <c r="W132" s="12" t="n">
        <v>707</v>
      </c>
      <c r="X132" s="12" t="n">
        <v>2042</v>
      </c>
    </row>
    <row r="133">
      <c r="A133" s="9" t="inlineStr">
        <is>
          <t>지배주주 포괄이익</t>
        </is>
      </c>
      <c r="C133" s="12" t="n">
        <v>592</v>
      </c>
      <c r="D133" s="12" t="n">
        <v>396</v>
      </c>
      <c r="E133" s="12" t="n">
        <v>1188</v>
      </c>
      <c r="F133" s="12" t="n">
        <v>178</v>
      </c>
      <c r="G133" s="12" t="n">
        <v>532</v>
      </c>
      <c r="H133" s="12" t="n">
        <v>320</v>
      </c>
      <c r="I133" s="12" t="n">
        <v>707</v>
      </c>
      <c r="J133" s="12" t="n">
        <v>373</v>
      </c>
      <c r="K133" s="12" t="n">
        <v>897</v>
      </c>
      <c r="L133" s="12" t="n">
        <v>919</v>
      </c>
      <c r="M133" s="12" t="n">
        <v>2042</v>
      </c>
      <c r="N133" s="12" t="n">
        <v>1125</v>
      </c>
      <c r="T133" s="12" t="n">
        <v>392</v>
      </c>
      <c r="U133" s="12" t="n">
        <v>517</v>
      </c>
      <c r="V133" s="12" t="n">
        <v>1188</v>
      </c>
      <c r="W133" s="12" t="n">
        <v>707</v>
      </c>
      <c r="X133" s="12" t="n">
        <v>2042</v>
      </c>
    </row>
    <row r="134">
      <c r="A134" s="9" t="inlineStr">
        <is>
          <t>비지배주주 포괄이익</t>
        </is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</row>
    <row r="136">
      <c r="A136" s="16" t="inlineStr">
        <is>
          <t>부문 · 전 항목</t>
        </is>
      </c>
      <c r="B136" s="42" t="inlineStr">
        <is>
          <t>부문 · 항목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2024.2Q</t>
        </is>
      </c>
      <c r="D137" s="5" t="inlineStr">
        <is>
          <t>2024.3Q</t>
        </is>
      </c>
      <c r="E137" s="5" t="inlineStr">
        <is>
          <t>2024.4Q</t>
        </is>
      </c>
      <c r="F137" s="5" t="inlineStr">
        <is>
          <t>2025.1Q</t>
        </is>
      </c>
      <c r="G137" s="5" t="inlineStr">
        <is>
          <t>2025.2Q</t>
        </is>
      </c>
      <c r="H137" s="5" t="inlineStr">
        <is>
          <t>2025.3Q</t>
        </is>
      </c>
      <c r="I137" s="5" t="inlineStr">
        <is>
          <t>2025.4Q</t>
        </is>
      </c>
      <c r="J137" s="5" t="inlineStr">
        <is>
          <t>2026.1Q</t>
        </is>
      </c>
      <c r="K137" s="5" t="inlineStr">
        <is>
          <t>2026.2Q</t>
        </is>
      </c>
      <c r="L137" s="5" t="inlineStr">
        <is>
          <t>2026.3Q</t>
        </is>
      </c>
      <c r="M137" s="5" t="inlineStr">
        <is>
          <t>2026.4Q</t>
        </is>
      </c>
      <c r="N137" s="5" t="inlineStr">
        <is>
          <t>2027.1Q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18" t="inlineStr">
        <is>
          <t>부문 · 외부 고객 매출</t>
        </is>
      </c>
      <c r="C138" s="20" t="n">
        <v>4064</v>
      </c>
      <c r="D138" s="20" t="n">
        <v>3804</v>
      </c>
      <c r="F138" s="20" t="n">
        <v>3341</v>
      </c>
      <c r="G138" s="20" t="n">
        <v>3729</v>
      </c>
      <c r="H138" s="20" t="n">
        <v>3860</v>
      </c>
      <c r="I138" s="20" t="n">
        <v>5101</v>
      </c>
      <c r="J138" s="20" t="n">
        <v>4019</v>
      </c>
      <c r="K138" s="20" t="n">
        <v>6139</v>
      </c>
      <c r="L138" s="20" t="n">
        <v>5844</v>
      </c>
      <c r="M138" s="20" t="n">
        <v>7856</v>
      </c>
      <c r="N138" s="20" t="n">
        <v>7240</v>
      </c>
      <c r="W138" s="20" t="n">
        <v>5101</v>
      </c>
      <c r="X138" s="20" t="n">
        <v>7856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0">
      <c r="A140" s="18" t="inlineStr">
        <is>
          <t>부문 · 외부 고객 매출</t>
        </is>
      </c>
      <c r="C140" s="20" t="n">
        <v>1000</v>
      </c>
      <c r="D140" s="20" t="n">
        <v>779</v>
      </c>
      <c r="F140" s="20" t="n">
        <v>745</v>
      </c>
      <c r="G140" s="20" t="n">
        <v>1290</v>
      </c>
      <c r="H140" s="20" t="n">
        <v>705</v>
      </c>
      <c r="I140" s="20" t="n">
        <v>1351</v>
      </c>
      <c r="J140" s="20" t="n">
        <v>1017</v>
      </c>
      <c r="K140" s="20" t="n">
        <v>1528</v>
      </c>
      <c r="L140" s="20" t="n">
        <v>1179</v>
      </c>
      <c r="M140" s="20" t="n">
        <v>1611</v>
      </c>
      <c r="N140" s="20" t="n">
        <v>1064</v>
      </c>
      <c r="W140" s="20" t="n">
        <v>1351</v>
      </c>
      <c r="X140" s="20" t="n">
        <v>1611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18" t="inlineStr">
        <is>
          <t>보고부문 합계 · 외부 고객 매출</t>
        </is>
      </c>
      <c r="F142" s="20" t="n">
        <v>4087</v>
      </c>
      <c r="G142" s="20" t="n">
        <v>5019</v>
      </c>
      <c r="H142" s="20" t="n">
        <v>4564</v>
      </c>
      <c r="I142" s="20" t="n">
        <v>6452</v>
      </c>
      <c r="J142" s="20" t="n">
        <v>5037</v>
      </c>
      <c r="K142" s="20" t="n">
        <v>7666</v>
      </c>
      <c r="L142" s="20" t="n">
        <v>7023</v>
      </c>
      <c r="M142" s="20" t="n">
        <v>9468</v>
      </c>
      <c r="N142" s="20" t="n">
        <v>8304</v>
      </c>
      <c r="W142" s="20" t="n">
        <v>6452</v>
      </c>
      <c r="X142" s="20" t="n">
        <v>9468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조정액 · 외부 고객 매출</t>
        </is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W144" s="20" t="n">
        <v>0</v>
      </c>
      <c r="X144" s="20" t="n">
        <v>0</v>
      </c>
    </row>
    <row r="145">
      <c r="A145" s="9" t="inlineStr">
        <is>
          <t>외부 고객 매출</t>
        </is>
      </c>
      <c r="C145" s="12" t="n">
        <v>5064</v>
      </c>
      <c r="D145" s="12" t="n">
        <v>4584</v>
      </c>
      <c r="F145" s="12" t="n">
        <v>4087</v>
      </c>
      <c r="G145" s="12" t="n">
        <v>5019</v>
      </c>
      <c r="H145" s="12" t="n">
        <v>4564</v>
      </c>
      <c r="I145" s="12" t="n">
        <v>6452</v>
      </c>
      <c r="J145" s="12" t="n">
        <v>5037</v>
      </c>
      <c r="K145" s="12" t="n">
        <v>7666</v>
      </c>
      <c r="L145" s="12" t="n">
        <v>7023</v>
      </c>
      <c r="M145" s="12" t="n">
        <v>9468</v>
      </c>
      <c r="N145" s="12" t="n">
        <v>8304</v>
      </c>
      <c r="W145" s="12" t="n">
        <v>6452</v>
      </c>
      <c r="X145" s="12" t="n">
        <v>9468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부문 · 부문 간 내부매출·대체</t>
        </is>
      </c>
      <c r="C147" s="20" t="n">
        <v>0</v>
      </c>
      <c r="D147" s="20" t="n">
        <v>0</v>
      </c>
      <c r="F147" s="20" t="n">
        <v>0</v>
      </c>
      <c r="G147" s="20" t="n">
        <v>0</v>
      </c>
      <c r="H147" s="20" t="n">
        <v>0</v>
      </c>
      <c r="I147" s="20" t="n">
        <v>0</v>
      </c>
      <c r="J147" s="20" t="n">
        <v>0</v>
      </c>
      <c r="K147" s="20" t="n">
        <v>0</v>
      </c>
      <c r="L147" s="20" t="n">
        <v>0</v>
      </c>
      <c r="M147" s="20" t="n">
        <v>0</v>
      </c>
      <c r="N147" s="20" t="n">
        <v>0</v>
      </c>
      <c r="W147" s="20" t="n">
        <v>0</v>
      </c>
      <c r="X147" s="20" t="n">
        <v>0</v>
      </c>
    </row>
    <row r="148">
      <c r="A148" s="18" t="inlineStr">
        <is>
          <t>부문 · 부문 간 내부매출·대체</t>
        </is>
      </c>
      <c r="C148" s="20" t="n">
        <v>0</v>
      </c>
      <c r="D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29</v>
      </c>
      <c r="K148" s="20" t="n">
        <v>51</v>
      </c>
      <c r="L148" s="20" t="n">
        <v>46</v>
      </c>
      <c r="M148" s="20" t="n">
        <v>47</v>
      </c>
      <c r="N148" s="20" t="n">
        <v>21</v>
      </c>
      <c r="W148" s="20" t="n">
        <v>0</v>
      </c>
      <c r="X148" s="20" t="n">
        <v>47</v>
      </c>
    </row>
    <row r="149">
      <c r="A149" s="18" t="inlineStr">
        <is>
          <t>보고부문 합계 · 부문 간 내부매출·대체</t>
        </is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29</v>
      </c>
      <c r="K149" s="20" t="n">
        <v>51</v>
      </c>
      <c r="L149" s="20" t="n">
        <v>46</v>
      </c>
      <c r="M149" s="20" t="n">
        <v>47</v>
      </c>
      <c r="N149" s="20" t="n">
        <v>21</v>
      </c>
      <c r="W149" s="20" t="n">
        <v>0</v>
      </c>
      <c r="X149" s="20" t="n">
        <v>47</v>
      </c>
    </row>
    <row r="150">
      <c r="A150" s="18" t="inlineStr">
        <is>
          <t>조정액 · 부문 간 내부매출·대체</t>
        </is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-29</v>
      </c>
      <c r="K150" s="20" t="n">
        <v>-51</v>
      </c>
      <c r="L150" s="20" t="n">
        <v>-46</v>
      </c>
      <c r="M150" s="20" t="n">
        <v>-47</v>
      </c>
      <c r="N150" s="20" t="n">
        <v>-21</v>
      </c>
      <c r="W150" s="20" t="n">
        <v>0</v>
      </c>
      <c r="X150" s="20" t="n">
        <v>-47</v>
      </c>
    </row>
    <row r="151">
      <c r="A151" s="18" t="inlineStr">
        <is>
          <t>부문 간 내부매출·대체</t>
        </is>
      </c>
      <c r="C151" s="20" t="n">
        <v>0</v>
      </c>
      <c r="D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0" t="n">
        <v>0</v>
      </c>
      <c r="W151" s="20" t="n">
        <v>0</v>
      </c>
      <c r="X151" s="20" t="n">
        <v>0</v>
      </c>
    </row>
    <row r="152">
      <c r="A152" s="18" t="inlineStr">
        <is>
          <t>부문 · 계</t>
        </is>
      </c>
      <c r="C152" s="20" t="n">
        <v>4064</v>
      </c>
      <c r="D152" s="20" t="n">
        <v>3804</v>
      </c>
      <c r="F152" s="20" t="n">
        <v>3341</v>
      </c>
      <c r="G152" s="20" t="n">
        <v>3729</v>
      </c>
      <c r="H152" s="20" t="n">
        <v>3860</v>
      </c>
      <c r="I152" s="20" t="n">
        <v>5101</v>
      </c>
      <c r="J152" s="20" t="n">
        <v>4019</v>
      </c>
      <c r="K152" s="20" t="n">
        <v>6139</v>
      </c>
      <c r="L152" s="20" t="n">
        <v>5844</v>
      </c>
      <c r="M152" s="20" t="n">
        <v>7856</v>
      </c>
      <c r="N152" s="20" t="n">
        <v>7240</v>
      </c>
      <c r="W152" s="20" t="n">
        <v>5101</v>
      </c>
      <c r="X152" s="20" t="n">
        <v>7856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J153" s="15">
        <f>IF(OR(J152="",F152=""),"",IF(F152&lt;=0,"",IFERROR(J152/F152-1,"")))</f>
        <v/>
      </c>
      <c r="K153" s="15">
        <f>IF(OR(K152="",G152=""),"",IF(G152&lt;=0,"",IFERROR(K152/G152-1,"")))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N153" s="15">
        <f>IF(OR(N152="",J152=""),"",IF(J152&lt;=0,"",IFERROR(N152/J152-1,"")))</f>
        <v/>
      </c>
      <c r="W153" s="15">
        <f>IF(OR(W152="",V152=""),"",IF(V152&lt;=0,"",IFERROR(W152/V152-1,"")))</f>
        <v/>
      </c>
      <c r="X153" s="15">
        <f>IF(OR(X152="",W152=""),"",IF(W152&lt;=0,"",IFERROR(X152/W152-1,"")))</f>
        <v/>
      </c>
    </row>
    <row r="154">
      <c r="A154" s="18" t="inlineStr">
        <is>
          <t>부문 · 계</t>
        </is>
      </c>
      <c r="C154" s="20" t="n">
        <v>1000</v>
      </c>
      <c r="D154" s="20" t="n">
        <v>779</v>
      </c>
      <c r="F154" s="20" t="n">
        <v>745</v>
      </c>
      <c r="G154" s="20" t="n">
        <v>1290</v>
      </c>
      <c r="H154" s="20" t="n">
        <v>705</v>
      </c>
      <c r="I154" s="20" t="n">
        <v>1351</v>
      </c>
      <c r="J154" s="20" t="n">
        <v>1047</v>
      </c>
      <c r="K154" s="20" t="n">
        <v>1578</v>
      </c>
      <c r="L154" s="20" t="n">
        <v>1225</v>
      </c>
      <c r="M154" s="20" t="n">
        <v>1659</v>
      </c>
      <c r="N154" s="20" t="n">
        <v>1086</v>
      </c>
      <c r="W154" s="20" t="n">
        <v>1351</v>
      </c>
      <c r="X154" s="20" t="n">
        <v>1659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보고부문 합계 · 계</t>
        </is>
      </c>
      <c r="F156" s="20" t="n">
        <v>4087</v>
      </c>
      <c r="G156" s="20" t="n">
        <v>5019</v>
      </c>
      <c r="H156" s="20" t="n">
        <v>4564</v>
      </c>
      <c r="I156" s="20" t="n">
        <v>6452</v>
      </c>
      <c r="J156" s="20" t="n">
        <v>5066</v>
      </c>
      <c r="K156" s="20" t="n">
        <v>7718</v>
      </c>
      <c r="L156" s="20" t="n">
        <v>7068</v>
      </c>
      <c r="M156" s="20" t="n">
        <v>9515</v>
      </c>
      <c r="N156" s="20" t="n">
        <v>8326</v>
      </c>
      <c r="W156" s="20" t="n">
        <v>6452</v>
      </c>
      <c r="X156" s="20" t="n">
        <v>9515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조정액 · 계</t>
        </is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-29</v>
      </c>
      <c r="K158" s="20" t="n">
        <v>-51</v>
      </c>
      <c r="L158" s="20" t="n">
        <v>-46</v>
      </c>
      <c r="M158" s="20" t="n">
        <v>-47</v>
      </c>
      <c r="N158" s="20" t="n">
        <v>-21</v>
      </c>
      <c r="W158" s="20" t="n">
        <v>0</v>
      </c>
      <c r="X158" s="20" t="n">
        <v>-47</v>
      </c>
    </row>
    <row r="159">
      <c r="A159" s="9" t="inlineStr">
        <is>
          <t>계</t>
        </is>
      </c>
      <c r="C159" s="12" t="n">
        <v>5064</v>
      </c>
      <c r="D159" s="12" t="n">
        <v>4584</v>
      </c>
      <c r="F159" s="12" t="n">
        <v>4087</v>
      </c>
      <c r="G159" s="12" t="n">
        <v>5019</v>
      </c>
      <c r="H159" s="12" t="n">
        <v>4564</v>
      </c>
      <c r="I159" s="12" t="n">
        <v>6452</v>
      </c>
      <c r="J159" s="12" t="n">
        <v>5037</v>
      </c>
      <c r="K159" s="12" t="n">
        <v>7666</v>
      </c>
      <c r="L159" s="12" t="n">
        <v>7023</v>
      </c>
      <c r="M159" s="12" t="n">
        <v>9468</v>
      </c>
      <c r="N159" s="12" t="n">
        <v>8304</v>
      </c>
      <c r="W159" s="12" t="n">
        <v>6452</v>
      </c>
      <c r="X159" s="12" t="n">
        <v>9468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부문 · 부문 이익</t>
        </is>
      </c>
      <c r="C161" s="20" t="n">
        <v>693</v>
      </c>
      <c r="D161" s="20" t="n">
        <v>723</v>
      </c>
      <c r="F161" s="20" t="n">
        <v>513</v>
      </c>
      <c r="G161" s="20" t="n">
        <v>755</v>
      </c>
      <c r="H161" s="20" t="n">
        <v>718</v>
      </c>
      <c r="I161" s="20" t="n">
        <v>1060</v>
      </c>
      <c r="J161" s="20" t="n">
        <v>554</v>
      </c>
      <c r="K161" s="20" t="n">
        <v>1256</v>
      </c>
      <c r="L161" s="20" t="n">
        <v>1360</v>
      </c>
      <c r="M161" s="20" t="n">
        <v>1926</v>
      </c>
      <c r="N161" s="20" t="n">
        <v>1742</v>
      </c>
      <c r="W161" s="20" t="n">
        <v>1060</v>
      </c>
      <c r="X161" s="20" t="n">
        <v>1926</v>
      </c>
    </row>
    <row r="162">
      <c r="A162" s="43" t="inlineStr">
        <is>
          <t>OPM</t>
        </is>
      </c>
      <c r="B162" s="3" t="inlineStr">
        <is>
          <t>영업이익 ÷ 매출</t>
        </is>
      </c>
      <c r="C162" s="15">
        <f>IF(OR(C161="",C152=""),"",IF(C152&lt;=0,"",IFERROR(C161/C152,"")))</f>
        <v/>
      </c>
      <c r="D162" s="15">
        <f>IF(OR(D161="",D152=""),"",IF(D152&lt;=0,"",IFERROR(D161/D152,"")))</f>
        <v/>
      </c>
      <c r="F162" s="15">
        <f>IF(OR(F161="",F152=""),"",IF(F152&lt;=0,"",IFERROR(F161/F152,"")))</f>
        <v/>
      </c>
      <c r="G162" s="15">
        <f>IF(OR(G161="",G152=""),"",IF(G152&lt;=0,"",IFERROR(G161/G152,"")))</f>
        <v/>
      </c>
      <c r="H162" s="15">
        <f>IF(OR(H161="",H152=""),"",IF(H152&lt;=0,"",IFERROR(H161/H152,"")))</f>
        <v/>
      </c>
      <c r="I162" s="15">
        <f>IF(OR(I161="",I152=""),"",IF(I152&lt;=0,"",IFERROR(I161/I152,"")))</f>
        <v/>
      </c>
      <c r="J162" s="15">
        <f>IF(OR(J161="",J152=""),"",IF(J152&lt;=0,"",IFERROR(J161/J152,"")))</f>
        <v/>
      </c>
      <c r="K162" s="15">
        <f>IF(OR(K161="",K152=""),"",IF(K152&lt;=0,"",IFERROR(K161/K152,"")))</f>
        <v/>
      </c>
      <c r="L162" s="15">
        <f>IF(OR(L161="",L152=""),"",IF(L152&lt;=0,"",IFERROR(L161/L152,"")))</f>
        <v/>
      </c>
      <c r="M162" s="15">
        <f>IF(OR(M161="",M152=""),"",IF(M152&lt;=0,"",IFERROR(M161/M152,"")))</f>
        <v/>
      </c>
      <c r="N162" s="15">
        <f>IF(OR(N161="",N152=""),"",IF(N152&lt;=0,"",IFERROR(N161/N152,"")))</f>
        <v/>
      </c>
      <c r="W162" s="15">
        <f>IF(OR(W161="",W152=""),"",IF(W152&lt;=0,"",IFERROR(W161/W152,"")))</f>
        <v/>
      </c>
      <c r="X162" s="15">
        <f>IF(OR(X161="",X152=""),"",IF(X152&lt;=0,"",IFERROR(X161/X152,"")))</f>
        <v/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IF(OR(G161="",C161=""),"",IF(C161&lt;=0,"",IFERROR(G161/C161-1,"")))</f>
        <v/>
      </c>
      <c r="H163" s="15">
        <f>IF(OR(H161="",D161=""),"",IF(D161&lt;=0,"",IFERROR(H161/D161-1,"")))</f>
        <v/>
      </c>
      <c r="I163" s="15">
        <f>IF(OR(I161="",E161=""),"",IF(E161&lt;=0,"",IFERROR(I161/E161-1,"")))</f>
        <v/>
      </c>
      <c r="J163" s="15">
        <f>IF(OR(J161="",F161=""),"",IF(F161&lt;=0,"",IFERROR(J161/F161-1,"")))</f>
        <v/>
      </c>
      <c r="K163" s="15">
        <f>IF(OR(K161="",G161=""),"",IF(G161&lt;=0,"",IFERROR(K161/G161-1,"")))</f>
        <v/>
      </c>
      <c r="L163" s="15">
        <f>IF(OR(L161="",H161=""),"",IF(H161&lt;=0,"",IFERROR(L161/H161-1,"")))</f>
        <v/>
      </c>
      <c r="M163" s="15">
        <f>IF(OR(M161="",I161=""),"",IF(I161&lt;=0,"",IFERROR(M161/I161-1,"")))</f>
        <v/>
      </c>
      <c r="N163" s="15">
        <f>IF(OR(N161="",J161=""),"",IF(J161&lt;=0,"",IFERROR(N161/J161-1,"")))</f>
        <v/>
      </c>
      <c r="W163" s="15">
        <f>IF(OR(W161="",V161=""),"",IF(V161&lt;=0,"",IFERROR(W161/V161-1,"")))</f>
        <v/>
      </c>
      <c r="X163" s="15">
        <f>IF(OR(X161="",W161=""),"",IF(W161&lt;=0,"",IFERROR(X161/W161-1,"")))</f>
        <v/>
      </c>
    </row>
    <row r="164">
      <c r="A164" s="18" t="inlineStr">
        <is>
          <t>부문 · 부문 이익</t>
        </is>
      </c>
      <c r="C164" s="20" t="n">
        <v>-58</v>
      </c>
      <c r="D164" s="20" t="n">
        <v>-124</v>
      </c>
      <c r="F164" s="20" t="n">
        <v>-188</v>
      </c>
      <c r="G164" s="20" t="n">
        <v>69</v>
      </c>
      <c r="H164" s="20" t="n">
        <v>-202</v>
      </c>
      <c r="I164" s="20" t="n">
        <v>71</v>
      </c>
      <c r="J164" s="20" t="n">
        <v>27</v>
      </c>
      <c r="K164" s="20" t="n">
        <v>140</v>
      </c>
      <c r="L164" s="20" t="n">
        <v>34</v>
      </c>
      <c r="M164" s="20" t="n">
        <v>218</v>
      </c>
      <c r="N164" s="20" t="n">
        <v>-15</v>
      </c>
      <c r="W164" s="20" t="n">
        <v>71</v>
      </c>
      <c r="X164" s="20" t="n">
        <v>218</v>
      </c>
    </row>
    <row r="165">
      <c r="A165" s="43" t="inlineStr">
        <is>
          <t>OPM</t>
        </is>
      </c>
      <c r="B165" s="3" t="inlineStr">
        <is>
          <t>영업이익 ÷ 매출</t>
        </is>
      </c>
      <c r="C165" s="15">
        <f>IF(OR(C164="",C154=""),"",IF(C154&lt;=0,"",IFERROR(C164/C154,"")))</f>
        <v/>
      </c>
      <c r="D165" s="15">
        <f>IF(OR(D164="",D154=""),"",IF(D154&lt;=0,"",IFERROR(D164/D154,"")))</f>
        <v/>
      </c>
      <c r="F165" s="15">
        <f>IF(OR(F164="",F154=""),"",IF(F154&lt;=0,"",IFERROR(F164/F154,"")))</f>
        <v/>
      </c>
      <c r="G165" s="15">
        <f>IF(OR(G164="",G154=""),"",IF(G154&lt;=0,"",IFERROR(G164/G154,"")))</f>
        <v/>
      </c>
      <c r="H165" s="15">
        <f>IF(OR(H164="",H154=""),"",IF(H154&lt;=0,"",IFERROR(H164/H154,"")))</f>
        <v/>
      </c>
      <c r="I165" s="15">
        <f>IF(OR(I164="",I154=""),"",IF(I154&lt;=0,"",IFERROR(I164/I154,"")))</f>
        <v/>
      </c>
      <c r="J165" s="15">
        <f>IF(OR(J164="",J154=""),"",IF(J154&lt;=0,"",IFERROR(J164/J154,"")))</f>
        <v/>
      </c>
      <c r="K165" s="15">
        <f>IF(OR(K164="",K154=""),"",IF(K154&lt;=0,"",IFERROR(K164/K154,"")))</f>
        <v/>
      </c>
      <c r="L165" s="15">
        <f>IF(OR(L164="",L154=""),"",IF(L154&lt;=0,"",IFERROR(L164/L154,"")))</f>
        <v/>
      </c>
      <c r="M165" s="15">
        <f>IF(OR(M164="",M154=""),"",IF(M154&lt;=0,"",IFERROR(M164/M154,"")))</f>
        <v/>
      </c>
      <c r="N165" s="15">
        <f>IF(OR(N164="",N154=""),"",IF(N154&lt;=0,"",IFERROR(N164/N154,"")))</f>
        <v/>
      </c>
      <c r="W165" s="15">
        <f>IF(OR(W164="",W154=""),"",IF(W154&lt;=0,"",IFERROR(W164/W154,"")))</f>
        <v/>
      </c>
      <c r="X165" s="15">
        <f>IF(OR(X164="",X154=""),"",IF(X154&lt;=0,"",IFERROR(X164/X154,"")))</f>
        <v/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IF(OR(G164="",C164=""),"",IF(C164&lt;=0,"",IFERROR(G164/C164-1,"")))</f>
        <v/>
      </c>
      <c r="H166" s="15">
        <f>IF(OR(H164="",D164=""),"",IF(D164&lt;=0,"",IFERROR(H164/D164-1,"")))</f>
        <v/>
      </c>
      <c r="I166" s="15">
        <f>IF(OR(I164="",E164=""),"",IF(E164&lt;=0,"",IFERROR(I164/E164-1,"")))</f>
        <v/>
      </c>
      <c r="J166" s="15">
        <f>IF(OR(J164="",F164=""),"",IF(F164&lt;=0,"",IFERROR(J164/F164-1,"")))</f>
        <v/>
      </c>
      <c r="K166" s="15">
        <f>IF(OR(K164="",G164=""),"",IF(G164&lt;=0,"",IFERROR(K164/G164-1,"")))</f>
        <v/>
      </c>
      <c r="L166" s="15">
        <f>IF(OR(L164="",H164=""),"",IF(H164&lt;=0,"",IFERROR(L164/H164-1,"")))</f>
        <v/>
      </c>
      <c r="M166" s="15">
        <f>IF(OR(M164="",I164=""),"",IF(I164&lt;=0,"",IFERROR(M164/I164-1,"")))</f>
        <v/>
      </c>
      <c r="N166" s="15">
        <f>IF(OR(N164="",J164=""),"",IF(J164&lt;=0,"",IFERROR(N164/J164-1,"")))</f>
        <v/>
      </c>
      <c r="W166" s="15">
        <f>IF(OR(W164="",V164=""),"",IF(V164&lt;=0,"",IFERROR(W164/V164-1,"")))</f>
        <v/>
      </c>
      <c r="X166" s="15">
        <f>IF(OR(X164="",W164=""),"",IF(W164&lt;=0,"",IFERROR(X164/W164-1,"")))</f>
        <v/>
      </c>
    </row>
    <row r="167">
      <c r="A167" s="18" t="inlineStr">
        <is>
          <t>보고부문 합계 · 부문 이익</t>
        </is>
      </c>
      <c r="F167" s="20" t="n">
        <v>325</v>
      </c>
      <c r="G167" s="20" t="n">
        <v>823</v>
      </c>
      <c r="H167" s="20" t="n">
        <v>517</v>
      </c>
      <c r="I167" s="20" t="n">
        <v>1131</v>
      </c>
      <c r="J167" s="20" t="n">
        <v>582</v>
      </c>
      <c r="K167" s="20" t="n">
        <v>1395</v>
      </c>
      <c r="L167" s="20" t="n">
        <v>1394</v>
      </c>
      <c r="M167" s="20" t="n">
        <v>2144</v>
      </c>
      <c r="N167" s="20" t="n">
        <v>1727</v>
      </c>
      <c r="W167" s="20" t="n">
        <v>1131</v>
      </c>
      <c r="X167" s="20" t="n">
        <v>2144</v>
      </c>
    </row>
    <row r="168">
      <c r="A168" s="43" t="inlineStr">
        <is>
          <t>OPM</t>
        </is>
      </c>
      <c r="B168" s="3" t="inlineStr">
        <is>
          <t>영업이익 ÷ 매출</t>
        </is>
      </c>
      <c r="F168" s="15">
        <f>IF(OR(F167="",F156=""),"",IF(F156&lt;=0,"",IFERROR(F167/F156,"")))</f>
        <v/>
      </c>
      <c r="G168" s="15">
        <f>IF(OR(G167="",G156=""),"",IF(G156&lt;=0,"",IFERROR(G167/G156,"")))</f>
        <v/>
      </c>
      <c r="H168" s="15">
        <f>IF(OR(H167="",H156=""),"",IF(H156&lt;=0,"",IFERROR(H167/H156,"")))</f>
        <v/>
      </c>
      <c r="I168" s="15">
        <f>IF(OR(I167="",I156=""),"",IF(I156&lt;=0,"",IFERROR(I167/I156,"")))</f>
        <v/>
      </c>
      <c r="J168" s="15">
        <f>IF(OR(J167="",J156=""),"",IF(J156&lt;=0,"",IFERROR(J167/J156,"")))</f>
        <v/>
      </c>
      <c r="K168" s="15">
        <f>IF(OR(K167="",K156=""),"",IF(K156&lt;=0,"",IFERROR(K167/K156,"")))</f>
        <v/>
      </c>
      <c r="L168" s="15">
        <f>IF(OR(L167="",L156=""),"",IF(L156&lt;=0,"",IFERROR(L167/L156,"")))</f>
        <v/>
      </c>
      <c r="M168" s="15">
        <f>IF(OR(M167="",M156=""),"",IF(M156&lt;=0,"",IFERROR(M167/M156,"")))</f>
        <v/>
      </c>
      <c r="N168" s="15">
        <f>IF(OR(N167="",N156=""),"",IF(N156&lt;=0,"",IFERROR(N167/N156,"")))</f>
        <v/>
      </c>
      <c r="W168" s="15">
        <f>IF(OR(W167="",W156=""),"",IF(W156&lt;=0,"",IFERROR(W167/W156,"")))</f>
        <v/>
      </c>
      <c r="X168" s="15">
        <f>IF(OR(X167="",X156=""),"",IF(X156&lt;=0,"",IFERROR(X167/X156,"")))</f>
        <v/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IF(OR(G167="",C167=""),"",IF(C167&lt;=0,"",IFERROR(G167/C167-1,"")))</f>
        <v/>
      </c>
      <c r="H169" s="15">
        <f>IF(OR(H167="",D167=""),"",IF(D167&lt;=0,"",IFERROR(H167/D167-1,"")))</f>
        <v/>
      </c>
      <c r="I169" s="15">
        <f>IF(OR(I167="",E167=""),"",IF(E167&lt;=0,"",IFERROR(I167/E167-1,"")))</f>
        <v/>
      </c>
      <c r="J169" s="15">
        <f>IF(OR(J167="",F167=""),"",IF(F167&lt;=0,"",IFERROR(J167/F167-1,"")))</f>
        <v/>
      </c>
      <c r="K169" s="15">
        <f>IF(OR(K167="",G167=""),"",IF(G167&lt;=0,"",IFERROR(K167/G167-1,"")))</f>
        <v/>
      </c>
      <c r="L169" s="15">
        <f>IF(OR(L167="",H167=""),"",IF(H167&lt;=0,"",IFERROR(L167/H167-1,"")))</f>
        <v/>
      </c>
      <c r="M169" s="15">
        <f>IF(OR(M167="",I167=""),"",IF(I167&lt;=0,"",IFERROR(M167/I167-1,"")))</f>
        <v/>
      </c>
      <c r="N169" s="15">
        <f>IF(OR(N167="",J167=""),"",IF(J167&lt;=0,"",IFERROR(N167/J167-1,"")))</f>
        <v/>
      </c>
      <c r="W169" s="15">
        <f>IF(OR(W167="",V167=""),"",IF(V167&lt;=0,"",IFERROR(W167/V167-1,"")))</f>
        <v/>
      </c>
      <c r="X169" s="15">
        <f>IF(OR(X167="",W167=""),"",IF(W167&lt;=0,"",IFERROR(X167/W167-1,"")))</f>
        <v/>
      </c>
    </row>
    <row r="170">
      <c r="A170" s="18" t="inlineStr">
        <is>
          <t>조정액 · 부문 이익</t>
        </is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0</v>
      </c>
      <c r="K170" s="20" t="n">
        <v>0</v>
      </c>
      <c r="L170" s="20" t="n">
        <v>0</v>
      </c>
      <c r="M170" s="20" t="n">
        <v>0</v>
      </c>
      <c r="N170" s="20" t="n">
        <v>0</v>
      </c>
      <c r="W170" s="20" t="n">
        <v>0</v>
      </c>
      <c r="X170" s="20" t="n">
        <v>0</v>
      </c>
    </row>
    <row r="171">
      <c r="A171" s="9" t="inlineStr">
        <is>
          <t>부문 이익</t>
        </is>
      </c>
      <c r="C171" s="12" t="n">
        <v>635</v>
      </c>
      <c r="D171" s="12" t="n">
        <v>599</v>
      </c>
      <c r="F171" s="12" t="n">
        <v>325</v>
      </c>
      <c r="G171" s="12" t="n">
        <v>823</v>
      </c>
      <c r="H171" s="12" t="n">
        <v>517</v>
      </c>
      <c r="I171" s="12" t="n">
        <v>1131</v>
      </c>
      <c r="J171" s="12" t="n">
        <v>582</v>
      </c>
      <c r="K171" s="12" t="n">
        <v>1395</v>
      </c>
      <c r="L171" s="12" t="n">
        <v>1394</v>
      </c>
      <c r="M171" s="12" t="n">
        <v>2144</v>
      </c>
      <c r="N171" s="12" t="n">
        <v>1727</v>
      </c>
      <c r="W171" s="12" t="n">
        <v>1131</v>
      </c>
      <c r="X171" s="12" t="n">
        <v>2144</v>
      </c>
    </row>
    <row r="172">
      <c r="A172" s="43" t="inlineStr">
        <is>
          <t>OPM</t>
        </is>
      </c>
      <c r="B172" s="3" t="inlineStr">
        <is>
          <t>영업이익 ÷ 매출</t>
        </is>
      </c>
      <c r="C172" s="15">
        <f>IF(OR(C171="",C145=""),"",IF(C145&lt;=0,"",IFERROR(C171/C145,"")))</f>
        <v/>
      </c>
      <c r="D172" s="15">
        <f>IF(OR(D171="",D145=""),"",IF(D145&lt;=0,"",IFERROR(D171/D145,"")))</f>
        <v/>
      </c>
      <c r="F172" s="15">
        <f>IF(OR(F171="",F145=""),"",IF(F145&lt;=0,"",IFERROR(F171/F145,"")))</f>
        <v/>
      </c>
      <c r="G172" s="15">
        <f>IF(OR(G171="",G145=""),"",IF(G145&lt;=0,"",IFERROR(G171/G145,"")))</f>
        <v/>
      </c>
      <c r="H172" s="15">
        <f>IF(OR(H171="",H145=""),"",IF(H145&lt;=0,"",IFERROR(H171/H145,"")))</f>
        <v/>
      </c>
      <c r="I172" s="15">
        <f>IF(OR(I171="",I145=""),"",IF(I145&lt;=0,"",IFERROR(I171/I145,"")))</f>
        <v/>
      </c>
      <c r="J172" s="15">
        <f>IF(OR(J171="",J145=""),"",IF(J145&lt;=0,"",IFERROR(J171/J145,"")))</f>
        <v/>
      </c>
      <c r="K172" s="15">
        <f>IF(OR(K171="",K145=""),"",IF(K145&lt;=0,"",IFERROR(K171/K145,"")))</f>
        <v/>
      </c>
      <c r="L172" s="15">
        <f>IF(OR(L171="",L145=""),"",IF(L145&lt;=0,"",IFERROR(L171/L145,"")))</f>
        <v/>
      </c>
      <c r="M172" s="15">
        <f>IF(OR(M171="",M145=""),"",IF(M145&lt;=0,"",IFERROR(M171/M145,"")))</f>
        <v/>
      </c>
      <c r="N172" s="15">
        <f>IF(OR(N171="",N145=""),"",IF(N145&lt;=0,"",IFERROR(N171/N145,"")))</f>
        <v/>
      </c>
      <c r="W172" s="15">
        <f>IF(OR(W171="",W145=""),"",IF(W145&lt;=0,"",IFERROR(W171/W145,"")))</f>
        <v/>
      </c>
      <c r="X172" s="15">
        <f>IF(OR(X171="",X145=""),"",IF(X145&lt;=0,"",IFERROR(X171/X145,"")))</f>
        <v/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IF(OR(G171="",C171=""),"",IF(C171&lt;=0,"",IFERROR(G171/C171-1,"")))</f>
        <v/>
      </c>
      <c r="H173" s="15">
        <f>IF(OR(H171="",D171=""),"",IF(D171&lt;=0,"",IFERROR(H171/D171-1,"")))</f>
        <v/>
      </c>
      <c r="I173" s="15">
        <f>IF(OR(I171="",E171=""),"",IF(E171&lt;=0,"",IFERROR(I171/E171-1,"")))</f>
        <v/>
      </c>
      <c r="J173" s="15">
        <f>IF(OR(J171="",F171=""),"",IF(F171&lt;=0,"",IFERROR(J171/F171-1,"")))</f>
        <v/>
      </c>
      <c r="K173" s="15">
        <f>IF(OR(K171="",G171=""),"",IF(G171&lt;=0,"",IFERROR(K171/G171-1,"")))</f>
        <v/>
      </c>
      <c r="L173" s="15">
        <f>IF(OR(L171="",H171=""),"",IF(H171&lt;=0,"",IFERROR(L171/H171-1,"")))</f>
        <v/>
      </c>
      <c r="M173" s="15">
        <f>IF(OR(M171="",I171=""),"",IF(I171&lt;=0,"",IFERROR(M171/I171-1,"")))</f>
        <v/>
      </c>
      <c r="N173" s="15">
        <f>IF(OR(N171="",J171=""),"",IF(J171&lt;=0,"",IFERROR(N171/J171-1,"")))</f>
        <v/>
      </c>
      <c r="W173" s="15">
        <f>IF(OR(W171="",V171=""),"",IF(V171&lt;=0,"",IFERROR(W171/V171-1,"")))</f>
        <v/>
      </c>
      <c r="X173" s="15">
        <f>IF(OR(X171="",W171=""),"",IF(W171&lt;=0,"",IFERROR(X171/W171-1,"")))</f>
        <v/>
      </c>
    </row>
    <row r="175">
      <c r="A175" s="16" t="inlineStr">
        <is>
          <t>현금흐름표 · 전 항목</t>
        </is>
      </c>
      <c r="B175" s="42" t="inlineStr">
        <is>
          <t>분기 = 결산기 첫날부터 누계(공시 그대로)</t>
        </is>
      </c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</row>
    <row r="176">
      <c r="A176" s="5" t="inlineStr">
        <is>
          <t>항목</t>
        </is>
      </c>
      <c r="B176" s="5" t="inlineStr">
        <is>
          <t>참고</t>
        </is>
      </c>
      <c r="C176" s="5" t="inlineStr">
        <is>
          <t>2024.2Q</t>
        </is>
      </c>
      <c r="D176" s="5" t="inlineStr">
        <is>
          <t>2024.3Q</t>
        </is>
      </c>
      <c r="E176" s="5" t="inlineStr">
        <is>
          <t>2024.4Q</t>
        </is>
      </c>
      <c r="F176" s="5" t="inlineStr">
        <is>
          <t>2025.1Q</t>
        </is>
      </c>
      <c r="G176" s="5" t="inlineStr">
        <is>
          <t>2025.2Q</t>
        </is>
      </c>
      <c r="H176" s="5" t="inlineStr">
        <is>
          <t>2025.3Q</t>
        </is>
      </c>
      <c r="I176" s="5" t="inlineStr">
        <is>
          <t>2025.4Q</t>
        </is>
      </c>
      <c r="J176" s="5" t="inlineStr">
        <is>
          <t>2026.1Q</t>
        </is>
      </c>
      <c r="K176" s="5" t="inlineStr">
        <is>
          <t>2026.2Q</t>
        </is>
      </c>
      <c r="L176" s="5" t="inlineStr">
        <is>
          <t>2026.3Q</t>
        </is>
      </c>
      <c r="M176" s="5" t="inlineStr">
        <is>
          <t>2026.4Q</t>
        </is>
      </c>
      <c r="N176" s="5" t="inlineStr">
        <is>
          <t>2027.1Q</t>
        </is>
      </c>
      <c r="O176" s="5" t="inlineStr">
        <is>
          <t>2017</t>
        </is>
      </c>
      <c r="P176" s="5" t="inlineStr">
        <is>
          <t>2018</t>
        </is>
      </c>
      <c r="Q176" s="5" t="inlineStr">
        <is>
          <t>2019</t>
        </is>
      </c>
      <c r="R176" s="5" t="inlineStr">
        <is>
          <t>2020</t>
        </is>
      </c>
      <c r="S176" s="5" t="inlineStr">
        <is>
          <t>2021</t>
        </is>
      </c>
      <c r="T176" s="5" t="inlineStr">
        <is>
          <t>2022</t>
        </is>
      </c>
      <c r="U176" s="5" t="inlineStr">
        <is>
          <t>2023</t>
        </is>
      </c>
      <c r="V176" s="5" t="inlineStr">
        <is>
          <t>2024</t>
        </is>
      </c>
      <c r="W176" s="5" t="inlineStr">
        <is>
          <t>2025</t>
        </is>
      </c>
      <c r="X176" s="5" t="inlineStr">
        <is>
          <t>2026</t>
        </is>
      </c>
      <c r="Y176" s="5" t="inlineStr">
        <is>
          <t>2027(MW)</t>
        </is>
      </c>
      <c r="Z176" s="5" t="inlineStr">
        <is>
          <t>2028(MW)</t>
        </is>
      </c>
      <c r="AA176" s="5" t="inlineStr">
        <is>
          <t>2029(MW)</t>
        </is>
      </c>
      <c r="AB176" s="5" t="inlineStr">
        <is>
          <t>2030(MW)</t>
        </is>
      </c>
      <c r="AC176" s="5" t="inlineStr">
        <is>
          <t>2031(MW)</t>
        </is>
      </c>
    </row>
    <row r="177">
      <c r="A177" s="9" t="inlineStr">
        <is>
          <t>법인세차감전 순이익</t>
        </is>
      </c>
      <c r="E177" s="12" t="n">
        <v>2152</v>
      </c>
      <c r="I177" s="12" t="n">
        <v>2710</v>
      </c>
      <c r="M177" s="12" t="n">
        <v>5349</v>
      </c>
      <c r="O177" s="12" t="n">
        <v>1857</v>
      </c>
      <c r="P177" s="12" t="n">
        <v>597</v>
      </c>
      <c r="Q177" s="12" t="n">
        <v>1657</v>
      </c>
      <c r="R177" s="12" t="n">
        <v>63</v>
      </c>
      <c r="S177" s="12" t="n">
        <v>937</v>
      </c>
      <c r="T177" s="12" t="n">
        <v>1781</v>
      </c>
      <c r="U177" s="12" t="n">
        <v>2003</v>
      </c>
      <c r="V177" s="12" t="n">
        <v>2152</v>
      </c>
      <c r="W177" s="12" t="n">
        <v>2710</v>
      </c>
      <c r="X177" s="12" t="n">
        <v>5349</v>
      </c>
    </row>
    <row r="178">
      <c r="A178" s="18" t="inlineStr">
        <is>
          <t>감가상각비</t>
        </is>
      </c>
      <c r="E178" s="20" t="n">
        <v>287</v>
      </c>
      <c r="I178" s="20" t="n">
        <v>478</v>
      </c>
      <c r="M178" s="20" t="n">
        <v>479</v>
      </c>
      <c r="O178" s="20" t="n">
        <v>473</v>
      </c>
      <c r="P178" s="20" t="n">
        <v>655</v>
      </c>
      <c r="Q178" s="20" t="n">
        <v>393</v>
      </c>
      <c r="R178" s="20" t="n">
        <v>259</v>
      </c>
      <c r="S178" s="20" t="n">
        <v>291</v>
      </c>
      <c r="T178" s="20" t="n">
        <v>250</v>
      </c>
      <c r="U178" s="20" t="n">
        <v>217</v>
      </c>
      <c r="V178" s="20" t="n">
        <v>287</v>
      </c>
      <c r="W178" s="20" t="n">
        <v>478</v>
      </c>
      <c r="X178" s="20" t="n">
        <v>479</v>
      </c>
    </row>
    <row r="179">
      <c r="A179" s="18" t="inlineStr">
        <is>
          <t>상여충당금 증감</t>
        </is>
      </c>
      <c r="E179" s="20" t="n">
        <v>-89</v>
      </c>
      <c r="I179" s="20" t="n">
        <v>71</v>
      </c>
      <c r="M179" s="20" t="n">
        <v>54</v>
      </c>
      <c r="O179" s="20" t="n">
        <v>0</v>
      </c>
      <c r="P179" s="20" t="n">
        <v>-24</v>
      </c>
      <c r="Q179" s="20" t="n">
        <v>-423</v>
      </c>
      <c r="R179" s="20" t="n">
        <v>157</v>
      </c>
      <c r="S179" s="20" t="n">
        <v>202</v>
      </c>
      <c r="T179" s="20" t="n">
        <v>117</v>
      </c>
      <c r="U179" s="20" t="n">
        <v>9</v>
      </c>
      <c r="V179" s="20" t="n">
        <v>-89</v>
      </c>
      <c r="W179" s="20" t="n">
        <v>71</v>
      </c>
      <c r="X179" s="20" t="n">
        <v>54</v>
      </c>
    </row>
    <row r="180">
      <c r="A180" s="18" t="inlineStr">
        <is>
          <t>퇴직급여부채 증감</t>
        </is>
      </c>
      <c r="E180" s="20" t="n">
        <v>-162</v>
      </c>
      <c r="I180" s="20" t="n">
        <v>-165</v>
      </c>
      <c r="M180" s="20" t="n">
        <v>-46</v>
      </c>
      <c r="O180" s="20" t="n">
        <v>25</v>
      </c>
      <c r="P180" s="20" t="n">
        <v>-1414</v>
      </c>
      <c r="Q180" s="20" t="n">
        <v>-181</v>
      </c>
      <c r="R180" s="20" t="n">
        <v>-168</v>
      </c>
      <c r="S180" s="20" t="n">
        <v>-554</v>
      </c>
      <c r="T180" s="20" t="n">
        <v>-127</v>
      </c>
      <c r="U180" s="20" t="n">
        <v>-144</v>
      </c>
      <c r="V180" s="20" t="n">
        <v>-162</v>
      </c>
      <c r="W180" s="20" t="n">
        <v>-165</v>
      </c>
      <c r="X180" s="20" t="n">
        <v>-46</v>
      </c>
    </row>
    <row r="181">
      <c r="A181" s="18" t="inlineStr">
        <is>
          <t>퇴직급여자산 증감</t>
        </is>
      </c>
      <c r="E181" s="20" t="n">
        <v>-88</v>
      </c>
      <c r="I181" s="20" t="n">
        <v>-96</v>
      </c>
      <c r="M181" s="20" t="n">
        <v>-94</v>
      </c>
      <c r="O181" s="20" t="n">
        <v>-118</v>
      </c>
      <c r="P181" s="20" t="n">
        <v>-78</v>
      </c>
      <c r="Q181" s="20" t="n">
        <v>-118</v>
      </c>
      <c r="R181" s="20" t="n">
        <v>-224</v>
      </c>
      <c r="S181" s="20" t="n">
        <v>-122</v>
      </c>
      <c r="T181" s="20" t="n">
        <v>-92</v>
      </c>
      <c r="U181" s="20" t="n">
        <v>-97</v>
      </c>
      <c r="V181" s="20" t="n">
        <v>-88</v>
      </c>
      <c r="W181" s="20" t="n">
        <v>-96</v>
      </c>
      <c r="X181" s="20" t="n">
        <v>-94</v>
      </c>
    </row>
    <row r="182">
      <c r="A182" s="18" t="inlineStr">
        <is>
          <t>이자·배당금 수익</t>
        </is>
      </c>
      <c r="E182" s="20" t="n">
        <v>-1</v>
      </c>
      <c r="I182" s="20" t="n">
        <v>-2</v>
      </c>
      <c r="M182" s="20" t="n">
        <v>-3</v>
      </c>
      <c r="O182" s="20" t="n">
        <v>-0</v>
      </c>
      <c r="P182" s="20" t="n">
        <v>-0</v>
      </c>
      <c r="Q182" s="20" t="n">
        <v>-0</v>
      </c>
      <c r="R182" s="20" t="n">
        <v>-0</v>
      </c>
      <c r="S182" s="20" t="n">
        <v>-0</v>
      </c>
      <c r="T182" s="20" t="n">
        <v>-0</v>
      </c>
      <c r="U182" s="20" t="n">
        <v>-0</v>
      </c>
      <c r="V182" s="20" t="n">
        <v>-1</v>
      </c>
      <c r="W182" s="20" t="n">
        <v>-2</v>
      </c>
      <c r="X182" s="20" t="n">
        <v>-3</v>
      </c>
    </row>
    <row r="183">
      <c r="A183" s="18" t="inlineStr">
        <is>
          <t>퇴직급여제도 개정 이익</t>
        </is>
      </c>
      <c r="O183" s="20" t="n">
        <v>0</v>
      </c>
      <c r="P183" s="20" t="n">
        <v>-119</v>
      </c>
      <c r="Q183" s="20" t="n">
        <v>0</v>
      </c>
    </row>
    <row r="184">
      <c r="A184" s="18" t="inlineStr">
        <is>
          <t>이자비용</t>
        </is>
      </c>
      <c r="E184" s="20" t="n">
        <v>29</v>
      </c>
      <c r="I184" s="20" t="n">
        <v>47</v>
      </c>
      <c r="M184" s="20" t="n">
        <v>104</v>
      </c>
      <c r="O184" s="20" t="n">
        <v>68</v>
      </c>
      <c r="P184" s="20" t="n">
        <v>52</v>
      </c>
      <c r="Q184" s="20" t="n">
        <v>63</v>
      </c>
      <c r="R184" s="20" t="n">
        <v>50</v>
      </c>
      <c r="S184" s="20" t="n">
        <v>49</v>
      </c>
      <c r="T184" s="20" t="n">
        <v>38</v>
      </c>
      <c r="U184" s="20" t="n">
        <v>26</v>
      </c>
      <c r="V184" s="20" t="n">
        <v>29</v>
      </c>
      <c r="W184" s="20" t="n">
        <v>47</v>
      </c>
      <c r="X184" s="20" t="n">
        <v>104</v>
      </c>
    </row>
    <row r="185">
      <c r="A185" s="18" t="inlineStr">
        <is>
          <t>보상금 수취</t>
        </is>
      </c>
      <c r="O185" s="20" t="n">
        <v>-3694</v>
      </c>
      <c r="P185" s="20" t="n">
        <v>-1477</v>
      </c>
      <c r="Q185" s="20" t="n">
        <v>-2400</v>
      </c>
      <c r="R185" s="20" t="n">
        <v>0</v>
      </c>
    </row>
    <row r="186">
      <c r="A186" s="18" t="inlineStr">
        <is>
          <t>Loss On Business Transfer Ope CF</t>
        </is>
      </c>
      <c r="O186" s="20" t="n">
        <v>1775</v>
      </c>
      <c r="P186" s="20" t="n">
        <v>231</v>
      </c>
      <c r="Q186" s="20" t="n">
        <v>0</v>
      </c>
    </row>
    <row r="187">
      <c r="A187" s="18" t="inlineStr">
        <is>
          <t>Decrease In Loss On Business Transfer Ope CF</t>
        </is>
      </c>
      <c r="O187" s="20" t="n">
        <v>-49</v>
      </c>
      <c r="P187" s="20" t="n">
        <v>-1041</v>
      </c>
      <c r="Q187" s="20" t="n">
        <v>-836</v>
      </c>
      <c r="R187" s="20" t="n">
        <v>-82</v>
      </c>
      <c r="S187" s="20" t="n">
        <v>0</v>
      </c>
    </row>
    <row r="188">
      <c r="A188" s="18" t="inlineStr">
        <is>
          <t>매출채권 증감</t>
        </is>
      </c>
      <c r="O188" s="20" t="n">
        <v>-42</v>
      </c>
      <c r="P188" s="20" t="n">
        <v>365</v>
      </c>
      <c r="Q188" s="20" t="n">
        <v>-579</v>
      </c>
      <c r="R188" s="20" t="n">
        <v>775</v>
      </c>
      <c r="S188" s="20" t="n">
        <v>-311</v>
      </c>
      <c r="T188" s="20" t="n">
        <v>2205</v>
      </c>
    </row>
    <row r="189">
      <c r="A189" s="18" t="inlineStr">
        <is>
          <t>Loss Gain On Sales Of Land Ope CF</t>
        </is>
      </c>
      <c r="E189" s="20" t="n">
        <v>0</v>
      </c>
      <c r="T189" s="20" t="n">
        <v>0</v>
      </c>
      <c r="U189" s="20" t="n">
        <v>-83</v>
      </c>
      <c r="V189" s="20" t="n">
        <v>0</v>
      </c>
    </row>
    <row r="190">
      <c r="A190" s="18" t="inlineStr">
        <is>
          <t>매출채권·계약자산 증감</t>
        </is>
      </c>
      <c r="T190" s="20" t="n">
        <v>2205</v>
      </c>
      <c r="U190" s="20" t="n">
        <v>-2254</v>
      </c>
    </row>
    <row r="191">
      <c r="A191" s="18" t="inlineStr">
        <is>
          <t>매출채권·계약자산 증감</t>
        </is>
      </c>
      <c r="E191" s="20" t="n">
        <v>-1932</v>
      </c>
      <c r="I191" s="20" t="n">
        <v>797</v>
      </c>
      <c r="M191" s="20" t="n">
        <v>-8230</v>
      </c>
      <c r="U191" s="20" t="n">
        <v>-2254</v>
      </c>
      <c r="V191" s="20" t="n">
        <v>-1932</v>
      </c>
      <c r="W191" s="20" t="n">
        <v>797</v>
      </c>
      <c r="X191" s="20" t="n">
        <v>-8230</v>
      </c>
    </row>
    <row r="192">
      <c r="A192" s="18" t="inlineStr">
        <is>
          <t>재고자산 증감</t>
        </is>
      </c>
      <c r="E192" s="20" t="n">
        <v>-426</v>
      </c>
      <c r="I192" s="20" t="n">
        <v>-420</v>
      </c>
      <c r="M192" s="20" t="n">
        <v>-647</v>
      </c>
      <c r="O192" s="20" t="n">
        <v>-89</v>
      </c>
      <c r="P192" s="20" t="n">
        <v>-311</v>
      </c>
      <c r="Q192" s="20" t="n">
        <v>770</v>
      </c>
      <c r="R192" s="20" t="n">
        <v>69</v>
      </c>
      <c r="S192" s="20" t="n">
        <v>-490</v>
      </c>
      <c r="T192" s="20" t="n">
        <v>665</v>
      </c>
      <c r="U192" s="20" t="n">
        <v>-192</v>
      </c>
      <c r="V192" s="20" t="n">
        <v>-426</v>
      </c>
      <c r="W192" s="20" t="n">
        <v>-420</v>
      </c>
      <c r="X192" s="20" t="n">
        <v>-647</v>
      </c>
    </row>
    <row r="193">
      <c r="A193" s="18" t="inlineStr">
        <is>
          <t>매입채무 증감</t>
        </is>
      </c>
      <c r="E193" s="20" t="n">
        <v>-340</v>
      </c>
      <c r="I193" s="20" t="n">
        <v>-396</v>
      </c>
      <c r="M193" s="20" t="n">
        <v>933</v>
      </c>
      <c r="O193" s="20" t="n">
        <v>392</v>
      </c>
      <c r="P193" s="20" t="n">
        <v>-487</v>
      </c>
      <c r="Q193" s="20" t="n">
        <v>182</v>
      </c>
      <c r="R193" s="20" t="n">
        <v>-497</v>
      </c>
      <c r="S193" s="20" t="n">
        <v>839</v>
      </c>
      <c r="T193" s="20" t="n">
        <v>-709</v>
      </c>
      <c r="U193" s="20" t="n">
        <v>523</v>
      </c>
      <c r="V193" s="20" t="n">
        <v>-340</v>
      </c>
      <c r="W193" s="20" t="n">
        <v>-396</v>
      </c>
      <c r="X193" s="20" t="n">
        <v>933</v>
      </c>
    </row>
    <row r="194">
      <c r="A194" s="18" t="inlineStr">
        <is>
          <t>기타</t>
        </is>
      </c>
      <c r="E194" s="20" t="n">
        <v>641</v>
      </c>
      <c r="I194" s="20" t="n">
        <v>-457</v>
      </c>
      <c r="M194" s="20" t="n">
        <v>-343</v>
      </c>
      <c r="O194" s="20" t="n">
        <v>-171</v>
      </c>
      <c r="P194" s="20" t="n">
        <v>983</v>
      </c>
      <c r="Q194" s="20" t="n">
        <v>1659</v>
      </c>
      <c r="R194" s="20" t="n">
        <v>-1454</v>
      </c>
      <c r="S194" s="20" t="n">
        <v>104</v>
      </c>
      <c r="T194" s="20" t="n">
        <v>-717</v>
      </c>
      <c r="U194" s="20" t="n">
        <v>-503</v>
      </c>
      <c r="V194" s="20" t="n">
        <v>641</v>
      </c>
      <c r="W194" s="20" t="n">
        <v>-457</v>
      </c>
      <c r="X194" s="20" t="n">
        <v>-343</v>
      </c>
    </row>
    <row r="195">
      <c r="A195" s="18" t="inlineStr">
        <is>
          <t>소계</t>
        </is>
      </c>
      <c r="E195" s="20" t="n">
        <v>69</v>
      </c>
      <c r="I195" s="20" t="n">
        <v>2568</v>
      </c>
      <c r="M195" s="20" t="n">
        <v>-2443</v>
      </c>
      <c r="O195" s="20" t="n">
        <v>426</v>
      </c>
      <c r="P195" s="20" t="n">
        <v>-2070</v>
      </c>
      <c r="Q195" s="20" t="n">
        <v>185</v>
      </c>
      <c r="R195" s="20" t="n">
        <v>-1050</v>
      </c>
      <c r="S195" s="20" t="n">
        <v>944</v>
      </c>
      <c r="T195" s="20" t="n">
        <v>3410</v>
      </c>
      <c r="U195" s="20" t="n">
        <v>-497</v>
      </c>
      <c r="V195" s="20" t="n">
        <v>69</v>
      </c>
      <c r="W195" s="20" t="n">
        <v>2568</v>
      </c>
      <c r="X195" s="20" t="n">
        <v>-2443</v>
      </c>
    </row>
    <row r="196">
      <c r="A196" s="18" t="inlineStr">
        <is>
          <t>이자·배당금 수취</t>
        </is>
      </c>
      <c r="E196" s="20" t="n">
        <v>1</v>
      </c>
      <c r="I196" s="20" t="n">
        <v>2</v>
      </c>
      <c r="M196" s="20" t="n">
        <v>3</v>
      </c>
      <c r="O196" s="20" t="n">
        <v>0</v>
      </c>
      <c r="P196" s="20" t="n">
        <v>0</v>
      </c>
      <c r="Q196" s="20" t="n">
        <v>0</v>
      </c>
      <c r="R196" s="20" t="n">
        <v>0</v>
      </c>
      <c r="S196" s="20" t="n">
        <v>0</v>
      </c>
      <c r="T196" s="20" t="n">
        <v>0</v>
      </c>
      <c r="U196" s="20" t="n">
        <v>0</v>
      </c>
      <c r="V196" s="20" t="n">
        <v>1</v>
      </c>
      <c r="W196" s="20" t="n">
        <v>2</v>
      </c>
      <c r="X196" s="20" t="n">
        <v>3</v>
      </c>
    </row>
    <row r="197">
      <c r="A197" s="18" t="inlineStr">
        <is>
          <t>이자 지급</t>
        </is>
      </c>
      <c r="E197" s="20" t="n">
        <v>-29</v>
      </c>
      <c r="I197" s="20" t="n">
        <v>-45</v>
      </c>
      <c r="M197" s="20" t="n">
        <v>-103</v>
      </c>
      <c r="O197" s="20" t="n">
        <v>-73</v>
      </c>
      <c r="P197" s="20" t="n">
        <v>-56</v>
      </c>
      <c r="Q197" s="20" t="n">
        <v>-67</v>
      </c>
      <c r="R197" s="20" t="n">
        <v>-51</v>
      </c>
      <c r="S197" s="20" t="n">
        <v>-49</v>
      </c>
      <c r="T197" s="20" t="n">
        <v>-40</v>
      </c>
      <c r="U197" s="20" t="n">
        <v>-25</v>
      </c>
      <c r="V197" s="20" t="n">
        <v>-29</v>
      </c>
      <c r="W197" s="20" t="n">
        <v>-45</v>
      </c>
      <c r="X197" s="20" t="n">
        <v>-103</v>
      </c>
    </row>
    <row r="198">
      <c r="A198" s="18" t="inlineStr">
        <is>
          <t>보상금 수취</t>
        </is>
      </c>
      <c r="O198" s="20" t="n">
        <v>3694</v>
      </c>
      <c r="P198" s="20" t="n">
        <v>1477</v>
      </c>
      <c r="Q198" s="20" t="n">
        <v>2400</v>
      </c>
      <c r="R198" s="20" t="n">
        <v>0</v>
      </c>
    </row>
    <row r="199">
      <c r="A199" s="18" t="inlineStr">
        <is>
          <t>법인세 납부</t>
        </is>
      </c>
      <c r="O199" s="20" t="n">
        <v>-17</v>
      </c>
      <c r="P199" s="20" t="n">
        <v>-788</v>
      </c>
    </row>
    <row r="200">
      <c r="A200" s="18" t="inlineStr">
        <is>
          <t>법인세 납부·환급</t>
        </is>
      </c>
      <c r="E200" s="20" t="n">
        <v>-247</v>
      </c>
      <c r="I200" s="20" t="n">
        <v>-374</v>
      </c>
      <c r="M200" s="20" t="n">
        <v>-1077</v>
      </c>
      <c r="P200" s="20" t="n">
        <v>-788</v>
      </c>
      <c r="Q200" s="20" t="n">
        <v>218</v>
      </c>
      <c r="R200" s="20" t="n">
        <v>-21</v>
      </c>
      <c r="S200" s="20" t="n">
        <v>-35</v>
      </c>
      <c r="T200" s="20" t="n">
        <v>-17</v>
      </c>
      <c r="U200" s="20" t="n">
        <v>-338</v>
      </c>
      <c r="V200" s="20" t="n">
        <v>-247</v>
      </c>
      <c r="W200" s="20" t="n">
        <v>-374</v>
      </c>
      <c r="X200" s="20" t="n">
        <v>-1077</v>
      </c>
    </row>
    <row r="201">
      <c r="A201" s="9" t="inlineStr">
        <is>
          <t>영업활동 현금흐름</t>
        </is>
      </c>
      <c r="E201" s="12" t="n">
        <v>-206</v>
      </c>
      <c r="I201" s="12" t="n">
        <v>2150</v>
      </c>
      <c r="M201" s="12" t="n">
        <v>-3621</v>
      </c>
      <c r="O201" s="12" t="n">
        <v>4030</v>
      </c>
      <c r="P201" s="12" t="n">
        <v>-1436</v>
      </c>
      <c r="Q201" s="12" t="n">
        <v>2737</v>
      </c>
      <c r="R201" s="12" t="n">
        <v>-1123</v>
      </c>
      <c r="S201" s="12" t="n">
        <v>859</v>
      </c>
      <c r="T201" s="12" t="n">
        <v>3352</v>
      </c>
      <c r="U201" s="12" t="n">
        <v>-860</v>
      </c>
      <c r="V201" s="12" t="n">
        <v>-206</v>
      </c>
      <c r="W201" s="12" t="n">
        <v>2150</v>
      </c>
      <c r="X201" s="12" t="n">
        <v>-3621</v>
      </c>
    </row>
    <row r="202">
      <c r="A202" s="18" t="inlineStr">
        <is>
          <t>유형자산 취득(설비투자)</t>
        </is>
      </c>
      <c r="E202" s="20" t="n">
        <v>-500</v>
      </c>
      <c r="I202" s="20" t="n">
        <v>-415</v>
      </c>
      <c r="M202" s="20" t="n">
        <v>-729</v>
      </c>
      <c r="O202" s="20" t="n">
        <v>-332</v>
      </c>
      <c r="P202" s="20" t="n">
        <v>-368</v>
      </c>
      <c r="Q202" s="20" t="n">
        <v>-245</v>
      </c>
      <c r="R202" s="20" t="n">
        <v>-185</v>
      </c>
      <c r="S202" s="20" t="n">
        <v>-221</v>
      </c>
      <c r="T202" s="20" t="n">
        <v>-153</v>
      </c>
      <c r="U202" s="20" t="n">
        <v>-164</v>
      </c>
      <c r="V202" s="20" t="n">
        <v>-500</v>
      </c>
      <c r="W202" s="20" t="n">
        <v>-415</v>
      </c>
      <c r="X202" s="20" t="n">
        <v>-729</v>
      </c>
    </row>
    <row r="203">
      <c r="A203" s="18" t="inlineStr">
        <is>
          <t>무형자산 취득</t>
        </is>
      </c>
      <c r="E203" s="20" t="n">
        <v>-20</v>
      </c>
      <c r="I203" s="20" t="n">
        <v>-56</v>
      </c>
      <c r="M203" s="20" t="n">
        <v>-134</v>
      </c>
      <c r="O203" s="20" t="n">
        <v>-81</v>
      </c>
      <c r="P203" s="20" t="n">
        <v>-61</v>
      </c>
      <c r="Q203" s="20" t="n">
        <v>-21</v>
      </c>
      <c r="R203" s="20" t="n">
        <v>-40</v>
      </c>
      <c r="S203" s="20" t="n">
        <v>-73</v>
      </c>
      <c r="T203" s="20" t="n">
        <v>-115</v>
      </c>
      <c r="U203" s="20" t="n">
        <v>-38</v>
      </c>
      <c r="V203" s="20" t="n">
        <v>-20</v>
      </c>
      <c r="W203" s="20" t="n">
        <v>-56</v>
      </c>
      <c r="X203" s="20" t="n">
        <v>-134</v>
      </c>
    </row>
    <row r="204">
      <c r="A204" s="18" t="inlineStr">
        <is>
          <t>유형자산 매각</t>
        </is>
      </c>
      <c r="E204" s="20" t="n">
        <v>0</v>
      </c>
      <c r="P204" s="20" t="n">
        <v>0</v>
      </c>
      <c r="Q204" s="20" t="n">
        <v>131</v>
      </c>
      <c r="R204" s="20" t="n">
        <v>60</v>
      </c>
      <c r="S204" s="20" t="n">
        <v>0</v>
      </c>
      <c r="T204" s="20" t="n">
        <v>0</v>
      </c>
      <c r="U204" s="20" t="n">
        <v>350</v>
      </c>
      <c r="V204" s="20" t="n">
        <v>0</v>
      </c>
    </row>
    <row r="205">
      <c r="A205" s="18" t="inlineStr">
        <is>
          <t>기타</t>
        </is>
      </c>
      <c r="E205" s="20" t="n">
        <v>3</v>
      </c>
      <c r="I205" s="20" t="n">
        <v>0</v>
      </c>
      <c r="M205" s="20" t="n">
        <v>-0</v>
      </c>
      <c r="O205" s="20" t="n">
        <v>3</v>
      </c>
      <c r="P205" s="20" t="n">
        <v>12</v>
      </c>
      <c r="Q205" s="20" t="n">
        <v>6</v>
      </c>
      <c r="R205" s="20" t="n">
        <v>2</v>
      </c>
      <c r="S205" s="20" t="n">
        <v>-6</v>
      </c>
      <c r="T205" s="20" t="n">
        <v>5</v>
      </c>
      <c r="U205" s="20" t="n">
        <v>4</v>
      </c>
      <c r="V205" s="20" t="n">
        <v>3</v>
      </c>
      <c r="W205" s="20" t="n">
        <v>0</v>
      </c>
      <c r="X205" s="20" t="n">
        <v>-0</v>
      </c>
    </row>
    <row r="206">
      <c r="A206" s="9" t="inlineStr">
        <is>
          <t>투자활동 현금흐름</t>
        </is>
      </c>
      <c r="E206" s="12" t="n">
        <v>-517</v>
      </c>
      <c r="I206" s="12" t="n">
        <v>-471</v>
      </c>
      <c r="M206" s="12" t="n">
        <v>-864</v>
      </c>
      <c r="O206" s="12" t="n">
        <v>-410</v>
      </c>
      <c r="P206" s="12" t="n">
        <v>-418</v>
      </c>
      <c r="Q206" s="12" t="n">
        <v>-129</v>
      </c>
      <c r="R206" s="12" t="n">
        <v>-163</v>
      </c>
      <c r="S206" s="12" t="n">
        <v>-300</v>
      </c>
      <c r="T206" s="12" t="n">
        <v>-263</v>
      </c>
      <c r="U206" s="12" t="n">
        <v>151</v>
      </c>
      <c r="V206" s="12" t="n">
        <v>-517</v>
      </c>
      <c r="W206" s="12" t="n">
        <v>-471</v>
      </c>
      <c r="X206" s="12" t="n">
        <v>-864</v>
      </c>
    </row>
    <row r="207">
      <c r="A207" s="18" t="inlineStr">
        <is>
          <t>단기차입금 순증감</t>
        </is>
      </c>
      <c r="E207" s="20" t="n">
        <v>1200</v>
      </c>
      <c r="I207" s="20" t="n">
        <v>60</v>
      </c>
      <c r="M207" s="20" t="n">
        <v>4100</v>
      </c>
      <c r="O207" s="20" t="n">
        <v>-2464</v>
      </c>
      <c r="P207" s="20" t="n">
        <v>100</v>
      </c>
      <c r="Q207" s="20" t="n">
        <v>420</v>
      </c>
      <c r="R207" s="20" t="n">
        <v>1300</v>
      </c>
      <c r="S207" s="20" t="n">
        <v>320</v>
      </c>
      <c r="T207" s="20" t="n">
        <v>-2350</v>
      </c>
      <c r="U207" s="20" t="n">
        <v>420</v>
      </c>
      <c r="V207" s="20" t="n">
        <v>1200</v>
      </c>
      <c r="W207" s="20" t="n">
        <v>60</v>
      </c>
      <c r="X207" s="20" t="n">
        <v>4100</v>
      </c>
    </row>
    <row r="208">
      <c r="A208" s="18" t="inlineStr">
        <is>
          <t>장기차입</t>
        </is>
      </c>
      <c r="E208" s="20" t="n">
        <v>0</v>
      </c>
      <c r="I208" s="20" t="n">
        <v>0</v>
      </c>
      <c r="M208" s="20" t="n">
        <v>2000</v>
      </c>
      <c r="O208" s="20" t="n">
        <v>0</v>
      </c>
      <c r="P208" s="20" t="n">
        <v>4400</v>
      </c>
      <c r="Q208" s="20" t="n">
        <v>0</v>
      </c>
      <c r="S208" s="20" t="n">
        <v>0</v>
      </c>
      <c r="T208" s="20" t="n">
        <v>1900</v>
      </c>
      <c r="U208" s="20" t="n">
        <v>240</v>
      </c>
      <c r="V208" s="20" t="n">
        <v>0</v>
      </c>
      <c r="W208" s="20" t="n">
        <v>0</v>
      </c>
      <c r="X208" s="20" t="n">
        <v>2000</v>
      </c>
    </row>
    <row r="209">
      <c r="A209" s="18" t="inlineStr">
        <is>
          <t>장기차입금 상환</t>
        </is>
      </c>
      <c r="E209" s="20" t="n">
        <v>-60</v>
      </c>
      <c r="I209" s="20" t="n">
        <v>-60</v>
      </c>
      <c r="M209" s="20" t="n">
        <v>-400</v>
      </c>
      <c r="O209" s="20" t="n">
        <v>-1641</v>
      </c>
      <c r="P209" s="20" t="n">
        <v>-2308</v>
      </c>
      <c r="Q209" s="20" t="n">
        <v>-1805</v>
      </c>
      <c r="R209" s="20" t="n">
        <v>-880</v>
      </c>
      <c r="S209" s="20" t="n">
        <v>-880</v>
      </c>
      <c r="T209" s="20" t="n">
        <v>-880</v>
      </c>
      <c r="U209" s="20" t="n">
        <v>-880</v>
      </c>
      <c r="V209" s="20" t="n">
        <v>-60</v>
      </c>
      <c r="W209" s="20" t="n">
        <v>-60</v>
      </c>
      <c r="X209" s="20" t="n">
        <v>-400</v>
      </c>
    </row>
    <row r="210">
      <c r="A210" s="18" t="inlineStr">
        <is>
          <t>배당금 지급</t>
        </is>
      </c>
      <c r="E210" s="20" t="n">
        <v>-101</v>
      </c>
      <c r="I210" s="20" t="n">
        <v>-99</v>
      </c>
      <c r="M210" s="20" t="n">
        <v>-91</v>
      </c>
      <c r="U210" s="20" t="n">
        <v>0</v>
      </c>
      <c r="V210" s="20" t="n">
        <v>-101</v>
      </c>
      <c r="W210" s="20" t="n">
        <v>-99</v>
      </c>
      <c r="X210" s="20" t="n">
        <v>-91</v>
      </c>
    </row>
    <row r="211">
      <c r="A211" s="18" t="inlineStr">
        <is>
          <t>자기주식 취득</t>
        </is>
      </c>
      <c r="E211" s="20" t="n">
        <v>-48</v>
      </c>
      <c r="I211" s="20" t="n">
        <v>-1991</v>
      </c>
      <c r="M211" s="20" t="n">
        <v>-2001</v>
      </c>
      <c r="R211" s="20" t="n">
        <v>-0</v>
      </c>
      <c r="S211" s="20" t="n">
        <v>-57</v>
      </c>
      <c r="T211" s="20" t="n">
        <v>-1003</v>
      </c>
      <c r="U211" s="20" t="n">
        <v>-10</v>
      </c>
      <c r="V211" s="20" t="n">
        <v>-48</v>
      </c>
      <c r="W211" s="20" t="n">
        <v>-1991</v>
      </c>
      <c r="X211" s="20" t="n">
        <v>-2001</v>
      </c>
    </row>
    <row r="212">
      <c r="A212" s="18" t="inlineStr">
        <is>
          <t>기타</t>
        </is>
      </c>
      <c r="E212" s="20" t="n">
        <v>-33</v>
      </c>
      <c r="I212" s="20" t="n">
        <v>5</v>
      </c>
      <c r="M212" s="20" t="n">
        <v>-30</v>
      </c>
      <c r="O212" s="20" t="n">
        <v>-0</v>
      </c>
      <c r="P212" s="20" t="n">
        <v>-1</v>
      </c>
      <c r="Q212" s="20" t="n">
        <v>-0</v>
      </c>
      <c r="R212" s="20" t="n">
        <v>-0</v>
      </c>
      <c r="U212" s="20" t="n">
        <v>0</v>
      </c>
      <c r="V212" s="20" t="n">
        <v>-33</v>
      </c>
      <c r="W212" s="20" t="n">
        <v>5</v>
      </c>
      <c r="X212" s="20" t="n">
        <v>-30</v>
      </c>
    </row>
    <row r="213">
      <c r="A213" s="9" t="inlineStr">
        <is>
          <t>재무활동 현금흐름</t>
        </is>
      </c>
      <c r="E213" s="12" t="n">
        <v>956</v>
      </c>
      <c r="I213" s="12" t="n">
        <v>-2085</v>
      </c>
      <c r="M213" s="12" t="n">
        <v>3576</v>
      </c>
      <c r="O213" s="12" t="n">
        <v>-4106</v>
      </c>
      <c r="P213" s="12" t="n">
        <v>2190</v>
      </c>
      <c r="Q213" s="12" t="n">
        <v>-1385</v>
      </c>
      <c r="R213" s="12" t="n">
        <v>419</v>
      </c>
      <c r="S213" s="12" t="n">
        <v>-617</v>
      </c>
      <c r="T213" s="12" t="n">
        <v>-2333</v>
      </c>
      <c r="U213" s="12" t="n">
        <v>-230</v>
      </c>
      <c r="V213" s="12" t="n">
        <v>956</v>
      </c>
      <c r="W213" s="12" t="n">
        <v>-2085</v>
      </c>
      <c r="X213" s="12" t="n">
        <v>3576</v>
      </c>
    </row>
    <row r="214">
      <c r="A214" s="18" t="inlineStr">
        <is>
          <t>현금성자산 증감</t>
        </is>
      </c>
      <c r="E214" s="20" t="n">
        <v>233</v>
      </c>
      <c r="I214" s="20" t="n">
        <v>-407</v>
      </c>
      <c r="M214" s="20" t="n">
        <v>-909</v>
      </c>
      <c r="O214" s="20" t="n">
        <v>-486</v>
      </c>
      <c r="P214" s="20" t="n">
        <v>335</v>
      </c>
      <c r="Q214" s="20" t="n">
        <v>1222</v>
      </c>
      <c r="R214" s="20" t="n">
        <v>-866</v>
      </c>
      <c r="S214" s="20" t="n">
        <v>-58</v>
      </c>
      <c r="T214" s="20" t="n">
        <v>756</v>
      </c>
      <c r="U214" s="20" t="n">
        <v>-938</v>
      </c>
      <c r="V214" s="20" t="n">
        <v>233</v>
      </c>
      <c r="W214" s="20" t="n">
        <v>-407</v>
      </c>
      <c r="X214" s="20" t="n">
        <v>-909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6946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19556</v>
      </c>
      <c r="D5" s="12" t="n">
        <v>22362</v>
      </c>
      <c r="E5" s="12" t="n">
        <v>25286</v>
      </c>
      <c r="F5" s="12" t="n">
        <v>27545</v>
      </c>
      <c r="G5" s="12" t="n">
        <v>32022</v>
      </c>
      <c r="H5" s="11" t="n">
        <v>15506</v>
      </c>
      <c r="I5" s="12" t="n">
        <v>17403</v>
      </c>
      <c r="J5" s="12" t="n">
        <v>19979</v>
      </c>
      <c r="K5" s="12" t="n">
        <v>19229</v>
      </c>
      <c r="L5" s="12" t="n">
        <v>27545</v>
      </c>
    </row>
    <row r="6">
      <c r="A6" s="18" t="inlineStr">
        <is>
          <t>현금및현금성자산</t>
        </is>
      </c>
      <c r="B6" s="10" t="n"/>
      <c r="C6" s="19" t="n">
        <v>1119</v>
      </c>
      <c r="D6" s="20" t="n">
        <v>1118</v>
      </c>
      <c r="E6" s="20" t="n">
        <v>1105</v>
      </c>
      <c r="F6" s="20" t="n">
        <v>1024</v>
      </c>
      <c r="G6" s="20" t="n">
        <v>1383</v>
      </c>
      <c r="H6" s="19" t="n">
        <v>3034</v>
      </c>
      <c r="I6" s="20" t="n">
        <v>2108</v>
      </c>
      <c r="J6" s="20" t="n">
        <v>2341</v>
      </c>
      <c r="K6" s="20" t="n">
        <v>1906</v>
      </c>
      <c r="L6" s="20" t="n">
        <v>1024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13266</v>
      </c>
      <c r="D8" s="20" t="n">
        <v>15760</v>
      </c>
      <c r="E8" s="20" t="n">
        <v>18389</v>
      </c>
      <c r="F8" s="20" t="n">
        <v>21111</v>
      </c>
      <c r="G8" s="20" t="n">
        <v>25226</v>
      </c>
      <c r="H8" s="19" t="n">
        <v>9492</v>
      </c>
      <c r="I8" s="20" t="n">
        <v>11746</v>
      </c>
      <c r="J8" s="20" t="n">
        <v>13678</v>
      </c>
      <c r="K8" s="20" t="n">
        <v>12881</v>
      </c>
      <c r="L8" s="20" t="n">
        <v>21111</v>
      </c>
    </row>
    <row r="9">
      <c r="A9" s="18" t="inlineStr">
        <is>
          <t>재고자산</t>
        </is>
      </c>
      <c r="B9" s="10" t="n"/>
      <c r="C9" s="19" t="n">
        <v>4727</v>
      </c>
      <c r="D9" s="20" t="n">
        <v>4812</v>
      </c>
      <c r="E9" s="20" t="n">
        <v>5155</v>
      </c>
      <c r="F9" s="20" t="n">
        <v>4893</v>
      </c>
      <c r="G9" s="20" t="n">
        <v>4988</v>
      </c>
      <c r="H9" s="19" t="n">
        <v>2724</v>
      </c>
      <c r="I9" s="20" t="n">
        <v>3398</v>
      </c>
      <c r="J9" s="20" t="n">
        <v>3825</v>
      </c>
      <c r="K9" s="20" t="n">
        <v>4171</v>
      </c>
      <c r="L9" s="20" t="n">
        <v>4893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7384</v>
      </c>
      <c r="D11" s="12" t="n">
        <v>7674</v>
      </c>
      <c r="E11" s="12" t="n">
        <v>7640</v>
      </c>
      <c r="F11" s="12" t="n">
        <v>8532</v>
      </c>
      <c r="G11" s="12" t="n">
        <v>8467</v>
      </c>
      <c r="H11" s="11" t="n">
        <v>7239</v>
      </c>
      <c r="I11" s="12" t="n">
        <v>6560</v>
      </c>
      <c r="J11" s="12" t="n">
        <v>7548</v>
      </c>
      <c r="K11" s="12" t="n">
        <v>7659</v>
      </c>
      <c r="L11" s="12" t="n">
        <v>8532</v>
      </c>
    </row>
    <row r="12">
      <c r="A12" s="18" t="inlineStr">
        <is>
          <t>유형자산</t>
        </is>
      </c>
      <c r="B12" s="10" t="n"/>
      <c r="C12" s="19" t="n">
        <v>4638</v>
      </c>
      <c r="D12" s="20" t="n">
        <v>4727</v>
      </c>
      <c r="E12" s="20" t="n">
        <v>4804</v>
      </c>
      <c r="F12" s="20" t="n">
        <v>5004</v>
      </c>
      <c r="G12" s="20" t="n">
        <v>5124</v>
      </c>
      <c r="H12" s="19" t="n">
        <v>4186</v>
      </c>
      <c r="I12" s="20" t="n">
        <v>4401</v>
      </c>
      <c r="J12" s="20" t="n">
        <v>4748</v>
      </c>
      <c r="K12" s="20" t="n">
        <v>4128</v>
      </c>
      <c r="L12" s="20" t="n">
        <v>5004</v>
      </c>
    </row>
    <row r="13">
      <c r="A13" s="18" t="inlineStr">
        <is>
          <t>무형자산</t>
        </is>
      </c>
      <c r="B13" s="10" t="n"/>
      <c r="C13" s="19" t="n">
        <v>191</v>
      </c>
      <c r="D13" s="20" t="n">
        <v>206</v>
      </c>
      <c r="E13" s="20" t="n">
        <v>211</v>
      </c>
      <c r="F13" s="20" t="n">
        <v>237</v>
      </c>
      <c r="G13" s="20" t="n">
        <v>232</v>
      </c>
      <c r="H13" s="19" t="n">
        <v>204</v>
      </c>
      <c r="I13" s="20" t="n">
        <v>185</v>
      </c>
      <c r="J13" s="20" t="n">
        <v>146</v>
      </c>
      <c r="K13" s="20" t="n">
        <v>167</v>
      </c>
      <c r="L13" s="20" t="n">
        <v>237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26940</v>
      </c>
      <c r="D16" s="12" t="n">
        <v>30037</v>
      </c>
      <c r="E16" s="12" t="n">
        <v>32926</v>
      </c>
      <c r="F16" s="12" t="n">
        <v>36077</v>
      </c>
      <c r="G16" s="12" t="n">
        <v>40489</v>
      </c>
      <c r="H16" s="11" t="n">
        <v>22745</v>
      </c>
      <c r="I16" s="12" t="n">
        <v>23964</v>
      </c>
      <c r="J16" s="12" t="n">
        <v>27528</v>
      </c>
      <c r="K16" s="12" t="n">
        <v>26889</v>
      </c>
      <c r="L16" s="12" t="n">
        <v>36077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8541</v>
      </c>
      <c r="D18" s="12" t="n">
        <v>11406</v>
      </c>
      <c r="E18" s="12" t="n">
        <v>13560</v>
      </c>
      <c r="F18" s="12" t="n">
        <v>16833</v>
      </c>
      <c r="G18" s="12" t="n">
        <v>20435</v>
      </c>
      <c r="H18" s="11" t="n">
        <v>7532</v>
      </c>
      <c r="I18" s="12" t="n">
        <v>7067</v>
      </c>
      <c r="J18" s="12" t="n">
        <v>8792</v>
      </c>
      <c r="K18" s="12" t="n">
        <v>9230</v>
      </c>
      <c r="L18" s="12" t="n">
        <v>16833</v>
      </c>
    </row>
    <row r="19">
      <c r="A19" s="18" t="inlineStr">
        <is>
          <t>매입채무</t>
        </is>
      </c>
      <c r="B19" s="10" t="n"/>
      <c r="C19" s="19" t="n">
        <v>1747</v>
      </c>
      <c r="D19" s="20" t="n">
        <v>2584</v>
      </c>
      <c r="E19" s="20" t="n">
        <v>2657</v>
      </c>
      <c r="F19" s="20" t="n">
        <v>3135</v>
      </c>
      <c r="G19" s="20" t="n">
        <v>2663</v>
      </c>
      <c r="H19" s="19" t="n">
        <v>1703</v>
      </c>
      <c r="I19" s="20" t="n">
        <v>1789</v>
      </c>
      <c r="J19" s="20" t="n">
        <v>2007</v>
      </c>
      <c r="K19" s="20" t="n">
        <v>1864</v>
      </c>
      <c r="L19" s="20" t="n">
        <v>3135</v>
      </c>
    </row>
    <row r="20">
      <c r="A20" s="18" t="inlineStr">
        <is>
          <t>단기차입금</t>
        </is>
      </c>
      <c r="B20" s="10" t="n"/>
      <c r="C20" s="19" t="n">
        <v>3845</v>
      </c>
      <c r="D20" s="20" t="n">
        <v>4540</v>
      </c>
      <c r="E20" s="20" t="n">
        <v>6725</v>
      </c>
      <c r="F20" s="20" t="n">
        <v>9510</v>
      </c>
      <c r="G20" s="20" t="n">
        <v>14680</v>
      </c>
      <c r="H20" s="19" t="n">
        <v>1970</v>
      </c>
      <c r="I20" s="20" t="n">
        <v>1570</v>
      </c>
      <c r="J20" s="20" t="n">
        <v>2770</v>
      </c>
      <c r="K20" s="20" t="n">
        <v>2830</v>
      </c>
      <c r="L20" s="20" t="n">
        <v>9510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4158</v>
      </c>
      <c r="D23" s="12" t="n">
        <v>5486</v>
      </c>
      <c r="E23" s="12" t="n">
        <v>5303</v>
      </c>
      <c r="F23" s="12" t="n">
        <v>3139</v>
      </c>
      <c r="G23" s="12" t="n">
        <v>2972</v>
      </c>
      <c r="H23" s="11" t="n">
        <v>5379</v>
      </c>
      <c r="I23" s="12" t="n">
        <v>4726</v>
      </c>
      <c r="J23" s="12" t="n">
        <v>4430</v>
      </c>
      <c r="K23" s="12" t="n">
        <v>4472</v>
      </c>
      <c r="L23" s="12" t="n">
        <v>3139</v>
      </c>
    </row>
    <row r="24">
      <c r="A24" s="18" t="inlineStr">
        <is>
          <t>장기차입금</t>
        </is>
      </c>
      <c r="B24" s="10" t="n"/>
      <c r="C24" s="19" t="n">
        <v>1945</v>
      </c>
      <c r="D24" s="20" t="n">
        <v>3250</v>
      </c>
      <c r="E24" s="20" t="n">
        <v>3065</v>
      </c>
      <c r="F24" s="20" t="n">
        <v>980</v>
      </c>
      <c r="G24" s="20" t="n">
        <v>810</v>
      </c>
      <c r="H24" s="19" t="n">
        <v>1900</v>
      </c>
      <c r="I24" s="20" t="n">
        <v>2080</v>
      </c>
      <c r="J24" s="20" t="n">
        <v>2020</v>
      </c>
      <c r="K24" s="20" t="n">
        <v>1960</v>
      </c>
      <c r="L24" s="20" t="n">
        <v>980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12700</v>
      </c>
      <c r="D27" s="12" t="n">
        <v>16892</v>
      </c>
      <c r="E27" s="12" t="n">
        <v>18863</v>
      </c>
      <c r="F27" s="12" t="n">
        <v>19972</v>
      </c>
      <c r="G27" s="12" t="n">
        <v>23407</v>
      </c>
      <c r="H27" s="11" t="n">
        <v>12912</v>
      </c>
      <c r="I27" s="12" t="n">
        <v>11793</v>
      </c>
      <c r="J27" s="12" t="n">
        <v>13222</v>
      </c>
      <c r="K27" s="12" t="n">
        <v>13702</v>
      </c>
      <c r="L27" s="12" t="n">
        <v>19972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14240</v>
      </c>
      <c r="D31" s="12" t="n">
        <v>13144</v>
      </c>
      <c r="E31" s="12" t="n">
        <v>14062</v>
      </c>
      <c r="F31" s="12" t="n">
        <v>16104</v>
      </c>
      <c r="G31" s="12" t="n">
        <v>17081</v>
      </c>
      <c r="H31" s="11" t="n">
        <v>9833</v>
      </c>
      <c r="I31" s="12" t="n">
        <v>12170</v>
      </c>
      <c r="J31" s="12" t="n">
        <v>14305</v>
      </c>
      <c r="K31" s="12" t="n">
        <v>13186</v>
      </c>
      <c r="L31" s="12" t="n">
        <v>16104</v>
      </c>
    </row>
    <row r="32">
      <c r="A32" s="18" t="inlineStr">
        <is>
          <t>자본금</t>
        </is>
      </c>
      <c r="B32" s="10" t="n"/>
      <c r="C32" s="19" t="n">
        <v>5895</v>
      </c>
      <c r="D32" s="20" t="n">
        <v>5895</v>
      </c>
      <c r="E32" s="20" t="n">
        <v>5895</v>
      </c>
      <c r="F32" s="20" t="n">
        <v>5895</v>
      </c>
      <c r="G32" s="20" t="n">
        <v>5895</v>
      </c>
      <c r="H32" s="19" t="n">
        <v>5895</v>
      </c>
      <c r="I32" s="20" t="n">
        <v>5895</v>
      </c>
      <c r="J32" s="20" t="n">
        <v>5895</v>
      </c>
      <c r="K32" s="20" t="n">
        <v>5895</v>
      </c>
      <c r="L32" s="20" t="n">
        <v>5895</v>
      </c>
    </row>
    <row r="33">
      <c r="A33" s="18" t="inlineStr">
        <is>
          <t>이익잉여금</t>
        </is>
      </c>
      <c r="B33" s="10" t="n"/>
      <c r="C33" s="19" t="n">
        <v>8080</v>
      </c>
      <c r="D33" s="20" t="n">
        <v>8992</v>
      </c>
      <c r="E33" s="20" t="n">
        <v>9924</v>
      </c>
      <c r="F33" s="20" t="n">
        <v>11512</v>
      </c>
      <c r="G33" s="20" t="n">
        <v>12513</v>
      </c>
      <c r="H33" s="19" t="n">
        <v>1688</v>
      </c>
      <c r="I33" s="20" t="n">
        <v>3873</v>
      </c>
      <c r="J33" s="20" t="n">
        <v>5920</v>
      </c>
      <c r="K33" s="20" t="n">
        <v>7098</v>
      </c>
      <c r="L33" s="20" t="n">
        <v>11512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14240</v>
      </c>
      <c r="D35" s="12" t="n">
        <v>13144</v>
      </c>
      <c r="E35" s="12" t="n">
        <v>14062</v>
      </c>
      <c r="F35" s="12" t="n">
        <v>16104</v>
      </c>
      <c r="G35" s="12" t="n">
        <v>17081</v>
      </c>
      <c r="H35" s="11" t="n">
        <v>9833</v>
      </c>
      <c r="I35" s="12" t="n">
        <v>12170</v>
      </c>
      <c r="J35" s="12" t="n">
        <v>14305</v>
      </c>
      <c r="K35" s="12" t="n">
        <v>13186</v>
      </c>
      <c r="L35" s="12" t="n">
        <v>16104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-3621</v>
      </c>
      <c r="G37" s="12" t="n"/>
      <c r="H37" s="11" t="n">
        <v>3352</v>
      </c>
      <c r="I37" s="12" t="n">
        <v>-860</v>
      </c>
      <c r="J37" s="12" t="n">
        <v>-206</v>
      </c>
      <c r="K37" s="12" t="n">
        <v>2150</v>
      </c>
      <c r="L37" s="12" t="n">
        <v>-3621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863</v>
      </c>
      <c r="G38" s="20" t="n"/>
      <c r="H38" s="19" t="n">
        <v>268</v>
      </c>
      <c r="I38" s="20" t="n">
        <v>202</v>
      </c>
      <c r="J38" s="20" t="n">
        <v>520</v>
      </c>
      <c r="K38" s="20" t="n">
        <v>471</v>
      </c>
      <c r="L38" s="20" t="n">
        <v>863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91</v>
      </c>
      <c r="G40" s="20" t="n"/>
      <c r="H40" s="19" t="n"/>
      <c r="I40" s="20" t="n">
        <v>0</v>
      </c>
      <c r="J40" s="20" t="n">
        <v>101</v>
      </c>
      <c r="K40" s="20" t="n">
        <v>99</v>
      </c>
      <c r="L40" s="20" t="n">
        <v>91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IFERROR(IF((IF(COUNT('연간'!G52:J52)&lt;4,"",SUM('연간'!G52:J52)))&lt;=0,"적자",C28/(IF(COUNT('연간'!G52:J52)&lt;4,"",SUM('연간'!G52:J52)))),"")</f>
        <v/>
      </c>
      <c r="D49" s="47">
        <f>IFERROR(IF((IF(COUNT('연간'!H52:K52)&lt;4,"",SUM('연간'!H52:K52)))&lt;=0,"적자",D28/(IF(COUNT('연간'!H52:K52)&lt;4,"",SUM('연간'!H52:K52)))),"")</f>
        <v/>
      </c>
      <c r="E49" s="47">
        <f>IFERROR(IF((IF(COUNT('연간'!I52:L52)&lt;4,"",SUM('연간'!I52:L52)))&lt;=0,"적자",E28/(IF(COUNT('연간'!I52:L52)&lt;4,"",SUM('연간'!I52:L52)))),"")</f>
        <v/>
      </c>
      <c r="F49" s="47">
        <f>IFERROR(IF((IF(COUNT('연간'!J52:M52)&lt;4,"",SUM('연간'!J52:M52)))&lt;=0,"적자",F28/(IF(COUNT('연간'!J52:M52)&lt;4,"",SUM('연간'!J52:M52)))),"")</f>
        <v/>
      </c>
      <c r="G49" s="47">
        <f>IFERROR(IF((IF(COUNT('연간'!K52:N52)&lt;4,"",SUM('연간'!K52:N52)))&lt;=0,"적자",G28/(IF(COUNT('연간'!K52:N52)&lt;4,"",SUM('연간'!K52:N52)))),"")</f>
        <v/>
      </c>
      <c r="H49" s="46">
        <f>IFERROR(IF(('연간'!T52)&lt;=0,"적자",H28/('연간'!T52)),"")</f>
        <v/>
      </c>
      <c r="I49" s="47">
        <f>IFERROR(IF(('연간'!U52)&lt;=0,"적자",I28/('연간'!U52)),"")</f>
        <v/>
      </c>
      <c r="J49" s="47">
        <f>IFERROR(IF(('연간'!V52)&lt;=0,"적자",J28/('연간'!V52)),"")</f>
        <v/>
      </c>
      <c r="K49" s="47">
        <f>IFERROR(IF(('연간'!W52)&lt;=0,"적자",K28/('연간'!W52)),"")</f>
        <v/>
      </c>
      <c r="L49" s="47">
        <f>IFERROR(IF(('연간'!X52)&lt;=0,"적자",L28/('연간'!X52)),"")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IFERROR((IF(COUNT('연간'!G52:J52)&lt;4,"",SUM('연간'!G52:J52)))/C31,"")</f>
        <v/>
      </c>
      <c r="D51" s="36">
        <f>IFERROR((IF(COUNT('연간'!H52:K52)&lt;4,"",SUM('연간'!H52:K52)))/D31,"")</f>
        <v/>
      </c>
      <c r="E51" s="36">
        <f>IFERROR((IF(COUNT('연간'!I52:L52)&lt;4,"",SUM('연간'!I52:L52)))/E31,"")</f>
        <v/>
      </c>
      <c r="F51" s="36">
        <f>IFERROR((IF(COUNT('연간'!J52:M52)&lt;4,"",SUM('연간'!J52:M52)))/F31,"")</f>
        <v/>
      </c>
      <c r="G51" s="36">
        <f>IFERROR((IF(COUNT('연간'!K52:N52)&lt;4,"",SUM('연간'!K52:N52)))/G31,"")</f>
        <v/>
      </c>
      <c r="H51" s="35">
        <f>IFERROR(('연간'!T52)/H31,"")</f>
        <v/>
      </c>
      <c r="I51" s="36">
        <f>IFERROR(('연간'!U52)/I31,"")</f>
        <v/>
      </c>
      <c r="J51" s="36">
        <f>IFERROR(('연간'!V52)/J31,"")</f>
        <v/>
      </c>
      <c r="K51" s="36">
        <f>IFERROR(('연간'!W52)/K31,"")</f>
        <v/>
      </c>
      <c r="L51" s="36">
        <f>IFERROR(('연간'!X52)/L31,"")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IFERROR((IF(COUNT('연간'!G50:J50)&lt;4,"",SUM('연간'!G50:J50)))/C16,"")</f>
        <v/>
      </c>
      <c r="D52" s="36">
        <f>IFERROR((IF(COUNT('연간'!H50:K50)&lt;4,"",SUM('연간'!H50:K50)))/D16,"")</f>
        <v/>
      </c>
      <c r="E52" s="36">
        <f>IFERROR((IF(COUNT('연간'!I50:L50)&lt;4,"",SUM('연간'!I50:L50)))/E16,"")</f>
        <v/>
      </c>
      <c r="F52" s="36">
        <f>IFERROR((IF(COUNT('연간'!J50:M50)&lt;4,"",SUM('연간'!J50:M50)))/F16,"")</f>
        <v/>
      </c>
      <c r="G52" s="36">
        <f>IFERROR((IF(COUNT('연간'!K50:N50)&lt;4,"",SUM('연간'!K50:N50)))/G16,"")</f>
        <v/>
      </c>
      <c r="H52" s="35">
        <f>IFERROR(('연간'!T50)/H16,"")</f>
        <v/>
      </c>
      <c r="I52" s="36">
        <f>IFERROR(('연간'!U50)/I16,"")</f>
        <v/>
      </c>
      <c r="J52" s="36">
        <f>IFERROR(('연간'!V50)/J16,"")</f>
        <v/>
      </c>
      <c r="K52" s="36">
        <f>IFERROR(('연간'!W50)/K16,"")</f>
        <v/>
      </c>
      <c r="L52" s="36">
        <f>IFERROR(('연간'!X50)/L16,"")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IFERROR((IF(COUNT('연간'!G16:J16)&lt;4,"",SUM('연간'!G16:J16)))/(IF(COUNT('연간'!G4:J4)&lt;4,"",SUM('연간'!G4:J4))),"")</f>
        <v/>
      </c>
      <c r="D54" s="36">
        <f>IFERROR((IF(COUNT('연간'!H16:K16)&lt;4,"",SUM('연간'!H16:K16)))/(IF(COUNT('연간'!H4:K4)&lt;4,"",SUM('연간'!H4:K4))),"")</f>
        <v/>
      </c>
      <c r="E54" s="36">
        <f>IFERROR((IF(COUNT('연간'!I16:L16)&lt;4,"",SUM('연간'!I16:L16)))/(IF(COUNT('연간'!I4:L4)&lt;4,"",SUM('연간'!I4:L4))),"")</f>
        <v/>
      </c>
      <c r="F54" s="36">
        <f>IFERROR((IF(COUNT('연간'!J16:M16)&lt;4,"",SUM('연간'!J16:M16)))/(IF(COUNT('연간'!J4:M4)&lt;4,"",SUM('연간'!J4:M4))),"")</f>
        <v/>
      </c>
      <c r="G54" s="36">
        <f>IFERROR((IF(COUNT('연간'!K16:N16)&lt;4,"",SUM('연간'!K16:N16)))/(IF(COUNT('연간'!K4:N4)&lt;4,"",SUM('연간'!K4:N4))),"")</f>
        <v/>
      </c>
      <c r="H54" s="35">
        <f>IFERROR(('연간'!T16)/('연간'!T4),"")</f>
        <v/>
      </c>
      <c r="I54" s="36">
        <f>IFERROR(('연간'!U16)/('연간'!U4),"")</f>
        <v/>
      </c>
      <c r="J54" s="36">
        <f>IFERROR(('연간'!V16)/('연간'!V4),"")</f>
        <v/>
      </c>
      <c r="K54" s="36">
        <f>IFERROR(('연간'!W16)/('연간'!W4),"")</f>
        <v/>
      </c>
      <c r="L54" s="36">
        <f>IFERROR(('연간'!X16)/('연간'!X4),"")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IFERROR((IF(COUNT('연간'!G50:J50)&lt;4,"",SUM('연간'!G50:J50)))/(IF(COUNT('연간'!G4:J4)&lt;4,"",SUM('연간'!G4:J4))),"")</f>
        <v/>
      </c>
      <c r="D56" s="36">
        <f>IFERROR((IF(COUNT('연간'!H50:K50)&lt;4,"",SUM('연간'!H50:K50)))/(IF(COUNT('연간'!H4:K4)&lt;4,"",SUM('연간'!H4:K4))),"")</f>
        <v/>
      </c>
      <c r="E56" s="36">
        <f>IFERROR((IF(COUNT('연간'!I50:L50)&lt;4,"",SUM('연간'!I50:L50)))/(IF(COUNT('연간'!I4:L4)&lt;4,"",SUM('연간'!I4:L4))),"")</f>
        <v/>
      </c>
      <c r="F56" s="36">
        <f>IFERROR((IF(COUNT('연간'!J50:M50)&lt;4,"",SUM('연간'!J50:M50)))/(IF(COUNT('연간'!J4:M4)&lt;4,"",SUM('연간'!J4:M4))),"")</f>
        <v/>
      </c>
      <c r="G56" s="36">
        <f>IFERROR((IF(COUNT('연간'!K50:N50)&lt;4,"",SUM('연간'!K50:N50)))/(IF(COUNT('연간'!K4:N4)&lt;4,"",SUM('연간'!K4:N4))),"")</f>
        <v/>
      </c>
      <c r="H56" s="35">
        <f>IFERROR(('연간'!T50)/('연간'!T4),"")</f>
        <v/>
      </c>
      <c r="I56" s="36">
        <f>IFERROR(('연간'!U50)/('연간'!U4),"")</f>
        <v/>
      </c>
      <c r="J56" s="36">
        <f>IFERROR(('연간'!V50)/('연간'!V4),"")</f>
        <v/>
      </c>
      <c r="K56" s="36">
        <f>IFERROR(('연간'!W50)/('연간'!W4),"")</f>
        <v/>
      </c>
      <c r="L56" s="36">
        <f>IFERROR(('연간'!X50)/('연간'!X4),"")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IFERROR(C9/(IF(COUNT('연간'!G14:J14)&lt;4,"",SUM('연간'!G14:J14)))*365,"")</f>
        <v/>
      </c>
      <c r="D60" s="49">
        <f>IFERROR(D9/(IF(COUNT('연간'!H14:K14)&lt;4,"",SUM('연간'!H14:K14)))*365,"")</f>
        <v/>
      </c>
      <c r="E60" s="49">
        <f>IFERROR(E9/(IF(COUNT('연간'!I14:L14)&lt;4,"",SUM('연간'!I14:L14)))*365,"")</f>
        <v/>
      </c>
      <c r="F60" s="49">
        <f>IFERROR(F9/(IF(COUNT('연간'!J14:M14)&lt;4,"",SUM('연간'!J14:M14)))*365,"")</f>
        <v/>
      </c>
      <c r="G60" s="49">
        <f>IFERROR(G9/(IF(COUNT('연간'!K14:N14)&lt;4,"",SUM('연간'!K14:N14)))*365,"")</f>
        <v/>
      </c>
      <c r="H60" s="48">
        <f>IFERROR(H9/('연간'!T14)*365,"")</f>
        <v/>
      </c>
      <c r="I60" s="49">
        <f>IFERROR(I9/('연간'!U14)*365,"")</f>
        <v/>
      </c>
      <c r="J60" s="49">
        <f>IFERROR(J9/('연간'!V14)*365,"")</f>
        <v/>
      </c>
      <c r="K60" s="49">
        <f>IFERROR(K9/('연간'!W14)*365,"")</f>
        <v/>
      </c>
      <c r="L60" s="49">
        <f>IFERROR(L9/('연간'!X14)*365,"")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IFERROR(C19/(IF(COUNT('연간'!G14:J14)&lt;4,"",SUM('연간'!G14:J14)))*365,"")</f>
        <v/>
      </c>
      <c r="D61" s="49">
        <f>IFERROR(D19/(IF(COUNT('연간'!H14:K14)&lt;4,"",SUM('연간'!H14:K14)))*365,"")</f>
        <v/>
      </c>
      <c r="E61" s="49">
        <f>IFERROR(E19/(IF(COUNT('연간'!I14:L14)&lt;4,"",SUM('연간'!I14:L14)))*365,"")</f>
        <v/>
      </c>
      <c r="F61" s="49">
        <f>IFERROR(F19/(IF(COUNT('연간'!J14:M14)&lt;4,"",SUM('연간'!J14:M14)))*365,"")</f>
        <v/>
      </c>
      <c r="G61" s="49">
        <f>IFERROR(G19/(IF(COUNT('연간'!K14:N14)&lt;4,"",SUM('연간'!K14:N14)))*365,"")</f>
        <v/>
      </c>
      <c r="H61" s="48">
        <f>IFERROR(H19/('연간'!T14)*365,"")</f>
        <v/>
      </c>
      <c r="I61" s="49">
        <f>IFERROR(I19/('연간'!U14)*365,"")</f>
        <v/>
      </c>
      <c r="J61" s="49">
        <f>IFERROR(J19/('연간'!V14)*365,"")</f>
        <v/>
      </c>
      <c r="K61" s="49">
        <f>IFERROR(K19/('연간'!W14)*365,"")</f>
        <v/>
      </c>
      <c r="L61" s="49">
        <f>IFERROR(L19/('연간'!X14)*365,"")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IF(C37="","",IFERROR(C37/(IF(COUNT('연간'!G50:J50)&lt;4,"",SUM('연간'!G50:J50))),""))</f>
        <v/>
      </c>
      <c r="D64" s="31">
        <f>IF(D37="","",IFERROR(D37/(IF(COUNT('연간'!H50:K50)&lt;4,"",SUM('연간'!H50:K50))),""))</f>
        <v/>
      </c>
      <c r="E64" s="31">
        <f>IF(E37="","",IFERROR(E37/(IF(COUNT('연간'!I50:L50)&lt;4,"",SUM('연간'!I50:L50))),""))</f>
        <v/>
      </c>
      <c r="F64" s="31">
        <f>IF(F37="","",IFERROR(F37/(IF(COUNT('연간'!J50:M50)&lt;4,"",SUM('연간'!J50:M50))),""))</f>
        <v/>
      </c>
      <c r="G64" s="31">
        <f>IF(G37="","",IFERROR(G37/(IF(COUNT('연간'!K50:N50)&lt;4,"",SUM('연간'!K50:N50))),""))</f>
        <v/>
      </c>
      <c r="H64" s="30">
        <f>IF(H37="","",IFERROR(H37/('연간'!T50),""))</f>
        <v/>
      </c>
      <c r="I64" s="31">
        <f>IF(I37="","",IFERROR(I37/('연간'!U50),""))</f>
        <v/>
      </c>
      <c r="J64" s="31">
        <f>IF(J37="","",IFERROR(J37/('연간'!V50),""))</f>
        <v/>
      </c>
      <c r="K64" s="31">
        <f>IF(K37="","",IFERROR(K37/('연간'!W50),""))</f>
        <v/>
      </c>
      <c r="L64" s="31">
        <f>IF(L37="","",IFERROR(L37/('연간'!X50),""))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IF(C40="","",IFERROR(C40/(IF(COUNT('연간'!G52:J52)&lt;4,"",SUM('연간'!G52:J52))),""))</f>
        <v/>
      </c>
      <c r="D67" s="36">
        <f>IF(D40="","",IFERROR(D40/(IF(COUNT('연간'!H52:K52)&lt;4,"",SUM('연간'!H52:K52))),""))</f>
        <v/>
      </c>
      <c r="E67" s="36">
        <f>IF(E40="","",IFERROR(E40/(IF(COUNT('연간'!I52:L52)&lt;4,"",SUM('연간'!I52:L52))),""))</f>
        <v/>
      </c>
      <c r="F67" s="36">
        <f>IF(F40="","",IFERROR(F40/(IF(COUNT('연간'!J52:M52)&lt;4,"",SUM('연간'!J52:M52))),""))</f>
        <v/>
      </c>
      <c r="G67" s="36">
        <f>IF(G40="","",IFERROR(G40/(IF(COUNT('연간'!K52:N52)&lt;4,"",SUM('연간'!K52:N52))),""))</f>
        <v/>
      </c>
      <c r="H67" s="35">
        <f>IF(H40="","",IFERROR(H40/('연간'!T52),""))</f>
        <v/>
      </c>
      <c r="I67" s="36">
        <f>IF(I40="","",IFERROR(I40/('연간'!U52),""))</f>
        <v/>
      </c>
      <c r="J67" s="36">
        <f>IF(J40="","",IFERROR(J40/('연간'!V52),""))</f>
        <v/>
      </c>
      <c r="K67" s="36">
        <f>IF(K40="","",IFERROR(K40/('연간'!W52),""))</f>
        <v/>
      </c>
      <c r="L67" s="36">
        <f>IF(L40="","",IFERROR(L40/('연간'!X52),""))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1119</v>
      </c>
      <c r="D71" s="20" t="n">
        <v>1118</v>
      </c>
      <c r="E71" s="20" t="n">
        <v>1105</v>
      </c>
      <c r="F71" s="20" t="n">
        <v>1024</v>
      </c>
      <c r="G71" s="20" t="n">
        <v>1383</v>
      </c>
      <c r="H71" s="20" t="n">
        <v>3034</v>
      </c>
      <c r="I71" s="20" t="n">
        <v>2108</v>
      </c>
      <c r="J71" s="20" t="n">
        <v>2341</v>
      </c>
      <c r="K71" s="20" t="n">
        <v>1906</v>
      </c>
      <c r="L71" s="20" t="n">
        <v>1024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F73" s="20" t="n">
        <v>1096</v>
      </c>
      <c r="H73" s="20" t="n">
        <v>734</v>
      </c>
      <c r="I73" s="20" t="n">
        <v>495</v>
      </c>
      <c r="J73" s="20" t="n">
        <v>465</v>
      </c>
      <c r="K73" s="20" t="n">
        <v>597</v>
      </c>
      <c r="L73" s="20" t="n">
        <v>1096</v>
      </c>
    </row>
    <row r="74">
      <c r="A74" s="18" t="inlineStr">
        <is>
          <t>매출채권</t>
        </is>
      </c>
      <c r="F74" s="20" t="n">
        <v>4762</v>
      </c>
      <c r="H74" s="20" t="n">
        <v>4573</v>
      </c>
      <c r="I74" s="20" t="n">
        <v>4643</v>
      </c>
      <c r="J74" s="20" t="n">
        <v>5514</v>
      </c>
      <c r="K74" s="20" t="n">
        <v>4047</v>
      </c>
      <c r="L74" s="20" t="n">
        <v>4762</v>
      </c>
    </row>
    <row r="75">
      <c r="A75" s="18" t="inlineStr">
        <is>
          <t>계약자산</t>
        </is>
      </c>
      <c r="F75" s="20" t="n">
        <v>15220</v>
      </c>
      <c r="H75" s="20" t="n">
        <v>4141</v>
      </c>
      <c r="I75" s="20" t="n">
        <v>6606</v>
      </c>
      <c r="J75" s="20" t="n">
        <v>7650</v>
      </c>
      <c r="K75" s="20" t="n">
        <v>8228</v>
      </c>
      <c r="L75" s="20" t="n">
        <v>15220</v>
      </c>
    </row>
    <row r="76">
      <c r="A76" s="18" t="inlineStr">
        <is>
          <t>받을어음·매출채권·계약자산</t>
        </is>
      </c>
      <c r="C76" s="20" t="n">
        <v>13266</v>
      </c>
      <c r="D76" s="20" t="n">
        <v>15760</v>
      </c>
      <c r="E76" s="20" t="n">
        <v>18389</v>
      </c>
      <c r="F76" s="20" t="n">
        <v>21111</v>
      </c>
      <c r="G76" s="20" t="n">
        <v>25226</v>
      </c>
      <c r="H76" s="20" t="n">
        <v>9492</v>
      </c>
      <c r="I76" s="20" t="n">
        <v>11746</v>
      </c>
      <c r="J76" s="20" t="n">
        <v>13678</v>
      </c>
      <c r="K76" s="20" t="n">
        <v>12881</v>
      </c>
      <c r="L76" s="20" t="n">
        <v>21111</v>
      </c>
    </row>
    <row r="77">
      <c r="A77" s="18" t="inlineStr">
        <is>
          <t>재고자산</t>
        </is>
      </c>
      <c r="C77" s="20" t="n">
        <v>4727</v>
      </c>
      <c r="D77" s="20" t="n">
        <v>4812</v>
      </c>
      <c r="E77" s="20" t="n">
        <v>5155</v>
      </c>
      <c r="F77" s="20" t="n">
        <v>4893</v>
      </c>
      <c r="G77" s="20" t="n">
        <v>4988</v>
      </c>
      <c r="H77" s="20" t="n">
        <v>2724</v>
      </c>
      <c r="I77" s="20" t="n">
        <v>3398</v>
      </c>
      <c r="J77" s="20" t="n">
        <v>3825</v>
      </c>
      <c r="K77" s="20" t="n">
        <v>4171</v>
      </c>
      <c r="L77" s="20" t="n">
        <v>4893</v>
      </c>
    </row>
    <row r="78">
      <c r="A78" s="18" t="inlineStr">
        <is>
          <t>선급금</t>
        </is>
      </c>
      <c r="F78" s="20" t="n">
        <v>269</v>
      </c>
      <c r="H78" s="20" t="n">
        <v>21</v>
      </c>
      <c r="I78" s="20" t="n">
        <v>15</v>
      </c>
      <c r="J78" s="20" t="n">
        <v>12</v>
      </c>
      <c r="K78" s="20" t="n">
        <v>173</v>
      </c>
      <c r="L78" s="20" t="n">
        <v>269</v>
      </c>
    </row>
    <row r="79">
      <c r="A79" s="18" t="inlineStr">
        <is>
          <t>선급비용</t>
        </is>
      </c>
      <c r="F79" s="20" t="n">
        <v>42</v>
      </c>
      <c r="H79" s="20" t="n">
        <v>49</v>
      </c>
      <c r="I79" s="20" t="n">
        <v>51</v>
      </c>
      <c r="J79" s="20" t="n">
        <v>42</v>
      </c>
      <c r="K79" s="20" t="n">
        <v>44</v>
      </c>
      <c r="L79" s="20" t="n">
        <v>42</v>
      </c>
    </row>
    <row r="80">
      <c r="A80" s="18" t="inlineStr">
        <is>
          <t>미수금</t>
        </is>
      </c>
      <c r="F80" s="20" t="n">
        <v>124</v>
      </c>
      <c r="H80" s="20" t="n">
        <v>218</v>
      </c>
      <c r="I80" s="20" t="n">
        <v>162</v>
      </c>
      <c r="J80" s="20" t="n">
        <v>37</v>
      </c>
      <c r="K80" s="20" t="n">
        <v>3</v>
      </c>
      <c r="L80" s="20" t="n">
        <v>124</v>
      </c>
    </row>
    <row r="81">
      <c r="A81" s="18" t="inlineStr">
        <is>
          <t>기타</t>
        </is>
      </c>
      <c r="C81" s="20" t="n">
        <v>442</v>
      </c>
      <c r="D81" s="20" t="n">
        <v>670</v>
      </c>
      <c r="E81" s="20" t="n">
        <v>636</v>
      </c>
      <c r="F81" s="20" t="n">
        <v>515</v>
      </c>
      <c r="G81" s="20" t="n">
        <v>423</v>
      </c>
      <c r="H81" s="20" t="n">
        <v>7</v>
      </c>
      <c r="I81" s="20" t="n">
        <v>150</v>
      </c>
      <c r="J81" s="20" t="n">
        <v>133</v>
      </c>
      <c r="K81" s="20" t="n">
        <v>56</v>
      </c>
      <c r="L81" s="20" t="n">
        <v>515</v>
      </c>
    </row>
    <row r="82">
      <c r="A82" s="9" t="inlineStr">
        <is>
          <t>유동자산 합계</t>
        </is>
      </c>
      <c r="C82" s="12" t="n">
        <v>19556</v>
      </c>
      <c r="D82" s="12" t="n">
        <v>22362</v>
      </c>
      <c r="E82" s="12" t="n">
        <v>25286</v>
      </c>
      <c r="F82" s="12" t="n">
        <v>27545</v>
      </c>
      <c r="G82" s="12" t="n">
        <v>32022</v>
      </c>
      <c r="H82" s="12" t="n">
        <v>15506</v>
      </c>
      <c r="I82" s="12" t="n">
        <v>17403</v>
      </c>
      <c r="J82" s="12" t="n">
        <v>19979</v>
      </c>
      <c r="K82" s="12" t="n">
        <v>19229</v>
      </c>
      <c r="L82" s="12" t="n">
        <v>27545</v>
      </c>
    </row>
    <row r="83">
      <c r="A83" s="18" t="inlineStr">
        <is>
          <t>건물·구축물(순액)</t>
        </is>
      </c>
      <c r="C83" s="20" t="n">
        <v>545</v>
      </c>
      <c r="D83" s="20" t="n">
        <v>541</v>
      </c>
      <c r="E83" s="20" t="n">
        <v>548</v>
      </c>
      <c r="F83" s="20" t="n">
        <v>575</v>
      </c>
      <c r="G83" s="20" t="n">
        <v>634</v>
      </c>
      <c r="H83" s="20" t="n">
        <v>395</v>
      </c>
      <c r="I83" s="20" t="n">
        <v>503</v>
      </c>
      <c r="J83" s="20" t="n">
        <v>531</v>
      </c>
      <c r="K83" s="20" t="n">
        <v>431</v>
      </c>
      <c r="L83" s="20" t="n">
        <v>575</v>
      </c>
    </row>
    <row r="84">
      <c r="A84" s="18" t="inlineStr">
        <is>
          <t>기계장치·운반구</t>
        </is>
      </c>
      <c r="F84" s="20" t="n">
        <v>22</v>
      </c>
      <c r="H84" s="20" t="n">
        <v>45</v>
      </c>
      <c r="I84" s="20" t="n">
        <v>37</v>
      </c>
      <c r="J84" s="20" t="n">
        <v>45</v>
      </c>
      <c r="K84" s="20" t="n">
        <v>10</v>
      </c>
      <c r="L84" s="20" t="n">
        <v>22</v>
      </c>
    </row>
    <row r="85">
      <c r="A85" s="18" t="inlineStr">
        <is>
          <t>공구·기구·비품</t>
        </is>
      </c>
      <c r="F85" s="20" t="n">
        <v>337</v>
      </c>
      <c r="H85" s="20" t="n">
        <v>170</v>
      </c>
      <c r="I85" s="20" t="n">
        <v>197</v>
      </c>
      <c r="J85" s="20" t="n">
        <v>266</v>
      </c>
      <c r="K85" s="20" t="n">
        <v>305</v>
      </c>
      <c r="L85" s="20" t="n">
        <v>337</v>
      </c>
    </row>
    <row r="86">
      <c r="A86" s="18" t="inlineStr">
        <is>
          <t>토지</t>
        </is>
      </c>
      <c r="C86" s="20" t="n">
        <v>3592</v>
      </c>
      <c r="D86" s="20" t="n">
        <v>3592</v>
      </c>
      <c r="E86" s="20" t="n">
        <v>3592</v>
      </c>
      <c r="F86" s="20" t="n">
        <v>3592</v>
      </c>
      <c r="G86" s="20" t="n">
        <v>3592</v>
      </c>
      <c r="H86" s="20" t="n">
        <v>3544</v>
      </c>
      <c r="I86" s="20" t="n">
        <v>3592</v>
      </c>
      <c r="J86" s="20" t="n">
        <v>3592</v>
      </c>
      <c r="K86" s="20" t="n">
        <v>3289</v>
      </c>
      <c r="L86" s="20" t="n">
        <v>3592</v>
      </c>
    </row>
    <row r="87">
      <c r="A87" s="18" t="inlineStr">
        <is>
          <t>건설중인자산</t>
        </is>
      </c>
      <c r="F87" s="20" t="n">
        <v>328</v>
      </c>
      <c r="H87" s="20" t="n">
        <v>30</v>
      </c>
      <c r="I87" s="20" t="n">
        <v>70</v>
      </c>
      <c r="J87" s="20" t="n">
        <v>312</v>
      </c>
      <c r="K87" s="20" t="n">
        <v>90</v>
      </c>
      <c r="L87" s="20" t="n">
        <v>328</v>
      </c>
    </row>
    <row r="88">
      <c r="A88" s="18" t="inlineStr">
        <is>
          <t>기타</t>
        </is>
      </c>
      <c r="C88" s="20" t="n">
        <v>500</v>
      </c>
      <c r="D88" s="20" t="n">
        <v>593</v>
      </c>
      <c r="E88" s="20" t="n">
        <v>664</v>
      </c>
      <c r="F88" s="20" t="n">
        <v>837</v>
      </c>
      <c r="G88" s="20" t="n">
        <v>897</v>
      </c>
      <c r="H88" s="20" t="n">
        <v>264</v>
      </c>
      <c r="I88" s="20" t="n">
        <v>306</v>
      </c>
      <c r="J88" s="20" t="n">
        <v>624</v>
      </c>
      <c r="K88" s="20" t="n">
        <v>551</v>
      </c>
      <c r="L88" s="20" t="n">
        <v>837</v>
      </c>
    </row>
    <row r="89">
      <c r="A89" s="18" t="inlineStr">
        <is>
          <t>유형자산 합계</t>
        </is>
      </c>
      <c r="C89" s="20" t="n">
        <v>4638</v>
      </c>
      <c r="D89" s="20" t="n">
        <v>4727</v>
      </c>
      <c r="E89" s="20" t="n">
        <v>4804</v>
      </c>
      <c r="F89" s="20" t="n">
        <v>5004</v>
      </c>
      <c r="G89" s="20" t="n">
        <v>5124</v>
      </c>
      <c r="H89" s="20" t="n">
        <v>4186</v>
      </c>
      <c r="I89" s="20" t="n">
        <v>4401</v>
      </c>
      <c r="J89" s="20" t="n">
        <v>4748</v>
      </c>
      <c r="K89" s="20" t="n">
        <v>4128</v>
      </c>
      <c r="L89" s="20" t="n">
        <v>5004</v>
      </c>
    </row>
    <row r="90">
      <c r="A90" s="18" t="inlineStr">
        <is>
          <t>소프트웨어</t>
        </is>
      </c>
      <c r="F90" s="20" t="n">
        <v>218</v>
      </c>
      <c r="H90" s="20" t="n">
        <v>203</v>
      </c>
      <c r="I90" s="20" t="n">
        <v>176</v>
      </c>
      <c r="J90" s="20" t="n">
        <v>135</v>
      </c>
      <c r="K90" s="20" t="n">
        <v>167</v>
      </c>
      <c r="L90" s="20" t="n">
        <v>218</v>
      </c>
    </row>
    <row r="91">
      <c r="A91" s="18" t="inlineStr">
        <is>
          <t>기타</t>
        </is>
      </c>
      <c r="F91" s="20" t="n">
        <v>0</v>
      </c>
      <c r="H91" s="20" t="n">
        <v>0</v>
      </c>
      <c r="I91" s="20" t="n">
        <v>0</v>
      </c>
      <c r="J91" s="20" t="n">
        <v>0</v>
      </c>
      <c r="K91" s="20" t="n">
        <v>0</v>
      </c>
      <c r="L91" s="20" t="n">
        <v>0</v>
      </c>
    </row>
    <row r="92">
      <c r="A92" s="18" t="inlineStr">
        <is>
          <t>무형자산</t>
        </is>
      </c>
      <c r="C92" s="20" t="n">
        <v>191</v>
      </c>
      <c r="D92" s="20" t="n">
        <v>206</v>
      </c>
      <c r="E92" s="20" t="n">
        <v>211</v>
      </c>
      <c r="F92" s="20" t="n">
        <v>237</v>
      </c>
      <c r="G92" s="20" t="n">
        <v>232</v>
      </c>
      <c r="H92" s="20" t="n">
        <v>204</v>
      </c>
      <c r="I92" s="20" t="n">
        <v>185</v>
      </c>
      <c r="J92" s="20" t="n">
        <v>146</v>
      </c>
      <c r="K92" s="20" t="n">
        <v>167</v>
      </c>
      <c r="L92" s="20" t="n">
        <v>237</v>
      </c>
    </row>
    <row r="93">
      <c r="A93" s="18" t="inlineStr">
        <is>
          <t>투자유가증권</t>
        </is>
      </c>
      <c r="F93" s="20" t="n">
        <v>23</v>
      </c>
      <c r="H93" s="20" t="n">
        <v>16</v>
      </c>
      <c r="I93" s="20" t="n">
        <v>18</v>
      </c>
      <c r="J93" s="20" t="n">
        <v>21</v>
      </c>
      <c r="K93" s="20" t="n">
        <v>19</v>
      </c>
      <c r="L93" s="20" t="n">
        <v>23</v>
      </c>
    </row>
    <row r="94">
      <c r="A94" s="18" t="inlineStr">
        <is>
          <t>관계회사 주식</t>
        </is>
      </c>
      <c r="F94" s="20" t="n">
        <v>450</v>
      </c>
      <c r="H94" s="20" t="n">
        <v>450</v>
      </c>
      <c r="I94" s="20" t="n">
        <v>450</v>
      </c>
      <c r="J94" s="20" t="n">
        <v>450</v>
      </c>
      <c r="K94" s="20" t="n">
        <v>450</v>
      </c>
      <c r="L94" s="20" t="n">
        <v>450</v>
      </c>
    </row>
    <row r="95">
      <c r="A95" s="18" t="inlineStr">
        <is>
          <t>선급연금비용</t>
        </is>
      </c>
      <c r="F95" s="20" t="n">
        <v>2670</v>
      </c>
      <c r="H95" s="20" t="n">
        <v>2314</v>
      </c>
      <c r="I95" s="20" t="n">
        <v>2479</v>
      </c>
      <c r="J95" s="20" t="n">
        <v>2617</v>
      </c>
      <c r="K95" s="20" t="n">
        <v>2637</v>
      </c>
      <c r="L95" s="20" t="n">
        <v>2670</v>
      </c>
    </row>
    <row r="96">
      <c r="A96" s="18" t="inlineStr">
        <is>
          <t>이연법인세자산</t>
        </is>
      </c>
      <c r="F96" s="20" t="n">
        <v>303</v>
      </c>
      <c r="H96" s="20" t="n">
        <v>5</v>
      </c>
      <c r="I96" s="20" t="n">
        <v>4</v>
      </c>
      <c r="J96" s="20" t="n">
        <v>210</v>
      </c>
      <c r="K96" s="20" t="n">
        <v>211</v>
      </c>
      <c r="L96" s="20" t="n">
        <v>303</v>
      </c>
    </row>
    <row r="97">
      <c r="A97" s="18" t="inlineStr">
        <is>
          <t>퇴직급여자산</t>
        </is>
      </c>
      <c r="C97" s="20" t="n">
        <v>2266</v>
      </c>
      <c r="D97" s="20" t="n">
        <v>2286</v>
      </c>
      <c r="E97" s="20" t="n">
        <v>2306</v>
      </c>
      <c r="F97" s="20" t="n">
        <v>2933</v>
      </c>
      <c r="G97" s="20" t="n">
        <v>2948</v>
      </c>
      <c r="H97" s="20" t="n">
        <v>2217</v>
      </c>
      <c r="I97" s="20" t="n">
        <v>1889</v>
      </c>
      <c r="J97" s="20" t="n">
        <v>2371</v>
      </c>
      <c r="K97" s="20" t="n">
        <v>2246</v>
      </c>
      <c r="L97" s="20" t="n">
        <v>2933</v>
      </c>
    </row>
    <row r="98">
      <c r="A98" s="18" t="inlineStr">
        <is>
          <t>기타</t>
        </is>
      </c>
      <c r="C98" s="20" t="n">
        <v>306</v>
      </c>
      <c r="D98" s="20" t="n">
        <v>473</v>
      </c>
      <c r="E98" s="20" t="n">
        <v>336</v>
      </c>
      <c r="F98" s="20" t="n">
        <v>374</v>
      </c>
      <c r="G98" s="20" t="n">
        <v>179</v>
      </c>
      <c r="H98" s="20" t="n">
        <v>86</v>
      </c>
      <c r="I98" s="20" t="n">
        <v>80</v>
      </c>
      <c r="J98" s="20" t="n">
        <v>68</v>
      </c>
      <c r="K98" s="20" t="n">
        <v>63</v>
      </c>
      <c r="L98" s="20" t="n">
        <v>374</v>
      </c>
    </row>
    <row r="99">
      <c r="A99" s="18" t="inlineStr">
        <is>
          <t>대손충당금</t>
        </is>
      </c>
      <c r="C99" s="20" t="n">
        <v>-18</v>
      </c>
      <c r="D99" s="20" t="n">
        <v>-18</v>
      </c>
      <c r="E99" s="20" t="n">
        <v>-18</v>
      </c>
      <c r="F99" s="20" t="n">
        <v>-18</v>
      </c>
      <c r="G99" s="20" t="n">
        <v>-18</v>
      </c>
      <c r="H99" s="20" t="n">
        <v>-18</v>
      </c>
      <c r="I99" s="20" t="n">
        <v>-18</v>
      </c>
      <c r="J99" s="20" t="n">
        <v>-18</v>
      </c>
      <c r="K99" s="20" t="n">
        <v>-18</v>
      </c>
      <c r="L99" s="20" t="n">
        <v>-18</v>
      </c>
    </row>
    <row r="100">
      <c r="A100" s="18" t="inlineStr">
        <is>
          <t>투자 및 기타자산 합계</t>
        </is>
      </c>
      <c r="C100" s="20" t="n">
        <v>2554</v>
      </c>
      <c r="D100" s="20" t="n">
        <v>2741</v>
      </c>
      <c r="E100" s="20" t="n">
        <v>2624</v>
      </c>
      <c r="F100" s="20" t="n">
        <v>3289</v>
      </c>
      <c r="G100" s="20" t="n">
        <v>3109</v>
      </c>
      <c r="H100" s="20" t="n">
        <v>2848</v>
      </c>
      <c r="I100" s="20" t="n">
        <v>1973</v>
      </c>
      <c r="J100" s="20" t="n">
        <v>2653</v>
      </c>
      <c r="K100" s="20" t="n">
        <v>3363</v>
      </c>
      <c r="L100" s="20" t="n">
        <v>3289</v>
      </c>
    </row>
    <row r="101">
      <c r="A101" s="9" t="inlineStr">
        <is>
          <t>비유동자산 합계</t>
        </is>
      </c>
      <c r="C101" s="12" t="n">
        <v>7384</v>
      </c>
      <c r="D101" s="12" t="n">
        <v>7674</v>
      </c>
      <c r="E101" s="12" t="n">
        <v>7640</v>
      </c>
      <c r="F101" s="12" t="n">
        <v>8532</v>
      </c>
      <c r="G101" s="12" t="n">
        <v>8467</v>
      </c>
      <c r="H101" s="12" t="n">
        <v>7239</v>
      </c>
      <c r="I101" s="12" t="n">
        <v>6560</v>
      </c>
      <c r="J101" s="12" t="n">
        <v>7548</v>
      </c>
      <c r="K101" s="12" t="n">
        <v>7659</v>
      </c>
      <c r="L101" s="12" t="n">
        <v>8532</v>
      </c>
    </row>
    <row r="102">
      <c r="A102" s="9" t="inlineStr">
        <is>
          <t>자산 합계</t>
        </is>
      </c>
      <c r="C102" s="12" t="n">
        <v>26940</v>
      </c>
      <c r="D102" s="12" t="n">
        <v>30037</v>
      </c>
      <c r="E102" s="12" t="n">
        <v>32926</v>
      </c>
      <c r="F102" s="12" t="n">
        <v>36077</v>
      </c>
      <c r="G102" s="12" t="n">
        <v>40489</v>
      </c>
      <c r="H102" s="12" t="n">
        <v>22745</v>
      </c>
      <c r="I102" s="12" t="n">
        <v>23964</v>
      </c>
      <c r="J102" s="12" t="n">
        <v>27528</v>
      </c>
      <c r="K102" s="12" t="n">
        <v>26889</v>
      </c>
      <c r="L102" s="12" t="n">
        <v>36077</v>
      </c>
    </row>
    <row r="103">
      <c r="A103" s="18" t="inlineStr">
        <is>
          <t>지급어음</t>
        </is>
      </c>
      <c r="H103" s="20" t="n">
        <v>1685</v>
      </c>
      <c r="I103" s="20" t="n">
        <v>118</v>
      </c>
      <c r="J103" s="20" t="n">
        <v>81</v>
      </c>
      <c r="K103" s="20" t="n">
        <v>0</v>
      </c>
    </row>
    <row r="104">
      <c r="A104" s="18" t="inlineStr">
        <is>
          <t>지급어음·매입채무</t>
        </is>
      </c>
      <c r="C104" s="20" t="n">
        <v>1747</v>
      </c>
      <c r="D104" s="20" t="n">
        <v>2584</v>
      </c>
      <c r="E104" s="20" t="n">
        <v>2657</v>
      </c>
      <c r="H104" s="20" t="n">
        <v>3186</v>
      </c>
      <c r="I104" s="20" t="n">
        <v>1712</v>
      </c>
      <c r="J104" s="20" t="n">
        <v>1868</v>
      </c>
      <c r="K104" s="20" t="n">
        <v>1716</v>
      </c>
    </row>
    <row r="105">
      <c r="A105" s="18" t="inlineStr">
        <is>
          <t>매입채무</t>
        </is>
      </c>
      <c r="F105" s="20" t="n">
        <v>3135</v>
      </c>
      <c r="G105" s="20" t="n">
        <v>2663</v>
      </c>
      <c r="H105" s="20" t="n">
        <v>1703</v>
      </c>
      <c r="I105" s="20" t="n">
        <v>1789</v>
      </c>
      <c r="J105" s="20" t="n">
        <v>2007</v>
      </c>
      <c r="K105" s="20" t="n">
        <v>1864</v>
      </c>
      <c r="L105" s="20" t="n">
        <v>3135</v>
      </c>
    </row>
    <row r="106">
      <c r="A106" s="18" t="inlineStr">
        <is>
          <t>전자기록채무</t>
        </is>
      </c>
      <c r="C106" s="20" t="n">
        <v>1087</v>
      </c>
      <c r="D106" s="20" t="n">
        <v>1685</v>
      </c>
      <c r="E106" s="20" t="n">
        <v>1779</v>
      </c>
      <c r="F106" s="20" t="n">
        <v>761</v>
      </c>
      <c r="G106" s="20" t="n">
        <v>707</v>
      </c>
      <c r="I106" s="20" t="n">
        <v>1996</v>
      </c>
      <c r="J106" s="20" t="n">
        <v>1494</v>
      </c>
      <c r="K106" s="20" t="n">
        <v>1248</v>
      </c>
      <c r="L106" s="20" t="n">
        <v>761</v>
      </c>
    </row>
    <row r="107">
      <c r="A107" s="18" t="inlineStr">
        <is>
          <t>단기차입금</t>
        </is>
      </c>
      <c r="C107" s="20" t="n">
        <v>3845</v>
      </c>
      <c r="D107" s="20" t="n">
        <v>4540</v>
      </c>
      <c r="E107" s="20" t="n">
        <v>6725</v>
      </c>
      <c r="F107" s="20" t="n">
        <v>9510</v>
      </c>
      <c r="G107" s="20" t="n">
        <v>14680</v>
      </c>
      <c r="H107" s="20" t="n">
        <v>1970</v>
      </c>
      <c r="I107" s="20" t="n">
        <v>1570</v>
      </c>
      <c r="J107" s="20" t="n">
        <v>2770</v>
      </c>
      <c r="K107" s="20" t="n">
        <v>2830</v>
      </c>
      <c r="L107" s="20" t="n">
        <v>9510</v>
      </c>
    </row>
    <row r="108">
      <c r="A108" s="18" t="inlineStr">
        <is>
          <t>미지급금</t>
        </is>
      </c>
      <c r="F108" s="20" t="n">
        <v>600</v>
      </c>
      <c r="H108" s="20" t="n">
        <v>593</v>
      </c>
      <c r="I108" s="20" t="n">
        <v>405</v>
      </c>
      <c r="J108" s="20" t="n">
        <v>916</v>
      </c>
      <c r="K108" s="20" t="n">
        <v>683</v>
      </c>
      <c r="L108" s="20" t="n">
        <v>600</v>
      </c>
    </row>
    <row r="109">
      <c r="A109" s="18" t="inlineStr">
        <is>
          <t>미지급비용</t>
        </is>
      </c>
      <c r="F109" s="20" t="n">
        <v>205</v>
      </c>
      <c r="H109" s="20" t="n">
        <v>200</v>
      </c>
      <c r="I109" s="20" t="n">
        <v>174</v>
      </c>
      <c r="J109" s="20" t="n">
        <v>236</v>
      </c>
      <c r="K109" s="20" t="n">
        <v>178</v>
      </c>
      <c r="L109" s="20" t="n">
        <v>205</v>
      </c>
    </row>
    <row r="110">
      <c r="A110" s="18" t="inlineStr">
        <is>
          <t>미지급법인세</t>
        </is>
      </c>
      <c r="C110" s="20" t="n">
        <v>36</v>
      </c>
      <c r="D110" s="20" t="n">
        <v>670</v>
      </c>
      <c r="E110" s="20" t="n">
        <v>518</v>
      </c>
      <c r="F110" s="20" t="n">
        <v>1333</v>
      </c>
      <c r="G110" s="20" t="n">
        <v>373</v>
      </c>
      <c r="H110" s="20" t="n">
        <v>286</v>
      </c>
      <c r="I110" s="20" t="n">
        <v>196</v>
      </c>
      <c r="J110" s="20" t="n">
        <v>272</v>
      </c>
      <c r="K110" s="20" t="n">
        <v>654</v>
      </c>
      <c r="L110" s="20" t="n">
        <v>1333</v>
      </c>
    </row>
    <row r="111">
      <c r="A111" s="18" t="inlineStr">
        <is>
          <t>선수금</t>
        </is>
      </c>
      <c r="H111" s="20" t="n">
        <v>62</v>
      </c>
    </row>
    <row r="112">
      <c r="A112" s="18" t="inlineStr">
        <is>
          <t>계약부채</t>
        </is>
      </c>
      <c r="F112" s="20" t="n">
        <v>100</v>
      </c>
      <c r="H112" s="20" t="n">
        <v>62</v>
      </c>
      <c r="I112" s="20" t="n">
        <v>46</v>
      </c>
      <c r="J112" s="20" t="n">
        <v>271</v>
      </c>
      <c r="K112" s="20" t="n">
        <v>233</v>
      </c>
      <c r="L112" s="20" t="n">
        <v>100</v>
      </c>
    </row>
    <row r="113">
      <c r="A113" s="18" t="inlineStr">
        <is>
          <t>상여충당금</t>
        </is>
      </c>
      <c r="C113" s="20" t="n">
        <v>447</v>
      </c>
      <c r="D113" s="20" t="n">
        <v>853</v>
      </c>
      <c r="E113" s="20" t="n">
        <v>467</v>
      </c>
      <c r="F113" s="20" t="n">
        <v>885</v>
      </c>
      <c r="G113" s="20" t="n">
        <v>476</v>
      </c>
      <c r="H113" s="20" t="n">
        <v>761</v>
      </c>
      <c r="I113" s="20" t="n">
        <v>848</v>
      </c>
      <c r="J113" s="20" t="n">
        <v>759</v>
      </c>
      <c r="K113" s="20" t="n">
        <v>734</v>
      </c>
      <c r="L113" s="20" t="n">
        <v>885</v>
      </c>
    </row>
    <row r="114">
      <c r="A114" s="18" t="inlineStr">
        <is>
          <t>제품보증 충당금</t>
        </is>
      </c>
      <c r="C114" s="20" t="n">
        <v>48</v>
      </c>
      <c r="D114" s="20" t="n">
        <v>47</v>
      </c>
      <c r="E114" s="20" t="n">
        <v>48</v>
      </c>
      <c r="F114" s="20" t="n">
        <v>79</v>
      </c>
      <c r="G114" s="20" t="n">
        <v>74</v>
      </c>
      <c r="H114" s="20" t="n">
        <v>105</v>
      </c>
      <c r="I114" s="20" t="n">
        <v>67</v>
      </c>
      <c r="J114" s="20" t="n">
        <v>85</v>
      </c>
      <c r="K114" s="20" t="n">
        <v>64</v>
      </c>
      <c r="L114" s="20" t="n">
        <v>79</v>
      </c>
    </row>
    <row r="115">
      <c r="A115" s="18" t="inlineStr">
        <is>
          <t>Provision For Loss On Construction Contracts</t>
        </is>
      </c>
      <c r="C115" s="20" t="n">
        <v>0</v>
      </c>
      <c r="D115" s="20" t="n">
        <v>25</v>
      </c>
      <c r="E115" s="20" t="n">
        <v>1</v>
      </c>
      <c r="F115" s="20" t="n">
        <v>6</v>
      </c>
      <c r="G115" s="20" t="n">
        <v>14</v>
      </c>
      <c r="H115" s="20" t="n">
        <v>0</v>
      </c>
      <c r="I115" s="20" t="n">
        <v>1</v>
      </c>
      <c r="J115" s="20" t="n">
        <v>12</v>
      </c>
      <c r="K115" s="20" t="n">
        <v>12</v>
      </c>
      <c r="L115" s="20" t="n">
        <v>6</v>
      </c>
    </row>
    <row r="116">
      <c r="A116" s="18" t="inlineStr">
        <is>
          <t>기타</t>
        </is>
      </c>
      <c r="C116" s="20" t="n">
        <v>1329</v>
      </c>
      <c r="D116" s="20" t="n">
        <v>1000</v>
      </c>
      <c r="E116" s="20" t="n">
        <v>1364</v>
      </c>
      <c r="F116" s="20" t="n">
        <v>1122</v>
      </c>
      <c r="G116" s="20" t="n">
        <v>1445</v>
      </c>
      <c r="H116" s="20" t="n">
        <v>164</v>
      </c>
      <c r="I116" s="20" t="n">
        <v>269</v>
      </c>
      <c r="J116" s="20" t="n">
        <v>613</v>
      </c>
      <c r="K116" s="20" t="n">
        <v>726</v>
      </c>
      <c r="L116" s="20" t="n">
        <v>1122</v>
      </c>
    </row>
    <row r="117">
      <c r="A117" s="9" t="inlineStr">
        <is>
          <t>유동부채 합계</t>
        </is>
      </c>
      <c r="C117" s="12" t="n">
        <v>8541</v>
      </c>
      <c r="D117" s="12" t="n">
        <v>11406</v>
      </c>
      <c r="E117" s="12" t="n">
        <v>13560</v>
      </c>
      <c r="F117" s="12" t="n">
        <v>16833</v>
      </c>
      <c r="G117" s="12" t="n">
        <v>20435</v>
      </c>
      <c r="H117" s="12" t="n">
        <v>7532</v>
      </c>
      <c r="I117" s="12" t="n">
        <v>7067</v>
      </c>
      <c r="J117" s="12" t="n">
        <v>8792</v>
      </c>
      <c r="K117" s="12" t="n">
        <v>9230</v>
      </c>
      <c r="L117" s="12" t="n">
        <v>16833</v>
      </c>
    </row>
    <row r="118">
      <c r="A118" s="18" t="inlineStr">
        <is>
          <t>장기차입금</t>
        </is>
      </c>
      <c r="C118" s="20" t="n">
        <v>1945</v>
      </c>
      <c r="D118" s="20" t="n">
        <v>3250</v>
      </c>
      <c r="E118" s="20" t="n">
        <v>3065</v>
      </c>
      <c r="F118" s="20" t="n">
        <v>980</v>
      </c>
      <c r="G118" s="20" t="n">
        <v>810</v>
      </c>
      <c r="H118" s="20" t="n">
        <v>1900</v>
      </c>
      <c r="I118" s="20" t="n">
        <v>2080</v>
      </c>
      <c r="J118" s="20" t="n">
        <v>2020</v>
      </c>
      <c r="K118" s="20" t="n">
        <v>1960</v>
      </c>
      <c r="L118" s="20" t="n">
        <v>980</v>
      </c>
    </row>
    <row r="119">
      <c r="A119" s="18" t="inlineStr">
        <is>
          <t>이연법인세부채</t>
        </is>
      </c>
      <c r="H119" s="20" t="n">
        <v>82</v>
      </c>
      <c r="I119" s="20" t="n">
        <v>65</v>
      </c>
      <c r="J119" s="20" t="n">
        <v>0</v>
      </c>
    </row>
    <row r="120">
      <c r="A120" s="18" t="inlineStr">
        <is>
          <t>재평가 관련 이연법인세부채</t>
        </is>
      </c>
      <c r="C120" s="20" t="n">
        <v>1022</v>
      </c>
      <c r="D120" s="20" t="n">
        <v>1022</v>
      </c>
      <c r="E120" s="20" t="n">
        <v>1022</v>
      </c>
      <c r="F120" s="20" t="n">
        <v>1022</v>
      </c>
      <c r="G120" s="20" t="n">
        <v>1022</v>
      </c>
      <c r="H120" s="20" t="n">
        <v>993</v>
      </c>
      <c r="I120" s="20" t="n">
        <v>993</v>
      </c>
      <c r="J120" s="20" t="n">
        <v>993</v>
      </c>
      <c r="K120" s="20" t="n">
        <v>1022</v>
      </c>
      <c r="L120" s="20" t="n">
        <v>1022</v>
      </c>
    </row>
    <row r="121">
      <c r="A121" s="18" t="inlineStr">
        <is>
          <t>퇴직급여충당금</t>
        </is>
      </c>
      <c r="F121" s="20" t="n">
        <v>1117</v>
      </c>
      <c r="H121" s="20" t="n">
        <v>2253</v>
      </c>
      <c r="I121" s="20" t="n">
        <v>1991</v>
      </c>
      <c r="J121" s="20" t="n">
        <v>1648</v>
      </c>
      <c r="K121" s="20" t="n">
        <v>1338</v>
      </c>
      <c r="L121" s="20" t="n">
        <v>1117</v>
      </c>
    </row>
    <row r="122">
      <c r="A122" s="18" t="inlineStr">
        <is>
          <t>퇴직급여부채</t>
        </is>
      </c>
      <c r="C122" s="20" t="n">
        <v>1039</v>
      </c>
      <c r="D122" s="20" t="n">
        <v>1055</v>
      </c>
      <c r="E122" s="20" t="n">
        <v>1056</v>
      </c>
      <c r="F122" s="20" t="n">
        <v>960</v>
      </c>
      <c r="G122" s="20" t="n">
        <v>963</v>
      </c>
      <c r="H122" s="20" t="n">
        <v>1558</v>
      </c>
      <c r="I122" s="20" t="n">
        <v>1436</v>
      </c>
      <c r="J122" s="20" t="n">
        <v>1266</v>
      </c>
      <c r="K122" s="20" t="n">
        <v>1096</v>
      </c>
      <c r="L122" s="20" t="n">
        <v>960</v>
      </c>
    </row>
    <row r="123">
      <c r="A123" s="18" t="inlineStr">
        <is>
          <t>기타</t>
        </is>
      </c>
      <c r="C123" s="20" t="n">
        <v>151</v>
      </c>
      <c r="D123" s="20" t="n">
        <v>159</v>
      </c>
      <c r="E123" s="20" t="n">
        <v>160</v>
      </c>
      <c r="F123" s="20" t="n">
        <v>176</v>
      </c>
      <c r="G123" s="20" t="n">
        <v>177</v>
      </c>
      <c r="H123" s="20" t="n">
        <v>150</v>
      </c>
      <c r="I123" s="20" t="n">
        <v>150</v>
      </c>
      <c r="J123" s="20" t="n">
        <v>151</v>
      </c>
      <c r="K123" s="20" t="n">
        <v>151</v>
      </c>
      <c r="L123" s="20" t="n">
        <v>176</v>
      </c>
    </row>
    <row r="124">
      <c r="A124" s="9" t="inlineStr">
        <is>
          <t>비유동부채 합계</t>
        </is>
      </c>
      <c r="C124" s="12" t="n">
        <v>4158</v>
      </c>
      <c r="D124" s="12" t="n">
        <v>5486</v>
      </c>
      <c r="E124" s="12" t="n">
        <v>5303</v>
      </c>
      <c r="F124" s="12" t="n">
        <v>3139</v>
      </c>
      <c r="G124" s="12" t="n">
        <v>2972</v>
      </c>
      <c r="H124" s="12" t="n">
        <v>5379</v>
      </c>
      <c r="I124" s="12" t="n">
        <v>4726</v>
      </c>
      <c r="J124" s="12" t="n">
        <v>4430</v>
      </c>
      <c r="K124" s="12" t="n">
        <v>4472</v>
      </c>
      <c r="L124" s="12" t="n">
        <v>3139</v>
      </c>
    </row>
    <row r="125">
      <c r="A125" s="9" t="inlineStr">
        <is>
          <t>부채 합계</t>
        </is>
      </c>
      <c r="C125" s="12" t="n">
        <v>12700</v>
      </c>
      <c r="D125" s="12" t="n">
        <v>16892</v>
      </c>
      <c r="E125" s="12" t="n">
        <v>18863</v>
      </c>
      <c r="F125" s="12" t="n">
        <v>19972</v>
      </c>
      <c r="G125" s="12" t="n">
        <v>23407</v>
      </c>
      <c r="H125" s="12" t="n">
        <v>12912</v>
      </c>
      <c r="I125" s="12" t="n">
        <v>11793</v>
      </c>
      <c r="J125" s="12" t="n">
        <v>13222</v>
      </c>
      <c r="K125" s="12" t="n">
        <v>13702</v>
      </c>
      <c r="L125" s="12" t="n">
        <v>19972</v>
      </c>
    </row>
    <row r="126">
      <c r="A126" s="18" t="inlineStr">
        <is>
          <t>자본금</t>
        </is>
      </c>
      <c r="C126" s="20" t="n">
        <v>5895</v>
      </c>
      <c r="D126" s="20" t="n">
        <v>5895</v>
      </c>
      <c r="E126" s="20" t="n">
        <v>5895</v>
      </c>
      <c r="F126" s="20" t="n">
        <v>5895</v>
      </c>
      <c r="G126" s="20" t="n">
        <v>5895</v>
      </c>
      <c r="H126" s="20" t="n">
        <v>5895</v>
      </c>
      <c r="I126" s="20" t="n">
        <v>5895</v>
      </c>
      <c r="J126" s="20" t="n">
        <v>5895</v>
      </c>
      <c r="K126" s="20" t="n">
        <v>5895</v>
      </c>
      <c r="L126" s="20" t="n">
        <v>5895</v>
      </c>
    </row>
    <row r="127">
      <c r="A127" s="18" t="inlineStr">
        <is>
          <t>기타자본잉여금</t>
        </is>
      </c>
      <c r="F127" s="20" t="n">
        <v>12</v>
      </c>
      <c r="H127" s="20" t="n">
        <v>0</v>
      </c>
      <c r="I127" s="20" t="n">
        <v>4</v>
      </c>
      <c r="J127" s="20" t="n">
        <v>6</v>
      </c>
      <c r="K127" s="20" t="n">
        <v>7</v>
      </c>
      <c r="L127" s="20" t="n">
        <v>12</v>
      </c>
    </row>
    <row r="128">
      <c r="A128" s="18" t="inlineStr">
        <is>
          <t>자본잉여금</t>
        </is>
      </c>
      <c r="C128" s="20" t="n">
        <v>7</v>
      </c>
      <c r="D128" s="20" t="n">
        <v>12</v>
      </c>
      <c r="E128" s="20" t="n">
        <v>12</v>
      </c>
      <c r="F128" s="20" t="n">
        <v>12</v>
      </c>
      <c r="G128" s="20" t="n">
        <v>12</v>
      </c>
      <c r="H128" s="20" t="n">
        <v>0</v>
      </c>
      <c r="I128" s="20" t="n">
        <v>4</v>
      </c>
      <c r="J128" s="20" t="n">
        <v>6</v>
      </c>
      <c r="K128" s="20" t="n">
        <v>7</v>
      </c>
      <c r="L128" s="20" t="n">
        <v>12</v>
      </c>
    </row>
    <row r="129">
      <c r="A129" s="18" t="inlineStr">
        <is>
          <t>이익준비금</t>
        </is>
      </c>
      <c r="F129" s="20" t="n">
        <v>29</v>
      </c>
      <c r="I129" s="20" t="n">
        <v>0</v>
      </c>
      <c r="J129" s="20" t="n">
        <v>10</v>
      </c>
      <c r="K129" s="20" t="n">
        <v>20</v>
      </c>
      <c r="L129" s="20" t="n">
        <v>29</v>
      </c>
    </row>
    <row r="130">
      <c r="A130" s="18" t="inlineStr">
        <is>
          <t>이월이익잉여금</t>
        </is>
      </c>
      <c r="F130" s="20" t="n">
        <v>10601</v>
      </c>
      <c r="H130" s="20" t="n">
        <v>1688</v>
      </c>
      <c r="I130" s="20" t="n">
        <v>3569</v>
      </c>
      <c r="J130" s="20" t="n">
        <v>5379</v>
      </c>
      <c r="K130" s="20" t="n">
        <v>7077</v>
      </c>
      <c r="L130" s="20" t="n">
        <v>10601</v>
      </c>
    </row>
    <row r="131">
      <c r="A131" s="18" t="inlineStr">
        <is>
          <t>이익잉여금</t>
        </is>
      </c>
      <c r="C131" s="20" t="n">
        <v>8080</v>
      </c>
      <c r="D131" s="20" t="n">
        <v>8992</v>
      </c>
      <c r="E131" s="20" t="n">
        <v>9924</v>
      </c>
      <c r="F131" s="20" t="n">
        <v>11512</v>
      </c>
      <c r="G131" s="20" t="n">
        <v>12513</v>
      </c>
      <c r="H131" s="20" t="n">
        <v>1688</v>
      </c>
      <c r="I131" s="20" t="n">
        <v>3873</v>
      </c>
      <c r="J131" s="20" t="n">
        <v>5920</v>
      </c>
      <c r="K131" s="20" t="n">
        <v>7098</v>
      </c>
      <c r="L131" s="20" t="n">
        <v>11512</v>
      </c>
    </row>
    <row r="132">
      <c r="A132" s="18" t="inlineStr">
        <is>
          <t>자기주식</t>
        </is>
      </c>
      <c r="C132" s="20" t="n">
        <v>-2041</v>
      </c>
      <c r="D132" s="20" t="n">
        <v>-4039</v>
      </c>
      <c r="E132" s="20" t="n">
        <v>-4039</v>
      </c>
      <c r="F132" s="20" t="n">
        <v>-4040</v>
      </c>
      <c r="G132" s="20" t="n">
        <v>-4040</v>
      </c>
      <c r="H132" s="20" t="n">
        <v>-6</v>
      </c>
      <c r="I132" s="20" t="n">
        <v>-13</v>
      </c>
      <c r="J132" s="20" t="n">
        <v>-56</v>
      </c>
      <c r="K132" s="20" t="n">
        <v>-2041</v>
      </c>
      <c r="L132" s="20" t="n">
        <v>-4040</v>
      </c>
    </row>
    <row r="133">
      <c r="A133" s="9" t="inlineStr">
        <is>
          <t>주주자본 합계</t>
        </is>
      </c>
      <c r="C133" s="12" t="n">
        <v>11941</v>
      </c>
      <c r="D133" s="12" t="n">
        <v>10861</v>
      </c>
      <c r="E133" s="12" t="n">
        <v>11792</v>
      </c>
      <c r="F133" s="12" t="n">
        <v>13380</v>
      </c>
      <c r="G133" s="12" t="n">
        <v>14380</v>
      </c>
      <c r="H133" s="12" t="n">
        <v>7577</v>
      </c>
      <c r="I133" s="12" t="n">
        <v>9760</v>
      </c>
      <c r="J133" s="12" t="n">
        <v>11766</v>
      </c>
      <c r="K133" s="12" t="n">
        <v>10959</v>
      </c>
      <c r="L133" s="12" t="n">
        <v>13380</v>
      </c>
    </row>
    <row r="134">
      <c r="A134" s="18" t="inlineStr">
        <is>
          <t>기타유가증권 평가차액</t>
        </is>
      </c>
      <c r="C134" s="20" t="n">
        <v>2</v>
      </c>
      <c r="D134" s="20" t="n">
        <v>2</v>
      </c>
      <c r="E134" s="20" t="n">
        <v>2</v>
      </c>
      <c r="F134" s="20" t="n">
        <v>3</v>
      </c>
      <c r="G134" s="20" t="n">
        <v>3</v>
      </c>
      <c r="H134" s="20" t="n">
        <v>0</v>
      </c>
      <c r="I134" s="20" t="n">
        <v>1</v>
      </c>
      <c r="J134" s="20" t="n">
        <v>2</v>
      </c>
      <c r="K134" s="20" t="n">
        <v>1</v>
      </c>
      <c r="L134" s="20" t="n">
        <v>3</v>
      </c>
    </row>
    <row r="135">
      <c r="A135" s="18" t="inlineStr">
        <is>
          <t>토지재평가차액금</t>
        </is>
      </c>
      <c r="C135" s="20" t="n">
        <v>2225</v>
      </c>
      <c r="D135" s="20" t="n">
        <v>2225</v>
      </c>
      <c r="E135" s="20" t="n">
        <v>2225</v>
      </c>
      <c r="F135" s="20" t="n">
        <v>2225</v>
      </c>
      <c r="G135" s="20" t="n">
        <v>2225</v>
      </c>
      <c r="H135" s="20" t="n">
        <v>2254</v>
      </c>
      <c r="I135" s="20" t="n">
        <v>2254</v>
      </c>
      <c r="J135" s="20" t="n">
        <v>2254</v>
      </c>
      <c r="K135" s="20" t="n">
        <v>2225</v>
      </c>
      <c r="L135" s="20" t="n">
        <v>2225</v>
      </c>
    </row>
    <row r="136">
      <c r="A136" s="18" t="inlineStr">
        <is>
          <t>퇴직급여 조정누계액</t>
        </is>
      </c>
      <c r="C136" s="20" t="n">
        <v>70</v>
      </c>
      <c r="D136" s="20" t="n">
        <v>54</v>
      </c>
      <c r="E136" s="20" t="n">
        <v>41</v>
      </c>
      <c r="F136" s="20" t="n">
        <v>495</v>
      </c>
      <c r="G136" s="20" t="n">
        <v>471</v>
      </c>
      <c r="H136" s="20" t="n">
        <v>569</v>
      </c>
      <c r="I136" s="20" t="n">
        <v>152</v>
      </c>
      <c r="J136" s="20" t="n">
        <v>281</v>
      </c>
      <c r="K136" s="20" t="n">
        <v>85</v>
      </c>
      <c r="L136" s="20" t="n">
        <v>495</v>
      </c>
    </row>
    <row r="137">
      <c r="A137" s="18" t="inlineStr">
        <is>
          <t>기타포괄손익누계액 합계</t>
        </is>
      </c>
      <c r="C137" s="20" t="n">
        <v>2298</v>
      </c>
      <c r="D137" s="20" t="n">
        <v>2282</v>
      </c>
      <c r="E137" s="20" t="n">
        <v>2270</v>
      </c>
      <c r="F137" s="20" t="n">
        <v>2724</v>
      </c>
      <c r="G137" s="20" t="n">
        <v>2701</v>
      </c>
      <c r="H137" s="20" t="n">
        <v>2255</v>
      </c>
      <c r="I137" s="20" t="n">
        <v>2409</v>
      </c>
      <c r="J137" s="20" t="n">
        <v>2539</v>
      </c>
      <c r="K137" s="20" t="n">
        <v>2227</v>
      </c>
      <c r="L137" s="20" t="n">
        <v>2724</v>
      </c>
    </row>
    <row r="138">
      <c r="A138" s="9" t="inlineStr">
        <is>
          <t>순자산 합계</t>
        </is>
      </c>
      <c r="C138" s="12" t="n">
        <v>14240</v>
      </c>
      <c r="D138" s="12" t="n">
        <v>13144</v>
      </c>
      <c r="E138" s="12" t="n">
        <v>14062</v>
      </c>
      <c r="F138" s="12" t="n">
        <v>16104</v>
      </c>
      <c r="G138" s="12" t="n">
        <v>17081</v>
      </c>
      <c r="H138" s="12" t="n">
        <v>9833</v>
      </c>
      <c r="I138" s="12" t="n">
        <v>12170</v>
      </c>
      <c r="J138" s="12" t="n">
        <v>14305</v>
      </c>
      <c r="K138" s="12" t="n">
        <v>13186</v>
      </c>
      <c r="L138" s="12" t="n">
        <v>16104</v>
      </c>
    </row>
    <row r="139">
      <c r="A139" s="9" t="inlineStr">
        <is>
          <t>부채·순자산 합계</t>
        </is>
      </c>
      <c r="C139" s="12" t="n">
        <v>26940</v>
      </c>
      <c r="D139" s="12" t="n">
        <v>30037</v>
      </c>
      <c r="E139" s="12" t="n">
        <v>32926</v>
      </c>
      <c r="F139" s="12" t="n">
        <v>36077</v>
      </c>
      <c r="G139" s="12" t="n">
        <v>40489</v>
      </c>
      <c r="H139" s="12" t="n">
        <v>22745</v>
      </c>
      <c r="I139" s="12" t="n">
        <v>23964</v>
      </c>
      <c r="J139" s="12" t="n">
        <v>27528</v>
      </c>
      <c r="K139" s="12" t="n">
        <v>26889</v>
      </c>
      <c r="L139" s="12" t="n">
        <v>36077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２０２７년 3월 결산기 １분기 결산단신</t>
        </is>
      </c>
      <c r="C4" t="inlineStr">
        <is>
          <t>https://www2.jpx.co.jp/disc/69460/140120260728500716.pdf</t>
        </is>
      </c>
    </row>
    <row r="5">
      <c r="A5" t="inlineStr">
        <is>
          <t>2026-05-12</t>
        </is>
      </c>
      <c r="B5" t="inlineStr">
        <is>
          <t>２０２６년 3월 결산기 연간 결산단신</t>
        </is>
      </c>
      <c r="C5" t="inlineStr">
        <is>
          <t>https://www2.jpx.co.jp/disc/69460/140120260511522466.pdf</t>
        </is>
      </c>
    </row>
    <row r="6">
      <c r="A6" t="inlineStr">
        <is>
          <t>2026-01-30</t>
        </is>
      </c>
      <c r="B6" t="inlineStr">
        <is>
          <t>２０２６년 3월 결산기 ３분기 결산단신</t>
        </is>
      </c>
      <c r="C6" t="inlineStr">
        <is>
          <t>https://www2.jpx.co.jp/disc/69460/140120260128539785.pdf</t>
        </is>
      </c>
    </row>
    <row r="7">
      <c r="A7" t="inlineStr">
        <is>
          <t>2025-10-29</t>
        </is>
      </c>
      <c r="B7" t="inlineStr">
        <is>
          <t>２０２６년 3월 결산기 ２분기 결산단신</t>
        </is>
      </c>
      <c r="C7" t="inlineStr">
        <is>
          <t>https://www2.jpx.co.jp/disc/69460/140120251028580627.pdf</t>
        </is>
      </c>
    </row>
    <row r="8">
      <c r="A8" t="inlineStr">
        <is>
          <t>2025-08-01</t>
        </is>
      </c>
      <c r="B8" t="inlineStr">
        <is>
          <t>２０２６년 3월 결산기 １분기 결산단신</t>
        </is>
      </c>
      <c r="C8" t="inlineStr">
        <is>
          <t>https://www2.jpx.co.jp/disc/69460/140120250731524927.pdf</t>
        </is>
      </c>
    </row>
    <row r="9">
      <c r="A9" t="inlineStr">
        <is>
          <t>2025-05-13</t>
        </is>
      </c>
      <c r="B9" t="inlineStr">
        <is>
          <t>２０２５년 3월 결산기 연간 결산단신</t>
        </is>
      </c>
      <c r="C9" t="inlineStr">
        <is>
          <t>https://www2.jpx.co.jp/disc/69460/140120250512543657.pdf</t>
        </is>
      </c>
    </row>
    <row r="10">
      <c r="A10" t="inlineStr">
        <is>
          <t>2025-01-31</t>
        </is>
      </c>
      <c r="B10" t="inlineStr">
        <is>
          <t>２０２５년 3월 결산기 ３분기 결산단신</t>
        </is>
      </c>
      <c r="C10" t="inlineStr">
        <is>
          <t>https://www2.jpx.co.jp/disc/69460/140120250130558992.pdf</t>
        </is>
      </c>
    </row>
    <row r="11">
      <c r="A11" t="inlineStr">
        <is>
          <t>2024-10-29</t>
        </is>
      </c>
      <c r="B11" t="inlineStr">
        <is>
          <t>２０２５년 3월 결산기 ２분기 결산단신</t>
        </is>
      </c>
      <c r="C11" t="inlineStr">
        <is>
          <t>https://www2.jpx.co.jp/disc/69460/140120241029505232.pdf</t>
        </is>
      </c>
    </row>
    <row r="12">
      <c r="A12" t="inlineStr">
        <is>
          <t>2024-08-02</t>
        </is>
      </c>
      <c r="B12" t="inlineStr">
        <is>
          <t>２０２５년 3월 결산기 １분기 결산단신</t>
        </is>
      </c>
      <c r="C12" t="inlineStr">
        <is>
          <t>https://www2.jpx.co.jp/disc/69460/140120240722552578.pdf</t>
        </is>
      </c>
    </row>
    <row r="13">
      <c r="A13" t="inlineStr">
        <is>
          <t>2024-05-10</t>
        </is>
      </c>
      <c r="B13" t="inlineStr">
        <is>
          <t>２０２４년 3월 결산기 연간 결산단신</t>
        </is>
      </c>
      <c r="C13" t="inlineStr">
        <is>
          <t>https://www2.jpx.co.jp/disc/69460/140120240510588656.pdf</t>
        </is>
      </c>
    </row>
    <row r="14">
      <c r="A14" t="inlineStr">
        <is>
          <t>2024-01-31</t>
        </is>
      </c>
      <c r="B14" t="inlineStr">
        <is>
          <t>２０２４년 3월 결산기 ３분기 결산단신</t>
        </is>
      </c>
      <c r="C14" t="inlineStr">
        <is>
          <t>https://www2.jpx.co.jp/disc/69460/140120240130521732.pdf</t>
        </is>
      </c>
    </row>
    <row r="15">
      <c r="A15" t="inlineStr">
        <is>
          <t>2023-10-30</t>
        </is>
      </c>
      <c r="B15" t="inlineStr">
        <is>
          <t>２０２４년 3월 결산기 ２분기 결산단신</t>
        </is>
      </c>
      <c r="C15" t="inlineStr">
        <is>
          <t>https://www2.jpx.co.jp/disc/69460/140120231027573759.pdf</t>
        </is>
      </c>
    </row>
    <row r="16">
      <c r="A16" t="inlineStr">
        <is>
          <t>2023-07-27</t>
        </is>
      </c>
      <c r="B16" t="inlineStr">
        <is>
          <t>２０２４년 3월 결산기 １분기 결산단신</t>
        </is>
      </c>
      <c r="C16" t="inlineStr">
        <is>
          <t>https://www2.jpx.co.jp/disc/69460/140120230726527394.pdf</t>
        </is>
      </c>
    </row>
    <row r="17">
      <c r="A17" t="inlineStr">
        <is>
          <t>2023-05-12</t>
        </is>
      </c>
      <c r="B17" t="inlineStr">
        <is>
          <t>２０２３년 3월 결산기 연간 결산단신</t>
        </is>
      </c>
      <c r="C17" t="inlineStr">
        <is>
          <t>https://www2.jpx.co.jp/disc/69460/140120230511567361.pdf</t>
        </is>
      </c>
    </row>
    <row r="18">
      <c r="A18" t="inlineStr">
        <is>
          <t>2023-01-30</t>
        </is>
      </c>
      <c r="B18" t="inlineStr">
        <is>
          <t>２０２３년 3월 결산기 ３분기 결산단신</t>
        </is>
      </c>
      <c r="C18" t="inlineStr">
        <is>
          <t>https://www2.jpx.co.jp/disc/69460/140120230126594262.pdf</t>
        </is>
      </c>
    </row>
    <row r="19">
      <c r="A19" t="inlineStr">
        <is>
          <t>2022-10-31</t>
        </is>
      </c>
      <c r="B19" t="inlineStr">
        <is>
          <t>２０２３년 3월 결산기 ２분기 결산단신</t>
        </is>
      </c>
      <c r="C19" t="inlineStr">
        <is>
          <t>https://www2.jpx.co.jp/disc/69460/140120221028552296.pdf</t>
        </is>
      </c>
    </row>
    <row r="20">
      <c r="A20" t="inlineStr">
        <is>
          <t>2022-05-13</t>
        </is>
      </c>
      <c r="B20" t="inlineStr">
        <is>
          <t>２０２２년 3월 결산기 연간 결산단신</t>
        </is>
      </c>
      <c r="C20" t="inlineStr">
        <is>
          <t>https://www2.jpx.co.jp/disc/69460/140120220512544246.pdf</t>
        </is>
      </c>
    </row>
    <row r="21">
      <c r="A21" t="inlineStr">
        <is>
          <t>2021-05-26</t>
        </is>
      </c>
      <c r="B21" t="inlineStr">
        <is>
          <t>２０２１년 3월 결산기 연간 결산단신</t>
        </is>
      </c>
      <c r="C21" t="inlineStr">
        <is>
          <t>https://www2.jpx.co.jp/disc/69460/140120210525428811.pdf</t>
        </is>
      </c>
    </row>
    <row r="22">
      <c r="A22" t="inlineStr">
        <is>
          <t>2020-05-15</t>
        </is>
      </c>
      <c r="B22" t="inlineStr">
        <is>
          <t>２０２０년 3월 결산기 연간 결산단신</t>
        </is>
      </c>
      <c r="C22" t="inlineStr">
        <is>
          <t>https://www2.jpx.co.jp/disc/69460/140120200514414068.pdf</t>
        </is>
      </c>
    </row>
    <row r="23">
      <c r="A23" t="inlineStr">
        <is>
          <t>2019-04-26</t>
        </is>
      </c>
      <c r="B23" t="inlineStr">
        <is>
          <t>２０１９년 3월 결산기 연간 결산단신</t>
        </is>
      </c>
      <c r="C23" t="inlineStr">
        <is>
          <t>https://www2.jpx.co.jp/disc/69460/140120190425411339.pdf</t>
        </is>
      </c>
    </row>
    <row r="24">
      <c r="A24" t="inlineStr">
        <is>
          <t>2018-04-27</t>
        </is>
      </c>
      <c r="B24" t="inlineStr">
        <is>
          <t>２０１８년 3월 결산기 연간 결산단신</t>
        </is>
      </c>
      <c r="C24" t="inlineStr">
        <is>
          <t>https://www2.jpx.co.jp/disc/69460/140120180426421672.pdf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2026-10-28T06:59:15Z</dcterms:created>
  <dcterms:modified xmlns:dcterms="http://purl.org/dc/terms/" xmlns:xsi="http://www.w3.org/2001/XMLSchema-instance" xsi:type="dcterms:W3CDTF">2026-10-28T06:59:16Z</dcterms:modified>
</cp:coreProperties>
</file>