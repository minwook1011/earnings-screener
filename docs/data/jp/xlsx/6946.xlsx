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6946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5064</v>
      </c>
      <c r="D4" s="12" t="n">
        <v>4584</v>
      </c>
      <c r="E4" s="12" t="n">
        <v>4739</v>
      </c>
      <c r="F4" s="12" t="n">
        <v>4087</v>
      </c>
      <c r="G4" s="12" t="n">
        <v>5019</v>
      </c>
      <c r="H4" s="12" t="n">
        <v>4564</v>
      </c>
      <c r="I4" s="12" t="n">
        <v>6452</v>
      </c>
      <c r="J4" s="12" t="n">
        <v>5037</v>
      </c>
      <c r="K4" s="12" t="n">
        <v>7666</v>
      </c>
      <c r="L4" s="12" t="n">
        <v>7023</v>
      </c>
      <c r="M4" s="12" t="n">
        <v>9468</v>
      </c>
      <c r="N4" s="12" t="n">
        <v>8304</v>
      </c>
      <c r="O4" s="11" t="n">
        <v>21352</v>
      </c>
      <c r="P4" s="12" t="n">
        <v>18700</v>
      </c>
      <c r="Q4" s="12" t="n">
        <v>17460</v>
      </c>
      <c r="R4" s="12" t="n">
        <v>16798</v>
      </c>
      <c r="S4" s="12" t="n">
        <v>20195</v>
      </c>
      <c r="T4" s="12" t="n">
        <v>19230</v>
      </c>
      <c r="U4" s="12" t="n">
        <v>17700</v>
      </c>
      <c r="V4" s="12" t="n">
        <v>17992</v>
      </c>
      <c r="W4" s="12" t="n">
        <v>20122</v>
      </c>
      <c r="X4" s="12" t="n">
        <v>29194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Government Systems Reportable Segments</t>
        </is>
      </c>
      <c r="B7" s="10" t="n"/>
      <c r="C7" s="19" t="n">
        <v>4064</v>
      </c>
      <c r="D7" s="20" t="n">
        <v>3804</v>
      </c>
      <c r="E7" s="20" t="n"/>
      <c r="F7" s="20" t="n">
        <v>3341</v>
      </c>
      <c r="G7" s="20" t="n">
        <v>3729</v>
      </c>
      <c r="H7" s="20" t="n">
        <v>3860</v>
      </c>
      <c r="I7" s="20" t="n">
        <v>5101</v>
      </c>
      <c r="J7" s="20" t="n">
        <v>4019</v>
      </c>
      <c r="K7" s="20" t="n">
        <v>6139</v>
      </c>
      <c r="L7" s="20" t="n">
        <v>5844</v>
      </c>
      <c r="M7" s="20" t="n">
        <v>7856</v>
      </c>
      <c r="N7" s="20" t="n">
        <v>7240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16031</v>
      </c>
      <c r="X7" s="20" t="n">
        <v>23858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 Electronic Products Reportable Segments</t>
        </is>
      </c>
      <c r="B10" s="10" t="n"/>
      <c r="C10" s="19" t="n">
        <v>1000</v>
      </c>
      <c r="D10" s="20" t="n">
        <v>779</v>
      </c>
      <c r="E10" s="20" t="n"/>
      <c r="F10" s="20" t="n">
        <v>745</v>
      </c>
      <c r="G10" s="20" t="n">
        <v>1290</v>
      </c>
      <c r="H10" s="20" t="n">
        <v>705</v>
      </c>
      <c r="I10" s="20" t="n">
        <v>1351</v>
      </c>
      <c r="J10" s="20" t="n">
        <v>1017</v>
      </c>
      <c r="K10" s="20" t="n">
        <v>1528</v>
      </c>
      <c r="L10" s="20" t="n">
        <v>1179</v>
      </c>
      <c r="M10" s="20" t="n">
        <v>1611</v>
      </c>
      <c r="N10" s="20" t="n">
        <v>1064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4091</v>
      </c>
      <c r="X10" s="20" t="n">
        <v>5335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3522</v>
      </c>
      <c r="D14" s="20" t="n">
        <v>3099</v>
      </c>
      <c r="E14" s="20" t="n">
        <v>3479</v>
      </c>
      <c r="F14" s="20" t="n">
        <v>2842</v>
      </c>
      <c r="G14" s="20" t="n">
        <v>3256</v>
      </c>
      <c r="H14" s="20" t="n">
        <v>3058</v>
      </c>
      <c r="I14" s="20" t="n">
        <v>4328</v>
      </c>
      <c r="J14" s="20" t="n">
        <v>3519</v>
      </c>
      <c r="K14" s="20" t="n">
        <v>5283</v>
      </c>
      <c r="L14" s="20" t="n">
        <v>4618</v>
      </c>
      <c r="M14" s="20" t="n">
        <v>6261</v>
      </c>
      <c r="N14" s="20" t="n">
        <v>5546</v>
      </c>
      <c r="O14" s="19" t="n">
        <v>16507</v>
      </c>
      <c r="P14" s="20" t="n">
        <v>14603</v>
      </c>
      <c r="Q14" s="20" t="n">
        <v>13580</v>
      </c>
      <c r="R14" s="20" t="n">
        <v>13030</v>
      </c>
      <c r="S14" s="20" t="n">
        <v>14840</v>
      </c>
      <c r="T14" s="20" t="n">
        <v>13188</v>
      </c>
      <c r="U14" s="20" t="n">
        <v>12044</v>
      </c>
      <c r="V14" s="20" t="n">
        <v>12586</v>
      </c>
      <c r="W14" s="20" t="n">
        <v>13484</v>
      </c>
      <c r="X14" s="20" t="n">
        <v>19681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907</v>
      </c>
      <c r="D18" s="20" t="n">
        <v>886</v>
      </c>
      <c r="E18" s="20" t="n">
        <v>742</v>
      </c>
      <c r="F18" s="20" t="n">
        <v>920</v>
      </c>
      <c r="G18" s="20" t="n">
        <v>938</v>
      </c>
      <c r="H18" s="20" t="n">
        <v>990</v>
      </c>
      <c r="I18" s="20" t="n">
        <v>993</v>
      </c>
      <c r="J18" s="20" t="n">
        <v>935</v>
      </c>
      <c r="K18" s="20" t="n">
        <v>988</v>
      </c>
      <c r="L18" s="20" t="n">
        <v>1012</v>
      </c>
      <c r="M18" s="20" t="n">
        <v>1062</v>
      </c>
      <c r="N18" s="20" t="n">
        <v>1030</v>
      </c>
      <c r="O18" s="19" t="n">
        <v>4268</v>
      </c>
      <c r="P18" s="20" t="n">
        <v>4269</v>
      </c>
      <c r="Q18" s="20" t="n">
        <v>3950</v>
      </c>
      <c r="R18" s="20" t="n">
        <v>3716</v>
      </c>
      <c r="S18" s="20" t="n">
        <v>3990</v>
      </c>
      <c r="T18" s="20" t="n">
        <v>4191</v>
      </c>
      <c r="U18" s="20" t="n">
        <v>3645</v>
      </c>
      <c r="V18" s="20" t="n">
        <v>3378</v>
      </c>
      <c r="W18" s="20" t="n">
        <v>3841</v>
      </c>
      <c r="X18" s="20" t="n">
        <v>3997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635</v>
      </c>
      <c r="D19" s="12" t="n">
        <v>599</v>
      </c>
      <c r="E19" s="12" t="n">
        <v>518</v>
      </c>
      <c r="F19" s="12" t="n">
        <v>325</v>
      </c>
      <c r="G19" s="12" t="n">
        <v>823</v>
      </c>
      <c r="H19" s="12" t="n">
        <v>517</v>
      </c>
      <c r="I19" s="12" t="n">
        <v>1131</v>
      </c>
      <c r="J19" s="12" t="n">
        <v>582</v>
      </c>
      <c r="K19" s="12" t="n">
        <v>1395</v>
      </c>
      <c r="L19" s="12" t="n">
        <v>1394</v>
      </c>
      <c r="M19" s="12" t="n">
        <v>2144</v>
      </c>
      <c r="N19" s="12" t="n">
        <v>1727</v>
      </c>
      <c r="O19" s="11" t="n">
        <v>577</v>
      </c>
      <c r="P19" s="12" t="n">
        <v>-172</v>
      </c>
      <c r="Q19" s="12" t="n">
        <v>-70</v>
      </c>
      <c r="R19" s="12" t="n">
        <v>51</v>
      </c>
      <c r="S19" s="12" t="n">
        <v>1363</v>
      </c>
      <c r="T19" s="12" t="n">
        <v>1850</v>
      </c>
      <c r="U19" s="12" t="n">
        <v>2010</v>
      </c>
      <c r="V19" s="12" t="n">
        <v>2027</v>
      </c>
      <c r="W19" s="12" t="n">
        <v>2796</v>
      </c>
      <c r="X19" s="12" t="n">
        <v>5515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>
        <v>0</v>
      </c>
      <c r="D35" s="20" t="n">
        <v>0</v>
      </c>
      <c r="E35" s="20" t="n">
        <v>0</v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0</v>
      </c>
      <c r="P35" s="20" t="n">
        <v>119</v>
      </c>
      <c r="Q35" s="20" t="n">
        <v>2434</v>
      </c>
      <c r="R35" s="20" t="n">
        <v>58</v>
      </c>
      <c r="S35" s="20" t="n">
        <v>0</v>
      </c>
      <c r="T35" s="20" t="n">
        <v>0</v>
      </c>
      <c r="U35" s="20" t="n">
        <v>83</v>
      </c>
      <c r="V35" s="20" t="n">
        <v>0</v>
      </c>
      <c r="W35" s="20" t="n"/>
      <c r="X35" s="20" t="n"/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0</v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9</v>
      </c>
      <c r="K37" s="20" t="n">
        <v>0</v>
      </c>
      <c r="L37" s="20" t="n">
        <v>0</v>
      </c>
      <c r="M37" s="20" t="n">
        <v>0</v>
      </c>
      <c r="N37" s="20" t="n">
        <v>0</v>
      </c>
      <c r="O37" s="19" t="n">
        <v>1</v>
      </c>
      <c r="P37" s="20" t="n">
        <v>3</v>
      </c>
      <c r="Q37" s="20" t="n">
        <v>621</v>
      </c>
      <c r="R37" s="20" t="n">
        <v>20</v>
      </c>
      <c r="S37" s="20" t="n">
        <v>352</v>
      </c>
      <c r="T37" s="20" t="n">
        <v>24</v>
      </c>
      <c r="U37" s="20" t="n">
        <v>5</v>
      </c>
      <c r="V37" s="20" t="n">
        <v>0</v>
      </c>
      <c r="W37" s="20" t="n">
        <v>0</v>
      </c>
      <c r="X37" s="20" t="n">
        <v>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3</v>
      </c>
      <c r="D39" s="20" t="n">
        <v>3</v>
      </c>
      <c r="E39" s="20" t="n">
        <v>8</v>
      </c>
      <c r="F39" s="20" t="n">
        <v>6</v>
      </c>
      <c r="G39" s="20" t="n">
        <v>3</v>
      </c>
      <c r="H39" s="20" t="n">
        <v>5</v>
      </c>
      <c r="I39" s="20" t="n">
        <v>2</v>
      </c>
      <c r="J39" s="20" t="n">
        <v>5</v>
      </c>
      <c r="K39" s="20" t="n">
        <v>4</v>
      </c>
      <c r="L39" s="20" t="n">
        <v>3</v>
      </c>
      <c r="M39" s="20" t="n">
        <v>4</v>
      </c>
      <c r="N39" s="20" t="n">
        <v>8</v>
      </c>
      <c r="O39" s="19" t="n">
        <v>32</v>
      </c>
      <c r="P39" s="20" t="n">
        <v>33</v>
      </c>
      <c r="Q39" s="20" t="n">
        <v>53</v>
      </c>
      <c r="R39" s="20" t="n">
        <v>23</v>
      </c>
      <c r="S39" s="20" t="n">
        <v>18</v>
      </c>
      <c r="T39" s="20" t="n">
        <v>15</v>
      </c>
      <c r="U39" s="20" t="n">
        <v>14</v>
      </c>
      <c r="V39" s="20" t="n">
        <v>17</v>
      </c>
      <c r="W39" s="20" t="n">
        <v>16</v>
      </c>
      <c r="X39" s="20" t="n">
        <v>16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10</v>
      </c>
      <c r="D41" s="20" t="n">
        <v>8</v>
      </c>
      <c r="E41" s="20" t="n">
        <v>20</v>
      </c>
      <c r="F41" s="20" t="n">
        <v>22</v>
      </c>
      <c r="G41" s="20" t="n">
        <v>37</v>
      </c>
      <c r="H41" s="20" t="n">
        <v>22</v>
      </c>
      <c r="I41" s="20" t="n">
        <v>20</v>
      </c>
      <c r="J41" s="20" t="n">
        <v>23</v>
      </c>
      <c r="K41" s="20" t="n">
        <v>61</v>
      </c>
      <c r="L41" s="20" t="n">
        <v>36</v>
      </c>
      <c r="M41" s="20" t="n">
        <v>52</v>
      </c>
      <c r="N41" s="20" t="n">
        <v>52</v>
      </c>
      <c r="O41" s="19" t="n">
        <v>113</v>
      </c>
      <c r="P41" s="20" t="n">
        <v>112</v>
      </c>
      <c r="Q41" s="20" t="n">
        <v>138</v>
      </c>
      <c r="R41" s="20" t="n">
        <v>77</v>
      </c>
      <c r="S41" s="20" t="n">
        <v>91</v>
      </c>
      <c r="T41" s="20" t="n">
        <v>60</v>
      </c>
      <c r="U41" s="20" t="n">
        <v>42</v>
      </c>
      <c r="V41" s="20" t="n">
        <v>48</v>
      </c>
      <c r="W41" s="20" t="n">
        <v>101</v>
      </c>
      <c r="X41" s="20" t="n">
        <v>172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628</v>
      </c>
      <c r="D43" s="12" t="n">
        <v>594</v>
      </c>
      <c r="E43" s="12" t="n">
        <v>505</v>
      </c>
      <c r="F43" s="12" t="n">
        <v>308</v>
      </c>
      <c r="G43" s="12" t="n">
        <v>791</v>
      </c>
      <c r="H43" s="12" t="n">
        <v>498</v>
      </c>
      <c r="I43" s="12" t="n">
        <v>1113</v>
      </c>
      <c r="J43" s="12" t="n">
        <v>554</v>
      </c>
      <c r="K43" s="12" t="n">
        <v>1339</v>
      </c>
      <c r="L43" s="12" t="n">
        <v>1361</v>
      </c>
      <c r="M43" s="12" t="n">
        <v>2095</v>
      </c>
      <c r="N43" s="12" t="n">
        <v>1684</v>
      </c>
      <c r="O43" s="11" t="n">
        <v>494</v>
      </c>
      <c r="P43" s="12" t="n">
        <v>-134</v>
      </c>
      <c r="Q43" s="12" t="n">
        <v>1657</v>
      </c>
      <c r="R43" s="12" t="n">
        <v>35</v>
      </c>
      <c r="S43" s="12" t="n">
        <v>937</v>
      </c>
      <c r="T43" s="12" t="n">
        <v>1781</v>
      </c>
      <c r="U43" s="12" t="n">
        <v>2060</v>
      </c>
      <c r="V43" s="12" t="n">
        <v>1995</v>
      </c>
      <c r="W43" s="12" t="n">
        <v>2710</v>
      </c>
      <c r="X43" s="12" t="n">
        <v>5349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11</v>
      </c>
      <c r="D44" s="20" t="n">
        <v>173</v>
      </c>
      <c r="E44" s="20" t="n">
        <v>-251</v>
      </c>
      <c r="F44" s="20" t="n">
        <v>117</v>
      </c>
      <c r="G44" s="20" t="n">
        <v>247</v>
      </c>
      <c r="H44" s="20" t="n">
        <v>167</v>
      </c>
      <c r="I44" s="20" t="n">
        <v>215</v>
      </c>
      <c r="J44" s="20" t="n">
        <v>166</v>
      </c>
      <c r="K44" s="20" t="n">
        <v>427</v>
      </c>
      <c r="L44" s="20" t="n">
        <v>429</v>
      </c>
      <c r="M44" s="20" t="n">
        <v>507</v>
      </c>
      <c r="N44" s="20" t="n">
        <v>535</v>
      </c>
      <c r="O44" s="19" t="n">
        <v>-228</v>
      </c>
      <c r="P44" s="20" t="n">
        <v>-69</v>
      </c>
      <c r="Q44" s="20" t="n">
        <v>1635</v>
      </c>
      <c r="R44" s="20" t="n">
        <v>-32</v>
      </c>
      <c r="S44" s="20" t="n">
        <v>-93</v>
      </c>
      <c r="T44" s="20" t="n">
        <v>156</v>
      </c>
      <c r="U44" s="20" t="n">
        <v>181</v>
      </c>
      <c r="V44" s="20" t="n">
        <v>73</v>
      </c>
      <c r="W44" s="20" t="n">
        <v>746</v>
      </c>
      <c r="X44" s="20" t="n">
        <v>1529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616</v>
      </c>
      <c r="D46" s="12" t="n">
        <v>422</v>
      </c>
      <c r="E46" s="12" t="n">
        <v>756</v>
      </c>
      <c r="F46" s="12" t="n">
        <v>191</v>
      </c>
      <c r="G46" s="12" t="n">
        <v>543</v>
      </c>
      <c r="H46" s="12" t="n">
        <v>331</v>
      </c>
      <c r="I46" s="12" t="n">
        <v>899</v>
      </c>
      <c r="J46" s="12" t="n">
        <v>388</v>
      </c>
      <c r="K46" s="12" t="n">
        <v>912</v>
      </c>
      <c r="L46" s="12" t="n">
        <v>931</v>
      </c>
      <c r="M46" s="12" t="n">
        <v>1589</v>
      </c>
      <c r="N46" s="12" t="n">
        <v>1148</v>
      </c>
      <c r="O46" s="11" t="n">
        <v>723</v>
      </c>
      <c r="P46" s="12" t="n">
        <v>-65</v>
      </c>
      <c r="Q46" s="12" t="n">
        <v>22</v>
      </c>
      <c r="R46" s="12" t="n">
        <v>68</v>
      </c>
      <c r="S46" s="12" t="n">
        <v>1030</v>
      </c>
      <c r="T46" s="12" t="n">
        <v>1625</v>
      </c>
      <c r="U46" s="12" t="n">
        <v>1879</v>
      </c>
      <c r="V46" s="12" t="n">
        <v>1922</v>
      </c>
      <c r="W46" s="12" t="n">
        <v>1964</v>
      </c>
      <c r="X46" s="12" t="n">
        <v>3820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616</v>
      </c>
      <c r="D47" s="12" t="n">
        <v>422</v>
      </c>
      <c r="E47" s="12" t="n">
        <v>983</v>
      </c>
      <c r="F47" s="12" t="n">
        <v>191</v>
      </c>
      <c r="G47" s="12" t="n">
        <v>543</v>
      </c>
      <c r="H47" s="12" t="n">
        <v>331</v>
      </c>
      <c r="I47" s="12" t="n">
        <v>899</v>
      </c>
      <c r="J47" s="12" t="n">
        <v>388</v>
      </c>
      <c r="K47" s="12" t="n">
        <v>912</v>
      </c>
      <c r="L47" s="12" t="n">
        <v>931</v>
      </c>
      <c r="M47" s="12" t="n">
        <v>1589</v>
      </c>
      <c r="N47" s="12" t="n">
        <v>1148</v>
      </c>
      <c r="O47" s="11" t="n">
        <v>1510</v>
      </c>
      <c r="P47" s="12" t="n">
        <v>606</v>
      </c>
      <c r="Q47" s="12" t="n">
        <v>22</v>
      </c>
      <c r="R47" s="12" t="n">
        <v>76</v>
      </c>
      <c r="S47" s="12" t="n">
        <v>1030</v>
      </c>
      <c r="T47" s="12" t="n">
        <v>1625</v>
      </c>
      <c r="U47" s="12" t="n">
        <v>1820</v>
      </c>
      <c r="V47" s="12" t="n">
        <v>2149</v>
      </c>
      <c r="W47" s="12" t="n">
        <v>1964</v>
      </c>
      <c r="X47" s="12" t="n">
        <v>3820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(2026.10.26)</t>
        </is>
      </c>
      <c r="B50" s="27" t="n">
        <v>6350</v>
      </c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>
        <v>16764810</v>
      </c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 2026.10.26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5064</v>
      </c>
      <c r="D81" s="12" t="n">
        <v>4584</v>
      </c>
      <c r="E81" s="12" t="n">
        <v>4739</v>
      </c>
      <c r="F81" s="12" t="n">
        <v>4087</v>
      </c>
      <c r="G81" s="12" t="n">
        <v>5019</v>
      </c>
      <c r="H81" s="12" t="n">
        <v>4564</v>
      </c>
      <c r="I81" s="12" t="n">
        <v>6452</v>
      </c>
      <c r="J81" s="12" t="n">
        <v>5037</v>
      </c>
      <c r="K81" s="12" t="n">
        <v>7666</v>
      </c>
      <c r="L81" s="12" t="n">
        <v>7023</v>
      </c>
      <c r="M81" s="12" t="n">
        <v>9468</v>
      </c>
      <c r="N81" s="12" t="n">
        <v>8304</v>
      </c>
      <c r="T81" s="12" t="n">
        <v>5050</v>
      </c>
      <c r="U81" s="12" t="n">
        <v>5076</v>
      </c>
      <c r="V81" s="12" t="n">
        <v>4739</v>
      </c>
      <c r="W81" s="12" t="n">
        <v>6452</v>
      </c>
      <c r="X81" s="12" t="n">
        <v>9468</v>
      </c>
    </row>
    <row r="82">
      <c r="A82" s="43" t="inlineStr">
        <is>
          <t>YoY</t>
        </is>
      </c>
      <c r="B82" s="3" t="inlineStr">
        <is>
          <t>전년 같은 분기·전년 대비</t>
        </is>
      </c>
      <c r="G82" s="15">
        <f>IF(OR(G81="",C81=""),"",IF(C81&lt;=0,"",IFERROR(G81/C81-1,"")))</f>
        <v/>
      </c>
      <c r="H82" s="15">
        <f>IF(OR(H81="",D81=""),"",IF(D81&lt;=0,"",IFERROR(H81/D81-1,"")))</f>
        <v/>
      </c>
      <c r="I82" s="15">
        <f>IF(OR(I81="",E81=""),"",IF(E81&lt;=0,"",IFERROR(I81/E81-1,"")))</f>
        <v/>
      </c>
      <c r="J82" s="15">
        <f>IF(OR(J81="",F81=""),"",IF(F81&lt;=0,"",IFERROR(J81/F81-1,"")))</f>
        <v/>
      </c>
      <c r="K82" s="15">
        <f>IF(OR(K81="",G81=""),"",IF(G81&lt;=0,"",IFERROR(K81/G81-1,"")))</f>
        <v/>
      </c>
      <c r="L82" s="15">
        <f>IF(OR(L81="",H81=""),"",IF(H81&lt;=0,"",IFERROR(L81/H81-1,"")))</f>
        <v/>
      </c>
      <c r="M82" s="15">
        <f>IF(OR(M81="",I81=""),"",IF(I81&lt;=0,"",IFERROR(M81/I81-1,"")))</f>
        <v/>
      </c>
      <c r="N82" s="15">
        <f>IF(OR(N81="",J81=""),"",IF(J81&lt;=0,"",IFERROR(N81/J81-1,"")))</f>
        <v/>
      </c>
      <c r="T82" s="15">
        <f>IF(OR(T81="",S81=""),"",IF(S81&lt;=0,"",IFERROR(T81/S81-1,"")))</f>
        <v/>
      </c>
      <c r="U82" s="15">
        <f>IF(OR(U81="",T81=""),"",IF(T81&lt;=0,"",IFERROR(U81/T81-1,"")))</f>
        <v/>
      </c>
      <c r="V82" s="15">
        <f>IF(OR(V81="",U81=""),"",IF(U81&lt;=0,"",IFERROR(V81/U81-1,"")))</f>
        <v/>
      </c>
      <c r="W82" s="15">
        <f>IF(OR(W81="",V81=""),"",IF(V81&lt;=0,"",IFERROR(W81/V81-1,"")))</f>
        <v/>
      </c>
      <c r="X82" s="15">
        <f>IF(OR(X81="",W81=""),"",IF(W81&lt;=0,"",IFERROR(X81/W81-1,"")))</f>
        <v/>
      </c>
    </row>
    <row r="83">
      <c r="A83" s="18" t="inlineStr">
        <is>
          <t>매출원가</t>
        </is>
      </c>
      <c r="C83" s="20" t="n">
        <v>3522</v>
      </c>
      <c r="D83" s="20" t="n">
        <v>3099</v>
      </c>
      <c r="E83" s="20" t="n">
        <v>3479</v>
      </c>
      <c r="F83" s="20" t="n">
        <v>2842</v>
      </c>
      <c r="G83" s="20" t="n">
        <v>3256</v>
      </c>
      <c r="H83" s="20" t="n">
        <v>3058</v>
      </c>
      <c r="I83" s="20" t="n">
        <v>4328</v>
      </c>
      <c r="J83" s="20" t="n">
        <v>3519</v>
      </c>
      <c r="K83" s="20" t="n">
        <v>5283</v>
      </c>
      <c r="L83" s="20" t="n">
        <v>4618</v>
      </c>
      <c r="M83" s="20" t="n">
        <v>6261</v>
      </c>
      <c r="N83" s="20" t="n">
        <v>5546</v>
      </c>
      <c r="T83" s="20" t="n">
        <v>3431</v>
      </c>
      <c r="U83" s="20" t="n">
        <v>3412</v>
      </c>
      <c r="V83" s="20" t="n">
        <v>3479</v>
      </c>
      <c r="W83" s="20" t="n">
        <v>4328</v>
      </c>
      <c r="X83" s="20" t="n">
        <v>6261</v>
      </c>
    </row>
    <row r="84">
      <c r="A84" s="9" t="inlineStr">
        <is>
          <t>매출총이익</t>
        </is>
      </c>
      <c r="C84" s="12" t="n">
        <v>1541</v>
      </c>
      <c r="D84" s="12" t="n">
        <v>1485</v>
      </c>
      <c r="E84" s="12" t="n">
        <v>1261</v>
      </c>
      <c r="F84" s="12" t="n">
        <v>1245</v>
      </c>
      <c r="G84" s="12" t="n">
        <v>1762</v>
      </c>
      <c r="H84" s="12" t="n">
        <v>1506</v>
      </c>
      <c r="I84" s="12" t="n">
        <v>2124</v>
      </c>
      <c r="J84" s="12" t="n">
        <v>1517</v>
      </c>
      <c r="K84" s="12" t="n">
        <v>2384</v>
      </c>
      <c r="L84" s="12" t="n">
        <v>2405</v>
      </c>
      <c r="M84" s="12" t="n">
        <v>3206</v>
      </c>
      <c r="N84" s="12" t="n">
        <v>2758</v>
      </c>
      <c r="T84" s="12" t="n">
        <v>1620</v>
      </c>
      <c r="U84" s="12" t="n">
        <v>1664</v>
      </c>
      <c r="V84" s="12" t="n">
        <v>1261</v>
      </c>
      <c r="W84" s="12" t="n">
        <v>2124</v>
      </c>
      <c r="X84" s="12" t="n">
        <v>3206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판매비와 관리비</t>
        </is>
      </c>
      <c r="C86" s="20" t="n">
        <v>907</v>
      </c>
      <c r="D86" s="20" t="n">
        <v>886</v>
      </c>
      <c r="E86" s="20" t="n">
        <v>742</v>
      </c>
      <c r="F86" s="20" t="n">
        <v>920</v>
      </c>
      <c r="G86" s="20" t="n">
        <v>938</v>
      </c>
      <c r="H86" s="20" t="n">
        <v>990</v>
      </c>
      <c r="I86" s="20" t="n">
        <v>993</v>
      </c>
      <c r="J86" s="20" t="n">
        <v>935</v>
      </c>
      <c r="K86" s="20" t="n">
        <v>988</v>
      </c>
      <c r="L86" s="20" t="n">
        <v>1012</v>
      </c>
      <c r="M86" s="20" t="n">
        <v>1062</v>
      </c>
      <c r="N86" s="20" t="n">
        <v>1030</v>
      </c>
      <c r="T86" s="20" t="n">
        <v>1092</v>
      </c>
      <c r="U86" s="20" t="n">
        <v>798</v>
      </c>
      <c r="V86" s="20" t="n">
        <v>742</v>
      </c>
      <c r="W86" s="20" t="n">
        <v>993</v>
      </c>
      <c r="X86" s="20" t="n">
        <v>1062</v>
      </c>
    </row>
    <row r="87">
      <c r="A87" s="9" t="inlineStr">
        <is>
          <t>영업이익</t>
        </is>
      </c>
      <c r="C87" s="12" t="n">
        <v>635</v>
      </c>
      <c r="D87" s="12" t="n">
        <v>599</v>
      </c>
      <c r="E87" s="12" t="n">
        <v>518</v>
      </c>
      <c r="F87" s="12" t="n">
        <v>325</v>
      </c>
      <c r="G87" s="12" t="n">
        <v>823</v>
      </c>
      <c r="H87" s="12" t="n">
        <v>517</v>
      </c>
      <c r="I87" s="12" t="n">
        <v>1131</v>
      </c>
      <c r="J87" s="12" t="n">
        <v>582</v>
      </c>
      <c r="K87" s="12" t="n">
        <v>1395</v>
      </c>
      <c r="L87" s="12" t="n">
        <v>1394</v>
      </c>
      <c r="M87" s="12" t="n">
        <v>2144</v>
      </c>
      <c r="N87" s="12" t="n">
        <v>1727</v>
      </c>
      <c r="T87" s="12" t="n">
        <v>528</v>
      </c>
      <c r="U87" s="12" t="n">
        <v>865</v>
      </c>
      <c r="V87" s="12" t="n">
        <v>518</v>
      </c>
      <c r="W87" s="12" t="n">
        <v>1131</v>
      </c>
      <c r="X87" s="12" t="n">
        <v>2144</v>
      </c>
    </row>
    <row r="88">
      <c r="A88" s="43" t="inlineStr">
        <is>
          <t>OPM</t>
        </is>
      </c>
      <c r="B88" s="3" t="inlineStr">
        <is>
          <t>영업이익 ÷ 매출</t>
        </is>
      </c>
      <c r="C88" s="15">
        <f>IF(OR(C87="",C81=""),"",IF(C81&lt;=0,"",IFERROR(C87/C81,"")))</f>
        <v/>
      </c>
      <c r="D88" s="15">
        <f>IF(OR(D87="",D81=""),"",IF(D81&lt;=0,"",IFERROR(D87/D81,"")))</f>
        <v/>
      </c>
      <c r="E88" s="15">
        <f>IF(OR(E87="",E81=""),"",IF(E81&lt;=0,"",IFERROR(E87/E81,"")))</f>
        <v/>
      </c>
      <c r="F88" s="15">
        <f>IF(OR(F87="",F81=""),"",IF(F81&lt;=0,"",IFERROR(F87/F81,"")))</f>
        <v/>
      </c>
      <c r="G88" s="15">
        <f>IF(OR(G87="",G81=""),"",IF(G81&lt;=0,"",IFERROR(G87/G81,"")))</f>
        <v/>
      </c>
      <c r="H88" s="15">
        <f>IF(OR(H87="",H81=""),"",IF(H81&lt;=0,"",IFERROR(H87/H81,"")))</f>
        <v/>
      </c>
      <c r="I88" s="15">
        <f>IF(OR(I87="",I81=""),"",IF(I81&lt;=0,"",IFERROR(I87/I81,"")))</f>
        <v/>
      </c>
      <c r="J88" s="15">
        <f>IF(OR(J87="",J81=""),"",IF(J81&lt;=0,"",IFERROR(J87/J81,"")))</f>
        <v/>
      </c>
      <c r="K88" s="15">
        <f>IF(OR(K87="",K81=""),"",IF(K81&lt;=0,"",IFERROR(K87/K81,"")))</f>
        <v/>
      </c>
      <c r="L88" s="15">
        <f>IF(OR(L87="",L81=""),"",IF(L81&lt;=0,"",IFERROR(L87/L81,"")))</f>
        <v/>
      </c>
      <c r="M88" s="15">
        <f>IF(OR(M87="",M81=""),"",IF(M81&lt;=0,"",IFERROR(M87/M81,"")))</f>
        <v/>
      </c>
      <c r="N88" s="15">
        <f>IF(OR(N87="",N81=""),"",IF(N81&lt;=0,"",IFERROR(N87/N81,"")))</f>
        <v/>
      </c>
      <c r="T88" s="15">
        <f>IF(OR(T87="",T81=""),"",IF(T81&lt;=0,"",IFERROR(T87/T81,"")))</f>
        <v/>
      </c>
      <c r="U88" s="15">
        <f>IF(OR(U87="",U81=""),"",IF(U81&lt;=0,"",IFERROR(U87/U81,"")))</f>
        <v/>
      </c>
      <c r="V88" s="15">
        <f>IF(OR(V87="",V81=""),"",IF(V81&lt;=0,"",IFERROR(V87/V81,"")))</f>
        <v/>
      </c>
      <c r="W88" s="15">
        <f>IF(OR(W87="",W81=""),"",IF(W81&lt;=0,"",IFERROR(W87/W81,"")))</f>
        <v/>
      </c>
      <c r="X88" s="15">
        <f>IF(OR(X87="",X81=""),"",IF(X81&lt;=0,"",IFERROR(X87/X81,"")))</f>
        <v/>
      </c>
    </row>
    <row r="89">
      <c r="A89" s="43" t="inlineStr">
        <is>
          <t>YoY</t>
        </is>
      </c>
      <c r="B89" s="3" t="inlineStr">
        <is>
          <t>전년 같은 분기·전년 대비</t>
        </is>
      </c>
      <c r="G89" s="15">
        <f>IF(OR(G87="",C87=""),"",IF(C87&lt;=0,"",IFERROR(G87/C87-1,"")))</f>
        <v/>
      </c>
      <c r="H89" s="15">
        <f>IF(OR(H87="",D87=""),"",IF(D87&lt;=0,"",IFERROR(H87/D87-1,"")))</f>
        <v/>
      </c>
      <c r="I89" s="15">
        <f>IF(OR(I87="",E87=""),"",IF(E87&lt;=0,"",IFERROR(I87/E87-1,"")))</f>
        <v/>
      </c>
      <c r="J89" s="15">
        <f>IF(OR(J87="",F87=""),"",IF(F87&lt;=0,"",IFERROR(J87/F87-1,"")))</f>
        <v/>
      </c>
      <c r="K89" s="15">
        <f>IF(OR(K87="",G87=""),"",IF(G87&lt;=0,"",IFERROR(K87/G87-1,"")))</f>
        <v/>
      </c>
      <c r="L89" s="15">
        <f>IF(OR(L87="",H87=""),"",IF(H87&lt;=0,"",IFERROR(L87/H87-1,"")))</f>
        <v/>
      </c>
      <c r="M89" s="15">
        <f>IF(OR(M87="",I87=""),"",IF(I87&lt;=0,"",IFERROR(M87/I87-1,"")))</f>
        <v/>
      </c>
      <c r="N89" s="15">
        <f>IF(OR(N87="",J87=""),"",IF(J87&lt;=0,"",IFERROR(N87/J87-1,"")))</f>
        <v/>
      </c>
      <c r="T89" s="15">
        <f>IF(OR(T87="",S87=""),"",IF(S87&lt;=0,"",IFERROR(T87/S87-1,"")))</f>
        <v/>
      </c>
      <c r="U89" s="15">
        <f>IF(OR(U87="",T87=""),"",IF(T87&lt;=0,"",IFERROR(U87/T87-1,"")))</f>
        <v/>
      </c>
      <c r="V89" s="15">
        <f>IF(OR(V87="",U87=""),"",IF(U87&lt;=0,"",IFERROR(V87/U87-1,"")))</f>
        <v/>
      </c>
      <c r="W89" s="15">
        <f>IF(OR(W87="",V87=""),"",IF(V87&lt;=0,"",IFERROR(W87/V87-1,"")))</f>
        <v/>
      </c>
      <c r="X89" s="15">
        <f>IF(OR(X87="",W87=""),"",IF(W87&lt;=0,"",IFERROR(X87/W87-1,"")))</f>
        <v/>
      </c>
    </row>
    <row r="90">
      <c r="A90" s="18" t="inlineStr">
        <is>
          <t>수수료 수익</t>
        </is>
      </c>
      <c r="E90" s="20" t="n">
        <v>1</v>
      </c>
      <c r="T90" s="20" t="n">
        <v>1</v>
      </c>
      <c r="U90" s="20" t="n">
        <v>1</v>
      </c>
      <c r="V90" s="20" t="n">
        <v>1</v>
      </c>
    </row>
    <row r="91">
      <c r="A91" s="18" t="inlineStr">
        <is>
          <t>Technical Advisory Fee NOI</t>
        </is>
      </c>
      <c r="C91" s="20" t="n">
        <v>0</v>
      </c>
      <c r="D91" s="20" t="n">
        <v>1</v>
      </c>
      <c r="E91" s="20" t="n">
        <v>0</v>
      </c>
      <c r="F91" s="20" t="n">
        <v>4</v>
      </c>
      <c r="G91" s="20" t="n">
        <v>0</v>
      </c>
      <c r="H91" s="20" t="n">
        <v>3</v>
      </c>
      <c r="I91" s="20" t="n">
        <v>0</v>
      </c>
      <c r="J91" s="20" t="n">
        <v>3</v>
      </c>
      <c r="K91" s="20" t="n">
        <v>0</v>
      </c>
      <c r="L91" s="20" t="n">
        <v>2</v>
      </c>
      <c r="M91" s="20" t="n">
        <v>1</v>
      </c>
      <c r="N91" s="20" t="n">
        <v>5</v>
      </c>
      <c r="T91" s="20" t="n">
        <v>0</v>
      </c>
      <c r="U91" s="20" t="n">
        <v>0</v>
      </c>
      <c r="V91" s="20" t="n">
        <v>0</v>
      </c>
      <c r="W91" s="20" t="n">
        <v>0</v>
      </c>
      <c r="X91" s="20" t="n">
        <v>1</v>
      </c>
    </row>
    <row r="92">
      <c r="A92" s="18" t="inlineStr">
        <is>
          <t>기타</t>
        </is>
      </c>
      <c r="C92" s="20" t="n">
        <v>3</v>
      </c>
      <c r="D92" s="20" t="n">
        <v>1</v>
      </c>
      <c r="E92" s="20" t="n">
        <v>5</v>
      </c>
      <c r="F92" s="20" t="n">
        <v>1</v>
      </c>
      <c r="G92" s="20" t="n">
        <v>4</v>
      </c>
      <c r="H92" s="20" t="n">
        <v>1</v>
      </c>
      <c r="I92" s="20" t="n">
        <v>-1</v>
      </c>
      <c r="J92" s="20" t="n">
        <v>1</v>
      </c>
      <c r="K92" s="20" t="n">
        <v>4</v>
      </c>
      <c r="L92" s="20" t="n">
        <v>1</v>
      </c>
      <c r="M92" s="20" t="n">
        <v>0</v>
      </c>
      <c r="N92" s="20" t="n">
        <v>3</v>
      </c>
      <c r="T92" s="20" t="n">
        <v>4</v>
      </c>
      <c r="U92" s="20" t="n">
        <v>6</v>
      </c>
      <c r="V92" s="20" t="n">
        <v>5</v>
      </c>
      <c r="W92" s="20" t="n">
        <v>-1</v>
      </c>
      <c r="X92" s="20" t="n">
        <v>0</v>
      </c>
    </row>
    <row r="93">
      <c r="A93" s="18" t="inlineStr">
        <is>
          <t>영업외수익 합계</t>
        </is>
      </c>
      <c r="C93" s="20" t="n">
        <v>3</v>
      </c>
      <c r="D93" s="20" t="n">
        <v>3</v>
      </c>
      <c r="E93" s="20" t="n">
        <v>8</v>
      </c>
      <c r="F93" s="20" t="n">
        <v>6</v>
      </c>
      <c r="G93" s="20" t="n">
        <v>3</v>
      </c>
      <c r="H93" s="20" t="n">
        <v>5</v>
      </c>
      <c r="I93" s="20" t="n">
        <v>2</v>
      </c>
      <c r="J93" s="20" t="n">
        <v>5</v>
      </c>
      <c r="K93" s="20" t="n">
        <v>4</v>
      </c>
      <c r="L93" s="20" t="n">
        <v>3</v>
      </c>
      <c r="M93" s="20" t="n">
        <v>4</v>
      </c>
      <c r="N93" s="20" t="n">
        <v>8</v>
      </c>
      <c r="T93" s="20" t="n">
        <v>6</v>
      </c>
      <c r="U93" s="20" t="n">
        <v>6</v>
      </c>
      <c r="V93" s="20" t="n">
        <v>8</v>
      </c>
      <c r="W93" s="20" t="n">
        <v>2</v>
      </c>
      <c r="X93" s="20" t="n">
        <v>4</v>
      </c>
    </row>
    <row r="94">
      <c r="A94" s="18" t="inlineStr">
        <is>
          <t>이자비용</t>
        </is>
      </c>
      <c r="C94" s="20" t="n">
        <v>7</v>
      </c>
      <c r="D94" s="20" t="n">
        <v>8</v>
      </c>
      <c r="E94" s="20" t="n">
        <v>19</v>
      </c>
      <c r="F94" s="20" t="n">
        <v>9</v>
      </c>
      <c r="G94" s="20" t="n">
        <v>12</v>
      </c>
      <c r="H94" s="20" t="n">
        <v>12</v>
      </c>
      <c r="I94" s="20" t="n">
        <v>14</v>
      </c>
      <c r="J94" s="20" t="n">
        <v>15</v>
      </c>
      <c r="K94" s="20" t="n">
        <v>20</v>
      </c>
      <c r="L94" s="20" t="n">
        <v>29</v>
      </c>
      <c r="M94" s="20" t="n">
        <v>40</v>
      </c>
      <c r="N94" s="20" t="n">
        <v>51</v>
      </c>
      <c r="T94" s="20" t="n">
        <v>9</v>
      </c>
      <c r="U94" s="20" t="n">
        <v>13</v>
      </c>
      <c r="V94" s="20" t="n">
        <v>19</v>
      </c>
      <c r="W94" s="20" t="n">
        <v>14</v>
      </c>
      <c r="X94" s="20" t="n">
        <v>40</v>
      </c>
    </row>
    <row r="95">
      <c r="A95" s="18" t="inlineStr">
        <is>
          <t>외환차손</t>
        </is>
      </c>
      <c r="C95" s="20" t="n">
        <v>-1</v>
      </c>
    </row>
    <row r="96">
      <c r="A96" s="18" t="inlineStr">
        <is>
          <t>자기주식 취득비용</t>
        </is>
      </c>
      <c r="D96" s="20" t="n">
        <v>0</v>
      </c>
      <c r="E96" s="20" t="n">
        <v>0</v>
      </c>
      <c r="H96" s="20" t="n">
        <v>0</v>
      </c>
      <c r="I96" s="20" t="n">
        <v>0</v>
      </c>
      <c r="L96" s="20" t="n">
        <v>0</v>
      </c>
      <c r="M96" s="20" t="n">
        <v>0</v>
      </c>
      <c r="V96" s="20" t="n">
        <v>0</v>
      </c>
      <c r="W96" s="20" t="n">
        <v>0</v>
      </c>
      <c r="X96" s="20" t="n">
        <v>0</v>
      </c>
    </row>
    <row r="97">
      <c r="A97" s="18" t="inlineStr">
        <is>
          <t>기타</t>
        </is>
      </c>
      <c r="C97" s="20" t="n">
        <v>3</v>
      </c>
      <c r="D97" s="20" t="n">
        <v>-1</v>
      </c>
      <c r="E97" s="20" t="n">
        <v>2</v>
      </c>
      <c r="F97" s="20" t="n">
        <v>12</v>
      </c>
      <c r="G97" s="20" t="n">
        <v>-2</v>
      </c>
      <c r="H97" s="20" t="n">
        <v>10</v>
      </c>
      <c r="I97" s="20" t="n">
        <v>6</v>
      </c>
      <c r="J97" s="20" t="n">
        <v>7</v>
      </c>
      <c r="K97" s="20" t="n">
        <v>10</v>
      </c>
      <c r="L97" s="20" t="n">
        <v>8</v>
      </c>
      <c r="M97" s="20" t="n">
        <v>12</v>
      </c>
      <c r="N97" s="20" t="n">
        <v>0</v>
      </c>
      <c r="T97" s="20" t="n">
        <v>16</v>
      </c>
      <c r="U97" s="20" t="n">
        <v>4</v>
      </c>
      <c r="V97" s="20" t="n">
        <v>2</v>
      </c>
      <c r="W97" s="20" t="n">
        <v>6</v>
      </c>
      <c r="X97" s="20" t="n">
        <v>12</v>
      </c>
    </row>
    <row r="98">
      <c r="A98" s="18" t="inlineStr">
        <is>
          <t>영업외비용 합계</t>
        </is>
      </c>
      <c r="C98" s="20" t="n">
        <v>10</v>
      </c>
      <c r="D98" s="20" t="n">
        <v>8</v>
      </c>
      <c r="E98" s="20" t="n">
        <v>20</v>
      </c>
      <c r="F98" s="20" t="n">
        <v>22</v>
      </c>
      <c r="G98" s="20" t="n">
        <v>37</v>
      </c>
      <c r="H98" s="20" t="n">
        <v>22</v>
      </c>
      <c r="I98" s="20" t="n">
        <v>20</v>
      </c>
      <c r="J98" s="20" t="n">
        <v>23</v>
      </c>
      <c r="K98" s="20" t="n">
        <v>61</v>
      </c>
      <c r="L98" s="20" t="n">
        <v>36</v>
      </c>
      <c r="M98" s="20" t="n">
        <v>52</v>
      </c>
      <c r="N98" s="20" t="n">
        <v>52</v>
      </c>
      <c r="T98" s="20" t="n">
        <v>25</v>
      </c>
      <c r="U98" s="20" t="n">
        <v>17</v>
      </c>
      <c r="V98" s="20" t="n">
        <v>20</v>
      </c>
      <c r="W98" s="20" t="n">
        <v>20</v>
      </c>
      <c r="X98" s="20" t="n">
        <v>52</v>
      </c>
    </row>
    <row r="99">
      <c r="A99" s="9" t="inlineStr">
        <is>
          <t>경상이익</t>
        </is>
      </c>
      <c r="C99" s="12" t="n">
        <v>628</v>
      </c>
      <c r="D99" s="12" t="n">
        <v>594</v>
      </c>
      <c r="E99" s="12" t="n">
        <v>505</v>
      </c>
      <c r="F99" s="12" t="n">
        <v>308</v>
      </c>
      <c r="G99" s="12" t="n">
        <v>791</v>
      </c>
      <c r="H99" s="12" t="n">
        <v>499</v>
      </c>
      <c r="I99" s="12" t="n">
        <v>1113</v>
      </c>
      <c r="J99" s="12" t="n">
        <v>563</v>
      </c>
      <c r="K99" s="12" t="n">
        <v>1339</v>
      </c>
      <c r="L99" s="12" t="n">
        <v>1361</v>
      </c>
      <c r="M99" s="12" t="n">
        <v>2095</v>
      </c>
      <c r="N99" s="12" t="n">
        <v>1684</v>
      </c>
      <c r="T99" s="12" t="n">
        <v>508</v>
      </c>
      <c r="U99" s="12" t="n">
        <v>855</v>
      </c>
      <c r="V99" s="12" t="n">
        <v>505</v>
      </c>
      <c r="W99" s="12" t="n">
        <v>1113</v>
      </c>
      <c r="X99" s="12" t="n">
        <v>2095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Gain On Sales Of Land EI</t>
        </is>
      </c>
      <c r="C101" s="20" t="n">
        <v>0</v>
      </c>
      <c r="D101" s="20" t="n">
        <v>0</v>
      </c>
      <c r="E101" s="20" t="n">
        <v>0</v>
      </c>
      <c r="T101" s="20" t="n">
        <v>0</v>
      </c>
      <c r="U101" s="20" t="n">
        <v>0</v>
      </c>
      <c r="V101" s="20" t="n">
        <v>0</v>
      </c>
    </row>
    <row r="102">
      <c r="A102" s="18" t="inlineStr">
        <is>
          <t>특별이익 합계</t>
        </is>
      </c>
      <c r="C102" s="20" t="n">
        <v>0</v>
      </c>
      <c r="D102" s="20" t="n">
        <v>0</v>
      </c>
      <c r="E102" s="20" t="n">
        <v>0</v>
      </c>
      <c r="T102" s="20" t="n">
        <v>0</v>
      </c>
      <c r="U102" s="20" t="n">
        <v>0</v>
      </c>
      <c r="V102" s="20" t="n">
        <v>0</v>
      </c>
    </row>
    <row r="103">
      <c r="A103" s="18" t="inlineStr">
        <is>
          <t>고정자산 제각손실</t>
        </is>
      </c>
      <c r="C103" s="20" t="n">
        <v>0</v>
      </c>
      <c r="D103" s="20" t="n">
        <v>0</v>
      </c>
      <c r="E103" s="20" t="n">
        <v>0</v>
      </c>
      <c r="F103" s="20" t="n">
        <v>0</v>
      </c>
      <c r="G103" s="20" t="n">
        <v>0</v>
      </c>
      <c r="H103" s="20" t="n">
        <v>0</v>
      </c>
      <c r="I103" s="20" t="n">
        <v>0</v>
      </c>
      <c r="J103" s="20" t="n">
        <v>9</v>
      </c>
      <c r="K103" s="20" t="n">
        <v>0</v>
      </c>
      <c r="L103" s="20" t="n">
        <v>0</v>
      </c>
      <c r="M103" s="20" t="n">
        <v>0</v>
      </c>
      <c r="N103" s="20" t="n">
        <v>0</v>
      </c>
      <c r="T103" s="20" t="n">
        <v>0</v>
      </c>
      <c r="U103" s="20" t="n">
        <v>1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특별손실 합계</t>
        </is>
      </c>
      <c r="C104" s="20" t="n">
        <v>0</v>
      </c>
      <c r="D104" s="20" t="n">
        <v>0</v>
      </c>
      <c r="E104" s="20" t="n">
        <v>0</v>
      </c>
      <c r="F104" s="20" t="n">
        <v>0</v>
      </c>
      <c r="G104" s="20" t="n">
        <v>0</v>
      </c>
      <c r="H104" s="20" t="n">
        <v>0</v>
      </c>
      <c r="I104" s="20" t="n">
        <v>0</v>
      </c>
      <c r="J104" s="20" t="n">
        <v>9</v>
      </c>
      <c r="K104" s="20" t="n">
        <v>0</v>
      </c>
      <c r="L104" s="20" t="n">
        <v>0</v>
      </c>
      <c r="M104" s="20" t="n">
        <v>0</v>
      </c>
      <c r="N104" s="20" t="n">
        <v>0</v>
      </c>
      <c r="T104" s="20" t="n">
        <v>24</v>
      </c>
      <c r="U104" s="20" t="n">
        <v>1</v>
      </c>
      <c r="V104" s="20" t="n">
        <v>0</v>
      </c>
      <c r="W104" s="20" t="n">
        <v>0</v>
      </c>
      <c r="X104" s="20" t="n">
        <v>0</v>
      </c>
    </row>
    <row r="105">
      <c r="A105" s="9" t="inlineStr">
        <is>
          <t>법인세차감전 순이익</t>
        </is>
      </c>
      <c r="C105" s="12" t="n">
        <v>628</v>
      </c>
      <c r="D105" s="12" t="n">
        <v>594</v>
      </c>
      <c r="E105" s="12" t="n">
        <v>505</v>
      </c>
      <c r="F105" s="12" t="n">
        <v>308</v>
      </c>
      <c r="G105" s="12" t="n">
        <v>791</v>
      </c>
      <c r="H105" s="12" t="n">
        <v>498</v>
      </c>
      <c r="I105" s="12" t="n">
        <v>1113</v>
      </c>
      <c r="J105" s="12" t="n">
        <v>554</v>
      </c>
      <c r="K105" s="12" t="n">
        <v>1339</v>
      </c>
      <c r="L105" s="12" t="n">
        <v>1361</v>
      </c>
      <c r="M105" s="12" t="n">
        <v>2095</v>
      </c>
      <c r="N105" s="12" t="n">
        <v>1684</v>
      </c>
      <c r="T105" s="12" t="n">
        <v>484</v>
      </c>
      <c r="U105" s="12" t="n">
        <v>854</v>
      </c>
      <c r="V105" s="12" t="n">
        <v>505</v>
      </c>
      <c r="W105" s="12" t="n">
        <v>1113</v>
      </c>
      <c r="X105" s="12" t="n">
        <v>2095</v>
      </c>
    </row>
    <row r="106">
      <c r="A106" s="18" t="inlineStr">
        <is>
          <t>법인세 등</t>
        </is>
      </c>
      <c r="C106" s="20" t="n">
        <v>11</v>
      </c>
      <c r="D106" s="20" t="n">
        <v>173</v>
      </c>
      <c r="E106" s="20" t="n">
        <v>-251</v>
      </c>
      <c r="F106" s="20" t="n">
        <v>117</v>
      </c>
      <c r="G106" s="20" t="n">
        <v>247</v>
      </c>
      <c r="H106" s="20" t="n">
        <v>167</v>
      </c>
      <c r="I106" s="20" t="n">
        <v>215</v>
      </c>
      <c r="J106" s="20" t="n">
        <v>166</v>
      </c>
      <c r="K106" s="20" t="n">
        <v>427</v>
      </c>
      <c r="L106" s="20" t="n">
        <v>429</v>
      </c>
      <c r="M106" s="20" t="n">
        <v>507</v>
      </c>
      <c r="N106" s="20" t="n">
        <v>535</v>
      </c>
      <c r="T106" s="20" t="n">
        <v>-15</v>
      </c>
      <c r="U106" s="20" t="n">
        <v>-60</v>
      </c>
      <c r="V106" s="20" t="n">
        <v>-251</v>
      </c>
      <c r="W106" s="20" t="n">
        <v>215</v>
      </c>
      <c r="X106" s="20" t="n">
        <v>507</v>
      </c>
    </row>
    <row r="107">
      <c r="A107" s="9" t="inlineStr">
        <is>
          <t>순이익</t>
        </is>
      </c>
      <c r="C107" s="12" t="n">
        <v>616</v>
      </c>
      <c r="D107" s="12" t="n">
        <v>422</v>
      </c>
      <c r="E107" s="12" t="n">
        <v>756</v>
      </c>
      <c r="F107" s="12" t="n">
        <v>191</v>
      </c>
      <c r="G107" s="12" t="n">
        <v>543</v>
      </c>
      <c r="H107" s="12" t="n">
        <v>331</v>
      </c>
      <c r="I107" s="12" t="n">
        <v>899</v>
      </c>
      <c r="J107" s="12" t="n">
        <v>388</v>
      </c>
      <c r="K107" s="12" t="n">
        <v>912</v>
      </c>
      <c r="L107" s="12" t="n">
        <v>931</v>
      </c>
      <c r="M107" s="12" t="n">
        <v>1589</v>
      </c>
      <c r="N107" s="12" t="n">
        <v>1148</v>
      </c>
      <c r="T107" s="12" t="n">
        <v>500</v>
      </c>
      <c r="U107" s="12" t="n">
        <v>914</v>
      </c>
      <c r="V107" s="12" t="n">
        <v>756</v>
      </c>
      <c r="W107" s="12" t="n">
        <v>899</v>
      </c>
      <c r="X107" s="12" t="n">
        <v>1589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IF(OR(G107="",C107=""),"",IF(C107&lt;=0,"",IFERROR(G107/C107-1,"")))</f>
        <v/>
      </c>
      <c r="H108" s="15">
        <f>IF(OR(H107="",D107=""),"",IF(D107&lt;=0,"",IFERROR(H107/D107-1,"")))</f>
        <v/>
      </c>
      <c r="I108" s="15">
        <f>IF(OR(I107="",E107=""),"",IF(E107&lt;=0,"",IFERROR(I107/E107-1,"")))</f>
        <v/>
      </c>
      <c r="J108" s="15">
        <f>IF(OR(J107="",F107=""),"",IF(F107&lt;=0,"",IFERROR(J107/F107-1,"")))</f>
        <v/>
      </c>
      <c r="K108" s="15">
        <f>IF(OR(K107="",G107=""),"",IF(G107&lt;=0,"",IFERROR(K107/G107-1,"")))</f>
        <v/>
      </c>
      <c r="L108" s="15">
        <f>IF(OR(L107="",H107=""),"",IF(H107&lt;=0,"",IFERROR(L107/H107-1,"")))</f>
        <v/>
      </c>
      <c r="M108" s="15">
        <f>IF(OR(M107="",I107=""),"",IF(I107&lt;=0,"",IFERROR(M107/I107-1,"")))</f>
        <v/>
      </c>
      <c r="N108" s="15">
        <f>IF(OR(N107="",J107=""),"",IF(J107&lt;=0,"",IFERROR(N107/J107-1,"")))</f>
        <v/>
      </c>
      <c r="T108" s="15">
        <f>IF(OR(T107="",S107=""),"",IF(S107&lt;=0,"",IFERROR(T107/S107-1,"")))</f>
        <v/>
      </c>
      <c r="U108" s="15">
        <f>IF(OR(U107="",T107=""),"",IF(T107&lt;=0,"",IFERROR(U107/T107-1,"")))</f>
        <v/>
      </c>
      <c r="V108" s="15">
        <f>IF(OR(V107="",U107=""),"",IF(U107&lt;=0,"",IFERROR(V107/U107-1,"")))</f>
        <v/>
      </c>
      <c r="W108" s="15">
        <f>IF(OR(W107="",V107=""),"",IF(V107&lt;=0,"",IFERROR(W107/V107-1,"")))</f>
        <v/>
      </c>
      <c r="X108" s="15">
        <f>IF(OR(X107="",W107=""),"",IF(W107&lt;=0,"",IFERROR(X107/W107-1,"")))</f>
        <v/>
      </c>
    </row>
    <row r="109">
      <c r="A109" s="9" t="inlineStr">
        <is>
          <t>지배주주 순이익</t>
        </is>
      </c>
      <c r="C109" s="12" t="n">
        <v>616</v>
      </c>
      <c r="D109" s="12" t="n">
        <v>422</v>
      </c>
      <c r="E109" s="12" t="n">
        <v>983</v>
      </c>
      <c r="F109" s="12" t="n">
        <v>191</v>
      </c>
      <c r="G109" s="12" t="n">
        <v>543</v>
      </c>
      <c r="H109" s="12" t="n">
        <v>331</v>
      </c>
      <c r="I109" s="12" t="n">
        <v>899</v>
      </c>
      <c r="J109" s="12" t="n">
        <v>388</v>
      </c>
      <c r="K109" s="12" t="n">
        <v>912</v>
      </c>
      <c r="L109" s="12" t="n">
        <v>931</v>
      </c>
      <c r="M109" s="12" t="n">
        <v>1589</v>
      </c>
      <c r="N109" s="12" t="n">
        <v>1148</v>
      </c>
      <c r="T109" s="12" t="n">
        <v>500</v>
      </c>
      <c r="U109" s="12" t="n">
        <v>855</v>
      </c>
      <c r="V109" s="12" t="n">
        <v>983</v>
      </c>
      <c r="W109" s="12" t="n">
        <v>899</v>
      </c>
      <c r="X109" s="12" t="n">
        <v>1589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2">
      <c r="A112" s="16" t="inlineStr">
        <is>
          <t>포괄손익 · 전 항목</t>
        </is>
      </c>
      <c r="B112" s="42" t="inlineStr">
        <is>
          <t>분기 = 3개월 단독</t>
        </is>
      </c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2024.2Q</t>
        </is>
      </c>
      <c r="D113" s="5" t="inlineStr">
        <is>
          <t>2024.3Q</t>
        </is>
      </c>
      <c r="E113" s="5" t="inlineStr">
        <is>
          <t>2024.4Q</t>
        </is>
      </c>
      <c r="F113" s="5" t="inlineStr">
        <is>
          <t>2025.1Q</t>
        </is>
      </c>
      <c r="G113" s="5" t="inlineStr">
        <is>
          <t>2025.2Q</t>
        </is>
      </c>
      <c r="H113" s="5" t="inlineStr">
        <is>
          <t>2025.3Q</t>
        </is>
      </c>
      <c r="I113" s="5" t="inlineStr">
        <is>
          <t>2025.4Q</t>
        </is>
      </c>
      <c r="J113" s="5" t="inlineStr">
        <is>
          <t>2026.1Q</t>
        </is>
      </c>
      <c r="K113" s="5" t="inlineStr">
        <is>
          <t>2026.2Q</t>
        </is>
      </c>
      <c r="L113" s="5" t="inlineStr">
        <is>
          <t>2026.3Q</t>
        </is>
      </c>
      <c r="M113" s="5" t="inlineStr">
        <is>
          <t>2026.4Q</t>
        </is>
      </c>
      <c r="N113" s="5" t="inlineStr">
        <is>
          <t>2027.1Q</t>
        </is>
      </c>
      <c r="O113" s="5" t="inlineStr">
        <is>
          <t>2017</t>
        </is>
      </c>
      <c r="P113" s="5" t="inlineStr">
        <is>
          <t>2018</t>
        </is>
      </c>
      <c r="Q113" s="5" t="inlineStr">
        <is>
          <t>2019</t>
        </is>
      </c>
      <c r="R113" s="5" t="inlineStr">
        <is>
          <t>2020</t>
        </is>
      </c>
      <c r="S113" s="5" t="inlineStr">
        <is>
          <t>2021</t>
        </is>
      </c>
      <c r="T113" s="5" t="inlineStr">
        <is>
          <t>2022</t>
        </is>
      </c>
      <c r="U113" s="5" t="inlineStr">
        <is>
          <t>2023</t>
        </is>
      </c>
      <c r="V113" s="5" t="inlineStr">
        <is>
          <t>2024</t>
        </is>
      </c>
      <c r="W113" s="5" t="inlineStr">
        <is>
          <t>2025</t>
        </is>
      </c>
      <c r="X113" s="5" t="inlineStr">
        <is>
          <t>2026</t>
        </is>
      </c>
      <c r="Y113" s="5" t="inlineStr">
        <is>
          <t>2027(MW)</t>
        </is>
      </c>
      <c r="Z113" s="5" t="inlineStr">
        <is>
          <t>2028(MW)</t>
        </is>
      </c>
      <c r="AA113" s="5" t="inlineStr">
        <is>
          <t>2029(MW)</t>
        </is>
      </c>
      <c r="AB113" s="5" t="inlineStr">
        <is>
          <t>2030(MW)</t>
        </is>
      </c>
      <c r="AC113" s="5" t="inlineStr">
        <is>
          <t>2031(MW)</t>
        </is>
      </c>
    </row>
    <row r="114">
      <c r="A114" s="9" t="inlineStr">
        <is>
          <t>순이익</t>
        </is>
      </c>
      <c r="C114" s="12" t="n">
        <v>616</v>
      </c>
      <c r="D114" s="12" t="n">
        <v>422</v>
      </c>
      <c r="E114" s="12" t="n">
        <v>983</v>
      </c>
      <c r="F114" s="12" t="n">
        <v>191</v>
      </c>
      <c r="G114" s="12" t="n">
        <v>543</v>
      </c>
      <c r="H114" s="12" t="n">
        <v>331</v>
      </c>
      <c r="I114" s="12" t="n">
        <v>899</v>
      </c>
      <c r="J114" s="12" t="n">
        <v>388</v>
      </c>
      <c r="K114" s="12" t="n">
        <v>912</v>
      </c>
      <c r="L114" s="12" t="n">
        <v>931</v>
      </c>
      <c r="M114" s="12" t="n">
        <v>1589</v>
      </c>
      <c r="N114" s="12" t="n">
        <v>1148</v>
      </c>
      <c r="T114" s="12" t="n">
        <v>500</v>
      </c>
      <c r="U114" s="12" t="n">
        <v>855</v>
      </c>
      <c r="V114" s="12" t="n">
        <v>983</v>
      </c>
      <c r="W114" s="12" t="n">
        <v>899</v>
      </c>
      <c r="X114" s="12" t="n">
        <v>1589</v>
      </c>
    </row>
    <row r="115">
      <c r="A115" s="18" t="inlineStr">
        <is>
          <t>기타유가증권 평가차액</t>
        </is>
      </c>
      <c r="C115" s="20" t="n">
        <v>0</v>
      </c>
      <c r="D115" s="20" t="n">
        <v>-0</v>
      </c>
      <c r="E115" s="20" t="n">
        <v>1</v>
      </c>
      <c r="F115" s="20" t="n">
        <v>-0</v>
      </c>
      <c r="G115" s="20" t="n">
        <v>-1</v>
      </c>
      <c r="H115" s="20" t="n">
        <v>0</v>
      </c>
      <c r="I115" s="20" t="n">
        <v>0</v>
      </c>
      <c r="J115" s="20" t="n">
        <v>0</v>
      </c>
      <c r="K115" s="20" t="n">
        <v>0</v>
      </c>
      <c r="L115" s="20" t="n">
        <v>1</v>
      </c>
      <c r="M115" s="20" t="n">
        <v>0</v>
      </c>
      <c r="N115" s="20" t="n">
        <v>0</v>
      </c>
      <c r="T115" s="20" t="n">
        <v>0</v>
      </c>
      <c r="U115" s="20" t="n">
        <v>0</v>
      </c>
      <c r="V115" s="20" t="n">
        <v>1</v>
      </c>
      <c r="W115" s="20" t="n">
        <v>0</v>
      </c>
      <c r="X115" s="20" t="n">
        <v>0</v>
      </c>
    </row>
    <row r="116">
      <c r="A116" s="18" t="inlineStr">
        <is>
          <t>퇴직급여 조정액</t>
        </is>
      </c>
      <c r="C116" s="20" t="n">
        <v>-25</v>
      </c>
      <c r="D116" s="20" t="n">
        <v>-25</v>
      </c>
      <c r="E116" s="20" t="n">
        <v>202</v>
      </c>
      <c r="F116" s="20" t="n">
        <v>-11</v>
      </c>
      <c r="G116" s="20" t="n">
        <v>-11</v>
      </c>
      <c r="H116" s="20" t="n">
        <v>-12</v>
      </c>
      <c r="I116" s="20" t="n">
        <v>-161</v>
      </c>
      <c r="J116" s="20" t="n">
        <v>-15</v>
      </c>
      <c r="K116" s="20" t="n">
        <v>-15</v>
      </c>
      <c r="L116" s="20" t="n">
        <v>-13</v>
      </c>
      <c r="M116" s="20" t="n">
        <v>452</v>
      </c>
      <c r="N116" s="20" t="n">
        <v>-23</v>
      </c>
      <c r="T116" s="20" t="n">
        <v>-108</v>
      </c>
      <c r="U116" s="20" t="n">
        <v>-338</v>
      </c>
      <c r="V116" s="20" t="n">
        <v>202</v>
      </c>
      <c r="W116" s="20" t="n">
        <v>-161</v>
      </c>
      <c r="X116" s="20" t="n">
        <v>452</v>
      </c>
    </row>
    <row r="117">
      <c r="A117" s="18" t="inlineStr">
        <is>
          <t>기타포괄손익 합계</t>
        </is>
      </c>
      <c r="C117" s="20" t="n">
        <v>-25</v>
      </c>
      <c r="D117" s="20" t="n">
        <v>-25</v>
      </c>
      <c r="E117" s="20" t="n">
        <v>203</v>
      </c>
      <c r="F117" s="20" t="n">
        <v>-12</v>
      </c>
      <c r="G117" s="20" t="n">
        <v>-12</v>
      </c>
      <c r="H117" s="20" t="n">
        <v>-11</v>
      </c>
      <c r="I117" s="20" t="n">
        <v>-191</v>
      </c>
      <c r="J117" s="20" t="n">
        <v>-14</v>
      </c>
      <c r="K117" s="20" t="n">
        <v>-15</v>
      </c>
      <c r="L117" s="20" t="n">
        <v>-13</v>
      </c>
      <c r="M117" s="20" t="n">
        <v>453</v>
      </c>
      <c r="N117" s="20" t="n">
        <v>-22</v>
      </c>
      <c r="T117" s="20" t="n">
        <v>-107</v>
      </c>
      <c r="U117" s="20" t="n">
        <v>-337</v>
      </c>
      <c r="V117" s="20" t="n">
        <v>203</v>
      </c>
      <c r="W117" s="20" t="n">
        <v>-191</v>
      </c>
      <c r="X117" s="20" t="n">
        <v>453</v>
      </c>
    </row>
    <row r="118">
      <c r="A118" s="9" t="inlineStr">
        <is>
          <t>포괄이익</t>
        </is>
      </c>
      <c r="C118" s="12" t="n">
        <v>592</v>
      </c>
      <c r="D118" s="12" t="n">
        <v>396</v>
      </c>
      <c r="E118" s="12" t="n">
        <v>1188</v>
      </c>
      <c r="F118" s="12" t="n">
        <v>178</v>
      </c>
      <c r="G118" s="12" t="n">
        <v>532</v>
      </c>
      <c r="H118" s="12" t="n">
        <v>320</v>
      </c>
      <c r="I118" s="12" t="n">
        <v>707</v>
      </c>
      <c r="J118" s="12" t="n">
        <v>373</v>
      </c>
      <c r="K118" s="12" t="n">
        <v>897</v>
      </c>
      <c r="L118" s="12" t="n">
        <v>919</v>
      </c>
      <c r="M118" s="12" t="n">
        <v>2042</v>
      </c>
      <c r="N118" s="12" t="n">
        <v>1125</v>
      </c>
      <c r="T118" s="12" t="n">
        <v>392</v>
      </c>
      <c r="U118" s="12" t="n">
        <v>517</v>
      </c>
      <c r="V118" s="12" t="n">
        <v>1188</v>
      </c>
      <c r="W118" s="12" t="n">
        <v>707</v>
      </c>
      <c r="X118" s="12" t="n">
        <v>2042</v>
      </c>
    </row>
    <row r="119">
      <c r="A119" s="9" t="inlineStr">
        <is>
          <t>지배주주 포괄이익</t>
        </is>
      </c>
      <c r="C119" s="12" t="n">
        <v>592</v>
      </c>
      <c r="D119" s="12" t="n">
        <v>396</v>
      </c>
      <c r="E119" s="12" t="n">
        <v>1188</v>
      </c>
      <c r="F119" s="12" t="n">
        <v>178</v>
      </c>
      <c r="G119" s="12" t="n">
        <v>532</v>
      </c>
      <c r="H119" s="12" t="n">
        <v>320</v>
      </c>
      <c r="I119" s="12" t="n">
        <v>707</v>
      </c>
      <c r="J119" s="12" t="n">
        <v>373</v>
      </c>
      <c r="K119" s="12" t="n">
        <v>897</v>
      </c>
      <c r="L119" s="12" t="n">
        <v>919</v>
      </c>
      <c r="M119" s="12" t="n">
        <v>2042</v>
      </c>
      <c r="N119" s="12" t="n">
        <v>1125</v>
      </c>
      <c r="T119" s="12" t="n">
        <v>392</v>
      </c>
      <c r="U119" s="12" t="n">
        <v>517</v>
      </c>
      <c r="V119" s="12" t="n">
        <v>1188</v>
      </c>
      <c r="W119" s="12" t="n">
        <v>707</v>
      </c>
      <c r="X119" s="12" t="n">
        <v>2042</v>
      </c>
    </row>
    <row r="120">
      <c r="A120" s="9" t="inlineStr">
        <is>
          <t>비지배주주 포괄이익</t>
        </is>
      </c>
      <c r="C120" s="12" t="n">
        <v>0</v>
      </c>
      <c r="D120" s="12" t="n">
        <v>0</v>
      </c>
      <c r="E120" s="12" t="n">
        <v>0</v>
      </c>
      <c r="F120" s="12" t="n">
        <v>0</v>
      </c>
      <c r="G120" s="12" t="n">
        <v>0</v>
      </c>
      <c r="H120" s="12" t="n">
        <v>0</v>
      </c>
      <c r="I120" s="12" t="n">
        <v>0</v>
      </c>
      <c r="J120" s="12" t="n">
        <v>0</v>
      </c>
      <c r="K120" s="12" t="n">
        <v>0</v>
      </c>
      <c r="L120" s="12" t="n">
        <v>0</v>
      </c>
      <c r="M120" s="12" t="n">
        <v>0</v>
      </c>
      <c r="N120" s="12" t="n">
        <v>0</v>
      </c>
      <c r="T120" s="12" t="n">
        <v>0</v>
      </c>
      <c r="U120" s="12" t="n">
        <v>0</v>
      </c>
      <c r="V120" s="12" t="n">
        <v>0</v>
      </c>
      <c r="W120" s="12" t="n">
        <v>0</v>
      </c>
      <c r="X120" s="12" t="n">
        <v>0</v>
      </c>
    </row>
    <row r="122">
      <c r="A122" s="16" t="inlineStr">
        <is>
          <t>부문 · 전 항목</t>
        </is>
      </c>
      <c r="B122" s="42" t="inlineStr">
        <is>
          <t>부문 · 항목</t>
        </is>
      </c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2024.2Q</t>
        </is>
      </c>
      <c r="D123" s="5" t="inlineStr">
        <is>
          <t>2024.3Q</t>
        </is>
      </c>
      <c r="E123" s="5" t="inlineStr">
        <is>
          <t>2024.4Q</t>
        </is>
      </c>
      <c r="F123" s="5" t="inlineStr">
        <is>
          <t>2025.1Q</t>
        </is>
      </c>
      <c r="G123" s="5" t="inlineStr">
        <is>
          <t>2025.2Q</t>
        </is>
      </c>
      <c r="H123" s="5" t="inlineStr">
        <is>
          <t>2025.3Q</t>
        </is>
      </c>
      <c r="I123" s="5" t="inlineStr">
        <is>
          <t>2025.4Q</t>
        </is>
      </c>
      <c r="J123" s="5" t="inlineStr">
        <is>
          <t>2026.1Q</t>
        </is>
      </c>
      <c r="K123" s="5" t="inlineStr">
        <is>
          <t>2026.2Q</t>
        </is>
      </c>
      <c r="L123" s="5" t="inlineStr">
        <is>
          <t>2026.3Q</t>
        </is>
      </c>
      <c r="M123" s="5" t="inlineStr">
        <is>
          <t>2026.4Q</t>
        </is>
      </c>
      <c r="N123" s="5" t="inlineStr">
        <is>
          <t>2027.1Q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18" t="inlineStr">
        <is>
          <t>부문 · 외부 고객 매출</t>
        </is>
      </c>
      <c r="C124" s="20" t="n">
        <v>4064</v>
      </c>
      <c r="D124" s="20" t="n">
        <v>3804</v>
      </c>
      <c r="F124" s="20" t="n">
        <v>3341</v>
      </c>
      <c r="G124" s="20" t="n">
        <v>3729</v>
      </c>
      <c r="H124" s="20" t="n">
        <v>3860</v>
      </c>
      <c r="I124" s="20" t="n">
        <v>5101</v>
      </c>
      <c r="J124" s="20" t="n">
        <v>4019</v>
      </c>
      <c r="K124" s="20" t="n">
        <v>6139</v>
      </c>
      <c r="L124" s="20" t="n">
        <v>5844</v>
      </c>
      <c r="M124" s="20" t="n">
        <v>7856</v>
      </c>
      <c r="N124" s="20" t="n">
        <v>7240</v>
      </c>
      <c r="W124" s="20" t="n">
        <v>5101</v>
      </c>
      <c r="X124" s="20" t="n">
        <v>7856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부문 · 외부 고객 매출</t>
        </is>
      </c>
      <c r="C126" s="20" t="n">
        <v>1000</v>
      </c>
      <c r="D126" s="20" t="n">
        <v>779</v>
      </c>
      <c r="F126" s="20" t="n">
        <v>745</v>
      </c>
      <c r="G126" s="20" t="n">
        <v>1290</v>
      </c>
      <c r="H126" s="20" t="n">
        <v>705</v>
      </c>
      <c r="I126" s="20" t="n">
        <v>1351</v>
      </c>
      <c r="J126" s="20" t="n">
        <v>1017</v>
      </c>
      <c r="K126" s="20" t="n">
        <v>1528</v>
      </c>
      <c r="L126" s="20" t="n">
        <v>1179</v>
      </c>
      <c r="M126" s="20" t="n">
        <v>1611</v>
      </c>
      <c r="N126" s="20" t="n">
        <v>1064</v>
      </c>
      <c r="W126" s="20" t="n">
        <v>1351</v>
      </c>
      <c r="X126" s="20" t="n">
        <v>1611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보고부문 합계 · 외부 고객 매출</t>
        </is>
      </c>
      <c r="F128" s="20" t="n">
        <v>4087</v>
      </c>
      <c r="G128" s="20" t="n">
        <v>5019</v>
      </c>
      <c r="H128" s="20" t="n">
        <v>4564</v>
      </c>
      <c r="I128" s="20" t="n">
        <v>6452</v>
      </c>
      <c r="J128" s="20" t="n">
        <v>5037</v>
      </c>
      <c r="K128" s="20" t="n">
        <v>7666</v>
      </c>
      <c r="L128" s="20" t="n">
        <v>7023</v>
      </c>
      <c r="M128" s="20" t="n">
        <v>9468</v>
      </c>
      <c r="N128" s="20" t="n">
        <v>8304</v>
      </c>
      <c r="W128" s="20" t="n">
        <v>6452</v>
      </c>
      <c r="X128" s="20" t="n">
        <v>9468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0">
      <c r="A130" s="18" t="inlineStr">
        <is>
          <t>조정액 · 외부 고객 매출</t>
        </is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W130" s="20" t="n">
        <v>0</v>
      </c>
      <c r="X130" s="20" t="n">
        <v>0</v>
      </c>
    </row>
    <row r="131">
      <c r="A131" s="9" t="inlineStr">
        <is>
          <t>외부 고객 매출</t>
        </is>
      </c>
      <c r="C131" s="12" t="n">
        <v>5064</v>
      </c>
      <c r="D131" s="12" t="n">
        <v>4584</v>
      </c>
      <c r="F131" s="12" t="n">
        <v>4087</v>
      </c>
      <c r="G131" s="12" t="n">
        <v>5019</v>
      </c>
      <c r="H131" s="12" t="n">
        <v>4564</v>
      </c>
      <c r="I131" s="12" t="n">
        <v>6452</v>
      </c>
      <c r="J131" s="12" t="n">
        <v>5037</v>
      </c>
      <c r="K131" s="12" t="n">
        <v>7666</v>
      </c>
      <c r="L131" s="12" t="n">
        <v>7023</v>
      </c>
      <c r="M131" s="12" t="n">
        <v>9468</v>
      </c>
      <c r="N131" s="12" t="n">
        <v>8304</v>
      </c>
      <c r="W131" s="12" t="n">
        <v>6452</v>
      </c>
      <c r="X131" s="12" t="n">
        <v>9468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부문 · 부문 간 내부매출·대체</t>
        </is>
      </c>
      <c r="C133" s="20" t="n">
        <v>0</v>
      </c>
      <c r="D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W133" s="20" t="n">
        <v>0</v>
      </c>
      <c r="X133" s="20" t="n">
        <v>0</v>
      </c>
    </row>
    <row r="134">
      <c r="A134" s="18" t="inlineStr">
        <is>
          <t>부문 · 부문 간 내부매출·대체</t>
        </is>
      </c>
      <c r="C134" s="20" t="n">
        <v>0</v>
      </c>
      <c r="D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29</v>
      </c>
      <c r="K134" s="20" t="n">
        <v>51</v>
      </c>
      <c r="L134" s="20" t="n">
        <v>46</v>
      </c>
      <c r="M134" s="20" t="n">
        <v>47</v>
      </c>
      <c r="N134" s="20" t="n">
        <v>21</v>
      </c>
      <c r="W134" s="20" t="n">
        <v>0</v>
      </c>
      <c r="X134" s="20" t="n">
        <v>47</v>
      </c>
    </row>
    <row r="135">
      <c r="A135" s="18" t="inlineStr">
        <is>
          <t>보고부문 합계 · 부문 간 내부매출·대체</t>
        </is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29</v>
      </c>
      <c r="K135" s="20" t="n">
        <v>51</v>
      </c>
      <c r="L135" s="20" t="n">
        <v>46</v>
      </c>
      <c r="M135" s="20" t="n">
        <v>47</v>
      </c>
      <c r="N135" s="20" t="n">
        <v>21</v>
      </c>
      <c r="W135" s="20" t="n">
        <v>0</v>
      </c>
      <c r="X135" s="20" t="n">
        <v>47</v>
      </c>
    </row>
    <row r="136">
      <c r="A136" s="18" t="inlineStr">
        <is>
          <t>조정액 · 부문 간 내부매출·대체</t>
        </is>
      </c>
      <c r="F136" s="20" t="n">
        <v>0</v>
      </c>
      <c r="G136" s="20" t="n">
        <v>0</v>
      </c>
      <c r="H136" s="20" t="n">
        <v>0</v>
      </c>
      <c r="I136" s="20" t="n">
        <v>0</v>
      </c>
      <c r="J136" s="20" t="n">
        <v>-29</v>
      </c>
      <c r="K136" s="20" t="n">
        <v>-51</v>
      </c>
      <c r="L136" s="20" t="n">
        <v>-46</v>
      </c>
      <c r="M136" s="20" t="n">
        <v>-47</v>
      </c>
      <c r="N136" s="20" t="n">
        <v>-21</v>
      </c>
      <c r="W136" s="20" t="n">
        <v>0</v>
      </c>
      <c r="X136" s="20" t="n">
        <v>-47</v>
      </c>
    </row>
    <row r="137">
      <c r="A137" s="18" t="inlineStr">
        <is>
          <t>부문 간 내부매출·대체</t>
        </is>
      </c>
      <c r="C137" s="20" t="n">
        <v>0</v>
      </c>
      <c r="D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W137" s="20" t="n">
        <v>0</v>
      </c>
      <c r="X137" s="20" t="n">
        <v>0</v>
      </c>
    </row>
    <row r="138">
      <c r="A138" s="18" t="inlineStr">
        <is>
          <t>부문 · 계</t>
        </is>
      </c>
      <c r="C138" s="20" t="n">
        <v>4064</v>
      </c>
      <c r="D138" s="20" t="n">
        <v>3804</v>
      </c>
      <c r="F138" s="20" t="n">
        <v>3341</v>
      </c>
      <c r="G138" s="20" t="n">
        <v>3729</v>
      </c>
      <c r="H138" s="20" t="n">
        <v>3860</v>
      </c>
      <c r="I138" s="20" t="n">
        <v>5101</v>
      </c>
      <c r="J138" s="20" t="n">
        <v>4019</v>
      </c>
      <c r="K138" s="20" t="n">
        <v>6139</v>
      </c>
      <c r="L138" s="20" t="n">
        <v>5844</v>
      </c>
      <c r="M138" s="20" t="n">
        <v>7856</v>
      </c>
      <c r="N138" s="20" t="n">
        <v>7240</v>
      </c>
      <c r="W138" s="20" t="n">
        <v>5101</v>
      </c>
      <c r="X138" s="20" t="n">
        <v>7856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부문 · 계</t>
        </is>
      </c>
      <c r="C140" s="20" t="n">
        <v>1000</v>
      </c>
      <c r="D140" s="20" t="n">
        <v>779</v>
      </c>
      <c r="F140" s="20" t="n">
        <v>745</v>
      </c>
      <c r="G140" s="20" t="n">
        <v>1290</v>
      </c>
      <c r="H140" s="20" t="n">
        <v>705</v>
      </c>
      <c r="I140" s="20" t="n">
        <v>1351</v>
      </c>
      <c r="J140" s="20" t="n">
        <v>1047</v>
      </c>
      <c r="K140" s="20" t="n">
        <v>1578</v>
      </c>
      <c r="L140" s="20" t="n">
        <v>1225</v>
      </c>
      <c r="M140" s="20" t="n">
        <v>1659</v>
      </c>
      <c r="N140" s="20" t="n">
        <v>1086</v>
      </c>
      <c r="W140" s="20" t="n">
        <v>1351</v>
      </c>
      <c r="X140" s="20" t="n">
        <v>1659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보고부문 합계 · 계</t>
        </is>
      </c>
      <c r="F142" s="20" t="n">
        <v>4087</v>
      </c>
      <c r="G142" s="20" t="n">
        <v>5019</v>
      </c>
      <c r="H142" s="20" t="n">
        <v>4564</v>
      </c>
      <c r="I142" s="20" t="n">
        <v>6452</v>
      </c>
      <c r="J142" s="20" t="n">
        <v>5066</v>
      </c>
      <c r="K142" s="20" t="n">
        <v>7718</v>
      </c>
      <c r="L142" s="20" t="n">
        <v>7068</v>
      </c>
      <c r="M142" s="20" t="n">
        <v>9515</v>
      </c>
      <c r="N142" s="20" t="n">
        <v>8326</v>
      </c>
      <c r="W142" s="20" t="n">
        <v>6452</v>
      </c>
      <c r="X142" s="20" t="n">
        <v>9515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조정액 · 계</t>
        </is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-29</v>
      </c>
      <c r="K144" s="20" t="n">
        <v>-51</v>
      </c>
      <c r="L144" s="20" t="n">
        <v>-46</v>
      </c>
      <c r="M144" s="20" t="n">
        <v>-47</v>
      </c>
      <c r="N144" s="20" t="n">
        <v>-21</v>
      </c>
      <c r="W144" s="20" t="n">
        <v>0</v>
      </c>
      <c r="X144" s="20" t="n">
        <v>-47</v>
      </c>
    </row>
    <row r="145">
      <c r="A145" s="9" t="inlineStr">
        <is>
          <t>계</t>
        </is>
      </c>
      <c r="C145" s="12" t="n">
        <v>5064</v>
      </c>
      <c r="D145" s="12" t="n">
        <v>4584</v>
      </c>
      <c r="F145" s="12" t="n">
        <v>4087</v>
      </c>
      <c r="G145" s="12" t="n">
        <v>5019</v>
      </c>
      <c r="H145" s="12" t="n">
        <v>4564</v>
      </c>
      <c r="I145" s="12" t="n">
        <v>6452</v>
      </c>
      <c r="J145" s="12" t="n">
        <v>5037</v>
      </c>
      <c r="K145" s="12" t="n">
        <v>7666</v>
      </c>
      <c r="L145" s="12" t="n">
        <v>7023</v>
      </c>
      <c r="M145" s="12" t="n">
        <v>9468</v>
      </c>
      <c r="N145" s="12" t="n">
        <v>8304</v>
      </c>
      <c r="W145" s="12" t="n">
        <v>6452</v>
      </c>
      <c r="X145" s="12" t="n">
        <v>9468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부문 · 부문 이익</t>
        </is>
      </c>
      <c r="C147" s="20" t="n">
        <v>693</v>
      </c>
      <c r="D147" s="20" t="n">
        <v>723</v>
      </c>
      <c r="F147" s="20" t="n">
        <v>513</v>
      </c>
      <c r="G147" s="20" t="n">
        <v>755</v>
      </c>
      <c r="H147" s="20" t="n">
        <v>718</v>
      </c>
      <c r="I147" s="20" t="n">
        <v>1060</v>
      </c>
      <c r="J147" s="20" t="n">
        <v>554</v>
      </c>
      <c r="K147" s="20" t="n">
        <v>1256</v>
      </c>
      <c r="L147" s="20" t="n">
        <v>1360</v>
      </c>
      <c r="M147" s="20" t="n">
        <v>1926</v>
      </c>
      <c r="N147" s="20" t="n">
        <v>1742</v>
      </c>
      <c r="W147" s="20" t="n">
        <v>1060</v>
      </c>
      <c r="X147" s="20" t="n">
        <v>1926</v>
      </c>
    </row>
    <row r="148">
      <c r="A148" s="43" t="inlineStr">
        <is>
          <t>OPM</t>
        </is>
      </c>
      <c r="B148" s="3" t="inlineStr">
        <is>
          <t>영업이익 ÷ 매출</t>
        </is>
      </c>
      <c r="C148" s="15">
        <f>IF(OR(C147="",C138=""),"",IF(C138&lt;=0,"",IFERROR(C147/C138,"")))</f>
        <v/>
      </c>
      <c r="D148" s="15">
        <f>IF(OR(D147="",D138=""),"",IF(D138&lt;=0,"",IFERROR(D147/D138,"")))</f>
        <v/>
      </c>
      <c r="F148" s="15">
        <f>IF(OR(F147="",F138=""),"",IF(F138&lt;=0,"",IFERROR(F147/F138,"")))</f>
        <v/>
      </c>
      <c r="G148" s="15">
        <f>IF(OR(G147="",G138=""),"",IF(G138&lt;=0,"",IFERROR(G147/G138,"")))</f>
        <v/>
      </c>
      <c r="H148" s="15">
        <f>IF(OR(H147="",H138=""),"",IF(H138&lt;=0,"",IFERROR(H147/H138,"")))</f>
        <v/>
      </c>
      <c r="I148" s="15">
        <f>IF(OR(I147="",I138=""),"",IF(I138&lt;=0,"",IFERROR(I147/I138,"")))</f>
        <v/>
      </c>
      <c r="J148" s="15">
        <f>IF(OR(J147="",J138=""),"",IF(J138&lt;=0,"",IFERROR(J147/J138,"")))</f>
        <v/>
      </c>
      <c r="K148" s="15">
        <f>IF(OR(K147="",K138=""),"",IF(K138&lt;=0,"",IFERROR(K147/K138,"")))</f>
        <v/>
      </c>
      <c r="L148" s="15">
        <f>IF(OR(L147="",L138=""),"",IF(L138&lt;=0,"",IFERROR(L147/L138,"")))</f>
        <v/>
      </c>
      <c r="M148" s="15">
        <f>IF(OR(M147="",M138=""),"",IF(M138&lt;=0,"",IFERROR(M147/M138,"")))</f>
        <v/>
      </c>
      <c r="N148" s="15">
        <f>IF(OR(N147="",N138=""),"",IF(N138&lt;=0,"",IFERROR(N147/N138,"")))</f>
        <v/>
      </c>
      <c r="W148" s="15">
        <f>IF(OR(W147="",W138=""),"",IF(W138&lt;=0,"",IFERROR(W147/W138,"")))</f>
        <v/>
      </c>
      <c r="X148" s="15">
        <f>IF(OR(X147="",X138=""),"",IF(X138&lt;=0,"",IFERROR(X147/X138,"")))</f>
        <v/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IF(OR(G147="",C147=""),"",IF(C147&lt;=0,"",IFERROR(G147/C147-1,"")))</f>
        <v/>
      </c>
      <c r="H149" s="15">
        <f>IF(OR(H147="",D147=""),"",IF(D147&lt;=0,"",IFERROR(H147/D147-1,"")))</f>
        <v/>
      </c>
      <c r="I149" s="15">
        <f>IF(OR(I147="",E147=""),"",IF(E147&lt;=0,"",IFERROR(I147/E147-1,"")))</f>
        <v/>
      </c>
      <c r="J149" s="15">
        <f>IF(OR(J147="",F147=""),"",IF(F147&lt;=0,"",IFERROR(J147/F147-1,"")))</f>
        <v/>
      </c>
      <c r="K149" s="15">
        <f>IF(OR(K147="",G147=""),"",IF(G147&lt;=0,"",IFERROR(K147/G147-1,"")))</f>
        <v/>
      </c>
      <c r="L149" s="15">
        <f>IF(OR(L147="",H147=""),"",IF(H147&lt;=0,"",IFERROR(L147/H147-1,"")))</f>
        <v/>
      </c>
      <c r="M149" s="15">
        <f>IF(OR(M147="",I147=""),"",IF(I147&lt;=0,"",IFERROR(M147/I147-1,"")))</f>
        <v/>
      </c>
      <c r="N149" s="15">
        <f>IF(OR(N147="",J147=""),"",IF(J147&lt;=0,"",IFERROR(N147/J147-1,"")))</f>
        <v/>
      </c>
      <c r="W149" s="15">
        <f>IF(OR(W147="",V147=""),"",IF(V147&lt;=0,"",IFERROR(W147/V147-1,"")))</f>
        <v/>
      </c>
      <c r="X149" s="15">
        <f>IF(OR(X147="",W147=""),"",IF(W147&lt;=0,"",IFERROR(X147/W147-1,"")))</f>
        <v/>
      </c>
    </row>
    <row r="150">
      <c r="A150" s="18" t="inlineStr">
        <is>
          <t>부문 · 부문 이익</t>
        </is>
      </c>
      <c r="C150" s="20" t="n">
        <v>-58</v>
      </c>
      <c r="D150" s="20" t="n">
        <v>-124</v>
      </c>
      <c r="F150" s="20" t="n">
        <v>-188</v>
      </c>
      <c r="G150" s="20" t="n">
        <v>69</v>
      </c>
      <c r="H150" s="20" t="n">
        <v>-202</v>
      </c>
      <c r="I150" s="20" t="n">
        <v>71</v>
      </c>
      <c r="J150" s="20" t="n">
        <v>27</v>
      </c>
      <c r="K150" s="20" t="n">
        <v>140</v>
      </c>
      <c r="L150" s="20" t="n">
        <v>34</v>
      </c>
      <c r="M150" s="20" t="n">
        <v>218</v>
      </c>
      <c r="N150" s="20" t="n">
        <v>-15</v>
      </c>
      <c r="W150" s="20" t="n">
        <v>71</v>
      </c>
      <c r="X150" s="20" t="n">
        <v>218</v>
      </c>
    </row>
    <row r="151">
      <c r="A151" s="43" t="inlineStr">
        <is>
          <t>OPM</t>
        </is>
      </c>
      <c r="B151" s="3" t="inlineStr">
        <is>
          <t>영업이익 ÷ 매출</t>
        </is>
      </c>
      <c r="C151" s="15">
        <f>IF(OR(C150="",C140=""),"",IF(C140&lt;=0,"",IFERROR(C150/C140,"")))</f>
        <v/>
      </c>
      <c r="D151" s="15">
        <f>IF(OR(D150="",D140=""),"",IF(D140&lt;=0,"",IFERROR(D150/D140,"")))</f>
        <v/>
      </c>
      <c r="F151" s="15">
        <f>IF(OR(F150="",F140=""),"",IF(F140&lt;=0,"",IFERROR(F150/F140,"")))</f>
        <v/>
      </c>
      <c r="G151" s="15">
        <f>IF(OR(G150="",G140=""),"",IF(G140&lt;=0,"",IFERROR(G150/G140,"")))</f>
        <v/>
      </c>
      <c r="H151" s="15">
        <f>IF(OR(H150="",H140=""),"",IF(H140&lt;=0,"",IFERROR(H150/H140,"")))</f>
        <v/>
      </c>
      <c r="I151" s="15">
        <f>IF(OR(I150="",I140=""),"",IF(I140&lt;=0,"",IFERROR(I150/I140,"")))</f>
        <v/>
      </c>
      <c r="J151" s="15">
        <f>IF(OR(J150="",J140=""),"",IF(J140&lt;=0,"",IFERROR(J150/J140,"")))</f>
        <v/>
      </c>
      <c r="K151" s="15">
        <f>IF(OR(K150="",K140=""),"",IF(K140&lt;=0,"",IFERROR(K150/K140,"")))</f>
        <v/>
      </c>
      <c r="L151" s="15">
        <f>IF(OR(L150="",L140=""),"",IF(L140&lt;=0,"",IFERROR(L150/L140,"")))</f>
        <v/>
      </c>
      <c r="M151" s="15">
        <f>IF(OR(M150="",M140=""),"",IF(M140&lt;=0,"",IFERROR(M150/M140,"")))</f>
        <v/>
      </c>
      <c r="N151" s="15">
        <f>IF(OR(N150="",N140=""),"",IF(N140&lt;=0,"",IFERROR(N150/N140,"")))</f>
        <v/>
      </c>
      <c r="W151" s="15">
        <f>IF(OR(W150="",W140=""),"",IF(W140&lt;=0,"",IFERROR(W150/W140,"")))</f>
        <v/>
      </c>
      <c r="X151" s="15">
        <f>IF(OR(X150="",X140=""),"",IF(X140&lt;=0,"",IFERROR(X150/X140,"")))</f>
        <v/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IF(OR(G150="",C150=""),"",IF(C150&lt;=0,"",IFERROR(G150/C150-1,"")))</f>
        <v/>
      </c>
      <c r="H152" s="15">
        <f>IF(OR(H150="",D150=""),"",IF(D150&lt;=0,"",IFERROR(H150/D150-1,"")))</f>
        <v/>
      </c>
      <c r="I152" s="15">
        <f>IF(OR(I150="",E150=""),"",IF(E150&lt;=0,"",IFERROR(I150/E150-1,"")))</f>
        <v/>
      </c>
      <c r="J152" s="15">
        <f>IF(OR(J150="",F150=""),"",IF(F150&lt;=0,"",IFERROR(J150/F150-1,"")))</f>
        <v/>
      </c>
      <c r="K152" s="15">
        <f>IF(OR(K150="",G150=""),"",IF(G150&lt;=0,"",IFERROR(K150/G150-1,"")))</f>
        <v/>
      </c>
      <c r="L152" s="15">
        <f>IF(OR(L150="",H150=""),"",IF(H150&lt;=0,"",IFERROR(L150/H150-1,"")))</f>
        <v/>
      </c>
      <c r="M152" s="15">
        <f>IF(OR(M150="",I150=""),"",IF(I150&lt;=0,"",IFERROR(M150/I150-1,"")))</f>
        <v/>
      </c>
      <c r="N152" s="15">
        <f>IF(OR(N150="",J150=""),"",IF(J150&lt;=0,"",IFERROR(N150/J150-1,"")))</f>
        <v/>
      </c>
      <c r="W152" s="15">
        <f>IF(OR(W150="",V150=""),"",IF(V150&lt;=0,"",IFERROR(W150/V150-1,"")))</f>
        <v/>
      </c>
      <c r="X152" s="15">
        <f>IF(OR(X150="",W150=""),"",IF(W150&lt;=0,"",IFERROR(X150/W150-1,"")))</f>
        <v/>
      </c>
    </row>
    <row r="153">
      <c r="A153" s="18" t="inlineStr">
        <is>
          <t>보고부문 합계 · 부문 이익</t>
        </is>
      </c>
      <c r="F153" s="20" t="n">
        <v>325</v>
      </c>
      <c r="G153" s="20" t="n">
        <v>823</v>
      </c>
      <c r="H153" s="20" t="n">
        <v>517</v>
      </c>
      <c r="I153" s="20" t="n">
        <v>1131</v>
      </c>
      <c r="J153" s="20" t="n">
        <v>582</v>
      </c>
      <c r="K153" s="20" t="n">
        <v>1395</v>
      </c>
      <c r="L153" s="20" t="n">
        <v>1394</v>
      </c>
      <c r="M153" s="20" t="n">
        <v>2144</v>
      </c>
      <c r="N153" s="20" t="n">
        <v>1727</v>
      </c>
      <c r="W153" s="20" t="n">
        <v>1131</v>
      </c>
      <c r="X153" s="20" t="n">
        <v>2144</v>
      </c>
    </row>
    <row r="154">
      <c r="A154" s="43" t="inlineStr">
        <is>
          <t>OPM</t>
        </is>
      </c>
      <c r="B154" s="3" t="inlineStr">
        <is>
          <t>영업이익 ÷ 매출</t>
        </is>
      </c>
      <c r="F154" s="15">
        <f>IF(OR(F153="",F142=""),"",IF(F142&lt;=0,"",IFERROR(F153/F142,"")))</f>
        <v/>
      </c>
      <c r="G154" s="15">
        <f>IF(OR(G153="",G142=""),"",IF(G142&lt;=0,"",IFERROR(G153/G142,"")))</f>
        <v/>
      </c>
      <c r="H154" s="15">
        <f>IF(OR(H153="",H142=""),"",IF(H142&lt;=0,"",IFERROR(H153/H142,"")))</f>
        <v/>
      </c>
      <c r="I154" s="15">
        <f>IF(OR(I153="",I142=""),"",IF(I142&lt;=0,"",IFERROR(I153/I142,"")))</f>
        <v/>
      </c>
      <c r="J154" s="15">
        <f>IF(OR(J153="",J142=""),"",IF(J142&lt;=0,"",IFERROR(J153/J142,"")))</f>
        <v/>
      </c>
      <c r="K154" s="15">
        <f>IF(OR(K153="",K142=""),"",IF(K142&lt;=0,"",IFERROR(K153/K142,"")))</f>
        <v/>
      </c>
      <c r="L154" s="15">
        <f>IF(OR(L153="",L142=""),"",IF(L142&lt;=0,"",IFERROR(L153/L142,"")))</f>
        <v/>
      </c>
      <c r="M154" s="15">
        <f>IF(OR(M153="",M142=""),"",IF(M142&lt;=0,"",IFERROR(M153/M142,"")))</f>
        <v/>
      </c>
      <c r="N154" s="15">
        <f>IF(OR(N153="",N142=""),"",IF(N142&lt;=0,"",IFERROR(N153/N142,"")))</f>
        <v/>
      </c>
      <c r="W154" s="15">
        <f>IF(OR(W153="",W142=""),"",IF(W142&lt;=0,"",IFERROR(W153/W142,"")))</f>
        <v/>
      </c>
      <c r="X154" s="15">
        <f>IF(OR(X153="",X142=""),"",IF(X142&lt;=0,"",IFERROR(X153/X142,"")))</f>
        <v/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IF(OR(G153="",C153=""),"",IF(C153&lt;=0,"",IFERROR(G153/C153-1,"")))</f>
        <v/>
      </c>
      <c r="H155" s="15">
        <f>IF(OR(H153="",D153=""),"",IF(D153&lt;=0,"",IFERROR(H153/D153-1,"")))</f>
        <v/>
      </c>
      <c r="I155" s="15">
        <f>IF(OR(I153="",E153=""),"",IF(E153&lt;=0,"",IFERROR(I153/E153-1,"")))</f>
        <v/>
      </c>
      <c r="J155" s="15">
        <f>IF(OR(J153="",F153=""),"",IF(F153&lt;=0,"",IFERROR(J153/F153-1,"")))</f>
        <v/>
      </c>
      <c r="K155" s="15">
        <f>IF(OR(K153="",G153=""),"",IF(G153&lt;=0,"",IFERROR(K153/G153-1,"")))</f>
        <v/>
      </c>
      <c r="L155" s="15">
        <f>IF(OR(L153="",H153=""),"",IF(H153&lt;=0,"",IFERROR(L153/H153-1,"")))</f>
        <v/>
      </c>
      <c r="M155" s="15">
        <f>IF(OR(M153="",I153=""),"",IF(I153&lt;=0,"",IFERROR(M153/I153-1,"")))</f>
        <v/>
      </c>
      <c r="N155" s="15">
        <f>IF(OR(N153="",J153=""),"",IF(J153&lt;=0,"",IFERROR(N153/J153-1,"")))</f>
        <v/>
      </c>
      <c r="W155" s="15">
        <f>IF(OR(W153="",V153=""),"",IF(V153&lt;=0,"",IFERROR(W153/V153-1,"")))</f>
        <v/>
      </c>
      <c r="X155" s="15">
        <f>IF(OR(X153="",W153=""),"",IF(W153&lt;=0,"",IFERROR(X153/W153-1,"")))</f>
        <v/>
      </c>
    </row>
    <row r="156">
      <c r="A156" s="18" t="inlineStr">
        <is>
          <t>조정액 · 부문 이익</t>
        </is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W156" s="20" t="n">
        <v>0</v>
      </c>
      <c r="X156" s="20" t="n">
        <v>0</v>
      </c>
    </row>
    <row r="157">
      <c r="A157" s="9" t="inlineStr">
        <is>
          <t>부문 이익</t>
        </is>
      </c>
      <c r="C157" s="12" t="n">
        <v>635</v>
      </c>
      <c r="D157" s="12" t="n">
        <v>599</v>
      </c>
      <c r="F157" s="12" t="n">
        <v>325</v>
      </c>
      <c r="G157" s="12" t="n">
        <v>823</v>
      </c>
      <c r="H157" s="12" t="n">
        <v>517</v>
      </c>
      <c r="I157" s="12" t="n">
        <v>1131</v>
      </c>
      <c r="J157" s="12" t="n">
        <v>582</v>
      </c>
      <c r="K157" s="12" t="n">
        <v>1395</v>
      </c>
      <c r="L157" s="12" t="n">
        <v>1394</v>
      </c>
      <c r="M157" s="12" t="n">
        <v>2144</v>
      </c>
      <c r="N157" s="12" t="n">
        <v>1727</v>
      </c>
      <c r="W157" s="12" t="n">
        <v>1131</v>
      </c>
      <c r="X157" s="12" t="n">
        <v>2144</v>
      </c>
    </row>
    <row r="158">
      <c r="A158" s="43" t="inlineStr">
        <is>
          <t>OPM</t>
        </is>
      </c>
      <c r="B158" s="3" t="inlineStr">
        <is>
          <t>영업이익 ÷ 매출</t>
        </is>
      </c>
      <c r="C158" s="15">
        <f>IF(OR(C157="",C131=""),"",IF(C131&lt;=0,"",IFERROR(C157/C131,"")))</f>
        <v/>
      </c>
      <c r="D158" s="15">
        <f>IF(OR(D157="",D131=""),"",IF(D131&lt;=0,"",IFERROR(D157/D131,"")))</f>
        <v/>
      </c>
      <c r="F158" s="15">
        <f>IF(OR(F157="",F131=""),"",IF(F131&lt;=0,"",IFERROR(F157/F131,"")))</f>
        <v/>
      </c>
      <c r="G158" s="15">
        <f>IF(OR(G157="",G131=""),"",IF(G131&lt;=0,"",IFERROR(G157/G131,"")))</f>
        <v/>
      </c>
      <c r="H158" s="15">
        <f>IF(OR(H157="",H131=""),"",IF(H131&lt;=0,"",IFERROR(H157/H131,"")))</f>
        <v/>
      </c>
      <c r="I158" s="15">
        <f>IF(OR(I157="",I131=""),"",IF(I131&lt;=0,"",IFERROR(I157/I131,"")))</f>
        <v/>
      </c>
      <c r="J158" s="15">
        <f>IF(OR(J157="",J131=""),"",IF(J131&lt;=0,"",IFERROR(J157/J131,"")))</f>
        <v/>
      </c>
      <c r="K158" s="15">
        <f>IF(OR(K157="",K131=""),"",IF(K131&lt;=0,"",IFERROR(K157/K131,"")))</f>
        <v/>
      </c>
      <c r="L158" s="15">
        <f>IF(OR(L157="",L131=""),"",IF(L131&lt;=0,"",IFERROR(L157/L131,"")))</f>
        <v/>
      </c>
      <c r="M158" s="15">
        <f>IF(OR(M157="",M131=""),"",IF(M131&lt;=0,"",IFERROR(M157/M131,"")))</f>
        <v/>
      </c>
      <c r="N158" s="15">
        <f>IF(OR(N157="",N131=""),"",IF(N131&lt;=0,"",IFERROR(N157/N131,"")))</f>
        <v/>
      </c>
      <c r="W158" s="15">
        <f>IF(OR(W157="",W131=""),"",IF(W131&lt;=0,"",IFERROR(W157/W131,"")))</f>
        <v/>
      </c>
      <c r="X158" s="15">
        <f>IF(OR(X157="",X131=""),"",IF(X131&lt;=0,"",IFERROR(X157/X131,"")))</f>
        <v/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IF(OR(G157="",C157=""),"",IF(C157&lt;=0,"",IFERROR(G157/C157-1,"")))</f>
        <v/>
      </c>
      <c r="H159" s="15">
        <f>IF(OR(H157="",D157=""),"",IF(D157&lt;=0,"",IFERROR(H157/D157-1,"")))</f>
        <v/>
      </c>
      <c r="I159" s="15">
        <f>IF(OR(I157="",E157=""),"",IF(E157&lt;=0,"",IFERROR(I157/E157-1,"")))</f>
        <v/>
      </c>
      <c r="J159" s="15">
        <f>IF(OR(J157="",F157=""),"",IF(F157&lt;=0,"",IFERROR(J157/F157-1,"")))</f>
        <v/>
      </c>
      <c r="K159" s="15">
        <f>IF(OR(K157="",G157=""),"",IF(G157&lt;=0,"",IFERROR(K157/G157-1,"")))</f>
        <v/>
      </c>
      <c r="L159" s="15">
        <f>IF(OR(L157="",H157=""),"",IF(H157&lt;=0,"",IFERROR(L157/H157-1,"")))</f>
        <v/>
      </c>
      <c r="M159" s="15">
        <f>IF(OR(M157="",I157=""),"",IF(I157&lt;=0,"",IFERROR(M157/I157-1,"")))</f>
        <v/>
      </c>
      <c r="N159" s="15">
        <f>IF(OR(N157="",J157=""),"",IF(J157&lt;=0,"",IFERROR(N157/J157-1,"")))</f>
        <v/>
      </c>
      <c r="W159" s="15">
        <f>IF(OR(W157="",V157=""),"",IF(V157&lt;=0,"",IFERROR(W157/V157-1,"")))</f>
        <v/>
      </c>
      <c r="X159" s="15">
        <f>IF(OR(X157="",W157=""),"",IF(W157&lt;=0,"",IFERROR(X157/W157-1,"")))</f>
        <v/>
      </c>
    </row>
    <row r="161">
      <c r="A161" s="16" t="inlineStr">
        <is>
          <t>현금흐름표 · 전 항목</t>
        </is>
      </c>
      <c r="B161" s="42" t="inlineStr">
        <is>
          <t>분기 = 결산기 첫날부터 누계(공시 그대로)</t>
        </is>
      </c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</row>
    <row r="162">
      <c r="A162" s="5" t="inlineStr">
        <is>
          <t>항목</t>
        </is>
      </c>
      <c r="B162" s="5" t="inlineStr">
        <is>
          <t>참고</t>
        </is>
      </c>
      <c r="C162" s="5" t="inlineStr">
        <is>
          <t>2024.2Q</t>
        </is>
      </c>
      <c r="D162" s="5" t="inlineStr">
        <is>
          <t>2024.3Q</t>
        </is>
      </c>
      <c r="E162" s="5" t="inlineStr">
        <is>
          <t>2024.4Q</t>
        </is>
      </c>
      <c r="F162" s="5" t="inlineStr">
        <is>
          <t>2025.1Q</t>
        </is>
      </c>
      <c r="G162" s="5" t="inlineStr">
        <is>
          <t>2025.2Q</t>
        </is>
      </c>
      <c r="H162" s="5" t="inlineStr">
        <is>
          <t>2025.3Q</t>
        </is>
      </c>
      <c r="I162" s="5" t="inlineStr">
        <is>
          <t>2025.4Q</t>
        </is>
      </c>
      <c r="J162" s="5" t="inlineStr">
        <is>
          <t>2026.1Q</t>
        </is>
      </c>
      <c r="K162" s="5" t="inlineStr">
        <is>
          <t>2026.2Q</t>
        </is>
      </c>
      <c r="L162" s="5" t="inlineStr">
        <is>
          <t>2026.3Q</t>
        </is>
      </c>
      <c r="M162" s="5" t="inlineStr">
        <is>
          <t>2026.4Q</t>
        </is>
      </c>
      <c r="N162" s="5" t="inlineStr">
        <is>
          <t>2027.1Q</t>
        </is>
      </c>
      <c r="O162" s="5" t="inlineStr">
        <is>
          <t>2017</t>
        </is>
      </c>
      <c r="P162" s="5" t="inlineStr">
        <is>
          <t>2018</t>
        </is>
      </c>
      <c r="Q162" s="5" t="inlineStr">
        <is>
          <t>2019</t>
        </is>
      </c>
      <c r="R162" s="5" t="inlineStr">
        <is>
          <t>2020</t>
        </is>
      </c>
      <c r="S162" s="5" t="inlineStr">
        <is>
          <t>2021</t>
        </is>
      </c>
      <c r="T162" s="5" t="inlineStr">
        <is>
          <t>2022</t>
        </is>
      </c>
      <c r="U162" s="5" t="inlineStr">
        <is>
          <t>2023</t>
        </is>
      </c>
      <c r="V162" s="5" t="inlineStr">
        <is>
          <t>2024</t>
        </is>
      </c>
      <c r="W162" s="5" t="inlineStr">
        <is>
          <t>2025</t>
        </is>
      </c>
      <c r="X162" s="5" t="inlineStr">
        <is>
          <t>2026</t>
        </is>
      </c>
      <c r="Y162" s="5" t="inlineStr">
        <is>
          <t>2027(MW)</t>
        </is>
      </c>
      <c r="Z162" s="5" t="inlineStr">
        <is>
          <t>2028(MW)</t>
        </is>
      </c>
      <c r="AA162" s="5" t="inlineStr">
        <is>
          <t>2029(MW)</t>
        </is>
      </c>
      <c r="AB162" s="5" t="inlineStr">
        <is>
          <t>2030(MW)</t>
        </is>
      </c>
      <c r="AC162" s="5" t="inlineStr">
        <is>
          <t>2031(MW)</t>
        </is>
      </c>
    </row>
    <row r="163">
      <c r="A163" s="9" t="inlineStr">
        <is>
          <t>법인세차감전 순이익</t>
        </is>
      </c>
      <c r="E163" s="12" t="n">
        <v>2152</v>
      </c>
      <c r="I163" s="12" t="n">
        <v>2710</v>
      </c>
      <c r="M163" s="12" t="n">
        <v>5349</v>
      </c>
      <c r="O163" s="12" t="n">
        <v>1857</v>
      </c>
      <c r="P163" s="12" t="n">
        <v>597</v>
      </c>
      <c r="Q163" s="12" t="n">
        <v>1657</v>
      </c>
      <c r="R163" s="12" t="n">
        <v>63</v>
      </c>
      <c r="S163" s="12" t="n">
        <v>937</v>
      </c>
      <c r="T163" s="12" t="n">
        <v>1781</v>
      </c>
      <c r="U163" s="12" t="n">
        <v>2003</v>
      </c>
      <c r="V163" s="12" t="n">
        <v>2152</v>
      </c>
      <c r="W163" s="12" t="n">
        <v>2710</v>
      </c>
      <c r="X163" s="12" t="n">
        <v>5349</v>
      </c>
    </row>
    <row r="164">
      <c r="A164" s="18" t="inlineStr">
        <is>
          <t>감가상각비</t>
        </is>
      </c>
      <c r="E164" s="20" t="n">
        <v>287</v>
      </c>
      <c r="I164" s="20" t="n">
        <v>478</v>
      </c>
      <c r="M164" s="20" t="n">
        <v>479</v>
      </c>
      <c r="O164" s="20" t="n">
        <v>473</v>
      </c>
      <c r="P164" s="20" t="n">
        <v>655</v>
      </c>
      <c r="Q164" s="20" t="n">
        <v>393</v>
      </c>
      <c r="R164" s="20" t="n">
        <v>259</v>
      </c>
      <c r="S164" s="20" t="n">
        <v>291</v>
      </c>
      <c r="T164" s="20" t="n">
        <v>250</v>
      </c>
      <c r="U164" s="20" t="n">
        <v>217</v>
      </c>
      <c r="V164" s="20" t="n">
        <v>287</v>
      </c>
      <c r="W164" s="20" t="n">
        <v>478</v>
      </c>
      <c r="X164" s="20" t="n">
        <v>479</v>
      </c>
    </row>
    <row r="165">
      <c r="A165" s="18" t="inlineStr">
        <is>
          <t>상여충당금 증감</t>
        </is>
      </c>
      <c r="E165" s="20" t="n">
        <v>-89</v>
      </c>
      <c r="I165" s="20" t="n">
        <v>71</v>
      </c>
      <c r="M165" s="20" t="n">
        <v>54</v>
      </c>
      <c r="O165" s="20" t="n">
        <v>0</v>
      </c>
      <c r="P165" s="20" t="n">
        <v>-24</v>
      </c>
      <c r="Q165" s="20" t="n">
        <v>-423</v>
      </c>
      <c r="R165" s="20" t="n">
        <v>157</v>
      </c>
      <c r="S165" s="20" t="n">
        <v>202</v>
      </c>
      <c r="T165" s="20" t="n">
        <v>117</v>
      </c>
      <c r="U165" s="20" t="n">
        <v>9</v>
      </c>
      <c r="V165" s="20" t="n">
        <v>-89</v>
      </c>
      <c r="W165" s="20" t="n">
        <v>71</v>
      </c>
      <c r="X165" s="20" t="n">
        <v>54</v>
      </c>
    </row>
    <row r="166">
      <c r="A166" s="18" t="inlineStr">
        <is>
          <t>퇴직급여부채 증감</t>
        </is>
      </c>
      <c r="E166" s="20" t="n">
        <v>-162</v>
      </c>
      <c r="I166" s="20" t="n">
        <v>-165</v>
      </c>
      <c r="M166" s="20" t="n">
        <v>-46</v>
      </c>
      <c r="O166" s="20" t="n">
        <v>25</v>
      </c>
      <c r="P166" s="20" t="n">
        <v>-1414</v>
      </c>
      <c r="Q166" s="20" t="n">
        <v>-181</v>
      </c>
      <c r="R166" s="20" t="n">
        <v>-168</v>
      </c>
      <c r="S166" s="20" t="n">
        <v>-554</v>
      </c>
      <c r="T166" s="20" t="n">
        <v>-127</v>
      </c>
      <c r="U166" s="20" t="n">
        <v>-144</v>
      </c>
      <c r="V166" s="20" t="n">
        <v>-162</v>
      </c>
      <c r="W166" s="20" t="n">
        <v>-165</v>
      </c>
      <c r="X166" s="20" t="n">
        <v>-46</v>
      </c>
    </row>
    <row r="167">
      <c r="A167" s="18" t="inlineStr">
        <is>
          <t>퇴직급여자산 증감</t>
        </is>
      </c>
      <c r="E167" s="20" t="n">
        <v>-88</v>
      </c>
      <c r="I167" s="20" t="n">
        <v>-96</v>
      </c>
      <c r="M167" s="20" t="n">
        <v>-94</v>
      </c>
      <c r="O167" s="20" t="n">
        <v>-118</v>
      </c>
      <c r="P167" s="20" t="n">
        <v>-78</v>
      </c>
      <c r="Q167" s="20" t="n">
        <v>-118</v>
      </c>
      <c r="R167" s="20" t="n">
        <v>-224</v>
      </c>
      <c r="S167" s="20" t="n">
        <v>-122</v>
      </c>
      <c r="T167" s="20" t="n">
        <v>-92</v>
      </c>
      <c r="U167" s="20" t="n">
        <v>-97</v>
      </c>
      <c r="V167" s="20" t="n">
        <v>-88</v>
      </c>
      <c r="W167" s="20" t="n">
        <v>-96</v>
      </c>
      <c r="X167" s="20" t="n">
        <v>-94</v>
      </c>
    </row>
    <row r="168">
      <c r="A168" s="18" t="inlineStr">
        <is>
          <t>이자·배당금 수익</t>
        </is>
      </c>
      <c r="E168" s="20" t="n">
        <v>-1</v>
      </c>
      <c r="I168" s="20" t="n">
        <v>-2</v>
      </c>
      <c r="M168" s="20" t="n">
        <v>-3</v>
      </c>
      <c r="O168" s="20" t="n">
        <v>-0</v>
      </c>
      <c r="P168" s="20" t="n">
        <v>-0</v>
      </c>
      <c r="Q168" s="20" t="n">
        <v>-0</v>
      </c>
      <c r="R168" s="20" t="n">
        <v>-0</v>
      </c>
      <c r="S168" s="20" t="n">
        <v>-0</v>
      </c>
      <c r="T168" s="20" t="n">
        <v>-0</v>
      </c>
      <c r="U168" s="20" t="n">
        <v>-0</v>
      </c>
      <c r="V168" s="20" t="n">
        <v>-1</v>
      </c>
      <c r="W168" s="20" t="n">
        <v>-2</v>
      </c>
      <c r="X168" s="20" t="n">
        <v>-3</v>
      </c>
    </row>
    <row r="169">
      <c r="A169" s="18" t="inlineStr">
        <is>
          <t>Gain On Revision Of Retirement Benefit Plan Ope CF</t>
        </is>
      </c>
      <c r="O169" s="20" t="n">
        <v>0</v>
      </c>
      <c r="P169" s="20" t="n">
        <v>-119</v>
      </c>
      <c r="Q169" s="20" t="n">
        <v>0</v>
      </c>
    </row>
    <row r="170">
      <c r="A170" s="18" t="inlineStr">
        <is>
          <t>이자비용</t>
        </is>
      </c>
      <c r="E170" s="20" t="n">
        <v>29</v>
      </c>
      <c r="I170" s="20" t="n">
        <v>47</v>
      </c>
      <c r="M170" s="20" t="n">
        <v>104</v>
      </c>
      <c r="O170" s="20" t="n">
        <v>68</v>
      </c>
      <c r="P170" s="20" t="n">
        <v>52</v>
      </c>
      <c r="Q170" s="20" t="n">
        <v>63</v>
      </c>
      <c r="R170" s="20" t="n">
        <v>50</v>
      </c>
      <c r="S170" s="20" t="n">
        <v>49</v>
      </c>
      <c r="T170" s="20" t="n">
        <v>38</v>
      </c>
      <c r="U170" s="20" t="n">
        <v>26</v>
      </c>
      <c r="V170" s="20" t="n">
        <v>29</v>
      </c>
      <c r="W170" s="20" t="n">
        <v>47</v>
      </c>
      <c r="X170" s="20" t="n">
        <v>104</v>
      </c>
    </row>
    <row r="171">
      <c r="A171" s="18" t="inlineStr">
        <is>
          <t>보상금 수취</t>
        </is>
      </c>
      <c r="O171" s="20" t="n">
        <v>-3694</v>
      </c>
      <c r="P171" s="20" t="n">
        <v>-1477</v>
      </c>
      <c r="Q171" s="20" t="n">
        <v>-2400</v>
      </c>
      <c r="R171" s="20" t="n">
        <v>0</v>
      </c>
    </row>
    <row r="172">
      <c r="A172" s="18" t="inlineStr">
        <is>
          <t>Loss On Business Transfer Ope CF</t>
        </is>
      </c>
      <c r="O172" s="20" t="n">
        <v>1775</v>
      </c>
      <c r="P172" s="20" t="n">
        <v>231</v>
      </c>
      <c r="Q172" s="20" t="n">
        <v>0</v>
      </c>
    </row>
    <row r="173">
      <c r="A173" s="18" t="inlineStr">
        <is>
          <t>Decrease In Loss On Business Transfer Ope CF</t>
        </is>
      </c>
      <c r="O173" s="20" t="n">
        <v>-49</v>
      </c>
      <c r="P173" s="20" t="n">
        <v>-1041</v>
      </c>
      <c r="Q173" s="20" t="n">
        <v>-836</v>
      </c>
      <c r="R173" s="20" t="n">
        <v>-82</v>
      </c>
      <c r="S173" s="20" t="n">
        <v>0</v>
      </c>
    </row>
    <row r="174">
      <c r="A174" s="18" t="inlineStr">
        <is>
          <t>매출채권 증감</t>
        </is>
      </c>
      <c r="O174" s="20" t="n">
        <v>-42</v>
      </c>
      <c r="P174" s="20" t="n">
        <v>365</v>
      </c>
      <c r="Q174" s="20" t="n">
        <v>-579</v>
      </c>
      <c r="R174" s="20" t="n">
        <v>775</v>
      </c>
      <c r="S174" s="20" t="n">
        <v>-311</v>
      </c>
      <c r="T174" s="20" t="n">
        <v>2205</v>
      </c>
    </row>
    <row r="175">
      <c r="A175" s="18" t="inlineStr">
        <is>
          <t>Loss Gain On Sales Of Land Ope CF</t>
        </is>
      </c>
      <c r="E175" s="20" t="n">
        <v>0</v>
      </c>
      <c r="T175" s="20" t="n">
        <v>0</v>
      </c>
      <c r="U175" s="20" t="n">
        <v>-83</v>
      </c>
      <c r="V175" s="20" t="n">
        <v>0</v>
      </c>
    </row>
    <row r="176">
      <c r="A176" s="18" t="inlineStr">
        <is>
          <t>매출채권·계약자산 증감</t>
        </is>
      </c>
      <c r="T176" s="20" t="n">
        <v>2205</v>
      </c>
      <c r="U176" s="20" t="n">
        <v>-2254</v>
      </c>
    </row>
    <row r="177">
      <c r="A177" s="18" t="inlineStr">
        <is>
          <t>매출채권·계약자산 증감</t>
        </is>
      </c>
      <c r="E177" s="20" t="n">
        <v>-1932</v>
      </c>
      <c r="I177" s="20" t="n">
        <v>797</v>
      </c>
      <c r="M177" s="20" t="n">
        <v>-8230</v>
      </c>
      <c r="U177" s="20" t="n">
        <v>-2254</v>
      </c>
      <c r="V177" s="20" t="n">
        <v>-1932</v>
      </c>
      <c r="W177" s="20" t="n">
        <v>797</v>
      </c>
      <c r="X177" s="20" t="n">
        <v>-8230</v>
      </c>
    </row>
    <row r="178">
      <c r="A178" s="18" t="inlineStr">
        <is>
          <t>재고자산 증감</t>
        </is>
      </c>
      <c r="E178" s="20" t="n">
        <v>-426</v>
      </c>
      <c r="I178" s="20" t="n">
        <v>-420</v>
      </c>
      <c r="M178" s="20" t="n">
        <v>-647</v>
      </c>
      <c r="O178" s="20" t="n">
        <v>-89</v>
      </c>
      <c r="P178" s="20" t="n">
        <v>-311</v>
      </c>
      <c r="Q178" s="20" t="n">
        <v>770</v>
      </c>
      <c r="R178" s="20" t="n">
        <v>69</v>
      </c>
      <c r="S178" s="20" t="n">
        <v>-490</v>
      </c>
      <c r="T178" s="20" t="n">
        <v>665</v>
      </c>
      <c r="U178" s="20" t="n">
        <v>-192</v>
      </c>
      <c r="V178" s="20" t="n">
        <v>-426</v>
      </c>
      <c r="W178" s="20" t="n">
        <v>-420</v>
      </c>
      <c r="X178" s="20" t="n">
        <v>-647</v>
      </c>
    </row>
    <row r="179">
      <c r="A179" s="18" t="inlineStr">
        <is>
          <t>매입채무 증감</t>
        </is>
      </c>
      <c r="E179" s="20" t="n">
        <v>-340</v>
      </c>
      <c r="I179" s="20" t="n">
        <v>-396</v>
      </c>
      <c r="M179" s="20" t="n">
        <v>933</v>
      </c>
      <c r="O179" s="20" t="n">
        <v>392</v>
      </c>
      <c r="P179" s="20" t="n">
        <v>-487</v>
      </c>
      <c r="Q179" s="20" t="n">
        <v>182</v>
      </c>
      <c r="R179" s="20" t="n">
        <v>-497</v>
      </c>
      <c r="S179" s="20" t="n">
        <v>839</v>
      </c>
      <c r="T179" s="20" t="n">
        <v>-709</v>
      </c>
      <c r="U179" s="20" t="n">
        <v>523</v>
      </c>
      <c r="V179" s="20" t="n">
        <v>-340</v>
      </c>
      <c r="W179" s="20" t="n">
        <v>-396</v>
      </c>
      <c r="X179" s="20" t="n">
        <v>933</v>
      </c>
    </row>
    <row r="180">
      <c r="A180" s="18" t="inlineStr">
        <is>
          <t>기타</t>
        </is>
      </c>
      <c r="E180" s="20" t="n">
        <v>641</v>
      </c>
      <c r="I180" s="20" t="n">
        <v>-457</v>
      </c>
      <c r="M180" s="20" t="n">
        <v>-343</v>
      </c>
      <c r="O180" s="20" t="n">
        <v>-171</v>
      </c>
      <c r="P180" s="20" t="n">
        <v>983</v>
      </c>
      <c r="Q180" s="20" t="n">
        <v>1659</v>
      </c>
      <c r="R180" s="20" t="n">
        <v>-1454</v>
      </c>
      <c r="S180" s="20" t="n">
        <v>104</v>
      </c>
      <c r="T180" s="20" t="n">
        <v>-717</v>
      </c>
      <c r="U180" s="20" t="n">
        <v>-503</v>
      </c>
      <c r="V180" s="20" t="n">
        <v>641</v>
      </c>
      <c r="W180" s="20" t="n">
        <v>-457</v>
      </c>
      <c r="X180" s="20" t="n">
        <v>-343</v>
      </c>
    </row>
    <row r="181">
      <c r="A181" s="18" t="inlineStr">
        <is>
          <t>소계</t>
        </is>
      </c>
      <c r="E181" s="20" t="n">
        <v>69</v>
      </c>
      <c r="I181" s="20" t="n">
        <v>2568</v>
      </c>
      <c r="M181" s="20" t="n">
        <v>-2443</v>
      </c>
      <c r="O181" s="20" t="n">
        <v>426</v>
      </c>
      <c r="P181" s="20" t="n">
        <v>-2070</v>
      </c>
      <c r="Q181" s="20" t="n">
        <v>185</v>
      </c>
      <c r="R181" s="20" t="n">
        <v>-1050</v>
      </c>
      <c r="S181" s="20" t="n">
        <v>944</v>
      </c>
      <c r="T181" s="20" t="n">
        <v>3410</v>
      </c>
      <c r="U181" s="20" t="n">
        <v>-497</v>
      </c>
      <c r="V181" s="20" t="n">
        <v>69</v>
      </c>
      <c r="W181" s="20" t="n">
        <v>2568</v>
      </c>
      <c r="X181" s="20" t="n">
        <v>-2443</v>
      </c>
    </row>
    <row r="182">
      <c r="A182" s="18" t="inlineStr">
        <is>
          <t>이자·배당금 수취</t>
        </is>
      </c>
      <c r="E182" s="20" t="n">
        <v>1</v>
      </c>
      <c r="I182" s="20" t="n">
        <v>2</v>
      </c>
      <c r="M182" s="20" t="n">
        <v>3</v>
      </c>
      <c r="O182" s="20" t="n">
        <v>0</v>
      </c>
      <c r="P182" s="20" t="n">
        <v>0</v>
      </c>
      <c r="Q182" s="20" t="n">
        <v>0</v>
      </c>
      <c r="R182" s="20" t="n">
        <v>0</v>
      </c>
      <c r="S182" s="20" t="n">
        <v>0</v>
      </c>
      <c r="T182" s="20" t="n">
        <v>0</v>
      </c>
      <c r="U182" s="20" t="n">
        <v>0</v>
      </c>
      <c r="V182" s="20" t="n">
        <v>1</v>
      </c>
      <c r="W182" s="20" t="n">
        <v>2</v>
      </c>
      <c r="X182" s="20" t="n">
        <v>3</v>
      </c>
    </row>
    <row r="183">
      <c r="A183" s="18" t="inlineStr">
        <is>
          <t>이자 지급</t>
        </is>
      </c>
      <c r="E183" s="20" t="n">
        <v>-29</v>
      </c>
      <c r="I183" s="20" t="n">
        <v>-45</v>
      </c>
      <c r="M183" s="20" t="n">
        <v>-103</v>
      </c>
      <c r="O183" s="20" t="n">
        <v>-73</v>
      </c>
      <c r="P183" s="20" t="n">
        <v>-56</v>
      </c>
      <c r="Q183" s="20" t="n">
        <v>-67</v>
      </c>
      <c r="R183" s="20" t="n">
        <v>-51</v>
      </c>
      <c r="S183" s="20" t="n">
        <v>-49</v>
      </c>
      <c r="T183" s="20" t="n">
        <v>-40</v>
      </c>
      <c r="U183" s="20" t="n">
        <v>-25</v>
      </c>
      <c r="V183" s="20" t="n">
        <v>-29</v>
      </c>
      <c r="W183" s="20" t="n">
        <v>-45</v>
      </c>
      <c r="X183" s="20" t="n">
        <v>-103</v>
      </c>
    </row>
    <row r="184">
      <c r="A184" s="18" t="inlineStr">
        <is>
          <t>보상금 수취</t>
        </is>
      </c>
      <c r="O184" s="20" t="n">
        <v>3694</v>
      </c>
      <c r="P184" s="20" t="n">
        <v>1477</v>
      </c>
      <c r="Q184" s="20" t="n">
        <v>2400</v>
      </c>
      <c r="R184" s="20" t="n">
        <v>0</v>
      </c>
    </row>
    <row r="185">
      <c r="A185" s="18" t="inlineStr">
        <is>
          <t>법인세 납부</t>
        </is>
      </c>
      <c r="O185" s="20" t="n">
        <v>-17</v>
      </c>
      <c r="P185" s="20" t="n">
        <v>-788</v>
      </c>
    </row>
    <row r="186">
      <c r="A186" s="18" t="inlineStr">
        <is>
          <t>법인세 납부·환급</t>
        </is>
      </c>
      <c r="E186" s="20" t="n">
        <v>-247</v>
      </c>
      <c r="I186" s="20" t="n">
        <v>-374</v>
      </c>
      <c r="M186" s="20" t="n">
        <v>-1077</v>
      </c>
      <c r="P186" s="20" t="n">
        <v>-788</v>
      </c>
      <c r="Q186" s="20" t="n">
        <v>218</v>
      </c>
      <c r="R186" s="20" t="n">
        <v>-21</v>
      </c>
      <c r="S186" s="20" t="n">
        <v>-35</v>
      </c>
      <c r="T186" s="20" t="n">
        <v>-17</v>
      </c>
      <c r="U186" s="20" t="n">
        <v>-338</v>
      </c>
      <c r="V186" s="20" t="n">
        <v>-247</v>
      </c>
      <c r="W186" s="20" t="n">
        <v>-374</v>
      </c>
      <c r="X186" s="20" t="n">
        <v>-1077</v>
      </c>
    </row>
    <row r="187">
      <c r="A187" s="9" t="inlineStr">
        <is>
          <t>영업활동 현금흐름</t>
        </is>
      </c>
      <c r="E187" s="12" t="n">
        <v>-206</v>
      </c>
      <c r="I187" s="12" t="n">
        <v>2150</v>
      </c>
      <c r="M187" s="12" t="n">
        <v>-3621</v>
      </c>
      <c r="O187" s="12" t="n">
        <v>4030</v>
      </c>
      <c r="P187" s="12" t="n">
        <v>-1436</v>
      </c>
      <c r="Q187" s="12" t="n">
        <v>2737</v>
      </c>
      <c r="R187" s="12" t="n">
        <v>-1123</v>
      </c>
      <c r="S187" s="12" t="n">
        <v>859</v>
      </c>
      <c r="T187" s="12" t="n">
        <v>3352</v>
      </c>
      <c r="U187" s="12" t="n">
        <v>-860</v>
      </c>
      <c r="V187" s="12" t="n">
        <v>-206</v>
      </c>
      <c r="W187" s="12" t="n">
        <v>2150</v>
      </c>
      <c r="X187" s="12" t="n">
        <v>-3621</v>
      </c>
    </row>
    <row r="188">
      <c r="A188" s="18" t="inlineStr">
        <is>
          <t>유형자산 취득(설비투자)</t>
        </is>
      </c>
      <c r="E188" s="20" t="n">
        <v>-500</v>
      </c>
      <c r="I188" s="20" t="n">
        <v>-415</v>
      </c>
      <c r="M188" s="20" t="n">
        <v>-729</v>
      </c>
      <c r="O188" s="20" t="n">
        <v>-332</v>
      </c>
      <c r="P188" s="20" t="n">
        <v>-368</v>
      </c>
      <c r="Q188" s="20" t="n">
        <v>-245</v>
      </c>
      <c r="R188" s="20" t="n">
        <v>-185</v>
      </c>
      <c r="S188" s="20" t="n">
        <v>-221</v>
      </c>
      <c r="T188" s="20" t="n">
        <v>-153</v>
      </c>
      <c r="U188" s="20" t="n">
        <v>-164</v>
      </c>
      <c r="V188" s="20" t="n">
        <v>-500</v>
      </c>
      <c r="W188" s="20" t="n">
        <v>-415</v>
      </c>
      <c r="X188" s="20" t="n">
        <v>-729</v>
      </c>
    </row>
    <row r="189">
      <c r="A189" s="18" t="inlineStr">
        <is>
          <t>무형자산 취득</t>
        </is>
      </c>
      <c r="E189" s="20" t="n">
        <v>-20</v>
      </c>
      <c r="I189" s="20" t="n">
        <v>-56</v>
      </c>
      <c r="M189" s="20" t="n">
        <v>-134</v>
      </c>
      <c r="O189" s="20" t="n">
        <v>-81</v>
      </c>
      <c r="P189" s="20" t="n">
        <v>-61</v>
      </c>
      <c r="Q189" s="20" t="n">
        <v>-21</v>
      </c>
      <c r="R189" s="20" t="n">
        <v>-40</v>
      </c>
      <c r="S189" s="20" t="n">
        <v>-73</v>
      </c>
      <c r="T189" s="20" t="n">
        <v>-115</v>
      </c>
      <c r="U189" s="20" t="n">
        <v>-38</v>
      </c>
      <c r="V189" s="20" t="n">
        <v>-20</v>
      </c>
      <c r="W189" s="20" t="n">
        <v>-56</v>
      </c>
      <c r="X189" s="20" t="n">
        <v>-134</v>
      </c>
    </row>
    <row r="190">
      <c r="A190" s="18" t="inlineStr">
        <is>
          <t>유형자산 매각</t>
        </is>
      </c>
      <c r="E190" s="20" t="n">
        <v>0</v>
      </c>
      <c r="P190" s="20" t="n">
        <v>0</v>
      </c>
      <c r="Q190" s="20" t="n">
        <v>131</v>
      </c>
      <c r="R190" s="20" t="n">
        <v>60</v>
      </c>
      <c r="S190" s="20" t="n">
        <v>0</v>
      </c>
      <c r="T190" s="20" t="n">
        <v>0</v>
      </c>
      <c r="U190" s="20" t="n">
        <v>350</v>
      </c>
      <c r="V190" s="20" t="n">
        <v>0</v>
      </c>
    </row>
    <row r="191">
      <c r="A191" s="18" t="inlineStr">
        <is>
          <t>기타</t>
        </is>
      </c>
      <c r="E191" s="20" t="n">
        <v>3</v>
      </c>
      <c r="I191" s="20" t="n">
        <v>0</v>
      </c>
      <c r="M191" s="20" t="n">
        <v>-0</v>
      </c>
      <c r="O191" s="20" t="n">
        <v>3</v>
      </c>
      <c r="P191" s="20" t="n">
        <v>12</v>
      </c>
      <c r="Q191" s="20" t="n">
        <v>6</v>
      </c>
      <c r="R191" s="20" t="n">
        <v>2</v>
      </c>
      <c r="S191" s="20" t="n">
        <v>-6</v>
      </c>
      <c r="T191" s="20" t="n">
        <v>5</v>
      </c>
      <c r="U191" s="20" t="n">
        <v>4</v>
      </c>
      <c r="V191" s="20" t="n">
        <v>3</v>
      </c>
      <c r="W191" s="20" t="n">
        <v>0</v>
      </c>
      <c r="X191" s="20" t="n">
        <v>-0</v>
      </c>
    </row>
    <row r="192">
      <c r="A192" s="9" t="inlineStr">
        <is>
          <t>투자활동 현금흐름</t>
        </is>
      </c>
      <c r="E192" s="12" t="n">
        <v>-517</v>
      </c>
      <c r="I192" s="12" t="n">
        <v>-471</v>
      </c>
      <c r="M192" s="12" t="n">
        <v>-864</v>
      </c>
      <c r="O192" s="12" t="n">
        <v>-410</v>
      </c>
      <c r="P192" s="12" t="n">
        <v>-418</v>
      </c>
      <c r="Q192" s="12" t="n">
        <v>-129</v>
      </c>
      <c r="R192" s="12" t="n">
        <v>-163</v>
      </c>
      <c r="S192" s="12" t="n">
        <v>-300</v>
      </c>
      <c r="T192" s="12" t="n">
        <v>-263</v>
      </c>
      <c r="U192" s="12" t="n">
        <v>151</v>
      </c>
      <c r="V192" s="12" t="n">
        <v>-517</v>
      </c>
      <c r="W192" s="12" t="n">
        <v>-471</v>
      </c>
      <c r="X192" s="12" t="n">
        <v>-864</v>
      </c>
    </row>
    <row r="193">
      <c r="A193" s="18" t="inlineStr">
        <is>
          <t>단기차입금 순증감</t>
        </is>
      </c>
      <c r="E193" s="20" t="n">
        <v>1200</v>
      </c>
      <c r="I193" s="20" t="n">
        <v>60</v>
      </c>
      <c r="M193" s="20" t="n">
        <v>4100</v>
      </c>
      <c r="O193" s="20" t="n">
        <v>-2464</v>
      </c>
      <c r="P193" s="20" t="n">
        <v>100</v>
      </c>
      <c r="Q193" s="20" t="n">
        <v>420</v>
      </c>
      <c r="R193" s="20" t="n">
        <v>1300</v>
      </c>
      <c r="S193" s="20" t="n">
        <v>320</v>
      </c>
      <c r="T193" s="20" t="n">
        <v>-2350</v>
      </c>
      <c r="U193" s="20" t="n">
        <v>420</v>
      </c>
      <c r="V193" s="20" t="n">
        <v>1200</v>
      </c>
      <c r="W193" s="20" t="n">
        <v>60</v>
      </c>
      <c r="X193" s="20" t="n">
        <v>4100</v>
      </c>
    </row>
    <row r="194">
      <c r="A194" s="18" t="inlineStr">
        <is>
          <t>장기차입</t>
        </is>
      </c>
      <c r="E194" s="20" t="n">
        <v>0</v>
      </c>
      <c r="I194" s="20" t="n">
        <v>0</v>
      </c>
      <c r="M194" s="20" t="n">
        <v>2000</v>
      </c>
      <c r="O194" s="20" t="n">
        <v>0</v>
      </c>
      <c r="P194" s="20" t="n">
        <v>4400</v>
      </c>
      <c r="Q194" s="20" t="n">
        <v>0</v>
      </c>
      <c r="S194" s="20" t="n">
        <v>0</v>
      </c>
      <c r="T194" s="20" t="n">
        <v>1900</v>
      </c>
      <c r="U194" s="20" t="n">
        <v>240</v>
      </c>
      <c r="V194" s="20" t="n">
        <v>0</v>
      </c>
      <c r="W194" s="20" t="n">
        <v>0</v>
      </c>
      <c r="X194" s="20" t="n">
        <v>2000</v>
      </c>
    </row>
    <row r="195">
      <c r="A195" s="18" t="inlineStr">
        <is>
          <t>장기차입금 상환</t>
        </is>
      </c>
      <c r="E195" s="20" t="n">
        <v>-60</v>
      </c>
      <c r="I195" s="20" t="n">
        <v>-60</v>
      </c>
      <c r="M195" s="20" t="n">
        <v>-400</v>
      </c>
      <c r="O195" s="20" t="n">
        <v>-1641</v>
      </c>
      <c r="P195" s="20" t="n">
        <v>-2308</v>
      </c>
      <c r="Q195" s="20" t="n">
        <v>-1805</v>
      </c>
      <c r="R195" s="20" t="n">
        <v>-880</v>
      </c>
      <c r="S195" s="20" t="n">
        <v>-880</v>
      </c>
      <c r="T195" s="20" t="n">
        <v>-880</v>
      </c>
      <c r="U195" s="20" t="n">
        <v>-880</v>
      </c>
      <c r="V195" s="20" t="n">
        <v>-60</v>
      </c>
      <c r="W195" s="20" t="n">
        <v>-60</v>
      </c>
      <c r="X195" s="20" t="n">
        <v>-400</v>
      </c>
    </row>
    <row r="196">
      <c r="A196" s="18" t="inlineStr">
        <is>
          <t>배당금 지급</t>
        </is>
      </c>
      <c r="E196" s="20" t="n">
        <v>-101</v>
      </c>
      <c r="I196" s="20" t="n">
        <v>-99</v>
      </c>
      <c r="M196" s="20" t="n">
        <v>-91</v>
      </c>
      <c r="U196" s="20" t="n">
        <v>0</v>
      </c>
      <c r="V196" s="20" t="n">
        <v>-101</v>
      </c>
      <c r="W196" s="20" t="n">
        <v>-99</v>
      </c>
      <c r="X196" s="20" t="n">
        <v>-91</v>
      </c>
    </row>
    <row r="197">
      <c r="A197" s="18" t="inlineStr">
        <is>
          <t>자기주식 취득</t>
        </is>
      </c>
      <c r="E197" s="20" t="n">
        <v>-48</v>
      </c>
      <c r="I197" s="20" t="n">
        <v>-1991</v>
      </c>
      <c r="M197" s="20" t="n">
        <v>-2001</v>
      </c>
      <c r="R197" s="20" t="n">
        <v>-0</v>
      </c>
      <c r="S197" s="20" t="n">
        <v>-57</v>
      </c>
      <c r="T197" s="20" t="n">
        <v>-1003</v>
      </c>
      <c r="U197" s="20" t="n">
        <v>-10</v>
      </c>
      <c r="V197" s="20" t="n">
        <v>-48</v>
      </c>
      <c r="W197" s="20" t="n">
        <v>-1991</v>
      </c>
      <c r="X197" s="20" t="n">
        <v>-2001</v>
      </c>
    </row>
    <row r="198">
      <c r="A198" s="18" t="inlineStr">
        <is>
          <t>기타</t>
        </is>
      </c>
      <c r="E198" s="20" t="n">
        <v>-33</v>
      </c>
      <c r="I198" s="20" t="n">
        <v>5</v>
      </c>
      <c r="M198" s="20" t="n">
        <v>-30</v>
      </c>
      <c r="O198" s="20" t="n">
        <v>-0</v>
      </c>
      <c r="P198" s="20" t="n">
        <v>-1</v>
      </c>
      <c r="Q198" s="20" t="n">
        <v>-0</v>
      </c>
      <c r="R198" s="20" t="n">
        <v>-0</v>
      </c>
      <c r="U198" s="20" t="n">
        <v>0</v>
      </c>
      <c r="V198" s="20" t="n">
        <v>-33</v>
      </c>
      <c r="W198" s="20" t="n">
        <v>5</v>
      </c>
      <c r="X198" s="20" t="n">
        <v>-30</v>
      </c>
    </row>
    <row r="199">
      <c r="A199" s="9" t="inlineStr">
        <is>
          <t>재무활동 현금흐름</t>
        </is>
      </c>
      <c r="E199" s="12" t="n">
        <v>956</v>
      </c>
      <c r="I199" s="12" t="n">
        <v>-2085</v>
      </c>
      <c r="M199" s="12" t="n">
        <v>3576</v>
      </c>
      <c r="O199" s="12" t="n">
        <v>-4106</v>
      </c>
      <c r="P199" s="12" t="n">
        <v>2190</v>
      </c>
      <c r="Q199" s="12" t="n">
        <v>-1385</v>
      </c>
      <c r="R199" s="12" t="n">
        <v>419</v>
      </c>
      <c r="S199" s="12" t="n">
        <v>-617</v>
      </c>
      <c r="T199" s="12" t="n">
        <v>-2333</v>
      </c>
      <c r="U199" s="12" t="n">
        <v>-230</v>
      </c>
      <c r="V199" s="12" t="n">
        <v>956</v>
      </c>
      <c r="W199" s="12" t="n">
        <v>-2085</v>
      </c>
      <c r="X199" s="12" t="n">
        <v>3576</v>
      </c>
    </row>
    <row r="200">
      <c r="A200" s="18" t="inlineStr">
        <is>
          <t>현금성자산 증감</t>
        </is>
      </c>
      <c r="E200" s="20" t="n">
        <v>233</v>
      </c>
      <c r="I200" s="20" t="n">
        <v>-407</v>
      </c>
      <c r="M200" s="20" t="n">
        <v>-909</v>
      </c>
      <c r="O200" s="20" t="n">
        <v>-486</v>
      </c>
      <c r="P200" s="20" t="n">
        <v>335</v>
      </c>
      <c r="Q200" s="20" t="n">
        <v>1222</v>
      </c>
      <c r="R200" s="20" t="n">
        <v>-866</v>
      </c>
      <c r="S200" s="20" t="n">
        <v>-58</v>
      </c>
      <c r="T200" s="20" t="n">
        <v>756</v>
      </c>
      <c r="U200" s="20" t="n">
        <v>-938</v>
      </c>
      <c r="V200" s="20" t="n">
        <v>233</v>
      </c>
      <c r="W200" s="20" t="n">
        <v>-407</v>
      </c>
      <c r="X200" s="20" t="n">
        <v>-909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6946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19556</v>
      </c>
      <c r="D5" s="12" t="n">
        <v>22362</v>
      </c>
      <c r="E5" s="12" t="n">
        <v>25286</v>
      </c>
      <c r="F5" s="12" t="n">
        <v>27545</v>
      </c>
      <c r="G5" s="12" t="n">
        <v>32022</v>
      </c>
      <c r="H5" s="11" t="n">
        <v>15506</v>
      </c>
      <c r="I5" s="12" t="n">
        <v>17403</v>
      </c>
      <c r="J5" s="12" t="n">
        <v>19979</v>
      </c>
      <c r="K5" s="12" t="n">
        <v>19229</v>
      </c>
      <c r="L5" s="12" t="n">
        <v>27545</v>
      </c>
    </row>
    <row r="6">
      <c r="A6" s="18" t="inlineStr">
        <is>
          <t>현금및현금성자산</t>
        </is>
      </c>
      <c r="B6" s="10" t="n"/>
      <c r="C6" s="19" t="n">
        <v>1119</v>
      </c>
      <c r="D6" s="20" t="n">
        <v>1118</v>
      </c>
      <c r="E6" s="20" t="n">
        <v>1105</v>
      </c>
      <c r="F6" s="20" t="n">
        <v>1024</v>
      </c>
      <c r="G6" s="20" t="n">
        <v>1383</v>
      </c>
      <c r="H6" s="19" t="n">
        <v>3034</v>
      </c>
      <c r="I6" s="20" t="n">
        <v>2108</v>
      </c>
      <c r="J6" s="20" t="n">
        <v>2341</v>
      </c>
      <c r="K6" s="20" t="n">
        <v>1906</v>
      </c>
      <c r="L6" s="20" t="n">
        <v>1024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13266</v>
      </c>
      <c r="D8" s="20" t="n">
        <v>15760</v>
      </c>
      <c r="E8" s="20" t="n">
        <v>18389</v>
      </c>
      <c r="F8" s="20" t="n">
        <v>21111</v>
      </c>
      <c r="G8" s="20" t="n">
        <v>25226</v>
      </c>
      <c r="H8" s="19" t="n">
        <v>9492</v>
      </c>
      <c r="I8" s="20" t="n">
        <v>11746</v>
      </c>
      <c r="J8" s="20" t="n">
        <v>13678</v>
      </c>
      <c r="K8" s="20" t="n">
        <v>12881</v>
      </c>
      <c r="L8" s="20" t="n">
        <v>21111</v>
      </c>
    </row>
    <row r="9">
      <c r="A9" s="18" t="inlineStr">
        <is>
          <t>재고자산</t>
        </is>
      </c>
      <c r="B9" s="10" t="n"/>
      <c r="C9" s="19" t="n">
        <v>4727</v>
      </c>
      <c r="D9" s="20" t="n">
        <v>4812</v>
      </c>
      <c r="E9" s="20" t="n">
        <v>5155</v>
      </c>
      <c r="F9" s="20" t="n">
        <v>4893</v>
      </c>
      <c r="G9" s="20" t="n">
        <v>4988</v>
      </c>
      <c r="H9" s="19" t="n">
        <v>2724</v>
      </c>
      <c r="I9" s="20" t="n">
        <v>3398</v>
      </c>
      <c r="J9" s="20" t="n">
        <v>3825</v>
      </c>
      <c r="K9" s="20" t="n">
        <v>4171</v>
      </c>
      <c r="L9" s="20" t="n">
        <v>4893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7384</v>
      </c>
      <c r="D11" s="12" t="n">
        <v>7674</v>
      </c>
      <c r="E11" s="12" t="n">
        <v>7640</v>
      </c>
      <c r="F11" s="12" t="n">
        <v>8532</v>
      </c>
      <c r="G11" s="12" t="n">
        <v>8467</v>
      </c>
      <c r="H11" s="11" t="n">
        <v>7239</v>
      </c>
      <c r="I11" s="12" t="n">
        <v>6560</v>
      </c>
      <c r="J11" s="12" t="n">
        <v>7548</v>
      </c>
      <c r="K11" s="12" t="n">
        <v>7659</v>
      </c>
      <c r="L11" s="12" t="n">
        <v>8532</v>
      </c>
    </row>
    <row r="12">
      <c r="A12" s="18" t="inlineStr">
        <is>
          <t>유형자산</t>
        </is>
      </c>
      <c r="B12" s="10" t="n"/>
      <c r="C12" s="19" t="n">
        <v>4638</v>
      </c>
      <c r="D12" s="20" t="n">
        <v>4727</v>
      </c>
      <c r="E12" s="20" t="n">
        <v>4804</v>
      </c>
      <c r="F12" s="20" t="n">
        <v>5004</v>
      </c>
      <c r="G12" s="20" t="n">
        <v>5124</v>
      </c>
      <c r="H12" s="19" t="n">
        <v>4186</v>
      </c>
      <c r="I12" s="20" t="n">
        <v>4401</v>
      </c>
      <c r="J12" s="20" t="n">
        <v>4748</v>
      </c>
      <c r="K12" s="20" t="n">
        <v>4128</v>
      </c>
      <c r="L12" s="20" t="n">
        <v>5004</v>
      </c>
    </row>
    <row r="13">
      <c r="A13" s="18" t="inlineStr">
        <is>
          <t>무형자산</t>
        </is>
      </c>
      <c r="B13" s="10" t="n"/>
      <c r="C13" s="19" t="n">
        <v>191</v>
      </c>
      <c r="D13" s="20" t="n">
        <v>206</v>
      </c>
      <c r="E13" s="20" t="n">
        <v>211</v>
      </c>
      <c r="F13" s="20" t="n">
        <v>237</v>
      </c>
      <c r="G13" s="20" t="n">
        <v>232</v>
      </c>
      <c r="H13" s="19" t="n">
        <v>204</v>
      </c>
      <c r="I13" s="20" t="n">
        <v>185</v>
      </c>
      <c r="J13" s="20" t="n">
        <v>146</v>
      </c>
      <c r="K13" s="20" t="n">
        <v>167</v>
      </c>
      <c r="L13" s="20" t="n">
        <v>237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26940</v>
      </c>
      <c r="D16" s="12" t="n">
        <v>30037</v>
      </c>
      <c r="E16" s="12" t="n">
        <v>32926</v>
      </c>
      <c r="F16" s="12" t="n">
        <v>36077</v>
      </c>
      <c r="G16" s="12" t="n">
        <v>40489</v>
      </c>
      <c r="H16" s="11" t="n">
        <v>22745</v>
      </c>
      <c r="I16" s="12" t="n">
        <v>23964</v>
      </c>
      <c r="J16" s="12" t="n">
        <v>27528</v>
      </c>
      <c r="K16" s="12" t="n">
        <v>26889</v>
      </c>
      <c r="L16" s="12" t="n">
        <v>36077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8541</v>
      </c>
      <c r="D18" s="12" t="n">
        <v>11406</v>
      </c>
      <c r="E18" s="12" t="n">
        <v>13560</v>
      </c>
      <c r="F18" s="12" t="n">
        <v>16833</v>
      </c>
      <c r="G18" s="12" t="n">
        <v>20435</v>
      </c>
      <c r="H18" s="11" t="n">
        <v>7532</v>
      </c>
      <c r="I18" s="12" t="n">
        <v>7067</v>
      </c>
      <c r="J18" s="12" t="n">
        <v>8792</v>
      </c>
      <c r="K18" s="12" t="n">
        <v>9230</v>
      </c>
      <c r="L18" s="12" t="n">
        <v>16833</v>
      </c>
    </row>
    <row r="19">
      <c r="A19" s="18" t="inlineStr">
        <is>
          <t>매입채무</t>
        </is>
      </c>
      <c r="B19" s="10" t="n"/>
      <c r="C19" s="19" t="n">
        <v>1747</v>
      </c>
      <c r="D19" s="20" t="n">
        <v>2584</v>
      </c>
      <c r="E19" s="20" t="n">
        <v>2657</v>
      </c>
      <c r="F19" s="20" t="n">
        <v>3135</v>
      </c>
      <c r="G19" s="20" t="n">
        <v>2663</v>
      </c>
      <c r="H19" s="19" t="n">
        <v>1703</v>
      </c>
      <c r="I19" s="20" t="n">
        <v>1789</v>
      </c>
      <c r="J19" s="20" t="n">
        <v>2007</v>
      </c>
      <c r="K19" s="20" t="n">
        <v>1864</v>
      </c>
      <c r="L19" s="20" t="n">
        <v>3135</v>
      </c>
    </row>
    <row r="20">
      <c r="A20" s="18" t="inlineStr">
        <is>
          <t>단기차입금</t>
        </is>
      </c>
      <c r="B20" s="10" t="n"/>
      <c r="C20" s="19" t="n">
        <v>3845</v>
      </c>
      <c r="D20" s="20" t="n">
        <v>4540</v>
      </c>
      <c r="E20" s="20" t="n">
        <v>6725</v>
      </c>
      <c r="F20" s="20" t="n">
        <v>9510</v>
      </c>
      <c r="G20" s="20" t="n">
        <v>14680</v>
      </c>
      <c r="H20" s="19" t="n">
        <v>1970</v>
      </c>
      <c r="I20" s="20" t="n">
        <v>1570</v>
      </c>
      <c r="J20" s="20" t="n">
        <v>2770</v>
      </c>
      <c r="K20" s="20" t="n">
        <v>2830</v>
      </c>
      <c r="L20" s="20" t="n">
        <v>9510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4158</v>
      </c>
      <c r="D23" s="12" t="n">
        <v>5486</v>
      </c>
      <c r="E23" s="12" t="n">
        <v>5303</v>
      </c>
      <c r="F23" s="12" t="n">
        <v>3139</v>
      </c>
      <c r="G23" s="12" t="n">
        <v>2972</v>
      </c>
      <c r="H23" s="11" t="n">
        <v>5379</v>
      </c>
      <c r="I23" s="12" t="n">
        <v>4726</v>
      </c>
      <c r="J23" s="12" t="n">
        <v>4430</v>
      </c>
      <c r="K23" s="12" t="n">
        <v>4472</v>
      </c>
      <c r="L23" s="12" t="n">
        <v>3139</v>
      </c>
    </row>
    <row r="24">
      <c r="A24" s="18" t="inlineStr">
        <is>
          <t>장기차입금</t>
        </is>
      </c>
      <c r="B24" s="10" t="n"/>
      <c r="C24" s="19" t="n">
        <v>1945</v>
      </c>
      <c r="D24" s="20" t="n">
        <v>3250</v>
      </c>
      <c r="E24" s="20" t="n">
        <v>3065</v>
      </c>
      <c r="F24" s="20" t="n">
        <v>980</v>
      </c>
      <c r="G24" s="20" t="n">
        <v>810</v>
      </c>
      <c r="H24" s="19" t="n">
        <v>1900</v>
      </c>
      <c r="I24" s="20" t="n">
        <v>2080</v>
      </c>
      <c r="J24" s="20" t="n">
        <v>2020</v>
      </c>
      <c r="K24" s="20" t="n">
        <v>1960</v>
      </c>
      <c r="L24" s="20" t="n">
        <v>980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12700</v>
      </c>
      <c r="D27" s="12" t="n">
        <v>16892</v>
      </c>
      <c r="E27" s="12" t="n">
        <v>18863</v>
      </c>
      <c r="F27" s="12" t="n">
        <v>19972</v>
      </c>
      <c r="G27" s="12" t="n">
        <v>23407</v>
      </c>
      <c r="H27" s="11" t="n">
        <v>12912</v>
      </c>
      <c r="I27" s="12" t="n">
        <v>11793</v>
      </c>
      <c r="J27" s="12" t="n">
        <v>13222</v>
      </c>
      <c r="K27" s="12" t="n">
        <v>13702</v>
      </c>
      <c r="L27" s="12" t="n">
        <v>19972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14240</v>
      </c>
      <c r="D31" s="12" t="n">
        <v>13144</v>
      </c>
      <c r="E31" s="12" t="n">
        <v>14062</v>
      </c>
      <c r="F31" s="12" t="n">
        <v>16104</v>
      </c>
      <c r="G31" s="12" t="n">
        <v>17081</v>
      </c>
      <c r="H31" s="11" t="n">
        <v>9833</v>
      </c>
      <c r="I31" s="12" t="n">
        <v>12170</v>
      </c>
      <c r="J31" s="12" t="n">
        <v>14305</v>
      </c>
      <c r="K31" s="12" t="n">
        <v>13186</v>
      </c>
      <c r="L31" s="12" t="n">
        <v>16104</v>
      </c>
    </row>
    <row r="32">
      <c r="A32" s="18" t="inlineStr">
        <is>
          <t>자본금</t>
        </is>
      </c>
      <c r="B32" s="10" t="n"/>
      <c r="C32" s="19" t="n">
        <v>5895</v>
      </c>
      <c r="D32" s="20" t="n">
        <v>5895</v>
      </c>
      <c r="E32" s="20" t="n">
        <v>5895</v>
      </c>
      <c r="F32" s="20" t="n">
        <v>5895</v>
      </c>
      <c r="G32" s="20" t="n">
        <v>5895</v>
      </c>
      <c r="H32" s="19" t="n">
        <v>5895</v>
      </c>
      <c r="I32" s="20" t="n">
        <v>5895</v>
      </c>
      <c r="J32" s="20" t="n">
        <v>5895</v>
      </c>
      <c r="K32" s="20" t="n">
        <v>5895</v>
      </c>
      <c r="L32" s="20" t="n">
        <v>5895</v>
      </c>
    </row>
    <row r="33">
      <c r="A33" s="18" t="inlineStr">
        <is>
          <t>이익잉여금</t>
        </is>
      </c>
      <c r="B33" s="10" t="n"/>
      <c r="C33" s="19" t="n">
        <v>8080</v>
      </c>
      <c r="D33" s="20" t="n">
        <v>8992</v>
      </c>
      <c r="E33" s="20" t="n">
        <v>9924</v>
      </c>
      <c r="F33" s="20" t="n">
        <v>11512</v>
      </c>
      <c r="G33" s="20" t="n">
        <v>12513</v>
      </c>
      <c r="H33" s="19" t="n">
        <v>1688</v>
      </c>
      <c r="I33" s="20" t="n">
        <v>3873</v>
      </c>
      <c r="J33" s="20" t="n">
        <v>5920</v>
      </c>
      <c r="K33" s="20" t="n">
        <v>7098</v>
      </c>
      <c r="L33" s="20" t="n">
        <v>11512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14240</v>
      </c>
      <c r="D35" s="12" t="n">
        <v>13144</v>
      </c>
      <c r="E35" s="12" t="n">
        <v>14062</v>
      </c>
      <c r="F35" s="12" t="n">
        <v>16104</v>
      </c>
      <c r="G35" s="12" t="n">
        <v>17081</v>
      </c>
      <c r="H35" s="11" t="n">
        <v>9833</v>
      </c>
      <c r="I35" s="12" t="n">
        <v>12170</v>
      </c>
      <c r="J35" s="12" t="n">
        <v>14305</v>
      </c>
      <c r="K35" s="12" t="n">
        <v>13186</v>
      </c>
      <c r="L35" s="12" t="n">
        <v>16104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-3621</v>
      </c>
      <c r="G37" s="12" t="n"/>
      <c r="H37" s="11" t="n">
        <v>3352</v>
      </c>
      <c r="I37" s="12" t="n">
        <v>-860</v>
      </c>
      <c r="J37" s="12" t="n">
        <v>-206</v>
      </c>
      <c r="K37" s="12" t="n">
        <v>2150</v>
      </c>
      <c r="L37" s="12" t="n">
        <v>-3621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863</v>
      </c>
      <c r="G38" s="20" t="n"/>
      <c r="H38" s="19" t="n">
        <v>268</v>
      </c>
      <c r="I38" s="20" t="n">
        <v>202</v>
      </c>
      <c r="J38" s="20" t="n">
        <v>520</v>
      </c>
      <c r="K38" s="20" t="n">
        <v>471</v>
      </c>
      <c r="L38" s="20" t="n">
        <v>863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91</v>
      </c>
      <c r="G40" s="20" t="n"/>
      <c r="H40" s="19" t="n"/>
      <c r="I40" s="20" t="n">
        <v>0</v>
      </c>
      <c r="J40" s="20" t="n">
        <v>101</v>
      </c>
      <c r="K40" s="20" t="n">
        <v>99</v>
      </c>
      <c r="L40" s="20" t="n">
        <v>91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IFERROR(IF((IF(COUNT('연간'!G47:J47)&lt;4,"",SUM('연간'!G47:J47)))&lt;=0,"적자",C28/(IF(COUNT('연간'!G47:J47)&lt;4,"",SUM('연간'!G47:J47)))),"")</f>
        <v/>
      </c>
      <c r="D49" s="47">
        <f>IFERROR(IF((IF(COUNT('연간'!H47:K47)&lt;4,"",SUM('연간'!H47:K47)))&lt;=0,"적자",D28/(IF(COUNT('연간'!H47:K47)&lt;4,"",SUM('연간'!H47:K47)))),"")</f>
        <v/>
      </c>
      <c r="E49" s="47">
        <f>IFERROR(IF((IF(COUNT('연간'!I47:L47)&lt;4,"",SUM('연간'!I47:L47)))&lt;=0,"적자",E28/(IF(COUNT('연간'!I47:L47)&lt;4,"",SUM('연간'!I47:L47)))),"")</f>
        <v/>
      </c>
      <c r="F49" s="47">
        <f>IFERROR(IF((IF(COUNT('연간'!J47:M47)&lt;4,"",SUM('연간'!J47:M47)))&lt;=0,"적자",F28/(IF(COUNT('연간'!J47:M47)&lt;4,"",SUM('연간'!J47:M47)))),"")</f>
        <v/>
      </c>
      <c r="G49" s="47">
        <f>IFERROR(IF((IF(COUNT('연간'!K47:N47)&lt;4,"",SUM('연간'!K47:N47)))&lt;=0,"적자",G28/(IF(COUNT('연간'!K47:N47)&lt;4,"",SUM('연간'!K47:N47)))),"")</f>
        <v/>
      </c>
      <c r="H49" s="46">
        <f>IFERROR(IF(('연간'!T47)&lt;=0,"적자",H28/('연간'!T47)),"")</f>
        <v/>
      </c>
      <c r="I49" s="47">
        <f>IFERROR(IF(('연간'!U47)&lt;=0,"적자",I28/('연간'!U47)),"")</f>
        <v/>
      </c>
      <c r="J49" s="47">
        <f>IFERROR(IF(('연간'!V47)&lt;=0,"적자",J28/('연간'!V47)),"")</f>
        <v/>
      </c>
      <c r="K49" s="47">
        <f>IFERROR(IF(('연간'!W47)&lt;=0,"적자",K28/('연간'!W47)),"")</f>
        <v/>
      </c>
      <c r="L49" s="47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1119</v>
      </c>
      <c r="D71" s="20" t="n">
        <v>1118</v>
      </c>
      <c r="E71" s="20" t="n">
        <v>1105</v>
      </c>
      <c r="F71" s="20" t="n">
        <v>1024</v>
      </c>
      <c r="G71" s="20" t="n">
        <v>1383</v>
      </c>
      <c r="H71" s="20" t="n">
        <v>3034</v>
      </c>
      <c r="I71" s="20" t="n">
        <v>2108</v>
      </c>
      <c r="J71" s="20" t="n">
        <v>2341</v>
      </c>
      <c r="K71" s="20" t="n">
        <v>1906</v>
      </c>
      <c r="L71" s="20" t="n">
        <v>1024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F73" s="20" t="n">
        <v>1096</v>
      </c>
      <c r="H73" s="20" t="n">
        <v>734</v>
      </c>
      <c r="I73" s="20" t="n">
        <v>495</v>
      </c>
      <c r="J73" s="20" t="n">
        <v>465</v>
      </c>
      <c r="K73" s="20" t="n">
        <v>597</v>
      </c>
      <c r="L73" s="20" t="n">
        <v>1096</v>
      </c>
    </row>
    <row r="74">
      <c r="A74" s="18" t="inlineStr">
        <is>
          <t>매출채권</t>
        </is>
      </c>
      <c r="F74" s="20" t="n">
        <v>4762</v>
      </c>
      <c r="H74" s="20" t="n">
        <v>4573</v>
      </c>
      <c r="I74" s="20" t="n">
        <v>4643</v>
      </c>
      <c r="J74" s="20" t="n">
        <v>5514</v>
      </c>
      <c r="K74" s="20" t="n">
        <v>4047</v>
      </c>
      <c r="L74" s="20" t="n">
        <v>4762</v>
      </c>
    </row>
    <row r="75">
      <c r="A75" s="18" t="inlineStr">
        <is>
          <t>계약자산</t>
        </is>
      </c>
      <c r="F75" s="20" t="n">
        <v>15220</v>
      </c>
      <c r="H75" s="20" t="n">
        <v>4141</v>
      </c>
      <c r="I75" s="20" t="n">
        <v>6606</v>
      </c>
      <c r="J75" s="20" t="n">
        <v>7650</v>
      </c>
      <c r="K75" s="20" t="n">
        <v>8228</v>
      </c>
      <c r="L75" s="20" t="n">
        <v>15220</v>
      </c>
    </row>
    <row r="76">
      <c r="A76" s="18" t="inlineStr">
        <is>
          <t>받을어음·매출채권·계약자산</t>
        </is>
      </c>
      <c r="C76" s="20" t="n">
        <v>13266</v>
      </c>
      <c r="D76" s="20" t="n">
        <v>15760</v>
      </c>
      <c r="E76" s="20" t="n">
        <v>18389</v>
      </c>
      <c r="F76" s="20" t="n">
        <v>21111</v>
      </c>
      <c r="G76" s="20" t="n">
        <v>25226</v>
      </c>
      <c r="H76" s="20" t="n">
        <v>9492</v>
      </c>
      <c r="I76" s="20" t="n">
        <v>11746</v>
      </c>
      <c r="J76" s="20" t="n">
        <v>13678</v>
      </c>
      <c r="K76" s="20" t="n">
        <v>12881</v>
      </c>
      <c r="L76" s="20" t="n">
        <v>21111</v>
      </c>
    </row>
    <row r="77">
      <c r="A77" s="18" t="inlineStr">
        <is>
          <t>재고자산</t>
        </is>
      </c>
      <c r="C77" s="20" t="n">
        <v>4727</v>
      </c>
      <c r="D77" s="20" t="n">
        <v>4812</v>
      </c>
      <c r="E77" s="20" t="n">
        <v>5155</v>
      </c>
      <c r="F77" s="20" t="n">
        <v>4893</v>
      </c>
      <c r="G77" s="20" t="n">
        <v>4988</v>
      </c>
      <c r="H77" s="20" t="n">
        <v>2724</v>
      </c>
      <c r="I77" s="20" t="n">
        <v>3398</v>
      </c>
      <c r="J77" s="20" t="n">
        <v>3825</v>
      </c>
      <c r="K77" s="20" t="n">
        <v>4171</v>
      </c>
      <c r="L77" s="20" t="n">
        <v>4893</v>
      </c>
    </row>
    <row r="78">
      <c r="A78" s="18" t="inlineStr">
        <is>
          <t>선급금</t>
        </is>
      </c>
      <c r="F78" s="20" t="n">
        <v>269</v>
      </c>
      <c r="H78" s="20" t="n">
        <v>21</v>
      </c>
      <c r="I78" s="20" t="n">
        <v>15</v>
      </c>
      <c r="J78" s="20" t="n">
        <v>12</v>
      </c>
      <c r="K78" s="20" t="n">
        <v>173</v>
      </c>
      <c r="L78" s="20" t="n">
        <v>269</v>
      </c>
    </row>
    <row r="79">
      <c r="A79" s="18" t="inlineStr">
        <is>
          <t>선급비용</t>
        </is>
      </c>
      <c r="F79" s="20" t="n">
        <v>42</v>
      </c>
      <c r="H79" s="20" t="n">
        <v>49</v>
      </c>
      <c r="I79" s="20" t="n">
        <v>51</v>
      </c>
      <c r="J79" s="20" t="n">
        <v>42</v>
      </c>
      <c r="K79" s="20" t="n">
        <v>44</v>
      </c>
      <c r="L79" s="20" t="n">
        <v>42</v>
      </c>
    </row>
    <row r="80">
      <c r="A80" s="18" t="inlineStr">
        <is>
          <t>미수금</t>
        </is>
      </c>
      <c r="F80" s="20" t="n">
        <v>124</v>
      </c>
      <c r="H80" s="20" t="n">
        <v>218</v>
      </c>
      <c r="I80" s="20" t="n">
        <v>162</v>
      </c>
      <c r="J80" s="20" t="n">
        <v>37</v>
      </c>
      <c r="K80" s="20" t="n">
        <v>3</v>
      </c>
      <c r="L80" s="20" t="n">
        <v>124</v>
      </c>
    </row>
    <row r="81">
      <c r="A81" s="18" t="inlineStr">
        <is>
          <t>기타</t>
        </is>
      </c>
      <c r="C81" s="20" t="n">
        <v>442</v>
      </c>
      <c r="D81" s="20" t="n">
        <v>670</v>
      </c>
      <c r="E81" s="20" t="n">
        <v>636</v>
      </c>
      <c r="F81" s="20" t="n">
        <v>515</v>
      </c>
      <c r="G81" s="20" t="n">
        <v>423</v>
      </c>
      <c r="H81" s="20" t="n">
        <v>7</v>
      </c>
      <c r="I81" s="20" t="n">
        <v>150</v>
      </c>
      <c r="J81" s="20" t="n">
        <v>133</v>
      </c>
      <c r="K81" s="20" t="n">
        <v>56</v>
      </c>
      <c r="L81" s="20" t="n">
        <v>515</v>
      </c>
    </row>
    <row r="82">
      <c r="A82" s="9" t="inlineStr">
        <is>
          <t>유동자산 합계</t>
        </is>
      </c>
      <c r="C82" s="12" t="n">
        <v>19556</v>
      </c>
      <c r="D82" s="12" t="n">
        <v>22362</v>
      </c>
      <c r="E82" s="12" t="n">
        <v>25286</v>
      </c>
      <c r="F82" s="12" t="n">
        <v>27545</v>
      </c>
      <c r="G82" s="12" t="n">
        <v>32022</v>
      </c>
      <c r="H82" s="12" t="n">
        <v>15506</v>
      </c>
      <c r="I82" s="12" t="n">
        <v>17403</v>
      </c>
      <c r="J82" s="12" t="n">
        <v>19979</v>
      </c>
      <c r="K82" s="12" t="n">
        <v>19229</v>
      </c>
      <c r="L82" s="12" t="n">
        <v>27545</v>
      </c>
    </row>
    <row r="83">
      <c r="A83" s="18" t="inlineStr">
        <is>
          <t>건물·구축물(순액)</t>
        </is>
      </c>
      <c r="C83" s="20" t="n">
        <v>545</v>
      </c>
      <c r="D83" s="20" t="n">
        <v>541</v>
      </c>
      <c r="E83" s="20" t="n">
        <v>548</v>
      </c>
      <c r="F83" s="20" t="n">
        <v>575</v>
      </c>
      <c r="G83" s="20" t="n">
        <v>634</v>
      </c>
      <c r="H83" s="20" t="n">
        <v>395</v>
      </c>
      <c r="I83" s="20" t="n">
        <v>503</v>
      </c>
      <c r="J83" s="20" t="n">
        <v>531</v>
      </c>
      <c r="K83" s="20" t="n">
        <v>431</v>
      </c>
      <c r="L83" s="20" t="n">
        <v>575</v>
      </c>
    </row>
    <row r="84">
      <c r="A84" s="18" t="inlineStr">
        <is>
          <t>기계장치·운반구</t>
        </is>
      </c>
      <c r="F84" s="20" t="n">
        <v>22</v>
      </c>
      <c r="H84" s="20" t="n">
        <v>45</v>
      </c>
      <c r="I84" s="20" t="n">
        <v>37</v>
      </c>
      <c r="J84" s="20" t="n">
        <v>45</v>
      </c>
      <c r="K84" s="20" t="n">
        <v>10</v>
      </c>
      <c r="L84" s="20" t="n">
        <v>22</v>
      </c>
    </row>
    <row r="85">
      <c r="A85" s="18" t="inlineStr">
        <is>
          <t>공구·기구·비품</t>
        </is>
      </c>
      <c r="F85" s="20" t="n">
        <v>337</v>
      </c>
      <c r="H85" s="20" t="n">
        <v>170</v>
      </c>
      <c r="I85" s="20" t="n">
        <v>197</v>
      </c>
      <c r="J85" s="20" t="n">
        <v>266</v>
      </c>
      <c r="K85" s="20" t="n">
        <v>305</v>
      </c>
      <c r="L85" s="20" t="n">
        <v>337</v>
      </c>
    </row>
    <row r="86">
      <c r="A86" s="18" t="inlineStr">
        <is>
          <t>토지</t>
        </is>
      </c>
      <c r="C86" s="20" t="n">
        <v>3592</v>
      </c>
      <c r="D86" s="20" t="n">
        <v>3592</v>
      </c>
      <c r="E86" s="20" t="n">
        <v>3592</v>
      </c>
      <c r="F86" s="20" t="n">
        <v>3592</v>
      </c>
      <c r="G86" s="20" t="n">
        <v>3592</v>
      </c>
      <c r="H86" s="20" t="n">
        <v>3544</v>
      </c>
      <c r="I86" s="20" t="n">
        <v>3592</v>
      </c>
      <c r="J86" s="20" t="n">
        <v>3592</v>
      </c>
      <c r="K86" s="20" t="n">
        <v>3289</v>
      </c>
      <c r="L86" s="20" t="n">
        <v>3592</v>
      </c>
    </row>
    <row r="87">
      <c r="A87" s="18" t="inlineStr">
        <is>
          <t>건설중인자산</t>
        </is>
      </c>
      <c r="F87" s="20" t="n">
        <v>328</v>
      </c>
      <c r="H87" s="20" t="n">
        <v>30</v>
      </c>
      <c r="I87" s="20" t="n">
        <v>70</v>
      </c>
      <c r="J87" s="20" t="n">
        <v>312</v>
      </c>
      <c r="K87" s="20" t="n">
        <v>90</v>
      </c>
      <c r="L87" s="20" t="n">
        <v>328</v>
      </c>
    </row>
    <row r="88">
      <c r="A88" s="18" t="inlineStr">
        <is>
          <t>기타</t>
        </is>
      </c>
      <c r="C88" s="20" t="n">
        <v>500</v>
      </c>
      <c r="D88" s="20" t="n">
        <v>593</v>
      </c>
      <c r="E88" s="20" t="n">
        <v>664</v>
      </c>
      <c r="F88" s="20" t="n">
        <v>837</v>
      </c>
      <c r="G88" s="20" t="n">
        <v>897</v>
      </c>
      <c r="H88" s="20" t="n">
        <v>264</v>
      </c>
      <c r="I88" s="20" t="n">
        <v>306</v>
      </c>
      <c r="J88" s="20" t="n">
        <v>624</v>
      </c>
      <c r="K88" s="20" t="n">
        <v>551</v>
      </c>
      <c r="L88" s="20" t="n">
        <v>837</v>
      </c>
    </row>
    <row r="89">
      <c r="A89" s="18" t="inlineStr">
        <is>
          <t>유형자산 합계</t>
        </is>
      </c>
      <c r="C89" s="20" t="n">
        <v>4638</v>
      </c>
      <c r="D89" s="20" t="n">
        <v>4727</v>
      </c>
      <c r="E89" s="20" t="n">
        <v>4804</v>
      </c>
      <c r="F89" s="20" t="n">
        <v>5004</v>
      </c>
      <c r="G89" s="20" t="n">
        <v>5124</v>
      </c>
      <c r="H89" s="20" t="n">
        <v>4186</v>
      </c>
      <c r="I89" s="20" t="n">
        <v>4401</v>
      </c>
      <c r="J89" s="20" t="n">
        <v>4748</v>
      </c>
      <c r="K89" s="20" t="n">
        <v>4128</v>
      </c>
      <c r="L89" s="20" t="n">
        <v>5004</v>
      </c>
    </row>
    <row r="90">
      <c r="A90" s="18" t="inlineStr">
        <is>
          <t>소프트웨어</t>
        </is>
      </c>
      <c r="F90" s="20" t="n">
        <v>218</v>
      </c>
      <c r="H90" s="20" t="n">
        <v>203</v>
      </c>
      <c r="I90" s="20" t="n">
        <v>176</v>
      </c>
      <c r="J90" s="20" t="n">
        <v>135</v>
      </c>
      <c r="K90" s="20" t="n">
        <v>167</v>
      </c>
      <c r="L90" s="20" t="n">
        <v>218</v>
      </c>
    </row>
    <row r="91">
      <c r="A91" s="18" t="inlineStr">
        <is>
          <t>기타</t>
        </is>
      </c>
      <c r="F91" s="20" t="n">
        <v>0</v>
      </c>
      <c r="H91" s="20" t="n">
        <v>0</v>
      </c>
      <c r="I91" s="20" t="n">
        <v>0</v>
      </c>
      <c r="J91" s="20" t="n">
        <v>0</v>
      </c>
      <c r="K91" s="20" t="n">
        <v>0</v>
      </c>
      <c r="L91" s="20" t="n">
        <v>0</v>
      </c>
    </row>
    <row r="92">
      <c r="A92" s="18" t="inlineStr">
        <is>
          <t>무형자산</t>
        </is>
      </c>
      <c r="C92" s="20" t="n">
        <v>191</v>
      </c>
      <c r="D92" s="20" t="n">
        <v>206</v>
      </c>
      <c r="E92" s="20" t="n">
        <v>211</v>
      </c>
      <c r="F92" s="20" t="n">
        <v>237</v>
      </c>
      <c r="G92" s="20" t="n">
        <v>232</v>
      </c>
      <c r="H92" s="20" t="n">
        <v>204</v>
      </c>
      <c r="I92" s="20" t="n">
        <v>185</v>
      </c>
      <c r="J92" s="20" t="n">
        <v>146</v>
      </c>
      <c r="K92" s="20" t="n">
        <v>167</v>
      </c>
      <c r="L92" s="20" t="n">
        <v>237</v>
      </c>
    </row>
    <row r="93">
      <c r="A93" s="18" t="inlineStr">
        <is>
          <t>투자유가증권</t>
        </is>
      </c>
      <c r="F93" s="20" t="n">
        <v>23</v>
      </c>
      <c r="H93" s="20" t="n">
        <v>16</v>
      </c>
      <c r="I93" s="20" t="n">
        <v>18</v>
      </c>
      <c r="J93" s="20" t="n">
        <v>21</v>
      </c>
      <c r="K93" s="20" t="n">
        <v>19</v>
      </c>
      <c r="L93" s="20" t="n">
        <v>23</v>
      </c>
    </row>
    <row r="94">
      <c r="A94" s="18" t="inlineStr">
        <is>
          <t>관계회사 주식</t>
        </is>
      </c>
      <c r="F94" s="20" t="n">
        <v>450</v>
      </c>
      <c r="H94" s="20" t="n">
        <v>450</v>
      </c>
      <c r="I94" s="20" t="n">
        <v>450</v>
      </c>
      <c r="J94" s="20" t="n">
        <v>450</v>
      </c>
      <c r="K94" s="20" t="n">
        <v>450</v>
      </c>
      <c r="L94" s="20" t="n">
        <v>450</v>
      </c>
    </row>
    <row r="95">
      <c r="A95" s="18" t="inlineStr">
        <is>
          <t>선급연금비용</t>
        </is>
      </c>
      <c r="F95" s="20" t="n">
        <v>2670</v>
      </c>
      <c r="H95" s="20" t="n">
        <v>2314</v>
      </c>
      <c r="I95" s="20" t="n">
        <v>2479</v>
      </c>
      <c r="J95" s="20" t="n">
        <v>2617</v>
      </c>
      <c r="K95" s="20" t="n">
        <v>2637</v>
      </c>
      <c r="L95" s="20" t="n">
        <v>2670</v>
      </c>
    </row>
    <row r="96">
      <c r="A96" s="18" t="inlineStr">
        <is>
          <t>이연법인세자산</t>
        </is>
      </c>
      <c r="F96" s="20" t="n">
        <v>303</v>
      </c>
      <c r="H96" s="20" t="n">
        <v>5</v>
      </c>
      <c r="I96" s="20" t="n">
        <v>4</v>
      </c>
      <c r="J96" s="20" t="n">
        <v>210</v>
      </c>
      <c r="K96" s="20" t="n">
        <v>211</v>
      </c>
      <c r="L96" s="20" t="n">
        <v>303</v>
      </c>
    </row>
    <row r="97">
      <c r="A97" s="18" t="inlineStr">
        <is>
          <t>퇴직급여자산</t>
        </is>
      </c>
      <c r="C97" s="20" t="n">
        <v>2266</v>
      </c>
      <c r="D97" s="20" t="n">
        <v>2286</v>
      </c>
      <c r="E97" s="20" t="n">
        <v>2306</v>
      </c>
      <c r="F97" s="20" t="n">
        <v>2933</v>
      </c>
      <c r="G97" s="20" t="n">
        <v>2948</v>
      </c>
      <c r="H97" s="20" t="n">
        <v>2217</v>
      </c>
      <c r="I97" s="20" t="n">
        <v>1889</v>
      </c>
      <c r="J97" s="20" t="n">
        <v>2371</v>
      </c>
      <c r="K97" s="20" t="n">
        <v>2246</v>
      </c>
      <c r="L97" s="20" t="n">
        <v>2933</v>
      </c>
    </row>
    <row r="98">
      <c r="A98" s="18" t="inlineStr">
        <is>
          <t>기타</t>
        </is>
      </c>
      <c r="C98" s="20" t="n">
        <v>306</v>
      </c>
      <c r="D98" s="20" t="n">
        <v>473</v>
      </c>
      <c r="E98" s="20" t="n">
        <v>336</v>
      </c>
      <c r="F98" s="20" t="n">
        <v>374</v>
      </c>
      <c r="G98" s="20" t="n">
        <v>179</v>
      </c>
      <c r="H98" s="20" t="n">
        <v>86</v>
      </c>
      <c r="I98" s="20" t="n">
        <v>80</v>
      </c>
      <c r="J98" s="20" t="n">
        <v>68</v>
      </c>
      <c r="K98" s="20" t="n">
        <v>63</v>
      </c>
      <c r="L98" s="20" t="n">
        <v>374</v>
      </c>
    </row>
    <row r="99">
      <c r="A99" s="18" t="inlineStr">
        <is>
          <t>대손충당금</t>
        </is>
      </c>
      <c r="C99" s="20" t="n">
        <v>-18</v>
      </c>
      <c r="D99" s="20" t="n">
        <v>-18</v>
      </c>
      <c r="E99" s="20" t="n">
        <v>-18</v>
      </c>
      <c r="F99" s="20" t="n">
        <v>-18</v>
      </c>
      <c r="G99" s="20" t="n">
        <v>-18</v>
      </c>
      <c r="H99" s="20" t="n">
        <v>-18</v>
      </c>
      <c r="I99" s="20" t="n">
        <v>-18</v>
      </c>
      <c r="J99" s="20" t="n">
        <v>-18</v>
      </c>
      <c r="K99" s="20" t="n">
        <v>-18</v>
      </c>
      <c r="L99" s="20" t="n">
        <v>-18</v>
      </c>
    </row>
    <row r="100">
      <c r="A100" s="18" t="inlineStr">
        <is>
          <t>투자 및 기타자산 합계</t>
        </is>
      </c>
      <c r="C100" s="20" t="n">
        <v>2554</v>
      </c>
      <c r="D100" s="20" t="n">
        <v>2741</v>
      </c>
      <c r="E100" s="20" t="n">
        <v>2624</v>
      </c>
      <c r="F100" s="20" t="n">
        <v>3289</v>
      </c>
      <c r="G100" s="20" t="n">
        <v>3109</v>
      </c>
      <c r="H100" s="20" t="n">
        <v>2848</v>
      </c>
      <c r="I100" s="20" t="n">
        <v>1973</v>
      </c>
      <c r="J100" s="20" t="n">
        <v>2653</v>
      </c>
      <c r="K100" s="20" t="n">
        <v>3363</v>
      </c>
      <c r="L100" s="20" t="n">
        <v>3289</v>
      </c>
    </row>
    <row r="101">
      <c r="A101" s="9" t="inlineStr">
        <is>
          <t>비유동자산 합계</t>
        </is>
      </c>
      <c r="C101" s="12" t="n">
        <v>7384</v>
      </c>
      <c r="D101" s="12" t="n">
        <v>7674</v>
      </c>
      <c r="E101" s="12" t="n">
        <v>7640</v>
      </c>
      <c r="F101" s="12" t="n">
        <v>8532</v>
      </c>
      <c r="G101" s="12" t="n">
        <v>8467</v>
      </c>
      <c r="H101" s="12" t="n">
        <v>7239</v>
      </c>
      <c r="I101" s="12" t="n">
        <v>6560</v>
      </c>
      <c r="J101" s="12" t="n">
        <v>7548</v>
      </c>
      <c r="K101" s="12" t="n">
        <v>7659</v>
      </c>
      <c r="L101" s="12" t="n">
        <v>8532</v>
      </c>
    </row>
    <row r="102">
      <c r="A102" s="9" t="inlineStr">
        <is>
          <t>자산 합계</t>
        </is>
      </c>
      <c r="C102" s="12" t="n">
        <v>26940</v>
      </c>
      <c r="D102" s="12" t="n">
        <v>30037</v>
      </c>
      <c r="E102" s="12" t="n">
        <v>32926</v>
      </c>
      <c r="F102" s="12" t="n">
        <v>36077</v>
      </c>
      <c r="G102" s="12" t="n">
        <v>40489</v>
      </c>
      <c r="H102" s="12" t="n">
        <v>22745</v>
      </c>
      <c r="I102" s="12" t="n">
        <v>23964</v>
      </c>
      <c r="J102" s="12" t="n">
        <v>27528</v>
      </c>
      <c r="K102" s="12" t="n">
        <v>26889</v>
      </c>
      <c r="L102" s="12" t="n">
        <v>36077</v>
      </c>
    </row>
    <row r="103">
      <c r="A103" s="18" t="inlineStr">
        <is>
          <t>지급어음</t>
        </is>
      </c>
      <c r="H103" s="20" t="n">
        <v>1685</v>
      </c>
      <c r="I103" s="20" t="n">
        <v>118</v>
      </c>
      <c r="J103" s="20" t="n">
        <v>81</v>
      </c>
      <c r="K103" s="20" t="n">
        <v>0</v>
      </c>
    </row>
    <row r="104">
      <c r="A104" s="18" t="inlineStr">
        <is>
          <t>지급어음·매입채무</t>
        </is>
      </c>
      <c r="C104" s="20" t="n">
        <v>1747</v>
      </c>
      <c r="D104" s="20" t="n">
        <v>2584</v>
      </c>
      <c r="E104" s="20" t="n">
        <v>2657</v>
      </c>
      <c r="H104" s="20" t="n">
        <v>3186</v>
      </c>
      <c r="I104" s="20" t="n">
        <v>1712</v>
      </c>
      <c r="J104" s="20" t="n">
        <v>1868</v>
      </c>
      <c r="K104" s="20" t="n">
        <v>1716</v>
      </c>
    </row>
    <row r="105">
      <c r="A105" s="18" t="inlineStr">
        <is>
          <t>매입채무</t>
        </is>
      </c>
      <c r="F105" s="20" t="n">
        <v>3135</v>
      </c>
      <c r="G105" s="20" t="n">
        <v>2663</v>
      </c>
      <c r="H105" s="20" t="n">
        <v>1703</v>
      </c>
      <c r="I105" s="20" t="n">
        <v>1789</v>
      </c>
      <c r="J105" s="20" t="n">
        <v>2007</v>
      </c>
      <c r="K105" s="20" t="n">
        <v>1864</v>
      </c>
      <c r="L105" s="20" t="n">
        <v>3135</v>
      </c>
    </row>
    <row r="106">
      <c r="A106" s="18" t="inlineStr">
        <is>
          <t>전자기록채무</t>
        </is>
      </c>
      <c r="C106" s="20" t="n">
        <v>1087</v>
      </c>
      <c r="D106" s="20" t="n">
        <v>1685</v>
      </c>
      <c r="E106" s="20" t="n">
        <v>1779</v>
      </c>
      <c r="F106" s="20" t="n">
        <v>761</v>
      </c>
      <c r="G106" s="20" t="n">
        <v>707</v>
      </c>
      <c r="I106" s="20" t="n">
        <v>1996</v>
      </c>
      <c r="J106" s="20" t="n">
        <v>1494</v>
      </c>
      <c r="K106" s="20" t="n">
        <v>1248</v>
      </c>
      <c r="L106" s="20" t="n">
        <v>761</v>
      </c>
    </row>
    <row r="107">
      <c r="A107" s="18" t="inlineStr">
        <is>
          <t>단기차입금</t>
        </is>
      </c>
      <c r="C107" s="20" t="n">
        <v>3845</v>
      </c>
      <c r="D107" s="20" t="n">
        <v>4540</v>
      </c>
      <c r="E107" s="20" t="n">
        <v>6725</v>
      </c>
      <c r="F107" s="20" t="n">
        <v>9510</v>
      </c>
      <c r="G107" s="20" t="n">
        <v>14680</v>
      </c>
      <c r="H107" s="20" t="n">
        <v>1970</v>
      </c>
      <c r="I107" s="20" t="n">
        <v>1570</v>
      </c>
      <c r="J107" s="20" t="n">
        <v>2770</v>
      </c>
      <c r="K107" s="20" t="n">
        <v>2830</v>
      </c>
      <c r="L107" s="20" t="n">
        <v>9510</v>
      </c>
    </row>
    <row r="108">
      <c r="A108" s="18" t="inlineStr">
        <is>
          <t>미지급금</t>
        </is>
      </c>
      <c r="F108" s="20" t="n">
        <v>600</v>
      </c>
      <c r="H108" s="20" t="n">
        <v>593</v>
      </c>
      <c r="I108" s="20" t="n">
        <v>405</v>
      </c>
      <c r="J108" s="20" t="n">
        <v>916</v>
      </c>
      <c r="K108" s="20" t="n">
        <v>683</v>
      </c>
      <c r="L108" s="20" t="n">
        <v>600</v>
      </c>
    </row>
    <row r="109">
      <c r="A109" s="18" t="inlineStr">
        <is>
          <t>미지급비용</t>
        </is>
      </c>
      <c r="F109" s="20" t="n">
        <v>205</v>
      </c>
      <c r="H109" s="20" t="n">
        <v>200</v>
      </c>
      <c r="I109" s="20" t="n">
        <v>174</v>
      </c>
      <c r="J109" s="20" t="n">
        <v>236</v>
      </c>
      <c r="K109" s="20" t="n">
        <v>178</v>
      </c>
      <c r="L109" s="20" t="n">
        <v>205</v>
      </c>
    </row>
    <row r="110">
      <c r="A110" s="18" t="inlineStr">
        <is>
          <t>미지급법인세</t>
        </is>
      </c>
      <c r="C110" s="20" t="n">
        <v>36</v>
      </c>
      <c r="D110" s="20" t="n">
        <v>670</v>
      </c>
      <c r="E110" s="20" t="n">
        <v>518</v>
      </c>
      <c r="F110" s="20" t="n">
        <v>1333</v>
      </c>
      <c r="G110" s="20" t="n">
        <v>373</v>
      </c>
      <c r="H110" s="20" t="n">
        <v>286</v>
      </c>
      <c r="I110" s="20" t="n">
        <v>196</v>
      </c>
      <c r="J110" s="20" t="n">
        <v>272</v>
      </c>
      <c r="K110" s="20" t="n">
        <v>654</v>
      </c>
      <c r="L110" s="20" t="n">
        <v>1333</v>
      </c>
    </row>
    <row r="111">
      <c r="A111" s="18" t="inlineStr">
        <is>
          <t>선수금</t>
        </is>
      </c>
      <c r="H111" s="20" t="n">
        <v>62</v>
      </c>
    </row>
    <row r="112">
      <c r="A112" s="18" t="inlineStr">
        <is>
          <t>계약부채</t>
        </is>
      </c>
      <c r="F112" s="20" t="n">
        <v>100</v>
      </c>
      <c r="H112" s="20" t="n">
        <v>62</v>
      </c>
      <c r="I112" s="20" t="n">
        <v>46</v>
      </c>
      <c r="J112" s="20" t="n">
        <v>271</v>
      </c>
      <c r="K112" s="20" t="n">
        <v>233</v>
      </c>
      <c r="L112" s="20" t="n">
        <v>100</v>
      </c>
    </row>
    <row r="113">
      <c r="A113" s="18" t="inlineStr">
        <is>
          <t>상여충당금</t>
        </is>
      </c>
      <c r="C113" s="20" t="n">
        <v>447</v>
      </c>
      <c r="D113" s="20" t="n">
        <v>853</v>
      </c>
      <c r="E113" s="20" t="n">
        <v>467</v>
      </c>
      <c r="F113" s="20" t="n">
        <v>885</v>
      </c>
      <c r="G113" s="20" t="n">
        <v>476</v>
      </c>
      <c r="H113" s="20" t="n">
        <v>761</v>
      </c>
      <c r="I113" s="20" t="n">
        <v>848</v>
      </c>
      <c r="J113" s="20" t="n">
        <v>759</v>
      </c>
      <c r="K113" s="20" t="n">
        <v>734</v>
      </c>
      <c r="L113" s="20" t="n">
        <v>885</v>
      </c>
    </row>
    <row r="114">
      <c r="A114" s="18" t="inlineStr">
        <is>
          <t>제품보증 충당금</t>
        </is>
      </c>
      <c r="C114" s="20" t="n">
        <v>48</v>
      </c>
      <c r="D114" s="20" t="n">
        <v>47</v>
      </c>
      <c r="E114" s="20" t="n">
        <v>48</v>
      </c>
      <c r="F114" s="20" t="n">
        <v>79</v>
      </c>
      <c r="G114" s="20" t="n">
        <v>74</v>
      </c>
      <c r="H114" s="20" t="n">
        <v>105</v>
      </c>
      <c r="I114" s="20" t="n">
        <v>67</v>
      </c>
      <c r="J114" s="20" t="n">
        <v>85</v>
      </c>
      <c r="K114" s="20" t="n">
        <v>64</v>
      </c>
      <c r="L114" s="20" t="n">
        <v>79</v>
      </c>
    </row>
    <row r="115">
      <c r="A115" s="18" t="inlineStr">
        <is>
          <t>Provision For Loss On Construction Contracts</t>
        </is>
      </c>
      <c r="C115" s="20" t="n">
        <v>0</v>
      </c>
      <c r="D115" s="20" t="n">
        <v>25</v>
      </c>
      <c r="E115" s="20" t="n">
        <v>1</v>
      </c>
      <c r="F115" s="20" t="n">
        <v>6</v>
      </c>
      <c r="G115" s="20" t="n">
        <v>14</v>
      </c>
      <c r="H115" s="20" t="n">
        <v>0</v>
      </c>
      <c r="I115" s="20" t="n">
        <v>1</v>
      </c>
      <c r="J115" s="20" t="n">
        <v>12</v>
      </c>
      <c r="K115" s="20" t="n">
        <v>12</v>
      </c>
      <c r="L115" s="20" t="n">
        <v>6</v>
      </c>
    </row>
    <row r="116">
      <c r="A116" s="18" t="inlineStr">
        <is>
          <t>기타</t>
        </is>
      </c>
      <c r="C116" s="20" t="n">
        <v>1329</v>
      </c>
      <c r="D116" s="20" t="n">
        <v>1000</v>
      </c>
      <c r="E116" s="20" t="n">
        <v>1364</v>
      </c>
      <c r="F116" s="20" t="n">
        <v>1122</v>
      </c>
      <c r="G116" s="20" t="n">
        <v>1445</v>
      </c>
      <c r="H116" s="20" t="n">
        <v>164</v>
      </c>
      <c r="I116" s="20" t="n">
        <v>269</v>
      </c>
      <c r="J116" s="20" t="n">
        <v>613</v>
      </c>
      <c r="K116" s="20" t="n">
        <v>726</v>
      </c>
      <c r="L116" s="20" t="n">
        <v>1122</v>
      </c>
    </row>
    <row r="117">
      <c r="A117" s="9" t="inlineStr">
        <is>
          <t>유동부채 합계</t>
        </is>
      </c>
      <c r="C117" s="12" t="n">
        <v>8541</v>
      </c>
      <c r="D117" s="12" t="n">
        <v>11406</v>
      </c>
      <c r="E117" s="12" t="n">
        <v>13560</v>
      </c>
      <c r="F117" s="12" t="n">
        <v>16833</v>
      </c>
      <c r="G117" s="12" t="n">
        <v>20435</v>
      </c>
      <c r="H117" s="12" t="n">
        <v>7532</v>
      </c>
      <c r="I117" s="12" t="n">
        <v>7067</v>
      </c>
      <c r="J117" s="12" t="n">
        <v>8792</v>
      </c>
      <c r="K117" s="12" t="n">
        <v>9230</v>
      </c>
      <c r="L117" s="12" t="n">
        <v>16833</v>
      </c>
    </row>
    <row r="118">
      <c r="A118" s="18" t="inlineStr">
        <is>
          <t>장기차입금</t>
        </is>
      </c>
      <c r="C118" s="20" t="n">
        <v>1945</v>
      </c>
      <c r="D118" s="20" t="n">
        <v>3250</v>
      </c>
      <c r="E118" s="20" t="n">
        <v>3065</v>
      </c>
      <c r="F118" s="20" t="n">
        <v>980</v>
      </c>
      <c r="G118" s="20" t="n">
        <v>810</v>
      </c>
      <c r="H118" s="20" t="n">
        <v>1900</v>
      </c>
      <c r="I118" s="20" t="n">
        <v>2080</v>
      </c>
      <c r="J118" s="20" t="n">
        <v>2020</v>
      </c>
      <c r="K118" s="20" t="n">
        <v>1960</v>
      </c>
      <c r="L118" s="20" t="n">
        <v>980</v>
      </c>
    </row>
    <row r="119">
      <c r="A119" s="18" t="inlineStr">
        <is>
          <t>이연법인세부채</t>
        </is>
      </c>
      <c r="H119" s="20" t="n">
        <v>82</v>
      </c>
      <c r="I119" s="20" t="n">
        <v>65</v>
      </c>
      <c r="J119" s="20" t="n">
        <v>0</v>
      </c>
    </row>
    <row r="120">
      <c r="A120" s="18" t="inlineStr">
        <is>
          <t>재평가 관련 이연법인세부채</t>
        </is>
      </c>
      <c r="C120" s="20" t="n">
        <v>1022</v>
      </c>
      <c r="D120" s="20" t="n">
        <v>1022</v>
      </c>
      <c r="E120" s="20" t="n">
        <v>1022</v>
      </c>
      <c r="F120" s="20" t="n">
        <v>1022</v>
      </c>
      <c r="G120" s="20" t="n">
        <v>1022</v>
      </c>
      <c r="H120" s="20" t="n">
        <v>993</v>
      </c>
      <c r="I120" s="20" t="n">
        <v>993</v>
      </c>
      <c r="J120" s="20" t="n">
        <v>993</v>
      </c>
      <c r="K120" s="20" t="n">
        <v>1022</v>
      </c>
      <c r="L120" s="20" t="n">
        <v>1022</v>
      </c>
    </row>
    <row r="121">
      <c r="A121" s="18" t="inlineStr">
        <is>
          <t>퇴직급여충당금</t>
        </is>
      </c>
      <c r="F121" s="20" t="n">
        <v>1117</v>
      </c>
      <c r="H121" s="20" t="n">
        <v>2253</v>
      </c>
      <c r="I121" s="20" t="n">
        <v>1991</v>
      </c>
      <c r="J121" s="20" t="n">
        <v>1648</v>
      </c>
      <c r="K121" s="20" t="n">
        <v>1338</v>
      </c>
      <c r="L121" s="20" t="n">
        <v>1117</v>
      </c>
    </row>
    <row r="122">
      <c r="A122" s="18" t="inlineStr">
        <is>
          <t>퇴직급여부채</t>
        </is>
      </c>
      <c r="C122" s="20" t="n">
        <v>1039</v>
      </c>
      <c r="D122" s="20" t="n">
        <v>1055</v>
      </c>
      <c r="E122" s="20" t="n">
        <v>1056</v>
      </c>
      <c r="F122" s="20" t="n">
        <v>960</v>
      </c>
      <c r="G122" s="20" t="n">
        <v>963</v>
      </c>
      <c r="H122" s="20" t="n">
        <v>1558</v>
      </c>
      <c r="I122" s="20" t="n">
        <v>1436</v>
      </c>
      <c r="J122" s="20" t="n">
        <v>1266</v>
      </c>
      <c r="K122" s="20" t="n">
        <v>1096</v>
      </c>
      <c r="L122" s="20" t="n">
        <v>960</v>
      </c>
    </row>
    <row r="123">
      <c r="A123" s="18" t="inlineStr">
        <is>
          <t>기타</t>
        </is>
      </c>
      <c r="C123" s="20" t="n">
        <v>151</v>
      </c>
      <c r="D123" s="20" t="n">
        <v>159</v>
      </c>
      <c r="E123" s="20" t="n">
        <v>160</v>
      </c>
      <c r="F123" s="20" t="n">
        <v>176</v>
      </c>
      <c r="G123" s="20" t="n">
        <v>177</v>
      </c>
      <c r="H123" s="20" t="n">
        <v>150</v>
      </c>
      <c r="I123" s="20" t="n">
        <v>150</v>
      </c>
      <c r="J123" s="20" t="n">
        <v>151</v>
      </c>
      <c r="K123" s="20" t="n">
        <v>151</v>
      </c>
      <c r="L123" s="20" t="n">
        <v>176</v>
      </c>
    </row>
    <row r="124">
      <c r="A124" s="9" t="inlineStr">
        <is>
          <t>비유동부채 합계</t>
        </is>
      </c>
      <c r="C124" s="12" t="n">
        <v>4158</v>
      </c>
      <c r="D124" s="12" t="n">
        <v>5486</v>
      </c>
      <c r="E124" s="12" t="n">
        <v>5303</v>
      </c>
      <c r="F124" s="12" t="n">
        <v>3139</v>
      </c>
      <c r="G124" s="12" t="n">
        <v>2972</v>
      </c>
      <c r="H124" s="12" t="n">
        <v>5379</v>
      </c>
      <c r="I124" s="12" t="n">
        <v>4726</v>
      </c>
      <c r="J124" s="12" t="n">
        <v>4430</v>
      </c>
      <c r="K124" s="12" t="n">
        <v>4472</v>
      </c>
      <c r="L124" s="12" t="n">
        <v>3139</v>
      </c>
    </row>
    <row r="125">
      <c r="A125" s="9" t="inlineStr">
        <is>
          <t>부채 합계</t>
        </is>
      </c>
      <c r="C125" s="12" t="n">
        <v>12700</v>
      </c>
      <c r="D125" s="12" t="n">
        <v>16892</v>
      </c>
      <c r="E125" s="12" t="n">
        <v>18863</v>
      </c>
      <c r="F125" s="12" t="n">
        <v>19972</v>
      </c>
      <c r="G125" s="12" t="n">
        <v>23407</v>
      </c>
      <c r="H125" s="12" t="n">
        <v>12912</v>
      </c>
      <c r="I125" s="12" t="n">
        <v>11793</v>
      </c>
      <c r="J125" s="12" t="n">
        <v>13222</v>
      </c>
      <c r="K125" s="12" t="n">
        <v>13702</v>
      </c>
      <c r="L125" s="12" t="n">
        <v>19972</v>
      </c>
    </row>
    <row r="126">
      <c r="A126" s="18" t="inlineStr">
        <is>
          <t>자본금</t>
        </is>
      </c>
      <c r="C126" s="20" t="n">
        <v>5895</v>
      </c>
      <c r="D126" s="20" t="n">
        <v>5895</v>
      </c>
      <c r="E126" s="20" t="n">
        <v>5895</v>
      </c>
      <c r="F126" s="20" t="n">
        <v>5895</v>
      </c>
      <c r="G126" s="20" t="n">
        <v>5895</v>
      </c>
      <c r="H126" s="20" t="n">
        <v>5895</v>
      </c>
      <c r="I126" s="20" t="n">
        <v>5895</v>
      </c>
      <c r="J126" s="20" t="n">
        <v>5895</v>
      </c>
      <c r="K126" s="20" t="n">
        <v>5895</v>
      </c>
      <c r="L126" s="20" t="n">
        <v>5895</v>
      </c>
    </row>
    <row r="127">
      <c r="A127" s="18" t="inlineStr">
        <is>
          <t>기타자본잉여금</t>
        </is>
      </c>
      <c r="F127" s="20" t="n">
        <v>12</v>
      </c>
      <c r="H127" s="20" t="n">
        <v>0</v>
      </c>
      <c r="I127" s="20" t="n">
        <v>4</v>
      </c>
      <c r="J127" s="20" t="n">
        <v>6</v>
      </c>
      <c r="K127" s="20" t="n">
        <v>7</v>
      </c>
      <c r="L127" s="20" t="n">
        <v>12</v>
      </c>
    </row>
    <row r="128">
      <c r="A128" s="18" t="inlineStr">
        <is>
          <t>자본잉여금</t>
        </is>
      </c>
      <c r="C128" s="20" t="n">
        <v>7</v>
      </c>
      <c r="D128" s="20" t="n">
        <v>12</v>
      </c>
      <c r="E128" s="20" t="n">
        <v>12</v>
      </c>
      <c r="F128" s="20" t="n">
        <v>12</v>
      </c>
      <c r="G128" s="20" t="n">
        <v>12</v>
      </c>
      <c r="H128" s="20" t="n">
        <v>0</v>
      </c>
      <c r="I128" s="20" t="n">
        <v>4</v>
      </c>
      <c r="J128" s="20" t="n">
        <v>6</v>
      </c>
      <c r="K128" s="20" t="n">
        <v>7</v>
      </c>
      <c r="L128" s="20" t="n">
        <v>12</v>
      </c>
    </row>
    <row r="129">
      <c r="A129" s="18" t="inlineStr">
        <is>
          <t>이익준비금</t>
        </is>
      </c>
      <c r="F129" s="20" t="n">
        <v>29</v>
      </c>
      <c r="I129" s="20" t="n">
        <v>0</v>
      </c>
      <c r="J129" s="20" t="n">
        <v>10</v>
      </c>
      <c r="K129" s="20" t="n">
        <v>20</v>
      </c>
      <c r="L129" s="20" t="n">
        <v>29</v>
      </c>
    </row>
    <row r="130">
      <c r="A130" s="18" t="inlineStr">
        <is>
          <t>이월이익잉여금</t>
        </is>
      </c>
      <c r="F130" s="20" t="n">
        <v>10601</v>
      </c>
      <c r="H130" s="20" t="n">
        <v>1688</v>
      </c>
      <c r="I130" s="20" t="n">
        <v>3569</v>
      </c>
      <c r="J130" s="20" t="n">
        <v>5379</v>
      </c>
      <c r="K130" s="20" t="n">
        <v>7077</v>
      </c>
      <c r="L130" s="20" t="n">
        <v>10601</v>
      </c>
    </row>
    <row r="131">
      <c r="A131" s="18" t="inlineStr">
        <is>
          <t>이익잉여금</t>
        </is>
      </c>
      <c r="C131" s="20" t="n">
        <v>8080</v>
      </c>
      <c r="D131" s="20" t="n">
        <v>8992</v>
      </c>
      <c r="E131" s="20" t="n">
        <v>9924</v>
      </c>
      <c r="F131" s="20" t="n">
        <v>11512</v>
      </c>
      <c r="G131" s="20" t="n">
        <v>12513</v>
      </c>
      <c r="H131" s="20" t="n">
        <v>1688</v>
      </c>
      <c r="I131" s="20" t="n">
        <v>3873</v>
      </c>
      <c r="J131" s="20" t="n">
        <v>5920</v>
      </c>
      <c r="K131" s="20" t="n">
        <v>7098</v>
      </c>
      <c r="L131" s="20" t="n">
        <v>11512</v>
      </c>
    </row>
    <row r="132">
      <c r="A132" s="18" t="inlineStr">
        <is>
          <t>자기주식</t>
        </is>
      </c>
      <c r="C132" s="20" t="n">
        <v>-2041</v>
      </c>
      <c r="D132" s="20" t="n">
        <v>-4039</v>
      </c>
      <c r="E132" s="20" t="n">
        <v>-4039</v>
      </c>
      <c r="F132" s="20" t="n">
        <v>-4040</v>
      </c>
      <c r="G132" s="20" t="n">
        <v>-4040</v>
      </c>
      <c r="H132" s="20" t="n">
        <v>-6</v>
      </c>
      <c r="I132" s="20" t="n">
        <v>-13</v>
      </c>
      <c r="J132" s="20" t="n">
        <v>-56</v>
      </c>
      <c r="K132" s="20" t="n">
        <v>-2041</v>
      </c>
      <c r="L132" s="20" t="n">
        <v>-4040</v>
      </c>
    </row>
    <row r="133">
      <c r="A133" s="9" t="inlineStr">
        <is>
          <t>주주자본 합계</t>
        </is>
      </c>
      <c r="C133" s="12" t="n">
        <v>11941</v>
      </c>
      <c r="D133" s="12" t="n">
        <v>10861</v>
      </c>
      <c r="E133" s="12" t="n">
        <v>11792</v>
      </c>
      <c r="F133" s="12" t="n">
        <v>13380</v>
      </c>
      <c r="G133" s="12" t="n">
        <v>14380</v>
      </c>
      <c r="H133" s="12" t="n">
        <v>7577</v>
      </c>
      <c r="I133" s="12" t="n">
        <v>9760</v>
      </c>
      <c r="J133" s="12" t="n">
        <v>11766</v>
      </c>
      <c r="K133" s="12" t="n">
        <v>10959</v>
      </c>
      <c r="L133" s="12" t="n">
        <v>13380</v>
      </c>
    </row>
    <row r="134">
      <c r="A134" s="18" t="inlineStr">
        <is>
          <t>기타유가증권 평가차액</t>
        </is>
      </c>
      <c r="C134" s="20" t="n">
        <v>2</v>
      </c>
      <c r="D134" s="20" t="n">
        <v>2</v>
      </c>
      <c r="E134" s="20" t="n">
        <v>2</v>
      </c>
      <c r="F134" s="20" t="n">
        <v>3</v>
      </c>
      <c r="G134" s="20" t="n">
        <v>3</v>
      </c>
      <c r="H134" s="20" t="n">
        <v>0</v>
      </c>
      <c r="I134" s="20" t="n">
        <v>1</v>
      </c>
      <c r="J134" s="20" t="n">
        <v>2</v>
      </c>
      <c r="K134" s="20" t="n">
        <v>1</v>
      </c>
      <c r="L134" s="20" t="n">
        <v>3</v>
      </c>
    </row>
    <row r="135">
      <c r="A135" s="18" t="inlineStr">
        <is>
          <t>토지재평가차액금</t>
        </is>
      </c>
      <c r="C135" s="20" t="n">
        <v>2225</v>
      </c>
      <c r="D135" s="20" t="n">
        <v>2225</v>
      </c>
      <c r="E135" s="20" t="n">
        <v>2225</v>
      </c>
      <c r="F135" s="20" t="n">
        <v>2225</v>
      </c>
      <c r="G135" s="20" t="n">
        <v>2225</v>
      </c>
      <c r="H135" s="20" t="n">
        <v>2254</v>
      </c>
      <c r="I135" s="20" t="n">
        <v>2254</v>
      </c>
      <c r="J135" s="20" t="n">
        <v>2254</v>
      </c>
      <c r="K135" s="20" t="n">
        <v>2225</v>
      </c>
      <c r="L135" s="20" t="n">
        <v>2225</v>
      </c>
    </row>
    <row r="136">
      <c r="A136" s="18" t="inlineStr">
        <is>
          <t>퇴직급여 조정누계액</t>
        </is>
      </c>
      <c r="C136" s="20" t="n">
        <v>70</v>
      </c>
      <c r="D136" s="20" t="n">
        <v>54</v>
      </c>
      <c r="E136" s="20" t="n">
        <v>41</v>
      </c>
      <c r="F136" s="20" t="n">
        <v>495</v>
      </c>
      <c r="G136" s="20" t="n">
        <v>471</v>
      </c>
      <c r="H136" s="20" t="n">
        <v>569</v>
      </c>
      <c r="I136" s="20" t="n">
        <v>152</v>
      </c>
      <c r="J136" s="20" t="n">
        <v>281</v>
      </c>
      <c r="K136" s="20" t="n">
        <v>85</v>
      </c>
      <c r="L136" s="20" t="n">
        <v>495</v>
      </c>
    </row>
    <row r="137">
      <c r="A137" s="18" t="inlineStr">
        <is>
          <t>기타포괄손익누계액 합계</t>
        </is>
      </c>
      <c r="C137" s="20" t="n">
        <v>2298</v>
      </c>
      <c r="D137" s="20" t="n">
        <v>2282</v>
      </c>
      <c r="E137" s="20" t="n">
        <v>2270</v>
      </c>
      <c r="F137" s="20" t="n">
        <v>2724</v>
      </c>
      <c r="G137" s="20" t="n">
        <v>2701</v>
      </c>
      <c r="H137" s="20" t="n">
        <v>2255</v>
      </c>
      <c r="I137" s="20" t="n">
        <v>2409</v>
      </c>
      <c r="J137" s="20" t="n">
        <v>2539</v>
      </c>
      <c r="K137" s="20" t="n">
        <v>2227</v>
      </c>
      <c r="L137" s="20" t="n">
        <v>2724</v>
      </c>
    </row>
    <row r="138">
      <c r="A138" s="9" t="inlineStr">
        <is>
          <t>순자산 합계</t>
        </is>
      </c>
      <c r="C138" s="12" t="n">
        <v>14240</v>
      </c>
      <c r="D138" s="12" t="n">
        <v>13144</v>
      </c>
      <c r="E138" s="12" t="n">
        <v>14062</v>
      </c>
      <c r="F138" s="12" t="n">
        <v>16104</v>
      </c>
      <c r="G138" s="12" t="n">
        <v>17081</v>
      </c>
      <c r="H138" s="12" t="n">
        <v>9833</v>
      </c>
      <c r="I138" s="12" t="n">
        <v>12170</v>
      </c>
      <c r="J138" s="12" t="n">
        <v>14305</v>
      </c>
      <c r="K138" s="12" t="n">
        <v>13186</v>
      </c>
      <c r="L138" s="12" t="n">
        <v>16104</v>
      </c>
    </row>
    <row r="139">
      <c r="A139" s="9" t="inlineStr">
        <is>
          <t>부채·순자산 합계</t>
        </is>
      </c>
      <c r="C139" s="12" t="n">
        <v>26940</v>
      </c>
      <c r="D139" s="12" t="n">
        <v>30037</v>
      </c>
      <c r="E139" s="12" t="n">
        <v>32926</v>
      </c>
      <c r="F139" s="12" t="n">
        <v>36077</v>
      </c>
      <c r="G139" s="12" t="n">
        <v>40489</v>
      </c>
      <c r="H139" s="12" t="n">
        <v>22745</v>
      </c>
      <c r="I139" s="12" t="n">
        <v>23964</v>
      </c>
      <c r="J139" s="12" t="n">
        <v>27528</v>
      </c>
      <c r="K139" s="12" t="n">
        <v>26889</v>
      </c>
      <c r="L139" s="12" t="n">
        <v>36077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２０２７년 3월 결산기 １분기 결산단신</t>
        </is>
      </c>
      <c r="C4" t="inlineStr">
        <is>
          <t>https://www2.jpx.co.jp/disc/69460/140120260728500716.pdf</t>
        </is>
      </c>
    </row>
    <row r="5">
      <c r="A5" t="inlineStr">
        <is>
          <t>2026-05-12</t>
        </is>
      </c>
      <c r="B5" t="inlineStr">
        <is>
          <t>２０２６년 3월 결산기 연간 결산단신</t>
        </is>
      </c>
      <c r="C5" t="inlineStr">
        <is>
          <t>https://www2.jpx.co.jp/disc/69460/140120260511522466.pdf</t>
        </is>
      </c>
    </row>
    <row r="6">
      <c r="A6" t="inlineStr">
        <is>
          <t>2026-01-30</t>
        </is>
      </c>
      <c r="B6" t="inlineStr">
        <is>
          <t>２０２６년 3월 결산기 ３분기 결산단신</t>
        </is>
      </c>
      <c r="C6" t="inlineStr">
        <is>
          <t>https://www2.jpx.co.jp/disc/69460/140120260128539785.pdf</t>
        </is>
      </c>
    </row>
    <row r="7">
      <c r="A7" t="inlineStr">
        <is>
          <t>2025-10-29</t>
        </is>
      </c>
      <c r="B7" t="inlineStr">
        <is>
          <t>２０２６년 3월 결산기 ２분기 결산단신</t>
        </is>
      </c>
      <c r="C7" t="inlineStr">
        <is>
          <t>https://www2.jpx.co.jp/disc/69460/140120251028580627.pdf</t>
        </is>
      </c>
    </row>
    <row r="8">
      <c r="A8" t="inlineStr">
        <is>
          <t>2025-08-01</t>
        </is>
      </c>
      <c r="B8" t="inlineStr">
        <is>
          <t>２０２６년 3월 결산기 １분기 결산단신</t>
        </is>
      </c>
      <c r="C8" t="inlineStr">
        <is>
          <t>https://www2.jpx.co.jp/disc/69460/140120250731524927.pdf</t>
        </is>
      </c>
    </row>
    <row r="9">
      <c r="A9" t="inlineStr">
        <is>
          <t>2025-05-13</t>
        </is>
      </c>
      <c r="B9" t="inlineStr">
        <is>
          <t>２０２５년 3월 결산기 연간 결산단신</t>
        </is>
      </c>
      <c r="C9" t="inlineStr">
        <is>
          <t>https://www2.jpx.co.jp/disc/69460/140120250512543657.pdf</t>
        </is>
      </c>
    </row>
    <row r="10">
      <c r="A10" t="inlineStr">
        <is>
          <t>2025-01-31</t>
        </is>
      </c>
      <c r="B10" t="inlineStr">
        <is>
          <t>２０２５년 3월 결산기 ３분기 결산단신</t>
        </is>
      </c>
      <c r="C10" t="inlineStr">
        <is>
          <t>https://www2.jpx.co.jp/disc/69460/140120250130558992.pdf</t>
        </is>
      </c>
    </row>
    <row r="11">
      <c r="A11" t="inlineStr">
        <is>
          <t>2024-10-29</t>
        </is>
      </c>
      <c r="B11" t="inlineStr">
        <is>
          <t>２０２５년 3월 결산기 ２분기 결산단신</t>
        </is>
      </c>
      <c r="C11" t="inlineStr">
        <is>
          <t>https://www2.jpx.co.jp/disc/69460/140120241029505232.pdf</t>
        </is>
      </c>
    </row>
    <row r="12">
      <c r="A12" t="inlineStr">
        <is>
          <t>2024-08-02</t>
        </is>
      </c>
      <c r="B12" t="inlineStr">
        <is>
          <t>２０２５년 3월 결산기 １분기 결산단신</t>
        </is>
      </c>
      <c r="C12" t="inlineStr">
        <is>
          <t>https://www2.jpx.co.jp/disc/69460/140120240722552578.pdf</t>
        </is>
      </c>
    </row>
    <row r="13">
      <c r="A13" t="inlineStr">
        <is>
          <t>2024-05-10</t>
        </is>
      </c>
      <c r="B13" t="inlineStr">
        <is>
          <t>２０２４년 3월 결산기 연간 결산단신</t>
        </is>
      </c>
      <c r="C13" t="inlineStr">
        <is>
          <t>https://www2.jpx.co.jp/disc/69460/140120240510588656.pdf</t>
        </is>
      </c>
    </row>
    <row r="14">
      <c r="A14" t="inlineStr">
        <is>
          <t>2024-01-31</t>
        </is>
      </c>
      <c r="B14" t="inlineStr">
        <is>
          <t>２０２４년 3월 결산기 ３분기 결산단신</t>
        </is>
      </c>
      <c r="C14" t="inlineStr">
        <is>
          <t>https://www2.jpx.co.jp/disc/69460/140120240130521732.pdf</t>
        </is>
      </c>
    </row>
    <row r="15">
      <c r="A15" t="inlineStr">
        <is>
          <t>2023-10-30</t>
        </is>
      </c>
      <c r="B15" t="inlineStr">
        <is>
          <t>２０２４년 3월 결산기 ２분기 결산단신</t>
        </is>
      </c>
      <c r="C15" t="inlineStr">
        <is>
          <t>https://www2.jpx.co.jp/disc/69460/140120231027573759.pdf</t>
        </is>
      </c>
    </row>
    <row r="16">
      <c r="A16" t="inlineStr">
        <is>
          <t>2023-07-27</t>
        </is>
      </c>
      <c r="B16" t="inlineStr">
        <is>
          <t>２０２４년 3월 결산기 １분기 결산단신</t>
        </is>
      </c>
      <c r="C16" t="inlineStr">
        <is>
          <t>https://www2.jpx.co.jp/disc/69460/140120230726527394.pdf</t>
        </is>
      </c>
    </row>
    <row r="17">
      <c r="A17" t="inlineStr">
        <is>
          <t>2023-05-12</t>
        </is>
      </c>
      <c r="B17" t="inlineStr">
        <is>
          <t>２０２３년 3월 결산기 연간 결산단신</t>
        </is>
      </c>
      <c r="C17" t="inlineStr">
        <is>
          <t>https://www2.jpx.co.jp/disc/69460/140120230511567361.pdf</t>
        </is>
      </c>
    </row>
    <row r="18">
      <c r="A18" t="inlineStr">
        <is>
          <t>2023-01-30</t>
        </is>
      </c>
      <c r="B18" t="inlineStr">
        <is>
          <t>２０２３년 3월 결산기 ３분기 결산단신</t>
        </is>
      </c>
      <c r="C18" t="inlineStr">
        <is>
          <t>https://www2.jpx.co.jp/disc/69460/140120230126594262.pdf</t>
        </is>
      </c>
    </row>
    <row r="19">
      <c r="A19" t="inlineStr">
        <is>
          <t>2022-10-31</t>
        </is>
      </c>
      <c r="B19" t="inlineStr">
        <is>
          <t>２０２３년 3월 결산기 ２분기 결산단신</t>
        </is>
      </c>
      <c r="C19" t="inlineStr">
        <is>
          <t>https://www2.jpx.co.jp/disc/69460/140120221028552296.pdf</t>
        </is>
      </c>
    </row>
    <row r="20">
      <c r="A20" t="inlineStr">
        <is>
          <t>2022-05-13</t>
        </is>
      </c>
      <c r="B20" t="inlineStr">
        <is>
          <t>２０２２년 3월 결산기 연간 결산단신</t>
        </is>
      </c>
      <c r="C20" t="inlineStr">
        <is>
          <t>https://www2.jpx.co.jp/disc/69460/140120220512544246.pdf</t>
        </is>
      </c>
    </row>
    <row r="21">
      <c r="A21" t="inlineStr">
        <is>
          <t>2021-05-26</t>
        </is>
      </c>
      <c r="B21" t="inlineStr">
        <is>
          <t>２０２１년 3월 결산기 연간 결산단신</t>
        </is>
      </c>
      <c r="C21" t="inlineStr">
        <is>
          <t>https://www2.jpx.co.jp/disc/69460/140120210525428811.pdf</t>
        </is>
      </c>
    </row>
    <row r="22">
      <c r="A22" t="inlineStr">
        <is>
          <t>2020-05-15</t>
        </is>
      </c>
      <c r="B22" t="inlineStr">
        <is>
          <t>２０２０년 3월 결산기 연간 결산단신</t>
        </is>
      </c>
      <c r="C22" t="inlineStr">
        <is>
          <t>https://www2.jpx.co.jp/disc/69460/140120200514414068.pdf</t>
        </is>
      </c>
    </row>
    <row r="23">
      <c r="A23" t="inlineStr">
        <is>
          <t>2019-04-26</t>
        </is>
      </c>
      <c r="B23" t="inlineStr">
        <is>
          <t>２０１９년 3월 결산기 연간 결산단신</t>
        </is>
      </c>
      <c r="C23" t="inlineStr">
        <is>
          <t>https://www2.jpx.co.jp/disc/69460/140120190425411339.pdf</t>
        </is>
      </c>
    </row>
    <row r="24">
      <c r="A24" t="inlineStr">
        <is>
          <t>2018-04-27</t>
        </is>
      </c>
      <c r="B24" t="inlineStr">
        <is>
          <t>２０１８년 3월 결산기 연간 결산단신</t>
        </is>
      </c>
      <c r="C24" t="inlineStr">
        <is>
          <t>https://www2.jpx.co.jp/disc/69460/140120180426421672.pdf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2026-10-26T10:58:19Z</dcterms:created>
  <dcterms:modified xmlns:dcterms="http://purl.org/dc/terms/" xmlns:xsi="http://www.w3.org/2001/XMLSchema-instance" xsi:type="dcterms:W3CDTF">2026-10-26T10:58:20Z</dcterms:modified>
</cp:coreProperties>
</file>