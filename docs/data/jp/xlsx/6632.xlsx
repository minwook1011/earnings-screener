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7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6632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IFRS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89106</v>
      </c>
      <c r="D4" s="12" t="n">
        <v>92554</v>
      </c>
      <c r="E4" s="12" t="n">
        <v>92201</v>
      </c>
      <c r="F4" s="12" t="n">
        <v>87769</v>
      </c>
      <c r="G4" s="12" t="n">
        <v>88805</v>
      </c>
      <c r="H4" s="12" t="n">
        <v>93900</v>
      </c>
      <c r="I4" s="12" t="n">
        <v>99834</v>
      </c>
      <c r="J4" s="12" t="n">
        <v>80197</v>
      </c>
      <c r="K4" s="12" t="n">
        <v>89124</v>
      </c>
      <c r="L4" s="12" t="n">
        <v>89306</v>
      </c>
      <c r="M4" s="12" t="n">
        <v>98238</v>
      </c>
      <c r="N4" s="12" t="n">
        <v>88799</v>
      </c>
      <c r="O4" s="11" t="n"/>
      <c r="P4" s="12" t="n">
        <v>300687</v>
      </c>
      <c r="Q4" s="12" t="n">
        <v>307627</v>
      </c>
      <c r="R4" s="12" t="n">
        <v>291304</v>
      </c>
      <c r="S4" s="12" t="n">
        <v>273609</v>
      </c>
      <c r="T4" s="12" t="n">
        <v>282088</v>
      </c>
      <c r="U4" s="12" t="n">
        <v>336910</v>
      </c>
      <c r="V4" s="12" t="n">
        <v>359459</v>
      </c>
      <c r="W4" s="12" t="n">
        <v>370308</v>
      </c>
      <c r="X4" s="12" t="n">
        <v>356865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Safety And Security Sector</t>
        </is>
      </c>
      <c r="B7" s="10" t="n"/>
      <c r="C7" s="19" t="n">
        <v>23584</v>
      </c>
      <c r="D7" s="20" t="n">
        <v>24301</v>
      </c>
      <c r="E7" s="20" t="n">
        <v>23855</v>
      </c>
      <c r="F7" s="20" t="n">
        <v>24238</v>
      </c>
      <c r="G7" s="20" t="n">
        <v>24348</v>
      </c>
      <c r="H7" s="20" t="n">
        <v>24487</v>
      </c>
      <c r="I7" s="20" t="n">
        <v>26935</v>
      </c>
      <c r="J7" s="20" t="n">
        <v>18279</v>
      </c>
      <c r="K7" s="20" t="n">
        <v>25446</v>
      </c>
      <c r="L7" s="20" t="n">
        <v>23141</v>
      </c>
      <c r="M7" s="20" t="n">
        <v>27829</v>
      </c>
      <c r="N7" s="20" t="n">
        <v>18488</v>
      </c>
      <c r="O7" s="19" t="n"/>
      <c r="P7" s="20" t="n"/>
      <c r="Q7" s="20" t="n"/>
      <c r="R7" s="20" t="n"/>
      <c r="S7" s="20" t="n"/>
      <c r="T7" s="20" t="n"/>
      <c r="U7" s="20" t="n"/>
      <c r="V7" s="20" t="n">
        <v>93755</v>
      </c>
      <c r="W7" s="20" t="n">
        <v>100008</v>
      </c>
      <c r="X7" s="20" t="n">
        <v>94695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Mobility And Telematics Service Sector</t>
        </is>
      </c>
      <c r="B10" s="10" t="n"/>
      <c r="C10" s="19" t="n">
        <v>50551</v>
      </c>
      <c r="D10" s="20" t="n">
        <v>50920</v>
      </c>
      <c r="E10" s="20" t="n"/>
      <c r="F10" s="20" t="n">
        <v>47939</v>
      </c>
      <c r="G10" s="20" t="n">
        <v>48770</v>
      </c>
      <c r="H10" s="20" t="n">
        <v>52090</v>
      </c>
      <c r="I10" s="20" t="n"/>
      <c r="J10" s="20" t="n">
        <v>46580</v>
      </c>
      <c r="K10" s="20" t="n">
        <v>48852</v>
      </c>
      <c r="L10" s="20" t="n">
        <v>49006</v>
      </c>
      <c r="M10" s="20" t="n"/>
      <c r="N10" s="20" t="n">
        <v>53468</v>
      </c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Entertainment Solutions Sector</t>
        </is>
      </c>
      <c r="B13" s="10" t="n"/>
      <c r="C13" s="19" t="n">
        <v>12988</v>
      </c>
      <c r="D13" s="20" t="n">
        <v>14986</v>
      </c>
      <c r="E13" s="20" t="n">
        <v>13983</v>
      </c>
      <c r="F13" s="20" t="n">
        <v>13440</v>
      </c>
      <c r="G13" s="20" t="n">
        <v>13191</v>
      </c>
      <c r="H13" s="20" t="n">
        <v>14822</v>
      </c>
      <c r="I13" s="20" t="n">
        <v>16483</v>
      </c>
      <c r="J13" s="20" t="n">
        <v>13234</v>
      </c>
      <c r="K13" s="20" t="n">
        <v>12632</v>
      </c>
      <c r="L13" s="20" t="n">
        <v>14300</v>
      </c>
      <c r="M13" s="20" t="n">
        <v>16653</v>
      </c>
      <c r="N13" s="20" t="n">
        <v>14446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55978</v>
      </c>
      <c r="W13" s="20" t="n">
        <v>57936</v>
      </c>
      <c r="X13" s="20" t="n">
        <v>56819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1982</v>
      </c>
      <c r="D16" s="20" t="n">
        <v>2346</v>
      </c>
      <c r="E16" s="20" t="n">
        <v>3728</v>
      </c>
      <c r="F16" s="20" t="n">
        <v>2150</v>
      </c>
      <c r="G16" s="20" t="n">
        <v>2496</v>
      </c>
      <c r="H16" s="20" t="n">
        <v>2502</v>
      </c>
      <c r="I16" s="20" t="n">
        <v>1972</v>
      </c>
      <c r="J16" s="20" t="n">
        <v>2103</v>
      </c>
      <c r="K16" s="20" t="n">
        <v>2194</v>
      </c>
      <c r="L16" s="20" t="n">
        <v>2858</v>
      </c>
      <c r="M16" s="20" t="n">
        <v>2447</v>
      </c>
      <c r="N16" s="20" t="n">
        <v>2395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10289</v>
      </c>
      <c r="W16" s="20" t="n">
        <v>9120</v>
      </c>
      <c r="X16" s="20" t="n">
        <v>9602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Mobility And Telematics Sector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>
        <v>199435</v>
      </c>
      <c r="W19" s="20" t="n">
        <v>203243</v>
      </c>
      <c r="X19" s="20" t="n">
        <v>195748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62271</v>
      </c>
      <c r="D23" s="20" t="n">
        <v>64526</v>
      </c>
      <c r="E23" s="20" t="n">
        <v>64514</v>
      </c>
      <c r="F23" s="20" t="n">
        <v>59403</v>
      </c>
      <c r="G23" s="20" t="n">
        <v>59087</v>
      </c>
      <c r="H23" s="20" t="n">
        <v>63820</v>
      </c>
      <c r="I23" s="20" t="n">
        <v>69057</v>
      </c>
      <c r="J23" s="20" t="n">
        <v>55661</v>
      </c>
      <c r="K23" s="20" t="n">
        <v>62095</v>
      </c>
      <c r="L23" s="20" t="n">
        <v>61653</v>
      </c>
      <c r="M23" s="20" t="n">
        <v>67062</v>
      </c>
      <c r="N23" s="20" t="n">
        <v>63846</v>
      </c>
      <c r="O23" s="19" t="n"/>
      <c r="P23" s="20" t="n">
        <v>218845</v>
      </c>
      <c r="Q23" s="20" t="n">
        <v>223332</v>
      </c>
      <c r="R23" s="20" t="n">
        <v>212217</v>
      </c>
      <c r="S23" s="20" t="n">
        <v>199049</v>
      </c>
      <c r="T23" s="20" t="n">
        <v>206298</v>
      </c>
      <c r="U23" s="20" t="n">
        <v>241710</v>
      </c>
      <c r="V23" s="20" t="n">
        <v>250695</v>
      </c>
      <c r="W23" s="20" t="n">
        <v>251367</v>
      </c>
      <c r="X23" s="20" t="n">
        <v>246471</v>
      </c>
      <c r="Y23" s="19" t="n"/>
      <c r="Z23" s="20" t="n"/>
      <c r="AA23" s="20" t="n"/>
      <c r="AB23" s="20" t="n"/>
      <c r="AC23" s="20" t="n"/>
    </row>
    <row r="24">
      <c r="A24" s="18" t="inlineStr">
        <is>
          <t>매출총이익</t>
        </is>
      </c>
      <c r="B24" s="10" t="n"/>
      <c r="C24" s="19">
        <f>IF(OR(C4="",C23=""),"",IFERROR(C4-C23,""))</f>
        <v/>
      </c>
      <c r="D24" s="20">
        <f>IF(OR(D4="",D23=""),"",IFERROR(D4-D23,""))</f>
        <v/>
      </c>
      <c r="E24" s="20">
        <f>IF(OR(E4="",E23=""),"",IFERROR(E4-E23,""))</f>
        <v/>
      </c>
      <c r="F24" s="20">
        <f>IF(OR(F4="",F23=""),"",IFERROR(F4-F23,""))</f>
        <v/>
      </c>
      <c r="G24" s="20">
        <f>IF(OR(G4="",G23=""),"",IFERROR(G4-G23,""))</f>
        <v/>
      </c>
      <c r="H24" s="20">
        <f>IF(OR(H4="",H23=""),"",IFERROR(H4-H23,""))</f>
        <v/>
      </c>
      <c r="I24" s="20">
        <f>IF(OR(I4="",I23=""),"",IFERROR(I4-I23,""))</f>
        <v/>
      </c>
      <c r="J24" s="20">
        <f>IF(OR(J4="",J23=""),"",IFERROR(J4-J23,""))</f>
        <v/>
      </c>
      <c r="K24" s="20">
        <f>IF(OR(K4="",K23=""),"",IFERROR(K4-K23,""))</f>
        <v/>
      </c>
      <c r="L24" s="20">
        <f>IF(OR(L4="",L23=""),"",IFERROR(L4-L23,""))</f>
        <v/>
      </c>
      <c r="M24" s="20">
        <f>IF(OR(M4="",M23=""),"",IFERROR(M4-M23,""))</f>
        <v/>
      </c>
      <c r="N24" s="20">
        <f>IF(OR(N4="",N23=""),"",IFERROR(N4-N23,""))</f>
        <v/>
      </c>
      <c r="O24" s="19">
        <f>IF(OR(O4="",O23=""),"",IFERROR(O4-O23,""))</f>
        <v/>
      </c>
      <c r="P24" s="20">
        <f>IF(OR(P4="",P23=""),"",IFERROR(P4-P23,""))</f>
        <v/>
      </c>
      <c r="Q24" s="20">
        <f>IF(OR(Q4="",Q23=""),"",IFERROR(Q4-Q23,""))</f>
        <v/>
      </c>
      <c r="R24" s="20">
        <f>IF(OR(R4="",R23=""),"",IFERROR(R4-R23,""))</f>
        <v/>
      </c>
      <c r="S24" s="20">
        <f>IF(OR(S4="",S23=""),"",IFERROR(S4-S23,""))</f>
        <v/>
      </c>
      <c r="T24" s="20">
        <f>IF(OR(T4="",T23=""),"",IFERROR(T4-T23,""))</f>
        <v/>
      </c>
      <c r="U24" s="20">
        <f>IF(OR(U4="",U23=""),"",IFERROR(U4-U23,""))</f>
        <v/>
      </c>
      <c r="V24" s="20">
        <f>IF(OR(V4="",V23=""),"",IFERROR(V4-V23,""))</f>
        <v/>
      </c>
      <c r="W24" s="20">
        <f>IF(OR(W4="",W23=""),"",IFERROR(W4-W23,""))</f>
        <v/>
      </c>
      <c r="X24" s="20">
        <f>IF(OR(X4="",X23=""),"",IFERROR(X4-X23,""))</f>
        <v/>
      </c>
      <c r="Y24" s="19" t="n"/>
      <c r="Z24" s="20" t="n"/>
      <c r="AA24" s="20" t="n"/>
      <c r="AB24" s="20" t="n"/>
      <c r="AC24" s="20" t="n"/>
    </row>
    <row r="25">
      <c r="A25" s="13" t="inlineStr">
        <is>
          <t>GPM</t>
        </is>
      </c>
      <c r="B25" s="10" t="n"/>
      <c r="C25" s="14">
        <f>IF(OR(C24="",C4=""),"",IFERROR(C24/C4,""))</f>
        <v/>
      </c>
      <c r="D25" s="15">
        <f>IF(OR(D24="",D4=""),"",IFERROR(D24/D4,""))</f>
        <v/>
      </c>
      <c r="E25" s="15">
        <f>IF(OR(E24="",E4=""),"",IFERROR(E24/E4,""))</f>
        <v/>
      </c>
      <c r="F25" s="15">
        <f>IF(OR(F24="",F4=""),"",IFERROR(F24/F4,""))</f>
        <v/>
      </c>
      <c r="G25" s="15">
        <f>IF(OR(G24="",G4=""),"",IFERROR(G24/G4,""))</f>
        <v/>
      </c>
      <c r="H25" s="15">
        <f>IF(OR(H24="",H4=""),"",IFERROR(H24/H4,""))</f>
        <v/>
      </c>
      <c r="I25" s="15">
        <f>IF(OR(I24="",I4=""),"",IFERROR(I24/I4,""))</f>
        <v/>
      </c>
      <c r="J25" s="15">
        <f>IF(OR(J24="",J4=""),"",IFERROR(J24/J4,""))</f>
        <v/>
      </c>
      <c r="K25" s="15">
        <f>IF(OR(K24="",K4=""),"",IFERROR(K24/K4,""))</f>
        <v/>
      </c>
      <c r="L25" s="15">
        <f>IF(OR(L24="",L4=""),"",IFERROR(L24/L4,""))</f>
        <v/>
      </c>
      <c r="M25" s="15">
        <f>IF(OR(M24="",M4=""),"",IFERROR(M24/M4,""))</f>
        <v/>
      </c>
      <c r="N25" s="15">
        <f>IF(OR(N24="",N4=""),"",IFERROR(N24/N4,""))</f>
        <v/>
      </c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>
        <f>IF(OR(Y24="",Y4=""),"",IFERROR(Y24/Y4,""))</f>
        <v/>
      </c>
      <c r="Z25" s="15">
        <f>IF(OR(Z24="",Z4=""),"",IFERROR(Z24/Z4,""))</f>
        <v/>
      </c>
      <c r="AA25" s="15">
        <f>IF(OR(AA24="",AA4=""),"",IFERROR(AA24/AA4,""))</f>
        <v/>
      </c>
      <c r="AB25" s="15">
        <f>IF(OR(AB24="",AB4=""),"",IFERROR(AB24/AB4,""))</f>
        <v/>
      </c>
      <c r="AC25" s="15">
        <f>IF(OR(AC24="",AC4=""),"",IFERROR(AC24/AC4,""))</f>
        <v/>
      </c>
    </row>
    <row r="26">
      <c r="A26" s="23" t="inlineStr">
        <is>
          <t>판매관리비</t>
        </is>
      </c>
      <c r="B26" s="23" t="n"/>
      <c r="C26" s="24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4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4" t="n"/>
      <c r="Z26" s="23" t="n"/>
      <c r="AA26" s="23" t="n"/>
      <c r="AB26" s="23" t="n"/>
      <c r="AC26" s="23" t="n"/>
    </row>
    <row r="27">
      <c r="A27" s="18" t="inlineStr">
        <is>
          <t>전체 판관비</t>
        </is>
      </c>
      <c r="B27" s="10" t="n"/>
      <c r="C27" s="19" t="n">
        <v>21371</v>
      </c>
      <c r="D27" s="20" t="n">
        <v>22516</v>
      </c>
      <c r="E27" s="20" t="n">
        <v>23992</v>
      </c>
      <c r="F27" s="20" t="n">
        <v>22390</v>
      </c>
      <c r="G27" s="20" t="n">
        <v>22678</v>
      </c>
      <c r="H27" s="20" t="n">
        <v>24528</v>
      </c>
      <c r="I27" s="20" t="n">
        <v>24037</v>
      </c>
      <c r="J27" s="20" t="n">
        <v>21484</v>
      </c>
      <c r="K27" s="20" t="n">
        <v>21761</v>
      </c>
      <c r="L27" s="20" t="n">
        <v>22652</v>
      </c>
      <c r="M27" s="20" t="n">
        <v>23616</v>
      </c>
      <c r="N27" s="20" t="n">
        <v>22945</v>
      </c>
      <c r="O27" s="19" t="n"/>
      <c r="P27" s="20" t="n">
        <v>75531</v>
      </c>
      <c r="Q27" s="20" t="n">
        <v>75732</v>
      </c>
      <c r="R27" s="20" t="n">
        <v>73402</v>
      </c>
      <c r="S27" s="20" t="n">
        <v>67086</v>
      </c>
      <c r="T27" s="20" t="n">
        <v>68645</v>
      </c>
      <c r="U27" s="20" t="n">
        <v>79363</v>
      </c>
      <c r="V27" s="20" t="n">
        <v>89053</v>
      </c>
      <c r="W27" s="20" t="n">
        <v>93633</v>
      </c>
      <c r="X27" s="20" t="n">
        <v>89513</v>
      </c>
      <c r="Y27" s="19" t="n"/>
      <c r="Z27" s="20" t="n"/>
      <c r="AA27" s="20" t="n"/>
      <c r="AB27" s="20" t="n"/>
      <c r="AC27" s="20" t="n"/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4795</v>
      </c>
      <c r="D28" s="12" t="n">
        <v>5175</v>
      </c>
      <c r="E28" s="12" t="n">
        <v>3244</v>
      </c>
      <c r="F28" s="12" t="n">
        <v>6022</v>
      </c>
      <c r="G28" s="12" t="n">
        <v>7534</v>
      </c>
      <c r="H28" s="12" t="n">
        <v>3227</v>
      </c>
      <c r="I28" s="12" t="n">
        <v>5009</v>
      </c>
      <c r="J28" s="12" t="n">
        <v>4356</v>
      </c>
      <c r="K28" s="12" t="n">
        <v>5277</v>
      </c>
      <c r="L28" s="12" t="n">
        <v>5237</v>
      </c>
      <c r="M28" s="12" t="n">
        <v>5670</v>
      </c>
      <c r="N28" s="12" t="n">
        <v>1526</v>
      </c>
      <c r="O28" s="11" t="n"/>
      <c r="P28" s="12" t="n">
        <v>6937</v>
      </c>
      <c r="Q28" s="12" t="n">
        <v>7263</v>
      </c>
      <c r="R28" s="12" t="n">
        <v>4080</v>
      </c>
      <c r="S28" s="12" t="n">
        <v>4893</v>
      </c>
      <c r="T28" s="12" t="n">
        <v>9054</v>
      </c>
      <c r="U28" s="12" t="n">
        <v>21634</v>
      </c>
      <c r="V28" s="12" t="n">
        <v>18226</v>
      </c>
      <c r="W28" s="12" t="n">
        <v>21792</v>
      </c>
      <c r="X28" s="12" t="n">
        <v>20540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IF(O27="","",O27)</f>
        <v/>
      </c>
      <c r="P32" s="12">
        <f>IF(P27="","",P27)</f>
        <v/>
      </c>
      <c r="Q32" s="12">
        <f>IF(Q27="","",Q27)</f>
        <v/>
      </c>
      <c r="R32" s="12">
        <f>IF(R27="","",R27)</f>
        <v/>
      </c>
      <c r="S32" s="12">
        <f>IF(S27="","",S27)</f>
        <v/>
      </c>
      <c r="T32" s="12">
        <f>IF(T27="","",T27)</f>
        <v/>
      </c>
      <c r="U32" s="12">
        <f>IF(U27="","",U27)</f>
        <v/>
      </c>
      <c r="V32" s="12">
        <f>IF(V27="","",V27)</f>
        <v/>
      </c>
      <c r="W32" s="12">
        <f>IF(W27="","",W27)</f>
        <v/>
      </c>
      <c r="X32" s="12">
        <f>IF(X27="","",X27)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기타이익</t>
        </is>
      </c>
      <c r="B44" s="10" t="n"/>
      <c r="C44" s="19" t="n">
        <v>968</v>
      </c>
      <c r="D44" s="20" t="n">
        <v>475</v>
      </c>
      <c r="E44" s="20" t="n">
        <v>2857</v>
      </c>
      <c r="F44" s="20" t="n">
        <v>284</v>
      </c>
      <c r="G44" s="20" t="n">
        <v>1197</v>
      </c>
      <c r="H44" s="20" t="n">
        <v>379</v>
      </c>
      <c r="I44" s="20" t="n">
        <v>369</v>
      </c>
      <c r="J44" s="20" t="n">
        <v>1446</v>
      </c>
      <c r="K44" s="20" t="n">
        <v>357</v>
      </c>
      <c r="L44" s="20" t="n">
        <v>976</v>
      </c>
      <c r="M44" s="20" t="n">
        <v>188</v>
      </c>
      <c r="N44" s="20" t="n">
        <v>229</v>
      </c>
      <c r="O44" s="19" t="n"/>
      <c r="P44" s="20" t="n">
        <v>3325</v>
      </c>
      <c r="Q44" s="20" t="n">
        <v>1775</v>
      </c>
      <c r="R44" s="20" t="n">
        <v>1741</v>
      </c>
      <c r="S44" s="20" t="n">
        <v>2056</v>
      </c>
      <c r="T44" s="20" t="n">
        <v>4104</v>
      </c>
      <c r="U44" s="20" t="n">
        <v>11342</v>
      </c>
      <c r="V44" s="20" t="n">
        <v>4762</v>
      </c>
      <c r="W44" s="20" t="n">
        <v>2229</v>
      </c>
      <c r="X44" s="20" t="n">
        <v>2967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기타손실</t>
        </is>
      </c>
      <c r="B46" s="10" t="n"/>
      <c r="C46" s="19" t="n">
        <v>1554</v>
      </c>
      <c r="D46" s="20" t="n">
        <v>881</v>
      </c>
      <c r="E46" s="20" t="n">
        <v>3280</v>
      </c>
      <c r="F46" s="20" t="n">
        <v>139</v>
      </c>
      <c r="G46" s="20" t="n">
        <v>1053</v>
      </c>
      <c r="H46" s="20" t="n">
        <v>2400</v>
      </c>
      <c r="I46" s="20" t="n">
        <v>2255</v>
      </c>
      <c r="J46" s="20" t="n">
        <v>215</v>
      </c>
      <c r="K46" s="20" t="n">
        <v>206</v>
      </c>
      <c r="L46" s="20" t="n">
        <v>672</v>
      </c>
      <c r="M46" s="20" t="n">
        <v>1960</v>
      </c>
      <c r="N46" s="20" t="n">
        <v>700</v>
      </c>
      <c r="O46" s="19" t="n"/>
      <c r="P46" s="20" t="n">
        <v>2388</v>
      </c>
      <c r="Q46" s="20" t="n">
        <v>2688</v>
      </c>
      <c r="R46" s="20" t="n">
        <v>2934</v>
      </c>
      <c r="S46" s="20" t="n">
        <v>4251</v>
      </c>
      <c r="T46" s="20" t="n">
        <v>1857</v>
      </c>
      <c r="U46" s="20" t="n">
        <v>4971</v>
      </c>
      <c r="V46" s="20" t="n">
        <v>6158</v>
      </c>
      <c r="W46" s="20" t="n">
        <v>5847</v>
      </c>
      <c r="X46" s="20" t="n">
        <v>3053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금융수익</t>
        </is>
      </c>
      <c r="B48" s="10" t="n"/>
      <c r="C48" s="19" t="n">
        <v>209</v>
      </c>
      <c r="D48" s="20" t="n">
        <v>216</v>
      </c>
      <c r="E48" s="20" t="n">
        <v>281</v>
      </c>
      <c r="F48" s="20" t="n">
        <v>298</v>
      </c>
      <c r="G48" s="20" t="n">
        <v>286</v>
      </c>
      <c r="H48" s="20" t="n">
        <v>265</v>
      </c>
      <c r="I48" s="20" t="n">
        <v>321</v>
      </c>
      <c r="J48" s="20" t="n">
        <v>293</v>
      </c>
      <c r="K48" s="20" t="n">
        <v>223</v>
      </c>
      <c r="L48" s="20" t="n">
        <v>207</v>
      </c>
      <c r="M48" s="20" t="n">
        <v>274</v>
      </c>
      <c r="N48" s="20" t="n">
        <v>281</v>
      </c>
      <c r="O48" s="19" t="n"/>
      <c r="P48" s="20" t="n">
        <v>249</v>
      </c>
      <c r="Q48" s="20" t="n">
        <v>304</v>
      </c>
      <c r="R48" s="20" t="n">
        <v>308</v>
      </c>
      <c r="S48" s="20" t="n">
        <v>566</v>
      </c>
      <c r="T48" s="20" t="n">
        <v>342</v>
      </c>
      <c r="U48" s="20" t="n">
        <v>454</v>
      </c>
      <c r="V48" s="20" t="n">
        <v>957</v>
      </c>
      <c r="W48" s="20" t="n">
        <v>1170</v>
      </c>
      <c r="X48" s="20" t="n">
        <v>997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금융원가</t>
        </is>
      </c>
      <c r="B50" s="10" t="n"/>
      <c r="C50" s="19" t="n">
        <v>382</v>
      </c>
      <c r="D50" s="20" t="n">
        <v>408</v>
      </c>
      <c r="E50" s="20" t="n">
        <v>369</v>
      </c>
      <c r="F50" s="20" t="n">
        <v>360</v>
      </c>
      <c r="G50" s="20" t="n">
        <v>337</v>
      </c>
      <c r="H50" s="20" t="n">
        <v>348</v>
      </c>
      <c r="I50" s="20" t="n">
        <v>397</v>
      </c>
      <c r="J50" s="20" t="n">
        <v>328</v>
      </c>
      <c r="K50" s="20" t="n">
        <v>333</v>
      </c>
      <c r="L50" s="20" t="n">
        <v>326</v>
      </c>
      <c r="M50" s="20" t="n">
        <v>460</v>
      </c>
      <c r="N50" s="20" t="n">
        <v>477</v>
      </c>
      <c r="O50" s="19" t="n"/>
      <c r="P50" s="20" t="n">
        <v>1346</v>
      </c>
      <c r="Q50" s="20" t="n">
        <v>1076</v>
      </c>
      <c r="R50" s="20" t="n">
        <v>1163</v>
      </c>
      <c r="S50" s="20" t="n">
        <v>1153</v>
      </c>
      <c r="T50" s="20" t="n">
        <v>1051</v>
      </c>
      <c r="U50" s="20" t="n">
        <v>1221</v>
      </c>
      <c r="V50" s="20" t="n">
        <v>1485</v>
      </c>
      <c r="W50" s="20" t="n">
        <v>1442</v>
      </c>
      <c r="X50" s="20" t="n">
        <v>1447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4867</v>
      </c>
      <c r="D52" s="12" t="n">
        <v>5192</v>
      </c>
      <c r="E52" s="12" t="n">
        <v>3313</v>
      </c>
      <c r="F52" s="12" t="n">
        <v>6950</v>
      </c>
      <c r="G52" s="12" t="n">
        <v>7523</v>
      </c>
      <c r="H52" s="12" t="n">
        <v>3803</v>
      </c>
      <c r="I52" s="12" t="n">
        <v>5214</v>
      </c>
      <c r="J52" s="12" t="n">
        <v>4891</v>
      </c>
      <c r="K52" s="12" t="n">
        <v>5401</v>
      </c>
      <c r="L52" s="12" t="n">
        <v>5730</v>
      </c>
      <c r="M52" s="12" t="n">
        <v>5638</v>
      </c>
      <c r="N52" s="12" t="n">
        <v>1823</v>
      </c>
      <c r="O52" s="11" t="n"/>
      <c r="P52" s="12" t="n">
        <v>5940</v>
      </c>
      <c r="Q52" s="12" t="n">
        <v>6401</v>
      </c>
      <c r="R52" s="12" t="n">
        <v>2877</v>
      </c>
      <c r="S52" s="12" t="n">
        <v>4533</v>
      </c>
      <c r="T52" s="12" t="n">
        <v>8515</v>
      </c>
      <c r="U52" s="12" t="n">
        <v>21161</v>
      </c>
      <c r="V52" s="12" t="n">
        <v>18245</v>
      </c>
      <c r="W52" s="12" t="n">
        <v>23490</v>
      </c>
      <c r="X52" s="12" t="n">
        <v>21660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8" t="inlineStr">
        <is>
          <t>법인세비용(수익)</t>
        </is>
      </c>
      <c r="B53" s="10" t="n"/>
      <c r="C53" s="19" t="n">
        <v>1413</v>
      </c>
      <c r="D53" s="20" t="n">
        <v>689</v>
      </c>
      <c r="E53" s="20" t="n">
        <v>991</v>
      </c>
      <c r="F53" s="20" t="n">
        <v>1146</v>
      </c>
      <c r="G53" s="20" t="n">
        <v>1717</v>
      </c>
      <c r="H53" s="20" t="n">
        <v>699</v>
      </c>
      <c r="I53" s="20" t="n">
        <v>-1096</v>
      </c>
      <c r="J53" s="20" t="n">
        <v>1325</v>
      </c>
      <c r="K53" s="20" t="n">
        <v>1232</v>
      </c>
      <c r="L53" s="20" t="n">
        <v>809</v>
      </c>
      <c r="M53" s="20" t="n">
        <v>1328</v>
      </c>
      <c r="N53" s="20" t="n">
        <v>793</v>
      </c>
      <c r="O53" s="19" t="n"/>
      <c r="P53" s="20" t="n">
        <v>2752</v>
      </c>
      <c r="Q53" s="20" t="n">
        <v>2099</v>
      </c>
      <c r="R53" s="20" t="n">
        <v>1540</v>
      </c>
      <c r="S53" s="20" t="n">
        <v>1829</v>
      </c>
      <c r="T53" s="20" t="n">
        <v>2146</v>
      </c>
      <c r="U53" s="20" t="n">
        <v>4316</v>
      </c>
      <c r="V53" s="20" t="n">
        <v>4353</v>
      </c>
      <c r="W53" s="20" t="n">
        <v>2466</v>
      </c>
      <c r="X53" s="20" t="n">
        <v>4694</v>
      </c>
      <c r="Y53" s="19">
        <f>IF(OR(Y52="",Y54=""),"",IFERROR(MAX(Y52,0)*Y54,""))</f>
        <v/>
      </c>
      <c r="Z53" s="20">
        <f>IF(OR(Z52="",Z54=""),"",IFERROR(MAX(Z52,0)*Z54,""))</f>
        <v/>
      </c>
      <c r="AA53" s="20">
        <f>IF(OR(AA52="",AA54=""),"",IFERROR(MAX(AA52,0)*AA54,""))</f>
        <v/>
      </c>
      <c r="AB53" s="20">
        <f>IF(OR(AB52="",AB54=""),"",IFERROR(MAX(AB52,0)*AB54,""))</f>
        <v/>
      </c>
      <c r="AC53" s="20">
        <f>IF(OR(AC52="",AC54=""),"",IFERROR(MAX(AC52,0)*AC54,""))</f>
        <v/>
      </c>
    </row>
    <row r="54">
      <c r="A54" s="13" t="inlineStr">
        <is>
          <t>법인세율</t>
        </is>
      </c>
      <c r="B54" s="10" t="inlineStr">
        <is>
          <t>MW 기본 30%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0.3</v>
      </c>
      <c r="Z54" s="26" t="n">
        <v>0.3</v>
      </c>
      <c r="AA54" s="26" t="n">
        <v>0.3</v>
      </c>
      <c r="AB54" s="26" t="n">
        <v>0.3</v>
      </c>
      <c r="AC54" s="26" t="n">
        <v>0.3</v>
      </c>
    </row>
    <row r="55">
      <c r="A55" s="9" t="inlineStr">
        <is>
          <t>당기순이익(손실)</t>
        </is>
      </c>
      <c r="B55" s="10" t="n"/>
      <c r="C55" s="11" t="n">
        <v>3455</v>
      </c>
      <c r="D55" s="12" t="n">
        <v>4502</v>
      </c>
      <c r="E55" s="12" t="n">
        <v>2323</v>
      </c>
      <c r="F55" s="12" t="n">
        <v>5803</v>
      </c>
      <c r="G55" s="12" t="n">
        <v>5807</v>
      </c>
      <c r="H55" s="12" t="n">
        <v>3104</v>
      </c>
      <c r="I55" s="12" t="n">
        <v>6309</v>
      </c>
      <c r="J55" s="12" t="n">
        <v>3566</v>
      </c>
      <c r="K55" s="12" t="n">
        <v>4169</v>
      </c>
      <c r="L55" s="12" t="n">
        <v>4921</v>
      </c>
      <c r="M55" s="12" t="n">
        <v>4309</v>
      </c>
      <c r="N55" s="12" t="n">
        <v>1030</v>
      </c>
      <c r="O55" s="11" t="n"/>
      <c r="P55" s="12" t="n">
        <v>3188</v>
      </c>
      <c r="Q55" s="12" t="n">
        <v>4301</v>
      </c>
      <c r="R55" s="12" t="n">
        <v>1337</v>
      </c>
      <c r="S55" s="12" t="n">
        <v>2704</v>
      </c>
      <c r="T55" s="12" t="n">
        <v>6369</v>
      </c>
      <c r="U55" s="12" t="n">
        <v>16844</v>
      </c>
      <c r="V55" s="12" t="n">
        <v>13892</v>
      </c>
      <c r="W55" s="12" t="n">
        <v>21023</v>
      </c>
      <c r="X55" s="12" t="n">
        <v>16965</v>
      </c>
      <c r="Y55" s="11">
        <f>IF(OR(Y52=""),"",IFERROR(Y52-Y53,""))</f>
        <v/>
      </c>
      <c r="Z55" s="12">
        <f>IF(OR(Z52=""),"",IFERROR(Z52-Z53,""))</f>
        <v/>
      </c>
      <c r="AA55" s="12">
        <f>IF(OR(AA52=""),"",IFERROR(AA52-AA53,""))</f>
        <v/>
      </c>
      <c r="AB55" s="12">
        <f>IF(OR(AB52=""),"",IFERROR(AB52-AB53,""))</f>
        <v/>
      </c>
      <c r="AC55" s="12">
        <f>IF(OR(AC52=""),"",IFERROR(AC52-AC53,""))</f>
        <v/>
      </c>
    </row>
    <row r="56">
      <c r="A56" s="9" t="inlineStr">
        <is>
          <t>지배주주 순이익</t>
        </is>
      </c>
      <c r="B56" s="10" t="n"/>
      <c r="C56" s="11" t="n">
        <v>3273</v>
      </c>
      <c r="D56" s="12" t="n">
        <v>4172</v>
      </c>
      <c r="E56" s="12" t="n">
        <v>2094</v>
      </c>
      <c r="F56" s="12" t="n">
        <v>5503</v>
      </c>
      <c r="G56" s="12" t="n">
        <v>5590</v>
      </c>
      <c r="H56" s="12" t="n">
        <v>2977</v>
      </c>
      <c r="I56" s="12" t="n">
        <v>6206</v>
      </c>
      <c r="J56" s="12" t="n">
        <v>3446</v>
      </c>
      <c r="K56" s="12" t="n">
        <v>4054</v>
      </c>
      <c r="L56" s="12" t="n">
        <v>4969</v>
      </c>
      <c r="M56" s="12" t="n">
        <v>4318</v>
      </c>
      <c r="N56" s="12" t="n">
        <v>989</v>
      </c>
      <c r="O56" s="11" t="n"/>
      <c r="P56" s="12" t="n">
        <v>2389</v>
      </c>
      <c r="Q56" s="12" t="n">
        <v>3847</v>
      </c>
      <c r="R56" s="12" t="n">
        <v>954</v>
      </c>
      <c r="S56" s="12" t="n">
        <v>2154</v>
      </c>
      <c r="T56" s="12" t="n">
        <v>5873</v>
      </c>
      <c r="U56" s="12" t="n">
        <v>16229</v>
      </c>
      <c r="V56" s="12" t="n">
        <v>13016</v>
      </c>
      <c r="W56" s="12" t="n">
        <v>20276</v>
      </c>
      <c r="X56" s="12" t="n">
        <v>16787</v>
      </c>
      <c r="Y56" s="11">
        <f>IF(OR(Y55="",Y57=""),"",IFERROR(Y55*Y57,""))</f>
        <v/>
      </c>
      <c r="Z56" s="12">
        <f>IF(OR(Z55="",Z57=""),"",IFERROR(Z55*Z57,""))</f>
        <v/>
      </c>
      <c r="AA56" s="12">
        <f>IF(OR(AA55="",AA57=""),"",IFERROR(AA55*AA57,""))</f>
        <v/>
      </c>
      <c r="AB56" s="12">
        <f>IF(OR(AB55="",AB57=""),"",IFERROR(AB55*AB57,""))</f>
        <v/>
      </c>
      <c r="AC56" s="12">
        <f>IF(OR(AC55="",AC57=""),"",IFERROR(AC55*AC57,""))</f>
        <v/>
      </c>
    </row>
    <row r="57">
      <c r="A57" s="13" t="inlineStr">
        <is>
          <t>지배주주 순이익률</t>
        </is>
      </c>
      <c r="B57" s="10" t="inlineStr">
        <is>
          <t>MW 기본 100%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1</v>
      </c>
      <c r="Z57" s="26" t="n">
        <v>1</v>
      </c>
      <c r="AA57" s="26" t="n">
        <v>1</v>
      </c>
      <c r="AB57" s="26" t="n">
        <v>1</v>
      </c>
      <c r="AC57" s="26" t="n">
        <v>1</v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(2026.10.26)</t>
        </is>
      </c>
      <c r="B59" s="27" t="n">
        <v>924.4</v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>
        <v>161564801</v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IF(O29="","",O29)</f>
        <v/>
      </c>
      <c r="P62" s="15">
        <f>IF(P29="","",P29)</f>
        <v/>
      </c>
      <c r="Q62" s="15">
        <f>IF(Q29="","",Q29)</f>
        <v/>
      </c>
      <c r="R62" s="15">
        <f>IF(R29="","",R29)</f>
        <v/>
      </c>
      <c r="S62" s="15">
        <f>IF(S29="","",S29)</f>
        <v/>
      </c>
      <c r="T62" s="15">
        <f>IF(T29="","",T29)</f>
        <v/>
      </c>
      <c r="U62" s="15">
        <f>IF(U29="","",U29)</f>
        <v/>
      </c>
      <c r="V62" s="15">
        <f>IF(V29="","",V29)</f>
        <v/>
      </c>
      <c r="W62" s="15">
        <f>IF(W29="","",W29)</f>
        <v/>
      </c>
      <c r="X62" s="15">
        <f>IF(X29="","",X29)</f>
        <v/>
      </c>
      <c r="Y62" s="14">
        <f>IF(Y29="","",Y29)</f>
        <v/>
      </c>
      <c r="Z62" s="15">
        <f>IF(Z29="","",Z29)</f>
        <v/>
      </c>
      <c r="AA62" s="15">
        <f>IF(AA29="","",AA29)</f>
        <v/>
      </c>
      <c r="AB62" s="15">
        <f>IF(AB29="","",AB29)</f>
        <v/>
      </c>
      <c r="AC62" s="15">
        <f>IF(AC29="","",AC29)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IF(OR(P56="",O56=""),"",IFERROR(P56/O56-1,""))</f>
        <v/>
      </c>
      <c r="Q63" s="15">
        <f>IF(OR(Q56="",P56=""),"",IFERROR(Q56/P56-1,""))</f>
        <v/>
      </c>
      <c r="R63" s="15">
        <f>IF(OR(R56="",Q56=""),"",IFERROR(R56/Q56-1,""))</f>
        <v/>
      </c>
      <c r="S63" s="15">
        <f>IF(OR(S56="",R56=""),"",IFERROR(S56/R56-1,""))</f>
        <v/>
      </c>
      <c r="T63" s="15">
        <f>IF(OR(T56="",S56=""),"",IFERROR(T56/S56-1,""))</f>
        <v/>
      </c>
      <c r="U63" s="15">
        <f>IF(OR(U56="",T56=""),"",IFERROR(U56/T56-1,""))</f>
        <v/>
      </c>
      <c r="V63" s="15">
        <f>IF(OR(V56="",U56=""),"",IFERROR(V56/U56-1,""))</f>
        <v/>
      </c>
      <c r="W63" s="15">
        <f>IF(OR(W56="",V56=""),"",IFERROR(W56/V56-1,""))</f>
        <v/>
      </c>
      <c r="X63" s="15">
        <f>IF(OR(X56="",W56=""),"",IFERROR(X56/W56-1,""))</f>
        <v/>
      </c>
      <c r="Y63" s="14">
        <f>IF(OR(Y56="",X56=""),"",IFERROR(Y56/X56-1,""))</f>
        <v/>
      </c>
      <c r="Z63" s="15">
        <f>IF(OR(Z56="",Y56=""),"",IFERROR(Z56/Y56-1,""))</f>
        <v/>
      </c>
      <c r="AA63" s="15">
        <f>IF(OR(AA56="",Z56=""),"",IFERROR(AA56/Z56-1,""))</f>
        <v/>
      </c>
      <c r="AB63" s="15">
        <f>IF(OR(AB56="",AA56=""),"",IFERROR(AB56/AA56-1,""))</f>
        <v/>
      </c>
      <c r="AC63" s="15">
        <f>IF(OR(AC56="",AB56=""),"",IFERROR(AC56/AB56-1,""))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IF(OR($B$61="",X56=""),"",IFERROR($B$61/X56,""))</f>
        <v/>
      </c>
      <c r="Y64" s="30">
        <f>IF(OR($B$61="",Y56=""),"",IFERROR($B$61/Y56,""))</f>
        <v/>
      </c>
      <c r="Z64" s="31">
        <f>IF(OR($B$61="",Z56=""),"",IFERROR($B$61/Z56,""))</f>
        <v/>
      </c>
      <c r="AA64" s="31">
        <f>IF(OR($B$61="",AA56=""),"",IFERROR($B$61/AA56,""))</f>
        <v/>
      </c>
      <c r="AB64" s="31">
        <f>IF(OR($B$61="",AB56=""),"",IFERROR($B$61/AB56,""))</f>
        <v/>
      </c>
      <c r="AC64" s="31">
        <f>IF(OR($B$61="",AC56=""),"",IFERROR($B$61/AC56,""))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IF(OR(O56="",$B$60=""),"",IFERROR(O56*1000000.0/$B$60,""))</f>
        <v/>
      </c>
      <c r="P66" s="29">
        <f>IF(OR(P56="",$B$60=""),"",IFERROR(P56*1000000.0/$B$60,""))</f>
        <v/>
      </c>
      <c r="Q66" s="29">
        <f>IF(OR(Q56="",$B$60=""),"",IFERROR(Q56*1000000.0/$B$60,""))</f>
        <v/>
      </c>
      <c r="R66" s="29">
        <f>IF(OR(R56="",$B$60=""),"",IFERROR(R56*1000000.0/$B$60,""))</f>
        <v/>
      </c>
      <c r="S66" s="29">
        <f>IF(OR(S56="",$B$60=""),"",IFERROR(S56*1000000.0/$B$60,""))</f>
        <v/>
      </c>
      <c r="T66" s="29">
        <f>IF(OR(T56="",$B$60=""),"",IFERROR(T56*1000000.0/$B$60,""))</f>
        <v/>
      </c>
      <c r="U66" s="29">
        <f>IF(OR(U56="",$B$60=""),"",IFERROR(U56*1000000.0/$B$60,""))</f>
        <v/>
      </c>
      <c r="V66" s="29">
        <f>IF(OR(V56="",$B$60=""),"",IFERROR(V56*1000000.0/$B$60,""))</f>
        <v/>
      </c>
      <c r="W66" s="29">
        <f>IF(OR(W56="",$B$60=""),"",IFERROR(W56*1000000.0/$B$60,""))</f>
        <v/>
      </c>
      <c r="X66" s="29">
        <f>IF(OR(X56="",$B$60=""),"",IFERROR(X56*1000000.0/$B$60,""))</f>
        <v/>
      </c>
      <c r="Y66" s="28">
        <f>IF(OR(Y56="",$B$60=""),"",IFERROR(Y56*1000000.0/$B$60,""))</f>
        <v/>
      </c>
      <c r="Z66" s="29">
        <f>IF(OR(Z56="",$B$60=""),"",IFERROR(Z56*1000000.0/$B$60,""))</f>
        <v/>
      </c>
      <c r="AA66" s="29">
        <f>IF(OR(AA56="",$B$60=""),"",IFERROR(AA56*1000000.0/$B$60,""))</f>
        <v/>
      </c>
      <c r="AB66" s="29">
        <f>IF(OR(AB56="",$B$60=""),"",IFERROR(AB56*1000000.0/$B$60,""))</f>
        <v/>
      </c>
      <c r="AC66" s="29">
        <f>IF(OR(AC56="",$B$60=""),"",IFERROR(AC56*1000000.0/$B$60,""))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IF(OR(Y56="",Y65=""),"",IFERROR(Y56*Y65,""))</f>
        <v/>
      </c>
      <c r="Z78" s="20">
        <f>IF(OR(Z56="",Z65=""),"",IFERROR(Z56*Z65,""))</f>
        <v/>
      </c>
      <c r="AA78" s="20">
        <f>IF(OR(AA56="",AA65=""),"",IFERROR(AA56*AA65,""))</f>
        <v/>
      </c>
      <c r="AB78" s="20">
        <f>IF(OR(AB56="",AB65=""),"",IFERROR(AB56*AB65,""))</f>
        <v/>
      </c>
      <c r="AC78" s="20">
        <f>IF(OR(AC56="",AC65=""),"",IFERROR(AC56*AC65,""))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 2026.10.26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2024.2Q</t>
        </is>
      </c>
      <c r="D89" s="5" t="inlineStr">
        <is>
          <t>2024.3Q</t>
        </is>
      </c>
      <c r="E89" s="5" t="inlineStr">
        <is>
          <t>2024.4Q</t>
        </is>
      </c>
      <c r="F89" s="5" t="inlineStr">
        <is>
          <t>2025.1Q</t>
        </is>
      </c>
      <c r="G89" s="5" t="inlineStr">
        <is>
          <t>2025.2Q</t>
        </is>
      </c>
      <c r="H89" s="5" t="inlineStr">
        <is>
          <t>2025.3Q</t>
        </is>
      </c>
      <c r="I89" s="5" t="inlineStr">
        <is>
          <t>2025.4Q</t>
        </is>
      </c>
      <c r="J89" s="5" t="inlineStr">
        <is>
          <t>2026.1Q</t>
        </is>
      </c>
      <c r="K89" s="5" t="inlineStr">
        <is>
          <t>2026.2Q</t>
        </is>
      </c>
      <c r="L89" s="5" t="inlineStr">
        <is>
          <t>2026.3Q</t>
        </is>
      </c>
      <c r="M89" s="5" t="inlineStr">
        <is>
          <t>2026.4Q</t>
        </is>
      </c>
      <c r="N89" s="5" t="inlineStr">
        <is>
          <t>2027.1Q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9" t="inlineStr">
        <is>
          <t>매출수익</t>
        </is>
      </c>
      <c r="C90" s="12" t="n">
        <v>89106</v>
      </c>
      <c r="D90" s="12" t="n">
        <v>92554</v>
      </c>
      <c r="E90" s="12" t="n">
        <v>92201</v>
      </c>
      <c r="F90" s="12" t="n">
        <v>87769</v>
      </c>
      <c r="G90" s="12" t="n">
        <v>88805</v>
      </c>
      <c r="H90" s="12" t="n">
        <v>93900</v>
      </c>
      <c r="I90" s="12" t="n">
        <v>99834</v>
      </c>
      <c r="J90" s="12" t="n">
        <v>80197</v>
      </c>
      <c r="K90" s="12" t="n">
        <v>89124</v>
      </c>
      <c r="L90" s="12" t="n">
        <v>89306</v>
      </c>
      <c r="M90" s="12" t="n">
        <v>98238</v>
      </c>
      <c r="N90" s="12" t="n">
        <v>88799</v>
      </c>
      <c r="T90" s="12" t="n">
        <v>87462</v>
      </c>
      <c r="U90" s="12" t="n">
        <v>89413</v>
      </c>
      <c r="V90" s="12" t="n">
        <v>92201</v>
      </c>
      <c r="W90" s="12" t="n">
        <v>99834</v>
      </c>
      <c r="X90" s="12" t="n">
        <v>98238</v>
      </c>
    </row>
    <row r="91">
      <c r="A91" s="43" t="inlineStr">
        <is>
          <t>YoY</t>
        </is>
      </c>
      <c r="B91" s="3" t="inlineStr">
        <is>
          <t>전년 같은 분기·전년 대비</t>
        </is>
      </c>
      <c r="G91" s="15">
        <f>IF(OR(G90="",C90=""),"",IF(C90&lt;=0,"",IFERROR(G90/C90-1,"")))</f>
        <v/>
      </c>
      <c r="H91" s="15">
        <f>IF(OR(H90="",D90=""),"",IF(D90&lt;=0,"",IFERROR(H90/D90-1,"")))</f>
        <v/>
      </c>
      <c r="I91" s="15">
        <f>IF(OR(I90="",E90=""),"",IF(E90&lt;=0,"",IFERROR(I90/E90-1,"")))</f>
        <v/>
      </c>
      <c r="J91" s="15">
        <f>IF(OR(J90="",F90=""),"",IF(F90&lt;=0,"",IFERROR(J90/F90-1,"")))</f>
        <v/>
      </c>
      <c r="K91" s="15">
        <f>IF(OR(K90="",G90=""),"",IF(G90&lt;=0,"",IFERROR(K90/G90-1,"")))</f>
        <v/>
      </c>
      <c r="L91" s="15">
        <f>IF(OR(L90="",H90=""),"",IF(H90&lt;=0,"",IFERROR(L90/H90-1,"")))</f>
        <v/>
      </c>
      <c r="M91" s="15">
        <f>IF(OR(M90="",I90=""),"",IF(I90&lt;=0,"",IFERROR(M90/I90-1,"")))</f>
        <v/>
      </c>
      <c r="N91" s="15">
        <f>IF(OR(N90="",J90=""),"",IF(J90&lt;=0,"",IFERROR(N90/J90-1,"")))</f>
        <v/>
      </c>
      <c r="T91" s="15">
        <f>IF(OR(T90="",S90=""),"",IF(S90&lt;=0,"",IFERROR(T90/S90-1,"")))</f>
        <v/>
      </c>
      <c r="U91" s="15">
        <f>IF(OR(U90="",T90=""),"",IF(T90&lt;=0,"",IFERROR(U90/T90-1,"")))</f>
        <v/>
      </c>
      <c r="V91" s="15">
        <f>IF(OR(V90="",U90=""),"",IF(U90&lt;=0,"",IFERROR(V90/U90-1,"")))</f>
        <v/>
      </c>
      <c r="W91" s="15">
        <f>IF(OR(W90="",V90=""),"",IF(V90&lt;=0,"",IFERROR(W90/V90-1,"")))</f>
        <v/>
      </c>
      <c r="X91" s="15">
        <f>IF(OR(X90="",W90=""),"",IF(W90&lt;=0,"",IFERROR(X90/W90-1,"")))</f>
        <v/>
      </c>
    </row>
    <row r="92">
      <c r="A92" s="18" t="inlineStr">
        <is>
          <t>매출원가</t>
        </is>
      </c>
      <c r="C92" s="20" t="n">
        <v>62271</v>
      </c>
      <c r="D92" s="20" t="n">
        <v>64526</v>
      </c>
      <c r="E92" s="20" t="n">
        <v>64514</v>
      </c>
      <c r="F92" s="20" t="n">
        <v>59403</v>
      </c>
      <c r="G92" s="20" t="n">
        <v>59087</v>
      </c>
      <c r="H92" s="20" t="n">
        <v>63820</v>
      </c>
      <c r="I92" s="20" t="n">
        <v>69057</v>
      </c>
      <c r="J92" s="20" t="n">
        <v>55661</v>
      </c>
      <c r="K92" s="20" t="n">
        <v>62095</v>
      </c>
      <c r="L92" s="20" t="n">
        <v>61653</v>
      </c>
      <c r="M92" s="20" t="n">
        <v>67062</v>
      </c>
      <c r="N92" s="20" t="n">
        <v>63846</v>
      </c>
      <c r="T92" s="20" t="n">
        <v>62653</v>
      </c>
      <c r="U92" s="20" t="n">
        <v>63233</v>
      </c>
      <c r="V92" s="20" t="n">
        <v>64514</v>
      </c>
      <c r="W92" s="20" t="n">
        <v>69057</v>
      </c>
      <c r="X92" s="20" t="n">
        <v>67062</v>
      </c>
    </row>
    <row r="93">
      <c r="A93" s="9" t="inlineStr">
        <is>
          <t>매출총이익</t>
        </is>
      </c>
      <c r="C93" s="12" t="n">
        <v>26834</v>
      </c>
      <c r="D93" s="12" t="n">
        <v>28028</v>
      </c>
      <c r="E93" s="12" t="n">
        <v>27687</v>
      </c>
      <c r="F93" s="12" t="n">
        <v>28366</v>
      </c>
      <c r="G93" s="12" t="n">
        <v>29718</v>
      </c>
      <c r="H93" s="12" t="n">
        <v>30080</v>
      </c>
      <c r="I93" s="12" t="n">
        <v>30776</v>
      </c>
      <c r="J93" s="12" t="n">
        <v>24536</v>
      </c>
      <c r="K93" s="12" t="n">
        <v>27029</v>
      </c>
      <c r="L93" s="12" t="n">
        <v>27652</v>
      </c>
      <c r="M93" s="12" t="n">
        <v>31176</v>
      </c>
      <c r="N93" s="12" t="n">
        <v>24953</v>
      </c>
      <c r="T93" s="12" t="n">
        <v>24809</v>
      </c>
      <c r="U93" s="12" t="n">
        <v>26180</v>
      </c>
      <c r="V93" s="12" t="n">
        <v>27687</v>
      </c>
      <c r="W93" s="12" t="n">
        <v>30776</v>
      </c>
      <c r="X93" s="12" t="n">
        <v>31176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IF(OR(G93="",C93=""),"",IF(C93&lt;=0,"",IFERROR(G93/C93-1,"")))</f>
        <v/>
      </c>
      <c r="H94" s="15">
        <f>IF(OR(H93="",D93=""),"",IF(D93&lt;=0,"",IFERROR(H93/D93-1,"")))</f>
        <v/>
      </c>
      <c r="I94" s="15">
        <f>IF(OR(I93="",E93=""),"",IF(E93&lt;=0,"",IFERROR(I93/E93-1,"")))</f>
        <v/>
      </c>
      <c r="J94" s="15">
        <f>IF(OR(J93="",F93=""),"",IF(F93&lt;=0,"",IFERROR(J93/F93-1,"")))</f>
        <v/>
      </c>
      <c r="K94" s="15">
        <f>IF(OR(K93="",G93=""),"",IF(G93&lt;=0,"",IFERROR(K93/G93-1,"")))</f>
        <v/>
      </c>
      <c r="L94" s="15">
        <f>IF(OR(L93="",H93=""),"",IF(H93&lt;=0,"",IFERROR(L93/H93-1,"")))</f>
        <v/>
      </c>
      <c r="M94" s="15">
        <f>IF(OR(M93="",I93=""),"",IF(I93&lt;=0,"",IFERROR(M93/I93-1,"")))</f>
        <v/>
      </c>
      <c r="N94" s="15">
        <f>IF(OR(N93="",J93=""),"",IF(J93&lt;=0,"",IFERROR(N93/J93-1,"")))</f>
        <v/>
      </c>
      <c r="T94" s="15">
        <f>IF(OR(T93="",S93=""),"",IF(S93&lt;=0,"",IFERROR(T93/S93-1,"")))</f>
        <v/>
      </c>
      <c r="U94" s="15">
        <f>IF(OR(U93="",T93=""),"",IF(T93&lt;=0,"",IFERROR(U93/T93-1,"")))</f>
        <v/>
      </c>
      <c r="V94" s="15">
        <f>IF(OR(V93="",U93=""),"",IF(U93&lt;=0,"",IFERROR(V93/U93-1,"")))</f>
        <v/>
      </c>
      <c r="W94" s="15">
        <f>IF(OR(W93="",V93=""),"",IF(V93&lt;=0,"",IFERROR(W93/V93-1,"")))</f>
        <v/>
      </c>
      <c r="X94" s="15">
        <f>IF(OR(X93="",W93=""),"",IF(W93&lt;=0,"",IFERROR(X93/W93-1,"")))</f>
        <v/>
      </c>
    </row>
    <row r="95">
      <c r="A95" s="18" t="inlineStr">
        <is>
          <t>판매비와 관리비</t>
        </is>
      </c>
      <c r="C95" s="20" t="n">
        <v>21371</v>
      </c>
      <c r="D95" s="20" t="n">
        <v>22516</v>
      </c>
      <c r="E95" s="20" t="n">
        <v>23992</v>
      </c>
      <c r="F95" s="20" t="n">
        <v>22390</v>
      </c>
      <c r="G95" s="20" t="n">
        <v>22678</v>
      </c>
      <c r="H95" s="20" t="n">
        <v>24528</v>
      </c>
      <c r="I95" s="20" t="n">
        <v>24037</v>
      </c>
      <c r="J95" s="20" t="n">
        <v>21484</v>
      </c>
      <c r="K95" s="20" t="n">
        <v>21761</v>
      </c>
      <c r="L95" s="20" t="n">
        <v>22652</v>
      </c>
      <c r="M95" s="20" t="n">
        <v>23616</v>
      </c>
      <c r="N95" s="20" t="n">
        <v>22945</v>
      </c>
      <c r="T95" s="20" t="n">
        <v>17937</v>
      </c>
      <c r="U95" s="20" t="n">
        <v>21560</v>
      </c>
      <c r="V95" s="20" t="n">
        <v>23992</v>
      </c>
      <c r="W95" s="20" t="n">
        <v>24037</v>
      </c>
      <c r="X95" s="20" t="n">
        <v>23616</v>
      </c>
    </row>
    <row r="96">
      <c r="A96" s="18" t="inlineStr">
        <is>
          <t>Other Income</t>
        </is>
      </c>
      <c r="C96" s="20" t="n">
        <v>968</v>
      </c>
      <c r="D96" s="20" t="n">
        <v>475</v>
      </c>
      <c r="E96" s="20" t="n">
        <v>2857</v>
      </c>
      <c r="F96" s="20" t="n">
        <v>284</v>
      </c>
      <c r="G96" s="20" t="n">
        <v>1197</v>
      </c>
      <c r="H96" s="20" t="n">
        <v>379</v>
      </c>
      <c r="I96" s="20" t="n">
        <v>369</v>
      </c>
      <c r="J96" s="20" t="n">
        <v>1446</v>
      </c>
      <c r="K96" s="20" t="n">
        <v>357</v>
      </c>
      <c r="L96" s="20" t="n">
        <v>976</v>
      </c>
      <c r="M96" s="20" t="n">
        <v>188</v>
      </c>
      <c r="N96" s="20" t="n">
        <v>229</v>
      </c>
      <c r="T96" s="20" t="n">
        <v>-110</v>
      </c>
      <c r="U96" s="20" t="n">
        <v>-221</v>
      </c>
      <c r="V96" s="20" t="n">
        <v>2857</v>
      </c>
      <c r="W96" s="20" t="n">
        <v>369</v>
      </c>
      <c r="X96" s="20" t="n">
        <v>188</v>
      </c>
    </row>
    <row r="97">
      <c r="A97" s="18" t="inlineStr">
        <is>
          <t>기타비용</t>
        </is>
      </c>
      <c r="C97" s="20" t="n">
        <v>1554</v>
      </c>
      <c r="D97" s="20" t="n">
        <v>881</v>
      </c>
      <c r="E97" s="20" t="n">
        <v>3280</v>
      </c>
      <c r="F97" s="20" t="n">
        <v>139</v>
      </c>
      <c r="G97" s="20" t="n">
        <v>1053</v>
      </c>
      <c r="H97" s="20" t="n">
        <v>2400</v>
      </c>
      <c r="I97" s="20" t="n">
        <v>2255</v>
      </c>
      <c r="J97" s="20" t="n">
        <v>215</v>
      </c>
      <c r="K97" s="20" t="n">
        <v>206</v>
      </c>
      <c r="L97" s="20" t="n">
        <v>672</v>
      </c>
      <c r="M97" s="20" t="n">
        <v>1960</v>
      </c>
      <c r="N97" s="20" t="n">
        <v>700</v>
      </c>
      <c r="T97" s="20" t="n">
        <v>1306</v>
      </c>
      <c r="U97" s="20" t="n">
        <v>2326</v>
      </c>
      <c r="V97" s="20" t="n">
        <v>3280</v>
      </c>
      <c r="W97" s="20" t="n">
        <v>2255</v>
      </c>
      <c r="X97" s="20" t="n">
        <v>1960</v>
      </c>
    </row>
    <row r="98">
      <c r="A98" s="18" t="inlineStr">
        <is>
          <t>Foreign Exchange Gain Loss</t>
        </is>
      </c>
      <c r="C98" s="20" t="n">
        <v>-83</v>
      </c>
      <c r="D98" s="20" t="n">
        <v>70</v>
      </c>
      <c r="E98" s="20" t="n">
        <v>-29</v>
      </c>
      <c r="F98" s="20" t="n">
        <v>-96</v>
      </c>
      <c r="G98" s="20" t="n">
        <v>347</v>
      </c>
      <c r="H98" s="20" t="n">
        <v>-303</v>
      </c>
      <c r="I98" s="20" t="n">
        <v>154</v>
      </c>
      <c r="J98" s="20" t="n">
        <v>72</v>
      </c>
      <c r="K98" s="20" t="n">
        <v>-140</v>
      </c>
      <c r="L98" s="20" t="n">
        <v>-67</v>
      </c>
      <c r="M98" s="20" t="n">
        <v>-119</v>
      </c>
      <c r="N98" s="20" t="n">
        <v>-10</v>
      </c>
      <c r="T98" s="20" t="n">
        <v>-27</v>
      </c>
      <c r="U98" s="20" t="n">
        <v>55</v>
      </c>
      <c r="V98" s="20" t="n">
        <v>-29</v>
      </c>
      <c r="W98" s="20" t="n">
        <v>154</v>
      </c>
      <c r="X98" s="20" t="n">
        <v>-119</v>
      </c>
    </row>
    <row r="99">
      <c r="A99" s="18" t="inlineStr">
        <is>
          <t>영업이익</t>
        </is>
      </c>
      <c r="C99" s="20" t="n">
        <v>4795</v>
      </c>
      <c r="D99" s="20" t="n">
        <v>5175</v>
      </c>
      <c r="E99" s="20" t="n">
        <v>3244</v>
      </c>
      <c r="F99" s="20" t="n">
        <v>6022</v>
      </c>
      <c r="G99" s="20" t="n">
        <v>7534</v>
      </c>
      <c r="H99" s="20" t="n">
        <v>3227</v>
      </c>
      <c r="I99" s="20" t="n">
        <v>5009</v>
      </c>
      <c r="J99" s="20" t="n">
        <v>4356</v>
      </c>
      <c r="K99" s="20" t="n">
        <v>5277</v>
      </c>
      <c r="L99" s="20" t="n">
        <v>5237</v>
      </c>
      <c r="M99" s="20" t="n">
        <v>5670</v>
      </c>
      <c r="N99" s="20" t="n">
        <v>1526</v>
      </c>
      <c r="T99" s="20" t="n">
        <v>5429</v>
      </c>
      <c r="U99" s="20" t="n">
        <v>2128</v>
      </c>
      <c r="V99" s="20" t="n">
        <v>3244</v>
      </c>
      <c r="W99" s="20" t="n">
        <v>5009</v>
      </c>
      <c r="X99" s="20" t="n">
        <v>5670</v>
      </c>
    </row>
    <row r="100">
      <c r="A100" s="43" t="inlineStr">
        <is>
          <t>OPM</t>
        </is>
      </c>
      <c r="B100" s="3" t="inlineStr">
        <is>
          <t>영업이익 ÷ 매출</t>
        </is>
      </c>
      <c r="C100" s="15">
        <f>IF(OR(C99="",C90=""),"",IF(C90&lt;=0,"",IFERROR(C99/C90,"")))</f>
        <v/>
      </c>
      <c r="D100" s="15">
        <f>IF(OR(D99="",D90=""),"",IF(D90&lt;=0,"",IFERROR(D99/D90,"")))</f>
        <v/>
      </c>
      <c r="E100" s="15">
        <f>IF(OR(E99="",E90=""),"",IF(E90&lt;=0,"",IFERROR(E99/E90,"")))</f>
        <v/>
      </c>
      <c r="F100" s="15">
        <f>IF(OR(F99="",F90=""),"",IF(F90&lt;=0,"",IFERROR(F99/F90,"")))</f>
        <v/>
      </c>
      <c r="G100" s="15">
        <f>IF(OR(G99="",G90=""),"",IF(G90&lt;=0,"",IFERROR(G99/G90,"")))</f>
        <v/>
      </c>
      <c r="H100" s="15">
        <f>IF(OR(H99="",H90=""),"",IF(H90&lt;=0,"",IFERROR(H99/H90,"")))</f>
        <v/>
      </c>
      <c r="I100" s="15">
        <f>IF(OR(I99="",I90=""),"",IF(I90&lt;=0,"",IFERROR(I99/I90,"")))</f>
        <v/>
      </c>
      <c r="J100" s="15">
        <f>IF(OR(J99="",J90=""),"",IF(J90&lt;=0,"",IFERROR(J99/J90,"")))</f>
        <v/>
      </c>
      <c r="K100" s="15">
        <f>IF(OR(K99="",K90=""),"",IF(K90&lt;=0,"",IFERROR(K99/K90,"")))</f>
        <v/>
      </c>
      <c r="L100" s="15">
        <f>IF(OR(L99="",L90=""),"",IF(L90&lt;=0,"",IFERROR(L99/L90,"")))</f>
        <v/>
      </c>
      <c r="M100" s="15">
        <f>IF(OR(M99="",M90=""),"",IF(M90&lt;=0,"",IFERROR(M99/M90,"")))</f>
        <v/>
      </c>
      <c r="N100" s="15">
        <f>IF(OR(N99="",N90=""),"",IF(N90&lt;=0,"",IFERROR(N99/N90,"")))</f>
        <v/>
      </c>
      <c r="T100" s="15">
        <f>IF(OR(T99="",T90=""),"",IF(T90&lt;=0,"",IFERROR(T99/T90,"")))</f>
        <v/>
      </c>
      <c r="U100" s="15">
        <f>IF(OR(U99="",U90=""),"",IF(U90&lt;=0,"",IFERROR(U99/U90,"")))</f>
        <v/>
      </c>
      <c r="V100" s="15">
        <f>IF(OR(V99="",V90=""),"",IF(V90&lt;=0,"",IFERROR(V99/V90,"")))</f>
        <v/>
      </c>
      <c r="W100" s="15">
        <f>IF(OR(W99="",W90=""),"",IF(W90&lt;=0,"",IFERROR(W99/W90,"")))</f>
        <v/>
      </c>
      <c r="X100" s="15">
        <f>IF(OR(X99="",X90=""),"",IF(X90&lt;=0,"",IFERROR(X99/X90,"")))</f>
        <v/>
      </c>
    </row>
    <row r="101">
      <c r="A101" s="43" t="inlineStr">
        <is>
          <t>YoY</t>
        </is>
      </c>
      <c r="B101" s="3" t="inlineStr">
        <is>
          <t>전년 같은 분기·전년 대비</t>
        </is>
      </c>
      <c r="G101" s="15">
        <f>IF(OR(G99="",C99=""),"",IF(C99&lt;=0,"",IFERROR(G99/C99-1,"")))</f>
        <v/>
      </c>
      <c r="H101" s="15">
        <f>IF(OR(H99="",D99=""),"",IF(D99&lt;=0,"",IFERROR(H99/D99-1,"")))</f>
        <v/>
      </c>
      <c r="I101" s="15">
        <f>IF(OR(I99="",E99=""),"",IF(E99&lt;=0,"",IFERROR(I99/E99-1,"")))</f>
        <v/>
      </c>
      <c r="J101" s="15">
        <f>IF(OR(J99="",F99=""),"",IF(F99&lt;=0,"",IFERROR(J99/F99-1,"")))</f>
        <v/>
      </c>
      <c r="K101" s="15">
        <f>IF(OR(K99="",G99=""),"",IF(G99&lt;=0,"",IFERROR(K99/G99-1,"")))</f>
        <v/>
      </c>
      <c r="L101" s="15">
        <f>IF(OR(L99="",H99=""),"",IF(H99&lt;=0,"",IFERROR(L99/H99-1,"")))</f>
        <v/>
      </c>
      <c r="M101" s="15">
        <f>IF(OR(M99="",I99=""),"",IF(I99&lt;=0,"",IFERROR(M99/I99-1,"")))</f>
        <v/>
      </c>
      <c r="N101" s="15">
        <f>IF(OR(N99="",J99=""),"",IF(J99&lt;=0,"",IFERROR(N99/J99-1,"")))</f>
        <v/>
      </c>
      <c r="T101" s="15">
        <f>IF(OR(T99="",S99=""),"",IF(S99&lt;=0,"",IFERROR(T99/S99-1,"")))</f>
        <v/>
      </c>
      <c r="U101" s="15">
        <f>IF(OR(U99="",T99=""),"",IF(T99&lt;=0,"",IFERROR(U99/T99-1,"")))</f>
        <v/>
      </c>
      <c r="V101" s="15">
        <f>IF(OR(V99="",U99=""),"",IF(U99&lt;=0,"",IFERROR(V99/U99-1,"")))</f>
        <v/>
      </c>
      <c r="W101" s="15">
        <f>IF(OR(W99="",V99=""),"",IF(V99&lt;=0,"",IFERROR(W99/V99-1,"")))</f>
        <v/>
      </c>
      <c r="X101" s="15">
        <f>IF(OR(X99="",W99=""),"",IF(W99&lt;=0,"",IFERROR(X99/W99-1,"")))</f>
        <v/>
      </c>
    </row>
    <row r="102">
      <c r="A102" s="18" t="inlineStr">
        <is>
          <t>금융수익</t>
        </is>
      </c>
      <c r="C102" s="20" t="n">
        <v>209</v>
      </c>
      <c r="D102" s="20" t="n">
        <v>216</v>
      </c>
      <c r="E102" s="20" t="n">
        <v>281</v>
      </c>
      <c r="F102" s="20" t="n">
        <v>298</v>
      </c>
      <c r="G102" s="20" t="n">
        <v>286</v>
      </c>
      <c r="H102" s="20" t="n">
        <v>265</v>
      </c>
      <c r="I102" s="20" t="n">
        <v>321</v>
      </c>
      <c r="J102" s="20" t="n">
        <v>293</v>
      </c>
      <c r="K102" s="20" t="n">
        <v>223</v>
      </c>
      <c r="L102" s="20" t="n">
        <v>207</v>
      </c>
      <c r="M102" s="20" t="n">
        <v>274</v>
      </c>
      <c r="N102" s="20" t="n">
        <v>281</v>
      </c>
      <c r="T102" s="20" t="n">
        <v>207</v>
      </c>
      <c r="U102" s="20" t="n">
        <v>140</v>
      </c>
      <c r="V102" s="20" t="n">
        <v>281</v>
      </c>
      <c r="W102" s="20" t="n">
        <v>321</v>
      </c>
      <c r="X102" s="20" t="n">
        <v>274</v>
      </c>
    </row>
    <row r="103">
      <c r="A103" s="18" t="inlineStr">
        <is>
          <t>금융비용</t>
        </is>
      </c>
      <c r="C103" s="20" t="n">
        <v>382</v>
      </c>
      <c r="D103" s="20" t="n">
        <v>408</v>
      </c>
      <c r="E103" s="20" t="n">
        <v>369</v>
      </c>
      <c r="F103" s="20" t="n">
        <v>360</v>
      </c>
      <c r="G103" s="20" t="n">
        <v>337</v>
      </c>
      <c r="H103" s="20" t="n">
        <v>348</v>
      </c>
      <c r="I103" s="20" t="n">
        <v>397</v>
      </c>
      <c r="J103" s="20" t="n">
        <v>328</v>
      </c>
      <c r="K103" s="20" t="n">
        <v>333</v>
      </c>
      <c r="L103" s="20" t="n">
        <v>326</v>
      </c>
      <c r="M103" s="20" t="n">
        <v>460</v>
      </c>
      <c r="N103" s="20" t="n">
        <v>477</v>
      </c>
      <c r="T103" s="20" t="n">
        <v>252</v>
      </c>
      <c r="U103" s="20" t="n">
        <v>280</v>
      </c>
      <c r="V103" s="20" t="n">
        <v>369</v>
      </c>
      <c r="W103" s="20" t="n">
        <v>397</v>
      </c>
      <c r="X103" s="20" t="n">
        <v>460</v>
      </c>
    </row>
    <row r="104">
      <c r="A104" s="18" t="inlineStr">
        <is>
          <t>Share Of Profit Loss Of Investments Accounted For Using Equity Method</t>
        </is>
      </c>
      <c r="C104" s="20" t="n">
        <v>245</v>
      </c>
      <c r="D104" s="20" t="n">
        <v>209</v>
      </c>
      <c r="E104" s="20" t="n">
        <v>157</v>
      </c>
      <c r="F104" s="20" t="n">
        <v>989</v>
      </c>
      <c r="G104" s="20" t="n">
        <v>41</v>
      </c>
      <c r="H104" s="20" t="n">
        <v>659</v>
      </c>
      <c r="I104" s="20" t="n">
        <v>279</v>
      </c>
      <c r="J104" s="20" t="n">
        <v>569</v>
      </c>
      <c r="K104" s="20" t="n">
        <v>234</v>
      </c>
      <c r="L104" s="20" t="n">
        <v>613</v>
      </c>
      <c r="M104" s="20" t="n">
        <v>153</v>
      </c>
      <c r="N104" s="20" t="n">
        <v>493</v>
      </c>
      <c r="T104" s="20" t="n">
        <v>53</v>
      </c>
      <c r="U104" s="20" t="n">
        <v>-171</v>
      </c>
      <c r="V104" s="20" t="n">
        <v>157</v>
      </c>
      <c r="W104" s="20" t="n">
        <v>279</v>
      </c>
      <c r="X104" s="20" t="n">
        <v>153</v>
      </c>
    </row>
    <row r="105">
      <c r="A105" s="9" t="inlineStr">
        <is>
          <t>법인세비용차감전 중간이익</t>
        </is>
      </c>
      <c r="C105" s="12" t="n">
        <v>4867</v>
      </c>
      <c r="D105" s="12" t="n">
        <v>5192</v>
      </c>
      <c r="E105" s="12" t="n">
        <v>3313</v>
      </c>
      <c r="F105" s="12" t="n">
        <v>6950</v>
      </c>
      <c r="G105" s="12" t="n">
        <v>7523</v>
      </c>
      <c r="H105" s="12" t="n">
        <v>3803</v>
      </c>
      <c r="I105" s="12" t="n">
        <v>5214</v>
      </c>
      <c r="J105" s="12" t="n">
        <v>4891</v>
      </c>
      <c r="K105" s="12" t="n">
        <v>5401</v>
      </c>
      <c r="L105" s="12" t="n">
        <v>5730</v>
      </c>
      <c r="M105" s="12" t="n">
        <v>5638</v>
      </c>
      <c r="N105" s="12" t="n">
        <v>1823</v>
      </c>
      <c r="T105" s="12" t="n">
        <v>5438</v>
      </c>
      <c r="U105" s="12" t="n">
        <v>1818</v>
      </c>
      <c r="V105" s="12" t="n">
        <v>3313</v>
      </c>
      <c r="W105" s="12" t="n">
        <v>5214</v>
      </c>
      <c r="X105" s="12" t="n">
        <v>5638</v>
      </c>
    </row>
    <row r="106">
      <c r="A106" s="18" t="inlineStr">
        <is>
          <t>Income Tax Expense</t>
        </is>
      </c>
      <c r="C106" s="20" t="n">
        <v>1413</v>
      </c>
      <c r="D106" s="20" t="n">
        <v>689</v>
      </c>
      <c r="E106" s="20" t="n">
        <v>991</v>
      </c>
      <c r="F106" s="20" t="n">
        <v>1146</v>
      </c>
      <c r="G106" s="20" t="n">
        <v>1717</v>
      </c>
      <c r="H106" s="20" t="n">
        <v>699</v>
      </c>
      <c r="I106" s="20" t="n">
        <v>-1096</v>
      </c>
      <c r="J106" s="20" t="n">
        <v>1325</v>
      </c>
      <c r="K106" s="20" t="n">
        <v>1232</v>
      </c>
      <c r="L106" s="20" t="n">
        <v>809</v>
      </c>
      <c r="M106" s="20" t="n">
        <v>1328</v>
      </c>
      <c r="N106" s="20" t="n">
        <v>793</v>
      </c>
      <c r="T106" s="20" t="n">
        <v>-16</v>
      </c>
      <c r="U106" s="20" t="n">
        <v>1002</v>
      </c>
      <c r="V106" s="20" t="n">
        <v>991</v>
      </c>
      <c r="W106" s="20" t="n">
        <v>-1096</v>
      </c>
      <c r="X106" s="20" t="n">
        <v>1328</v>
      </c>
    </row>
    <row r="107">
      <c r="A107" s="9" t="inlineStr">
        <is>
          <t>중간이익</t>
        </is>
      </c>
      <c r="C107" s="12" t="n">
        <v>3455</v>
      </c>
      <c r="D107" s="12" t="n">
        <v>4502</v>
      </c>
      <c r="E107" s="12" t="n">
        <v>2323</v>
      </c>
      <c r="F107" s="12" t="n">
        <v>5803</v>
      </c>
      <c r="G107" s="12" t="n">
        <v>5807</v>
      </c>
      <c r="H107" s="12" t="n">
        <v>3104</v>
      </c>
      <c r="I107" s="12" t="n">
        <v>6309</v>
      </c>
      <c r="J107" s="12" t="n">
        <v>3566</v>
      </c>
      <c r="K107" s="12" t="n">
        <v>4169</v>
      </c>
      <c r="L107" s="12" t="n">
        <v>4921</v>
      </c>
      <c r="M107" s="12" t="n">
        <v>4309</v>
      </c>
      <c r="N107" s="12" t="n">
        <v>1030</v>
      </c>
      <c r="T107" s="12" t="n">
        <v>5454</v>
      </c>
      <c r="U107" s="12" t="n">
        <v>815</v>
      </c>
      <c r="V107" s="12" t="n">
        <v>2323</v>
      </c>
      <c r="W107" s="12" t="n">
        <v>6309</v>
      </c>
      <c r="X107" s="12" t="n">
        <v>4309</v>
      </c>
    </row>
    <row r="108">
      <c r="A108" s="18" t="inlineStr">
        <is>
          <t>Basic Earnings Loss Per Share</t>
        </is>
      </c>
      <c r="C108" s="20" t="n">
        <v>2.12e-05</v>
      </c>
      <c r="D108" s="20" t="n">
        <v>2.72e-05</v>
      </c>
      <c r="E108" s="20" t="n">
        <v>1.410000000000001e-05</v>
      </c>
      <c r="F108" s="20" t="n">
        <v>3.65e-05</v>
      </c>
      <c r="G108" s="20" t="n">
        <v>3.705e-05</v>
      </c>
      <c r="H108" s="20" t="n">
        <v>1.988000000000001e-05</v>
      </c>
      <c r="I108" s="20" t="n">
        <v>4.173999999999998e-05</v>
      </c>
      <c r="J108" s="20" t="n">
        <v>2.338e-05</v>
      </c>
      <c r="K108" s="20" t="n">
        <v>2.759e-05</v>
      </c>
      <c r="L108" s="20" t="n">
        <v>3.407e-05</v>
      </c>
      <c r="M108" s="20" t="n">
        <v>3.016999999999999e-05</v>
      </c>
      <c r="N108" s="20" t="n">
        <v>7e-06</v>
      </c>
      <c r="T108" s="20" t="n">
        <v>3.281e-05</v>
      </c>
      <c r="U108" s="20" t="n">
        <v>4.379999999999995e-06</v>
      </c>
      <c r="V108" s="20" t="n">
        <v>1.410000000000001e-05</v>
      </c>
      <c r="W108" s="20" t="n">
        <v>4.173999999999998e-05</v>
      </c>
      <c r="X108" s="20" t="n">
        <v>3.016999999999999e-05</v>
      </c>
    </row>
    <row r="109">
      <c r="A109" s="18" t="inlineStr">
        <is>
          <t>Diluted Earnings Loss Per Share</t>
        </is>
      </c>
      <c r="C109" s="20" t="n">
        <v>2.109e-05</v>
      </c>
      <c r="D109" s="20" t="n">
        <v>2.702e-05</v>
      </c>
      <c r="E109" s="20" t="n">
        <v>1.396000000000001e-05</v>
      </c>
      <c r="F109" s="20" t="n">
        <v>3.624e-05</v>
      </c>
      <c r="G109" s="20" t="n">
        <v>3.677e-05</v>
      </c>
      <c r="H109" s="20" t="n">
        <v>1.969e-05</v>
      </c>
      <c r="I109" s="20" t="n">
        <v>4.136999999999999e-05</v>
      </c>
      <c r="J109" s="20" t="n">
        <v>2.319e-05</v>
      </c>
      <c r="K109" s="20" t="n">
        <v>2.765e-05</v>
      </c>
      <c r="L109" s="20" t="n">
        <v>3.321e-05</v>
      </c>
      <c r="M109" s="20" t="n">
        <v>2.757000000000001e-05</v>
      </c>
      <c r="N109" s="20" t="n">
        <v>6.8e-06</v>
      </c>
      <c r="T109" s="20" t="n">
        <v>3.278e-05</v>
      </c>
      <c r="U109" s="20" t="n">
        <v>4.349999999999994e-06</v>
      </c>
      <c r="V109" s="20" t="n">
        <v>1.396000000000001e-05</v>
      </c>
      <c r="W109" s="20" t="n">
        <v>4.136999999999999e-05</v>
      </c>
      <c r="X109" s="20" t="n">
        <v>2.757000000000001e-05</v>
      </c>
    </row>
    <row r="110">
      <c r="A110" s="9" t="inlineStr">
        <is>
          <t>Profit Loss Attributable To Owners Of Parent</t>
        </is>
      </c>
      <c r="C110" s="12" t="n">
        <v>3273</v>
      </c>
      <c r="D110" s="12" t="n">
        <v>4172</v>
      </c>
      <c r="E110" s="12" t="n">
        <v>2094</v>
      </c>
      <c r="F110" s="12" t="n">
        <v>5503</v>
      </c>
      <c r="G110" s="12" t="n">
        <v>5590</v>
      </c>
      <c r="H110" s="12" t="n">
        <v>2977</v>
      </c>
      <c r="I110" s="12" t="n">
        <v>6206</v>
      </c>
      <c r="J110" s="12" t="n">
        <v>3446</v>
      </c>
      <c r="K110" s="12" t="n">
        <v>4054</v>
      </c>
      <c r="L110" s="12" t="n">
        <v>4969</v>
      </c>
      <c r="M110" s="12" t="n">
        <v>4318</v>
      </c>
      <c r="N110" s="12" t="n">
        <v>989</v>
      </c>
      <c r="T110" s="12" t="n">
        <v>5370</v>
      </c>
      <c r="U110" s="12" t="n">
        <v>716</v>
      </c>
      <c r="V110" s="12" t="n">
        <v>2094</v>
      </c>
      <c r="W110" s="12" t="n">
        <v>6206</v>
      </c>
      <c r="X110" s="12" t="n">
        <v>4318</v>
      </c>
    </row>
    <row r="111">
      <c r="A111" s="43" t="inlineStr">
        <is>
          <t>YoY</t>
        </is>
      </c>
      <c r="B111" s="3" t="inlineStr">
        <is>
          <t>전년 같은 분기·전년 대비</t>
        </is>
      </c>
      <c r="G111" s="15">
        <f>IF(OR(G110="",C110=""),"",IF(C110&lt;=0,"",IFERROR(G110/C110-1,"")))</f>
        <v/>
      </c>
      <c r="H111" s="15">
        <f>IF(OR(H110="",D110=""),"",IF(D110&lt;=0,"",IFERROR(H110/D110-1,"")))</f>
        <v/>
      </c>
      <c r="I111" s="15">
        <f>IF(OR(I110="",E110=""),"",IF(E110&lt;=0,"",IFERROR(I110/E110-1,"")))</f>
        <v/>
      </c>
      <c r="J111" s="15">
        <f>IF(OR(J110="",F110=""),"",IF(F110&lt;=0,"",IFERROR(J110/F110-1,"")))</f>
        <v/>
      </c>
      <c r="K111" s="15">
        <f>IF(OR(K110="",G110=""),"",IF(G110&lt;=0,"",IFERROR(K110/G110-1,"")))</f>
        <v/>
      </c>
      <c r="L111" s="15">
        <f>IF(OR(L110="",H110=""),"",IF(H110&lt;=0,"",IFERROR(L110/H110-1,"")))</f>
        <v/>
      </c>
      <c r="M111" s="15">
        <f>IF(OR(M110="",I110=""),"",IF(I110&lt;=0,"",IFERROR(M110/I110-1,"")))</f>
        <v/>
      </c>
      <c r="N111" s="15">
        <f>IF(OR(N110="",J110=""),"",IF(J110&lt;=0,"",IFERROR(N110/J110-1,"")))</f>
        <v/>
      </c>
      <c r="T111" s="15">
        <f>IF(OR(T110="",S110=""),"",IF(S110&lt;=0,"",IFERROR(T110/S110-1,"")))</f>
        <v/>
      </c>
      <c r="U111" s="15">
        <f>IF(OR(U110="",T110=""),"",IF(T110&lt;=0,"",IFERROR(U110/T110-1,"")))</f>
        <v/>
      </c>
      <c r="V111" s="15">
        <f>IF(OR(V110="",U110=""),"",IF(U110&lt;=0,"",IFERROR(V110/U110-1,"")))</f>
        <v/>
      </c>
      <c r="W111" s="15">
        <f>IF(OR(W110="",V110=""),"",IF(V110&lt;=0,"",IFERROR(W110/V110-1,"")))</f>
        <v/>
      </c>
      <c r="X111" s="15">
        <f>IF(OR(X110="",W110=""),"",IF(W110&lt;=0,"",IFERROR(X110/W110-1,"")))</f>
        <v/>
      </c>
    </row>
    <row r="112">
      <c r="A112" s="9" t="inlineStr">
        <is>
          <t>비지배지분</t>
        </is>
      </c>
      <c r="C112" s="12" t="n">
        <v>182</v>
      </c>
      <c r="D112" s="12" t="n">
        <v>329</v>
      </c>
      <c r="E112" s="12" t="n">
        <v>229</v>
      </c>
      <c r="F112" s="12" t="n">
        <v>300</v>
      </c>
      <c r="G112" s="12" t="n">
        <v>216</v>
      </c>
      <c r="H112" s="12" t="n">
        <v>128</v>
      </c>
      <c r="I112" s="12" t="n">
        <v>103</v>
      </c>
      <c r="J112" s="12" t="n">
        <v>120</v>
      </c>
      <c r="K112" s="12" t="n">
        <v>114</v>
      </c>
      <c r="L112" s="12" t="n">
        <v>-48</v>
      </c>
      <c r="M112" s="12" t="n">
        <v>-9</v>
      </c>
      <c r="N112" s="12" t="n">
        <v>40</v>
      </c>
      <c r="T112" s="12" t="n">
        <v>85</v>
      </c>
      <c r="U112" s="12" t="n">
        <v>100</v>
      </c>
      <c r="V112" s="12" t="n">
        <v>229</v>
      </c>
      <c r="W112" s="12" t="n">
        <v>103</v>
      </c>
      <c r="X112" s="12" t="n">
        <v>-9</v>
      </c>
    </row>
    <row r="114">
      <c r="A114" s="16" t="inlineStr">
        <is>
          <t>포괄손익 · 전 항목</t>
        </is>
      </c>
      <c r="B114" s="42" t="inlineStr">
        <is>
          <t>분기 = 3개월 단독</t>
        </is>
      </c>
      <c r="C114" s="16" t="n"/>
      <c r="D114" s="16" t="n"/>
      <c r="E114" s="16" t="n"/>
      <c r="F114" s="16" t="n"/>
      <c r="G114" s="16" t="n"/>
      <c r="H114" s="16" t="n"/>
      <c r="I114" s="16" t="n"/>
      <c r="J114" s="16" t="n"/>
      <c r="K114" s="16" t="n"/>
      <c r="L114" s="16" t="n"/>
      <c r="M114" s="16" t="n"/>
      <c r="N114" s="16" t="n"/>
      <c r="O114" s="16" t="n"/>
      <c r="P114" s="16" t="n"/>
      <c r="Q114" s="16" t="n"/>
      <c r="R114" s="16" t="n"/>
      <c r="S114" s="16" t="n"/>
      <c r="T114" s="16" t="n"/>
      <c r="U114" s="16" t="n"/>
      <c r="V114" s="16" t="n"/>
      <c r="W114" s="16" t="n"/>
      <c r="X114" s="16" t="n"/>
      <c r="Y114" s="16" t="n"/>
      <c r="Z114" s="16" t="n"/>
      <c r="AA114" s="16" t="n"/>
      <c r="AB114" s="16" t="n"/>
      <c r="AC114" s="16" t="n"/>
    </row>
    <row r="115">
      <c r="A115" s="5" t="inlineStr">
        <is>
          <t>항목</t>
        </is>
      </c>
      <c r="B115" s="5" t="inlineStr">
        <is>
          <t>참고</t>
        </is>
      </c>
      <c r="C115" s="5" t="inlineStr">
        <is>
          <t>2024.2Q</t>
        </is>
      </c>
      <c r="D115" s="5" t="inlineStr">
        <is>
          <t>2024.3Q</t>
        </is>
      </c>
      <c r="E115" s="5" t="inlineStr">
        <is>
          <t>2024.4Q</t>
        </is>
      </c>
      <c r="F115" s="5" t="inlineStr">
        <is>
          <t>2025.1Q</t>
        </is>
      </c>
      <c r="G115" s="5" t="inlineStr">
        <is>
          <t>2025.2Q</t>
        </is>
      </c>
      <c r="H115" s="5" t="inlineStr">
        <is>
          <t>2025.3Q</t>
        </is>
      </c>
      <c r="I115" s="5" t="inlineStr">
        <is>
          <t>2025.4Q</t>
        </is>
      </c>
      <c r="J115" s="5" t="inlineStr">
        <is>
          <t>2026.1Q</t>
        </is>
      </c>
      <c r="K115" s="5" t="inlineStr">
        <is>
          <t>2026.2Q</t>
        </is>
      </c>
      <c r="L115" s="5" t="inlineStr">
        <is>
          <t>2026.3Q</t>
        </is>
      </c>
      <c r="M115" s="5" t="inlineStr">
        <is>
          <t>2026.4Q</t>
        </is>
      </c>
      <c r="N115" s="5" t="inlineStr">
        <is>
          <t>2027.1Q</t>
        </is>
      </c>
      <c r="O115" s="5" t="inlineStr">
        <is>
          <t>2017</t>
        </is>
      </c>
      <c r="P115" s="5" t="inlineStr">
        <is>
          <t>2018</t>
        </is>
      </c>
      <c r="Q115" s="5" t="inlineStr">
        <is>
          <t>2019</t>
        </is>
      </c>
      <c r="R115" s="5" t="inlineStr">
        <is>
          <t>2020</t>
        </is>
      </c>
      <c r="S115" s="5" t="inlineStr">
        <is>
          <t>2021</t>
        </is>
      </c>
      <c r="T115" s="5" t="inlineStr">
        <is>
          <t>2022</t>
        </is>
      </c>
      <c r="U115" s="5" t="inlineStr">
        <is>
          <t>2023</t>
        </is>
      </c>
      <c r="V115" s="5" t="inlineStr">
        <is>
          <t>2024</t>
        </is>
      </c>
      <c r="W115" s="5" t="inlineStr">
        <is>
          <t>2025</t>
        </is>
      </c>
      <c r="X115" s="5" t="inlineStr">
        <is>
          <t>2026</t>
        </is>
      </c>
      <c r="Y115" s="5" t="inlineStr">
        <is>
          <t>2027(MW)</t>
        </is>
      </c>
      <c r="Z115" s="5" t="inlineStr">
        <is>
          <t>2028(MW)</t>
        </is>
      </c>
      <c r="AA115" s="5" t="inlineStr">
        <is>
          <t>2029(MW)</t>
        </is>
      </c>
      <c r="AB115" s="5" t="inlineStr">
        <is>
          <t>2030(MW)</t>
        </is>
      </c>
      <c r="AC115" s="5" t="inlineStr">
        <is>
          <t>2031(MW)</t>
        </is>
      </c>
    </row>
    <row r="116">
      <c r="A116" s="9" t="inlineStr">
        <is>
          <t>중간이익</t>
        </is>
      </c>
      <c r="C116" s="12" t="n">
        <v>3455</v>
      </c>
      <c r="D116" s="12" t="n">
        <v>4502</v>
      </c>
      <c r="E116" s="12" t="n">
        <v>2323</v>
      </c>
      <c r="F116" s="12" t="n">
        <v>5803</v>
      </c>
      <c r="G116" s="12" t="n">
        <v>5807</v>
      </c>
      <c r="H116" s="12" t="n">
        <v>3104</v>
      </c>
      <c r="I116" s="12" t="n">
        <v>6309</v>
      </c>
      <c r="J116" s="12" t="n">
        <v>3566</v>
      </c>
      <c r="K116" s="12" t="n">
        <v>4169</v>
      </c>
      <c r="L116" s="12" t="n">
        <v>4921</v>
      </c>
      <c r="M116" s="12" t="n">
        <v>4309</v>
      </c>
      <c r="N116" s="12" t="n">
        <v>1030</v>
      </c>
      <c r="T116" s="12" t="n">
        <v>5454</v>
      </c>
      <c r="U116" s="12" t="n">
        <v>815</v>
      </c>
      <c r="V116" s="12" t="n">
        <v>2323</v>
      </c>
      <c r="W116" s="12" t="n">
        <v>6309</v>
      </c>
      <c r="X116" s="12" t="n">
        <v>4309</v>
      </c>
    </row>
    <row r="117">
      <c r="A117" s="18" t="inlineStr">
        <is>
          <t>기타포괄손익-공정가치 측정 금융자산</t>
        </is>
      </c>
      <c r="C117" s="20" t="n">
        <v>107</v>
      </c>
      <c r="D117" s="20" t="n">
        <v>89</v>
      </c>
      <c r="E117" s="20" t="n">
        <v>-21</v>
      </c>
      <c r="F117" s="20" t="n">
        <v>-252</v>
      </c>
      <c r="G117" s="20" t="n">
        <v>-174</v>
      </c>
      <c r="H117" s="20" t="n">
        <v>72</v>
      </c>
      <c r="I117" s="20" t="n">
        <v>157</v>
      </c>
      <c r="J117" s="20" t="n">
        <v>481</v>
      </c>
      <c r="K117" s="20" t="n">
        <v>395</v>
      </c>
      <c r="L117" s="20" t="n">
        <v>313</v>
      </c>
      <c r="M117" s="20" t="n">
        <v>148</v>
      </c>
      <c r="N117" s="20" t="n">
        <v>-409</v>
      </c>
      <c r="T117" s="20" t="n">
        <v>-201</v>
      </c>
      <c r="U117" s="20" t="n">
        <v>-134</v>
      </c>
      <c r="V117" s="20" t="n">
        <v>-21</v>
      </c>
      <c r="W117" s="20" t="n">
        <v>157</v>
      </c>
      <c r="X117" s="20" t="n">
        <v>148</v>
      </c>
    </row>
    <row r="118">
      <c r="A118" s="18" t="inlineStr">
        <is>
          <t>Share Of Other Comprehensive Income Of Investments Accounted For Using Equity Method Net Of Tax Items That Will Not Be Reclassified To Profit Or Loss OCI</t>
        </is>
      </c>
      <c r="C118" s="20" t="n">
        <v>-10</v>
      </c>
      <c r="D118" s="20" t="n">
        <v>0</v>
      </c>
      <c r="E118" s="20" t="n">
        <v>0</v>
      </c>
      <c r="F118" s="20" t="n">
        <v>0</v>
      </c>
      <c r="G118" s="20" t="n">
        <v>0</v>
      </c>
      <c r="H118" s="20" t="n">
        <v>0</v>
      </c>
      <c r="I118" s="20" t="n">
        <v>0</v>
      </c>
      <c r="T118" s="20" t="n">
        <v>1</v>
      </c>
      <c r="U118" s="20" t="n">
        <v>-2</v>
      </c>
      <c r="V118" s="20" t="n">
        <v>0</v>
      </c>
      <c r="W118" s="20" t="n">
        <v>0</v>
      </c>
    </row>
    <row r="119">
      <c r="A119" s="18" t="inlineStr">
        <is>
          <t>Total Of Items That Will Not Be Reclassified To Profit Or Loss OCI</t>
        </is>
      </c>
      <c r="C119" s="20" t="n">
        <v>97</v>
      </c>
      <c r="D119" s="20" t="n">
        <v>89</v>
      </c>
      <c r="E119" s="20" t="n">
        <v>115</v>
      </c>
      <c r="F119" s="20" t="n">
        <v>-252</v>
      </c>
      <c r="G119" s="20" t="n">
        <v>-174</v>
      </c>
      <c r="H119" s="20" t="n">
        <v>72</v>
      </c>
      <c r="I119" s="20" t="n">
        <v>526</v>
      </c>
      <c r="J119" s="20" t="n">
        <v>481</v>
      </c>
      <c r="K119" s="20" t="n">
        <v>395</v>
      </c>
      <c r="L119" s="20" t="n">
        <v>313</v>
      </c>
      <c r="M119" s="20" t="n">
        <v>461</v>
      </c>
      <c r="N119" s="20" t="n">
        <v>-409</v>
      </c>
      <c r="T119" s="20" t="n">
        <v>364</v>
      </c>
      <c r="U119" s="20" t="n">
        <v>106</v>
      </c>
      <c r="V119" s="20" t="n">
        <v>115</v>
      </c>
      <c r="W119" s="20" t="n">
        <v>526</v>
      </c>
      <c r="X119" s="20" t="n">
        <v>461</v>
      </c>
    </row>
    <row r="120">
      <c r="A120" s="18" t="inlineStr">
        <is>
          <t>Exchange Differences On Translation Of Foreign Operations Net Of Tax Items That May Be Reclassified To Profit Or Loss OCI</t>
        </is>
      </c>
      <c r="C120" s="20" t="n">
        <v>2182</v>
      </c>
      <c r="D120" s="20" t="n">
        <v>-3980</v>
      </c>
      <c r="E120" s="20" t="n">
        <v>5235</v>
      </c>
      <c r="F120" s="20" t="n">
        <v>6828</v>
      </c>
      <c r="G120" s="20" t="n">
        <v>-11182</v>
      </c>
      <c r="H120" s="20" t="n">
        <v>8292</v>
      </c>
      <c r="I120" s="20" t="n">
        <v>-5400</v>
      </c>
      <c r="J120" s="20" t="n">
        <v>-1074</v>
      </c>
      <c r="K120" s="20" t="n">
        <v>3082</v>
      </c>
      <c r="L120" s="20" t="n">
        <v>6169</v>
      </c>
      <c r="M120" s="20" t="n">
        <v>1998</v>
      </c>
      <c r="N120" s="20" t="n">
        <v>2220</v>
      </c>
      <c r="T120" s="20" t="n">
        <v>5387</v>
      </c>
      <c r="U120" s="20" t="n">
        <v>1532</v>
      </c>
      <c r="V120" s="20" t="n">
        <v>5235</v>
      </c>
      <c r="W120" s="20" t="n">
        <v>-5400</v>
      </c>
      <c r="X120" s="20" t="n">
        <v>1998</v>
      </c>
    </row>
    <row r="121">
      <c r="A121" s="18" t="inlineStr">
        <is>
          <t>현금흐름 위험회피</t>
        </is>
      </c>
      <c r="C121" s="20" t="n">
        <v>644</v>
      </c>
      <c r="D121" s="20" t="n">
        <v>-1604</v>
      </c>
      <c r="E121" s="20" t="n">
        <v>679</v>
      </c>
      <c r="F121" s="20" t="n">
        <v>-100</v>
      </c>
      <c r="G121" s="20" t="n">
        <v>-1242</v>
      </c>
      <c r="H121" s="20" t="n">
        <v>614</v>
      </c>
      <c r="I121" s="20" t="n">
        <v>-672</v>
      </c>
      <c r="J121" s="20" t="n">
        <v>-719</v>
      </c>
      <c r="K121" s="20" t="n">
        <v>486</v>
      </c>
      <c r="L121" s="20" t="n">
        <v>536</v>
      </c>
      <c r="M121" s="20" t="n">
        <v>409</v>
      </c>
      <c r="N121" s="20" t="n">
        <v>640</v>
      </c>
      <c r="T121" s="20" t="n">
        <v>1135</v>
      </c>
      <c r="U121" s="20" t="n">
        <v>-725</v>
      </c>
      <c r="V121" s="20" t="n">
        <v>679</v>
      </c>
      <c r="W121" s="20" t="n">
        <v>-672</v>
      </c>
      <c r="X121" s="20" t="n">
        <v>409</v>
      </c>
    </row>
    <row r="122">
      <c r="A122" s="18" t="inlineStr">
        <is>
          <t>Share Of Other Comprehensive Income Of Investments Accounted For Using Equity Method Net Of Tax Items That May Be Reclassified To Profit Or Loss OCI</t>
        </is>
      </c>
      <c r="C122" s="20" t="n">
        <v>47</v>
      </c>
      <c r="D122" s="20" t="n">
        <v>111</v>
      </c>
      <c r="E122" s="20" t="n">
        <v>-2</v>
      </c>
      <c r="F122" s="20" t="n">
        <v>500</v>
      </c>
      <c r="G122" s="20" t="n">
        <v>-445</v>
      </c>
      <c r="H122" s="20" t="n">
        <v>-200</v>
      </c>
      <c r="I122" s="20" t="n">
        <v>-366</v>
      </c>
      <c r="J122" s="20" t="n">
        <v>240</v>
      </c>
      <c r="K122" s="20" t="n">
        <v>-113</v>
      </c>
      <c r="L122" s="20" t="n">
        <v>446</v>
      </c>
      <c r="M122" s="20" t="n">
        <v>179</v>
      </c>
      <c r="N122" s="20" t="n">
        <v>57</v>
      </c>
      <c r="T122" s="20" t="n">
        <v>275</v>
      </c>
      <c r="U122" s="20" t="n">
        <v>-15</v>
      </c>
      <c r="V122" s="20" t="n">
        <v>-2</v>
      </c>
      <c r="W122" s="20" t="n">
        <v>-366</v>
      </c>
      <c r="X122" s="20" t="n">
        <v>179</v>
      </c>
    </row>
    <row r="123">
      <c r="A123" s="18" t="inlineStr">
        <is>
          <t>Total Of Items That May Be Reclassified To Profit Or Loss OCI</t>
        </is>
      </c>
      <c r="C123" s="20" t="n">
        <v>2872</v>
      </c>
      <c r="D123" s="20" t="n">
        <v>-5474</v>
      </c>
      <c r="E123" s="20" t="n">
        <v>5913</v>
      </c>
      <c r="F123" s="20" t="n">
        <v>7228</v>
      </c>
      <c r="G123" s="20" t="n">
        <v>-12869</v>
      </c>
      <c r="H123" s="20" t="n">
        <v>8706</v>
      </c>
      <c r="I123" s="20" t="n">
        <v>-6439</v>
      </c>
      <c r="J123" s="20" t="n">
        <v>-1552</v>
      </c>
      <c r="K123" s="20" t="n">
        <v>3454</v>
      </c>
      <c r="L123" s="20" t="n">
        <v>7153</v>
      </c>
      <c r="M123" s="20" t="n">
        <v>2586</v>
      </c>
      <c r="N123" s="20" t="n">
        <v>2917</v>
      </c>
      <c r="T123" s="20" t="n">
        <v>6796</v>
      </c>
      <c r="U123" s="20" t="n">
        <v>791</v>
      </c>
      <c r="V123" s="20" t="n">
        <v>5913</v>
      </c>
      <c r="W123" s="20" t="n">
        <v>-6439</v>
      </c>
      <c r="X123" s="20" t="n">
        <v>2586</v>
      </c>
    </row>
    <row r="124">
      <c r="A124" s="18" t="inlineStr">
        <is>
          <t>기타포괄손익 합계</t>
        </is>
      </c>
      <c r="C124" s="20" t="n">
        <v>2969</v>
      </c>
      <c r="D124" s="20" t="n">
        <v>-5385</v>
      </c>
      <c r="E124" s="20" t="n">
        <v>6029</v>
      </c>
      <c r="F124" s="20" t="n">
        <v>6975</v>
      </c>
      <c r="G124" s="20" t="n">
        <v>-13042</v>
      </c>
      <c r="H124" s="20" t="n">
        <v>8778</v>
      </c>
      <c r="I124" s="20" t="n">
        <v>-5912</v>
      </c>
      <c r="J124" s="20" t="n">
        <v>-1071</v>
      </c>
      <c r="K124" s="20" t="n">
        <v>3850</v>
      </c>
      <c r="L124" s="20" t="n">
        <v>7466</v>
      </c>
      <c r="M124" s="20" t="n">
        <v>3047</v>
      </c>
      <c r="N124" s="20" t="n">
        <v>2507</v>
      </c>
      <c r="T124" s="20" t="n">
        <v>7161</v>
      </c>
      <c r="U124" s="20" t="n">
        <v>898</v>
      </c>
      <c r="V124" s="20" t="n">
        <v>6029</v>
      </c>
      <c r="W124" s="20" t="n">
        <v>-5912</v>
      </c>
      <c r="X124" s="20" t="n">
        <v>3047</v>
      </c>
    </row>
    <row r="125">
      <c r="A125" s="9" t="inlineStr">
        <is>
          <t>포괄이익</t>
        </is>
      </c>
      <c r="C125" s="12" t="n">
        <v>6423</v>
      </c>
      <c r="D125" s="12" t="n">
        <v>-883</v>
      </c>
      <c r="E125" s="12" t="n">
        <v>8352</v>
      </c>
      <c r="F125" s="12" t="n">
        <v>12779</v>
      </c>
      <c r="G125" s="12" t="n">
        <v>-7237</v>
      </c>
      <c r="H125" s="12" t="n">
        <v>11883</v>
      </c>
      <c r="I125" s="12" t="n">
        <v>397</v>
      </c>
      <c r="J125" s="12" t="n">
        <v>2495</v>
      </c>
      <c r="K125" s="12" t="n">
        <v>8019</v>
      </c>
      <c r="L125" s="12" t="n">
        <v>12387</v>
      </c>
      <c r="M125" s="12" t="n">
        <v>7356</v>
      </c>
      <c r="N125" s="12" t="n">
        <v>3538</v>
      </c>
      <c r="T125" s="12" t="n">
        <v>12615</v>
      </c>
      <c r="U125" s="12" t="n">
        <v>1713</v>
      </c>
      <c r="V125" s="12" t="n">
        <v>8352</v>
      </c>
      <c r="W125" s="12" t="n">
        <v>397</v>
      </c>
      <c r="X125" s="12" t="n">
        <v>7356</v>
      </c>
    </row>
    <row r="126">
      <c r="A126" s="9" t="inlineStr">
        <is>
          <t>Comprehensive Income Attributable To Owners Of Parent</t>
        </is>
      </c>
      <c r="C126" s="12" t="n">
        <v>6043</v>
      </c>
      <c r="D126" s="12" t="n">
        <v>-919</v>
      </c>
      <c r="E126" s="12" t="n">
        <v>7718</v>
      </c>
      <c r="F126" s="12" t="n">
        <v>12065</v>
      </c>
      <c r="G126" s="12" t="n">
        <v>-6678</v>
      </c>
      <c r="H126" s="12" t="n">
        <v>11141</v>
      </c>
      <c r="I126" s="12" t="n">
        <v>652</v>
      </c>
      <c r="J126" s="12" t="n">
        <v>2563</v>
      </c>
      <c r="K126" s="12" t="n">
        <v>7767</v>
      </c>
      <c r="L126" s="12" t="n">
        <v>12110</v>
      </c>
      <c r="M126" s="12" t="n">
        <v>7216</v>
      </c>
      <c r="N126" s="12" t="n">
        <v>3379</v>
      </c>
      <c r="T126" s="12" t="n">
        <v>12252</v>
      </c>
      <c r="U126" s="12" t="n">
        <v>1568</v>
      </c>
      <c r="V126" s="12" t="n">
        <v>7718</v>
      </c>
      <c r="W126" s="12" t="n">
        <v>652</v>
      </c>
      <c r="X126" s="12" t="n">
        <v>7216</v>
      </c>
    </row>
    <row r="127">
      <c r="A127" s="9" t="inlineStr">
        <is>
          <t>비지배지분</t>
        </is>
      </c>
      <c r="C127" s="12" t="n">
        <v>380</v>
      </c>
      <c r="D127" s="12" t="n">
        <v>36</v>
      </c>
      <c r="E127" s="12" t="n">
        <v>634</v>
      </c>
      <c r="F127" s="12" t="n">
        <v>714</v>
      </c>
      <c r="G127" s="12" t="n">
        <v>-559</v>
      </c>
      <c r="H127" s="12" t="n">
        <v>742</v>
      </c>
      <c r="I127" s="12" t="n">
        <v>-256</v>
      </c>
      <c r="J127" s="12" t="n">
        <v>-68</v>
      </c>
      <c r="K127" s="12" t="n">
        <v>252</v>
      </c>
      <c r="L127" s="12" t="n">
        <v>276</v>
      </c>
      <c r="M127" s="12" t="n">
        <v>140</v>
      </c>
      <c r="N127" s="12" t="n">
        <v>159</v>
      </c>
      <c r="T127" s="12" t="n">
        <v>363</v>
      </c>
      <c r="U127" s="12" t="n">
        <v>146</v>
      </c>
      <c r="V127" s="12" t="n">
        <v>634</v>
      </c>
      <c r="W127" s="12" t="n">
        <v>-256</v>
      </c>
      <c r="X127" s="12" t="n">
        <v>140</v>
      </c>
    </row>
    <row r="129">
      <c r="A129" s="16" t="inlineStr">
        <is>
          <t>부문 · 전 항목</t>
        </is>
      </c>
      <c r="B129" s="42" t="inlineStr">
        <is>
          <t>부문 · 항목</t>
        </is>
      </c>
      <c r="C129" s="16" t="n"/>
      <c r="D129" s="16" t="n"/>
      <c r="E129" s="16" t="n"/>
      <c r="F129" s="16" t="n"/>
      <c r="G129" s="16" t="n"/>
      <c r="H129" s="16" t="n"/>
      <c r="I129" s="16" t="n"/>
      <c r="J129" s="16" t="n"/>
      <c r="K129" s="16" t="n"/>
      <c r="L129" s="16" t="n"/>
      <c r="M129" s="16" t="n"/>
      <c r="N129" s="16" t="n"/>
      <c r="O129" s="16" t="n"/>
      <c r="P129" s="16" t="n"/>
      <c r="Q129" s="16" t="n"/>
      <c r="R129" s="16" t="n"/>
      <c r="S129" s="16" t="n"/>
      <c r="T129" s="16" t="n"/>
      <c r="U129" s="16" t="n"/>
      <c r="V129" s="16" t="n"/>
      <c r="W129" s="16" t="n"/>
      <c r="X129" s="16" t="n"/>
      <c r="Y129" s="16" t="n"/>
      <c r="Z129" s="16" t="n"/>
      <c r="AA129" s="16" t="n"/>
      <c r="AB129" s="16" t="n"/>
      <c r="AC129" s="16" t="n"/>
    </row>
    <row r="130">
      <c r="A130" s="5" t="inlineStr">
        <is>
          <t>항목</t>
        </is>
      </c>
      <c r="B130" s="5" t="inlineStr">
        <is>
          <t>참고</t>
        </is>
      </c>
      <c r="C130" s="5" t="inlineStr">
        <is>
          <t>2024.2Q</t>
        </is>
      </c>
      <c r="D130" s="5" t="inlineStr">
        <is>
          <t>2024.3Q</t>
        </is>
      </c>
      <c r="E130" s="5" t="inlineStr">
        <is>
          <t>2024.4Q</t>
        </is>
      </c>
      <c r="F130" s="5" t="inlineStr">
        <is>
          <t>2025.1Q</t>
        </is>
      </c>
      <c r="G130" s="5" t="inlineStr">
        <is>
          <t>2025.2Q</t>
        </is>
      </c>
      <c r="H130" s="5" t="inlineStr">
        <is>
          <t>2025.3Q</t>
        </is>
      </c>
      <c r="I130" s="5" t="inlineStr">
        <is>
          <t>2025.4Q</t>
        </is>
      </c>
      <c r="J130" s="5" t="inlineStr">
        <is>
          <t>2026.1Q</t>
        </is>
      </c>
      <c r="K130" s="5" t="inlineStr">
        <is>
          <t>2026.2Q</t>
        </is>
      </c>
      <c r="L130" s="5" t="inlineStr">
        <is>
          <t>2026.3Q</t>
        </is>
      </c>
      <c r="M130" s="5" t="inlineStr">
        <is>
          <t>2026.4Q</t>
        </is>
      </c>
      <c r="N130" s="5" t="inlineStr">
        <is>
          <t>2027.1Q</t>
        </is>
      </c>
      <c r="O130" s="5" t="inlineStr">
        <is>
          <t>2017</t>
        </is>
      </c>
      <c r="P130" s="5" t="inlineStr">
        <is>
          <t>2018</t>
        </is>
      </c>
      <c r="Q130" s="5" t="inlineStr">
        <is>
          <t>2019</t>
        </is>
      </c>
      <c r="R130" s="5" t="inlineStr">
        <is>
          <t>2020</t>
        </is>
      </c>
      <c r="S130" s="5" t="inlineStr">
        <is>
          <t>2021</t>
        </is>
      </c>
      <c r="T130" s="5" t="inlineStr">
        <is>
          <t>2022</t>
        </is>
      </c>
      <c r="U130" s="5" t="inlineStr">
        <is>
          <t>2023</t>
        </is>
      </c>
      <c r="V130" s="5" t="inlineStr">
        <is>
          <t>2024</t>
        </is>
      </c>
      <c r="W130" s="5" t="inlineStr">
        <is>
          <t>2025</t>
        </is>
      </c>
      <c r="X130" s="5" t="inlineStr">
        <is>
          <t>2026</t>
        </is>
      </c>
      <c r="Y130" s="5" t="inlineStr">
        <is>
          <t>2027(MW)</t>
        </is>
      </c>
      <c r="Z130" s="5" t="inlineStr">
        <is>
          <t>2028(MW)</t>
        </is>
      </c>
      <c r="AA130" s="5" t="inlineStr">
        <is>
          <t>2029(MW)</t>
        </is>
      </c>
      <c r="AB130" s="5" t="inlineStr">
        <is>
          <t>2030(MW)</t>
        </is>
      </c>
      <c r="AC130" s="5" t="inlineStr">
        <is>
          <t>2031(MW)</t>
        </is>
      </c>
    </row>
    <row r="131">
      <c r="A131" s="18" t="inlineStr">
        <is>
          <t>부문 · Revenue From External Customers</t>
        </is>
      </c>
      <c r="C131" s="20" t="n">
        <v>23584</v>
      </c>
      <c r="D131" s="20" t="n">
        <v>24301</v>
      </c>
      <c r="E131" s="20" t="n">
        <v>23855</v>
      </c>
      <c r="F131" s="20" t="n">
        <v>24238</v>
      </c>
      <c r="G131" s="20" t="n">
        <v>24348</v>
      </c>
      <c r="H131" s="20" t="n">
        <v>24487</v>
      </c>
      <c r="I131" s="20" t="n">
        <v>26935</v>
      </c>
      <c r="J131" s="20" t="n">
        <v>18279</v>
      </c>
      <c r="K131" s="20" t="n">
        <v>25446</v>
      </c>
      <c r="L131" s="20" t="n">
        <v>23141</v>
      </c>
      <c r="M131" s="20" t="n">
        <v>27829</v>
      </c>
      <c r="N131" s="20" t="n">
        <v>18488</v>
      </c>
      <c r="V131" s="20" t="n">
        <v>23855</v>
      </c>
      <c r="W131" s="20" t="n">
        <v>26935</v>
      </c>
      <c r="X131" s="20" t="n">
        <v>27829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G132" s="15">
        <f>IF(OR(G131="",C131=""),"",IF(C131&lt;=0,"",IFERROR(G131/C131-1,"")))</f>
        <v/>
      </c>
      <c r="H132" s="15">
        <f>IF(OR(H131="",D131=""),"",IF(D131&lt;=0,"",IFERROR(H131/D131-1,"")))</f>
        <v/>
      </c>
      <c r="I132" s="15">
        <f>IF(OR(I131="",E131=""),"",IF(E131&lt;=0,"",IFERROR(I131/E131-1,"")))</f>
        <v/>
      </c>
      <c r="J132" s="15">
        <f>IF(OR(J131="",F131=""),"",IF(F131&lt;=0,"",IFERROR(J131/F131-1,"")))</f>
        <v/>
      </c>
      <c r="K132" s="15">
        <f>IF(OR(K131="",G131=""),"",IF(G131&lt;=0,"",IFERROR(K131/G131-1,"")))</f>
        <v/>
      </c>
      <c r="L132" s="15">
        <f>IF(OR(L131="",H131=""),"",IF(H131&lt;=0,"",IFERROR(L131/H131-1,"")))</f>
        <v/>
      </c>
      <c r="M132" s="15">
        <f>IF(OR(M131="",I131=""),"",IF(I131&lt;=0,"",IFERROR(M131/I131-1,"")))</f>
        <v/>
      </c>
      <c r="N132" s="15">
        <f>IF(OR(N131="",J131=""),"",IF(J131&lt;=0,"",IFERROR(N131/J131-1,"")))</f>
        <v/>
      </c>
      <c r="V132" s="15">
        <f>IF(OR(V131="",U131=""),"",IF(U131&lt;=0,"",IFERROR(V131/U131-1,"")))</f>
        <v/>
      </c>
      <c r="W132" s="15">
        <f>IF(OR(W131="",V131=""),"",IF(V131&lt;=0,"",IFERROR(W131/V131-1,"")))</f>
        <v/>
      </c>
      <c r="X132" s="15">
        <f>IF(OR(X131="",W131=""),"",IF(W131&lt;=0,"",IFERROR(X131/W131-1,"")))</f>
        <v/>
      </c>
    </row>
    <row r="133">
      <c r="A133" s="18" t="inlineStr">
        <is>
          <t>부문 · Revenue From External Customers</t>
        </is>
      </c>
      <c r="C133" s="20" t="n">
        <v>50551</v>
      </c>
      <c r="D133" s="20" t="n">
        <v>50920</v>
      </c>
      <c r="F133" s="20" t="n">
        <v>47939</v>
      </c>
      <c r="G133" s="20" t="n">
        <v>48770</v>
      </c>
      <c r="H133" s="20" t="n">
        <v>52090</v>
      </c>
      <c r="J133" s="20" t="n">
        <v>46580</v>
      </c>
      <c r="K133" s="20" t="n">
        <v>48852</v>
      </c>
      <c r="L133" s="20" t="n">
        <v>49006</v>
      </c>
      <c r="N133" s="20" t="n">
        <v>53468</v>
      </c>
    </row>
    <row r="134">
      <c r="A134" s="43" t="inlineStr">
        <is>
          <t>YoY</t>
        </is>
      </c>
      <c r="B134" s="3" t="inlineStr">
        <is>
          <t>전년 같은 분기·전년 대비</t>
        </is>
      </c>
      <c r="G134" s="15">
        <f>IF(OR(G133="",C133=""),"",IF(C133&lt;=0,"",IFERROR(G133/C133-1,"")))</f>
        <v/>
      </c>
      <c r="H134" s="15">
        <f>IF(OR(H133="",D133=""),"",IF(D133&lt;=0,"",IFERROR(H133/D133-1,"")))</f>
        <v/>
      </c>
      <c r="J134" s="15">
        <f>IF(OR(J133="",F133=""),"",IF(F133&lt;=0,"",IFERROR(J133/F133-1,"")))</f>
        <v/>
      </c>
      <c r="K134" s="15">
        <f>IF(OR(K133="",G133=""),"",IF(G133&lt;=0,"",IFERROR(K133/G133-1,"")))</f>
        <v/>
      </c>
      <c r="L134" s="15">
        <f>IF(OR(L133="",H133=""),"",IF(H133&lt;=0,"",IFERROR(L133/H133-1,"")))</f>
        <v/>
      </c>
      <c r="N134" s="15">
        <f>IF(OR(N133="",J133=""),"",IF(J133&lt;=0,"",IFERROR(N133/J133-1,"")))</f>
        <v/>
      </c>
    </row>
    <row r="135">
      <c r="A135" s="18" t="inlineStr">
        <is>
          <t xml:space="preserve">  · Revenue From External Customers</t>
        </is>
      </c>
      <c r="C135" s="20" t="n">
        <v>12988</v>
      </c>
      <c r="D135" s="20" t="n">
        <v>14986</v>
      </c>
      <c r="E135" s="20" t="n">
        <v>13983</v>
      </c>
      <c r="F135" s="20" t="n">
        <v>13440</v>
      </c>
      <c r="G135" s="20" t="n">
        <v>13191</v>
      </c>
      <c r="H135" s="20" t="n">
        <v>14822</v>
      </c>
      <c r="I135" s="20" t="n">
        <v>16483</v>
      </c>
      <c r="J135" s="20" t="n">
        <v>13234</v>
      </c>
      <c r="K135" s="20" t="n">
        <v>12632</v>
      </c>
      <c r="L135" s="20" t="n">
        <v>14300</v>
      </c>
      <c r="M135" s="20" t="n">
        <v>16653</v>
      </c>
      <c r="N135" s="20" t="n">
        <v>14446</v>
      </c>
      <c r="V135" s="20" t="n">
        <v>13983</v>
      </c>
      <c r="W135" s="20" t="n">
        <v>16483</v>
      </c>
      <c r="X135" s="20" t="n">
        <v>16653</v>
      </c>
    </row>
    <row r="136">
      <c r="A136" s="43" t="inlineStr">
        <is>
          <t>YoY</t>
        </is>
      </c>
      <c r="B136" s="3" t="inlineStr">
        <is>
          <t>전년 같은 분기·전년 대비</t>
        </is>
      </c>
      <c r="G136" s="15">
        <f>IF(OR(G135="",C135=""),"",IF(C135&lt;=0,"",IFERROR(G135/C135-1,"")))</f>
        <v/>
      </c>
      <c r="H136" s="15">
        <f>IF(OR(H135="",D135=""),"",IF(D135&lt;=0,"",IFERROR(H135/D135-1,"")))</f>
        <v/>
      </c>
      <c r="I136" s="15">
        <f>IF(OR(I135="",E135=""),"",IF(E135&lt;=0,"",IFERROR(I135/E135-1,"")))</f>
        <v/>
      </c>
      <c r="J136" s="15">
        <f>IF(OR(J135="",F135=""),"",IF(F135&lt;=0,"",IFERROR(J135/F135-1,"")))</f>
        <v/>
      </c>
      <c r="K136" s="15">
        <f>IF(OR(K135="",G135=""),"",IF(G135&lt;=0,"",IFERROR(K135/G135-1,"")))</f>
        <v/>
      </c>
      <c r="L136" s="15">
        <f>IF(OR(L135="",H135=""),"",IF(H135&lt;=0,"",IFERROR(L135/H135-1,"")))</f>
        <v/>
      </c>
      <c r="M136" s="15">
        <f>IF(OR(M135="",I135=""),"",IF(I135&lt;=0,"",IFERROR(M135/I135-1,"")))</f>
        <v/>
      </c>
      <c r="N136" s="15">
        <f>IF(OR(N135="",J135=""),"",IF(J135&lt;=0,"",IFERROR(N135/J135-1,"")))</f>
        <v/>
      </c>
      <c r="V136" s="15">
        <f>IF(OR(V135="",U135=""),"",IF(U135&lt;=0,"",IFERROR(V135/U135-1,"")))</f>
        <v/>
      </c>
      <c r="W136" s="15">
        <f>IF(OR(W135="",V135=""),"",IF(V135&lt;=0,"",IFERROR(W135/V135-1,"")))</f>
        <v/>
      </c>
      <c r="X136" s="15">
        <f>IF(OR(X135="",W135=""),"",IF(W135&lt;=0,"",IFERROR(X135/W135-1,"")))</f>
        <v/>
      </c>
    </row>
    <row r="137">
      <c r="A137" s="18" t="inlineStr">
        <is>
          <t>보고부문 합계 · Revenue From External Customers</t>
        </is>
      </c>
      <c r="C137" s="20" t="n">
        <v>87124</v>
      </c>
      <c r="D137" s="20" t="n">
        <v>90207</v>
      </c>
      <c r="E137" s="20" t="n">
        <v>88474</v>
      </c>
      <c r="F137" s="20" t="n">
        <v>85619</v>
      </c>
      <c r="G137" s="20" t="n">
        <v>86308</v>
      </c>
      <c r="H137" s="20" t="n">
        <v>91399</v>
      </c>
      <c r="I137" s="20" t="n">
        <v>97862</v>
      </c>
      <c r="J137" s="20" t="n">
        <v>78093</v>
      </c>
      <c r="K137" s="20" t="n">
        <v>86931</v>
      </c>
      <c r="L137" s="20" t="n">
        <v>86447</v>
      </c>
      <c r="M137" s="20" t="n">
        <v>95791</v>
      </c>
      <c r="N137" s="20" t="n">
        <v>86404</v>
      </c>
      <c r="V137" s="20" t="n">
        <v>88474</v>
      </c>
      <c r="W137" s="20" t="n">
        <v>97862</v>
      </c>
      <c r="X137" s="20" t="n">
        <v>95791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G138" s="15">
        <f>IF(OR(G137="",C137=""),"",IF(C137&lt;=0,"",IFERROR(G137/C137-1,"")))</f>
        <v/>
      </c>
      <c r="H138" s="15">
        <f>IF(OR(H137="",D137=""),"",IF(D137&lt;=0,"",IFERROR(H137/D137-1,"")))</f>
        <v/>
      </c>
      <c r="I138" s="15">
        <f>IF(OR(I137="",E137=""),"",IF(E137&lt;=0,"",IFERROR(I137/E137-1,"")))</f>
        <v/>
      </c>
      <c r="J138" s="15">
        <f>IF(OR(J137="",F137=""),"",IF(F137&lt;=0,"",IFERROR(J137/F137-1,"")))</f>
        <v/>
      </c>
      <c r="K138" s="15">
        <f>IF(OR(K137="",G137=""),"",IF(G137&lt;=0,"",IFERROR(K137/G137-1,"")))</f>
        <v/>
      </c>
      <c r="L138" s="15">
        <f>IF(OR(L137="",H137=""),"",IF(H137&lt;=0,"",IFERROR(L137/H137-1,"")))</f>
        <v/>
      </c>
      <c r="M138" s="15">
        <f>IF(OR(M137="",I137=""),"",IF(I137&lt;=0,"",IFERROR(M137/I137-1,"")))</f>
        <v/>
      </c>
      <c r="N138" s="15">
        <f>IF(OR(N137="",J137=""),"",IF(J137&lt;=0,"",IFERROR(N137/J137-1,"")))</f>
        <v/>
      </c>
      <c r="V138" s="15">
        <f>IF(OR(V137="",U137=""),"",IF(U137&lt;=0,"",IFERROR(V137/U137-1,"")))</f>
        <v/>
      </c>
      <c r="W138" s="15">
        <f>IF(OR(W137="",V137=""),"",IF(V137&lt;=0,"",IFERROR(W137/V137-1,"")))</f>
        <v/>
      </c>
      <c r="X138" s="15">
        <f>IF(OR(X137="",W137=""),"",IF(W137&lt;=0,"",IFERROR(X137/W137-1,"")))</f>
        <v/>
      </c>
    </row>
    <row r="139">
      <c r="A139" s="18" t="inlineStr">
        <is>
          <t>기타 · Revenue From External Customers</t>
        </is>
      </c>
      <c r="C139" s="20" t="n">
        <v>1982</v>
      </c>
      <c r="D139" s="20" t="n">
        <v>2346</v>
      </c>
      <c r="E139" s="20" t="n">
        <v>3728</v>
      </c>
      <c r="F139" s="20" t="n">
        <v>2150</v>
      </c>
      <c r="G139" s="20" t="n">
        <v>2496</v>
      </c>
      <c r="H139" s="20" t="n">
        <v>2502</v>
      </c>
      <c r="I139" s="20" t="n">
        <v>1972</v>
      </c>
      <c r="J139" s="20" t="n">
        <v>2103</v>
      </c>
      <c r="K139" s="20" t="n">
        <v>2194</v>
      </c>
      <c r="L139" s="20" t="n">
        <v>2858</v>
      </c>
      <c r="M139" s="20" t="n">
        <v>2447</v>
      </c>
      <c r="N139" s="20" t="n">
        <v>2395</v>
      </c>
      <c r="V139" s="20" t="n">
        <v>3728</v>
      </c>
      <c r="W139" s="20" t="n">
        <v>1972</v>
      </c>
      <c r="X139" s="20" t="n">
        <v>2447</v>
      </c>
    </row>
    <row r="140">
      <c r="A140" s="43" t="inlineStr">
        <is>
          <t>YoY</t>
        </is>
      </c>
      <c r="B140" s="3" t="inlineStr">
        <is>
          <t>전년 같은 분기·전년 대비</t>
        </is>
      </c>
      <c r="G140" s="15">
        <f>IF(OR(G139="",C139=""),"",IF(C139&lt;=0,"",IFERROR(G139/C139-1,"")))</f>
        <v/>
      </c>
      <c r="H140" s="15">
        <f>IF(OR(H139="",D139=""),"",IF(D139&lt;=0,"",IFERROR(H139/D139-1,"")))</f>
        <v/>
      </c>
      <c r="I140" s="15">
        <f>IF(OR(I139="",E139=""),"",IF(E139&lt;=0,"",IFERROR(I139/E139-1,"")))</f>
        <v/>
      </c>
      <c r="J140" s="15">
        <f>IF(OR(J139="",F139=""),"",IF(F139&lt;=0,"",IFERROR(J139/F139-1,"")))</f>
        <v/>
      </c>
      <c r="K140" s="15">
        <f>IF(OR(K139="",G139=""),"",IF(G139&lt;=0,"",IFERROR(K139/G139-1,"")))</f>
        <v/>
      </c>
      <c r="L140" s="15">
        <f>IF(OR(L139="",H139=""),"",IF(H139&lt;=0,"",IFERROR(L139/H139-1,"")))</f>
        <v/>
      </c>
      <c r="M140" s="15">
        <f>IF(OR(M139="",I139=""),"",IF(I139&lt;=0,"",IFERROR(M139/I139-1,"")))</f>
        <v/>
      </c>
      <c r="N140" s="15">
        <f>IF(OR(N139="",J139=""),"",IF(J139&lt;=0,"",IFERROR(N139/J139-1,"")))</f>
        <v/>
      </c>
      <c r="V140" s="15">
        <f>IF(OR(V139="",U139=""),"",IF(U139&lt;=0,"",IFERROR(V139/U139-1,"")))</f>
        <v/>
      </c>
      <c r="W140" s="15">
        <f>IF(OR(W139="",V139=""),"",IF(V139&lt;=0,"",IFERROR(W139/V139-1,"")))</f>
        <v/>
      </c>
      <c r="X140" s="15">
        <f>IF(OR(X139="",W139=""),"",IF(W139&lt;=0,"",IFERROR(X139/W139-1,"")))</f>
        <v/>
      </c>
    </row>
    <row r="141">
      <c r="A141" s="18" t="inlineStr">
        <is>
          <t>합계 · Revenue From External Customers</t>
        </is>
      </c>
      <c r="C141" s="20" t="n">
        <v>89106</v>
      </c>
      <c r="D141" s="20" t="n">
        <v>92554</v>
      </c>
      <c r="E141" s="20" t="n">
        <v>92201</v>
      </c>
      <c r="F141" s="20" t="n">
        <v>87769</v>
      </c>
      <c r="G141" s="20" t="n">
        <v>88805</v>
      </c>
      <c r="H141" s="20" t="n">
        <v>93900</v>
      </c>
      <c r="I141" s="20" t="n">
        <v>99834</v>
      </c>
      <c r="J141" s="20" t="n">
        <v>80197</v>
      </c>
      <c r="K141" s="20" t="n">
        <v>89124</v>
      </c>
      <c r="L141" s="20" t="n">
        <v>89306</v>
      </c>
      <c r="M141" s="20" t="n">
        <v>98238</v>
      </c>
      <c r="N141" s="20" t="n">
        <v>88799</v>
      </c>
      <c r="V141" s="20" t="n">
        <v>92201</v>
      </c>
      <c r="W141" s="20" t="n">
        <v>99834</v>
      </c>
      <c r="X141" s="20" t="n">
        <v>98238</v>
      </c>
    </row>
    <row r="142">
      <c r="A142" s="43" t="inlineStr">
        <is>
          <t>YoY</t>
        </is>
      </c>
      <c r="B142" s="3" t="inlineStr">
        <is>
          <t>전년 같은 분기·전년 대비</t>
        </is>
      </c>
      <c r="G142" s="15">
        <f>IF(OR(G141="",C141=""),"",IF(C141&lt;=0,"",IFERROR(G141/C141-1,"")))</f>
        <v/>
      </c>
      <c r="H142" s="15">
        <f>IF(OR(H141="",D141=""),"",IF(D141&lt;=0,"",IFERROR(H141/D141-1,"")))</f>
        <v/>
      </c>
      <c r="I142" s="15">
        <f>IF(OR(I141="",E141=""),"",IF(E141&lt;=0,"",IFERROR(I141/E141-1,"")))</f>
        <v/>
      </c>
      <c r="J142" s="15">
        <f>IF(OR(J141="",F141=""),"",IF(F141&lt;=0,"",IFERROR(J141/F141-1,"")))</f>
        <v/>
      </c>
      <c r="K142" s="15">
        <f>IF(OR(K141="",G141=""),"",IF(G141&lt;=0,"",IFERROR(K141/G141-1,"")))</f>
        <v/>
      </c>
      <c r="L142" s="15">
        <f>IF(OR(L141="",H141=""),"",IF(H141&lt;=0,"",IFERROR(L141/H141-1,"")))</f>
        <v/>
      </c>
      <c r="M142" s="15">
        <f>IF(OR(M141="",I141=""),"",IF(I141&lt;=0,"",IFERROR(M141/I141-1,"")))</f>
        <v/>
      </c>
      <c r="N142" s="15">
        <f>IF(OR(N141="",J141=""),"",IF(J141&lt;=0,"",IFERROR(N141/J141-1,"")))</f>
        <v/>
      </c>
      <c r="V142" s="15">
        <f>IF(OR(V141="",U141=""),"",IF(U141&lt;=0,"",IFERROR(V141/U141-1,"")))</f>
        <v/>
      </c>
      <c r="W142" s="15">
        <f>IF(OR(W141="",V141=""),"",IF(V141&lt;=0,"",IFERROR(W141/V141-1,"")))</f>
        <v/>
      </c>
      <c r="X142" s="15">
        <f>IF(OR(X141="",W141=""),"",IF(W141&lt;=0,"",IFERROR(X141/W141-1,"")))</f>
        <v/>
      </c>
    </row>
    <row r="143">
      <c r="A143" s="18" t="inlineStr">
        <is>
          <t>조정액 · Revenue From External Customers</t>
        </is>
      </c>
      <c r="C143" s="20" t="n">
        <v>0</v>
      </c>
      <c r="D143" s="20" t="n">
        <v>0</v>
      </c>
      <c r="E143" s="20" t="n">
        <v>0</v>
      </c>
      <c r="F143" s="20" t="n">
        <v>0</v>
      </c>
      <c r="G143" s="20" t="n">
        <v>0</v>
      </c>
      <c r="H143" s="20" t="n">
        <v>0</v>
      </c>
      <c r="I143" s="20" t="n">
        <v>0</v>
      </c>
      <c r="J143" s="20" t="n">
        <v>0</v>
      </c>
      <c r="K143" s="20" t="n">
        <v>0</v>
      </c>
      <c r="L143" s="20" t="n">
        <v>0</v>
      </c>
      <c r="M143" s="20" t="n">
        <v>0</v>
      </c>
      <c r="N143" s="20" t="n">
        <v>0</v>
      </c>
      <c r="V143" s="20" t="n">
        <v>0</v>
      </c>
      <c r="W143" s="20" t="n">
        <v>0</v>
      </c>
      <c r="X143" s="20" t="n">
        <v>0</v>
      </c>
    </row>
    <row r="144">
      <c r="A144" s="9" t="inlineStr">
        <is>
          <t>Revenue From External Customers</t>
        </is>
      </c>
      <c r="C144" s="12" t="n">
        <v>89106</v>
      </c>
      <c r="D144" s="12" t="n">
        <v>92554</v>
      </c>
      <c r="E144" s="12" t="n">
        <v>92201</v>
      </c>
      <c r="F144" s="12" t="n">
        <v>87769</v>
      </c>
      <c r="G144" s="12" t="n">
        <v>88805</v>
      </c>
      <c r="H144" s="12" t="n">
        <v>93900</v>
      </c>
      <c r="I144" s="12" t="n">
        <v>99834</v>
      </c>
      <c r="J144" s="12" t="n">
        <v>80197</v>
      </c>
      <c r="K144" s="12" t="n">
        <v>89124</v>
      </c>
      <c r="L144" s="12" t="n">
        <v>89306</v>
      </c>
      <c r="M144" s="12" t="n">
        <v>98238</v>
      </c>
      <c r="N144" s="12" t="n">
        <v>88799</v>
      </c>
      <c r="V144" s="12" t="n">
        <v>92201</v>
      </c>
      <c r="W144" s="12" t="n">
        <v>99834</v>
      </c>
      <c r="X144" s="12" t="n">
        <v>98238</v>
      </c>
    </row>
    <row r="145">
      <c r="A145" s="43" t="inlineStr">
        <is>
          <t>YoY</t>
        </is>
      </c>
      <c r="B145" s="3" t="inlineStr">
        <is>
          <t>전년 같은 분기·전년 대비</t>
        </is>
      </c>
      <c r="G145" s="15">
        <f>IF(OR(G144="",C144=""),"",IF(C144&lt;=0,"",IFERROR(G144/C144-1,"")))</f>
        <v/>
      </c>
      <c r="H145" s="15">
        <f>IF(OR(H144="",D144=""),"",IF(D144&lt;=0,"",IFERROR(H144/D144-1,"")))</f>
        <v/>
      </c>
      <c r="I145" s="15">
        <f>IF(OR(I144="",E144=""),"",IF(E144&lt;=0,"",IFERROR(I144/E144-1,"")))</f>
        <v/>
      </c>
      <c r="J145" s="15">
        <f>IF(OR(J144="",F144=""),"",IF(F144&lt;=0,"",IFERROR(J144/F144-1,"")))</f>
        <v/>
      </c>
      <c r="K145" s="15">
        <f>IF(OR(K144="",G144=""),"",IF(G144&lt;=0,"",IFERROR(K144/G144-1,"")))</f>
        <v/>
      </c>
      <c r="L145" s="15">
        <f>IF(OR(L144="",H144=""),"",IF(H144&lt;=0,"",IFERROR(L144/H144-1,"")))</f>
        <v/>
      </c>
      <c r="M145" s="15">
        <f>IF(OR(M144="",I144=""),"",IF(I144&lt;=0,"",IFERROR(M144/I144-1,"")))</f>
        <v/>
      </c>
      <c r="N145" s="15">
        <f>IF(OR(N144="",J144=""),"",IF(J144&lt;=0,"",IFERROR(N144/J144-1,"")))</f>
        <v/>
      </c>
      <c r="V145" s="15">
        <f>IF(OR(V144="",U144=""),"",IF(U144&lt;=0,"",IFERROR(V144/U144-1,"")))</f>
        <v/>
      </c>
      <c r="W145" s="15">
        <f>IF(OR(W144="",V144=""),"",IF(V144&lt;=0,"",IFERROR(W144/V144-1,"")))</f>
        <v/>
      </c>
      <c r="X145" s="15">
        <f>IF(OR(X144="",W144=""),"",IF(W144&lt;=0,"",IFERROR(X144/W144-1,"")))</f>
        <v/>
      </c>
    </row>
    <row r="146">
      <c r="A146" s="18" t="inlineStr">
        <is>
          <t>부문 · Intersegment Revenue</t>
        </is>
      </c>
      <c r="C146" s="20" t="n">
        <v>0</v>
      </c>
      <c r="D146" s="20" t="n">
        <v>0</v>
      </c>
      <c r="E146" s="20" t="n">
        <v>0</v>
      </c>
      <c r="F146" s="20" t="n">
        <v>0</v>
      </c>
      <c r="G146" s="20" t="n">
        <v>0</v>
      </c>
      <c r="H146" s="20" t="n">
        <v>0</v>
      </c>
      <c r="I146" s="20" t="n">
        <v>0</v>
      </c>
      <c r="J146" s="20" t="n">
        <v>0</v>
      </c>
      <c r="K146" s="20" t="n">
        <v>0</v>
      </c>
      <c r="L146" s="20" t="n">
        <v>0</v>
      </c>
      <c r="M146" s="20" t="n">
        <v>0</v>
      </c>
      <c r="N146" s="20" t="n">
        <v>0</v>
      </c>
      <c r="V146" s="20" t="n">
        <v>0</v>
      </c>
      <c r="W146" s="20" t="n">
        <v>0</v>
      </c>
      <c r="X146" s="20" t="n">
        <v>0</v>
      </c>
    </row>
    <row r="147">
      <c r="A147" s="18" t="inlineStr">
        <is>
          <t>부문 · Intersegment Revenue</t>
        </is>
      </c>
      <c r="C147" s="20" t="n">
        <v>0</v>
      </c>
      <c r="D147" s="20" t="n">
        <v>0</v>
      </c>
      <c r="F147" s="20" t="n">
        <v>0</v>
      </c>
      <c r="G147" s="20" t="n">
        <v>0</v>
      </c>
      <c r="H147" s="20" t="n">
        <v>0</v>
      </c>
      <c r="J147" s="20" t="n">
        <v>0</v>
      </c>
      <c r="K147" s="20" t="n">
        <v>0</v>
      </c>
      <c r="L147" s="20" t="n">
        <v>0</v>
      </c>
      <c r="N147" s="20" t="n">
        <v>0</v>
      </c>
    </row>
    <row r="148">
      <c r="A148" s="18" t="inlineStr">
        <is>
          <t xml:space="preserve">  · Intersegment Revenue</t>
        </is>
      </c>
      <c r="C148" s="20" t="n">
        <v>0</v>
      </c>
      <c r="D148" s="20" t="n">
        <v>0</v>
      </c>
      <c r="E148" s="20" t="n">
        <v>0</v>
      </c>
      <c r="F148" s="20" t="n">
        <v>0</v>
      </c>
      <c r="G148" s="20" t="n">
        <v>0</v>
      </c>
      <c r="H148" s="20" t="n">
        <v>0</v>
      </c>
      <c r="I148" s="20" t="n">
        <v>0</v>
      </c>
      <c r="J148" s="20" t="n">
        <v>0</v>
      </c>
      <c r="K148" s="20" t="n">
        <v>0</v>
      </c>
      <c r="L148" s="20" t="n">
        <v>0</v>
      </c>
      <c r="M148" s="20" t="n">
        <v>0</v>
      </c>
      <c r="N148" s="20" t="n">
        <v>0</v>
      </c>
      <c r="V148" s="20" t="n">
        <v>0</v>
      </c>
      <c r="W148" s="20" t="n">
        <v>0</v>
      </c>
      <c r="X148" s="20" t="n">
        <v>0</v>
      </c>
    </row>
    <row r="149">
      <c r="A149" s="18" t="inlineStr">
        <is>
          <t>보고부문 합계 · Intersegment Revenue</t>
        </is>
      </c>
      <c r="C149" s="20" t="n">
        <v>0</v>
      </c>
      <c r="D149" s="20" t="n">
        <v>0</v>
      </c>
      <c r="E149" s="20" t="n">
        <v>0</v>
      </c>
      <c r="F149" s="20" t="n">
        <v>0</v>
      </c>
      <c r="G149" s="20" t="n">
        <v>0</v>
      </c>
      <c r="H149" s="20" t="n">
        <v>0</v>
      </c>
      <c r="I149" s="20" t="n">
        <v>0</v>
      </c>
      <c r="J149" s="20" t="n">
        <v>0</v>
      </c>
      <c r="K149" s="20" t="n">
        <v>0</v>
      </c>
      <c r="L149" s="20" t="n">
        <v>0</v>
      </c>
      <c r="M149" s="20" t="n">
        <v>0</v>
      </c>
      <c r="N149" s="20" t="n">
        <v>0</v>
      </c>
      <c r="V149" s="20" t="n">
        <v>0</v>
      </c>
      <c r="W149" s="20" t="n">
        <v>0</v>
      </c>
      <c r="X149" s="20" t="n">
        <v>0</v>
      </c>
    </row>
    <row r="150">
      <c r="A150" s="18" t="inlineStr">
        <is>
          <t>기타 · Intersegment Revenue</t>
        </is>
      </c>
      <c r="C150" s="20" t="n">
        <v>0</v>
      </c>
      <c r="D150" s="20" t="n">
        <v>0</v>
      </c>
      <c r="E150" s="20" t="n">
        <v>0</v>
      </c>
      <c r="F150" s="20" t="n">
        <v>0</v>
      </c>
      <c r="G150" s="20" t="n">
        <v>0</v>
      </c>
      <c r="H150" s="20" t="n">
        <v>0</v>
      </c>
      <c r="I150" s="20" t="n">
        <v>0</v>
      </c>
      <c r="J150" s="20" t="n">
        <v>0</v>
      </c>
      <c r="K150" s="20" t="n">
        <v>0</v>
      </c>
      <c r="L150" s="20" t="n">
        <v>0</v>
      </c>
      <c r="M150" s="20" t="n">
        <v>0</v>
      </c>
      <c r="N150" s="20" t="n">
        <v>0</v>
      </c>
      <c r="V150" s="20" t="n">
        <v>0</v>
      </c>
      <c r="W150" s="20" t="n">
        <v>0</v>
      </c>
      <c r="X150" s="20" t="n">
        <v>0</v>
      </c>
    </row>
    <row r="151">
      <c r="A151" s="18" t="inlineStr">
        <is>
          <t>합계 · Intersegment Revenue</t>
        </is>
      </c>
      <c r="C151" s="20" t="n">
        <v>0</v>
      </c>
      <c r="D151" s="20" t="n">
        <v>0</v>
      </c>
      <c r="E151" s="20" t="n">
        <v>0</v>
      </c>
      <c r="F151" s="20" t="n">
        <v>0</v>
      </c>
      <c r="G151" s="20" t="n">
        <v>0</v>
      </c>
      <c r="H151" s="20" t="n">
        <v>0</v>
      </c>
      <c r="I151" s="20" t="n">
        <v>0</v>
      </c>
      <c r="J151" s="20" t="n">
        <v>0</v>
      </c>
      <c r="K151" s="20" t="n">
        <v>0</v>
      </c>
      <c r="L151" s="20" t="n">
        <v>0</v>
      </c>
      <c r="M151" s="20" t="n">
        <v>0</v>
      </c>
      <c r="N151" s="20" t="n">
        <v>0</v>
      </c>
      <c r="V151" s="20" t="n">
        <v>0</v>
      </c>
      <c r="W151" s="20" t="n">
        <v>0</v>
      </c>
      <c r="X151" s="20" t="n">
        <v>0</v>
      </c>
    </row>
    <row r="152">
      <c r="A152" s="18" t="inlineStr">
        <is>
          <t>조정액 · Intersegment Revenue</t>
        </is>
      </c>
      <c r="C152" s="20" t="n">
        <v>0</v>
      </c>
      <c r="D152" s="20" t="n">
        <v>0</v>
      </c>
      <c r="E152" s="20" t="n">
        <v>0</v>
      </c>
      <c r="F152" s="20" t="n">
        <v>0</v>
      </c>
      <c r="G152" s="20" t="n">
        <v>0</v>
      </c>
      <c r="H152" s="20" t="n">
        <v>0</v>
      </c>
      <c r="I152" s="20" t="n">
        <v>0</v>
      </c>
      <c r="J152" s="20" t="n">
        <v>0</v>
      </c>
      <c r="K152" s="20" t="n">
        <v>0</v>
      </c>
      <c r="L152" s="20" t="n">
        <v>0</v>
      </c>
      <c r="M152" s="20" t="n">
        <v>0</v>
      </c>
      <c r="N152" s="20" t="n">
        <v>0</v>
      </c>
      <c r="V152" s="20" t="n">
        <v>0</v>
      </c>
      <c r="W152" s="20" t="n">
        <v>0</v>
      </c>
      <c r="X152" s="20" t="n">
        <v>0</v>
      </c>
    </row>
    <row r="153">
      <c r="A153" s="18" t="inlineStr">
        <is>
          <t>Intersegment Revenue</t>
        </is>
      </c>
      <c r="C153" s="20" t="n">
        <v>0</v>
      </c>
      <c r="D153" s="20" t="n">
        <v>0</v>
      </c>
      <c r="E153" s="20" t="n">
        <v>0</v>
      </c>
      <c r="F153" s="20" t="n">
        <v>0</v>
      </c>
      <c r="G153" s="20" t="n">
        <v>0</v>
      </c>
      <c r="H153" s="20" t="n">
        <v>0</v>
      </c>
      <c r="I153" s="20" t="n">
        <v>0</v>
      </c>
      <c r="J153" s="20" t="n">
        <v>0</v>
      </c>
      <c r="K153" s="20" t="n">
        <v>0</v>
      </c>
      <c r="L153" s="20" t="n">
        <v>0</v>
      </c>
      <c r="M153" s="20" t="n">
        <v>0</v>
      </c>
      <c r="N153" s="20" t="n">
        <v>0</v>
      </c>
      <c r="V153" s="20" t="n">
        <v>0</v>
      </c>
      <c r="W153" s="20" t="n">
        <v>0</v>
      </c>
      <c r="X153" s="20" t="n">
        <v>0</v>
      </c>
    </row>
    <row r="154">
      <c r="A154" s="18" t="inlineStr">
        <is>
          <t>부문 · 계</t>
        </is>
      </c>
      <c r="C154" s="20" t="n">
        <v>23584</v>
      </c>
      <c r="D154" s="20" t="n">
        <v>24301</v>
      </c>
      <c r="E154" s="20" t="n">
        <v>23855</v>
      </c>
      <c r="F154" s="20" t="n">
        <v>24238</v>
      </c>
      <c r="G154" s="20" t="n">
        <v>24348</v>
      </c>
      <c r="H154" s="20" t="n">
        <v>24487</v>
      </c>
      <c r="I154" s="20" t="n">
        <v>26935</v>
      </c>
      <c r="J154" s="20" t="n">
        <v>18279</v>
      </c>
      <c r="K154" s="20" t="n">
        <v>25446</v>
      </c>
      <c r="L154" s="20" t="n">
        <v>23141</v>
      </c>
      <c r="M154" s="20" t="n">
        <v>27829</v>
      </c>
      <c r="N154" s="20" t="n">
        <v>18488</v>
      </c>
      <c r="V154" s="20" t="n">
        <v>23855</v>
      </c>
      <c r="W154" s="20" t="n">
        <v>26935</v>
      </c>
      <c r="X154" s="20" t="n">
        <v>27829</v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G155" s="15">
        <f>IF(OR(G154="",C154=""),"",IF(C154&lt;=0,"",IFERROR(G154/C154-1,"")))</f>
        <v/>
      </c>
      <c r="H155" s="15">
        <f>IF(OR(H154="",D154=""),"",IF(D154&lt;=0,"",IFERROR(H154/D154-1,"")))</f>
        <v/>
      </c>
      <c r="I155" s="15">
        <f>IF(OR(I154="",E154=""),"",IF(E154&lt;=0,"",IFERROR(I154/E154-1,"")))</f>
        <v/>
      </c>
      <c r="J155" s="15">
        <f>IF(OR(J154="",F154=""),"",IF(F154&lt;=0,"",IFERROR(J154/F154-1,"")))</f>
        <v/>
      </c>
      <c r="K155" s="15">
        <f>IF(OR(K154="",G154=""),"",IF(G154&lt;=0,"",IFERROR(K154/G154-1,"")))</f>
        <v/>
      </c>
      <c r="L155" s="15">
        <f>IF(OR(L154="",H154=""),"",IF(H154&lt;=0,"",IFERROR(L154/H154-1,"")))</f>
        <v/>
      </c>
      <c r="M155" s="15">
        <f>IF(OR(M154="",I154=""),"",IF(I154&lt;=0,"",IFERROR(M154/I154-1,"")))</f>
        <v/>
      </c>
      <c r="N155" s="15">
        <f>IF(OR(N154="",J154=""),"",IF(J154&lt;=0,"",IFERROR(N154/J154-1,"")))</f>
        <v/>
      </c>
      <c r="V155" s="15">
        <f>IF(OR(V154="",U154=""),"",IF(U154&lt;=0,"",IFERROR(V154/U154-1,"")))</f>
        <v/>
      </c>
      <c r="W155" s="15">
        <f>IF(OR(W154="",V154=""),"",IF(V154&lt;=0,"",IFERROR(W154/V154-1,"")))</f>
        <v/>
      </c>
      <c r="X155" s="15">
        <f>IF(OR(X154="",W154=""),"",IF(W154&lt;=0,"",IFERROR(X154/W154-1,"")))</f>
        <v/>
      </c>
    </row>
    <row r="156">
      <c r="A156" s="18" t="inlineStr">
        <is>
          <t>부문 · 계</t>
        </is>
      </c>
      <c r="C156" s="20" t="n">
        <v>50551</v>
      </c>
      <c r="D156" s="20" t="n">
        <v>50920</v>
      </c>
      <c r="F156" s="20" t="n">
        <v>47939</v>
      </c>
      <c r="G156" s="20" t="n">
        <v>48770</v>
      </c>
      <c r="H156" s="20" t="n">
        <v>52090</v>
      </c>
      <c r="J156" s="20" t="n">
        <v>46580</v>
      </c>
      <c r="K156" s="20" t="n">
        <v>48852</v>
      </c>
      <c r="L156" s="20" t="n">
        <v>49006</v>
      </c>
      <c r="N156" s="20" t="n">
        <v>53468</v>
      </c>
    </row>
    <row r="157">
      <c r="A157" s="43" t="inlineStr">
        <is>
          <t>YoY</t>
        </is>
      </c>
      <c r="B157" s="3" t="inlineStr">
        <is>
          <t>전년 같은 분기·전년 대비</t>
        </is>
      </c>
      <c r="G157" s="15">
        <f>IF(OR(G156="",C156=""),"",IF(C156&lt;=0,"",IFERROR(G156/C156-1,"")))</f>
        <v/>
      </c>
      <c r="H157" s="15">
        <f>IF(OR(H156="",D156=""),"",IF(D156&lt;=0,"",IFERROR(H156/D156-1,"")))</f>
        <v/>
      </c>
      <c r="J157" s="15">
        <f>IF(OR(J156="",F156=""),"",IF(F156&lt;=0,"",IFERROR(J156/F156-1,"")))</f>
        <v/>
      </c>
      <c r="K157" s="15">
        <f>IF(OR(K156="",G156=""),"",IF(G156&lt;=0,"",IFERROR(K156/G156-1,"")))</f>
        <v/>
      </c>
      <c r="L157" s="15">
        <f>IF(OR(L156="",H156=""),"",IF(H156&lt;=0,"",IFERROR(L156/H156-1,"")))</f>
        <v/>
      </c>
      <c r="N157" s="15">
        <f>IF(OR(N156="",J156=""),"",IF(J156&lt;=0,"",IFERROR(N156/J156-1,"")))</f>
        <v/>
      </c>
    </row>
    <row r="158">
      <c r="A158" s="18" t="inlineStr">
        <is>
          <t xml:space="preserve">  · 계</t>
        </is>
      </c>
      <c r="C158" s="20" t="n">
        <v>12988</v>
      </c>
      <c r="D158" s="20" t="n">
        <v>14986</v>
      </c>
      <c r="E158" s="20" t="n">
        <v>13983</v>
      </c>
      <c r="F158" s="20" t="n">
        <v>13440</v>
      </c>
      <c r="G158" s="20" t="n">
        <v>13191</v>
      </c>
      <c r="H158" s="20" t="n">
        <v>14822</v>
      </c>
      <c r="I158" s="20" t="n">
        <v>16483</v>
      </c>
      <c r="J158" s="20" t="n">
        <v>13234</v>
      </c>
      <c r="K158" s="20" t="n">
        <v>12632</v>
      </c>
      <c r="L158" s="20" t="n">
        <v>14300</v>
      </c>
      <c r="M158" s="20" t="n">
        <v>16653</v>
      </c>
      <c r="N158" s="20" t="n">
        <v>14446</v>
      </c>
      <c r="V158" s="20" t="n">
        <v>13983</v>
      </c>
      <c r="W158" s="20" t="n">
        <v>16483</v>
      </c>
      <c r="X158" s="20" t="n">
        <v>16653</v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IF(OR(G158="",C158=""),"",IF(C158&lt;=0,"",IFERROR(G158/C158-1,"")))</f>
        <v/>
      </c>
      <c r="H159" s="15">
        <f>IF(OR(H158="",D158=""),"",IF(D158&lt;=0,"",IFERROR(H158/D158-1,"")))</f>
        <v/>
      </c>
      <c r="I159" s="15">
        <f>IF(OR(I158="",E158=""),"",IF(E158&lt;=0,"",IFERROR(I158/E158-1,"")))</f>
        <v/>
      </c>
      <c r="J159" s="15">
        <f>IF(OR(J158="",F158=""),"",IF(F158&lt;=0,"",IFERROR(J158/F158-1,"")))</f>
        <v/>
      </c>
      <c r="K159" s="15">
        <f>IF(OR(K158="",G158=""),"",IF(G158&lt;=0,"",IFERROR(K158/G158-1,"")))</f>
        <v/>
      </c>
      <c r="L159" s="15">
        <f>IF(OR(L158="",H158=""),"",IF(H158&lt;=0,"",IFERROR(L158/H158-1,"")))</f>
        <v/>
      </c>
      <c r="M159" s="15">
        <f>IF(OR(M158="",I158=""),"",IF(I158&lt;=0,"",IFERROR(M158/I158-1,"")))</f>
        <v/>
      </c>
      <c r="N159" s="15">
        <f>IF(OR(N158="",J158=""),"",IF(J158&lt;=0,"",IFERROR(N158/J158-1,"")))</f>
        <v/>
      </c>
      <c r="V159" s="15">
        <f>IF(OR(V158="",U158=""),"",IF(U158&lt;=0,"",IFERROR(V158/U158-1,"")))</f>
        <v/>
      </c>
      <c r="W159" s="15">
        <f>IF(OR(W158="",V158=""),"",IF(V158&lt;=0,"",IFERROR(W158/V158-1,"")))</f>
        <v/>
      </c>
      <c r="X159" s="15">
        <f>IF(OR(X158="",W158=""),"",IF(W158&lt;=0,"",IFERROR(X158/W158-1,"")))</f>
        <v/>
      </c>
    </row>
    <row r="160">
      <c r="A160" s="18" t="inlineStr">
        <is>
          <t>보고부문 합계 · 계</t>
        </is>
      </c>
      <c r="C160" s="20" t="n">
        <v>87124</v>
      </c>
      <c r="D160" s="20" t="n">
        <v>90207</v>
      </c>
      <c r="E160" s="20" t="n">
        <v>88474</v>
      </c>
      <c r="F160" s="20" t="n">
        <v>85619</v>
      </c>
      <c r="G160" s="20" t="n">
        <v>86308</v>
      </c>
      <c r="H160" s="20" t="n">
        <v>91399</v>
      </c>
      <c r="I160" s="20" t="n">
        <v>97862</v>
      </c>
      <c r="J160" s="20" t="n">
        <v>78093</v>
      </c>
      <c r="K160" s="20" t="n">
        <v>86931</v>
      </c>
      <c r="L160" s="20" t="n">
        <v>86447</v>
      </c>
      <c r="M160" s="20" t="n">
        <v>95791</v>
      </c>
      <c r="N160" s="20" t="n">
        <v>86404</v>
      </c>
      <c r="V160" s="20" t="n">
        <v>88474</v>
      </c>
      <c r="W160" s="20" t="n">
        <v>97862</v>
      </c>
      <c r="X160" s="20" t="n">
        <v>95791</v>
      </c>
    </row>
    <row r="161">
      <c r="A161" s="43" t="inlineStr">
        <is>
          <t>YoY</t>
        </is>
      </c>
      <c r="B161" s="3" t="inlineStr">
        <is>
          <t>전년 같은 분기·전년 대비</t>
        </is>
      </c>
      <c r="G161" s="15">
        <f>IF(OR(G160="",C160=""),"",IF(C160&lt;=0,"",IFERROR(G160/C160-1,"")))</f>
        <v/>
      </c>
      <c r="H161" s="15">
        <f>IF(OR(H160="",D160=""),"",IF(D160&lt;=0,"",IFERROR(H160/D160-1,"")))</f>
        <v/>
      </c>
      <c r="I161" s="15">
        <f>IF(OR(I160="",E160=""),"",IF(E160&lt;=0,"",IFERROR(I160/E160-1,"")))</f>
        <v/>
      </c>
      <c r="J161" s="15">
        <f>IF(OR(J160="",F160=""),"",IF(F160&lt;=0,"",IFERROR(J160/F160-1,"")))</f>
        <v/>
      </c>
      <c r="K161" s="15">
        <f>IF(OR(K160="",G160=""),"",IF(G160&lt;=0,"",IFERROR(K160/G160-1,"")))</f>
        <v/>
      </c>
      <c r="L161" s="15">
        <f>IF(OR(L160="",H160=""),"",IF(H160&lt;=0,"",IFERROR(L160/H160-1,"")))</f>
        <v/>
      </c>
      <c r="M161" s="15">
        <f>IF(OR(M160="",I160=""),"",IF(I160&lt;=0,"",IFERROR(M160/I160-1,"")))</f>
        <v/>
      </c>
      <c r="N161" s="15">
        <f>IF(OR(N160="",J160=""),"",IF(J160&lt;=0,"",IFERROR(N160/J160-1,"")))</f>
        <v/>
      </c>
      <c r="V161" s="15">
        <f>IF(OR(V160="",U160=""),"",IF(U160&lt;=0,"",IFERROR(V160/U160-1,"")))</f>
        <v/>
      </c>
      <c r="W161" s="15">
        <f>IF(OR(W160="",V160=""),"",IF(V160&lt;=0,"",IFERROR(W160/V160-1,"")))</f>
        <v/>
      </c>
      <c r="X161" s="15">
        <f>IF(OR(X160="",W160=""),"",IF(W160&lt;=0,"",IFERROR(X160/W160-1,"")))</f>
        <v/>
      </c>
    </row>
    <row r="162">
      <c r="A162" s="18" t="inlineStr">
        <is>
          <t>기타 · 계</t>
        </is>
      </c>
      <c r="C162" s="20" t="n">
        <v>1982</v>
      </c>
      <c r="D162" s="20" t="n">
        <v>2346</v>
      </c>
      <c r="E162" s="20" t="n">
        <v>3728</v>
      </c>
      <c r="F162" s="20" t="n">
        <v>2150</v>
      </c>
      <c r="G162" s="20" t="n">
        <v>2496</v>
      </c>
      <c r="H162" s="20" t="n">
        <v>2502</v>
      </c>
      <c r="I162" s="20" t="n">
        <v>1972</v>
      </c>
      <c r="J162" s="20" t="n">
        <v>2103</v>
      </c>
      <c r="K162" s="20" t="n">
        <v>2194</v>
      </c>
      <c r="L162" s="20" t="n">
        <v>2858</v>
      </c>
      <c r="M162" s="20" t="n">
        <v>2447</v>
      </c>
      <c r="N162" s="20" t="n">
        <v>2395</v>
      </c>
      <c r="V162" s="20" t="n">
        <v>3728</v>
      </c>
      <c r="W162" s="20" t="n">
        <v>1972</v>
      </c>
      <c r="X162" s="20" t="n">
        <v>2447</v>
      </c>
    </row>
    <row r="163">
      <c r="A163" s="43" t="inlineStr">
        <is>
          <t>YoY</t>
        </is>
      </c>
      <c r="B163" s="3" t="inlineStr">
        <is>
          <t>전년 같은 분기·전년 대비</t>
        </is>
      </c>
      <c r="G163" s="15">
        <f>IF(OR(G162="",C162=""),"",IF(C162&lt;=0,"",IFERROR(G162/C162-1,"")))</f>
        <v/>
      </c>
      <c r="H163" s="15">
        <f>IF(OR(H162="",D162=""),"",IF(D162&lt;=0,"",IFERROR(H162/D162-1,"")))</f>
        <v/>
      </c>
      <c r="I163" s="15">
        <f>IF(OR(I162="",E162=""),"",IF(E162&lt;=0,"",IFERROR(I162/E162-1,"")))</f>
        <v/>
      </c>
      <c r="J163" s="15">
        <f>IF(OR(J162="",F162=""),"",IF(F162&lt;=0,"",IFERROR(J162/F162-1,"")))</f>
        <v/>
      </c>
      <c r="K163" s="15">
        <f>IF(OR(K162="",G162=""),"",IF(G162&lt;=0,"",IFERROR(K162/G162-1,"")))</f>
        <v/>
      </c>
      <c r="L163" s="15">
        <f>IF(OR(L162="",H162=""),"",IF(H162&lt;=0,"",IFERROR(L162/H162-1,"")))</f>
        <v/>
      </c>
      <c r="M163" s="15">
        <f>IF(OR(M162="",I162=""),"",IF(I162&lt;=0,"",IFERROR(M162/I162-1,"")))</f>
        <v/>
      </c>
      <c r="N163" s="15">
        <f>IF(OR(N162="",J162=""),"",IF(J162&lt;=0,"",IFERROR(N162/J162-1,"")))</f>
        <v/>
      </c>
      <c r="V163" s="15">
        <f>IF(OR(V162="",U162=""),"",IF(U162&lt;=0,"",IFERROR(V162/U162-1,"")))</f>
        <v/>
      </c>
      <c r="W163" s="15">
        <f>IF(OR(W162="",V162=""),"",IF(V162&lt;=0,"",IFERROR(W162/V162-1,"")))</f>
        <v/>
      </c>
      <c r="X163" s="15">
        <f>IF(OR(X162="",W162=""),"",IF(W162&lt;=0,"",IFERROR(X162/W162-1,"")))</f>
        <v/>
      </c>
    </row>
    <row r="164">
      <c r="A164" s="18" t="inlineStr">
        <is>
          <t>합계 · 계</t>
        </is>
      </c>
      <c r="C164" s="20" t="n">
        <v>89106</v>
      </c>
      <c r="D164" s="20" t="n">
        <v>92554</v>
      </c>
      <c r="E164" s="20" t="n">
        <v>92201</v>
      </c>
      <c r="F164" s="20" t="n">
        <v>87769</v>
      </c>
      <c r="G164" s="20" t="n">
        <v>88805</v>
      </c>
      <c r="H164" s="20" t="n">
        <v>93900</v>
      </c>
      <c r="I164" s="20" t="n">
        <v>99834</v>
      </c>
      <c r="J164" s="20" t="n">
        <v>80197</v>
      </c>
      <c r="K164" s="20" t="n">
        <v>89124</v>
      </c>
      <c r="L164" s="20" t="n">
        <v>89306</v>
      </c>
      <c r="M164" s="20" t="n">
        <v>98238</v>
      </c>
      <c r="N164" s="20" t="n">
        <v>88799</v>
      </c>
      <c r="V164" s="20" t="n">
        <v>92201</v>
      </c>
      <c r="W164" s="20" t="n">
        <v>99834</v>
      </c>
      <c r="X164" s="20" t="n">
        <v>98238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I165" s="15">
        <f>IF(OR(I164="",E164=""),"",IF(E164&lt;=0,"",IFERROR(I164/E164-1,"")))</f>
        <v/>
      </c>
      <c r="J165" s="15">
        <f>IF(OR(J164="",F164=""),"",IF(F164&lt;=0,"",IFERROR(J164/F164-1,"")))</f>
        <v/>
      </c>
      <c r="K165" s="15">
        <f>IF(OR(K164="",G164=""),"",IF(G164&lt;=0,"",IFERROR(K164/G164-1,"")))</f>
        <v/>
      </c>
      <c r="L165" s="15">
        <f>IF(OR(L164="",H164=""),"",IF(H164&lt;=0,"",IFERROR(L164/H164-1,"")))</f>
        <v/>
      </c>
      <c r="M165" s="15">
        <f>IF(OR(M164="",I164=""),"",IF(I164&lt;=0,"",IFERROR(M164/I164-1,"")))</f>
        <v/>
      </c>
      <c r="N165" s="15">
        <f>IF(OR(N164="",J164=""),"",IF(J164&lt;=0,"",IFERROR(N164/J164-1,"")))</f>
        <v/>
      </c>
      <c r="V165" s="15">
        <f>IF(OR(V164="",U164=""),"",IF(U164&lt;=0,"",IFERROR(V164/U164-1,"")))</f>
        <v/>
      </c>
      <c r="W165" s="15">
        <f>IF(OR(W164="",V164=""),"",IF(V164&lt;=0,"",IFERROR(W164/V164-1,"")))</f>
        <v/>
      </c>
      <c r="X165" s="15">
        <f>IF(OR(X164="",W164=""),"",IF(W164&lt;=0,"",IFERROR(X164/W164-1,"")))</f>
        <v/>
      </c>
    </row>
    <row r="166">
      <c r="A166" s="18" t="inlineStr">
        <is>
          <t>조정액 · 계</t>
        </is>
      </c>
      <c r="C166" s="20" t="n">
        <v>0</v>
      </c>
      <c r="D166" s="20" t="n">
        <v>0</v>
      </c>
      <c r="E166" s="20" t="n">
        <v>0</v>
      </c>
      <c r="F166" s="20" t="n">
        <v>0</v>
      </c>
      <c r="G166" s="20" t="n">
        <v>0</v>
      </c>
      <c r="H166" s="20" t="n">
        <v>0</v>
      </c>
      <c r="I166" s="20" t="n">
        <v>0</v>
      </c>
      <c r="J166" s="20" t="n">
        <v>0</v>
      </c>
      <c r="K166" s="20" t="n">
        <v>0</v>
      </c>
      <c r="L166" s="20" t="n">
        <v>0</v>
      </c>
      <c r="M166" s="20" t="n">
        <v>0</v>
      </c>
      <c r="N166" s="20" t="n">
        <v>0</v>
      </c>
      <c r="V166" s="20" t="n">
        <v>0</v>
      </c>
      <c r="W166" s="20" t="n">
        <v>0</v>
      </c>
      <c r="X166" s="20" t="n">
        <v>0</v>
      </c>
    </row>
    <row r="167">
      <c r="A167" s="9" t="inlineStr">
        <is>
          <t>계</t>
        </is>
      </c>
      <c r="C167" s="12" t="n">
        <v>89106</v>
      </c>
      <c r="D167" s="12" t="n">
        <v>92554</v>
      </c>
      <c r="E167" s="12" t="n">
        <v>92201</v>
      </c>
      <c r="F167" s="12" t="n">
        <v>87769</v>
      </c>
      <c r="G167" s="12" t="n">
        <v>88805</v>
      </c>
      <c r="H167" s="12" t="n">
        <v>93900</v>
      </c>
      <c r="I167" s="12" t="n">
        <v>99834</v>
      </c>
      <c r="J167" s="12" t="n">
        <v>80197</v>
      </c>
      <c r="K167" s="12" t="n">
        <v>89124</v>
      </c>
      <c r="L167" s="12" t="n">
        <v>89306</v>
      </c>
      <c r="M167" s="12" t="n">
        <v>98238</v>
      </c>
      <c r="N167" s="12" t="n">
        <v>88799</v>
      </c>
      <c r="V167" s="12" t="n">
        <v>92201</v>
      </c>
      <c r="W167" s="12" t="n">
        <v>99834</v>
      </c>
      <c r="X167" s="12" t="n">
        <v>98238</v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G168" s="15">
        <f>IF(OR(G167="",C167=""),"",IF(C167&lt;=0,"",IFERROR(G167/C167-1,"")))</f>
        <v/>
      </c>
      <c r="H168" s="15">
        <f>IF(OR(H167="",D167=""),"",IF(D167&lt;=0,"",IFERROR(H167/D167-1,"")))</f>
        <v/>
      </c>
      <c r="I168" s="15">
        <f>IF(OR(I167="",E167=""),"",IF(E167&lt;=0,"",IFERROR(I167/E167-1,"")))</f>
        <v/>
      </c>
      <c r="J168" s="15">
        <f>IF(OR(J167="",F167=""),"",IF(F167&lt;=0,"",IFERROR(J167/F167-1,"")))</f>
        <v/>
      </c>
      <c r="K168" s="15">
        <f>IF(OR(K167="",G167=""),"",IF(G167&lt;=0,"",IFERROR(K167/G167-1,"")))</f>
        <v/>
      </c>
      <c r="L168" s="15">
        <f>IF(OR(L167="",H167=""),"",IF(H167&lt;=0,"",IFERROR(L167/H167-1,"")))</f>
        <v/>
      </c>
      <c r="M168" s="15">
        <f>IF(OR(M167="",I167=""),"",IF(I167&lt;=0,"",IFERROR(M167/I167-1,"")))</f>
        <v/>
      </c>
      <c r="N168" s="15">
        <f>IF(OR(N167="",J167=""),"",IF(J167&lt;=0,"",IFERROR(N167/J167-1,"")))</f>
        <v/>
      </c>
      <c r="V168" s="15">
        <f>IF(OR(V167="",U167=""),"",IF(U167&lt;=0,"",IFERROR(V167/U167-1,"")))</f>
        <v/>
      </c>
      <c r="W168" s="15">
        <f>IF(OR(W167="",V167=""),"",IF(V167&lt;=0,"",IFERROR(W167/V167-1,"")))</f>
        <v/>
      </c>
      <c r="X168" s="15">
        <f>IF(OR(X167="",W167=""),"",IF(W167&lt;=0,"",IFERROR(X167/W167-1,"")))</f>
        <v/>
      </c>
    </row>
    <row r="169">
      <c r="A169" s="18" t="inlineStr">
        <is>
          <t>부문 · Segment Profit Loss</t>
        </is>
      </c>
      <c r="C169" s="20" t="n">
        <v>4522</v>
      </c>
      <c r="D169" s="20" t="n">
        <v>4633</v>
      </c>
      <c r="E169" s="20" t="n">
        <v>3192</v>
      </c>
      <c r="F169" s="20" t="n">
        <v>4545</v>
      </c>
      <c r="G169" s="20" t="n">
        <v>5371</v>
      </c>
      <c r="H169" s="20" t="n">
        <v>3274</v>
      </c>
      <c r="I169" s="20" t="n">
        <v>5389</v>
      </c>
      <c r="J169" s="20" t="n">
        <v>900</v>
      </c>
      <c r="K169" s="20" t="n">
        <v>4222</v>
      </c>
      <c r="L169" s="20" t="n">
        <v>2803</v>
      </c>
      <c r="M169" s="20" t="n">
        <v>4811</v>
      </c>
      <c r="N169" s="20" t="n">
        <v>69</v>
      </c>
      <c r="V169" s="20" t="n">
        <v>3192</v>
      </c>
      <c r="W169" s="20" t="n">
        <v>5389</v>
      </c>
      <c r="X169" s="20" t="n">
        <v>4811</v>
      </c>
    </row>
    <row r="170">
      <c r="A170" s="43" t="inlineStr">
        <is>
          <t>OPM</t>
        </is>
      </c>
      <c r="B170" s="3" t="inlineStr">
        <is>
          <t>영업이익 ÷ 매출</t>
        </is>
      </c>
      <c r="C170" s="15">
        <f>IF(OR(C169="",C154=""),"",IF(C154&lt;=0,"",IFERROR(C169/C154,"")))</f>
        <v/>
      </c>
      <c r="D170" s="15">
        <f>IF(OR(D169="",D154=""),"",IF(D154&lt;=0,"",IFERROR(D169/D154,"")))</f>
        <v/>
      </c>
      <c r="E170" s="15">
        <f>IF(OR(E169="",E154=""),"",IF(E154&lt;=0,"",IFERROR(E169/E154,"")))</f>
        <v/>
      </c>
      <c r="F170" s="15">
        <f>IF(OR(F169="",F154=""),"",IF(F154&lt;=0,"",IFERROR(F169/F154,"")))</f>
        <v/>
      </c>
      <c r="G170" s="15">
        <f>IF(OR(G169="",G154=""),"",IF(G154&lt;=0,"",IFERROR(G169/G154,"")))</f>
        <v/>
      </c>
      <c r="H170" s="15">
        <f>IF(OR(H169="",H154=""),"",IF(H154&lt;=0,"",IFERROR(H169/H154,"")))</f>
        <v/>
      </c>
      <c r="I170" s="15">
        <f>IF(OR(I169="",I154=""),"",IF(I154&lt;=0,"",IFERROR(I169/I154,"")))</f>
        <v/>
      </c>
      <c r="J170" s="15">
        <f>IF(OR(J169="",J154=""),"",IF(J154&lt;=0,"",IFERROR(J169/J154,"")))</f>
        <v/>
      </c>
      <c r="K170" s="15">
        <f>IF(OR(K169="",K154=""),"",IF(K154&lt;=0,"",IFERROR(K169/K154,"")))</f>
        <v/>
      </c>
      <c r="L170" s="15">
        <f>IF(OR(L169="",L154=""),"",IF(L154&lt;=0,"",IFERROR(L169/L154,"")))</f>
        <v/>
      </c>
      <c r="M170" s="15">
        <f>IF(OR(M169="",M154=""),"",IF(M154&lt;=0,"",IFERROR(M169/M154,"")))</f>
        <v/>
      </c>
      <c r="N170" s="15">
        <f>IF(OR(N169="",N154=""),"",IF(N154&lt;=0,"",IFERROR(N169/N154,"")))</f>
        <v/>
      </c>
      <c r="V170" s="15">
        <f>IF(OR(V169="",V154=""),"",IF(V154&lt;=0,"",IFERROR(V169/V154,"")))</f>
        <v/>
      </c>
      <c r="W170" s="15">
        <f>IF(OR(W169="",W154=""),"",IF(W154&lt;=0,"",IFERROR(W169/W154,"")))</f>
        <v/>
      </c>
      <c r="X170" s="15">
        <f>IF(OR(X169="",X154=""),"",IF(X154&lt;=0,"",IFERROR(X169/X154,"")))</f>
        <v/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IF(OR(G169="",C169=""),"",IF(C169&lt;=0,"",IFERROR(G169/C169-1,"")))</f>
        <v/>
      </c>
      <c r="H171" s="15">
        <f>IF(OR(H169="",D169=""),"",IF(D169&lt;=0,"",IFERROR(H169/D169-1,"")))</f>
        <v/>
      </c>
      <c r="I171" s="15">
        <f>IF(OR(I169="",E169=""),"",IF(E169&lt;=0,"",IFERROR(I169/E169-1,"")))</f>
        <v/>
      </c>
      <c r="J171" s="15">
        <f>IF(OR(J169="",F169=""),"",IF(F169&lt;=0,"",IFERROR(J169/F169-1,"")))</f>
        <v/>
      </c>
      <c r="K171" s="15">
        <f>IF(OR(K169="",G169=""),"",IF(G169&lt;=0,"",IFERROR(K169/G169-1,"")))</f>
        <v/>
      </c>
      <c r="L171" s="15">
        <f>IF(OR(L169="",H169=""),"",IF(H169&lt;=0,"",IFERROR(L169/H169-1,"")))</f>
        <v/>
      </c>
      <c r="M171" s="15">
        <f>IF(OR(M169="",I169=""),"",IF(I169&lt;=0,"",IFERROR(M169/I169-1,"")))</f>
        <v/>
      </c>
      <c r="N171" s="15">
        <f>IF(OR(N169="",J169=""),"",IF(J169&lt;=0,"",IFERROR(N169/J169-1,"")))</f>
        <v/>
      </c>
      <c r="V171" s="15">
        <f>IF(OR(V169="",U169=""),"",IF(U169&lt;=0,"",IFERROR(V169/U169-1,"")))</f>
        <v/>
      </c>
      <c r="W171" s="15">
        <f>IF(OR(W169="",V169=""),"",IF(V169&lt;=0,"",IFERROR(W169/V169-1,"")))</f>
        <v/>
      </c>
      <c r="X171" s="15">
        <f>IF(OR(X169="",W169=""),"",IF(W169&lt;=0,"",IFERROR(X169/W169-1,"")))</f>
        <v/>
      </c>
    </row>
    <row r="172">
      <c r="A172" s="18" t="inlineStr">
        <is>
          <t>부문 · Segment Profit Loss</t>
        </is>
      </c>
      <c r="C172" s="20" t="n">
        <v>1343</v>
      </c>
      <c r="D172" s="20" t="n">
        <v>1312</v>
      </c>
      <c r="F172" s="20" t="n">
        <v>616</v>
      </c>
      <c r="G172" s="20" t="n">
        <v>1376</v>
      </c>
      <c r="H172" s="20" t="n">
        <v>1585</v>
      </c>
      <c r="J172" s="20" t="n">
        <v>1650</v>
      </c>
      <c r="K172" s="20" t="n">
        <v>895</v>
      </c>
      <c r="L172" s="20" t="n">
        <v>1608</v>
      </c>
      <c r="N172" s="20" t="n">
        <v>622</v>
      </c>
    </row>
    <row r="173">
      <c r="A173" s="43" t="inlineStr">
        <is>
          <t>OPM</t>
        </is>
      </c>
      <c r="B173" s="3" t="inlineStr">
        <is>
          <t>영업이익 ÷ 매출</t>
        </is>
      </c>
      <c r="C173" s="15">
        <f>IF(OR(C172="",C156=""),"",IF(C156&lt;=0,"",IFERROR(C172/C156,"")))</f>
        <v/>
      </c>
      <c r="D173" s="15">
        <f>IF(OR(D172="",D156=""),"",IF(D156&lt;=0,"",IFERROR(D172/D156,"")))</f>
        <v/>
      </c>
      <c r="F173" s="15">
        <f>IF(OR(F172="",F156=""),"",IF(F156&lt;=0,"",IFERROR(F172/F156,"")))</f>
        <v/>
      </c>
      <c r="G173" s="15">
        <f>IF(OR(G172="",G156=""),"",IF(G156&lt;=0,"",IFERROR(G172/G156,"")))</f>
        <v/>
      </c>
      <c r="H173" s="15">
        <f>IF(OR(H172="",H156=""),"",IF(H156&lt;=0,"",IFERROR(H172/H156,"")))</f>
        <v/>
      </c>
      <c r="J173" s="15">
        <f>IF(OR(J172="",J156=""),"",IF(J156&lt;=0,"",IFERROR(J172/J156,"")))</f>
        <v/>
      </c>
      <c r="K173" s="15">
        <f>IF(OR(K172="",K156=""),"",IF(K156&lt;=0,"",IFERROR(K172/K156,"")))</f>
        <v/>
      </c>
      <c r="L173" s="15">
        <f>IF(OR(L172="",L156=""),"",IF(L156&lt;=0,"",IFERROR(L172/L156,"")))</f>
        <v/>
      </c>
      <c r="N173" s="15">
        <f>IF(OR(N172="",N156=""),"",IF(N156&lt;=0,"",IFERROR(N172/N156,"")))</f>
        <v/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G174" s="15">
        <f>IF(OR(G172="",C172=""),"",IF(C172&lt;=0,"",IFERROR(G172/C172-1,"")))</f>
        <v/>
      </c>
      <c r="H174" s="15">
        <f>IF(OR(H172="",D172=""),"",IF(D172&lt;=0,"",IFERROR(H172/D172-1,"")))</f>
        <v/>
      </c>
      <c r="J174" s="15">
        <f>IF(OR(J172="",F172=""),"",IF(F172&lt;=0,"",IFERROR(J172/F172-1,"")))</f>
        <v/>
      </c>
      <c r="K174" s="15">
        <f>IF(OR(K172="",G172=""),"",IF(G172&lt;=0,"",IFERROR(K172/G172-1,"")))</f>
        <v/>
      </c>
      <c r="L174" s="15">
        <f>IF(OR(L172="",H172=""),"",IF(H172&lt;=0,"",IFERROR(L172/H172-1,"")))</f>
        <v/>
      </c>
      <c r="N174" s="15">
        <f>IF(OR(N172="",J172=""),"",IF(J172&lt;=0,"",IFERROR(N172/J172-1,"")))</f>
        <v/>
      </c>
    </row>
    <row r="175">
      <c r="A175" s="18" t="inlineStr">
        <is>
          <t xml:space="preserve">  · Segment Profit Loss</t>
        </is>
      </c>
      <c r="C175" s="20" t="n">
        <v>-369</v>
      </c>
      <c r="D175" s="20" t="n">
        <v>-326</v>
      </c>
      <c r="E175" s="20" t="n">
        <v>-71</v>
      </c>
      <c r="F175" s="20" t="n">
        <v>745</v>
      </c>
      <c r="G175" s="20" t="n">
        <v>220</v>
      </c>
      <c r="H175" s="20" t="n">
        <v>748</v>
      </c>
      <c r="I175" s="20" t="n">
        <v>136</v>
      </c>
      <c r="J175" s="20" t="n">
        <v>422</v>
      </c>
      <c r="K175" s="20" t="n">
        <v>104</v>
      </c>
      <c r="L175" s="20" t="n">
        <v>571</v>
      </c>
      <c r="M175" s="20" t="n">
        <v>1420</v>
      </c>
      <c r="N175" s="20" t="n">
        <v>1304</v>
      </c>
      <c r="V175" s="20" t="n">
        <v>-71</v>
      </c>
      <c r="W175" s="20" t="n">
        <v>136</v>
      </c>
      <c r="X175" s="20" t="n">
        <v>1420</v>
      </c>
    </row>
    <row r="176">
      <c r="A176" s="43" t="inlineStr">
        <is>
          <t>OPM</t>
        </is>
      </c>
      <c r="B176" s="3" t="inlineStr">
        <is>
          <t>영업이익 ÷ 매출</t>
        </is>
      </c>
      <c r="C176" s="15">
        <f>IF(OR(C175="",C158=""),"",IF(C158&lt;=0,"",IFERROR(C175/C158,"")))</f>
        <v/>
      </c>
      <c r="D176" s="15">
        <f>IF(OR(D175="",D158=""),"",IF(D158&lt;=0,"",IFERROR(D175/D158,"")))</f>
        <v/>
      </c>
      <c r="E176" s="15">
        <f>IF(OR(E175="",E158=""),"",IF(E158&lt;=0,"",IFERROR(E175/E158,"")))</f>
        <v/>
      </c>
      <c r="F176" s="15">
        <f>IF(OR(F175="",F158=""),"",IF(F158&lt;=0,"",IFERROR(F175/F158,"")))</f>
        <v/>
      </c>
      <c r="G176" s="15">
        <f>IF(OR(G175="",G158=""),"",IF(G158&lt;=0,"",IFERROR(G175/G158,"")))</f>
        <v/>
      </c>
      <c r="H176" s="15">
        <f>IF(OR(H175="",H158=""),"",IF(H158&lt;=0,"",IFERROR(H175/H158,"")))</f>
        <v/>
      </c>
      <c r="I176" s="15">
        <f>IF(OR(I175="",I158=""),"",IF(I158&lt;=0,"",IFERROR(I175/I158,"")))</f>
        <v/>
      </c>
      <c r="J176" s="15">
        <f>IF(OR(J175="",J158=""),"",IF(J158&lt;=0,"",IFERROR(J175/J158,"")))</f>
        <v/>
      </c>
      <c r="K176" s="15">
        <f>IF(OR(K175="",K158=""),"",IF(K158&lt;=0,"",IFERROR(K175/K158,"")))</f>
        <v/>
      </c>
      <c r="L176" s="15">
        <f>IF(OR(L175="",L158=""),"",IF(L158&lt;=0,"",IFERROR(L175/L158,"")))</f>
        <v/>
      </c>
      <c r="M176" s="15">
        <f>IF(OR(M175="",M158=""),"",IF(M158&lt;=0,"",IFERROR(M175/M158,"")))</f>
        <v/>
      </c>
      <c r="N176" s="15">
        <f>IF(OR(N175="",N158=""),"",IF(N158&lt;=0,"",IFERROR(N175/N158,"")))</f>
        <v/>
      </c>
      <c r="V176" s="15">
        <f>IF(OR(V175="",V158=""),"",IF(V158&lt;=0,"",IFERROR(V175/V158,"")))</f>
        <v/>
      </c>
      <c r="W176" s="15">
        <f>IF(OR(W175="",W158=""),"",IF(W158&lt;=0,"",IFERROR(W175/W158,"")))</f>
        <v/>
      </c>
      <c r="X176" s="15">
        <f>IF(OR(X175="",X158=""),"",IF(X158&lt;=0,"",IFERROR(X175/X158,"")))</f>
        <v/>
      </c>
    </row>
    <row r="177">
      <c r="A177" s="43" t="inlineStr">
        <is>
          <t>YoY</t>
        </is>
      </c>
      <c r="B177" s="3" t="inlineStr">
        <is>
          <t>전년 같은 분기·전년 대비</t>
        </is>
      </c>
      <c r="G177" s="15">
        <f>IF(OR(G175="",C175=""),"",IF(C175&lt;=0,"",IFERROR(G175/C175-1,"")))</f>
        <v/>
      </c>
      <c r="H177" s="15">
        <f>IF(OR(H175="",D175=""),"",IF(D175&lt;=0,"",IFERROR(H175/D175-1,"")))</f>
        <v/>
      </c>
      <c r="I177" s="15">
        <f>IF(OR(I175="",E175=""),"",IF(E175&lt;=0,"",IFERROR(I175/E175-1,"")))</f>
        <v/>
      </c>
      <c r="J177" s="15">
        <f>IF(OR(J175="",F175=""),"",IF(F175&lt;=0,"",IFERROR(J175/F175-1,"")))</f>
        <v/>
      </c>
      <c r="K177" s="15">
        <f>IF(OR(K175="",G175=""),"",IF(G175&lt;=0,"",IFERROR(K175/G175-1,"")))</f>
        <v/>
      </c>
      <c r="L177" s="15">
        <f>IF(OR(L175="",H175=""),"",IF(H175&lt;=0,"",IFERROR(L175/H175-1,"")))</f>
        <v/>
      </c>
      <c r="M177" s="15">
        <f>IF(OR(M175="",I175=""),"",IF(I175&lt;=0,"",IFERROR(M175/I175-1,"")))</f>
        <v/>
      </c>
      <c r="N177" s="15">
        <f>IF(OR(N175="",J175=""),"",IF(J175&lt;=0,"",IFERROR(N175/J175-1,"")))</f>
        <v/>
      </c>
      <c r="V177" s="15">
        <f>IF(OR(V175="",U175=""),"",IF(U175&lt;=0,"",IFERROR(V175/U175-1,"")))</f>
        <v/>
      </c>
      <c r="W177" s="15">
        <f>IF(OR(W175="",V175=""),"",IF(V175&lt;=0,"",IFERROR(W175/V175-1,"")))</f>
        <v/>
      </c>
      <c r="X177" s="15">
        <f>IF(OR(X175="",W175=""),"",IF(W175&lt;=0,"",IFERROR(X175/W175-1,"")))</f>
        <v/>
      </c>
    </row>
    <row r="178">
      <c r="A178" s="18" t="inlineStr">
        <is>
          <t>보고부문 합계 · Segment Profit Loss</t>
        </is>
      </c>
      <c r="C178" s="20" t="n">
        <v>5495</v>
      </c>
      <c r="D178" s="20" t="n">
        <v>5618</v>
      </c>
      <c r="E178" s="20" t="n">
        <v>3919</v>
      </c>
      <c r="F178" s="20" t="n">
        <v>5908</v>
      </c>
      <c r="G178" s="20" t="n">
        <v>6965</v>
      </c>
      <c r="H178" s="20" t="n">
        <v>5607</v>
      </c>
      <c r="I178" s="20" t="n">
        <v>6829</v>
      </c>
      <c r="J178" s="20" t="n">
        <v>2973</v>
      </c>
      <c r="K178" s="20" t="n">
        <v>5222</v>
      </c>
      <c r="L178" s="20" t="n">
        <v>4981</v>
      </c>
      <c r="M178" s="20" t="n">
        <v>7478</v>
      </c>
      <c r="N178" s="20" t="n">
        <v>1995</v>
      </c>
      <c r="V178" s="20" t="n">
        <v>3919</v>
      </c>
      <c r="W178" s="20" t="n">
        <v>6829</v>
      </c>
      <c r="X178" s="20" t="n">
        <v>7478</v>
      </c>
    </row>
    <row r="179">
      <c r="A179" s="43" t="inlineStr">
        <is>
          <t>OPM</t>
        </is>
      </c>
      <c r="B179" s="3" t="inlineStr">
        <is>
          <t>영업이익 ÷ 매출</t>
        </is>
      </c>
      <c r="C179" s="15">
        <f>IF(OR(C178="",C160=""),"",IF(C160&lt;=0,"",IFERROR(C178/C160,"")))</f>
        <v/>
      </c>
      <c r="D179" s="15">
        <f>IF(OR(D178="",D160=""),"",IF(D160&lt;=0,"",IFERROR(D178/D160,"")))</f>
        <v/>
      </c>
      <c r="E179" s="15">
        <f>IF(OR(E178="",E160=""),"",IF(E160&lt;=0,"",IFERROR(E178/E160,"")))</f>
        <v/>
      </c>
      <c r="F179" s="15">
        <f>IF(OR(F178="",F160=""),"",IF(F160&lt;=0,"",IFERROR(F178/F160,"")))</f>
        <v/>
      </c>
      <c r="G179" s="15">
        <f>IF(OR(G178="",G160=""),"",IF(G160&lt;=0,"",IFERROR(G178/G160,"")))</f>
        <v/>
      </c>
      <c r="H179" s="15">
        <f>IF(OR(H178="",H160=""),"",IF(H160&lt;=0,"",IFERROR(H178/H160,"")))</f>
        <v/>
      </c>
      <c r="I179" s="15">
        <f>IF(OR(I178="",I160=""),"",IF(I160&lt;=0,"",IFERROR(I178/I160,"")))</f>
        <v/>
      </c>
      <c r="J179" s="15">
        <f>IF(OR(J178="",J160=""),"",IF(J160&lt;=0,"",IFERROR(J178/J160,"")))</f>
        <v/>
      </c>
      <c r="K179" s="15">
        <f>IF(OR(K178="",K160=""),"",IF(K160&lt;=0,"",IFERROR(K178/K160,"")))</f>
        <v/>
      </c>
      <c r="L179" s="15">
        <f>IF(OR(L178="",L160=""),"",IF(L160&lt;=0,"",IFERROR(L178/L160,"")))</f>
        <v/>
      </c>
      <c r="M179" s="15">
        <f>IF(OR(M178="",M160=""),"",IF(M160&lt;=0,"",IFERROR(M178/M160,"")))</f>
        <v/>
      </c>
      <c r="N179" s="15">
        <f>IF(OR(N178="",N160=""),"",IF(N160&lt;=0,"",IFERROR(N178/N160,"")))</f>
        <v/>
      </c>
      <c r="V179" s="15">
        <f>IF(OR(V178="",V160=""),"",IF(V160&lt;=0,"",IFERROR(V178/V160,"")))</f>
        <v/>
      </c>
      <c r="W179" s="15">
        <f>IF(OR(W178="",W160=""),"",IF(W160&lt;=0,"",IFERROR(W178/W160,"")))</f>
        <v/>
      </c>
      <c r="X179" s="15">
        <f>IF(OR(X178="",X160=""),"",IF(X160&lt;=0,"",IFERROR(X178/X160,"")))</f>
        <v/>
      </c>
    </row>
    <row r="180">
      <c r="A180" s="43" t="inlineStr">
        <is>
          <t>YoY</t>
        </is>
      </c>
      <c r="B180" s="3" t="inlineStr">
        <is>
          <t>전년 같은 분기·전년 대비</t>
        </is>
      </c>
      <c r="G180" s="15">
        <f>IF(OR(G178="",C178=""),"",IF(C178&lt;=0,"",IFERROR(G178/C178-1,"")))</f>
        <v/>
      </c>
      <c r="H180" s="15">
        <f>IF(OR(H178="",D178=""),"",IF(D178&lt;=0,"",IFERROR(H178/D178-1,"")))</f>
        <v/>
      </c>
      <c r="I180" s="15">
        <f>IF(OR(I178="",E178=""),"",IF(E178&lt;=0,"",IFERROR(I178/E178-1,"")))</f>
        <v/>
      </c>
      <c r="J180" s="15">
        <f>IF(OR(J178="",F178=""),"",IF(F178&lt;=0,"",IFERROR(J178/F178-1,"")))</f>
        <v/>
      </c>
      <c r="K180" s="15">
        <f>IF(OR(K178="",G178=""),"",IF(G178&lt;=0,"",IFERROR(K178/G178-1,"")))</f>
        <v/>
      </c>
      <c r="L180" s="15">
        <f>IF(OR(L178="",H178=""),"",IF(H178&lt;=0,"",IFERROR(L178/H178-1,"")))</f>
        <v/>
      </c>
      <c r="M180" s="15">
        <f>IF(OR(M178="",I178=""),"",IF(I178&lt;=0,"",IFERROR(M178/I178-1,"")))</f>
        <v/>
      </c>
      <c r="N180" s="15">
        <f>IF(OR(N178="",J178=""),"",IF(J178&lt;=0,"",IFERROR(N178/J178-1,"")))</f>
        <v/>
      </c>
      <c r="V180" s="15">
        <f>IF(OR(V178="",U178=""),"",IF(U178&lt;=0,"",IFERROR(V178/U178-1,"")))</f>
        <v/>
      </c>
      <c r="W180" s="15">
        <f>IF(OR(W178="",V178=""),"",IF(V178&lt;=0,"",IFERROR(W178/V178-1,"")))</f>
        <v/>
      </c>
      <c r="X180" s="15">
        <f>IF(OR(X178="",W178=""),"",IF(W178&lt;=0,"",IFERROR(X178/W178-1,"")))</f>
        <v/>
      </c>
    </row>
    <row r="181">
      <c r="A181" s="18" t="inlineStr">
        <is>
          <t>기타 · Segment Profit Loss</t>
        </is>
      </c>
      <c r="C181" s="20" t="n">
        <v>-32</v>
      </c>
      <c r="D181" s="20" t="n">
        <v>-106</v>
      </c>
      <c r="E181" s="20" t="n">
        <v>-224</v>
      </c>
      <c r="F181" s="20" t="n">
        <v>66</v>
      </c>
      <c r="G181" s="20" t="n">
        <v>76</v>
      </c>
      <c r="H181" s="20" t="n">
        <v>-55</v>
      </c>
      <c r="I181" s="20" t="n">
        <v>-88</v>
      </c>
      <c r="J181" s="20" t="n">
        <v>78</v>
      </c>
      <c r="K181" s="20" t="n">
        <v>46</v>
      </c>
      <c r="L181" s="20" t="n">
        <v>19</v>
      </c>
      <c r="M181" s="20" t="n">
        <v>83</v>
      </c>
      <c r="N181" s="20" t="n">
        <v>11</v>
      </c>
      <c r="V181" s="20" t="n">
        <v>-224</v>
      </c>
      <c r="W181" s="20" t="n">
        <v>-88</v>
      </c>
      <c r="X181" s="20" t="n">
        <v>83</v>
      </c>
    </row>
    <row r="182">
      <c r="A182" s="43" t="inlineStr">
        <is>
          <t>OPM</t>
        </is>
      </c>
      <c r="B182" s="3" t="inlineStr">
        <is>
          <t>영업이익 ÷ 매출</t>
        </is>
      </c>
      <c r="C182" s="15">
        <f>IF(OR(C181="",C162=""),"",IF(C162&lt;=0,"",IFERROR(C181/C162,"")))</f>
        <v/>
      </c>
      <c r="D182" s="15">
        <f>IF(OR(D181="",D162=""),"",IF(D162&lt;=0,"",IFERROR(D181/D162,"")))</f>
        <v/>
      </c>
      <c r="E182" s="15">
        <f>IF(OR(E181="",E162=""),"",IF(E162&lt;=0,"",IFERROR(E181/E162,"")))</f>
        <v/>
      </c>
      <c r="F182" s="15">
        <f>IF(OR(F181="",F162=""),"",IF(F162&lt;=0,"",IFERROR(F181/F162,"")))</f>
        <v/>
      </c>
      <c r="G182" s="15">
        <f>IF(OR(G181="",G162=""),"",IF(G162&lt;=0,"",IFERROR(G181/G162,"")))</f>
        <v/>
      </c>
      <c r="H182" s="15">
        <f>IF(OR(H181="",H162=""),"",IF(H162&lt;=0,"",IFERROR(H181/H162,"")))</f>
        <v/>
      </c>
      <c r="I182" s="15">
        <f>IF(OR(I181="",I162=""),"",IF(I162&lt;=0,"",IFERROR(I181/I162,"")))</f>
        <v/>
      </c>
      <c r="J182" s="15">
        <f>IF(OR(J181="",J162=""),"",IF(J162&lt;=0,"",IFERROR(J181/J162,"")))</f>
        <v/>
      </c>
      <c r="K182" s="15">
        <f>IF(OR(K181="",K162=""),"",IF(K162&lt;=0,"",IFERROR(K181/K162,"")))</f>
        <v/>
      </c>
      <c r="L182" s="15">
        <f>IF(OR(L181="",L162=""),"",IF(L162&lt;=0,"",IFERROR(L181/L162,"")))</f>
        <v/>
      </c>
      <c r="M182" s="15">
        <f>IF(OR(M181="",M162=""),"",IF(M162&lt;=0,"",IFERROR(M181/M162,"")))</f>
        <v/>
      </c>
      <c r="N182" s="15">
        <f>IF(OR(N181="",N162=""),"",IF(N162&lt;=0,"",IFERROR(N181/N162,"")))</f>
        <v/>
      </c>
      <c r="V182" s="15">
        <f>IF(OR(V181="",V162=""),"",IF(V162&lt;=0,"",IFERROR(V181/V162,"")))</f>
        <v/>
      </c>
      <c r="W182" s="15">
        <f>IF(OR(W181="",W162=""),"",IF(W162&lt;=0,"",IFERROR(W181/W162,"")))</f>
        <v/>
      </c>
      <c r="X182" s="15">
        <f>IF(OR(X181="",X162=""),"",IF(X162&lt;=0,"",IFERROR(X181/X162,"")))</f>
        <v/>
      </c>
    </row>
    <row r="183">
      <c r="A183" s="43" t="inlineStr">
        <is>
          <t>YoY</t>
        </is>
      </c>
      <c r="B183" s="3" t="inlineStr">
        <is>
          <t>전년 같은 분기·전년 대비</t>
        </is>
      </c>
      <c r="G183" s="15">
        <f>IF(OR(G181="",C181=""),"",IF(C181&lt;=0,"",IFERROR(G181/C181-1,"")))</f>
        <v/>
      </c>
      <c r="H183" s="15">
        <f>IF(OR(H181="",D181=""),"",IF(D181&lt;=0,"",IFERROR(H181/D181-1,"")))</f>
        <v/>
      </c>
      <c r="I183" s="15">
        <f>IF(OR(I181="",E181=""),"",IF(E181&lt;=0,"",IFERROR(I181/E181-1,"")))</f>
        <v/>
      </c>
      <c r="J183" s="15">
        <f>IF(OR(J181="",F181=""),"",IF(F181&lt;=0,"",IFERROR(J181/F181-1,"")))</f>
        <v/>
      </c>
      <c r="K183" s="15">
        <f>IF(OR(K181="",G181=""),"",IF(G181&lt;=0,"",IFERROR(K181/G181-1,"")))</f>
        <v/>
      </c>
      <c r="L183" s="15">
        <f>IF(OR(L181="",H181=""),"",IF(H181&lt;=0,"",IFERROR(L181/H181-1,"")))</f>
        <v/>
      </c>
      <c r="M183" s="15">
        <f>IF(OR(M181="",I181=""),"",IF(I181&lt;=0,"",IFERROR(M181/I181-1,"")))</f>
        <v/>
      </c>
      <c r="N183" s="15">
        <f>IF(OR(N181="",J181=""),"",IF(J181&lt;=0,"",IFERROR(N181/J181-1,"")))</f>
        <v/>
      </c>
      <c r="V183" s="15">
        <f>IF(OR(V181="",U181=""),"",IF(U181&lt;=0,"",IFERROR(V181/U181-1,"")))</f>
        <v/>
      </c>
      <c r="W183" s="15">
        <f>IF(OR(W181="",V181=""),"",IF(V181&lt;=0,"",IFERROR(W181/V181-1,"")))</f>
        <v/>
      </c>
      <c r="X183" s="15">
        <f>IF(OR(X181="",W181=""),"",IF(W181&lt;=0,"",IFERROR(X181/W181-1,"")))</f>
        <v/>
      </c>
    </row>
    <row r="184">
      <c r="A184" s="18" t="inlineStr">
        <is>
          <t>합계 · Segment Profit Loss</t>
        </is>
      </c>
      <c r="C184" s="20" t="n">
        <v>5464</v>
      </c>
      <c r="D184" s="20" t="n">
        <v>5512</v>
      </c>
      <c r="E184" s="20" t="n">
        <v>3695</v>
      </c>
      <c r="F184" s="20" t="n">
        <v>5975</v>
      </c>
      <c r="G184" s="20" t="n">
        <v>7040</v>
      </c>
      <c r="H184" s="20" t="n">
        <v>5553</v>
      </c>
      <c r="I184" s="20" t="n">
        <v>6739</v>
      </c>
      <c r="J184" s="20" t="n">
        <v>3052</v>
      </c>
      <c r="K184" s="20" t="n">
        <v>5267</v>
      </c>
      <c r="L184" s="20" t="n">
        <v>5000</v>
      </c>
      <c r="M184" s="20" t="n">
        <v>7561</v>
      </c>
      <c r="N184" s="20" t="n">
        <v>2007</v>
      </c>
      <c r="V184" s="20" t="n">
        <v>3695</v>
      </c>
      <c r="W184" s="20" t="n">
        <v>6739</v>
      </c>
      <c r="X184" s="20" t="n">
        <v>7561</v>
      </c>
    </row>
    <row r="185">
      <c r="A185" s="43" t="inlineStr">
        <is>
          <t>OPM</t>
        </is>
      </c>
      <c r="B185" s="3" t="inlineStr">
        <is>
          <t>영업이익 ÷ 매출</t>
        </is>
      </c>
      <c r="C185" s="15">
        <f>IF(OR(C184="",C164=""),"",IF(C164&lt;=0,"",IFERROR(C184/C164,"")))</f>
        <v/>
      </c>
      <c r="D185" s="15">
        <f>IF(OR(D184="",D164=""),"",IF(D164&lt;=0,"",IFERROR(D184/D164,"")))</f>
        <v/>
      </c>
      <c r="E185" s="15">
        <f>IF(OR(E184="",E164=""),"",IF(E164&lt;=0,"",IFERROR(E184/E164,"")))</f>
        <v/>
      </c>
      <c r="F185" s="15">
        <f>IF(OR(F184="",F164=""),"",IF(F164&lt;=0,"",IFERROR(F184/F164,"")))</f>
        <v/>
      </c>
      <c r="G185" s="15">
        <f>IF(OR(G184="",G164=""),"",IF(G164&lt;=0,"",IFERROR(G184/G164,"")))</f>
        <v/>
      </c>
      <c r="H185" s="15">
        <f>IF(OR(H184="",H164=""),"",IF(H164&lt;=0,"",IFERROR(H184/H164,"")))</f>
        <v/>
      </c>
      <c r="I185" s="15">
        <f>IF(OR(I184="",I164=""),"",IF(I164&lt;=0,"",IFERROR(I184/I164,"")))</f>
        <v/>
      </c>
      <c r="J185" s="15">
        <f>IF(OR(J184="",J164=""),"",IF(J164&lt;=0,"",IFERROR(J184/J164,"")))</f>
        <v/>
      </c>
      <c r="K185" s="15">
        <f>IF(OR(K184="",K164=""),"",IF(K164&lt;=0,"",IFERROR(K184/K164,"")))</f>
        <v/>
      </c>
      <c r="L185" s="15">
        <f>IF(OR(L184="",L164=""),"",IF(L164&lt;=0,"",IFERROR(L184/L164,"")))</f>
        <v/>
      </c>
      <c r="M185" s="15">
        <f>IF(OR(M184="",M164=""),"",IF(M164&lt;=0,"",IFERROR(M184/M164,"")))</f>
        <v/>
      </c>
      <c r="N185" s="15">
        <f>IF(OR(N184="",N164=""),"",IF(N164&lt;=0,"",IFERROR(N184/N164,"")))</f>
        <v/>
      </c>
      <c r="V185" s="15">
        <f>IF(OR(V184="",V164=""),"",IF(V164&lt;=0,"",IFERROR(V184/V164,"")))</f>
        <v/>
      </c>
      <c r="W185" s="15">
        <f>IF(OR(W184="",W164=""),"",IF(W164&lt;=0,"",IFERROR(W184/W164,"")))</f>
        <v/>
      </c>
      <c r="X185" s="15">
        <f>IF(OR(X184="",X164=""),"",IF(X164&lt;=0,"",IFERROR(X184/X164,"")))</f>
        <v/>
      </c>
    </row>
    <row r="186">
      <c r="A186" s="43" t="inlineStr">
        <is>
          <t>YoY</t>
        </is>
      </c>
      <c r="B186" s="3" t="inlineStr">
        <is>
          <t>전년 같은 분기·전년 대비</t>
        </is>
      </c>
      <c r="G186" s="15">
        <f>IF(OR(G184="",C184=""),"",IF(C184&lt;=0,"",IFERROR(G184/C184-1,"")))</f>
        <v/>
      </c>
      <c r="H186" s="15">
        <f>IF(OR(H184="",D184=""),"",IF(D184&lt;=0,"",IFERROR(H184/D184-1,"")))</f>
        <v/>
      </c>
      <c r="I186" s="15">
        <f>IF(OR(I184="",E184=""),"",IF(E184&lt;=0,"",IFERROR(I184/E184-1,"")))</f>
        <v/>
      </c>
      <c r="J186" s="15">
        <f>IF(OR(J184="",F184=""),"",IF(F184&lt;=0,"",IFERROR(J184/F184-1,"")))</f>
        <v/>
      </c>
      <c r="K186" s="15">
        <f>IF(OR(K184="",G184=""),"",IF(G184&lt;=0,"",IFERROR(K184/G184-1,"")))</f>
        <v/>
      </c>
      <c r="L186" s="15">
        <f>IF(OR(L184="",H184=""),"",IF(H184&lt;=0,"",IFERROR(L184/H184-1,"")))</f>
        <v/>
      </c>
      <c r="M186" s="15">
        <f>IF(OR(M184="",I184=""),"",IF(I184&lt;=0,"",IFERROR(M184/I184-1,"")))</f>
        <v/>
      </c>
      <c r="N186" s="15">
        <f>IF(OR(N184="",J184=""),"",IF(J184&lt;=0,"",IFERROR(N184/J184-1,"")))</f>
        <v/>
      </c>
      <c r="V186" s="15">
        <f>IF(OR(V184="",U184=""),"",IF(U184&lt;=0,"",IFERROR(V184/U184-1,"")))</f>
        <v/>
      </c>
      <c r="W186" s="15">
        <f>IF(OR(W184="",V184=""),"",IF(V184&lt;=0,"",IFERROR(W184/V184-1,"")))</f>
        <v/>
      </c>
      <c r="X186" s="15">
        <f>IF(OR(X184="",W184=""),"",IF(W184&lt;=0,"",IFERROR(X184/W184-1,"")))</f>
        <v/>
      </c>
    </row>
    <row r="187">
      <c r="A187" s="18" t="inlineStr">
        <is>
          <t>조정액 · Segment Profit Loss</t>
        </is>
      </c>
      <c r="C187" s="20" t="n">
        <v>0</v>
      </c>
      <c r="D187" s="20" t="n">
        <v>0</v>
      </c>
      <c r="E187" s="20" t="n">
        <v>0</v>
      </c>
      <c r="F187" s="20" t="n">
        <v>0</v>
      </c>
      <c r="G187" s="20" t="n">
        <v>0</v>
      </c>
      <c r="H187" s="20" t="n">
        <v>0</v>
      </c>
      <c r="I187" s="20" t="n">
        <v>0</v>
      </c>
      <c r="J187" s="20" t="n">
        <v>0</v>
      </c>
      <c r="K187" s="20" t="n">
        <v>0</v>
      </c>
      <c r="L187" s="20" t="n">
        <v>0</v>
      </c>
      <c r="M187" s="20" t="n">
        <v>0</v>
      </c>
      <c r="N187" s="20" t="n">
        <v>0</v>
      </c>
      <c r="V187" s="20" t="n">
        <v>0</v>
      </c>
      <c r="W187" s="20" t="n">
        <v>0</v>
      </c>
      <c r="X187" s="20" t="n">
        <v>0</v>
      </c>
    </row>
    <row r="188">
      <c r="A188" s="18" t="inlineStr">
        <is>
          <t>Segment Profit Loss</t>
        </is>
      </c>
      <c r="C188" s="20" t="n">
        <v>5464</v>
      </c>
      <c r="D188" s="20" t="n">
        <v>5512</v>
      </c>
      <c r="E188" s="20" t="n">
        <v>3695</v>
      </c>
      <c r="F188" s="20" t="n">
        <v>5975</v>
      </c>
      <c r="G188" s="20" t="n">
        <v>7040</v>
      </c>
      <c r="H188" s="20" t="n">
        <v>5553</v>
      </c>
      <c r="I188" s="20" t="n">
        <v>6739</v>
      </c>
      <c r="J188" s="20" t="n">
        <v>3052</v>
      </c>
      <c r="K188" s="20" t="n">
        <v>5267</v>
      </c>
      <c r="L188" s="20" t="n">
        <v>5000</v>
      </c>
      <c r="M188" s="20" t="n">
        <v>7561</v>
      </c>
      <c r="N188" s="20" t="n">
        <v>2007</v>
      </c>
      <c r="V188" s="20" t="n">
        <v>3695</v>
      </c>
      <c r="W188" s="20" t="n">
        <v>6739</v>
      </c>
      <c r="X188" s="20" t="n">
        <v>7561</v>
      </c>
    </row>
    <row r="189">
      <c r="A189" s="18" t="inlineStr">
        <is>
          <t>Other Income</t>
        </is>
      </c>
      <c r="C189" s="20" t="n">
        <v>968</v>
      </c>
      <c r="D189" s="20" t="n">
        <v>475</v>
      </c>
      <c r="E189" s="20" t="n">
        <v>2857</v>
      </c>
      <c r="F189" s="20" t="n">
        <v>284</v>
      </c>
      <c r="G189" s="20" t="n">
        <v>1197</v>
      </c>
      <c r="H189" s="20" t="n">
        <v>379</v>
      </c>
      <c r="I189" s="20" t="n">
        <v>369</v>
      </c>
      <c r="J189" s="20" t="n">
        <v>1446</v>
      </c>
      <c r="K189" s="20" t="n">
        <v>357</v>
      </c>
      <c r="L189" s="20" t="n">
        <v>976</v>
      </c>
      <c r="M189" s="20" t="n">
        <v>188</v>
      </c>
      <c r="N189" s="20" t="n">
        <v>229</v>
      </c>
      <c r="V189" s="20" t="n">
        <v>2857</v>
      </c>
      <c r="W189" s="20" t="n">
        <v>369</v>
      </c>
      <c r="X189" s="20" t="n">
        <v>188</v>
      </c>
    </row>
    <row r="190">
      <c r="A190" s="18" t="inlineStr">
        <is>
          <t>기타비용</t>
        </is>
      </c>
      <c r="C190" s="20" t="n">
        <v>1554</v>
      </c>
      <c r="D190" s="20" t="n">
        <v>881</v>
      </c>
      <c r="E190" s="20" t="n">
        <v>3280</v>
      </c>
      <c r="F190" s="20" t="n">
        <v>139</v>
      </c>
      <c r="G190" s="20" t="n">
        <v>1053</v>
      </c>
      <c r="H190" s="20" t="n">
        <v>2400</v>
      </c>
      <c r="I190" s="20" t="n">
        <v>2255</v>
      </c>
      <c r="J190" s="20" t="n">
        <v>215</v>
      </c>
      <c r="K190" s="20" t="n">
        <v>206</v>
      </c>
      <c r="L190" s="20" t="n">
        <v>672</v>
      </c>
      <c r="M190" s="20" t="n">
        <v>1960</v>
      </c>
      <c r="N190" s="20" t="n">
        <v>700</v>
      </c>
      <c r="V190" s="20" t="n">
        <v>3280</v>
      </c>
      <c r="W190" s="20" t="n">
        <v>2255</v>
      </c>
      <c r="X190" s="20" t="n">
        <v>1960</v>
      </c>
    </row>
    <row r="191">
      <c r="A191" s="18" t="inlineStr">
        <is>
          <t>Foreign Exchange Gain Loss</t>
        </is>
      </c>
      <c r="C191" s="20" t="n">
        <v>-83</v>
      </c>
      <c r="D191" s="20" t="n">
        <v>70</v>
      </c>
      <c r="E191" s="20" t="n">
        <v>-29</v>
      </c>
      <c r="F191" s="20" t="n">
        <v>-96</v>
      </c>
      <c r="G191" s="20" t="n">
        <v>347</v>
      </c>
      <c r="H191" s="20" t="n">
        <v>-303</v>
      </c>
      <c r="I191" s="20" t="n">
        <v>154</v>
      </c>
      <c r="J191" s="20" t="n">
        <v>72</v>
      </c>
      <c r="K191" s="20" t="n">
        <v>-140</v>
      </c>
      <c r="L191" s="20" t="n">
        <v>-67</v>
      </c>
      <c r="M191" s="20" t="n">
        <v>-119</v>
      </c>
      <c r="N191" s="20" t="n">
        <v>-10</v>
      </c>
      <c r="V191" s="20" t="n">
        <v>-29</v>
      </c>
      <c r="W191" s="20" t="n">
        <v>154</v>
      </c>
      <c r="X191" s="20" t="n">
        <v>-119</v>
      </c>
    </row>
    <row r="192">
      <c r="A192" s="18" t="inlineStr">
        <is>
          <t>영업이익</t>
        </is>
      </c>
      <c r="C192" s="20" t="n">
        <v>4795</v>
      </c>
      <c r="D192" s="20" t="n">
        <v>5175</v>
      </c>
      <c r="E192" s="20" t="n">
        <v>3244</v>
      </c>
      <c r="F192" s="20" t="n">
        <v>6022</v>
      </c>
      <c r="G192" s="20" t="n">
        <v>7534</v>
      </c>
      <c r="H192" s="20" t="n">
        <v>3227</v>
      </c>
      <c r="I192" s="20" t="n">
        <v>5009</v>
      </c>
      <c r="J192" s="20" t="n">
        <v>4356</v>
      </c>
      <c r="K192" s="20" t="n">
        <v>5277</v>
      </c>
      <c r="L192" s="20" t="n">
        <v>5237</v>
      </c>
      <c r="M192" s="20" t="n">
        <v>5670</v>
      </c>
      <c r="N192" s="20" t="n">
        <v>1526</v>
      </c>
      <c r="V192" s="20" t="n">
        <v>3244</v>
      </c>
      <c r="W192" s="20" t="n">
        <v>5009</v>
      </c>
      <c r="X192" s="20" t="n">
        <v>5670</v>
      </c>
    </row>
    <row r="193">
      <c r="A193" s="43" t="inlineStr">
        <is>
          <t>OPM</t>
        </is>
      </c>
      <c r="B193" s="3" t="inlineStr">
        <is>
          <t>영업이익 ÷ 매출</t>
        </is>
      </c>
      <c r="C193" s="15">
        <f>IF(OR(C192="",C144=""),"",IF(C144&lt;=0,"",IFERROR(C192/C144,"")))</f>
        <v/>
      </c>
      <c r="D193" s="15">
        <f>IF(OR(D192="",D144=""),"",IF(D144&lt;=0,"",IFERROR(D192/D144,"")))</f>
        <v/>
      </c>
      <c r="E193" s="15">
        <f>IF(OR(E192="",E144=""),"",IF(E144&lt;=0,"",IFERROR(E192/E144,"")))</f>
        <v/>
      </c>
      <c r="F193" s="15">
        <f>IF(OR(F192="",F144=""),"",IF(F144&lt;=0,"",IFERROR(F192/F144,"")))</f>
        <v/>
      </c>
      <c r="G193" s="15">
        <f>IF(OR(G192="",G144=""),"",IF(G144&lt;=0,"",IFERROR(G192/G144,"")))</f>
        <v/>
      </c>
      <c r="H193" s="15">
        <f>IF(OR(H192="",H144=""),"",IF(H144&lt;=0,"",IFERROR(H192/H144,"")))</f>
        <v/>
      </c>
      <c r="I193" s="15">
        <f>IF(OR(I192="",I144=""),"",IF(I144&lt;=0,"",IFERROR(I192/I144,"")))</f>
        <v/>
      </c>
      <c r="J193" s="15">
        <f>IF(OR(J192="",J144=""),"",IF(J144&lt;=0,"",IFERROR(J192/J144,"")))</f>
        <v/>
      </c>
      <c r="K193" s="15">
        <f>IF(OR(K192="",K144=""),"",IF(K144&lt;=0,"",IFERROR(K192/K144,"")))</f>
        <v/>
      </c>
      <c r="L193" s="15">
        <f>IF(OR(L192="",L144=""),"",IF(L144&lt;=0,"",IFERROR(L192/L144,"")))</f>
        <v/>
      </c>
      <c r="M193" s="15">
        <f>IF(OR(M192="",M144=""),"",IF(M144&lt;=0,"",IFERROR(M192/M144,"")))</f>
        <v/>
      </c>
      <c r="N193" s="15">
        <f>IF(OR(N192="",N144=""),"",IF(N144&lt;=0,"",IFERROR(N192/N144,"")))</f>
        <v/>
      </c>
      <c r="V193" s="15">
        <f>IF(OR(V192="",V144=""),"",IF(V144&lt;=0,"",IFERROR(V192/V144,"")))</f>
        <v/>
      </c>
      <c r="W193" s="15">
        <f>IF(OR(W192="",W144=""),"",IF(W144&lt;=0,"",IFERROR(W192/W144,"")))</f>
        <v/>
      </c>
      <c r="X193" s="15">
        <f>IF(OR(X192="",X144=""),"",IF(X144&lt;=0,"",IFERROR(X192/X144,"")))</f>
        <v/>
      </c>
    </row>
    <row r="194">
      <c r="A194" s="43" t="inlineStr">
        <is>
          <t>YoY</t>
        </is>
      </c>
      <c r="B194" s="3" t="inlineStr">
        <is>
          <t>전년 같은 분기·전년 대비</t>
        </is>
      </c>
      <c r="G194" s="15">
        <f>IF(OR(G192="",C192=""),"",IF(C192&lt;=0,"",IFERROR(G192/C192-1,"")))</f>
        <v/>
      </c>
      <c r="H194" s="15">
        <f>IF(OR(H192="",D192=""),"",IF(D192&lt;=0,"",IFERROR(H192/D192-1,"")))</f>
        <v/>
      </c>
      <c r="I194" s="15">
        <f>IF(OR(I192="",E192=""),"",IF(E192&lt;=0,"",IFERROR(I192/E192-1,"")))</f>
        <v/>
      </c>
      <c r="J194" s="15">
        <f>IF(OR(J192="",F192=""),"",IF(F192&lt;=0,"",IFERROR(J192/F192-1,"")))</f>
        <v/>
      </c>
      <c r="K194" s="15">
        <f>IF(OR(K192="",G192=""),"",IF(G192&lt;=0,"",IFERROR(K192/G192-1,"")))</f>
        <v/>
      </c>
      <c r="L194" s="15">
        <f>IF(OR(L192="",H192=""),"",IF(H192&lt;=0,"",IFERROR(L192/H192-1,"")))</f>
        <v/>
      </c>
      <c r="M194" s="15">
        <f>IF(OR(M192="",I192=""),"",IF(I192&lt;=0,"",IFERROR(M192/I192-1,"")))</f>
        <v/>
      </c>
      <c r="N194" s="15">
        <f>IF(OR(N192="",J192=""),"",IF(J192&lt;=0,"",IFERROR(N192/J192-1,"")))</f>
        <v/>
      </c>
      <c r="V194" s="15">
        <f>IF(OR(V192="",U192=""),"",IF(U192&lt;=0,"",IFERROR(V192/U192-1,"")))</f>
        <v/>
      </c>
      <c r="W194" s="15">
        <f>IF(OR(W192="",V192=""),"",IF(V192&lt;=0,"",IFERROR(W192/V192-1,"")))</f>
        <v/>
      </c>
      <c r="X194" s="15">
        <f>IF(OR(X192="",W192=""),"",IF(W192&lt;=0,"",IFERROR(X192/W192-1,"")))</f>
        <v/>
      </c>
    </row>
    <row r="195">
      <c r="A195" s="18" t="inlineStr">
        <is>
          <t>금융수익</t>
        </is>
      </c>
      <c r="C195" s="20" t="n">
        <v>209</v>
      </c>
      <c r="D195" s="20" t="n">
        <v>216</v>
      </c>
      <c r="E195" s="20" t="n">
        <v>281</v>
      </c>
      <c r="F195" s="20" t="n">
        <v>298</v>
      </c>
      <c r="G195" s="20" t="n">
        <v>286</v>
      </c>
      <c r="H195" s="20" t="n">
        <v>265</v>
      </c>
      <c r="I195" s="20" t="n">
        <v>321</v>
      </c>
      <c r="J195" s="20" t="n">
        <v>293</v>
      </c>
      <c r="K195" s="20" t="n">
        <v>223</v>
      </c>
      <c r="L195" s="20" t="n">
        <v>207</v>
      </c>
      <c r="M195" s="20" t="n">
        <v>274</v>
      </c>
      <c r="N195" s="20" t="n">
        <v>281</v>
      </c>
      <c r="V195" s="20" t="n">
        <v>281</v>
      </c>
      <c r="W195" s="20" t="n">
        <v>321</v>
      </c>
      <c r="X195" s="20" t="n">
        <v>274</v>
      </c>
    </row>
    <row r="196">
      <c r="A196" s="18" t="inlineStr">
        <is>
          <t>금융비용</t>
        </is>
      </c>
      <c r="C196" s="20" t="n">
        <v>382</v>
      </c>
      <c r="D196" s="20" t="n">
        <v>408</v>
      </c>
      <c r="E196" s="20" t="n">
        <v>369</v>
      </c>
      <c r="F196" s="20" t="n">
        <v>360</v>
      </c>
      <c r="G196" s="20" t="n">
        <v>337</v>
      </c>
      <c r="H196" s="20" t="n">
        <v>348</v>
      </c>
      <c r="I196" s="20" t="n">
        <v>397</v>
      </c>
      <c r="J196" s="20" t="n">
        <v>328</v>
      </c>
      <c r="K196" s="20" t="n">
        <v>333</v>
      </c>
      <c r="L196" s="20" t="n">
        <v>326</v>
      </c>
      <c r="M196" s="20" t="n">
        <v>460</v>
      </c>
      <c r="N196" s="20" t="n">
        <v>477</v>
      </c>
      <c r="V196" s="20" t="n">
        <v>369</v>
      </c>
      <c r="W196" s="20" t="n">
        <v>397</v>
      </c>
      <c r="X196" s="20" t="n">
        <v>460</v>
      </c>
    </row>
    <row r="197">
      <c r="A197" s="18" t="inlineStr">
        <is>
          <t>Share Of Profit Loss Of Investments Accounted For Using Equity Method</t>
        </is>
      </c>
      <c r="C197" s="20" t="n">
        <v>245</v>
      </c>
      <c r="D197" s="20" t="n">
        <v>209</v>
      </c>
      <c r="E197" s="20" t="n">
        <v>157</v>
      </c>
      <c r="F197" s="20" t="n">
        <v>989</v>
      </c>
      <c r="G197" s="20" t="n">
        <v>41</v>
      </c>
      <c r="H197" s="20" t="n">
        <v>659</v>
      </c>
      <c r="I197" s="20" t="n">
        <v>279</v>
      </c>
      <c r="J197" s="20" t="n">
        <v>569</v>
      </c>
      <c r="K197" s="20" t="n">
        <v>234</v>
      </c>
      <c r="L197" s="20" t="n">
        <v>613</v>
      </c>
      <c r="M197" s="20" t="n">
        <v>153</v>
      </c>
      <c r="N197" s="20" t="n">
        <v>493</v>
      </c>
      <c r="V197" s="20" t="n">
        <v>157</v>
      </c>
      <c r="W197" s="20" t="n">
        <v>279</v>
      </c>
      <c r="X197" s="20" t="n">
        <v>153</v>
      </c>
    </row>
    <row r="198">
      <c r="A198" s="9" t="inlineStr">
        <is>
          <t>법인세비용차감전 중간이익</t>
        </is>
      </c>
      <c r="C198" s="12" t="n">
        <v>4867</v>
      </c>
      <c r="D198" s="12" t="n">
        <v>5192</v>
      </c>
      <c r="E198" s="12" t="n">
        <v>3313</v>
      </c>
      <c r="F198" s="12" t="n">
        <v>6950</v>
      </c>
      <c r="G198" s="12" t="n">
        <v>7523</v>
      </c>
      <c r="H198" s="12" t="n">
        <v>3803</v>
      </c>
      <c r="I198" s="12" t="n">
        <v>5214</v>
      </c>
      <c r="J198" s="12" t="n">
        <v>4891</v>
      </c>
      <c r="K198" s="12" t="n">
        <v>5401</v>
      </c>
      <c r="L198" s="12" t="n">
        <v>5730</v>
      </c>
      <c r="M198" s="12" t="n">
        <v>5638</v>
      </c>
      <c r="N198" s="12" t="n">
        <v>1823</v>
      </c>
      <c r="V198" s="12" t="n">
        <v>3313</v>
      </c>
      <c r="W198" s="12" t="n">
        <v>5214</v>
      </c>
      <c r="X198" s="12" t="n">
        <v>5638</v>
      </c>
    </row>
    <row r="200">
      <c r="A200" s="16" t="inlineStr">
        <is>
          <t>현금흐름표 · 전 항목</t>
        </is>
      </c>
      <c r="B200" s="42" t="inlineStr">
        <is>
          <t>분기 = 결산기 첫날부터 누계(공시 그대로)</t>
        </is>
      </c>
      <c r="C200" s="16" t="n"/>
      <c r="D200" s="16" t="n"/>
      <c r="E200" s="16" t="n"/>
      <c r="F200" s="16" t="n"/>
      <c r="G200" s="16" t="n"/>
      <c r="H200" s="16" t="n"/>
      <c r="I200" s="16" t="n"/>
      <c r="J200" s="16" t="n"/>
      <c r="K200" s="16" t="n"/>
      <c r="L200" s="16" t="n"/>
      <c r="M200" s="16" t="n"/>
      <c r="N200" s="16" t="n"/>
      <c r="O200" s="16" t="n"/>
      <c r="P200" s="16" t="n"/>
      <c r="Q200" s="16" t="n"/>
      <c r="R200" s="16" t="n"/>
      <c r="S200" s="16" t="n"/>
      <c r="T200" s="16" t="n"/>
      <c r="U200" s="16" t="n"/>
      <c r="V200" s="16" t="n"/>
      <c r="W200" s="16" t="n"/>
      <c r="X200" s="16" t="n"/>
      <c r="Y200" s="16" t="n"/>
      <c r="Z200" s="16" t="n"/>
      <c r="AA200" s="16" t="n"/>
      <c r="AB200" s="16" t="n"/>
      <c r="AC200" s="16" t="n"/>
    </row>
    <row r="201">
      <c r="A201" s="5" t="inlineStr">
        <is>
          <t>항목</t>
        </is>
      </c>
      <c r="B201" s="5" t="inlineStr">
        <is>
          <t>참고</t>
        </is>
      </c>
      <c r="C201" s="5" t="inlineStr">
        <is>
          <t>2024.2Q</t>
        </is>
      </c>
      <c r="D201" s="5" t="inlineStr">
        <is>
          <t>2024.3Q</t>
        </is>
      </c>
      <c r="E201" s="5" t="inlineStr">
        <is>
          <t>2024.4Q</t>
        </is>
      </c>
      <c r="F201" s="5" t="inlineStr">
        <is>
          <t>2025.1Q</t>
        </is>
      </c>
      <c r="G201" s="5" t="inlineStr">
        <is>
          <t>2025.2Q</t>
        </is>
      </c>
      <c r="H201" s="5" t="inlineStr">
        <is>
          <t>2025.3Q</t>
        </is>
      </c>
      <c r="I201" s="5" t="inlineStr">
        <is>
          <t>2025.4Q</t>
        </is>
      </c>
      <c r="J201" s="5" t="inlineStr">
        <is>
          <t>2026.1Q</t>
        </is>
      </c>
      <c r="K201" s="5" t="inlineStr">
        <is>
          <t>2026.2Q</t>
        </is>
      </c>
      <c r="L201" s="5" t="inlineStr">
        <is>
          <t>2026.3Q</t>
        </is>
      </c>
      <c r="M201" s="5" t="inlineStr">
        <is>
          <t>2026.4Q</t>
        </is>
      </c>
      <c r="N201" s="5" t="inlineStr">
        <is>
          <t>2027.1Q</t>
        </is>
      </c>
      <c r="O201" s="5" t="inlineStr">
        <is>
          <t>2017</t>
        </is>
      </c>
      <c r="P201" s="5" t="inlineStr">
        <is>
          <t>2018</t>
        </is>
      </c>
      <c r="Q201" s="5" t="inlineStr">
        <is>
          <t>2019</t>
        </is>
      </c>
      <c r="R201" s="5" t="inlineStr">
        <is>
          <t>2020</t>
        </is>
      </c>
      <c r="S201" s="5" t="inlineStr">
        <is>
          <t>2021</t>
        </is>
      </c>
      <c r="T201" s="5" t="inlineStr">
        <is>
          <t>2022</t>
        </is>
      </c>
      <c r="U201" s="5" t="inlineStr">
        <is>
          <t>2023</t>
        </is>
      </c>
      <c r="V201" s="5" t="inlineStr">
        <is>
          <t>2024</t>
        </is>
      </c>
      <c r="W201" s="5" t="inlineStr">
        <is>
          <t>2025</t>
        </is>
      </c>
      <c r="X201" s="5" t="inlineStr">
        <is>
          <t>2026</t>
        </is>
      </c>
      <c r="Y201" s="5" t="inlineStr">
        <is>
          <t>2027(MW)</t>
        </is>
      </c>
      <c r="Z201" s="5" t="inlineStr">
        <is>
          <t>2028(MW)</t>
        </is>
      </c>
      <c r="AA201" s="5" t="inlineStr">
        <is>
          <t>2029(MW)</t>
        </is>
      </c>
      <c r="AB201" s="5" t="inlineStr">
        <is>
          <t>2030(MW)</t>
        </is>
      </c>
      <c r="AC201" s="5" t="inlineStr">
        <is>
          <t>2031(MW)</t>
        </is>
      </c>
    </row>
    <row r="202">
      <c r="A202" s="9" t="inlineStr">
        <is>
          <t>법인세비용차감전 중간이익</t>
        </is>
      </c>
      <c r="C202" s="12" t="n">
        <v>9740</v>
      </c>
      <c r="D202" s="12" t="n">
        <v>14932</v>
      </c>
      <c r="E202" s="12" t="n">
        <v>18245</v>
      </c>
      <c r="F202" s="12" t="n">
        <v>6950</v>
      </c>
      <c r="G202" s="12" t="n">
        <v>14473</v>
      </c>
      <c r="H202" s="12" t="n">
        <v>18276</v>
      </c>
      <c r="I202" s="12" t="n">
        <v>23490</v>
      </c>
      <c r="J202" s="12" t="n">
        <v>4891</v>
      </c>
      <c r="K202" s="12" t="n">
        <v>10292</v>
      </c>
      <c r="L202" s="12" t="n">
        <v>16022</v>
      </c>
      <c r="M202" s="12" t="n">
        <v>21660</v>
      </c>
      <c r="N202" s="12" t="n">
        <v>1823</v>
      </c>
      <c r="P202" s="12" t="n">
        <v>5940</v>
      </c>
      <c r="Q202" s="12" t="n">
        <v>6401</v>
      </c>
      <c r="R202" s="12" t="n">
        <v>2877</v>
      </c>
      <c r="S202" s="12" t="n">
        <v>4533</v>
      </c>
      <c r="T202" s="12" t="n">
        <v>8515</v>
      </c>
      <c r="U202" s="12" t="n">
        <v>21161</v>
      </c>
      <c r="V202" s="12" t="n">
        <v>18245</v>
      </c>
      <c r="W202" s="12" t="n">
        <v>23490</v>
      </c>
      <c r="X202" s="12" t="n">
        <v>21660</v>
      </c>
    </row>
    <row r="203">
      <c r="A203" s="18" t="inlineStr">
        <is>
          <t>감가상각비 및 상각비</t>
        </is>
      </c>
      <c r="C203" s="20" t="n">
        <v>8997</v>
      </c>
      <c r="D203" s="20" t="n">
        <v>13554</v>
      </c>
      <c r="E203" s="20" t="n">
        <v>18182</v>
      </c>
      <c r="F203" s="20" t="n">
        <v>4375</v>
      </c>
      <c r="G203" s="20" t="n">
        <v>8737</v>
      </c>
      <c r="H203" s="20" t="n">
        <v>13040</v>
      </c>
      <c r="I203" s="20" t="n">
        <v>17292</v>
      </c>
      <c r="J203" s="20" t="n">
        <v>4239</v>
      </c>
      <c r="K203" s="20" t="n">
        <v>8579</v>
      </c>
      <c r="L203" s="20" t="n">
        <v>13155</v>
      </c>
      <c r="M203" s="20" t="n">
        <v>17967</v>
      </c>
      <c r="N203" s="20" t="n">
        <v>5115</v>
      </c>
      <c r="P203" s="20" t="n">
        <v>16862</v>
      </c>
      <c r="Q203" s="20" t="n">
        <v>17794</v>
      </c>
      <c r="R203" s="20" t="n">
        <v>20199</v>
      </c>
      <c r="S203" s="20" t="n">
        <v>19316</v>
      </c>
      <c r="T203" s="20" t="n">
        <v>17120</v>
      </c>
      <c r="U203" s="20" t="n">
        <v>17615</v>
      </c>
      <c r="V203" s="20" t="n">
        <v>18182</v>
      </c>
      <c r="W203" s="20" t="n">
        <v>17292</v>
      </c>
      <c r="X203" s="20" t="n">
        <v>17967</v>
      </c>
    </row>
    <row r="204">
      <c r="A204" s="18" t="inlineStr">
        <is>
          <t>손상차손</t>
        </is>
      </c>
      <c r="P204" s="20" t="n">
        <v>1553</v>
      </c>
      <c r="Q204" s="20" t="n">
        <v>1012</v>
      </c>
      <c r="R204" s="20" t="n">
        <v>1425</v>
      </c>
      <c r="S204" s="20" t="n">
        <v>2767</v>
      </c>
    </row>
    <row r="205">
      <c r="A205" s="18" t="inlineStr">
        <is>
          <t>손상차손 환입이익</t>
        </is>
      </c>
      <c r="P205" s="20" t="n">
        <v>-404</v>
      </c>
      <c r="Q205" s="20" t="n">
        <v>-15</v>
      </c>
    </row>
    <row r="206">
      <c r="A206" s="18" t="inlineStr">
        <is>
          <t>손상차손</t>
        </is>
      </c>
      <c r="D206" s="20" t="n">
        <v>421</v>
      </c>
      <c r="E206" s="20" t="n">
        <v>2993</v>
      </c>
      <c r="H206" s="20" t="n">
        <v>47</v>
      </c>
      <c r="I206" s="20" t="n">
        <v>1951</v>
      </c>
      <c r="M206" s="20" t="n">
        <v>701</v>
      </c>
      <c r="S206" s="20" t="n">
        <v>2767</v>
      </c>
      <c r="T206" s="20" t="n">
        <v>948</v>
      </c>
      <c r="U206" s="20" t="n">
        <v>2450</v>
      </c>
      <c r="V206" s="20" t="n">
        <v>2993</v>
      </c>
      <c r="W206" s="20" t="n">
        <v>1951</v>
      </c>
      <c r="X206" s="20" t="n">
        <v>701</v>
      </c>
    </row>
    <row r="207">
      <c r="A207" s="18" t="inlineStr">
        <is>
          <t>퇴직급여부채 증감</t>
        </is>
      </c>
      <c r="C207" s="20" t="n">
        <v>-307</v>
      </c>
      <c r="D207" s="20" t="n">
        <v>-472</v>
      </c>
      <c r="E207" s="20" t="n">
        <v>-952</v>
      </c>
      <c r="F207" s="20" t="n">
        <v>-627</v>
      </c>
      <c r="G207" s="20" t="n">
        <v>-640</v>
      </c>
      <c r="H207" s="20" t="n">
        <v>-1054</v>
      </c>
      <c r="I207" s="20" t="n">
        <v>-1359</v>
      </c>
      <c r="J207" s="20" t="n">
        <v>-146</v>
      </c>
      <c r="K207" s="20" t="n">
        <v>-435</v>
      </c>
      <c r="L207" s="20" t="n">
        <v>-669</v>
      </c>
      <c r="M207" s="20" t="n">
        <v>-1083</v>
      </c>
      <c r="N207" s="20" t="n">
        <v>-717</v>
      </c>
      <c r="P207" s="20" t="n">
        <v>236</v>
      </c>
      <c r="Q207" s="20" t="n">
        <v>-212</v>
      </c>
      <c r="R207" s="20" t="n">
        <v>-1560</v>
      </c>
      <c r="S207" s="20" t="n">
        <v>-429</v>
      </c>
      <c r="T207" s="20" t="n">
        <v>-1637</v>
      </c>
      <c r="U207" s="20" t="n">
        <v>-1952</v>
      </c>
      <c r="V207" s="20" t="n">
        <v>-952</v>
      </c>
      <c r="W207" s="20" t="n">
        <v>-1359</v>
      </c>
      <c r="X207" s="20" t="n">
        <v>-1083</v>
      </c>
    </row>
    <row r="208">
      <c r="A208" s="18" t="inlineStr">
        <is>
          <t>퇴직급여자산 증감</t>
        </is>
      </c>
      <c r="C208" s="20" t="n">
        <v>141</v>
      </c>
      <c r="D208" s="20" t="n">
        <v>220</v>
      </c>
      <c r="E208" s="20" t="n">
        <v>293</v>
      </c>
      <c r="F208" s="20" t="n">
        <v>53</v>
      </c>
      <c r="G208" s="20" t="n">
        <v>108</v>
      </c>
      <c r="H208" s="20" t="n">
        <v>167</v>
      </c>
      <c r="I208" s="20" t="n">
        <v>211</v>
      </c>
      <c r="J208" s="20" t="n">
        <v>31</v>
      </c>
      <c r="K208" s="20" t="n">
        <v>62</v>
      </c>
      <c r="L208" s="20" t="n">
        <v>90</v>
      </c>
      <c r="M208" s="20" t="n">
        <v>97</v>
      </c>
      <c r="N208" s="20" t="n">
        <v>13</v>
      </c>
      <c r="P208" s="20" t="n">
        <v>355</v>
      </c>
      <c r="Q208" s="20" t="n">
        <v>497</v>
      </c>
      <c r="R208" s="20" t="n">
        <v>990</v>
      </c>
      <c r="S208" s="20" t="n">
        <v>478</v>
      </c>
      <c r="T208" s="20" t="n">
        <v>466</v>
      </c>
      <c r="U208" s="20" t="n">
        <v>426</v>
      </c>
      <c r="V208" s="20" t="n">
        <v>293</v>
      </c>
      <c r="W208" s="20" t="n">
        <v>211</v>
      </c>
      <c r="X208" s="20" t="n">
        <v>97</v>
      </c>
    </row>
    <row r="209">
      <c r="A209" s="18" t="inlineStr">
        <is>
          <t>금융수익</t>
        </is>
      </c>
      <c r="C209" s="20" t="n">
        <v>-460</v>
      </c>
      <c r="D209" s="20" t="n">
        <v>-676</v>
      </c>
      <c r="E209" s="20" t="n">
        <v>-957</v>
      </c>
      <c r="F209" s="20" t="n">
        <v>-298</v>
      </c>
      <c r="G209" s="20" t="n">
        <v>-584</v>
      </c>
      <c r="H209" s="20" t="n">
        <v>-849</v>
      </c>
      <c r="I209" s="20" t="n">
        <v>-1170</v>
      </c>
      <c r="J209" s="20" t="n">
        <v>-293</v>
      </c>
      <c r="K209" s="20" t="n">
        <v>-516</v>
      </c>
      <c r="L209" s="20" t="n">
        <v>-723</v>
      </c>
      <c r="M209" s="20" t="n">
        <v>-997</v>
      </c>
      <c r="N209" s="20" t="n">
        <v>-281</v>
      </c>
      <c r="P209" s="20" t="n">
        <v>-249</v>
      </c>
      <c r="Q209" s="20" t="n">
        <v>-304</v>
      </c>
      <c r="R209" s="20" t="n">
        <v>-308</v>
      </c>
      <c r="S209" s="20" t="n">
        <v>-566</v>
      </c>
      <c r="T209" s="20" t="n">
        <v>-342</v>
      </c>
      <c r="U209" s="20" t="n">
        <v>-454</v>
      </c>
      <c r="V209" s="20" t="n">
        <v>-957</v>
      </c>
      <c r="W209" s="20" t="n">
        <v>-1170</v>
      </c>
      <c r="X209" s="20" t="n">
        <v>-997</v>
      </c>
    </row>
    <row r="210">
      <c r="A210" s="18" t="inlineStr">
        <is>
          <t>금융비용</t>
        </is>
      </c>
      <c r="C210" s="20" t="n">
        <v>708</v>
      </c>
      <c r="D210" s="20" t="n">
        <v>1116</v>
      </c>
      <c r="E210" s="20" t="n">
        <v>1485</v>
      </c>
      <c r="F210" s="20" t="n">
        <v>360</v>
      </c>
      <c r="G210" s="20" t="n">
        <v>697</v>
      </c>
      <c r="H210" s="20" t="n">
        <v>1045</v>
      </c>
      <c r="I210" s="20" t="n">
        <v>1442</v>
      </c>
      <c r="J210" s="20" t="n">
        <v>328</v>
      </c>
      <c r="K210" s="20" t="n">
        <v>661</v>
      </c>
      <c r="L210" s="20" t="n">
        <v>987</v>
      </c>
      <c r="M210" s="20" t="n">
        <v>1447</v>
      </c>
      <c r="N210" s="20" t="n">
        <v>477</v>
      </c>
      <c r="P210" s="20" t="n">
        <v>1346</v>
      </c>
      <c r="Q210" s="20" t="n">
        <v>1076</v>
      </c>
      <c r="R210" s="20" t="n">
        <v>1163</v>
      </c>
      <c r="S210" s="20" t="n">
        <v>1153</v>
      </c>
      <c r="T210" s="20" t="n">
        <v>1051</v>
      </c>
      <c r="U210" s="20" t="n">
        <v>1221</v>
      </c>
      <c r="V210" s="20" t="n">
        <v>1485</v>
      </c>
      <c r="W210" s="20" t="n">
        <v>1442</v>
      </c>
      <c r="X210" s="20" t="n">
        <v>1447</v>
      </c>
    </row>
    <row r="211">
      <c r="A211" s="18" t="inlineStr">
        <is>
          <t>Sales Of Available For Sale Financial Assets</t>
        </is>
      </c>
      <c r="P211" s="20" t="n">
        <v>-708</v>
      </c>
      <c r="Q211" s="20" t="n">
        <v>0</v>
      </c>
    </row>
    <row r="212">
      <c r="A212" s="18" t="inlineStr">
        <is>
          <t>투자사업조합 운용 손익(△는 이익)</t>
        </is>
      </c>
      <c r="P212" s="20" t="n">
        <v>-197</v>
      </c>
      <c r="Q212" s="20" t="n">
        <v>0</v>
      </c>
    </row>
    <row r="213">
      <c r="A213" s="18" t="inlineStr">
        <is>
          <t>Loss Gain On Valuation Of Financial Assets Of FVPL</t>
        </is>
      </c>
      <c r="P213" s="20" t="n">
        <v>0</v>
      </c>
      <c r="Q213" s="20" t="n">
        <v>-491</v>
      </c>
    </row>
    <row r="214">
      <c r="A214" s="18" t="inlineStr">
        <is>
          <t>Loss Gain On Valuation Of Financial Assets Of FVPLOpe CF</t>
        </is>
      </c>
      <c r="Q214" s="20" t="n">
        <v>-491</v>
      </c>
      <c r="R214" s="20" t="n">
        <v>-352</v>
      </c>
      <c r="S214" s="20" t="n">
        <v>-107</v>
      </c>
    </row>
    <row r="215">
      <c r="A215" s="18" t="inlineStr">
        <is>
          <t>Evaluation Profit And Loss Of Financial Assets To Measure In Fair Value Through Net Profit Or Loss Gain Ope CF</t>
        </is>
      </c>
      <c r="C215" s="20" t="n">
        <v>-94</v>
      </c>
      <c r="D215" s="20" t="n">
        <v>-194</v>
      </c>
      <c r="E215" s="20" t="n">
        <v>-54</v>
      </c>
      <c r="F215" s="20" t="n">
        <v>-115</v>
      </c>
      <c r="G215" s="20" t="n">
        <v>204</v>
      </c>
      <c r="H215" s="20" t="n">
        <v>1017</v>
      </c>
      <c r="I215" s="20" t="n">
        <v>1008</v>
      </c>
      <c r="J215" s="20" t="n">
        <v>51</v>
      </c>
      <c r="K215" s="20" t="n">
        <v>67</v>
      </c>
      <c r="L215" s="20" t="n">
        <v>44</v>
      </c>
      <c r="M215" s="20" t="n">
        <v>175</v>
      </c>
      <c r="N215" s="20" t="n">
        <v>2</v>
      </c>
      <c r="S215" s="20" t="n">
        <v>-107</v>
      </c>
      <c r="T215" s="20" t="n">
        <v>-1792</v>
      </c>
      <c r="U215" s="20" t="n">
        <v>-428</v>
      </c>
      <c r="V215" s="20" t="n">
        <v>-54</v>
      </c>
      <c r="W215" s="20" t="n">
        <v>1008</v>
      </c>
      <c r="X215" s="20" t="n">
        <v>175</v>
      </c>
    </row>
    <row r="216">
      <c r="A216" s="18" t="inlineStr">
        <is>
          <t>고정자산 매각손익</t>
        </is>
      </c>
      <c r="C216" s="20" t="n">
        <v>-495</v>
      </c>
      <c r="D216" s="20" t="n">
        <v>-402</v>
      </c>
      <c r="E216" s="20" t="n">
        <v>-415</v>
      </c>
      <c r="F216" s="20" t="n">
        <v>-21</v>
      </c>
      <c r="G216" s="20" t="n">
        <v>-1227</v>
      </c>
      <c r="H216" s="20" t="n">
        <v>-1231</v>
      </c>
      <c r="I216" s="20" t="n">
        <v>-1230</v>
      </c>
      <c r="J216" s="20" t="n">
        <v>-1222</v>
      </c>
      <c r="K216" s="20" t="n">
        <v>-1205</v>
      </c>
      <c r="L216" s="20" t="n">
        <v>-1208</v>
      </c>
      <c r="M216" s="20" t="n">
        <v>-1224</v>
      </c>
      <c r="N216" s="20" t="n">
        <v>-2</v>
      </c>
      <c r="P216" s="20" t="n">
        <v>-735</v>
      </c>
      <c r="Q216" s="20" t="n">
        <v>-69</v>
      </c>
      <c r="R216" s="20" t="n">
        <v>-348</v>
      </c>
      <c r="S216" s="20" t="n">
        <v>-31</v>
      </c>
      <c r="T216" s="20" t="n">
        <v>-36</v>
      </c>
      <c r="U216" s="20" t="n">
        <v>-9772</v>
      </c>
      <c r="V216" s="20" t="n">
        <v>-415</v>
      </c>
      <c r="W216" s="20" t="n">
        <v>-1230</v>
      </c>
      <c r="X216" s="20" t="n">
        <v>-1224</v>
      </c>
    </row>
    <row r="217">
      <c r="A217" s="18" t="inlineStr">
        <is>
          <t>고정자산 제각손실</t>
        </is>
      </c>
      <c r="P217" s="20" t="n">
        <v>136</v>
      </c>
      <c r="Q217" s="20" t="n">
        <v>401</v>
      </c>
      <c r="R217" s="20" t="n">
        <v>86</v>
      </c>
    </row>
    <row r="218">
      <c r="A218" s="18" t="inlineStr">
        <is>
          <t>Gain On Revision Of Retirement Benefit Plan</t>
        </is>
      </c>
      <c r="P218" s="20" t="n">
        <v>-429</v>
      </c>
      <c r="Q218" s="20" t="n">
        <v>0</v>
      </c>
    </row>
    <row r="219">
      <c r="A219" s="18" t="inlineStr">
        <is>
          <t>고정자산 제각손실</t>
        </is>
      </c>
      <c r="C219" s="20" t="n">
        <v>29</v>
      </c>
      <c r="D219" s="20" t="n">
        <v>53</v>
      </c>
      <c r="E219" s="20" t="n">
        <v>84</v>
      </c>
      <c r="F219" s="20" t="n">
        <v>7</v>
      </c>
      <c r="G219" s="20" t="n">
        <v>371</v>
      </c>
      <c r="H219" s="20" t="n">
        <v>384</v>
      </c>
      <c r="I219" s="20" t="n">
        <v>398</v>
      </c>
      <c r="J219" s="20" t="n">
        <v>16</v>
      </c>
      <c r="K219" s="20" t="n">
        <v>33</v>
      </c>
      <c r="L219" s="20" t="n">
        <v>282</v>
      </c>
      <c r="M219" s="20" t="n">
        <v>547</v>
      </c>
      <c r="N219" s="20" t="n">
        <v>0</v>
      </c>
      <c r="R219" s="20" t="n">
        <v>86</v>
      </c>
      <c r="S219" s="20" t="n">
        <v>843</v>
      </c>
      <c r="T219" s="20" t="n">
        <v>134</v>
      </c>
      <c r="U219" s="20" t="n">
        <v>178</v>
      </c>
      <c r="V219" s="20" t="n">
        <v>84</v>
      </c>
      <c r="W219" s="20" t="n">
        <v>398</v>
      </c>
      <c r="X219" s="20" t="n">
        <v>547</v>
      </c>
    </row>
    <row r="220">
      <c r="A220" s="18" t="inlineStr">
        <is>
          <t>Loss Gain On Sales Of Subsidiaries Ope CF</t>
        </is>
      </c>
      <c r="E220" s="20" t="n">
        <v>-2436</v>
      </c>
      <c r="I220" s="20" t="n">
        <v>0</v>
      </c>
      <c r="M220" s="20" t="n">
        <v>796</v>
      </c>
      <c r="S220" s="20" t="n">
        <v>0</v>
      </c>
      <c r="T220" s="20" t="n">
        <v>-1494</v>
      </c>
      <c r="U220" s="20" t="n">
        <v>407</v>
      </c>
      <c r="V220" s="20" t="n">
        <v>-2436</v>
      </c>
      <c r="W220" s="20" t="n">
        <v>0</v>
      </c>
      <c r="X220" s="20" t="n">
        <v>796</v>
      </c>
    </row>
    <row r="221">
      <c r="A221" s="18" t="inlineStr">
        <is>
          <t>자회사 청산손익</t>
        </is>
      </c>
      <c r="I221" s="20" t="n">
        <v>0</v>
      </c>
      <c r="M221" s="20" t="n">
        <v>-939</v>
      </c>
      <c r="W221" s="20" t="n">
        <v>0</v>
      </c>
      <c r="X221" s="20" t="n">
        <v>-939</v>
      </c>
    </row>
    <row r="222">
      <c r="A222" s="18" t="inlineStr">
        <is>
          <t>지분법손익</t>
        </is>
      </c>
      <c r="D222" s="20" t="n">
        <v>-390</v>
      </c>
      <c r="E222" s="20" t="n">
        <v>-547</v>
      </c>
      <c r="F222" s="20" t="n">
        <v>-989</v>
      </c>
      <c r="G222" s="20" t="n">
        <v>-1030</v>
      </c>
      <c r="H222" s="20" t="n">
        <v>-1689</v>
      </c>
      <c r="I222" s="20" t="n">
        <v>-1968</v>
      </c>
      <c r="J222" s="20" t="n">
        <v>-569</v>
      </c>
      <c r="K222" s="20" t="n">
        <v>-803</v>
      </c>
      <c r="L222" s="20" t="n">
        <v>-1416</v>
      </c>
      <c r="M222" s="20" t="n">
        <v>-1569</v>
      </c>
      <c r="N222" s="20" t="n">
        <v>-493</v>
      </c>
      <c r="V222" s="20" t="n">
        <v>-547</v>
      </c>
      <c r="W222" s="20" t="n">
        <v>-1968</v>
      </c>
      <c r="X222" s="20" t="n">
        <v>-1569</v>
      </c>
    </row>
    <row r="223">
      <c r="A223" s="18" t="inlineStr">
        <is>
          <t>매출채권 및 기타채권 증감액</t>
        </is>
      </c>
      <c r="C223" s="20" t="n">
        <v>-3274</v>
      </c>
      <c r="D223" s="20" t="n">
        <v>-2568</v>
      </c>
      <c r="E223" s="20" t="n">
        <v>-4607</v>
      </c>
      <c r="F223" s="20" t="n">
        <v>3774</v>
      </c>
      <c r="G223" s="20" t="n">
        <v>4705</v>
      </c>
      <c r="H223" s="20" t="n">
        <v>4889</v>
      </c>
      <c r="I223" s="20" t="n">
        <v>-4511</v>
      </c>
      <c r="J223" s="20" t="n">
        <v>12254</v>
      </c>
      <c r="K223" s="20" t="n">
        <v>11318</v>
      </c>
      <c r="L223" s="20" t="n">
        <v>9767</v>
      </c>
      <c r="M223" s="20" t="n">
        <v>1810</v>
      </c>
      <c r="N223" s="20" t="n">
        <v>6794</v>
      </c>
      <c r="P223" s="20" t="n">
        <v>-2251</v>
      </c>
      <c r="Q223" s="20" t="n">
        <v>1000</v>
      </c>
      <c r="R223" s="20" t="n">
        <v>6101</v>
      </c>
      <c r="S223" s="20" t="n">
        <v>212</v>
      </c>
      <c r="T223" s="20" t="n">
        <v>-5623</v>
      </c>
      <c r="U223" s="20" t="n">
        <v>3002</v>
      </c>
      <c r="V223" s="20" t="n">
        <v>-4607</v>
      </c>
      <c r="W223" s="20" t="n">
        <v>-4511</v>
      </c>
      <c r="X223" s="20" t="n">
        <v>1810</v>
      </c>
    </row>
    <row r="224">
      <c r="A224" s="18" t="inlineStr">
        <is>
          <t>재고자산 증감</t>
        </is>
      </c>
      <c r="C224" s="20" t="n">
        <v>710</v>
      </c>
      <c r="D224" s="20" t="n">
        <v>4107</v>
      </c>
      <c r="E224" s="20" t="n">
        <v>10715</v>
      </c>
      <c r="F224" s="20" t="n">
        <v>-1673</v>
      </c>
      <c r="G224" s="20" t="n">
        <v>-4106</v>
      </c>
      <c r="H224" s="20" t="n">
        <v>-3290</v>
      </c>
      <c r="I224" s="20" t="n">
        <v>4073</v>
      </c>
      <c r="J224" s="20" t="n">
        <v>-2667</v>
      </c>
      <c r="K224" s="20" t="n">
        <v>-1147</v>
      </c>
      <c r="L224" s="20" t="n">
        <v>-1761</v>
      </c>
      <c r="M224" s="20" t="n">
        <v>1496</v>
      </c>
      <c r="N224" s="20" t="n">
        <v>-3139</v>
      </c>
      <c r="P224" s="20" t="n">
        <v>-4544</v>
      </c>
      <c r="Q224" s="20" t="n">
        <v>-17</v>
      </c>
      <c r="R224" s="20" t="n">
        <v>-2882</v>
      </c>
      <c r="S224" s="20" t="n">
        <v>4631</v>
      </c>
      <c r="T224" s="20" t="n">
        <v>-9596</v>
      </c>
      <c r="U224" s="20" t="n">
        <v>-9314</v>
      </c>
      <c r="V224" s="20" t="n">
        <v>10715</v>
      </c>
      <c r="W224" s="20" t="n">
        <v>4073</v>
      </c>
      <c r="X224" s="20" t="n">
        <v>1496</v>
      </c>
    </row>
    <row r="225">
      <c r="A225" s="18" t="inlineStr">
        <is>
          <t>매입채무 및 기타채무 증감액</t>
        </is>
      </c>
      <c r="C225" s="20" t="n">
        <v>-2625</v>
      </c>
      <c r="D225" s="20" t="n">
        <v>1118</v>
      </c>
      <c r="E225" s="20" t="n">
        <v>-2480</v>
      </c>
      <c r="F225" s="20" t="n">
        <v>3530</v>
      </c>
      <c r="G225" s="20" t="n">
        <v>-242</v>
      </c>
      <c r="H225" s="20" t="n">
        <v>6168</v>
      </c>
      <c r="I225" s="20" t="n">
        <v>-2796</v>
      </c>
      <c r="J225" s="20" t="n">
        <v>-688</v>
      </c>
      <c r="K225" s="20" t="n">
        <v>-1500</v>
      </c>
      <c r="L225" s="20" t="n">
        <v>1325</v>
      </c>
      <c r="M225" s="20" t="n">
        <v>11</v>
      </c>
      <c r="N225" s="20" t="n">
        <v>1307</v>
      </c>
      <c r="P225" s="20" t="n">
        <v>4587</v>
      </c>
      <c r="Q225" s="20" t="n">
        <v>-2197</v>
      </c>
      <c r="R225" s="20" t="n">
        <v>-3938</v>
      </c>
      <c r="S225" s="20" t="n">
        <v>3874</v>
      </c>
      <c r="T225" s="20" t="n">
        <v>3460</v>
      </c>
      <c r="U225" s="20" t="n">
        <v>2203</v>
      </c>
      <c r="V225" s="20" t="n">
        <v>-2480</v>
      </c>
      <c r="W225" s="20" t="n">
        <v>-2796</v>
      </c>
      <c r="X225" s="20" t="n">
        <v>11</v>
      </c>
    </row>
    <row r="226">
      <c r="A226" s="18" t="inlineStr">
        <is>
          <t>미지급비용 증감</t>
        </is>
      </c>
      <c r="D226" s="20" t="n">
        <v>-2860</v>
      </c>
      <c r="E226" s="20" t="n">
        <v>1172</v>
      </c>
      <c r="H226" s="20" t="n">
        <v>-2954</v>
      </c>
      <c r="I226" s="20" t="n">
        <v>2767</v>
      </c>
      <c r="L226" s="20" t="n">
        <v>-7167</v>
      </c>
      <c r="M226" s="20" t="n">
        <v>-2253</v>
      </c>
      <c r="U226" s="20" t="n">
        <v>1195</v>
      </c>
      <c r="V226" s="20" t="n">
        <v>1172</v>
      </c>
      <c r="W226" s="20" t="n">
        <v>2767</v>
      </c>
      <c r="X226" s="20" t="n">
        <v>-2253</v>
      </c>
    </row>
    <row r="227">
      <c r="A227" s="18" t="inlineStr">
        <is>
          <t>미지급비용 증감</t>
        </is>
      </c>
      <c r="C227" s="20" t="n">
        <v>-186</v>
      </c>
      <c r="D227" s="20" t="n">
        <v>-2860</v>
      </c>
      <c r="F227" s="20" t="n">
        <v>-4912</v>
      </c>
      <c r="G227" s="20" t="n">
        <v>-2132</v>
      </c>
      <c r="J227" s="20" t="n">
        <v>-6790</v>
      </c>
      <c r="K227" s="20" t="n">
        <v>-4344</v>
      </c>
      <c r="N227" s="20" t="n">
        <v>-4427</v>
      </c>
    </row>
    <row r="228">
      <c r="A228" s="18" t="inlineStr">
        <is>
          <t>기타 유동부채 증감</t>
        </is>
      </c>
      <c r="C228" s="20" t="n">
        <v>187</v>
      </c>
      <c r="D228" s="20" t="n">
        <v>326</v>
      </c>
      <c r="E228" s="20" t="n">
        <v>865</v>
      </c>
      <c r="F228" s="20" t="n">
        <v>2007</v>
      </c>
      <c r="G228" s="20" t="n">
        <v>1029</v>
      </c>
      <c r="H228" s="20" t="n">
        <v>412</v>
      </c>
      <c r="I228" s="20" t="n">
        <v>-879</v>
      </c>
      <c r="J228" s="20" t="n">
        <v>1814</v>
      </c>
      <c r="K228" s="20" t="n">
        <v>-484</v>
      </c>
      <c r="L228" s="20" t="n">
        <v>159</v>
      </c>
      <c r="M228" s="20" t="n">
        <v>-1091</v>
      </c>
      <c r="N228" s="20" t="n">
        <v>5231</v>
      </c>
      <c r="P228" s="20" t="n">
        <v>183</v>
      </c>
      <c r="Q228" s="20" t="n">
        <v>-1756</v>
      </c>
      <c r="R228" s="20" t="n">
        <v>-174</v>
      </c>
      <c r="S228" s="20" t="n">
        <v>496</v>
      </c>
      <c r="T228" s="20" t="n">
        <v>-41</v>
      </c>
      <c r="U228" s="20" t="n">
        <v>1443</v>
      </c>
      <c r="V228" s="20" t="n">
        <v>865</v>
      </c>
      <c r="W228" s="20" t="n">
        <v>-879</v>
      </c>
      <c r="X228" s="20" t="n">
        <v>-1091</v>
      </c>
    </row>
    <row r="229">
      <c r="A229" s="18" t="inlineStr">
        <is>
          <t>기타</t>
        </is>
      </c>
      <c r="C229" s="20" t="n">
        <v>364</v>
      </c>
      <c r="D229" s="20" t="n">
        <v>-1223</v>
      </c>
      <c r="E229" s="20" t="n">
        <v>-2614</v>
      </c>
      <c r="F229" s="20" t="n">
        <v>-2624</v>
      </c>
      <c r="G229" s="20" t="n">
        <v>-2337</v>
      </c>
      <c r="H229" s="20" t="n">
        <v>-2147</v>
      </c>
      <c r="I229" s="20" t="n">
        <v>-3288</v>
      </c>
      <c r="J229" s="20" t="n">
        <v>-2089</v>
      </c>
      <c r="K229" s="20" t="n">
        <v>-2355</v>
      </c>
      <c r="L229" s="20" t="n">
        <v>-1390</v>
      </c>
      <c r="M229" s="20" t="n">
        <v>182</v>
      </c>
      <c r="N229" s="20" t="n">
        <v>1375</v>
      </c>
      <c r="P229" s="20" t="n">
        <v>-204</v>
      </c>
      <c r="Q229" s="20" t="n">
        <v>492</v>
      </c>
      <c r="R229" s="20" t="n">
        <v>757</v>
      </c>
      <c r="S229" s="20" t="n">
        <v>731</v>
      </c>
      <c r="T229" s="20" t="n">
        <v>-1378</v>
      </c>
      <c r="U229" s="20" t="n">
        <v>999</v>
      </c>
      <c r="V229" s="20" t="n">
        <v>-2614</v>
      </c>
      <c r="W229" s="20" t="n">
        <v>-3288</v>
      </c>
      <c r="X229" s="20" t="n">
        <v>182</v>
      </c>
    </row>
    <row r="230">
      <c r="A230" s="18" t="inlineStr">
        <is>
          <t>소계</t>
        </is>
      </c>
      <c r="C230" s="20" t="n">
        <v>13436</v>
      </c>
      <c r="D230" s="20" t="n">
        <v>27061</v>
      </c>
      <c r="E230" s="20" t="n">
        <v>38972</v>
      </c>
      <c r="F230" s="20" t="n">
        <v>9797</v>
      </c>
      <c r="G230" s="20" t="n">
        <v>18027</v>
      </c>
      <c r="H230" s="20" t="n">
        <v>32185</v>
      </c>
      <c r="I230" s="20" t="n">
        <v>35430</v>
      </c>
      <c r="J230" s="20" t="n">
        <v>9160</v>
      </c>
      <c r="K230" s="20" t="n">
        <v>18222</v>
      </c>
      <c r="L230" s="20" t="n">
        <v>27498</v>
      </c>
      <c r="M230" s="20" t="n">
        <v>37734</v>
      </c>
      <c r="N230" s="20" t="n">
        <v>13082</v>
      </c>
      <c r="P230" s="20" t="n">
        <v>21477</v>
      </c>
      <c r="Q230" s="20" t="n">
        <v>23626</v>
      </c>
      <c r="R230" s="20" t="n">
        <v>24038</v>
      </c>
      <c r="S230" s="20" t="n">
        <v>37904</v>
      </c>
      <c r="T230" s="20" t="n">
        <v>9754</v>
      </c>
      <c r="U230" s="20" t="n">
        <v>30382</v>
      </c>
      <c r="V230" s="20" t="n">
        <v>38972</v>
      </c>
      <c r="W230" s="20" t="n">
        <v>35430</v>
      </c>
      <c r="X230" s="20" t="n">
        <v>37734</v>
      </c>
    </row>
    <row r="231">
      <c r="A231" s="18" t="inlineStr">
        <is>
          <t>이자 수취</t>
        </is>
      </c>
      <c r="C231" s="20" t="n">
        <v>410</v>
      </c>
      <c r="D231" s="20" t="n">
        <v>585</v>
      </c>
      <c r="E231" s="20" t="n">
        <v>866</v>
      </c>
      <c r="F231" s="20" t="n">
        <v>243</v>
      </c>
      <c r="G231" s="20" t="n">
        <v>528</v>
      </c>
      <c r="H231" s="20" t="n">
        <v>756</v>
      </c>
      <c r="I231" s="20" t="n">
        <v>1078</v>
      </c>
      <c r="J231" s="20" t="n">
        <v>208</v>
      </c>
      <c r="K231" s="20" t="n">
        <v>430</v>
      </c>
      <c r="L231" s="20" t="n">
        <v>610</v>
      </c>
      <c r="M231" s="20" t="n">
        <v>841</v>
      </c>
      <c r="N231" s="20" t="n">
        <v>218</v>
      </c>
      <c r="P231" s="20" t="n">
        <v>173</v>
      </c>
      <c r="Q231" s="20" t="n">
        <v>229</v>
      </c>
      <c r="R231" s="20" t="n">
        <v>243</v>
      </c>
      <c r="S231" s="20" t="n">
        <v>131</v>
      </c>
      <c r="T231" s="20" t="n">
        <v>95</v>
      </c>
      <c r="U231" s="20" t="n">
        <v>356</v>
      </c>
      <c r="V231" s="20" t="n">
        <v>866</v>
      </c>
      <c r="W231" s="20" t="n">
        <v>1078</v>
      </c>
      <c r="X231" s="20" t="n">
        <v>841</v>
      </c>
    </row>
    <row r="232">
      <c r="A232" s="18" t="inlineStr">
        <is>
          <t>배당금 수취액</t>
        </is>
      </c>
      <c r="C232" s="20" t="n">
        <v>253</v>
      </c>
      <c r="D232" s="20" t="n">
        <v>276</v>
      </c>
      <c r="E232" s="20" t="n">
        <v>276</v>
      </c>
      <c r="F232" s="20" t="n">
        <v>54</v>
      </c>
      <c r="G232" s="20" t="n">
        <v>55</v>
      </c>
      <c r="H232" s="20" t="n">
        <v>92</v>
      </c>
      <c r="I232" s="20" t="n">
        <v>280</v>
      </c>
      <c r="J232" s="20" t="n">
        <v>83</v>
      </c>
      <c r="K232" s="20" t="n">
        <v>83</v>
      </c>
      <c r="L232" s="20" t="n">
        <v>108</v>
      </c>
      <c r="M232" s="20" t="n">
        <v>392</v>
      </c>
      <c r="N232" s="20" t="n">
        <v>62</v>
      </c>
      <c r="P232" s="20" t="n">
        <v>75</v>
      </c>
      <c r="Q232" s="20" t="n">
        <v>74</v>
      </c>
      <c r="R232" s="20" t="n">
        <v>65</v>
      </c>
      <c r="S232" s="20" t="n">
        <v>434</v>
      </c>
      <c r="T232" s="20" t="n">
        <v>226</v>
      </c>
      <c r="U232" s="20" t="n">
        <v>63</v>
      </c>
      <c r="V232" s="20" t="n">
        <v>276</v>
      </c>
      <c r="W232" s="20" t="n">
        <v>280</v>
      </c>
      <c r="X232" s="20" t="n">
        <v>392</v>
      </c>
    </row>
    <row r="233">
      <c r="A233" s="18" t="inlineStr">
        <is>
          <t>이자 지급</t>
        </is>
      </c>
      <c r="C233" s="20" t="n">
        <v>-638</v>
      </c>
      <c r="D233" s="20" t="n">
        <v>-1002</v>
      </c>
      <c r="E233" s="20" t="n">
        <v>-1320</v>
      </c>
      <c r="F233" s="20" t="n">
        <v>-329</v>
      </c>
      <c r="G233" s="20" t="n">
        <v>-627</v>
      </c>
      <c r="H233" s="20" t="n">
        <v>-944</v>
      </c>
      <c r="I233" s="20" t="n">
        <v>-1304</v>
      </c>
      <c r="J233" s="20" t="n">
        <v>-298</v>
      </c>
      <c r="K233" s="20" t="n">
        <v>-602</v>
      </c>
      <c r="L233" s="20" t="n">
        <v>-859</v>
      </c>
      <c r="M233" s="20" t="n">
        <v>-1174</v>
      </c>
      <c r="N233" s="20" t="n">
        <v>-318</v>
      </c>
      <c r="P233" s="20" t="n">
        <v>-915</v>
      </c>
      <c r="Q233" s="20" t="n">
        <v>-863</v>
      </c>
      <c r="R233" s="20" t="n">
        <v>-1035</v>
      </c>
      <c r="S233" s="20" t="n">
        <v>-958</v>
      </c>
      <c r="T233" s="20" t="n">
        <v>-923</v>
      </c>
      <c r="U233" s="20" t="n">
        <v>-1048</v>
      </c>
      <c r="V233" s="20" t="n">
        <v>-1320</v>
      </c>
      <c r="W233" s="20" t="n">
        <v>-1304</v>
      </c>
      <c r="X233" s="20" t="n">
        <v>-1174</v>
      </c>
    </row>
    <row r="234">
      <c r="A234" s="18" t="inlineStr">
        <is>
          <t>법인소득세 지급액</t>
        </is>
      </c>
      <c r="C234" s="20" t="n">
        <v>-2886</v>
      </c>
      <c r="D234" s="20" t="n">
        <v>-4037</v>
      </c>
      <c r="E234" s="20" t="n">
        <v>-5622</v>
      </c>
      <c r="F234" s="20" t="n">
        <v>-818</v>
      </c>
      <c r="G234" s="20" t="n">
        <v>-2025</v>
      </c>
      <c r="H234" s="20" t="n">
        <v>-3191</v>
      </c>
      <c r="I234" s="20" t="n">
        <v>-4033</v>
      </c>
      <c r="J234" s="20" t="n">
        <v>-1513</v>
      </c>
      <c r="K234" s="20" t="n">
        <v>-2046</v>
      </c>
      <c r="L234" s="20" t="n">
        <v>-3075</v>
      </c>
      <c r="M234" s="20" t="n">
        <v>-4036</v>
      </c>
      <c r="N234" s="20" t="n">
        <v>-1153</v>
      </c>
      <c r="P234" s="20" t="n">
        <v>-2431</v>
      </c>
      <c r="Q234" s="20" t="n">
        <v>-2083</v>
      </c>
      <c r="R234" s="20" t="n">
        <v>-1669</v>
      </c>
      <c r="S234" s="20" t="n">
        <v>-1683</v>
      </c>
      <c r="T234" s="20" t="n">
        <v>-2092</v>
      </c>
      <c r="U234" s="20" t="n">
        <v>-3146</v>
      </c>
      <c r="V234" s="20" t="n">
        <v>-5622</v>
      </c>
      <c r="W234" s="20" t="n">
        <v>-4033</v>
      </c>
      <c r="X234" s="20" t="n">
        <v>-4036</v>
      </c>
    </row>
    <row r="235">
      <c r="A235" s="9" t="inlineStr">
        <is>
          <t>영업활동 현금흐름</t>
        </is>
      </c>
      <c r="C235" s="12" t="n">
        <v>10575</v>
      </c>
      <c r="D235" s="12" t="n">
        <v>22884</v>
      </c>
      <c r="E235" s="12" t="n">
        <v>33172</v>
      </c>
      <c r="F235" s="12" t="n">
        <v>8947</v>
      </c>
      <c r="G235" s="12" t="n">
        <v>15958</v>
      </c>
      <c r="H235" s="12" t="n">
        <v>28898</v>
      </c>
      <c r="I235" s="12" t="n">
        <v>31452</v>
      </c>
      <c r="J235" s="12" t="n">
        <v>7640</v>
      </c>
      <c r="K235" s="12" t="n">
        <v>16087</v>
      </c>
      <c r="L235" s="12" t="n">
        <v>24282</v>
      </c>
      <c r="M235" s="12" t="n">
        <v>33758</v>
      </c>
      <c r="N235" s="12" t="n">
        <v>11892</v>
      </c>
      <c r="P235" s="12" t="n">
        <v>18379</v>
      </c>
      <c r="Q235" s="12" t="n">
        <v>20983</v>
      </c>
      <c r="R235" s="12" t="n">
        <v>21642</v>
      </c>
      <c r="S235" s="12" t="n">
        <v>35829</v>
      </c>
      <c r="T235" s="12" t="n">
        <v>7059</v>
      </c>
      <c r="U235" s="12" t="n">
        <v>26607</v>
      </c>
      <c r="V235" s="12" t="n">
        <v>33172</v>
      </c>
      <c r="W235" s="12" t="n">
        <v>31452</v>
      </c>
      <c r="X235" s="12" t="n">
        <v>33758</v>
      </c>
    </row>
    <row r="236">
      <c r="A236" s="18" t="inlineStr">
        <is>
          <t>정기예금 예입</t>
        </is>
      </c>
      <c r="P236" s="20" t="n">
        <v>-106</v>
      </c>
      <c r="Q236" s="20" t="n">
        <v>-324</v>
      </c>
      <c r="R236" s="20" t="n">
        <v>-0</v>
      </c>
      <c r="S236" s="20" t="n">
        <v>-6</v>
      </c>
    </row>
    <row r="237">
      <c r="A237" s="18" t="inlineStr">
        <is>
          <t>정기예금 인출</t>
        </is>
      </c>
      <c r="P237" s="20" t="n">
        <v>943</v>
      </c>
      <c r="Q237" s="20" t="n">
        <v>23</v>
      </c>
      <c r="R237" s="20" t="n">
        <v>412</v>
      </c>
      <c r="S237" s="20" t="n">
        <v>9</v>
      </c>
    </row>
    <row r="238">
      <c r="A238" s="18" t="inlineStr">
        <is>
          <t>유형자산 취득(설비투자)</t>
        </is>
      </c>
      <c r="C238" s="20" t="n">
        <v>-4504</v>
      </c>
      <c r="D238" s="20" t="n">
        <v>-7671</v>
      </c>
      <c r="E238" s="20" t="n">
        <v>-11697</v>
      </c>
      <c r="F238" s="20" t="n">
        <v>-2302</v>
      </c>
      <c r="G238" s="20" t="n">
        <v>-6571</v>
      </c>
      <c r="H238" s="20" t="n">
        <v>-11111</v>
      </c>
      <c r="I238" s="20" t="n">
        <v>-12711</v>
      </c>
      <c r="J238" s="20" t="n">
        <v>-1866</v>
      </c>
      <c r="K238" s="20" t="n">
        <v>-4011</v>
      </c>
      <c r="L238" s="20" t="n">
        <v>-7219</v>
      </c>
      <c r="M238" s="20" t="n">
        <v>-9823</v>
      </c>
      <c r="N238" s="20" t="n">
        <v>-913</v>
      </c>
      <c r="P238" s="20" t="n">
        <v>-7846</v>
      </c>
      <c r="Q238" s="20" t="n">
        <v>-7860</v>
      </c>
      <c r="R238" s="20" t="n">
        <v>-8170</v>
      </c>
      <c r="S238" s="20" t="n">
        <v>-4519</v>
      </c>
      <c r="T238" s="20" t="n">
        <v>-6257</v>
      </c>
      <c r="U238" s="20" t="n">
        <v>-7367</v>
      </c>
      <c r="V238" s="20" t="n">
        <v>-11697</v>
      </c>
      <c r="W238" s="20" t="n">
        <v>-12711</v>
      </c>
      <c r="X238" s="20" t="n">
        <v>-9823</v>
      </c>
    </row>
    <row r="239">
      <c r="A239" s="18" t="inlineStr">
        <is>
          <t>유형자산 매각</t>
        </is>
      </c>
      <c r="C239" s="20" t="n">
        <v>1650</v>
      </c>
      <c r="D239" s="20" t="n">
        <v>1645</v>
      </c>
      <c r="E239" s="20" t="n">
        <v>2530</v>
      </c>
      <c r="F239" s="20" t="n">
        <v>59</v>
      </c>
      <c r="G239" s="20" t="n">
        <v>4115</v>
      </c>
      <c r="H239" s="20" t="n">
        <v>4149</v>
      </c>
      <c r="I239" s="20" t="n">
        <v>4215</v>
      </c>
      <c r="J239" s="20" t="n">
        <v>1325</v>
      </c>
      <c r="K239" s="20" t="n">
        <v>1380</v>
      </c>
      <c r="L239" s="20" t="n">
        <v>1439</v>
      </c>
      <c r="M239" s="20" t="n">
        <v>1492</v>
      </c>
      <c r="N239" s="20" t="n">
        <v>18</v>
      </c>
      <c r="P239" s="20" t="n">
        <v>2715</v>
      </c>
      <c r="Q239" s="20" t="n">
        <v>171</v>
      </c>
      <c r="R239" s="20" t="n">
        <v>1051</v>
      </c>
      <c r="S239" s="20" t="n">
        <v>126</v>
      </c>
      <c r="T239" s="20" t="n">
        <v>70</v>
      </c>
      <c r="U239" s="20" t="n">
        <v>11317</v>
      </c>
      <c r="V239" s="20" t="n">
        <v>2530</v>
      </c>
      <c r="W239" s="20" t="n">
        <v>4215</v>
      </c>
      <c r="X239" s="20" t="n">
        <v>1492</v>
      </c>
    </row>
    <row r="240">
      <c r="A240" s="18" t="inlineStr">
        <is>
          <t>무형자산 취득 지출</t>
        </is>
      </c>
      <c r="C240" s="20" t="n">
        <v>-4177</v>
      </c>
      <c r="D240" s="20" t="n">
        <v>-6560</v>
      </c>
      <c r="E240" s="20" t="n">
        <v>-9312</v>
      </c>
      <c r="F240" s="20" t="n">
        <v>-3044</v>
      </c>
      <c r="G240" s="20" t="n">
        <v>-5746</v>
      </c>
      <c r="H240" s="20" t="n">
        <v>-8776</v>
      </c>
      <c r="I240" s="20" t="n">
        <v>-12024</v>
      </c>
      <c r="J240" s="20" t="n">
        <v>-3283</v>
      </c>
      <c r="K240" s="20" t="n">
        <v>-6216</v>
      </c>
      <c r="L240" s="20" t="n">
        <v>-8937</v>
      </c>
      <c r="M240" s="20" t="n">
        <v>-12746</v>
      </c>
      <c r="N240" s="20" t="n">
        <v>-2408</v>
      </c>
      <c r="P240" s="20" t="n">
        <v>-10183</v>
      </c>
      <c r="Q240" s="20" t="n">
        <v>-12757</v>
      </c>
      <c r="R240" s="20" t="n">
        <v>-12945</v>
      </c>
      <c r="S240" s="20" t="n">
        <v>-9393</v>
      </c>
      <c r="T240" s="20" t="n">
        <v>-9705</v>
      </c>
      <c r="U240" s="20" t="n">
        <v>-8445</v>
      </c>
      <c r="V240" s="20" t="n">
        <v>-9312</v>
      </c>
      <c r="W240" s="20" t="n">
        <v>-12024</v>
      </c>
      <c r="X240" s="20" t="n">
        <v>-12746</v>
      </c>
    </row>
    <row r="241">
      <c r="A241" s="18" t="inlineStr">
        <is>
          <t>매도가능금융자산 취득</t>
        </is>
      </c>
      <c r="P241" s="20" t="n">
        <v>-338</v>
      </c>
      <c r="Q241" s="20" t="n">
        <v>0</v>
      </c>
    </row>
    <row r="242">
      <c r="A242" s="18" t="inlineStr">
        <is>
          <t>매도가능금융자산 매각</t>
        </is>
      </c>
      <c r="P242" s="20" t="n">
        <v>818</v>
      </c>
      <c r="Q242" s="20" t="n">
        <v>0</v>
      </c>
    </row>
    <row r="243">
      <c r="A243" s="18" t="inlineStr">
        <is>
          <t>부채성 금융상품 취득</t>
        </is>
      </c>
      <c r="P243" s="20" t="n">
        <v>0</v>
      </c>
      <c r="Q243" s="20" t="n">
        <v>-401</v>
      </c>
    </row>
    <row r="244">
      <c r="A244" s="18" t="inlineStr">
        <is>
          <t>자본성 금융상품 취득</t>
        </is>
      </c>
      <c r="P244" s="20" t="n">
        <v>0</v>
      </c>
      <c r="Q244" s="20" t="n">
        <v>-693</v>
      </c>
    </row>
    <row r="245">
      <c r="A245" s="18" t="inlineStr">
        <is>
          <t>Purchase Of Investments Accounted For Using Equity Method</t>
        </is>
      </c>
      <c r="P245" s="20" t="n">
        <v>0</v>
      </c>
      <c r="Q245" s="20" t="n">
        <v>-2389</v>
      </c>
    </row>
    <row r="246">
      <c r="A246" s="18" t="inlineStr">
        <is>
          <t>부채성 금융상품 취득</t>
        </is>
      </c>
      <c r="Q246" s="20" t="n">
        <v>-401</v>
      </c>
      <c r="R246" s="20" t="n">
        <v>0</v>
      </c>
    </row>
    <row r="247">
      <c r="A247" s="18" t="inlineStr">
        <is>
          <t>By Distribution From Debt Financial Products</t>
        </is>
      </c>
      <c r="R247" s="20" t="n">
        <v>0</v>
      </c>
      <c r="S247" s="20" t="n">
        <v>1563</v>
      </c>
    </row>
    <row r="248">
      <c r="A248" s="18" t="inlineStr">
        <is>
          <t>자본성 금융상품 취득</t>
        </is>
      </c>
      <c r="D248" s="20" t="n">
        <v>-174</v>
      </c>
      <c r="H248" s="20" t="n">
        <v>-392</v>
      </c>
      <c r="Q248" s="20" t="n">
        <v>-693</v>
      </c>
      <c r="R248" s="20" t="n">
        <v>-2</v>
      </c>
    </row>
    <row r="249">
      <c r="A249" s="18" t="inlineStr">
        <is>
          <t>Purchase Of Investments Accounted For Using Equity Method Inv CF</t>
        </is>
      </c>
      <c r="C249" s="20" t="n">
        <v>-888</v>
      </c>
      <c r="D249" s="20" t="n">
        <v>-888</v>
      </c>
      <c r="E249" s="20" t="n">
        <v>-888</v>
      </c>
      <c r="F249" s="20" t="n">
        <v>0</v>
      </c>
      <c r="G249" s="20" t="n">
        <v>0</v>
      </c>
      <c r="H249" s="20" t="n">
        <v>-907</v>
      </c>
      <c r="I249" s="20" t="n">
        <v>-907</v>
      </c>
      <c r="M249" s="20" t="n">
        <v>0</v>
      </c>
      <c r="Q249" s="20" t="n">
        <v>-2389</v>
      </c>
      <c r="R249" s="20" t="n">
        <v>0</v>
      </c>
      <c r="T249" s="20" t="n">
        <v>0</v>
      </c>
      <c r="U249" s="20" t="n">
        <v>-300</v>
      </c>
      <c r="V249" s="20" t="n">
        <v>-888</v>
      </c>
      <c r="W249" s="20" t="n">
        <v>-907</v>
      </c>
      <c r="X249" s="20" t="n">
        <v>0</v>
      </c>
    </row>
    <row r="250">
      <c r="A250" s="18" t="inlineStr">
        <is>
          <t>Payments For Acquisition Of Subsidiaries Inv CF</t>
        </is>
      </c>
      <c r="P250" s="20" t="n">
        <v>-1147</v>
      </c>
      <c r="Q250" s="20" t="n">
        <v>-1240</v>
      </c>
      <c r="R250" s="20" t="n">
        <v>0</v>
      </c>
    </row>
    <row r="251">
      <c r="A251" s="18" t="inlineStr">
        <is>
          <t>Proceeds From Sale Of Subsidiaries Inv CF</t>
        </is>
      </c>
      <c r="E251" s="20" t="n">
        <v>2858</v>
      </c>
      <c r="I251" s="20" t="n">
        <v>0</v>
      </c>
      <c r="M251" s="20" t="n">
        <v>364</v>
      </c>
      <c r="S251" s="20" t="n">
        <v>0</v>
      </c>
      <c r="T251" s="20" t="n">
        <v>4913</v>
      </c>
      <c r="U251" s="20" t="n">
        <v>-2541</v>
      </c>
      <c r="V251" s="20" t="n">
        <v>2858</v>
      </c>
      <c r="W251" s="20" t="n">
        <v>0</v>
      </c>
      <c r="X251" s="20" t="n">
        <v>364</v>
      </c>
    </row>
    <row r="252">
      <c r="A252" s="18" t="inlineStr">
        <is>
          <t>Distribution Of Debt Instruments Inv CF</t>
        </is>
      </c>
      <c r="D252" s="20" t="n">
        <v>712</v>
      </c>
      <c r="E252" s="20" t="n">
        <v>712</v>
      </c>
      <c r="H252" s="20" t="n">
        <v>576</v>
      </c>
      <c r="I252" s="20" t="n">
        <v>576</v>
      </c>
      <c r="M252" s="20" t="n">
        <v>0</v>
      </c>
      <c r="S252" s="20" t="n">
        <v>1563</v>
      </c>
      <c r="T252" s="20" t="n">
        <v>593</v>
      </c>
      <c r="U252" s="20" t="n">
        <v>0</v>
      </c>
      <c r="V252" s="20" t="n">
        <v>712</v>
      </c>
      <c r="W252" s="20" t="n">
        <v>576</v>
      </c>
      <c r="X252" s="20" t="n">
        <v>0</v>
      </c>
    </row>
    <row r="253">
      <c r="A253" s="18" t="inlineStr">
        <is>
          <t>자본성 금융상품 매각</t>
        </is>
      </c>
      <c r="R253" s="20" t="n">
        <v>62</v>
      </c>
      <c r="S253" s="20" t="n">
        <v>682</v>
      </c>
      <c r="T253" s="20" t="n">
        <v>812</v>
      </c>
      <c r="U253" s="20" t="n">
        <v>3</v>
      </c>
    </row>
    <row r="254">
      <c r="A254" s="18" t="inlineStr">
        <is>
          <t>장기선급비용 지출</t>
        </is>
      </c>
      <c r="G254" s="20" t="n">
        <v>-164</v>
      </c>
      <c r="H254" s="20" t="n">
        <v>-269</v>
      </c>
      <c r="I254" s="20" t="n">
        <v>-399</v>
      </c>
      <c r="J254" s="20" t="n">
        <v>-214</v>
      </c>
      <c r="K254" s="20" t="n">
        <v>-969</v>
      </c>
      <c r="L254" s="20" t="n">
        <v>-1338</v>
      </c>
      <c r="M254" s="20" t="n">
        <v>-1632</v>
      </c>
      <c r="N254" s="20" t="n">
        <v>-431</v>
      </c>
      <c r="W254" s="20" t="n">
        <v>-399</v>
      </c>
      <c r="X254" s="20" t="n">
        <v>-1632</v>
      </c>
    </row>
    <row r="255">
      <c r="A255" s="18" t="inlineStr">
        <is>
          <t>기타</t>
        </is>
      </c>
      <c r="C255" s="20" t="n">
        <v>-125</v>
      </c>
      <c r="D255" s="20" t="n">
        <v>-1</v>
      </c>
      <c r="E255" s="20" t="n">
        <v>-265</v>
      </c>
      <c r="F255" s="20" t="n">
        <v>-47</v>
      </c>
      <c r="G255" s="20" t="n">
        <v>496</v>
      </c>
      <c r="H255" s="20" t="n">
        <v>-763</v>
      </c>
      <c r="I255" s="20" t="n">
        <v>-294</v>
      </c>
      <c r="J255" s="20" t="n">
        <v>-21</v>
      </c>
      <c r="K255" s="20" t="n">
        <v>-1323</v>
      </c>
      <c r="L255" s="20" t="n">
        <v>-554</v>
      </c>
      <c r="M255" s="20" t="n">
        <v>40</v>
      </c>
      <c r="N255" s="20" t="n">
        <v>22</v>
      </c>
      <c r="P255" s="20" t="n">
        <v>311</v>
      </c>
      <c r="Q255" s="20" t="n">
        <v>-295</v>
      </c>
      <c r="R255" s="20" t="n">
        <v>-86</v>
      </c>
      <c r="S255" s="20" t="n">
        <v>-138</v>
      </c>
      <c r="T255" s="20" t="n">
        <v>-232</v>
      </c>
      <c r="U255" s="20" t="n">
        <v>8</v>
      </c>
      <c r="V255" s="20" t="n">
        <v>-265</v>
      </c>
      <c r="W255" s="20" t="n">
        <v>-294</v>
      </c>
      <c r="X255" s="20" t="n">
        <v>40</v>
      </c>
    </row>
    <row r="256">
      <c r="A256" s="9" t="inlineStr">
        <is>
          <t>투자활동 현금흐름</t>
        </is>
      </c>
      <c r="C256" s="12" t="n">
        <v>-8045</v>
      </c>
      <c r="D256" s="12" t="n">
        <v>-12938</v>
      </c>
      <c r="E256" s="12" t="n">
        <v>-16062</v>
      </c>
      <c r="F256" s="12" t="n">
        <v>-5334</v>
      </c>
      <c r="G256" s="12" t="n">
        <v>-7870</v>
      </c>
      <c r="H256" s="12" t="n">
        <v>-16770</v>
      </c>
      <c r="I256" s="12" t="n">
        <v>-21545</v>
      </c>
      <c r="J256" s="12" t="n">
        <v>-4060</v>
      </c>
      <c r="K256" s="12" t="n">
        <v>-11139</v>
      </c>
      <c r="L256" s="12" t="n">
        <v>-16609</v>
      </c>
      <c r="M256" s="12" t="n">
        <v>-22304</v>
      </c>
      <c r="N256" s="12" t="n">
        <v>-3713</v>
      </c>
      <c r="P256" s="12" t="n">
        <v>-14835</v>
      </c>
      <c r="Q256" s="12" t="n">
        <v>-25768</v>
      </c>
      <c r="R256" s="12" t="n">
        <v>-19675</v>
      </c>
      <c r="S256" s="12" t="n">
        <v>-11804</v>
      </c>
      <c r="T256" s="12" t="n">
        <v>-9804</v>
      </c>
      <c r="U256" s="12" t="n">
        <v>-7329</v>
      </c>
      <c r="V256" s="12" t="n">
        <v>-16062</v>
      </c>
      <c r="W256" s="12" t="n">
        <v>-21545</v>
      </c>
      <c r="X256" s="12" t="n">
        <v>-22304</v>
      </c>
    </row>
    <row r="257">
      <c r="A257" s="18" t="inlineStr">
        <is>
          <t>단기차입</t>
        </is>
      </c>
      <c r="C257" s="20" t="n">
        <v>2541</v>
      </c>
      <c r="D257" s="20" t="n">
        <v>4370</v>
      </c>
      <c r="E257" s="20" t="n">
        <v>24068</v>
      </c>
      <c r="F257" s="20" t="n">
        <v>449</v>
      </c>
      <c r="G257" s="20" t="n">
        <v>3285</v>
      </c>
      <c r="H257" s="20" t="n">
        <v>8210</v>
      </c>
      <c r="I257" s="20" t="n">
        <v>41929</v>
      </c>
      <c r="J257" s="20" t="n">
        <v>23812</v>
      </c>
      <c r="K257" s="20" t="n">
        <v>41299</v>
      </c>
      <c r="L257" s="20" t="n">
        <v>62132</v>
      </c>
      <c r="M257" s="20" t="n">
        <v>65600</v>
      </c>
      <c r="N257" s="20" t="n">
        <v>1067</v>
      </c>
      <c r="P257" s="20" t="n">
        <v>11200</v>
      </c>
      <c r="Q257" s="20" t="n">
        <v>18296</v>
      </c>
      <c r="R257" s="20" t="n">
        <v>9552</v>
      </c>
      <c r="S257" s="20" t="n">
        <v>8147</v>
      </c>
      <c r="T257" s="20" t="n">
        <v>10820</v>
      </c>
      <c r="U257" s="20" t="n">
        <v>7357</v>
      </c>
      <c r="V257" s="20" t="n">
        <v>24068</v>
      </c>
      <c r="W257" s="20" t="n">
        <v>41929</v>
      </c>
      <c r="X257" s="20" t="n">
        <v>65600</v>
      </c>
    </row>
    <row r="258">
      <c r="A258" s="18" t="inlineStr">
        <is>
          <t>단기차입금 상환</t>
        </is>
      </c>
      <c r="C258" s="20" t="n">
        <v>-1753</v>
      </c>
      <c r="D258" s="20" t="n">
        <v>-5274</v>
      </c>
      <c r="E258" s="20" t="n">
        <v>-21519</v>
      </c>
      <c r="F258" s="20" t="n">
        <v>-3809</v>
      </c>
      <c r="G258" s="20" t="n">
        <v>-5897</v>
      </c>
      <c r="H258" s="20" t="n">
        <v>-9193</v>
      </c>
      <c r="I258" s="20" t="n">
        <v>-38532</v>
      </c>
      <c r="J258" s="20" t="n">
        <v>-18451</v>
      </c>
      <c r="K258" s="20" t="n">
        <v>-37638</v>
      </c>
      <c r="L258" s="20" t="n">
        <v>-66444</v>
      </c>
      <c r="M258" s="20" t="n">
        <v>-71818</v>
      </c>
      <c r="N258" s="20" t="n">
        <v>-2324</v>
      </c>
      <c r="P258" s="20" t="n">
        <v>-13800</v>
      </c>
      <c r="Q258" s="20" t="n">
        <v>-17335</v>
      </c>
      <c r="R258" s="20" t="n">
        <v>-8586</v>
      </c>
      <c r="S258" s="20" t="n">
        <v>-7411</v>
      </c>
      <c r="T258" s="20" t="n">
        <v>-13804</v>
      </c>
      <c r="U258" s="20" t="n">
        <v>-10254</v>
      </c>
      <c r="V258" s="20" t="n">
        <v>-21519</v>
      </c>
      <c r="W258" s="20" t="n">
        <v>-38532</v>
      </c>
      <c r="X258" s="20" t="n">
        <v>-71818</v>
      </c>
    </row>
    <row r="259">
      <c r="A259" s="18" t="inlineStr">
        <is>
          <t>장기차입</t>
        </is>
      </c>
      <c r="C259" s="20" t="n">
        <v>1573</v>
      </c>
      <c r="D259" s="20" t="n">
        <v>6573</v>
      </c>
      <c r="E259" s="20" t="n">
        <v>14573</v>
      </c>
      <c r="F259" s="20" t="n">
        <v>84</v>
      </c>
      <c r="G259" s="20" t="n">
        <v>3437</v>
      </c>
      <c r="H259" s="20" t="n">
        <v>3437</v>
      </c>
      <c r="I259" s="20" t="n">
        <v>4340</v>
      </c>
      <c r="J259" s="20" t="n">
        <v>1143</v>
      </c>
      <c r="K259" s="20" t="n">
        <v>8004</v>
      </c>
      <c r="L259" s="20" t="n">
        <v>8004</v>
      </c>
      <c r="M259" s="20" t="n">
        <v>13004</v>
      </c>
      <c r="N259" s="20" t="n">
        <v>2308</v>
      </c>
      <c r="P259" s="20" t="n">
        <v>10371</v>
      </c>
      <c r="Q259" s="20" t="n">
        <v>16210</v>
      </c>
      <c r="R259" s="20" t="n">
        <v>21964</v>
      </c>
      <c r="S259" s="20" t="n">
        <v>28172</v>
      </c>
      <c r="T259" s="20" t="n">
        <v>11853</v>
      </c>
      <c r="U259" s="20" t="n">
        <v>17190</v>
      </c>
      <c r="V259" s="20" t="n">
        <v>14573</v>
      </c>
      <c r="W259" s="20" t="n">
        <v>4340</v>
      </c>
      <c r="X259" s="20" t="n">
        <v>13004</v>
      </c>
    </row>
    <row r="260">
      <c r="A260" s="18" t="inlineStr">
        <is>
          <t>장기차입금 상환</t>
        </is>
      </c>
      <c r="C260" s="20" t="n">
        <v>-4878</v>
      </c>
      <c r="D260" s="20" t="n">
        <v>-10527</v>
      </c>
      <c r="E260" s="20" t="n">
        <v>-23447</v>
      </c>
      <c r="F260" s="20" t="n">
        <v>-3307</v>
      </c>
      <c r="G260" s="20" t="n">
        <v>-6518</v>
      </c>
      <c r="H260" s="20" t="n">
        <v>-9704</v>
      </c>
      <c r="I260" s="20" t="n">
        <v>-14748</v>
      </c>
      <c r="J260" s="20" t="n">
        <v>-3737</v>
      </c>
      <c r="K260" s="20" t="n">
        <v>-9938</v>
      </c>
      <c r="L260" s="20" t="n">
        <v>-13504</v>
      </c>
      <c r="M260" s="20" t="n">
        <v>-17243</v>
      </c>
      <c r="N260" s="20" t="n">
        <v>-3261</v>
      </c>
      <c r="P260" s="20" t="n">
        <v>-11489</v>
      </c>
      <c r="Q260" s="20" t="n">
        <v>-13905</v>
      </c>
      <c r="R260" s="20" t="n">
        <v>-19197</v>
      </c>
      <c r="S260" s="20" t="n">
        <v>-28665</v>
      </c>
      <c r="T260" s="20" t="n">
        <v>-15186</v>
      </c>
      <c r="U260" s="20" t="n">
        <v>-23042</v>
      </c>
      <c r="V260" s="20" t="n">
        <v>-23447</v>
      </c>
      <c r="W260" s="20" t="n">
        <v>-14748</v>
      </c>
      <c r="X260" s="20" t="n">
        <v>-17243</v>
      </c>
    </row>
    <row r="261">
      <c r="A261" s="18" t="inlineStr">
        <is>
          <t>리스부채 상환 지출</t>
        </is>
      </c>
      <c r="C261" s="20" t="n">
        <v>-1859</v>
      </c>
      <c r="D261" s="20" t="n">
        <v>-2862</v>
      </c>
      <c r="E261" s="20" t="n">
        <v>-3958</v>
      </c>
      <c r="F261" s="20" t="n">
        <v>-1016</v>
      </c>
      <c r="G261" s="20" t="n">
        <v>-2168</v>
      </c>
      <c r="H261" s="20" t="n">
        <v>-3091</v>
      </c>
      <c r="I261" s="20" t="n">
        <v>-4145</v>
      </c>
      <c r="J261" s="20" t="n">
        <v>-942</v>
      </c>
      <c r="K261" s="20" t="n">
        <v>-1845</v>
      </c>
      <c r="L261" s="20" t="n">
        <v>-2761</v>
      </c>
      <c r="M261" s="20" t="n">
        <v>-3650</v>
      </c>
      <c r="N261" s="20" t="n">
        <v>-908</v>
      </c>
      <c r="Q261" s="20" t="n">
        <v>0</v>
      </c>
      <c r="R261" s="20" t="n">
        <v>-3714</v>
      </c>
      <c r="S261" s="20" t="n">
        <v>-4097</v>
      </c>
      <c r="T261" s="20" t="n">
        <v>-3690</v>
      </c>
      <c r="U261" s="20" t="n">
        <v>-3583</v>
      </c>
      <c r="V261" s="20" t="n">
        <v>-3958</v>
      </c>
      <c r="W261" s="20" t="n">
        <v>-4145</v>
      </c>
      <c r="X261" s="20" t="n">
        <v>-3650</v>
      </c>
    </row>
    <row r="262">
      <c r="A262" s="18" t="inlineStr">
        <is>
          <t>전환사채형 신주예약권부 사채 발행 수입</t>
        </is>
      </c>
      <c r="H262" s="20" t="n">
        <v>0</v>
      </c>
      <c r="I262" s="20" t="n">
        <v>0</v>
      </c>
      <c r="L262" s="20" t="n">
        <v>30000</v>
      </c>
      <c r="M262" s="20" t="n">
        <v>30000</v>
      </c>
      <c r="W262" s="20" t="n">
        <v>0</v>
      </c>
      <c r="X262" s="20" t="n">
        <v>30000</v>
      </c>
    </row>
    <row r="263">
      <c r="A263" s="18" t="inlineStr">
        <is>
          <t>자기주식 취득</t>
        </is>
      </c>
      <c r="C263" s="20" t="n">
        <v>-4500</v>
      </c>
      <c r="D263" s="20" t="n">
        <v>-7001</v>
      </c>
      <c r="E263" s="20" t="n">
        <v>-7001</v>
      </c>
      <c r="F263" s="20" t="n">
        <v>-0</v>
      </c>
      <c r="G263" s="20" t="n">
        <v>-1</v>
      </c>
      <c r="H263" s="20" t="n">
        <v>-3081</v>
      </c>
      <c r="I263" s="20" t="n">
        <v>-4502</v>
      </c>
      <c r="J263" s="20" t="n">
        <v>-2000</v>
      </c>
      <c r="K263" s="20" t="n">
        <v>-2000</v>
      </c>
      <c r="L263" s="20" t="n">
        <v>-7000</v>
      </c>
      <c r="M263" s="20" t="n">
        <v>-10001</v>
      </c>
      <c r="N263" s="20" t="n">
        <v>-0</v>
      </c>
      <c r="U263" s="20" t="n">
        <v>-0</v>
      </c>
      <c r="V263" s="20" t="n">
        <v>-7001</v>
      </c>
      <c r="W263" s="20" t="n">
        <v>-4502</v>
      </c>
      <c r="X263" s="20" t="n">
        <v>-10001</v>
      </c>
    </row>
    <row r="264">
      <c r="A264" s="18" t="inlineStr">
        <is>
          <t>배당금 지급</t>
        </is>
      </c>
      <c r="C264" s="20" t="n">
        <v>-1961</v>
      </c>
      <c r="D264" s="20" t="n">
        <v>-1961</v>
      </c>
      <c r="E264" s="20" t="n">
        <v>-1961</v>
      </c>
      <c r="F264" s="20" t="n">
        <v>-1809</v>
      </c>
      <c r="G264" s="20" t="n">
        <v>-1809</v>
      </c>
      <c r="H264" s="20" t="n">
        <v>-2563</v>
      </c>
      <c r="I264" s="20" t="n">
        <v>-2563</v>
      </c>
      <c r="J264" s="20" t="n">
        <v>-1480</v>
      </c>
      <c r="K264" s="20" t="n">
        <v>-1480</v>
      </c>
      <c r="L264" s="20" t="n">
        <v>-2364</v>
      </c>
      <c r="M264" s="20" t="n">
        <v>-2364</v>
      </c>
      <c r="N264" s="20" t="n">
        <v>-1695</v>
      </c>
      <c r="P264" s="20" t="n">
        <v>-694</v>
      </c>
      <c r="Q264" s="20" t="n">
        <v>-833</v>
      </c>
      <c r="R264" s="20" t="n">
        <v>-983</v>
      </c>
      <c r="S264" s="20" t="n">
        <v>-819</v>
      </c>
      <c r="T264" s="20" t="n">
        <v>-819</v>
      </c>
      <c r="U264" s="20" t="n">
        <v>-980</v>
      </c>
      <c r="V264" s="20" t="n">
        <v>-1961</v>
      </c>
      <c r="W264" s="20" t="n">
        <v>-2563</v>
      </c>
      <c r="X264" s="20" t="n">
        <v>-2364</v>
      </c>
    </row>
    <row r="265">
      <c r="A265" s="18" t="inlineStr">
        <is>
          <t>Proceeds From Issuance Of Bonds With Share Acquisition Rights Fin CF</t>
        </is>
      </c>
      <c r="P265" s="20" t="n">
        <v>0</v>
      </c>
      <c r="Q265" s="20" t="n">
        <v>7258</v>
      </c>
    </row>
    <row r="266">
      <c r="A266" s="18" t="inlineStr">
        <is>
          <t>Payments For Acquisition Of Interests In Subsidiaries From Non Controlling Interests Fin CF</t>
        </is>
      </c>
      <c r="P266" s="20" t="n">
        <v>-1770</v>
      </c>
      <c r="Q266" s="20" t="n">
        <v>0</v>
      </c>
    </row>
    <row r="267">
      <c r="A267" s="18" t="inlineStr">
        <is>
          <t>Proceeds From Exercise Of Share Acquisition Rights Fin CF</t>
        </is>
      </c>
      <c r="Q267" s="20" t="n">
        <v>7258</v>
      </c>
      <c r="R267" s="20" t="n">
        <v>0</v>
      </c>
    </row>
    <row r="268">
      <c r="A268" s="18" t="inlineStr">
        <is>
          <t>비지배지분 배당금 지급액</t>
        </is>
      </c>
      <c r="F268" s="20" t="n">
        <v>-126</v>
      </c>
      <c r="G268" s="20" t="n">
        <v>-517</v>
      </c>
      <c r="H268" s="20" t="n">
        <v>-517</v>
      </c>
      <c r="I268" s="20" t="n">
        <v>-517</v>
      </c>
      <c r="J268" s="20" t="n">
        <v>-715</v>
      </c>
      <c r="K268" s="20" t="n">
        <v>-715</v>
      </c>
      <c r="L268" s="20" t="n">
        <v>-937</v>
      </c>
      <c r="M268" s="20" t="n">
        <v>-937</v>
      </c>
      <c r="N268" s="20" t="n">
        <v>-536</v>
      </c>
      <c r="W268" s="20" t="n">
        <v>-517</v>
      </c>
      <c r="X268" s="20" t="n">
        <v>-937</v>
      </c>
    </row>
    <row r="269">
      <c r="A269" s="18" t="inlineStr">
        <is>
          <t>Expenditures For Acquisition Of Subsidiaries Without Changes In The Scope Of Consolidation Fin CF</t>
        </is>
      </c>
      <c r="G269" s="20" t="n">
        <v>0</v>
      </c>
      <c r="H269" s="20" t="n">
        <v>0</v>
      </c>
      <c r="I269" s="20" t="n">
        <v>0</v>
      </c>
      <c r="K269" s="20" t="n">
        <v>-721</v>
      </c>
      <c r="L269" s="20" t="n">
        <v>-721</v>
      </c>
      <c r="M269" s="20" t="n">
        <v>-721</v>
      </c>
      <c r="W269" s="20" t="n">
        <v>0</v>
      </c>
      <c r="X269" s="20" t="n">
        <v>-721</v>
      </c>
    </row>
    <row r="270">
      <c r="A270" s="18" t="inlineStr">
        <is>
          <t>기타</t>
        </is>
      </c>
      <c r="C270" s="20" t="n">
        <v>-187</v>
      </c>
      <c r="D270" s="20" t="n">
        <v>-101</v>
      </c>
      <c r="E270" s="20" t="n">
        <v>-106</v>
      </c>
      <c r="F270" s="20" t="n">
        <v>12</v>
      </c>
      <c r="G270" s="20" t="n">
        <v>-57</v>
      </c>
      <c r="H270" s="20" t="n">
        <v>-57</v>
      </c>
      <c r="I270" s="20" t="n">
        <v>-54</v>
      </c>
      <c r="J270" s="20" t="n">
        <v>-515</v>
      </c>
      <c r="K270" s="20" t="n">
        <v>-11</v>
      </c>
      <c r="L270" s="20" t="n">
        <v>-106</v>
      </c>
      <c r="M270" s="20" t="n">
        <v>-106</v>
      </c>
      <c r="N270" s="20" t="n">
        <v>0</v>
      </c>
      <c r="P270" s="20" t="n">
        <v>-859</v>
      </c>
      <c r="Q270" s="20" t="n">
        <v>-1211</v>
      </c>
      <c r="R270" s="20" t="n">
        <v>-700</v>
      </c>
      <c r="S270" s="20" t="n">
        <v>-667</v>
      </c>
      <c r="T270" s="20" t="n">
        <v>-445</v>
      </c>
      <c r="U270" s="20" t="n">
        <v>-719</v>
      </c>
      <c r="V270" s="20" t="n">
        <v>-106</v>
      </c>
      <c r="W270" s="20" t="n">
        <v>-54</v>
      </c>
      <c r="X270" s="20" t="n">
        <v>-106</v>
      </c>
    </row>
    <row r="271">
      <c r="A271" s="9" t="inlineStr">
        <is>
          <t>재무활동 현금흐름</t>
        </is>
      </c>
      <c r="C271" s="12" t="n">
        <v>-11026</v>
      </c>
      <c r="D271" s="12" t="n">
        <v>-16785</v>
      </c>
      <c r="E271" s="12" t="n">
        <v>-19353</v>
      </c>
      <c r="F271" s="12" t="n">
        <v>-9525</v>
      </c>
      <c r="G271" s="12" t="n">
        <v>-10246</v>
      </c>
      <c r="H271" s="12" t="n">
        <v>-16560</v>
      </c>
      <c r="I271" s="12" t="n">
        <v>-18793</v>
      </c>
      <c r="J271" s="12" t="n">
        <v>-2885</v>
      </c>
      <c r="K271" s="12" t="n">
        <v>-5048</v>
      </c>
      <c r="L271" s="12" t="n">
        <v>6296</v>
      </c>
      <c r="M271" s="12" t="n">
        <v>1761</v>
      </c>
      <c r="N271" s="12" t="n">
        <v>-5351</v>
      </c>
      <c r="P271" s="12" t="n">
        <v>-7043</v>
      </c>
      <c r="Q271" s="12" t="n">
        <v>8479</v>
      </c>
      <c r="R271" s="12" t="n">
        <v>-1665</v>
      </c>
      <c r="S271" s="12" t="n">
        <v>-5342</v>
      </c>
      <c r="T271" s="12" t="n">
        <v>-11273</v>
      </c>
      <c r="U271" s="12" t="n">
        <v>-14032</v>
      </c>
      <c r="V271" s="12" t="n">
        <v>-19353</v>
      </c>
      <c r="W271" s="12" t="n">
        <v>-18793</v>
      </c>
      <c r="X271" s="12" t="n">
        <v>1761</v>
      </c>
    </row>
    <row r="272">
      <c r="A272" s="18" t="inlineStr">
        <is>
          <t>현금성자산 증감</t>
        </is>
      </c>
      <c r="P272" s="20" t="n">
        <v>-3636</v>
      </c>
      <c r="Q272" s="20" t="n">
        <v>3682</v>
      </c>
      <c r="R272" s="20" t="n">
        <v>-910</v>
      </c>
    </row>
    <row r="273">
      <c r="A273" s="18" t="inlineStr">
        <is>
          <t>현금성자산 환산차이</t>
        </is>
      </c>
      <c r="C273" s="20" t="n">
        <v>3135</v>
      </c>
      <c r="D273" s="20" t="n">
        <v>2052</v>
      </c>
      <c r="E273" s="20" t="n">
        <v>3931</v>
      </c>
      <c r="F273" s="20" t="n">
        <v>2352</v>
      </c>
      <c r="G273" s="20" t="n">
        <v>-1439</v>
      </c>
      <c r="H273" s="20" t="n">
        <v>1357</v>
      </c>
      <c r="I273" s="20" t="n">
        <v>-390</v>
      </c>
      <c r="J273" s="20" t="n">
        <v>26</v>
      </c>
      <c r="K273" s="20" t="n">
        <v>1125</v>
      </c>
      <c r="L273" s="20" t="n">
        <v>3522</v>
      </c>
      <c r="M273" s="20" t="n">
        <v>3902</v>
      </c>
      <c r="N273" s="20" t="n">
        <v>660</v>
      </c>
      <c r="P273" s="20" t="n">
        <v>-137</v>
      </c>
      <c r="Q273" s="20" t="n">
        <v>-12</v>
      </c>
      <c r="R273" s="20" t="n">
        <v>-1211</v>
      </c>
      <c r="S273" s="20" t="n">
        <v>1877</v>
      </c>
      <c r="T273" s="20" t="n">
        <v>3080</v>
      </c>
      <c r="U273" s="20" t="n">
        <v>2266</v>
      </c>
      <c r="V273" s="20" t="n">
        <v>3931</v>
      </c>
      <c r="W273" s="20" t="n">
        <v>-390</v>
      </c>
      <c r="X273" s="20" t="n">
        <v>3902</v>
      </c>
    </row>
    <row r="274">
      <c r="A274" s="18" t="inlineStr">
        <is>
          <t>현금성자산 증감</t>
        </is>
      </c>
      <c r="C274" s="20" t="n">
        <v>-5361</v>
      </c>
      <c r="D274" s="20" t="n">
        <v>-4787</v>
      </c>
      <c r="E274" s="20" t="n">
        <v>1688</v>
      </c>
      <c r="F274" s="20" t="n">
        <v>-3559</v>
      </c>
      <c r="G274" s="20" t="n">
        <v>-3597</v>
      </c>
      <c r="H274" s="20" t="n">
        <v>-3076</v>
      </c>
      <c r="I274" s="20" t="n">
        <v>-9276</v>
      </c>
      <c r="J274" s="20" t="n">
        <v>720</v>
      </c>
      <c r="K274" s="20" t="n">
        <v>1025</v>
      </c>
      <c r="L274" s="20" t="n">
        <v>17492</v>
      </c>
      <c r="M274" s="20" t="n">
        <v>17118</v>
      </c>
      <c r="N274" s="20" t="n">
        <v>3487</v>
      </c>
      <c r="R274" s="20" t="n">
        <v>-910</v>
      </c>
      <c r="S274" s="20" t="n">
        <v>20559</v>
      </c>
      <c r="T274" s="20" t="n">
        <v>-10937</v>
      </c>
      <c r="U274" s="20" t="n">
        <v>7511</v>
      </c>
      <c r="V274" s="20" t="n">
        <v>1688</v>
      </c>
      <c r="W274" s="20" t="n">
        <v>-9276</v>
      </c>
      <c r="X274" s="20" t="n">
        <v>17118</v>
      </c>
    </row>
    <row r="275">
      <c r="A275" s="18" t="inlineStr">
        <is>
          <t>매각예정 자산에 포함된 현금및현금성자산</t>
        </is>
      </c>
      <c r="R275" s="20" t="n">
        <v>0</v>
      </c>
      <c r="S275" s="20" t="n">
        <v>-848</v>
      </c>
      <c r="T275" s="20" t="n">
        <v>0</v>
      </c>
    </row>
    <row r="276">
      <c r="A276" s="18" t="inlineStr">
        <is>
          <t>연결 제외 현금성자산 감소</t>
        </is>
      </c>
      <c r="E276" s="20" t="n">
        <v>0</v>
      </c>
      <c r="T276" s="20" t="n">
        <v>0</v>
      </c>
      <c r="U276" s="20" t="n">
        <v>-32</v>
      </c>
      <c r="V276" s="20" t="n">
        <v>0</v>
      </c>
    </row>
    <row r="277">
      <c r="A277" s="18" t="inlineStr">
        <is>
          <t>매각예정 자산에 포함된 현금및현금성자산</t>
        </is>
      </c>
      <c r="C277" s="20" t="n">
        <v>-102</v>
      </c>
      <c r="G277" s="20" t="n">
        <v>0</v>
      </c>
    </row>
    <row r="278">
      <c r="A278" s="18" t="inlineStr">
        <is>
          <t>매각예정 자산에 포함된 현금및현금성자산</t>
        </is>
      </c>
      <c r="D278" s="20" t="n">
        <v>-99</v>
      </c>
      <c r="H278" s="20" t="n">
        <v>0</v>
      </c>
    </row>
    <row r="279">
      <c r="A279" s="18" t="inlineStr">
        <is>
          <t>연결 제외 현금성자산 감소</t>
        </is>
      </c>
      <c r="D279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6632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187630</v>
      </c>
      <c r="D5" s="12" t="n">
        <v>191525</v>
      </c>
      <c r="E5" s="12" t="n">
        <v>214802</v>
      </c>
      <c r="F5" s="12" t="n">
        <v>217647</v>
      </c>
      <c r="G5" s="12" t="n">
        <v>217851</v>
      </c>
      <c r="H5" s="11" t="n">
        <v>176799</v>
      </c>
      <c r="I5" s="12" t="n">
        <v>197187</v>
      </c>
      <c r="J5" s="12" t="n">
        <v>206049</v>
      </c>
      <c r="K5" s="12" t="n">
        <v>196825</v>
      </c>
      <c r="L5" s="12" t="n">
        <v>217647</v>
      </c>
    </row>
    <row r="6">
      <c r="A6" s="18" t="inlineStr">
        <is>
          <t>현금및현금성자산</t>
        </is>
      </c>
      <c r="B6" s="10" t="n"/>
      <c r="C6" s="19" t="n">
        <v>49318</v>
      </c>
      <c r="D6" s="20" t="n">
        <v>49623</v>
      </c>
      <c r="E6" s="20" t="n">
        <v>66089</v>
      </c>
      <c r="F6" s="20" t="n">
        <v>65716</v>
      </c>
      <c r="G6" s="20" t="n">
        <v>69203</v>
      </c>
      <c r="H6" s="19" t="n">
        <v>48707</v>
      </c>
      <c r="I6" s="20" t="n">
        <v>56186</v>
      </c>
      <c r="J6" s="20" t="n">
        <v>57874</v>
      </c>
      <c r="K6" s="20" t="n">
        <v>48597</v>
      </c>
      <c r="L6" s="20" t="n">
        <v>65716</v>
      </c>
    </row>
    <row r="7">
      <c r="A7" s="18" t="inlineStr">
        <is>
          <t>단기금융상품</t>
        </is>
      </c>
      <c r="B7" s="10" t="n"/>
      <c r="C7" s="19" t="n">
        <v>1867</v>
      </c>
      <c r="D7" s="20" t="n">
        <v>3044</v>
      </c>
      <c r="E7" s="20" t="n">
        <v>3166</v>
      </c>
      <c r="F7" s="20" t="n">
        <v>2504</v>
      </c>
      <c r="G7" s="20" t="n">
        <v>2598</v>
      </c>
      <c r="H7" s="19" t="n">
        <v>4761</v>
      </c>
      <c r="I7" s="20" t="n">
        <v>3552</v>
      </c>
      <c r="J7" s="20" t="n">
        <v>4914</v>
      </c>
      <c r="K7" s="20" t="n">
        <v>2228</v>
      </c>
      <c r="L7" s="20" t="n">
        <v>2504</v>
      </c>
    </row>
    <row r="8">
      <c r="A8" s="18" t="inlineStr">
        <is>
          <t>매출채권</t>
        </is>
      </c>
      <c r="B8" s="10" t="n"/>
      <c r="C8" s="19" t="n">
        <v>59639</v>
      </c>
      <c r="D8" s="20" t="n">
        <v>61875</v>
      </c>
      <c r="E8" s="20" t="n">
        <v>65873</v>
      </c>
      <c r="F8" s="20" t="n">
        <v>73919</v>
      </c>
      <c r="G8" s="20" t="n">
        <v>67314</v>
      </c>
      <c r="H8" s="19" t="n">
        <v>59570</v>
      </c>
      <c r="I8" s="20" t="n">
        <v>58157</v>
      </c>
      <c r="J8" s="20" t="n">
        <v>67863</v>
      </c>
      <c r="K8" s="20" t="n">
        <v>71738</v>
      </c>
      <c r="L8" s="20" t="n">
        <v>73919</v>
      </c>
    </row>
    <row r="9">
      <c r="A9" s="18" t="inlineStr">
        <is>
          <t>재고자산</t>
        </is>
      </c>
      <c r="B9" s="10" t="n"/>
      <c r="C9" s="19" t="n">
        <v>61538</v>
      </c>
      <c r="D9" s="20" t="n">
        <v>61333</v>
      </c>
      <c r="E9" s="20" t="n">
        <v>64725</v>
      </c>
      <c r="F9" s="20" t="n">
        <v>61044</v>
      </c>
      <c r="G9" s="20" t="n">
        <v>64852</v>
      </c>
      <c r="H9" s="19" t="n">
        <v>55585</v>
      </c>
      <c r="I9" s="20" t="n">
        <v>67830</v>
      </c>
      <c r="J9" s="20" t="n">
        <v>62906</v>
      </c>
      <c r="K9" s="20" t="n">
        <v>58498</v>
      </c>
      <c r="L9" s="20" t="n">
        <v>61044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118683</v>
      </c>
      <c r="D11" s="12" t="n">
        <v>122062</v>
      </c>
      <c r="E11" s="12" t="n">
        <v>129146</v>
      </c>
      <c r="F11" s="12" t="n">
        <v>129958</v>
      </c>
      <c r="G11" s="12" t="n">
        <v>130170</v>
      </c>
      <c r="H11" s="11" t="n">
        <v>104008</v>
      </c>
      <c r="I11" s="12" t="n">
        <v>102167</v>
      </c>
      <c r="J11" s="12" t="n">
        <v>110770</v>
      </c>
      <c r="K11" s="12" t="n">
        <v>116510</v>
      </c>
      <c r="L11" s="12" t="n">
        <v>129958</v>
      </c>
    </row>
    <row r="12">
      <c r="A12" s="18" t="inlineStr">
        <is>
          <t>유형자산</t>
        </is>
      </c>
      <c r="B12" s="10" t="n"/>
      <c r="C12" s="19" t="n">
        <v>61439</v>
      </c>
      <c r="D12" s="20" t="n">
        <v>61956</v>
      </c>
      <c r="E12" s="20" t="n">
        <v>64589</v>
      </c>
      <c r="F12" s="20" t="n">
        <v>64901</v>
      </c>
      <c r="G12" s="20" t="n">
        <v>63726</v>
      </c>
      <c r="H12" s="19" t="n">
        <v>56249</v>
      </c>
      <c r="I12" s="20" t="n">
        <v>54721</v>
      </c>
      <c r="J12" s="20" t="n">
        <v>61955</v>
      </c>
      <c r="K12" s="20" t="n">
        <v>62067</v>
      </c>
      <c r="L12" s="20" t="n">
        <v>64901</v>
      </c>
    </row>
    <row r="13">
      <c r="A13" s="18" t="inlineStr">
        <is>
          <t>무형자산</t>
        </is>
      </c>
      <c r="B13" s="10" t="n"/>
      <c r="C13" s="19" t="n">
        <v>24387</v>
      </c>
      <c r="D13" s="20" t="n">
        <v>25839</v>
      </c>
      <c r="E13" s="20" t="n">
        <v>27013</v>
      </c>
      <c r="F13" s="20" t="n">
        <v>28157</v>
      </c>
      <c r="G13" s="20" t="n">
        <v>28468</v>
      </c>
      <c r="H13" s="19" t="n">
        <v>18601</v>
      </c>
      <c r="I13" s="20" t="n">
        <v>18065</v>
      </c>
      <c r="J13" s="20" t="n">
        <v>17969</v>
      </c>
      <c r="K13" s="20" t="n">
        <v>22920</v>
      </c>
      <c r="L13" s="20" t="n">
        <v>28157</v>
      </c>
    </row>
    <row r="14">
      <c r="A14" s="18" t="inlineStr">
        <is>
          <t>투자부동산</t>
        </is>
      </c>
      <c r="B14" s="10" t="n"/>
      <c r="C14" s="19" t="n">
        <v>3920</v>
      </c>
      <c r="D14" s="20" t="n">
        <v>3987</v>
      </c>
      <c r="E14" s="20" t="n">
        <v>4040</v>
      </c>
      <c r="F14" s="20" t="n">
        <v>4136</v>
      </c>
      <c r="G14" s="20" t="n">
        <v>4173</v>
      </c>
      <c r="H14" s="19" t="n">
        <v>3626</v>
      </c>
      <c r="I14" s="20" t="n">
        <v>3817</v>
      </c>
      <c r="J14" s="20" t="n">
        <v>4077</v>
      </c>
      <c r="K14" s="20" t="n">
        <v>3991</v>
      </c>
      <c r="L14" s="20" t="n">
        <v>4136</v>
      </c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306313</v>
      </c>
      <c r="D16" s="12" t="n">
        <v>313588</v>
      </c>
      <c r="E16" s="12" t="n">
        <v>343948</v>
      </c>
      <c r="F16" s="12" t="n">
        <v>347605</v>
      </c>
      <c r="G16" s="12" t="n">
        <v>348022</v>
      </c>
      <c r="H16" s="11" t="n">
        <v>280807</v>
      </c>
      <c r="I16" s="12" t="n">
        <v>299355</v>
      </c>
      <c r="J16" s="12" t="n">
        <v>316819</v>
      </c>
      <c r="K16" s="12" t="n">
        <v>313336</v>
      </c>
      <c r="L16" s="12" t="n">
        <v>347605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122396</v>
      </c>
      <c r="D18" s="12" t="n">
        <v>121908</v>
      </c>
      <c r="E18" s="12" t="n">
        <v>118138</v>
      </c>
      <c r="F18" s="12" t="n">
        <v>117165</v>
      </c>
      <c r="G18" s="12" t="n">
        <v>116802</v>
      </c>
      <c r="H18" s="11" t="n">
        <v>106213</v>
      </c>
      <c r="I18" s="12" t="n">
        <v>123849</v>
      </c>
      <c r="J18" s="12" t="n">
        <v>121717</v>
      </c>
      <c r="K18" s="12" t="n">
        <v>126148</v>
      </c>
      <c r="L18" s="12" t="n">
        <v>117165</v>
      </c>
    </row>
    <row r="19">
      <c r="A19" s="18" t="inlineStr">
        <is>
          <t>매입채무</t>
        </is>
      </c>
      <c r="B19" s="10" t="n"/>
      <c r="C19" s="19" t="n">
        <v>49127</v>
      </c>
      <c r="D19" s="20" t="n">
        <v>48832</v>
      </c>
      <c r="E19" s="20" t="n">
        <v>53456</v>
      </c>
      <c r="F19" s="20" t="n">
        <v>52212</v>
      </c>
      <c r="G19" s="20" t="n">
        <v>53350</v>
      </c>
      <c r="H19" s="19" t="n">
        <v>49431</v>
      </c>
      <c r="I19" s="20" t="n">
        <v>52868</v>
      </c>
      <c r="J19" s="20" t="n">
        <v>53430</v>
      </c>
      <c r="K19" s="20" t="n">
        <v>50578</v>
      </c>
      <c r="L19" s="20" t="n">
        <v>52212</v>
      </c>
    </row>
    <row r="20">
      <c r="A20" s="18" t="inlineStr">
        <is>
          <t>단기차입금</t>
        </is>
      </c>
      <c r="B20" s="10" t="n"/>
      <c r="C20" s="19" t="n">
        <v>30464</v>
      </c>
      <c r="D20" s="20" t="n">
        <v>29064</v>
      </c>
      <c r="E20" s="20" t="n">
        <v>20733</v>
      </c>
      <c r="F20" s="20" t="n">
        <v>18589</v>
      </c>
      <c r="G20" s="20" t="n">
        <v>16824</v>
      </c>
      <c r="H20" s="19" t="n">
        <v>17918</v>
      </c>
      <c r="I20" s="20" t="n">
        <v>26292</v>
      </c>
      <c r="J20" s="20" t="n">
        <v>19194</v>
      </c>
      <c r="K20" s="20" t="n">
        <v>26121</v>
      </c>
      <c r="L20" s="20" t="n">
        <v>18589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/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53923</v>
      </c>
      <c r="D23" s="12" t="n">
        <v>54032</v>
      </c>
      <c r="E23" s="12" t="n">
        <v>79248</v>
      </c>
      <c r="F23" s="12" t="n">
        <v>80741</v>
      </c>
      <c r="G23" s="12" t="n">
        <v>79657</v>
      </c>
      <c r="H23" s="11" t="n">
        <v>90632</v>
      </c>
      <c r="I23" s="12" t="n">
        <v>71774</v>
      </c>
      <c r="J23" s="12" t="n">
        <v>73881</v>
      </c>
      <c r="K23" s="12" t="n">
        <v>55789</v>
      </c>
      <c r="L23" s="12" t="n">
        <v>80741</v>
      </c>
    </row>
    <row r="24">
      <c r="A24" s="18" t="inlineStr">
        <is>
          <t>장기차입금</t>
        </is>
      </c>
      <c r="B24" s="10" t="n"/>
      <c r="C24" s="19" t="n">
        <v>22969</v>
      </c>
      <c r="D24" s="20" t="n">
        <v>23517</v>
      </c>
      <c r="E24" s="20" t="n"/>
      <c r="F24" s="20" t="n">
        <v>50009</v>
      </c>
      <c r="G24" s="20" t="n">
        <v>49892</v>
      </c>
      <c r="H24" s="19" t="n">
        <v>51920</v>
      </c>
      <c r="I24" s="20" t="n">
        <v>36190</v>
      </c>
      <c r="J24" s="20" t="n">
        <v>38103</v>
      </c>
      <c r="K24" s="20" t="n">
        <v>24253</v>
      </c>
      <c r="L24" s="20" t="n">
        <v>50009</v>
      </c>
    </row>
    <row r="25">
      <c r="A25" s="18" t="inlineStr">
        <is>
          <t>사채</t>
        </is>
      </c>
      <c r="B25" s="10" t="n"/>
      <c r="C25" s="19" t="n"/>
      <c r="D25" s="20" t="n"/>
      <c r="E25" s="20" t="n">
        <v>48402</v>
      </c>
      <c r="F25" s="20" t="n"/>
      <c r="G25" s="20" t="n"/>
      <c r="H25" s="19" t="n"/>
      <c r="I25" s="20" t="n"/>
      <c r="J25" s="20" t="n"/>
      <c r="K25" s="20" t="n">
        <v>24253</v>
      </c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176320</v>
      </c>
      <c r="D27" s="12" t="n">
        <v>175941</v>
      </c>
      <c r="E27" s="12" t="n">
        <v>197387</v>
      </c>
      <c r="F27" s="12" t="n">
        <v>197906</v>
      </c>
      <c r="G27" s="12" t="n">
        <v>196459</v>
      </c>
      <c r="H27" s="11" t="n">
        <v>196846</v>
      </c>
      <c r="I27" s="12" t="n">
        <v>195624</v>
      </c>
      <c r="J27" s="12" t="n">
        <v>195598</v>
      </c>
      <c r="K27" s="12" t="n">
        <v>181937</v>
      </c>
      <c r="L27" s="12" t="n">
        <v>197906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124195</v>
      </c>
      <c r="D31" s="12" t="n">
        <v>131730</v>
      </c>
      <c r="E31" s="12" t="n">
        <v>140368</v>
      </c>
      <c r="F31" s="12" t="n">
        <v>143834</v>
      </c>
      <c r="G31" s="12" t="n">
        <v>145622</v>
      </c>
      <c r="H31" s="11" t="n">
        <v>79495</v>
      </c>
      <c r="I31" s="12" t="n">
        <v>98807</v>
      </c>
      <c r="J31" s="12" t="n">
        <v>114801</v>
      </c>
      <c r="K31" s="12" t="n">
        <v>125103</v>
      </c>
      <c r="L31" s="12" t="n">
        <v>143834</v>
      </c>
    </row>
    <row r="32">
      <c r="A32" s="18" t="inlineStr">
        <is>
          <t>자본금</t>
        </is>
      </c>
      <c r="B32" s="10" t="n"/>
      <c r="C32" s="19" t="n">
        <v>13645</v>
      </c>
      <c r="D32" s="20" t="n">
        <v>13645</v>
      </c>
      <c r="E32" s="20" t="n">
        <v>13645</v>
      </c>
      <c r="F32" s="20" t="n">
        <v>13645</v>
      </c>
      <c r="G32" s="20" t="n">
        <v>13645</v>
      </c>
      <c r="H32" s="19" t="n">
        <v>13645</v>
      </c>
      <c r="I32" s="20" t="n">
        <v>13645</v>
      </c>
      <c r="J32" s="20" t="n">
        <v>13645</v>
      </c>
      <c r="K32" s="20" t="n">
        <v>13645</v>
      </c>
      <c r="L32" s="20" t="n">
        <v>13645</v>
      </c>
    </row>
    <row r="33">
      <c r="A33" s="18" t="inlineStr">
        <is>
          <t>이익잉여금</t>
        </is>
      </c>
      <c r="B33" s="10" t="n"/>
      <c r="C33" s="19" t="n">
        <v>60052</v>
      </c>
      <c r="D33" s="20" t="n">
        <v>64106</v>
      </c>
      <c r="E33" s="20" t="n">
        <v>68191</v>
      </c>
      <c r="F33" s="20" t="n">
        <v>72782</v>
      </c>
      <c r="G33" s="20" t="n">
        <v>72094</v>
      </c>
      <c r="H33" s="19" t="n">
        <v>13346</v>
      </c>
      <c r="I33" s="20" t="n">
        <v>28811</v>
      </c>
      <c r="J33" s="20" t="n">
        <v>40004</v>
      </c>
      <c r="K33" s="20" t="n">
        <v>58086</v>
      </c>
      <c r="L33" s="20" t="n">
        <v>72782</v>
      </c>
    </row>
    <row r="34">
      <c r="A34" s="18" t="inlineStr">
        <is>
          <t>비지배지분</t>
        </is>
      </c>
      <c r="B34" s="10" t="n"/>
      <c r="C34" s="19" t="n">
        <v>5797</v>
      </c>
      <c r="D34" s="20" t="n">
        <v>5916</v>
      </c>
      <c r="E34" s="20" t="n">
        <v>6192</v>
      </c>
      <c r="F34" s="20" t="n">
        <v>5864</v>
      </c>
      <c r="G34" s="20" t="n">
        <v>5939</v>
      </c>
      <c r="H34" s="19" t="n">
        <v>4465</v>
      </c>
      <c r="I34" s="20" t="n">
        <v>4923</v>
      </c>
      <c r="J34" s="20" t="n">
        <v>6418</v>
      </c>
      <c r="K34" s="20" t="n">
        <v>6295</v>
      </c>
      <c r="L34" s="20" t="n">
        <v>5864</v>
      </c>
    </row>
    <row r="35">
      <c r="A35" s="9" t="inlineStr">
        <is>
          <t>자본총계</t>
        </is>
      </c>
      <c r="B35" s="10" t="n"/>
      <c r="C35" s="11" t="n">
        <v>129993</v>
      </c>
      <c r="D35" s="12" t="n">
        <v>137647</v>
      </c>
      <c r="E35" s="12" t="n">
        <v>146561</v>
      </c>
      <c r="F35" s="12" t="n">
        <v>149698</v>
      </c>
      <c r="G35" s="12" t="n">
        <v>151562</v>
      </c>
      <c r="H35" s="11" t="n">
        <v>83961</v>
      </c>
      <c r="I35" s="12" t="n">
        <v>103731</v>
      </c>
      <c r="J35" s="12" t="n">
        <v>121220</v>
      </c>
      <c r="K35" s="12" t="n">
        <v>131399</v>
      </c>
      <c r="L35" s="12" t="n">
        <v>149698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30145</v>
      </c>
      <c r="D37" s="12" t="n">
        <v>31581</v>
      </c>
      <c r="E37" s="12" t="n">
        <v>26836</v>
      </c>
      <c r="F37" s="12" t="n">
        <v>33758</v>
      </c>
      <c r="G37" s="12" t="n">
        <v>38010</v>
      </c>
      <c r="H37" s="11" t="n">
        <v>7059</v>
      </c>
      <c r="I37" s="12" t="n">
        <v>26607</v>
      </c>
      <c r="J37" s="12" t="n">
        <v>33172</v>
      </c>
      <c r="K37" s="12" t="n">
        <v>31452</v>
      </c>
      <c r="L37" s="12" t="n">
        <v>33758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24538</v>
      </c>
      <c r="D38" s="20" t="n">
        <v>22645</v>
      </c>
      <c r="E38" s="20" t="n">
        <v>21004</v>
      </c>
      <c r="F38" s="20" t="n">
        <v>22569</v>
      </c>
      <c r="G38" s="20" t="n">
        <v>20741</v>
      </c>
      <c r="H38" s="19" t="n">
        <v>15962</v>
      </c>
      <c r="I38" s="20" t="n">
        <v>15812</v>
      </c>
      <c r="J38" s="20" t="n">
        <v>21009</v>
      </c>
      <c r="K38" s="20" t="n">
        <v>24735</v>
      </c>
      <c r="L38" s="20" t="n">
        <v>22569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2234</v>
      </c>
      <c r="D40" s="20" t="n">
        <v>2234</v>
      </c>
      <c r="E40" s="20" t="n">
        <v>2364</v>
      </c>
      <c r="F40" s="20" t="n">
        <v>2364</v>
      </c>
      <c r="G40" s="20" t="n">
        <v>2579</v>
      </c>
      <c r="H40" s="19" t="n">
        <v>819</v>
      </c>
      <c r="I40" s="20" t="n">
        <v>980</v>
      </c>
      <c r="J40" s="20" t="n">
        <v>1961</v>
      </c>
      <c r="K40" s="20" t="n">
        <v>2563</v>
      </c>
      <c r="L40" s="20" t="n">
        <v>2364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IFERROR(IF((IF(COUNT('연간'!G56:J56)&lt;4,"",SUM('연간'!G56:J56)))&lt;=0,"적자",C28/(IF(COUNT('연간'!G56:J56)&lt;4,"",SUM('연간'!G56:J56)))),"")</f>
        <v/>
      </c>
      <c r="D49" s="47">
        <f>IFERROR(IF((IF(COUNT('연간'!H56:K56)&lt;4,"",SUM('연간'!H56:K56)))&lt;=0,"적자",D28/(IF(COUNT('연간'!H56:K56)&lt;4,"",SUM('연간'!H56:K56)))),"")</f>
        <v/>
      </c>
      <c r="E49" s="47">
        <f>IFERROR(IF((IF(COUNT('연간'!I56:L56)&lt;4,"",SUM('연간'!I56:L56)))&lt;=0,"적자",E28/(IF(COUNT('연간'!I56:L56)&lt;4,"",SUM('연간'!I56:L56)))),"")</f>
        <v/>
      </c>
      <c r="F49" s="47">
        <f>IFERROR(IF((IF(COUNT('연간'!J56:M56)&lt;4,"",SUM('연간'!J56:M56)))&lt;=0,"적자",F28/(IF(COUNT('연간'!J56:M56)&lt;4,"",SUM('연간'!J56:M56)))),"")</f>
        <v/>
      </c>
      <c r="G49" s="47">
        <f>IFERROR(IF((IF(COUNT('연간'!K56:N56)&lt;4,"",SUM('연간'!K56:N56)))&lt;=0,"적자",G28/(IF(COUNT('연간'!K56:N56)&lt;4,"",SUM('연간'!K56:N56)))),"")</f>
        <v/>
      </c>
      <c r="H49" s="46">
        <f>IFERROR(IF(('연간'!T56)&lt;=0,"적자",H28/('연간'!T56)),"")</f>
        <v/>
      </c>
      <c r="I49" s="47">
        <f>IFERROR(IF(('연간'!U56)&lt;=0,"적자",I28/('연간'!U56)),"")</f>
        <v/>
      </c>
      <c r="J49" s="47">
        <f>IFERROR(IF(('연간'!V56)&lt;=0,"적자",J28/('연간'!V56)),"")</f>
        <v/>
      </c>
      <c r="K49" s="47">
        <f>IFERROR(IF(('연간'!W56)&lt;=0,"적자",K28/('연간'!W56)),"")</f>
        <v/>
      </c>
      <c r="L49" s="47">
        <f>IFERROR(IF(('연간'!X56)&lt;=0,"적자",L28/('연간'!X56)),"")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IFERROR((IF(COUNT('연간'!G56:J56)&lt;4,"",SUM('연간'!G56:J56)))/C31,"")</f>
        <v/>
      </c>
      <c r="D51" s="36">
        <f>IFERROR((IF(COUNT('연간'!H56:K56)&lt;4,"",SUM('연간'!H56:K56)))/D31,"")</f>
        <v/>
      </c>
      <c r="E51" s="36">
        <f>IFERROR((IF(COUNT('연간'!I56:L56)&lt;4,"",SUM('연간'!I56:L56)))/E31,"")</f>
        <v/>
      </c>
      <c r="F51" s="36">
        <f>IFERROR((IF(COUNT('연간'!J56:M56)&lt;4,"",SUM('연간'!J56:M56)))/F31,"")</f>
        <v/>
      </c>
      <c r="G51" s="36">
        <f>IFERROR((IF(COUNT('연간'!K56:N56)&lt;4,"",SUM('연간'!K56:N56)))/G31,"")</f>
        <v/>
      </c>
      <c r="H51" s="35">
        <f>IFERROR(('연간'!T56)/H31,"")</f>
        <v/>
      </c>
      <c r="I51" s="36">
        <f>IFERROR(('연간'!U56)/I31,"")</f>
        <v/>
      </c>
      <c r="J51" s="36">
        <f>IFERROR(('연간'!V56)/J31,"")</f>
        <v/>
      </c>
      <c r="K51" s="36">
        <f>IFERROR(('연간'!W56)/K31,"")</f>
        <v/>
      </c>
      <c r="L51" s="36">
        <f>IFERROR(('연간'!X56)/L31,"")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IFERROR((IF(COUNT('연간'!G55:J55)&lt;4,"",SUM('연간'!G55:J55)))/C16,"")</f>
        <v/>
      </c>
      <c r="D52" s="36">
        <f>IFERROR((IF(COUNT('연간'!H55:K55)&lt;4,"",SUM('연간'!H55:K55)))/D16,"")</f>
        <v/>
      </c>
      <c r="E52" s="36">
        <f>IFERROR((IF(COUNT('연간'!I55:L55)&lt;4,"",SUM('연간'!I55:L55)))/E16,"")</f>
        <v/>
      </c>
      <c r="F52" s="36">
        <f>IFERROR((IF(COUNT('연간'!J55:M55)&lt;4,"",SUM('연간'!J55:M55)))/F16,"")</f>
        <v/>
      </c>
      <c r="G52" s="36">
        <f>IFERROR((IF(COUNT('연간'!K55:N55)&lt;4,"",SUM('연간'!K55:N55)))/G16,"")</f>
        <v/>
      </c>
      <c r="H52" s="35">
        <f>IFERROR(('연간'!T55)/H16,"")</f>
        <v/>
      </c>
      <c r="I52" s="36">
        <f>IFERROR(('연간'!U55)/I16,"")</f>
        <v/>
      </c>
      <c r="J52" s="36">
        <f>IFERROR(('연간'!V55)/J16,"")</f>
        <v/>
      </c>
      <c r="K52" s="36">
        <f>IFERROR(('연간'!W55)/K16,"")</f>
        <v/>
      </c>
      <c r="L52" s="36">
        <f>IFERROR(('연간'!X55)/L16,"")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IFERROR((IF(COUNT('연간'!G24:J24)&lt;4,"",SUM('연간'!G24:J24)))/(IF(COUNT('연간'!G4:J4)&lt;4,"",SUM('연간'!G4:J4))),"")</f>
        <v/>
      </c>
      <c r="D54" s="36">
        <f>IFERROR((IF(COUNT('연간'!H24:K24)&lt;4,"",SUM('연간'!H24:K24)))/(IF(COUNT('연간'!H4:K4)&lt;4,"",SUM('연간'!H4:K4))),"")</f>
        <v/>
      </c>
      <c r="E54" s="36">
        <f>IFERROR((IF(COUNT('연간'!I24:L24)&lt;4,"",SUM('연간'!I24:L24)))/(IF(COUNT('연간'!I4:L4)&lt;4,"",SUM('연간'!I4:L4))),"")</f>
        <v/>
      </c>
      <c r="F54" s="36">
        <f>IFERROR((IF(COUNT('연간'!J24:M24)&lt;4,"",SUM('연간'!J24:M24)))/(IF(COUNT('연간'!J4:M4)&lt;4,"",SUM('연간'!J4:M4))),"")</f>
        <v/>
      </c>
      <c r="G54" s="36">
        <f>IFERROR((IF(COUNT('연간'!K24:N24)&lt;4,"",SUM('연간'!K24:N24)))/(IF(COUNT('연간'!K4:N4)&lt;4,"",SUM('연간'!K4:N4))),"")</f>
        <v/>
      </c>
      <c r="H54" s="35">
        <f>IFERROR(('연간'!T24)/('연간'!T4),"")</f>
        <v/>
      </c>
      <c r="I54" s="36">
        <f>IFERROR(('연간'!U24)/('연간'!U4),"")</f>
        <v/>
      </c>
      <c r="J54" s="36">
        <f>IFERROR(('연간'!V24)/('연간'!V4),"")</f>
        <v/>
      </c>
      <c r="K54" s="36">
        <f>IFERROR(('연간'!W24)/('연간'!W4),"")</f>
        <v/>
      </c>
      <c r="L54" s="36">
        <f>IFERROR(('연간'!X24)/('연간'!X4),"")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IFERROR((IF(COUNT('연간'!G55:J55)&lt;4,"",SUM('연간'!G55:J55)))/(IF(COUNT('연간'!G4:J4)&lt;4,"",SUM('연간'!G4:J4))),"")</f>
        <v/>
      </c>
      <c r="D56" s="36">
        <f>IFERROR((IF(COUNT('연간'!H55:K55)&lt;4,"",SUM('연간'!H55:K55)))/(IF(COUNT('연간'!H4:K4)&lt;4,"",SUM('연간'!H4:K4))),"")</f>
        <v/>
      </c>
      <c r="E56" s="36">
        <f>IFERROR((IF(COUNT('연간'!I55:L55)&lt;4,"",SUM('연간'!I55:L55)))/(IF(COUNT('연간'!I4:L4)&lt;4,"",SUM('연간'!I4:L4))),"")</f>
        <v/>
      </c>
      <c r="F56" s="36">
        <f>IFERROR((IF(COUNT('연간'!J55:M55)&lt;4,"",SUM('연간'!J55:M55)))/(IF(COUNT('연간'!J4:M4)&lt;4,"",SUM('연간'!J4:M4))),"")</f>
        <v/>
      </c>
      <c r="G56" s="36">
        <f>IFERROR((IF(COUNT('연간'!K55:N55)&lt;4,"",SUM('연간'!K55:N55)))/(IF(COUNT('연간'!K4:N4)&lt;4,"",SUM('연간'!K4:N4))),"")</f>
        <v/>
      </c>
      <c r="H56" s="35">
        <f>IFERROR(('연간'!T55)/('연간'!T4),"")</f>
        <v/>
      </c>
      <c r="I56" s="36">
        <f>IFERROR(('연간'!U55)/('연간'!U4),"")</f>
        <v/>
      </c>
      <c r="J56" s="36">
        <f>IFERROR(('연간'!V55)/('연간'!V4),"")</f>
        <v/>
      </c>
      <c r="K56" s="36">
        <f>IFERROR(('연간'!W55)/('연간'!W4),"")</f>
        <v/>
      </c>
      <c r="L56" s="36">
        <f>IFERROR(('연간'!X55)/('연간'!X4),"")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IFERROR(C9/(IF(COUNT('연간'!G23:J23)&lt;4,"",SUM('연간'!G23:J23)))*365,"")</f>
        <v/>
      </c>
      <c r="D60" s="49">
        <f>IFERROR(D9/(IF(COUNT('연간'!H23:K23)&lt;4,"",SUM('연간'!H23:K23)))*365,"")</f>
        <v/>
      </c>
      <c r="E60" s="49">
        <f>IFERROR(E9/(IF(COUNT('연간'!I23:L23)&lt;4,"",SUM('연간'!I23:L23)))*365,"")</f>
        <v/>
      </c>
      <c r="F60" s="49">
        <f>IFERROR(F9/(IF(COUNT('연간'!J23:M23)&lt;4,"",SUM('연간'!J23:M23)))*365,"")</f>
        <v/>
      </c>
      <c r="G60" s="49">
        <f>IFERROR(G9/(IF(COUNT('연간'!K23:N23)&lt;4,"",SUM('연간'!K23:N23)))*365,"")</f>
        <v/>
      </c>
      <c r="H60" s="48">
        <f>IFERROR(H9/('연간'!T23)*365,"")</f>
        <v/>
      </c>
      <c r="I60" s="49">
        <f>IFERROR(I9/('연간'!U23)*365,"")</f>
        <v/>
      </c>
      <c r="J60" s="49">
        <f>IFERROR(J9/('연간'!V23)*365,"")</f>
        <v/>
      </c>
      <c r="K60" s="49">
        <f>IFERROR(K9/('연간'!W23)*365,"")</f>
        <v/>
      </c>
      <c r="L60" s="49">
        <f>IFERROR(L9/('연간'!X23)*365,"")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IFERROR(C19/(IF(COUNT('연간'!G23:J23)&lt;4,"",SUM('연간'!G23:J23)))*365,"")</f>
        <v/>
      </c>
      <c r="D61" s="49">
        <f>IFERROR(D19/(IF(COUNT('연간'!H23:K23)&lt;4,"",SUM('연간'!H23:K23)))*365,"")</f>
        <v/>
      </c>
      <c r="E61" s="49">
        <f>IFERROR(E19/(IF(COUNT('연간'!I23:L23)&lt;4,"",SUM('연간'!I23:L23)))*365,"")</f>
        <v/>
      </c>
      <c r="F61" s="49">
        <f>IFERROR(F19/(IF(COUNT('연간'!J23:M23)&lt;4,"",SUM('연간'!J23:M23)))*365,"")</f>
        <v/>
      </c>
      <c r="G61" s="49">
        <f>IFERROR(G19/(IF(COUNT('연간'!K23:N23)&lt;4,"",SUM('연간'!K23:N23)))*365,"")</f>
        <v/>
      </c>
      <c r="H61" s="48">
        <f>IFERROR(H19/('연간'!T23)*365,"")</f>
        <v/>
      </c>
      <c r="I61" s="49">
        <f>IFERROR(I19/('연간'!U23)*365,"")</f>
        <v/>
      </c>
      <c r="J61" s="49">
        <f>IFERROR(J19/('연간'!V23)*365,"")</f>
        <v/>
      </c>
      <c r="K61" s="49">
        <f>IFERROR(K19/('연간'!W23)*365,"")</f>
        <v/>
      </c>
      <c r="L61" s="49">
        <f>IFERROR(L19/('연간'!X23)*365,"")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IF(C37="","",IFERROR(C37/(IF(COUNT('연간'!G55:J55)&lt;4,"",SUM('연간'!G55:J55))),""))</f>
        <v/>
      </c>
      <c r="D64" s="31">
        <f>IF(D37="","",IFERROR(D37/(IF(COUNT('연간'!H55:K55)&lt;4,"",SUM('연간'!H55:K55))),""))</f>
        <v/>
      </c>
      <c r="E64" s="31">
        <f>IF(E37="","",IFERROR(E37/(IF(COUNT('연간'!I55:L55)&lt;4,"",SUM('연간'!I55:L55))),""))</f>
        <v/>
      </c>
      <c r="F64" s="31">
        <f>IF(F37="","",IFERROR(F37/(IF(COUNT('연간'!J55:M55)&lt;4,"",SUM('연간'!J55:M55))),""))</f>
        <v/>
      </c>
      <c r="G64" s="31">
        <f>IF(G37="","",IFERROR(G37/(IF(COUNT('연간'!K55:N55)&lt;4,"",SUM('연간'!K55:N55))),""))</f>
        <v/>
      </c>
      <c r="H64" s="30">
        <f>IF(H37="","",IFERROR(H37/('연간'!T55),""))</f>
        <v/>
      </c>
      <c r="I64" s="31">
        <f>IF(I37="","",IFERROR(I37/('연간'!U55),""))</f>
        <v/>
      </c>
      <c r="J64" s="31">
        <f>IF(J37="","",IFERROR(J37/('연간'!V55),""))</f>
        <v/>
      </c>
      <c r="K64" s="31">
        <f>IF(K37="","",IFERROR(K37/('연간'!W55),""))</f>
        <v/>
      </c>
      <c r="L64" s="31">
        <f>IF(L37="","",IFERROR(L37/('연간'!X55),""))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IF(C40="","",IFERROR(C40/(IF(COUNT('연간'!G56:J56)&lt;4,"",SUM('연간'!G56:J56))),""))</f>
        <v/>
      </c>
      <c r="D67" s="36">
        <f>IF(D40="","",IFERROR(D40/(IF(COUNT('연간'!H56:K56)&lt;4,"",SUM('연간'!H56:K56))),""))</f>
        <v/>
      </c>
      <c r="E67" s="36">
        <f>IF(E40="","",IFERROR(E40/(IF(COUNT('연간'!I56:L56)&lt;4,"",SUM('연간'!I56:L56))),""))</f>
        <v/>
      </c>
      <c r="F67" s="36">
        <f>IF(F40="","",IFERROR(F40/(IF(COUNT('연간'!J56:M56)&lt;4,"",SUM('연간'!J56:M56))),""))</f>
        <v/>
      </c>
      <c r="G67" s="36">
        <f>IF(G40="","",IFERROR(G40/(IF(COUNT('연간'!K56:N56)&lt;4,"",SUM('연간'!K56:N56))),""))</f>
        <v/>
      </c>
      <c r="H67" s="35">
        <f>IF(H40="","",IFERROR(H40/('연간'!T56),""))</f>
        <v/>
      </c>
      <c r="I67" s="36">
        <f>IF(I40="","",IFERROR(I40/('연간'!U56),""))</f>
        <v/>
      </c>
      <c r="J67" s="36">
        <f>IF(J40="","",IFERROR(J40/('연간'!V56),""))</f>
        <v/>
      </c>
      <c r="K67" s="36">
        <f>IF(K40="","",IFERROR(K40/('연간'!W56),""))</f>
        <v/>
      </c>
      <c r="L67" s="36">
        <f>IF(L40="","",IFERROR(L40/('연간'!X56),""))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현금및현금성자산</t>
        </is>
      </c>
      <c r="C71" s="20" t="n">
        <v>49318</v>
      </c>
      <c r="D71" s="20" t="n">
        <v>49623</v>
      </c>
      <c r="E71" s="20" t="n">
        <v>66089</v>
      </c>
      <c r="F71" s="20" t="n">
        <v>65716</v>
      </c>
      <c r="G71" s="20" t="n">
        <v>69203</v>
      </c>
      <c r="H71" s="20" t="n">
        <v>48707</v>
      </c>
      <c r="I71" s="20" t="n">
        <v>56186</v>
      </c>
      <c r="J71" s="20" t="n">
        <v>57874</v>
      </c>
      <c r="K71" s="20" t="n">
        <v>48597</v>
      </c>
      <c r="L71" s="20" t="n">
        <v>65716</v>
      </c>
    </row>
    <row r="72">
      <c r="A72" s="18" t="inlineStr">
        <is>
          <t>영업채권 및 기타채권</t>
        </is>
      </c>
      <c r="C72" s="20" t="n">
        <v>59639</v>
      </c>
      <c r="D72" s="20" t="n">
        <v>61875</v>
      </c>
      <c r="E72" s="20" t="n">
        <v>65873</v>
      </c>
      <c r="F72" s="20" t="n">
        <v>73919</v>
      </c>
      <c r="G72" s="20" t="n">
        <v>67314</v>
      </c>
      <c r="H72" s="20" t="n">
        <v>59570</v>
      </c>
      <c r="I72" s="20" t="n">
        <v>58157</v>
      </c>
      <c r="J72" s="20" t="n">
        <v>67863</v>
      </c>
      <c r="K72" s="20" t="n">
        <v>71738</v>
      </c>
      <c r="L72" s="20" t="n">
        <v>73919</v>
      </c>
    </row>
    <row r="73">
      <c r="A73" s="18" t="inlineStr">
        <is>
          <t>계약자산</t>
        </is>
      </c>
      <c r="C73" s="20" t="n">
        <v>5600</v>
      </c>
      <c r="D73" s="20" t="n">
        <v>7206</v>
      </c>
      <c r="E73" s="20" t="n">
        <v>6344</v>
      </c>
      <c r="F73" s="20" t="n">
        <v>5349</v>
      </c>
      <c r="G73" s="20" t="n">
        <v>4482</v>
      </c>
      <c r="H73" s="20" t="n">
        <v>1826</v>
      </c>
      <c r="I73" s="20" t="n">
        <v>2996</v>
      </c>
      <c r="J73" s="20" t="n">
        <v>4748</v>
      </c>
      <c r="K73" s="20" t="n">
        <v>6682</v>
      </c>
      <c r="L73" s="20" t="n">
        <v>5349</v>
      </c>
    </row>
    <row r="74">
      <c r="A74" s="18" t="inlineStr">
        <is>
          <t>기타금융자산</t>
        </is>
      </c>
      <c r="C74" s="20" t="n">
        <v>1867</v>
      </c>
      <c r="D74" s="20" t="n">
        <v>3044</v>
      </c>
      <c r="E74" s="20" t="n">
        <v>3166</v>
      </c>
      <c r="F74" s="20" t="n">
        <v>2504</v>
      </c>
      <c r="G74" s="20" t="n">
        <v>2598</v>
      </c>
      <c r="H74" s="20" t="n">
        <v>4761</v>
      </c>
      <c r="I74" s="20" t="n">
        <v>3552</v>
      </c>
      <c r="J74" s="20" t="n">
        <v>4914</v>
      </c>
      <c r="K74" s="20" t="n">
        <v>2228</v>
      </c>
      <c r="L74" s="20" t="n">
        <v>2504</v>
      </c>
    </row>
    <row r="75">
      <c r="A75" s="18" t="inlineStr">
        <is>
          <t>재고자산</t>
        </is>
      </c>
      <c r="C75" s="20" t="n">
        <v>61538</v>
      </c>
      <c r="D75" s="20" t="n">
        <v>61333</v>
      </c>
      <c r="E75" s="20" t="n">
        <v>64725</v>
      </c>
      <c r="F75" s="20" t="n">
        <v>61044</v>
      </c>
      <c r="G75" s="20" t="n">
        <v>64852</v>
      </c>
      <c r="H75" s="20" t="n">
        <v>55585</v>
      </c>
      <c r="I75" s="20" t="n">
        <v>67830</v>
      </c>
      <c r="J75" s="20" t="n">
        <v>62906</v>
      </c>
      <c r="K75" s="20" t="n">
        <v>58498</v>
      </c>
      <c r="L75" s="20" t="n">
        <v>61044</v>
      </c>
    </row>
    <row r="76">
      <c r="A76" s="18" t="inlineStr">
        <is>
          <t>Right To Recover Products</t>
        </is>
      </c>
      <c r="H76" s="20" t="n">
        <v>213</v>
      </c>
    </row>
    <row r="77">
      <c r="A77" s="18" t="inlineStr">
        <is>
          <t>Product Recovery Right</t>
        </is>
      </c>
      <c r="F77" s="20" t="n">
        <v>351</v>
      </c>
      <c r="H77" s="20" t="n">
        <v>213</v>
      </c>
      <c r="I77" s="20" t="n">
        <v>261</v>
      </c>
      <c r="J77" s="20" t="n">
        <v>254</v>
      </c>
      <c r="K77" s="20" t="n">
        <v>346</v>
      </c>
      <c r="L77" s="20" t="n">
        <v>351</v>
      </c>
    </row>
    <row r="78">
      <c r="A78" s="18" t="inlineStr">
        <is>
          <t>Product Recall Right</t>
        </is>
      </c>
      <c r="C78" s="20" t="n">
        <v>430</v>
      </c>
      <c r="D78" s="20" t="n">
        <v>342</v>
      </c>
      <c r="E78" s="20" t="n">
        <v>333</v>
      </c>
      <c r="F78" s="20" t="n">
        <v>351</v>
      </c>
      <c r="G78" s="20" t="n">
        <v>283</v>
      </c>
      <c r="I78" s="20" t="n">
        <v>261</v>
      </c>
      <c r="J78" s="20" t="n">
        <v>254</v>
      </c>
      <c r="K78" s="20" t="n">
        <v>346</v>
      </c>
      <c r="L78" s="20" t="n">
        <v>351</v>
      </c>
    </row>
    <row r="79">
      <c r="A79" s="18" t="inlineStr">
        <is>
          <t>Income Taxes Receivable CA</t>
        </is>
      </c>
      <c r="C79" s="20" t="n">
        <v>942</v>
      </c>
      <c r="D79" s="20" t="n">
        <v>832</v>
      </c>
      <c r="E79" s="20" t="n">
        <v>767</v>
      </c>
      <c r="F79" s="20" t="n">
        <v>924</v>
      </c>
      <c r="G79" s="20" t="n">
        <v>1127</v>
      </c>
      <c r="H79" s="20" t="n">
        <v>748</v>
      </c>
      <c r="I79" s="20" t="n">
        <v>976</v>
      </c>
      <c r="J79" s="20" t="n">
        <v>924</v>
      </c>
      <c r="K79" s="20" t="n">
        <v>934</v>
      </c>
      <c r="L79" s="20" t="n">
        <v>924</v>
      </c>
    </row>
    <row r="80">
      <c r="A80" s="18" t="inlineStr">
        <is>
          <t>기타유동자산</t>
        </is>
      </c>
      <c r="C80" s="20" t="n">
        <v>8293</v>
      </c>
      <c r="D80" s="20" t="n">
        <v>7267</v>
      </c>
      <c r="E80" s="20" t="n">
        <v>7499</v>
      </c>
      <c r="F80" s="20" t="n">
        <v>7834</v>
      </c>
      <c r="G80" s="20" t="n">
        <v>7989</v>
      </c>
      <c r="H80" s="20" t="n">
        <v>5386</v>
      </c>
      <c r="I80" s="20" t="n">
        <v>6231</v>
      </c>
      <c r="J80" s="20" t="n">
        <v>6547</v>
      </c>
      <c r="K80" s="20" t="n">
        <v>6885</v>
      </c>
      <c r="L80" s="20" t="n">
        <v>7834</v>
      </c>
    </row>
    <row r="81">
      <c r="A81" s="9" t="inlineStr">
        <is>
          <t>소계</t>
        </is>
      </c>
      <c r="C81" s="12" t="n">
        <v>187630</v>
      </c>
      <c r="D81" s="12" t="n">
        <v>191525</v>
      </c>
      <c r="E81" s="12" t="n">
        <v>214802</v>
      </c>
      <c r="F81" s="12" t="n">
        <v>217647</v>
      </c>
      <c r="H81" s="12" t="n">
        <v>176799</v>
      </c>
      <c r="I81" s="12" t="n">
        <v>196191</v>
      </c>
      <c r="J81" s="12" t="n">
        <v>206032</v>
      </c>
      <c r="K81" s="12" t="n">
        <v>195912</v>
      </c>
      <c r="L81" s="12" t="n">
        <v>217647</v>
      </c>
    </row>
    <row r="82">
      <c r="A82" s="18" t="inlineStr">
        <is>
          <t>매각예정 자산</t>
        </is>
      </c>
      <c r="C82" s="20" t="n">
        <v>0</v>
      </c>
      <c r="D82" s="20" t="n">
        <v>0</v>
      </c>
      <c r="E82" s="20" t="n">
        <v>0</v>
      </c>
      <c r="F82" s="20" t="n">
        <v>0</v>
      </c>
      <c r="H82" s="20" t="n">
        <v>0</v>
      </c>
      <c r="I82" s="20" t="n">
        <v>995</v>
      </c>
      <c r="J82" s="20" t="n">
        <v>16</v>
      </c>
      <c r="K82" s="20" t="n">
        <v>913</v>
      </c>
      <c r="L82" s="20" t="n">
        <v>0</v>
      </c>
    </row>
    <row r="83">
      <c r="A83" s="9" t="inlineStr">
        <is>
          <t>유동자산 합계</t>
        </is>
      </c>
      <c r="C83" s="12" t="n">
        <v>187630</v>
      </c>
      <c r="D83" s="12" t="n">
        <v>191525</v>
      </c>
      <c r="E83" s="12" t="n">
        <v>214802</v>
      </c>
      <c r="F83" s="12" t="n">
        <v>217647</v>
      </c>
      <c r="G83" s="12" t="n">
        <v>217851</v>
      </c>
      <c r="H83" s="12" t="n">
        <v>176799</v>
      </c>
      <c r="I83" s="12" t="n">
        <v>197187</v>
      </c>
      <c r="J83" s="12" t="n">
        <v>206049</v>
      </c>
      <c r="K83" s="12" t="n">
        <v>196825</v>
      </c>
      <c r="L83" s="12" t="n">
        <v>217647</v>
      </c>
    </row>
    <row r="84">
      <c r="A84" s="18" t="inlineStr">
        <is>
          <t>유형자산</t>
        </is>
      </c>
      <c r="C84" s="20" t="n">
        <v>61439</v>
      </c>
      <c r="D84" s="20" t="n">
        <v>61956</v>
      </c>
      <c r="E84" s="20" t="n">
        <v>64589</v>
      </c>
      <c r="F84" s="20" t="n">
        <v>64901</v>
      </c>
      <c r="G84" s="20" t="n">
        <v>63726</v>
      </c>
      <c r="H84" s="20" t="n">
        <v>56249</v>
      </c>
      <c r="I84" s="20" t="n">
        <v>54721</v>
      </c>
      <c r="J84" s="20" t="n">
        <v>61955</v>
      </c>
      <c r="K84" s="20" t="n">
        <v>62067</v>
      </c>
      <c r="L84" s="20" t="n">
        <v>64901</v>
      </c>
    </row>
    <row r="85">
      <c r="A85" s="18" t="inlineStr">
        <is>
          <t>영업권</t>
        </is>
      </c>
      <c r="C85" s="20" t="n">
        <v>927</v>
      </c>
      <c r="D85" s="20" t="n">
        <v>953</v>
      </c>
      <c r="E85" s="20" t="n">
        <v>1007</v>
      </c>
      <c r="F85" s="20" t="n">
        <v>1002</v>
      </c>
      <c r="G85" s="20" t="n">
        <v>1013</v>
      </c>
      <c r="H85" s="20" t="n">
        <v>2231</v>
      </c>
      <c r="I85" s="20" t="n">
        <v>2379</v>
      </c>
      <c r="J85" s="20" t="n">
        <v>2665</v>
      </c>
      <c r="K85" s="20" t="n">
        <v>886</v>
      </c>
      <c r="L85" s="20" t="n">
        <v>1002</v>
      </c>
    </row>
    <row r="86">
      <c r="A86" s="18" t="inlineStr">
        <is>
          <t>무형자산</t>
        </is>
      </c>
      <c r="C86" s="20" t="n">
        <v>24387</v>
      </c>
      <c r="D86" s="20" t="n">
        <v>25839</v>
      </c>
      <c r="E86" s="20" t="n">
        <v>27013</v>
      </c>
      <c r="F86" s="20" t="n">
        <v>28157</v>
      </c>
      <c r="G86" s="20" t="n">
        <v>28468</v>
      </c>
      <c r="H86" s="20" t="n">
        <v>18601</v>
      </c>
      <c r="I86" s="20" t="n">
        <v>18065</v>
      </c>
      <c r="J86" s="20" t="n">
        <v>17969</v>
      </c>
      <c r="K86" s="20" t="n">
        <v>22920</v>
      </c>
      <c r="L86" s="20" t="n">
        <v>28157</v>
      </c>
    </row>
    <row r="87">
      <c r="A87" s="18" t="inlineStr">
        <is>
          <t>퇴직급여자산</t>
        </is>
      </c>
      <c r="C87" s="20" t="n">
        <v>604</v>
      </c>
      <c r="D87" s="20" t="n">
        <v>572</v>
      </c>
      <c r="E87" s="20" t="n">
        <v>538</v>
      </c>
      <c r="F87" s="20" t="n">
        <v>115</v>
      </c>
      <c r="G87" s="20" t="n">
        <v>101</v>
      </c>
      <c r="H87" s="20" t="n">
        <v>2582</v>
      </c>
      <c r="I87" s="20" t="n">
        <v>1933</v>
      </c>
      <c r="J87" s="20" t="n">
        <v>1052</v>
      </c>
      <c r="K87" s="20" t="n">
        <v>635</v>
      </c>
      <c r="L87" s="20" t="n">
        <v>115</v>
      </c>
    </row>
    <row r="88">
      <c r="A88" s="18" t="inlineStr">
        <is>
          <t>Investment Property</t>
        </is>
      </c>
      <c r="C88" s="20" t="n">
        <v>3920</v>
      </c>
      <c r="D88" s="20" t="n">
        <v>3987</v>
      </c>
      <c r="E88" s="20" t="n">
        <v>4040</v>
      </c>
      <c r="F88" s="20" t="n">
        <v>4136</v>
      </c>
      <c r="G88" s="20" t="n">
        <v>4173</v>
      </c>
      <c r="H88" s="20" t="n">
        <v>3626</v>
      </c>
      <c r="I88" s="20" t="n">
        <v>3817</v>
      </c>
      <c r="J88" s="20" t="n">
        <v>4077</v>
      </c>
      <c r="K88" s="20" t="n">
        <v>3991</v>
      </c>
      <c r="L88" s="20" t="n">
        <v>4136</v>
      </c>
    </row>
    <row r="89">
      <c r="A89" s="18" t="inlineStr">
        <is>
          <t>지분법 투자</t>
        </is>
      </c>
      <c r="C89" s="20" t="n">
        <v>8847</v>
      </c>
      <c r="D89" s="20" t="n">
        <v>8971</v>
      </c>
      <c r="E89" s="20" t="n">
        <v>10039</v>
      </c>
      <c r="F89" s="20" t="n">
        <v>9954</v>
      </c>
      <c r="G89" s="20" t="n">
        <v>10490</v>
      </c>
      <c r="H89" s="20" t="n">
        <v>4604</v>
      </c>
      <c r="I89" s="20" t="n">
        <v>4983</v>
      </c>
      <c r="J89" s="20" t="n">
        <v>5880</v>
      </c>
      <c r="K89" s="20" t="n">
        <v>8044</v>
      </c>
      <c r="L89" s="20" t="n">
        <v>9954</v>
      </c>
    </row>
    <row r="90">
      <c r="A90" s="18" t="inlineStr">
        <is>
          <t>기타금융자산</t>
        </is>
      </c>
      <c r="C90" s="20" t="n">
        <v>9336</v>
      </c>
      <c r="D90" s="20" t="n">
        <v>10447</v>
      </c>
      <c r="E90" s="20" t="n">
        <v>11910</v>
      </c>
      <c r="F90" s="20" t="n">
        <v>12048</v>
      </c>
      <c r="G90" s="20" t="n">
        <v>11817</v>
      </c>
      <c r="H90" s="20" t="n">
        <v>10072</v>
      </c>
      <c r="I90" s="20" t="n">
        <v>9758</v>
      </c>
      <c r="J90" s="20" t="n">
        <v>10432</v>
      </c>
      <c r="K90" s="20" t="n">
        <v>8472</v>
      </c>
      <c r="L90" s="20" t="n">
        <v>12048</v>
      </c>
    </row>
    <row r="91">
      <c r="A91" s="18" t="inlineStr">
        <is>
          <t>이연법인세자산</t>
        </is>
      </c>
      <c r="C91" s="20" t="n">
        <v>8336</v>
      </c>
      <c r="D91" s="20" t="n">
        <v>7845</v>
      </c>
      <c r="E91" s="20" t="n">
        <v>7530</v>
      </c>
      <c r="F91" s="20" t="n">
        <v>6424</v>
      </c>
      <c r="G91" s="20" t="n">
        <v>6844</v>
      </c>
      <c r="H91" s="20" t="n">
        <v>5385</v>
      </c>
      <c r="I91" s="20" t="n">
        <v>6128</v>
      </c>
      <c r="J91" s="20" t="n">
        <v>6160</v>
      </c>
      <c r="K91" s="20" t="n">
        <v>8760</v>
      </c>
      <c r="L91" s="20" t="n">
        <v>6424</v>
      </c>
    </row>
    <row r="92">
      <c r="A92" s="18" t="inlineStr">
        <is>
          <t>기타비유동자산</t>
        </is>
      </c>
      <c r="C92" s="20" t="n">
        <v>884</v>
      </c>
      <c r="D92" s="20" t="n">
        <v>1485</v>
      </c>
      <c r="E92" s="20" t="n">
        <v>2475</v>
      </c>
      <c r="F92" s="20" t="n">
        <v>3218</v>
      </c>
      <c r="G92" s="20" t="n">
        <v>3534</v>
      </c>
      <c r="H92" s="20" t="n">
        <v>654</v>
      </c>
      <c r="I92" s="20" t="n">
        <v>380</v>
      </c>
      <c r="J92" s="20" t="n">
        <v>576</v>
      </c>
      <c r="K92" s="20" t="n">
        <v>733</v>
      </c>
      <c r="L92" s="20" t="n">
        <v>3218</v>
      </c>
    </row>
    <row r="93">
      <c r="A93" s="18" t="inlineStr">
        <is>
          <t>비유동자산 합계</t>
        </is>
      </c>
      <c r="C93" s="20" t="n">
        <v>118683</v>
      </c>
      <c r="D93" s="20" t="n">
        <v>122062</v>
      </c>
      <c r="E93" s="20" t="n">
        <v>129146</v>
      </c>
      <c r="F93" s="20" t="n">
        <v>129958</v>
      </c>
      <c r="G93" s="20" t="n">
        <v>130170</v>
      </c>
      <c r="H93" s="20" t="n">
        <v>104008</v>
      </c>
      <c r="I93" s="20" t="n">
        <v>102167</v>
      </c>
      <c r="J93" s="20" t="n">
        <v>110770</v>
      </c>
      <c r="K93" s="20" t="n">
        <v>116510</v>
      </c>
      <c r="L93" s="20" t="n">
        <v>129958</v>
      </c>
    </row>
    <row r="94">
      <c r="A94" s="18" t="inlineStr">
        <is>
          <t>자산 합계</t>
        </is>
      </c>
      <c r="C94" s="20" t="n">
        <v>306313</v>
      </c>
      <c r="D94" s="20" t="n">
        <v>313588</v>
      </c>
      <c r="E94" s="20" t="n">
        <v>343948</v>
      </c>
      <c r="F94" s="20" t="n">
        <v>347605</v>
      </c>
      <c r="G94" s="20" t="n">
        <v>348022</v>
      </c>
      <c r="H94" s="20" t="n">
        <v>280807</v>
      </c>
      <c r="I94" s="20" t="n">
        <v>299355</v>
      </c>
      <c r="J94" s="20" t="n">
        <v>316819</v>
      </c>
      <c r="K94" s="20" t="n">
        <v>313336</v>
      </c>
      <c r="L94" s="20" t="n">
        <v>347605</v>
      </c>
    </row>
    <row r="95">
      <c r="A95" s="18" t="inlineStr">
        <is>
          <t>영업채무 및 기타채무</t>
        </is>
      </c>
      <c r="C95" s="20" t="n">
        <v>49127</v>
      </c>
      <c r="D95" s="20" t="n">
        <v>48832</v>
      </c>
      <c r="E95" s="20" t="n">
        <v>53456</v>
      </c>
      <c r="F95" s="20" t="n">
        <v>52212</v>
      </c>
      <c r="G95" s="20" t="n">
        <v>53350</v>
      </c>
      <c r="H95" s="20" t="n">
        <v>49431</v>
      </c>
      <c r="I95" s="20" t="n">
        <v>52868</v>
      </c>
      <c r="J95" s="20" t="n">
        <v>53430</v>
      </c>
      <c r="K95" s="20" t="n">
        <v>50578</v>
      </c>
      <c r="L95" s="20" t="n">
        <v>52212</v>
      </c>
    </row>
    <row r="96">
      <c r="A96" s="18" t="inlineStr">
        <is>
          <t>계약부채</t>
        </is>
      </c>
      <c r="C96" s="20" t="n">
        <v>4566</v>
      </c>
      <c r="D96" s="20" t="n">
        <v>4082</v>
      </c>
      <c r="E96" s="20" t="n">
        <v>4018</v>
      </c>
      <c r="F96" s="20" t="n">
        <v>3905</v>
      </c>
      <c r="G96" s="20" t="n">
        <v>3799</v>
      </c>
      <c r="H96" s="20" t="n">
        <v>2852</v>
      </c>
      <c r="I96" s="20" t="n">
        <v>4088</v>
      </c>
      <c r="J96" s="20" t="n">
        <v>4968</v>
      </c>
      <c r="K96" s="20" t="n">
        <v>4285</v>
      </c>
      <c r="L96" s="20" t="n">
        <v>3905</v>
      </c>
    </row>
    <row r="97">
      <c r="A97" s="18" t="inlineStr">
        <is>
          <t>Refund Liabilities</t>
        </is>
      </c>
      <c r="H97" s="20" t="n">
        <v>4416</v>
      </c>
    </row>
    <row r="98">
      <c r="A98" s="18" t="inlineStr">
        <is>
          <t>Repayment Debt</t>
        </is>
      </c>
      <c r="C98" s="20" t="n">
        <v>3769</v>
      </c>
      <c r="D98" s="20" t="n">
        <v>4066</v>
      </c>
      <c r="E98" s="20" t="n">
        <v>4465</v>
      </c>
      <c r="F98" s="20" t="n">
        <v>3745</v>
      </c>
      <c r="G98" s="20" t="n">
        <v>3457</v>
      </c>
      <c r="H98" s="20" t="n">
        <v>4416</v>
      </c>
      <c r="I98" s="20" t="n">
        <v>5084</v>
      </c>
      <c r="J98" s="20" t="n">
        <v>4915</v>
      </c>
      <c r="K98" s="20" t="n">
        <v>4280</v>
      </c>
      <c r="L98" s="20" t="n">
        <v>3745</v>
      </c>
    </row>
    <row r="99">
      <c r="A99" s="18" t="inlineStr">
        <is>
          <t>차입금</t>
        </is>
      </c>
      <c r="C99" s="20" t="n">
        <v>30464</v>
      </c>
      <c r="D99" s="20" t="n">
        <v>29064</v>
      </c>
      <c r="E99" s="20" t="n">
        <v>20733</v>
      </c>
      <c r="F99" s="20" t="n">
        <v>18589</v>
      </c>
      <c r="G99" s="20" t="n">
        <v>16824</v>
      </c>
      <c r="H99" s="20" t="n">
        <v>17918</v>
      </c>
      <c r="I99" s="20" t="n">
        <v>26292</v>
      </c>
      <c r="J99" s="20" t="n">
        <v>19194</v>
      </c>
      <c r="K99" s="20" t="n">
        <v>26121</v>
      </c>
      <c r="L99" s="20" t="n">
        <v>18589</v>
      </c>
    </row>
    <row r="100">
      <c r="A100" s="18" t="inlineStr">
        <is>
          <t>기타금융부채</t>
        </is>
      </c>
      <c r="C100" s="20" t="n">
        <v>4745</v>
      </c>
      <c r="D100" s="20" t="n">
        <v>4565</v>
      </c>
      <c r="E100" s="20" t="n">
        <v>5718</v>
      </c>
      <c r="F100" s="20" t="n">
        <v>5039</v>
      </c>
      <c r="G100" s="20" t="n">
        <v>4573</v>
      </c>
      <c r="H100" s="20" t="n">
        <v>4453</v>
      </c>
      <c r="I100" s="20" t="n">
        <v>4643</v>
      </c>
      <c r="J100" s="20" t="n">
        <v>6110</v>
      </c>
      <c r="K100" s="20" t="n">
        <v>4449</v>
      </c>
      <c r="L100" s="20" t="n">
        <v>5039</v>
      </c>
    </row>
    <row r="101">
      <c r="A101" s="18" t="inlineStr">
        <is>
          <t>미지급법인세 등</t>
        </is>
      </c>
      <c r="C101" s="20" t="n">
        <v>1449</v>
      </c>
      <c r="D101" s="20" t="n">
        <v>1879</v>
      </c>
      <c r="E101" s="20" t="n">
        <v>1484</v>
      </c>
      <c r="F101" s="20" t="n">
        <v>1345</v>
      </c>
      <c r="G101" s="20" t="n">
        <v>1360</v>
      </c>
      <c r="H101" s="20" t="n">
        <v>1685</v>
      </c>
      <c r="I101" s="20" t="n">
        <v>2995</v>
      </c>
      <c r="J101" s="20" t="n">
        <v>1700</v>
      </c>
      <c r="K101" s="20" t="n">
        <v>1981</v>
      </c>
      <c r="L101" s="20" t="n">
        <v>1345</v>
      </c>
    </row>
    <row r="102">
      <c r="A102" s="18" t="inlineStr">
        <is>
          <t>충당금</t>
        </is>
      </c>
      <c r="C102" s="20" t="n">
        <v>2069</v>
      </c>
      <c r="D102" s="20" t="n">
        <v>2107</v>
      </c>
      <c r="E102" s="20" t="n">
        <v>2157</v>
      </c>
      <c r="F102" s="20" t="n">
        <v>2446</v>
      </c>
      <c r="G102" s="20" t="n">
        <v>2508</v>
      </c>
      <c r="H102" s="20" t="n">
        <v>1838</v>
      </c>
      <c r="I102" s="20" t="n">
        <v>1814</v>
      </c>
      <c r="J102" s="20" t="n">
        <v>2303</v>
      </c>
      <c r="K102" s="20" t="n">
        <v>2117</v>
      </c>
      <c r="L102" s="20" t="n">
        <v>2446</v>
      </c>
    </row>
    <row r="103">
      <c r="A103" s="18" t="inlineStr">
        <is>
          <t>기타유동부채</t>
        </is>
      </c>
      <c r="C103" s="20" t="n">
        <v>26202</v>
      </c>
      <c r="D103" s="20" t="n">
        <v>27309</v>
      </c>
      <c r="E103" s="20" t="n">
        <v>26102</v>
      </c>
      <c r="F103" s="20" t="n">
        <v>29880</v>
      </c>
      <c r="G103" s="20" t="n">
        <v>30927</v>
      </c>
      <c r="H103" s="20" t="n">
        <v>23617</v>
      </c>
      <c r="I103" s="20" t="n">
        <v>26062</v>
      </c>
      <c r="J103" s="20" t="n">
        <v>29093</v>
      </c>
      <c r="K103" s="20" t="n">
        <v>31471</v>
      </c>
      <c r="L103" s="20" t="n">
        <v>29880</v>
      </c>
    </row>
    <row r="104">
      <c r="A104" s="18" t="inlineStr">
        <is>
          <t>소계</t>
        </is>
      </c>
      <c r="C104" s="20" t="n">
        <v>122396</v>
      </c>
      <c r="D104" s="20" t="n">
        <v>121908</v>
      </c>
      <c r="E104" s="20" t="n">
        <v>118138</v>
      </c>
      <c r="F104" s="20" t="n">
        <v>117165</v>
      </c>
      <c r="H104" s="20" t="n">
        <v>106213</v>
      </c>
      <c r="J104" s="20" t="n">
        <v>121717</v>
      </c>
      <c r="K104" s="20" t="n">
        <v>125285</v>
      </c>
      <c r="L104" s="20" t="n">
        <v>117165</v>
      </c>
    </row>
    <row r="105">
      <c r="A105" s="18" t="inlineStr">
        <is>
          <t>매각예정 자산 직접 관련 부채</t>
        </is>
      </c>
      <c r="C105" s="20" t="n">
        <v>0</v>
      </c>
      <c r="D105" s="20" t="n">
        <v>0</v>
      </c>
      <c r="E105" s="20" t="n">
        <v>0</v>
      </c>
      <c r="F105" s="20" t="n">
        <v>0</v>
      </c>
      <c r="H105" s="20" t="n">
        <v>0</v>
      </c>
      <c r="J105" s="20" t="n">
        <v>0</v>
      </c>
      <c r="K105" s="20" t="n">
        <v>862</v>
      </c>
      <c r="L105" s="20" t="n">
        <v>0</v>
      </c>
    </row>
    <row r="106">
      <c r="A106" s="18" t="inlineStr">
        <is>
          <t>유동부채 합계</t>
        </is>
      </c>
      <c r="C106" s="20" t="n">
        <v>122396</v>
      </c>
      <c r="D106" s="20" t="n">
        <v>121908</v>
      </c>
      <c r="E106" s="20" t="n">
        <v>118138</v>
      </c>
      <c r="F106" s="20" t="n">
        <v>117165</v>
      </c>
      <c r="G106" s="20" t="n">
        <v>116802</v>
      </c>
      <c r="H106" s="20" t="n">
        <v>106213</v>
      </c>
      <c r="I106" s="20" t="n">
        <v>123849</v>
      </c>
      <c r="J106" s="20" t="n">
        <v>121717</v>
      </c>
      <c r="K106" s="20" t="n">
        <v>126148</v>
      </c>
      <c r="L106" s="20" t="n">
        <v>117165</v>
      </c>
    </row>
    <row r="107">
      <c r="A107" s="18" t="inlineStr">
        <is>
          <t>사채 및 차입금</t>
        </is>
      </c>
      <c r="E107" s="20" t="n">
        <v>48402</v>
      </c>
      <c r="K107" s="20" t="n">
        <v>24253</v>
      </c>
    </row>
    <row r="108">
      <c r="A108" s="18" t="inlineStr">
        <is>
          <t>사채 및 차입금</t>
        </is>
      </c>
      <c r="C108" s="20" t="n">
        <v>22969</v>
      </c>
      <c r="D108" s="20" t="n">
        <v>23517</v>
      </c>
      <c r="F108" s="20" t="n">
        <v>50009</v>
      </c>
      <c r="G108" s="20" t="n">
        <v>49892</v>
      </c>
      <c r="H108" s="20" t="n">
        <v>51920</v>
      </c>
      <c r="I108" s="20" t="n">
        <v>36190</v>
      </c>
      <c r="J108" s="20" t="n">
        <v>38103</v>
      </c>
      <c r="K108" s="20" t="n">
        <v>24253</v>
      </c>
      <c r="L108" s="20" t="n">
        <v>50009</v>
      </c>
    </row>
    <row r="109">
      <c r="A109" s="18" t="inlineStr">
        <is>
          <t>기타금융부채</t>
        </is>
      </c>
      <c r="C109" s="20" t="n">
        <v>10822</v>
      </c>
      <c r="D109" s="20" t="n">
        <v>10526</v>
      </c>
      <c r="E109" s="20" t="n">
        <v>10817</v>
      </c>
      <c r="F109" s="20" t="n">
        <v>10669</v>
      </c>
      <c r="G109" s="20" t="n">
        <v>10231</v>
      </c>
      <c r="H109" s="20" t="n">
        <v>10925</v>
      </c>
      <c r="I109" s="20" t="n">
        <v>11999</v>
      </c>
      <c r="J109" s="20" t="n">
        <v>13380</v>
      </c>
      <c r="K109" s="20" t="n">
        <v>11198</v>
      </c>
      <c r="L109" s="20" t="n">
        <v>10669</v>
      </c>
    </row>
    <row r="110">
      <c r="A110" s="18" t="inlineStr">
        <is>
          <t>퇴직급여부채</t>
        </is>
      </c>
      <c r="C110" s="20" t="n">
        <v>15470</v>
      </c>
      <c r="D110" s="20" t="n">
        <v>15291</v>
      </c>
      <c r="E110" s="20" t="n">
        <v>15174</v>
      </c>
      <c r="F110" s="20" t="n">
        <v>14493</v>
      </c>
      <c r="G110" s="20" t="n">
        <v>13805</v>
      </c>
      <c r="H110" s="20" t="n">
        <v>22517</v>
      </c>
      <c r="I110" s="20" t="n">
        <v>18459</v>
      </c>
      <c r="J110" s="20" t="n">
        <v>17436</v>
      </c>
      <c r="K110" s="20" t="n">
        <v>15659</v>
      </c>
      <c r="L110" s="20" t="n">
        <v>14493</v>
      </c>
    </row>
    <row r="111">
      <c r="A111" s="18" t="inlineStr">
        <is>
          <t>충당금</t>
        </is>
      </c>
      <c r="C111" s="20" t="n">
        <v>1328</v>
      </c>
      <c r="D111" s="20" t="n">
        <v>1312</v>
      </c>
      <c r="E111" s="20" t="n">
        <v>1322</v>
      </c>
      <c r="F111" s="20" t="n">
        <v>1239</v>
      </c>
      <c r="G111" s="20" t="n">
        <v>1203</v>
      </c>
      <c r="H111" s="20" t="n">
        <v>1167</v>
      </c>
      <c r="I111" s="20" t="n">
        <v>1252</v>
      </c>
      <c r="J111" s="20" t="n">
        <v>1402</v>
      </c>
      <c r="K111" s="20" t="n">
        <v>1316</v>
      </c>
      <c r="L111" s="20" t="n">
        <v>1239</v>
      </c>
    </row>
    <row r="112">
      <c r="A112" s="18" t="inlineStr">
        <is>
          <t>이연법인세부채</t>
        </is>
      </c>
      <c r="C112" s="20" t="n">
        <v>2290</v>
      </c>
      <c r="D112" s="20" t="n">
        <v>2345</v>
      </c>
      <c r="E112" s="20" t="n">
        <v>2279</v>
      </c>
      <c r="F112" s="20" t="n">
        <v>2453</v>
      </c>
      <c r="G112" s="20" t="n">
        <v>2491</v>
      </c>
      <c r="H112" s="20" t="n">
        <v>3080</v>
      </c>
      <c r="I112" s="20" t="n">
        <v>2981</v>
      </c>
      <c r="J112" s="20" t="n">
        <v>2663</v>
      </c>
      <c r="K112" s="20" t="n">
        <v>2288</v>
      </c>
      <c r="L112" s="20" t="n">
        <v>2453</v>
      </c>
    </row>
    <row r="113">
      <c r="A113" s="18" t="inlineStr">
        <is>
          <t>기타비유동부채</t>
        </is>
      </c>
      <c r="C113" s="20" t="n">
        <v>1043</v>
      </c>
      <c r="D113" s="20" t="n">
        <v>1038</v>
      </c>
      <c r="E113" s="20" t="n">
        <v>1251</v>
      </c>
      <c r="F113" s="20" t="n">
        <v>1875</v>
      </c>
      <c r="G113" s="20" t="n">
        <v>2033</v>
      </c>
      <c r="H113" s="20" t="n">
        <v>1020</v>
      </c>
      <c r="I113" s="20" t="n">
        <v>890</v>
      </c>
      <c r="J113" s="20" t="n">
        <v>895</v>
      </c>
      <c r="K113" s="20" t="n">
        <v>1072</v>
      </c>
      <c r="L113" s="20" t="n">
        <v>1875</v>
      </c>
    </row>
    <row r="114">
      <c r="A114" s="18" t="inlineStr">
        <is>
          <t>비유동부채 합계</t>
        </is>
      </c>
      <c r="C114" s="20" t="n">
        <v>53923</v>
      </c>
      <c r="D114" s="20" t="n">
        <v>54032</v>
      </c>
      <c r="E114" s="20" t="n">
        <v>79248</v>
      </c>
      <c r="F114" s="20" t="n">
        <v>80741</v>
      </c>
      <c r="G114" s="20" t="n">
        <v>79657</v>
      </c>
      <c r="H114" s="20" t="n">
        <v>90632</v>
      </c>
      <c r="I114" s="20" t="n">
        <v>71774</v>
      </c>
      <c r="J114" s="20" t="n">
        <v>73881</v>
      </c>
      <c r="K114" s="20" t="n">
        <v>55789</v>
      </c>
      <c r="L114" s="20" t="n">
        <v>80741</v>
      </c>
    </row>
    <row r="115">
      <c r="A115" s="18" t="inlineStr">
        <is>
          <t>부채 합계</t>
        </is>
      </c>
      <c r="C115" s="20" t="n">
        <v>176320</v>
      </c>
      <c r="D115" s="20" t="n">
        <v>175941</v>
      </c>
      <c r="E115" s="20" t="n">
        <v>197387</v>
      </c>
      <c r="F115" s="20" t="n">
        <v>197906</v>
      </c>
      <c r="G115" s="20" t="n">
        <v>196459</v>
      </c>
      <c r="H115" s="20" t="n">
        <v>196846</v>
      </c>
      <c r="I115" s="20" t="n">
        <v>195624</v>
      </c>
      <c r="J115" s="20" t="n">
        <v>195598</v>
      </c>
      <c r="K115" s="20" t="n">
        <v>181937</v>
      </c>
      <c r="L115" s="20" t="n">
        <v>197906</v>
      </c>
    </row>
    <row r="116">
      <c r="A116" s="18" t="inlineStr">
        <is>
          <t>자본금</t>
        </is>
      </c>
      <c r="C116" s="20" t="n">
        <v>13645</v>
      </c>
      <c r="D116" s="20" t="n">
        <v>13645</v>
      </c>
      <c r="E116" s="20" t="n">
        <v>13645</v>
      </c>
      <c r="F116" s="20" t="n">
        <v>13645</v>
      </c>
      <c r="G116" s="20" t="n">
        <v>13645</v>
      </c>
      <c r="H116" s="20" t="n">
        <v>13645</v>
      </c>
      <c r="I116" s="20" t="n">
        <v>13645</v>
      </c>
      <c r="J116" s="20" t="n">
        <v>13645</v>
      </c>
      <c r="K116" s="20" t="n">
        <v>13645</v>
      </c>
      <c r="L116" s="20" t="n">
        <v>13645</v>
      </c>
    </row>
    <row r="117">
      <c r="A117" s="18" t="inlineStr">
        <is>
          <t>자본잉여금</t>
        </is>
      </c>
      <c r="C117" s="20" t="n">
        <v>42324</v>
      </c>
      <c r="D117" s="20" t="n">
        <v>41725</v>
      </c>
      <c r="E117" s="20" t="n">
        <v>44137</v>
      </c>
      <c r="F117" s="20" t="n">
        <v>41074</v>
      </c>
      <c r="G117" s="20" t="n">
        <v>41165</v>
      </c>
      <c r="H117" s="20" t="n">
        <v>42112</v>
      </c>
      <c r="I117" s="20" t="n">
        <v>42029</v>
      </c>
      <c r="J117" s="20" t="n">
        <v>42209</v>
      </c>
      <c r="K117" s="20" t="n">
        <v>42357</v>
      </c>
      <c r="L117" s="20" t="n">
        <v>41074</v>
      </c>
    </row>
    <row r="118">
      <c r="A118" s="18" t="inlineStr">
        <is>
          <t>이익잉여금</t>
        </is>
      </c>
      <c r="C118" s="20" t="n">
        <v>60052</v>
      </c>
      <c r="D118" s="20" t="n">
        <v>64106</v>
      </c>
      <c r="E118" s="20" t="n">
        <v>68191</v>
      </c>
      <c r="F118" s="20" t="n">
        <v>72782</v>
      </c>
      <c r="G118" s="20" t="n">
        <v>72094</v>
      </c>
      <c r="H118" s="20" t="n">
        <v>13346</v>
      </c>
      <c r="I118" s="20" t="n">
        <v>28811</v>
      </c>
      <c r="J118" s="20" t="n">
        <v>40004</v>
      </c>
      <c r="K118" s="20" t="n">
        <v>58086</v>
      </c>
      <c r="L118" s="20" t="n">
        <v>72782</v>
      </c>
    </row>
    <row r="119">
      <c r="A119" s="18" t="inlineStr">
        <is>
          <t>자기주식</t>
        </is>
      </c>
      <c r="C119" s="20" t="n">
        <v>-13546</v>
      </c>
      <c r="D119" s="20" t="n">
        <v>-13179</v>
      </c>
      <c r="E119" s="20" t="n">
        <v>-18179</v>
      </c>
      <c r="F119" s="20" t="n">
        <v>-18866</v>
      </c>
      <c r="G119" s="20" t="n">
        <v>-18853</v>
      </c>
      <c r="H119" s="20" t="n">
        <v>-140</v>
      </c>
      <c r="I119" s="20" t="n">
        <v>-140</v>
      </c>
      <c r="J119" s="20" t="n">
        <v>-7125</v>
      </c>
      <c r="K119" s="20" t="n">
        <v>-11589</v>
      </c>
      <c r="L119" s="20" t="n">
        <v>-18866</v>
      </c>
    </row>
    <row r="120">
      <c r="A120" s="18" t="inlineStr">
        <is>
          <t>기타자본구성요소</t>
        </is>
      </c>
      <c r="C120" s="20" t="n">
        <v>21719</v>
      </c>
      <c r="D120" s="20" t="n">
        <v>25432</v>
      </c>
      <c r="E120" s="20" t="n">
        <v>32573</v>
      </c>
      <c r="F120" s="20" t="n">
        <v>35199</v>
      </c>
      <c r="G120" s="20" t="n">
        <v>37570</v>
      </c>
      <c r="H120" s="20" t="n">
        <v>10530</v>
      </c>
      <c r="I120" s="20" t="n">
        <v>14461</v>
      </c>
      <c r="J120" s="20" t="n">
        <v>26067</v>
      </c>
      <c r="K120" s="20" t="n">
        <v>22602</v>
      </c>
      <c r="L120" s="20" t="n">
        <v>35199</v>
      </c>
    </row>
    <row r="121">
      <c r="A121" s="18" t="inlineStr">
        <is>
          <t>지배기업 소유주 귀속 지분 합계</t>
        </is>
      </c>
      <c r="C121" s="20" t="n">
        <v>124195</v>
      </c>
      <c r="D121" s="20" t="n">
        <v>131730</v>
      </c>
      <c r="E121" s="20" t="n">
        <v>140368</v>
      </c>
      <c r="F121" s="20" t="n">
        <v>143834</v>
      </c>
      <c r="G121" s="20" t="n">
        <v>145622</v>
      </c>
      <c r="H121" s="20" t="n">
        <v>79495</v>
      </c>
      <c r="I121" s="20" t="n">
        <v>98807</v>
      </c>
      <c r="J121" s="20" t="n">
        <v>114801</v>
      </c>
      <c r="K121" s="20" t="n">
        <v>125103</v>
      </c>
      <c r="L121" s="20" t="n">
        <v>143834</v>
      </c>
    </row>
    <row r="122">
      <c r="A122" s="18" t="inlineStr">
        <is>
          <t>비지배지분</t>
        </is>
      </c>
      <c r="C122" s="20" t="n">
        <v>5797</v>
      </c>
      <c r="D122" s="20" t="n">
        <v>5916</v>
      </c>
      <c r="E122" s="20" t="n">
        <v>6192</v>
      </c>
      <c r="F122" s="20" t="n">
        <v>5864</v>
      </c>
      <c r="G122" s="20" t="n">
        <v>5939</v>
      </c>
      <c r="H122" s="20" t="n">
        <v>4465</v>
      </c>
      <c r="I122" s="20" t="n">
        <v>4923</v>
      </c>
      <c r="J122" s="20" t="n">
        <v>6418</v>
      </c>
      <c r="K122" s="20" t="n">
        <v>6295</v>
      </c>
      <c r="L122" s="20" t="n">
        <v>5864</v>
      </c>
    </row>
    <row r="123">
      <c r="A123" s="18" t="inlineStr">
        <is>
          <t>자본 합계</t>
        </is>
      </c>
      <c r="C123" s="20" t="n">
        <v>129993</v>
      </c>
      <c r="D123" s="20" t="n">
        <v>137647</v>
      </c>
      <c r="E123" s="20" t="n">
        <v>146561</v>
      </c>
      <c r="F123" s="20" t="n">
        <v>149698</v>
      </c>
      <c r="G123" s="20" t="n">
        <v>151562</v>
      </c>
      <c r="H123" s="20" t="n">
        <v>83961</v>
      </c>
      <c r="I123" s="20" t="n">
        <v>103731</v>
      </c>
      <c r="J123" s="20" t="n">
        <v>121220</v>
      </c>
      <c r="K123" s="20" t="n">
        <v>131399</v>
      </c>
      <c r="L123" s="20" t="n">
        <v>149698</v>
      </c>
    </row>
    <row r="124">
      <c r="A124" s="18" t="inlineStr">
        <is>
          <t>부채및자본 합계</t>
        </is>
      </c>
      <c r="C124" s="20" t="n">
        <v>306313</v>
      </c>
      <c r="D124" s="20" t="n">
        <v>313588</v>
      </c>
      <c r="E124" s="20" t="n">
        <v>343948</v>
      </c>
      <c r="F124" s="20" t="n">
        <v>347605</v>
      </c>
      <c r="G124" s="20" t="n">
        <v>348022</v>
      </c>
      <c r="H124" s="20" t="n">
        <v>280807</v>
      </c>
      <c r="I124" s="20" t="n">
        <v>299355</v>
      </c>
      <c r="J124" s="20" t="n">
        <v>316819</v>
      </c>
      <c r="K124" s="20" t="n">
        <v>313336</v>
      </c>
      <c r="L124" s="20" t="n">
        <v>347605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2026-08-03</t>
        </is>
      </c>
      <c r="B4" t="inlineStr">
        <is>
          <t>2027년 3월 결산기 １분기 결산단신</t>
        </is>
      </c>
      <c r="C4" t="inlineStr">
        <is>
          <t>https://www2.jpx.co.jp/disc/66320/140120260730503633.pdf</t>
        </is>
      </c>
    </row>
    <row r="5">
      <c r="A5" t="inlineStr">
        <is>
          <t>2026-05-01</t>
        </is>
      </c>
      <c r="B5" t="inlineStr">
        <is>
          <t>2026년 3월 결산기 연간 결산단신</t>
        </is>
      </c>
      <c r="C5" t="inlineStr">
        <is>
          <t>https://www2.jpx.co.jp/disc/66320/140120260501516649.pdf</t>
        </is>
      </c>
    </row>
    <row r="6">
      <c r="A6" t="inlineStr">
        <is>
          <t>2026-02-03</t>
        </is>
      </c>
      <c r="B6" t="inlineStr">
        <is>
          <t>2026년 3월 결산기 ３분기 결산단신</t>
        </is>
      </c>
      <c r="C6" t="inlineStr">
        <is>
          <t>https://www2.jpx.co.jp/disc/66320/140120260202544913.pdf</t>
        </is>
      </c>
    </row>
    <row r="7">
      <c r="A7" t="inlineStr">
        <is>
          <t>2025-10-31</t>
        </is>
      </c>
      <c r="B7" t="inlineStr">
        <is>
          <t>2026년 3월 결산기 ２분기 결산단신</t>
        </is>
      </c>
      <c r="C7" t="inlineStr">
        <is>
          <t>https://www2.jpx.co.jp/disc/66320/140120251030583513.pdf</t>
        </is>
      </c>
    </row>
    <row r="8">
      <c r="A8" t="inlineStr">
        <is>
          <t>2025-08-01</t>
        </is>
      </c>
      <c r="B8" t="inlineStr">
        <is>
          <t>2026년 3월 결산기 １분기 결산단신</t>
        </is>
      </c>
      <c r="C8" t="inlineStr">
        <is>
          <t>https://www2.jpx.co.jp/disc/66320/140120250730524385.pdf</t>
        </is>
      </c>
    </row>
    <row r="9">
      <c r="A9" t="inlineStr">
        <is>
          <t>2025-05-01</t>
        </is>
      </c>
      <c r="B9" t="inlineStr">
        <is>
          <t>2025년 3월 결산기 연간 결산단신</t>
        </is>
      </c>
      <c r="C9" t="inlineStr">
        <is>
          <t>https://www2.jpx.co.jp/disc/66320/140120250430528134.pdf</t>
        </is>
      </c>
    </row>
    <row r="10">
      <c r="A10" t="inlineStr">
        <is>
          <t>2025-02-03</t>
        </is>
      </c>
      <c r="B10" t="inlineStr">
        <is>
          <t>2025년 3월 결산기 ３분기 결산단신</t>
        </is>
      </c>
      <c r="C10" t="inlineStr">
        <is>
          <t>https://www2.jpx.co.jp/disc/66320/140120250203561319.pdf</t>
        </is>
      </c>
    </row>
    <row r="11">
      <c r="A11" t="inlineStr">
        <is>
          <t>2024-10-31</t>
        </is>
      </c>
      <c r="B11" t="inlineStr">
        <is>
          <t>2025년 3월 결산기 ２분기 결산단신</t>
        </is>
      </c>
      <c r="C11" t="inlineStr">
        <is>
          <t>https://www2.jpx.co.jp/disc/66320/140120241030505819.pdf</t>
        </is>
      </c>
    </row>
    <row r="12">
      <c r="A12" t="inlineStr">
        <is>
          <t>2024-08-01</t>
        </is>
      </c>
      <c r="B12" t="inlineStr">
        <is>
          <t>2025년 3월 결산기 １분기 결산단신</t>
        </is>
      </c>
      <c r="C12" t="inlineStr">
        <is>
          <t>https://www2.jpx.co.jp/disc/66320/140120240801559864.pdf</t>
        </is>
      </c>
    </row>
    <row r="13">
      <c r="A13" t="inlineStr">
        <is>
          <t>2024-04-26</t>
        </is>
      </c>
      <c r="B13" t="inlineStr">
        <is>
          <t>2024년 3월 결산기 연간 결산단신</t>
        </is>
      </c>
      <c r="C13" t="inlineStr">
        <is>
          <t>https://www2.jpx.co.jp/disc/66320/140120240425577307.pdf</t>
        </is>
      </c>
    </row>
    <row r="14">
      <c r="A14" t="inlineStr">
        <is>
          <t>2024-02-01</t>
        </is>
      </c>
      <c r="B14" t="inlineStr">
        <is>
          <t>2024년 3월 결산기 ３분기 결산단신</t>
        </is>
      </c>
      <c r="C14" t="inlineStr">
        <is>
          <t>https://www2.jpx.co.jp/disc/66320/140120240131523561.pdf</t>
        </is>
      </c>
    </row>
    <row r="15">
      <c r="A15" t="inlineStr">
        <is>
          <t>2023-10-31</t>
        </is>
      </c>
      <c r="B15" t="inlineStr">
        <is>
          <t>2024년 3월 결산기 ２분기 결산단신</t>
        </is>
      </c>
      <c r="C15" t="inlineStr">
        <is>
          <t>https://www2.jpx.co.jp/disc/66320/140120231030574992.pdf</t>
        </is>
      </c>
    </row>
    <row r="16">
      <c r="A16" t="inlineStr">
        <is>
          <t>2023-08-01</t>
        </is>
      </c>
      <c r="B16" t="inlineStr">
        <is>
          <t>2024년 3월 결산기 １분기 결산단신</t>
        </is>
      </c>
      <c r="C16" t="inlineStr">
        <is>
          <t>https://www2.jpx.co.jp/disc/66320/140120230731531017.pdf</t>
        </is>
      </c>
    </row>
    <row r="17">
      <c r="A17" t="inlineStr">
        <is>
          <t>2023-04-27</t>
        </is>
      </c>
      <c r="B17" t="inlineStr">
        <is>
          <t>2023년 3월 결산기 연간 결산단신</t>
        </is>
      </c>
      <c r="C17" t="inlineStr">
        <is>
          <t>https://www2.jpx.co.jp/disc/66320/140120230425552005.pdf</t>
        </is>
      </c>
    </row>
    <row r="18">
      <c r="A18" t="inlineStr">
        <is>
          <t>2023-02-01</t>
        </is>
      </c>
      <c r="B18" t="inlineStr">
        <is>
          <t>2023년 3월 결산기 ３분기 결산단신</t>
        </is>
      </c>
      <c r="C18" t="inlineStr">
        <is>
          <t>https://www2.jpx.co.jp/disc/66320/140120230131597297.pdf</t>
        </is>
      </c>
    </row>
    <row r="19">
      <c r="A19" t="inlineStr">
        <is>
          <t>2022-10-31</t>
        </is>
      </c>
      <c r="B19" t="inlineStr">
        <is>
          <t>2023년 3월 결산기 ２분기 결산단신</t>
        </is>
      </c>
      <c r="C19" t="inlineStr">
        <is>
          <t>https://www2.jpx.co.jp/disc/66320/140120221028552540.pdf</t>
        </is>
      </c>
    </row>
    <row r="20">
      <c r="A20" t="inlineStr">
        <is>
          <t>2022-04-27</t>
        </is>
      </c>
      <c r="B20" t="inlineStr">
        <is>
          <t>2022년 3월 결산기 연간 결산단신</t>
        </is>
      </c>
      <c r="C20" t="inlineStr">
        <is>
          <t>https://www2.jpx.co.jp/disc/66320/140120220426528350.pdf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https://www2.jpx.co.jp/disc/66320/140120210426400545.pdf</t>
        </is>
      </c>
    </row>
    <row r="22">
      <c r="A22" t="inlineStr">
        <is>
          <t>2020-05-20</t>
        </is>
      </c>
      <c r="B22" t="inlineStr">
        <is>
          <t>2020년 3월 결산기 연간 결산단신</t>
        </is>
      </c>
      <c r="C22" t="inlineStr">
        <is>
          <t>https://www2.jpx.co.jp/disc/66320/140120200519418790.pdf</t>
        </is>
      </c>
    </row>
    <row r="23">
      <c r="A23" t="inlineStr">
        <is>
          <t>2019-04-26</t>
        </is>
      </c>
      <c r="B23" t="inlineStr">
        <is>
          <t>2019년 3월 결산기 연간 결산단신</t>
        </is>
      </c>
      <c r="C23" t="inlineStr">
        <is>
          <t>https://www2.jpx.co.jp/disc/66320/140120190422408051.pdf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2026-10-26T10:55:48Z</dcterms:created>
  <dcterms:modified xmlns:dcterms="http://purl.org/dc/terms/" xmlns:xsi="http://www.w3.org/2001/XMLSchema-instance" xsi:type="dcterms:W3CDTF">2026-10-26T10:55:49Z</dcterms:modified>
</cp:coreProperties>
</file>