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ser>
          <idx val="2"/>
          <order val="2"/>
          <tx>
            <strRef>
              <f>'재무제표 한눈에 보기'!A26</f>
            </strRef>
          </tx>
          <spPr>
            <a:ln xmlns:a="http://schemas.openxmlformats.org/drawingml/2006/main" w="22000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보기'!$B$26:$AO$26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28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47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47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6632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92554</v>
      </c>
      <c r="D4" s="12" t="n">
        <v>92201</v>
      </c>
      <c r="E4" s="12" t="n">
        <v>87769</v>
      </c>
      <c r="F4" s="12" t="n">
        <v>88805</v>
      </c>
      <c r="G4" s="12" t="n">
        <v>93900</v>
      </c>
      <c r="H4" s="12" t="n">
        <v>99834</v>
      </c>
      <c r="I4" s="12" t="n">
        <v>80197</v>
      </c>
      <c r="J4" s="12" t="n">
        <v>89124</v>
      </c>
      <c r="K4" s="12" t="n">
        <v>89306</v>
      </c>
      <c r="L4" s="12" t="n">
        <v>98238</v>
      </c>
      <c r="M4" s="12" t="n">
        <v>88799</v>
      </c>
      <c r="N4" s="12" t="n">
        <v>94979</v>
      </c>
      <c r="O4" s="11" t="n"/>
      <c r="P4" s="12" t="n">
        <v>300687</v>
      </c>
      <c r="Q4" s="12" t="n">
        <v>307627</v>
      </c>
      <c r="R4" s="12" t="n">
        <v>291304</v>
      </c>
      <c r="S4" s="12" t="n">
        <v>273609</v>
      </c>
      <c r="T4" s="12" t="n">
        <v>282088</v>
      </c>
      <c r="U4" s="12" t="n">
        <v>336910</v>
      </c>
      <c r="V4" s="12" t="n">
        <v>359459</v>
      </c>
      <c r="W4" s="12" t="n">
        <v>370308</v>
      </c>
      <c r="X4" s="12" t="n">
        <v>356865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Safety And Security Sector</t>
        </is>
      </c>
      <c r="B7" s="10" t="n"/>
      <c r="C7" s="19" t="n">
        <v>24301</v>
      </c>
      <c r="D7" s="20" t="n">
        <v>23855</v>
      </c>
      <c r="E7" s="20" t="n">
        <v>24238</v>
      </c>
      <c r="F7" s="20" t="n">
        <v>24348</v>
      </c>
      <c r="G7" s="20" t="n">
        <v>24487</v>
      </c>
      <c r="H7" s="20" t="n">
        <v>26935</v>
      </c>
      <c r="I7" s="20" t="n">
        <v>18279</v>
      </c>
      <c r="J7" s="20" t="n">
        <v>25446</v>
      </c>
      <c r="K7" s="20" t="n">
        <v>23141</v>
      </c>
      <c r="L7" s="20" t="n">
        <v>27829</v>
      </c>
      <c r="M7" s="20" t="n">
        <v>18488</v>
      </c>
      <c r="N7" s="20" t="n">
        <v>21900</v>
      </c>
      <c r="O7" s="19" t="n"/>
      <c r="P7" s="20" t="n"/>
      <c r="Q7" s="20" t="n"/>
      <c r="R7" s="20" t="n"/>
      <c r="S7" s="20" t="n"/>
      <c r="T7" s="20" t="n"/>
      <c r="U7" s="20" t="n"/>
      <c r="V7" s="20" t="n">
        <v>93755</v>
      </c>
      <c r="W7" s="20" t="n">
        <v>100008</v>
      </c>
      <c r="X7" s="20" t="n">
        <v>94695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Mobility And Telematics Service Sector</t>
        </is>
      </c>
      <c r="B10" s="10" t="n"/>
      <c r="C10" s="19" t="n">
        <v>50920</v>
      </c>
      <c r="D10" s="20" t="n"/>
      <c r="E10" s="20" t="n">
        <v>47939</v>
      </c>
      <c r="F10" s="20" t="n">
        <v>48770</v>
      </c>
      <c r="G10" s="20" t="n">
        <v>52090</v>
      </c>
      <c r="H10" s="20" t="n"/>
      <c r="I10" s="20" t="n">
        <v>46580</v>
      </c>
      <c r="J10" s="20" t="n">
        <v>48852</v>
      </c>
      <c r="K10" s="20" t="n">
        <v>49006</v>
      </c>
      <c r="L10" s="20" t="n"/>
      <c r="M10" s="20" t="n">
        <v>53468</v>
      </c>
      <c r="N10" s="20" t="n">
        <v>54134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Entertainment Solutions Sector</t>
        </is>
      </c>
      <c r="B13" s="10" t="n"/>
      <c r="C13" s="19" t="n">
        <v>14986</v>
      </c>
      <c r="D13" s="20" t="n">
        <v>13983</v>
      </c>
      <c r="E13" s="20" t="n">
        <v>13440</v>
      </c>
      <c r="F13" s="20" t="n">
        <v>13191</v>
      </c>
      <c r="G13" s="20" t="n">
        <v>14822</v>
      </c>
      <c r="H13" s="20" t="n">
        <v>16483</v>
      </c>
      <c r="I13" s="20" t="n">
        <v>13234</v>
      </c>
      <c r="J13" s="20" t="n">
        <v>12632</v>
      </c>
      <c r="K13" s="20" t="n">
        <v>14300</v>
      </c>
      <c r="L13" s="20" t="n">
        <v>16653</v>
      </c>
      <c r="M13" s="20" t="n">
        <v>14446</v>
      </c>
      <c r="N13" s="20" t="n">
        <v>16806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55978</v>
      </c>
      <c r="W13" s="20" t="n">
        <v>57936</v>
      </c>
      <c r="X13" s="20" t="n">
        <v>56819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2346</v>
      </c>
      <c r="D16" s="20" t="n">
        <v>3728</v>
      </c>
      <c r="E16" s="20" t="n">
        <v>2150</v>
      </c>
      <c r="F16" s="20" t="n">
        <v>2496</v>
      </c>
      <c r="G16" s="20" t="n">
        <v>2502</v>
      </c>
      <c r="H16" s="20" t="n">
        <v>1972</v>
      </c>
      <c r="I16" s="20" t="n">
        <v>2103</v>
      </c>
      <c r="J16" s="20" t="n">
        <v>2194</v>
      </c>
      <c r="K16" s="20" t="n">
        <v>2858</v>
      </c>
      <c r="L16" s="20" t="n">
        <v>2447</v>
      </c>
      <c r="M16" s="20" t="n">
        <v>2395</v>
      </c>
      <c r="N16" s="20" t="n">
        <v>2139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10289</v>
      </c>
      <c r="W16" s="20" t="n">
        <v>9120</v>
      </c>
      <c r="X16" s="20" t="n">
        <v>9602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Mobility And Telematics Sector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199435</v>
      </c>
      <c r="W19" s="20" t="n">
        <v>203243</v>
      </c>
      <c r="X19" s="20" t="n">
        <v>195748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64526</v>
      </c>
      <c r="D23" s="20" t="n">
        <v>64514</v>
      </c>
      <c r="E23" s="20" t="n">
        <v>59403</v>
      </c>
      <c r="F23" s="20" t="n">
        <v>59087</v>
      </c>
      <c r="G23" s="20" t="n">
        <v>63820</v>
      </c>
      <c r="H23" s="20" t="n">
        <v>69057</v>
      </c>
      <c r="I23" s="20" t="n">
        <v>55661</v>
      </c>
      <c r="J23" s="20" t="n">
        <v>62095</v>
      </c>
      <c r="K23" s="20" t="n">
        <v>61653</v>
      </c>
      <c r="L23" s="20" t="n">
        <v>67062</v>
      </c>
      <c r="M23" s="20" t="n">
        <v>63846</v>
      </c>
      <c r="N23" s="20" t="n">
        <v>60613</v>
      </c>
      <c r="O23" s="19" t="n"/>
      <c r="P23" s="20" t="n">
        <v>218845</v>
      </c>
      <c r="Q23" s="20" t="n">
        <v>223332</v>
      </c>
      <c r="R23" s="20" t="n">
        <v>212217</v>
      </c>
      <c r="S23" s="20" t="n">
        <v>199049</v>
      </c>
      <c r="T23" s="20" t="n">
        <v>206298</v>
      </c>
      <c r="U23" s="20" t="n">
        <v>241710</v>
      </c>
      <c r="V23" s="20" t="n">
        <v>250695</v>
      </c>
      <c r="W23" s="20" t="n">
        <v>251367</v>
      </c>
      <c r="X23" s="20" t="n">
        <v>246471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22516</v>
      </c>
      <c r="D29" s="20" t="n">
        <v>23992</v>
      </c>
      <c r="E29" s="20" t="n">
        <v>22390</v>
      </c>
      <c r="F29" s="20" t="n">
        <v>22678</v>
      </c>
      <c r="G29" s="20" t="n">
        <v>24528</v>
      </c>
      <c r="H29" s="20" t="n">
        <v>24037</v>
      </c>
      <c r="I29" s="20" t="n">
        <v>21484</v>
      </c>
      <c r="J29" s="20" t="n">
        <v>21761</v>
      </c>
      <c r="K29" s="20" t="n">
        <v>22652</v>
      </c>
      <c r="L29" s="20" t="n">
        <v>23616</v>
      </c>
      <c r="M29" s="20" t="n">
        <v>22945</v>
      </c>
      <c r="N29" s="20" t="n">
        <v>24108</v>
      </c>
      <c r="O29" s="19" t="n"/>
      <c r="P29" s="20" t="n">
        <v>75531</v>
      </c>
      <c r="Q29" s="20" t="n">
        <v>75732</v>
      </c>
      <c r="R29" s="20" t="n">
        <v>73402</v>
      </c>
      <c r="S29" s="20" t="n">
        <v>67086</v>
      </c>
      <c r="T29" s="20" t="n">
        <v>68645</v>
      </c>
      <c r="U29" s="20" t="n">
        <v>79363</v>
      </c>
      <c r="V29" s="20" t="n">
        <v>89053</v>
      </c>
      <c r="W29" s="20" t="n">
        <v>93633</v>
      </c>
      <c r="X29" s="20" t="n">
        <v>89513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5175</v>
      </c>
      <c r="D31" s="12" t="n">
        <v>3244</v>
      </c>
      <c r="E31" s="12" t="n">
        <v>6022</v>
      </c>
      <c r="F31" s="12" t="n">
        <v>7534</v>
      </c>
      <c r="G31" s="12" t="n">
        <v>3227</v>
      </c>
      <c r="H31" s="12" t="n">
        <v>5009</v>
      </c>
      <c r="I31" s="12" t="n">
        <v>4356</v>
      </c>
      <c r="J31" s="12" t="n">
        <v>5277</v>
      </c>
      <c r="K31" s="12" t="n">
        <v>5237</v>
      </c>
      <c r="L31" s="12" t="n">
        <v>5670</v>
      </c>
      <c r="M31" s="12" t="n">
        <v>1526</v>
      </c>
      <c r="N31" s="12" t="n">
        <v>9962</v>
      </c>
      <c r="O31" s="11" t="n"/>
      <c r="P31" s="12" t="n">
        <v>6937</v>
      </c>
      <c r="Q31" s="12" t="n">
        <v>7263</v>
      </c>
      <c r="R31" s="12" t="n">
        <v>4080</v>
      </c>
      <c r="S31" s="12" t="n">
        <v>4893</v>
      </c>
      <c r="T31" s="12" t="n">
        <v>9054</v>
      </c>
      <c r="U31" s="12" t="n">
        <v>21634</v>
      </c>
      <c r="V31" s="12" t="n">
        <v>18226</v>
      </c>
      <c r="W31" s="12" t="n">
        <v>21792</v>
      </c>
      <c r="X31" s="12" t="n">
        <v>20540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기타이익</t>
        </is>
      </c>
      <c r="B47" s="10" t="n"/>
      <c r="C47" s="19" t="n">
        <v>475</v>
      </c>
      <c r="D47" s="20" t="n">
        <v>2857</v>
      </c>
      <c r="E47" s="20" t="n">
        <v>284</v>
      </c>
      <c r="F47" s="20" t="n">
        <v>1197</v>
      </c>
      <c r="G47" s="20" t="n">
        <v>379</v>
      </c>
      <c r="H47" s="20" t="n">
        <v>369</v>
      </c>
      <c r="I47" s="20" t="n">
        <v>1446</v>
      </c>
      <c r="J47" s="20" t="n">
        <v>357</v>
      </c>
      <c r="K47" s="20" t="n">
        <v>976</v>
      </c>
      <c r="L47" s="20" t="n">
        <v>188</v>
      </c>
      <c r="M47" s="20" t="n">
        <v>229</v>
      </c>
      <c r="N47" s="20" t="n">
        <v>239</v>
      </c>
      <c r="O47" s="19" t="n"/>
      <c r="P47" s="20" t="n">
        <v>3325</v>
      </c>
      <c r="Q47" s="20" t="n">
        <v>1775</v>
      </c>
      <c r="R47" s="20" t="n">
        <v>1741</v>
      </c>
      <c r="S47" s="20" t="n">
        <v>2056</v>
      </c>
      <c r="T47" s="20" t="n">
        <v>4104</v>
      </c>
      <c r="U47" s="20" t="n">
        <v>11342</v>
      </c>
      <c r="V47" s="20" t="n">
        <v>4762</v>
      </c>
      <c r="W47" s="20" t="n">
        <v>2229</v>
      </c>
      <c r="X47" s="20" t="n">
        <v>2967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기타손실</t>
        </is>
      </c>
      <c r="B49" s="10" t="n"/>
      <c r="C49" s="19" t="n">
        <v>881</v>
      </c>
      <c r="D49" s="20" t="n">
        <v>3280</v>
      </c>
      <c r="E49" s="20" t="n">
        <v>139</v>
      </c>
      <c r="F49" s="20" t="n">
        <v>1053</v>
      </c>
      <c r="G49" s="20" t="n">
        <v>2400</v>
      </c>
      <c r="H49" s="20" t="n">
        <v>2255</v>
      </c>
      <c r="I49" s="20" t="n">
        <v>215</v>
      </c>
      <c r="J49" s="20" t="n">
        <v>206</v>
      </c>
      <c r="K49" s="20" t="n">
        <v>672</v>
      </c>
      <c r="L49" s="20" t="n">
        <v>1960</v>
      </c>
      <c r="M49" s="20" t="n">
        <v>700</v>
      </c>
      <c r="N49" s="20" t="n">
        <v>274</v>
      </c>
      <c r="O49" s="19" t="n"/>
      <c r="P49" s="20" t="n">
        <v>2388</v>
      </c>
      <c r="Q49" s="20" t="n">
        <v>2688</v>
      </c>
      <c r="R49" s="20" t="n">
        <v>2934</v>
      </c>
      <c r="S49" s="20" t="n">
        <v>4251</v>
      </c>
      <c r="T49" s="20" t="n">
        <v>1857</v>
      </c>
      <c r="U49" s="20" t="n">
        <v>4971</v>
      </c>
      <c r="V49" s="20" t="n">
        <v>6158</v>
      </c>
      <c r="W49" s="20" t="n">
        <v>5847</v>
      </c>
      <c r="X49" s="20" t="n">
        <v>3053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금융수익</t>
        </is>
      </c>
      <c r="B51" s="10" t="n"/>
      <c r="C51" s="19" t="n">
        <v>216</v>
      </c>
      <c r="D51" s="20" t="n">
        <v>281</v>
      </c>
      <c r="E51" s="20" t="n">
        <v>298</v>
      </c>
      <c r="F51" s="20" t="n">
        <v>286</v>
      </c>
      <c r="G51" s="20" t="n">
        <v>265</v>
      </c>
      <c r="H51" s="20" t="n">
        <v>321</v>
      </c>
      <c r="I51" s="20" t="n">
        <v>293</v>
      </c>
      <c r="J51" s="20" t="n">
        <v>223</v>
      </c>
      <c r="K51" s="20" t="n">
        <v>207</v>
      </c>
      <c r="L51" s="20" t="n">
        <v>274</v>
      </c>
      <c r="M51" s="20" t="n">
        <v>281</v>
      </c>
      <c r="N51" s="20" t="n">
        <v>458</v>
      </c>
      <c r="O51" s="19" t="n"/>
      <c r="P51" s="20" t="n">
        <v>249</v>
      </c>
      <c r="Q51" s="20" t="n">
        <v>304</v>
      </c>
      <c r="R51" s="20" t="n">
        <v>308</v>
      </c>
      <c r="S51" s="20" t="n">
        <v>566</v>
      </c>
      <c r="T51" s="20" t="n">
        <v>342</v>
      </c>
      <c r="U51" s="20" t="n">
        <v>454</v>
      </c>
      <c r="V51" s="20" t="n">
        <v>957</v>
      </c>
      <c r="W51" s="20" t="n">
        <v>1170</v>
      </c>
      <c r="X51" s="20" t="n">
        <v>997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금융원가</t>
        </is>
      </c>
      <c r="B53" s="10" t="n"/>
      <c r="C53" s="19" t="n">
        <v>408</v>
      </c>
      <c r="D53" s="20" t="n">
        <v>369</v>
      </c>
      <c r="E53" s="20" t="n">
        <v>360</v>
      </c>
      <c r="F53" s="20" t="n">
        <v>337</v>
      </c>
      <c r="G53" s="20" t="n">
        <v>348</v>
      </c>
      <c r="H53" s="20" t="n">
        <v>397</v>
      </c>
      <c r="I53" s="20" t="n">
        <v>328</v>
      </c>
      <c r="J53" s="20" t="n">
        <v>333</v>
      </c>
      <c r="K53" s="20" t="n">
        <v>326</v>
      </c>
      <c r="L53" s="20" t="n">
        <v>460</v>
      </c>
      <c r="M53" s="20" t="n">
        <v>477</v>
      </c>
      <c r="N53" s="20" t="n">
        <v>427</v>
      </c>
      <c r="O53" s="19" t="n"/>
      <c r="P53" s="20" t="n">
        <v>1346</v>
      </c>
      <c r="Q53" s="20" t="n">
        <v>1076</v>
      </c>
      <c r="R53" s="20" t="n">
        <v>1163</v>
      </c>
      <c r="S53" s="20" t="n">
        <v>1153</v>
      </c>
      <c r="T53" s="20" t="n">
        <v>1051</v>
      </c>
      <c r="U53" s="20" t="n">
        <v>1221</v>
      </c>
      <c r="V53" s="20" t="n">
        <v>1485</v>
      </c>
      <c r="W53" s="20" t="n">
        <v>1442</v>
      </c>
      <c r="X53" s="20" t="n">
        <v>1447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5192</v>
      </c>
      <c r="D55" s="12" t="n">
        <v>3313</v>
      </c>
      <c r="E55" s="12" t="n">
        <v>6950</v>
      </c>
      <c r="F55" s="12" t="n">
        <v>7523</v>
      </c>
      <c r="G55" s="12" t="n">
        <v>3803</v>
      </c>
      <c r="H55" s="12" t="n">
        <v>5214</v>
      </c>
      <c r="I55" s="12" t="n">
        <v>4891</v>
      </c>
      <c r="J55" s="12" t="n">
        <v>5401</v>
      </c>
      <c r="K55" s="12" t="n">
        <v>5730</v>
      </c>
      <c r="L55" s="12" t="n">
        <v>5638</v>
      </c>
      <c r="M55" s="12" t="n">
        <v>1823</v>
      </c>
      <c r="N55" s="12" t="n">
        <v>10132</v>
      </c>
      <c r="O55" s="11" t="n"/>
      <c r="P55" s="12" t="n">
        <v>5940</v>
      </c>
      <c r="Q55" s="12" t="n">
        <v>6401</v>
      </c>
      <c r="R55" s="12" t="n">
        <v>2877</v>
      </c>
      <c r="S55" s="12" t="n">
        <v>4533</v>
      </c>
      <c r="T55" s="12" t="n">
        <v>8515</v>
      </c>
      <c r="U55" s="12" t="n">
        <v>21161</v>
      </c>
      <c r="V55" s="12" t="n">
        <v>18245</v>
      </c>
      <c r="W55" s="12" t="n">
        <v>23490</v>
      </c>
      <c r="X55" s="12" t="n">
        <v>21660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689</v>
      </c>
      <c r="D57" s="20" t="n">
        <v>991</v>
      </c>
      <c r="E57" s="20" t="n">
        <v>1146</v>
      </c>
      <c r="F57" s="20" t="n">
        <v>1717</v>
      </c>
      <c r="G57" s="20" t="n">
        <v>699</v>
      </c>
      <c r="H57" s="20" t="n">
        <v>-1096</v>
      </c>
      <c r="I57" s="20" t="n">
        <v>1325</v>
      </c>
      <c r="J57" s="20" t="n">
        <v>1232</v>
      </c>
      <c r="K57" s="20" t="n">
        <v>809</v>
      </c>
      <c r="L57" s="20" t="n">
        <v>1328</v>
      </c>
      <c r="M57" s="20" t="n">
        <v>793</v>
      </c>
      <c r="N57" s="20" t="n">
        <v>2775</v>
      </c>
      <c r="O57" s="19" t="n"/>
      <c r="P57" s="20" t="n">
        <v>2752</v>
      </c>
      <c r="Q57" s="20" t="n">
        <v>2099</v>
      </c>
      <c r="R57" s="20" t="n">
        <v>1540</v>
      </c>
      <c r="S57" s="20" t="n">
        <v>1829</v>
      </c>
      <c r="T57" s="20" t="n">
        <v>2146</v>
      </c>
      <c r="U57" s="20" t="n">
        <v>4316</v>
      </c>
      <c r="V57" s="20" t="n">
        <v>4353</v>
      </c>
      <c r="W57" s="20" t="n">
        <v>2466</v>
      </c>
      <c r="X57" s="20" t="n">
        <v>4694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4502</v>
      </c>
      <c r="D59" s="12" t="n">
        <v>2323</v>
      </c>
      <c r="E59" s="12" t="n">
        <v>5803</v>
      </c>
      <c r="F59" s="12" t="n">
        <v>5807</v>
      </c>
      <c r="G59" s="12" t="n">
        <v>3104</v>
      </c>
      <c r="H59" s="12" t="n">
        <v>6309</v>
      </c>
      <c r="I59" s="12" t="n">
        <v>3566</v>
      </c>
      <c r="J59" s="12" t="n">
        <v>4169</v>
      </c>
      <c r="K59" s="12" t="n">
        <v>4921</v>
      </c>
      <c r="L59" s="12" t="n">
        <v>4309</v>
      </c>
      <c r="M59" s="12" t="n">
        <v>1030</v>
      </c>
      <c r="N59" s="12" t="n">
        <v>7357</v>
      </c>
      <c r="O59" s="11" t="n"/>
      <c r="P59" s="12" t="n">
        <v>3188</v>
      </c>
      <c r="Q59" s="12" t="n">
        <v>4301</v>
      </c>
      <c r="R59" s="12" t="n">
        <v>1337</v>
      </c>
      <c r="S59" s="12" t="n">
        <v>2704</v>
      </c>
      <c r="T59" s="12" t="n">
        <v>6369</v>
      </c>
      <c r="U59" s="12" t="n">
        <v>16844</v>
      </c>
      <c r="V59" s="12" t="n">
        <v>13892</v>
      </c>
      <c r="W59" s="12" t="n">
        <v>21023</v>
      </c>
      <c r="X59" s="12" t="n">
        <v>16965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4172</v>
      </c>
      <c r="D61" s="12" t="n">
        <v>2094</v>
      </c>
      <c r="E61" s="12" t="n">
        <v>5503</v>
      </c>
      <c r="F61" s="12" t="n">
        <v>5590</v>
      </c>
      <c r="G61" s="12" t="n">
        <v>2977</v>
      </c>
      <c r="H61" s="12" t="n">
        <v>6206</v>
      </c>
      <c r="I61" s="12" t="n">
        <v>3446</v>
      </c>
      <c r="J61" s="12" t="n">
        <v>4054</v>
      </c>
      <c r="K61" s="12" t="n">
        <v>4969</v>
      </c>
      <c r="L61" s="12" t="n">
        <v>4318</v>
      </c>
      <c r="M61" s="12" t="n">
        <v>989</v>
      </c>
      <c r="N61" s="12" t="n">
        <v>7224</v>
      </c>
      <c r="O61" s="11" t="n"/>
      <c r="P61" s="12" t="n">
        <v>2389</v>
      </c>
      <c r="Q61" s="12" t="n">
        <v>3847</v>
      </c>
      <c r="R61" s="12" t="n">
        <v>954</v>
      </c>
      <c r="S61" s="12" t="n">
        <v>2154</v>
      </c>
      <c r="T61" s="12" t="n">
        <v>5873</v>
      </c>
      <c r="U61" s="12" t="n">
        <v>16229</v>
      </c>
      <c r="V61" s="12" t="n">
        <v>13016</v>
      </c>
      <c r="W61" s="12" t="n">
        <v>20276</v>
      </c>
      <c r="X61" s="12" t="n">
        <v>16787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(2026.10.30)</t>
        </is>
      </c>
      <c r="B65" s="27" t="n">
        <v>885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161564801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2026.10.30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매출수익</t>
        </is>
      </c>
      <c r="C96" s="12" t="n">
        <v>92554</v>
      </c>
      <c r="D96" s="12" t="n">
        <v>92201</v>
      </c>
      <c r="E96" s="12" t="n">
        <v>87769</v>
      </c>
      <c r="F96" s="12" t="n">
        <v>88805</v>
      </c>
      <c r="G96" s="12" t="n">
        <v>93900</v>
      </c>
      <c r="H96" s="12" t="n">
        <v>99834</v>
      </c>
      <c r="I96" s="12" t="n">
        <v>80197</v>
      </c>
      <c r="J96" s="12" t="n">
        <v>89124</v>
      </c>
      <c r="K96" s="12" t="n">
        <v>89306</v>
      </c>
      <c r="L96" s="12" t="n">
        <v>98238</v>
      </c>
      <c r="M96" s="12" t="n">
        <v>88799</v>
      </c>
      <c r="N96" s="12" t="n">
        <v>94979</v>
      </c>
      <c r="T96" s="12" t="n">
        <v>87462</v>
      </c>
      <c r="U96" s="12" t="n">
        <v>89413</v>
      </c>
      <c r="V96" s="12" t="n">
        <v>92201</v>
      </c>
      <c r="W96" s="12" t="n">
        <v>99834</v>
      </c>
      <c r="X96" s="12" t="n">
        <v>98238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64526</v>
      </c>
      <c r="D98" s="20" t="n">
        <v>64514</v>
      </c>
      <c r="E98" s="20" t="n">
        <v>59403</v>
      </c>
      <c r="F98" s="20" t="n">
        <v>59087</v>
      </c>
      <c r="G98" s="20" t="n">
        <v>63820</v>
      </c>
      <c r="H98" s="20" t="n">
        <v>69057</v>
      </c>
      <c r="I98" s="20" t="n">
        <v>55661</v>
      </c>
      <c r="J98" s="20" t="n">
        <v>62095</v>
      </c>
      <c r="K98" s="20" t="n">
        <v>61653</v>
      </c>
      <c r="L98" s="20" t="n">
        <v>67062</v>
      </c>
      <c r="M98" s="20" t="n">
        <v>63846</v>
      </c>
      <c r="N98" s="20" t="n">
        <v>60613</v>
      </c>
      <c r="T98" s="20" t="n">
        <v>62653</v>
      </c>
      <c r="U98" s="20" t="n">
        <v>63233</v>
      </c>
      <c r="V98" s="20" t="n">
        <v>64514</v>
      </c>
      <c r="W98" s="20" t="n">
        <v>69057</v>
      </c>
      <c r="X98" s="20" t="n">
        <v>67062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28028</v>
      </c>
      <c r="D100" s="12" t="n">
        <v>27687</v>
      </c>
      <c r="E100" s="12" t="n">
        <v>28366</v>
      </c>
      <c r="F100" s="12" t="n">
        <v>29718</v>
      </c>
      <c r="G100" s="12" t="n">
        <v>30080</v>
      </c>
      <c r="H100" s="12" t="n">
        <v>30776</v>
      </c>
      <c r="I100" s="12" t="n">
        <v>24536</v>
      </c>
      <c r="J100" s="12" t="n">
        <v>27029</v>
      </c>
      <c r="K100" s="12" t="n">
        <v>27652</v>
      </c>
      <c r="L100" s="12" t="n">
        <v>31176</v>
      </c>
      <c r="M100" s="12" t="n">
        <v>24953</v>
      </c>
      <c r="N100" s="12" t="n">
        <v>34365</v>
      </c>
      <c r="T100" s="12" t="n">
        <v>24809</v>
      </c>
      <c r="U100" s="12" t="n">
        <v>26180</v>
      </c>
      <c r="V100" s="12" t="n">
        <v>27687</v>
      </c>
      <c r="W100" s="12" t="n">
        <v>30776</v>
      </c>
      <c r="X100" s="12" t="n">
        <v>31176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22516</v>
      </c>
      <c r="D102" s="20" t="n">
        <v>23992</v>
      </c>
      <c r="E102" s="20" t="n">
        <v>22390</v>
      </c>
      <c r="F102" s="20" t="n">
        <v>22678</v>
      </c>
      <c r="G102" s="20" t="n">
        <v>24528</v>
      </c>
      <c r="H102" s="20" t="n">
        <v>24037</v>
      </c>
      <c r="I102" s="20" t="n">
        <v>21484</v>
      </c>
      <c r="J102" s="20" t="n">
        <v>21761</v>
      </c>
      <c r="K102" s="20" t="n">
        <v>22652</v>
      </c>
      <c r="L102" s="20" t="n">
        <v>23616</v>
      </c>
      <c r="M102" s="20" t="n">
        <v>22945</v>
      </c>
      <c r="N102" s="20" t="n">
        <v>24108</v>
      </c>
      <c r="T102" s="20" t="n">
        <v>17937</v>
      </c>
      <c r="U102" s="20" t="n">
        <v>21560</v>
      </c>
      <c r="V102" s="20" t="n">
        <v>23992</v>
      </c>
      <c r="W102" s="20" t="n">
        <v>24037</v>
      </c>
      <c r="X102" s="20" t="n">
        <v>23616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18" t="inlineStr">
        <is>
          <t>기타수익</t>
        </is>
      </c>
      <c r="C104" s="20" t="n">
        <v>475</v>
      </c>
      <c r="D104" s="20" t="n">
        <v>2857</v>
      </c>
      <c r="E104" s="20" t="n">
        <v>284</v>
      </c>
      <c r="F104" s="20" t="n">
        <v>1197</v>
      </c>
      <c r="G104" s="20" t="n">
        <v>379</v>
      </c>
      <c r="H104" s="20" t="n">
        <v>369</v>
      </c>
      <c r="I104" s="20" t="n">
        <v>1446</v>
      </c>
      <c r="J104" s="20" t="n">
        <v>357</v>
      </c>
      <c r="K104" s="20" t="n">
        <v>976</v>
      </c>
      <c r="L104" s="20" t="n">
        <v>188</v>
      </c>
      <c r="M104" s="20" t="n">
        <v>229</v>
      </c>
      <c r="N104" s="20" t="n">
        <v>239</v>
      </c>
      <c r="T104" s="20" t="n">
        <v>-110</v>
      </c>
      <c r="U104" s="20" t="n">
        <v>-221</v>
      </c>
      <c r="V104" s="20" t="n">
        <v>2857</v>
      </c>
      <c r="W104" s="20" t="n">
        <v>369</v>
      </c>
      <c r="X104" s="20" t="n">
        <v>188</v>
      </c>
    </row>
    <row r="105">
      <c r="A105" s="18" t="inlineStr">
        <is>
          <t>기타비용</t>
        </is>
      </c>
      <c r="C105" s="20" t="n">
        <v>881</v>
      </c>
      <c r="D105" s="20" t="n">
        <v>3280</v>
      </c>
      <c r="E105" s="20" t="n">
        <v>139</v>
      </c>
      <c r="F105" s="20" t="n">
        <v>1053</v>
      </c>
      <c r="G105" s="20" t="n">
        <v>2400</v>
      </c>
      <c r="H105" s="20" t="n">
        <v>2255</v>
      </c>
      <c r="I105" s="20" t="n">
        <v>215</v>
      </c>
      <c r="J105" s="20" t="n">
        <v>206</v>
      </c>
      <c r="K105" s="20" t="n">
        <v>672</v>
      </c>
      <c r="L105" s="20" t="n">
        <v>1960</v>
      </c>
      <c r="M105" s="20" t="n">
        <v>700</v>
      </c>
      <c r="N105" s="20" t="n">
        <v>274</v>
      </c>
      <c r="T105" s="20" t="n">
        <v>1306</v>
      </c>
      <c r="U105" s="20" t="n">
        <v>2326</v>
      </c>
      <c r="V105" s="20" t="n">
        <v>3280</v>
      </c>
      <c r="W105" s="20" t="n">
        <v>2255</v>
      </c>
      <c r="X105" s="20" t="n">
        <v>1960</v>
      </c>
    </row>
    <row r="106">
      <c r="A106" s="18" t="inlineStr">
        <is>
          <t>외환차손익</t>
        </is>
      </c>
      <c r="C106" s="20" t="n">
        <v>70</v>
      </c>
      <c r="D106" s="20" t="n">
        <v>-29</v>
      </c>
      <c r="E106" s="20" t="n">
        <v>-96</v>
      </c>
      <c r="F106" s="20" t="n">
        <v>347</v>
      </c>
      <c r="G106" s="20" t="n">
        <v>-303</v>
      </c>
      <c r="H106" s="20" t="n">
        <v>154</v>
      </c>
      <c r="I106" s="20" t="n">
        <v>72</v>
      </c>
      <c r="J106" s="20" t="n">
        <v>-140</v>
      </c>
      <c r="K106" s="20" t="n">
        <v>-67</v>
      </c>
      <c r="L106" s="20" t="n">
        <v>-119</v>
      </c>
      <c r="M106" s="20" t="n">
        <v>-10</v>
      </c>
      <c r="N106" s="20" t="n">
        <v>-260</v>
      </c>
      <c r="T106" s="20" t="n">
        <v>-27</v>
      </c>
      <c r="U106" s="20" t="n">
        <v>55</v>
      </c>
      <c r="V106" s="20" t="n">
        <v>-29</v>
      </c>
      <c r="W106" s="20" t="n">
        <v>154</v>
      </c>
      <c r="X106" s="20" t="n">
        <v>-119</v>
      </c>
    </row>
    <row r="107">
      <c r="A107" s="18" t="inlineStr">
        <is>
          <t>영업이익</t>
        </is>
      </c>
      <c r="C107" s="20" t="n">
        <v>5175</v>
      </c>
      <c r="D107" s="20" t="n">
        <v>3244</v>
      </c>
      <c r="E107" s="20" t="n">
        <v>6022</v>
      </c>
      <c r="F107" s="20" t="n">
        <v>7534</v>
      </c>
      <c r="G107" s="20" t="n">
        <v>3227</v>
      </c>
      <c r="H107" s="20" t="n">
        <v>5009</v>
      </c>
      <c r="I107" s="20" t="n">
        <v>4356</v>
      </c>
      <c r="J107" s="20" t="n">
        <v>5277</v>
      </c>
      <c r="K107" s="20" t="n">
        <v>5237</v>
      </c>
      <c r="L107" s="20" t="n">
        <v>5670</v>
      </c>
      <c r="M107" s="20" t="n">
        <v>1526</v>
      </c>
      <c r="N107" s="20" t="n">
        <v>9962</v>
      </c>
      <c r="T107" s="20" t="n">
        <v>5429</v>
      </c>
      <c r="U107" s="20" t="n">
        <v>2128</v>
      </c>
      <c r="V107" s="20" t="n">
        <v>3244</v>
      </c>
      <c r="W107" s="20" t="n">
        <v>5009</v>
      </c>
      <c r="X107" s="20" t="n">
        <v>5670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IF(OR(C107="",C96=""),"",IF(C96&lt;=0,"",IFERROR(C107/C96,"")))</f>
        <v/>
      </c>
      <c r="D108" s="15">
        <f>IF(OR(D107="",D96=""),"",IF(D96&lt;=0,"",IFERROR(D107/D96,"")))</f>
        <v/>
      </c>
      <c r="E108" s="15">
        <f>IF(OR(E107="",E96=""),"",IF(E96&lt;=0,"",IFERROR(E107/E96,"")))</f>
        <v/>
      </c>
      <c r="F108" s="15">
        <f>IF(OR(F107="",F96=""),"",IF(F96&lt;=0,"",IFERROR(F107/F96,"")))</f>
        <v/>
      </c>
      <c r="G108" s="15">
        <f>IF(OR(G107="",G96=""),"",IF(G96&lt;=0,"",IFERROR(G107/G96,"")))</f>
        <v/>
      </c>
      <c r="H108" s="15">
        <f>IF(OR(H107="",H96=""),"",IF(H96&lt;=0,"",IFERROR(H107/H96,"")))</f>
        <v/>
      </c>
      <c r="I108" s="15">
        <f>IF(OR(I107="",I96=""),"",IF(I96&lt;=0,"",IFERROR(I107/I96,"")))</f>
        <v/>
      </c>
      <c r="J108" s="15">
        <f>IF(OR(J107="",J96=""),"",IF(J96&lt;=0,"",IFERROR(J107/J96,"")))</f>
        <v/>
      </c>
      <c r="K108" s="15">
        <f>IF(OR(K107="",K96=""),"",IF(K96&lt;=0,"",IFERROR(K107/K96,"")))</f>
        <v/>
      </c>
      <c r="L108" s="15">
        <f>IF(OR(L107="",L96=""),"",IF(L96&lt;=0,"",IFERROR(L107/L96,"")))</f>
        <v/>
      </c>
      <c r="M108" s="15">
        <f>IF(OR(M107="",M96=""),"",IF(M96&lt;=0,"",IFERROR(M107/M96,"")))</f>
        <v/>
      </c>
      <c r="N108" s="15">
        <f>IF(OR(N107="",N96=""),"",IF(N96&lt;=0,"",IFERROR(N107/N96,"")))</f>
        <v/>
      </c>
      <c r="T108" s="15">
        <f>IF(OR(T107="",T96=""),"",IF(T96&lt;=0,"",IFERROR(T107/T96,"")))</f>
        <v/>
      </c>
      <c r="U108" s="15">
        <f>IF(OR(U107="",U96=""),"",IF(U96&lt;=0,"",IFERROR(U107/U96,"")))</f>
        <v/>
      </c>
      <c r="V108" s="15">
        <f>IF(OR(V107="",V96=""),"",IF(V96&lt;=0,"",IFERROR(V107/V96,"")))</f>
        <v/>
      </c>
      <c r="W108" s="15">
        <f>IF(OR(W107="",W96=""),"",IF(W96&lt;=0,"",IFERROR(W107/W96,"")))</f>
        <v/>
      </c>
      <c r="X108" s="15">
        <f>IF(OR(X107="",X96=""),"",IF(X96&lt;=0,"",IFERROR(X107/X96,"")))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금융수익</t>
        </is>
      </c>
      <c r="C110" s="20" t="n">
        <v>216</v>
      </c>
      <c r="D110" s="20" t="n">
        <v>281</v>
      </c>
      <c r="E110" s="20" t="n">
        <v>298</v>
      </c>
      <c r="F110" s="20" t="n">
        <v>286</v>
      </c>
      <c r="G110" s="20" t="n">
        <v>265</v>
      </c>
      <c r="H110" s="20" t="n">
        <v>321</v>
      </c>
      <c r="I110" s="20" t="n">
        <v>293</v>
      </c>
      <c r="J110" s="20" t="n">
        <v>223</v>
      </c>
      <c r="K110" s="20" t="n">
        <v>207</v>
      </c>
      <c r="L110" s="20" t="n">
        <v>274</v>
      </c>
      <c r="M110" s="20" t="n">
        <v>281</v>
      </c>
      <c r="N110" s="20" t="n">
        <v>458</v>
      </c>
      <c r="T110" s="20" t="n">
        <v>207</v>
      </c>
      <c r="U110" s="20" t="n">
        <v>140</v>
      </c>
      <c r="V110" s="20" t="n">
        <v>281</v>
      </c>
      <c r="W110" s="20" t="n">
        <v>321</v>
      </c>
      <c r="X110" s="20" t="n">
        <v>274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IF(OR(G110="",C110=""),"",IF(G110*C110&lt;=0,"",IFERROR(G110/C110-1,"")))</f>
        <v/>
      </c>
      <c r="H111" s="15">
        <f>IF(OR(H110="",D110=""),"",IF(H110*D110&lt;=0,"",IFERROR(H110/D110-1,"")))</f>
        <v/>
      </c>
      <c r="I111" s="15">
        <f>IF(OR(I110="",E110=""),"",IF(I110*E110&lt;=0,"",IFERROR(I110/E110-1,"")))</f>
        <v/>
      </c>
      <c r="J111" s="15">
        <f>IF(OR(J110="",F110=""),"",IF(J110*F110&lt;=0,"",IFERROR(J110/F110-1,"")))</f>
        <v/>
      </c>
      <c r="K111" s="15">
        <f>IF(OR(K110="",G110=""),"",IF(K110*G110&lt;=0,"",IFERROR(K110/G110-1,"")))</f>
        <v/>
      </c>
      <c r="L111" s="15">
        <f>IF(OR(L110="",H110=""),"",IF(L110*H110&lt;=0,"",IFERROR(L110/H110-1,"")))</f>
        <v/>
      </c>
      <c r="M111" s="15">
        <f>IF(OR(M110="",I110=""),"",IF(M110*I110&lt;=0,"",IFERROR(M110/I110-1,"")))</f>
        <v/>
      </c>
      <c r="N111" s="15">
        <f>IF(OR(N110="",J110=""),"",IF(N110*J110&lt;=0,"",IFERROR(N110/J110-1,"")))</f>
        <v/>
      </c>
      <c r="T111" s="15">
        <f>IF(OR(T110="",S110=""),"",IF(T110*S110&lt;=0,"",IFERROR(T110/S110-1,"")))</f>
        <v/>
      </c>
      <c r="U111" s="15">
        <f>IF(OR(U110="",T110=""),"",IF(U110*T110&lt;=0,"",IFERROR(U110/T110-1,"")))</f>
        <v/>
      </c>
      <c r="V111" s="15">
        <f>IF(OR(V110="",U110=""),"",IF(V110*U110&lt;=0,"",IFERROR(V110/U110-1,"")))</f>
        <v/>
      </c>
      <c r="W111" s="15">
        <f>IF(OR(W110="",V110=""),"",IF(W110*V110&lt;=0,"",IFERROR(W110/V110-1,"")))</f>
        <v/>
      </c>
      <c r="X111" s="15">
        <f>IF(OR(X110="",W110=""),"",IF(X110*W110&lt;=0,"",IFERROR(X110/W110-1,"")))</f>
        <v/>
      </c>
    </row>
    <row r="112">
      <c r="A112" s="18" t="inlineStr">
        <is>
          <t>금융비용</t>
        </is>
      </c>
      <c r="C112" s="20" t="n">
        <v>408</v>
      </c>
      <c r="D112" s="20" t="n">
        <v>369</v>
      </c>
      <c r="E112" s="20" t="n">
        <v>360</v>
      </c>
      <c r="F112" s="20" t="n">
        <v>337</v>
      </c>
      <c r="G112" s="20" t="n">
        <v>348</v>
      </c>
      <c r="H112" s="20" t="n">
        <v>397</v>
      </c>
      <c r="I112" s="20" t="n">
        <v>328</v>
      </c>
      <c r="J112" s="20" t="n">
        <v>333</v>
      </c>
      <c r="K112" s="20" t="n">
        <v>326</v>
      </c>
      <c r="L112" s="20" t="n">
        <v>460</v>
      </c>
      <c r="M112" s="20" t="n">
        <v>477</v>
      </c>
      <c r="N112" s="20" t="n">
        <v>427</v>
      </c>
      <c r="T112" s="20" t="n">
        <v>252</v>
      </c>
      <c r="U112" s="20" t="n">
        <v>280</v>
      </c>
      <c r="V112" s="20" t="n">
        <v>369</v>
      </c>
      <c r="W112" s="20" t="n">
        <v>397</v>
      </c>
      <c r="X112" s="20" t="n">
        <v>460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IF(OR(G112="",C112=""),"",IF(G112*C112&lt;=0,"",IFERROR(G112/C112-1,"")))</f>
        <v/>
      </c>
      <c r="H113" s="15">
        <f>IF(OR(H112="",D112=""),"",IF(H112*D112&lt;=0,"",IFERROR(H112/D112-1,"")))</f>
        <v/>
      </c>
      <c r="I113" s="15">
        <f>IF(OR(I112="",E112=""),"",IF(I112*E112&lt;=0,"",IFERROR(I112/E112-1,"")))</f>
        <v/>
      </c>
      <c r="J113" s="15">
        <f>IF(OR(J112="",F112=""),"",IF(J112*F112&lt;=0,"",IFERROR(J112/F112-1,"")))</f>
        <v/>
      </c>
      <c r="K113" s="15">
        <f>IF(OR(K112="",G112=""),"",IF(K112*G112&lt;=0,"",IFERROR(K112/G112-1,"")))</f>
        <v/>
      </c>
      <c r="L113" s="15">
        <f>IF(OR(L112="",H112=""),"",IF(L112*H112&lt;=0,"",IFERROR(L112/H112-1,"")))</f>
        <v/>
      </c>
      <c r="M113" s="15">
        <f>IF(OR(M112="",I112=""),"",IF(M112*I112&lt;=0,"",IFERROR(M112/I112-1,"")))</f>
        <v/>
      </c>
      <c r="N113" s="15">
        <f>IF(OR(N112="",J112=""),"",IF(N112*J112&lt;=0,"",IFERROR(N112/J112-1,"")))</f>
        <v/>
      </c>
      <c r="T113" s="15">
        <f>IF(OR(T112="",S112=""),"",IF(T112*S112&lt;=0,"",IFERROR(T112/S112-1,"")))</f>
        <v/>
      </c>
      <c r="U113" s="15">
        <f>IF(OR(U112="",T112=""),"",IF(U112*T112&lt;=0,"",IFERROR(U112/T112-1,"")))</f>
        <v/>
      </c>
      <c r="V113" s="15">
        <f>IF(OR(V112="",U112=""),"",IF(V112*U112&lt;=0,"",IFERROR(V112/U112-1,"")))</f>
        <v/>
      </c>
      <c r="W113" s="15">
        <f>IF(OR(W112="",V112=""),"",IF(W112*V112&lt;=0,"",IFERROR(W112/V112-1,"")))</f>
        <v/>
      </c>
      <c r="X113" s="15">
        <f>IF(OR(X112="",W112=""),"",IF(X112*W112&lt;=0,"",IFERROR(X112/W112-1,"")))</f>
        <v/>
      </c>
    </row>
    <row r="114">
      <c r="A114" s="18" t="inlineStr">
        <is>
          <t>지분법 투자손익(△ 손실)</t>
        </is>
      </c>
      <c r="C114" s="20" t="n">
        <v>209</v>
      </c>
      <c r="D114" s="20" t="n">
        <v>157</v>
      </c>
      <c r="E114" s="20" t="n">
        <v>989</v>
      </c>
      <c r="F114" s="20" t="n">
        <v>41</v>
      </c>
      <c r="G114" s="20" t="n">
        <v>659</v>
      </c>
      <c r="H114" s="20" t="n">
        <v>279</v>
      </c>
      <c r="I114" s="20" t="n">
        <v>569</v>
      </c>
      <c r="J114" s="20" t="n">
        <v>234</v>
      </c>
      <c r="K114" s="20" t="n">
        <v>613</v>
      </c>
      <c r="L114" s="20" t="n">
        <v>153</v>
      </c>
      <c r="M114" s="20" t="n">
        <v>493</v>
      </c>
      <c r="N114" s="20" t="n">
        <v>139</v>
      </c>
      <c r="T114" s="20" t="n">
        <v>53</v>
      </c>
      <c r="U114" s="20" t="n">
        <v>-171</v>
      </c>
      <c r="V114" s="20" t="n">
        <v>157</v>
      </c>
      <c r="W114" s="20" t="n">
        <v>279</v>
      </c>
      <c r="X114" s="20" t="n">
        <v>153</v>
      </c>
    </row>
    <row r="115">
      <c r="A115" s="9" t="inlineStr">
        <is>
          <t>법인세비용차감전 중간이익</t>
        </is>
      </c>
      <c r="C115" s="12" t="n">
        <v>5192</v>
      </c>
      <c r="D115" s="12" t="n">
        <v>3313</v>
      </c>
      <c r="E115" s="12" t="n">
        <v>6950</v>
      </c>
      <c r="F115" s="12" t="n">
        <v>7523</v>
      </c>
      <c r="G115" s="12" t="n">
        <v>3803</v>
      </c>
      <c r="H115" s="12" t="n">
        <v>5214</v>
      </c>
      <c r="I115" s="12" t="n">
        <v>4891</v>
      </c>
      <c r="J115" s="12" t="n">
        <v>5401</v>
      </c>
      <c r="K115" s="12" t="n">
        <v>5730</v>
      </c>
      <c r="L115" s="12" t="n">
        <v>5638</v>
      </c>
      <c r="M115" s="12" t="n">
        <v>1823</v>
      </c>
      <c r="N115" s="12" t="n">
        <v>10132</v>
      </c>
      <c r="T115" s="12" t="n">
        <v>5438</v>
      </c>
      <c r="U115" s="12" t="n">
        <v>1818</v>
      </c>
      <c r="V115" s="12" t="n">
        <v>3313</v>
      </c>
      <c r="W115" s="12" t="n">
        <v>5214</v>
      </c>
      <c r="X115" s="12" t="n">
        <v>5638</v>
      </c>
    </row>
    <row r="116">
      <c r="A116" s="18" t="inlineStr">
        <is>
          <t>법인소득세 비용</t>
        </is>
      </c>
      <c r="C116" s="20" t="n">
        <v>689</v>
      </c>
      <c r="D116" s="20" t="n">
        <v>991</v>
      </c>
      <c r="E116" s="20" t="n">
        <v>1146</v>
      </c>
      <c r="F116" s="20" t="n">
        <v>1717</v>
      </c>
      <c r="G116" s="20" t="n">
        <v>699</v>
      </c>
      <c r="H116" s="20" t="n">
        <v>-1096</v>
      </c>
      <c r="I116" s="20" t="n">
        <v>1325</v>
      </c>
      <c r="J116" s="20" t="n">
        <v>1232</v>
      </c>
      <c r="K116" s="20" t="n">
        <v>809</v>
      </c>
      <c r="L116" s="20" t="n">
        <v>1328</v>
      </c>
      <c r="M116" s="20" t="n">
        <v>793</v>
      </c>
      <c r="N116" s="20" t="n">
        <v>2775</v>
      </c>
      <c r="T116" s="20" t="n">
        <v>-16</v>
      </c>
      <c r="U116" s="20" t="n">
        <v>1002</v>
      </c>
      <c r="V116" s="20" t="n">
        <v>991</v>
      </c>
      <c r="W116" s="20" t="n">
        <v>-1096</v>
      </c>
      <c r="X116" s="20" t="n">
        <v>1328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IF(OR(G116="",C116=""),"",IF(G116*C116&lt;=0,"",IFERROR(G116/C116-1,"")))</f>
        <v/>
      </c>
      <c r="H117" s="15">
        <f>IF(OR(H116="",D116=""),"",IF(H116*D116&lt;=0,"",IFERROR(H116/D116-1,"")))</f>
        <v/>
      </c>
      <c r="I117" s="15">
        <f>IF(OR(I116="",E116=""),"",IF(I116*E116&lt;=0,"",IFERROR(I116/E116-1,"")))</f>
        <v/>
      </c>
      <c r="J117" s="15">
        <f>IF(OR(J116="",F116=""),"",IF(J116*F116&lt;=0,"",IFERROR(J116/F116-1,"")))</f>
        <v/>
      </c>
      <c r="K117" s="15">
        <f>IF(OR(K116="",G116=""),"",IF(K116*G116&lt;=0,"",IFERROR(K116/G116-1,"")))</f>
        <v/>
      </c>
      <c r="L117" s="15">
        <f>IF(OR(L116="",H116=""),"",IF(L116*H116&lt;=0,"",IFERROR(L116/H116-1,"")))</f>
        <v/>
      </c>
      <c r="M117" s="15">
        <f>IF(OR(M116="",I116=""),"",IF(M116*I116&lt;=0,"",IFERROR(M116/I116-1,"")))</f>
        <v/>
      </c>
      <c r="N117" s="15">
        <f>IF(OR(N116="",J116=""),"",IF(N116*J116&lt;=0,"",IFERROR(N116/J116-1,"")))</f>
        <v/>
      </c>
      <c r="T117" s="15">
        <f>IF(OR(T116="",S116=""),"",IF(T116*S116&lt;=0,"",IFERROR(T116/S116-1,"")))</f>
        <v/>
      </c>
      <c r="U117" s="15">
        <f>IF(OR(U116="",T116=""),"",IF(U116*T116&lt;=0,"",IFERROR(U116/T116-1,"")))</f>
        <v/>
      </c>
      <c r="V117" s="15">
        <f>IF(OR(V116="",U116=""),"",IF(V116*U116&lt;=0,"",IFERROR(V116/U116-1,"")))</f>
        <v/>
      </c>
      <c r="W117" s="15">
        <f>IF(OR(W116="",V116=""),"",IF(W116*V116&lt;=0,"",IFERROR(W116/V116-1,"")))</f>
        <v/>
      </c>
      <c r="X117" s="15">
        <f>IF(OR(X116="",W116=""),"",IF(X116*W116&lt;=0,"",IFERROR(X116/W116-1,"")))</f>
        <v/>
      </c>
    </row>
    <row r="118">
      <c r="A118" s="9" t="inlineStr">
        <is>
          <t>중간이익</t>
        </is>
      </c>
      <c r="C118" s="12" t="n">
        <v>4502</v>
      </c>
      <c r="D118" s="12" t="n">
        <v>2323</v>
      </c>
      <c r="E118" s="12" t="n">
        <v>5803</v>
      </c>
      <c r="F118" s="12" t="n">
        <v>5807</v>
      </c>
      <c r="G118" s="12" t="n">
        <v>3104</v>
      </c>
      <c r="H118" s="12" t="n">
        <v>6309</v>
      </c>
      <c r="I118" s="12" t="n">
        <v>3566</v>
      </c>
      <c r="J118" s="12" t="n">
        <v>4169</v>
      </c>
      <c r="K118" s="12" t="n">
        <v>4921</v>
      </c>
      <c r="L118" s="12" t="n">
        <v>4309</v>
      </c>
      <c r="M118" s="12" t="n">
        <v>1030</v>
      </c>
      <c r="N118" s="12" t="n">
        <v>7357</v>
      </c>
      <c r="T118" s="12" t="n">
        <v>5454</v>
      </c>
      <c r="U118" s="12" t="n">
        <v>815</v>
      </c>
      <c r="V118" s="12" t="n">
        <v>2323</v>
      </c>
      <c r="W118" s="12" t="n">
        <v>6309</v>
      </c>
      <c r="X118" s="12" t="n">
        <v>4309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18" t="inlineStr">
        <is>
          <t>기본 주당 중간이익</t>
        </is>
      </c>
      <c r="C120" s="20" t="n">
        <v>2.72e-05</v>
      </c>
      <c r="D120" s="20" t="n">
        <v>1.410000000000001e-05</v>
      </c>
      <c r="E120" s="20" t="n">
        <v>3.65e-05</v>
      </c>
      <c r="F120" s="20" t="n">
        <v>3.705e-05</v>
      </c>
      <c r="G120" s="20" t="n">
        <v>1.988000000000001e-05</v>
      </c>
      <c r="H120" s="20" t="n">
        <v>4.173999999999998e-05</v>
      </c>
      <c r="I120" s="20" t="n">
        <v>2.338e-05</v>
      </c>
      <c r="J120" s="20" t="n">
        <v>2.759e-05</v>
      </c>
      <c r="K120" s="20" t="n">
        <v>3.407e-05</v>
      </c>
      <c r="L120" s="20" t="n">
        <v>3.016999999999999e-05</v>
      </c>
      <c r="M120" s="20" t="n">
        <v>7e-06</v>
      </c>
      <c r="N120" s="20" t="n">
        <v>5.129e-05</v>
      </c>
      <c r="T120" s="20" t="n">
        <v>3.281e-05</v>
      </c>
      <c r="U120" s="20" t="n">
        <v>4.379999999999995e-06</v>
      </c>
      <c r="V120" s="20" t="n">
        <v>1.410000000000001e-05</v>
      </c>
      <c r="W120" s="20" t="n">
        <v>4.173999999999998e-05</v>
      </c>
      <c r="X120" s="20" t="n">
        <v>3.016999999999999e-05</v>
      </c>
    </row>
    <row r="121">
      <c r="A121" s="18" t="inlineStr">
        <is>
          <t>희석 주당 중간이익</t>
        </is>
      </c>
      <c r="C121" s="20" t="n">
        <v>2.702e-05</v>
      </c>
      <c r="D121" s="20" t="n">
        <v>1.396000000000001e-05</v>
      </c>
      <c r="E121" s="20" t="n">
        <v>3.624e-05</v>
      </c>
      <c r="F121" s="20" t="n">
        <v>3.677e-05</v>
      </c>
      <c r="G121" s="20" t="n">
        <v>1.969e-05</v>
      </c>
      <c r="H121" s="20" t="n">
        <v>4.136999999999999e-05</v>
      </c>
      <c r="I121" s="20" t="n">
        <v>2.319e-05</v>
      </c>
      <c r="J121" s="20" t="n">
        <v>2.765e-05</v>
      </c>
      <c r="K121" s="20" t="n">
        <v>3.321e-05</v>
      </c>
      <c r="L121" s="20" t="n">
        <v>2.757000000000001e-05</v>
      </c>
      <c r="M121" s="20" t="n">
        <v>6.8e-06</v>
      </c>
      <c r="N121" s="20" t="n">
        <v>4.65e-05</v>
      </c>
      <c r="T121" s="20" t="n">
        <v>3.278e-05</v>
      </c>
      <c r="U121" s="20" t="n">
        <v>4.349999999999994e-06</v>
      </c>
      <c r="V121" s="20" t="n">
        <v>1.396000000000001e-05</v>
      </c>
      <c r="W121" s="20" t="n">
        <v>4.136999999999999e-05</v>
      </c>
      <c r="X121" s="20" t="n">
        <v>2.757000000000001e-05</v>
      </c>
    </row>
    <row r="122">
      <c r="A122" s="9" t="inlineStr">
        <is>
          <t>지배기업 소유주</t>
        </is>
      </c>
      <c r="C122" s="12" t="n">
        <v>4172</v>
      </c>
      <c r="D122" s="12" t="n">
        <v>2094</v>
      </c>
      <c r="E122" s="12" t="n">
        <v>5503</v>
      </c>
      <c r="F122" s="12" t="n">
        <v>5590</v>
      </c>
      <c r="G122" s="12" t="n">
        <v>2977</v>
      </c>
      <c r="H122" s="12" t="n">
        <v>6206</v>
      </c>
      <c r="I122" s="12" t="n">
        <v>3446</v>
      </c>
      <c r="J122" s="12" t="n">
        <v>4054</v>
      </c>
      <c r="K122" s="12" t="n">
        <v>4969</v>
      </c>
      <c r="L122" s="12" t="n">
        <v>4318</v>
      </c>
      <c r="M122" s="12" t="n">
        <v>989</v>
      </c>
      <c r="N122" s="12" t="n">
        <v>7224</v>
      </c>
      <c r="T122" s="12" t="n">
        <v>5370</v>
      </c>
      <c r="U122" s="12" t="n">
        <v>716</v>
      </c>
      <c r="V122" s="12" t="n">
        <v>2094</v>
      </c>
      <c r="W122" s="12" t="n">
        <v>6206</v>
      </c>
      <c r="X122" s="12" t="n">
        <v>4318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IF(OR(G122="",C122=""),"",IF(C122&lt;=0,"",IFERROR(G122/C122-1,"")))</f>
        <v/>
      </c>
      <c r="H123" s="15">
        <f>IF(OR(H122="",D122=""),"",IF(D122&lt;=0,"",IFERROR(H122/D122-1,"")))</f>
        <v/>
      </c>
      <c r="I123" s="15">
        <f>IF(OR(I122="",E122=""),"",IF(E122&lt;=0,"",IFERROR(I122/E122-1,"")))</f>
        <v/>
      </c>
      <c r="J123" s="15">
        <f>IF(OR(J122="",F122=""),"",IF(F122&lt;=0,"",IFERROR(J122/F122-1,"")))</f>
        <v/>
      </c>
      <c r="K123" s="15">
        <f>IF(OR(K122="",G122=""),"",IF(G122&lt;=0,"",IFERROR(K122/G122-1,"")))</f>
        <v/>
      </c>
      <c r="L123" s="15">
        <f>IF(OR(L122="",H122=""),"",IF(H122&lt;=0,"",IFERROR(L122/H122-1,"")))</f>
        <v/>
      </c>
      <c r="M123" s="15">
        <f>IF(OR(M122="",I122=""),"",IF(I122&lt;=0,"",IFERROR(M122/I122-1,"")))</f>
        <v/>
      </c>
      <c r="N123" s="15">
        <f>IF(OR(N122="",J122=""),"",IF(J122&lt;=0,"",IFERROR(N122/J122-1,"")))</f>
        <v/>
      </c>
      <c r="T123" s="15">
        <f>IF(OR(T122="",S122=""),"",IF(S122&lt;=0,"",IFERROR(T122/S122-1,"")))</f>
        <v/>
      </c>
      <c r="U123" s="15">
        <f>IF(OR(U122="",T122=""),"",IF(T122&lt;=0,"",IFERROR(U122/T122-1,"")))</f>
        <v/>
      </c>
      <c r="V123" s="15">
        <f>IF(OR(V122="",U122=""),"",IF(U122&lt;=0,"",IFERROR(V122/U122-1,"")))</f>
        <v/>
      </c>
      <c r="W123" s="15">
        <f>IF(OR(W122="",V122=""),"",IF(V122&lt;=0,"",IFERROR(W122/V122-1,"")))</f>
        <v/>
      </c>
      <c r="X123" s="15">
        <f>IF(OR(X122="",W122=""),"",IF(W122&lt;=0,"",IFERROR(X122/W122-1,"")))</f>
        <v/>
      </c>
    </row>
    <row r="124">
      <c r="A124" s="9" t="inlineStr">
        <is>
          <t>비지배지분</t>
        </is>
      </c>
      <c r="C124" s="12" t="n">
        <v>329</v>
      </c>
      <c r="D124" s="12" t="n">
        <v>229</v>
      </c>
      <c r="E124" s="12" t="n">
        <v>300</v>
      </c>
      <c r="F124" s="12" t="n">
        <v>216</v>
      </c>
      <c r="G124" s="12" t="n">
        <v>128</v>
      </c>
      <c r="H124" s="12" t="n">
        <v>103</v>
      </c>
      <c r="I124" s="12" t="n">
        <v>120</v>
      </c>
      <c r="J124" s="12" t="n">
        <v>114</v>
      </c>
      <c r="K124" s="12" t="n">
        <v>-48</v>
      </c>
      <c r="L124" s="12" t="n">
        <v>-9</v>
      </c>
      <c r="M124" s="12" t="n">
        <v>40</v>
      </c>
      <c r="N124" s="12" t="n">
        <v>133</v>
      </c>
      <c r="T124" s="12" t="n">
        <v>85</v>
      </c>
      <c r="U124" s="12" t="n">
        <v>100</v>
      </c>
      <c r="V124" s="12" t="n">
        <v>229</v>
      </c>
      <c r="W124" s="12" t="n">
        <v>103</v>
      </c>
      <c r="X124" s="12" t="n">
        <v>-9</v>
      </c>
    </row>
    <row r="126">
      <c r="A126" s="16" t="inlineStr">
        <is>
          <t>포괄손익 · 전 항목</t>
        </is>
      </c>
      <c r="B126" s="42" t="inlineStr">
        <is>
          <t>분기 = 3개월 단독</t>
        </is>
      </c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2024.3Q</t>
        </is>
      </c>
      <c r="D127" s="5" t="inlineStr">
        <is>
          <t>2024.4Q</t>
        </is>
      </c>
      <c r="E127" s="5" t="inlineStr">
        <is>
          <t>2025.1Q</t>
        </is>
      </c>
      <c r="F127" s="5" t="inlineStr">
        <is>
          <t>2025.2Q</t>
        </is>
      </c>
      <c r="G127" s="5" t="inlineStr">
        <is>
          <t>2025.3Q</t>
        </is>
      </c>
      <c r="H127" s="5" t="inlineStr">
        <is>
          <t>2025.4Q</t>
        </is>
      </c>
      <c r="I127" s="5" t="inlineStr">
        <is>
          <t>2026.1Q</t>
        </is>
      </c>
      <c r="J127" s="5" t="inlineStr">
        <is>
          <t>2026.2Q</t>
        </is>
      </c>
      <c r="K127" s="5" t="inlineStr">
        <is>
          <t>2026.3Q</t>
        </is>
      </c>
      <c r="L127" s="5" t="inlineStr">
        <is>
          <t>2026.4Q</t>
        </is>
      </c>
      <c r="M127" s="5" t="inlineStr">
        <is>
          <t>2027.1Q</t>
        </is>
      </c>
      <c r="N127" s="5" t="inlineStr">
        <is>
          <t>2027.2Q</t>
        </is>
      </c>
      <c r="O127" s="5" t="inlineStr">
        <is>
          <t>2017</t>
        </is>
      </c>
      <c r="P127" s="5" t="inlineStr">
        <is>
          <t>2018</t>
        </is>
      </c>
      <c r="Q127" s="5" t="inlineStr">
        <is>
          <t>2019</t>
        </is>
      </c>
      <c r="R127" s="5" t="inlineStr">
        <is>
          <t>2020</t>
        </is>
      </c>
      <c r="S127" s="5" t="inlineStr">
        <is>
          <t>2021</t>
        </is>
      </c>
      <c r="T127" s="5" t="inlineStr">
        <is>
          <t>2022</t>
        </is>
      </c>
      <c r="U127" s="5" t="inlineStr">
        <is>
          <t>2023</t>
        </is>
      </c>
      <c r="V127" s="5" t="inlineStr">
        <is>
          <t>2024</t>
        </is>
      </c>
      <c r="W127" s="5" t="inlineStr">
        <is>
          <t>2025</t>
        </is>
      </c>
      <c r="X127" s="5" t="inlineStr">
        <is>
          <t>2026</t>
        </is>
      </c>
      <c r="Y127" s="5" t="inlineStr">
        <is>
          <t>2027(MW)</t>
        </is>
      </c>
      <c r="Z127" s="5" t="inlineStr">
        <is>
          <t>2028(MW)</t>
        </is>
      </c>
      <c r="AA127" s="5" t="inlineStr">
        <is>
          <t>2029(MW)</t>
        </is>
      </c>
      <c r="AB127" s="5" t="inlineStr">
        <is>
          <t>2030(MW)</t>
        </is>
      </c>
      <c r="AC127" s="5" t="inlineStr">
        <is>
          <t>2031(MW)</t>
        </is>
      </c>
    </row>
    <row r="128">
      <c r="A128" s="9" t="inlineStr">
        <is>
          <t>중간이익</t>
        </is>
      </c>
      <c r="C128" s="12" t="n">
        <v>4502</v>
      </c>
      <c r="D128" s="12" t="n">
        <v>2323</v>
      </c>
      <c r="E128" s="12" t="n">
        <v>5803</v>
      </c>
      <c r="F128" s="12" t="n">
        <v>5807</v>
      </c>
      <c r="G128" s="12" t="n">
        <v>3104</v>
      </c>
      <c r="H128" s="12" t="n">
        <v>6309</v>
      </c>
      <c r="I128" s="12" t="n">
        <v>3566</v>
      </c>
      <c r="J128" s="12" t="n">
        <v>4169</v>
      </c>
      <c r="K128" s="12" t="n">
        <v>4921</v>
      </c>
      <c r="L128" s="12" t="n">
        <v>4309</v>
      </c>
      <c r="M128" s="12" t="n">
        <v>1030</v>
      </c>
      <c r="N128" s="12" t="n">
        <v>7357</v>
      </c>
      <c r="T128" s="12" t="n">
        <v>5454</v>
      </c>
      <c r="U128" s="12" t="n">
        <v>815</v>
      </c>
      <c r="V128" s="12" t="n">
        <v>2323</v>
      </c>
      <c r="W128" s="12" t="n">
        <v>6309</v>
      </c>
      <c r="X128" s="12" t="n">
        <v>4309</v>
      </c>
    </row>
    <row r="129">
      <c r="A129" s="18" t="inlineStr">
        <is>
          <t>기타포괄손익-공정가치 측정 금융자산</t>
        </is>
      </c>
      <c r="C129" s="20" t="n">
        <v>89</v>
      </c>
      <c r="D129" s="20" t="n">
        <v>-21</v>
      </c>
      <c r="E129" s="20" t="n">
        <v>-252</v>
      </c>
      <c r="F129" s="20" t="n">
        <v>-174</v>
      </c>
      <c r="G129" s="20" t="n">
        <v>72</v>
      </c>
      <c r="H129" s="20" t="n">
        <v>157</v>
      </c>
      <c r="I129" s="20" t="n">
        <v>481</v>
      </c>
      <c r="J129" s="20" t="n">
        <v>395</v>
      </c>
      <c r="K129" s="20" t="n">
        <v>313</v>
      </c>
      <c r="L129" s="20" t="n">
        <v>148</v>
      </c>
      <c r="M129" s="20" t="n">
        <v>-409</v>
      </c>
      <c r="N129" s="20" t="n">
        <v>388</v>
      </c>
      <c r="T129" s="20" t="n">
        <v>-201</v>
      </c>
      <c r="U129" s="20" t="n">
        <v>-134</v>
      </c>
      <c r="V129" s="20" t="n">
        <v>-21</v>
      </c>
      <c r="W129" s="20" t="n">
        <v>157</v>
      </c>
      <c r="X129" s="20" t="n">
        <v>148</v>
      </c>
    </row>
    <row r="130">
      <c r="A130" s="18" t="inlineStr">
        <is>
          <t>Share Of Other Comprehensive Income Of Investments Accounted For Using Equity Method Net Of Tax Items That Will Not Be Reclassified To Profit Or Loss OCI</t>
        </is>
      </c>
      <c r="C130" s="20" t="n">
        <v>0</v>
      </c>
      <c r="D130" s="20" t="n">
        <v>0</v>
      </c>
      <c r="E130" s="20" t="n">
        <v>0</v>
      </c>
      <c r="F130" s="20" t="n">
        <v>0</v>
      </c>
      <c r="G130" s="20" t="n">
        <v>0</v>
      </c>
      <c r="H130" s="20" t="n">
        <v>0</v>
      </c>
      <c r="T130" s="20" t="n">
        <v>1</v>
      </c>
      <c r="U130" s="20" t="n">
        <v>-2</v>
      </c>
      <c r="V130" s="20" t="n">
        <v>0</v>
      </c>
      <c r="W130" s="20" t="n">
        <v>0</v>
      </c>
    </row>
    <row r="131">
      <c r="A131" s="18" t="inlineStr">
        <is>
          <t>당기손익으로 재분류되지 않는 항목 합계</t>
        </is>
      </c>
      <c r="C131" s="20" t="n">
        <v>89</v>
      </c>
      <c r="D131" s="20" t="n">
        <v>115</v>
      </c>
      <c r="E131" s="20" t="n">
        <v>-252</v>
      </c>
      <c r="F131" s="20" t="n">
        <v>-174</v>
      </c>
      <c r="G131" s="20" t="n">
        <v>72</v>
      </c>
      <c r="H131" s="20" t="n">
        <v>526</v>
      </c>
      <c r="I131" s="20" t="n">
        <v>481</v>
      </c>
      <c r="J131" s="20" t="n">
        <v>395</v>
      </c>
      <c r="K131" s="20" t="n">
        <v>313</v>
      </c>
      <c r="L131" s="20" t="n">
        <v>461</v>
      </c>
      <c r="M131" s="20" t="n">
        <v>-409</v>
      </c>
      <c r="N131" s="20" t="n">
        <v>388</v>
      </c>
      <c r="T131" s="20" t="n">
        <v>364</v>
      </c>
      <c r="U131" s="20" t="n">
        <v>106</v>
      </c>
      <c r="V131" s="20" t="n">
        <v>115</v>
      </c>
      <c r="W131" s="20" t="n">
        <v>526</v>
      </c>
      <c r="X131" s="20" t="n">
        <v>461</v>
      </c>
    </row>
    <row r="132">
      <c r="A132" s="18" t="inlineStr">
        <is>
          <t>Exchange Differences On Translation Of Foreign Operations Net Of Tax Items That May Be Reclassified To Profit Or Loss OCI</t>
        </is>
      </c>
      <c r="C132" s="20" t="n">
        <v>-3980</v>
      </c>
      <c r="D132" s="20" t="n">
        <v>5235</v>
      </c>
      <c r="E132" s="20" t="n">
        <v>6828</v>
      </c>
      <c r="F132" s="20" t="n">
        <v>-11182</v>
      </c>
      <c r="G132" s="20" t="n">
        <v>8292</v>
      </c>
      <c r="H132" s="20" t="n">
        <v>-5400</v>
      </c>
      <c r="I132" s="20" t="n">
        <v>-1074</v>
      </c>
      <c r="J132" s="20" t="n">
        <v>3082</v>
      </c>
      <c r="K132" s="20" t="n">
        <v>6169</v>
      </c>
      <c r="L132" s="20" t="n">
        <v>1998</v>
      </c>
      <c r="M132" s="20" t="n">
        <v>2220</v>
      </c>
      <c r="N132" s="20" t="n">
        <v>-4226</v>
      </c>
      <c r="T132" s="20" t="n">
        <v>5387</v>
      </c>
      <c r="U132" s="20" t="n">
        <v>1532</v>
      </c>
      <c r="V132" s="20" t="n">
        <v>5235</v>
      </c>
      <c r="W132" s="20" t="n">
        <v>-5400</v>
      </c>
      <c r="X132" s="20" t="n">
        <v>1998</v>
      </c>
    </row>
    <row r="133">
      <c r="A133" s="18" t="inlineStr">
        <is>
          <t>현금흐름 위험회피</t>
        </is>
      </c>
      <c r="C133" s="20" t="n">
        <v>-1604</v>
      </c>
      <c r="D133" s="20" t="n">
        <v>679</v>
      </c>
      <c r="E133" s="20" t="n">
        <v>-100</v>
      </c>
      <c r="F133" s="20" t="n">
        <v>-1242</v>
      </c>
      <c r="G133" s="20" t="n">
        <v>614</v>
      </c>
      <c r="H133" s="20" t="n">
        <v>-672</v>
      </c>
      <c r="I133" s="20" t="n">
        <v>-719</v>
      </c>
      <c r="J133" s="20" t="n">
        <v>486</v>
      </c>
      <c r="K133" s="20" t="n">
        <v>536</v>
      </c>
      <c r="L133" s="20" t="n">
        <v>409</v>
      </c>
      <c r="M133" s="20" t="n">
        <v>640</v>
      </c>
      <c r="N133" s="20" t="n">
        <v>-931</v>
      </c>
      <c r="T133" s="20" t="n">
        <v>1135</v>
      </c>
      <c r="U133" s="20" t="n">
        <v>-725</v>
      </c>
      <c r="V133" s="20" t="n">
        <v>679</v>
      </c>
      <c r="W133" s="20" t="n">
        <v>-672</v>
      </c>
      <c r="X133" s="20" t="n">
        <v>409</v>
      </c>
    </row>
    <row r="134">
      <c r="A134" s="18" t="inlineStr">
        <is>
          <t>Share Of Other Comprehensive Income Of Investments Accounted For Using Equity Method Net Of Tax Items That May Be Reclassified To Profit Or Loss OCI</t>
        </is>
      </c>
      <c r="C134" s="20" t="n">
        <v>111</v>
      </c>
      <c r="D134" s="20" t="n">
        <v>-2</v>
      </c>
      <c r="E134" s="20" t="n">
        <v>500</v>
      </c>
      <c r="F134" s="20" t="n">
        <v>-445</v>
      </c>
      <c r="G134" s="20" t="n">
        <v>-200</v>
      </c>
      <c r="H134" s="20" t="n">
        <v>-366</v>
      </c>
      <c r="I134" s="20" t="n">
        <v>240</v>
      </c>
      <c r="J134" s="20" t="n">
        <v>-113</v>
      </c>
      <c r="K134" s="20" t="n">
        <v>446</v>
      </c>
      <c r="L134" s="20" t="n">
        <v>179</v>
      </c>
      <c r="M134" s="20" t="n">
        <v>57</v>
      </c>
      <c r="N134" s="20" t="n">
        <v>-308</v>
      </c>
      <c r="T134" s="20" t="n">
        <v>275</v>
      </c>
      <c r="U134" s="20" t="n">
        <v>-15</v>
      </c>
      <c r="V134" s="20" t="n">
        <v>-2</v>
      </c>
      <c r="W134" s="20" t="n">
        <v>-366</v>
      </c>
      <c r="X134" s="20" t="n">
        <v>179</v>
      </c>
    </row>
    <row r="135">
      <c r="A135" s="18" t="inlineStr">
        <is>
          <t>당기손익으로 재분류될 수 있는 항목 합계</t>
        </is>
      </c>
      <c r="C135" s="20" t="n">
        <v>-5474</v>
      </c>
      <c r="D135" s="20" t="n">
        <v>5913</v>
      </c>
      <c r="E135" s="20" t="n">
        <v>7228</v>
      </c>
      <c r="F135" s="20" t="n">
        <v>-12869</v>
      </c>
      <c r="G135" s="20" t="n">
        <v>8706</v>
      </c>
      <c r="H135" s="20" t="n">
        <v>-6439</v>
      </c>
      <c r="I135" s="20" t="n">
        <v>-1552</v>
      </c>
      <c r="J135" s="20" t="n">
        <v>3454</v>
      </c>
      <c r="K135" s="20" t="n">
        <v>7153</v>
      </c>
      <c r="L135" s="20" t="n">
        <v>2586</v>
      </c>
      <c r="M135" s="20" t="n">
        <v>2917</v>
      </c>
      <c r="N135" s="20" t="n">
        <v>-5467</v>
      </c>
      <c r="T135" s="20" t="n">
        <v>6796</v>
      </c>
      <c r="U135" s="20" t="n">
        <v>791</v>
      </c>
      <c r="V135" s="20" t="n">
        <v>5913</v>
      </c>
      <c r="W135" s="20" t="n">
        <v>-6439</v>
      </c>
      <c r="X135" s="20" t="n">
        <v>2586</v>
      </c>
    </row>
    <row r="136">
      <c r="A136" s="18" t="inlineStr">
        <is>
          <t>기타포괄손익 합계</t>
        </is>
      </c>
      <c r="C136" s="20" t="n">
        <v>-5385</v>
      </c>
      <c r="D136" s="20" t="n">
        <v>6029</v>
      </c>
      <c r="E136" s="20" t="n">
        <v>6975</v>
      </c>
      <c r="F136" s="20" t="n">
        <v>-13042</v>
      </c>
      <c r="G136" s="20" t="n">
        <v>8778</v>
      </c>
      <c r="H136" s="20" t="n">
        <v>-5912</v>
      </c>
      <c r="I136" s="20" t="n">
        <v>-1071</v>
      </c>
      <c r="J136" s="20" t="n">
        <v>3850</v>
      </c>
      <c r="K136" s="20" t="n">
        <v>7466</v>
      </c>
      <c r="L136" s="20" t="n">
        <v>3047</v>
      </c>
      <c r="M136" s="20" t="n">
        <v>2507</v>
      </c>
      <c r="N136" s="20" t="n">
        <v>-5078</v>
      </c>
      <c r="T136" s="20" t="n">
        <v>7161</v>
      </c>
      <c r="U136" s="20" t="n">
        <v>898</v>
      </c>
      <c r="V136" s="20" t="n">
        <v>6029</v>
      </c>
      <c r="W136" s="20" t="n">
        <v>-5912</v>
      </c>
      <c r="X136" s="20" t="n">
        <v>3047</v>
      </c>
    </row>
    <row r="137">
      <c r="A137" s="9" t="inlineStr">
        <is>
          <t>포괄이익</t>
        </is>
      </c>
      <c r="C137" s="12" t="n">
        <v>-883</v>
      </c>
      <c r="D137" s="12" t="n">
        <v>8352</v>
      </c>
      <c r="E137" s="12" t="n">
        <v>12779</v>
      </c>
      <c r="F137" s="12" t="n">
        <v>-7237</v>
      </c>
      <c r="G137" s="12" t="n">
        <v>11883</v>
      </c>
      <c r="H137" s="12" t="n">
        <v>397</v>
      </c>
      <c r="I137" s="12" t="n">
        <v>2495</v>
      </c>
      <c r="J137" s="12" t="n">
        <v>8019</v>
      </c>
      <c r="K137" s="12" t="n">
        <v>12387</v>
      </c>
      <c r="L137" s="12" t="n">
        <v>7356</v>
      </c>
      <c r="M137" s="12" t="n">
        <v>3538</v>
      </c>
      <c r="N137" s="12" t="n">
        <v>2277</v>
      </c>
      <c r="T137" s="12" t="n">
        <v>12615</v>
      </c>
      <c r="U137" s="12" t="n">
        <v>1713</v>
      </c>
      <c r="V137" s="12" t="n">
        <v>8352</v>
      </c>
      <c r="W137" s="12" t="n">
        <v>397</v>
      </c>
      <c r="X137" s="12" t="n">
        <v>7356</v>
      </c>
    </row>
    <row r="138">
      <c r="A138" s="9" t="inlineStr">
        <is>
          <t>지배기업 소유주</t>
        </is>
      </c>
      <c r="C138" s="12" t="n">
        <v>-919</v>
      </c>
      <c r="D138" s="12" t="n">
        <v>7718</v>
      </c>
      <c r="E138" s="12" t="n">
        <v>12065</v>
      </c>
      <c r="F138" s="12" t="n">
        <v>-6678</v>
      </c>
      <c r="G138" s="12" t="n">
        <v>11141</v>
      </c>
      <c r="H138" s="12" t="n">
        <v>652</v>
      </c>
      <c r="I138" s="12" t="n">
        <v>2563</v>
      </c>
      <c r="J138" s="12" t="n">
        <v>7767</v>
      </c>
      <c r="K138" s="12" t="n">
        <v>12110</v>
      </c>
      <c r="L138" s="12" t="n">
        <v>7216</v>
      </c>
      <c r="M138" s="12" t="n">
        <v>3379</v>
      </c>
      <c r="N138" s="12" t="n">
        <v>2311</v>
      </c>
      <c r="T138" s="12" t="n">
        <v>12252</v>
      </c>
      <c r="U138" s="12" t="n">
        <v>1568</v>
      </c>
      <c r="V138" s="12" t="n">
        <v>7718</v>
      </c>
      <c r="W138" s="12" t="n">
        <v>652</v>
      </c>
      <c r="X138" s="12" t="n">
        <v>7216</v>
      </c>
    </row>
    <row r="139">
      <c r="A139" s="9" t="inlineStr">
        <is>
          <t>비지배지분</t>
        </is>
      </c>
      <c r="C139" s="12" t="n">
        <v>36</v>
      </c>
      <c r="D139" s="12" t="n">
        <v>634</v>
      </c>
      <c r="E139" s="12" t="n">
        <v>714</v>
      </c>
      <c r="F139" s="12" t="n">
        <v>-559</v>
      </c>
      <c r="G139" s="12" t="n">
        <v>742</v>
      </c>
      <c r="H139" s="12" t="n">
        <v>-256</v>
      </c>
      <c r="I139" s="12" t="n">
        <v>-68</v>
      </c>
      <c r="J139" s="12" t="n">
        <v>252</v>
      </c>
      <c r="K139" s="12" t="n">
        <v>276</v>
      </c>
      <c r="L139" s="12" t="n">
        <v>140</v>
      </c>
      <c r="M139" s="12" t="n">
        <v>159</v>
      </c>
      <c r="N139" s="12" t="n">
        <v>-34</v>
      </c>
      <c r="T139" s="12" t="n">
        <v>363</v>
      </c>
      <c r="U139" s="12" t="n">
        <v>146</v>
      </c>
      <c r="V139" s="12" t="n">
        <v>634</v>
      </c>
      <c r="W139" s="12" t="n">
        <v>-256</v>
      </c>
      <c r="X139" s="12" t="n">
        <v>140</v>
      </c>
    </row>
    <row r="141">
      <c r="A141" s="16" t="inlineStr">
        <is>
          <t>부문 · 전 항목</t>
        </is>
      </c>
      <c r="B141" s="42" t="inlineStr">
        <is>
          <t>부문 · 항목</t>
        </is>
      </c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</row>
    <row r="142">
      <c r="A142" s="5" t="inlineStr">
        <is>
          <t>항목</t>
        </is>
      </c>
      <c r="B142" s="5" t="inlineStr">
        <is>
          <t>참고</t>
        </is>
      </c>
      <c r="C142" s="5" t="inlineStr">
        <is>
          <t>2024.3Q</t>
        </is>
      </c>
      <c r="D142" s="5" t="inlineStr">
        <is>
          <t>2024.4Q</t>
        </is>
      </c>
      <c r="E142" s="5" t="inlineStr">
        <is>
          <t>2025.1Q</t>
        </is>
      </c>
      <c r="F142" s="5" t="inlineStr">
        <is>
          <t>2025.2Q</t>
        </is>
      </c>
      <c r="G142" s="5" t="inlineStr">
        <is>
          <t>2025.3Q</t>
        </is>
      </c>
      <c r="H142" s="5" t="inlineStr">
        <is>
          <t>2025.4Q</t>
        </is>
      </c>
      <c r="I142" s="5" t="inlineStr">
        <is>
          <t>2026.1Q</t>
        </is>
      </c>
      <c r="J142" s="5" t="inlineStr">
        <is>
          <t>2026.2Q</t>
        </is>
      </c>
      <c r="K142" s="5" t="inlineStr">
        <is>
          <t>2026.3Q</t>
        </is>
      </c>
      <c r="L142" s="5" t="inlineStr">
        <is>
          <t>2026.4Q</t>
        </is>
      </c>
      <c r="M142" s="5" t="inlineStr">
        <is>
          <t>2027.1Q</t>
        </is>
      </c>
      <c r="N142" s="5" t="inlineStr">
        <is>
          <t>2027.2Q</t>
        </is>
      </c>
      <c r="O142" s="5" t="inlineStr">
        <is>
          <t>2017</t>
        </is>
      </c>
      <c r="P142" s="5" t="inlineStr">
        <is>
          <t>2018</t>
        </is>
      </c>
      <c r="Q142" s="5" t="inlineStr">
        <is>
          <t>2019</t>
        </is>
      </c>
      <c r="R142" s="5" t="inlineStr">
        <is>
          <t>2020</t>
        </is>
      </c>
      <c r="S142" s="5" t="inlineStr">
        <is>
          <t>2021</t>
        </is>
      </c>
      <c r="T142" s="5" t="inlineStr">
        <is>
          <t>2022</t>
        </is>
      </c>
      <c r="U142" s="5" t="inlineStr">
        <is>
          <t>2023</t>
        </is>
      </c>
      <c r="V142" s="5" t="inlineStr">
        <is>
          <t>2024</t>
        </is>
      </c>
      <c r="W142" s="5" t="inlineStr">
        <is>
          <t>2025</t>
        </is>
      </c>
      <c r="X142" s="5" t="inlineStr">
        <is>
          <t>2026</t>
        </is>
      </c>
      <c r="Y142" s="5" t="inlineStr">
        <is>
          <t>2027(MW)</t>
        </is>
      </c>
      <c r="Z142" s="5" t="inlineStr">
        <is>
          <t>2028(MW)</t>
        </is>
      </c>
      <c r="AA142" s="5" t="inlineStr">
        <is>
          <t>2029(MW)</t>
        </is>
      </c>
      <c r="AB142" s="5" t="inlineStr">
        <is>
          <t>2030(MW)</t>
        </is>
      </c>
      <c r="AC142" s="5" t="inlineStr">
        <is>
          <t>2031(MW)</t>
        </is>
      </c>
    </row>
    <row r="143">
      <c r="A143" s="18" t="inlineStr">
        <is>
          <t>부문 · 외부 고객 매출</t>
        </is>
      </c>
      <c r="C143" s="20" t="n">
        <v>24301</v>
      </c>
      <c r="D143" s="20" t="n">
        <v>23855</v>
      </c>
      <c r="E143" s="20" t="n">
        <v>24238</v>
      </c>
      <c r="F143" s="20" t="n">
        <v>24348</v>
      </c>
      <c r="G143" s="20" t="n">
        <v>24487</v>
      </c>
      <c r="H143" s="20" t="n">
        <v>26935</v>
      </c>
      <c r="I143" s="20" t="n">
        <v>18279</v>
      </c>
      <c r="J143" s="20" t="n">
        <v>25446</v>
      </c>
      <c r="K143" s="20" t="n">
        <v>23141</v>
      </c>
      <c r="L143" s="20" t="n">
        <v>27829</v>
      </c>
      <c r="M143" s="20" t="n">
        <v>18488</v>
      </c>
      <c r="N143" s="20" t="n">
        <v>21900</v>
      </c>
      <c r="V143" s="20" t="n">
        <v>23855</v>
      </c>
      <c r="W143" s="20" t="n">
        <v>26935</v>
      </c>
      <c r="X143" s="20" t="n">
        <v>27829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부문 · 외부 고객 매출</t>
        </is>
      </c>
      <c r="C145" s="20" t="n">
        <v>50920</v>
      </c>
      <c r="E145" s="20" t="n">
        <v>47939</v>
      </c>
      <c r="F145" s="20" t="n">
        <v>48770</v>
      </c>
      <c r="G145" s="20" t="n">
        <v>52090</v>
      </c>
      <c r="I145" s="20" t="n">
        <v>46580</v>
      </c>
      <c r="J145" s="20" t="n">
        <v>48852</v>
      </c>
      <c r="K145" s="20" t="n">
        <v>49006</v>
      </c>
      <c r="M145" s="20" t="n">
        <v>53468</v>
      </c>
      <c r="N145" s="20" t="n">
        <v>54134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</row>
    <row r="147">
      <c r="A147" s="18" t="inlineStr">
        <is>
          <t xml:space="preserve">  · 외부 고객 매출</t>
        </is>
      </c>
      <c r="C147" s="20" t="n">
        <v>14986</v>
      </c>
      <c r="D147" s="20" t="n">
        <v>13983</v>
      </c>
      <c r="E147" s="20" t="n">
        <v>13440</v>
      </c>
      <c r="F147" s="20" t="n">
        <v>13191</v>
      </c>
      <c r="G147" s="20" t="n">
        <v>14822</v>
      </c>
      <c r="H147" s="20" t="n">
        <v>16483</v>
      </c>
      <c r="I147" s="20" t="n">
        <v>13234</v>
      </c>
      <c r="J147" s="20" t="n">
        <v>12632</v>
      </c>
      <c r="K147" s="20" t="n">
        <v>14300</v>
      </c>
      <c r="L147" s="20" t="n">
        <v>16653</v>
      </c>
      <c r="M147" s="20" t="n">
        <v>14446</v>
      </c>
      <c r="N147" s="20" t="n">
        <v>16806</v>
      </c>
      <c r="V147" s="20" t="n">
        <v>13983</v>
      </c>
      <c r="W147" s="20" t="n">
        <v>16483</v>
      </c>
      <c r="X147" s="20" t="n">
        <v>16653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보고부문 합계 · 외부 고객 매출</t>
        </is>
      </c>
      <c r="C149" s="20" t="n">
        <v>90207</v>
      </c>
      <c r="D149" s="20" t="n">
        <v>88474</v>
      </c>
      <c r="E149" s="20" t="n">
        <v>85619</v>
      </c>
      <c r="F149" s="20" t="n">
        <v>86308</v>
      </c>
      <c r="G149" s="20" t="n">
        <v>91399</v>
      </c>
      <c r="H149" s="20" t="n">
        <v>97862</v>
      </c>
      <c r="I149" s="20" t="n">
        <v>78093</v>
      </c>
      <c r="J149" s="20" t="n">
        <v>86931</v>
      </c>
      <c r="K149" s="20" t="n">
        <v>86447</v>
      </c>
      <c r="L149" s="20" t="n">
        <v>95791</v>
      </c>
      <c r="M149" s="20" t="n">
        <v>86404</v>
      </c>
      <c r="N149" s="20" t="n">
        <v>92839</v>
      </c>
      <c r="V149" s="20" t="n">
        <v>88474</v>
      </c>
      <c r="W149" s="20" t="n">
        <v>97862</v>
      </c>
      <c r="X149" s="20" t="n">
        <v>95791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기타 · 외부 고객 매출</t>
        </is>
      </c>
      <c r="C151" s="20" t="n">
        <v>2346</v>
      </c>
      <c r="D151" s="20" t="n">
        <v>3728</v>
      </c>
      <c r="E151" s="20" t="n">
        <v>2150</v>
      </c>
      <c r="F151" s="20" t="n">
        <v>2496</v>
      </c>
      <c r="G151" s="20" t="n">
        <v>2502</v>
      </c>
      <c r="H151" s="20" t="n">
        <v>1972</v>
      </c>
      <c r="I151" s="20" t="n">
        <v>2103</v>
      </c>
      <c r="J151" s="20" t="n">
        <v>2194</v>
      </c>
      <c r="K151" s="20" t="n">
        <v>2858</v>
      </c>
      <c r="L151" s="20" t="n">
        <v>2447</v>
      </c>
      <c r="M151" s="20" t="n">
        <v>2395</v>
      </c>
      <c r="N151" s="20" t="n">
        <v>2139</v>
      </c>
      <c r="V151" s="20" t="n">
        <v>3728</v>
      </c>
      <c r="W151" s="20" t="n">
        <v>1972</v>
      </c>
      <c r="X151" s="20" t="n">
        <v>2447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합계 · 외부 고객 매출</t>
        </is>
      </c>
      <c r="C153" s="20" t="n">
        <v>92554</v>
      </c>
      <c r="D153" s="20" t="n">
        <v>92201</v>
      </c>
      <c r="E153" s="20" t="n">
        <v>87769</v>
      </c>
      <c r="F153" s="20" t="n">
        <v>88805</v>
      </c>
      <c r="G153" s="20" t="n">
        <v>93900</v>
      </c>
      <c r="H153" s="20" t="n">
        <v>99834</v>
      </c>
      <c r="I153" s="20" t="n">
        <v>80197</v>
      </c>
      <c r="J153" s="20" t="n">
        <v>89124</v>
      </c>
      <c r="K153" s="20" t="n">
        <v>89306</v>
      </c>
      <c r="L153" s="20" t="n">
        <v>98238</v>
      </c>
      <c r="M153" s="20" t="n">
        <v>88799</v>
      </c>
      <c r="N153" s="20" t="n">
        <v>94979</v>
      </c>
      <c r="V153" s="20" t="n">
        <v>92201</v>
      </c>
      <c r="W153" s="20" t="n">
        <v>99834</v>
      </c>
      <c r="X153" s="20" t="n">
        <v>98238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조정액 · 외부 고객 매출</t>
        </is>
      </c>
      <c r="C155" s="20" t="n">
        <v>0</v>
      </c>
      <c r="D155" s="20" t="n">
        <v>0</v>
      </c>
      <c r="E155" s="20" t="n">
        <v>0</v>
      </c>
      <c r="F155" s="20" t="n">
        <v>0</v>
      </c>
      <c r="G155" s="20" t="n">
        <v>0</v>
      </c>
      <c r="H155" s="20" t="n">
        <v>0</v>
      </c>
      <c r="I155" s="20" t="n">
        <v>0</v>
      </c>
      <c r="J155" s="20" t="n">
        <v>0</v>
      </c>
      <c r="K155" s="20" t="n">
        <v>0</v>
      </c>
      <c r="L155" s="20" t="n">
        <v>0</v>
      </c>
      <c r="M155" s="20" t="n">
        <v>0</v>
      </c>
      <c r="N155" s="20" t="n">
        <v>0</v>
      </c>
      <c r="V155" s="20" t="n">
        <v>0</v>
      </c>
      <c r="W155" s="20" t="n">
        <v>0</v>
      </c>
      <c r="X155" s="20" t="n">
        <v>0</v>
      </c>
    </row>
    <row r="156">
      <c r="A156" s="9" t="inlineStr">
        <is>
          <t>외부 고객 매출</t>
        </is>
      </c>
      <c r="C156" s="12" t="n">
        <v>92554</v>
      </c>
      <c r="D156" s="12" t="n">
        <v>92201</v>
      </c>
      <c r="E156" s="12" t="n">
        <v>87769</v>
      </c>
      <c r="F156" s="12" t="n">
        <v>88805</v>
      </c>
      <c r="G156" s="12" t="n">
        <v>93900</v>
      </c>
      <c r="H156" s="12" t="n">
        <v>99834</v>
      </c>
      <c r="I156" s="12" t="n">
        <v>80197</v>
      </c>
      <c r="J156" s="12" t="n">
        <v>89124</v>
      </c>
      <c r="K156" s="12" t="n">
        <v>89306</v>
      </c>
      <c r="L156" s="12" t="n">
        <v>98238</v>
      </c>
      <c r="M156" s="12" t="n">
        <v>88799</v>
      </c>
      <c r="N156" s="12" t="n">
        <v>94979</v>
      </c>
      <c r="V156" s="12" t="n">
        <v>92201</v>
      </c>
      <c r="W156" s="12" t="n">
        <v>99834</v>
      </c>
      <c r="X156" s="12" t="n">
        <v>98238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부문 · Intersegment Revenue</t>
        </is>
      </c>
      <c r="C158" s="20" t="n">
        <v>0</v>
      </c>
      <c r="D158" s="20" t="n">
        <v>0</v>
      </c>
      <c r="E158" s="20" t="n">
        <v>0</v>
      </c>
      <c r="F158" s="20" t="n">
        <v>0</v>
      </c>
      <c r="G158" s="20" t="n">
        <v>0</v>
      </c>
      <c r="H158" s="20" t="n">
        <v>0</v>
      </c>
      <c r="I158" s="20" t="n">
        <v>0</v>
      </c>
      <c r="J158" s="20" t="n">
        <v>0</v>
      </c>
      <c r="K158" s="20" t="n">
        <v>0</v>
      </c>
      <c r="L158" s="20" t="n">
        <v>0</v>
      </c>
      <c r="M158" s="20" t="n">
        <v>0</v>
      </c>
      <c r="N158" s="20" t="n">
        <v>0</v>
      </c>
      <c r="V158" s="20" t="n">
        <v>0</v>
      </c>
      <c r="W158" s="20" t="n">
        <v>0</v>
      </c>
      <c r="X158" s="20" t="n">
        <v>0</v>
      </c>
    </row>
    <row r="159">
      <c r="A159" s="18" t="inlineStr">
        <is>
          <t>부문 · Intersegment Revenue</t>
        </is>
      </c>
      <c r="C159" s="20" t="n">
        <v>0</v>
      </c>
      <c r="E159" s="20" t="n">
        <v>0</v>
      </c>
      <c r="F159" s="20" t="n">
        <v>0</v>
      </c>
      <c r="G159" s="20" t="n">
        <v>0</v>
      </c>
      <c r="I159" s="20" t="n">
        <v>0</v>
      </c>
      <c r="J159" s="20" t="n">
        <v>0</v>
      </c>
      <c r="K159" s="20" t="n">
        <v>0</v>
      </c>
      <c r="M159" s="20" t="n">
        <v>0</v>
      </c>
      <c r="N159" s="20" t="n">
        <v>0</v>
      </c>
    </row>
    <row r="160">
      <c r="A160" s="18" t="inlineStr">
        <is>
          <t xml:space="preserve">  · Intersegment Revenue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0</v>
      </c>
      <c r="V160" s="20" t="n">
        <v>0</v>
      </c>
      <c r="W160" s="20" t="n">
        <v>0</v>
      </c>
      <c r="X160" s="20" t="n">
        <v>0</v>
      </c>
    </row>
    <row r="161">
      <c r="A161" s="18" t="inlineStr">
        <is>
          <t>보고부문 합계 · Intersegment Revenue</t>
        </is>
      </c>
      <c r="C161" s="20" t="n">
        <v>0</v>
      </c>
      <c r="D161" s="20" t="n">
        <v>0</v>
      </c>
      <c r="E161" s="20" t="n">
        <v>0</v>
      </c>
      <c r="F161" s="20" t="n">
        <v>0</v>
      </c>
      <c r="G161" s="20" t="n">
        <v>0</v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V161" s="20" t="n">
        <v>0</v>
      </c>
      <c r="W161" s="20" t="n">
        <v>0</v>
      </c>
      <c r="X161" s="20" t="n">
        <v>0</v>
      </c>
    </row>
    <row r="162">
      <c r="A162" s="18" t="inlineStr">
        <is>
          <t>기타 · Intersegment Revenue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0</v>
      </c>
      <c r="L162" s="20" t="n">
        <v>0</v>
      </c>
      <c r="M162" s="20" t="n">
        <v>0</v>
      </c>
      <c r="N162" s="20" t="n">
        <v>0</v>
      </c>
      <c r="V162" s="20" t="n">
        <v>0</v>
      </c>
      <c r="W162" s="20" t="n">
        <v>0</v>
      </c>
      <c r="X162" s="20" t="n">
        <v>0</v>
      </c>
    </row>
    <row r="163">
      <c r="A163" s="18" t="inlineStr">
        <is>
          <t>합계 · Intersegment Revenue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18" t="inlineStr">
        <is>
          <t>조정액 · Intersegment Revenue</t>
        </is>
      </c>
      <c r="C164" s="20" t="n">
        <v>0</v>
      </c>
      <c r="D164" s="20" t="n">
        <v>0</v>
      </c>
      <c r="E164" s="20" t="n">
        <v>0</v>
      </c>
      <c r="F164" s="20" t="n">
        <v>0</v>
      </c>
      <c r="G164" s="20" t="n">
        <v>0</v>
      </c>
      <c r="H164" s="20" t="n">
        <v>0</v>
      </c>
      <c r="I164" s="20" t="n">
        <v>0</v>
      </c>
      <c r="J164" s="20" t="n">
        <v>0</v>
      </c>
      <c r="K164" s="20" t="n">
        <v>0</v>
      </c>
      <c r="L164" s="20" t="n">
        <v>0</v>
      </c>
      <c r="M164" s="20" t="n">
        <v>0</v>
      </c>
      <c r="N164" s="20" t="n">
        <v>0</v>
      </c>
      <c r="V164" s="20" t="n">
        <v>0</v>
      </c>
      <c r="W164" s="20" t="n">
        <v>0</v>
      </c>
      <c r="X164" s="20" t="n">
        <v>0</v>
      </c>
    </row>
    <row r="165">
      <c r="A165" s="18" t="inlineStr">
        <is>
          <t>Intersegment Revenue</t>
        </is>
      </c>
      <c r="C165" s="20" t="n">
        <v>0</v>
      </c>
      <c r="D165" s="20" t="n">
        <v>0</v>
      </c>
      <c r="E165" s="20" t="n">
        <v>0</v>
      </c>
      <c r="F165" s="20" t="n">
        <v>0</v>
      </c>
      <c r="G165" s="20" t="n">
        <v>0</v>
      </c>
      <c r="H165" s="20" t="n">
        <v>0</v>
      </c>
      <c r="I165" s="20" t="n">
        <v>0</v>
      </c>
      <c r="J165" s="20" t="n">
        <v>0</v>
      </c>
      <c r="K165" s="20" t="n">
        <v>0</v>
      </c>
      <c r="L165" s="20" t="n">
        <v>0</v>
      </c>
      <c r="M165" s="20" t="n">
        <v>0</v>
      </c>
      <c r="N165" s="20" t="n">
        <v>0</v>
      </c>
      <c r="V165" s="20" t="n">
        <v>0</v>
      </c>
      <c r="W165" s="20" t="n">
        <v>0</v>
      </c>
      <c r="X165" s="20" t="n">
        <v>0</v>
      </c>
    </row>
    <row r="166">
      <c r="A166" s="18" t="inlineStr">
        <is>
          <t>부문 · 계</t>
        </is>
      </c>
      <c r="C166" s="20" t="n">
        <v>24301</v>
      </c>
      <c r="D166" s="20" t="n">
        <v>23855</v>
      </c>
      <c r="E166" s="20" t="n">
        <v>24238</v>
      </c>
      <c r="F166" s="20" t="n">
        <v>24348</v>
      </c>
      <c r="G166" s="20" t="n">
        <v>24487</v>
      </c>
      <c r="H166" s="20" t="n">
        <v>26935</v>
      </c>
      <c r="I166" s="20" t="n">
        <v>18279</v>
      </c>
      <c r="J166" s="20" t="n">
        <v>25446</v>
      </c>
      <c r="K166" s="20" t="n">
        <v>23141</v>
      </c>
      <c r="L166" s="20" t="n">
        <v>27829</v>
      </c>
      <c r="M166" s="20" t="n">
        <v>18488</v>
      </c>
      <c r="N166" s="20" t="n">
        <v>21900</v>
      </c>
      <c r="V166" s="20" t="n">
        <v>23855</v>
      </c>
      <c r="W166" s="20" t="n">
        <v>26935</v>
      </c>
      <c r="X166" s="20" t="n">
        <v>27829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부문 · 계</t>
        </is>
      </c>
      <c r="C168" s="20" t="n">
        <v>50920</v>
      </c>
      <c r="E168" s="20" t="n">
        <v>47939</v>
      </c>
      <c r="F168" s="20" t="n">
        <v>48770</v>
      </c>
      <c r="G168" s="20" t="n">
        <v>52090</v>
      </c>
      <c r="I168" s="20" t="n">
        <v>46580</v>
      </c>
      <c r="J168" s="20" t="n">
        <v>48852</v>
      </c>
      <c r="K168" s="20" t="n">
        <v>49006</v>
      </c>
      <c r="M168" s="20" t="n">
        <v>53468</v>
      </c>
      <c r="N168" s="20" t="n">
        <v>54134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</row>
    <row r="170">
      <c r="A170" s="18" t="inlineStr">
        <is>
          <t xml:space="preserve">  · 계</t>
        </is>
      </c>
      <c r="C170" s="20" t="n">
        <v>14986</v>
      </c>
      <c r="D170" s="20" t="n">
        <v>13983</v>
      </c>
      <c r="E170" s="20" t="n">
        <v>13440</v>
      </c>
      <c r="F170" s="20" t="n">
        <v>13191</v>
      </c>
      <c r="G170" s="20" t="n">
        <v>14822</v>
      </c>
      <c r="H170" s="20" t="n">
        <v>16483</v>
      </c>
      <c r="I170" s="20" t="n">
        <v>13234</v>
      </c>
      <c r="J170" s="20" t="n">
        <v>12632</v>
      </c>
      <c r="K170" s="20" t="n">
        <v>14300</v>
      </c>
      <c r="L170" s="20" t="n">
        <v>16653</v>
      </c>
      <c r="M170" s="20" t="n">
        <v>14446</v>
      </c>
      <c r="N170" s="20" t="n">
        <v>16806</v>
      </c>
      <c r="V170" s="20" t="n">
        <v>13983</v>
      </c>
      <c r="W170" s="20" t="n">
        <v>16483</v>
      </c>
      <c r="X170" s="20" t="n">
        <v>16653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보고부문 합계 · 계</t>
        </is>
      </c>
      <c r="C172" s="20" t="n">
        <v>90207</v>
      </c>
      <c r="D172" s="20" t="n">
        <v>88474</v>
      </c>
      <c r="E172" s="20" t="n">
        <v>85619</v>
      </c>
      <c r="F172" s="20" t="n">
        <v>86308</v>
      </c>
      <c r="G172" s="20" t="n">
        <v>91399</v>
      </c>
      <c r="H172" s="20" t="n">
        <v>97862</v>
      </c>
      <c r="I172" s="20" t="n">
        <v>78093</v>
      </c>
      <c r="J172" s="20" t="n">
        <v>86931</v>
      </c>
      <c r="K172" s="20" t="n">
        <v>86447</v>
      </c>
      <c r="L172" s="20" t="n">
        <v>95791</v>
      </c>
      <c r="M172" s="20" t="n">
        <v>86404</v>
      </c>
      <c r="N172" s="20" t="n">
        <v>92839</v>
      </c>
      <c r="V172" s="20" t="n">
        <v>88474</v>
      </c>
      <c r="W172" s="20" t="n">
        <v>97862</v>
      </c>
      <c r="X172" s="20" t="n">
        <v>95791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기타 · 계</t>
        </is>
      </c>
      <c r="C174" s="20" t="n">
        <v>2346</v>
      </c>
      <c r="D174" s="20" t="n">
        <v>3728</v>
      </c>
      <c r="E174" s="20" t="n">
        <v>2150</v>
      </c>
      <c r="F174" s="20" t="n">
        <v>2496</v>
      </c>
      <c r="G174" s="20" t="n">
        <v>2502</v>
      </c>
      <c r="H174" s="20" t="n">
        <v>1972</v>
      </c>
      <c r="I174" s="20" t="n">
        <v>2103</v>
      </c>
      <c r="J174" s="20" t="n">
        <v>2194</v>
      </c>
      <c r="K174" s="20" t="n">
        <v>2858</v>
      </c>
      <c r="L174" s="20" t="n">
        <v>2447</v>
      </c>
      <c r="M174" s="20" t="n">
        <v>2395</v>
      </c>
      <c r="N174" s="20" t="n">
        <v>2139</v>
      </c>
      <c r="V174" s="20" t="n">
        <v>3728</v>
      </c>
      <c r="W174" s="20" t="n">
        <v>1972</v>
      </c>
      <c r="X174" s="20" t="n">
        <v>2447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합계 · 계</t>
        </is>
      </c>
      <c r="C176" s="20" t="n">
        <v>92554</v>
      </c>
      <c r="D176" s="20" t="n">
        <v>92201</v>
      </c>
      <c r="E176" s="20" t="n">
        <v>87769</v>
      </c>
      <c r="F176" s="20" t="n">
        <v>88805</v>
      </c>
      <c r="G176" s="20" t="n">
        <v>93900</v>
      </c>
      <c r="H176" s="20" t="n">
        <v>99834</v>
      </c>
      <c r="I176" s="20" t="n">
        <v>80197</v>
      </c>
      <c r="J176" s="20" t="n">
        <v>89124</v>
      </c>
      <c r="K176" s="20" t="n">
        <v>89306</v>
      </c>
      <c r="L176" s="20" t="n">
        <v>98238</v>
      </c>
      <c r="M176" s="20" t="n">
        <v>88799</v>
      </c>
      <c r="N176" s="20" t="n">
        <v>94979</v>
      </c>
      <c r="V176" s="20" t="n">
        <v>92201</v>
      </c>
      <c r="W176" s="20" t="n">
        <v>99834</v>
      </c>
      <c r="X176" s="20" t="n">
        <v>98238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조정액 · 계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9" t="inlineStr">
        <is>
          <t>계</t>
        </is>
      </c>
      <c r="C179" s="12" t="n">
        <v>92554</v>
      </c>
      <c r="D179" s="12" t="n">
        <v>92201</v>
      </c>
      <c r="E179" s="12" t="n">
        <v>87769</v>
      </c>
      <c r="F179" s="12" t="n">
        <v>88805</v>
      </c>
      <c r="G179" s="12" t="n">
        <v>93900</v>
      </c>
      <c r="H179" s="12" t="n">
        <v>99834</v>
      </c>
      <c r="I179" s="12" t="n">
        <v>80197</v>
      </c>
      <c r="J179" s="12" t="n">
        <v>89124</v>
      </c>
      <c r="K179" s="12" t="n">
        <v>89306</v>
      </c>
      <c r="L179" s="12" t="n">
        <v>98238</v>
      </c>
      <c r="M179" s="12" t="n">
        <v>88799</v>
      </c>
      <c r="N179" s="12" t="n">
        <v>94979</v>
      </c>
      <c r="V179" s="12" t="n">
        <v>92201</v>
      </c>
      <c r="W179" s="12" t="n">
        <v>99834</v>
      </c>
      <c r="X179" s="12" t="n">
        <v>98238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부문 · Segment Profit Loss</t>
        </is>
      </c>
      <c r="C181" s="20" t="n">
        <v>4633</v>
      </c>
      <c r="D181" s="20" t="n">
        <v>3192</v>
      </c>
      <c r="E181" s="20" t="n">
        <v>4545</v>
      </c>
      <c r="F181" s="20" t="n">
        <v>5371</v>
      </c>
      <c r="G181" s="20" t="n">
        <v>3274</v>
      </c>
      <c r="H181" s="20" t="n">
        <v>5389</v>
      </c>
      <c r="I181" s="20" t="n">
        <v>900</v>
      </c>
      <c r="J181" s="20" t="n">
        <v>4222</v>
      </c>
      <c r="K181" s="20" t="n">
        <v>2803</v>
      </c>
      <c r="L181" s="20" t="n">
        <v>4811</v>
      </c>
      <c r="M181" s="20" t="n">
        <v>69</v>
      </c>
      <c r="N181" s="20" t="n">
        <v>5433</v>
      </c>
      <c r="V181" s="20" t="n">
        <v>3192</v>
      </c>
      <c r="W181" s="20" t="n">
        <v>5389</v>
      </c>
      <c r="X181" s="20" t="n">
        <v>4811</v>
      </c>
    </row>
    <row r="182">
      <c r="A182" s="43" t="inlineStr">
        <is>
          <t>OPM</t>
        </is>
      </c>
      <c r="B182" s="3" t="inlineStr">
        <is>
          <t>영업이익 ÷ 매출</t>
        </is>
      </c>
      <c r="C182" s="15">
        <f>IF(OR(C181="",C166=""),"",IF(C166&lt;=0,"",IFERROR(C181/C166,"")))</f>
        <v/>
      </c>
      <c r="D182" s="15">
        <f>IF(OR(D181="",D166=""),"",IF(D166&lt;=0,"",IFERROR(D181/D166,"")))</f>
        <v/>
      </c>
      <c r="E182" s="15">
        <f>IF(OR(E181="",E166=""),"",IF(E166&lt;=0,"",IFERROR(E181/E166,"")))</f>
        <v/>
      </c>
      <c r="F182" s="15">
        <f>IF(OR(F181="",F166=""),"",IF(F166&lt;=0,"",IFERROR(F181/F166,"")))</f>
        <v/>
      </c>
      <c r="G182" s="15">
        <f>IF(OR(G181="",G166=""),"",IF(G166&lt;=0,"",IFERROR(G181/G166,"")))</f>
        <v/>
      </c>
      <c r="H182" s="15">
        <f>IF(OR(H181="",H166=""),"",IF(H166&lt;=0,"",IFERROR(H181/H166,"")))</f>
        <v/>
      </c>
      <c r="I182" s="15">
        <f>IF(OR(I181="",I166=""),"",IF(I166&lt;=0,"",IFERROR(I181/I166,"")))</f>
        <v/>
      </c>
      <c r="J182" s="15">
        <f>IF(OR(J181="",J166=""),"",IF(J166&lt;=0,"",IFERROR(J181/J166,"")))</f>
        <v/>
      </c>
      <c r="K182" s="15">
        <f>IF(OR(K181="",K166=""),"",IF(K166&lt;=0,"",IFERROR(K181/K166,"")))</f>
        <v/>
      </c>
      <c r="L182" s="15">
        <f>IF(OR(L181="",L166=""),"",IF(L166&lt;=0,"",IFERROR(L181/L166,"")))</f>
        <v/>
      </c>
      <c r="M182" s="15">
        <f>IF(OR(M181="",M166=""),"",IF(M166&lt;=0,"",IFERROR(M181/M166,"")))</f>
        <v/>
      </c>
      <c r="N182" s="15">
        <f>IF(OR(N181="",N166=""),"",IF(N166&lt;=0,"",IFERROR(N181/N166,"")))</f>
        <v/>
      </c>
      <c r="V182" s="15">
        <f>IF(OR(V181="",V166=""),"",IF(V166&lt;=0,"",IFERROR(V181/V166,"")))</f>
        <v/>
      </c>
      <c r="W182" s="15">
        <f>IF(OR(W181="",W166=""),"",IF(W166&lt;=0,"",IFERROR(W181/W166,"")))</f>
        <v/>
      </c>
      <c r="X182" s="15">
        <f>IF(OR(X181="",X166=""),"",IF(X166&lt;=0,"",IFERROR(X181/X166,"")))</f>
        <v/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IF(OR(G181="",C181=""),"",IF(C181&lt;=0,"",IFERROR(G181/C181-1,"")))</f>
        <v/>
      </c>
      <c r="H183" s="15">
        <f>IF(OR(H181="",D181=""),"",IF(D181&lt;=0,"",IFERROR(H181/D181-1,"")))</f>
        <v/>
      </c>
      <c r="I183" s="15">
        <f>IF(OR(I181="",E181=""),"",IF(E181&lt;=0,"",IFERROR(I181/E181-1,"")))</f>
        <v/>
      </c>
      <c r="J183" s="15">
        <f>IF(OR(J181="",F181=""),"",IF(F181&lt;=0,"",IFERROR(J181/F181-1,"")))</f>
        <v/>
      </c>
      <c r="K183" s="15">
        <f>IF(OR(K181="",G181=""),"",IF(G181&lt;=0,"",IFERROR(K181/G181-1,"")))</f>
        <v/>
      </c>
      <c r="L183" s="15">
        <f>IF(OR(L181="",H181=""),"",IF(H181&lt;=0,"",IFERROR(L181/H181-1,"")))</f>
        <v/>
      </c>
      <c r="M183" s="15">
        <f>IF(OR(M181="",I181=""),"",IF(I181&lt;=0,"",IFERROR(M181/I181-1,"")))</f>
        <v/>
      </c>
      <c r="N183" s="15">
        <f>IF(OR(N181="",J181=""),"",IF(J181&lt;=0,"",IFERROR(N181/J181-1,"")))</f>
        <v/>
      </c>
      <c r="V183" s="15">
        <f>IF(OR(V181="",U181=""),"",IF(U181&lt;=0,"",IFERROR(V181/U181-1,"")))</f>
        <v/>
      </c>
      <c r="W183" s="15">
        <f>IF(OR(W181="",V181=""),"",IF(V181&lt;=0,"",IFERROR(W181/V181-1,"")))</f>
        <v/>
      </c>
      <c r="X183" s="15">
        <f>IF(OR(X181="",W181=""),"",IF(W181&lt;=0,"",IFERROR(X181/W181-1,"")))</f>
        <v/>
      </c>
    </row>
    <row r="184">
      <c r="A184" s="18" t="inlineStr">
        <is>
          <t>부문 · Segment Profit Loss</t>
        </is>
      </c>
      <c r="C184" s="20" t="n">
        <v>1312</v>
      </c>
      <c r="E184" s="20" t="n">
        <v>616</v>
      </c>
      <c r="F184" s="20" t="n">
        <v>1376</v>
      </c>
      <c r="G184" s="20" t="n">
        <v>1585</v>
      </c>
      <c r="I184" s="20" t="n">
        <v>1650</v>
      </c>
      <c r="J184" s="20" t="n">
        <v>895</v>
      </c>
      <c r="K184" s="20" t="n">
        <v>1608</v>
      </c>
      <c r="M184" s="20" t="n">
        <v>622</v>
      </c>
      <c r="N184" s="20" t="n">
        <v>2350</v>
      </c>
    </row>
    <row r="185">
      <c r="A185" s="43" t="inlineStr">
        <is>
          <t>OPM</t>
        </is>
      </c>
      <c r="B185" s="3" t="inlineStr">
        <is>
          <t>영업이익 ÷ 매출</t>
        </is>
      </c>
      <c r="C185" s="15">
        <f>IF(OR(C184="",C168=""),"",IF(C168&lt;=0,"",IFERROR(C184/C168,"")))</f>
        <v/>
      </c>
      <c r="E185" s="15">
        <f>IF(OR(E184="",E168=""),"",IF(E168&lt;=0,"",IFERROR(E184/E168,"")))</f>
        <v/>
      </c>
      <c r="F185" s="15">
        <f>IF(OR(F184="",F168=""),"",IF(F168&lt;=0,"",IFERROR(F184/F168,"")))</f>
        <v/>
      </c>
      <c r="G185" s="15">
        <f>IF(OR(G184="",G168=""),"",IF(G168&lt;=0,"",IFERROR(G184/G168,"")))</f>
        <v/>
      </c>
      <c r="I185" s="15">
        <f>IF(OR(I184="",I168=""),"",IF(I168&lt;=0,"",IFERROR(I184/I168,"")))</f>
        <v/>
      </c>
      <c r="J185" s="15">
        <f>IF(OR(J184="",J168=""),"",IF(J168&lt;=0,"",IFERROR(J184/J168,"")))</f>
        <v/>
      </c>
      <c r="K185" s="15">
        <f>IF(OR(K184="",K168=""),"",IF(K168&lt;=0,"",IFERROR(K184/K168,"")))</f>
        <v/>
      </c>
      <c r="M185" s="15">
        <f>IF(OR(M184="",M168=""),"",IF(M168&lt;=0,"",IFERROR(M184/M168,"")))</f>
        <v/>
      </c>
      <c r="N185" s="15">
        <f>IF(OR(N184="",N168=""),"",IF(N168&lt;=0,"",IFERROR(N184/N168,"")))</f>
        <v/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IF(OR(G184="",C184=""),"",IF(C184&lt;=0,"",IFERROR(G184/C184-1,"")))</f>
        <v/>
      </c>
      <c r="I186" s="15">
        <f>IF(OR(I184="",E184=""),"",IF(E184&lt;=0,"",IFERROR(I184/E184-1,"")))</f>
        <v/>
      </c>
      <c r="J186" s="15">
        <f>IF(OR(J184="",F184=""),"",IF(F184&lt;=0,"",IFERROR(J184/F184-1,"")))</f>
        <v/>
      </c>
      <c r="K186" s="15">
        <f>IF(OR(K184="",G184=""),"",IF(G184&lt;=0,"",IFERROR(K184/G184-1,"")))</f>
        <v/>
      </c>
      <c r="M186" s="15">
        <f>IF(OR(M184="",I184=""),"",IF(I184&lt;=0,"",IFERROR(M184/I184-1,"")))</f>
        <v/>
      </c>
      <c r="N186" s="15">
        <f>IF(OR(N184="",J184=""),"",IF(J184&lt;=0,"",IFERROR(N184/J184-1,"")))</f>
        <v/>
      </c>
    </row>
    <row r="187">
      <c r="A187" s="18" t="inlineStr">
        <is>
          <t xml:space="preserve">  · Segment Profit Loss</t>
        </is>
      </c>
      <c r="C187" s="20" t="n">
        <v>-326</v>
      </c>
      <c r="D187" s="20" t="n">
        <v>-71</v>
      </c>
      <c r="E187" s="20" t="n">
        <v>745</v>
      </c>
      <c r="F187" s="20" t="n">
        <v>220</v>
      </c>
      <c r="G187" s="20" t="n">
        <v>748</v>
      </c>
      <c r="H187" s="20" t="n">
        <v>136</v>
      </c>
      <c r="I187" s="20" t="n">
        <v>422</v>
      </c>
      <c r="J187" s="20" t="n">
        <v>104</v>
      </c>
      <c r="K187" s="20" t="n">
        <v>571</v>
      </c>
      <c r="L187" s="20" t="n">
        <v>1420</v>
      </c>
      <c r="M187" s="20" t="n">
        <v>1304</v>
      </c>
      <c r="N187" s="20" t="n">
        <v>2478</v>
      </c>
      <c r="V187" s="20" t="n">
        <v>-71</v>
      </c>
      <c r="W187" s="20" t="n">
        <v>136</v>
      </c>
      <c r="X187" s="20" t="n">
        <v>1420</v>
      </c>
    </row>
    <row r="188">
      <c r="A188" s="43" t="inlineStr">
        <is>
          <t>OPM</t>
        </is>
      </c>
      <c r="B188" s="3" t="inlineStr">
        <is>
          <t>영업이익 ÷ 매출</t>
        </is>
      </c>
      <c r="C188" s="15">
        <f>IF(OR(C187="",C170=""),"",IF(C170&lt;=0,"",IFERROR(C187/C170,"")))</f>
        <v/>
      </c>
      <c r="D188" s="15">
        <f>IF(OR(D187="",D170=""),"",IF(D170&lt;=0,"",IFERROR(D187/D170,"")))</f>
        <v/>
      </c>
      <c r="E188" s="15">
        <f>IF(OR(E187="",E170=""),"",IF(E170&lt;=0,"",IFERROR(E187/E170,"")))</f>
        <v/>
      </c>
      <c r="F188" s="15">
        <f>IF(OR(F187="",F170=""),"",IF(F170&lt;=0,"",IFERROR(F187/F170,"")))</f>
        <v/>
      </c>
      <c r="G188" s="15">
        <f>IF(OR(G187="",G170=""),"",IF(G170&lt;=0,"",IFERROR(G187/G170,"")))</f>
        <v/>
      </c>
      <c r="H188" s="15">
        <f>IF(OR(H187="",H170=""),"",IF(H170&lt;=0,"",IFERROR(H187/H170,"")))</f>
        <v/>
      </c>
      <c r="I188" s="15">
        <f>IF(OR(I187="",I170=""),"",IF(I170&lt;=0,"",IFERROR(I187/I170,"")))</f>
        <v/>
      </c>
      <c r="J188" s="15">
        <f>IF(OR(J187="",J170=""),"",IF(J170&lt;=0,"",IFERROR(J187/J170,"")))</f>
        <v/>
      </c>
      <c r="K188" s="15">
        <f>IF(OR(K187="",K170=""),"",IF(K170&lt;=0,"",IFERROR(K187/K170,"")))</f>
        <v/>
      </c>
      <c r="L188" s="15">
        <f>IF(OR(L187="",L170=""),"",IF(L170&lt;=0,"",IFERROR(L187/L170,"")))</f>
        <v/>
      </c>
      <c r="M188" s="15">
        <f>IF(OR(M187="",M170=""),"",IF(M170&lt;=0,"",IFERROR(M187/M170,"")))</f>
        <v/>
      </c>
      <c r="N188" s="15">
        <f>IF(OR(N187="",N170=""),"",IF(N170&lt;=0,"",IFERROR(N187/N170,"")))</f>
        <v/>
      </c>
      <c r="V188" s="15">
        <f>IF(OR(V187="",V170=""),"",IF(V170&lt;=0,"",IFERROR(V187/V170,"")))</f>
        <v/>
      </c>
      <c r="W188" s="15">
        <f>IF(OR(W187="",W170=""),"",IF(W170&lt;=0,"",IFERROR(W187/W170,"")))</f>
        <v/>
      </c>
      <c r="X188" s="15">
        <f>IF(OR(X187="",X170=""),"",IF(X170&lt;=0,"",IFERROR(X187/X170,"")))</f>
        <v/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IF(OR(G187="",C187=""),"",IF(C187&lt;=0,"",IFERROR(G187/C187-1,"")))</f>
        <v/>
      </c>
      <c r="H189" s="15">
        <f>IF(OR(H187="",D187=""),"",IF(D187&lt;=0,"",IFERROR(H187/D187-1,"")))</f>
        <v/>
      </c>
      <c r="I189" s="15">
        <f>IF(OR(I187="",E187=""),"",IF(E187&lt;=0,"",IFERROR(I187/E187-1,"")))</f>
        <v/>
      </c>
      <c r="J189" s="15">
        <f>IF(OR(J187="",F187=""),"",IF(F187&lt;=0,"",IFERROR(J187/F187-1,"")))</f>
        <v/>
      </c>
      <c r="K189" s="15">
        <f>IF(OR(K187="",G187=""),"",IF(G187&lt;=0,"",IFERROR(K187/G187-1,"")))</f>
        <v/>
      </c>
      <c r="L189" s="15">
        <f>IF(OR(L187="",H187=""),"",IF(H187&lt;=0,"",IFERROR(L187/H187-1,"")))</f>
        <v/>
      </c>
      <c r="M189" s="15">
        <f>IF(OR(M187="",I187=""),"",IF(I187&lt;=0,"",IFERROR(M187/I187-1,"")))</f>
        <v/>
      </c>
      <c r="N189" s="15">
        <f>IF(OR(N187="",J187=""),"",IF(J187&lt;=0,"",IFERROR(N187/J187-1,"")))</f>
        <v/>
      </c>
      <c r="V189" s="15">
        <f>IF(OR(V187="",U187=""),"",IF(U187&lt;=0,"",IFERROR(V187/U187-1,"")))</f>
        <v/>
      </c>
      <c r="W189" s="15">
        <f>IF(OR(W187="",V187=""),"",IF(V187&lt;=0,"",IFERROR(W187/V187-1,"")))</f>
        <v/>
      </c>
      <c r="X189" s="15">
        <f>IF(OR(X187="",W187=""),"",IF(W187&lt;=0,"",IFERROR(X187/W187-1,"")))</f>
        <v/>
      </c>
    </row>
    <row r="190">
      <c r="A190" s="18" t="inlineStr">
        <is>
          <t>보고부문 합계 · Segment Profit Loss</t>
        </is>
      </c>
      <c r="C190" s="20" t="n">
        <v>5618</v>
      </c>
      <c r="D190" s="20" t="n">
        <v>3919</v>
      </c>
      <c r="E190" s="20" t="n">
        <v>5908</v>
      </c>
      <c r="F190" s="20" t="n">
        <v>6965</v>
      </c>
      <c r="G190" s="20" t="n">
        <v>5607</v>
      </c>
      <c r="H190" s="20" t="n">
        <v>6829</v>
      </c>
      <c r="I190" s="20" t="n">
        <v>2973</v>
      </c>
      <c r="J190" s="20" t="n">
        <v>5222</v>
      </c>
      <c r="K190" s="20" t="n">
        <v>4981</v>
      </c>
      <c r="L190" s="20" t="n">
        <v>7478</v>
      </c>
      <c r="M190" s="20" t="n">
        <v>1995</v>
      </c>
      <c r="N190" s="20" t="n">
        <v>10262</v>
      </c>
      <c r="V190" s="20" t="n">
        <v>3919</v>
      </c>
      <c r="W190" s="20" t="n">
        <v>6829</v>
      </c>
      <c r="X190" s="20" t="n">
        <v>7478</v>
      </c>
    </row>
    <row r="191">
      <c r="A191" s="43" t="inlineStr">
        <is>
          <t>OPM</t>
        </is>
      </c>
      <c r="B191" s="3" t="inlineStr">
        <is>
          <t>영업이익 ÷ 매출</t>
        </is>
      </c>
      <c r="C191" s="15">
        <f>IF(OR(C190="",C172=""),"",IF(C172&lt;=0,"",IFERROR(C190/C172,"")))</f>
        <v/>
      </c>
      <c r="D191" s="15">
        <f>IF(OR(D190="",D172=""),"",IF(D172&lt;=0,"",IFERROR(D190/D172,"")))</f>
        <v/>
      </c>
      <c r="E191" s="15">
        <f>IF(OR(E190="",E172=""),"",IF(E172&lt;=0,"",IFERROR(E190/E172,"")))</f>
        <v/>
      </c>
      <c r="F191" s="15">
        <f>IF(OR(F190="",F172=""),"",IF(F172&lt;=0,"",IFERROR(F190/F172,"")))</f>
        <v/>
      </c>
      <c r="G191" s="15">
        <f>IF(OR(G190="",G172=""),"",IF(G172&lt;=0,"",IFERROR(G190/G172,"")))</f>
        <v/>
      </c>
      <c r="H191" s="15">
        <f>IF(OR(H190="",H172=""),"",IF(H172&lt;=0,"",IFERROR(H190/H172,"")))</f>
        <v/>
      </c>
      <c r="I191" s="15">
        <f>IF(OR(I190="",I172=""),"",IF(I172&lt;=0,"",IFERROR(I190/I172,"")))</f>
        <v/>
      </c>
      <c r="J191" s="15">
        <f>IF(OR(J190="",J172=""),"",IF(J172&lt;=0,"",IFERROR(J190/J172,"")))</f>
        <v/>
      </c>
      <c r="K191" s="15">
        <f>IF(OR(K190="",K172=""),"",IF(K172&lt;=0,"",IFERROR(K190/K172,"")))</f>
        <v/>
      </c>
      <c r="L191" s="15">
        <f>IF(OR(L190="",L172=""),"",IF(L172&lt;=0,"",IFERROR(L190/L172,"")))</f>
        <v/>
      </c>
      <c r="M191" s="15">
        <f>IF(OR(M190="",M172=""),"",IF(M172&lt;=0,"",IFERROR(M190/M172,"")))</f>
        <v/>
      </c>
      <c r="N191" s="15">
        <f>IF(OR(N190="",N172=""),"",IF(N172&lt;=0,"",IFERROR(N190/N172,"")))</f>
        <v/>
      </c>
      <c r="V191" s="15">
        <f>IF(OR(V190="",V172=""),"",IF(V172&lt;=0,"",IFERROR(V190/V172,"")))</f>
        <v/>
      </c>
      <c r="W191" s="15">
        <f>IF(OR(W190="",W172=""),"",IF(W172&lt;=0,"",IFERROR(W190/W172,"")))</f>
        <v/>
      </c>
      <c r="X191" s="15">
        <f>IF(OR(X190="",X172=""),"",IF(X172&lt;=0,"",IFERROR(X190/X172,"")))</f>
        <v/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IF(OR(G190="",C190=""),"",IF(C190&lt;=0,"",IFERROR(G190/C190-1,"")))</f>
        <v/>
      </c>
      <c r="H192" s="15">
        <f>IF(OR(H190="",D190=""),"",IF(D190&lt;=0,"",IFERROR(H190/D190-1,"")))</f>
        <v/>
      </c>
      <c r="I192" s="15">
        <f>IF(OR(I190="",E190=""),"",IF(E190&lt;=0,"",IFERROR(I190/E190-1,"")))</f>
        <v/>
      </c>
      <c r="J192" s="15">
        <f>IF(OR(J190="",F190=""),"",IF(F190&lt;=0,"",IFERROR(J190/F190-1,"")))</f>
        <v/>
      </c>
      <c r="K192" s="15">
        <f>IF(OR(K190="",G190=""),"",IF(G190&lt;=0,"",IFERROR(K190/G190-1,"")))</f>
        <v/>
      </c>
      <c r="L192" s="15">
        <f>IF(OR(L190="",H190=""),"",IF(H190&lt;=0,"",IFERROR(L190/H190-1,"")))</f>
        <v/>
      </c>
      <c r="M192" s="15">
        <f>IF(OR(M190="",I190=""),"",IF(I190&lt;=0,"",IFERROR(M190/I190-1,"")))</f>
        <v/>
      </c>
      <c r="N192" s="15">
        <f>IF(OR(N190="",J190=""),"",IF(J190&lt;=0,"",IFERROR(N190/J190-1,"")))</f>
        <v/>
      </c>
      <c r="V192" s="15">
        <f>IF(OR(V190="",U190=""),"",IF(U190&lt;=0,"",IFERROR(V190/U190-1,"")))</f>
        <v/>
      </c>
      <c r="W192" s="15">
        <f>IF(OR(W190="",V190=""),"",IF(V190&lt;=0,"",IFERROR(W190/V190-1,"")))</f>
        <v/>
      </c>
      <c r="X192" s="15">
        <f>IF(OR(X190="",W190=""),"",IF(W190&lt;=0,"",IFERROR(X190/W190-1,"")))</f>
        <v/>
      </c>
    </row>
    <row r="193">
      <c r="A193" s="18" t="inlineStr">
        <is>
          <t>기타 · Segment Profit Loss</t>
        </is>
      </c>
      <c r="C193" s="20" t="n">
        <v>-106</v>
      </c>
      <c r="D193" s="20" t="n">
        <v>-224</v>
      </c>
      <c r="E193" s="20" t="n">
        <v>66</v>
      </c>
      <c r="F193" s="20" t="n">
        <v>76</v>
      </c>
      <c r="G193" s="20" t="n">
        <v>-55</v>
      </c>
      <c r="H193" s="20" t="n">
        <v>-88</v>
      </c>
      <c r="I193" s="20" t="n">
        <v>78</v>
      </c>
      <c r="J193" s="20" t="n">
        <v>46</v>
      </c>
      <c r="K193" s="20" t="n">
        <v>19</v>
      </c>
      <c r="L193" s="20" t="n">
        <v>83</v>
      </c>
      <c r="M193" s="20" t="n">
        <v>11</v>
      </c>
      <c r="N193" s="20" t="n">
        <v>-3</v>
      </c>
      <c r="V193" s="20" t="n">
        <v>-224</v>
      </c>
      <c r="W193" s="20" t="n">
        <v>-88</v>
      </c>
      <c r="X193" s="20" t="n">
        <v>83</v>
      </c>
    </row>
    <row r="194">
      <c r="A194" s="43" t="inlineStr">
        <is>
          <t>OPM</t>
        </is>
      </c>
      <c r="B194" s="3" t="inlineStr">
        <is>
          <t>영업이익 ÷ 매출</t>
        </is>
      </c>
      <c r="C194" s="15">
        <f>IF(OR(C193="",C174=""),"",IF(C174&lt;=0,"",IFERROR(C193/C174,"")))</f>
        <v/>
      </c>
      <c r="D194" s="15">
        <f>IF(OR(D193="",D174=""),"",IF(D174&lt;=0,"",IFERROR(D193/D174,"")))</f>
        <v/>
      </c>
      <c r="E194" s="15">
        <f>IF(OR(E193="",E174=""),"",IF(E174&lt;=0,"",IFERROR(E193/E174,"")))</f>
        <v/>
      </c>
      <c r="F194" s="15">
        <f>IF(OR(F193="",F174=""),"",IF(F174&lt;=0,"",IFERROR(F193/F174,"")))</f>
        <v/>
      </c>
      <c r="G194" s="15">
        <f>IF(OR(G193="",G174=""),"",IF(G174&lt;=0,"",IFERROR(G193/G174,"")))</f>
        <v/>
      </c>
      <c r="H194" s="15">
        <f>IF(OR(H193="",H174=""),"",IF(H174&lt;=0,"",IFERROR(H193/H174,"")))</f>
        <v/>
      </c>
      <c r="I194" s="15">
        <f>IF(OR(I193="",I174=""),"",IF(I174&lt;=0,"",IFERROR(I193/I174,"")))</f>
        <v/>
      </c>
      <c r="J194" s="15">
        <f>IF(OR(J193="",J174=""),"",IF(J174&lt;=0,"",IFERROR(J193/J174,"")))</f>
        <v/>
      </c>
      <c r="K194" s="15">
        <f>IF(OR(K193="",K174=""),"",IF(K174&lt;=0,"",IFERROR(K193/K174,"")))</f>
        <v/>
      </c>
      <c r="L194" s="15">
        <f>IF(OR(L193="",L174=""),"",IF(L174&lt;=0,"",IFERROR(L193/L174,"")))</f>
        <v/>
      </c>
      <c r="M194" s="15">
        <f>IF(OR(M193="",M174=""),"",IF(M174&lt;=0,"",IFERROR(M193/M174,"")))</f>
        <v/>
      </c>
      <c r="N194" s="15">
        <f>IF(OR(N193="",N174=""),"",IF(N174&lt;=0,"",IFERROR(N193/N174,"")))</f>
        <v/>
      </c>
      <c r="V194" s="15">
        <f>IF(OR(V193="",V174=""),"",IF(V174&lt;=0,"",IFERROR(V193/V174,"")))</f>
        <v/>
      </c>
      <c r="W194" s="15">
        <f>IF(OR(W193="",W174=""),"",IF(W174&lt;=0,"",IFERROR(W193/W174,"")))</f>
        <v/>
      </c>
      <c r="X194" s="15">
        <f>IF(OR(X193="",X174=""),"",IF(X174&lt;=0,"",IFERROR(X193/X174,"")))</f>
        <v/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IF(OR(G193="",C193=""),"",IF(C193&lt;=0,"",IFERROR(G193/C193-1,"")))</f>
        <v/>
      </c>
      <c r="H195" s="15">
        <f>IF(OR(H193="",D193=""),"",IF(D193&lt;=0,"",IFERROR(H193/D193-1,"")))</f>
        <v/>
      </c>
      <c r="I195" s="15">
        <f>IF(OR(I193="",E193=""),"",IF(E193&lt;=0,"",IFERROR(I193/E193-1,"")))</f>
        <v/>
      </c>
      <c r="J195" s="15">
        <f>IF(OR(J193="",F193=""),"",IF(F193&lt;=0,"",IFERROR(J193/F193-1,"")))</f>
        <v/>
      </c>
      <c r="K195" s="15">
        <f>IF(OR(K193="",G193=""),"",IF(G193&lt;=0,"",IFERROR(K193/G193-1,"")))</f>
        <v/>
      </c>
      <c r="L195" s="15">
        <f>IF(OR(L193="",H193=""),"",IF(H193&lt;=0,"",IFERROR(L193/H193-1,"")))</f>
        <v/>
      </c>
      <c r="M195" s="15">
        <f>IF(OR(M193="",I193=""),"",IF(I193&lt;=0,"",IFERROR(M193/I193-1,"")))</f>
        <v/>
      </c>
      <c r="N195" s="15">
        <f>IF(OR(N193="",J193=""),"",IF(J193&lt;=0,"",IFERROR(N193/J193-1,"")))</f>
        <v/>
      </c>
      <c r="V195" s="15">
        <f>IF(OR(V193="",U193=""),"",IF(U193&lt;=0,"",IFERROR(V193/U193-1,"")))</f>
        <v/>
      </c>
      <c r="W195" s="15">
        <f>IF(OR(W193="",V193=""),"",IF(V193&lt;=0,"",IFERROR(W193/V193-1,"")))</f>
        <v/>
      </c>
      <c r="X195" s="15">
        <f>IF(OR(X193="",W193=""),"",IF(W193&lt;=0,"",IFERROR(X193/W193-1,"")))</f>
        <v/>
      </c>
    </row>
    <row r="196">
      <c r="A196" s="18" t="inlineStr">
        <is>
          <t>합계 · Segment Profit Loss</t>
        </is>
      </c>
      <c r="C196" s="20" t="n">
        <v>5512</v>
      </c>
      <c r="D196" s="20" t="n">
        <v>3695</v>
      </c>
      <c r="E196" s="20" t="n">
        <v>5975</v>
      </c>
      <c r="F196" s="20" t="n">
        <v>7040</v>
      </c>
      <c r="G196" s="20" t="n">
        <v>5553</v>
      </c>
      <c r="H196" s="20" t="n">
        <v>6739</v>
      </c>
      <c r="I196" s="20" t="n">
        <v>3052</v>
      </c>
      <c r="J196" s="20" t="n">
        <v>5267</v>
      </c>
      <c r="K196" s="20" t="n">
        <v>5000</v>
      </c>
      <c r="L196" s="20" t="n">
        <v>7561</v>
      </c>
      <c r="M196" s="20" t="n">
        <v>2007</v>
      </c>
      <c r="N196" s="20" t="n">
        <v>10258</v>
      </c>
      <c r="V196" s="20" t="n">
        <v>3695</v>
      </c>
      <c r="W196" s="20" t="n">
        <v>6739</v>
      </c>
      <c r="X196" s="20" t="n">
        <v>7561</v>
      </c>
    </row>
    <row r="197">
      <c r="A197" s="43" t="inlineStr">
        <is>
          <t>OPM</t>
        </is>
      </c>
      <c r="B197" s="3" t="inlineStr">
        <is>
          <t>영업이익 ÷ 매출</t>
        </is>
      </c>
      <c r="C197" s="15">
        <f>IF(OR(C196="",C176=""),"",IF(C176&lt;=0,"",IFERROR(C196/C176,"")))</f>
        <v/>
      </c>
      <c r="D197" s="15">
        <f>IF(OR(D196="",D176=""),"",IF(D176&lt;=0,"",IFERROR(D196/D176,"")))</f>
        <v/>
      </c>
      <c r="E197" s="15">
        <f>IF(OR(E196="",E176=""),"",IF(E176&lt;=0,"",IFERROR(E196/E176,"")))</f>
        <v/>
      </c>
      <c r="F197" s="15">
        <f>IF(OR(F196="",F176=""),"",IF(F176&lt;=0,"",IFERROR(F196/F176,"")))</f>
        <v/>
      </c>
      <c r="G197" s="15">
        <f>IF(OR(G196="",G176=""),"",IF(G176&lt;=0,"",IFERROR(G196/G176,"")))</f>
        <v/>
      </c>
      <c r="H197" s="15">
        <f>IF(OR(H196="",H176=""),"",IF(H176&lt;=0,"",IFERROR(H196/H176,"")))</f>
        <v/>
      </c>
      <c r="I197" s="15">
        <f>IF(OR(I196="",I176=""),"",IF(I176&lt;=0,"",IFERROR(I196/I176,"")))</f>
        <v/>
      </c>
      <c r="J197" s="15">
        <f>IF(OR(J196="",J176=""),"",IF(J176&lt;=0,"",IFERROR(J196/J176,"")))</f>
        <v/>
      </c>
      <c r="K197" s="15">
        <f>IF(OR(K196="",K176=""),"",IF(K176&lt;=0,"",IFERROR(K196/K176,"")))</f>
        <v/>
      </c>
      <c r="L197" s="15">
        <f>IF(OR(L196="",L176=""),"",IF(L176&lt;=0,"",IFERROR(L196/L176,"")))</f>
        <v/>
      </c>
      <c r="M197" s="15">
        <f>IF(OR(M196="",M176=""),"",IF(M176&lt;=0,"",IFERROR(M196/M176,"")))</f>
        <v/>
      </c>
      <c r="N197" s="15">
        <f>IF(OR(N196="",N176=""),"",IF(N176&lt;=0,"",IFERROR(N196/N176,"")))</f>
        <v/>
      </c>
      <c r="V197" s="15">
        <f>IF(OR(V196="",V176=""),"",IF(V176&lt;=0,"",IFERROR(V196/V176,"")))</f>
        <v/>
      </c>
      <c r="W197" s="15">
        <f>IF(OR(W196="",W176=""),"",IF(W176&lt;=0,"",IFERROR(W196/W176,"")))</f>
        <v/>
      </c>
      <c r="X197" s="15">
        <f>IF(OR(X196="",X176=""),"",IF(X176&lt;=0,"",IFERROR(X196/X176,"")))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IF(OR(G196="",C196=""),"",IF(C196&lt;=0,"",IFERROR(G196/C196-1,"")))</f>
        <v/>
      </c>
      <c r="H198" s="15">
        <f>IF(OR(H196="",D196=""),"",IF(D196&lt;=0,"",IFERROR(H196/D196-1,"")))</f>
        <v/>
      </c>
      <c r="I198" s="15">
        <f>IF(OR(I196="",E196=""),"",IF(E196&lt;=0,"",IFERROR(I196/E196-1,"")))</f>
        <v/>
      </c>
      <c r="J198" s="15">
        <f>IF(OR(J196="",F196=""),"",IF(F196&lt;=0,"",IFERROR(J196/F196-1,"")))</f>
        <v/>
      </c>
      <c r="K198" s="15">
        <f>IF(OR(K196="",G196=""),"",IF(G196&lt;=0,"",IFERROR(K196/G196-1,"")))</f>
        <v/>
      </c>
      <c r="L198" s="15">
        <f>IF(OR(L196="",H196=""),"",IF(H196&lt;=0,"",IFERROR(L196/H196-1,"")))</f>
        <v/>
      </c>
      <c r="M198" s="15">
        <f>IF(OR(M196="",I196=""),"",IF(I196&lt;=0,"",IFERROR(M196/I196-1,"")))</f>
        <v/>
      </c>
      <c r="N198" s="15">
        <f>IF(OR(N196="",J196=""),"",IF(J196&lt;=0,"",IFERROR(N196/J196-1,"")))</f>
        <v/>
      </c>
      <c r="V198" s="15">
        <f>IF(OR(V196="",U196=""),"",IF(U196&lt;=0,"",IFERROR(V196/U196-1,"")))</f>
        <v/>
      </c>
      <c r="W198" s="15">
        <f>IF(OR(W196="",V196=""),"",IF(V196&lt;=0,"",IFERROR(W196/V196-1,"")))</f>
        <v/>
      </c>
      <c r="X198" s="15">
        <f>IF(OR(X196="",W196=""),"",IF(W196&lt;=0,"",IFERROR(X196/W196-1,"")))</f>
        <v/>
      </c>
    </row>
    <row r="199">
      <c r="A199" s="18" t="inlineStr">
        <is>
          <t>조정액 · Segment Profit Loss</t>
        </is>
      </c>
      <c r="C199" s="20" t="n">
        <v>0</v>
      </c>
      <c r="D199" s="20" t="n">
        <v>0</v>
      </c>
      <c r="E199" s="20" t="n">
        <v>0</v>
      </c>
      <c r="F199" s="20" t="n">
        <v>0</v>
      </c>
      <c r="G199" s="20" t="n">
        <v>0</v>
      </c>
      <c r="H199" s="20" t="n">
        <v>0</v>
      </c>
      <c r="I199" s="20" t="n">
        <v>0</v>
      </c>
      <c r="J199" s="20" t="n">
        <v>0</v>
      </c>
      <c r="K199" s="20" t="n">
        <v>0</v>
      </c>
      <c r="L199" s="20" t="n">
        <v>0</v>
      </c>
      <c r="M199" s="20" t="n">
        <v>0</v>
      </c>
      <c r="N199" s="20" t="n">
        <v>0</v>
      </c>
      <c r="V199" s="20" t="n">
        <v>0</v>
      </c>
      <c r="W199" s="20" t="n">
        <v>0</v>
      </c>
      <c r="X199" s="20" t="n">
        <v>0</v>
      </c>
    </row>
    <row r="200">
      <c r="A200" s="18" t="inlineStr">
        <is>
          <t>Segment Profit Loss</t>
        </is>
      </c>
      <c r="C200" s="20" t="n">
        <v>5512</v>
      </c>
      <c r="D200" s="20" t="n">
        <v>3695</v>
      </c>
      <c r="E200" s="20" t="n">
        <v>5975</v>
      </c>
      <c r="F200" s="20" t="n">
        <v>7040</v>
      </c>
      <c r="G200" s="20" t="n">
        <v>5553</v>
      </c>
      <c r="H200" s="20" t="n">
        <v>6739</v>
      </c>
      <c r="I200" s="20" t="n">
        <v>3052</v>
      </c>
      <c r="J200" s="20" t="n">
        <v>5267</v>
      </c>
      <c r="K200" s="20" t="n">
        <v>5000</v>
      </c>
      <c r="L200" s="20" t="n">
        <v>7561</v>
      </c>
      <c r="M200" s="20" t="n">
        <v>2007</v>
      </c>
      <c r="N200" s="20" t="n">
        <v>10258</v>
      </c>
      <c r="V200" s="20" t="n">
        <v>3695</v>
      </c>
      <c r="W200" s="20" t="n">
        <v>6739</v>
      </c>
      <c r="X200" s="20" t="n">
        <v>7561</v>
      </c>
    </row>
    <row r="201">
      <c r="A201" s="18" t="inlineStr">
        <is>
          <t>기타수익</t>
        </is>
      </c>
      <c r="C201" s="20" t="n">
        <v>475</v>
      </c>
      <c r="D201" s="20" t="n">
        <v>2857</v>
      </c>
      <c r="E201" s="20" t="n">
        <v>284</v>
      </c>
      <c r="F201" s="20" t="n">
        <v>1197</v>
      </c>
      <c r="G201" s="20" t="n">
        <v>379</v>
      </c>
      <c r="H201" s="20" t="n">
        <v>369</v>
      </c>
      <c r="I201" s="20" t="n">
        <v>1446</v>
      </c>
      <c r="J201" s="20" t="n">
        <v>357</v>
      </c>
      <c r="K201" s="20" t="n">
        <v>976</v>
      </c>
      <c r="L201" s="20" t="n">
        <v>188</v>
      </c>
      <c r="M201" s="20" t="n">
        <v>229</v>
      </c>
      <c r="N201" s="20" t="n">
        <v>239</v>
      </c>
      <c r="V201" s="20" t="n">
        <v>2857</v>
      </c>
      <c r="W201" s="20" t="n">
        <v>369</v>
      </c>
      <c r="X201" s="20" t="n">
        <v>188</v>
      </c>
    </row>
    <row r="202">
      <c r="A202" s="18" t="inlineStr">
        <is>
          <t>기타비용</t>
        </is>
      </c>
      <c r="C202" s="20" t="n">
        <v>881</v>
      </c>
      <c r="D202" s="20" t="n">
        <v>3280</v>
      </c>
      <c r="E202" s="20" t="n">
        <v>139</v>
      </c>
      <c r="F202" s="20" t="n">
        <v>1053</v>
      </c>
      <c r="G202" s="20" t="n">
        <v>2400</v>
      </c>
      <c r="H202" s="20" t="n">
        <v>2255</v>
      </c>
      <c r="I202" s="20" t="n">
        <v>215</v>
      </c>
      <c r="J202" s="20" t="n">
        <v>206</v>
      </c>
      <c r="K202" s="20" t="n">
        <v>672</v>
      </c>
      <c r="L202" s="20" t="n">
        <v>1960</v>
      </c>
      <c r="M202" s="20" t="n">
        <v>700</v>
      </c>
      <c r="N202" s="20" t="n">
        <v>274</v>
      </c>
      <c r="V202" s="20" t="n">
        <v>3280</v>
      </c>
      <c r="W202" s="20" t="n">
        <v>2255</v>
      </c>
      <c r="X202" s="20" t="n">
        <v>1960</v>
      </c>
    </row>
    <row r="203">
      <c r="A203" s="18" t="inlineStr">
        <is>
          <t>외환차손익</t>
        </is>
      </c>
      <c r="C203" s="20" t="n">
        <v>70</v>
      </c>
      <c r="D203" s="20" t="n">
        <v>-29</v>
      </c>
      <c r="E203" s="20" t="n">
        <v>-96</v>
      </c>
      <c r="F203" s="20" t="n">
        <v>347</v>
      </c>
      <c r="G203" s="20" t="n">
        <v>-303</v>
      </c>
      <c r="H203" s="20" t="n">
        <v>154</v>
      </c>
      <c r="I203" s="20" t="n">
        <v>72</v>
      </c>
      <c r="J203" s="20" t="n">
        <v>-140</v>
      </c>
      <c r="K203" s="20" t="n">
        <v>-67</v>
      </c>
      <c r="L203" s="20" t="n">
        <v>-119</v>
      </c>
      <c r="M203" s="20" t="n">
        <v>-10</v>
      </c>
      <c r="N203" s="20" t="n">
        <v>-260</v>
      </c>
      <c r="V203" s="20" t="n">
        <v>-29</v>
      </c>
      <c r="W203" s="20" t="n">
        <v>154</v>
      </c>
      <c r="X203" s="20" t="n">
        <v>-119</v>
      </c>
    </row>
    <row r="204">
      <c r="A204" s="18" t="inlineStr">
        <is>
          <t>영업이익</t>
        </is>
      </c>
      <c r="C204" s="20" t="n">
        <v>5175</v>
      </c>
      <c r="D204" s="20" t="n">
        <v>3244</v>
      </c>
      <c r="E204" s="20" t="n">
        <v>6022</v>
      </c>
      <c r="F204" s="20" t="n">
        <v>7534</v>
      </c>
      <c r="G204" s="20" t="n">
        <v>3227</v>
      </c>
      <c r="H204" s="20" t="n">
        <v>5009</v>
      </c>
      <c r="I204" s="20" t="n">
        <v>4356</v>
      </c>
      <c r="J204" s="20" t="n">
        <v>5277</v>
      </c>
      <c r="K204" s="20" t="n">
        <v>5237</v>
      </c>
      <c r="L204" s="20" t="n">
        <v>5670</v>
      </c>
      <c r="M204" s="20" t="n">
        <v>1526</v>
      </c>
      <c r="N204" s="20" t="n">
        <v>9962</v>
      </c>
      <c r="V204" s="20" t="n">
        <v>3244</v>
      </c>
      <c r="W204" s="20" t="n">
        <v>5009</v>
      </c>
      <c r="X204" s="20" t="n">
        <v>5670</v>
      </c>
    </row>
    <row r="205">
      <c r="A205" s="43" t="inlineStr">
        <is>
          <t>OPM</t>
        </is>
      </c>
      <c r="B205" s="3" t="inlineStr">
        <is>
          <t>영업이익 ÷ 매출</t>
        </is>
      </c>
      <c r="C205" s="15">
        <f>IF(OR(C204="",C156=""),"",IF(C156&lt;=0,"",IFERROR(C204/C156,"")))</f>
        <v/>
      </c>
      <c r="D205" s="15">
        <f>IF(OR(D204="",D156=""),"",IF(D156&lt;=0,"",IFERROR(D204/D156,"")))</f>
        <v/>
      </c>
      <c r="E205" s="15">
        <f>IF(OR(E204="",E156=""),"",IF(E156&lt;=0,"",IFERROR(E204/E156,"")))</f>
        <v/>
      </c>
      <c r="F205" s="15">
        <f>IF(OR(F204="",F156=""),"",IF(F156&lt;=0,"",IFERROR(F204/F156,"")))</f>
        <v/>
      </c>
      <c r="G205" s="15">
        <f>IF(OR(G204="",G156=""),"",IF(G156&lt;=0,"",IFERROR(G204/G156,"")))</f>
        <v/>
      </c>
      <c r="H205" s="15">
        <f>IF(OR(H204="",H156=""),"",IF(H156&lt;=0,"",IFERROR(H204/H156,"")))</f>
        <v/>
      </c>
      <c r="I205" s="15">
        <f>IF(OR(I204="",I156=""),"",IF(I156&lt;=0,"",IFERROR(I204/I156,"")))</f>
        <v/>
      </c>
      <c r="J205" s="15">
        <f>IF(OR(J204="",J156=""),"",IF(J156&lt;=0,"",IFERROR(J204/J156,"")))</f>
        <v/>
      </c>
      <c r="K205" s="15">
        <f>IF(OR(K204="",K156=""),"",IF(K156&lt;=0,"",IFERROR(K204/K156,"")))</f>
        <v/>
      </c>
      <c r="L205" s="15">
        <f>IF(OR(L204="",L156=""),"",IF(L156&lt;=0,"",IFERROR(L204/L156,"")))</f>
        <v/>
      </c>
      <c r="M205" s="15">
        <f>IF(OR(M204="",M156=""),"",IF(M156&lt;=0,"",IFERROR(M204/M156,"")))</f>
        <v/>
      </c>
      <c r="N205" s="15">
        <f>IF(OR(N204="",N156=""),"",IF(N156&lt;=0,"",IFERROR(N204/N156,"")))</f>
        <v/>
      </c>
      <c r="V205" s="15">
        <f>IF(OR(V204="",V156=""),"",IF(V156&lt;=0,"",IFERROR(V204/V156,"")))</f>
        <v/>
      </c>
      <c r="W205" s="15">
        <f>IF(OR(W204="",W156=""),"",IF(W156&lt;=0,"",IFERROR(W204/W156,"")))</f>
        <v/>
      </c>
      <c r="X205" s="15">
        <f>IF(OR(X204="",X156=""),"",IF(X156&lt;=0,"",IFERROR(X204/X156,"")))</f>
        <v/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IF(OR(G204="",C204=""),"",IF(C204&lt;=0,"",IFERROR(G204/C204-1,"")))</f>
        <v/>
      </c>
      <c r="H206" s="15">
        <f>IF(OR(H204="",D204=""),"",IF(D204&lt;=0,"",IFERROR(H204/D204-1,"")))</f>
        <v/>
      </c>
      <c r="I206" s="15">
        <f>IF(OR(I204="",E204=""),"",IF(E204&lt;=0,"",IFERROR(I204/E204-1,"")))</f>
        <v/>
      </c>
      <c r="J206" s="15">
        <f>IF(OR(J204="",F204=""),"",IF(F204&lt;=0,"",IFERROR(J204/F204-1,"")))</f>
        <v/>
      </c>
      <c r="K206" s="15">
        <f>IF(OR(K204="",G204=""),"",IF(G204&lt;=0,"",IFERROR(K204/G204-1,"")))</f>
        <v/>
      </c>
      <c r="L206" s="15">
        <f>IF(OR(L204="",H204=""),"",IF(H204&lt;=0,"",IFERROR(L204/H204-1,"")))</f>
        <v/>
      </c>
      <c r="M206" s="15">
        <f>IF(OR(M204="",I204=""),"",IF(I204&lt;=0,"",IFERROR(M204/I204-1,"")))</f>
        <v/>
      </c>
      <c r="N206" s="15">
        <f>IF(OR(N204="",J204=""),"",IF(J204&lt;=0,"",IFERROR(N204/J204-1,"")))</f>
        <v/>
      </c>
      <c r="V206" s="15">
        <f>IF(OR(V204="",U204=""),"",IF(U204&lt;=0,"",IFERROR(V204/U204-1,"")))</f>
        <v/>
      </c>
      <c r="W206" s="15">
        <f>IF(OR(W204="",V204=""),"",IF(V204&lt;=0,"",IFERROR(W204/V204-1,"")))</f>
        <v/>
      </c>
      <c r="X206" s="15">
        <f>IF(OR(X204="",W204=""),"",IF(W204&lt;=0,"",IFERROR(X204/W204-1,"")))</f>
        <v/>
      </c>
    </row>
    <row r="207">
      <c r="A207" s="18" t="inlineStr">
        <is>
          <t>금융수익</t>
        </is>
      </c>
      <c r="C207" s="20" t="n">
        <v>216</v>
      </c>
      <c r="D207" s="20" t="n">
        <v>281</v>
      </c>
      <c r="E207" s="20" t="n">
        <v>298</v>
      </c>
      <c r="F207" s="20" t="n">
        <v>286</v>
      </c>
      <c r="G207" s="20" t="n">
        <v>265</v>
      </c>
      <c r="H207" s="20" t="n">
        <v>321</v>
      </c>
      <c r="I207" s="20" t="n">
        <v>293</v>
      </c>
      <c r="J207" s="20" t="n">
        <v>223</v>
      </c>
      <c r="K207" s="20" t="n">
        <v>207</v>
      </c>
      <c r="L207" s="20" t="n">
        <v>274</v>
      </c>
      <c r="M207" s="20" t="n">
        <v>281</v>
      </c>
      <c r="N207" s="20" t="n">
        <v>458</v>
      </c>
      <c r="V207" s="20" t="n">
        <v>281</v>
      </c>
      <c r="W207" s="20" t="n">
        <v>321</v>
      </c>
      <c r="X207" s="20" t="n">
        <v>274</v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IF(OR(G207="",C207=""),"",IF(G207*C207&lt;=0,"",IFERROR(G207/C207-1,"")))</f>
        <v/>
      </c>
      <c r="H208" s="15">
        <f>IF(OR(H207="",D207=""),"",IF(H207*D207&lt;=0,"",IFERROR(H207/D207-1,"")))</f>
        <v/>
      </c>
      <c r="I208" s="15">
        <f>IF(OR(I207="",E207=""),"",IF(I207*E207&lt;=0,"",IFERROR(I207/E207-1,"")))</f>
        <v/>
      </c>
      <c r="J208" s="15">
        <f>IF(OR(J207="",F207=""),"",IF(J207*F207&lt;=0,"",IFERROR(J207/F207-1,"")))</f>
        <v/>
      </c>
      <c r="K208" s="15">
        <f>IF(OR(K207="",G207=""),"",IF(K207*G207&lt;=0,"",IFERROR(K207/G207-1,"")))</f>
        <v/>
      </c>
      <c r="L208" s="15">
        <f>IF(OR(L207="",H207=""),"",IF(L207*H207&lt;=0,"",IFERROR(L207/H207-1,"")))</f>
        <v/>
      </c>
      <c r="M208" s="15">
        <f>IF(OR(M207="",I207=""),"",IF(M207*I207&lt;=0,"",IFERROR(M207/I207-1,"")))</f>
        <v/>
      </c>
      <c r="N208" s="15">
        <f>IF(OR(N207="",J207=""),"",IF(N207*J207&lt;=0,"",IFERROR(N207/J207-1,"")))</f>
        <v/>
      </c>
      <c r="V208" s="15">
        <f>IF(OR(V207="",U207=""),"",IF(V207*U207&lt;=0,"",IFERROR(V207/U207-1,"")))</f>
        <v/>
      </c>
      <c r="W208" s="15">
        <f>IF(OR(W207="",V207=""),"",IF(W207*V207&lt;=0,"",IFERROR(W207/V207-1,"")))</f>
        <v/>
      </c>
      <c r="X208" s="15">
        <f>IF(OR(X207="",W207=""),"",IF(X207*W207&lt;=0,"",IFERROR(X207/W207-1,"")))</f>
        <v/>
      </c>
    </row>
    <row r="209">
      <c r="A209" s="18" t="inlineStr">
        <is>
          <t>금융비용</t>
        </is>
      </c>
      <c r="C209" s="20" t="n">
        <v>408</v>
      </c>
      <c r="D209" s="20" t="n">
        <v>369</v>
      </c>
      <c r="E209" s="20" t="n">
        <v>360</v>
      </c>
      <c r="F209" s="20" t="n">
        <v>337</v>
      </c>
      <c r="G209" s="20" t="n">
        <v>348</v>
      </c>
      <c r="H209" s="20" t="n">
        <v>397</v>
      </c>
      <c r="I209" s="20" t="n">
        <v>328</v>
      </c>
      <c r="J209" s="20" t="n">
        <v>333</v>
      </c>
      <c r="K209" s="20" t="n">
        <v>326</v>
      </c>
      <c r="L209" s="20" t="n">
        <v>460</v>
      </c>
      <c r="M209" s="20" t="n">
        <v>477</v>
      </c>
      <c r="N209" s="20" t="n">
        <v>427</v>
      </c>
      <c r="V209" s="20" t="n">
        <v>369</v>
      </c>
      <c r="W209" s="20" t="n">
        <v>397</v>
      </c>
      <c r="X209" s="20" t="n">
        <v>460</v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IF(OR(G209="",C209=""),"",IF(G209*C209&lt;=0,"",IFERROR(G209/C209-1,"")))</f>
        <v/>
      </c>
      <c r="H210" s="15">
        <f>IF(OR(H209="",D209=""),"",IF(H209*D209&lt;=0,"",IFERROR(H209/D209-1,"")))</f>
        <v/>
      </c>
      <c r="I210" s="15">
        <f>IF(OR(I209="",E209=""),"",IF(I209*E209&lt;=0,"",IFERROR(I209/E209-1,"")))</f>
        <v/>
      </c>
      <c r="J210" s="15">
        <f>IF(OR(J209="",F209=""),"",IF(J209*F209&lt;=0,"",IFERROR(J209/F209-1,"")))</f>
        <v/>
      </c>
      <c r="K210" s="15">
        <f>IF(OR(K209="",G209=""),"",IF(K209*G209&lt;=0,"",IFERROR(K209/G209-1,"")))</f>
        <v/>
      </c>
      <c r="L210" s="15">
        <f>IF(OR(L209="",H209=""),"",IF(L209*H209&lt;=0,"",IFERROR(L209/H209-1,"")))</f>
        <v/>
      </c>
      <c r="M210" s="15">
        <f>IF(OR(M209="",I209=""),"",IF(M209*I209&lt;=0,"",IFERROR(M209/I209-1,"")))</f>
        <v/>
      </c>
      <c r="N210" s="15">
        <f>IF(OR(N209="",J209=""),"",IF(N209*J209&lt;=0,"",IFERROR(N209/J209-1,"")))</f>
        <v/>
      </c>
      <c r="V210" s="15">
        <f>IF(OR(V209="",U209=""),"",IF(V209*U209&lt;=0,"",IFERROR(V209/U209-1,"")))</f>
        <v/>
      </c>
      <c r="W210" s="15">
        <f>IF(OR(W209="",V209=""),"",IF(W209*V209&lt;=0,"",IFERROR(W209/V209-1,"")))</f>
        <v/>
      </c>
      <c r="X210" s="15">
        <f>IF(OR(X209="",W209=""),"",IF(X209*W209&lt;=0,"",IFERROR(X209/W209-1,"")))</f>
        <v/>
      </c>
    </row>
    <row r="211">
      <c r="A211" s="18" t="inlineStr">
        <is>
          <t>지분법 투자손익(△ 손실)</t>
        </is>
      </c>
      <c r="C211" s="20" t="n">
        <v>209</v>
      </c>
      <c r="D211" s="20" t="n">
        <v>157</v>
      </c>
      <c r="E211" s="20" t="n">
        <v>989</v>
      </c>
      <c r="F211" s="20" t="n">
        <v>41</v>
      </c>
      <c r="G211" s="20" t="n">
        <v>659</v>
      </c>
      <c r="H211" s="20" t="n">
        <v>279</v>
      </c>
      <c r="I211" s="20" t="n">
        <v>569</v>
      </c>
      <c r="J211" s="20" t="n">
        <v>234</v>
      </c>
      <c r="K211" s="20" t="n">
        <v>613</v>
      </c>
      <c r="L211" s="20" t="n">
        <v>153</v>
      </c>
      <c r="M211" s="20" t="n">
        <v>493</v>
      </c>
      <c r="N211" s="20" t="n">
        <v>139</v>
      </c>
      <c r="V211" s="20" t="n">
        <v>157</v>
      </c>
      <c r="W211" s="20" t="n">
        <v>279</v>
      </c>
      <c r="X211" s="20" t="n">
        <v>153</v>
      </c>
    </row>
    <row r="212">
      <c r="A212" s="9" t="inlineStr">
        <is>
          <t>법인세비용차감전 중간이익</t>
        </is>
      </c>
      <c r="C212" s="12" t="n">
        <v>5192</v>
      </c>
      <c r="D212" s="12" t="n">
        <v>3313</v>
      </c>
      <c r="E212" s="12" t="n">
        <v>6950</v>
      </c>
      <c r="F212" s="12" t="n">
        <v>7523</v>
      </c>
      <c r="G212" s="12" t="n">
        <v>3803</v>
      </c>
      <c r="H212" s="12" t="n">
        <v>5214</v>
      </c>
      <c r="I212" s="12" t="n">
        <v>4891</v>
      </c>
      <c r="J212" s="12" t="n">
        <v>5401</v>
      </c>
      <c r="K212" s="12" t="n">
        <v>5730</v>
      </c>
      <c r="L212" s="12" t="n">
        <v>5638</v>
      </c>
      <c r="M212" s="12" t="n">
        <v>1823</v>
      </c>
      <c r="N212" s="12" t="n">
        <v>10132</v>
      </c>
      <c r="V212" s="12" t="n">
        <v>3313</v>
      </c>
      <c r="W212" s="12" t="n">
        <v>5214</v>
      </c>
      <c r="X212" s="12" t="n">
        <v>5638</v>
      </c>
    </row>
    <row r="214">
      <c r="A214" s="16" t="inlineStr">
        <is>
          <t>현금흐름표 · 전 항목</t>
        </is>
      </c>
      <c r="B214" s="42" t="inlineStr">
        <is>
          <t>분기 = 결산기 첫날부터 누계(공시 그대로)</t>
        </is>
      </c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  <c r="AA214" s="16" t="n"/>
      <c r="AB214" s="16" t="n"/>
      <c r="AC214" s="16" t="n"/>
    </row>
    <row r="215">
      <c r="A215" s="5" t="inlineStr">
        <is>
          <t>항목</t>
        </is>
      </c>
      <c r="B215" s="5" t="inlineStr">
        <is>
          <t>참고</t>
        </is>
      </c>
      <c r="C215" s="5" t="inlineStr">
        <is>
          <t>2024.3Q</t>
        </is>
      </c>
      <c r="D215" s="5" t="inlineStr">
        <is>
          <t>2024.4Q</t>
        </is>
      </c>
      <c r="E215" s="5" t="inlineStr">
        <is>
          <t>2025.1Q</t>
        </is>
      </c>
      <c r="F215" s="5" t="inlineStr">
        <is>
          <t>2025.2Q</t>
        </is>
      </c>
      <c r="G215" s="5" t="inlineStr">
        <is>
          <t>2025.3Q</t>
        </is>
      </c>
      <c r="H215" s="5" t="inlineStr">
        <is>
          <t>2025.4Q</t>
        </is>
      </c>
      <c r="I215" s="5" t="inlineStr">
        <is>
          <t>2026.1Q</t>
        </is>
      </c>
      <c r="J215" s="5" t="inlineStr">
        <is>
          <t>2026.2Q</t>
        </is>
      </c>
      <c r="K215" s="5" t="inlineStr">
        <is>
          <t>2026.3Q</t>
        </is>
      </c>
      <c r="L215" s="5" t="inlineStr">
        <is>
          <t>2026.4Q</t>
        </is>
      </c>
      <c r="M215" s="5" t="inlineStr">
        <is>
          <t>2027.1Q</t>
        </is>
      </c>
      <c r="N215" s="5" t="inlineStr">
        <is>
          <t>2027.2Q</t>
        </is>
      </c>
      <c r="O215" s="5" t="inlineStr">
        <is>
          <t>2017</t>
        </is>
      </c>
      <c r="P215" s="5" t="inlineStr">
        <is>
          <t>2018</t>
        </is>
      </c>
      <c r="Q215" s="5" t="inlineStr">
        <is>
          <t>2019</t>
        </is>
      </c>
      <c r="R215" s="5" t="inlineStr">
        <is>
          <t>2020</t>
        </is>
      </c>
      <c r="S215" s="5" t="inlineStr">
        <is>
          <t>2021</t>
        </is>
      </c>
      <c r="T215" s="5" t="inlineStr">
        <is>
          <t>2022</t>
        </is>
      </c>
      <c r="U215" s="5" t="inlineStr">
        <is>
          <t>2023</t>
        </is>
      </c>
      <c r="V215" s="5" t="inlineStr">
        <is>
          <t>2024</t>
        </is>
      </c>
      <c r="W215" s="5" t="inlineStr">
        <is>
          <t>2025</t>
        </is>
      </c>
      <c r="X215" s="5" t="inlineStr">
        <is>
          <t>2026</t>
        </is>
      </c>
      <c r="Y215" s="5" t="inlineStr">
        <is>
          <t>2027(MW)</t>
        </is>
      </c>
      <c r="Z215" s="5" t="inlineStr">
        <is>
          <t>2028(MW)</t>
        </is>
      </c>
      <c r="AA215" s="5" t="inlineStr">
        <is>
          <t>2029(MW)</t>
        </is>
      </c>
      <c r="AB215" s="5" t="inlineStr">
        <is>
          <t>2030(MW)</t>
        </is>
      </c>
      <c r="AC215" s="5" t="inlineStr">
        <is>
          <t>2031(MW)</t>
        </is>
      </c>
    </row>
    <row r="216">
      <c r="A216" s="9" t="inlineStr">
        <is>
          <t>법인세비용차감전 중간이익</t>
        </is>
      </c>
      <c r="C216" s="12" t="n">
        <v>14932</v>
      </c>
      <c r="D216" s="12" t="n">
        <v>18245</v>
      </c>
      <c r="E216" s="12" t="n">
        <v>6950</v>
      </c>
      <c r="F216" s="12" t="n">
        <v>14473</v>
      </c>
      <c r="G216" s="12" t="n">
        <v>18276</v>
      </c>
      <c r="H216" s="12" t="n">
        <v>23490</v>
      </c>
      <c r="I216" s="12" t="n">
        <v>4891</v>
      </c>
      <c r="J216" s="12" t="n">
        <v>10292</v>
      </c>
      <c r="K216" s="12" t="n">
        <v>16022</v>
      </c>
      <c r="L216" s="12" t="n">
        <v>21660</v>
      </c>
      <c r="M216" s="12" t="n">
        <v>1823</v>
      </c>
      <c r="N216" s="12" t="n">
        <v>11955</v>
      </c>
      <c r="P216" s="12" t="n">
        <v>5940</v>
      </c>
      <c r="Q216" s="12" t="n">
        <v>6401</v>
      </c>
      <c r="R216" s="12" t="n">
        <v>2877</v>
      </c>
      <c r="S216" s="12" t="n">
        <v>4533</v>
      </c>
      <c r="T216" s="12" t="n">
        <v>8515</v>
      </c>
      <c r="U216" s="12" t="n">
        <v>21161</v>
      </c>
      <c r="V216" s="12" t="n">
        <v>18245</v>
      </c>
      <c r="W216" s="12" t="n">
        <v>23490</v>
      </c>
      <c r="X216" s="12" t="n">
        <v>21660</v>
      </c>
    </row>
    <row r="217">
      <c r="A217" s="18" t="inlineStr">
        <is>
          <t>감가상각비 및 상각비</t>
        </is>
      </c>
      <c r="C217" s="20" t="n">
        <v>13554</v>
      </c>
      <c r="D217" s="20" t="n">
        <v>18182</v>
      </c>
      <c r="E217" s="20" t="n">
        <v>4375</v>
      </c>
      <c r="F217" s="20" t="n">
        <v>8737</v>
      </c>
      <c r="G217" s="20" t="n">
        <v>13040</v>
      </c>
      <c r="H217" s="20" t="n">
        <v>17292</v>
      </c>
      <c r="I217" s="20" t="n">
        <v>4239</v>
      </c>
      <c r="J217" s="20" t="n">
        <v>8579</v>
      </c>
      <c r="K217" s="20" t="n">
        <v>13155</v>
      </c>
      <c r="L217" s="20" t="n">
        <v>17967</v>
      </c>
      <c r="M217" s="20" t="n">
        <v>5115</v>
      </c>
      <c r="N217" s="20" t="n">
        <v>10359</v>
      </c>
      <c r="P217" s="20" t="n">
        <v>16862</v>
      </c>
      <c r="Q217" s="20" t="n">
        <v>17794</v>
      </c>
      <c r="R217" s="20" t="n">
        <v>20199</v>
      </c>
      <c r="S217" s="20" t="n">
        <v>19316</v>
      </c>
      <c r="T217" s="20" t="n">
        <v>17120</v>
      </c>
      <c r="U217" s="20" t="n">
        <v>17615</v>
      </c>
      <c r="V217" s="20" t="n">
        <v>18182</v>
      </c>
      <c r="W217" s="20" t="n">
        <v>17292</v>
      </c>
      <c r="X217" s="20" t="n">
        <v>17967</v>
      </c>
    </row>
    <row r="218">
      <c r="A218" s="18" t="inlineStr">
        <is>
          <t>손상차손</t>
        </is>
      </c>
      <c r="P218" s="20" t="n">
        <v>1553</v>
      </c>
      <c r="Q218" s="20" t="n">
        <v>1012</v>
      </c>
      <c r="R218" s="20" t="n">
        <v>1425</v>
      </c>
      <c r="S218" s="20" t="n">
        <v>2767</v>
      </c>
    </row>
    <row r="219">
      <c r="A219" s="18" t="inlineStr">
        <is>
          <t>손상차손 환입이익</t>
        </is>
      </c>
      <c r="P219" s="20" t="n">
        <v>-404</v>
      </c>
      <c r="Q219" s="20" t="n">
        <v>-15</v>
      </c>
    </row>
    <row r="220">
      <c r="A220" s="18" t="inlineStr">
        <is>
          <t>손상차손</t>
        </is>
      </c>
      <c r="C220" s="20" t="n">
        <v>421</v>
      </c>
      <c r="D220" s="20" t="n">
        <v>2993</v>
      </c>
      <c r="G220" s="20" t="n">
        <v>47</v>
      </c>
      <c r="H220" s="20" t="n">
        <v>1951</v>
      </c>
      <c r="L220" s="20" t="n">
        <v>701</v>
      </c>
      <c r="S220" s="20" t="n">
        <v>2767</v>
      </c>
      <c r="T220" s="20" t="n">
        <v>948</v>
      </c>
      <c r="U220" s="20" t="n">
        <v>2450</v>
      </c>
      <c r="V220" s="20" t="n">
        <v>2993</v>
      </c>
      <c r="W220" s="20" t="n">
        <v>1951</v>
      </c>
      <c r="X220" s="20" t="n">
        <v>701</v>
      </c>
    </row>
    <row r="221">
      <c r="A221" s="18" t="inlineStr">
        <is>
          <t>퇴직급여부채 증감</t>
        </is>
      </c>
      <c r="C221" s="20" t="n">
        <v>-472</v>
      </c>
      <c r="D221" s="20" t="n">
        <v>-952</v>
      </c>
      <c r="E221" s="20" t="n">
        <v>-627</v>
      </c>
      <c r="F221" s="20" t="n">
        <v>-640</v>
      </c>
      <c r="G221" s="20" t="n">
        <v>-1054</v>
      </c>
      <c r="H221" s="20" t="n">
        <v>-1359</v>
      </c>
      <c r="I221" s="20" t="n">
        <v>-146</v>
      </c>
      <c r="J221" s="20" t="n">
        <v>-435</v>
      </c>
      <c r="K221" s="20" t="n">
        <v>-669</v>
      </c>
      <c r="L221" s="20" t="n">
        <v>-1083</v>
      </c>
      <c r="M221" s="20" t="n">
        <v>-717</v>
      </c>
      <c r="N221" s="20" t="n">
        <v>-737</v>
      </c>
      <c r="P221" s="20" t="n">
        <v>236</v>
      </c>
      <c r="Q221" s="20" t="n">
        <v>-212</v>
      </c>
      <c r="R221" s="20" t="n">
        <v>-1560</v>
      </c>
      <c r="S221" s="20" t="n">
        <v>-429</v>
      </c>
      <c r="T221" s="20" t="n">
        <v>-1637</v>
      </c>
      <c r="U221" s="20" t="n">
        <v>-1952</v>
      </c>
      <c r="V221" s="20" t="n">
        <v>-952</v>
      </c>
      <c r="W221" s="20" t="n">
        <v>-1359</v>
      </c>
      <c r="X221" s="20" t="n">
        <v>-1083</v>
      </c>
    </row>
    <row r="222">
      <c r="A222" s="18" t="inlineStr">
        <is>
          <t>퇴직급여자산 증감</t>
        </is>
      </c>
      <c r="C222" s="20" t="n">
        <v>220</v>
      </c>
      <c r="D222" s="20" t="n">
        <v>293</v>
      </c>
      <c r="E222" s="20" t="n">
        <v>53</v>
      </c>
      <c r="F222" s="20" t="n">
        <v>108</v>
      </c>
      <c r="G222" s="20" t="n">
        <v>167</v>
      </c>
      <c r="H222" s="20" t="n">
        <v>211</v>
      </c>
      <c r="I222" s="20" t="n">
        <v>31</v>
      </c>
      <c r="J222" s="20" t="n">
        <v>62</v>
      </c>
      <c r="K222" s="20" t="n">
        <v>90</v>
      </c>
      <c r="L222" s="20" t="n">
        <v>97</v>
      </c>
      <c r="M222" s="20" t="n">
        <v>13</v>
      </c>
      <c r="N222" s="20" t="n">
        <v>29</v>
      </c>
      <c r="P222" s="20" t="n">
        <v>355</v>
      </c>
      <c r="Q222" s="20" t="n">
        <v>497</v>
      </c>
      <c r="R222" s="20" t="n">
        <v>990</v>
      </c>
      <c r="S222" s="20" t="n">
        <v>478</v>
      </c>
      <c r="T222" s="20" t="n">
        <v>466</v>
      </c>
      <c r="U222" s="20" t="n">
        <v>426</v>
      </c>
      <c r="V222" s="20" t="n">
        <v>293</v>
      </c>
      <c r="W222" s="20" t="n">
        <v>211</v>
      </c>
      <c r="X222" s="20" t="n">
        <v>97</v>
      </c>
    </row>
    <row r="223">
      <c r="A223" s="18" t="inlineStr">
        <is>
          <t>금융수익</t>
        </is>
      </c>
      <c r="C223" s="20" t="n">
        <v>-676</v>
      </c>
      <c r="D223" s="20" t="n">
        <v>-957</v>
      </c>
      <c r="E223" s="20" t="n">
        <v>-298</v>
      </c>
      <c r="F223" s="20" t="n">
        <v>-584</v>
      </c>
      <c r="G223" s="20" t="n">
        <v>-849</v>
      </c>
      <c r="H223" s="20" t="n">
        <v>-1170</v>
      </c>
      <c r="I223" s="20" t="n">
        <v>-293</v>
      </c>
      <c r="J223" s="20" t="n">
        <v>-516</v>
      </c>
      <c r="K223" s="20" t="n">
        <v>-723</v>
      </c>
      <c r="L223" s="20" t="n">
        <v>-997</v>
      </c>
      <c r="M223" s="20" t="n">
        <v>-281</v>
      </c>
      <c r="N223" s="20" t="n">
        <v>-739</v>
      </c>
      <c r="P223" s="20" t="n">
        <v>-249</v>
      </c>
      <c r="Q223" s="20" t="n">
        <v>-304</v>
      </c>
      <c r="R223" s="20" t="n">
        <v>-308</v>
      </c>
      <c r="S223" s="20" t="n">
        <v>-566</v>
      </c>
      <c r="T223" s="20" t="n">
        <v>-342</v>
      </c>
      <c r="U223" s="20" t="n">
        <v>-454</v>
      </c>
      <c r="V223" s="20" t="n">
        <v>-957</v>
      </c>
      <c r="W223" s="20" t="n">
        <v>-1170</v>
      </c>
      <c r="X223" s="20" t="n">
        <v>-997</v>
      </c>
    </row>
    <row r="224">
      <c r="A224" s="18" t="inlineStr">
        <is>
          <t>금융비용</t>
        </is>
      </c>
      <c r="C224" s="20" t="n">
        <v>1116</v>
      </c>
      <c r="D224" s="20" t="n">
        <v>1485</v>
      </c>
      <c r="E224" s="20" t="n">
        <v>360</v>
      </c>
      <c r="F224" s="20" t="n">
        <v>697</v>
      </c>
      <c r="G224" s="20" t="n">
        <v>1045</v>
      </c>
      <c r="H224" s="20" t="n">
        <v>1442</v>
      </c>
      <c r="I224" s="20" t="n">
        <v>328</v>
      </c>
      <c r="J224" s="20" t="n">
        <v>661</v>
      </c>
      <c r="K224" s="20" t="n">
        <v>987</v>
      </c>
      <c r="L224" s="20" t="n">
        <v>1447</v>
      </c>
      <c r="M224" s="20" t="n">
        <v>477</v>
      </c>
      <c r="N224" s="20" t="n">
        <v>904</v>
      </c>
      <c r="P224" s="20" t="n">
        <v>1346</v>
      </c>
      <c r="Q224" s="20" t="n">
        <v>1076</v>
      </c>
      <c r="R224" s="20" t="n">
        <v>1163</v>
      </c>
      <c r="S224" s="20" t="n">
        <v>1153</v>
      </c>
      <c r="T224" s="20" t="n">
        <v>1051</v>
      </c>
      <c r="U224" s="20" t="n">
        <v>1221</v>
      </c>
      <c r="V224" s="20" t="n">
        <v>1485</v>
      </c>
      <c r="W224" s="20" t="n">
        <v>1442</v>
      </c>
      <c r="X224" s="20" t="n">
        <v>1447</v>
      </c>
    </row>
    <row r="225">
      <c r="A225" s="18" t="inlineStr">
        <is>
          <t>Sales Of Available For Sale Financial Assets</t>
        </is>
      </c>
      <c r="P225" s="20" t="n">
        <v>-708</v>
      </c>
      <c r="Q225" s="20" t="n">
        <v>0</v>
      </c>
    </row>
    <row r="226">
      <c r="A226" s="18" t="inlineStr">
        <is>
          <t>투자사업조합 운용 손익(△는 이익)</t>
        </is>
      </c>
      <c r="P226" s="20" t="n">
        <v>-197</v>
      </c>
      <c r="Q226" s="20" t="n">
        <v>0</v>
      </c>
    </row>
    <row r="227">
      <c r="A227" s="18" t="inlineStr">
        <is>
          <t>Loss Gain On Valuation Of Financial Assets Of FVPL</t>
        </is>
      </c>
      <c r="P227" s="20" t="n">
        <v>0</v>
      </c>
      <c r="Q227" s="20" t="n">
        <v>-491</v>
      </c>
    </row>
    <row r="228">
      <c r="A228" s="18" t="inlineStr">
        <is>
          <t>Loss Gain On Valuation Of Financial Assets Of FVPLOpe CF</t>
        </is>
      </c>
      <c r="Q228" s="20" t="n">
        <v>-491</v>
      </c>
      <c r="R228" s="20" t="n">
        <v>-352</v>
      </c>
      <c r="S228" s="20" t="n">
        <v>-107</v>
      </c>
    </row>
    <row r="229">
      <c r="A229" s="18" t="inlineStr">
        <is>
          <t>Evaluation Profit And Loss Of Financial Assets To Measure In Fair Value Through Net Profit Or Loss Gain Ope CF</t>
        </is>
      </c>
      <c r="C229" s="20" t="n">
        <v>-194</v>
      </c>
      <c r="D229" s="20" t="n">
        <v>-54</v>
      </c>
      <c r="E229" s="20" t="n">
        <v>-115</v>
      </c>
      <c r="F229" s="20" t="n">
        <v>204</v>
      </c>
      <c r="G229" s="20" t="n">
        <v>1017</v>
      </c>
      <c r="H229" s="20" t="n">
        <v>1008</v>
      </c>
      <c r="I229" s="20" t="n">
        <v>51</v>
      </c>
      <c r="J229" s="20" t="n">
        <v>67</v>
      </c>
      <c r="K229" s="20" t="n">
        <v>44</v>
      </c>
      <c r="L229" s="20" t="n">
        <v>175</v>
      </c>
      <c r="M229" s="20" t="n">
        <v>2</v>
      </c>
      <c r="S229" s="20" t="n">
        <v>-107</v>
      </c>
      <c r="T229" s="20" t="n">
        <v>-1792</v>
      </c>
      <c r="U229" s="20" t="n">
        <v>-428</v>
      </c>
      <c r="V229" s="20" t="n">
        <v>-54</v>
      </c>
      <c r="W229" s="20" t="n">
        <v>1008</v>
      </c>
      <c r="X229" s="20" t="n">
        <v>175</v>
      </c>
    </row>
    <row r="230">
      <c r="A230" s="18" t="inlineStr">
        <is>
          <t>고정자산 매각손익</t>
        </is>
      </c>
      <c r="C230" s="20" t="n">
        <v>-402</v>
      </c>
      <c r="D230" s="20" t="n">
        <v>-415</v>
      </c>
      <c r="E230" s="20" t="n">
        <v>-21</v>
      </c>
      <c r="F230" s="20" t="n">
        <v>-1227</v>
      </c>
      <c r="G230" s="20" t="n">
        <v>-1231</v>
      </c>
      <c r="H230" s="20" t="n">
        <v>-1230</v>
      </c>
      <c r="I230" s="20" t="n">
        <v>-1222</v>
      </c>
      <c r="J230" s="20" t="n">
        <v>-1205</v>
      </c>
      <c r="K230" s="20" t="n">
        <v>-1208</v>
      </c>
      <c r="L230" s="20" t="n">
        <v>-1224</v>
      </c>
      <c r="M230" s="20" t="n">
        <v>-2</v>
      </c>
      <c r="N230" s="20" t="n">
        <v>-12</v>
      </c>
      <c r="P230" s="20" t="n">
        <v>-735</v>
      </c>
      <c r="Q230" s="20" t="n">
        <v>-69</v>
      </c>
      <c r="R230" s="20" t="n">
        <v>-348</v>
      </c>
      <c r="S230" s="20" t="n">
        <v>-31</v>
      </c>
      <c r="T230" s="20" t="n">
        <v>-36</v>
      </c>
      <c r="U230" s="20" t="n">
        <v>-9772</v>
      </c>
      <c r="V230" s="20" t="n">
        <v>-415</v>
      </c>
      <c r="W230" s="20" t="n">
        <v>-1230</v>
      </c>
      <c r="X230" s="20" t="n">
        <v>-1224</v>
      </c>
    </row>
    <row r="231">
      <c r="A231" s="18" t="inlineStr">
        <is>
          <t>고정자산 제각손실</t>
        </is>
      </c>
      <c r="P231" s="20" t="n">
        <v>136</v>
      </c>
      <c r="Q231" s="20" t="n">
        <v>401</v>
      </c>
      <c r="R231" s="20" t="n">
        <v>86</v>
      </c>
    </row>
    <row r="232">
      <c r="A232" s="18" t="inlineStr">
        <is>
          <t>퇴직급여제도 개정 손익</t>
        </is>
      </c>
      <c r="P232" s="20" t="n">
        <v>-429</v>
      </c>
      <c r="Q232" s="20" t="n">
        <v>0</v>
      </c>
    </row>
    <row r="233">
      <c r="A233" s="18" t="inlineStr">
        <is>
          <t>고정자산 제각손실</t>
        </is>
      </c>
      <c r="C233" s="20" t="n">
        <v>53</v>
      </c>
      <c r="D233" s="20" t="n">
        <v>84</v>
      </c>
      <c r="E233" s="20" t="n">
        <v>7</v>
      </c>
      <c r="F233" s="20" t="n">
        <v>371</v>
      </c>
      <c r="G233" s="20" t="n">
        <v>384</v>
      </c>
      <c r="H233" s="20" t="n">
        <v>398</v>
      </c>
      <c r="I233" s="20" t="n">
        <v>16</v>
      </c>
      <c r="J233" s="20" t="n">
        <v>33</v>
      </c>
      <c r="K233" s="20" t="n">
        <v>282</v>
      </c>
      <c r="L233" s="20" t="n">
        <v>547</v>
      </c>
      <c r="M233" s="20" t="n">
        <v>0</v>
      </c>
      <c r="R233" s="20" t="n">
        <v>86</v>
      </c>
      <c r="S233" s="20" t="n">
        <v>843</v>
      </c>
      <c r="T233" s="20" t="n">
        <v>134</v>
      </c>
      <c r="U233" s="20" t="n">
        <v>178</v>
      </c>
      <c r="V233" s="20" t="n">
        <v>84</v>
      </c>
      <c r="W233" s="20" t="n">
        <v>398</v>
      </c>
      <c r="X233" s="20" t="n">
        <v>547</v>
      </c>
    </row>
    <row r="234">
      <c r="A234" s="18" t="inlineStr">
        <is>
          <t>Loss Gain On Sales Of Subsidiaries Ope CF</t>
        </is>
      </c>
      <c r="D234" s="20" t="n">
        <v>-2436</v>
      </c>
      <c r="H234" s="20" t="n">
        <v>0</v>
      </c>
      <c r="L234" s="20" t="n">
        <v>796</v>
      </c>
      <c r="S234" s="20" t="n">
        <v>0</v>
      </c>
      <c r="T234" s="20" t="n">
        <v>-1494</v>
      </c>
      <c r="U234" s="20" t="n">
        <v>407</v>
      </c>
      <c r="V234" s="20" t="n">
        <v>-2436</v>
      </c>
      <c r="W234" s="20" t="n">
        <v>0</v>
      </c>
      <c r="X234" s="20" t="n">
        <v>796</v>
      </c>
    </row>
    <row r="235">
      <c r="A235" s="18" t="inlineStr">
        <is>
          <t>자회사 청산손익</t>
        </is>
      </c>
      <c r="H235" s="20" t="n">
        <v>0</v>
      </c>
      <c r="L235" s="20" t="n">
        <v>-939</v>
      </c>
      <c r="W235" s="20" t="n">
        <v>0</v>
      </c>
      <c r="X235" s="20" t="n">
        <v>-939</v>
      </c>
    </row>
    <row r="236">
      <c r="A236" s="18" t="inlineStr">
        <is>
          <t>지분법손익</t>
        </is>
      </c>
      <c r="C236" s="20" t="n">
        <v>-390</v>
      </c>
      <c r="D236" s="20" t="n">
        <v>-547</v>
      </c>
      <c r="E236" s="20" t="n">
        <v>-989</v>
      </c>
      <c r="F236" s="20" t="n">
        <v>-1030</v>
      </c>
      <c r="G236" s="20" t="n">
        <v>-1689</v>
      </c>
      <c r="H236" s="20" t="n">
        <v>-1968</v>
      </c>
      <c r="I236" s="20" t="n">
        <v>-569</v>
      </c>
      <c r="J236" s="20" t="n">
        <v>-803</v>
      </c>
      <c r="K236" s="20" t="n">
        <v>-1416</v>
      </c>
      <c r="L236" s="20" t="n">
        <v>-1569</v>
      </c>
      <c r="M236" s="20" t="n">
        <v>-493</v>
      </c>
      <c r="N236" s="20" t="n">
        <v>-632</v>
      </c>
      <c r="V236" s="20" t="n">
        <v>-547</v>
      </c>
      <c r="W236" s="20" t="n">
        <v>-1968</v>
      </c>
      <c r="X236" s="20" t="n">
        <v>-1569</v>
      </c>
    </row>
    <row r="237">
      <c r="A237" s="18" t="inlineStr">
        <is>
          <t>매출채권 및 기타채권 증감액</t>
        </is>
      </c>
      <c r="C237" s="20" t="n">
        <v>-2568</v>
      </c>
      <c r="D237" s="20" t="n">
        <v>-4607</v>
      </c>
      <c r="E237" s="20" t="n">
        <v>3774</v>
      </c>
      <c r="F237" s="20" t="n">
        <v>4705</v>
      </c>
      <c r="G237" s="20" t="n">
        <v>4889</v>
      </c>
      <c r="H237" s="20" t="n">
        <v>-4511</v>
      </c>
      <c r="I237" s="20" t="n">
        <v>12254</v>
      </c>
      <c r="J237" s="20" t="n">
        <v>11318</v>
      </c>
      <c r="K237" s="20" t="n">
        <v>9767</v>
      </c>
      <c r="L237" s="20" t="n">
        <v>1810</v>
      </c>
      <c r="M237" s="20" t="n">
        <v>6794</v>
      </c>
      <c r="N237" s="20" t="n">
        <v>230</v>
      </c>
      <c r="P237" s="20" t="n">
        <v>-2251</v>
      </c>
      <c r="Q237" s="20" t="n">
        <v>1000</v>
      </c>
      <c r="R237" s="20" t="n">
        <v>6101</v>
      </c>
      <c r="S237" s="20" t="n">
        <v>212</v>
      </c>
      <c r="T237" s="20" t="n">
        <v>-5623</v>
      </c>
      <c r="U237" s="20" t="n">
        <v>3002</v>
      </c>
      <c r="V237" s="20" t="n">
        <v>-4607</v>
      </c>
      <c r="W237" s="20" t="n">
        <v>-4511</v>
      </c>
      <c r="X237" s="20" t="n">
        <v>1810</v>
      </c>
    </row>
    <row r="238">
      <c r="A238" s="18" t="inlineStr">
        <is>
          <t>계약자산 증감액</t>
        </is>
      </c>
      <c r="J238" s="20" t="n">
        <v>-571</v>
      </c>
      <c r="N238" s="20" t="n">
        <v>671</v>
      </c>
    </row>
    <row r="239">
      <c r="A239" s="18" t="inlineStr">
        <is>
          <t>재고자산 증감</t>
        </is>
      </c>
      <c r="C239" s="20" t="n">
        <v>4107</v>
      </c>
      <c r="D239" s="20" t="n">
        <v>10715</v>
      </c>
      <c r="E239" s="20" t="n">
        <v>-1673</v>
      </c>
      <c r="F239" s="20" t="n">
        <v>-4106</v>
      </c>
      <c r="G239" s="20" t="n">
        <v>-3290</v>
      </c>
      <c r="H239" s="20" t="n">
        <v>4073</v>
      </c>
      <c r="I239" s="20" t="n">
        <v>-2667</v>
      </c>
      <c r="J239" s="20" t="n">
        <v>-1147</v>
      </c>
      <c r="K239" s="20" t="n">
        <v>-1761</v>
      </c>
      <c r="L239" s="20" t="n">
        <v>1496</v>
      </c>
      <c r="M239" s="20" t="n">
        <v>-3139</v>
      </c>
      <c r="N239" s="20" t="n">
        <v>-4198</v>
      </c>
      <c r="P239" s="20" t="n">
        <v>-4544</v>
      </c>
      <c r="Q239" s="20" t="n">
        <v>-17</v>
      </c>
      <c r="R239" s="20" t="n">
        <v>-2882</v>
      </c>
      <c r="S239" s="20" t="n">
        <v>4631</v>
      </c>
      <c r="T239" s="20" t="n">
        <v>-9596</v>
      </c>
      <c r="U239" s="20" t="n">
        <v>-9314</v>
      </c>
      <c r="V239" s="20" t="n">
        <v>10715</v>
      </c>
      <c r="W239" s="20" t="n">
        <v>4073</v>
      </c>
      <c r="X239" s="20" t="n">
        <v>1496</v>
      </c>
    </row>
    <row r="240">
      <c r="A240" s="18" t="inlineStr">
        <is>
          <t>매입채무 및 기타채무 증감액</t>
        </is>
      </c>
      <c r="C240" s="20" t="n">
        <v>1118</v>
      </c>
      <c r="D240" s="20" t="n">
        <v>-2480</v>
      </c>
      <c r="E240" s="20" t="n">
        <v>3530</v>
      </c>
      <c r="F240" s="20" t="n">
        <v>-242</v>
      </c>
      <c r="G240" s="20" t="n">
        <v>6168</v>
      </c>
      <c r="H240" s="20" t="n">
        <v>-2796</v>
      </c>
      <c r="I240" s="20" t="n">
        <v>-688</v>
      </c>
      <c r="J240" s="20" t="n">
        <v>-1500</v>
      </c>
      <c r="K240" s="20" t="n">
        <v>1325</v>
      </c>
      <c r="L240" s="20" t="n">
        <v>11</v>
      </c>
      <c r="M240" s="20" t="n">
        <v>1307</v>
      </c>
      <c r="N240" s="20" t="n">
        <v>2374</v>
      </c>
      <c r="P240" s="20" t="n">
        <v>4587</v>
      </c>
      <c r="Q240" s="20" t="n">
        <v>-2197</v>
      </c>
      <c r="R240" s="20" t="n">
        <v>-3938</v>
      </c>
      <c r="S240" s="20" t="n">
        <v>3874</v>
      </c>
      <c r="T240" s="20" t="n">
        <v>3460</v>
      </c>
      <c r="U240" s="20" t="n">
        <v>2203</v>
      </c>
      <c r="V240" s="20" t="n">
        <v>-2480</v>
      </c>
      <c r="W240" s="20" t="n">
        <v>-2796</v>
      </c>
      <c r="X240" s="20" t="n">
        <v>11</v>
      </c>
    </row>
    <row r="241">
      <c r="A241" s="18" t="inlineStr">
        <is>
          <t>미지급비용 증감</t>
        </is>
      </c>
      <c r="C241" s="20" t="n">
        <v>-2860</v>
      </c>
      <c r="D241" s="20" t="n">
        <v>1172</v>
      </c>
      <c r="G241" s="20" t="n">
        <v>-2954</v>
      </c>
      <c r="H241" s="20" t="n">
        <v>2767</v>
      </c>
      <c r="K241" s="20" t="n">
        <v>-7167</v>
      </c>
      <c r="L241" s="20" t="n">
        <v>-2253</v>
      </c>
      <c r="U241" s="20" t="n">
        <v>1195</v>
      </c>
      <c r="V241" s="20" t="n">
        <v>1172</v>
      </c>
      <c r="W241" s="20" t="n">
        <v>2767</v>
      </c>
      <c r="X241" s="20" t="n">
        <v>-2253</v>
      </c>
    </row>
    <row r="242">
      <c r="A242" s="18" t="inlineStr">
        <is>
          <t>미지급비용 증감</t>
        </is>
      </c>
      <c r="C242" s="20" t="n">
        <v>-2860</v>
      </c>
      <c r="E242" s="20" t="n">
        <v>-4912</v>
      </c>
      <c r="F242" s="20" t="n">
        <v>-2132</v>
      </c>
      <c r="I242" s="20" t="n">
        <v>-6790</v>
      </c>
      <c r="J242" s="20" t="n">
        <v>-4344</v>
      </c>
      <c r="M242" s="20" t="n">
        <v>-4427</v>
      </c>
      <c r="N242" s="20" t="n">
        <v>378</v>
      </c>
    </row>
    <row r="243">
      <c r="A243" s="18" t="inlineStr">
        <is>
          <t>기타 유동부채 증감</t>
        </is>
      </c>
      <c r="C243" s="20" t="n">
        <v>326</v>
      </c>
      <c r="D243" s="20" t="n">
        <v>865</v>
      </c>
      <c r="E243" s="20" t="n">
        <v>2007</v>
      </c>
      <c r="F243" s="20" t="n">
        <v>1029</v>
      </c>
      <c r="G243" s="20" t="n">
        <v>412</v>
      </c>
      <c r="H243" s="20" t="n">
        <v>-879</v>
      </c>
      <c r="I243" s="20" t="n">
        <v>1814</v>
      </c>
      <c r="J243" s="20" t="n">
        <v>-484</v>
      </c>
      <c r="K243" s="20" t="n">
        <v>159</v>
      </c>
      <c r="L243" s="20" t="n">
        <v>-1091</v>
      </c>
      <c r="M243" s="20" t="n">
        <v>5231</v>
      </c>
      <c r="N243" s="20" t="n">
        <v>1087</v>
      </c>
      <c r="P243" s="20" t="n">
        <v>183</v>
      </c>
      <c r="Q243" s="20" t="n">
        <v>-1756</v>
      </c>
      <c r="R243" s="20" t="n">
        <v>-174</v>
      </c>
      <c r="S243" s="20" t="n">
        <v>496</v>
      </c>
      <c r="T243" s="20" t="n">
        <v>-41</v>
      </c>
      <c r="U243" s="20" t="n">
        <v>1443</v>
      </c>
      <c r="V243" s="20" t="n">
        <v>865</v>
      </c>
      <c r="W243" s="20" t="n">
        <v>-879</v>
      </c>
      <c r="X243" s="20" t="n">
        <v>-1091</v>
      </c>
    </row>
    <row r="244">
      <c r="A244" s="18" t="inlineStr">
        <is>
          <t>기타</t>
        </is>
      </c>
      <c r="C244" s="20" t="n">
        <v>-1223</v>
      </c>
      <c r="D244" s="20" t="n">
        <v>-2614</v>
      </c>
      <c r="E244" s="20" t="n">
        <v>-2624</v>
      </c>
      <c r="F244" s="20" t="n">
        <v>-2337</v>
      </c>
      <c r="G244" s="20" t="n">
        <v>-2147</v>
      </c>
      <c r="H244" s="20" t="n">
        <v>-3288</v>
      </c>
      <c r="I244" s="20" t="n">
        <v>-2089</v>
      </c>
      <c r="J244" s="20" t="n">
        <v>-1682</v>
      </c>
      <c r="K244" s="20" t="n">
        <v>-1390</v>
      </c>
      <c r="L244" s="20" t="n">
        <v>182</v>
      </c>
      <c r="M244" s="20" t="n">
        <v>1375</v>
      </c>
      <c r="N244" s="20" t="n">
        <v>3618</v>
      </c>
      <c r="P244" s="20" t="n">
        <v>-204</v>
      </c>
      <c r="Q244" s="20" t="n">
        <v>492</v>
      </c>
      <c r="R244" s="20" t="n">
        <v>757</v>
      </c>
      <c r="S244" s="20" t="n">
        <v>731</v>
      </c>
      <c r="T244" s="20" t="n">
        <v>-1378</v>
      </c>
      <c r="U244" s="20" t="n">
        <v>999</v>
      </c>
      <c r="V244" s="20" t="n">
        <v>-2614</v>
      </c>
      <c r="W244" s="20" t="n">
        <v>-3288</v>
      </c>
      <c r="X244" s="20" t="n">
        <v>182</v>
      </c>
    </row>
    <row r="245">
      <c r="A245" s="18" t="inlineStr">
        <is>
          <t>소계</t>
        </is>
      </c>
      <c r="C245" s="20" t="n">
        <v>27061</v>
      </c>
      <c r="D245" s="20" t="n">
        <v>38972</v>
      </c>
      <c r="E245" s="20" t="n">
        <v>9797</v>
      </c>
      <c r="F245" s="20" t="n">
        <v>18027</v>
      </c>
      <c r="G245" s="20" t="n">
        <v>32185</v>
      </c>
      <c r="H245" s="20" t="n">
        <v>35430</v>
      </c>
      <c r="I245" s="20" t="n">
        <v>9160</v>
      </c>
      <c r="J245" s="20" t="n">
        <v>18222</v>
      </c>
      <c r="K245" s="20" t="n">
        <v>27498</v>
      </c>
      <c r="L245" s="20" t="n">
        <v>37734</v>
      </c>
      <c r="M245" s="20" t="n">
        <v>13082</v>
      </c>
      <c r="N245" s="20" t="n">
        <v>25289</v>
      </c>
      <c r="P245" s="20" t="n">
        <v>21477</v>
      </c>
      <c r="Q245" s="20" t="n">
        <v>23626</v>
      </c>
      <c r="R245" s="20" t="n">
        <v>24038</v>
      </c>
      <c r="S245" s="20" t="n">
        <v>37904</v>
      </c>
      <c r="T245" s="20" t="n">
        <v>9754</v>
      </c>
      <c r="U245" s="20" t="n">
        <v>30382</v>
      </c>
      <c r="V245" s="20" t="n">
        <v>38972</v>
      </c>
      <c r="W245" s="20" t="n">
        <v>35430</v>
      </c>
      <c r="X245" s="20" t="n">
        <v>37734</v>
      </c>
    </row>
    <row r="246">
      <c r="A246" s="18" t="inlineStr">
        <is>
          <t>이자 수취</t>
        </is>
      </c>
      <c r="C246" s="20" t="n">
        <v>585</v>
      </c>
      <c r="D246" s="20" t="n">
        <v>866</v>
      </c>
      <c r="E246" s="20" t="n">
        <v>243</v>
      </c>
      <c r="F246" s="20" t="n">
        <v>528</v>
      </c>
      <c r="G246" s="20" t="n">
        <v>756</v>
      </c>
      <c r="H246" s="20" t="n">
        <v>1078</v>
      </c>
      <c r="I246" s="20" t="n">
        <v>208</v>
      </c>
      <c r="J246" s="20" t="n">
        <v>430</v>
      </c>
      <c r="K246" s="20" t="n">
        <v>610</v>
      </c>
      <c r="L246" s="20" t="n">
        <v>841</v>
      </c>
      <c r="M246" s="20" t="n">
        <v>218</v>
      </c>
      <c r="N246" s="20" t="n">
        <v>670</v>
      </c>
      <c r="P246" s="20" t="n">
        <v>173</v>
      </c>
      <c r="Q246" s="20" t="n">
        <v>229</v>
      </c>
      <c r="R246" s="20" t="n">
        <v>243</v>
      </c>
      <c r="S246" s="20" t="n">
        <v>131</v>
      </c>
      <c r="T246" s="20" t="n">
        <v>95</v>
      </c>
      <c r="U246" s="20" t="n">
        <v>356</v>
      </c>
      <c r="V246" s="20" t="n">
        <v>866</v>
      </c>
      <c r="W246" s="20" t="n">
        <v>1078</v>
      </c>
      <c r="X246" s="20" t="n">
        <v>841</v>
      </c>
    </row>
    <row r="247">
      <c r="A247" s="18" t="inlineStr">
        <is>
          <t>배당금 수취액</t>
        </is>
      </c>
      <c r="C247" s="20" t="n">
        <v>276</v>
      </c>
      <c r="D247" s="20" t="n">
        <v>276</v>
      </c>
      <c r="E247" s="20" t="n">
        <v>54</v>
      </c>
      <c r="F247" s="20" t="n">
        <v>55</v>
      </c>
      <c r="G247" s="20" t="n">
        <v>92</v>
      </c>
      <c r="H247" s="20" t="n">
        <v>280</v>
      </c>
      <c r="I247" s="20" t="n">
        <v>83</v>
      </c>
      <c r="J247" s="20" t="n">
        <v>83</v>
      </c>
      <c r="K247" s="20" t="n">
        <v>108</v>
      </c>
      <c r="L247" s="20" t="n">
        <v>392</v>
      </c>
      <c r="M247" s="20" t="n">
        <v>62</v>
      </c>
      <c r="N247" s="20" t="n">
        <v>62</v>
      </c>
      <c r="P247" s="20" t="n">
        <v>75</v>
      </c>
      <c r="Q247" s="20" t="n">
        <v>74</v>
      </c>
      <c r="R247" s="20" t="n">
        <v>65</v>
      </c>
      <c r="S247" s="20" t="n">
        <v>434</v>
      </c>
      <c r="T247" s="20" t="n">
        <v>226</v>
      </c>
      <c r="U247" s="20" t="n">
        <v>63</v>
      </c>
      <c r="V247" s="20" t="n">
        <v>276</v>
      </c>
      <c r="W247" s="20" t="n">
        <v>280</v>
      </c>
      <c r="X247" s="20" t="n">
        <v>392</v>
      </c>
    </row>
    <row r="248">
      <c r="A248" s="18" t="inlineStr">
        <is>
          <t>이자 지급</t>
        </is>
      </c>
      <c r="C248" s="20" t="n">
        <v>-1002</v>
      </c>
      <c r="D248" s="20" t="n">
        <v>-1320</v>
      </c>
      <c r="E248" s="20" t="n">
        <v>-329</v>
      </c>
      <c r="F248" s="20" t="n">
        <v>-627</v>
      </c>
      <c r="G248" s="20" t="n">
        <v>-944</v>
      </c>
      <c r="H248" s="20" t="n">
        <v>-1304</v>
      </c>
      <c r="I248" s="20" t="n">
        <v>-298</v>
      </c>
      <c r="J248" s="20" t="n">
        <v>-602</v>
      </c>
      <c r="K248" s="20" t="n">
        <v>-859</v>
      </c>
      <c r="L248" s="20" t="n">
        <v>-1174</v>
      </c>
      <c r="M248" s="20" t="n">
        <v>-318</v>
      </c>
      <c r="N248" s="20" t="n">
        <v>-592</v>
      </c>
      <c r="P248" s="20" t="n">
        <v>-915</v>
      </c>
      <c r="Q248" s="20" t="n">
        <v>-863</v>
      </c>
      <c r="R248" s="20" t="n">
        <v>-1035</v>
      </c>
      <c r="S248" s="20" t="n">
        <v>-958</v>
      </c>
      <c r="T248" s="20" t="n">
        <v>-923</v>
      </c>
      <c r="U248" s="20" t="n">
        <v>-1048</v>
      </c>
      <c r="V248" s="20" t="n">
        <v>-1320</v>
      </c>
      <c r="W248" s="20" t="n">
        <v>-1304</v>
      </c>
      <c r="X248" s="20" t="n">
        <v>-1174</v>
      </c>
    </row>
    <row r="249">
      <c r="A249" s="18" t="inlineStr">
        <is>
          <t>법인소득세 지급액</t>
        </is>
      </c>
      <c r="C249" s="20" t="n">
        <v>-4037</v>
      </c>
      <c r="D249" s="20" t="n">
        <v>-5622</v>
      </c>
      <c r="E249" s="20" t="n">
        <v>-818</v>
      </c>
      <c r="F249" s="20" t="n">
        <v>-2025</v>
      </c>
      <c r="G249" s="20" t="n">
        <v>-3191</v>
      </c>
      <c r="H249" s="20" t="n">
        <v>-4033</v>
      </c>
      <c r="I249" s="20" t="n">
        <v>-1513</v>
      </c>
      <c r="J249" s="20" t="n">
        <v>-2046</v>
      </c>
      <c r="K249" s="20" t="n">
        <v>-3075</v>
      </c>
      <c r="L249" s="20" t="n">
        <v>-4036</v>
      </c>
      <c r="M249" s="20" t="n">
        <v>-1153</v>
      </c>
      <c r="N249" s="20" t="n">
        <v>-1668</v>
      </c>
      <c r="P249" s="20" t="n">
        <v>-2431</v>
      </c>
      <c r="Q249" s="20" t="n">
        <v>-2083</v>
      </c>
      <c r="R249" s="20" t="n">
        <v>-1669</v>
      </c>
      <c r="S249" s="20" t="n">
        <v>-1683</v>
      </c>
      <c r="T249" s="20" t="n">
        <v>-2092</v>
      </c>
      <c r="U249" s="20" t="n">
        <v>-3146</v>
      </c>
      <c r="V249" s="20" t="n">
        <v>-5622</v>
      </c>
      <c r="W249" s="20" t="n">
        <v>-4033</v>
      </c>
      <c r="X249" s="20" t="n">
        <v>-4036</v>
      </c>
    </row>
    <row r="250">
      <c r="A250" s="9" t="inlineStr">
        <is>
          <t>영업활동 현금흐름</t>
        </is>
      </c>
      <c r="C250" s="12" t="n">
        <v>22884</v>
      </c>
      <c r="D250" s="12" t="n">
        <v>33172</v>
      </c>
      <c r="E250" s="12" t="n">
        <v>8947</v>
      </c>
      <c r="F250" s="12" t="n">
        <v>15958</v>
      </c>
      <c r="G250" s="12" t="n">
        <v>28898</v>
      </c>
      <c r="H250" s="12" t="n">
        <v>31452</v>
      </c>
      <c r="I250" s="12" t="n">
        <v>7640</v>
      </c>
      <c r="J250" s="12" t="n">
        <v>16087</v>
      </c>
      <c r="K250" s="12" t="n">
        <v>24282</v>
      </c>
      <c r="L250" s="12" t="n">
        <v>33758</v>
      </c>
      <c r="M250" s="12" t="n">
        <v>11892</v>
      </c>
      <c r="N250" s="12" t="n">
        <v>23762</v>
      </c>
      <c r="P250" s="12" t="n">
        <v>18379</v>
      </c>
      <c r="Q250" s="12" t="n">
        <v>20983</v>
      </c>
      <c r="R250" s="12" t="n">
        <v>21642</v>
      </c>
      <c r="S250" s="12" t="n">
        <v>35829</v>
      </c>
      <c r="T250" s="12" t="n">
        <v>7059</v>
      </c>
      <c r="U250" s="12" t="n">
        <v>26607</v>
      </c>
      <c r="V250" s="12" t="n">
        <v>33172</v>
      </c>
      <c r="W250" s="12" t="n">
        <v>31452</v>
      </c>
      <c r="X250" s="12" t="n">
        <v>33758</v>
      </c>
    </row>
    <row r="251">
      <c r="A251" s="18" t="inlineStr">
        <is>
          <t>정기예금 예입</t>
        </is>
      </c>
      <c r="P251" s="20" t="n">
        <v>-106</v>
      </c>
      <c r="Q251" s="20" t="n">
        <v>-324</v>
      </c>
      <c r="R251" s="20" t="n">
        <v>-0</v>
      </c>
      <c r="S251" s="20" t="n">
        <v>-6</v>
      </c>
    </row>
    <row r="252">
      <c r="A252" s="18" t="inlineStr">
        <is>
          <t>정기예금 인출</t>
        </is>
      </c>
      <c r="P252" s="20" t="n">
        <v>943</v>
      </c>
      <c r="Q252" s="20" t="n">
        <v>23</v>
      </c>
      <c r="R252" s="20" t="n">
        <v>412</v>
      </c>
      <c r="S252" s="20" t="n">
        <v>9</v>
      </c>
    </row>
    <row r="253">
      <c r="A253" s="18" t="inlineStr">
        <is>
          <t>유형자산 취득(설비투자)</t>
        </is>
      </c>
      <c r="C253" s="20" t="n">
        <v>-7671</v>
      </c>
      <c r="D253" s="20" t="n">
        <v>-11697</v>
      </c>
      <c r="E253" s="20" t="n">
        <v>-2302</v>
      </c>
      <c r="F253" s="20" t="n">
        <v>-6571</v>
      </c>
      <c r="G253" s="20" t="n">
        <v>-11111</v>
      </c>
      <c r="H253" s="20" t="n">
        <v>-12711</v>
      </c>
      <c r="I253" s="20" t="n">
        <v>-1866</v>
      </c>
      <c r="J253" s="20" t="n">
        <v>-4011</v>
      </c>
      <c r="K253" s="20" t="n">
        <v>-7219</v>
      </c>
      <c r="L253" s="20" t="n">
        <v>-9823</v>
      </c>
      <c r="M253" s="20" t="n">
        <v>-913</v>
      </c>
      <c r="N253" s="20" t="n">
        <v>-2665</v>
      </c>
      <c r="P253" s="20" t="n">
        <v>-7846</v>
      </c>
      <c r="Q253" s="20" t="n">
        <v>-7860</v>
      </c>
      <c r="R253" s="20" t="n">
        <v>-8170</v>
      </c>
      <c r="S253" s="20" t="n">
        <v>-4519</v>
      </c>
      <c r="T253" s="20" t="n">
        <v>-6257</v>
      </c>
      <c r="U253" s="20" t="n">
        <v>-7367</v>
      </c>
      <c r="V253" s="20" t="n">
        <v>-11697</v>
      </c>
      <c r="W253" s="20" t="n">
        <v>-12711</v>
      </c>
      <c r="X253" s="20" t="n">
        <v>-9823</v>
      </c>
    </row>
    <row r="254">
      <c r="A254" s="18" t="inlineStr">
        <is>
          <t>유형자산 매각</t>
        </is>
      </c>
      <c r="C254" s="20" t="n">
        <v>1645</v>
      </c>
      <c r="D254" s="20" t="n">
        <v>2530</v>
      </c>
      <c r="E254" s="20" t="n">
        <v>59</v>
      </c>
      <c r="F254" s="20" t="n">
        <v>4115</v>
      </c>
      <c r="G254" s="20" t="n">
        <v>4149</v>
      </c>
      <c r="H254" s="20" t="n">
        <v>4215</v>
      </c>
      <c r="I254" s="20" t="n">
        <v>1325</v>
      </c>
      <c r="J254" s="20" t="n">
        <v>1380</v>
      </c>
      <c r="K254" s="20" t="n">
        <v>1439</v>
      </c>
      <c r="L254" s="20" t="n">
        <v>1492</v>
      </c>
      <c r="M254" s="20" t="n">
        <v>18</v>
      </c>
      <c r="N254" s="20" t="n">
        <v>32</v>
      </c>
      <c r="P254" s="20" t="n">
        <v>2715</v>
      </c>
      <c r="Q254" s="20" t="n">
        <v>171</v>
      </c>
      <c r="R254" s="20" t="n">
        <v>1051</v>
      </c>
      <c r="S254" s="20" t="n">
        <v>126</v>
      </c>
      <c r="T254" s="20" t="n">
        <v>70</v>
      </c>
      <c r="U254" s="20" t="n">
        <v>11317</v>
      </c>
      <c r="V254" s="20" t="n">
        <v>2530</v>
      </c>
      <c r="W254" s="20" t="n">
        <v>4215</v>
      </c>
      <c r="X254" s="20" t="n">
        <v>1492</v>
      </c>
    </row>
    <row r="255">
      <c r="A255" s="18" t="inlineStr">
        <is>
          <t>무형자산 취득 지출</t>
        </is>
      </c>
      <c r="C255" s="20" t="n">
        <v>-6560</v>
      </c>
      <c r="D255" s="20" t="n">
        <v>-9312</v>
      </c>
      <c r="E255" s="20" t="n">
        <v>-3044</v>
      </c>
      <c r="F255" s="20" t="n">
        <v>-5746</v>
      </c>
      <c r="G255" s="20" t="n">
        <v>-8776</v>
      </c>
      <c r="H255" s="20" t="n">
        <v>-12024</v>
      </c>
      <c r="I255" s="20" t="n">
        <v>-3283</v>
      </c>
      <c r="J255" s="20" t="n">
        <v>-6216</v>
      </c>
      <c r="K255" s="20" t="n">
        <v>-8937</v>
      </c>
      <c r="L255" s="20" t="n">
        <v>-12746</v>
      </c>
      <c r="M255" s="20" t="n">
        <v>-2408</v>
      </c>
      <c r="N255" s="20" t="n">
        <v>-5574</v>
      </c>
      <c r="P255" s="20" t="n">
        <v>-10183</v>
      </c>
      <c r="Q255" s="20" t="n">
        <v>-12757</v>
      </c>
      <c r="R255" s="20" t="n">
        <v>-12945</v>
      </c>
      <c r="S255" s="20" t="n">
        <v>-9393</v>
      </c>
      <c r="T255" s="20" t="n">
        <v>-9705</v>
      </c>
      <c r="U255" s="20" t="n">
        <v>-8445</v>
      </c>
      <c r="V255" s="20" t="n">
        <v>-9312</v>
      </c>
      <c r="W255" s="20" t="n">
        <v>-12024</v>
      </c>
      <c r="X255" s="20" t="n">
        <v>-12746</v>
      </c>
    </row>
    <row r="256">
      <c r="A256" s="18" t="inlineStr">
        <is>
          <t>매도가능금융자산 취득</t>
        </is>
      </c>
      <c r="P256" s="20" t="n">
        <v>-338</v>
      </c>
      <c r="Q256" s="20" t="n">
        <v>0</v>
      </c>
    </row>
    <row r="257">
      <c r="A257" s="18" t="inlineStr">
        <is>
          <t>매도가능금융자산 매각</t>
        </is>
      </c>
      <c r="P257" s="20" t="n">
        <v>818</v>
      </c>
      <c r="Q257" s="20" t="n">
        <v>0</v>
      </c>
    </row>
    <row r="258">
      <c r="A258" s="18" t="inlineStr">
        <is>
          <t>부채성 금융상품 취득</t>
        </is>
      </c>
      <c r="P258" s="20" t="n">
        <v>0</v>
      </c>
      <c r="Q258" s="20" t="n">
        <v>-401</v>
      </c>
    </row>
    <row r="259">
      <c r="A259" s="18" t="inlineStr">
        <is>
          <t>자본성 금융상품 취득</t>
        </is>
      </c>
      <c r="P259" s="20" t="n">
        <v>0</v>
      </c>
      <c r="Q259" s="20" t="n">
        <v>-693</v>
      </c>
    </row>
    <row r="260">
      <c r="A260" s="18" t="inlineStr">
        <is>
          <t>Purchase Of Investments Accounted For Using Equity Method</t>
        </is>
      </c>
      <c r="P260" s="20" t="n">
        <v>0</v>
      </c>
      <c r="Q260" s="20" t="n">
        <v>-2389</v>
      </c>
    </row>
    <row r="261">
      <c r="A261" s="18" t="inlineStr">
        <is>
          <t>부채성 금융상품 취득</t>
        </is>
      </c>
      <c r="Q261" s="20" t="n">
        <v>-401</v>
      </c>
      <c r="R261" s="20" t="n">
        <v>0</v>
      </c>
    </row>
    <row r="262">
      <c r="A262" s="18" t="inlineStr">
        <is>
          <t>By Distribution From Debt Financial Products</t>
        </is>
      </c>
      <c r="R262" s="20" t="n">
        <v>0</v>
      </c>
      <c r="S262" s="20" t="n">
        <v>1563</v>
      </c>
    </row>
    <row r="263">
      <c r="A263" s="18" t="inlineStr">
        <is>
          <t>자본성 금융상품 취득</t>
        </is>
      </c>
      <c r="C263" s="20" t="n">
        <v>-174</v>
      </c>
      <c r="G263" s="20" t="n">
        <v>-392</v>
      </c>
      <c r="Q263" s="20" t="n">
        <v>-693</v>
      </c>
      <c r="R263" s="20" t="n">
        <v>-2</v>
      </c>
    </row>
    <row r="264">
      <c r="A264" s="18" t="inlineStr">
        <is>
          <t>Purchase Of Investments Accounted For Using Equity Method Inv CF</t>
        </is>
      </c>
      <c r="C264" s="20" t="n">
        <v>-888</v>
      </c>
      <c r="D264" s="20" t="n">
        <v>-888</v>
      </c>
      <c r="E264" s="20" t="n">
        <v>0</v>
      </c>
      <c r="F264" s="20" t="n">
        <v>0</v>
      </c>
      <c r="G264" s="20" t="n">
        <v>-907</v>
      </c>
      <c r="H264" s="20" t="n">
        <v>-907</v>
      </c>
      <c r="L264" s="20" t="n">
        <v>0</v>
      </c>
      <c r="Q264" s="20" t="n">
        <v>-2389</v>
      </c>
      <c r="R264" s="20" t="n">
        <v>0</v>
      </c>
      <c r="T264" s="20" t="n">
        <v>0</v>
      </c>
      <c r="U264" s="20" t="n">
        <v>-300</v>
      </c>
      <c r="V264" s="20" t="n">
        <v>-888</v>
      </c>
      <c r="W264" s="20" t="n">
        <v>-907</v>
      </c>
      <c r="X264" s="20" t="n">
        <v>0</v>
      </c>
    </row>
    <row r="265">
      <c r="A265" s="18" t="inlineStr">
        <is>
          <t>Payments For Acquisition Of Subsidiaries Inv CF</t>
        </is>
      </c>
      <c r="P265" s="20" t="n">
        <v>-1147</v>
      </c>
      <c r="Q265" s="20" t="n">
        <v>-1240</v>
      </c>
      <c r="R265" s="20" t="n">
        <v>0</v>
      </c>
    </row>
    <row r="266">
      <c r="A266" s="18" t="inlineStr">
        <is>
          <t>Proceeds From Sale Of Subsidiaries Inv CF</t>
        </is>
      </c>
      <c r="D266" s="20" t="n">
        <v>2858</v>
      </c>
      <c r="H266" s="20" t="n">
        <v>0</v>
      </c>
      <c r="L266" s="20" t="n">
        <v>364</v>
      </c>
      <c r="S266" s="20" t="n">
        <v>0</v>
      </c>
      <c r="T266" s="20" t="n">
        <v>4913</v>
      </c>
      <c r="U266" s="20" t="n">
        <v>-2541</v>
      </c>
      <c r="V266" s="20" t="n">
        <v>2858</v>
      </c>
      <c r="W266" s="20" t="n">
        <v>0</v>
      </c>
      <c r="X266" s="20" t="n">
        <v>364</v>
      </c>
    </row>
    <row r="267">
      <c r="A267" s="18" t="inlineStr">
        <is>
          <t>Distribution Of Debt Instruments Inv CF</t>
        </is>
      </c>
      <c r="C267" s="20" t="n">
        <v>712</v>
      </c>
      <c r="D267" s="20" t="n">
        <v>712</v>
      </c>
      <c r="G267" s="20" t="n">
        <v>576</v>
      </c>
      <c r="H267" s="20" t="n">
        <v>576</v>
      </c>
      <c r="L267" s="20" t="n">
        <v>0</v>
      </c>
      <c r="S267" s="20" t="n">
        <v>1563</v>
      </c>
      <c r="T267" s="20" t="n">
        <v>593</v>
      </c>
      <c r="U267" s="20" t="n">
        <v>0</v>
      </c>
      <c r="V267" s="20" t="n">
        <v>712</v>
      </c>
      <c r="W267" s="20" t="n">
        <v>576</v>
      </c>
      <c r="X267" s="20" t="n">
        <v>0</v>
      </c>
    </row>
    <row r="268">
      <c r="A268" s="18" t="inlineStr">
        <is>
          <t>자본성 금융상품 매각</t>
        </is>
      </c>
      <c r="R268" s="20" t="n">
        <v>62</v>
      </c>
      <c r="S268" s="20" t="n">
        <v>682</v>
      </c>
      <c r="T268" s="20" t="n">
        <v>812</v>
      </c>
      <c r="U268" s="20" t="n">
        <v>3</v>
      </c>
    </row>
    <row r="269">
      <c r="A269" s="18" t="inlineStr">
        <is>
          <t>Renketsu Inv CF</t>
        </is>
      </c>
      <c r="J269" s="20" t="n">
        <v>0</v>
      </c>
      <c r="N269" s="20" t="n">
        <v>-3400</v>
      </c>
    </row>
    <row r="270">
      <c r="A270" s="18" t="inlineStr">
        <is>
          <t>장기선급비용 지출</t>
        </is>
      </c>
      <c r="F270" s="20" t="n">
        <v>-164</v>
      </c>
      <c r="G270" s="20" t="n">
        <v>-269</v>
      </c>
      <c r="H270" s="20" t="n">
        <v>-399</v>
      </c>
      <c r="I270" s="20" t="n">
        <v>-214</v>
      </c>
      <c r="J270" s="20" t="n">
        <v>-969</v>
      </c>
      <c r="K270" s="20" t="n">
        <v>-1338</v>
      </c>
      <c r="L270" s="20" t="n">
        <v>-1632</v>
      </c>
      <c r="M270" s="20" t="n">
        <v>-431</v>
      </c>
      <c r="N270" s="20" t="n">
        <v>-744</v>
      </c>
      <c r="W270" s="20" t="n">
        <v>-399</v>
      </c>
      <c r="X270" s="20" t="n">
        <v>-1632</v>
      </c>
    </row>
    <row r="271">
      <c r="A271" s="18" t="inlineStr">
        <is>
          <t>기타</t>
        </is>
      </c>
      <c r="C271" s="20" t="n">
        <v>-1</v>
      </c>
      <c r="D271" s="20" t="n">
        <v>-265</v>
      </c>
      <c r="E271" s="20" t="n">
        <v>-47</v>
      </c>
      <c r="F271" s="20" t="n">
        <v>496</v>
      </c>
      <c r="G271" s="20" t="n">
        <v>-763</v>
      </c>
      <c r="H271" s="20" t="n">
        <v>-294</v>
      </c>
      <c r="I271" s="20" t="n">
        <v>-21</v>
      </c>
      <c r="J271" s="20" t="n">
        <v>-1323</v>
      </c>
      <c r="K271" s="20" t="n">
        <v>-554</v>
      </c>
      <c r="L271" s="20" t="n">
        <v>40</v>
      </c>
      <c r="M271" s="20" t="n">
        <v>22</v>
      </c>
      <c r="N271" s="20" t="n">
        <v>-7</v>
      </c>
      <c r="P271" s="20" t="n">
        <v>311</v>
      </c>
      <c r="Q271" s="20" t="n">
        <v>-295</v>
      </c>
      <c r="R271" s="20" t="n">
        <v>-86</v>
      </c>
      <c r="S271" s="20" t="n">
        <v>-138</v>
      </c>
      <c r="T271" s="20" t="n">
        <v>-232</v>
      </c>
      <c r="U271" s="20" t="n">
        <v>8</v>
      </c>
      <c r="V271" s="20" t="n">
        <v>-265</v>
      </c>
      <c r="W271" s="20" t="n">
        <v>-294</v>
      </c>
      <c r="X271" s="20" t="n">
        <v>40</v>
      </c>
    </row>
    <row r="272">
      <c r="A272" s="9" t="inlineStr">
        <is>
          <t>투자활동 현금흐름</t>
        </is>
      </c>
      <c r="C272" s="12" t="n">
        <v>-12938</v>
      </c>
      <c r="D272" s="12" t="n">
        <v>-16062</v>
      </c>
      <c r="E272" s="12" t="n">
        <v>-5334</v>
      </c>
      <c r="F272" s="12" t="n">
        <v>-7870</v>
      </c>
      <c r="G272" s="12" t="n">
        <v>-16770</v>
      </c>
      <c r="H272" s="12" t="n">
        <v>-21545</v>
      </c>
      <c r="I272" s="12" t="n">
        <v>-4060</v>
      </c>
      <c r="J272" s="12" t="n">
        <v>-11139</v>
      </c>
      <c r="K272" s="12" t="n">
        <v>-16609</v>
      </c>
      <c r="L272" s="12" t="n">
        <v>-22304</v>
      </c>
      <c r="M272" s="12" t="n">
        <v>-3713</v>
      </c>
      <c r="N272" s="12" t="n">
        <v>-12360</v>
      </c>
      <c r="P272" s="12" t="n">
        <v>-14835</v>
      </c>
      <c r="Q272" s="12" t="n">
        <v>-25768</v>
      </c>
      <c r="R272" s="12" t="n">
        <v>-19675</v>
      </c>
      <c r="S272" s="12" t="n">
        <v>-11804</v>
      </c>
      <c r="T272" s="12" t="n">
        <v>-9804</v>
      </c>
      <c r="U272" s="12" t="n">
        <v>-7329</v>
      </c>
      <c r="V272" s="12" t="n">
        <v>-16062</v>
      </c>
      <c r="W272" s="12" t="n">
        <v>-21545</v>
      </c>
      <c r="X272" s="12" t="n">
        <v>-22304</v>
      </c>
    </row>
    <row r="273">
      <c r="A273" s="18" t="inlineStr">
        <is>
          <t>단기차입</t>
        </is>
      </c>
      <c r="C273" s="20" t="n">
        <v>4370</v>
      </c>
      <c r="D273" s="20" t="n">
        <v>24068</v>
      </c>
      <c r="E273" s="20" t="n">
        <v>449</v>
      </c>
      <c r="F273" s="20" t="n">
        <v>3285</v>
      </c>
      <c r="G273" s="20" t="n">
        <v>8210</v>
      </c>
      <c r="H273" s="20" t="n">
        <v>41929</v>
      </c>
      <c r="I273" s="20" t="n">
        <v>23812</v>
      </c>
      <c r="J273" s="20" t="n">
        <v>41299</v>
      </c>
      <c r="K273" s="20" t="n">
        <v>62132</v>
      </c>
      <c r="L273" s="20" t="n">
        <v>65600</v>
      </c>
      <c r="M273" s="20" t="n">
        <v>1067</v>
      </c>
      <c r="N273" s="20" t="n">
        <v>2341</v>
      </c>
      <c r="P273" s="20" t="n">
        <v>11200</v>
      </c>
      <c r="Q273" s="20" t="n">
        <v>18296</v>
      </c>
      <c r="R273" s="20" t="n">
        <v>9552</v>
      </c>
      <c r="S273" s="20" t="n">
        <v>8147</v>
      </c>
      <c r="T273" s="20" t="n">
        <v>10820</v>
      </c>
      <c r="U273" s="20" t="n">
        <v>7357</v>
      </c>
      <c r="V273" s="20" t="n">
        <v>24068</v>
      </c>
      <c r="W273" s="20" t="n">
        <v>41929</v>
      </c>
      <c r="X273" s="20" t="n">
        <v>65600</v>
      </c>
    </row>
    <row r="274">
      <c r="A274" s="18" t="inlineStr">
        <is>
          <t>단기차입금 상환</t>
        </is>
      </c>
      <c r="C274" s="20" t="n">
        <v>-5274</v>
      </c>
      <c r="D274" s="20" t="n">
        <v>-21519</v>
      </c>
      <c r="E274" s="20" t="n">
        <v>-3809</v>
      </c>
      <c r="F274" s="20" t="n">
        <v>-5897</v>
      </c>
      <c r="G274" s="20" t="n">
        <v>-9193</v>
      </c>
      <c r="H274" s="20" t="n">
        <v>-38532</v>
      </c>
      <c r="I274" s="20" t="n">
        <v>-18451</v>
      </c>
      <c r="J274" s="20" t="n">
        <v>-37638</v>
      </c>
      <c r="K274" s="20" t="n">
        <v>-66444</v>
      </c>
      <c r="L274" s="20" t="n">
        <v>-71818</v>
      </c>
      <c r="M274" s="20" t="n">
        <v>-2324</v>
      </c>
      <c r="N274" s="20" t="n">
        <v>-4610</v>
      </c>
      <c r="P274" s="20" t="n">
        <v>-13800</v>
      </c>
      <c r="Q274" s="20" t="n">
        <v>-17335</v>
      </c>
      <c r="R274" s="20" t="n">
        <v>-8586</v>
      </c>
      <c r="S274" s="20" t="n">
        <v>-7411</v>
      </c>
      <c r="T274" s="20" t="n">
        <v>-13804</v>
      </c>
      <c r="U274" s="20" t="n">
        <v>-10254</v>
      </c>
      <c r="V274" s="20" t="n">
        <v>-21519</v>
      </c>
      <c r="W274" s="20" t="n">
        <v>-38532</v>
      </c>
      <c r="X274" s="20" t="n">
        <v>-71818</v>
      </c>
    </row>
    <row r="275">
      <c r="A275" s="18" t="inlineStr">
        <is>
          <t>장기차입</t>
        </is>
      </c>
      <c r="C275" s="20" t="n">
        <v>6573</v>
      </c>
      <c r="D275" s="20" t="n">
        <v>14573</v>
      </c>
      <c r="E275" s="20" t="n">
        <v>84</v>
      </c>
      <c r="F275" s="20" t="n">
        <v>3437</v>
      </c>
      <c r="G275" s="20" t="n">
        <v>3437</v>
      </c>
      <c r="H275" s="20" t="n">
        <v>4340</v>
      </c>
      <c r="I275" s="20" t="n">
        <v>1143</v>
      </c>
      <c r="J275" s="20" t="n">
        <v>8004</v>
      </c>
      <c r="K275" s="20" t="n">
        <v>8004</v>
      </c>
      <c r="L275" s="20" t="n">
        <v>13004</v>
      </c>
      <c r="M275" s="20" t="n">
        <v>2308</v>
      </c>
      <c r="N275" s="20" t="n">
        <v>6224</v>
      </c>
      <c r="P275" s="20" t="n">
        <v>10371</v>
      </c>
      <c r="Q275" s="20" t="n">
        <v>16210</v>
      </c>
      <c r="R275" s="20" t="n">
        <v>21964</v>
      </c>
      <c r="S275" s="20" t="n">
        <v>28172</v>
      </c>
      <c r="T275" s="20" t="n">
        <v>11853</v>
      </c>
      <c r="U275" s="20" t="n">
        <v>17190</v>
      </c>
      <c r="V275" s="20" t="n">
        <v>14573</v>
      </c>
      <c r="W275" s="20" t="n">
        <v>4340</v>
      </c>
      <c r="X275" s="20" t="n">
        <v>13004</v>
      </c>
    </row>
    <row r="276">
      <c r="A276" s="18" t="inlineStr">
        <is>
          <t>장기차입금 상환</t>
        </is>
      </c>
      <c r="C276" s="20" t="n">
        <v>-10527</v>
      </c>
      <c r="D276" s="20" t="n">
        <v>-23447</v>
      </c>
      <c r="E276" s="20" t="n">
        <v>-3307</v>
      </c>
      <c r="F276" s="20" t="n">
        <v>-6518</v>
      </c>
      <c r="G276" s="20" t="n">
        <v>-9704</v>
      </c>
      <c r="H276" s="20" t="n">
        <v>-14748</v>
      </c>
      <c r="I276" s="20" t="n">
        <v>-3737</v>
      </c>
      <c r="J276" s="20" t="n">
        <v>-9938</v>
      </c>
      <c r="K276" s="20" t="n">
        <v>-13504</v>
      </c>
      <c r="L276" s="20" t="n">
        <v>-17243</v>
      </c>
      <c r="M276" s="20" t="n">
        <v>-3261</v>
      </c>
      <c r="N276" s="20" t="n">
        <v>-9250</v>
      </c>
      <c r="P276" s="20" t="n">
        <v>-11489</v>
      </c>
      <c r="Q276" s="20" t="n">
        <v>-13905</v>
      </c>
      <c r="R276" s="20" t="n">
        <v>-19197</v>
      </c>
      <c r="S276" s="20" t="n">
        <v>-28665</v>
      </c>
      <c r="T276" s="20" t="n">
        <v>-15186</v>
      </c>
      <c r="U276" s="20" t="n">
        <v>-23042</v>
      </c>
      <c r="V276" s="20" t="n">
        <v>-23447</v>
      </c>
      <c r="W276" s="20" t="n">
        <v>-14748</v>
      </c>
      <c r="X276" s="20" t="n">
        <v>-17243</v>
      </c>
    </row>
    <row r="277">
      <c r="A277" s="18" t="inlineStr">
        <is>
          <t>리스부채 상환 지출</t>
        </is>
      </c>
      <c r="C277" s="20" t="n">
        <v>-2862</v>
      </c>
      <c r="D277" s="20" t="n">
        <v>-3958</v>
      </c>
      <c r="E277" s="20" t="n">
        <v>-1016</v>
      </c>
      <c r="F277" s="20" t="n">
        <v>-2168</v>
      </c>
      <c r="G277" s="20" t="n">
        <v>-3091</v>
      </c>
      <c r="H277" s="20" t="n">
        <v>-4145</v>
      </c>
      <c r="I277" s="20" t="n">
        <v>-942</v>
      </c>
      <c r="J277" s="20" t="n">
        <v>-1845</v>
      </c>
      <c r="K277" s="20" t="n">
        <v>-2761</v>
      </c>
      <c r="L277" s="20" t="n">
        <v>-3650</v>
      </c>
      <c r="M277" s="20" t="n">
        <v>-908</v>
      </c>
      <c r="N277" s="20" t="n">
        <v>-1781</v>
      </c>
      <c r="Q277" s="20" t="n">
        <v>0</v>
      </c>
      <c r="R277" s="20" t="n">
        <v>-3714</v>
      </c>
      <c r="S277" s="20" t="n">
        <v>-4097</v>
      </c>
      <c r="T277" s="20" t="n">
        <v>-3690</v>
      </c>
      <c r="U277" s="20" t="n">
        <v>-3583</v>
      </c>
      <c r="V277" s="20" t="n">
        <v>-3958</v>
      </c>
      <c r="W277" s="20" t="n">
        <v>-4145</v>
      </c>
      <c r="X277" s="20" t="n">
        <v>-3650</v>
      </c>
    </row>
    <row r="278">
      <c r="A278" s="18" t="inlineStr">
        <is>
          <t>전환사채형 신주예약권부 사채 발행 수입</t>
        </is>
      </c>
      <c r="G278" s="20" t="n">
        <v>0</v>
      </c>
      <c r="H278" s="20" t="n">
        <v>0</v>
      </c>
      <c r="K278" s="20" t="n">
        <v>30000</v>
      </c>
      <c r="L278" s="20" t="n">
        <v>30000</v>
      </c>
      <c r="W278" s="20" t="n">
        <v>0</v>
      </c>
      <c r="X278" s="20" t="n">
        <v>30000</v>
      </c>
    </row>
    <row r="279">
      <c r="A279" s="18" t="inlineStr">
        <is>
          <t>자기주식 취득</t>
        </is>
      </c>
      <c r="C279" s="20" t="n">
        <v>-7001</v>
      </c>
      <c r="D279" s="20" t="n">
        <v>-7001</v>
      </c>
      <c r="E279" s="20" t="n">
        <v>-0</v>
      </c>
      <c r="F279" s="20" t="n">
        <v>-1</v>
      </c>
      <c r="G279" s="20" t="n">
        <v>-3081</v>
      </c>
      <c r="H279" s="20" t="n">
        <v>-4502</v>
      </c>
      <c r="I279" s="20" t="n">
        <v>-2000</v>
      </c>
      <c r="J279" s="20" t="n">
        <v>-2000</v>
      </c>
      <c r="K279" s="20" t="n">
        <v>-7000</v>
      </c>
      <c r="L279" s="20" t="n">
        <v>-10001</v>
      </c>
      <c r="M279" s="20" t="n">
        <v>-0</v>
      </c>
      <c r="N279" s="20" t="n">
        <v>-2635</v>
      </c>
      <c r="U279" s="20" t="n">
        <v>-0</v>
      </c>
      <c r="V279" s="20" t="n">
        <v>-7001</v>
      </c>
      <c r="W279" s="20" t="n">
        <v>-4502</v>
      </c>
      <c r="X279" s="20" t="n">
        <v>-10001</v>
      </c>
    </row>
    <row r="280">
      <c r="A280" s="18" t="inlineStr">
        <is>
          <t>배당금 지급</t>
        </is>
      </c>
      <c r="C280" s="20" t="n">
        <v>-1961</v>
      </c>
      <c r="D280" s="20" t="n">
        <v>-1961</v>
      </c>
      <c r="E280" s="20" t="n">
        <v>-1809</v>
      </c>
      <c r="F280" s="20" t="n">
        <v>-1809</v>
      </c>
      <c r="G280" s="20" t="n">
        <v>-2563</v>
      </c>
      <c r="H280" s="20" t="n">
        <v>-2563</v>
      </c>
      <c r="I280" s="20" t="n">
        <v>-1480</v>
      </c>
      <c r="J280" s="20" t="n">
        <v>-1480</v>
      </c>
      <c r="K280" s="20" t="n">
        <v>-2364</v>
      </c>
      <c r="L280" s="20" t="n">
        <v>-2364</v>
      </c>
      <c r="M280" s="20" t="n">
        <v>-1695</v>
      </c>
      <c r="N280" s="20" t="n">
        <v>-1695</v>
      </c>
      <c r="P280" s="20" t="n">
        <v>-694</v>
      </c>
      <c r="Q280" s="20" t="n">
        <v>-833</v>
      </c>
      <c r="R280" s="20" t="n">
        <v>-983</v>
      </c>
      <c r="S280" s="20" t="n">
        <v>-819</v>
      </c>
      <c r="T280" s="20" t="n">
        <v>-819</v>
      </c>
      <c r="U280" s="20" t="n">
        <v>-980</v>
      </c>
      <c r="V280" s="20" t="n">
        <v>-1961</v>
      </c>
      <c r="W280" s="20" t="n">
        <v>-2563</v>
      </c>
      <c r="X280" s="20" t="n">
        <v>-2364</v>
      </c>
    </row>
    <row r="281">
      <c r="A281" s="18" t="inlineStr">
        <is>
          <t>Proceeds From Issuance Of Bonds With Share Acquisition Rights Fin CF</t>
        </is>
      </c>
      <c r="P281" s="20" t="n">
        <v>0</v>
      </c>
      <c r="Q281" s="20" t="n">
        <v>7258</v>
      </c>
    </row>
    <row r="282">
      <c r="A282" s="18" t="inlineStr">
        <is>
          <t>Payments For Acquisition Of Interests In Subsidiaries From Non Controlling Interests Fin CF</t>
        </is>
      </c>
      <c r="P282" s="20" t="n">
        <v>-1770</v>
      </c>
      <c r="Q282" s="20" t="n">
        <v>0</v>
      </c>
    </row>
    <row r="283">
      <c r="A283" s="18" t="inlineStr">
        <is>
          <t>Proceeds From Exercise Of Share Acquisition Rights Fin CF</t>
        </is>
      </c>
      <c r="Q283" s="20" t="n">
        <v>7258</v>
      </c>
      <c r="R283" s="20" t="n">
        <v>0</v>
      </c>
    </row>
    <row r="284">
      <c r="A284" s="18" t="inlineStr">
        <is>
          <t>비지배지분 배당금 지급액</t>
        </is>
      </c>
      <c r="E284" s="20" t="n">
        <v>-126</v>
      </c>
      <c r="F284" s="20" t="n">
        <v>-517</v>
      </c>
      <c r="G284" s="20" t="n">
        <v>-517</v>
      </c>
      <c r="H284" s="20" t="n">
        <v>-517</v>
      </c>
      <c r="I284" s="20" t="n">
        <v>-715</v>
      </c>
      <c r="J284" s="20" t="n">
        <v>-715</v>
      </c>
      <c r="K284" s="20" t="n">
        <v>-937</v>
      </c>
      <c r="L284" s="20" t="n">
        <v>-937</v>
      </c>
      <c r="M284" s="20" t="n">
        <v>-536</v>
      </c>
      <c r="N284" s="20" t="n">
        <v>-536</v>
      </c>
      <c r="W284" s="20" t="n">
        <v>-517</v>
      </c>
      <c r="X284" s="20" t="n">
        <v>-937</v>
      </c>
    </row>
    <row r="285">
      <c r="A285" s="18" t="inlineStr">
        <is>
          <t>Expenditures For Acquisition Of Subsidiaries Without Changes In The Scope Of Consolidation Fin CF</t>
        </is>
      </c>
      <c r="F285" s="20" t="n">
        <v>0</v>
      </c>
      <c r="G285" s="20" t="n">
        <v>0</v>
      </c>
      <c r="H285" s="20" t="n">
        <v>0</v>
      </c>
      <c r="J285" s="20" t="n">
        <v>-721</v>
      </c>
      <c r="K285" s="20" t="n">
        <v>-721</v>
      </c>
      <c r="L285" s="20" t="n">
        <v>-721</v>
      </c>
      <c r="W285" s="20" t="n">
        <v>0</v>
      </c>
      <c r="X285" s="20" t="n">
        <v>-721</v>
      </c>
    </row>
    <row r="286">
      <c r="A286" s="18" t="inlineStr">
        <is>
          <t>Expenditures For Investments In Capital Of Subsidiaries Without Changes In The Scope Of Consolidation Fin CF</t>
        </is>
      </c>
      <c r="J286" s="20" t="n">
        <v>-721</v>
      </c>
      <c r="N286" s="20" t="n">
        <v>0</v>
      </c>
    </row>
    <row r="287">
      <c r="A287" s="18" t="inlineStr">
        <is>
          <t>기타</t>
        </is>
      </c>
      <c r="C287" s="20" t="n">
        <v>-101</v>
      </c>
      <c r="D287" s="20" t="n">
        <v>-106</v>
      </c>
      <c r="E287" s="20" t="n">
        <v>12</v>
      </c>
      <c r="F287" s="20" t="n">
        <v>-57</v>
      </c>
      <c r="G287" s="20" t="n">
        <v>-57</v>
      </c>
      <c r="H287" s="20" t="n">
        <v>-54</v>
      </c>
      <c r="I287" s="20" t="n">
        <v>-515</v>
      </c>
      <c r="J287" s="20" t="n">
        <v>-11</v>
      </c>
      <c r="K287" s="20" t="n">
        <v>-106</v>
      </c>
      <c r="L287" s="20" t="n">
        <v>-106</v>
      </c>
      <c r="M287" s="20" t="n">
        <v>0</v>
      </c>
      <c r="N287" s="20" t="n">
        <v>-11</v>
      </c>
      <c r="P287" s="20" t="n">
        <v>-859</v>
      </c>
      <c r="Q287" s="20" t="n">
        <v>-1211</v>
      </c>
      <c r="R287" s="20" t="n">
        <v>-700</v>
      </c>
      <c r="S287" s="20" t="n">
        <v>-667</v>
      </c>
      <c r="T287" s="20" t="n">
        <v>-445</v>
      </c>
      <c r="U287" s="20" t="n">
        <v>-719</v>
      </c>
      <c r="V287" s="20" t="n">
        <v>-106</v>
      </c>
      <c r="W287" s="20" t="n">
        <v>-54</v>
      </c>
      <c r="X287" s="20" t="n">
        <v>-106</v>
      </c>
    </row>
    <row r="288">
      <c r="A288" s="9" t="inlineStr">
        <is>
          <t>재무활동 현금흐름</t>
        </is>
      </c>
      <c r="C288" s="12" t="n">
        <v>-16785</v>
      </c>
      <c r="D288" s="12" t="n">
        <v>-19353</v>
      </c>
      <c r="E288" s="12" t="n">
        <v>-9525</v>
      </c>
      <c r="F288" s="12" t="n">
        <v>-10246</v>
      </c>
      <c r="G288" s="12" t="n">
        <v>-16560</v>
      </c>
      <c r="H288" s="12" t="n">
        <v>-18793</v>
      </c>
      <c r="I288" s="12" t="n">
        <v>-2885</v>
      </c>
      <c r="J288" s="12" t="n">
        <v>-5048</v>
      </c>
      <c r="K288" s="12" t="n">
        <v>6296</v>
      </c>
      <c r="L288" s="12" t="n">
        <v>1761</v>
      </c>
      <c r="M288" s="12" t="n">
        <v>-5351</v>
      </c>
      <c r="N288" s="12" t="n">
        <v>-11955</v>
      </c>
      <c r="P288" s="12" t="n">
        <v>-7043</v>
      </c>
      <c r="Q288" s="12" t="n">
        <v>8479</v>
      </c>
      <c r="R288" s="12" t="n">
        <v>-1665</v>
      </c>
      <c r="S288" s="12" t="n">
        <v>-5342</v>
      </c>
      <c r="T288" s="12" t="n">
        <v>-11273</v>
      </c>
      <c r="U288" s="12" t="n">
        <v>-14032</v>
      </c>
      <c r="V288" s="12" t="n">
        <v>-19353</v>
      </c>
      <c r="W288" s="12" t="n">
        <v>-18793</v>
      </c>
      <c r="X288" s="12" t="n">
        <v>1761</v>
      </c>
    </row>
    <row r="289">
      <c r="A289" s="18" t="inlineStr">
        <is>
          <t>현금성자산 증감</t>
        </is>
      </c>
      <c r="P289" s="20" t="n">
        <v>-3636</v>
      </c>
      <c r="Q289" s="20" t="n">
        <v>3682</v>
      </c>
      <c r="R289" s="20" t="n">
        <v>-910</v>
      </c>
    </row>
    <row r="290">
      <c r="A290" s="18" t="inlineStr">
        <is>
          <t>현금성자산 환산차이</t>
        </is>
      </c>
      <c r="C290" s="20" t="n">
        <v>2052</v>
      </c>
      <c r="D290" s="20" t="n">
        <v>3931</v>
      </c>
      <c r="E290" s="20" t="n">
        <v>2352</v>
      </c>
      <c r="F290" s="20" t="n">
        <v>-1439</v>
      </c>
      <c r="G290" s="20" t="n">
        <v>1357</v>
      </c>
      <c r="H290" s="20" t="n">
        <v>-390</v>
      </c>
      <c r="I290" s="20" t="n">
        <v>26</v>
      </c>
      <c r="J290" s="20" t="n">
        <v>1125</v>
      </c>
      <c r="K290" s="20" t="n">
        <v>3522</v>
      </c>
      <c r="L290" s="20" t="n">
        <v>3902</v>
      </c>
      <c r="M290" s="20" t="n">
        <v>660</v>
      </c>
      <c r="N290" s="20" t="n">
        <v>-821</v>
      </c>
      <c r="P290" s="20" t="n">
        <v>-137</v>
      </c>
      <c r="Q290" s="20" t="n">
        <v>-12</v>
      </c>
      <c r="R290" s="20" t="n">
        <v>-1211</v>
      </c>
      <c r="S290" s="20" t="n">
        <v>1877</v>
      </c>
      <c r="T290" s="20" t="n">
        <v>3080</v>
      </c>
      <c r="U290" s="20" t="n">
        <v>2266</v>
      </c>
      <c r="V290" s="20" t="n">
        <v>3931</v>
      </c>
      <c r="W290" s="20" t="n">
        <v>-390</v>
      </c>
      <c r="X290" s="20" t="n">
        <v>3902</v>
      </c>
    </row>
    <row r="291">
      <c r="A291" s="18" t="inlineStr">
        <is>
          <t>현금성자산 증감</t>
        </is>
      </c>
      <c r="C291" s="20" t="n">
        <v>-4787</v>
      </c>
      <c r="D291" s="20" t="n">
        <v>1688</v>
      </c>
      <c r="E291" s="20" t="n">
        <v>-3559</v>
      </c>
      <c r="F291" s="20" t="n">
        <v>-3597</v>
      </c>
      <c r="G291" s="20" t="n">
        <v>-3076</v>
      </c>
      <c r="H291" s="20" t="n">
        <v>-9276</v>
      </c>
      <c r="I291" s="20" t="n">
        <v>720</v>
      </c>
      <c r="J291" s="20" t="n">
        <v>1025</v>
      </c>
      <c r="K291" s="20" t="n">
        <v>17492</v>
      </c>
      <c r="L291" s="20" t="n">
        <v>17118</v>
      </c>
      <c r="M291" s="20" t="n">
        <v>3487</v>
      </c>
      <c r="N291" s="20" t="n">
        <v>-1375</v>
      </c>
      <c r="R291" s="20" t="n">
        <v>-910</v>
      </c>
      <c r="S291" s="20" t="n">
        <v>20559</v>
      </c>
      <c r="T291" s="20" t="n">
        <v>-10937</v>
      </c>
      <c r="U291" s="20" t="n">
        <v>7511</v>
      </c>
      <c r="V291" s="20" t="n">
        <v>1688</v>
      </c>
      <c r="W291" s="20" t="n">
        <v>-9276</v>
      </c>
      <c r="X291" s="20" t="n">
        <v>17118</v>
      </c>
    </row>
    <row r="292">
      <c r="A292" s="18" t="inlineStr">
        <is>
          <t>매각예정 자산에 포함된 현금및현금성자산</t>
        </is>
      </c>
      <c r="R292" s="20" t="n">
        <v>0</v>
      </c>
      <c r="S292" s="20" t="n">
        <v>-848</v>
      </c>
      <c r="T292" s="20" t="n">
        <v>0</v>
      </c>
    </row>
    <row r="293">
      <c r="A293" s="18" t="inlineStr">
        <is>
          <t>연결 제외 현금성자산 감소</t>
        </is>
      </c>
      <c r="D293" s="20" t="n">
        <v>0</v>
      </c>
      <c r="T293" s="20" t="n">
        <v>0</v>
      </c>
      <c r="U293" s="20" t="n">
        <v>-32</v>
      </c>
      <c r="V293" s="20" t="n">
        <v>0</v>
      </c>
    </row>
    <row r="294">
      <c r="A294" s="18" t="inlineStr">
        <is>
          <t>매각예정 자산에 포함된 현금및현금성자산</t>
        </is>
      </c>
      <c r="F294" s="20" t="n">
        <v>0</v>
      </c>
    </row>
    <row r="295">
      <c r="A295" s="18" t="inlineStr">
        <is>
          <t>매각예정 자산에 포함된 현금및현금성자산</t>
        </is>
      </c>
      <c r="C295" s="20" t="n">
        <v>-99</v>
      </c>
      <c r="G295" s="20" t="n">
        <v>0</v>
      </c>
    </row>
    <row r="296">
      <c r="A296" s="18" t="inlineStr">
        <is>
          <t>연결 제외 현금성자산 감소</t>
        </is>
      </c>
      <c r="C296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6632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191525</v>
      </c>
      <c r="D5" s="12" t="n">
        <v>214802</v>
      </c>
      <c r="E5" s="12" t="n">
        <v>217647</v>
      </c>
      <c r="F5" s="12" t="n">
        <v>217851</v>
      </c>
      <c r="G5" s="12" t="n">
        <v>215543</v>
      </c>
      <c r="H5" s="11" t="n">
        <v>176799</v>
      </c>
      <c r="I5" s="12" t="n">
        <v>197187</v>
      </c>
      <c r="J5" s="12" t="n">
        <v>206049</v>
      </c>
      <c r="K5" s="12" t="n">
        <v>196825</v>
      </c>
      <c r="L5" s="12" t="n">
        <v>217647</v>
      </c>
    </row>
    <row r="6">
      <c r="A6" s="18" t="inlineStr">
        <is>
          <t>현금및현금성자산</t>
        </is>
      </c>
      <c r="B6" s="10" t="n"/>
      <c r="C6" s="19" t="n">
        <v>49623</v>
      </c>
      <c r="D6" s="20" t="n">
        <v>66089</v>
      </c>
      <c r="E6" s="20" t="n">
        <v>65716</v>
      </c>
      <c r="F6" s="20" t="n">
        <v>69203</v>
      </c>
      <c r="G6" s="20" t="n">
        <v>64340</v>
      </c>
      <c r="H6" s="19" t="n">
        <v>48707</v>
      </c>
      <c r="I6" s="20" t="n">
        <v>56186</v>
      </c>
      <c r="J6" s="20" t="n">
        <v>57874</v>
      </c>
      <c r="K6" s="20" t="n">
        <v>48597</v>
      </c>
      <c r="L6" s="20" t="n">
        <v>65716</v>
      </c>
    </row>
    <row r="7">
      <c r="A7" s="18" t="inlineStr">
        <is>
          <t>단기금융상품</t>
        </is>
      </c>
      <c r="B7" s="10" t="n"/>
      <c r="C7" s="19" t="n">
        <v>3044</v>
      </c>
      <c r="D7" s="20" t="n">
        <v>3166</v>
      </c>
      <c r="E7" s="20" t="n">
        <v>2504</v>
      </c>
      <c r="F7" s="20" t="n">
        <v>2598</v>
      </c>
      <c r="G7" s="20" t="n">
        <v>2247</v>
      </c>
      <c r="H7" s="19" t="n">
        <v>4761</v>
      </c>
      <c r="I7" s="20" t="n">
        <v>3552</v>
      </c>
      <c r="J7" s="20" t="n">
        <v>4914</v>
      </c>
      <c r="K7" s="20" t="n">
        <v>2228</v>
      </c>
      <c r="L7" s="20" t="n">
        <v>2504</v>
      </c>
    </row>
    <row r="8">
      <c r="A8" s="18" t="inlineStr">
        <is>
          <t>매출채권</t>
        </is>
      </c>
      <c r="B8" s="10" t="n"/>
      <c r="C8" s="19" t="n">
        <v>61875</v>
      </c>
      <c r="D8" s="20" t="n">
        <v>65873</v>
      </c>
      <c r="E8" s="20" t="n">
        <v>73919</v>
      </c>
      <c r="F8" s="20" t="n">
        <v>67314</v>
      </c>
      <c r="G8" s="20" t="n">
        <v>72447</v>
      </c>
      <c r="H8" s="19" t="n">
        <v>59570</v>
      </c>
      <c r="I8" s="20" t="n">
        <v>58157</v>
      </c>
      <c r="J8" s="20" t="n">
        <v>67863</v>
      </c>
      <c r="K8" s="20" t="n">
        <v>71738</v>
      </c>
      <c r="L8" s="20" t="n">
        <v>73919</v>
      </c>
    </row>
    <row r="9">
      <c r="A9" s="18" t="inlineStr">
        <is>
          <t>재고자산</t>
        </is>
      </c>
      <c r="B9" s="10" t="n"/>
      <c r="C9" s="19" t="n">
        <v>61333</v>
      </c>
      <c r="D9" s="20" t="n">
        <v>64725</v>
      </c>
      <c r="E9" s="20" t="n">
        <v>61044</v>
      </c>
      <c r="F9" s="20" t="n">
        <v>64852</v>
      </c>
      <c r="G9" s="20" t="n">
        <v>64072</v>
      </c>
      <c r="H9" s="19" t="n">
        <v>55585</v>
      </c>
      <c r="I9" s="20" t="n">
        <v>67830</v>
      </c>
      <c r="J9" s="20" t="n">
        <v>62906</v>
      </c>
      <c r="K9" s="20" t="n">
        <v>58498</v>
      </c>
      <c r="L9" s="20" t="n">
        <v>61044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122062</v>
      </c>
      <c r="D11" s="12" t="n">
        <v>129146</v>
      </c>
      <c r="E11" s="12" t="n">
        <v>129958</v>
      </c>
      <c r="F11" s="12" t="n">
        <v>130170</v>
      </c>
      <c r="G11" s="12" t="n">
        <v>129392</v>
      </c>
      <c r="H11" s="11" t="n">
        <v>104008</v>
      </c>
      <c r="I11" s="12" t="n">
        <v>102167</v>
      </c>
      <c r="J11" s="12" t="n">
        <v>110770</v>
      </c>
      <c r="K11" s="12" t="n">
        <v>116510</v>
      </c>
      <c r="L11" s="12" t="n">
        <v>129958</v>
      </c>
    </row>
    <row r="12">
      <c r="A12" s="18" t="inlineStr">
        <is>
          <t>유형자산</t>
        </is>
      </c>
      <c r="B12" s="10" t="n"/>
      <c r="C12" s="19" t="n">
        <v>61956</v>
      </c>
      <c r="D12" s="20" t="n">
        <v>64589</v>
      </c>
      <c r="E12" s="20" t="n">
        <v>64901</v>
      </c>
      <c r="F12" s="20" t="n">
        <v>63726</v>
      </c>
      <c r="G12" s="20" t="n">
        <v>61526</v>
      </c>
      <c r="H12" s="19" t="n">
        <v>56249</v>
      </c>
      <c r="I12" s="20" t="n">
        <v>54721</v>
      </c>
      <c r="J12" s="20" t="n">
        <v>61955</v>
      </c>
      <c r="K12" s="20" t="n">
        <v>62067</v>
      </c>
      <c r="L12" s="20" t="n">
        <v>64901</v>
      </c>
    </row>
    <row r="13">
      <c r="A13" s="18" t="inlineStr">
        <is>
          <t>무형자산</t>
        </is>
      </c>
      <c r="B13" s="10" t="n"/>
      <c r="C13" s="19" t="n">
        <v>25839</v>
      </c>
      <c r="D13" s="20" t="n">
        <v>27013</v>
      </c>
      <c r="E13" s="20" t="n">
        <v>28157</v>
      </c>
      <c r="F13" s="20" t="n">
        <v>28468</v>
      </c>
      <c r="G13" s="20" t="n">
        <v>31129</v>
      </c>
      <c r="H13" s="19" t="n">
        <v>18601</v>
      </c>
      <c r="I13" s="20" t="n">
        <v>18065</v>
      </c>
      <c r="J13" s="20" t="n">
        <v>17969</v>
      </c>
      <c r="K13" s="20" t="n">
        <v>22920</v>
      </c>
      <c r="L13" s="20" t="n">
        <v>28157</v>
      </c>
    </row>
    <row r="14">
      <c r="A14" s="18" t="inlineStr">
        <is>
          <t>투자부동산</t>
        </is>
      </c>
      <c r="B14" s="10" t="n"/>
      <c r="C14" s="19" t="n">
        <v>3987</v>
      </c>
      <c r="D14" s="20" t="n">
        <v>4040</v>
      </c>
      <c r="E14" s="20" t="n">
        <v>4136</v>
      </c>
      <c r="F14" s="20" t="n">
        <v>4173</v>
      </c>
      <c r="G14" s="20" t="n">
        <v>4099</v>
      </c>
      <c r="H14" s="19" t="n">
        <v>3626</v>
      </c>
      <c r="I14" s="20" t="n">
        <v>3817</v>
      </c>
      <c r="J14" s="20" t="n">
        <v>4077</v>
      </c>
      <c r="K14" s="20" t="n">
        <v>3991</v>
      </c>
      <c r="L14" s="20" t="n">
        <v>4136</v>
      </c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313588</v>
      </c>
      <c r="D16" s="12" t="n">
        <v>343948</v>
      </c>
      <c r="E16" s="12" t="n">
        <v>347605</v>
      </c>
      <c r="F16" s="12" t="n">
        <v>348022</v>
      </c>
      <c r="G16" s="12" t="n">
        <v>344935</v>
      </c>
      <c r="H16" s="11" t="n">
        <v>280807</v>
      </c>
      <c r="I16" s="12" t="n">
        <v>299355</v>
      </c>
      <c r="J16" s="12" t="n">
        <v>316819</v>
      </c>
      <c r="K16" s="12" t="n">
        <v>313336</v>
      </c>
      <c r="L16" s="12" t="n">
        <v>347605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121908</v>
      </c>
      <c r="D18" s="12" t="n">
        <v>118138</v>
      </c>
      <c r="E18" s="12" t="n">
        <v>117165</v>
      </c>
      <c r="F18" s="12" t="n">
        <v>116802</v>
      </c>
      <c r="G18" s="12" t="n">
        <v>116106</v>
      </c>
      <c r="H18" s="11" t="n">
        <v>106213</v>
      </c>
      <c r="I18" s="12" t="n">
        <v>123849</v>
      </c>
      <c r="J18" s="12" t="n">
        <v>121717</v>
      </c>
      <c r="K18" s="12" t="n">
        <v>126148</v>
      </c>
      <c r="L18" s="12" t="n">
        <v>117165</v>
      </c>
    </row>
    <row r="19">
      <c r="A19" s="18" t="inlineStr">
        <is>
          <t>매입채무</t>
        </is>
      </c>
      <c r="B19" s="10" t="n"/>
      <c r="C19" s="19" t="n">
        <v>48832</v>
      </c>
      <c r="D19" s="20" t="n">
        <v>53456</v>
      </c>
      <c r="E19" s="20" t="n">
        <v>52212</v>
      </c>
      <c r="F19" s="20" t="n">
        <v>53350</v>
      </c>
      <c r="G19" s="20" t="n">
        <v>53179</v>
      </c>
      <c r="H19" s="19" t="n">
        <v>49431</v>
      </c>
      <c r="I19" s="20" t="n">
        <v>52868</v>
      </c>
      <c r="J19" s="20" t="n">
        <v>53430</v>
      </c>
      <c r="K19" s="20" t="n">
        <v>50578</v>
      </c>
      <c r="L19" s="20" t="n">
        <v>52212</v>
      </c>
    </row>
    <row r="20">
      <c r="A20" s="18" t="inlineStr">
        <is>
          <t>단기차입금</t>
        </is>
      </c>
      <c r="B20" s="10" t="n"/>
      <c r="C20" s="19" t="n">
        <v>29064</v>
      </c>
      <c r="D20" s="20" t="n">
        <v>20733</v>
      </c>
      <c r="E20" s="20" t="n">
        <v>18589</v>
      </c>
      <c r="F20" s="20" t="n">
        <v>16824</v>
      </c>
      <c r="G20" s="20" t="n">
        <v>15184</v>
      </c>
      <c r="H20" s="19" t="n">
        <v>17918</v>
      </c>
      <c r="I20" s="20" t="n">
        <v>26292</v>
      </c>
      <c r="J20" s="20" t="n">
        <v>19194</v>
      </c>
      <c r="K20" s="20" t="n">
        <v>26121</v>
      </c>
      <c r="L20" s="20" t="n">
        <v>18589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54032</v>
      </c>
      <c r="D23" s="12" t="n">
        <v>79248</v>
      </c>
      <c r="E23" s="12" t="n">
        <v>80741</v>
      </c>
      <c r="F23" s="12" t="n">
        <v>79657</v>
      </c>
      <c r="G23" s="12" t="n">
        <v>77569</v>
      </c>
      <c r="H23" s="11" t="n">
        <v>90632</v>
      </c>
      <c r="I23" s="12" t="n">
        <v>71774</v>
      </c>
      <c r="J23" s="12" t="n">
        <v>73881</v>
      </c>
      <c r="K23" s="12" t="n">
        <v>55789</v>
      </c>
      <c r="L23" s="12" t="n">
        <v>80741</v>
      </c>
    </row>
    <row r="24">
      <c r="A24" s="18" t="inlineStr">
        <is>
          <t>장기차입금</t>
        </is>
      </c>
      <c r="B24" s="10" t="n"/>
      <c r="C24" s="19" t="n">
        <v>23517</v>
      </c>
      <c r="D24" s="20" t="n"/>
      <c r="E24" s="20" t="n">
        <v>50009</v>
      </c>
      <c r="F24" s="20" t="n">
        <v>49892</v>
      </c>
      <c r="G24" s="20" t="n"/>
      <c r="H24" s="19" t="n">
        <v>51920</v>
      </c>
      <c r="I24" s="20" t="n">
        <v>36190</v>
      </c>
      <c r="J24" s="20" t="n">
        <v>38103</v>
      </c>
      <c r="K24" s="20" t="n">
        <v>24253</v>
      </c>
      <c r="L24" s="20" t="n">
        <v>50009</v>
      </c>
    </row>
    <row r="25">
      <c r="A25" s="18" t="inlineStr">
        <is>
          <t>사채</t>
        </is>
      </c>
      <c r="B25" s="10" t="n"/>
      <c r="C25" s="19" t="n"/>
      <c r="D25" s="20" t="n">
        <v>48402</v>
      </c>
      <c r="E25" s="20" t="n">
        <v>50009</v>
      </c>
      <c r="F25" s="20" t="n"/>
      <c r="G25" s="20" t="n">
        <v>48398</v>
      </c>
      <c r="H25" s="19" t="n"/>
      <c r="I25" s="20" t="n"/>
      <c r="J25" s="20" t="n"/>
      <c r="K25" s="20" t="n">
        <v>24253</v>
      </c>
      <c r="L25" s="20" t="n">
        <v>50009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175941</v>
      </c>
      <c r="D27" s="12" t="n">
        <v>197387</v>
      </c>
      <c r="E27" s="12" t="n">
        <v>197906</v>
      </c>
      <c r="F27" s="12" t="n">
        <v>196459</v>
      </c>
      <c r="G27" s="12" t="n">
        <v>193675</v>
      </c>
      <c r="H27" s="11" t="n">
        <v>196846</v>
      </c>
      <c r="I27" s="12" t="n">
        <v>195624</v>
      </c>
      <c r="J27" s="12" t="n">
        <v>195598</v>
      </c>
      <c r="K27" s="12" t="n">
        <v>181937</v>
      </c>
      <c r="L27" s="12" t="n">
        <v>197906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131730</v>
      </c>
      <c r="D31" s="12" t="n">
        <v>140368</v>
      </c>
      <c r="E31" s="12" t="n">
        <v>143834</v>
      </c>
      <c r="F31" s="12" t="n">
        <v>145622</v>
      </c>
      <c r="G31" s="12" t="n">
        <v>145354</v>
      </c>
      <c r="H31" s="11" t="n">
        <v>79495</v>
      </c>
      <c r="I31" s="12" t="n">
        <v>98807</v>
      </c>
      <c r="J31" s="12" t="n">
        <v>114801</v>
      </c>
      <c r="K31" s="12" t="n">
        <v>125103</v>
      </c>
      <c r="L31" s="12" t="n">
        <v>143834</v>
      </c>
    </row>
    <row r="32">
      <c r="A32" s="18" t="inlineStr">
        <is>
          <t>자본금</t>
        </is>
      </c>
      <c r="B32" s="10" t="n"/>
      <c r="C32" s="19" t="n">
        <v>13645</v>
      </c>
      <c r="D32" s="20" t="n">
        <v>13645</v>
      </c>
      <c r="E32" s="20" t="n">
        <v>13645</v>
      </c>
      <c r="F32" s="20" t="n">
        <v>13645</v>
      </c>
      <c r="G32" s="20" t="n">
        <v>13645</v>
      </c>
      <c r="H32" s="19" t="n">
        <v>13645</v>
      </c>
      <c r="I32" s="20" t="n">
        <v>13645</v>
      </c>
      <c r="J32" s="20" t="n">
        <v>13645</v>
      </c>
      <c r="K32" s="20" t="n">
        <v>13645</v>
      </c>
      <c r="L32" s="20" t="n">
        <v>13645</v>
      </c>
    </row>
    <row r="33">
      <c r="A33" s="18" t="inlineStr">
        <is>
          <t>이익잉여금</t>
        </is>
      </c>
      <c r="B33" s="10" t="n"/>
      <c r="C33" s="19" t="n">
        <v>64106</v>
      </c>
      <c r="D33" s="20" t="n">
        <v>68191</v>
      </c>
      <c r="E33" s="20" t="n">
        <v>72782</v>
      </c>
      <c r="F33" s="20" t="n">
        <v>72094</v>
      </c>
      <c r="G33" s="20" t="n">
        <v>79322</v>
      </c>
      <c r="H33" s="19" t="n">
        <v>13346</v>
      </c>
      <c r="I33" s="20" t="n">
        <v>28811</v>
      </c>
      <c r="J33" s="20" t="n">
        <v>40004</v>
      </c>
      <c r="K33" s="20" t="n">
        <v>58086</v>
      </c>
      <c r="L33" s="20" t="n">
        <v>72782</v>
      </c>
    </row>
    <row r="34">
      <c r="A34" s="18" t="inlineStr">
        <is>
          <t>비지배지분</t>
        </is>
      </c>
      <c r="B34" s="10" t="n"/>
      <c r="C34" s="19" t="n">
        <v>5916</v>
      </c>
      <c r="D34" s="20" t="n">
        <v>6192</v>
      </c>
      <c r="E34" s="20" t="n">
        <v>5864</v>
      </c>
      <c r="F34" s="20" t="n">
        <v>5939</v>
      </c>
      <c r="G34" s="20" t="n">
        <v>5906</v>
      </c>
      <c r="H34" s="19" t="n">
        <v>4465</v>
      </c>
      <c r="I34" s="20" t="n">
        <v>4923</v>
      </c>
      <c r="J34" s="20" t="n">
        <v>6418</v>
      </c>
      <c r="K34" s="20" t="n">
        <v>6295</v>
      </c>
      <c r="L34" s="20" t="n">
        <v>5864</v>
      </c>
    </row>
    <row r="35">
      <c r="A35" s="9" t="inlineStr">
        <is>
          <t>자본총계</t>
        </is>
      </c>
      <c r="B35" s="10" t="n"/>
      <c r="C35" s="11" t="n">
        <v>137647</v>
      </c>
      <c r="D35" s="12" t="n">
        <v>146561</v>
      </c>
      <c r="E35" s="12" t="n">
        <v>149698</v>
      </c>
      <c r="F35" s="12" t="n">
        <v>151562</v>
      </c>
      <c r="G35" s="12" t="n">
        <v>151260</v>
      </c>
      <c r="H35" s="11" t="n">
        <v>83961</v>
      </c>
      <c r="I35" s="12" t="n">
        <v>103731</v>
      </c>
      <c r="J35" s="12" t="n">
        <v>121220</v>
      </c>
      <c r="K35" s="12" t="n">
        <v>131399</v>
      </c>
      <c r="L35" s="12" t="n">
        <v>149698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31581</v>
      </c>
      <c r="D37" s="12" t="n">
        <v>26836</v>
      </c>
      <c r="E37" s="12" t="n">
        <v>33758</v>
      </c>
      <c r="F37" s="12" t="n">
        <v>38010</v>
      </c>
      <c r="G37" s="12" t="n">
        <v>41433</v>
      </c>
      <c r="H37" s="11" t="n">
        <v>7059</v>
      </c>
      <c r="I37" s="12" t="n">
        <v>26607</v>
      </c>
      <c r="J37" s="12" t="n">
        <v>33172</v>
      </c>
      <c r="K37" s="12" t="n">
        <v>31452</v>
      </c>
      <c r="L37" s="12" t="n">
        <v>33758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22645</v>
      </c>
      <c r="D38" s="20" t="n">
        <v>21004</v>
      </c>
      <c r="E38" s="20" t="n">
        <v>22569</v>
      </c>
      <c r="F38" s="20" t="n">
        <v>20741</v>
      </c>
      <c r="G38" s="20" t="n">
        <v>20581</v>
      </c>
      <c r="H38" s="19" t="n">
        <v>15962</v>
      </c>
      <c r="I38" s="20" t="n">
        <v>15812</v>
      </c>
      <c r="J38" s="20" t="n">
        <v>21009</v>
      </c>
      <c r="K38" s="20" t="n">
        <v>24735</v>
      </c>
      <c r="L38" s="20" t="n">
        <v>22569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2234</v>
      </c>
      <c r="D40" s="20" t="n">
        <v>2364</v>
      </c>
      <c r="E40" s="20" t="n">
        <v>2364</v>
      </c>
      <c r="F40" s="20" t="n">
        <v>2579</v>
      </c>
      <c r="G40" s="20" t="n">
        <v>2579</v>
      </c>
      <c r="H40" s="19" t="n">
        <v>819</v>
      </c>
      <c r="I40" s="20" t="n">
        <v>980</v>
      </c>
      <c r="J40" s="20" t="n">
        <v>1961</v>
      </c>
      <c r="K40" s="20" t="n">
        <v>2563</v>
      </c>
      <c r="L40" s="20" t="n">
        <v>2364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49623</v>
      </c>
      <c r="D71" s="20" t="n">
        <v>66089</v>
      </c>
      <c r="E71" s="20" t="n">
        <v>65716</v>
      </c>
      <c r="F71" s="20" t="n">
        <v>69203</v>
      </c>
      <c r="G71" s="20" t="n">
        <v>64340</v>
      </c>
      <c r="H71" s="20" t="n">
        <v>48707</v>
      </c>
      <c r="I71" s="20" t="n">
        <v>56186</v>
      </c>
      <c r="J71" s="20" t="n">
        <v>57874</v>
      </c>
      <c r="K71" s="20" t="n">
        <v>48597</v>
      </c>
      <c r="L71" s="20" t="n">
        <v>65716</v>
      </c>
    </row>
    <row r="72">
      <c r="A72" s="18" t="inlineStr">
        <is>
          <t>영업채권 및 기타채권</t>
        </is>
      </c>
      <c r="C72" s="20" t="n">
        <v>61875</v>
      </c>
      <c r="D72" s="20" t="n">
        <v>65873</v>
      </c>
      <c r="E72" s="20" t="n">
        <v>73919</v>
      </c>
      <c r="F72" s="20" t="n">
        <v>67314</v>
      </c>
      <c r="G72" s="20" t="n">
        <v>72447</v>
      </c>
      <c r="H72" s="20" t="n">
        <v>59570</v>
      </c>
      <c r="I72" s="20" t="n">
        <v>58157</v>
      </c>
      <c r="J72" s="20" t="n">
        <v>67863</v>
      </c>
      <c r="K72" s="20" t="n">
        <v>71738</v>
      </c>
      <c r="L72" s="20" t="n">
        <v>73919</v>
      </c>
    </row>
    <row r="73">
      <c r="A73" s="18" t="inlineStr">
        <is>
          <t>계약자산</t>
        </is>
      </c>
      <c r="C73" s="20" t="n">
        <v>7206</v>
      </c>
      <c r="D73" s="20" t="n">
        <v>6344</v>
      </c>
      <c r="E73" s="20" t="n">
        <v>5349</v>
      </c>
      <c r="F73" s="20" t="n">
        <v>4482</v>
      </c>
      <c r="G73" s="20" t="n">
        <v>4608</v>
      </c>
      <c r="H73" s="20" t="n">
        <v>1826</v>
      </c>
      <c r="I73" s="20" t="n">
        <v>2996</v>
      </c>
      <c r="J73" s="20" t="n">
        <v>4748</v>
      </c>
      <c r="K73" s="20" t="n">
        <v>6682</v>
      </c>
      <c r="L73" s="20" t="n">
        <v>5349</v>
      </c>
    </row>
    <row r="74">
      <c r="A74" s="18" t="inlineStr">
        <is>
          <t>기타금융자산</t>
        </is>
      </c>
      <c r="C74" s="20" t="n">
        <v>3044</v>
      </c>
      <c r="D74" s="20" t="n">
        <v>3166</v>
      </c>
      <c r="E74" s="20" t="n">
        <v>2504</v>
      </c>
      <c r="F74" s="20" t="n">
        <v>2598</v>
      </c>
      <c r="G74" s="20" t="n">
        <v>2247</v>
      </c>
      <c r="H74" s="20" t="n">
        <v>4761</v>
      </c>
      <c r="I74" s="20" t="n">
        <v>3552</v>
      </c>
      <c r="J74" s="20" t="n">
        <v>4914</v>
      </c>
      <c r="K74" s="20" t="n">
        <v>2228</v>
      </c>
      <c r="L74" s="20" t="n">
        <v>2504</v>
      </c>
    </row>
    <row r="75">
      <c r="A75" s="18" t="inlineStr">
        <is>
          <t>재고자산</t>
        </is>
      </c>
      <c r="C75" s="20" t="n">
        <v>61333</v>
      </c>
      <c r="D75" s="20" t="n">
        <v>64725</v>
      </c>
      <c r="E75" s="20" t="n">
        <v>61044</v>
      </c>
      <c r="F75" s="20" t="n">
        <v>64852</v>
      </c>
      <c r="G75" s="20" t="n">
        <v>64072</v>
      </c>
      <c r="H75" s="20" t="n">
        <v>55585</v>
      </c>
      <c r="I75" s="20" t="n">
        <v>67830</v>
      </c>
      <c r="J75" s="20" t="n">
        <v>62906</v>
      </c>
      <c r="K75" s="20" t="n">
        <v>58498</v>
      </c>
      <c r="L75" s="20" t="n">
        <v>61044</v>
      </c>
    </row>
    <row r="76">
      <c r="A76" s="18" t="inlineStr">
        <is>
          <t>Right To Recover Products</t>
        </is>
      </c>
      <c r="H76" s="20" t="n">
        <v>213</v>
      </c>
    </row>
    <row r="77">
      <c r="A77" s="18" t="inlineStr">
        <is>
          <t>Product Recovery Right</t>
        </is>
      </c>
      <c r="E77" s="20" t="n">
        <v>351</v>
      </c>
      <c r="H77" s="20" t="n">
        <v>213</v>
      </c>
      <c r="I77" s="20" t="n">
        <v>261</v>
      </c>
      <c r="J77" s="20" t="n">
        <v>254</v>
      </c>
      <c r="K77" s="20" t="n">
        <v>346</v>
      </c>
      <c r="L77" s="20" t="n">
        <v>351</v>
      </c>
    </row>
    <row r="78">
      <c r="A78" s="18" t="inlineStr">
        <is>
          <t>Product Recall Right</t>
        </is>
      </c>
      <c r="C78" s="20" t="n">
        <v>342</v>
      </c>
      <c r="D78" s="20" t="n">
        <v>333</v>
      </c>
      <c r="E78" s="20" t="n">
        <v>351</v>
      </c>
      <c r="F78" s="20" t="n">
        <v>283</v>
      </c>
      <c r="G78" s="20" t="n">
        <v>320</v>
      </c>
      <c r="I78" s="20" t="n">
        <v>261</v>
      </c>
      <c r="J78" s="20" t="n">
        <v>254</v>
      </c>
      <c r="K78" s="20" t="n">
        <v>346</v>
      </c>
      <c r="L78" s="20" t="n">
        <v>351</v>
      </c>
    </row>
    <row r="79">
      <c r="A79" s="18" t="inlineStr">
        <is>
          <t>Income Taxes Receivable CA</t>
        </is>
      </c>
      <c r="C79" s="20" t="n">
        <v>832</v>
      </c>
      <c r="D79" s="20" t="n">
        <v>767</v>
      </c>
      <c r="E79" s="20" t="n">
        <v>924</v>
      </c>
      <c r="F79" s="20" t="n">
        <v>1127</v>
      </c>
      <c r="G79" s="20" t="n">
        <v>520</v>
      </c>
      <c r="H79" s="20" t="n">
        <v>748</v>
      </c>
      <c r="I79" s="20" t="n">
        <v>976</v>
      </c>
      <c r="J79" s="20" t="n">
        <v>924</v>
      </c>
      <c r="K79" s="20" t="n">
        <v>934</v>
      </c>
      <c r="L79" s="20" t="n">
        <v>924</v>
      </c>
    </row>
    <row r="80">
      <c r="A80" s="18" t="inlineStr">
        <is>
          <t>기타유동자산</t>
        </is>
      </c>
      <c r="C80" s="20" t="n">
        <v>7267</v>
      </c>
      <c r="D80" s="20" t="n">
        <v>7499</v>
      </c>
      <c r="E80" s="20" t="n">
        <v>7834</v>
      </c>
      <c r="F80" s="20" t="n">
        <v>7989</v>
      </c>
      <c r="G80" s="20" t="n">
        <v>6985</v>
      </c>
      <c r="H80" s="20" t="n">
        <v>5386</v>
      </c>
      <c r="I80" s="20" t="n">
        <v>6231</v>
      </c>
      <c r="J80" s="20" t="n">
        <v>6547</v>
      </c>
      <c r="K80" s="20" t="n">
        <v>6885</v>
      </c>
      <c r="L80" s="20" t="n">
        <v>7834</v>
      </c>
    </row>
    <row r="81">
      <c r="A81" s="9" t="inlineStr">
        <is>
          <t>소계</t>
        </is>
      </c>
      <c r="C81" s="12" t="n">
        <v>191525</v>
      </c>
      <c r="D81" s="12" t="n">
        <v>214802</v>
      </c>
      <c r="E81" s="12" t="n">
        <v>217647</v>
      </c>
      <c r="H81" s="12" t="n">
        <v>176799</v>
      </c>
      <c r="I81" s="12" t="n">
        <v>196191</v>
      </c>
      <c r="J81" s="12" t="n">
        <v>206032</v>
      </c>
      <c r="K81" s="12" t="n">
        <v>195912</v>
      </c>
      <c r="L81" s="12" t="n">
        <v>217647</v>
      </c>
    </row>
    <row r="82">
      <c r="A82" s="18" t="inlineStr">
        <is>
          <t>매각예정 자산</t>
        </is>
      </c>
      <c r="C82" s="20" t="n">
        <v>0</v>
      </c>
      <c r="D82" s="20" t="n">
        <v>0</v>
      </c>
      <c r="E82" s="20" t="n">
        <v>0</v>
      </c>
      <c r="H82" s="20" t="n">
        <v>0</v>
      </c>
      <c r="I82" s="20" t="n">
        <v>995</v>
      </c>
      <c r="J82" s="20" t="n">
        <v>16</v>
      </c>
      <c r="K82" s="20" t="n">
        <v>913</v>
      </c>
      <c r="L82" s="20" t="n">
        <v>0</v>
      </c>
    </row>
    <row r="83">
      <c r="A83" s="9" t="inlineStr">
        <is>
          <t>유동자산 합계</t>
        </is>
      </c>
      <c r="C83" s="12" t="n">
        <v>191525</v>
      </c>
      <c r="D83" s="12" t="n">
        <v>214802</v>
      </c>
      <c r="E83" s="12" t="n">
        <v>217647</v>
      </c>
      <c r="F83" s="12" t="n">
        <v>217851</v>
      </c>
      <c r="G83" s="12" t="n">
        <v>215543</v>
      </c>
      <c r="H83" s="12" t="n">
        <v>176799</v>
      </c>
      <c r="I83" s="12" t="n">
        <v>197187</v>
      </c>
      <c r="J83" s="12" t="n">
        <v>206049</v>
      </c>
      <c r="K83" s="12" t="n">
        <v>196825</v>
      </c>
      <c r="L83" s="12" t="n">
        <v>217647</v>
      </c>
    </row>
    <row r="84">
      <c r="A84" s="18" t="inlineStr">
        <is>
          <t>유형자산</t>
        </is>
      </c>
      <c r="C84" s="20" t="n">
        <v>61956</v>
      </c>
      <c r="D84" s="20" t="n">
        <v>64589</v>
      </c>
      <c r="E84" s="20" t="n">
        <v>64901</v>
      </c>
      <c r="F84" s="20" t="n">
        <v>63726</v>
      </c>
      <c r="G84" s="20" t="n">
        <v>61526</v>
      </c>
      <c r="H84" s="20" t="n">
        <v>56249</v>
      </c>
      <c r="I84" s="20" t="n">
        <v>54721</v>
      </c>
      <c r="J84" s="20" t="n">
        <v>61955</v>
      </c>
      <c r="K84" s="20" t="n">
        <v>62067</v>
      </c>
      <c r="L84" s="20" t="n">
        <v>64901</v>
      </c>
    </row>
    <row r="85">
      <c r="A85" s="18" t="inlineStr">
        <is>
          <t>영업권</t>
        </is>
      </c>
      <c r="C85" s="20" t="n">
        <v>953</v>
      </c>
      <c r="D85" s="20" t="n">
        <v>1007</v>
      </c>
      <c r="E85" s="20" t="n">
        <v>1002</v>
      </c>
      <c r="F85" s="20" t="n">
        <v>1013</v>
      </c>
      <c r="G85" s="20" t="n">
        <v>1577</v>
      </c>
      <c r="H85" s="20" t="n">
        <v>2231</v>
      </c>
      <c r="I85" s="20" t="n">
        <v>2379</v>
      </c>
      <c r="J85" s="20" t="n">
        <v>2665</v>
      </c>
      <c r="K85" s="20" t="n">
        <v>886</v>
      </c>
      <c r="L85" s="20" t="n">
        <v>1002</v>
      </c>
    </row>
    <row r="86">
      <c r="A86" s="18" t="inlineStr">
        <is>
          <t>무형자산</t>
        </is>
      </c>
      <c r="C86" s="20" t="n">
        <v>25839</v>
      </c>
      <c r="D86" s="20" t="n">
        <v>27013</v>
      </c>
      <c r="E86" s="20" t="n">
        <v>28157</v>
      </c>
      <c r="F86" s="20" t="n">
        <v>28468</v>
      </c>
      <c r="G86" s="20" t="n">
        <v>31129</v>
      </c>
      <c r="H86" s="20" t="n">
        <v>18601</v>
      </c>
      <c r="I86" s="20" t="n">
        <v>18065</v>
      </c>
      <c r="J86" s="20" t="n">
        <v>17969</v>
      </c>
      <c r="K86" s="20" t="n">
        <v>22920</v>
      </c>
      <c r="L86" s="20" t="n">
        <v>28157</v>
      </c>
    </row>
    <row r="87">
      <c r="A87" s="18" t="inlineStr">
        <is>
          <t>퇴직급여자산</t>
        </is>
      </c>
      <c r="C87" s="20" t="n">
        <v>572</v>
      </c>
      <c r="D87" s="20" t="n">
        <v>538</v>
      </c>
      <c r="E87" s="20" t="n">
        <v>115</v>
      </c>
      <c r="F87" s="20" t="n">
        <v>101</v>
      </c>
      <c r="G87" s="20" t="n">
        <v>86</v>
      </c>
      <c r="H87" s="20" t="n">
        <v>2582</v>
      </c>
      <c r="I87" s="20" t="n">
        <v>1933</v>
      </c>
      <c r="J87" s="20" t="n">
        <v>1052</v>
      </c>
      <c r="K87" s="20" t="n">
        <v>635</v>
      </c>
      <c r="L87" s="20" t="n">
        <v>115</v>
      </c>
    </row>
    <row r="88">
      <c r="A88" s="18" t="inlineStr">
        <is>
          <t>Investment Property</t>
        </is>
      </c>
      <c r="C88" s="20" t="n">
        <v>3987</v>
      </c>
      <c r="D88" s="20" t="n">
        <v>4040</v>
      </c>
      <c r="E88" s="20" t="n">
        <v>4136</v>
      </c>
      <c r="F88" s="20" t="n">
        <v>4173</v>
      </c>
      <c r="G88" s="20" t="n">
        <v>4099</v>
      </c>
      <c r="H88" s="20" t="n">
        <v>3626</v>
      </c>
      <c r="I88" s="20" t="n">
        <v>3817</v>
      </c>
      <c r="J88" s="20" t="n">
        <v>4077</v>
      </c>
      <c r="K88" s="20" t="n">
        <v>3991</v>
      </c>
      <c r="L88" s="20" t="n">
        <v>4136</v>
      </c>
    </row>
    <row r="89">
      <c r="A89" s="18" t="inlineStr">
        <is>
          <t>지분법 투자</t>
        </is>
      </c>
      <c r="C89" s="20" t="n">
        <v>8971</v>
      </c>
      <c r="D89" s="20" t="n">
        <v>10039</v>
      </c>
      <c r="E89" s="20" t="n">
        <v>9954</v>
      </c>
      <c r="F89" s="20" t="n">
        <v>10490</v>
      </c>
      <c r="G89" s="20" t="n">
        <v>10321</v>
      </c>
      <c r="H89" s="20" t="n">
        <v>4604</v>
      </c>
      <c r="I89" s="20" t="n">
        <v>4983</v>
      </c>
      <c r="J89" s="20" t="n">
        <v>5880</v>
      </c>
      <c r="K89" s="20" t="n">
        <v>8044</v>
      </c>
      <c r="L89" s="20" t="n">
        <v>9954</v>
      </c>
    </row>
    <row r="90">
      <c r="A90" s="18" t="inlineStr">
        <is>
          <t>기타금융자산</t>
        </is>
      </c>
      <c r="C90" s="20" t="n">
        <v>10447</v>
      </c>
      <c r="D90" s="20" t="n">
        <v>11910</v>
      </c>
      <c r="E90" s="20" t="n">
        <v>12048</v>
      </c>
      <c r="F90" s="20" t="n">
        <v>11817</v>
      </c>
      <c r="G90" s="20" t="n">
        <v>11036</v>
      </c>
      <c r="H90" s="20" t="n">
        <v>10072</v>
      </c>
      <c r="I90" s="20" t="n">
        <v>9758</v>
      </c>
      <c r="J90" s="20" t="n">
        <v>10432</v>
      </c>
      <c r="K90" s="20" t="n">
        <v>8472</v>
      </c>
      <c r="L90" s="20" t="n">
        <v>12048</v>
      </c>
    </row>
    <row r="91">
      <c r="A91" s="18" t="inlineStr">
        <is>
          <t>이연법인세자산</t>
        </is>
      </c>
      <c r="C91" s="20" t="n">
        <v>7845</v>
      </c>
      <c r="D91" s="20" t="n">
        <v>7530</v>
      </c>
      <c r="E91" s="20" t="n">
        <v>6424</v>
      </c>
      <c r="F91" s="20" t="n">
        <v>6844</v>
      </c>
      <c r="G91" s="20" t="n">
        <v>5552</v>
      </c>
      <c r="H91" s="20" t="n">
        <v>5385</v>
      </c>
      <c r="I91" s="20" t="n">
        <v>6128</v>
      </c>
      <c r="J91" s="20" t="n">
        <v>6160</v>
      </c>
      <c r="K91" s="20" t="n">
        <v>8760</v>
      </c>
      <c r="L91" s="20" t="n">
        <v>6424</v>
      </c>
    </row>
    <row r="92">
      <c r="A92" s="18" t="inlineStr">
        <is>
          <t>기타비유동자산</t>
        </is>
      </c>
      <c r="C92" s="20" t="n">
        <v>1485</v>
      </c>
      <c r="D92" s="20" t="n">
        <v>2475</v>
      </c>
      <c r="E92" s="20" t="n">
        <v>3218</v>
      </c>
      <c r="F92" s="20" t="n">
        <v>3534</v>
      </c>
      <c r="G92" s="20" t="n">
        <v>4062</v>
      </c>
      <c r="H92" s="20" t="n">
        <v>654</v>
      </c>
      <c r="I92" s="20" t="n">
        <v>380</v>
      </c>
      <c r="J92" s="20" t="n">
        <v>576</v>
      </c>
      <c r="K92" s="20" t="n">
        <v>733</v>
      </c>
      <c r="L92" s="20" t="n">
        <v>3218</v>
      </c>
    </row>
    <row r="93">
      <c r="A93" s="18" t="inlineStr">
        <is>
          <t>비유동자산 합계</t>
        </is>
      </c>
      <c r="C93" s="20" t="n">
        <v>122062</v>
      </c>
      <c r="D93" s="20" t="n">
        <v>129146</v>
      </c>
      <c r="E93" s="20" t="n">
        <v>129958</v>
      </c>
      <c r="F93" s="20" t="n">
        <v>130170</v>
      </c>
      <c r="G93" s="20" t="n">
        <v>129392</v>
      </c>
      <c r="H93" s="20" t="n">
        <v>104008</v>
      </c>
      <c r="I93" s="20" t="n">
        <v>102167</v>
      </c>
      <c r="J93" s="20" t="n">
        <v>110770</v>
      </c>
      <c r="K93" s="20" t="n">
        <v>116510</v>
      </c>
      <c r="L93" s="20" t="n">
        <v>129958</v>
      </c>
    </row>
    <row r="94">
      <c r="A94" s="18" t="inlineStr">
        <is>
          <t>자산 합계</t>
        </is>
      </c>
      <c r="C94" s="20" t="n">
        <v>313588</v>
      </c>
      <c r="D94" s="20" t="n">
        <v>343948</v>
      </c>
      <c r="E94" s="20" t="n">
        <v>347605</v>
      </c>
      <c r="F94" s="20" t="n">
        <v>348022</v>
      </c>
      <c r="G94" s="20" t="n">
        <v>344935</v>
      </c>
      <c r="H94" s="20" t="n">
        <v>280807</v>
      </c>
      <c r="I94" s="20" t="n">
        <v>299355</v>
      </c>
      <c r="J94" s="20" t="n">
        <v>316819</v>
      </c>
      <c r="K94" s="20" t="n">
        <v>313336</v>
      </c>
      <c r="L94" s="20" t="n">
        <v>347605</v>
      </c>
    </row>
    <row r="95">
      <c r="A95" s="18" t="inlineStr">
        <is>
          <t>영업채무 및 기타채무</t>
        </is>
      </c>
      <c r="C95" s="20" t="n">
        <v>48832</v>
      </c>
      <c r="D95" s="20" t="n">
        <v>53456</v>
      </c>
      <c r="E95" s="20" t="n">
        <v>52212</v>
      </c>
      <c r="F95" s="20" t="n">
        <v>53350</v>
      </c>
      <c r="G95" s="20" t="n">
        <v>53179</v>
      </c>
      <c r="H95" s="20" t="n">
        <v>49431</v>
      </c>
      <c r="I95" s="20" t="n">
        <v>52868</v>
      </c>
      <c r="J95" s="20" t="n">
        <v>53430</v>
      </c>
      <c r="K95" s="20" t="n">
        <v>50578</v>
      </c>
      <c r="L95" s="20" t="n">
        <v>52212</v>
      </c>
    </row>
    <row r="96">
      <c r="A96" s="18" t="inlineStr">
        <is>
          <t>계약부채</t>
        </is>
      </c>
      <c r="C96" s="20" t="n">
        <v>4082</v>
      </c>
      <c r="D96" s="20" t="n">
        <v>4018</v>
      </c>
      <c r="E96" s="20" t="n">
        <v>3905</v>
      </c>
      <c r="F96" s="20" t="n">
        <v>3799</v>
      </c>
      <c r="G96" s="20" t="n">
        <v>4662</v>
      </c>
      <c r="H96" s="20" t="n">
        <v>2852</v>
      </c>
      <c r="I96" s="20" t="n">
        <v>4088</v>
      </c>
      <c r="J96" s="20" t="n">
        <v>4968</v>
      </c>
      <c r="K96" s="20" t="n">
        <v>4285</v>
      </c>
      <c r="L96" s="20" t="n">
        <v>3905</v>
      </c>
    </row>
    <row r="97">
      <c r="A97" s="18" t="inlineStr">
        <is>
          <t>Refund Liabilities</t>
        </is>
      </c>
      <c r="H97" s="20" t="n">
        <v>4416</v>
      </c>
    </row>
    <row r="98">
      <c r="A98" s="18" t="inlineStr">
        <is>
          <t>Repayment Debt</t>
        </is>
      </c>
      <c r="C98" s="20" t="n">
        <v>4066</v>
      </c>
      <c r="D98" s="20" t="n">
        <v>4465</v>
      </c>
      <c r="E98" s="20" t="n">
        <v>3745</v>
      </c>
      <c r="F98" s="20" t="n">
        <v>3457</v>
      </c>
      <c r="G98" s="20" t="n">
        <v>4321</v>
      </c>
      <c r="H98" s="20" t="n">
        <v>4416</v>
      </c>
      <c r="I98" s="20" t="n">
        <v>5084</v>
      </c>
      <c r="J98" s="20" t="n">
        <v>4915</v>
      </c>
      <c r="K98" s="20" t="n">
        <v>4280</v>
      </c>
      <c r="L98" s="20" t="n">
        <v>3745</v>
      </c>
    </row>
    <row r="99">
      <c r="A99" s="18" t="inlineStr">
        <is>
          <t>차입금</t>
        </is>
      </c>
      <c r="C99" s="20" t="n">
        <v>29064</v>
      </c>
      <c r="D99" s="20" t="n">
        <v>20733</v>
      </c>
      <c r="E99" s="20" t="n">
        <v>18589</v>
      </c>
      <c r="F99" s="20" t="n">
        <v>16824</v>
      </c>
      <c r="G99" s="20" t="n">
        <v>15184</v>
      </c>
      <c r="H99" s="20" t="n">
        <v>17918</v>
      </c>
      <c r="I99" s="20" t="n">
        <v>26292</v>
      </c>
      <c r="J99" s="20" t="n">
        <v>19194</v>
      </c>
      <c r="K99" s="20" t="n">
        <v>26121</v>
      </c>
      <c r="L99" s="20" t="n">
        <v>18589</v>
      </c>
    </row>
    <row r="100">
      <c r="A100" s="18" t="inlineStr">
        <is>
          <t>기타금융부채</t>
        </is>
      </c>
      <c r="C100" s="20" t="n">
        <v>4565</v>
      </c>
      <c r="D100" s="20" t="n">
        <v>5718</v>
      </c>
      <c r="E100" s="20" t="n">
        <v>5039</v>
      </c>
      <c r="F100" s="20" t="n">
        <v>4573</v>
      </c>
      <c r="G100" s="20" t="n">
        <v>3899</v>
      </c>
      <c r="H100" s="20" t="n">
        <v>4453</v>
      </c>
      <c r="I100" s="20" t="n">
        <v>4643</v>
      </c>
      <c r="J100" s="20" t="n">
        <v>6110</v>
      </c>
      <c r="K100" s="20" t="n">
        <v>4449</v>
      </c>
      <c r="L100" s="20" t="n">
        <v>5039</v>
      </c>
    </row>
    <row r="101">
      <c r="A101" s="18" t="inlineStr">
        <is>
          <t>미지급법인세 등</t>
        </is>
      </c>
      <c r="C101" s="20" t="n">
        <v>1879</v>
      </c>
      <c r="D101" s="20" t="n">
        <v>1484</v>
      </c>
      <c r="E101" s="20" t="n">
        <v>1345</v>
      </c>
      <c r="F101" s="20" t="n">
        <v>1360</v>
      </c>
      <c r="G101" s="20" t="n">
        <v>1889</v>
      </c>
      <c r="H101" s="20" t="n">
        <v>1685</v>
      </c>
      <c r="I101" s="20" t="n">
        <v>2995</v>
      </c>
      <c r="J101" s="20" t="n">
        <v>1700</v>
      </c>
      <c r="K101" s="20" t="n">
        <v>1981</v>
      </c>
      <c r="L101" s="20" t="n">
        <v>1345</v>
      </c>
    </row>
    <row r="102">
      <c r="A102" s="18" t="inlineStr">
        <is>
          <t>충당금</t>
        </is>
      </c>
      <c r="C102" s="20" t="n">
        <v>2107</v>
      </c>
      <c r="D102" s="20" t="n">
        <v>2157</v>
      </c>
      <c r="E102" s="20" t="n">
        <v>2446</v>
      </c>
      <c r="F102" s="20" t="n">
        <v>2508</v>
      </c>
      <c r="G102" s="20" t="n">
        <v>2422</v>
      </c>
      <c r="H102" s="20" t="n">
        <v>1838</v>
      </c>
      <c r="I102" s="20" t="n">
        <v>1814</v>
      </c>
      <c r="J102" s="20" t="n">
        <v>2303</v>
      </c>
      <c r="K102" s="20" t="n">
        <v>2117</v>
      </c>
      <c r="L102" s="20" t="n">
        <v>2446</v>
      </c>
    </row>
    <row r="103">
      <c r="A103" s="18" t="inlineStr">
        <is>
          <t>기타유동부채</t>
        </is>
      </c>
      <c r="C103" s="20" t="n">
        <v>27309</v>
      </c>
      <c r="D103" s="20" t="n">
        <v>26102</v>
      </c>
      <c r="E103" s="20" t="n">
        <v>29880</v>
      </c>
      <c r="F103" s="20" t="n">
        <v>30927</v>
      </c>
      <c r="G103" s="20" t="n">
        <v>30545</v>
      </c>
      <c r="H103" s="20" t="n">
        <v>23617</v>
      </c>
      <c r="I103" s="20" t="n">
        <v>26062</v>
      </c>
      <c r="J103" s="20" t="n">
        <v>29093</v>
      </c>
      <c r="K103" s="20" t="n">
        <v>31471</v>
      </c>
      <c r="L103" s="20" t="n">
        <v>29880</v>
      </c>
    </row>
    <row r="104">
      <c r="A104" s="18" t="inlineStr">
        <is>
          <t>소계</t>
        </is>
      </c>
      <c r="C104" s="20" t="n">
        <v>121908</v>
      </c>
      <c r="D104" s="20" t="n">
        <v>118138</v>
      </c>
      <c r="E104" s="20" t="n">
        <v>117165</v>
      </c>
      <c r="H104" s="20" t="n">
        <v>106213</v>
      </c>
      <c r="J104" s="20" t="n">
        <v>121717</v>
      </c>
      <c r="K104" s="20" t="n">
        <v>125285</v>
      </c>
      <c r="L104" s="20" t="n">
        <v>117165</v>
      </c>
    </row>
    <row r="105">
      <c r="A105" s="18" t="inlineStr">
        <is>
          <t>매각예정 자산 직접 관련 부채</t>
        </is>
      </c>
      <c r="C105" s="20" t="n">
        <v>0</v>
      </c>
      <c r="D105" s="20" t="n">
        <v>0</v>
      </c>
      <c r="E105" s="20" t="n">
        <v>0</v>
      </c>
      <c r="H105" s="20" t="n">
        <v>0</v>
      </c>
      <c r="J105" s="20" t="n">
        <v>0</v>
      </c>
      <c r="K105" s="20" t="n">
        <v>862</v>
      </c>
      <c r="L105" s="20" t="n">
        <v>0</v>
      </c>
    </row>
    <row r="106">
      <c r="A106" s="18" t="inlineStr">
        <is>
          <t>유동부채 합계</t>
        </is>
      </c>
      <c r="C106" s="20" t="n">
        <v>121908</v>
      </c>
      <c r="D106" s="20" t="n">
        <v>118138</v>
      </c>
      <c r="E106" s="20" t="n">
        <v>117165</v>
      </c>
      <c r="F106" s="20" t="n">
        <v>116802</v>
      </c>
      <c r="G106" s="20" t="n">
        <v>116106</v>
      </c>
      <c r="H106" s="20" t="n">
        <v>106213</v>
      </c>
      <c r="I106" s="20" t="n">
        <v>123849</v>
      </c>
      <c r="J106" s="20" t="n">
        <v>121717</v>
      </c>
      <c r="K106" s="20" t="n">
        <v>126148</v>
      </c>
      <c r="L106" s="20" t="n">
        <v>117165</v>
      </c>
    </row>
    <row r="107">
      <c r="A107" s="18" t="inlineStr">
        <is>
          <t>사채 및 차입금</t>
        </is>
      </c>
      <c r="C107" s="20" t="n">
        <v>23517</v>
      </c>
      <c r="E107" s="20" t="n">
        <v>50009</v>
      </c>
      <c r="F107" s="20" t="n">
        <v>49892</v>
      </c>
      <c r="H107" s="20" t="n">
        <v>51920</v>
      </c>
      <c r="I107" s="20" t="n">
        <v>36190</v>
      </c>
      <c r="J107" s="20" t="n">
        <v>38103</v>
      </c>
      <c r="K107" s="20" t="n">
        <v>24253</v>
      </c>
      <c r="L107" s="20" t="n">
        <v>50009</v>
      </c>
    </row>
    <row r="108">
      <c r="A108" s="18" t="inlineStr">
        <is>
          <t>사채 및 차입금</t>
        </is>
      </c>
      <c r="D108" s="20" t="n">
        <v>48402</v>
      </c>
      <c r="E108" s="20" t="n">
        <v>50009</v>
      </c>
      <c r="G108" s="20" t="n">
        <v>48398</v>
      </c>
      <c r="K108" s="20" t="n">
        <v>24253</v>
      </c>
      <c r="L108" s="20" t="n">
        <v>50009</v>
      </c>
    </row>
    <row r="109">
      <c r="A109" s="18" t="inlineStr">
        <is>
          <t>기타금융부채</t>
        </is>
      </c>
      <c r="C109" s="20" t="n">
        <v>10526</v>
      </c>
      <c r="D109" s="20" t="n">
        <v>10817</v>
      </c>
      <c r="E109" s="20" t="n">
        <v>10669</v>
      </c>
      <c r="F109" s="20" t="n">
        <v>10231</v>
      </c>
      <c r="G109" s="20" t="n">
        <v>9817</v>
      </c>
      <c r="H109" s="20" t="n">
        <v>10925</v>
      </c>
      <c r="I109" s="20" t="n">
        <v>11999</v>
      </c>
      <c r="J109" s="20" t="n">
        <v>13380</v>
      </c>
      <c r="K109" s="20" t="n">
        <v>11198</v>
      </c>
      <c r="L109" s="20" t="n">
        <v>10669</v>
      </c>
    </row>
    <row r="110">
      <c r="A110" s="18" t="inlineStr">
        <is>
          <t>퇴직급여부채</t>
        </is>
      </c>
      <c r="C110" s="20" t="n">
        <v>15291</v>
      </c>
      <c r="D110" s="20" t="n">
        <v>15174</v>
      </c>
      <c r="E110" s="20" t="n">
        <v>14493</v>
      </c>
      <c r="F110" s="20" t="n">
        <v>13805</v>
      </c>
      <c r="G110" s="20" t="n">
        <v>13698</v>
      </c>
      <c r="H110" s="20" t="n">
        <v>22517</v>
      </c>
      <c r="I110" s="20" t="n">
        <v>18459</v>
      </c>
      <c r="J110" s="20" t="n">
        <v>17436</v>
      </c>
      <c r="K110" s="20" t="n">
        <v>15659</v>
      </c>
      <c r="L110" s="20" t="n">
        <v>14493</v>
      </c>
    </row>
    <row r="111">
      <c r="A111" s="18" t="inlineStr">
        <is>
          <t>충당금</t>
        </is>
      </c>
      <c r="C111" s="20" t="n">
        <v>1312</v>
      </c>
      <c r="D111" s="20" t="n">
        <v>1322</v>
      </c>
      <c r="E111" s="20" t="n">
        <v>1239</v>
      </c>
      <c r="F111" s="20" t="n">
        <v>1203</v>
      </c>
      <c r="G111" s="20" t="n">
        <v>1196</v>
      </c>
      <c r="H111" s="20" t="n">
        <v>1167</v>
      </c>
      <c r="I111" s="20" t="n">
        <v>1252</v>
      </c>
      <c r="J111" s="20" t="n">
        <v>1402</v>
      </c>
      <c r="K111" s="20" t="n">
        <v>1316</v>
      </c>
      <c r="L111" s="20" t="n">
        <v>1239</v>
      </c>
    </row>
    <row r="112">
      <c r="A112" s="18" t="inlineStr">
        <is>
          <t>이연법인세부채</t>
        </is>
      </c>
      <c r="C112" s="20" t="n">
        <v>2345</v>
      </c>
      <c r="D112" s="20" t="n">
        <v>2279</v>
      </c>
      <c r="E112" s="20" t="n">
        <v>2453</v>
      </c>
      <c r="F112" s="20" t="n">
        <v>2491</v>
      </c>
      <c r="G112" s="20" t="n">
        <v>2438</v>
      </c>
      <c r="H112" s="20" t="n">
        <v>3080</v>
      </c>
      <c r="I112" s="20" t="n">
        <v>2981</v>
      </c>
      <c r="J112" s="20" t="n">
        <v>2663</v>
      </c>
      <c r="K112" s="20" t="n">
        <v>2288</v>
      </c>
      <c r="L112" s="20" t="n">
        <v>2453</v>
      </c>
    </row>
    <row r="113">
      <c r="A113" s="18" t="inlineStr">
        <is>
          <t>기타비유동부채</t>
        </is>
      </c>
      <c r="C113" s="20" t="n">
        <v>1038</v>
      </c>
      <c r="D113" s="20" t="n">
        <v>1251</v>
      </c>
      <c r="E113" s="20" t="n">
        <v>1875</v>
      </c>
      <c r="F113" s="20" t="n">
        <v>2033</v>
      </c>
      <c r="G113" s="20" t="n">
        <v>2018</v>
      </c>
      <c r="H113" s="20" t="n">
        <v>1020</v>
      </c>
      <c r="I113" s="20" t="n">
        <v>890</v>
      </c>
      <c r="J113" s="20" t="n">
        <v>895</v>
      </c>
      <c r="K113" s="20" t="n">
        <v>1072</v>
      </c>
      <c r="L113" s="20" t="n">
        <v>1875</v>
      </c>
    </row>
    <row r="114">
      <c r="A114" s="18" t="inlineStr">
        <is>
          <t>비유동부채 합계</t>
        </is>
      </c>
      <c r="C114" s="20" t="n">
        <v>54032</v>
      </c>
      <c r="D114" s="20" t="n">
        <v>79248</v>
      </c>
      <c r="E114" s="20" t="n">
        <v>80741</v>
      </c>
      <c r="F114" s="20" t="n">
        <v>79657</v>
      </c>
      <c r="G114" s="20" t="n">
        <v>77569</v>
      </c>
      <c r="H114" s="20" t="n">
        <v>90632</v>
      </c>
      <c r="I114" s="20" t="n">
        <v>71774</v>
      </c>
      <c r="J114" s="20" t="n">
        <v>73881</v>
      </c>
      <c r="K114" s="20" t="n">
        <v>55789</v>
      </c>
      <c r="L114" s="20" t="n">
        <v>80741</v>
      </c>
    </row>
    <row r="115">
      <c r="A115" s="18" t="inlineStr">
        <is>
          <t>부채 합계</t>
        </is>
      </c>
      <c r="C115" s="20" t="n">
        <v>175941</v>
      </c>
      <c r="D115" s="20" t="n">
        <v>197387</v>
      </c>
      <c r="E115" s="20" t="n">
        <v>197906</v>
      </c>
      <c r="F115" s="20" t="n">
        <v>196459</v>
      </c>
      <c r="G115" s="20" t="n">
        <v>193675</v>
      </c>
      <c r="H115" s="20" t="n">
        <v>196846</v>
      </c>
      <c r="I115" s="20" t="n">
        <v>195624</v>
      </c>
      <c r="J115" s="20" t="n">
        <v>195598</v>
      </c>
      <c r="K115" s="20" t="n">
        <v>181937</v>
      </c>
      <c r="L115" s="20" t="n">
        <v>197906</v>
      </c>
    </row>
    <row r="116">
      <c r="A116" s="18" t="inlineStr">
        <is>
          <t>자본금</t>
        </is>
      </c>
      <c r="C116" s="20" t="n">
        <v>13645</v>
      </c>
      <c r="D116" s="20" t="n">
        <v>13645</v>
      </c>
      <c r="E116" s="20" t="n">
        <v>13645</v>
      </c>
      <c r="F116" s="20" t="n">
        <v>13645</v>
      </c>
      <c r="G116" s="20" t="n">
        <v>13645</v>
      </c>
      <c r="H116" s="20" t="n">
        <v>13645</v>
      </c>
      <c r="I116" s="20" t="n">
        <v>13645</v>
      </c>
      <c r="J116" s="20" t="n">
        <v>13645</v>
      </c>
      <c r="K116" s="20" t="n">
        <v>13645</v>
      </c>
      <c r="L116" s="20" t="n">
        <v>13645</v>
      </c>
    </row>
    <row r="117">
      <c r="A117" s="18" t="inlineStr">
        <is>
          <t>자본잉여금</t>
        </is>
      </c>
      <c r="C117" s="20" t="n">
        <v>41725</v>
      </c>
      <c r="D117" s="20" t="n">
        <v>44137</v>
      </c>
      <c r="E117" s="20" t="n">
        <v>41074</v>
      </c>
      <c r="F117" s="20" t="n">
        <v>41165</v>
      </c>
      <c r="G117" s="20" t="n">
        <v>41178</v>
      </c>
      <c r="H117" s="20" t="n">
        <v>42112</v>
      </c>
      <c r="I117" s="20" t="n">
        <v>42029</v>
      </c>
      <c r="J117" s="20" t="n">
        <v>42209</v>
      </c>
      <c r="K117" s="20" t="n">
        <v>42357</v>
      </c>
      <c r="L117" s="20" t="n">
        <v>41074</v>
      </c>
    </row>
    <row r="118">
      <c r="A118" s="18" t="inlineStr">
        <is>
          <t>이익잉여금</t>
        </is>
      </c>
      <c r="C118" s="20" t="n">
        <v>64106</v>
      </c>
      <c r="D118" s="20" t="n">
        <v>68191</v>
      </c>
      <c r="E118" s="20" t="n">
        <v>72782</v>
      </c>
      <c r="F118" s="20" t="n">
        <v>72094</v>
      </c>
      <c r="G118" s="20" t="n">
        <v>79322</v>
      </c>
      <c r="H118" s="20" t="n">
        <v>13346</v>
      </c>
      <c r="I118" s="20" t="n">
        <v>28811</v>
      </c>
      <c r="J118" s="20" t="n">
        <v>40004</v>
      </c>
      <c r="K118" s="20" t="n">
        <v>58086</v>
      </c>
      <c r="L118" s="20" t="n">
        <v>72782</v>
      </c>
    </row>
    <row r="119">
      <c r="A119" s="18" t="inlineStr">
        <is>
          <t>자기주식</t>
        </is>
      </c>
      <c r="C119" s="20" t="n">
        <v>-13179</v>
      </c>
      <c r="D119" s="20" t="n">
        <v>-18179</v>
      </c>
      <c r="E119" s="20" t="n">
        <v>-18866</v>
      </c>
      <c r="F119" s="20" t="n">
        <v>-18853</v>
      </c>
      <c r="G119" s="20" t="n">
        <v>-21445</v>
      </c>
      <c r="H119" s="20" t="n">
        <v>-140</v>
      </c>
      <c r="I119" s="20" t="n">
        <v>-140</v>
      </c>
      <c r="J119" s="20" t="n">
        <v>-7125</v>
      </c>
      <c r="K119" s="20" t="n">
        <v>-11589</v>
      </c>
      <c r="L119" s="20" t="n">
        <v>-18866</v>
      </c>
    </row>
    <row r="120">
      <c r="A120" s="18" t="inlineStr">
        <is>
          <t>기타자본구성요소</t>
        </is>
      </c>
      <c r="C120" s="20" t="n">
        <v>25432</v>
      </c>
      <c r="D120" s="20" t="n">
        <v>32573</v>
      </c>
      <c r="E120" s="20" t="n">
        <v>35199</v>
      </c>
      <c r="F120" s="20" t="n">
        <v>37570</v>
      </c>
      <c r="G120" s="20" t="n">
        <v>32653</v>
      </c>
      <c r="H120" s="20" t="n">
        <v>10530</v>
      </c>
      <c r="I120" s="20" t="n">
        <v>14461</v>
      </c>
      <c r="J120" s="20" t="n">
        <v>26067</v>
      </c>
      <c r="K120" s="20" t="n">
        <v>22602</v>
      </c>
      <c r="L120" s="20" t="n">
        <v>35199</v>
      </c>
    </row>
    <row r="121">
      <c r="A121" s="18" t="inlineStr">
        <is>
          <t>지배기업 소유주 귀속 지분 합계</t>
        </is>
      </c>
      <c r="C121" s="20" t="n">
        <v>131730</v>
      </c>
      <c r="D121" s="20" t="n">
        <v>140368</v>
      </c>
      <c r="E121" s="20" t="n">
        <v>143834</v>
      </c>
      <c r="F121" s="20" t="n">
        <v>145622</v>
      </c>
      <c r="G121" s="20" t="n">
        <v>145354</v>
      </c>
      <c r="H121" s="20" t="n">
        <v>79495</v>
      </c>
      <c r="I121" s="20" t="n">
        <v>98807</v>
      </c>
      <c r="J121" s="20" t="n">
        <v>114801</v>
      </c>
      <c r="K121" s="20" t="n">
        <v>125103</v>
      </c>
      <c r="L121" s="20" t="n">
        <v>143834</v>
      </c>
    </row>
    <row r="122">
      <c r="A122" s="18" t="inlineStr">
        <is>
          <t>비지배지분</t>
        </is>
      </c>
      <c r="C122" s="20" t="n">
        <v>5916</v>
      </c>
      <c r="D122" s="20" t="n">
        <v>6192</v>
      </c>
      <c r="E122" s="20" t="n">
        <v>5864</v>
      </c>
      <c r="F122" s="20" t="n">
        <v>5939</v>
      </c>
      <c r="G122" s="20" t="n">
        <v>5906</v>
      </c>
      <c r="H122" s="20" t="n">
        <v>4465</v>
      </c>
      <c r="I122" s="20" t="n">
        <v>4923</v>
      </c>
      <c r="J122" s="20" t="n">
        <v>6418</v>
      </c>
      <c r="K122" s="20" t="n">
        <v>6295</v>
      </c>
      <c r="L122" s="20" t="n">
        <v>5864</v>
      </c>
    </row>
    <row r="123">
      <c r="A123" s="18" t="inlineStr">
        <is>
          <t>자본 합계</t>
        </is>
      </c>
      <c r="C123" s="20" t="n">
        <v>137647</v>
      </c>
      <c r="D123" s="20" t="n">
        <v>146561</v>
      </c>
      <c r="E123" s="20" t="n">
        <v>149698</v>
      </c>
      <c r="F123" s="20" t="n">
        <v>151562</v>
      </c>
      <c r="G123" s="20" t="n">
        <v>151260</v>
      </c>
      <c r="H123" s="20" t="n">
        <v>83961</v>
      </c>
      <c r="I123" s="20" t="n">
        <v>103731</v>
      </c>
      <c r="J123" s="20" t="n">
        <v>121220</v>
      </c>
      <c r="K123" s="20" t="n">
        <v>131399</v>
      </c>
      <c r="L123" s="20" t="n">
        <v>149698</v>
      </c>
    </row>
    <row r="124">
      <c r="A124" s="18" t="inlineStr">
        <is>
          <t>부채및자본 합계</t>
        </is>
      </c>
      <c r="C124" s="20" t="n">
        <v>313588</v>
      </c>
      <c r="D124" s="20" t="n">
        <v>343948</v>
      </c>
      <c r="E124" s="20" t="n">
        <v>347605</v>
      </c>
      <c r="F124" s="20" t="n">
        <v>348022</v>
      </c>
      <c r="G124" s="20" t="n">
        <v>344935</v>
      </c>
      <c r="H124" s="20" t="n">
        <v>280807</v>
      </c>
      <c r="I124" s="20" t="n">
        <v>299355</v>
      </c>
      <c r="J124" s="20" t="n">
        <v>316819</v>
      </c>
      <c r="K124" s="20" t="n">
        <v>313336</v>
      </c>
      <c r="L124" s="20" t="n">
        <v>347605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44" customWidth="1" min="5" max="5"/>
  </cols>
  <sheetData>
    <row r="1">
      <c r="A1" s="50" t="inlineStr">
        <is>
          <t>6632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company 예상</t>
        </is>
      </c>
      <c r="B4" s="52" t="n"/>
      <c r="C4" s="52" t="n"/>
      <c r="D4" s="52" t="n"/>
      <c r="E4" s="52" t="n"/>
    </row>
    <row r="5">
      <c r="A5" s="53" t="inlineStr">
        <is>
          <t>항목</t>
        </is>
      </c>
      <c r="B5" s="53" t="inlineStr">
        <is>
          <t>값</t>
        </is>
      </c>
      <c r="E5" s="53" t="inlineStr">
        <is>
          <t>출처</t>
        </is>
      </c>
    </row>
    <row r="6">
      <c r="A6" s="54" t="inlineStr">
        <is>
          <t>매출</t>
        </is>
      </c>
      <c r="B6" s="55" t="n">
        <v>3760</v>
      </c>
      <c r="E6" s="56" t="inlineStr">
        <is>
          <t>2단계 보고서 자료(회사 설명회 자료·공시)</t>
        </is>
      </c>
    </row>
    <row r="7">
      <c r="A7" s="54" t="inlineStr">
        <is>
          <t>영업이익</t>
        </is>
      </c>
      <c r="B7" s="55" t="n">
        <v>195</v>
      </c>
    </row>
    <row r="8">
      <c r="A8" s="54" t="inlineStr">
        <is>
          <t>순이익</t>
        </is>
      </c>
      <c r="B8" s="55" t="n">
        <v>147</v>
      </c>
    </row>
    <row r="9">
      <c r="A9" s="54" t="inlineStr">
        <is>
          <t>EPS</t>
        </is>
      </c>
      <c r="B9" s="55" t="n">
        <v>105.2</v>
      </c>
    </row>
    <row r="11">
      <c r="A11" s="52" t="inlineStr">
        <is>
          <t>refund</t>
        </is>
      </c>
      <c r="B11" s="52" t="n"/>
      <c r="C11" s="52" t="n"/>
      <c r="D11" s="52" t="n"/>
      <c r="E11" s="52" t="n"/>
    </row>
    <row r="12">
      <c r="A12" s="53" t="inlineStr">
        <is>
          <t>항목</t>
        </is>
      </c>
      <c r="B12" s="53" t="inlineStr">
        <is>
          <t>값</t>
        </is>
      </c>
      <c r="E12" s="53" t="inlineStr">
        <is>
          <t>출처</t>
        </is>
      </c>
    </row>
    <row r="13">
      <c r="A13" s="54" t="inlineStr">
        <is>
          <t>2Q 사업이익</t>
        </is>
      </c>
      <c r="B13" s="57" t="n">
        <v>43</v>
      </c>
      <c r="E13" s="56" t="inlineStr">
        <is>
          <t>2단계 보고서 자료(회사 설명회 자료·공시)</t>
        </is>
      </c>
    </row>
    <row r="14">
      <c r="A14" s="54" t="inlineStr">
        <is>
          <t>무선</t>
        </is>
      </c>
      <c r="B14" s="57" t="n">
        <v>30</v>
      </c>
    </row>
    <row r="15">
      <c r="A15" s="54" t="inlineStr">
        <is>
          <t>모빌리티</t>
        </is>
      </c>
      <c r="B15" s="57" t="n">
        <v>7</v>
      </c>
    </row>
    <row r="16">
      <c r="A16" s="54" t="inlineStr">
        <is>
          <t>엔터</t>
        </is>
      </c>
      <c r="B16" s="57" t="n">
        <v>5</v>
      </c>
    </row>
    <row r="17">
      <c r="A17" s="54" t="inlineStr">
        <is>
          <t>연간 사업이익</t>
        </is>
      </c>
      <c r="B17" s="57" t="n">
        <v>45</v>
      </c>
    </row>
    <row r="18">
      <c r="A18" s="54" t="inlineStr">
        <is>
          <t>연간 세전</t>
        </is>
      </c>
      <c r="B18" s="57" t="n">
        <v>47</v>
      </c>
    </row>
    <row r="19">
      <c r="A19" s="54" t="inlineStr">
        <is>
          <t>연간 순이익</t>
        </is>
      </c>
      <c r="B19" s="57" t="n">
        <v>35</v>
      </c>
    </row>
    <row r="21">
      <c r="A21" s="52" t="inlineStr">
        <is>
          <t>deck map</t>
        </is>
      </c>
      <c r="B21" s="52" t="n"/>
      <c r="C21" s="52" t="n"/>
      <c r="D21" s="52" t="n"/>
      <c r="E21" s="52" t="n"/>
    </row>
    <row r="22">
      <c r="A22" s="53" t="inlineStr">
        <is>
          <t>항목</t>
        </is>
      </c>
      <c r="B22" s="53" t="inlineStr">
        <is>
          <t>제목</t>
        </is>
      </c>
      <c r="C22" s="53" t="inlineStr">
        <is>
          <t>핵심 숫자</t>
        </is>
      </c>
      <c r="D22" s="53" t="inlineStr">
        <is>
          <t>넣은 곳</t>
        </is>
      </c>
      <c r="E22" s="53" t="inlineStr">
        <is>
          <t>출처</t>
        </is>
      </c>
    </row>
    <row r="23">
      <c r="A23" s="54" t="inlineStr">
        <is>
          <t>2</t>
        </is>
      </c>
      <c r="B23" s="58" t="inlineStr">
        <is>
          <t>결산 요약</t>
        </is>
      </c>
      <c r="C23" s="58" t="inlineStr">
        <is>
          <t>매출 증가, 환급으로 이익 증가, 연간 예상 수정</t>
        </is>
      </c>
      <c r="D23" s="58" t="inlineStr">
        <is>
          <t>한 줄 요약·⑨</t>
        </is>
      </c>
      <c r="E23" s="56" t="inlineStr">
        <is>
          <t>2단계 보고서 자료(회사 설명회 자료·공시)</t>
        </is>
      </c>
    </row>
    <row r="24">
      <c r="A24" s="54" t="inlineStr">
        <is>
          <t>5</t>
        </is>
      </c>
      <c r="B24" s="58" t="inlineStr">
        <is>
          <t>전사 실적</t>
        </is>
      </c>
      <c r="C24" s="58" t="inlineStr">
        <is>
          <t>매출 1,838(+8.5%), 사업이익 123, 영업이익 115, 순이익 82, EBITDA 232</t>
        </is>
      </c>
      <c r="D24" s="58" t="inlineStr">
        <is>
          <t>재무제표·⑧</t>
        </is>
      </c>
    </row>
    <row r="25">
      <c r="A25" s="54" t="inlineStr">
        <is>
          <t>6</t>
        </is>
      </c>
      <c r="B25" s="58" t="inlineStr">
        <is>
          <t>부문 상황</t>
        </is>
      </c>
      <c r="C25" s="58" t="inlineStr">
        <is>
          <t>환급 영향 무선 30·모빌리티 7·엔터 5</t>
        </is>
      </c>
      <c r="D25" s="58" t="inlineStr">
        <is>
          <t>①④⑥</t>
        </is>
      </c>
    </row>
    <row r="26">
      <c r="A26" s="54" t="inlineStr">
        <is>
          <t>7</t>
        </is>
      </c>
      <c r="B26" s="58" t="inlineStr">
        <is>
          <t>사업이익 증감</t>
        </is>
      </c>
      <c r="C26" s="58" t="inlineStr">
        <is>
          <t>환헤지 −15, 메모리 −42, 판가 +37, 고정비 −58(환산 −33), 매출 +74, 환급 +43</t>
        </is>
      </c>
      <c r="D26" s="58" t="inlineStr">
        <is>
          <t>P·Q·C</t>
        </is>
      </c>
    </row>
    <row r="27">
      <c r="A27" s="54" t="inlineStr">
        <is>
          <t>8</t>
        </is>
      </c>
      <c r="B27" s="58" t="inlineStr">
        <is>
          <t>연간 예상</t>
        </is>
      </c>
      <c r="C27" s="58" t="inlineStr">
        <is>
          <t>3,760/223/195/197/147, 환급 45/45/47/35</t>
        </is>
      </c>
      <c r="D27" s="58" t="inlineStr">
        <is>
          <t>⑨</t>
        </is>
      </c>
    </row>
    <row r="28">
      <c r="A28" s="54" t="inlineStr">
        <is>
          <t>9</t>
        </is>
      </c>
      <c r="B28" s="58" t="inlineStr">
        <is>
          <t>연간 증감</t>
        </is>
      </c>
      <c r="C28" s="58" t="inlineStr">
        <is>
          <t>환헤지 −21, 메모리 −116, 판가 +111, 고정비 −79, 충당 +4, 매출 +71, 환급 +45</t>
        </is>
      </c>
      <c r="D28" s="58" t="inlineStr">
        <is>
          <t>⑤</t>
        </is>
      </c>
    </row>
    <row r="29">
      <c r="A29" s="54" t="inlineStr">
        <is>
          <t>10</t>
        </is>
      </c>
      <c r="B29" s="58" t="inlineStr">
        <is>
          <t>부문 연간 예상</t>
        </is>
      </c>
      <c r="C29" s="58" t="inlineStr">
        <is>
          <t>무선 900/94, 모빌리티 2,200/74, 엔터 580/55</t>
        </is>
      </c>
      <c r="D29" s="58" t="inlineStr">
        <is>
          <t>①④⑥</t>
        </is>
      </c>
    </row>
    <row r="30">
      <c r="A30" s="54" t="inlineStr">
        <is>
          <t>11</t>
        </is>
      </c>
      <c r="B30" s="58" t="inlineStr">
        <is>
          <t>전사 추이</t>
        </is>
      </c>
      <c r="C30" s="58" t="inlineStr">
        <is>
          <t>2Q 사업이익 103, 환급 제외 59, 상반기 79</t>
        </is>
      </c>
      <c r="D30" s="58" t="inlineStr">
        <is>
          <t>한 줄 요약</t>
        </is>
      </c>
    </row>
    <row r="31">
      <c r="A31" s="54" t="inlineStr">
        <is>
          <t>12</t>
        </is>
      </c>
      <c r="B31" s="58" t="inlineStr">
        <is>
          <t>무선 추이</t>
        </is>
      </c>
      <c r="C31" s="58" t="inlineStr">
        <is>
          <t>2Q 219/54, 환급 제외 24</t>
        </is>
      </c>
      <c r="D31" s="58" t="inlineStr">
        <is>
          <t>①</t>
        </is>
      </c>
    </row>
    <row r="32">
      <c r="A32" s="54" t="inlineStr">
        <is>
          <t>13</t>
        </is>
      </c>
      <c r="B32" s="58" t="inlineStr">
        <is>
          <t>모빌리티 추이</t>
        </is>
      </c>
      <c r="C32" s="58" t="inlineStr">
        <is>
          <t>2Q 541/24, 환급 제외 16</t>
        </is>
      </c>
      <c r="D32" s="58" t="inlineStr">
        <is>
          <t>④</t>
        </is>
      </c>
    </row>
    <row r="33">
      <c r="A33" s="54" t="inlineStr">
        <is>
          <t>14</t>
        </is>
      </c>
      <c r="B33" s="58" t="inlineStr">
        <is>
          <t>엔터 추이</t>
        </is>
      </c>
      <c r="C33" s="58" t="inlineStr">
        <is>
          <t>2Q 168/25, 환급 제외 19</t>
        </is>
      </c>
      <c r="D33" s="58" t="inlineStr">
        <is>
          <t>⑥</t>
        </is>
      </c>
    </row>
    <row r="34">
      <c r="A34" s="54" t="inlineStr">
        <is>
          <t>15</t>
        </is>
      </c>
      <c r="B34" s="58" t="inlineStr">
        <is>
          <t>지역별</t>
        </is>
      </c>
      <c r="C34" s="58" t="inlineStr">
        <is>
          <t>일본 +157, 비중 38%</t>
        </is>
      </c>
      <c r="D34" s="58" t="inlineStr">
        <is>
          <t>⑦·지역별 표</t>
        </is>
      </c>
    </row>
    <row r="35">
      <c r="A35" s="54" t="inlineStr">
        <is>
          <t>16</t>
        </is>
      </c>
      <c r="B35" s="58" t="inlineStr">
        <is>
          <t>손익 요약</t>
        </is>
      </c>
      <c r="C35" s="58" t="inlineStr">
        <is>
          <t>기타 손익 −8, 금융 등 5, 세금 36</t>
        </is>
      </c>
      <c r="D35" s="58" t="inlineStr">
        <is>
          <t>⑧</t>
        </is>
      </c>
    </row>
    <row r="36">
      <c r="A36" s="54" t="inlineStr">
        <is>
          <t>17</t>
        </is>
      </c>
      <c r="B36" s="58" t="inlineStr">
        <is>
          <t>재무상태</t>
        </is>
      </c>
      <c r="C36" s="58" t="inlineStr">
        <is>
          <t>순현금 8, 유이자부채 636, 자기자본비율 42.1%</t>
        </is>
      </c>
      <c r="D36" s="58" t="inlineStr">
        <is>
          <t>⑧</t>
        </is>
      </c>
    </row>
    <row r="37">
      <c r="A37" s="54" t="inlineStr">
        <is>
          <t>18</t>
        </is>
      </c>
      <c r="B37" s="58" t="inlineStr">
        <is>
          <t>현금흐름</t>
        </is>
      </c>
      <c r="C37" s="58" t="inlineStr">
        <is>
          <t>영업 238, 투자 −124, 잉여 114, 재무 −120</t>
        </is>
      </c>
      <c r="D37" s="58" t="inlineStr">
        <is>
          <t>⑧</t>
        </is>
      </c>
    </row>
    <row r="38">
      <c r="A38" s="54" t="inlineStr">
        <is>
          <t>20</t>
        </is>
      </c>
      <c r="B38" s="58" t="inlineStr">
        <is>
          <t>무선 시장·수주</t>
        </is>
      </c>
      <c r="C38" s="58" t="inlineStr">
        <is>
          <t>시장 변화 3가지, 수주·잔고 저조(그래프)</t>
        </is>
      </c>
      <c r="D38" s="58" t="inlineStr">
        <is>
          <t>②·선행지표 1</t>
        </is>
      </c>
    </row>
    <row r="39">
      <c r="A39" s="54" t="inlineStr">
        <is>
          <t>21</t>
        </is>
      </c>
      <c r="B39" s="58" t="inlineStr">
        <is>
          <t>무선 대응</t>
        </is>
      </c>
      <c r="C39" s="58" t="inlineStr">
        <is>
          <t>VP8000 슬림(27 봄), 바이킹 커넥트(26.6), 영업망 재편</t>
        </is>
      </c>
      <c r="D39" s="58" t="inlineStr">
        <is>
          <t>③</t>
        </is>
      </c>
    </row>
    <row r="40">
      <c r="A40" s="54" t="inlineStr">
        <is>
          <t>22</t>
        </is>
      </c>
      <c r="B40" s="58" t="inlineStr">
        <is>
          <t>모빌리티 상황</t>
        </is>
      </c>
      <c r="C40" s="58" t="inlineStr">
        <is>
          <t>메모리 조달 90%가 모빌리티, 판가·선행 조달</t>
        </is>
      </c>
      <c r="D40" s="58" t="inlineStr">
        <is>
          <t>④⑤</t>
        </is>
      </c>
    </row>
    <row r="41">
      <c r="A41" s="54" t="inlineStr">
        <is>
          <t>23</t>
        </is>
      </c>
      <c r="B41" s="58" t="inlineStr">
        <is>
          <t>구조개혁</t>
        </is>
      </c>
      <c r="C41" s="58" t="inlineStr">
        <is>
          <t>의료 철수, 나가오카·말레이시아·인도네시아, 연 10억 절감</t>
        </is>
      </c>
      <c r="D41" s="58" t="inlineStr">
        <is>
          <t>⑩</t>
        </is>
      </c>
    </row>
    <row r="42">
      <c r="A42" s="54" t="inlineStr">
        <is>
          <t>24</t>
        </is>
      </c>
      <c r="B42" s="58" t="inlineStr">
        <is>
          <t>주주환원</t>
        </is>
      </c>
      <c r="C42" s="58" t="inlineStr">
        <is>
          <t>자사주 300만 주, 총환원 약 40%</t>
        </is>
      </c>
      <c r="D42" s="58" t="inlineStr">
        <is>
          <t>⑩</t>
        </is>
      </c>
    </row>
    <row r="43">
      <c r="A43" s="54" t="inlineStr">
        <is>
          <t>27</t>
        </is>
      </c>
      <c r="B43" s="58" t="inlineStr">
        <is>
          <t>엔터 상황</t>
        </is>
      </c>
      <c r="C43" s="58" t="inlineStr">
        <is>
          <t>히트 작품 7건</t>
        </is>
      </c>
      <c r="D43" s="58" t="inlineStr">
        <is>
          <t>⑥</t>
        </is>
      </c>
    </row>
    <row r="44">
      <c r="A44" s="54" t="inlineStr">
        <is>
          <t>28</t>
        </is>
      </c>
      <c r="B44" s="58" t="inlineStr">
        <is>
          <t>주년 활동</t>
        </is>
      </c>
      <c r="C44" s="58" t="inlineStr">
        <is>
          <t>80·100·20주년, GLASS Core</t>
        </is>
      </c>
      <c r="D44" s="58" t="inlineStr">
        <is>
          <t>⑥⑩</t>
        </is>
      </c>
    </row>
    <row r="45">
      <c r="A45" s="54" t="inlineStr">
        <is>
          <t>29</t>
        </is>
      </c>
      <c r="B45" s="58" t="inlineStr">
        <is>
          <t>통합보고서</t>
        </is>
      </c>
      <c r="C45" s="58" t="inlineStr">
        <is>
          <t>26.9 발간</t>
        </is>
      </c>
      <c r="D45" s="58" t="inlineStr">
        <is>
          <t>⑩</t>
        </is>
      </c>
    </row>
    <row r="46">
      <c r="A46" s="54" t="inlineStr">
        <is>
          <t>30</t>
        </is>
      </c>
      <c r="B46" s="58" t="inlineStr">
        <is>
          <t>사업 소개·구성비</t>
        </is>
      </c>
      <c r="C46" s="58" t="inlineStr">
        <is>
          <t>OEM 41% 등</t>
        </is>
      </c>
      <c r="D46" s="58" t="inlineStr">
        <is>
          <t>세부 사업 표</t>
        </is>
      </c>
    </row>
    <row r="47">
      <c r="A47" s="54" t="inlineStr">
        <is>
          <t>31</t>
        </is>
      </c>
      <c r="B47" s="58" t="inlineStr">
        <is>
          <t>부문 증감 그래프</t>
        </is>
      </c>
      <c r="C47" s="58" t="inlineStr">
        <is>
          <t>6쪽과 같은 숫자</t>
        </is>
      </c>
      <c r="D47" s="58" t="inlineStr">
        <is>
          <t>뺌 — 6쪽 반복</t>
        </is>
      </c>
    </row>
    <row r="48">
      <c r="A48" s="54" t="inlineStr">
        <is>
          <t>32</t>
        </is>
      </c>
      <c r="B48" s="58" t="inlineStr">
        <is>
          <t>경영지표</t>
        </is>
      </c>
      <c r="C48" s="58" t="inlineStr">
        <is>
          <t>설비 45, 감가 52, 연구개발 45, 지역 분기표</t>
        </is>
      </c>
      <c r="D48" s="58" t="inlineStr">
        <is>
          <t>⑧·지역별 표</t>
        </is>
      </c>
    </row>
    <row r="49">
      <c r="A49" s="54" t="inlineStr">
        <is>
          <t>33</t>
        </is>
      </c>
      <c r="B49" s="58" t="inlineStr">
        <is>
          <t>장기 지표</t>
        </is>
      </c>
      <c r="C49" s="58" t="inlineStr">
        <is>
          <t>ROE·ROIC·PBR</t>
        </is>
      </c>
      <c r="D49" s="58" t="inlineStr">
        <is>
          <t>뺌 — 회사 소개성 과거 지표 반복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https://www2.jpx.co.jp/disc/66320/140120261020553608.pdf</t>
        </is>
      </c>
    </row>
    <row r="5">
      <c r="A5" t="inlineStr">
        <is>
          <t>2026-08-03</t>
        </is>
      </c>
      <c r="B5" t="inlineStr">
        <is>
          <t>2027년 3월 결산기 １분기 결산단신</t>
        </is>
      </c>
      <c r="C5" t="inlineStr">
        <is>
          <t>https://www2.jpx.co.jp/disc/66320/140120260730503633.pdf</t>
        </is>
      </c>
    </row>
    <row r="6">
      <c r="A6" t="inlineStr">
        <is>
          <t>2026-05-01</t>
        </is>
      </c>
      <c r="B6" t="inlineStr">
        <is>
          <t>2026년 3월 결산기 연간 결산단신</t>
        </is>
      </c>
      <c r="C6" t="inlineStr">
        <is>
          <t>https://www2.jpx.co.jp/disc/66320/140120260501516649.pdf</t>
        </is>
      </c>
    </row>
    <row r="7">
      <c r="A7" t="inlineStr">
        <is>
          <t>2026-02-03</t>
        </is>
      </c>
      <c r="B7" t="inlineStr">
        <is>
          <t>2026년 3월 결산기 ３분기 결산단신</t>
        </is>
      </c>
      <c r="C7" t="inlineStr">
        <is>
          <t>https://www2.jpx.co.jp/disc/66320/140120260202544913.pdf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https://www2.jpx.co.jp/disc/66320/140120251030583513.pdf</t>
        </is>
      </c>
    </row>
    <row r="9">
      <c r="A9" t="inlineStr">
        <is>
          <t>2025-08-01</t>
        </is>
      </c>
      <c r="B9" t="inlineStr">
        <is>
          <t>2026년 3월 결산기 １분기 결산단신</t>
        </is>
      </c>
      <c r="C9" t="inlineStr">
        <is>
          <t>https://www2.jpx.co.jp/disc/66320/140120250730524385.pdf</t>
        </is>
      </c>
    </row>
    <row r="10">
      <c r="A10" t="inlineStr">
        <is>
          <t>2025-05-01</t>
        </is>
      </c>
      <c r="B10" t="inlineStr">
        <is>
          <t>2025년 3월 결산기 연간 결산단신</t>
        </is>
      </c>
      <c r="C10" t="inlineStr">
        <is>
          <t>https://www2.jpx.co.jp/disc/66320/140120250430528134.pdf</t>
        </is>
      </c>
    </row>
    <row r="11">
      <c r="A11" t="inlineStr">
        <is>
          <t>2025-02-03</t>
        </is>
      </c>
      <c r="B11" t="inlineStr">
        <is>
          <t>2025년 3월 결산기 ３분기 결산단신</t>
        </is>
      </c>
      <c r="C11" t="inlineStr">
        <is>
          <t>https://www2.jpx.co.jp/disc/66320/140120250203561319.pdf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https://www2.jpx.co.jp/disc/66320/140120241030505819.pdf</t>
        </is>
      </c>
    </row>
    <row r="13">
      <c r="A13" t="inlineStr">
        <is>
          <t>2024-08-01</t>
        </is>
      </c>
      <c r="B13" t="inlineStr">
        <is>
          <t>2025년 3월 결산기 １분기 결산단신</t>
        </is>
      </c>
      <c r="C13" t="inlineStr">
        <is>
          <t>https://www2.jpx.co.jp/disc/66320/140120240801559864.pdf</t>
        </is>
      </c>
    </row>
    <row r="14">
      <c r="A14" t="inlineStr">
        <is>
          <t>2024-04-26</t>
        </is>
      </c>
      <c r="B14" t="inlineStr">
        <is>
          <t>2024년 3월 결산기 연간 결산단신</t>
        </is>
      </c>
      <c r="C14" t="inlineStr">
        <is>
          <t>https://www2.jpx.co.jp/disc/66320/140120240425577307.pdf</t>
        </is>
      </c>
    </row>
    <row r="15">
      <c r="A15" t="inlineStr">
        <is>
          <t>2024-02-01</t>
        </is>
      </c>
      <c r="B15" t="inlineStr">
        <is>
          <t>2024년 3월 결산기 ３분기 결산단신</t>
        </is>
      </c>
      <c r="C15" t="inlineStr">
        <is>
          <t>https://www2.jpx.co.jp/disc/66320/140120240131523561.pdf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https://www2.jpx.co.jp/disc/66320/140120231030574992.pdf</t>
        </is>
      </c>
    </row>
    <row r="17">
      <c r="A17" t="inlineStr">
        <is>
          <t>2023-08-01</t>
        </is>
      </c>
      <c r="B17" t="inlineStr">
        <is>
          <t>2024년 3월 결산기 １분기 결산단신</t>
        </is>
      </c>
      <c r="C17" t="inlineStr">
        <is>
          <t>https://www2.jpx.co.jp/disc/66320/140120230731531017.pdf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https://www2.jpx.co.jp/disc/66320/140120230425552005.pdf</t>
        </is>
      </c>
    </row>
    <row r="19">
      <c r="A19" t="inlineStr">
        <is>
          <t>2023-02-01</t>
        </is>
      </c>
      <c r="B19" t="inlineStr">
        <is>
          <t>2023년 3월 결산기 ３분기 결산단신</t>
        </is>
      </c>
      <c r="C19" t="inlineStr">
        <is>
          <t>https://www2.jpx.co.jp/disc/66320/140120230131597297.pdf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https://www2.jpx.co.jp/disc/66320/140120220426528350.pdf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https://www2.jpx.co.jp/disc/66320/140120210426400545.pdf</t>
        </is>
      </c>
    </row>
    <row r="22">
      <c r="A22" t="inlineStr">
        <is>
          <t>2020-05-20</t>
        </is>
      </c>
      <c r="B22" t="inlineStr">
        <is>
          <t>2020년 3월 결산기 연간 결산단신</t>
        </is>
      </c>
      <c r="C22" t="inlineStr">
        <is>
          <t>https://www2.jpx.co.jp/disc/66320/140120200519418790.pdf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https://www2.jpx.co.jp/disc/66320/140120190422408051.pdf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6632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32건(2018-04-26~2026-10-30).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4Q16</t>
        </is>
      </c>
      <c r="C4" s="63" t="inlineStr">
        <is>
          <t>1Q17</t>
        </is>
      </c>
      <c r="D4" s="63" t="inlineStr">
        <is>
          <t>2Q17</t>
        </is>
      </c>
      <c r="E4" s="63" t="inlineStr">
        <is>
          <t>3Q17</t>
        </is>
      </c>
      <c r="F4" s="63" t="inlineStr">
        <is>
          <t>4Q17</t>
        </is>
      </c>
      <c r="G4" s="63" t="inlineStr">
        <is>
          <t>1Q18</t>
        </is>
      </c>
      <c r="H4" s="63" t="inlineStr">
        <is>
          <t>2Q18</t>
        </is>
      </c>
      <c r="I4" s="63" t="inlineStr">
        <is>
          <t>3Q18</t>
        </is>
      </c>
      <c r="J4" s="63" t="inlineStr">
        <is>
          <t>4Q18</t>
        </is>
      </c>
      <c r="K4" s="63" t="inlineStr">
        <is>
          <t>1Q19</t>
        </is>
      </c>
      <c r="L4" s="63" t="inlineStr">
        <is>
          <t>2Q19</t>
        </is>
      </c>
      <c r="M4" s="63" t="inlineStr">
        <is>
          <t>3Q19</t>
        </is>
      </c>
      <c r="N4" s="63" t="inlineStr">
        <is>
          <t>4Q19</t>
        </is>
      </c>
      <c r="O4" s="63" t="inlineStr">
        <is>
          <t>1Q20</t>
        </is>
      </c>
      <c r="P4" s="63" t="inlineStr">
        <is>
          <t>2Q20</t>
        </is>
      </c>
      <c r="Q4" s="63" t="inlineStr">
        <is>
          <t>3Q20</t>
        </is>
      </c>
      <c r="R4" s="63" t="inlineStr">
        <is>
          <t>4Q20</t>
        </is>
      </c>
      <c r="S4" s="63" t="inlineStr">
        <is>
          <t>1Q21</t>
        </is>
      </c>
      <c r="T4" s="63" t="inlineStr">
        <is>
          <t>2Q21</t>
        </is>
      </c>
      <c r="U4" s="63" t="inlineStr">
        <is>
          <t>3Q21</t>
        </is>
      </c>
      <c r="V4" s="63" t="inlineStr">
        <is>
          <t>4Q21</t>
        </is>
      </c>
      <c r="W4" s="63" t="inlineStr">
        <is>
          <t>1Q22</t>
        </is>
      </c>
      <c r="X4" s="63" t="inlineStr">
        <is>
          <t>2Q22</t>
        </is>
      </c>
      <c r="Y4" s="63" t="inlineStr">
        <is>
          <t>3Q22</t>
        </is>
      </c>
      <c r="Z4" s="63" t="inlineStr">
        <is>
          <t>4Q22</t>
        </is>
      </c>
      <c r="AA4" s="63" t="inlineStr">
        <is>
          <t>1Q23</t>
        </is>
      </c>
      <c r="AB4" s="63" t="inlineStr">
        <is>
          <t>2Q23</t>
        </is>
      </c>
      <c r="AC4" s="63" t="inlineStr">
        <is>
          <t>3Q23</t>
        </is>
      </c>
      <c r="AD4" s="63" t="inlineStr">
        <is>
          <t>4Q23</t>
        </is>
      </c>
      <c r="AE4" s="63" t="inlineStr">
        <is>
          <t>1Q24</t>
        </is>
      </c>
      <c r="AF4" s="63" t="inlineStr">
        <is>
          <t>2Q24</t>
        </is>
      </c>
      <c r="AG4" s="63" t="inlineStr">
        <is>
          <t>3Q24</t>
        </is>
      </c>
      <c r="AH4" s="63" t="inlineStr">
        <is>
          <t>4Q24</t>
        </is>
      </c>
      <c r="AI4" s="63" t="inlineStr">
        <is>
          <t>1Q25</t>
        </is>
      </c>
      <c r="AJ4" s="63" t="inlineStr">
        <is>
          <t>2Q25</t>
        </is>
      </c>
      <c r="AK4" s="63" t="inlineStr">
        <is>
          <t>3Q25</t>
        </is>
      </c>
      <c r="AL4" s="63" t="inlineStr">
        <is>
          <t>4Q25</t>
        </is>
      </c>
      <c r="AM4" s="63" t="inlineStr">
        <is>
          <t>1Q26</t>
        </is>
      </c>
      <c r="AN4" s="63" t="inlineStr">
        <is>
          <t>2Q26</t>
        </is>
      </c>
      <c r="AO4" s="63" t="inlineStr">
        <is>
          <t>3Q26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/>
      <c r="D5" s="65" t="n"/>
      <c r="E5" s="65" t="n"/>
      <c r="F5" s="65" t="n"/>
      <c r="G5" s="65" t="n"/>
      <c r="H5" s="65" t="n">
        <v>725.7</v>
      </c>
      <c r="I5" s="65" t="n">
        <v>765.4</v>
      </c>
      <c r="J5" s="65" t="n">
        <v>775.7</v>
      </c>
      <c r="K5" s="65" t="n">
        <v>809.5</v>
      </c>
      <c r="L5" s="65" t="n">
        <v>736</v>
      </c>
      <c r="M5" s="65" t="n">
        <v>731</v>
      </c>
      <c r="N5" s="65" t="n">
        <v>726.7</v>
      </c>
      <c r="O5" s="65" t="n">
        <v>719.3</v>
      </c>
      <c r="P5" s="65" t="n">
        <v>511.4</v>
      </c>
      <c r="Q5" s="65" t="n">
        <v>665.5</v>
      </c>
      <c r="R5" s="65" t="n">
        <v>771.9</v>
      </c>
      <c r="S5" s="65" t="n">
        <v>787.2</v>
      </c>
      <c r="T5" s="65" t="n">
        <v>645.1</v>
      </c>
      <c r="U5" s="65" t="n">
        <v>599.2</v>
      </c>
      <c r="V5" s="65" t="n">
        <v>701.9</v>
      </c>
      <c r="W5" s="65" t="n">
        <v>874.6</v>
      </c>
      <c r="X5" s="65" t="n">
        <v>720</v>
      </c>
      <c r="Y5" s="65" t="n">
        <v>861.1</v>
      </c>
      <c r="Z5" s="65" t="n">
        <v>893.9</v>
      </c>
      <c r="AA5" s="65" t="n">
        <v>894.1</v>
      </c>
      <c r="AB5" s="65" t="n">
        <v>856</v>
      </c>
      <c r="AC5" s="65" t="n">
        <v>891.1</v>
      </c>
      <c r="AD5" s="65" t="n">
        <v>925.5</v>
      </c>
      <c r="AE5" s="65" t="n">
        <v>922</v>
      </c>
      <c r="AF5" s="65" t="n">
        <v>877.7</v>
      </c>
      <c r="AG5" s="65" t="n">
        <v>888</v>
      </c>
      <c r="AH5" s="65" t="n">
        <v>939</v>
      </c>
      <c r="AI5" s="65" t="n">
        <v>998.3</v>
      </c>
      <c r="AJ5" s="65" t="n">
        <v>802</v>
      </c>
      <c r="AK5" s="65" t="n">
        <v>891.2</v>
      </c>
      <c r="AL5" s="65" t="n">
        <v>893.1</v>
      </c>
      <c r="AM5" s="65" t="n">
        <v>982.4</v>
      </c>
      <c r="AN5" s="65" t="n">
        <v>888</v>
      </c>
      <c r="AO5" s="65" t="n">
        <v>949.8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>
        <v>1.4</v>
      </c>
      <c r="M6" s="66" t="n">
        <v>-4.5</v>
      </c>
      <c r="N6" s="66" t="n">
        <v>-6.3</v>
      </c>
      <c r="O6" s="66" t="n">
        <v>-11.1</v>
      </c>
      <c r="P6" s="66" t="n">
        <v>-30.5</v>
      </c>
      <c r="Q6" s="66" t="n">
        <v>-9</v>
      </c>
      <c r="R6" s="66" t="n">
        <v>6.2</v>
      </c>
      <c r="S6" s="66" t="n">
        <v>9.4</v>
      </c>
      <c r="T6" s="66" t="n">
        <v>26.1</v>
      </c>
      <c r="U6" s="66" t="n">
        <v>-10</v>
      </c>
      <c r="V6" s="66" t="n">
        <v>-9.1</v>
      </c>
      <c r="W6" s="66" t="n">
        <v>11.1</v>
      </c>
      <c r="X6" s="66" t="n">
        <v>11.6</v>
      </c>
      <c r="Y6" s="66" t="n">
        <v>43.7</v>
      </c>
      <c r="Z6" s="66" t="n">
        <v>27.4</v>
      </c>
      <c r="AA6" s="66" t="n">
        <v>2.2</v>
      </c>
      <c r="AB6" s="66" t="n">
        <v>18.9</v>
      </c>
      <c r="AC6" s="66" t="n">
        <v>3.5</v>
      </c>
      <c r="AD6" s="66" t="n">
        <v>3.5</v>
      </c>
      <c r="AE6" s="66" t="n">
        <v>3.1</v>
      </c>
      <c r="AF6" s="66" t="n">
        <v>2.5</v>
      </c>
      <c r="AG6" s="66" t="n">
        <v>-0.3</v>
      </c>
      <c r="AH6" s="66" t="n">
        <v>1.5</v>
      </c>
      <c r="AI6" s="66" t="n">
        <v>8.300000000000001</v>
      </c>
      <c r="AJ6" s="66" t="n">
        <v>-8.6</v>
      </c>
      <c r="AK6" s="66" t="n">
        <v>0.4</v>
      </c>
      <c r="AL6" s="66" t="n">
        <v>-4.9</v>
      </c>
      <c r="AM6" s="66" t="n">
        <v>-1.6</v>
      </c>
      <c r="AN6" s="66" t="n">
        <v>10.7</v>
      </c>
      <c r="AO6" s="66" t="n">
        <v>6.6</v>
      </c>
    </row>
    <row r="7">
      <c r="A7" s="64" t="inlineStr">
        <is>
          <t>영업이익</t>
        </is>
      </c>
      <c r="B7" s="65" t="n"/>
      <c r="C7" s="65" t="n"/>
      <c r="D7" s="65" t="n"/>
      <c r="E7" s="65" t="n"/>
      <c r="F7" s="65" t="n"/>
      <c r="G7" s="65" t="n"/>
      <c r="H7" s="65" t="n">
        <v>9.9</v>
      </c>
      <c r="I7" s="65" t="n">
        <v>25.1</v>
      </c>
      <c r="J7" s="65" t="n">
        <v>28.5</v>
      </c>
      <c r="K7" s="65" t="n">
        <v>9</v>
      </c>
      <c r="L7" s="65" t="n">
        <v>17.7</v>
      </c>
      <c r="M7" s="65" t="n">
        <v>14.1</v>
      </c>
      <c r="N7" s="65" t="n">
        <v>10.3</v>
      </c>
      <c r="O7" s="65" t="n">
        <v>-1.2</v>
      </c>
      <c r="P7" s="65" t="n">
        <v>-30.7</v>
      </c>
      <c r="Q7" s="65" t="n">
        <v>-2.8</v>
      </c>
      <c r="R7" s="65" t="n">
        <v>54.1</v>
      </c>
      <c r="S7" s="65" t="n">
        <v>28.4</v>
      </c>
      <c r="T7" s="65" t="n">
        <v>28.7</v>
      </c>
      <c r="U7" s="65" t="n">
        <v>-8</v>
      </c>
      <c r="V7" s="65" t="n">
        <v>15.5</v>
      </c>
      <c r="W7" s="65" t="n">
        <v>54.3</v>
      </c>
      <c r="X7" s="65" t="n">
        <v>5.2</v>
      </c>
      <c r="Y7" s="65" t="n">
        <v>52.4</v>
      </c>
      <c r="Z7" s="65" t="n">
        <v>137.5</v>
      </c>
      <c r="AA7" s="65" t="n">
        <v>21.3</v>
      </c>
      <c r="AB7" s="65" t="n">
        <v>50.1</v>
      </c>
      <c r="AC7" s="65" t="n">
        <v>48</v>
      </c>
      <c r="AD7" s="65" t="n">
        <v>51.8</v>
      </c>
      <c r="AE7" s="65" t="n">
        <v>32.4</v>
      </c>
      <c r="AF7" s="65" t="n">
        <v>60.2</v>
      </c>
      <c r="AG7" s="65" t="n">
        <v>75.3</v>
      </c>
      <c r="AH7" s="65" t="n">
        <v>32.3</v>
      </c>
      <c r="AI7" s="65" t="n">
        <v>50.1</v>
      </c>
      <c r="AJ7" s="65" t="n">
        <v>43.6</v>
      </c>
      <c r="AK7" s="65" t="n">
        <v>52.8</v>
      </c>
      <c r="AL7" s="65" t="n">
        <v>52.4</v>
      </c>
      <c r="AM7" s="65" t="n">
        <v>56.7</v>
      </c>
      <c r="AN7" s="65" t="n">
        <v>15.3</v>
      </c>
      <c r="AO7" s="65" t="n">
        <v>99.59999999999999</v>
      </c>
    </row>
    <row r="8">
      <c r="A8" s="64" t="inlineStr">
        <is>
          <t>영업이익률</t>
        </is>
      </c>
      <c r="B8" s="66" t="n"/>
      <c r="C8" s="66" t="n"/>
      <c r="D8" s="66" t="n"/>
      <c r="E8" s="66" t="n"/>
      <c r="F8" s="66" t="n"/>
      <c r="G8" s="66" t="n"/>
      <c r="H8" s="66" t="n">
        <v>1.4</v>
      </c>
      <c r="I8" s="66" t="n">
        <v>3.3</v>
      </c>
      <c r="J8" s="66" t="n">
        <v>3.7</v>
      </c>
      <c r="K8" s="66" t="n">
        <v>1.1</v>
      </c>
      <c r="L8" s="66" t="n">
        <v>2.4</v>
      </c>
      <c r="M8" s="66" t="n">
        <v>1.9</v>
      </c>
      <c r="N8" s="66" t="n">
        <v>1.4</v>
      </c>
      <c r="O8" s="66" t="n">
        <v>-0.2</v>
      </c>
      <c r="P8" s="66" t="n">
        <v>-6</v>
      </c>
      <c r="Q8" s="66" t="n">
        <v>-0.4</v>
      </c>
      <c r="R8" s="66" t="n">
        <v>7</v>
      </c>
      <c r="S8" s="66" t="n">
        <v>3.6</v>
      </c>
      <c r="T8" s="66" t="n">
        <v>4.4</v>
      </c>
      <c r="U8" s="66" t="n">
        <v>-1.3</v>
      </c>
      <c r="V8" s="66" t="n">
        <v>2.2</v>
      </c>
      <c r="W8" s="66" t="n">
        <v>6.2</v>
      </c>
      <c r="X8" s="66" t="n">
        <v>0.7</v>
      </c>
      <c r="Y8" s="66" t="n">
        <v>6.1</v>
      </c>
      <c r="Z8" s="66" t="n">
        <v>15.4</v>
      </c>
      <c r="AA8" s="66" t="n">
        <v>2.4</v>
      </c>
      <c r="AB8" s="66" t="n">
        <v>5.9</v>
      </c>
      <c r="AC8" s="66" t="n">
        <v>5.4</v>
      </c>
      <c r="AD8" s="66" t="n">
        <v>5.6</v>
      </c>
      <c r="AE8" s="66" t="n">
        <v>3.5</v>
      </c>
      <c r="AF8" s="66" t="n">
        <v>6.9</v>
      </c>
      <c r="AG8" s="66" t="n">
        <v>8.5</v>
      </c>
      <c r="AH8" s="66" t="n">
        <v>3.4</v>
      </c>
      <c r="AI8" s="66" t="n">
        <v>5</v>
      </c>
      <c r="AJ8" s="66" t="n">
        <v>5.4</v>
      </c>
      <c r="AK8" s="66" t="n">
        <v>5.9</v>
      </c>
      <c r="AL8" s="66" t="n">
        <v>5.9</v>
      </c>
      <c r="AM8" s="66" t="n">
        <v>5.8</v>
      </c>
      <c r="AN8" s="66" t="n">
        <v>1.7</v>
      </c>
      <c r="AO8" s="66" t="n">
        <v>10.5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>
        <v>78.8</v>
      </c>
      <c r="M9" s="66" t="n">
        <v>-43.8</v>
      </c>
      <c r="N9" s="66" t="n">
        <v>-63.9</v>
      </c>
      <c r="O9" s="66" t="n">
        <v>-113.3</v>
      </c>
      <c r="P9" s="66" t="n">
        <v>-273.4</v>
      </c>
      <c r="Q9" s="66" t="n">
        <v>-119.9</v>
      </c>
      <c r="R9" s="66" t="n">
        <v>425.2</v>
      </c>
      <c r="S9" s="66" t="n"/>
      <c r="T9" s="66" t="n"/>
      <c r="U9" s="66" t="n"/>
      <c r="V9" s="66" t="n">
        <v>-71.3</v>
      </c>
      <c r="W9" s="66" t="n">
        <v>91.2</v>
      </c>
      <c r="X9" s="66" t="n">
        <v>-81.90000000000001</v>
      </c>
      <c r="Y9" s="66" t="n"/>
      <c r="Z9" s="66" t="n">
        <v>787.1</v>
      </c>
      <c r="AA9" s="66" t="n">
        <v>-60.8</v>
      </c>
      <c r="AB9" s="66" t="n">
        <v>863.5</v>
      </c>
      <c r="AC9" s="66" t="n">
        <v>-8.4</v>
      </c>
      <c r="AD9" s="66" t="n">
        <v>-62.3</v>
      </c>
      <c r="AE9" s="66" t="n">
        <v>52.1</v>
      </c>
      <c r="AF9" s="66" t="n">
        <v>20.2</v>
      </c>
      <c r="AG9" s="66" t="n">
        <v>56.9</v>
      </c>
      <c r="AH9" s="66" t="n">
        <v>-37.6</v>
      </c>
      <c r="AI9" s="66" t="n">
        <v>54.6</v>
      </c>
      <c r="AJ9" s="66" t="n">
        <v>-27.6</v>
      </c>
      <c r="AK9" s="66" t="n">
        <v>-29.9</v>
      </c>
      <c r="AL9" s="66" t="n">
        <v>62.2</v>
      </c>
      <c r="AM9" s="66" t="n">
        <v>13.2</v>
      </c>
      <c r="AN9" s="66" t="n">
        <v>-64.90000000000001</v>
      </c>
      <c r="AO9" s="66" t="n">
        <v>88.59999999999999</v>
      </c>
    </row>
    <row r="10">
      <c r="A10" s="64" t="inlineStr">
        <is>
          <t>유동자산</t>
        </is>
      </c>
      <c r="B10" s="65" t="n"/>
      <c r="C10" s="65" t="n">
        <v>1525.6</v>
      </c>
      <c r="D10" s="65" t="n"/>
      <c r="E10" s="65" t="n"/>
      <c r="F10" s="65" t="n"/>
      <c r="G10" s="65" t="n">
        <v>1503.8</v>
      </c>
      <c r="H10" s="65" t="n"/>
      <c r="I10" s="65" t="n"/>
      <c r="J10" s="65" t="n"/>
      <c r="K10" s="65" t="n">
        <v>1538.9</v>
      </c>
      <c r="L10" s="65" t="n">
        <v>1478</v>
      </c>
      <c r="M10" s="65" t="n">
        <v>1500.5</v>
      </c>
      <c r="N10" s="65" t="n">
        <v>1519.7</v>
      </c>
      <c r="O10" s="65" t="n">
        <v>1458.3</v>
      </c>
      <c r="P10" s="65" t="n">
        <v>1317.7</v>
      </c>
      <c r="Q10" s="65" t="n">
        <v>1454.6</v>
      </c>
      <c r="R10" s="65" t="n">
        <v>1599.2</v>
      </c>
      <c r="S10" s="65" t="n">
        <v>1674.5</v>
      </c>
      <c r="T10" s="65" t="n">
        <v>1580</v>
      </c>
      <c r="U10" s="65" t="n">
        <v>1573.8</v>
      </c>
      <c r="V10" s="65" t="n">
        <v>1621.1</v>
      </c>
      <c r="W10" s="65" t="n">
        <v>1768</v>
      </c>
      <c r="X10" s="65" t="n">
        <v>1839.3</v>
      </c>
      <c r="Y10" s="65" t="n">
        <v>1950.8</v>
      </c>
      <c r="Z10" s="65" t="n">
        <v>1921.1</v>
      </c>
      <c r="AA10" s="65" t="n">
        <v>1971.9</v>
      </c>
      <c r="AB10" s="65" t="n">
        <v>2005.7</v>
      </c>
      <c r="AC10" s="65" t="n">
        <v>2062.8</v>
      </c>
      <c r="AD10" s="65" t="n">
        <v>1979.6</v>
      </c>
      <c r="AE10" s="65" t="n">
        <v>2060.5</v>
      </c>
      <c r="AF10" s="65" t="n">
        <v>2126</v>
      </c>
      <c r="AG10" s="65" t="n">
        <v>1977</v>
      </c>
      <c r="AH10" s="65" t="n">
        <v>2051.2</v>
      </c>
      <c r="AI10" s="65" t="n">
        <v>1968.2</v>
      </c>
      <c r="AJ10" s="65" t="n">
        <v>1876.3</v>
      </c>
      <c r="AK10" s="65" t="n">
        <v>1915.2</v>
      </c>
      <c r="AL10" s="65" t="n">
        <v>2148</v>
      </c>
      <c r="AM10" s="65" t="n">
        <v>2176.5</v>
      </c>
      <c r="AN10" s="65" t="n">
        <v>2178.5</v>
      </c>
      <c r="AO10" s="65" t="n">
        <v>2155.4</v>
      </c>
    </row>
    <row r="11">
      <c r="A11" s="64" t="inlineStr">
        <is>
          <t>유동부채</t>
        </is>
      </c>
      <c r="B11" s="65" t="n"/>
      <c r="C11" s="65" t="n">
        <v>918.8</v>
      </c>
      <c r="D11" s="65" t="n"/>
      <c r="E11" s="65" t="n"/>
      <c r="F11" s="65" t="n"/>
      <c r="G11" s="65" t="n">
        <v>1144.2</v>
      </c>
      <c r="H11" s="65" t="n"/>
      <c r="I11" s="65" t="n"/>
      <c r="J11" s="65" t="n"/>
      <c r="K11" s="65" t="n">
        <v>1040.8</v>
      </c>
      <c r="L11" s="65" t="n">
        <v>1051.2</v>
      </c>
      <c r="M11" s="65" t="n">
        <v>950.2</v>
      </c>
      <c r="N11" s="65" t="n">
        <v>966.9</v>
      </c>
      <c r="O11" s="65" t="n">
        <v>1010.4</v>
      </c>
      <c r="P11" s="65" t="n">
        <v>903.5</v>
      </c>
      <c r="Q11" s="65" t="n">
        <v>1022</v>
      </c>
      <c r="R11" s="65" t="n">
        <v>1108.9</v>
      </c>
      <c r="S11" s="65" t="n">
        <v>1065.4</v>
      </c>
      <c r="T11" s="65" t="n">
        <v>999.9</v>
      </c>
      <c r="U11" s="65" t="n">
        <v>962.5</v>
      </c>
      <c r="V11" s="65" t="n">
        <v>990.1</v>
      </c>
      <c r="W11" s="65" t="n">
        <v>1062.1</v>
      </c>
      <c r="X11" s="65" t="n">
        <v>1086.3</v>
      </c>
      <c r="Y11" s="65" t="n">
        <v>1142.1</v>
      </c>
      <c r="Z11" s="65" t="n">
        <v>1120.6</v>
      </c>
      <c r="AA11" s="65" t="n">
        <v>1238.5</v>
      </c>
      <c r="AB11" s="65" t="n">
        <v>1262.6</v>
      </c>
      <c r="AC11" s="65" t="n">
        <v>1276.8</v>
      </c>
      <c r="AD11" s="65" t="n">
        <v>1225</v>
      </c>
      <c r="AE11" s="65" t="n">
        <v>1217.2</v>
      </c>
      <c r="AF11" s="65" t="n">
        <v>1237.5</v>
      </c>
      <c r="AG11" s="65" t="n">
        <v>1192</v>
      </c>
      <c r="AH11" s="65" t="n">
        <v>1289.5</v>
      </c>
      <c r="AI11" s="65" t="n">
        <v>1261.5</v>
      </c>
      <c r="AJ11" s="65" t="n">
        <v>1224</v>
      </c>
      <c r="AK11" s="65" t="n">
        <v>1219.1</v>
      </c>
      <c r="AL11" s="65" t="n">
        <v>1181.4</v>
      </c>
      <c r="AM11" s="65" t="n">
        <v>1171.7</v>
      </c>
      <c r="AN11" s="65" t="n">
        <v>1168</v>
      </c>
      <c r="AO11" s="65" t="n">
        <v>1161.1</v>
      </c>
    </row>
    <row r="12">
      <c r="A12" s="64" t="inlineStr">
        <is>
          <t>부채총계</t>
        </is>
      </c>
      <c r="B12" s="65" t="n"/>
      <c r="C12" s="65" t="n">
        <v>2007.8</v>
      </c>
      <c r="D12" s="65" t="n"/>
      <c r="E12" s="65" t="n"/>
      <c r="F12" s="65" t="n"/>
      <c r="G12" s="65" t="n">
        <v>1861.5</v>
      </c>
      <c r="H12" s="65" t="n"/>
      <c r="I12" s="65" t="n"/>
      <c r="J12" s="65" t="n"/>
      <c r="K12" s="65" t="n">
        <v>1853</v>
      </c>
      <c r="L12" s="65" t="n">
        <v>1923.5</v>
      </c>
      <c r="M12" s="65" t="n">
        <v>1946.5</v>
      </c>
      <c r="N12" s="65" t="n">
        <v>1953.6</v>
      </c>
      <c r="O12" s="65" t="n">
        <v>1896.6</v>
      </c>
      <c r="P12" s="65" t="n">
        <v>1778.9</v>
      </c>
      <c r="Q12" s="65" t="n">
        <v>1892.6</v>
      </c>
      <c r="R12" s="65" t="n">
        <v>2003.4</v>
      </c>
      <c r="S12" s="65" t="n">
        <v>1958</v>
      </c>
      <c r="T12" s="65" t="n">
        <v>1854.8</v>
      </c>
      <c r="U12" s="65" t="n">
        <v>1887.5</v>
      </c>
      <c r="V12" s="65" t="n">
        <v>1926.3</v>
      </c>
      <c r="W12" s="65" t="n">
        <v>1968.5</v>
      </c>
      <c r="X12" s="65" t="n">
        <v>1993.4</v>
      </c>
      <c r="Y12" s="65" t="n">
        <v>2053</v>
      </c>
      <c r="Z12" s="65" t="n">
        <v>1954.5</v>
      </c>
      <c r="AA12" s="65" t="n">
        <v>1956.2</v>
      </c>
      <c r="AB12" s="65" t="n">
        <v>1970.5</v>
      </c>
      <c r="AC12" s="65" t="n">
        <v>1971.5</v>
      </c>
      <c r="AD12" s="65" t="n">
        <v>1935.2</v>
      </c>
      <c r="AE12" s="65" t="n">
        <v>1956</v>
      </c>
      <c r="AF12" s="65" t="n">
        <v>1946.7</v>
      </c>
      <c r="AG12" s="65" t="n">
        <v>1835.2</v>
      </c>
      <c r="AH12" s="65" t="n">
        <v>1901.3</v>
      </c>
      <c r="AI12" s="65" t="n">
        <v>1819.4</v>
      </c>
      <c r="AJ12" s="65" t="n">
        <v>1763.2</v>
      </c>
      <c r="AK12" s="65" t="n">
        <v>1759.4</v>
      </c>
      <c r="AL12" s="65" t="n">
        <v>1973.9</v>
      </c>
      <c r="AM12" s="65" t="n">
        <v>1979.1</v>
      </c>
      <c r="AN12" s="65" t="n">
        <v>1964.6</v>
      </c>
      <c r="AO12" s="65" t="n">
        <v>1936.8</v>
      </c>
    </row>
    <row r="13">
      <c r="A13" s="64" t="inlineStr">
        <is>
          <t>자기자본</t>
        </is>
      </c>
      <c r="B13" s="66" t="n"/>
      <c r="C13" s="66" t="n">
        <v>615.1</v>
      </c>
      <c r="D13" s="66" t="n"/>
      <c r="E13" s="66" t="n"/>
      <c r="F13" s="66" t="n"/>
      <c r="G13" s="66" t="n">
        <v>537.9</v>
      </c>
      <c r="H13" s="66" t="n"/>
      <c r="I13" s="66" t="n"/>
      <c r="J13" s="66" t="n"/>
      <c r="K13" s="66" t="n">
        <v>653.2</v>
      </c>
      <c r="L13" s="66" t="n">
        <v>623.7</v>
      </c>
      <c r="M13" s="66" t="n">
        <v>607.5</v>
      </c>
      <c r="N13" s="66" t="n">
        <v>641.5</v>
      </c>
      <c r="O13" s="66" t="n">
        <v>600</v>
      </c>
      <c r="P13" s="66" t="n">
        <v>564.2</v>
      </c>
      <c r="Q13" s="66" t="n">
        <v>565.2</v>
      </c>
      <c r="R13" s="66" t="n">
        <v>613.4</v>
      </c>
      <c r="S13" s="66" t="n">
        <v>685.2</v>
      </c>
      <c r="T13" s="66" t="n">
        <v>694.3</v>
      </c>
      <c r="U13" s="66" t="n">
        <v>683.4</v>
      </c>
      <c r="V13" s="66" t="n">
        <v>718</v>
      </c>
      <c r="W13" s="66" t="n">
        <v>839.6</v>
      </c>
      <c r="X13" s="66" t="n">
        <v>930.2</v>
      </c>
      <c r="Y13" s="66" t="n">
        <v>999.8</v>
      </c>
      <c r="Z13" s="66" t="n">
        <v>1025.6</v>
      </c>
      <c r="AA13" s="66" t="n">
        <v>1037.3</v>
      </c>
      <c r="AB13" s="66" t="n">
        <v>1100.1</v>
      </c>
      <c r="AC13" s="66" t="n">
        <v>1165.6</v>
      </c>
      <c r="AD13" s="66" t="n">
        <v>1133.2</v>
      </c>
      <c r="AE13" s="66" t="n">
        <v>1212.2</v>
      </c>
      <c r="AF13" s="66" t="n">
        <v>1322.6</v>
      </c>
      <c r="AG13" s="66" t="n">
        <v>1250.8</v>
      </c>
      <c r="AH13" s="66" t="n">
        <v>1325.2</v>
      </c>
      <c r="AI13" s="66" t="n">
        <v>1314</v>
      </c>
      <c r="AJ13" s="66" t="n">
        <v>1299.9</v>
      </c>
      <c r="AK13" s="66" t="n">
        <v>1376.5</v>
      </c>
      <c r="AL13" s="66" t="n">
        <v>1465.6</v>
      </c>
      <c r="AM13" s="66" t="n">
        <v>1497</v>
      </c>
      <c r="AN13" s="66" t="n">
        <v>1515.6</v>
      </c>
      <c r="AO13" s="66" t="n">
        <v>1512.6</v>
      </c>
    </row>
    <row r="14">
      <c r="A14" s="64" t="inlineStr">
        <is>
          <t>유동비율</t>
        </is>
      </c>
      <c r="B14" s="66" t="n"/>
      <c r="C14" s="66" t="n">
        <v>166</v>
      </c>
      <c r="D14" s="66" t="n"/>
      <c r="E14" s="66" t="n"/>
      <c r="F14" s="66" t="n"/>
      <c r="G14" s="66" t="n">
        <v>131.4</v>
      </c>
      <c r="H14" s="66" t="n"/>
      <c r="I14" s="66" t="n"/>
      <c r="J14" s="66" t="n"/>
      <c r="K14" s="66" t="n">
        <v>147.9</v>
      </c>
      <c r="L14" s="66" t="n">
        <v>140.6</v>
      </c>
      <c r="M14" s="66" t="n">
        <v>157.9</v>
      </c>
      <c r="N14" s="66" t="n">
        <v>157.2</v>
      </c>
      <c r="O14" s="66" t="n">
        <v>144.3</v>
      </c>
      <c r="P14" s="66" t="n">
        <v>145.8</v>
      </c>
      <c r="Q14" s="66" t="n">
        <v>142.3</v>
      </c>
      <c r="R14" s="66" t="n">
        <v>144.2</v>
      </c>
      <c r="S14" s="66" t="n">
        <v>157.2</v>
      </c>
      <c r="T14" s="66" t="n">
        <v>158</v>
      </c>
      <c r="U14" s="66" t="n">
        <v>163.5</v>
      </c>
      <c r="V14" s="66" t="n">
        <v>163.7</v>
      </c>
      <c r="W14" s="66" t="n">
        <v>166.5</v>
      </c>
      <c r="X14" s="66" t="n">
        <v>169.3</v>
      </c>
      <c r="Y14" s="66" t="n">
        <v>170.8</v>
      </c>
      <c r="Z14" s="66" t="n">
        <v>171.4</v>
      </c>
      <c r="AA14" s="66" t="n">
        <v>159.2</v>
      </c>
      <c r="AB14" s="66" t="n">
        <v>158.9</v>
      </c>
      <c r="AC14" s="66" t="n">
        <v>161.6</v>
      </c>
      <c r="AD14" s="66" t="n">
        <v>161.6</v>
      </c>
      <c r="AE14" s="66" t="n">
        <v>169.3</v>
      </c>
      <c r="AF14" s="66" t="n">
        <v>171.8</v>
      </c>
      <c r="AG14" s="66" t="n">
        <v>165.9</v>
      </c>
      <c r="AH14" s="66" t="n">
        <v>159.1</v>
      </c>
      <c r="AI14" s="66" t="n">
        <v>156</v>
      </c>
      <c r="AJ14" s="66" t="n">
        <v>153.3</v>
      </c>
      <c r="AK14" s="66" t="n">
        <v>157.1</v>
      </c>
      <c r="AL14" s="66" t="n">
        <v>181.8</v>
      </c>
      <c r="AM14" s="66" t="n">
        <v>185.8</v>
      </c>
      <c r="AN14" s="66" t="n">
        <v>186.5</v>
      </c>
      <c r="AO14" s="66" t="n">
        <v>185.6</v>
      </c>
    </row>
    <row r="15">
      <c r="A15" s="64" t="inlineStr">
        <is>
          <t>부채비율</t>
        </is>
      </c>
      <c r="B15" s="66" t="n"/>
      <c r="C15" s="66" t="n">
        <v>326.4</v>
      </c>
      <c r="D15" s="66" t="n"/>
      <c r="E15" s="66" t="n"/>
      <c r="F15" s="66" t="n"/>
      <c r="G15" s="66" t="n">
        <v>346.1</v>
      </c>
      <c r="H15" s="66" t="n"/>
      <c r="I15" s="66" t="n"/>
      <c r="J15" s="66" t="n"/>
      <c r="K15" s="66" t="n">
        <v>283.7</v>
      </c>
      <c r="L15" s="66" t="n">
        <v>308.4</v>
      </c>
      <c r="M15" s="66" t="n">
        <v>320.4</v>
      </c>
      <c r="N15" s="66" t="n">
        <v>304.5</v>
      </c>
      <c r="O15" s="66" t="n">
        <v>316.1</v>
      </c>
      <c r="P15" s="66" t="n">
        <v>315.3</v>
      </c>
      <c r="Q15" s="66" t="n">
        <v>334.9</v>
      </c>
      <c r="R15" s="66" t="n">
        <v>326.6</v>
      </c>
      <c r="S15" s="66" t="n">
        <v>285.8</v>
      </c>
      <c r="T15" s="66" t="n">
        <v>267.1</v>
      </c>
      <c r="U15" s="66" t="n">
        <v>276.2</v>
      </c>
      <c r="V15" s="66" t="n">
        <v>268.3</v>
      </c>
      <c r="W15" s="66" t="n">
        <v>234.5</v>
      </c>
      <c r="X15" s="66" t="n">
        <v>214.3</v>
      </c>
      <c r="Y15" s="66" t="n">
        <v>205.3</v>
      </c>
      <c r="Z15" s="66" t="n">
        <v>190.6</v>
      </c>
      <c r="AA15" s="66" t="n">
        <v>188.6</v>
      </c>
      <c r="AB15" s="66" t="n">
        <v>179.1</v>
      </c>
      <c r="AC15" s="66" t="n">
        <v>169.1</v>
      </c>
      <c r="AD15" s="66" t="n">
        <v>170.8</v>
      </c>
      <c r="AE15" s="66" t="n">
        <v>161.4</v>
      </c>
      <c r="AF15" s="66" t="n">
        <v>147.2</v>
      </c>
      <c r="AG15" s="66" t="n">
        <v>146.7</v>
      </c>
      <c r="AH15" s="66" t="n">
        <v>143.5</v>
      </c>
      <c r="AI15" s="66" t="n">
        <v>138.5</v>
      </c>
      <c r="AJ15" s="66" t="n">
        <v>135.6</v>
      </c>
      <c r="AK15" s="66" t="n">
        <v>127.8</v>
      </c>
      <c r="AL15" s="66" t="n">
        <v>134.7</v>
      </c>
      <c r="AM15" s="66" t="n">
        <v>132.2</v>
      </c>
      <c r="AN15" s="66" t="n">
        <v>129.6</v>
      </c>
      <c r="AO15" s="66" t="n">
        <v>128</v>
      </c>
    </row>
    <row r="16">
      <c r="A16" s="64" t="inlineStr">
        <is>
          <t>순차입금/자기자본</t>
        </is>
      </c>
      <c r="B16" s="66" t="n"/>
      <c r="C16" s="66" t="n">
        <v>46.3</v>
      </c>
      <c r="D16" s="66" t="n"/>
      <c r="E16" s="66" t="n"/>
      <c r="F16" s="66" t="n"/>
      <c r="G16" s="66" t="n">
        <v>182.3</v>
      </c>
      <c r="H16" s="66" t="n"/>
      <c r="I16" s="66" t="n"/>
      <c r="J16" s="66" t="n"/>
      <c r="K16" s="66" t="n">
        <v>46.6</v>
      </c>
      <c r="L16" s="66" t="n">
        <v>48</v>
      </c>
      <c r="M16" s="66" t="n">
        <v>48.6</v>
      </c>
      <c r="N16" s="66" t="n">
        <v>50.9</v>
      </c>
      <c r="O16" s="66" t="n">
        <v>57.8</v>
      </c>
      <c r="P16" s="66" t="n">
        <v>64.40000000000001</v>
      </c>
      <c r="Q16" s="66" t="n">
        <v>55</v>
      </c>
      <c r="R16" s="66" t="n">
        <v>41.3</v>
      </c>
      <c r="S16" s="66" t="n">
        <v>23.3</v>
      </c>
      <c r="T16" s="66" t="n">
        <v>21.1</v>
      </c>
      <c r="U16" s="66" t="n">
        <v>33.3</v>
      </c>
      <c r="V16" s="66" t="n">
        <v>38.3</v>
      </c>
      <c r="W16" s="66" t="n">
        <v>25.2</v>
      </c>
      <c r="X16" s="66" t="n">
        <v>23.7</v>
      </c>
      <c r="Y16" s="66" t="n">
        <v>21</v>
      </c>
      <c r="Z16" s="66" t="n">
        <v>9.6</v>
      </c>
      <c r="AA16" s="66" t="n">
        <v>6.1</v>
      </c>
      <c r="AB16" s="66" t="n">
        <v>14.7</v>
      </c>
      <c r="AC16" s="66" t="n">
        <v>9</v>
      </c>
      <c r="AD16" s="66" t="n">
        <v>6.6</v>
      </c>
      <c r="AE16" s="66" t="n">
        <v>-0.5</v>
      </c>
      <c r="AF16" s="66" t="n">
        <v>-2.2</v>
      </c>
      <c r="AG16" s="66" t="n">
        <v>-2.2</v>
      </c>
      <c r="AH16" s="66" t="n">
        <v>-3.3</v>
      </c>
      <c r="AI16" s="66" t="n">
        <v>1.3</v>
      </c>
      <c r="AJ16" s="66" t="n">
        <v>3.2</v>
      </c>
      <c r="AK16" s="66" t="n">
        <v>2.2</v>
      </c>
      <c r="AL16" s="66" t="n">
        <v>2.1</v>
      </c>
      <c r="AM16" s="66" t="n">
        <v>1.9</v>
      </c>
      <c r="AN16" s="66" t="n">
        <v>-1.6</v>
      </c>
      <c r="AO16" s="66" t="n">
        <v>-0.5</v>
      </c>
    </row>
    <row r="17">
      <c r="A17" s="64" t="inlineStr">
        <is>
          <t>재고자산</t>
        </is>
      </c>
      <c r="B17" s="65" t="n"/>
      <c r="C17" s="65" t="n"/>
      <c r="D17" s="65" t="n"/>
      <c r="E17" s="65" t="n"/>
      <c r="F17" s="65" t="n"/>
      <c r="G17" s="65" t="n">
        <v>441.2</v>
      </c>
      <c r="H17" s="65" t="n"/>
      <c r="I17" s="65" t="n"/>
      <c r="J17" s="65" t="n"/>
      <c r="K17" s="65" t="n">
        <v>445.8</v>
      </c>
      <c r="L17" s="65" t="n">
        <v>458.7</v>
      </c>
      <c r="M17" s="65" t="n">
        <v>457.8</v>
      </c>
      <c r="N17" s="65" t="n">
        <v>510.9</v>
      </c>
      <c r="O17" s="65" t="n">
        <v>461.9</v>
      </c>
      <c r="P17" s="65" t="n">
        <v>453.5</v>
      </c>
      <c r="Q17" s="65" t="n">
        <v>419.9</v>
      </c>
      <c r="R17" s="65" t="n">
        <v>438.5</v>
      </c>
      <c r="S17" s="65" t="n">
        <v>425.7</v>
      </c>
      <c r="T17" s="65" t="n">
        <v>467.8</v>
      </c>
      <c r="U17" s="65" t="n">
        <v>535.4</v>
      </c>
      <c r="V17" s="65" t="n">
        <v>570.5</v>
      </c>
      <c r="W17" s="65" t="n">
        <v>555.9</v>
      </c>
      <c r="X17" s="65" t="n">
        <v>665.7</v>
      </c>
      <c r="Y17" s="65" t="n">
        <v>711.9</v>
      </c>
      <c r="Z17" s="65" t="n">
        <v>715.3</v>
      </c>
      <c r="AA17" s="65" t="n">
        <v>678.3</v>
      </c>
      <c r="AB17" s="65" t="n">
        <v>728.7</v>
      </c>
      <c r="AC17" s="65" t="n">
        <v>718.3</v>
      </c>
      <c r="AD17" s="65" t="n">
        <v>669.9</v>
      </c>
      <c r="AE17" s="65" t="n">
        <v>629.1</v>
      </c>
      <c r="AF17" s="65" t="n">
        <v>679.1</v>
      </c>
      <c r="AG17" s="65" t="n">
        <v>653.4</v>
      </c>
      <c r="AH17" s="65" t="n">
        <v>678.5</v>
      </c>
      <c r="AI17" s="65" t="n">
        <v>585</v>
      </c>
      <c r="AJ17" s="65" t="n">
        <v>615.4</v>
      </c>
      <c r="AK17" s="65" t="n">
        <v>613.3</v>
      </c>
      <c r="AL17" s="65" t="n">
        <v>647.2</v>
      </c>
      <c r="AM17" s="65" t="n">
        <v>610.4</v>
      </c>
      <c r="AN17" s="65" t="n">
        <v>648.5</v>
      </c>
      <c r="AO17" s="65" t="n">
        <v>640.7</v>
      </c>
    </row>
    <row r="18">
      <c r="A18" s="64" t="inlineStr">
        <is>
          <t>재고자산 회전일수</t>
        </is>
      </c>
      <c r="B18" s="65" t="n"/>
      <c r="C18" s="65" t="n"/>
      <c r="D18" s="65" t="n"/>
      <c r="E18" s="65" t="n"/>
      <c r="F18" s="65" t="n"/>
      <c r="G18" s="65" t="n"/>
      <c r="H18" s="65" t="n"/>
      <c r="I18" s="65" t="n"/>
      <c r="J18" s="65" t="n"/>
      <c r="K18" s="65" t="n">
        <v>69</v>
      </c>
      <c r="L18" s="65" t="n">
        <v>77</v>
      </c>
      <c r="M18" s="65" t="n">
        <v>78</v>
      </c>
      <c r="N18" s="65" t="n">
        <v>88</v>
      </c>
      <c r="O18" s="65" t="n">
        <v>81</v>
      </c>
      <c r="P18" s="65" t="n">
        <v>107</v>
      </c>
      <c r="Q18" s="65" t="n">
        <v>76</v>
      </c>
      <c r="R18" s="65" t="n">
        <v>73</v>
      </c>
      <c r="S18" s="65" t="n">
        <v>70</v>
      </c>
      <c r="T18" s="65" t="n">
        <v>90</v>
      </c>
      <c r="U18" s="65" t="n">
        <v>108</v>
      </c>
      <c r="V18" s="65" t="n">
        <v>101</v>
      </c>
      <c r="W18" s="65" t="n">
        <v>81</v>
      </c>
      <c r="X18" s="65" t="n">
        <v>114</v>
      </c>
      <c r="Y18" s="65" t="n">
        <v>106</v>
      </c>
      <c r="Z18" s="65" t="n">
        <v>102</v>
      </c>
      <c r="AA18" s="65" t="n">
        <v>98</v>
      </c>
      <c r="AB18" s="65" t="n">
        <v>112</v>
      </c>
      <c r="AC18" s="65" t="n">
        <v>105</v>
      </c>
      <c r="AD18" s="65" t="n">
        <v>94</v>
      </c>
      <c r="AE18" s="65" t="n">
        <v>89</v>
      </c>
      <c r="AF18" s="65" t="n">
        <v>104</v>
      </c>
      <c r="AG18" s="65" t="n">
        <v>101</v>
      </c>
      <c r="AH18" s="65" t="n">
        <v>97</v>
      </c>
      <c r="AI18" s="65" t="n">
        <v>77</v>
      </c>
      <c r="AJ18" s="65" t="n">
        <v>101</v>
      </c>
      <c r="AK18" s="65" t="n">
        <v>90</v>
      </c>
      <c r="AL18" s="65" t="n">
        <v>96</v>
      </c>
      <c r="AM18" s="65" t="n">
        <v>83</v>
      </c>
      <c r="AN18" s="65" t="n">
        <v>92</v>
      </c>
      <c r="AO18" s="65" t="n">
        <v>96</v>
      </c>
    </row>
    <row r="19">
      <c r="A19" s="64" t="inlineStr">
        <is>
          <t>매출채권 회전일수</t>
        </is>
      </c>
      <c r="B19" s="65" t="n"/>
      <c r="C19" s="65" t="n"/>
      <c r="D19" s="65" t="n"/>
      <c r="E19" s="65" t="n"/>
      <c r="F19" s="65" t="n"/>
      <c r="G19" s="65" t="n"/>
      <c r="H19" s="65" t="n"/>
      <c r="I19" s="65" t="n"/>
      <c r="J19" s="65" t="n"/>
      <c r="K19" s="65" t="n">
        <v>66</v>
      </c>
      <c r="L19" s="65" t="n">
        <v>65</v>
      </c>
      <c r="M19" s="65" t="n">
        <v>65</v>
      </c>
      <c r="N19" s="65" t="n">
        <v>67</v>
      </c>
      <c r="O19" s="65" t="n">
        <v>66</v>
      </c>
      <c r="P19" s="65" t="n">
        <v>70</v>
      </c>
      <c r="Q19" s="65" t="n">
        <v>63</v>
      </c>
      <c r="R19" s="65" t="n">
        <v>62</v>
      </c>
      <c r="S19" s="65" t="n">
        <v>60</v>
      </c>
      <c r="T19" s="65" t="n">
        <v>60</v>
      </c>
      <c r="U19" s="65" t="n">
        <v>64</v>
      </c>
      <c r="V19" s="65" t="n">
        <v>64</v>
      </c>
      <c r="W19" s="65" t="n">
        <v>62</v>
      </c>
      <c r="X19" s="65" t="n">
        <v>66</v>
      </c>
      <c r="Y19" s="65" t="n">
        <v>64</v>
      </c>
      <c r="Z19" s="65" t="n">
        <v>56</v>
      </c>
      <c r="AA19" s="65" t="n">
        <v>59</v>
      </c>
      <c r="AB19" s="65" t="n">
        <v>66</v>
      </c>
      <c r="AC19" s="65" t="n">
        <v>67</v>
      </c>
      <c r="AD19" s="65" t="n">
        <v>63</v>
      </c>
      <c r="AE19" s="65" t="n">
        <v>67</v>
      </c>
      <c r="AF19" s="65" t="n">
        <v>69</v>
      </c>
      <c r="AG19" s="65" t="n">
        <v>63</v>
      </c>
      <c r="AH19" s="65" t="n">
        <v>62</v>
      </c>
      <c r="AI19" s="65" t="n">
        <v>65</v>
      </c>
      <c r="AJ19" s="65" t="n">
        <v>68</v>
      </c>
      <c r="AK19" s="65" t="n">
        <v>63</v>
      </c>
      <c r="AL19" s="65" t="n">
        <v>67</v>
      </c>
      <c r="AM19" s="65" t="n">
        <v>68</v>
      </c>
      <c r="AN19" s="65" t="n">
        <v>69</v>
      </c>
      <c r="AO19" s="65" t="n">
        <v>69</v>
      </c>
    </row>
    <row r="20">
      <c r="A20" s="64" t="inlineStr">
        <is>
          <t>매입채무 회전일수</t>
        </is>
      </c>
      <c r="B20" s="65" t="n"/>
      <c r="C20" s="65" t="n"/>
      <c r="D20" s="65" t="n"/>
      <c r="E20" s="65" t="n"/>
      <c r="F20" s="65" t="n"/>
      <c r="G20" s="65" t="n"/>
      <c r="H20" s="65" t="n"/>
      <c r="I20" s="65" t="n"/>
      <c r="J20" s="65" t="n"/>
      <c r="K20" s="65" t="n">
        <v>69</v>
      </c>
      <c r="L20" s="65" t="n">
        <v>74</v>
      </c>
      <c r="M20" s="65" t="n">
        <v>72</v>
      </c>
      <c r="N20" s="65" t="n">
        <v>81</v>
      </c>
      <c r="O20" s="65" t="n">
        <v>69</v>
      </c>
      <c r="P20" s="65" t="n">
        <v>71</v>
      </c>
      <c r="Q20" s="65" t="n">
        <v>64</v>
      </c>
      <c r="R20" s="65" t="n">
        <v>74</v>
      </c>
      <c r="S20" s="65" t="n">
        <v>71</v>
      </c>
      <c r="T20" s="65" t="n">
        <v>79</v>
      </c>
      <c r="U20" s="65" t="n">
        <v>84</v>
      </c>
      <c r="V20" s="65" t="n">
        <v>83</v>
      </c>
      <c r="W20" s="65" t="n">
        <v>72</v>
      </c>
      <c r="X20" s="65" t="n">
        <v>87</v>
      </c>
      <c r="Y20" s="65" t="n">
        <v>83</v>
      </c>
      <c r="Z20" s="65" t="n">
        <v>78</v>
      </c>
      <c r="AA20" s="65" t="n">
        <v>76</v>
      </c>
      <c r="AB20" s="65" t="n">
        <v>84</v>
      </c>
      <c r="AC20" s="65" t="n">
        <v>77</v>
      </c>
      <c r="AD20" s="65" t="n">
        <v>78</v>
      </c>
      <c r="AE20" s="65" t="n">
        <v>75</v>
      </c>
      <c r="AF20" s="65" t="n">
        <v>90</v>
      </c>
      <c r="AG20" s="65" t="n">
        <v>81</v>
      </c>
      <c r="AH20" s="65" t="n">
        <v>86</v>
      </c>
      <c r="AI20" s="65" t="n">
        <v>67</v>
      </c>
      <c r="AJ20" s="65" t="n">
        <v>80</v>
      </c>
      <c r="AK20" s="65" t="n">
        <v>72</v>
      </c>
      <c r="AL20" s="65" t="n">
        <v>79</v>
      </c>
      <c r="AM20" s="65" t="n">
        <v>71</v>
      </c>
      <c r="AN20" s="65" t="n">
        <v>76</v>
      </c>
      <c r="AO20" s="65" t="n">
        <v>80</v>
      </c>
    </row>
    <row r="21">
      <c r="A21" s="64" t="inlineStr">
        <is>
          <t>현금전환주기(CCC)</t>
        </is>
      </c>
      <c r="B21" s="65" t="n"/>
      <c r="C21" s="65" t="n"/>
      <c r="D21" s="65" t="n"/>
      <c r="E21" s="65" t="n"/>
      <c r="F21" s="65" t="n"/>
      <c r="G21" s="65" t="n"/>
      <c r="H21" s="65" t="n"/>
      <c r="I21" s="65" t="n"/>
      <c r="J21" s="65" t="n"/>
      <c r="K21" s="65" t="n">
        <v>66</v>
      </c>
      <c r="L21" s="65" t="n">
        <v>68</v>
      </c>
      <c r="M21" s="65" t="n">
        <v>71</v>
      </c>
      <c r="N21" s="65" t="n">
        <v>74</v>
      </c>
      <c r="O21" s="65" t="n">
        <v>78</v>
      </c>
      <c r="P21" s="65" t="n">
        <v>106</v>
      </c>
      <c r="Q21" s="65" t="n">
        <v>75</v>
      </c>
      <c r="R21" s="65" t="n">
        <v>61</v>
      </c>
      <c r="S21" s="65" t="n">
        <v>59</v>
      </c>
      <c r="T21" s="65" t="n">
        <v>71</v>
      </c>
      <c r="U21" s="65" t="n">
        <v>88</v>
      </c>
      <c r="V21" s="65" t="n">
        <v>82</v>
      </c>
      <c r="W21" s="65" t="n">
        <v>71</v>
      </c>
      <c r="X21" s="65" t="n">
        <v>93</v>
      </c>
      <c r="Y21" s="65" t="n">
        <v>87</v>
      </c>
      <c r="Z21" s="65" t="n">
        <v>80</v>
      </c>
      <c r="AA21" s="65" t="n">
        <v>81</v>
      </c>
      <c r="AB21" s="65" t="n">
        <v>94</v>
      </c>
      <c r="AC21" s="65" t="n">
        <v>95</v>
      </c>
      <c r="AD21" s="65" t="n">
        <v>79</v>
      </c>
      <c r="AE21" s="65" t="n">
        <v>81</v>
      </c>
      <c r="AF21" s="65" t="n">
        <v>83</v>
      </c>
      <c r="AG21" s="65" t="n">
        <v>83</v>
      </c>
      <c r="AH21" s="65" t="n">
        <v>73</v>
      </c>
      <c r="AI21" s="65" t="n">
        <v>75</v>
      </c>
      <c r="AJ21" s="65" t="n">
        <v>89</v>
      </c>
      <c r="AK21" s="65" t="n">
        <v>81</v>
      </c>
      <c r="AL21" s="65" t="n">
        <v>84</v>
      </c>
      <c r="AM21" s="65" t="n">
        <v>80</v>
      </c>
      <c r="AN21" s="65" t="n">
        <v>85</v>
      </c>
      <c r="AO21" s="65" t="n">
        <v>85</v>
      </c>
    </row>
    <row r="22">
      <c r="A22" s="64" t="inlineStr">
        <is>
          <t>총 차입금</t>
        </is>
      </c>
      <c r="B22" s="65" t="n"/>
      <c r="C22" s="65" t="n">
        <v>702.6</v>
      </c>
      <c r="D22" s="65" t="n"/>
      <c r="E22" s="65" t="n"/>
      <c r="F22" s="65" t="n"/>
      <c r="G22" s="65" t="n">
        <v>1352.2</v>
      </c>
      <c r="H22" s="65" t="n"/>
      <c r="I22" s="65" t="n"/>
      <c r="J22" s="65" t="n"/>
      <c r="K22" s="65" t="n">
        <v>713.1</v>
      </c>
      <c r="L22" s="65" t="n">
        <v>701.3</v>
      </c>
      <c r="M22" s="65" t="n">
        <v>732.5999999999999</v>
      </c>
      <c r="N22" s="65" t="n">
        <v>708.4000000000001</v>
      </c>
      <c r="O22" s="65" t="n">
        <v>746</v>
      </c>
      <c r="P22" s="65" t="n">
        <v>746.4</v>
      </c>
      <c r="Q22" s="65" t="n">
        <v>803.4</v>
      </c>
      <c r="R22" s="65" t="n">
        <v>806.4</v>
      </c>
      <c r="S22" s="65" t="n">
        <v>755.9</v>
      </c>
      <c r="T22" s="65" t="n">
        <v>740.2</v>
      </c>
      <c r="U22" s="65" t="n">
        <v>742</v>
      </c>
      <c r="V22" s="65" t="n">
        <v>726.8000000000001</v>
      </c>
      <c r="W22" s="65" t="n">
        <v>698.4000000000001</v>
      </c>
      <c r="X22" s="65" t="n">
        <v>689.1</v>
      </c>
      <c r="Y22" s="65" t="n">
        <v>658.7</v>
      </c>
      <c r="Z22" s="65" t="n">
        <v>597.3</v>
      </c>
      <c r="AA22" s="65" t="n">
        <v>624.8</v>
      </c>
      <c r="AB22" s="65" t="n">
        <v>624.2</v>
      </c>
      <c r="AC22" s="65" t="n">
        <v>612.3</v>
      </c>
      <c r="AD22" s="65" t="n">
        <v>588.3</v>
      </c>
      <c r="AE22" s="65" t="n">
        <v>572.9</v>
      </c>
      <c r="AF22" s="65" t="n">
        <v>513.7</v>
      </c>
      <c r="AG22" s="65" t="n">
        <v>515.6</v>
      </c>
      <c r="AH22" s="65" t="n">
        <v>504.7</v>
      </c>
      <c r="AI22" s="65" t="n">
        <v>503.7</v>
      </c>
      <c r="AJ22" s="65" t="n">
        <v>534.3</v>
      </c>
      <c r="AK22" s="65" t="n">
        <v>525.8</v>
      </c>
      <c r="AL22" s="65" t="n">
        <v>691.3</v>
      </c>
      <c r="AM22" s="65" t="n">
        <v>686</v>
      </c>
      <c r="AN22" s="65" t="n">
        <v>667.0999999999999</v>
      </c>
      <c r="AO22" s="65" t="n">
        <v>635.8</v>
      </c>
    </row>
    <row r="23">
      <c r="A23" s="64" t="inlineStr">
        <is>
          <t>현금</t>
        </is>
      </c>
      <c r="B23" s="65" t="n"/>
      <c r="C23" s="65" t="n">
        <v>418.1</v>
      </c>
      <c r="D23" s="65" t="n"/>
      <c r="E23" s="65" t="n"/>
      <c r="F23" s="65" t="n"/>
      <c r="G23" s="65" t="n">
        <v>371.6</v>
      </c>
      <c r="H23" s="65" t="n"/>
      <c r="I23" s="65" t="n"/>
      <c r="J23" s="65" t="n"/>
      <c r="K23" s="65" t="n">
        <v>408.4</v>
      </c>
      <c r="L23" s="65" t="n">
        <v>402.1</v>
      </c>
      <c r="M23" s="65" t="n">
        <v>437.1</v>
      </c>
      <c r="N23" s="65" t="n">
        <v>382</v>
      </c>
      <c r="O23" s="65" t="n">
        <v>399.3</v>
      </c>
      <c r="P23" s="65" t="n">
        <v>382.9</v>
      </c>
      <c r="Q23" s="65" t="n">
        <v>492.5</v>
      </c>
      <c r="R23" s="65" t="n">
        <v>552.9</v>
      </c>
      <c r="S23" s="65" t="n">
        <v>596.4</v>
      </c>
      <c r="T23" s="65" t="n">
        <v>594</v>
      </c>
      <c r="U23" s="65" t="n">
        <v>514.2</v>
      </c>
      <c r="V23" s="65" t="n">
        <v>451.5</v>
      </c>
      <c r="W23" s="65" t="n">
        <v>487.1</v>
      </c>
      <c r="X23" s="65" t="n">
        <v>468.5</v>
      </c>
      <c r="Y23" s="65" t="n">
        <v>449</v>
      </c>
      <c r="Z23" s="65" t="n">
        <v>498.6</v>
      </c>
      <c r="AA23" s="65" t="n">
        <v>561.9</v>
      </c>
      <c r="AB23" s="65" t="n">
        <v>462.4</v>
      </c>
      <c r="AC23" s="65" t="n">
        <v>507.2</v>
      </c>
      <c r="AD23" s="65" t="n">
        <v>513</v>
      </c>
      <c r="AE23" s="65" t="n">
        <v>578.7</v>
      </c>
      <c r="AF23" s="65" t="n">
        <v>543.1</v>
      </c>
      <c r="AG23" s="65" t="n">
        <v>542.8</v>
      </c>
      <c r="AH23" s="65" t="n">
        <v>548</v>
      </c>
      <c r="AI23" s="65" t="n">
        <v>486</v>
      </c>
      <c r="AJ23" s="65" t="n">
        <v>493.2</v>
      </c>
      <c r="AK23" s="65" t="n">
        <v>496.2</v>
      </c>
      <c r="AL23" s="65" t="n">
        <v>660.9</v>
      </c>
      <c r="AM23" s="65" t="n">
        <v>657.2</v>
      </c>
      <c r="AN23" s="65" t="n">
        <v>692</v>
      </c>
      <c r="AO23" s="65" t="n">
        <v>643.4</v>
      </c>
    </row>
    <row r="24">
      <c r="A24" s="64" t="inlineStr">
        <is>
          <t>부문별 매출 · セーフティ＆セキュリティ分野、報告セグメント [メンバー]</t>
        </is>
      </c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>
        <v>220.2</v>
      </c>
      <c r="AC24" s="65" t="n">
        <v>235.8</v>
      </c>
      <c r="AD24" s="65" t="n">
        <v>243</v>
      </c>
      <c r="AE24" s="65" t="n">
        <v>238.6</v>
      </c>
      <c r="AF24" s="65" t="n">
        <v>242.4</v>
      </c>
      <c r="AG24" s="65" t="n">
        <v>243.5</v>
      </c>
      <c r="AH24" s="65" t="n">
        <v>244.9</v>
      </c>
      <c r="AI24" s="65" t="n">
        <v>269.4</v>
      </c>
      <c r="AJ24" s="65" t="n">
        <v>182.8</v>
      </c>
      <c r="AK24" s="65" t="n">
        <v>254.5</v>
      </c>
      <c r="AL24" s="65" t="n">
        <v>231.4</v>
      </c>
      <c r="AM24" s="65" t="n">
        <v>278.3</v>
      </c>
      <c r="AN24" s="65" t="n">
        <v>184.9</v>
      </c>
      <c r="AO24" s="65" t="n">
        <v>219</v>
      </c>
      <c r="AP24" s="61" t="inlineStr">
        <is>
          <t>결산단신 부문 정보(외부 고객 매출)</t>
        </is>
      </c>
    </row>
    <row r="25">
      <c r="A25" s="64" t="inlineStr">
        <is>
          <t>부문별 매출 · モビリティ＆テレマティクスサービス分野、報告セグメント [メンバー]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  <c r="AA25" s="65" t="n"/>
      <c r="AB25" s="65" t="n">
        <v>473.3</v>
      </c>
      <c r="AC25" s="65" t="n">
        <v>505.5</v>
      </c>
      <c r="AD25" s="65" t="n">
        <v>509.2</v>
      </c>
      <c r="AE25" s="65" t="n"/>
      <c r="AF25" s="65" t="n">
        <v>479.4</v>
      </c>
      <c r="AG25" s="65" t="n">
        <v>487.7</v>
      </c>
      <c r="AH25" s="65" t="n">
        <v>520.9</v>
      </c>
      <c r="AI25" s="65" t="n"/>
      <c r="AJ25" s="65" t="n">
        <v>465.8</v>
      </c>
      <c r="AK25" s="65" t="n">
        <v>488.5</v>
      </c>
      <c r="AL25" s="65" t="n">
        <v>490.1</v>
      </c>
      <c r="AM25" s="65" t="n"/>
      <c r="AN25" s="65" t="n">
        <v>534.7</v>
      </c>
      <c r="AO25" s="65" t="n">
        <v>541.3</v>
      </c>
      <c r="AP25" s="61" t="inlineStr">
        <is>
          <t>결산단신 부문 정보(외부 고객 매출)</t>
        </is>
      </c>
    </row>
    <row r="26">
      <c r="A26" s="64" t="inlineStr">
        <is>
          <t>부문별 매출 · エンタテインメント ソリューションズ分野、報告セグメント [メンバー]</t>
        </is>
      </c>
      <c r="B26" s="65" t="n"/>
      <c r="C26" s="65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  <c r="AA26" s="65" t="n"/>
      <c r="AB26" s="65" t="n">
        <v>140.2</v>
      </c>
      <c r="AC26" s="65" t="n">
        <v>129.9</v>
      </c>
      <c r="AD26" s="65" t="n">
        <v>149.9</v>
      </c>
      <c r="AE26" s="65" t="n">
        <v>139.8</v>
      </c>
      <c r="AF26" s="65" t="n">
        <v>134.4</v>
      </c>
      <c r="AG26" s="65" t="n">
        <v>131.9</v>
      </c>
      <c r="AH26" s="65" t="n">
        <v>148.2</v>
      </c>
      <c r="AI26" s="65" t="n">
        <v>164.8</v>
      </c>
      <c r="AJ26" s="65" t="n">
        <v>132.3</v>
      </c>
      <c r="AK26" s="65" t="n">
        <v>126.3</v>
      </c>
      <c r="AL26" s="65" t="n">
        <v>143</v>
      </c>
      <c r="AM26" s="65" t="n">
        <v>166.5</v>
      </c>
      <c r="AN26" s="65" t="n">
        <v>144.5</v>
      </c>
      <c r="AO26" s="65" t="n">
        <v>168.1</v>
      </c>
      <c r="AP26" s="61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2026-10-30T08:32:34Z</dcterms:created>
  <dcterms:modified xmlns:dcterms="http://purl.org/dc/terms/" xmlns:xsi="http://www.w3.org/2001/XMLSchema-instance" xsi:type="dcterms:W3CDTF">2026-10-30T08:32:37Z</dcterms:modified>
</cp:coreProperties>
</file>