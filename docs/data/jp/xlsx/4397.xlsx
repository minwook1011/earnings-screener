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팀스피릿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1043.117</v>
      </c>
      <c r="D4" s="12" t="n">
        <v>1083.264</v>
      </c>
      <c r="E4" s="12" t="n">
        <v>1152.792</v>
      </c>
      <c r="F4" s="12" t="n">
        <v>1142.776</v>
      </c>
      <c r="G4" s="12" t="n">
        <v>1147.514</v>
      </c>
      <c r="H4" s="12" t="n">
        <v>1171.639</v>
      </c>
      <c r="I4" s="12" t="n">
        <v>1237.024</v>
      </c>
      <c r="J4" s="12" t="n">
        <v>1366.507</v>
      </c>
      <c r="K4" s="12" t="n">
        <v>1411.303</v>
      </c>
      <c r="L4" s="12" t="n">
        <v>1470.492</v>
      </c>
      <c r="M4" s="12" t="n">
        <v>1551.047</v>
      </c>
      <c r="N4" s="12" t="n">
        <v>1646.593</v>
      </c>
      <c r="O4" s="11" t="n">
        <v>772.96</v>
      </c>
      <c r="P4" s="12" t="n">
        <v>1232.403</v>
      </c>
      <c r="Q4" s="12" t="n">
        <v>1820.48</v>
      </c>
      <c r="R4" s="12" t="n">
        <v>2445.661</v>
      </c>
      <c r="S4" s="12" t="n">
        <v>2896.926</v>
      </c>
      <c r="T4" s="12" t="n">
        <v>3261.515</v>
      </c>
      <c r="U4" s="12" t="n">
        <v>3809.551</v>
      </c>
      <c r="V4" s="12" t="n">
        <v>4421.949</v>
      </c>
      <c r="W4" s="12" t="n">
        <v>4922.684</v>
      </c>
      <c r="X4" s="12" t="n">
        <v>6079.435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653.782</v>
      </c>
      <c r="D11" s="22" t="n">
        <v>686.974</v>
      </c>
      <c r="E11" s="22" t="n">
        <v>693.23</v>
      </c>
      <c r="F11" s="22" t="n">
        <v>734.687</v>
      </c>
      <c r="G11" s="22" t="n">
        <v>711.271</v>
      </c>
      <c r="H11" s="22" t="n">
        <v>685.803</v>
      </c>
      <c r="I11" s="22" t="n">
        <v>708.947</v>
      </c>
      <c r="J11" s="22" t="n">
        <v>832.216</v>
      </c>
      <c r="K11" s="22" t="n">
        <v>875.615</v>
      </c>
      <c r="L11" s="22" t="n">
        <v>904.5700000000001</v>
      </c>
      <c r="M11" s="22" t="n">
        <v>948.809</v>
      </c>
      <c r="N11" s="22" t="n">
        <v>1068.836</v>
      </c>
      <c r="O11" s="21" t="n">
        <v>294.588</v>
      </c>
      <c r="P11" s="22" t="n">
        <v>482.835</v>
      </c>
      <c r="Q11" s="22" t="n">
        <v>696.49</v>
      </c>
      <c r="R11" s="22" t="n">
        <v>960.278</v>
      </c>
      <c r="S11" s="22" t="n">
        <v>1388.054</v>
      </c>
      <c r="T11" s="22" t="n">
        <v>2148.131</v>
      </c>
      <c r="U11" s="22" t="n">
        <v>2442.71</v>
      </c>
      <c r="V11" s="22" t="n">
        <v>2768.673</v>
      </c>
      <c r="W11" s="22" t="n">
        <v>2938.237</v>
      </c>
      <c r="X11" s="22" t="n">
        <v>3797.83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437.648</v>
      </c>
      <c r="D17" s="22" t="n">
        <v>428.769</v>
      </c>
      <c r="E17" s="22" t="n">
        <v>411.668</v>
      </c>
      <c r="F17" s="22" t="n">
        <v>462.523</v>
      </c>
      <c r="G17" s="22" t="n">
        <v>384.291</v>
      </c>
      <c r="H17" s="22" t="n">
        <v>403.649</v>
      </c>
      <c r="I17" s="22" t="n">
        <v>394.129</v>
      </c>
      <c r="J17" s="22" t="n">
        <v>532.546</v>
      </c>
      <c r="K17" s="22" t="n">
        <v>425.846</v>
      </c>
      <c r="L17" s="22" t="n">
        <v>443.225</v>
      </c>
      <c r="M17" s="22" t="n">
        <v>403.755</v>
      </c>
      <c r="N17" s="22" t="n">
        <v>545.1319999999999</v>
      </c>
      <c r="O17" s="21" t="n">
        <v>580.633</v>
      </c>
      <c r="P17" s="22" t="n">
        <v>679.832</v>
      </c>
      <c r="Q17" s="22" t="n">
        <v>880.538</v>
      </c>
      <c r="R17" s="22" t="n">
        <v>1199.536</v>
      </c>
      <c r="S17" s="22" t="n">
        <v>1339.846</v>
      </c>
      <c r="T17" s="22" t="n">
        <v>1231.543</v>
      </c>
      <c r="U17" s="22" t="n">
        <v>1586.654</v>
      </c>
      <c r="V17" s="22" t="n">
        <v>1740.608</v>
      </c>
      <c r="W17" s="22" t="n">
        <v>1714.615</v>
      </c>
      <c r="X17" s="22" t="n">
        <v>1817.958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-48.313</v>
      </c>
      <c r="D19" s="12" t="n">
        <v>-32.478</v>
      </c>
      <c r="E19" s="12" t="n">
        <v>47.892</v>
      </c>
      <c r="F19" s="12" t="n">
        <v>-54.433</v>
      </c>
      <c r="G19" s="12" t="n">
        <v>51.95</v>
      </c>
      <c r="H19" s="12" t="n">
        <v>82.188</v>
      </c>
      <c r="I19" s="12" t="n">
        <v>133.947</v>
      </c>
      <c r="J19" s="12" t="n">
        <v>1.746</v>
      </c>
      <c r="K19" s="12" t="n">
        <v>109.841</v>
      </c>
      <c r="L19" s="12" t="n">
        <v>122.697</v>
      </c>
      <c r="M19" s="12" t="n">
        <v>198.483</v>
      </c>
      <c r="N19" s="12" t="n">
        <v>32.625</v>
      </c>
      <c r="O19" s="11" t="n">
        <v>-102.261</v>
      </c>
      <c r="P19" s="12" t="n">
        <v>69.735</v>
      </c>
      <c r="Q19" s="12" t="n">
        <v>243.451</v>
      </c>
      <c r="R19" s="12" t="n">
        <v>285.846</v>
      </c>
      <c r="S19" s="12" t="n">
        <v>169.025</v>
      </c>
      <c r="T19" s="12" t="n">
        <v>-118.159</v>
      </c>
      <c r="U19" s="12" t="n">
        <v>-219.813</v>
      </c>
      <c r="V19" s="12" t="n">
        <v>-87.33199999999999</v>
      </c>
      <c r="W19" s="12" t="n">
        <v>269.831</v>
      </c>
      <c r="X19" s="12" t="n">
        <v>463.646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>
        <v>112.597</v>
      </c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/>
      <c r="R37" s="22" t="n">
        <v>11.22</v>
      </c>
      <c r="S37" s="22" t="n">
        <v>0</v>
      </c>
      <c r="T37" s="22" t="n">
        <v>0</v>
      </c>
      <c r="U37" s="22" t="n">
        <v>69.252</v>
      </c>
      <c r="V37" s="22" t="n">
        <v>112.597</v>
      </c>
      <c r="W37" s="22" t="n">
        <v>0</v>
      </c>
      <c r="X37" s="22" t="n">
        <v>1.185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0.154</v>
      </c>
      <c r="D39" s="22" t="n">
        <v>0.073</v>
      </c>
      <c r="E39" s="22" t="n">
        <v>0.774</v>
      </c>
      <c r="F39" s="22" t="n">
        <v>1.549</v>
      </c>
      <c r="G39" s="22" t="n">
        <v>0.661</v>
      </c>
      <c r="H39" s="22" t="n">
        <v>6.443</v>
      </c>
      <c r="I39" s="22" t="n">
        <v>0.99</v>
      </c>
      <c r="J39" s="22" t="n">
        <v>3.43</v>
      </c>
      <c r="K39" s="22" t="n">
        <v>0.965</v>
      </c>
      <c r="L39" s="22" t="n">
        <v>3.717</v>
      </c>
      <c r="M39" s="22" t="n">
        <v>1.213</v>
      </c>
      <c r="N39" s="22" t="n">
        <v>5.222</v>
      </c>
      <c r="O39" s="21" t="n">
        <v>7.826</v>
      </c>
      <c r="P39" s="22" t="n">
        <v>0.979</v>
      </c>
      <c r="Q39" s="22" t="n">
        <v>3.302</v>
      </c>
      <c r="R39" s="22" t="n">
        <v>9.606999999999999</v>
      </c>
      <c r="S39" s="22" t="n">
        <v>9.167</v>
      </c>
      <c r="T39" s="22" t="n">
        <v>0.656</v>
      </c>
      <c r="U39" s="22" t="n">
        <v>0.68</v>
      </c>
      <c r="V39" s="22" t="n">
        <v>2.55</v>
      </c>
      <c r="W39" s="22" t="n">
        <v>11.524</v>
      </c>
      <c r="X39" s="22" t="n">
        <v>11.117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1.072</v>
      </c>
      <c r="D41" s="22" t="n">
        <v>1.465</v>
      </c>
      <c r="E41" s="22" t="n">
        <v>1.897</v>
      </c>
      <c r="F41" s="22" t="n">
        <v>-0.08799999999999999</v>
      </c>
      <c r="G41" s="22" t="n">
        <v>0.89</v>
      </c>
      <c r="H41" s="22" t="n">
        <v>1.662</v>
      </c>
      <c r="I41" s="22" t="n">
        <v>0.635</v>
      </c>
      <c r="J41" s="22" t="n">
        <v>0.3</v>
      </c>
      <c r="K41" s="22" t="n">
        <v>1.773</v>
      </c>
      <c r="L41" s="22" t="n">
        <v>3.338</v>
      </c>
      <c r="M41" s="22" t="n">
        <v>2.209</v>
      </c>
      <c r="N41" s="22" t="n">
        <v>2.869</v>
      </c>
      <c r="O41" s="21" t="n">
        <v>2.231</v>
      </c>
      <c r="P41" s="22" t="n">
        <v>16.359</v>
      </c>
      <c r="Q41" s="22" t="n">
        <v>2.581</v>
      </c>
      <c r="R41" s="22" t="n">
        <v>2.613</v>
      </c>
      <c r="S41" s="22" t="n">
        <v>3.564</v>
      </c>
      <c r="T41" s="22" t="n">
        <v>8.772</v>
      </c>
      <c r="U41" s="22" t="n">
        <v>7.566</v>
      </c>
      <c r="V41" s="22" t="n">
        <v>4.346</v>
      </c>
      <c r="W41" s="22" t="n">
        <v>3.487</v>
      </c>
      <c r="X41" s="22" t="n">
        <v>10.189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-49.231</v>
      </c>
      <c r="D43" s="12" t="n">
        <v>-33.87</v>
      </c>
      <c r="E43" s="12" t="n">
        <v>46.769</v>
      </c>
      <c r="F43" s="12" t="n">
        <v>-165.394</v>
      </c>
      <c r="G43" s="12" t="n">
        <v>51.72</v>
      </c>
      <c r="H43" s="12" t="n">
        <v>86.97</v>
      </c>
      <c r="I43" s="12" t="n">
        <v>134.302</v>
      </c>
      <c r="J43" s="12" t="n">
        <v>4.877</v>
      </c>
      <c r="K43" s="12" t="n">
        <v>109.034</v>
      </c>
      <c r="L43" s="12" t="n">
        <v>123.075</v>
      </c>
      <c r="M43" s="12" t="n">
        <v>197.487</v>
      </c>
      <c r="N43" s="12" t="n">
        <v>33.793</v>
      </c>
      <c r="O43" s="11" t="n">
        <v>-96.667</v>
      </c>
      <c r="P43" s="12" t="n">
        <v>54.354</v>
      </c>
      <c r="Q43" s="12" t="n">
        <v>244.171</v>
      </c>
      <c r="R43" s="12" t="n">
        <v>281.619</v>
      </c>
      <c r="S43" s="12" t="n">
        <v>174.627</v>
      </c>
      <c r="T43" s="12" t="n">
        <v>-126.275</v>
      </c>
      <c r="U43" s="12" t="n">
        <v>-295.951</v>
      </c>
      <c r="V43" s="12" t="n">
        <v>-201.726</v>
      </c>
      <c r="W43" s="12" t="n">
        <v>277.869</v>
      </c>
      <c r="X43" s="12" t="n">
        <v>463.389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-14.104</v>
      </c>
      <c r="D45" s="22" t="n">
        <v>-5.842</v>
      </c>
      <c r="E45" s="22" t="n">
        <v>18.506</v>
      </c>
      <c r="F45" s="22" t="n">
        <v>-20.186</v>
      </c>
      <c r="G45" s="22" t="n">
        <v>13.917</v>
      </c>
      <c r="H45" s="22" t="n">
        <v>14.699</v>
      </c>
      <c r="I45" s="22" t="n">
        <v>18.795</v>
      </c>
      <c r="J45" s="22" t="n">
        <v>-132.2</v>
      </c>
      <c r="K45" s="22" t="n">
        <v>31.61</v>
      </c>
      <c r="L45" s="22" t="n">
        <v>42.526</v>
      </c>
      <c r="M45" s="22" t="n">
        <v>60.95</v>
      </c>
      <c r="N45" s="22" t="n">
        <v>-23.101</v>
      </c>
      <c r="O45" s="21" t="n">
        <v>0.701</v>
      </c>
      <c r="P45" s="22" t="n">
        <v>-37.108</v>
      </c>
      <c r="Q45" s="22" t="n">
        <v>20.227</v>
      </c>
      <c r="R45" s="22" t="n">
        <v>26.241</v>
      </c>
      <c r="S45" s="22" t="n">
        <v>51.785</v>
      </c>
      <c r="T45" s="22" t="n">
        <v>-35.929</v>
      </c>
      <c r="U45" s="22" t="n">
        <v>-106.76</v>
      </c>
      <c r="V45" s="22" t="n">
        <v>-21.626</v>
      </c>
      <c r="W45" s="22" t="n">
        <v>-84.789</v>
      </c>
      <c r="X45" s="22" t="n">
        <v>111.985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-35.127</v>
      </c>
      <c r="D47" s="12" t="n">
        <v>-28.028</v>
      </c>
      <c r="E47" s="12" t="n">
        <v>28.264</v>
      </c>
      <c r="F47" s="12" t="n">
        <v>-145.209</v>
      </c>
      <c r="G47" s="12" t="n">
        <v>37.803</v>
      </c>
      <c r="H47" s="12" t="n">
        <v>72.271</v>
      </c>
      <c r="I47" s="12" t="n">
        <v>115.506</v>
      </c>
      <c r="J47" s="12" t="n">
        <v>137.079</v>
      </c>
      <c r="K47" s="12" t="n">
        <v>77.423</v>
      </c>
      <c r="L47" s="12" t="n">
        <v>80.54900000000001</v>
      </c>
      <c r="M47" s="12" t="n">
        <v>136.538</v>
      </c>
      <c r="N47" s="12" t="n">
        <v>56.893</v>
      </c>
      <c r="O47" s="11" t="n">
        <v>-97.36799999999999</v>
      </c>
      <c r="P47" s="12" t="n">
        <v>91.462</v>
      </c>
      <c r="Q47" s="12" t="n">
        <v>223.944</v>
      </c>
      <c r="R47" s="12" t="n">
        <v>255.378</v>
      </c>
      <c r="S47" s="12" t="n">
        <v>122.842</v>
      </c>
      <c r="T47" s="12" t="n">
        <v>-90.346</v>
      </c>
      <c r="U47" s="12" t="n">
        <v>-189.19</v>
      </c>
      <c r="V47" s="12" t="n">
        <v>-180.1</v>
      </c>
      <c r="W47" s="12" t="n">
        <v>362.659</v>
      </c>
      <c r="X47" s="12" t="n">
        <v>351.403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-35.127</v>
      </c>
      <c r="D49" s="12" t="n">
        <v>-28.028</v>
      </c>
      <c r="E49" s="12" t="n">
        <v>28.264</v>
      </c>
      <c r="F49" s="12" t="n">
        <v>-145.209</v>
      </c>
      <c r="G49" s="12" t="n">
        <v>37.803</v>
      </c>
      <c r="H49" s="12" t="n">
        <v>72.271</v>
      </c>
      <c r="I49" s="12" t="n">
        <v>115.506</v>
      </c>
      <c r="J49" s="12" t="n">
        <v>137.079</v>
      </c>
      <c r="K49" s="12" t="n">
        <v>77.423</v>
      </c>
      <c r="L49" s="12" t="n">
        <v>80.54900000000001</v>
      </c>
      <c r="M49" s="12" t="n">
        <v>136.538</v>
      </c>
      <c r="N49" s="12" t="n">
        <v>56.893</v>
      </c>
      <c r="O49" s="11" t="n"/>
      <c r="P49" s="12" t="n"/>
      <c r="Q49" s="12" t="n"/>
      <c r="R49" s="12" t="n">
        <v>255.378</v>
      </c>
      <c r="S49" s="12" t="n">
        <v>122.842</v>
      </c>
      <c r="T49" s="12" t="n">
        <v>-90.346</v>
      </c>
      <c r="U49" s="12" t="n">
        <v>-189.19</v>
      </c>
      <c r="V49" s="12" t="n">
        <v>-180.1</v>
      </c>
      <c r="W49" s="12" t="n">
        <v>362.659</v>
      </c>
      <c r="X49" s="12" t="n">
        <v>351.403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2024.1Q</t>
        </is>
      </c>
      <c r="D83" s="5" t="inlineStr">
        <is>
          <t>2024.2Q</t>
        </is>
      </c>
      <c r="E83" s="5" t="inlineStr">
        <is>
          <t>2024.3Q</t>
        </is>
      </c>
      <c r="F83" s="5" t="inlineStr">
        <is>
          <t>2024.4Q</t>
        </is>
      </c>
      <c r="G83" s="5" t="inlineStr">
        <is>
          <t>2025.1Q</t>
        </is>
      </c>
      <c r="H83" s="5" t="inlineStr">
        <is>
          <t>2025.2Q</t>
        </is>
      </c>
      <c r="I83" s="5" t="inlineStr">
        <is>
          <t>2025.3Q</t>
        </is>
      </c>
      <c r="J83" s="5" t="inlineStr">
        <is>
          <t>2025.4Q</t>
        </is>
      </c>
      <c r="K83" s="5" t="inlineStr">
        <is>
          <t>2026.1Q</t>
        </is>
      </c>
      <c r="L83" s="5" t="inlineStr">
        <is>
          <t>2026.2Q</t>
        </is>
      </c>
      <c r="M83" s="5" t="inlineStr">
        <is>
          <t>2026.3Q</t>
        </is>
      </c>
      <c r="N83" s="5" t="inlineStr">
        <is>
          <t>2026.4Q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1043.117</v>
      </c>
      <c r="D84" s="12" t="n">
        <v>1083.264</v>
      </c>
      <c r="E84" s="12" t="n">
        <v>1152.792</v>
      </c>
      <c r="F84" s="12" t="n">
        <v>1142.776</v>
      </c>
      <c r="G84" s="12" t="n">
        <v>1147.514</v>
      </c>
      <c r="H84" s="12" t="n">
        <v>1171.639</v>
      </c>
      <c r="I84" s="12" t="n">
        <v>1237.024</v>
      </c>
      <c r="J84" s="12" t="n">
        <v>1366.507</v>
      </c>
      <c r="K84" s="12" t="n">
        <v>1411.303</v>
      </c>
      <c r="L84" s="12" t="n">
        <v>1470.492</v>
      </c>
      <c r="M84" s="12" t="n">
        <v>1551.047</v>
      </c>
      <c r="N84" s="12" t="n">
        <v>1646.593</v>
      </c>
      <c r="T84" s="12" t="n">
        <v>858.234</v>
      </c>
      <c r="U84" s="12" t="n">
        <v>995.992</v>
      </c>
      <c r="V84" s="12" t="n">
        <v>1142.776</v>
      </c>
      <c r="W84" s="12" t="n">
        <v>1366.507</v>
      </c>
      <c r="X84" s="12" t="n">
        <v>1646.593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653.782</v>
      </c>
      <c r="D86" s="22" t="n">
        <v>686.974</v>
      </c>
      <c r="E86" s="22" t="n">
        <v>693.23</v>
      </c>
      <c r="F86" s="22" t="n">
        <v>734.687</v>
      </c>
      <c r="G86" s="22" t="n">
        <v>711.271</v>
      </c>
      <c r="H86" s="22" t="n">
        <v>685.803</v>
      </c>
      <c r="I86" s="22" t="n">
        <v>708.947</v>
      </c>
      <c r="J86" s="22" t="n">
        <v>832.216</v>
      </c>
      <c r="K86" s="22" t="n">
        <v>875.615</v>
      </c>
      <c r="L86" s="22" t="n">
        <v>904.5700000000001</v>
      </c>
      <c r="M86" s="22" t="n">
        <v>948.809</v>
      </c>
      <c r="N86" s="22" t="n">
        <v>1068.836</v>
      </c>
      <c r="T86" s="22" t="n">
        <v>592.511</v>
      </c>
      <c r="U86" s="22" t="n">
        <v>662.8869999999999</v>
      </c>
      <c r="V86" s="22" t="n">
        <v>734.687</v>
      </c>
      <c r="W86" s="22" t="n">
        <v>832.216</v>
      </c>
      <c r="X86" s="22" t="n">
        <v>1068.836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389.334</v>
      </c>
      <c r="D88" s="12" t="n">
        <v>396.291</v>
      </c>
      <c r="E88" s="12" t="n">
        <v>459.561</v>
      </c>
      <c r="F88" s="12" t="n">
        <v>408.089</v>
      </c>
      <c r="G88" s="12" t="n">
        <v>436.242</v>
      </c>
      <c r="H88" s="12" t="n">
        <v>485.837</v>
      </c>
      <c r="I88" s="12" t="n">
        <v>528.076</v>
      </c>
      <c r="J88" s="12" t="n">
        <v>534.292</v>
      </c>
      <c r="K88" s="12" t="n">
        <v>535.687</v>
      </c>
      <c r="L88" s="12" t="n">
        <v>565.923</v>
      </c>
      <c r="M88" s="12" t="n">
        <v>602.2380000000001</v>
      </c>
      <c r="N88" s="12" t="n">
        <v>577.7569999999999</v>
      </c>
      <c r="T88" s="12" t="n">
        <v>265.724</v>
      </c>
      <c r="U88" s="12" t="n">
        <v>333.105</v>
      </c>
      <c r="V88" s="12" t="n">
        <v>408.089</v>
      </c>
      <c r="W88" s="12" t="n">
        <v>534.292</v>
      </c>
      <c r="X88" s="12" t="n">
        <v>577.7569999999999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437.648</v>
      </c>
      <c r="D90" s="22" t="n">
        <v>428.769</v>
      </c>
      <c r="E90" s="22" t="n">
        <v>411.668</v>
      </c>
      <c r="F90" s="22" t="n">
        <v>462.523</v>
      </c>
      <c r="G90" s="22" t="n">
        <v>384.291</v>
      </c>
      <c r="H90" s="22" t="n">
        <v>403.649</v>
      </c>
      <c r="I90" s="22" t="n">
        <v>394.129</v>
      </c>
      <c r="J90" s="22" t="n">
        <v>532.546</v>
      </c>
      <c r="K90" s="22" t="n">
        <v>425.846</v>
      </c>
      <c r="L90" s="22" t="n">
        <v>443.225</v>
      </c>
      <c r="M90" s="22" t="n">
        <v>403.755</v>
      </c>
      <c r="N90" s="22" t="n">
        <v>545.1319999999999</v>
      </c>
      <c r="T90" s="22" t="n">
        <v>351.701</v>
      </c>
      <c r="U90" s="22" t="n">
        <v>477.085</v>
      </c>
      <c r="V90" s="22" t="n">
        <v>462.523</v>
      </c>
      <c r="W90" s="22" t="n">
        <v>532.546</v>
      </c>
      <c r="X90" s="22" t="n">
        <v>545.1319999999999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-48.313</v>
      </c>
      <c r="D92" s="12" t="n">
        <v>-32.478</v>
      </c>
      <c r="E92" s="12" t="n">
        <v>47.892</v>
      </c>
      <c r="F92" s="12" t="n">
        <v>-54.433</v>
      </c>
      <c r="G92" s="12" t="n">
        <v>51.95</v>
      </c>
      <c r="H92" s="12" t="n">
        <v>82.188</v>
      </c>
      <c r="I92" s="12" t="n">
        <v>133.947</v>
      </c>
      <c r="J92" s="12" t="n">
        <v>1.746</v>
      </c>
      <c r="K92" s="12" t="n">
        <v>109.841</v>
      </c>
      <c r="L92" s="12" t="n">
        <v>122.697</v>
      </c>
      <c r="M92" s="12" t="n">
        <v>198.483</v>
      </c>
      <c r="N92" s="12" t="n">
        <v>32.625</v>
      </c>
      <c r="T92" s="12" t="n">
        <v>-85.97799999999999</v>
      </c>
      <c r="U92" s="12" t="n">
        <v>-143.981</v>
      </c>
      <c r="V92" s="12" t="n">
        <v>-54.433</v>
      </c>
      <c r="W92" s="12" t="n">
        <v>1.746</v>
      </c>
      <c r="X92" s="12" t="n">
        <v>32.625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E95" s="22" t="n">
        <v>-0.011</v>
      </c>
      <c r="F95" s="22" t="n">
        <v>0.251</v>
      </c>
      <c r="G95" s="22" t="n">
        <v>0</v>
      </c>
      <c r="H95" s="22" t="n">
        <v>1.157</v>
      </c>
      <c r="I95" s="22" t="n">
        <v>0.01</v>
      </c>
      <c r="J95" s="22" t="n">
        <v>2.519</v>
      </c>
      <c r="K95" s="22" t="n">
        <v>0.008999999999999999</v>
      </c>
      <c r="L95" s="22" t="n">
        <v>3.008</v>
      </c>
      <c r="M95" s="22" t="n">
        <v>0.012</v>
      </c>
      <c r="N95" s="22" t="n">
        <v>4.89</v>
      </c>
      <c r="V95" s="22" t="n">
        <v>0.251</v>
      </c>
      <c r="W95" s="22" t="n">
        <v>2.519</v>
      </c>
      <c r="X95" s="22" t="n">
        <v>4.89</v>
      </c>
    </row>
    <row r="96">
      <c r="A96" s="20" t="inlineStr">
        <is>
          <t>보조금 수입</t>
        </is>
      </c>
      <c r="C96" s="22" t="n">
        <v>0.112</v>
      </c>
      <c r="D96" s="22" t="n">
        <v>0.031</v>
      </c>
      <c r="E96" s="22" t="n">
        <v>0.312</v>
      </c>
      <c r="F96" s="22" t="n">
        <v>0.239</v>
      </c>
      <c r="G96" s="22" t="n">
        <v>0</v>
      </c>
      <c r="H96" s="22" t="n">
        <v>0</v>
      </c>
      <c r="I96" s="22" t="n">
        <v>0</v>
      </c>
      <c r="J96" s="22" t="n">
        <v>0.225</v>
      </c>
      <c r="T96" s="22" t="n">
        <v>0.348</v>
      </c>
      <c r="U96" s="22" t="n">
        <v>0.246</v>
      </c>
      <c r="V96" s="22" t="n">
        <v>0.239</v>
      </c>
      <c r="W96" s="22" t="n">
        <v>0.225</v>
      </c>
    </row>
    <row r="97">
      <c r="A97" s="20" t="inlineStr">
        <is>
          <t>사업재편비용충당금 환입이익</t>
        </is>
      </c>
      <c r="F97" s="22" t="n">
        <v>0</v>
      </c>
      <c r="J97" s="22" t="n">
        <v>0</v>
      </c>
      <c r="N97" s="22" t="n">
        <v>0</v>
      </c>
      <c r="V97" s="22" t="n">
        <v>0</v>
      </c>
      <c r="W97" s="22" t="n">
        <v>0</v>
      </c>
      <c r="X97" s="22" t="n">
        <v>0</v>
      </c>
    </row>
    <row r="98">
      <c r="A98" s="20" t="inlineStr">
        <is>
          <t>포인트 환원 수입</t>
        </is>
      </c>
      <c r="G98" s="22" t="n">
        <v>0.615</v>
      </c>
      <c r="H98" s="22" t="n">
        <v>0.496</v>
      </c>
      <c r="I98" s="22" t="n">
        <v>0.537</v>
      </c>
      <c r="J98" s="22" t="n">
        <v>0.573</v>
      </c>
      <c r="K98" s="22" t="n">
        <v>0.629</v>
      </c>
      <c r="L98" s="22" t="n">
        <v>0.578</v>
      </c>
      <c r="M98" s="22" t="n">
        <v>0.802</v>
      </c>
      <c r="N98" s="22" t="n">
        <v>0.332</v>
      </c>
      <c r="W98" s="22" t="n">
        <v>0.573</v>
      </c>
      <c r="X98" s="22" t="n">
        <v>0.332</v>
      </c>
    </row>
    <row r="99">
      <c r="A99" s="20" t="inlineStr">
        <is>
          <t>기타</t>
        </is>
      </c>
      <c r="C99" s="22" t="n">
        <v>0.042</v>
      </c>
      <c r="D99" s="22" t="n">
        <v>0.03</v>
      </c>
      <c r="E99" s="22" t="n">
        <v>0.473</v>
      </c>
      <c r="F99" s="22" t="n">
        <v>1.058</v>
      </c>
      <c r="G99" s="22" t="n">
        <v>0.045</v>
      </c>
      <c r="H99" s="22" t="n">
        <v>0.977</v>
      </c>
      <c r="I99" s="22" t="n">
        <v>0.442</v>
      </c>
      <c r="J99" s="22" t="n">
        <v>0.113</v>
      </c>
      <c r="K99" s="22" t="n">
        <v>0.327</v>
      </c>
      <c r="L99" s="22" t="n">
        <v>0.13</v>
      </c>
      <c r="M99" s="22" t="n">
        <v>0.399</v>
      </c>
      <c r="N99" s="22" t="n">
        <v>0</v>
      </c>
      <c r="T99" s="22" t="n">
        <v>0.03</v>
      </c>
      <c r="U99" s="22" t="n">
        <v>-0.063</v>
      </c>
      <c r="V99" s="22" t="n">
        <v>1.058</v>
      </c>
      <c r="W99" s="22" t="n">
        <v>0.113</v>
      </c>
      <c r="X99" s="22" t="n">
        <v>0</v>
      </c>
    </row>
    <row r="100">
      <c r="A100" s="20" t="inlineStr">
        <is>
          <t>영업외수익 합계</t>
        </is>
      </c>
      <c r="C100" s="22" t="n">
        <v>0.154</v>
      </c>
      <c r="D100" s="22" t="n">
        <v>0.073</v>
      </c>
      <c r="E100" s="22" t="n">
        <v>0.774</v>
      </c>
      <c r="F100" s="22" t="n">
        <v>1.549</v>
      </c>
      <c r="G100" s="22" t="n">
        <v>0.661</v>
      </c>
      <c r="H100" s="22" t="n">
        <v>6.443</v>
      </c>
      <c r="I100" s="22" t="n">
        <v>0.99</v>
      </c>
      <c r="J100" s="22" t="n">
        <v>3.43</v>
      </c>
      <c r="K100" s="22" t="n">
        <v>0.965</v>
      </c>
      <c r="L100" s="22" t="n">
        <v>3.717</v>
      </c>
      <c r="M100" s="22" t="n">
        <v>1.213</v>
      </c>
      <c r="N100" s="22" t="n">
        <v>5.222</v>
      </c>
      <c r="T100" s="22" t="n">
        <v>0.378</v>
      </c>
      <c r="U100" s="22" t="n">
        <v>0.183</v>
      </c>
      <c r="V100" s="22" t="n">
        <v>1.549</v>
      </c>
      <c r="W100" s="22" t="n">
        <v>3.43</v>
      </c>
      <c r="X100" s="22" t="n">
        <v>5.222</v>
      </c>
    </row>
    <row r="101">
      <c r="A101" s="45" t="inlineStr">
        <is>
          <t>YoY</t>
        </is>
      </c>
      <c r="B101" s="3" t="inlineStr">
        <is>
          <t>전년 같은 분기·전년 대비</t>
        </is>
      </c>
      <c r="G101" s="17">
        <f>IF(OR(G100="",C100=""),"",IF(G100*C100&lt;=0,"",IFERROR(G100/C100-1,"")))</f>
        <v/>
      </c>
      <c r="H101" s="17">
        <f>IF(OR(H100="",D100=""),"",IF(H100*D100&lt;=0,"",IFERROR(H100/D100-1,"")))</f>
        <v/>
      </c>
      <c r="I101" s="17">
        <f>IF(OR(I100="",E100=""),"",IF(I100*E100&lt;=0,"",IFERROR(I100/E100-1,"")))</f>
        <v/>
      </c>
      <c r="J101" s="17">
        <f>IF(OR(J100="",F100=""),"",IF(J100*F100&lt;=0,"",IFERROR(J100/F100-1,"")))</f>
        <v/>
      </c>
      <c r="K101" s="17">
        <f>IF(OR(K100="",G100=""),"",IF(K100*G100&lt;=0,"",IFERROR(K100/G100-1,"")))</f>
        <v/>
      </c>
      <c r="L101" s="17">
        <f>IF(OR(L100="",H100=""),"",IF(L100*H100&lt;=0,"",IFERROR(L100/H100-1,"")))</f>
        <v/>
      </c>
      <c r="M101" s="17">
        <f>IF(OR(M100="",I100=""),"",IF(M100*I100&lt;=0,"",IFERROR(M100/I100-1,"")))</f>
        <v/>
      </c>
      <c r="N101" s="17">
        <f>IF(OR(N100="",J100=""),"",IF(N100*J100&lt;=0,"",IFERROR(N100/J100-1,"")))</f>
        <v/>
      </c>
      <c r="T101" s="17">
        <f>IF(OR(T100="",S100=""),"",IF(T100*S100&lt;=0,"",IFERROR(T100/S100-1,"")))</f>
        <v/>
      </c>
      <c r="U101" s="17">
        <f>IF(OR(U100="",T100=""),"",IF(U100*T100&lt;=0,"",IFERROR(U100/T100-1,"")))</f>
        <v/>
      </c>
      <c r="V101" s="17">
        <f>IF(OR(V100="",U100=""),"",IF(V100*U100&lt;=0,"",IFERROR(V100/U100-1,"")))</f>
        <v/>
      </c>
      <c r="W101" s="17">
        <f>IF(OR(W100="",V100=""),"",IF(W100*V100&lt;=0,"",IFERROR(W100/V100-1,"")))</f>
        <v/>
      </c>
      <c r="X101" s="17">
        <f>IF(OR(X100="",W100=""),"",IF(X100*W100&lt;=0,"",IFERROR(X100/W100-1,"")))</f>
        <v/>
      </c>
    </row>
    <row r="102">
      <c r="A102" s="20" t="inlineStr">
        <is>
          <t>이자비용</t>
        </is>
      </c>
      <c r="F102" s="22" t="n">
        <v>0</v>
      </c>
      <c r="J102" s="22" t="n">
        <v>0</v>
      </c>
      <c r="N102" s="22" t="n">
        <v>2.726</v>
      </c>
      <c r="V102" s="22" t="n">
        <v>0</v>
      </c>
      <c r="W102" s="22" t="n">
        <v>0</v>
      </c>
      <c r="X102" s="22" t="n">
        <v>2.726</v>
      </c>
    </row>
    <row r="103">
      <c r="A103" s="20" t="inlineStr">
        <is>
          <t>외환차손</t>
        </is>
      </c>
      <c r="C103" s="22" t="n">
        <v>1.07</v>
      </c>
      <c r="D103" s="22" t="n">
        <v>0.836</v>
      </c>
      <c r="E103" s="22" t="n">
        <v>1.839</v>
      </c>
      <c r="F103" s="22" t="n">
        <v>-0.093</v>
      </c>
      <c r="G103" s="22" t="n">
        <v>0.8120000000000001</v>
      </c>
      <c r="H103" s="22" t="n">
        <v>0.001</v>
      </c>
      <c r="I103" s="22" t="n">
        <v>0.404</v>
      </c>
      <c r="J103" s="22" t="n">
        <v>0.158</v>
      </c>
      <c r="K103" s="22" t="n">
        <v>0.495</v>
      </c>
      <c r="L103" s="22" t="n">
        <v>0.132</v>
      </c>
      <c r="M103" s="22" t="n">
        <v>0.118</v>
      </c>
      <c r="N103" s="22" t="n">
        <v>0.134</v>
      </c>
      <c r="T103" s="22" t="n">
        <v>2.391</v>
      </c>
      <c r="U103" s="22" t="n">
        <v>2.565</v>
      </c>
      <c r="V103" s="22" t="n">
        <v>-0.093</v>
      </c>
      <c r="W103" s="22" t="n">
        <v>0.158</v>
      </c>
      <c r="X103" s="22" t="n">
        <v>0.134</v>
      </c>
    </row>
    <row r="104">
      <c r="A104" s="20" t="inlineStr">
        <is>
          <t>주식교부비</t>
        </is>
      </c>
      <c r="E104" s="22" t="n">
        <v>0</v>
      </c>
      <c r="F104" s="22" t="n">
        <v>0</v>
      </c>
      <c r="I104" s="22" t="n">
        <v>0</v>
      </c>
      <c r="J104" s="22" t="n">
        <v>0</v>
      </c>
      <c r="M104" s="22" t="n">
        <v>0</v>
      </c>
      <c r="N104" s="22" t="n">
        <v>0</v>
      </c>
      <c r="T104" s="22" t="n">
        <v>0</v>
      </c>
      <c r="U104" s="22" t="n">
        <v>0</v>
      </c>
      <c r="V104" s="22" t="n">
        <v>0</v>
      </c>
      <c r="W104" s="22" t="n">
        <v>0</v>
      </c>
      <c r="X104" s="22" t="n">
        <v>0</v>
      </c>
    </row>
    <row r="105">
      <c r="A105" s="20" t="inlineStr">
        <is>
          <t>소비세 등 차액</t>
        </is>
      </c>
      <c r="G105" s="22" t="n">
        <v>0.07000000000000001</v>
      </c>
      <c r="H105" s="22" t="n">
        <v>0</v>
      </c>
      <c r="I105" s="22" t="n">
        <v>0</v>
      </c>
      <c r="J105" s="22" t="n">
        <v>-0.07000000000000001</v>
      </c>
      <c r="K105" s="22" t="n">
        <v>1.277</v>
      </c>
      <c r="L105" s="22" t="n">
        <v>0</v>
      </c>
      <c r="M105" s="22" t="n">
        <v>0.011</v>
      </c>
      <c r="N105" s="22" t="n">
        <v>0</v>
      </c>
      <c r="W105" s="22" t="n">
        <v>-0.07000000000000001</v>
      </c>
      <c r="X105" s="22" t="n">
        <v>0</v>
      </c>
    </row>
    <row r="106">
      <c r="A106" s="20" t="inlineStr">
        <is>
          <t>기타</t>
        </is>
      </c>
      <c r="C106" s="22" t="n">
        <v>0.002</v>
      </c>
      <c r="D106" s="22" t="n">
        <v>0</v>
      </c>
      <c r="E106" s="22" t="n">
        <v>0.057</v>
      </c>
      <c r="F106" s="22" t="n">
        <v>0.006</v>
      </c>
      <c r="G106" s="22" t="n">
        <v>0.007</v>
      </c>
      <c r="H106" s="22" t="n">
        <v>0.078</v>
      </c>
      <c r="I106" s="22" t="n">
        <v>0</v>
      </c>
      <c r="J106" s="22" t="n">
        <v>0.213</v>
      </c>
      <c r="K106" s="22" t="n">
        <v>0</v>
      </c>
      <c r="L106" s="22" t="n">
        <v>0.892</v>
      </c>
      <c r="M106" s="22" t="n">
        <v>0.144</v>
      </c>
      <c r="N106" s="22" t="n">
        <v>0.008</v>
      </c>
      <c r="T106" s="22" t="n">
        <v>0.06</v>
      </c>
      <c r="U106" s="22" t="n">
        <v>0</v>
      </c>
      <c r="V106" s="22" t="n">
        <v>0.006</v>
      </c>
      <c r="W106" s="22" t="n">
        <v>0.213</v>
      </c>
      <c r="X106" s="22" t="n">
        <v>0.008</v>
      </c>
    </row>
    <row r="107">
      <c r="A107" s="20" t="inlineStr">
        <is>
          <t>영업외비용 합계</t>
        </is>
      </c>
      <c r="C107" s="22" t="n">
        <v>1.072</v>
      </c>
      <c r="D107" s="22" t="n">
        <v>1.465</v>
      </c>
      <c r="E107" s="22" t="n">
        <v>1.897</v>
      </c>
      <c r="F107" s="22" t="n">
        <v>-0.08799999999999999</v>
      </c>
      <c r="G107" s="22" t="n">
        <v>0.89</v>
      </c>
      <c r="H107" s="22" t="n">
        <v>1.662</v>
      </c>
      <c r="I107" s="22" t="n">
        <v>0.635</v>
      </c>
      <c r="J107" s="22" t="n">
        <v>0.3</v>
      </c>
      <c r="K107" s="22" t="n">
        <v>1.773</v>
      </c>
      <c r="L107" s="22" t="n">
        <v>3.338</v>
      </c>
      <c r="M107" s="22" t="n">
        <v>2.209</v>
      </c>
      <c r="N107" s="22" t="n">
        <v>2.869</v>
      </c>
      <c r="T107" s="22" t="n">
        <v>2.45</v>
      </c>
      <c r="U107" s="22" t="n">
        <v>2.565</v>
      </c>
      <c r="V107" s="22" t="n">
        <v>-0.08799999999999999</v>
      </c>
      <c r="W107" s="22" t="n">
        <v>0.3</v>
      </c>
      <c r="X107" s="22" t="n">
        <v>2.869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IF(OR(G107="",C107=""),"",IF(G107*C107&lt;=0,"",IFERROR(G107/C107-1,"")))</f>
        <v/>
      </c>
      <c r="H108" s="17">
        <f>IF(OR(H107="",D107=""),"",IF(H107*D107&lt;=0,"",IFERROR(H107/D107-1,"")))</f>
        <v/>
      </c>
      <c r="I108" s="17">
        <f>IF(OR(I107="",E107=""),"",IF(I107*E107&lt;=0,"",IFERROR(I107/E107-1,"")))</f>
        <v/>
      </c>
      <c r="J108" s="17">
        <f>IF(OR(J107="",F107=""),"",IF(J107*F107&lt;=0,"",IFERROR(J107/F107-1,"")))</f>
        <v/>
      </c>
      <c r="K108" s="17">
        <f>IF(OR(K107="",G107=""),"",IF(K107*G107&lt;=0,"",IFERROR(K107/G107-1,"")))</f>
        <v/>
      </c>
      <c r="L108" s="17">
        <f>IF(OR(L107="",H107=""),"",IF(L107*H107&lt;=0,"",IFERROR(L107/H107-1,"")))</f>
        <v/>
      </c>
      <c r="M108" s="17">
        <f>IF(OR(M107="",I107=""),"",IF(M107*I107&lt;=0,"",IFERROR(M107/I107-1,"")))</f>
        <v/>
      </c>
      <c r="N108" s="17">
        <f>IF(OR(N107="",J107=""),"",IF(N107*J107&lt;=0,"",IFERROR(N107/J107-1,"")))</f>
        <v/>
      </c>
      <c r="T108" s="17">
        <f>IF(OR(T107="",S107=""),"",IF(T107*S107&lt;=0,"",IFERROR(T107/S107-1,"")))</f>
        <v/>
      </c>
      <c r="U108" s="17">
        <f>IF(OR(U107="",T107=""),"",IF(U107*T107&lt;=0,"",IFERROR(U107/T107-1,"")))</f>
        <v/>
      </c>
      <c r="V108" s="17">
        <f>IF(OR(V107="",U107=""),"",IF(V107*U107&lt;=0,"",IFERROR(V107/U107-1,"")))</f>
        <v/>
      </c>
      <c r="W108" s="17">
        <f>IF(OR(W107="",V107=""),"",IF(W107*V107&lt;=0,"",IFERROR(W107/V107-1,"")))</f>
        <v/>
      </c>
      <c r="X108" s="17">
        <f>IF(OR(X107="",W107=""),"",IF(X107*W107&lt;=0,"",IFERROR(X107/W107-1,"")))</f>
        <v/>
      </c>
    </row>
    <row r="109">
      <c r="A109" s="9" t="inlineStr">
        <is>
          <t>경상이익</t>
        </is>
      </c>
      <c r="C109" s="12" t="n">
        <v>-49.231</v>
      </c>
      <c r="D109" s="12" t="n">
        <v>-33.87</v>
      </c>
      <c r="E109" s="12" t="n">
        <v>46.769</v>
      </c>
      <c r="F109" s="12" t="n">
        <v>-52.796</v>
      </c>
      <c r="G109" s="12" t="n">
        <v>51.72</v>
      </c>
      <c r="H109" s="12" t="n">
        <v>86.97</v>
      </c>
      <c r="I109" s="12" t="n">
        <v>134.302</v>
      </c>
      <c r="J109" s="12" t="n">
        <v>4.877</v>
      </c>
      <c r="K109" s="12" t="n">
        <v>109.034</v>
      </c>
      <c r="L109" s="12" t="n">
        <v>123.075</v>
      </c>
      <c r="M109" s="12" t="n">
        <v>197.487</v>
      </c>
      <c r="N109" s="12" t="n">
        <v>34.979</v>
      </c>
      <c r="T109" s="12" t="n">
        <v>-88.051</v>
      </c>
      <c r="U109" s="12" t="n">
        <v>-146.363</v>
      </c>
      <c r="V109" s="12" t="n">
        <v>-52.796</v>
      </c>
      <c r="W109" s="12" t="n">
        <v>4.877</v>
      </c>
      <c r="X109" s="12" t="n">
        <v>34.979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IF(OR(G109="",C109=""),"",IF(C109&lt;=0,"",IFERROR(G109/C109-1,"")))</f>
        <v/>
      </c>
      <c r="H110" s="17">
        <f>IF(OR(H109="",D109=""),"",IF(D109&lt;=0,"",IFERROR(H109/D109-1,"")))</f>
        <v/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T110" s="17">
        <f>IF(OR(T109="",S109=""),"",IF(S109&lt;=0,"",IFERROR(T109/S109-1,"")))</f>
        <v/>
      </c>
      <c r="U110" s="17">
        <f>IF(OR(U109="",T109=""),"",IF(T109&lt;=0,"",IFERROR(U109/T109-1,"")))</f>
        <v/>
      </c>
      <c r="V110" s="17">
        <f>IF(OR(V109="",U109=""),"",IF(U109&lt;=0,"",IFERROR(V109/U109-1,"")))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1">
      <c r="A111" s="20" t="inlineStr">
        <is>
          <t>투자유가증권 평가손실</t>
        </is>
      </c>
      <c r="F111" s="22" t="n">
        <v>0</v>
      </c>
      <c r="T111" s="22" t="n">
        <v>0</v>
      </c>
      <c r="U111" s="22" t="n">
        <v>-0.001</v>
      </c>
      <c r="V111" s="22" t="n">
        <v>0</v>
      </c>
    </row>
    <row r="112">
      <c r="A112" s="20" t="inlineStr">
        <is>
          <t>본사 이전 비용</t>
        </is>
      </c>
      <c r="F112" s="22" t="n">
        <v>0</v>
      </c>
      <c r="T112" s="22" t="n">
        <v>0</v>
      </c>
      <c r="U112" s="22" t="n">
        <v>0</v>
      </c>
      <c r="V112" s="22" t="n">
        <v>0</v>
      </c>
    </row>
    <row r="113">
      <c r="A113" s="20" t="inlineStr">
        <is>
          <t>특별손실 합계</t>
        </is>
      </c>
      <c r="F113" s="22" t="n">
        <v>112.597</v>
      </c>
      <c r="T113" s="22" t="n">
        <v>0</v>
      </c>
      <c r="U113" s="22" t="n">
        <v>0</v>
      </c>
      <c r="V113" s="22" t="n">
        <v>112.597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T114" s="17">
        <f>IF(OR(T113="",S113=""),"",IF(T113*S113&lt;=0,"",IFERROR(T113/S113-1,"")))</f>
        <v/>
      </c>
      <c r="U114" s="17">
        <f>IF(OR(U113="",T113=""),"",IF(U113*T113&lt;=0,"",IFERROR(U113/T113-1,"")))</f>
        <v/>
      </c>
      <c r="V114" s="17">
        <f>IF(OR(V113="",U113=""),"",IF(V113*U113&lt;=0,"",IFERROR(V113/U113-1,"")))</f>
        <v/>
      </c>
    </row>
    <row r="115">
      <c r="A115" s="9" t="inlineStr">
        <is>
          <t>법인세차감전 순이익</t>
        </is>
      </c>
      <c r="C115" s="12" t="n">
        <v>-49.231</v>
      </c>
      <c r="D115" s="12" t="n">
        <v>-33.87</v>
      </c>
      <c r="E115" s="12" t="n">
        <v>46.769</v>
      </c>
      <c r="F115" s="12" t="n">
        <v>-165.394</v>
      </c>
      <c r="G115" s="12" t="n">
        <v>51.72</v>
      </c>
      <c r="H115" s="12" t="n">
        <v>86.97</v>
      </c>
      <c r="I115" s="12" t="n">
        <v>134.302</v>
      </c>
      <c r="J115" s="12" t="n">
        <v>4.877</v>
      </c>
      <c r="K115" s="12" t="n">
        <v>109.034</v>
      </c>
      <c r="L115" s="12" t="n">
        <v>123.075</v>
      </c>
      <c r="M115" s="12" t="n">
        <v>197.487</v>
      </c>
      <c r="N115" s="12" t="n">
        <v>33.793</v>
      </c>
      <c r="T115" s="12" t="n">
        <v>-88.051</v>
      </c>
      <c r="U115" s="12" t="n">
        <v>-146.362</v>
      </c>
      <c r="V115" s="12" t="n">
        <v>-165.394</v>
      </c>
      <c r="W115" s="12" t="n">
        <v>4.877</v>
      </c>
      <c r="X115" s="12" t="n">
        <v>33.793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IF(OR(G115="",C115=""),"",IF(C115&lt;=0,"",IFERROR(G115/C115-1,"")))</f>
        <v/>
      </c>
      <c r="H116" s="17">
        <f>IF(OR(H115="",D115=""),"",IF(D115&lt;=0,"",IFERROR(H115/D115-1,"")))</f>
        <v/>
      </c>
      <c r="I116" s="17">
        <f>IF(OR(I115="",E115=""),"",IF(E115&lt;=0,"",IFERROR(I115/E115-1,"")))</f>
        <v/>
      </c>
      <c r="J116" s="17">
        <f>IF(OR(J115="",F115=""),"",IF(F115&lt;=0,"",IFERROR(J115/F115-1,"")))</f>
        <v/>
      </c>
      <c r="K116" s="17">
        <f>IF(OR(K115="",G115=""),"",IF(G115&lt;=0,"",IFERROR(K115/G115-1,"")))</f>
        <v/>
      </c>
      <c r="L116" s="17">
        <f>IF(OR(L115="",H115=""),"",IF(H115&lt;=0,"",IFERROR(L115/H115-1,"")))</f>
        <v/>
      </c>
      <c r="M116" s="17">
        <f>IF(OR(M115="",I115=""),"",IF(I115&lt;=0,"",IFERROR(M115/I115-1,"")))</f>
        <v/>
      </c>
      <c r="N116" s="17">
        <f>IF(OR(N115="",J115=""),"",IF(J115&lt;=0,"",IFERROR(N115/J115-1,"")))</f>
        <v/>
      </c>
      <c r="T116" s="17">
        <f>IF(OR(T115="",S115=""),"",IF(S115&lt;=0,"",IFERROR(T115/S115-1,"")))</f>
        <v/>
      </c>
      <c r="U116" s="17">
        <f>IF(OR(U115="",T115=""),"",IF(T115&lt;=0,"",IFERROR(U115/T115-1,"")))</f>
        <v/>
      </c>
      <c r="V116" s="17">
        <f>IF(OR(V115="",U115=""),"",IF(U115&lt;=0,"",IFERROR(V115/U115-1,"")))</f>
        <v/>
      </c>
      <c r="W116" s="17">
        <f>IF(OR(W115="",V115=""),"",IF(V115&lt;=0,"",IFERROR(W115/V115-1,"")))</f>
        <v/>
      </c>
      <c r="X116" s="17">
        <f>IF(OR(X115="",W115=""),"",IF(W115&lt;=0,"",IFERROR(X115/W115-1,"")))</f>
        <v/>
      </c>
    </row>
    <row r="117">
      <c r="A117" s="20" t="inlineStr">
        <is>
          <t>법인세·주민세·사업세</t>
        </is>
      </c>
      <c r="C117" s="22" t="n">
        <v>1.334</v>
      </c>
      <c r="D117" s="22" t="n">
        <v>-0.57</v>
      </c>
      <c r="E117" s="22" t="n">
        <v>1.133</v>
      </c>
      <c r="F117" s="22" t="n">
        <v>17.012</v>
      </c>
      <c r="G117" s="22" t="n">
        <v>11.711</v>
      </c>
      <c r="H117" s="22" t="n">
        <v>29.96</v>
      </c>
      <c r="I117" s="22" t="n">
        <v>30.322</v>
      </c>
      <c r="J117" s="22" t="n">
        <v>33.947</v>
      </c>
      <c r="K117" s="22" t="n">
        <v>2.304</v>
      </c>
      <c r="L117" s="22" t="n">
        <v>30.163</v>
      </c>
      <c r="M117" s="22" t="n">
        <v>48.505</v>
      </c>
      <c r="N117" s="22" t="n">
        <v>27.108</v>
      </c>
      <c r="T117" s="22" t="n">
        <v>-28.008</v>
      </c>
      <c r="U117" s="22" t="n">
        <v>-18.285</v>
      </c>
      <c r="V117" s="22" t="n">
        <v>17.012</v>
      </c>
      <c r="W117" s="22" t="n">
        <v>33.947</v>
      </c>
      <c r="X117" s="22" t="n">
        <v>27.108</v>
      </c>
    </row>
    <row r="118">
      <c r="A118" s="20" t="inlineStr">
        <is>
          <t>법인세 조정액</t>
        </is>
      </c>
      <c r="C118" s="22" t="n">
        <v>-15.439</v>
      </c>
      <c r="D118" s="22" t="n">
        <v>-5.272</v>
      </c>
      <c r="E118" s="22" t="n">
        <v>17.373</v>
      </c>
      <c r="F118" s="22" t="n">
        <v>-37.197</v>
      </c>
      <c r="G118" s="22" t="n">
        <v>2.205</v>
      </c>
      <c r="H118" s="22" t="n">
        <v>-15.26</v>
      </c>
      <c r="I118" s="22" t="n">
        <v>-11.527</v>
      </c>
      <c r="J118" s="22" t="n">
        <v>-166.148</v>
      </c>
      <c r="K118" s="22" t="n">
        <v>29.306</v>
      </c>
      <c r="L118" s="22" t="n">
        <v>12.362</v>
      </c>
      <c r="M118" s="22" t="n">
        <v>12.446</v>
      </c>
      <c r="N118" s="22" t="n">
        <v>-50.209</v>
      </c>
      <c r="T118" s="22" t="n">
        <v>-30.037</v>
      </c>
      <c r="U118" s="22" t="n">
        <v>-30.035</v>
      </c>
      <c r="V118" s="22" t="n">
        <v>-37.197</v>
      </c>
      <c r="W118" s="22" t="n">
        <v>-166.148</v>
      </c>
      <c r="X118" s="22" t="n">
        <v>-50.209</v>
      </c>
    </row>
    <row r="119">
      <c r="A119" s="20" t="inlineStr">
        <is>
          <t>법인세 등 합계</t>
        </is>
      </c>
      <c r="C119" s="22" t="n">
        <v>-14.104</v>
      </c>
      <c r="D119" s="22" t="n">
        <v>-5.842</v>
      </c>
      <c r="E119" s="22" t="n">
        <v>18.506</v>
      </c>
      <c r="F119" s="22" t="n">
        <v>-20.186</v>
      </c>
      <c r="G119" s="22" t="n">
        <v>13.917</v>
      </c>
      <c r="H119" s="22" t="n">
        <v>14.699</v>
      </c>
      <c r="I119" s="22" t="n">
        <v>18.795</v>
      </c>
      <c r="J119" s="22" t="n">
        <v>-132.2</v>
      </c>
      <c r="K119" s="22" t="n">
        <v>31.61</v>
      </c>
      <c r="L119" s="22" t="n">
        <v>42.526</v>
      </c>
      <c r="M119" s="22" t="n">
        <v>60.95</v>
      </c>
      <c r="N119" s="22" t="n">
        <v>-23.101</v>
      </c>
      <c r="T119" s="22" t="n">
        <v>-58.043</v>
      </c>
      <c r="U119" s="22" t="n">
        <v>-48.319</v>
      </c>
      <c r="V119" s="22" t="n">
        <v>-20.186</v>
      </c>
      <c r="W119" s="22" t="n">
        <v>-132.2</v>
      </c>
      <c r="X119" s="22" t="n">
        <v>-23.101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G120" s="17">
        <f>IF(OR(G119="",C119=""),"",IF(G119*C119&lt;=0,"",IFERROR(G119/C119-1,"")))</f>
        <v/>
      </c>
      <c r="H120" s="17">
        <f>IF(OR(H119="",D119=""),"",IF(H119*D119&lt;=0,"",IFERROR(H119/D119-1,"")))</f>
        <v/>
      </c>
      <c r="I120" s="17">
        <f>IF(OR(I119="",E119=""),"",IF(I119*E119&lt;=0,"",IFERROR(I119/E119-1,"")))</f>
        <v/>
      </c>
      <c r="J120" s="17">
        <f>IF(OR(J119="",F119=""),"",IF(J119*F119&lt;=0,"",IFERROR(J119/F119-1,"")))</f>
        <v/>
      </c>
      <c r="K120" s="17">
        <f>IF(OR(K119="",G119=""),"",IF(K119*G119&lt;=0,"",IFERROR(K119/G119-1,"")))</f>
        <v/>
      </c>
      <c r="L120" s="17">
        <f>IF(OR(L119="",H119=""),"",IF(L119*H119&lt;=0,"",IFERROR(L119/H119-1,"")))</f>
        <v/>
      </c>
      <c r="M120" s="17">
        <f>IF(OR(M119="",I119=""),"",IF(M119*I119&lt;=0,"",IFERROR(M119/I119-1,"")))</f>
        <v/>
      </c>
      <c r="N120" s="17">
        <f>IF(OR(N119="",J119=""),"",IF(N119*J119&lt;=0,"",IFERROR(N119/J119-1,"")))</f>
        <v/>
      </c>
      <c r="T120" s="17">
        <f>IF(OR(T119="",S119=""),"",IF(T119*S119&lt;=0,"",IFERROR(T119/S119-1,"")))</f>
        <v/>
      </c>
      <c r="U120" s="17">
        <f>IF(OR(U119="",T119=""),"",IF(U119*T119&lt;=0,"",IFERROR(U119/T119-1,"")))</f>
        <v/>
      </c>
      <c r="V120" s="17">
        <f>IF(OR(V119="",U119=""),"",IF(V119*U119&lt;=0,"",IFERROR(V119/U119-1,"")))</f>
        <v/>
      </c>
      <c r="W120" s="17">
        <f>IF(OR(W119="",V119=""),"",IF(W119*V119&lt;=0,"",IFERROR(W119/V119-1,"")))</f>
        <v/>
      </c>
      <c r="X120" s="17">
        <f>IF(OR(X119="",W119=""),"",IF(X119*W119&lt;=0,"",IFERROR(X119/W119-1,"")))</f>
        <v/>
      </c>
    </row>
    <row r="121">
      <c r="A121" s="9" t="inlineStr">
        <is>
          <t>순이익</t>
        </is>
      </c>
      <c r="C121" s="12" t="n">
        <v>-35.127</v>
      </c>
      <c r="D121" s="12" t="n">
        <v>-28.028</v>
      </c>
      <c r="E121" s="12" t="n">
        <v>28.264</v>
      </c>
      <c r="F121" s="12" t="n">
        <v>-145.209</v>
      </c>
      <c r="G121" s="12" t="n">
        <v>37.803</v>
      </c>
      <c r="H121" s="12" t="n">
        <v>72.271</v>
      </c>
      <c r="I121" s="12" t="n">
        <v>115.506</v>
      </c>
      <c r="J121" s="12" t="n">
        <v>137.079</v>
      </c>
      <c r="K121" s="12" t="n">
        <v>77.423</v>
      </c>
      <c r="L121" s="12" t="n">
        <v>80.54900000000001</v>
      </c>
      <c r="M121" s="12" t="n">
        <v>136.538</v>
      </c>
      <c r="N121" s="12" t="n">
        <v>56.893</v>
      </c>
      <c r="T121" s="12" t="n">
        <v>-30.007</v>
      </c>
      <c r="U121" s="12" t="n">
        <v>-98.042</v>
      </c>
      <c r="V121" s="12" t="n">
        <v>-145.209</v>
      </c>
      <c r="W121" s="12" t="n">
        <v>137.079</v>
      </c>
      <c r="X121" s="12" t="n">
        <v>56.893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G122" s="17">
        <f>IF(OR(G121="",C121=""),"",IF(C121&lt;=0,"",IFERROR(G121/C121-1,"")))</f>
        <v/>
      </c>
      <c r="H122" s="17">
        <f>IF(OR(H121="",D121=""),"",IF(D121&lt;=0,"",IFERROR(H121/D121-1,"")))</f>
        <v/>
      </c>
      <c r="I122" s="17">
        <f>IF(OR(I121="",E121=""),"",IF(E121&lt;=0,"",IFERROR(I121/E121-1,"")))</f>
        <v/>
      </c>
      <c r="J122" s="17">
        <f>IF(OR(J121="",F121=""),"",IF(F121&lt;=0,"",IFERROR(J121/F121-1,"")))</f>
        <v/>
      </c>
      <c r="K122" s="17">
        <f>IF(OR(K121="",G121=""),"",IF(G121&lt;=0,"",IFERROR(K121/G121-1,"")))</f>
        <v/>
      </c>
      <c r="L122" s="17">
        <f>IF(OR(L121="",H121=""),"",IF(H121&lt;=0,"",IFERROR(L121/H121-1,"")))</f>
        <v/>
      </c>
      <c r="M122" s="17">
        <f>IF(OR(M121="",I121=""),"",IF(I121&lt;=0,"",IFERROR(M121/I121-1,"")))</f>
        <v/>
      </c>
      <c r="N122" s="17">
        <f>IF(OR(N121="",J121=""),"",IF(J121&lt;=0,"",IFERROR(N121/J121-1,"")))</f>
        <v/>
      </c>
      <c r="T122" s="17">
        <f>IF(OR(T121="",S121=""),"",IF(S121&lt;=0,"",IFERROR(T121/S121-1,"")))</f>
        <v/>
      </c>
      <c r="U122" s="17">
        <f>IF(OR(U121="",T121=""),"",IF(T121&lt;=0,"",IFERROR(U121/T121-1,"")))</f>
        <v/>
      </c>
      <c r="V122" s="17">
        <f>IF(OR(V121="",U121=""),"",IF(U121&lt;=0,"",IFERROR(V121/U121-1,"")))</f>
        <v/>
      </c>
      <c r="W122" s="17">
        <f>IF(OR(W121="",V121=""),"",IF(V121&lt;=0,"",IFERROR(W121/V121-1,"")))</f>
        <v/>
      </c>
      <c r="X122" s="17">
        <f>IF(OR(X121="",W121=""),"",IF(W121&lt;=0,"",IFERROR(X121/W121-1,"")))</f>
        <v/>
      </c>
    </row>
    <row r="123">
      <c r="A123" s="9" t="inlineStr">
        <is>
          <t>지배주주 순이익</t>
        </is>
      </c>
      <c r="C123" s="12" t="n">
        <v>-35.127</v>
      </c>
      <c r="D123" s="12" t="n">
        <v>-28.028</v>
      </c>
      <c r="E123" s="12" t="n">
        <v>28.264</v>
      </c>
      <c r="F123" s="12" t="n">
        <v>-145.209</v>
      </c>
      <c r="G123" s="12" t="n">
        <v>37.803</v>
      </c>
      <c r="H123" s="12" t="n">
        <v>72.271</v>
      </c>
      <c r="I123" s="12" t="n">
        <v>115.506</v>
      </c>
      <c r="J123" s="12" t="n">
        <v>137.079</v>
      </c>
      <c r="K123" s="12" t="n">
        <v>77.423</v>
      </c>
      <c r="L123" s="12" t="n">
        <v>80.54900000000001</v>
      </c>
      <c r="M123" s="12" t="n">
        <v>136.538</v>
      </c>
      <c r="N123" s="12" t="n">
        <v>56.893</v>
      </c>
      <c r="T123" s="12" t="n">
        <v>-30.007</v>
      </c>
      <c r="U123" s="12" t="n">
        <v>-98.042</v>
      </c>
      <c r="V123" s="12" t="n">
        <v>-145.209</v>
      </c>
      <c r="W123" s="12" t="n">
        <v>137.079</v>
      </c>
      <c r="X123" s="12" t="n">
        <v>56.893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IF(OR(G123="",C123=""),"",IF(C123&lt;=0,"",IFERROR(G123/C123-1,"")))</f>
        <v/>
      </c>
      <c r="H124" s="17">
        <f>IF(OR(H123="",D123=""),"",IF(D123&lt;=0,"",IFERROR(H123/D123-1,"")))</f>
        <v/>
      </c>
      <c r="I124" s="17">
        <f>IF(OR(I123="",E123=""),"",IF(E123&lt;=0,"",IFERROR(I123/E123-1,"")))</f>
        <v/>
      </c>
      <c r="J124" s="17">
        <f>IF(OR(J123="",F123=""),"",IF(F123&lt;=0,"",IFERROR(J123/F123-1,"")))</f>
        <v/>
      </c>
      <c r="K124" s="17">
        <f>IF(OR(K123="",G123=""),"",IF(G123&lt;=0,"",IFERROR(K123/G123-1,"")))</f>
        <v/>
      </c>
      <c r="L124" s="17">
        <f>IF(OR(L123="",H123=""),"",IF(H123&lt;=0,"",IFERROR(L123/H123-1,"")))</f>
        <v/>
      </c>
      <c r="M124" s="17">
        <f>IF(OR(M123="",I123=""),"",IF(I123&lt;=0,"",IFERROR(M123/I123-1,"")))</f>
        <v/>
      </c>
      <c r="N124" s="17">
        <f>IF(OR(N123="",J123=""),"",IF(J123&lt;=0,"",IFERROR(N123/J123-1,"")))</f>
        <v/>
      </c>
      <c r="T124" s="17">
        <f>IF(OR(T123="",S123=""),"",IF(S123&lt;=0,"",IFERROR(T123/S123-1,"")))</f>
        <v/>
      </c>
      <c r="U124" s="17">
        <f>IF(OR(U123="",T123=""),"",IF(T123&lt;=0,"",IFERROR(U123/T123-1,"")))</f>
        <v/>
      </c>
      <c r="V124" s="17">
        <f>IF(OR(V123="",U123=""),"",IF(U123&lt;=0,"",IFERROR(V123/U123-1,"")))</f>
        <v/>
      </c>
      <c r="W124" s="17">
        <f>IF(OR(W123="",V123=""),"",IF(V123&lt;=0,"",IFERROR(W123/V123-1,"")))</f>
        <v/>
      </c>
      <c r="X124" s="17">
        <f>IF(OR(X123="",W123=""),"",IF(W123&lt;=0,"",IFERROR(X123/W123-1,"")))</f>
        <v/>
      </c>
    </row>
    <row r="126">
      <c r="A126" s="18" t="inlineStr">
        <is>
          <t>포괄손익 · 전 항목</t>
        </is>
      </c>
      <c r="B126" s="44" t="inlineStr">
        <is>
          <t>분기 = 3개월 단독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2024.1Q</t>
        </is>
      </c>
      <c r="D127" s="5" t="inlineStr">
        <is>
          <t>2024.2Q</t>
        </is>
      </c>
      <c r="E127" s="5" t="inlineStr">
        <is>
          <t>2024.3Q</t>
        </is>
      </c>
      <c r="F127" s="5" t="inlineStr">
        <is>
          <t>2024.4Q</t>
        </is>
      </c>
      <c r="G127" s="5" t="inlineStr">
        <is>
          <t>2025.1Q</t>
        </is>
      </c>
      <c r="H127" s="5" t="inlineStr">
        <is>
          <t>2025.2Q</t>
        </is>
      </c>
      <c r="I127" s="5" t="inlineStr">
        <is>
          <t>2025.3Q</t>
        </is>
      </c>
      <c r="J127" s="5" t="inlineStr">
        <is>
          <t>2025.4Q</t>
        </is>
      </c>
      <c r="K127" s="5" t="inlineStr">
        <is>
          <t>2026.1Q</t>
        </is>
      </c>
      <c r="L127" s="5" t="inlineStr">
        <is>
          <t>2026.2Q</t>
        </is>
      </c>
      <c r="M127" s="5" t="inlineStr">
        <is>
          <t>2026.3Q</t>
        </is>
      </c>
      <c r="N127" s="5" t="inlineStr">
        <is>
          <t>2026.4Q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순이익</t>
        </is>
      </c>
      <c r="C128" s="12" t="n">
        <v>-35.127</v>
      </c>
      <c r="D128" s="12" t="n">
        <v>-28.028</v>
      </c>
      <c r="E128" s="12" t="n">
        <v>28.264</v>
      </c>
      <c r="F128" s="12" t="n">
        <v>-145.209</v>
      </c>
      <c r="G128" s="12" t="n">
        <v>37.803</v>
      </c>
      <c r="H128" s="12" t="n">
        <v>72.271</v>
      </c>
      <c r="I128" s="12" t="n">
        <v>115.506</v>
      </c>
      <c r="J128" s="12" t="n">
        <v>137.079</v>
      </c>
      <c r="K128" s="12" t="n">
        <v>77.423</v>
      </c>
      <c r="L128" s="12" t="n">
        <v>80.54900000000001</v>
      </c>
      <c r="M128" s="12" t="n">
        <v>136.538</v>
      </c>
      <c r="N128" s="12" t="n">
        <v>56.893</v>
      </c>
      <c r="T128" s="12" t="n">
        <v>-30.007</v>
      </c>
      <c r="U128" s="12" t="n">
        <v>-98.042</v>
      </c>
      <c r="V128" s="12" t="n">
        <v>-145.209</v>
      </c>
      <c r="W128" s="12" t="n">
        <v>137.079</v>
      </c>
      <c r="X128" s="12" t="n">
        <v>56.893</v>
      </c>
    </row>
    <row r="129">
      <c r="A129" s="20" t="inlineStr">
        <is>
          <t>해외사업환산조정</t>
        </is>
      </c>
      <c r="C129" s="22" t="n">
        <v>1.581</v>
      </c>
      <c r="D129" s="22" t="n">
        <v>1.375</v>
      </c>
      <c r="E129" s="22" t="n">
        <v>3.645</v>
      </c>
      <c r="F129" s="22" t="n">
        <v>-4.511</v>
      </c>
      <c r="G129" s="22" t="n">
        <v>0.231</v>
      </c>
      <c r="H129" s="22" t="n">
        <v>1.875</v>
      </c>
      <c r="I129" s="22" t="n">
        <v>0.023</v>
      </c>
      <c r="J129" s="22" t="n">
        <v>0.323</v>
      </c>
      <c r="K129" s="22" t="n">
        <v>0.337</v>
      </c>
      <c r="L129" s="22" t="n">
        <v>0.104</v>
      </c>
      <c r="M129" s="22" t="n">
        <v>0.075</v>
      </c>
      <c r="N129" s="22" t="n">
        <v>0.044</v>
      </c>
      <c r="T129" s="22" t="n">
        <v>1.54</v>
      </c>
      <c r="U129" s="22" t="n">
        <v>3.66</v>
      </c>
      <c r="V129" s="22" t="n">
        <v>-4.511</v>
      </c>
      <c r="W129" s="22" t="n">
        <v>0.323</v>
      </c>
      <c r="X129" s="22" t="n">
        <v>0.044</v>
      </c>
    </row>
    <row r="130">
      <c r="A130" s="20" t="inlineStr">
        <is>
          <t>기타포괄손익 합계</t>
        </is>
      </c>
      <c r="C130" s="22" t="n">
        <v>1.581</v>
      </c>
      <c r="D130" s="22" t="n">
        <v>1.375</v>
      </c>
      <c r="E130" s="22" t="n">
        <v>3.645</v>
      </c>
      <c r="F130" s="22" t="n">
        <v>-4.511</v>
      </c>
      <c r="G130" s="22" t="n">
        <v>0.231</v>
      </c>
      <c r="H130" s="22" t="n">
        <v>1.875</v>
      </c>
      <c r="I130" s="22" t="n">
        <v>0.023</v>
      </c>
      <c r="J130" s="22" t="n">
        <v>0.323</v>
      </c>
      <c r="K130" s="22" t="n">
        <v>0.337</v>
      </c>
      <c r="L130" s="22" t="n">
        <v>0.104</v>
      </c>
      <c r="M130" s="22" t="n">
        <v>0.075</v>
      </c>
      <c r="N130" s="22" t="n">
        <v>0.044</v>
      </c>
      <c r="T130" s="22" t="n">
        <v>1.54</v>
      </c>
      <c r="U130" s="22" t="n">
        <v>3.66</v>
      </c>
      <c r="V130" s="22" t="n">
        <v>-4.511</v>
      </c>
      <c r="W130" s="22" t="n">
        <v>0.323</v>
      </c>
      <c r="X130" s="22" t="n">
        <v>0.044</v>
      </c>
    </row>
    <row r="131">
      <c r="A131" s="9" t="inlineStr">
        <is>
          <t>포괄이익</t>
        </is>
      </c>
      <c r="C131" s="12" t="n">
        <v>-33.545</v>
      </c>
      <c r="D131" s="12" t="n">
        <v>-26.653</v>
      </c>
      <c r="E131" s="12" t="n">
        <v>31.908</v>
      </c>
      <c r="F131" s="12" t="n">
        <v>-149.719</v>
      </c>
      <c r="G131" s="12" t="n">
        <v>38.035</v>
      </c>
      <c r="H131" s="12" t="n">
        <v>74.146</v>
      </c>
      <c r="I131" s="12" t="n">
        <v>115.529</v>
      </c>
      <c r="J131" s="12" t="n">
        <v>137.401</v>
      </c>
      <c r="K131" s="12" t="n">
        <v>77.761</v>
      </c>
      <c r="L131" s="12" t="n">
        <v>80.65300000000001</v>
      </c>
      <c r="M131" s="12" t="n">
        <v>136.612</v>
      </c>
      <c r="N131" s="12" t="n">
        <v>56.938</v>
      </c>
      <c r="T131" s="12" t="n">
        <v>-28.467</v>
      </c>
      <c r="U131" s="12" t="n">
        <v>-94.38200000000001</v>
      </c>
      <c r="V131" s="12" t="n">
        <v>-149.719</v>
      </c>
      <c r="W131" s="12" t="n">
        <v>137.401</v>
      </c>
      <c r="X131" s="12" t="n">
        <v>56.938</v>
      </c>
    </row>
    <row r="132">
      <c r="A132" s="9" t="inlineStr">
        <is>
          <t>지배주주 포괄이익</t>
        </is>
      </c>
      <c r="C132" s="12" t="n">
        <v>-33.545</v>
      </c>
      <c r="D132" s="12" t="n">
        <v>-26.653</v>
      </c>
      <c r="E132" s="12" t="n">
        <v>31.908</v>
      </c>
      <c r="F132" s="12" t="n">
        <v>-149.719</v>
      </c>
      <c r="G132" s="12" t="n">
        <v>38.035</v>
      </c>
      <c r="H132" s="12" t="n">
        <v>74.146</v>
      </c>
      <c r="I132" s="12" t="n">
        <v>115.529</v>
      </c>
      <c r="J132" s="12" t="n">
        <v>137.401</v>
      </c>
      <c r="K132" s="12" t="n">
        <v>77.761</v>
      </c>
      <c r="L132" s="12" t="n">
        <v>80.65300000000001</v>
      </c>
      <c r="M132" s="12" t="n">
        <v>136.612</v>
      </c>
      <c r="N132" s="12" t="n">
        <v>56.938</v>
      </c>
      <c r="T132" s="12" t="n">
        <v>-28.467</v>
      </c>
      <c r="U132" s="12" t="n">
        <v>-94.38200000000001</v>
      </c>
      <c r="V132" s="12" t="n">
        <v>-149.719</v>
      </c>
      <c r="W132" s="12" t="n">
        <v>137.401</v>
      </c>
      <c r="X132" s="12" t="n">
        <v>56.938</v>
      </c>
    </row>
    <row r="134">
      <c r="A134" s="18" t="inlineStr">
        <is>
          <t>현금흐름표 · 전 항목</t>
        </is>
      </c>
      <c r="B134" s="44" t="inlineStr">
        <is>
          <t>분기 = 결산기 첫날부터 누계(공시 그대로)</t>
        </is>
      </c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</row>
    <row r="135">
      <c r="A135" s="5" t="inlineStr">
        <is>
          <t>항목</t>
        </is>
      </c>
      <c r="B135" s="5" t="inlineStr">
        <is>
          <t>참고</t>
        </is>
      </c>
      <c r="C135" s="5" t="inlineStr">
        <is>
          <t>2024.1Q</t>
        </is>
      </c>
      <c r="D135" s="5" t="inlineStr">
        <is>
          <t>2024.2Q</t>
        </is>
      </c>
      <c r="E135" s="5" t="inlineStr">
        <is>
          <t>2024.3Q</t>
        </is>
      </c>
      <c r="F135" s="5" t="inlineStr">
        <is>
          <t>2024.4Q</t>
        </is>
      </c>
      <c r="G135" s="5" t="inlineStr">
        <is>
          <t>2025.1Q</t>
        </is>
      </c>
      <c r="H135" s="5" t="inlineStr">
        <is>
          <t>2025.2Q</t>
        </is>
      </c>
      <c r="I135" s="5" t="inlineStr">
        <is>
          <t>2025.3Q</t>
        </is>
      </c>
      <c r="J135" s="5" t="inlineStr">
        <is>
          <t>2025.4Q</t>
        </is>
      </c>
      <c r="K135" s="5" t="inlineStr">
        <is>
          <t>2026.1Q</t>
        </is>
      </c>
      <c r="L135" s="5" t="inlineStr">
        <is>
          <t>2026.2Q</t>
        </is>
      </c>
      <c r="M135" s="5" t="inlineStr">
        <is>
          <t>2026.3Q</t>
        </is>
      </c>
      <c r="N135" s="5" t="inlineStr">
        <is>
          <t>2026.4Q</t>
        </is>
      </c>
      <c r="O135" s="5" t="inlineStr">
        <is>
          <t>2017</t>
        </is>
      </c>
      <c r="P135" s="5" t="inlineStr">
        <is>
          <t>2018</t>
        </is>
      </c>
      <c r="Q135" s="5" t="inlineStr">
        <is>
          <t>2019</t>
        </is>
      </c>
      <c r="R135" s="5" t="inlineStr">
        <is>
          <t>2020</t>
        </is>
      </c>
      <c r="S135" s="5" t="inlineStr">
        <is>
          <t>2021</t>
        </is>
      </c>
      <c r="T135" s="5" t="inlineStr">
        <is>
          <t>2022</t>
        </is>
      </c>
      <c r="U135" s="5" t="inlineStr">
        <is>
          <t>2023</t>
        </is>
      </c>
      <c r="V135" s="5" t="inlineStr">
        <is>
          <t>2024</t>
        </is>
      </c>
      <c r="W135" s="5" t="inlineStr">
        <is>
          <t>2025</t>
        </is>
      </c>
      <c r="X135" s="5" t="inlineStr">
        <is>
          <t>2026</t>
        </is>
      </c>
      <c r="Y135" s="5" t="inlineStr">
        <is>
          <t>2027(MW)</t>
        </is>
      </c>
      <c r="Z135" s="5" t="inlineStr">
        <is>
          <t>2028(MW)</t>
        </is>
      </c>
      <c r="AA135" s="5" t="inlineStr">
        <is>
          <t>2029(MW)</t>
        </is>
      </c>
      <c r="AB135" s="5" t="inlineStr">
        <is>
          <t>2030(MW)</t>
        </is>
      </c>
      <c r="AC135" s="5" t="inlineStr">
        <is>
          <t>2031(MW)</t>
        </is>
      </c>
    </row>
    <row r="136">
      <c r="A136" s="9" t="inlineStr">
        <is>
          <t>법인세차감전 순이익</t>
        </is>
      </c>
      <c r="D136" s="12" t="n">
        <v>-83.101</v>
      </c>
      <c r="F136" s="12" t="n">
        <v>-201.726</v>
      </c>
      <c r="H136" s="12" t="n">
        <v>138.69</v>
      </c>
      <c r="J136" s="12" t="n">
        <v>277.869</v>
      </c>
      <c r="L136" s="12" t="n">
        <v>232.109</v>
      </c>
      <c r="N136" s="12" t="n">
        <v>463.389</v>
      </c>
      <c r="O136" s="12" t="n">
        <v>-96.667</v>
      </c>
      <c r="P136" s="12" t="n">
        <v>54.354</v>
      </c>
      <c r="Q136" s="12" t="n">
        <v>244.171</v>
      </c>
      <c r="R136" s="12" t="n">
        <v>281.619</v>
      </c>
      <c r="S136" s="12" t="n">
        <v>174.627</v>
      </c>
      <c r="T136" s="12" t="n">
        <v>-126.275</v>
      </c>
      <c r="U136" s="12" t="n">
        <v>-295.951</v>
      </c>
      <c r="V136" s="12" t="n">
        <v>-201.726</v>
      </c>
      <c r="W136" s="12" t="n">
        <v>277.869</v>
      </c>
      <c r="X136" s="12" t="n">
        <v>463.389</v>
      </c>
    </row>
    <row r="137">
      <c r="A137" s="20" t="inlineStr">
        <is>
          <t>감가상각비 및 기타 상각비</t>
        </is>
      </c>
      <c r="D137" s="22" t="n">
        <v>1.274</v>
      </c>
      <c r="F137" s="22" t="n">
        <v>4.367</v>
      </c>
      <c r="H137" s="22" t="n">
        <v>1.998</v>
      </c>
      <c r="J137" s="22" t="n">
        <v>11.581</v>
      </c>
      <c r="L137" s="22" t="n">
        <v>8.957000000000001</v>
      </c>
      <c r="N137" s="22" t="n">
        <v>17.222</v>
      </c>
      <c r="O137" s="22" t="n">
        <v>2.312</v>
      </c>
      <c r="P137" s="22" t="n">
        <v>7.228</v>
      </c>
      <c r="Q137" s="22" t="n">
        <v>6.051</v>
      </c>
      <c r="R137" s="22" t="n">
        <v>19.564</v>
      </c>
      <c r="S137" s="22" t="n">
        <v>22.833</v>
      </c>
      <c r="T137" s="22" t="n">
        <v>11.266</v>
      </c>
      <c r="U137" s="22" t="n">
        <v>56.463</v>
      </c>
      <c r="V137" s="22" t="n">
        <v>4.367</v>
      </c>
      <c r="W137" s="22" t="n">
        <v>11.581</v>
      </c>
      <c r="X137" s="22" t="n">
        <v>17.222</v>
      </c>
    </row>
    <row r="138">
      <c r="A138" s="20" t="inlineStr">
        <is>
          <t>고정자산 제각손실</t>
        </is>
      </c>
      <c r="J138" s="22" t="n">
        <v>0</v>
      </c>
      <c r="N138" s="22" t="n">
        <v>1.185</v>
      </c>
      <c r="R138" s="22" t="n">
        <v>11.22</v>
      </c>
      <c r="S138" s="22" t="n">
        <v>0</v>
      </c>
      <c r="W138" s="22" t="n">
        <v>0</v>
      </c>
      <c r="X138" s="22" t="n">
        <v>1.185</v>
      </c>
    </row>
    <row r="139">
      <c r="A139" s="20" t="inlineStr">
        <is>
          <t>이자비용</t>
        </is>
      </c>
      <c r="J139" s="22" t="n">
        <v>0</v>
      </c>
      <c r="N139" s="22" t="n">
        <v>4.662</v>
      </c>
      <c r="O139" s="22" t="n">
        <v>1.356</v>
      </c>
      <c r="P139" s="22" t="n">
        <v>1.05</v>
      </c>
      <c r="Q139" s="22" t="n">
        <v>0.214</v>
      </c>
      <c r="R139" s="22" t="n">
        <v>0.121</v>
      </c>
      <c r="S139" s="22" t="n">
        <v>0</v>
      </c>
      <c r="W139" s="22" t="n">
        <v>0</v>
      </c>
      <c r="X139" s="22" t="n">
        <v>4.662</v>
      </c>
    </row>
    <row r="140">
      <c r="A140" s="20" t="inlineStr">
        <is>
          <t>상장 관련 비용</t>
        </is>
      </c>
      <c r="O140" s="22" t="n">
        <v>0</v>
      </c>
      <c r="P140" s="22" t="n">
        <v>15.153</v>
      </c>
      <c r="Q140" s="22" t="n">
        <v>0</v>
      </c>
    </row>
    <row r="141">
      <c r="A141" s="20" t="inlineStr">
        <is>
          <t>주식보상비용</t>
        </is>
      </c>
      <c r="D141" s="22" t="n">
        <v>0</v>
      </c>
      <c r="F141" s="22" t="n">
        <v>0</v>
      </c>
      <c r="H141" s="22" t="n">
        <v>2.512</v>
      </c>
      <c r="J141" s="22" t="n">
        <v>9.795999999999999</v>
      </c>
      <c r="L141" s="22" t="n">
        <v>8.430999999999999</v>
      </c>
      <c r="N141" s="22" t="n">
        <v>17.539</v>
      </c>
      <c r="V141" s="22" t="n">
        <v>0</v>
      </c>
      <c r="W141" s="22" t="n">
        <v>9.795999999999999</v>
      </c>
      <c r="X141" s="22" t="n">
        <v>17.539</v>
      </c>
    </row>
    <row r="142">
      <c r="A142" s="20" t="inlineStr">
        <is>
          <t>대손충당금 증감</t>
        </is>
      </c>
      <c r="D142" s="22" t="n">
        <v>-0.38</v>
      </c>
      <c r="F142" s="22" t="n">
        <v>0.17</v>
      </c>
      <c r="H142" s="22" t="n">
        <v>-0.87</v>
      </c>
      <c r="J142" s="22" t="n">
        <v>-0.326</v>
      </c>
      <c r="L142" s="22" t="n">
        <v>0.004</v>
      </c>
      <c r="N142" s="22" t="n">
        <v>-0.132</v>
      </c>
      <c r="O142" s="22" t="n">
        <v>0.059</v>
      </c>
      <c r="P142" s="22" t="n">
        <v>0.079</v>
      </c>
      <c r="Q142" s="22" t="n">
        <v>-0.099</v>
      </c>
      <c r="R142" s="22" t="n">
        <v>0.442</v>
      </c>
      <c r="S142" s="22" t="n">
        <v>-0.5600000000000001</v>
      </c>
      <c r="T142" s="22" t="n">
        <v>0.174</v>
      </c>
      <c r="U142" s="22" t="n">
        <v>0.609</v>
      </c>
      <c r="V142" s="22" t="n">
        <v>0.17</v>
      </c>
      <c r="W142" s="22" t="n">
        <v>-0.326</v>
      </c>
      <c r="X142" s="22" t="n">
        <v>-0.132</v>
      </c>
    </row>
    <row r="143">
      <c r="A143" s="20" t="inlineStr">
        <is>
          <t>상여충당금 증감</t>
        </is>
      </c>
      <c r="D143" s="22" t="n">
        <v>-23.865</v>
      </c>
      <c r="F143" s="22" t="n">
        <v>7.103</v>
      </c>
      <c r="H143" s="22" t="n">
        <v>-34.254</v>
      </c>
      <c r="J143" s="22" t="n">
        <v>88.64</v>
      </c>
      <c r="L143" s="22" t="n">
        <v>-101.694</v>
      </c>
      <c r="N143" s="22" t="n">
        <v>21.492</v>
      </c>
      <c r="O143" s="22" t="n">
        <v>-0.336</v>
      </c>
      <c r="P143" s="22" t="n">
        <v>-0.9340000000000001</v>
      </c>
      <c r="Q143" s="22" t="n">
        <v>5.638</v>
      </c>
      <c r="R143" s="22" t="n">
        <v>-8.943</v>
      </c>
      <c r="S143" s="22" t="n">
        <v>3.574</v>
      </c>
      <c r="T143" s="22" t="n">
        <v>13.067</v>
      </c>
      <c r="U143" s="22" t="n">
        <v>34.818</v>
      </c>
      <c r="V143" s="22" t="n">
        <v>7.103</v>
      </c>
      <c r="W143" s="22" t="n">
        <v>88.64</v>
      </c>
      <c r="X143" s="22" t="n">
        <v>21.492</v>
      </c>
    </row>
    <row r="144">
      <c r="A144" s="20" t="inlineStr">
        <is>
          <t>주주우대 충당금 증감</t>
        </is>
      </c>
      <c r="F144" s="22" t="n">
        <v>0</v>
      </c>
      <c r="H144" s="22" t="n">
        <v>0</v>
      </c>
      <c r="J144" s="22" t="n">
        <v>18.483</v>
      </c>
      <c r="L144" s="22" t="n">
        <v>-5.946</v>
      </c>
      <c r="N144" s="22" t="n">
        <v>4.106</v>
      </c>
      <c r="V144" s="22" t="n">
        <v>0</v>
      </c>
      <c r="W144" s="22" t="n">
        <v>18.483</v>
      </c>
      <c r="X144" s="22" t="n">
        <v>4.106</v>
      </c>
    </row>
    <row r="145">
      <c r="A145" s="20" t="inlineStr">
        <is>
          <t>사업재편비용충당금 증감액</t>
        </is>
      </c>
      <c r="D145" s="22" t="n">
        <v>0</v>
      </c>
      <c r="F145" s="22" t="n">
        <v>112.597</v>
      </c>
      <c r="H145" s="22" t="n">
        <v>-114.023</v>
      </c>
      <c r="J145" s="22" t="n">
        <v>-113.411</v>
      </c>
      <c r="L145" s="22" t="n">
        <v>0</v>
      </c>
      <c r="N145" s="22" t="n">
        <v>0</v>
      </c>
      <c r="U145" s="22" t="n">
        <v>0</v>
      </c>
      <c r="V145" s="22" t="n">
        <v>112.597</v>
      </c>
      <c r="W145" s="22" t="n">
        <v>-113.411</v>
      </c>
      <c r="X145" s="22" t="n">
        <v>0</v>
      </c>
    </row>
    <row r="146">
      <c r="A146" s="20" t="inlineStr">
        <is>
          <t>이자수익</t>
        </is>
      </c>
      <c r="F146" s="22" t="n">
        <v>-0.251</v>
      </c>
      <c r="R146" s="22" t="n">
        <v>-0.018</v>
      </c>
      <c r="S146" s="22" t="n">
        <v>-0.022</v>
      </c>
      <c r="T146" s="22" t="n">
        <v>-0.024</v>
      </c>
      <c r="U146" s="22" t="n">
        <v>-0.022</v>
      </c>
      <c r="V146" s="22" t="n">
        <v>-0.251</v>
      </c>
    </row>
    <row r="147">
      <c r="A147" s="20" t="inlineStr">
        <is>
          <t>이자·배당금 수익</t>
        </is>
      </c>
      <c r="D147" s="22" t="n">
        <v>-0.011</v>
      </c>
      <c r="F147" s="22" t="n">
        <v>-0.251</v>
      </c>
      <c r="H147" s="22" t="n">
        <v>-1.157</v>
      </c>
      <c r="J147" s="22" t="n">
        <v>-3.911</v>
      </c>
      <c r="L147" s="22" t="n">
        <v>-3.017</v>
      </c>
      <c r="N147" s="22" t="n">
        <v>-7.919</v>
      </c>
      <c r="O147" s="22" t="n">
        <v>-0.004</v>
      </c>
      <c r="P147" s="22" t="n">
        <v>-0.023</v>
      </c>
      <c r="Q147" s="22" t="n">
        <v>-0.016</v>
      </c>
      <c r="V147" s="22" t="n">
        <v>-0.251</v>
      </c>
      <c r="W147" s="22" t="n">
        <v>-3.911</v>
      </c>
      <c r="X147" s="22" t="n">
        <v>-7.919</v>
      </c>
    </row>
    <row r="148">
      <c r="A148" s="20" t="inlineStr">
        <is>
          <t>보조금 수입</t>
        </is>
      </c>
      <c r="D148" s="22" t="n">
        <v>-0.143</v>
      </c>
      <c r="F148" s="22" t="n">
        <v>-0.672</v>
      </c>
      <c r="H148" s="22" t="n">
        <v>0</v>
      </c>
      <c r="J148" s="22" t="n">
        <v>-0.225</v>
      </c>
      <c r="N148" s="22" t="n">
        <v>0</v>
      </c>
      <c r="R148" s="22" t="n">
        <v>-8.904999999999999</v>
      </c>
      <c r="S148" s="22" t="n">
        <v>-8.422000000000001</v>
      </c>
      <c r="T148" s="22" t="n">
        <v>-0.55</v>
      </c>
      <c r="U148" s="22" t="n">
        <v>-0.305</v>
      </c>
      <c r="V148" s="22" t="n">
        <v>-0.672</v>
      </c>
      <c r="W148" s="22" t="n">
        <v>-0.225</v>
      </c>
      <c r="X148" s="22" t="n">
        <v>0</v>
      </c>
    </row>
    <row r="149">
      <c r="A149" s="20" t="inlineStr">
        <is>
          <t>주식교부비</t>
        </is>
      </c>
      <c r="D149" s="22" t="n">
        <v>0.628</v>
      </c>
      <c r="F149" s="22" t="n">
        <v>0.628</v>
      </c>
      <c r="H149" s="22" t="n">
        <v>1.582</v>
      </c>
      <c r="J149" s="22" t="n">
        <v>1.582</v>
      </c>
      <c r="L149" s="22" t="n">
        <v>2.314</v>
      </c>
      <c r="N149" s="22" t="n">
        <v>2.314</v>
      </c>
      <c r="O149" s="22" t="n">
        <v>0</v>
      </c>
      <c r="P149" s="22" t="n">
        <v>0.136</v>
      </c>
      <c r="R149" s="22" t="n">
        <v>0.341</v>
      </c>
      <c r="S149" s="22" t="n">
        <v>0.092</v>
      </c>
      <c r="T149" s="22" t="n">
        <v>0.853</v>
      </c>
      <c r="U149" s="22" t="n">
        <v>0.79</v>
      </c>
      <c r="V149" s="22" t="n">
        <v>0.628</v>
      </c>
      <c r="W149" s="22" t="n">
        <v>1.582</v>
      </c>
      <c r="X149" s="22" t="n">
        <v>2.314</v>
      </c>
    </row>
    <row r="150">
      <c r="A150" s="20" t="inlineStr">
        <is>
          <t>매출채권 증감</t>
        </is>
      </c>
      <c r="O150" s="22" t="n">
        <v>1.803</v>
      </c>
      <c r="P150" s="22" t="n">
        <v>-1.508</v>
      </c>
      <c r="Q150" s="22" t="n">
        <v>-2.68</v>
      </c>
      <c r="R150" s="22" t="n">
        <v>-10.028</v>
      </c>
      <c r="S150" s="22" t="n">
        <v>-1.502</v>
      </c>
      <c r="T150" s="22" t="n">
        <v>0</v>
      </c>
    </row>
    <row r="151">
      <c r="A151" s="20" t="inlineStr">
        <is>
          <t>매출채권·계약자산 증감</t>
        </is>
      </c>
      <c r="S151" s="22" t="n">
        <v>0</v>
      </c>
      <c r="T151" s="22" t="n">
        <v>5.44</v>
      </c>
    </row>
    <row r="152">
      <c r="A152" s="20" t="inlineStr">
        <is>
          <t>매출채권·계약자산 증감</t>
        </is>
      </c>
      <c r="D152" s="22" t="n">
        <v>-10.439</v>
      </c>
    </row>
    <row r="153">
      <c r="A153" s="20" t="inlineStr">
        <is>
          <t>투자유가증권 평가손익</t>
        </is>
      </c>
      <c r="F153" s="22" t="n">
        <v>0</v>
      </c>
      <c r="T153" s="22" t="n">
        <v>0</v>
      </c>
      <c r="U153" s="22" t="n">
        <v>49.999</v>
      </c>
      <c r="V153" s="22" t="n">
        <v>0</v>
      </c>
    </row>
    <row r="154">
      <c r="A154" s="20" t="inlineStr">
        <is>
          <t>본사 이전 비용</t>
        </is>
      </c>
      <c r="F154" s="22" t="n">
        <v>0</v>
      </c>
      <c r="T154" s="22" t="n">
        <v>0</v>
      </c>
      <c r="U154" s="22" t="n">
        <v>19.252</v>
      </c>
      <c r="V154" s="22" t="n">
        <v>0</v>
      </c>
    </row>
    <row r="155">
      <c r="A155" s="20" t="inlineStr">
        <is>
          <t>매출채권·계약자산 증감</t>
        </is>
      </c>
      <c r="T155" s="22" t="n">
        <v>5.44</v>
      </c>
      <c r="U155" s="22" t="n">
        <v>-25.495</v>
      </c>
    </row>
    <row r="156">
      <c r="A156" s="20" t="inlineStr">
        <is>
          <t>매출채권·계약자산 증감</t>
        </is>
      </c>
      <c r="D156" s="22" t="n">
        <v>-10.439</v>
      </c>
      <c r="F156" s="22" t="n">
        <v>-4.042</v>
      </c>
      <c r="H156" s="22" t="n">
        <v>-11.848</v>
      </c>
      <c r="J156" s="22" t="n">
        <v>-69.735</v>
      </c>
      <c r="L156" s="22" t="n">
        <v>-97.21899999999999</v>
      </c>
      <c r="N156" s="22" t="n">
        <v>-37.398</v>
      </c>
      <c r="U156" s="22" t="n">
        <v>-25.495</v>
      </c>
      <c r="V156" s="22" t="n">
        <v>-4.042</v>
      </c>
      <c r="W156" s="22" t="n">
        <v>-69.735</v>
      </c>
      <c r="X156" s="22" t="n">
        <v>-37.398</v>
      </c>
    </row>
    <row r="157">
      <c r="A157" s="20" t="inlineStr">
        <is>
          <t>선급금 증감</t>
        </is>
      </c>
      <c r="D157" s="22" t="n">
        <v>-21.885</v>
      </c>
      <c r="F157" s="22" t="n">
        <v>-33.748</v>
      </c>
      <c r="H157" s="22" t="n">
        <v>-42.298</v>
      </c>
      <c r="J157" s="22" t="n">
        <v>-95.76600000000001</v>
      </c>
      <c r="L157" s="22" t="n">
        <v>-14.805</v>
      </c>
      <c r="N157" s="22" t="n">
        <v>-58.81</v>
      </c>
      <c r="O157" s="22" t="n">
        <v>-16.033</v>
      </c>
      <c r="P157" s="22" t="n">
        <v>-31.675</v>
      </c>
      <c r="Q157" s="22" t="n">
        <v>-48.94</v>
      </c>
      <c r="R157" s="22" t="n">
        <v>-57.676</v>
      </c>
      <c r="S157" s="22" t="n">
        <v>-22.772</v>
      </c>
      <c r="T157" s="22" t="n">
        <v>-60.063</v>
      </c>
      <c r="U157" s="22" t="n">
        <v>-40.477</v>
      </c>
      <c r="V157" s="22" t="n">
        <v>-33.748</v>
      </c>
      <c r="W157" s="22" t="n">
        <v>-95.76600000000001</v>
      </c>
      <c r="X157" s="22" t="n">
        <v>-58.81</v>
      </c>
    </row>
    <row r="158">
      <c r="A158" s="20" t="inlineStr">
        <is>
          <t>선급비용 증감</t>
        </is>
      </c>
      <c r="D158" s="22" t="n">
        <v>-40.576</v>
      </c>
      <c r="F158" s="22" t="n">
        <v>0</v>
      </c>
      <c r="H158" s="22" t="n">
        <v>51.918</v>
      </c>
      <c r="J158" s="22" t="n">
        <v>38.606</v>
      </c>
      <c r="L158" s="22" t="n">
        <v>4.444</v>
      </c>
      <c r="N158" s="22" t="n">
        <v>14.497</v>
      </c>
      <c r="V158" s="22" t="n">
        <v>0</v>
      </c>
      <c r="W158" s="22" t="n">
        <v>38.606</v>
      </c>
      <c r="X158" s="22" t="n">
        <v>14.497</v>
      </c>
    </row>
    <row r="159">
      <c r="A159" s="20" t="inlineStr">
        <is>
          <t>매입채무 증감</t>
        </is>
      </c>
      <c r="D159" s="22" t="n">
        <v>1.072</v>
      </c>
      <c r="F159" s="22" t="n">
        <v>3.185</v>
      </c>
      <c r="H159" s="22" t="n">
        <v>-0.353</v>
      </c>
      <c r="J159" s="22" t="n">
        <v>3.819</v>
      </c>
      <c r="L159" s="22" t="n">
        <v>-1.643</v>
      </c>
      <c r="N159" s="22" t="n">
        <v>1.545</v>
      </c>
      <c r="O159" s="22" t="n">
        <v>1.569</v>
      </c>
      <c r="P159" s="22" t="n">
        <v>0.367</v>
      </c>
      <c r="Q159" s="22" t="n">
        <v>0.9340000000000001</v>
      </c>
      <c r="R159" s="22" t="n">
        <v>3.772</v>
      </c>
      <c r="S159" s="22" t="n">
        <v>3.954</v>
      </c>
      <c r="T159" s="22" t="n">
        <v>-8.124000000000001</v>
      </c>
      <c r="U159" s="22" t="n">
        <v>-0.607</v>
      </c>
      <c r="V159" s="22" t="n">
        <v>3.185</v>
      </c>
      <c r="W159" s="22" t="n">
        <v>3.819</v>
      </c>
      <c r="X159" s="22" t="n">
        <v>1.545</v>
      </c>
    </row>
    <row r="160">
      <c r="A160" s="20" t="inlineStr">
        <is>
          <t>미지급금 증감</t>
        </is>
      </c>
      <c r="J160" s="22" t="n">
        <v>-1.472</v>
      </c>
      <c r="N160" s="22" t="n">
        <v>59.113</v>
      </c>
      <c r="W160" s="22" t="n">
        <v>-1.472</v>
      </c>
      <c r="X160" s="22" t="n">
        <v>59.113</v>
      </c>
    </row>
    <row r="161">
      <c r="A161" s="20" t="inlineStr">
        <is>
          <t>이연수익 증감액</t>
        </is>
      </c>
      <c r="D161" s="22" t="n">
        <v>272.936</v>
      </c>
      <c r="F161" s="22" t="n">
        <v>195.145</v>
      </c>
      <c r="H161" s="22" t="n">
        <v>296.598</v>
      </c>
      <c r="J161" s="22" t="n">
        <v>261.812</v>
      </c>
      <c r="L161" s="22" t="n">
        <v>382.93</v>
      </c>
      <c r="N161" s="22" t="n">
        <v>270.099</v>
      </c>
      <c r="O161" s="22" t="n">
        <v>163.667</v>
      </c>
      <c r="P161" s="22" t="n">
        <v>202.667</v>
      </c>
      <c r="Q161" s="22" t="n">
        <v>223.123</v>
      </c>
      <c r="R161" s="22" t="n">
        <v>190.468</v>
      </c>
      <c r="S161" s="22" t="n">
        <v>136.683</v>
      </c>
      <c r="T161" s="22" t="n">
        <v>240.406</v>
      </c>
      <c r="U161" s="22" t="n">
        <v>150.607</v>
      </c>
      <c r="V161" s="22" t="n">
        <v>195.145</v>
      </c>
      <c r="W161" s="22" t="n">
        <v>261.812</v>
      </c>
      <c r="X161" s="22" t="n">
        <v>270.099</v>
      </c>
    </row>
    <row r="162">
      <c r="A162" s="20" t="inlineStr">
        <is>
          <t>기타</t>
        </is>
      </c>
      <c r="D162" s="22" t="n">
        <v>-70.925</v>
      </c>
      <c r="F162" s="22" t="n">
        <v>24.894</v>
      </c>
      <c r="H162" s="22" t="n">
        <v>-87.194</v>
      </c>
      <c r="J162" s="22" t="n">
        <v>40.175</v>
      </c>
      <c r="L162" s="22" t="n">
        <v>56.099</v>
      </c>
      <c r="N162" s="22" t="n">
        <v>31.44</v>
      </c>
      <c r="O162" s="22" t="n">
        <v>19.054</v>
      </c>
      <c r="P162" s="22" t="n">
        <v>47.381</v>
      </c>
      <c r="Q162" s="22" t="n">
        <v>15.225</v>
      </c>
      <c r="R162" s="22" t="n">
        <v>49.123</v>
      </c>
      <c r="S162" s="22" t="n">
        <v>31.344</v>
      </c>
      <c r="T162" s="22" t="n">
        <v>73.488</v>
      </c>
      <c r="U162" s="22" t="n">
        <v>49.716</v>
      </c>
      <c r="V162" s="22" t="n">
        <v>24.894</v>
      </c>
      <c r="W162" s="22" t="n">
        <v>40.175</v>
      </c>
      <c r="X162" s="22" t="n">
        <v>31.44</v>
      </c>
    </row>
    <row r="163">
      <c r="A163" s="20" t="inlineStr">
        <is>
          <t>소계</t>
        </is>
      </c>
      <c r="D163" s="22" t="n">
        <v>24.582</v>
      </c>
      <c r="F163" s="22" t="n">
        <v>107.651</v>
      </c>
      <c r="H163" s="22" t="n">
        <v>201.299</v>
      </c>
      <c r="J163" s="22" t="n">
        <v>467.517</v>
      </c>
      <c r="L163" s="22" t="n">
        <v>470.966</v>
      </c>
      <c r="N163" s="22" t="n">
        <v>804.348</v>
      </c>
      <c r="O163" s="22" t="n">
        <v>76.782</v>
      </c>
      <c r="P163" s="22" t="n">
        <v>294.14</v>
      </c>
      <c r="Q163" s="22" t="n">
        <v>443.622</v>
      </c>
      <c r="R163" s="22" t="n">
        <v>471.1</v>
      </c>
      <c r="S163" s="22" t="n">
        <v>339.829</v>
      </c>
      <c r="T163" s="22" t="n">
        <v>149.658</v>
      </c>
      <c r="U163" s="22" t="n">
        <v>-0.601</v>
      </c>
      <c r="V163" s="22" t="n">
        <v>107.651</v>
      </c>
      <c r="W163" s="22" t="n">
        <v>467.517</v>
      </c>
      <c r="X163" s="22" t="n">
        <v>804.348</v>
      </c>
    </row>
    <row r="164">
      <c r="A164" s="20" t="inlineStr">
        <is>
          <t>이자 수취</t>
        </is>
      </c>
      <c r="F164" s="22" t="n">
        <v>0.251</v>
      </c>
      <c r="R164" s="22" t="n">
        <v>0.018</v>
      </c>
      <c r="S164" s="22" t="n">
        <v>0.022</v>
      </c>
      <c r="T164" s="22" t="n">
        <v>0.024</v>
      </c>
      <c r="U164" s="22" t="n">
        <v>0.022</v>
      </c>
      <c r="V164" s="22" t="n">
        <v>0.251</v>
      </c>
    </row>
    <row r="165">
      <c r="A165" s="20" t="inlineStr">
        <is>
          <t>이자·배당금 수취</t>
        </is>
      </c>
      <c r="D165" s="22" t="n">
        <v>0.011</v>
      </c>
      <c r="F165" s="22" t="n">
        <v>0.251</v>
      </c>
      <c r="H165" s="22" t="n">
        <v>1.157</v>
      </c>
      <c r="J165" s="22" t="n">
        <v>3.911</v>
      </c>
      <c r="L165" s="22" t="n">
        <v>3.017</v>
      </c>
      <c r="N165" s="22" t="n">
        <v>7.919</v>
      </c>
      <c r="O165" s="22" t="n">
        <v>0.004</v>
      </c>
      <c r="P165" s="22" t="n">
        <v>0.023</v>
      </c>
      <c r="Q165" s="22" t="n">
        <v>0.016</v>
      </c>
      <c r="V165" s="22" t="n">
        <v>0.251</v>
      </c>
      <c r="W165" s="22" t="n">
        <v>3.911</v>
      </c>
      <c r="X165" s="22" t="n">
        <v>7.919</v>
      </c>
    </row>
    <row r="166">
      <c r="A166" s="20" t="inlineStr">
        <is>
          <t>이자 지급</t>
        </is>
      </c>
      <c r="J166" s="22" t="n">
        <v>0</v>
      </c>
      <c r="N166" s="22" t="n">
        <v>-4.662</v>
      </c>
      <c r="O166" s="22" t="n">
        <v>-1.401</v>
      </c>
      <c r="P166" s="22" t="n">
        <v>-0.992</v>
      </c>
      <c r="Q166" s="22" t="n">
        <v>-0.218</v>
      </c>
      <c r="R166" s="22" t="n">
        <v>-0.121</v>
      </c>
      <c r="S166" s="22" t="n">
        <v>0</v>
      </c>
      <c r="W166" s="22" t="n">
        <v>0</v>
      </c>
      <c r="X166" s="22" t="n">
        <v>-4.662</v>
      </c>
    </row>
    <row r="167">
      <c r="A167" s="20" t="inlineStr">
        <is>
          <t>보조금 수취</t>
        </is>
      </c>
      <c r="D167" s="22" t="n">
        <v>0.143</v>
      </c>
      <c r="F167" s="22" t="n">
        <v>0.672</v>
      </c>
      <c r="H167" s="22" t="n">
        <v>0</v>
      </c>
      <c r="J167" s="22" t="n">
        <v>0.225</v>
      </c>
      <c r="N167" s="22" t="n">
        <v>0</v>
      </c>
      <c r="R167" s="22" t="n">
        <v>10.251</v>
      </c>
      <c r="S167" s="22" t="n">
        <v>7.122</v>
      </c>
      <c r="T167" s="22" t="n">
        <v>0.238</v>
      </c>
      <c r="U167" s="22" t="n">
        <v>0.306</v>
      </c>
      <c r="V167" s="22" t="n">
        <v>0.672</v>
      </c>
      <c r="W167" s="22" t="n">
        <v>0.225</v>
      </c>
      <c r="X167" s="22" t="n">
        <v>0</v>
      </c>
    </row>
    <row r="168">
      <c r="A168" s="20" t="inlineStr">
        <is>
          <t>법인세 납부·환급</t>
        </is>
      </c>
      <c r="D168" s="22" t="n">
        <v>-11.805</v>
      </c>
    </row>
    <row r="169">
      <c r="A169" s="20" t="inlineStr">
        <is>
          <t>법인세 납부</t>
        </is>
      </c>
      <c r="D169" s="22" t="n">
        <v>-11.805</v>
      </c>
      <c r="F169" s="22" t="n">
        <v>-40.326</v>
      </c>
      <c r="H169" s="22" t="n">
        <v>-5.43</v>
      </c>
      <c r="J169" s="22" t="n">
        <v>-28.692</v>
      </c>
      <c r="L169" s="22" t="n">
        <v>-98.93300000000001</v>
      </c>
      <c r="N169" s="22" t="n">
        <v>-154.885</v>
      </c>
      <c r="O169" s="22" t="n">
        <v>-0.29</v>
      </c>
      <c r="P169" s="22" t="n">
        <v>-0.708</v>
      </c>
      <c r="Q169" s="22" t="n">
        <v>-39.323</v>
      </c>
      <c r="R169" s="22" t="n">
        <v>-85.76000000000001</v>
      </c>
      <c r="S169" s="22" t="n">
        <v>-81.961</v>
      </c>
      <c r="T169" s="22" t="n">
        <v>-154.374</v>
      </c>
      <c r="U169" s="22" t="n">
        <v>-6.418</v>
      </c>
      <c r="V169" s="22" t="n">
        <v>-40.326</v>
      </c>
      <c r="W169" s="22" t="n">
        <v>-28.692</v>
      </c>
      <c r="X169" s="22" t="n">
        <v>-154.885</v>
      </c>
    </row>
    <row r="170">
      <c r="A170" s="9" t="inlineStr">
        <is>
          <t>영업활동 현금흐름</t>
        </is>
      </c>
      <c r="D170" s="12" t="n">
        <v>12.932</v>
      </c>
      <c r="F170" s="12" t="n">
        <v>68.248</v>
      </c>
      <c r="H170" s="12" t="n">
        <v>197.026</v>
      </c>
      <c r="J170" s="12" t="n">
        <v>442.961</v>
      </c>
      <c r="L170" s="12" t="n">
        <v>375.049</v>
      </c>
      <c r="N170" s="12" t="n">
        <v>652.72</v>
      </c>
      <c r="O170" s="12" t="n">
        <v>75.09399999999999</v>
      </c>
      <c r="P170" s="12" t="n">
        <v>292.463</v>
      </c>
      <c r="Q170" s="12" t="n">
        <v>404.096</v>
      </c>
      <c r="R170" s="12" t="n">
        <v>395.489</v>
      </c>
      <c r="S170" s="12" t="n">
        <v>265.013</v>
      </c>
      <c r="T170" s="12" t="n">
        <v>-4.453</v>
      </c>
      <c r="U170" s="12" t="n">
        <v>-6.691</v>
      </c>
      <c r="V170" s="12" t="n">
        <v>68.248</v>
      </c>
      <c r="W170" s="12" t="n">
        <v>442.961</v>
      </c>
      <c r="X170" s="12" t="n">
        <v>652.72</v>
      </c>
    </row>
    <row r="171">
      <c r="A171" s="20" t="inlineStr">
        <is>
          <t>정기예금 인출</t>
        </is>
      </c>
      <c r="O171" s="22" t="n">
        <v>3.004</v>
      </c>
      <c r="P171" s="22" t="n">
        <v>0</v>
      </c>
    </row>
    <row r="172">
      <c r="A172" s="20" t="inlineStr">
        <is>
          <t>유형자산 취득(설비투자)</t>
        </is>
      </c>
      <c r="D172" s="22" t="n">
        <v>-4.302</v>
      </c>
      <c r="F172" s="22" t="n">
        <v>-4.314</v>
      </c>
      <c r="H172" s="22" t="n">
        <v>0</v>
      </c>
      <c r="J172" s="22" t="n">
        <v>-0.468</v>
      </c>
      <c r="L172" s="22" t="n">
        <v>-0.241</v>
      </c>
      <c r="N172" s="22" t="n">
        <v>-5.338</v>
      </c>
      <c r="O172" s="22" t="n">
        <v>-0.208</v>
      </c>
      <c r="P172" s="22" t="n">
        <v>-12.598</v>
      </c>
      <c r="Q172" s="22" t="n">
        <v>-4.758</v>
      </c>
      <c r="R172" s="22" t="n">
        <v>-82.40300000000001</v>
      </c>
      <c r="S172" s="22" t="n">
        <v>-0.805</v>
      </c>
      <c r="T172" s="22" t="n">
        <v>-3.26</v>
      </c>
      <c r="U172" s="22" t="n">
        <v>-0.71</v>
      </c>
      <c r="V172" s="22" t="n">
        <v>-4.314</v>
      </c>
      <c r="W172" s="22" t="n">
        <v>-0.468</v>
      </c>
      <c r="X172" s="22" t="n">
        <v>-5.338</v>
      </c>
    </row>
    <row r="173">
      <c r="A173" s="20" t="inlineStr">
        <is>
          <t>무형자산 취득</t>
        </is>
      </c>
      <c r="P173" s="22" t="n">
        <v>0</v>
      </c>
      <c r="Q173" s="22" t="n">
        <v>-0.3</v>
      </c>
    </row>
    <row r="174">
      <c r="A174" s="20" t="inlineStr">
        <is>
          <t>관계회사 주식 취득</t>
        </is>
      </c>
      <c r="O174" s="22" t="n">
        <v>0</v>
      </c>
      <c r="P174" s="22" t="n">
        <v>-8.574</v>
      </c>
      <c r="Q174" s="22" t="n">
        <v>0</v>
      </c>
    </row>
    <row r="175">
      <c r="A175" s="20" t="inlineStr">
        <is>
          <t>원상복구 지출</t>
        </is>
      </c>
      <c r="D175" s="22" t="n">
        <v>-25.123</v>
      </c>
      <c r="F175" s="22" t="n">
        <v>-25.123</v>
      </c>
      <c r="H175" s="22" t="n">
        <v>0</v>
      </c>
      <c r="J175" s="22" t="n">
        <v>0</v>
      </c>
      <c r="U175" s="22" t="n">
        <v>0</v>
      </c>
      <c r="V175" s="22" t="n">
        <v>-25.123</v>
      </c>
      <c r="W175" s="22" t="n">
        <v>0</v>
      </c>
    </row>
    <row r="176">
      <c r="A176" s="20" t="inlineStr">
        <is>
          <t>임차보증금·보증금 회수</t>
        </is>
      </c>
      <c r="D176" s="22" t="n">
        <v>138.559</v>
      </c>
      <c r="F176" s="22" t="n">
        <v>138.559</v>
      </c>
      <c r="H176" s="22" t="n">
        <v>0</v>
      </c>
      <c r="J176" s="22" t="n">
        <v>0</v>
      </c>
      <c r="N176" s="22" t="n">
        <v>0.204</v>
      </c>
      <c r="P176" s="22" t="n">
        <v>0</v>
      </c>
      <c r="Q176" s="22" t="n">
        <v>16.312</v>
      </c>
      <c r="U176" s="22" t="n">
        <v>0</v>
      </c>
      <c r="V176" s="22" t="n">
        <v>138.559</v>
      </c>
      <c r="W176" s="22" t="n">
        <v>0</v>
      </c>
      <c r="X176" s="22" t="n">
        <v>0.204</v>
      </c>
    </row>
    <row r="177">
      <c r="A177" s="20" t="inlineStr">
        <is>
          <t>임차보증금·보증금 납입</t>
        </is>
      </c>
      <c r="D177" s="22" t="n">
        <v>-1.68</v>
      </c>
      <c r="F177" s="22" t="n">
        <v>-1.68</v>
      </c>
      <c r="H177" s="22" t="n">
        <v>0</v>
      </c>
      <c r="J177" s="22" t="n">
        <v>0</v>
      </c>
      <c r="L177" s="22" t="n">
        <v>-0.05</v>
      </c>
      <c r="N177" s="22" t="n">
        <v>-0.05</v>
      </c>
      <c r="P177" s="22" t="n">
        <v>0</v>
      </c>
      <c r="Q177" s="22" t="n">
        <v>-71.497</v>
      </c>
      <c r="S177" s="22" t="n">
        <v>0</v>
      </c>
      <c r="T177" s="22" t="n">
        <v>-2.678</v>
      </c>
      <c r="U177" s="22" t="n">
        <v>-49.006</v>
      </c>
      <c r="V177" s="22" t="n">
        <v>-1.68</v>
      </c>
      <c r="W177" s="22" t="n">
        <v>0</v>
      </c>
      <c r="X177" s="22" t="n">
        <v>-0.05</v>
      </c>
    </row>
    <row r="178">
      <c r="A178" s="20" t="inlineStr">
        <is>
          <t>투자유가증권 취득</t>
        </is>
      </c>
      <c r="S178" s="22" t="n">
        <v>0</v>
      </c>
      <c r="T178" s="22" t="n">
        <v>-50</v>
      </c>
      <c r="U178" s="22" t="n">
        <v>0</v>
      </c>
    </row>
    <row r="179">
      <c r="A179" s="20" t="inlineStr">
        <is>
          <t>연결범위 변경 자회사 주식 취득</t>
        </is>
      </c>
      <c r="D179" s="22" t="n">
        <v>0</v>
      </c>
      <c r="F179" s="22" t="n">
        <v>0</v>
      </c>
      <c r="H179" s="22" t="n">
        <v>-21.66</v>
      </c>
      <c r="J179" s="22" t="n">
        <v>-21.66</v>
      </c>
      <c r="L179" s="22" t="n">
        <v>0</v>
      </c>
      <c r="N179" s="22" t="n">
        <v>0</v>
      </c>
      <c r="V179" s="22" t="n">
        <v>0</v>
      </c>
      <c r="W179" s="22" t="n">
        <v>-21.66</v>
      </c>
      <c r="X179" s="22" t="n">
        <v>0</v>
      </c>
    </row>
    <row r="180">
      <c r="A180" s="20" t="inlineStr">
        <is>
          <t>기타</t>
        </is>
      </c>
      <c r="F180" s="22" t="n">
        <v>0</v>
      </c>
      <c r="J180" s="22" t="n">
        <v>0.2</v>
      </c>
      <c r="N180" s="22" t="n">
        <v>0</v>
      </c>
      <c r="O180" s="22" t="n">
        <v>-18.919</v>
      </c>
      <c r="P180" s="22" t="n">
        <v>-16.286</v>
      </c>
      <c r="Q180" s="22" t="n">
        <v>-2.655</v>
      </c>
      <c r="R180" s="22" t="n">
        <v>-3.976</v>
      </c>
      <c r="S180" s="22" t="n">
        <v>0.255</v>
      </c>
      <c r="T180" s="22" t="n">
        <v>0</v>
      </c>
      <c r="V180" s="22" t="n">
        <v>0</v>
      </c>
      <c r="W180" s="22" t="n">
        <v>0.2</v>
      </c>
      <c r="X180" s="22" t="n">
        <v>0</v>
      </c>
    </row>
    <row r="181">
      <c r="A181" s="9" t="inlineStr">
        <is>
          <t>투자활동 현금흐름</t>
        </is>
      </c>
      <c r="D181" s="12" t="n">
        <v>107.453</v>
      </c>
      <c r="F181" s="12" t="n">
        <v>107.441</v>
      </c>
      <c r="H181" s="12" t="n">
        <v>-21.66</v>
      </c>
      <c r="J181" s="12" t="n">
        <v>-21.929</v>
      </c>
      <c r="L181" s="12" t="n">
        <v>-0.292</v>
      </c>
      <c r="N181" s="12" t="n">
        <v>-5.184</v>
      </c>
      <c r="O181" s="12" t="n">
        <v>-16.123</v>
      </c>
      <c r="P181" s="12" t="n">
        <v>-37.46</v>
      </c>
      <c r="Q181" s="12" t="n">
        <v>-62.898</v>
      </c>
      <c r="R181" s="12" t="n">
        <v>-86.38</v>
      </c>
      <c r="S181" s="12" t="n">
        <v>-0.549</v>
      </c>
      <c r="T181" s="12" t="n">
        <v>-55.938</v>
      </c>
      <c r="U181" s="12" t="n">
        <v>-49.716</v>
      </c>
      <c r="V181" s="12" t="n">
        <v>107.441</v>
      </c>
      <c r="W181" s="12" t="n">
        <v>-21.929</v>
      </c>
      <c r="X181" s="12" t="n">
        <v>-5.184</v>
      </c>
    </row>
    <row r="182">
      <c r="A182" s="20" t="inlineStr">
        <is>
          <t>신주예약권 행사에 따른 주식 발행</t>
        </is>
      </c>
      <c r="O182" s="22" t="n">
        <v>0</v>
      </c>
      <c r="P182" s="22" t="n">
        <v>18.933</v>
      </c>
      <c r="Q182" s="22" t="n">
        <v>61.789</v>
      </c>
      <c r="R182" s="22" t="n">
        <v>68.53</v>
      </c>
      <c r="S182" s="22" t="n">
        <v>7.423</v>
      </c>
      <c r="T182" s="22" t="n">
        <v>6.032</v>
      </c>
      <c r="U182" s="22" t="n">
        <v>0</v>
      </c>
    </row>
    <row r="183">
      <c r="A183" s="20" t="inlineStr">
        <is>
          <t>단기차입금 상환</t>
        </is>
      </c>
      <c r="F183" s="22" t="n">
        <v>0</v>
      </c>
      <c r="J183" s="22" t="n">
        <v>-32.436</v>
      </c>
      <c r="N183" s="22" t="n">
        <v>0</v>
      </c>
      <c r="V183" s="22" t="n">
        <v>0</v>
      </c>
      <c r="W183" s="22" t="n">
        <v>-32.436</v>
      </c>
      <c r="X183" s="22" t="n">
        <v>0</v>
      </c>
    </row>
    <row r="184">
      <c r="A184" s="20" t="inlineStr">
        <is>
          <t>장기차입</t>
        </is>
      </c>
      <c r="J184" s="22" t="n">
        <v>0</v>
      </c>
      <c r="N184" s="22" t="n">
        <v>600</v>
      </c>
      <c r="O184" s="22" t="n">
        <v>50</v>
      </c>
      <c r="P184" s="22" t="n">
        <v>0</v>
      </c>
      <c r="W184" s="22" t="n">
        <v>0</v>
      </c>
      <c r="X184" s="22" t="n">
        <v>600</v>
      </c>
    </row>
    <row r="185">
      <c r="A185" s="20" t="inlineStr">
        <is>
          <t>장기차입금 상환</t>
        </is>
      </c>
      <c r="J185" s="22" t="n">
        <v>0</v>
      </c>
      <c r="N185" s="22" t="n">
        <v>-50</v>
      </c>
      <c r="O185" s="22" t="n">
        <v>-18.944</v>
      </c>
      <c r="P185" s="22" t="n">
        <v>-62.335</v>
      </c>
      <c r="Q185" s="22" t="n">
        <v>0</v>
      </c>
      <c r="R185" s="22" t="n">
        <v>-110</v>
      </c>
      <c r="S185" s="22" t="n">
        <v>0</v>
      </c>
      <c r="W185" s="22" t="n">
        <v>0</v>
      </c>
      <c r="X185" s="22" t="n">
        <v>-50</v>
      </c>
    </row>
    <row r="186">
      <c r="A186" s="20" t="inlineStr">
        <is>
          <t>주식 발행</t>
        </is>
      </c>
      <c r="O186" s="22" t="n">
        <v>270</v>
      </c>
      <c r="P186" s="22" t="n">
        <v>521.088</v>
      </c>
      <c r="Q186" s="22" t="n">
        <v>0</v>
      </c>
    </row>
    <row r="187">
      <c r="A187" s="20" t="inlineStr">
        <is>
          <t>상장 관련 비용 지출</t>
        </is>
      </c>
      <c r="O187" s="22" t="n">
        <v>0</v>
      </c>
      <c r="P187" s="22" t="n">
        <v>-11.861</v>
      </c>
      <c r="Q187" s="22" t="n">
        <v>0</v>
      </c>
    </row>
    <row r="188">
      <c r="A188" s="20" t="inlineStr">
        <is>
          <t>주식 발행 지출</t>
        </is>
      </c>
      <c r="O188" s="22" t="n">
        <v>0</v>
      </c>
      <c r="P188" s="22" t="n">
        <v>-0.945</v>
      </c>
      <c r="Q188" s="22" t="n">
        <v>0</v>
      </c>
    </row>
    <row r="189">
      <c r="A189" s="20" t="inlineStr">
        <is>
          <t>자기주식 취득</t>
        </is>
      </c>
      <c r="H189" s="22" t="n">
        <v>0</v>
      </c>
      <c r="J189" s="22" t="n">
        <v>0</v>
      </c>
      <c r="L189" s="22" t="n">
        <v>-599.9930000000001</v>
      </c>
      <c r="N189" s="22" t="n">
        <v>-599.9930000000001</v>
      </c>
      <c r="P189" s="22" t="n">
        <v>0</v>
      </c>
      <c r="Q189" s="22" t="n">
        <v>-0.365</v>
      </c>
      <c r="W189" s="22" t="n">
        <v>0</v>
      </c>
      <c r="X189" s="22" t="n">
        <v>-599.9930000000001</v>
      </c>
    </row>
    <row r="190">
      <c r="A190" s="20" t="inlineStr">
        <is>
          <t>기타</t>
        </is>
      </c>
      <c r="D190" s="22" t="n">
        <v>-0.628</v>
      </c>
      <c r="F190" s="22" t="n">
        <v>-0.628</v>
      </c>
      <c r="H190" s="22" t="n">
        <v>-1.582</v>
      </c>
      <c r="J190" s="22" t="n">
        <v>-1.582</v>
      </c>
      <c r="L190" s="22" t="n">
        <v>-2.314</v>
      </c>
      <c r="N190" s="22" t="n">
        <v>-2.314</v>
      </c>
      <c r="R190" s="22" t="n">
        <v>-0.06</v>
      </c>
      <c r="S190" s="22" t="n">
        <v>-0.083</v>
      </c>
      <c r="T190" s="22" t="n">
        <v>0</v>
      </c>
      <c r="U190" s="22" t="n">
        <v>-0.79</v>
      </c>
      <c r="V190" s="22" t="n">
        <v>-0.628</v>
      </c>
      <c r="W190" s="22" t="n">
        <v>-1.582</v>
      </c>
      <c r="X190" s="22" t="n">
        <v>-2.314</v>
      </c>
    </row>
    <row r="191">
      <c r="A191" s="9" t="inlineStr">
        <is>
          <t>재무활동 현금흐름</t>
        </is>
      </c>
      <c r="D191" s="12" t="n">
        <v>-0.628</v>
      </c>
      <c r="F191" s="12" t="n">
        <v>-0.628</v>
      </c>
      <c r="H191" s="12" t="n">
        <v>-1.582</v>
      </c>
      <c r="J191" s="12" t="n">
        <v>-34.018</v>
      </c>
      <c r="L191" s="12" t="n">
        <v>-602.307</v>
      </c>
      <c r="N191" s="12" t="n">
        <v>-52.307</v>
      </c>
      <c r="O191" s="12" t="n">
        <v>301.056</v>
      </c>
      <c r="P191" s="12" t="n">
        <v>464.88</v>
      </c>
      <c r="Q191" s="12" t="n">
        <v>61.423</v>
      </c>
      <c r="R191" s="12" t="n">
        <v>-41.529</v>
      </c>
      <c r="S191" s="12" t="n">
        <v>7.339</v>
      </c>
      <c r="T191" s="12" t="n">
        <v>6.032</v>
      </c>
      <c r="U191" s="12" t="n">
        <v>-0.79</v>
      </c>
      <c r="V191" s="12" t="n">
        <v>-0.628</v>
      </c>
      <c r="W191" s="12" t="n">
        <v>-34.018</v>
      </c>
      <c r="X191" s="12" t="n">
        <v>-52.307</v>
      </c>
    </row>
    <row r="192">
      <c r="A192" s="20" t="inlineStr">
        <is>
          <t>현금성자산 환산차이</t>
        </is>
      </c>
      <c r="D192" s="22" t="n">
        <v>4.22</v>
      </c>
      <c r="F192" s="22" t="n">
        <v>3.42</v>
      </c>
      <c r="H192" s="22" t="n">
        <v>5.194</v>
      </c>
      <c r="J192" s="22" t="n">
        <v>12.406</v>
      </c>
      <c r="L192" s="22" t="n">
        <v>0.324</v>
      </c>
      <c r="N192" s="22" t="n">
        <v>1.282</v>
      </c>
      <c r="R192" s="22" t="n">
        <v>0.08699999999999999</v>
      </c>
      <c r="S192" s="22" t="n">
        <v>2.262</v>
      </c>
      <c r="T192" s="22" t="n">
        <v>15.578</v>
      </c>
      <c r="U192" s="22" t="n">
        <v>12.89</v>
      </c>
      <c r="V192" s="22" t="n">
        <v>3.42</v>
      </c>
      <c r="W192" s="22" t="n">
        <v>12.406</v>
      </c>
      <c r="X192" s="22" t="n">
        <v>1.282</v>
      </c>
    </row>
    <row r="193">
      <c r="A193" s="20" t="inlineStr">
        <is>
          <t>현금성자산 증감</t>
        </is>
      </c>
      <c r="D193" s="22" t="n">
        <v>123.977</v>
      </c>
      <c r="F193" s="22" t="n">
        <v>178.482</v>
      </c>
      <c r="H193" s="22" t="n">
        <v>178.977</v>
      </c>
      <c r="J193" s="22" t="n">
        <v>399.42</v>
      </c>
      <c r="L193" s="22" t="n">
        <v>-227.226</v>
      </c>
      <c r="N193" s="22" t="n">
        <v>596.51</v>
      </c>
      <c r="O193" s="22" t="n">
        <v>360.026</v>
      </c>
      <c r="P193" s="22" t="n">
        <v>719.883</v>
      </c>
      <c r="Q193" s="22" t="n">
        <v>402.621</v>
      </c>
      <c r="R193" s="22" t="n">
        <v>267.667</v>
      </c>
      <c r="S193" s="22" t="n">
        <v>274.066</v>
      </c>
      <c r="T193" s="22" t="n">
        <v>-38.779</v>
      </c>
      <c r="U193" s="22" t="n">
        <v>-44.306</v>
      </c>
      <c r="V193" s="22" t="n">
        <v>178.482</v>
      </c>
      <c r="W193" s="22" t="n">
        <v>399.42</v>
      </c>
      <c r="X193" s="22" t="n">
        <v>596.51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팀스피릿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3676.953</v>
      </c>
      <c r="D5" s="12" t="n">
        <v>3925.133</v>
      </c>
      <c r="E5" s="12" t="n">
        <v>3565.092</v>
      </c>
      <c r="F5" s="12" t="n">
        <v>4313.65</v>
      </c>
      <c r="G5" s="12" t="n">
        <v>4355.601</v>
      </c>
      <c r="H5" s="11" t="n">
        <v>2820.332</v>
      </c>
      <c r="I5" s="12" t="n">
        <v>2875.27</v>
      </c>
      <c r="J5" s="12" t="n">
        <v>3123.514</v>
      </c>
      <c r="K5" s="12" t="n">
        <v>3676.953</v>
      </c>
      <c r="L5" s="12" t="n">
        <v>4355.601</v>
      </c>
    </row>
    <row r="6">
      <c r="A6" s="20" t="inlineStr">
        <is>
          <t>현금및현금성자산</t>
        </is>
      </c>
      <c r="B6" s="10" t="n"/>
      <c r="C6" s="21" t="n">
        <v>2942.807</v>
      </c>
      <c r="D6" s="22" t="n">
        <v>3121.948</v>
      </c>
      <c r="E6" s="22" t="n">
        <v>2715.581</v>
      </c>
      <c r="F6" s="22" t="n">
        <v>3533.883</v>
      </c>
      <c r="G6" s="22" t="n">
        <v>3539.318</v>
      </c>
      <c r="H6" s="21" t="n">
        <v>2409.211</v>
      </c>
      <c r="I6" s="22" t="n">
        <v>2364.904</v>
      </c>
      <c r="J6" s="22" t="n">
        <v>2543.387</v>
      </c>
      <c r="K6" s="22" t="n">
        <v>2942.807</v>
      </c>
      <c r="L6" s="22" t="n">
        <v>3539.318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119.585</v>
      </c>
      <c r="D8" s="22" t="n">
        <v>196.644</v>
      </c>
      <c r="E8" s="22" t="n"/>
      <c r="F8" s="22" t="n">
        <v>143.494</v>
      </c>
      <c r="G8" s="22" t="n">
        <v>156.983</v>
      </c>
      <c r="H8" s="21" t="n">
        <v>17.872</v>
      </c>
      <c r="I8" s="22" t="n">
        <v>42.656</v>
      </c>
      <c r="J8" s="22" t="n">
        <v>46.698</v>
      </c>
      <c r="K8" s="22" t="n">
        <v>119.585</v>
      </c>
      <c r="L8" s="22" t="n">
        <v>156.983</v>
      </c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/>
      <c r="G9" s="22" t="n"/>
      <c r="H9" s="21" t="n"/>
      <c r="I9" s="22" t="n"/>
      <c r="J9" s="22" t="n"/>
      <c r="K9" s="22" t="n"/>
      <c r="L9" s="22" t="n"/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795.883</v>
      </c>
      <c r="D11" s="12" t="n">
        <v>762.412</v>
      </c>
      <c r="E11" s="12" t="n">
        <v>745.564</v>
      </c>
      <c r="F11" s="12" t="n">
        <v>729.163</v>
      </c>
      <c r="G11" s="12" t="n">
        <v>778.5549999999999</v>
      </c>
      <c r="H11" s="11" t="n">
        <v>544.366</v>
      </c>
      <c r="I11" s="12" t="n">
        <v>641.467</v>
      </c>
      <c r="J11" s="12" t="n">
        <v>569.458</v>
      </c>
      <c r="K11" s="12" t="n">
        <v>795.883</v>
      </c>
      <c r="L11" s="12" t="n">
        <v>778.5549999999999</v>
      </c>
    </row>
    <row r="12">
      <c r="A12" s="20" t="inlineStr">
        <is>
          <t>유형자산</t>
        </is>
      </c>
      <c r="B12" s="10" t="n"/>
      <c r="C12" s="21" t="n">
        <v>9.036</v>
      </c>
      <c r="D12" s="22" t="n">
        <v>8.726000000000001</v>
      </c>
      <c r="E12" s="22" t="n">
        <v>8.153</v>
      </c>
      <c r="F12" s="22" t="n">
        <v>8.010999999999999</v>
      </c>
      <c r="G12" s="22" t="n">
        <v>10.33</v>
      </c>
      <c r="H12" s="21" t="n">
        <v>50.86</v>
      </c>
      <c r="I12" s="22" t="n">
        <v>12.639</v>
      </c>
      <c r="J12" s="22" t="n">
        <v>11.364</v>
      </c>
      <c r="K12" s="22" t="n">
        <v>9.036</v>
      </c>
      <c r="L12" s="22" t="n">
        <v>10.33</v>
      </c>
    </row>
    <row r="13">
      <c r="A13" s="20" t="inlineStr">
        <is>
          <t>무형자산</t>
        </is>
      </c>
      <c r="B13" s="10" t="n"/>
      <c r="C13" s="21" t="n">
        <v>45.336</v>
      </c>
      <c r="D13" s="22" t="n">
        <v>41.762</v>
      </c>
      <c r="E13" s="22" t="n">
        <v>38.187</v>
      </c>
      <c r="F13" s="22" t="n">
        <v>35.133</v>
      </c>
      <c r="G13" s="22" t="n">
        <v>32.34</v>
      </c>
      <c r="H13" s="21" t="n">
        <v>0.08500000000000001</v>
      </c>
      <c r="I13" s="22" t="n">
        <v>0</v>
      </c>
      <c r="J13" s="22" t="n">
        <v>0</v>
      </c>
      <c r="K13" s="22" t="n">
        <v>45.336</v>
      </c>
      <c r="L13" s="22" t="n">
        <v>32.34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4472.837</v>
      </c>
      <c r="D16" s="12" t="n">
        <v>4687.546</v>
      </c>
      <c r="E16" s="12" t="n">
        <v>4310.657</v>
      </c>
      <c r="F16" s="12" t="n">
        <v>5042.813</v>
      </c>
      <c r="G16" s="12" t="n">
        <v>5134.157</v>
      </c>
      <c r="H16" s="11" t="n">
        <v>3364.699</v>
      </c>
      <c r="I16" s="12" t="n">
        <v>3516.737</v>
      </c>
      <c r="J16" s="12" t="n">
        <v>3692.973</v>
      </c>
      <c r="K16" s="12" t="n">
        <v>4472.837</v>
      </c>
      <c r="L16" s="12" t="n">
        <v>5134.157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2848.914</v>
      </c>
      <c r="D18" s="12" t="n">
        <v>2982.447</v>
      </c>
      <c r="E18" s="12" t="n">
        <v>3114.891</v>
      </c>
      <c r="F18" s="12" t="n">
        <v>3246.452</v>
      </c>
      <c r="G18" s="12" t="n">
        <v>3305.734</v>
      </c>
      <c r="H18" s="11" t="n">
        <v>1829.992</v>
      </c>
      <c r="I18" s="12" t="n">
        <v>2124.695</v>
      </c>
      <c r="J18" s="12" t="n">
        <v>2463.933</v>
      </c>
      <c r="K18" s="12" t="n">
        <v>2848.914</v>
      </c>
      <c r="L18" s="12" t="n">
        <v>3305.734</v>
      </c>
    </row>
    <row r="19">
      <c r="A19" s="20" t="inlineStr">
        <is>
          <t>매입채무</t>
        </is>
      </c>
      <c r="B19" s="10" t="n"/>
      <c r="C19" s="21" t="n">
        <v>12.895</v>
      </c>
      <c r="D19" s="22" t="n">
        <v>12.427</v>
      </c>
      <c r="E19" s="22" t="n">
        <v>11.251</v>
      </c>
      <c r="F19" s="22" t="n">
        <v>15.198</v>
      </c>
      <c r="G19" s="22" t="n">
        <v>14.44</v>
      </c>
      <c r="H19" s="21" t="n">
        <v>6.498</v>
      </c>
      <c r="I19" s="22" t="n">
        <v>5.89</v>
      </c>
      <c r="J19" s="22" t="n">
        <v>9.074999999999999</v>
      </c>
      <c r="K19" s="22" t="n">
        <v>12.895</v>
      </c>
      <c r="L19" s="22" t="n">
        <v>14.44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>
        <v>0</v>
      </c>
      <c r="K20" s="22" t="n"/>
      <c r="L20" s="22" t="n"/>
    </row>
    <row r="21">
      <c r="A21" s="20" t="inlineStr">
        <is>
          <t>유동성장기부채</t>
        </is>
      </c>
      <c r="B21" s="10" t="n"/>
      <c r="C21" s="21" t="n">
        <v>0</v>
      </c>
      <c r="D21" s="22" t="n"/>
      <c r="E21" s="22" t="n"/>
      <c r="F21" s="22" t="n">
        <v>130</v>
      </c>
      <c r="G21" s="22" t="n">
        <v>120</v>
      </c>
      <c r="H21" s="21" t="n"/>
      <c r="I21" s="22" t="n"/>
      <c r="J21" s="22" t="n"/>
      <c r="K21" s="22" t="n">
        <v>0</v>
      </c>
      <c r="L21" s="22" t="n">
        <v>120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0</v>
      </c>
      <c r="D23" s="12" t="n"/>
      <c r="E23" s="12" t="n"/>
      <c r="F23" s="12" t="n">
        <v>460</v>
      </c>
      <c r="G23" s="12" t="n">
        <v>430</v>
      </c>
      <c r="H23" s="11" t="n"/>
      <c r="I23" s="12" t="n"/>
      <c r="J23" s="12" t="n"/>
      <c r="K23" s="12" t="n">
        <v>0</v>
      </c>
      <c r="L23" s="12" t="n">
        <v>430</v>
      </c>
    </row>
    <row r="24">
      <c r="A24" s="20" t="inlineStr">
        <is>
          <t>장기차입금</t>
        </is>
      </c>
      <c r="B24" s="10" t="n"/>
      <c r="C24" s="21" t="n">
        <v>0</v>
      </c>
      <c r="D24" s="22" t="n"/>
      <c r="E24" s="22" t="n"/>
      <c r="F24" s="22" t="n">
        <v>460</v>
      </c>
      <c r="G24" s="22" t="n">
        <v>430</v>
      </c>
      <c r="H24" s="21" t="n"/>
      <c r="I24" s="22" t="n"/>
      <c r="J24" s="22" t="n"/>
      <c r="K24" s="22" t="n">
        <v>0</v>
      </c>
      <c r="L24" s="22" t="n">
        <v>430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2848.914</v>
      </c>
      <c r="D27" s="12" t="n">
        <v>2982.447</v>
      </c>
      <c r="E27" s="12" t="n">
        <v>3114.891</v>
      </c>
      <c r="F27" s="12" t="n">
        <v>3706.452</v>
      </c>
      <c r="G27" s="12" t="n">
        <v>3735.734</v>
      </c>
      <c r="H27" s="11" t="n">
        <v>1829.992</v>
      </c>
      <c r="I27" s="12" t="n">
        <v>2124.695</v>
      </c>
      <c r="J27" s="12" t="n">
        <v>2463.933</v>
      </c>
      <c r="K27" s="12" t="n">
        <v>2848.914</v>
      </c>
      <c r="L27" s="12" t="n">
        <v>3735.734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1614.127</v>
      </c>
      <c r="D31" s="12" t="n">
        <v>1691.888</v>
      </c>
      <c r="E31" s="12" t="n">
        <v>1177.538</v>
      </c>
      <c r="F31" s="12" t="n">
        <v>1314.15</v>
      </c>
      <c r="G31" s="12" t="n">
        <v>1371.087</v>
      </c>
      <c r="H31" s="11" t="n">
        <v>1534.706</v>
      </c>
      <c r="I31" s="12" t="n">
        <v>1392.041</v>
      </c>
      <c r="J31" s="12" t="n">
        <v>1229.039</v>
      </c>
      <c r="K31" s="12" t="n">
        <v>1614.127</v>
      </c>
      <c r="L31" s="12" t="n">
        <v>1371.087</v>
      </c>
    </row>
    <row r="32">
      <c r="A32" s="20" t="inlineStr">
        <is>
          <t>자본금</t>
        </is>
      </c>
      <c r="B32" s="10" t="n"/>
      <c r="C32" s="21" t="n">
        <v>850.812</v>
      </c>
      <c r="D32" s="22" t="n">
        <v>850.812</v>
      </c>
      <c r="E32" s="22" t="n">
        <v>502.494</v>
      </c>
      <c r="F32" s="22" t="n">
        <v>502.494</v>
      </c>
      <c r="G32" s="22" t="n">
        <v>502.494</v>
      </c>
      <c r="H32" s="21" t="n">
        <v>813.375</v>
      </c>
      <c r="I32" s="22" t="n">
        <v>833.3200000000001</v>
      </c>
      <c r="J32" s="22" t="n">
        <v>840.824</v>
      </c>
      <c r="K32" s="22" t="n">
        <v>850.812</v>
      </c>
      <c r="L32" s="22" t="n">
        <v>502.494</v>
      </c>
    </row>
    <row r="33">
      <c r="A33" s="20" t="inlineStr">
        <is>
          <t>이익잉여금</t>
        </is>
      </c>
      <c r="B33" s="10" t="n"/>
      <c r="C33" s="21" t="n">
        <v>-98.55500000000001</v>
      </c>
      <c r="D33" s="22" t="n">
        <v>-21.131</v>
      </c>
      <c r="E33" s="22" t="n">
        <v>59.417</v>
      </c>
      <c r="F33" s="22" t="n">
        <v>195.955</v>
      </c>
      <c r="G33" s="22" t="n">
        <v>252.848</v>
      </c>
      <c r="H33" s="21" t="n">
        <v>-91.922</v>
      </c>
      <c r="I33" s="22" t="n">
        <v>-281.113</v>
      </c>
      <c r="J33" s="22" t="n">
        <v>-461.214</v>
      </c>
      <c r="K33" s="22" t="n">
        <v>-98.55500000000001</v>
      </c>
      <c r="L33" s="22" t="n">
        <v>252.848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1623.923</v>
      </c>
      <c r="D35" s="12" t="n">
        <v>1705.098</v>
      </c>
      <c r="E35" s="12" t="n">
        <v>1195.765</v>
      </c>
      <c r="F35" s="12" t="n">
        <v>1336.361</v>
      </c>
      <c r="G35" s="12" t="n">
        <v>1398.422</v>
      </c>
      <c r="H35" s="11" t="n">
        <v>1534.706</v>
      </c>
      <c r="I35" s="12" t="n">
        <v>1392.041</v>
      </c>
      <c r="J35" s="12" t="n">
        <v>1229.039</v>
      </c>
      <c r="K35" s="12" t="n">
        <v>1623.923</v>
      </c>
      <c r="L35" s="12" t="n">
        <v>1398.422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442.961</v>
      </c>
      <c r="D37" s="12" t="n"/>
      <c r="E37" s="12" t="n">
        <v>620.984</v>
      </c>
      <c r="F37" s="12" t="n"/>
      <c r="G37" s="12" t="n">
        <v>652.72</v>
      </c>
      <c r="H37" s="11" t="n">
        <v>-4.453</v>
      </c>
      <c r="I37" s="12" t="n">
        <v>-6.691</v>
      </c>
      <c r="J37" s="12" t="n">
        <v>68.248</v>
      </c>
      <c r="K37" s="12" t="n">
        <v>442.961</v>
      </c>
      <c r="L37" s="12" t="n">
        <v>652.72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0.468</v>
      </c>
      <c r="D38" s="22" t="n"/>
      <c r="E38" s="22" t="n">
        <v>0.709</v>
      </c>
      <c r="F38" s="22" t="n"/>
      <c r="G38" s="22" t="n">
        <v>5.338</v>
      </c>
      <c r="H38" s="21" t="n">
        <v>3.26</v>
      </c>
      <c r="I38" s="22" t="n">
        <v>0.71</v>
      </c>
      <c r="J38" s="22" t="n">
        <v>4.314</v>
      </c>
      <c r="K38" s="22" t="n">
        <v>0.468</v>
      </c>
      <c r="L38" s="22" t="n">
        <v>5.338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2942.807</v>
      </c>
      <c r="D71" s="22" t="n">
        <v>3121.948</v>
      </c>
      <c r="E71" s="22" t="n">
        <v>2715.581</v>
      </c>
      <c r="F71" s="22" t="n">
        <v>3533.883</v>
      </c>
      <c r="G71" s="22" t="n">
        <v>3539.318</v>
      </c>
      <c r="H71" s="22" t="n">
        <v>2409.211</v>
      </c>
      <c r="I71" s="22" t="n">
        <v>2364.904</v>
      </c>
      <c r="J71" s="22" t="n">
        <v>2543.387</v>
      </c>
      <c r="K71" s="22" t="n">
        <v>2942.807</v>
      </c>
      <c r="L71" s="22" t="n">
        <v>3539.318</v>
      </c>
    </row>
    <row r="72">
      <c r="A72" s="20" t="inlineStr">
        <is>
          <t>매출채권</t>
        </is>
      </c>
      <c r="H72" s="22" t="n">
        <v>0</v>
      </c>
    </row>
    <row r="73">
      <c r="A73" s="20" t="inlineStr">
        <is>
          <t>매출채권·계약자산</t>
        </is>
      </c>
      <c r="H73" s="22" t="n">
        <v>17.872</v>
      </c>
      <c r="I73" s="22" t="n">
        <v>42.656</v>
      </c>
    </row>
    <row r="74">
      <c r="A74" s="20" t="inlineStr">
        <is>
          <t>매출채권·계약자산</t>
        </is>
      </c>
      <c r="C74" s="22" t="n">
        <v>119.585</v>
      </c>
      <c r="E74" s="22" t="n">
        <v>216.805</v>
      </c>
      <c r="H74" s="22" t="n">
        <v>17.872</v>
      </c>
      <c r="I74" s="22" t="n">
        <v>42.656</v>
      </c>
      <c r="J74" s="22" t="n">
        <v>46.698</v>
      </c>
      <c r="K74" s="22" t="n">
        <v>119.585</v>
      </c>
    </row>
    <row r="75">
      <c r="A75" s="20" t="inlineStr">
        <is>
          <t>매출채권·계약자산</t>
        </is>
      </c>
      <c r="C75" s="22" t="n">
        <v>119.585</v>
      </c>
      <c r="D75" s="22" t="n">
        <v>196.644</v>
      </c>
      <c r="F75" s="22" t="n">
        <v>143.494</v>
      </c>
      <c r="G75" s="22" t="n">
        <v>156.983</v>
      </c>
      <c r="I75" s="22" t="n">
        <v>42.656</v>
      </c>
      <c r="J75" s="22" t="n">
        <v>46.698</v>
      </c>
      <c r="K75" s="22" t="n">
        <v>119.585</v>
      </c>
      <c r="L75" s="22" t="n">
        <v>156.983</v>
      </c>
    </row>
    <row r="76">
      <c r="A76" s="20" t="inlineStr">
        <is>
          <t>선급금</t>
        </is>
      </c>
      <c r="C76" s="22" t="n">
        <v>455.501</v>
      </c>
      <c r="D76" s="22" t="n">
        <v>446.254</v>
      </c>
      <c r="E76" s="22" t="n">
        <v>470.306</v>
      </c>
      <c r="F76" s="22" t="n">
        <v>491.739</v>
      </c>
      <c r="G76" s="22" t="n">
        <v>519.3</v>
      </c>
      <c r="H76" s="22" t="n">
        <v>285.507</v>
      </c>
      <c r="I76" s="22" t="n">
        <v>325.985</v>
      </c>
      <c r="J76" s="22" t="n">
        <v>359.734</v>
      </c>
      <c r="K76" s="22" t="n">
        <v>455.501</v>
      </c>
      <c r="L76" s="22" t="n">
        <v>519.3</v>
      </c>
    </row>
    <row r="77">
      <c r="A77" s="20" t="inlineStr">
        <is>
          <t>기타</t>
        </is>
      </c>
      <c r="C77" s="22" t="n">
        <v>159.705</v>
      </c>
      <c r="D77" s="22" t="n">
        <v>160.736</v>
      </c>
      <c r="E77" s="22" t="n">
        <v>163.049</v>
      </c>
      <c r="F77" s="22" t="n">
        <v>145.015</v>
      </c>
      <c r="G77" s="22" t="n">
        <v>140.512</v>
      </c>
      <c r="H77" s="22" t="n">
        <v>107.932</v>
      </c>
      <c r="I77" s="22" t="n">
        <v>142.526</v>
      </c>
      <c r="J77" s="22" t="n">
        <v>174.666</v>
      </c>
      <c r="K77" s="22" t="n">
        <v>159.705</v>
      </c>
      <c r="L77" s="22" t="n">
        <v>140.512</v>
      </c>
    </row>
    <row r="78">
      <c r="A78" s="20" t="inlineStr">
        <is>
          <t>대손충당금</t>
        </is>
      </c>
      <c r="C78" s="22" t="n">
        <v>-0.646</v>
      </c>
      <c r="D78" s="22" t="n">
        <v>-0.45</v>
      </c>
      <c r="E78" s="22" t="n">
        <v>-0.65</v>
      </c>
      <c r="F78" s="22" t="n">
        <v>-0.482</v>
      </c>
      <c r="G78" s="22" t="n">
        <v>-0.513</v>
      </c>
      <c r="H78" s="22" t="n">
        <v>-0.192</v>
      </c>
      <c r="I78" s="22" t="n">
        <v>-0.801</v>
      </c>
      <c r="J78" s="22" t="n">
        <v>-0.972</v>
      </c>
      <c r="K78" s="22" t="n">
        <v>-0.646</v>
      </c>
      <c r="L78" s="22" t="n">
        <v>-0.513</v>
      </c>
    </row>
    <row r="79">
      <c r="A79" s="9" t="inlineStr">
        <is>
          <t>유동자산 합계</t>
        </is>
      </c>
      <c r="C79" s="12" t="n">
        <v>3676.953</v>
      </c>
      <c r="D79" s="12" t="n">
        <v>3925.133</v>
      </c>
      <c r="E79" s="12" t="n">
        <v>3565.092</v>
      </c>
      <c r="F79" s="12" t="n">
        <v>4313.65</v>
      </c>
      <c r="G79" s="12" t="n">
        <v>4355.601</v>
      </c>
      <c r="H79" s="12" t="n">
        <v>2820.332</v>
      </c>
      <c r="I79" s="12" t="n">
        <v>2875.27</v>
      </c>
      <c r="J79" s="12" t="n">
        <v>3123.514</v>
      </c>
      <c r="K79" s="12" t="n">
        <v>3676.953</v>
      </c>
      <c r="L79" s="12" t="n">
        <v>4355.601</v>
      </c>
    </row>
    <row r="80">
      <c r="A80" s="20" t="inlineStr">
        <is>
          <t>건물 부속설비</t>
        </is>
      </c>
      <c r="C80" s="22" t="n">
        <v>2.638</v>
      </c>
      <c r="G80" s="22" t="n">
        <v>2.638</v>
      </c>
      <c r="H80" s="22" t="n">
        <v>67.83499999999999</v>
      </c>
      <c r="I80" s="22" t="n">
        <v>67.83499999999999</v>
      </c>
      <c r="J80" s="22" t="n">
        <v>2.638</v>
      </c>
      <c r="K80" s="22" t="n">
        <v>2.638</v>
      </c>
      <c r="L80" s="22" t="n">
        <v>2.638</v>
      </c>
    </row>
    <row r="81">
      <c r="A81" s="20" t="inlineStr">
        <is>
          <t>감가상각누계액</t>
        </is>
      </c>
      <c r="C81" s="22" t="n">
        <v>-0.548</v>
      </c>
      <c r="G81" s="22" t="n">
        <v>-0.822</v>
      </c>
      <c r="H81" s="22" t="n">
        <v>-28.511</v>
      </c>
      <c r="I81" s="22" t="n">
        <v>-67.83499999999999</v>
      </c>
      <c r="J81" s="22" t="n">
        <v>-0.274</v>
      </c>
      <c r="K81" s="22" t="n">
        <v>-0.548</v>
      </c>
      <c r="L81" s="22" t="n">
        <v>-0.822</v>
      </c>
    </row>
    <row r="82">
      <c r="A82" s="20" t="inlineStr">
        <is>
          <t>건물부속설비(순액)</t>
        </is>
      </c>
      <c r="C82" s="22" t="n">
        <v>2.089</v>
      </c>
      <c r="G82" s="22" t="n">
        <v>1.815</v>
      </c>
      <c r="H82" s="22" t="n">
        <v>39.324</v>
      </c>
      <c r="I82" s="22" t="n">
        <v>0</v>
      </c>
      <c r="J82" s="22" t="n">
        <v>2.363</v>
      </c>
      <c r="K82" s="22" t="n">
        <v>2.089</v>
      </c>
      <c r="L82" s="22" t="n">
        <v>1.815</v>
      </c>
    </row>
    <row r="83">
      <c r="A83" s="20" t="inlineStr">
        <is>
          <t>기타</t>
        </is>
      </c>
      <c r="C83" s="22" t="n">
        <v>17.441</v>
      </c>
      <c r="G83" s="22" t="n">
        <v>19.484</v>
      </c>
      <c r="H83" s="22" t="n">
        <v>31.928</v>
      </c>
      <c r="I83" s="22" t="n">
        <v>33.232</v>
      </c>
      <c r="J83" s="22" t="n">
        <v>16.973</v>
      </c>
      <c r="K83" s="22" t="n">
        <v>17.441</v>
      </c>
      <c r="L83" s="22" t="n">
        <v>19.484</v>
      </c>
    </row>
    <row r="84">
      <c r="A84" s="20" t="inlineStr">
        <is>
          <t>감가상각누계액</t>
        </is>
      </c>
      <c r="C84" s="22" t="n">
        <v>-10.494</v>
      </c>
      <c r="G84" s="22" t="n">
        <v>-10.969</v>
      </c>
      <c r="H84" s="22" t="n">
        <v>-20.392</v>
      </c>
      <c r="I84" s="22" t="n">
        <v>-29.937</v>
      </c>
      <c r="J84" s="22" t="n">
        <v>-7.972</v>
      </c>
      <c r="K84" s="22" t="n">
        <v>-10.494</v>
      </c>
      <c r="L84" s="22" t="n">
        <v>-10.969</v>
      </c>
    </row>
    <row r="85">
      <c r="A85" s="20" t="inlineStr">
        <is>
          <t>기타(순액)</t>
        </is>
      </c>
      <c r="C85" s="22" t="n">
        <v>6.947</v>
      </c>
      <c r="G85" s="22" t="n">
        <v>8.515000000000001</v>
      </c>
      <c r="H85" s="22" t="n">
        <v>11.536</v>
      </c>
      <c r="I85" s="22" t="n">
        <v>3.295</v>
      </c>
      <c r="J85" s="22" t="n">
        <v>9.000999999999999</v>
      </c>
      <c r="K85" s="22" t="n">
        <v>6.947</v>
      </c>
      <c r="L85" s="22" t="n">
        <v>8.515000000000001</v>
      </c>
    </row>
    <row r="86">
      <c r="A86" s="20" t="inlineStr">
        <is>
          <t>건설중인자산</t>
        </is>
      </c>
      <c r="H86" s="22" t="n">
        <v>0</v>
      </c>
      <c r="I86" s="22" t="n">
        <v>9.343999999999999</v>
      </c>
      <c r="J86" s="22" t="n">
        <v>0</v>
      </c>
    </row>
    <row r="87">
      <c r="A87" s="20" t="inlineStr">
        <is>
          <t>유형자산 합계</t>
        </is>
      </c>
      <c r="C87" s="22" t="n">
        <v>9.036</v>
      </c>
      <c r="D87" s="22" t="n">
        <v>8.726000000000001</v>
      </c>
      <c r="E87" s="22" t="n">
        <v>8.153</v>
      </c>
      <c r="F87" s="22" t="n">
        <v>8.010999999999999</v>
      </c>
      <c r="G87" s="22" t="n">
        <v>10.33</v>
      </c>
      <c r="H87" s="22" t="n">
        <v>50.86</v>
      </c>
      <c r="I87" s="22" t="n">
        <v>12.639</v>
      </c>
      <c r="J87" s="22" t="n">
        <v>11.364</v>
      </c>
      <c r="K87" s="22" t="n">
        <v>9.036</v>
      </c>
      <c r="L87" s="22" t="n">
        <v>10.33</v>
      </c>
    </row>
    <row r="88">
      <c r="A88" s="20" t="inlineStr">
        <is>
          <t>영업권</t>
        </is>
      </c>
      <c r="C88" s="22" t="n">
        <v>39.84</v>
      </c>
      <c r="D88" s="22" t="n">
        <v>37.627</v>
      </c>
      <c r="E88" s="22" t="n">
        <v>35.413</v>
      </c>
      <c r="F88" s="22" t="n">
        <v>33.2</v>
      </c>
      <c r="G88" s="22" t="n">
        <v>30.986</v>
      </c>
      <c r="J88" s="22" t="n">
        <v>0</v>
      </c>
      <c r="K88" s="22" t="n">
        <v>39.84</v>
      </c>
      <c r="L88" s="22" t="n">
        <v>30.986</v>
      </c>
    </row>
    <row r="89">
      <c r="A89" s="20" t="inlineStr">
        <is>
          <t>기타</t>
        </is>
      </c>
      <c r="C89" s="22" t="n">
        <v>5.496</v>
      </c>
      <c r="D89" s="22" t="n">
        <v>4.135</v>
      </c>
      <c r="E89" s="22" t="n">
        <v>2.774</v>
      </c>
      <c r="F89" s="22" t="n">
        <v>1.933</v>
      </c>
      <c r="G89" s="22" t="n">
        <v>1.353</v>
      </c>
      <c r="H89" s="22" t="n">
        <v>0.08500000000000001</v>
      </c>
      <c r="I89" s="22" t="n">
        <v>0</v>
      </c>
      <c r="J89" s="22" t="n">
        <v>0</v>
      </c>
      <c r="K89" s="22" t="n">
        <v>5.496</v>
      </c>
      <c r="L89" s="22" t="n">
        <v>1.353</v>
      </c>
    </row>
    <row r="90">
      <c r="A90" s="20" t="inlineStr">
        <is>
          <t>무형자산 합계</t>
        </is>
      </c>
      <c r="C90" s="22" t="n">
        <v>45.336</v>
      </c>
      <c r="D90" s="22" t="n">
        <v>41.762</v>
      </c>
      <c r="E90" s="22" t="n">
        <v>38.187</v>
      </c>
      <c r="F90" s="22" t="n">
        <v>35.133</v>
      </c>
      <c r="G90" s="22" t="n">
        <v>32.34</v>
      </c>
      <c r="H90" s="22" t="n">
        <v>0.08500000000000001</v>
      </c>
      <c r="I90" s="22" t="n">
        <v>0</v>
      </c>
      <c r="J90" s="22" t="n">
        <v>0</v>
      </c>
      <c r="K90" s="22" t="n">
        <v>45.336</v>
      </c>
      <c r="L90" s="22" t="n">
        <v>32.34</v>
      </c>
    </row>
    <row r="91">
      <c r="A91" s="20" t="inlineStr">
        <is>
          <t>이연법인세자산</t>
        </is>
      </c>
      <c r="C91" s="22" t="n">
        <v>693.3579999999999</v>
      </c>
      <c r="D91" s="22" t="n">
        <v>664.052</v>
      </c>
      <c r="E91" s="22" t="n">
        <v>651.689</v>
      </c>
      <c r="F91" s="22" t="n">
        <v>639.244</v>
      </c>
      <c r="G91" s="22" t="n">
        <v>689.452</v>
      </c>
      <c r="H91" s="22" t="n">
        <v>318.266</v>
      </c>
      <c r="I91" s="22" t="n">
        <v>462.092</v>
      </c>
      <c r="J91" s="22" t="n">
        <v>502.627</v>
      </c>
      <c r="K91" s="22" t="n">
        <v>693.3579999999999</v>
      </c>
      <c r="L91" s="22" t="n">
        <v>689.452</v>
      </c>
    </row>
    <row r="92">
      <c r="A92" s="20" t="inlineStr">
        <is>
          <t>투자유가증권</t>
        </is>
      </c>
      <c r="H92" s="22" t="n">
        <v>50</v>
      </c>
      <c r="I92" s="22" t="n">
        <v>0</v>
      </c>
    </row>
    <row r="93">
      <c r="A93" s="20" t="inlineStr">
        <is>
          <t>기타</t>
        </is>
      </c>
      <c r="C93" s="22" t="n">
        <v>48.151</v>
      </c>
      <c r="D93" s="22" t="n">
        <v>47.871</v>
      </c>
      <c r="E93" s="22" t="n">
        <v>47.534</v>
      </c>
      <c r="F93" s="22" t="n">
        <v>46.774</v>
      </c>
      <c r="G93" s="22" t="n">
        <v>46.432</v>
      </c>
      <c r="H93" s="22" t="n">
        <v>125.154</v>
      </c>
      <c r="I93" s="22" t="n">
        <v>166.735</v>
      </c>
      <c r="J93" s="22" t="n">
        <v>55.465</v>
      </c>
      <c r="K93" s="22" t="n">
        <v>48.151</v>
      </c>
      <c r="L93" s="22" t="n">
        <v>46.432</v>
      </c>
    </row>
    <row r="94">
      <c r="A94" s="20" t="inlineStr">
        <is>
          <t>투자 및 기타자산 합계</t>
        </is>
      </c>
      <c r="C94" s="22" t="n">
        <v>741.51</v>
      </c>
      <c r="D94" s="22" t="n">
        <v>711.923</v>
      </c>
      <c r="E94" s="22" t="n">
        <v>699.223</v>
      </c>
      <c r="F94" s="22" t="n">
        <v>686.018</v>
      </c>
      <c r="G94" s="22" t="n">
        <v>735.884</v>
      </c>
      <c r="H94" s="22" t="n">
        <v>493.421</v>
      </c>
      <c r="I94" s="22" t="n">
        <v>628.827</v>
      </c>
      <c r="J94" s="22" t="n">
        <v>558.093</v>
      </c>
      <c r="K94" s="22" t="n">
        <v>741.51</v>
      </c>
      <c r="L94" s="22" t="n">
        <v>735.884</v>
      </c>
    </row>
    <row r="95">
      <c r="A95" s="9" t="inlineStr">
        <is>
          <t>비유동자산 합계</t>
        </is>
      </c>
      <c r="C95" s="12" t="n">
        <v>795.883</v>
      </c>
      <c r="D95" s="12" t="n">
        <v>762.412</v>
      </c>
      <c r="E95" s="12" t="n">
        <v>745.564</v>
      </c>
      <c r="F95" s="12" t="n">
        <v>729.163</v>
      </c>
      <c r="G95" s="12" t="n">
        <v>778.5549999999999</v>
      </c>
      <c r="H95" s="12" t="n">
        <v>544.366</v>
      </c>
      <c r="I95" s="12" t="n">
        <v>641.467</v>
      </c>
      <c r="J95" s="12" t="n">
        <v>569.458</v>
      </c>
      <c r="K95" s="12" t="n">
        <v>795.883</v>
      </c>
      <c r="L95" s="12" t="n">
        <v>778.5549999999999</v>
      </c>
    </row>
    <row r="96">
      <c r="A96" s="9" t="inlineStr">
        <is>
          <t>자산 합계</t>
        </is>
      </c>
      <c r="C96" s="12" t="n">
        <v>4472.837</v>
      </c>
      <c r="D96" s="12" t="n">
        <v>4687.546</v>
      </c>
      <c r="E96" s="12" t="n">
        <v>4310.657</v>
      </c>
      <c r="F96" s="12" t="n">
        <v>5042.813</v>
      </c>
      <c r="G96" s="12" t="n">
        <v>5134.157</v>
      </c>
      <c r="H96" s="12" t="n">
        <v>3364.699</v>
      </c>
      <c r="I96" s="12" t="n">
        <v>3516.737</v>
      </c>
      <c r="J96" s="12" t="n">
        <v>3692.973</v>
      </c>
      <c r="K96" s="12" t="n">
        <v>4472.837</v>
      </c>
      <c r="L96" s="12" t="n">
        <v>5134.157</v>
      </c>
    </row>
    <row r="97">
      <c r="A97" s="20" t="inlineStr">
        <is>
          <t>매입채무</t>
        </is>
      </c>
      <c r="C97" s="22" t="n">
        <v>12.895</v>
      </c>
      <c r="D97" s="22" t="n">
        <v>12.427</v>
      </c>
      <c r="E97" s="22" t="n">
        <v>11.251</v>
      </c>
      <c r="F97" s="22" t="n">
        <v>15.198</v>
      </c>
      <c r="G97" s="22" t="n">
        <v>14.44</v>
      </c>
      <c r="H97" s="22" t="n">
        <v>6.498</v>
      </c>
      <c r="I97" s="22" t="n">
        <v>5.89</v>
      </c>
      <c r="J97" s="22" t="n">
        <v>9.074999999999999</v>
      </c>
      <c r="K97" s="22" t="n">
        <v>12.895</v>
      </c>
      <c r="L97" s="22" t="n">
        <v>14.44</v>
      </c>
    </row>
    <row r="98">
      <c r="A98" s="20" t="inlineStr">
        <is>
          <t>단기차입금</t>
        </is>
      </c>
      <c r="J98" s="22" t="n">
        <v>0</v>
      </c>
    </row>
    <row r="99">
      <c r="A99" s="20" t="inlineStr">
        <is>
          <t>미지급법인세</t>
        </is>
      </c>
      <c r="C99" s="22" t="n">
        <v>119.016</v>
      </c>
      <c r="D99" s="22" t="n">
        <v>9.574999999999999</v>
      </c>
      <c r="E99" s="22" t="n">
        <v>47.786</v>
      </c>
      <c r="F99" s="22" t="n">
        <v>33.512</v>
      </c>
      <c r="G99" s="22" t="n">
        <v>67.462</v>
      </c>
      <c r="H99" s="22" t="n">
        <v>15.545</v>
      </c>
      <c r="I99" s="22" t="n">
        <v>25.949</v>
      </c>
      <c r="J99" s="22" t="n">
        <v>18.803</v>
      </c>
      <c r="K99" s="22" t="n">
        <v>119.016</v>
      </c>
      <c r="L99" s="22" t="n">
        <v>67.462</v>
      </c>
    </row>
    <row r="100">
      <c r="A100" s="20" t="inlineStr">
        <is>
          <t>미지급비용</t>
        </is>
      </c>
      <c r="C100" s="22" t="n">
        <v>233.495</v>
      </c>
      <c r="D100" s="22" t="n">
        <v>327.35</v>
      </c>
      <c r="E100" s="22" t="n">
        <v>233.553</v>
      </c>
      <c r="F100" s="22" t="n">
        <v>260.081</v>
      </c>
      <c r="G100" s="22" t="n">
        <v>271.955</v>
      </c>
      <c r="J100" s="22" t="n">
        <v>210.321</v>
      </c>
      <c r="K100" s="22" t="n">
        <v>233.495</v>
      </c>
      <c r="L100" s="22" t="n">
        <v>271.955</v>
      </c>
    </row>
    <row r="101">
      <c r="A101" s="20" t="inlineStr">
        <is>
          <t>이연수익</t>
        </is>
      </c>
      <c r="C101" s="22" t="n">
        <v>2025.897</v>
      </c>
      <c r="D101" s="22" t="n">
        <v>2329.654</v>
      </c>
      <c r="E101" s="22" t="n">
        <v>2408.827</v>
      </c>
      <c r="F101" s="22" t="n">
        <v>2446.79</v>
      </c>
      <c r="G101" s="22" t="n">
        <v>2295.996</v>
      </c>
      <c r="H101" s="22" t="n">
        <v>1418.332</v>
      </c>
      <c r="I101" s="22" t="n">
        <v>1568.939</v>
      </c>
      <c r="J101" s="22" t="n">
        <v>1764.085</v>
      </c>
      <c r="K101" s="22" t="n">
        <v>2025.897</v>
      </c>
      <c r="L101" s="22" t="n">
        <v>2295.996</v>
      </c>
    </row>
    <row r="102">
      <c r="A102" s="20" t="inlineStr">
        <is>
          <t>상여충당금</t>
        </is>
      </c>
      <c r="C102" s="22" t="n">
        <v>152.81</v>
      </c>
      <c r="D102" s="22" t="n">
        <v>25.85</v>
      </c>
      <c r="E102" s="22" t="n">
        <v>51.116</v>
      </c>
      <c r="F102" s="22" t="n">
        <v>42.82</v>
      </c>
      <c r="G102" s="22" t="n">
        <v>174.303</v>
      </c>
      <c r="H102" s="22" t="n">
        <v>22.247</v>
      </c>
      <c r="I102" s="22" t="n">
        <v>57.066</v>
      </c>
      <c r="J102" s="22" t="n">
        <v>64.17</v>
      </c>
      <c r="K102" s="22" t="n">
        <v>152.81</v>
      </c>
      <c r="L102" s="22" t="n">
        <v>174.303</v>
      </c>
    </row>
    <row r="103">
      <c r="A103" s="20" t="inlineStr">
        <is>
          <t>주주우대 충당금</t>
        </is>
      </c>
      <c r="C103" s="22" t="n">
        <v>18.483</v>
      </c>
      <c r="D103" s="22" t="n">
        <v>6.772</v>
      </c>
      <c r="E103" s="22" t="n">
        <v>12.536</v>
      </c>
      <c r="F103" s="22" t="n">
        <v>5.246</v>
      </c>
      <c r="G103" s="22" t="n">
        <v>22.589</v>
      </c>
      <c r="J103" s="22" t="n">
        <v>0</v>
      </c>
      <c r="K103" s="22" t="n">
        <v>18.483</v>
      </c>
      <c r="L103" s="22" t="n">
        <v>22.589</v>
      </c>
    </row>
    <row r="104">
      <c r="A104" s="20" t="inlineStr">
        <is>
          <t>사업재편비용충당금</t>
        </is>
      </c>
      <c r="C104" s="22" t="n">
        <v>0</v>
      </c>
      <c r="I104" s="22" t="n">
        <v>0</v>
      </c>
      <c r="J104" s="22" t="n">
        <v>111.525</v>
      </c>
      <c r="K104" s="22" t="n">
        <v>0</v>
      </c>
    </row>
    <row r="105">
      <c r="A105" s="20" t="inlineStr">
        <is>
          <t>1년 내 상환 장기차입금</t>
        </is>
      </c>
      <c r="C105" s="22" t="n">
        <v>0</v>
      </c>
      <c r="F105" s="22" t="n">
        <v>130</v>
      </c>
      <c r="G105" s="22" t="n">
        <v>120</v>
      </c>
      <c r="K105" s="22" t="n">
        <v>0</v>
      </c>
      <c r="L105" s="22" t="n">
        <v>120</v>
      </c>
    </row>
    <row r="106">
      <c r="A106" s="20" t="inlineStr">
        <is>
          <t>기타</t>
        </is>
      </c>
      <c r="C106" s="22" t="n">
        <v>286.315</v>
      </c>
      <c r="D106" s="22" t="n">
        <v>270.817</v>
      </c>
      <c r="E106" s="22" t="n">
        <v>349.819</v>
      </c>
      <c r="F106" s="22" t="n">
        <v>312.801</v>
      </c>
      <c r="G106" s="22" t="n">
        <v>338.986</v>
      </c>
      <c r="H106" s="22" t="n">
        <v>367.368</v>
      </c>
      <c r="I106" s="22" t="n">
        <v>466.849</v>
      </c>
      <c r="J106" s="22" t="n">
        <v>285.952</v>
      </c>
      <c r="K106" s="22" t="n">
        <v>286.315</v>
      </c>
      <c r="L106" s="22" t="n">
        <v>338.986</v>
      </c>
    </row>
    <row r="107">
      <c r="A107" s="9" t="inlineStr">
        <is>
          <t>유동부채 합계</t>
        </is>
      </c>
      <c r="C107" s="12" t="n">
        <v>2848.914</v>
      </c>
      <c r="D107" s="12" t="n">
        <v>2982.447</v>
      </c>
      <c r="E107" s="12" t="n">
        <v>3114.891</v>
      </c>
      <c r="F107" s="12" t="n">
        <v>3246.452</v>
      </c>
      <c r="G107" s="12" t="n">
        <v>3305.734</v>
      </c>
      <c r="H107" s="12" t="n">
        <v>1829.992</v>
      </c>
      <c r="I107" s="12" t="n">
        <v>2124.695</v>
      </c>
      <c r="J107" s="12" t="n">
        <v>2463.933</v>
      </c>
      <c r="K107" s="12" t="n">
        <v>2848.914</v>
      </c>
      <c r="L107" s="12" t="n">
        <v>3305.734</v>
      </c>
    </row>
    <row r="108">
      <c r="A108" s="20" t="inlineStr">
        <is>
          <t>장기차입금</t>
        </is>
      </c>
      <c r="C108" s="22" t="n">
        <v>0</v>
      </c>
      <c r="F108" s="22" t="n">
        <v>460</v>
      </c>
      <c r="G108" s="22" t="n">
        <v>430</v>
      </c>
      <c r="K108" s="22" t="n">
        <v>0</v>
      </c>
      <c r="L108" s="22" t="n">
        <v>430</v>
      </c>
    </row>
    <row r="109">
      <c r="A109" s="9" t="inlineStr">
        <is>
          <t>비유동부채 합계</t>
        </is>
      </c>
      <c r="C109" s="12" t="n">
        <v>0</v>
      </c>
      <c r="F109" s="12" t="n">
        <v>460</v>
      </c>
      <c r="G109" s="12" t="n">
        <v>430</v>
      </c>
      <c r="K109" s="12" t="n">
        <v>0</v>
      </c>
      <c r="L109" s="12" t="n">
        <v>430</v>
      </c>
    </row>
    <row r="110">
      <c r="A110" s="9" t="inlineStr">
        <is>
          <t>부채 합계</t>
        </is>
      </c>
      <c r="C110" s="12" t="n">
        <v>2848.914</v>
      </c>
      <c r="D110" s="12" t="n">
        <v>2982.447</v>
      </c>
      <c r="E110" s="12" t="n">
        <v>3114.891</v>
      </c>
      <c r="F110" s="12" t="n">
        <v>3706.452</v>
      </c>
      <c r="G110" s="12" t="n">
        <v>3735.734</v>
      </c>
      <c r="H110" s="12" t="n">
        <v>1829.992</v>
      </c>
      <c r="I110" s="12" t="n">
        <v>2124.695</v>
      </c>
      <c r="J110" s="12" t="n">
        <v>2463.933</v>
      </c>
      <c r="K110" s="12" t="n">
        <v>2848.914</v>
      </c>
      <c r="L110" s="12" t="n">
        <v>3735.734</v>
      </c>
    </row>
    <row r="111">
      <c r="A111" s="20" t="inlineStr">
        <is>
          <t>자본금</t>
        </is>
      </c>
      <c r="C111" s="22" t="n">
        <v>850.812</v>
      </c>
      <c r="D111" s="22" t="n">
        <v>850.812</v>
      </c>
      <c r="E111" s="22" t="n">
        <v>502.494</v>
      </c>
      <c r="F111" s="22" t="n">
        <v>502.494</v>
      </c>
      <c r="G111" s="22" t="n">
        <v>502.494</v>
      </c>
      <c r="H111" s="22" t="n">
        <v>813.375</v>
      </c>
      <c r="I111" s="22" t="n">
        <v>833.3200000000001</v>
      </c>
      <c r="J111" s="22" t="n">
        <v>840.824</v>
      </c>
      <c r="K111" s="22" t="n">
        <v>850.812</v>
      </c>
      <c r="L111" s="22" t="n">
        <v>502.494</v>
      </c>
    </row>
    <row r="112">
      <c r="A112" s="20" t="inlineStr">
        <is>
          <t>자본잉여금</t>
        </is>
      </c>
      <c r="C112" s="22" t="n">
        <v>840.812</v>
      </c>
      <c r="D112" s="22" t="n">
        <v>840.812</v>
      </c>
      <c r="E112" s="22" t="n">
        <v>1194.119</v>
      </c>
      <c r="F112" s="22" t="n">
        <v>1194.119</v>
      </c>
      <c r="G112" s="22" t="n">
        <v>1194.119</v>
      </c>
      <c r="H112" s="22" t="n">
        <v>803.375</v>
      </c>
      <c r="I112" s="22" t="n">
        <v>823.3200000000001</v>
      </c>
      <c r="J112" s="22" t="n">
        <v>830.824</v>
      </c>
      <c r="K112" s="22" t="n">
        <v>840.812</v>
      </c>
      <c r="L112" s="22" t="n">
        <v>1194.119</v>
      </c>
    </row>
    <row r="113">
      <c r="A113" s="20" t="inlineStr">
        <is>
          <t>이익잉여금</t>
        </is>
      </c>
      <c r="C113" s="22" t="n">
        <v>-98.55500000000001</v>
      </c>
      <c r="D113" s="22" t="n">
        <v>-21.131</v>
      </c>
      <c r="E113" s="22" t="n">
        <v>59.417</v>
      </c>
      <c r="F113" s="22" t="n">
        <v>195.955</v>
      </c>
      <c r="G113" s="22" t="n">
        <v>252.848</v>
      </c>
      <c r="H113" s="22" t="n">
        <v>-91.922</v>
      </c>
      <c r="I113" s="22" t="n">
        <v>-281.113</v>
      </c>
      <c r="J113" s="22" t="n">
        <v>-461.214</v>
      </c>
      <c r="K113" s="22" t="n">
        <v>-98.55500000000001</v>
      </c>
      <c r="L113" s="22" t="n">
        <v>252.848</v>
      </c>
    </row>
    <row r="114">
      <c r="A114" s="20" t="inlineStr">
        <is>
          <t>자기주식</t>
        </is>
      </c>
      <c r="C114" s="22" t="n">
        <v>-0.509</v>
      </c>
      <c r="D114" s="22" t="n">
        <v>-0.509</v>
      </c>
      <c r="E114" s="22" t="n">
        <v>-600.502</v>
      </c>
      <c r="F114" s="22" t="n">
        <v>-600.502</v>
      </c>
      <c r="G114" s="22" t="n">
        <v>-600.502</v>
      </c>
      <c r="H114" s="22" t="n">
        <v>-0.509</v>
      </c>
      <c r="I114" s="22" t="n">
        <v>-0.509</v>
      </c>
      <c r="J114" s="22" t="n">
        <v>-0.509</v>
      </c>
      <c r="K114" s="22" t="n">
        <v>-0.509</v>
      </c>
      <c r="L114" s="22" t="n">
        <v>-600.502</v>
      </c>
    </row>
    <row r="115">
      <c r="A115" s="9" t="inlineStr">
        <is>
          <t>주주자본 합계</t>
        </is>
      </c>
      <c r="C115" s="12" t="n">
        <v>1592.56</v>
      </c>
      <c r="D115" s="12" t="n">
        <v>1669.984</v>
      </c>
      <c r="E115" s="12" t="n">
        <v>1155.529</v>
      </c>
      <c r="F115" s="12" t="n">
        <v>1292.066</v>
      </c>
      <c r="G115" s="12" t="n">
        <v>1348.96</v>
      </c>
      <c r="H115" s="12" t="n">
        <v>1524.319</v>
      </c>
      <c r="I115" s="12" t="n">
        <v>1375.018</v>
      </c>
      <c r="J115" s="12" t="n">
        <v>1209.925</v>
      </c>
      <c r="K115" s="12" t="n">
        <v>1592.56</v>
      </c>
      <c r="L115" s="12" t="n">
        <v>1348.96</v>
      </c>
    </row>
    <row r="116">
      <c r="A116" s="20" t="inlineStr">
        <is>
          <t>해외사업환산조정</t>
        </is>
      </c>
      <c r="C116" s="22" t="n">
        <v>21.566</v>
      </c>
      <c r="D116" s="22" t="n">
        <v>21.903</v>
      </c>
      <c r="E116" s="22" t="n">
        <v>22.008</v>
      </c>
      <c r="F116" s="22" t="n">
        <v>22.082</v>
      </c>
      <c r="G116" s="22" t="n">
        <v>22.127</v>
      </c>
      <c r="H116" s="22" t="n">
        <v>10.387</v>
      </c>
      <c r="I116" s="22" t="n">
        <v>17.022</v>
      </c>
      <c r="J116" s="22" t="n">
        <v>19.113</v>
      </c>
      <c r="K116" s="22" t="n">
        <v>21.566</v>
      </c>
      <c r="L116" s="22" t="n">
        <v>22.127</v>
      </c>
    </row>
    <row r="117">
      <c r="A117" s="20" t="inlineStr">
        <is>
          <t>기타포괄손익누계액 합계</t>
        </is>
      </c>
      <c r="C117" s="22" t="n">
        <v>21.566</v>
      </c>
      <c r="D117" s="22" t="n">
        <v>21.903</v>
      </c>
      <c r="E117" s="22" t="n">
        <v>22.008</v>
      </c>
      <c r="F117" s="22" t="n">
        <v>22.082</v>
      </c>
      <c r="G117" s="22" t="n">
        <v>22.127</v>
      </c>
      <c r="H117" s="22" t="n">
        <v>10.387</v>
      </c>
      <c r="I117" s="22" t="n">
        <v>17.022</v>
      </c>
      <c r="J117" s="22" t="n">
        <v>19.113</v>
      </c>
      <c r="K117" s="22" t="n">
        <v>21.566</v>
      </c>
      <c r="L117" s="22" t="n">
        <v>22.127</v>
      </c>
    </row>
    <row r="118">
      <c r="A118" s="20" t="inlineStr">
        <is>
          <t>신주예약권</t>
        </is>
      </c>
      <c r="C118" s="22" t="n">
        <v>9.795999999999999</v>
      </c>
      <c r="D118" s="22" t="n">
        <v>13.21</v>
      </c>
      <c r="E118" s="22" t="n">
        <v>18.227</v>
      </c>
      <c r="F118" s="22" t="n">
        <v>22.211</v>
      </c>
      <c r="G118" s="22" t="n">
        <v>27.335</v>
      </c>
      <c r="J118" s="22" t="n">
        <v>0</v>
      </c>
      <c r="K118" s="22" t="n">
        <v>9.795999999999999</v>
      </c>
      <c r="L118" s="22" t="n">
        <v>27.335</v>
      </c>
    </row>
    <row r="119">
      <c r="A119" s="9" t="inlineStr">
        <is>
          <t>순자산 합계</t>
        </is>
      </c>
      <c r="C119" s="12" t="n">
        <v>1623.923</v>
      </c>
      <c r="D119" s="12" t="n">
        <v>1705.098</v>
      </c>
      <c r="E119" s="12" t="n">
        <v>1195.765</v>
      </c>
      <c r="F119" s="12" t="n">
        <v>1336.361</v>
      </c>
      <c r="G119" s="12" t="n">
        <v>1398.422</v>
      </c>
      <c r="H119" s="12" t="n">
        <v>1534.706</v>
      </c>
      <c r="I119" s="12" t="n">
        <v>1392.041</v>
      </c>
      <c r="J119" s="12" t="n">
        <v>1229.039</v>
      </c>
      <c r="K119" s="12" t="n">
        <v>1623.923</v>
      </c>
      <c r="L119" s="12" t="n">
        <v>1398.422</v>
      </c>
    </row>
    <row r="120">
      <c r="A120" s="9" t="inlineStr">
        <is>
          <t>부채·순자산 합계</t>
        </is>
      </c>
      <c r="C120" s="12" t="n">
        <v>4472.837</v>
      </c>
      <c r="D120" s="12" t="n">
        <v>4687.546</v>
      </c>
      <c r="E120" s="12" t="n">
        <v>4310.657</v>
      </c>
      <c r="F120" s="12" t="n">
        <v>5042.813</v>
      </c>
      <c r="G120" s="12" t="n">
        <v>5134.157</v>
      </c>
      <c r="H120" s="12" t="n">
        <v>3364.699</v>
      </c>
      <c r="I120" s="12" t="n">
        <v>3516.737</v>
      </c>
      <c r="J120" s="12" t="n">
        <v>3692.973</v>
      </c>
      <c r="K120" s="12" t="n">
        <v>4472.837</v>
      </c>
      <c r="L120" s="12" t="n">
        <v>5134.157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2" t="inlineStr">
        <is>
          <t>팀스피릿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results · 4Q mil yen</t>
        </is>
      </c>
      <c r="B4" s="54" t="n"/>
      <c r="C4" s="54" t="n"/>
      <c r="D4" s="54" t="n"/>
      <c r="E4" s="54" t="n"/>
    </row>
    <row r="5">
      <c r="A5" s="55" t="inlineStr">
        <is>
          <t>항목</t>
        </is>
      </c>
      <c r="B5" s="55" t="inlineStr">
        <is>
          <t>값</t>
        </is>
      </c>
      <c r="E5" s="55" t="inlineStr">
        <is>
          <t>출처</t>
        </is>
      </c>
    </row>
    <row r="6">
      <c r="A6" s="56" t="inlineStr">
        <is>
          <t>매출</t>
        </is>
      </c>
      <c r="B6" s="57" t="n">
        <v>1646</v>
      </c>
      <c r="E6" s="58" t="inlineStr">
        <is>
          <t>2단계 보고서 자료(회사 설명회 자료·공시)</t>
        </is>
      </c>
    </row>
    <row r="7">
      <c r="A7" s="56" t="inlineStr">
        <is>
          <t>license</t>
        </is>
      </c>
      <c r="B7" s="57" t="n">
        <v>1188</v>
      </c>
    </row>
    <row r="8">
      <c r="A8" s="56" t="inlineStr">
        <is>
          <t>ps</t>
        </is>
      </c>
      <c r="B8" s="57" t="n">
        <v>457</v>
      </c>
    </row>
    <row r="9">
      <c r="A9" s="56" t="inlineStr">
        <is>
          <t>영업이익</t>
        </is>
      </c>
      <c r="B9" s="57" t="n">
        <v>32</v>
      </c>
    </row>
    <row r="10">
      <c r="A10" s="56" t="inlineStr">
        <is>
          <t>ordinary</t>
        </is>
      </c>
      <c r="B10" s="57" t="n">
        <v>34</v>
      </c>
    </row>
    <row r="11">
      <c r="A11" s="56" t="inlineStr">
        <is>
          <t>순이익</t>
        </is>
      </c>
      <c r="B11" s="57" t="n">
        <v>56</v>
      </c>
    </row>
    <row r="13">
      <c r="A13" s="54" t="inlineStr">
        <is>
          <t>this results · FY mil yen</t>
        </is>
      </c>
      <c r="B13" s="54" t="n"/>
      <c r="C13" s="54" t="n"/>
      <c r="D13" s="54" t="n"/>
      <c r="E13" s="54" t="n"/>
    </row>
    <row r="14">
      <c r="A14" s="55" t="inlineStr">
        <is>
          <t>항목</t>
        </is>
      </c>
      <c r="B14" s="55" t="inlineStr">
        <is>
          <t>값</t>
        </is>
      </c>
      <c r="E14" s="55" t="inlineStr">
        <is>
          <t>출처</t>
        </is>
      </c>
    </row>
    <row r="15">
      <c r="A15" s="56" t="inlineStr">
        <is>
          <t>매출</t>
        </is>
      </c>
      <c r="B15" s="57" t="n">
        <v>6079</v>
      </c>
      <c r="E15" s="58" t="inlineStr">
        <is>
          <t>2단계 보고서 자료(회사 설명회 자료·공시)</t>
        </is>
      </c>
    </row>
    <row r="16">
      <c r="A16" s="56" t="inlineStr">
        <is>
          <t>license</t>
        </is>
      </c>
      <c r="B16" s="57" t="n">
        <v>4596</v>
      </c>
    </row>
    <row r="17">
      <c r="A17" s="56" t="inlineStr">
        <is>
          <t>ps</t>
        </is>
      </c>
      <c r="B17" s="57" t="n">
        <v>1482</v>
      </c>
    </row>
    <row r="18">
      <c r="A18" s="56" t="inlineStr">
        <is>
          <t>영업이익</t>
        </is>
      </c>
      <c r="B18" s="57" t="n">
        <v>463</v>
      </c>
    </row>
    <row r="19">
      <c r="A19" s="56" t="inlineStr">
        <is>
          <t>순이익</t>
        </is>
      </c>
      <c r="B19" s="57" t="n">
        <v>351</v>
      </c>
    </row>
    <row r="21">
      <c r="A21" s="54" t="inlineStr">
        <is>
          <t>this results · arr</t>
        </is>
      </c>
      <c r="B21" s="54" t="n"/>
      <c r="C21" s="54" t="n"/>
      <c r="D21" s="54" t="n"/>
      <c r="E21" s="54" t="n"/>
    </row>
    <row r="22">
      <c r="A22" s="55" t="inlineStr">
        <is>
          <t>항목</t>
        </is>
      </c>
      <c r="B22" s="55" t="inlineStr">
        <is>
          <t>값</t>
        </is>
      </c>
      <c r="E22" s="55" t="inlineStr">
        <is>
          <t>출처</t>
        </is>
      </c>
    </row>
    <row r="23">
      <c r="A23" s="56" t="inlineStr">
        <is>
          <t>fy26 end</t>
        </is>
      </c>
      <c r="B23" s="57" t="n">
        <v>5011</v>
      </c>
      <c r="E23" s="58" t="inlineStr">
        <is>
          <t>2단계 보고서 자료(회사 설명회 자료·공시)</t>
        </is>
      </c>
    </row>
    <row r="24">
      <c r="A24" s="56" t="inlineStr">
        <is>
          <t>4Q net add</t>
        </is>
      </c>
      <c r="B24" s="57" t="n">
        <v>283</v>
      </c>
    </row>
    <row r="25">
      <c r="A25" s="56" t="inlineStr">
        <is>
          <t>3Q net add</t>
        </is>
      </c>
      <c r="B25" s="57" t="n">
        <v>49</v>
      </c>
    </row>
    <row r="26">
      <c r="A26" s="56" t="inlineStr">
        <is>
          <t>4Q 직전 net add</t>
        </is>
      </c>
      <c r="B26" s="57" t="n">
        <v>207</v>
      </c>
    </row>
    <row r="27">
      <c r="A27" s="56" t="inlineStr">
        <is>
          <t>FY net add</t>
        </is>
      </c>
      <c r="B27" s="57" t="n">
        <v>596</v>
      </c>
    </row>
    <row r="28">
      <c r="A28" s="56" t="inlineStr">
        <is>
          <t>enterprise arr</t>
        </is>
      </c>
      <c r="B28" s="57" t="n">
        <v>2177</v>
      </c>
    </row>
    <row r="30">
      <c r="A30" s="54" t="inlineStr">
        <is>
          <t>this results · others</t>
        </is>
      </c>
      <c r="B30" s="54" t="n"/>
      <c r="C30" s="54" t="n"/>
      <c r="D30" s="54" t="n"/>
      <c r="E30" s="54" t="n"/>
    </row>
    <row r="31">
      <c r="A31" s="55" t="inlineStr">
        <is>
          <t>항목</t>
        </is>
      </c>
      <c r="B31" s="55" t="inlineStr">
        <is>
          <t>값</t>
        </is>
      </c>
      <c r="E31" s="55" t="inlineStr">
        <is>
          <t>출처</t>
        </is>
      </c>
    </row>
    <row r="32">
      <c r="A32" s="56" t="inlineStr">
        <is>
          <t>고객 수</t>
        </is>
      </c>
      <c r="B32" s="57" t="n">
        <v>2257</v>
      </c>
      <c r="E32" s="58" t="inlineStr">
        <is>
          <t>2단계 보고서 자료(회사 설명회 자료·공시)</t>
        </is>
      </c>
    </row>
    <row r="33">
      <c r="A33" s="56" t="inlineStr">
        <is>
          <t>employees</t>
        </is>
      </c>
      <c r="B33" s="57" t="n">
        <v>212</v>
      </c>
    </row>
    <row r="34">
      <c r="A34" s="56" t="inlineStr">
        <is>
          <t>deferred 매출 mil</t>
        </is>
      </c>
      <c r="B34" s="57" t="n">
        <v>2295</v>
      </c>
    </row>
    <row r="35">
      <c r="A35" s="56" t="inlineStr">
        <is>
          <t>cash mil</t>
        </is>
      </c>
      <c r="B35" s="57" t="n">
        <v>3539</v>
      </c>
    </row>
    <row r="37">
      <c r="A37" s="54" t="inlineStr">
        <is>
          <t>this results · 가이던스 fy27 mil</t>
        </is>
      </c>
      <c r="B37" s="54" t="n"/>
      <c r="C37" s="54" t="n"/>
      <c r="D37" s="54" t="n"/>
      <c r="E37" s="54" t="n"/>
    </row>
    <row r="38">
      <c r="A38" s="55" t="inlineStr">
        <is>
          <t>항목</t>
        </is>
      </c>
      <c r="B38" s="55" t="inlineStr">
        <is>
          <t>값</t>
        </is>
      </c>
      <c r="E38" s="55" t="inlineStr">
        <is>
          <t>출처</t>
        </is>
      </c>
    </row>
    <row r="39">
      <c r="A39" s="56" t="inlineStr">
        <is>
          <t>매출</t>
        </is>
      </c>
      <c r="B39" s="57" t="n">
        <v>7000</v>
      </c>
      <c r="E39" s="58" t="inlineStr">
        <is>
          <t>2단계 보고서 자료(회사 설명회 자료·공시)</t>
        </is>
      </c>
    </row>
    <row r="40">
      <c r="A40" s="56" t="inlineStr">
        <is>
          <t>license</t>
        </is>
      </c>
      <c r="B40" s="57" t="n">
        <v>5200</v>
      </c>
    </row>
    <row r="41">
      <c r="A41" s="56" t="inlineStr">
        <is>
          <t>ps</t>
        </is>
      </c>
      <c r="B41" s="57" t="n">
        <v>1800</v>
      </c>
    </row>
    <row r="42">
      <c r="A42" s="56" t="inlineStr">
        <is>
          <t>영업이익</t>
        </is>
      </c>
      <c r="B42" s="57" t="n">
        <v>535</v>
      </c>
    </row>
    <row r="43">
      <c r="A43" s="56" t="inlineStr">
        <is>
          <t>순이익</t>
        </is>
      </c>
      <c r="B43" s="57" t="n">
        <v>405</v>
      </c>
    </row>
    <row r="44">
      <c r="A44" s="56" t="inlineStr">
        <is>
          <t>EPS</t>
        </is>
      </c>
      <c r="B44" s="59" t="n">
        <v>26.6</v>
      </c>
    </row>
    <row r="46">
      <c r="A46" s="54" t="inlineStr">
        <is>
          <t>가이던스 history annual</t>
        </is>
      </c>
      <c r="B46" s="54" t="n"/>
      <c r="C46" s="54" t="n"/>
      <c r="D46" s="54" t="n"/>
      <c r="E46" s="54" t="n"/>
    </row>
    <row r="47">
      <c r="A47" s="55" t="inlineStr">
        <is>
          <t>항목</t>
        </is>
      </c>
      <c r="B47" s="55" t="inlineStr">
        <is>
          <t>first</t>
        </is>
      </c>
      <c r="C47" s="55" t="inlineStr">
        <is>
          <t>실적</t>
        </is>
      </c>
      <c r="E47" s="55" t="inlineStr">
        <is>
          <t>출처</t>
        </is>
      </c>
    </row>
    <row r="48">
      <c r="A48" s="56" t="inlineStr">
        <is>
          <t>FY2019</t>
        </is>
      </c>
      <c r="B48" s="60" t="inlineStr">
        <is>
          <t>매출 18.69억·OP 2.5억</t>
        </is>
      </c>
      <c r="C48" s="60" t="inlineStr">
        <is>
          <t>매출 18.2·OP 2.43</t>
        </is>
      </c>
      <c r="E48" s="58" t="inlineStr">
        <is>
          <t>2단계 보고서 자료(회사 설명회 자료·공시)</t>
        </is>
      </c>
    </row>
    <row r="49">
      <c r="A49" s="56" t="inlineStr">
        <is>
          <t>FY2021</t>
        </is>
      </c>
      <c r="B49" s="60" t="inlineStr">
        <is>
          <t>매출 31.5·OP 2.6·EPS 8.03</t>
        </is>
      </c>
      <c r="C49" s="60" t="inlineStr">
        <is>
          <t>매출 28.96·OP 1.69</t>
        </is>
      </c>
    </row>
    <row r="50">
      <c r="A50" s="56" t="inlineStr">
        <is>
          <t>FY2022</t>
        </is>
      </c>
      <c r="B50" s="60" t="inlineStr">
        <is>
          <t>매출 33~33.5·OP -2.0~-1.5</t>
        </is>
      </c>
      <c r="C50" s="60" t="inlineStr">
        <is>
          <t>매출 32.61·OP -1.18</t>
        </is>
      </c>
    </row>
    <row r="51">
      <c r="A51" s="56" t="inlineStr">
        <is>
          <t>FY2023</t>
        </is>
      </c>
      <c r="B51" s="60" t="inlineStr">
        <is>
          <t>매출 37.5~38·OP -2.5~-2.0</t>
        </is>
      </c>
      <c r="C51" s="60" t="inlineStr">
        <is>
          <t>매출 38.09·OP -2.19</t>
        </is>
      </c>
    </row>
    <row r="52">
      <c r="A52" s="56" t="inlineStr">
        <is>
          <t>FY2024</t>
        </is>
      </c>
      <c r="B52" s="60" t="inlineStr">
        <is>
          <t>매출 44~45(이익 미공시), 2Q에 OP -1.5, 3Q에 OP -1.2·매출 44</t>
        </is>
      </c>
      <c r="C52" s="60" t="inlineStr">
        <is>
          <t>매출 44.21·OP -0.87</t>
        </is>
      </c>
    </row>
    <row r="53">
      <c r="A53" s="56" t="inlineStr">
        <is>
          <t>FY2025</t>
        </is>
      </c>
      <c r="B53" s="60" t="inlineStr">
        <is>
          <t>매출 50·OP 1.5·NI 1.05·EPS 6.39 → 3Q 수정 OP 2.6·NI 2.2·EPS 13.34</t>
        </is>
      </c>
      <c r="C53" s="60" t="inlineStr">
        <is>
          <t>매출 49.22·OP 2.69·NI 3.62·EPS 22.01</t>
        </is>
      </c>
    </row>
    <row r="54">
      <c r="A54" s="56" t="inlineStr">
        <is>
          <t>FY2026</t>
        </is>
      </c>
      <c r="B54" s="60" t="inlineStr">
        <is>
          <t>매출 57·OP 4.3·NI 3.2·EPS 19.4 (3Q EPS 20.27로 주식수 반영)</t>
        </is>
      </c>
      <c r="C54" s="60" t="inlineStr">
        <is>
          <t>매출 60.79·OP 4.63·NI 3.51·EPS 22.46</t>
        </is>
      </c>
    </row>
    <row r="55">
      <c r="A55" s="56" t="inlineStr">
        <is>
          <t>FY2027</t>
        </is>
      </c>
      <c r="B55" s="60" t="inlineStr">
        <is>
          <t>매출 70·OP 5.35·NI 4.05·EPS 26.6</t>
        </is>
      </c>
      <c r="C55" s="60" t="n"/>
    </row>
    <row r="57">
      <c r="A57" s="54" t="inlineStr">
        <is>
          <t>reactions next day</t>
        </is>
      </c>
      <c r="B57" s="54" t="n"/>
      <c r="C57" s="54" t="n"/>
      <c r="D57" s="54" t="n"/>
      <c r="E57" s="54" t="n"/>
    </row>
    <row r="58">
      <c r="A58" s="55" t="inlineStr">
        <is>
          <t>항목</t>
        </is>
      </c>
      <c r="B58" s="55" t="inlineStr">
        <is>
          <t>기준일</t>
        </is>
      </c>
      <c r="C58" s="55" t="inlineStr">
        <is>
          <t>다음날</t>
        </is>
      </c>
      <c r="D58" s="55" t="inlineStr">
        <is>
          <t>등락%</t>
        </is>
      </c>
      <c r="E58" s="55" t="inlineStr">
        <is>
          <t>출처</t>
        </is>
      </c>
    </row>
    <row r="59">
      <c r="A59" s="56" t="inlineStr">
        <is>
          <t>2025-01-10</t>
        </is>
      </c>
      <c r="B59" s="60" t="inlineStr">
        <is>
          <t>2025-01-10</t>
        </is>
      </c>
      <c r="C59" s="60" t="inlineStr">
        <is>
          <t>2025-01-14</t>
        </is>
      </c>
      <c r="D59" s="59" t="n">
        <v>7.9</v>
      </c>
      <c r="E59" s="58" t="inlineStr">
        <is>
          <t>2단계 보고서 자료(회사 설명회 자료·공시)</t>
        </is>
      </c>
    </row>
    <row r="60">
      <c r="A60" s="56" t="inlineStr">
        <is>
          <t>2025-04-11</t>
        </is>
      </c>
      <c r="B60" s="60" t="inlineStr">
        <is>
          <t>2025-04-11</t>
        </is>
      </c>
      <c r="C60" s="60" t="inlineStr">
        <is>
          <t>2025-04-14</t>
        </is>
      </c>
      <c r="D60" s="59" t="n">
        <v>5.6</v>
      </c>
    </row>
    <row r="61">
      <c r="A61" s="56" t="inlineStr">
        <is>
          <t>2025-07-10</t>
        </is>
      </c>
      <c r="B61" s="60" t="inlineStr">
        <is>
          <t>2025-07-10</t>
        </is>
      </c>
      <c r="C61" s="60" t="inlineStr">
        <is>
          <t>2025-07-11</t>
        </is>
      </c>
      <c r="D61" s="59" t="n">
        <v>11.9</v>
      </c>
    </row>
    <row r="62">
      <c r="A62" s="56" t="inlineStr">
        <is>
          <t>2025-10-15</t>
        </is>
      </c>
      <c r="B62" s="60" t="inlineStr">
        <is>
          <t>2025-10-15</t>
        </is>
      </c>
      <c r="C62" s="60" t="inlineStr">
        <is>
          <t>2025-10-16</t>
        </is>
      </c>
      <c r="D62" s="59" t="n">
        <v>-4.6</v>
      </c>
    </row>
    <row r="63">
      <c r="A63" s="56" t="inlineStr">
        <is>
          <t>2026-01-14</t>
        </is>
      </c>
      <c r="B63" s="60" t="inlineStr">
        <is>
          <t>2026-01-14</t>
        </is>
      </c>
      <c r="C63" s="60" t="inlineStr">
        <is>
          <t>2026-01-15</t>
        </is>
      </c>
      <c r="D63" s="59" t="n">
        <v>-2.5</v>
      </c>
    </row>
    <row r="64">
      <c r="A64" s="56" t="inlineStr">
        <is>
          <t>2026-04-13</t>
        </is>
      </c>
      <c r="B64" s="60" t="inlineStr">
        <is>
          <t>2026-04-13</t>
        </is>
      </c>
      <c r="C64" s="60" t="inlineStr">
        <is>
          <t>2026-04-14</t>
        </is>
      </c>
      <c r="D64" s="59" t="n">
        <v>1.4</v>
      </c>
    </row>
    <row r="65">
      <c r="A65" s="56" t="inlineStr">
        <is>
          <t>2026-07-15</t>
        </is>
      </c>
      <c r="B65" s="60" t="inlineStr">
        <is>
          <t>2026-07-15</t>
        </is>
      </c>
      <c r="C65" s="60" t="inlineStr">
        <is>
          <t>2026-07-16</t>
        </is>
      </c>
      <c r="D65" s="59" t="n">
        <v>-3.2</v>
      </c>
    </row>
    <row r="66">
      <c r="A66" s="56" t="inlineStr">
        <is>
          <t>2026-10-14</t>
        </is>
      </c>
      <c r="B66" s="60" t="inlineStr">
        <is>
          <t>2026-10-14</t>
        </is>
      </c>
      <c r="C66" s="60" t="inlineStr">
        <is>
          <t>2026-10-15</t>
        </is>
      </c>
      <c r="D66" s="59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2026-10-14</t>
        </is>
      </c>
      <c r="B4" t="inlineStr">
        <is>
          <t>2026년 8월 결산기 연간 결산단신</t>
        </is>
      </c>
      <c r="C4" t="inlineStr">
        <is>
          <t>https://www2.jpx.co.jp/disc/43970/140120261013549950.pdf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https://www2.jpx.co.jp/disc/43970/140120260714593463.pdf</t>
        </is>
      </c>
    </row>
    <row r="6">
      <c r="A6" t="inlineStr">
        <is>
          <t>2026-04-13</t>
        </is>
      </c>
      <c r="B6" t="inlineStr">
        <is>
          <t>2026년 8월 결산기 ２분기 결산단신</t>
        </is>
      </c>
      <c r="C6" t="inlineStr">
        <is>
          <t>https://www2.jpx.co.jp/disc/43970/140120260410501801.pdf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https://www2.jpx.co.jp/disc/43970/140120260113532837.pdf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https://www2.jpx.co.jp/disc/43970/140120251010572092.pdf</t>
        </is>
      </c>
    </row>
    <row r="9">
      <c r="A9" t="inlineStr">
        <is>
          <t>2025-07-10</t>
        </is>
      </c>
      <c r="B9" t="inlineStr">
        <is>
          <t>2025년 8월 결산기 ３분기 결산단신</t>
        </is>
      </c>
      <c r="C9" t="inlineStr">
        <is>
          <t>https://www2.jpx.co.jp/disc/43970/140120250709510851.pdf</t>
        </is>
      </c>
    </row>
    <row r="10">
      <c r="A10" t="inlineStr">
        <is>
          <t>2025-04-11</t>
        </is>
      </c>
      <c r="B10" t="inlineStr">
        <is>
          <t>2025년 8월 결산기 ２분기 결산단신</t>
        </is>
      </c>
      <c r="C10" t="inlineStr">
        <is>
          <t>https://www2.jpx.co.jp/disc/43970/140120250409511582.pdf</t>
        </is>
      </c>
    </row>
    <row r="11">
      <c r="A11" t="inlineStr">
        <is>
          <t>2025-01-10</t>
        </is>
      </c>
      <c r="B11" t="inlineStr">
        <is>
          <t>2025년 8월 결산기 １분기 결산단신</t>
        </is>
      </c>
      <c r="C11" t="inlineStr">
        <is>
          <t>https://www2.jpx.co.jp/disc/43970/140120250110548972.pdf</t>
        </is>
      </c>
    </row>
    <row r="12">
      <c r="A12" t="inlineStr">
        <is>
          <t>2024-10-11</t>
        </is>
      </c>
      <c r="B12" t="inlineStr">
        <is>
          <t>2024년 8월 결산기 연간 결산단신</t>
        </is>
      </c>
      <c r="C12" t="inlineStr">
        <is>
          <t>https://www2.jpx.co.jp/disc/43970/140120241010596233.pdf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https://www2.jpx.co.jp/disc/43970/140120240711547565.pdf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https://www2.jpx.co.jp/disc/43970/140120240412569790.pdf</t>
        </is>
      </c>
    </row>
    <row r="15">
      <c r="A15" t="inlineStr">
        <is>
          <t>2024-01-11</t>
        </is>
      </c>
      <c r="B15" t="inlineStr">
        <is>
          <t>2024년 8월 결산기 １분기 결산단신</t>
        </is>
      </c>
      <c r="C15" t="inlineStr">
        <is>
          <t>https://www2.jpx.co.jp/disc/43970/140120240111513259.pdf</t>
        </is>
      </c>
    </row>
    <row r="16">
      <c r="A16" t="inlineStr">
        <is>
          <t>2023-10-12</t>
        </is>
      </c>
      <c r="B16" t="inlineStr">
        <is>
          <t>2023년 8월 결산기 연간 결산단신</t>
        </is>
      </c>
      <c r="C16" t="inlineStr">
        <is>
          <t>https://www2.jpx.co.jp/disc/43970/140120231012565630.pdf</t>
        </is>
      </c>
    </row>
    <row r="17">
      <c r="A17" t="inlineStr">
        <is>
          <t>2023-07-12</t>
        </is>
      </c>
      <c r="B17" t="inlineStr">
        <is>
          <t>2023년 8월 결산기 ３분기 결산단신</t>
        </is>
      </c>
      <c r="C17" t="inlineStr">
        <is>
          <t>https://www2.jpx.co.jp/disc/43970/140120230712520811.pdf</t>
        </is>
      </c>
    </row>
    <row r="18">
      <c r="A18" t="inlineStr">
        <is>
          <t>2023-04-12</t>
        </is>
      </c>
      <c r="B18" t="inlineStr">
        <is>
          <t>2023년 8월 결산기 ２분기 결산단신</t>
        </is>
      </c>
      <c r="C18" t="inlineStr">
        <is>
          <t>https://www2.jpx.co.jp/disc/43970/140120230412545649.pdf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https://www2.jpx.co.jp/disc/43970/140120230113588861.pdf</t>
        </is>
      </c>
    </row>
    <row r="20">
      <c r="A20" t="inlineStr">
        <is>
          <t>2022-10-13</t>
        </is>
      </c>
      <c r="B20" t="inlineStr">
        <is>
          <t>2022년 8월 결산기 연간 결산단신</t>
        </is>
      </c>
      <c r="C20" t="inlineStr">
        <is>
          <t>https://www2.jpx.co.jp/disc/43970/140120221013543810.pdf</t>
        </is>
      </c>
    </row>
    <row r="21">
      <c r="A21" t="inlineStr">
        <is>
          <t>2021-10-13</t>
        </is>
      </c>
      <c r="B21" t="inlineStr">
        <is>
          <t>2021년 8월 결산기 연간 결산단신</t>
        </is>
      </c>
      <c r="C21" t="inlineStr">
        <is>
          <t>https://www2.jpx.co.jp/disc/43970/140120211012409931.pdf</t>
        </is>
      </c>
    </row>
    <row r="22">
      <c r="A22" t="inlineStr">
        <is>
          <t>2020-10-13</t>
        </is>
      </c>
      <c r="B22" t="inlineStr">
        <is>
          <t>2020년 8월 결산기 연간 결산단신</t>
        </is>
      </c>
      <c r="C22" t="inlineStr">
        <is>
          <t>https://www2.jpx.co.jp/disc/43970/140120201006400465.pdf</t>
        </is>
      </c>
    </row>
    <row r="23">
      <c r="A23" t="inlineStr">
        <is>
          <t>2019-10-11</t>
        </is>
      </c>
      <c r="B23" t="inlineStr">
        <is>
          <t>2019년 8월 결산기 연간 결산단신</t>
        </is>
      </c>
      <c r="C23" t="inlineStr">
        <is>
          <t>https://www2.jpx.co.jp/disc/43970/140120191004405110.pdf</t>
        </is>
      </c>
    </row>
    <row r="24">
      <c r="A24" t="inlineStr">
        <is>
          <t>2018-10-15</t>
        </is>
      </c>
      <c r="B24" t="inlineStr">
        <is>
          <t>연간 결산단신</t>
        </is>
      </c>
      <c r="C24" t="inlineStr">
        <is>
          <t>https://www2.jpx.co.jp/disc/43970/140120180919408206.pdf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2026-10-28T10:07:29Z</dcterms:created>
  <dcterms:modified xmlns:dcterms="http://purl.org/dc/terms/" xmlns:xsi="http://www.w3.org/2001/XMLSchema-instance" xsi:type="dcterms:W3CDTF">2026-10-28T10:07:29Z</dcterms:modified>
</cp:coreProperties>
</file>